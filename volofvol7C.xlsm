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Ex2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"/>
    </mc:Choice>
  </mc:AlternateContent>
  <xr:revisionPtr revIDLastSave="0" documentId="13_ncr:1_{FF0C342F-B4A6-40A5-8AA2-D48073A759C3}" xr6:coauthVersionLast="47" xr6:coauthVersionMax="47" xr10:uidLastSave="{00000000-0000-0000-0000-000000000000}"/>
  <bookViews>
    <workbookView xWindow="1808" yWindow="232" windowWidth="20850" windowHeight="13531" xr2:uid="{28122793-9866-4CDA-8449-5BCB69ECE1C6}"/>
  </bookViews>
  <sheets>
    <sheet name="Sheet1" sheetId="1" r:id="rId1"/>
    <sheet name="probability" sheetId="8" r:id="rId2"/>
    <sheet name="probplot" sheetId="10" r:id="rId3"/>
    <sheet name="mc" sheetId="9" r:id="rId4"/>
    <sheet name="randcorrWithFeedback" sheetId="6" r:id="rId5"/>
    <sheet name="HE2" sheetId="7" r:id="rId6"/>
  </sheets>
  <definedNames>
    <definedName name="_xlchart.v1.0" hidden="1">Sheet1!$A$3:$A$1002</definedName>
    <definedName name="_xlchart.v1.1" hidden="1">randcorrWithFeedback!$D$2:$D$1001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1" l="1"/>
  <c r="E12" i="1" s="1"/>
  <c r="A3" i="10"/>
  <c r="GQ3" i="10"/>
  <c r="GP3" i="10"/>
  <c r="GO3" i="10"/>
  <c r="GN3" i="10"/>
  <c r="GM3" i="10"/>
  <c r="GL3" i="10"/>
  <c r="GK3" i="10"/>
  <c r="GJ3" i="10"/>
  <c r="GI3" i="10"/>
  <c r="GH3" i="10"/>
  <c r="GG3" i="10"/>
  <c r="GF3" i="10"/>
  <c r="GE3" i="10"/>
  <c r="GD3" i="10"/>
  <c r="GC3" i="10"/>
  <c r="GB3" i="10"/>
  <c r="GA3" i="10"/>
  <c r="FZ3" i="10"/>
  <c r="FY3" i="10"/>
  <c r="FX3" i="10"/>
  <c r="FW3" i="10"/>
  <c r="FV3" i="10"/>
  <c r="FU3" i="10"/>
  <c r="FT3" i="10"/>
  <c r="FS3" i="10"/>
  <c r="FR3" i="10"/>
  <c r="FQ3" i="10"/>
  <c r="FP3" i="10"/>
  <c r="FO3" i="10"/>
  <c r="FN3" i="10"/>
  <c r="FM3" i="10"/>
  <c r="FL3" i="10"/>
  <c r="FK3" i="10"/>
  <c r="FJ3" i="10"/>
  <c r="FI3" i="10"/>
  <c r="FH3" i="10"/>
  <c r="FG3" i="10"/>
  <c r="FF3" i="10"/>
  <c r="FE3" i="10"/>
  <c r="FD3" i="10"/>
  <c r="FC3" i="10"/>
  <c r="FB3" i="10"/>
  <c r="FA3" i="10"/>
  <c r="EZ3" i="10"/>
  <c r="EY3" i="10"/>
  <c r="EX3" i="10"/>
  <c r="EW3" i="10"/>
  <c r="EV3" i="10"/>
  <c r="EU3" i="10"/>
  <c r="ET3" i="10"/>
  <c r="ES3" i="10"/>
  <c r="ER3" i="10"/>
  <c r="EQ3" i="10"/>
  <c r="EP3" i="10"/>
  <c r="EO3" i="10"/>
  <c r="EN3" i="10"/>
  <c r="EM3" i="10"/>
  <c r="EL3" i="10"/>
  <c r="EK3" i="10"/>
  <c r="EJ3" i="10"/>
  <c r="EI3" i="10"/>
  <c r="EH3" i="10"/>
  <c r="EG3" i="10"/>
  <c r="EF3" i="10"/>
  <c r="EE3" i="10"/>
  <c r="ED3" i="10"/>
  <c r="EC3" i="10"/>
  <c r="EB3" i="10"/>
  <c r="EA3" i="10"/>
  <c r="DZ3" i="10"/>
  <c r="DY3" i="10"/>
  <c r="DX3" i="10"/>
  <c r="DW3" i="10"/>
  <c r="DV3" i="10"/>
  <c r="DU3" i="10"/>
  <c r="DT3" i="10"/>
  <c r="DS3" i="10"/>
  <c r="DR3" i="10"/>
  <c r="DQ3" i="10"/>
  <c r="DP3" i="10"/>
  <c r="DO3" i="10"/>
  <c r="DN3" i="10"/>
  <c r="DM3" i="10"/>
  <c r="DL3" i="10"/>
  <c r="DK3" i="10"/>
  <c r="DJ3" i="10"/>
  <c r="DI3" i="10"/>
  <c r="DH3" i="10"/>
  <c r="DG3" i="10"/>
  <c r="DF3" i="10"/>
  <c r="DE3" i="10"/>
  <c r="DD3" i="10"/>
  <c r="DC3" i="10"/>
  <c r="DB3" i="10"/>
  <c r="DA3" i="10"/>
  <c r="CZ3" i="10"/>
  <c r="CY3" i="10"/>
  <c r="CX3" i="10"/>
  <c r="CW3" i="10"/>
  <c r="CV3" i="10"/>
  <c r="CU3" i="10"/>
  <c r="CT3" i="10"/>
  <c r="CS3" i="10"/>
  <c r="CR3" i="10"/>
  <c r="CQ3" i="10"/>
  <c r="CP3" i="10"/>
  <c r="CO3" i="10"/>
  <c r="CN3" i="10"/>
  <c r="CM3" i="10"/>
  <c r="CL3" i="10"/>
  <c r="CK3" i="10"/>
  <c r="CJ3" i="10"/>
  <c r="CI3" i="10"/>
  <c r="CH3" i="10"/>
  <c r="CG3" i="10"/>
  <c r="CF3" i="10"/>
  <c r="CE3" i="10"/>
  <c r="CD3" i="10"/>
  <c r="CC3" i="10"/>
  <c r="CB3" i="10"/>
  <c r="CA3" i="10"/>
  <c r="BZ3" i="10"/>
  <c r="BY3" i="10"/>
  <c r="BX3" i="10"/>
  <c r="BW3" i="10"/>
  <c r="BV3" i="10"/>
  <c r="BU3" i="10"/>
  <c r="BT3" i="10"/>
  <c r="BS3" i="10"/>
  <c r="BR3" i="10"/>
  <c r="BQ3" i="10"/>
  <c r="BP3" i="10"/>
  <c r="BO3" i="10"/>
  <c r="BN3" i="10"/>
  <c r="BM3" i="10"/>
  <c r="BL3" i="10"/>
  <c r="BK3" i="10"/>
  <c r="BJ3" i="10"/>
  <c r="BI3" i="10"/>
  <c r="BH3" i="10"/>
  <c r="BG3" i="10"/>
  <c r="BF3" i="10"/>
  <c r="BE3" i="10"/>
  <c r="BD3" i="10"/>
  <c r="BC3" i="10"/>
  <c r="BB3" i="10"/>
  <c r="BA3" i="10"/>
  <c r="AZ3" i="10"/>
  <c r="AY3" i="10"/>
  <c r="AX3" i="10"/>
  <c r="AW3" i="10"/>
  <c r="AV3" i="10"/>
  <c r="AU3" i="10"/>
  <c r="AT3" i="10"/>
  <c r="AS3" i="10"/>
  <c r="AR3" i="10"/>
  <c r="AQ3" i="10"/>
  <c r="AP3" i="10"/>
  <c r="AO3" i="10"/>
  <c r="AN3" i="10"/>
  <c r="AM3" i="10"/>
  <c r="AL3" i="10"/>
  <c r="AK3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F3" i="10"/>
  <c r="E3" i="10"/>
  <c r="D3" i="10"/>
  <c r="C3" i="10"/>
  <c r="B3" i="10"/>
  <c r="B1" i="8"/>
  <c r="C1" i="8" s="1"/>
  <c r="D1" i="8" s="1"/>
  <c r="E1" i="8" s="1"/>
  <c r="F1" i="8" s="1"/>
  <c r="G1" i="8" s="1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AD1" i="8" s="1"/>
  <c r="AE1" i="8" s="1"/>
  <c r="AF1" i="8" s="1"/>
  <c r="AG1" i="8" s="1"/>
  <c r="AH1" i="8" s="1"/>
  <c r="AI1" i="8" s="1"/>
  <c r="AJ1" i="8" s="1"/>
  <c r="AK1" i="8" s="1"/>
  <c r="AL1" i="8" s="1"/>
  <c r="AM1" i="8" s="1"/>
  <c r="AN1" i="8" s="1"/>
  <c r="AO1" i="8" s="1"/>
  <c r="AP1" i="8" s="1"/>
  <c r="AQ1" i="8" s="1"/>
  <c r="AR1" i="8" s="1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B1001" i="6"/>
  <c r="A1001" i="6"/>
  <c r="B1000" i="6"/>
  <c r="A1000" i="6"/>
  <c r="B999" i="6"/>
  <c r="A999" i="6"/>
  <c r="B998" i="6"/>
  <c r="A998" i="6"/>
  <c r="B997" i="6"/>
  <c r="A997" i="6"/>
  <c r="B996" i="6"/>
  <c r="A996" i="6"/>
  <c r="B995" i="6"/>
  <c r="A995" i="6"/>
  <c r="B994" i="6"/>
  <c r="A994" i="6"/>
  <c r="B993" i="6"/>
  <c r="A993" i="6"/>
  <c r="B992" i="6"/>
  <c r="A992" i="6"/>
  <c r="B991" i="6"/>
  <c r="A991" i="6"/>
  <c r="B990" i="6"/>
  <c r="A990" i="6"/>
  <c r="B989" i="6"/>
  <c r="A989" i="6"/>
  <c r="B988" i="6"/>
  <c r="A988" i="6"/>
  <c r="B987" i="6"/>
  <c r="A987" i="6"/>
  <c r="B986" i="6"/>
  <c r="A986" i="6"/>
  <c r="B985" i="6"/>
  <c r="A985" i="6"/>
  <c r="B984" i="6"/>
  <c r="A984" i="6"/>
  <c r="B983" i="6"/>
  <c r="A983" i="6"/>
  <c r="B982" i="6"/>
  <c r="A982" i="6"/>
  <c r="B981" i="6"/>
  <c r="A981" i="6"/>
  <c r="B980" i="6"/>
  <c r="A980" i="6"/>
  <c r="B979" i="6"/>
  <c r="A979" i="6"/>
  <c r="B978" i="6"/>
  <c r="A978" i="6"/>
  <c r="B977" i="6"/>
  <c r="A977" i="6"/>
  <c r="B976" i="6"/>
  <c r="A976" i="6"/>
  <c r="B975" i="6"/>
  <c r="A975" i="6"/>
  <c r="B974" i="6"/>
  <c r="A974" i="6"/>
  <c r="B973" i="6"/>
  <c r="A973" i="6"/>
  <c r="B972" i="6"/>
  <c r="A972" i="6"/>
  <c r="B971" i="6"/>
  <c r="A971" i="6"/>
  <c r="B970" i="6"/>
  <c r="A970" i="6"/>
  <c r="B969" i="6"/>
  <c r="A969" i="6"/>
  <c r="B968" i="6"/>
  <c r="A968" i="6"/>
  <c r="B967" i="6"/>
  <c r="A967" i="6"/>
  <c r="B966" i="6"/>
  <c r="A966" i="6"/>
  <c r="B965" i="6"/>
  <c r="A965" i="6"/>
  <c r="B964" i="6"/>
  <c r="A964" i="6"/>
  <c r="B963" i="6"/>
  <c r="A963" i="6"/>
  <c r="B962" i="6"/>
  <c r="A962" i="6"/>
  <c r="B961" i="6"/>
  <c r="A961" i="6"/>
  <c r="B960" i="6"/>
  <c r="A960" i="6"/>
  <c r="B959" i="6"/>
  <c r="A959" i="6"/>
  <c r="B958" i="6"/>
  <c r="A958" i="6"/>
  <c r="B957" i="6"/>
  <c r="A957" i="6"/>
  <c r="B956" i="6"/>
  <c r="A956" i="6"/>
  <c r="B955" i="6"/>
  <c r="A955" i="6"/>
  <c r="B954" i="6"/>
  <c r="A954" i="6"/>
  <c r="B953" i="6"/>
  <c r="A953" i="6"/>
  <c r="B952" i="6"/>
  <c r="A952" i="6"/>
  <c r="B951" i="6"/>
  <c r="A951" i="6"/>
  <c r="B950" i="6"/>
  <c r="A950" i="6"/>
  <c r="B949" i="6"/>
  <c r="A949" i="6"/>
  <c r="B948" i="6"/>
  <c r="A948" i="6"/>
  <c r="B947" i="6"/>
  <c r="A947" i="6"/>
  <c r="B946" i="6"/>
  <c r="A946" i="6"/>
  <c r="B945" i="6"/>
  <c r="A945" i="6"/>
  <c r="B944" i="6"/>
  <c r="A944" i="6"/>
  <c r="B943" i="6"/>
  <c r="A943" i="6"/>
  <c r="B942" i="6"/>
  <c r="A942" i="6"/>
  <c r="B941" i="6"/>
  <c r="A941" i="6"/>
  <c r="B940" i="6"/>
  <c r="A940" i="6"/>
  <c r="B939" i="6"/>
  <c r="A939" i="6"/>
  <c r="B938" i="6"/>
  <c r="A938" i="6"/>
  <c r="B937" i="6"/>
  <c r="A937" i="6"/>
  <c r="B936" i="6"/>
  <c r="A936" i="6"/>
  <c r="B935" i="6"/>
  <c r="A935" i="6"/>
  <c r="B934" i="6"/>
  <c r="A934" i="6"/>
  <c r="B933" i="6"/>
  <c r="A933" i="6"/>
  <c r="B932" i="6"/>
  <c r="A932" i="6"/>
  <c r="B931" i="6"/>
  <c r="A931" i="6"/>
  <c r="B930" i="6"/>
  <c r="A930" i="6"/>
  <c r="B929" i="6"/>
  <c r="A929" i="6"/>
  <c r="B928" i="6"/>
  <c r="A928" i="6"/>
  <c r="B927" i="6"/>
  <c r="A927" i="6"/>
  <c r="B926" i="6"/>
  <c r="A926" i="6"/>
  <c r="B925" i="6"/>
  <c r="A925" i="6"/>
  <c r="B924" i="6"/>
  <c r="A924" i="6"/>
  <c r="B923" i="6"/>
  <c r="A923" i="6"/>
  <c r="B922" i="6"/>
  <c r="A922" i="6"/>
  <c r="B921" i="6"/>
  <c r="A921" i="6"/>
  <c r="B920" i="6"/>
  <c r="A920" i="6"/>
  <c r="B919" i="6"/>
  <c r="A919" i="6"/>
  <c r="B918" i="6"/>
  <c r="A918" i="6"/>
  <c r="B917" i="6"/>
  <c r="A917" i="6"/>
  <c r="B916" i="6"/>
  <c r="A916" i="6"/>
  <c r="B915" i="6"/>
  <c r="A915" i="6"/>
  <c r="B914" i="6"/>
  <c r="A914" i="6"/>
  <c r="B913" i="6"/>
  <c r="A913" i="6"/>
  <c r="B912" i="6"/>
  <c r="A912" i="6"/>
  <c r="B911" i="6"/>
  <c r="A911" i="6"/>
  <c r="B910" i="6"/>
  <c r="A910" i="6"/>
  <c r="B909" i="6"/>
  <c r="A909" i="6"/>
  <c r="B908" i="6"/>
  <c r="A908" i="6"/>
  <c r="B907" i="6"/>
  <c r="A907" i="6"/>
  <c r="B906" i="6"/>
  <c r="A906" i="6"/>
  <c r="B905" i="6"/>
  <c r="A905" i="6"/>
  <c r="B904" i="6"/>
  <c r="A904" i="6"/>
  <c r="B903" i="6"/>
  <c r="A903" i="6"/>
  <c r="B902" i="6"/>
  <c r="A902" i="6"/>
  <c r="B901" i="6"/>
  <c r="A901" i="6"/>
  <c r="B900" i="6"/>
  <c r="A900" i="6"/>
  <c r="B899" i="6"/>
  <c r="A899" i="6"/>
  <c r="B898" i="6"/>
  <c r="A898" i="6"/>
  <c r="B897" i="6"/>
  <c r="A897" i="6"/>
  <c r="B896" i="6"/>
  <c r="A896" i="6"/>
  <c r="B895" i="6"/>
  <c r="A895" i="6"/>
  <c r="B894" i="6"/>
  <c r="A894" i="6"/>
  <c r="B893" i="6"/>
  <c r="A893" i="6"/>
  <c r="B892" i="6"/>
  <c r="A892" i="6"/>
  <c r="B891" i="6"/>
  <c r="A891" i="6"/>
  <c r="B890" i="6"/>
  <c r="A890" i="6"/>
  <c r="B889" i="6"/>
  <c r="A889" i="6"/>
  <c r="B888" i="6"/>
  <c r="A888" i="6"/>
  <c r="B887" i="6"/>
  <c r="A887" i="6"/>
  <c r="B886" i="6"/>
  <c r="A886" i="6"/>
  <c r="B885" i="6"/>
  <c r="A885" i="6"/>
  <c r="B884" i="6"/>
  <c r="A884" i="6"/>
  <c r="B883" i="6"/>
  <c r="A883" i="6"/>
  <c r="B882" i="6"/>
  <c r="A882" i="6"/>
  <c r="B881" i="6"/>
  <c r="A881" i="6"/>
  <c r="B880" i="6"/>
  <c r="A880" i="6"/>
  <c r="B879" i="6"/>
  <c r="A879" i="6"/>
  <c r="B878" i="6"/>
  <c r="A878" i="6"/>
  <c r="B877" i="6"/>
  <c r="A877" i="6"/>
  <c r="B876" i="6"/>
  <c r="A876" i="6"/>
  <c r="B875" i="6"/>
  <c r="A875" i="6"/>
  <c r="B874" i="6"/>
  <c r="A874" i="6"/>
  <c r="B873" i="6"/>
  <c r="A873" i="6"/>
  <c r="B872" i="6"/>
  <c r="A872" i="6"/>
  <c r="B871" i="6"/>
  <c r="A871" i="6"/>
  <c r="B870" i="6"/>
  <c r="A870" i="6"/>
  <c r="B869" i="6"/>
  <c r="A869" i="6"/>
  <c r="B868" i="6"/>
  <c r="A868" i="6"/>
  <c r="B867" i="6"/>
  <c r="A867" i="6"/>
  <c r="B866" i="6"/>
  <c r="A866" i="6"/>
  <c r="B865" i="6"/>
  <c r="A865" i="6"/>
  <c r="B864" i="6"/>
  <c r="A864" i="6"/>
  <c r="B863" i="6"/>
  <c r="A863" i="6"/>
  <c r="B862" i="6"/>
  <c r="A862" i="6"/>
  <c r="B861" i="6"/>
  <c r="A861" i="6"/>
  <c r="B860" i="6"/>
  <c r="A860" i="6"/>
  <c r="B859" i="6"/>
  <c r="A859" i="6"/>
  <c r="B858" i="6"/>
  <c r="A858" i="6"/>
  <c r="B857" i="6"/>
  <c r="A857" i="6"/>
  <c r="B856" i="6"/>
  <c r="A856" i="6"/>
  <c r="B855" i="6"/>
  <c r="A855" i="6"/>
  <c r="B854" i="6"/>
  <c r="A854" i="6"/>
  <c r="B853" i="6"/>
  <c r="A853" i="6"/>
  <c r="B852" i="6"/>
  <c r="A852" i="6"/>
  <c r="B851" i="6"/>
  <c r="A851" i="6"/>
  <c r="B850" i="6"/>
  <c r="A850" i="6"/>
  <c r="B849" i="6"/>
  <c r="A849" i="6"/>
  <c r="B848" i="6"/>
  <c r="A848" i="6"/>
  <c r="B847" i="6"/>
  <c r="A847" i="6"/>
  <c r="B846" i="6"/>
  <c r="A846" i="6"/>
  <c r="B845" i="6"/>
  <c r="A845" i="6"/>
  <c r="B844" i="6"/>
  <c r="A844" i="6"/>
  <c r="B843" i="6"/>
  <c r="A843" i="6"/>
  <c r="B842" i="6"/>
  <c r="A842" i="6"/>
  <c r="B841" i="6"/>
  <c r="A841" i="6"/>
  <c r="B840" i="6"/>
  <c r="A840" i="6"/>
  <c r="B839" i="6"/>
  <c r="A839" i="6"/>
  <c r="B838" i="6"/>
  <c r="A838" i="6"/>
  <c r="B837" i="6"/>
  <c r="A837" i="6"/>
  <c r="B836" i="6"/>
  <c r="A836" i="6"/>
  <c r="B835" i="6"/>
  <c r="A835" i="6"/>
  <c r="B834" i="6"/>
  <c r="A834" i="6"/>
  <c r="B833" i="6"/>
  <c r="A833" i="6"/>
  <c r="B832" i="6"/>
  <c r="A832" i="6"/>
  <c r="B831" i="6"/>
  <c r="A831" i="6"/>
  <c r="B830" i="6"/>
  <c r="A830" i="6"/>
  <c r="B829" i="6"/>
  <c r="A829" i="6"/>
  <c r="B828" i="6"/>
  <c r="A828" i="6"/>
  <c r="B827" i="6"/>
  <c r="A827" i="6"/>
  <c r="B826" i="6"/>
  <c r="A826" i="6"/>
  <c r="B825" i="6"/>
  <c r="A825" i="6"/>
  <c r="B824" i="6"/>
  <c r="A824" i="6"/>
  <c r="B823" i="6"/>
  <c r="A823" i="6"/>
  <c r="B822" i="6"/>
  <c r="A822" i="6"/>
  <c r="B821" i="6"/>
  <c r="A821" i="6"/>
  <c r="B820" i="6"/>
  <c r="A820" i="6"/>
  <c r="B819" i="6"/>
  <c r="A819" i="6"/>
  <c r="B818" i="6"/>
  <c r="A818" i="6"/>
  <c r="B817" i="6"/>
  <c r="A817" i="6"/>
  <c r="B816" i="6"/>
  <c r="A816" i="6"/>
  <c r="B815" i="6"/>
  <c r="A815" i="6"/>
  <c r="B814" i="6"/>
  <c r="A814" i="6"/>
  <c r="B813" i="6"/>
  <c r="A813" i="6"/>
  <c r="B812" i="6"/>
  <c r="A812" i="6"/>
  <c r="B811" i="6"/>
  <c r="A811" i="6"/>
  <c r="B810" i="6"/>
  <c r="A810" i="6"/>
  <c r="B809" i="6"/>
  <c r="A809" i="6"/>
  <c r="B808" i="6"/>
  <c r="A808" i="6"/>
  <c r="B807" i="6"/>
  <c r="A807" i="6"/>
  <c r="B806" i="6"/>
  <c r="A806" i="6"/>
  <c r="B805" i="6"/>
  <c r="A805" i="6"/>
  <c r="B804" i="6"/>
  <c r="A804" i="6"/>
  <c r="B803" i="6"/>
  <c r="A803" i="6"/>
  <c r="B802" i="6"/>
  <c r="A802" i="6"/>
  <c r="B801" i="6"/>
  <c r="A801" i="6"/>
  <c r="B800" i="6"/>
  <c r="A800" i="6"/>
  <c r="B799" i="6"/>
  <c r="A799" i="6"/>
  <c r="B798" i="6"/>
  <c r="A798" i="6"/>
  <c r="B797" i="6"/>
  <c r="A797" i="6"/>
  <c r="B796" i="6"/>
  <c r="A796" i="6"/>
  <c r="B795" i="6"/>
  <c r="A795" i="6"/>
  <c r="B794" i="6"/>
  <c r="A794" i="6"/>
  <c r="B793" i="6"/>
  <c r="A793" i="6"/>
  <c r="B792" i="6"/>
  <c r="A792" i="6"/>
  <c r="B791" i="6"/>
  <c r="A791" i="6"/>
  <c r="B790" i="6"/>
  <c r="A790" i="6"/>
  <c r="B789" i="6"/>
  <c r="A789" i="6"/>
  <c r="B788" i="6"/>
  <c r="A788" i="6"/>
  <c r="B787" i="6"/>
  <c r="A787" i="6"/>
  <c r="B786" i="6"/>
  <c r="A786" i="6"/>
  <c r="B785" i="6"/>
  <c r="A785" i="6"/>
  <c r="B784" i="6"/>
  <c r="A784" i="6"/>
  <c r="B783" i="6"/>
  <c r="A783" i="6"/>
  <c r="B782" i="6"/>
  <c r="A782" i="6"/>
  <c r="B781" i="6"/>
  <c r="A781" i="6"/>
  <c r="B780" i="6"/>
  <c r="A780" i="6"/>
  <c r="B779" i="6"/>
  <c r="A779" i="6"/>
  <c r="B778" i="6"/>
  <c r="A778" i="6"/>
  <c r="B777" i="6"/>
  <c r="A777" i="6"/>
  <c r="B776" i="6"/>
  <c r="A776" i="6"/>
  <c r="B775" i="6"/>
  <c r="A775" i="6"/>
  <c r="B774" i="6"/>
  <c r="A774" i="6"/>
  <c r="B773" i="6"/>
  <c r="A773" i="6"/>
  <c r="B772" i="6"/>
  <c r="A772" i="6"/>
  <c r="B771" i="6"/>
  <c r="A771" i="6"/>
  <c r="B770" i="6"/>
  <c r="A770" i="6"/>
  <c r="B769" i="6"/>
  <c r="A769" i="6"/>
  <c r="B768" i="6"/>
  <c r="A768" i="6"/>
  <c r="B767" i="6"/>
  <c r="A767" i="6"/>
  <c r="B766" i="6"/>
  <c r="A766" i="6"/>
  <c r="B765" i="6"/>
  <c r="A765" i="6"/>
  <c r="B764" i="6"/>
  <c r="A764" i="6"/>
  <c r="B763" i="6"/>
  <c r="A763" i="6"/>
  <c r="B762" i="6"/>
  <c r="A762" i="6"/>
  <c r="B761" i="6"/>
  <c r="A761" i="6"/>
  <c r="B760" i="6"/>
  <c r="A760" i="6"/>
  <c r="B759" i="6"/>
  <c r="A759" i="6"/>
  <c r="B758" i="6"/>
  <c r="A758" i="6"/>
  <c r="B757" i="6"/>
  <c r="A757" i="6"/>
  <c r="B756" i="6"/>
  <c r="A756" i="6"/>
  <c r="B755" i="6"/>
  <c r="A755" i="6"/>
  <c r="B754" i="6"/>
  <c r="A754" i="6"/>
  <c r="B753" i="6"/>
  <c r="A753" i="6"/>
  <c r="B752" i="6"/>
  <c r="A752" i="6"/>
  <c r="B751" i="6"/>
  <c r="A751" i="6"/>
  <c r="B750" i="6"/>
  <c r="A750" i="6"/>
  <c r="B749" i="6"/>
  <c r="A749" i="6"/>
  <c r="B748" i="6"/>
  <c r="A748" i="6"/>
  <c r="B747" i="6"/>
  <c r="A747" i="6"/>
  <c r="B746" i="6"/>
  <c r="A746" i="6"/>
  <c r="B745" i="6"/>
  <c r="A745" i="6"/>
  <c r="B744" i="6"/>
  <c r="A744" i="6"/>
  <c r="B743" i="6"/>
  <c r="A743" i="6"/>
  <c r="B742" i="6"/>
  <c r="A742" i="6"/>
  <c r="B741" i="6"/>
  <c r="A741" i="6"/>
  <c r="B740" i="6"/>
  <c r="A740" i="6"/>
  <c r="B739" i="6"/>
  <c r="A739" i="6"/>
  <c r="B738" i="6"/>
  <c r="A738" i="6"/>
  <c r="B737" i="6"/>
  <c r="A737" i="6"/>
  <c r="B736" i="6"/>
  <c r="A736" i="6"/>
  <c r="B735" i="6"/>
  <c r="A735" i="6"/>
  <c r="B734" i="6"/>
  <c r="A734" i="6"/>
  <c r="B733" i="6"/>
  <c r="A733" i="6"/>
  <c r="B732" i="6"/>
  <c r="A732" i="6"/>
  <c r="B731" i="6"/>
  <c r="A731" i="6"/>
  <c r="B730" i="6"/>
  <c r="A730" i="6"/>
  <c r="B729" i="6"/>
  <c r="A729" i="6"/>
  <c r="B728" i="6"/>
  <c r="A728" i="6"/>
  <c r="B727" i="6"/>
  <c r="A727" i="6"/>
  <c r="B726" i="6"/>
  <c r="A726" i="6"/>
  <c r="B725" i="6"/>
  <c r="A725" i="6"/>
  <c r="B724" i="6"/>
  <c r="A724" i="6"/>
  <c r="B723" i="6"/>
  <c r="A723" i="6"/>
  <c r="B722" i="6"/>
  <c r="A722" i="6"/>
  <c r="B721" i="6"/>
  <c r="A721" i="6"/>
  <c r="B720" i="6"/>
  <c r="A720" i="6"/>
  <c r="B719" i="6"/>
  <c r="A719" i="6"/>
  <c r="B718" i="6"/>
  <c r="A718" i="6"/>
  <c r="B717" i="6"/>
  <c r="A717" i="6"/>
  <c r="B716" i="6"/>
  <c r="A716" i="6"/>
  <c r="B715" i="6"/>
  <c r="A715" i="6"/>
  <c r="B714" i="6"/>
  <c r="A714" i="6"/>
  <c r="B713" i="6"/>
  <c r="A713" i="6"/>
  <c r="B712" i="6"/>
  <c r="A712" i="6"/>
  <c r="B711" i="6"/>
  <c r="A711" i="6"/>
  <c r="B710" i="6"/>
  <c r="A710" i="6"/>
  <c r="B709" i="6"/>
  <c r="A709" i="6"/>
  <c r="B708" i="6"/>
  <c r="A708" i="6"/>
  <c r="B707" i="6"/>
  <c r="A707" i="6"/>
  <c r="B706" i="6"/>
  <c r="A706" i="6"/>
  <c r="B705" i="6"/>
  <c r="A705" i="6"/>
  <c r="B704" i="6"/>
  <c r="A704" i="6"/>
  <c r="B703" i="6"/>
  <c r="A703" i="6"/>
  <c r="B702" i="6"/>
  <c r="A702" i="6"/>
  <c r="B701" i="6"/>
  <c r="A701" i="6"/>
  <c r="B700" i="6"/>
  <c r="A700" i="6"/>
  <c r="B699" i="6"/>
  <c r="A699" i="6"/>
  <c r="B698" i="6"/>
  <c r="A698" i="6"/>
  <c r="B697" i="6"/>
  <c r="A697" i="6"/>
  <c r="B696" i="6"/>
  <c r="A696" i="6"/>
  <c r="B695" i="6"/>
  <c r="A695" i="6"/>
  <c r="B694" i="6"/>
  <c r="A694" i="6"/>
  <c r="B693" i="6"/>
  <c r="A693" i="6"/>
  <c r="B692" i="6"/>
  <c r="A692" i="6"/>
  <c r="B691" i="6"/>
  <c r="A691" i="6"/>
  <c r="B690" i="6"/>
  <c r="A690" i="6"/>
  <c r="B689" i="6"/>
  <c r="A689" i="6"/>
  <c r="B688" i="6"/>
  <c r="A688" i="6"/>
  <c r="B687" i="6"/>
  <c r="A687" i="6"/>
  <c r="B686" i="6"/>
  <c r="A686" i="6"/>
  <c r="B685" i="6"/>
  <c r="A685" i="6"/>
  <c r="B684" i="6"/>
  <c r="A684" i="6"/>
  <c r="B683" i="6"/>
  <c r="A683" i="6"/>
  <c r="B682" i="6"/>
  <c r="A682" i="6"/>
  <c r="B681" i="6"/>
  <c r="A681" i="6"/>
  <c r="B680" i="6"/>
  <c r="A680" i="6"/>
  <c r="B679" i="6"/>
  <c r="A679" i="6"/>
  <c r="B678" i="6"/>
  <c r="A678" i="6"/>
  <c r="B677" i="6"/>
  <c r="A677" i="6"/>
  <c r="B676" i="6"/>
  <c r="A676" i="6"/>
  <c r="B675" i="6"/>
  <c r="A675" i="6"/>
  <c r="B674" i="6"/>
  <c r="A674" i="6"/>
  <c r="B673" i="6"/>
  <c r="A673" i="6"/>
  <c r="B672" i="6"/>
  <c r="A672" i="6"/>
  <c r="B671" i="6"/>
  <c r="A671" i="6"/>
  <c r="B670" i="6"/>
  <c r="A670" i="6"/>
  <c r="B669" i="6"/>
  <c r="A669" i="6"/>
  <c r="B668" i="6"/>
  <c r="A668" i="6"/>
  <c r="B667" i="6"/>
  <c r="A667" i="6"/>
  <c r="B666" i="6"/>
  <c r="A666" i="6"/>
  <c r="B665" i="6"/>
  <c r="A665" i="6"/>
  <c r="B664" i="6"/>
  <c r="A664" i="6"/>
  <c r="B663" i="6"/>
  <c r="A663" i="6"/>
  <c r="B662" i="6"/>
  <c r="A662" i="6"/>
  <c r="B661" i="6"/>
  <c r="A661" i="6"/>
  <c r="B660" i="6"/>
  <c r="A660" i="6"/>
  <c r="B659" i="6"/>
  <c r="A659" i="6"/>
  <c r="B658" i="6"/>
  <c r="A658" i="6"/>
  <c r="B657" i="6"/>
  <c r="A657" i="6"/>
  <c r="B656" i="6"/>
  <c r="A656" i="6"/>
  <c r="B655" i="6"/>
  <c r="A655" i="6"/>
  <c r="B654" i="6"/>
  <c r="A654" i="6"/>
  <c r="B653" i="6"/>
  <c r="A653" i="6"/>
  <c r="B652" i="6"/>
  <c r="A652" i="6"/>
  <c r="B651" i="6"/>
  <c r="A651" i="6"/>
  <c r="B650" i="6"/>
  <c r="A650" i="6"/>
  <c r="B649" i="6"/>
  <c r="A649" i="6"/>
  <c r="B648" i="6"/>
  <c r="A648" i="6"/>
  <c r="B647" i="6"/>
  <c r="A647" i="6"/>
  <c r="B646" i="6"/>
  <c r="A646" i="6"/>
  <c r="B645" i="6"/>
  <c r="A645" i="6"/>
  <c r="B644" i="6"/>
  <c r="A644" i="6"/>
  <c r="B643" i="6"/>
  <c r="A643" i="6"/>
  <c r="B642" i="6"/>
  <c r="A642" i="6"/>
  <c r="B641" i="6"/>
  <c r="A641" i="6"/>
  <c r="B640" i="6"/>
  <c r="A640" i="6"/>
  <c r="B639" i="6"/>
  <c r="A639" i="6"/>
  <c r="B638" i="6"/>
  <c r="A638" i="6"/>
  <c r="B637" i="6"/>
  <c r="A637" i="6"/>
  <c r="B636" i="6"/>
  <c r="A636" i="6"/>
  <c r="B635" i="6"/>
  <c r="A635" i="6"/>
  <c r="B634" i="6"/>
  <c r="A634" i="6"/>
  <c r="B633" i="6"/>
  <c r="A633" i="6"/>
  <c r="B632" i="6"/>
  <c r="A632" i="6"/>
  <c r="B631" i="6"/>
  <c r="A631" i="6"/>
  <c r="B630" i="6"/>
  <c r="A630" i="6"/>
  <c r="B629" i="6"/>
  <c r="A629" i="6"/>
  <c r="B628" i="6"/>
  <c r="A628" i="6"/>
  <c r="B627" i="6"/>
  <c r="A627" i="6"/>
  <c r="B626" i="6"/>
  <c r="A626" i="6"/>
  <c r="B625" i="6"/>
  <c r="A625" i="6"/>
  <c r="B624" i="6"/>
  <c r="A624" i="6"/>
  <c r="B623" i="6"/>
  <c r="A623" i="6"/>
  <c r="B622" i="6"/>
  <c r="A622" i="6"/>
  <c r="B621" i="6"/>
  <c r="A621" i="6"/>
  <c r="B620" i="6"/>
  <c r="A620" i="6"/>
  <c r="B619" i="6"/>
  <c r="A619" i="6"/>
  <c r="B618" i="6"/>
  <c r="A618" i="6"/>
  <c r="B617" i="6"/>
  <c r="A617" i="6"/>
  <c r="B616" i="6"/>
  <c r="A616" i="6"/>
  <c r="B615" i="6"/>
  <c r="A615" i="6"/>
  <c r="B614" i="6"/>
  <c r="A614" i="6"/>
  <c r="B613" i="6"/>
  <c r="A613" i="6"/>
  <c r="B612" i="6"/>
  <c r="A612" i="6"/>
  <c r="B611" i="6"/>
  <c r="A611" i="6"/>
  <c r="B610" i="6"/>
  <c r="A610" i="6"/>
  <c r="B609" i="6"/>
  <c r="A609" i="6"/>
  <c r="B608" i="6"/>
  <c r="A608" i="6"/>
  <c r="B607" i="6"/>
  <c r="A607" i="6"/>
  <c r="B606" i="6"/>
  <c r="A606" i="6"/>
  <c r="B605" i="6"/>
  <c r="A605" i="6"/>
  <c r="B604" i="6"/>
  <c r="A604" i="6"/>
  <c r="B603" i="6"/>
  <c r="A603" i="6"/>
  <c r="B602" i="6"/>
  <c r="A602" i="6"/>
  <c r="B601" i="6"/>
  <c r="A601" i="6"/>
  <c r="B600" i="6"/>
  <c r="A600" i="6"/>
  <c r="B599" i="6"/>
  <c r="A599" i="6"/>
  <c r="B598" i="6"/>
  <c r="A598" i="6"/>
  <c r="B597" i="6"/>
  <c r="A597" i="6"/>
  <c r="B596" i="6"/>
  <c r="A596" i="6"/>
  <c r="B595" i="6"/>
  <c r="A595" i="6"/>
  <c r="B594" i="6"/>
  <c r="A594" i="6"/>
  <c r="B593" i="6"/>
  <c r="A593" i="6"/>
  <c r="B592" i="6"/>
  <c r="A592" i="6"/>
  <c r="B591" i="6"/>
  <c r="A591" i="6"/>
  <c r="B590" i="6"/>
  <c r="A590" i="6"/>
  <c r="B589" i="6"/>
  <c r="A589" i="6"/>
  <c r="B588" i="6"/>
  <c r="A588" i="6"/>
  <c r="B587" i="6"/>
  <c r="A587" i="6"/>
  <c r="B586" i="6"/>
  <c r="A586" i="6"/>
  <c r="B585" i="6"/>
  <c r="A585" i="6"/>
  <c r="B584" i="6"/>
  <c r="A584" i="6"/>
  <c r="B583" i="6"/>
  <c r="A583" i="6"/>
  <c r="B582" i="6"/>
  <c r="A582" i="6"/>
  <c r="B581" i="6"/>
  <c r="A581" i="6"/>
  <c r="B580" i="6"/>
  <c r="A580" i="6"/>
  <c r="B579" i="6"/>
  <c r="A579" i="6"/>
  <c r="B578" i="6"/>
  <c r="A578" i="6"/>
  <c r="B577" i="6"/>
  <c r="A577" i="6"/>
  <c r="B576" i="6"/>
  <c r="A576" i="6"/>
  <c r="B575" i="6"/>
  <c r="A575" i="6"/>
  <c r="B574" i="6"/>
  <c r="A574" i="6"/>
  <c r="B573" i="6"/>
  <c r="A573" i="6"/>
  <c r="B572" i="6"/>
  <c r="A572" i="6"/>
  <c r="B571" i="6"/>
  <c r="A571" i="6"/>
  <c r="B570" i="6"/>
  <c r="A570" i="6"/>
  <c r="B569" i="6"/>
  <c r="A569" i="6"/>
  <c r="B568" i="6"/>
  <c r="A568" i="6"/>
  <c r="B567" i="6"/>
  <c r="A567" i="6"/>
  <c r="B566" i="6"/>
  <c r="A566" i="6"/>
  <c r="B565" i="6"/>
  <c r="A565" i="6"/>
  <c r="B564" i="6"/>
  <c r="A564" i="6"/>
  <c r="B563" i="6"/>
  <c r="A563" i="6"/>
  <c r="B562" i="6"/>
  <c r="A562" i="6"/>
  <c r="B561" i="6"/>
  <c r="A561" i="6"/>
  <c r="B560" i="6"/>
  <c r="A560" i="6"/>
  <c r="B559" i="6"/>
  <c r="A559" i="6"/>
  <c r="B558" i="6"/>
  <c r="A558" i="6"/>
  <c r="B557" i="6"/>
  <c r="A557" i="6"/>
  <c r="B556" i="6"/>
  <c r="A556" i="6"/>
  <c r="B555" i="6"/>
  <c r="A555" i="6"/>
  <c r="B554" i="6"/>
  <c r="A554" i="6"/>
  <c r="B553" i="6"/>
  <c r="A553" i="6"/>
  <c r="B552" i="6"/>
  <c r="A552" i="6"/>
  <c r="B551" i="6"/>
  <c r="A551" i="6"/>
  <c r="B550" i="6"/>
  <c r="A550" i="6"/>
  <c r="B549" i="6"/>
  <c r="A549" i="6"/>
  <c r="B548" i="6"/>
  <c r="A548" i="6"/>
  <c r="B547" i="6"/>
  <c r="A547" i="6"/>
  <c r="B546" i="6"/>
  <c r="A546" i="6"/>
  <c r="B545" i="6"/>
  <c r="A545" i="6"/>
  <c r="B544" i="6"/>
  <c r="A544" i="6"/>
  <c r="B543" i="6"/>
  <c r="A543" i="6"/>
  <c r="B542" i="6"/>
  <c r="A542" i="6"/>
  <c r="B541" i="6"/>
  <c r="A541" i="6"/>
  <c r="B540" i="6"/>
  <c r="A540" i="6"/>
  <c r="B539" i="6"/>
  <c r="A539" i="6"/>
  <c r="B538" i="6"/>
  <c r="A538" i="6"/>
  <c r="B537" i="6"/>
  <c r="A537" i="6"/>
  <c r="B536" i="6"/>
  <c r="A536" i="6"/>
  <c r="B535" i="6"/>
  <c r="A535" i="6"/>
  <c r="B534" i="6"/>
  <c r="A534" i="6"/>
  <c r="B533" i="6"/>
  <c r="A533" i="6"/>
  <c r="B532" i="6"/>
  <c r="A532" i="6"/>
  <c r="B531" i="6"/>
  <c r="A531" i="6"/>
  <c r="B530" i="6"/>
  <c r="A530" i="6"/>
  <c r="B529" i="6"/>
  <c r="A529" i="6"/>
  <c r="B528" i="6"/>
  <c r="A528" i="6"/>
  <c r="B527" i="6"/>
  <c r="A527" i="6"/>
  <c r="B526" i="6"/>
  <c r="A526" i="6"/>
  <c r="B525" i="6"/>
  <c r="A525" i="6"/>
  <c r="B524" i="6"/>
  <c r="A524" i="6"/>
  <c r="B523" i="6"/>
  <c r="A523" i="6"/>
  <c r="B522" i="6"/>
  <c r="A522" i="6"/>
  <c r="B521" i="6"/>
  <c r="A521" i="6"/>
  <c r="B520" i="6"/>
  <c r="A520" i="6"/>
  <c r="B519" i="6"/>
  <c r="A519" i="6"/>
  <c r="B518" i="6"/>
  <c r="A518" i="6"/>
  <c r="B517" i="6"/>
  <c r="A517" i="6"/>
  <c r="B516" i="6"/>
  <c r="A516" i="6"/>
  <c r="B515" i="6"/>
  <c r="A515" i="6"/>
  <c r="B514" i="6"/>
  <c r="A514" i="6"/>
  <c r="B513" i="6"/>
  <c r="A513" i="6"/>
  <c r="B512" i="6"/>
  <c r="A512" i="6"/>
  <c r="B511" i="6"/>
  <c r="A511" i="6"/>
  <c r="B510" i="6"/>
  <c r="A510" i="6"/>
  <c r="B509" i="6"/>
  <c r="A509" i="6"/>
  <c r="B508" i="6"/>
  <c r="A508" i="6"/>
  <c r="B507" i="6"/>
  <c r="A507" i="6"/>
  <c r="B506" i="6"/>
  <c r="A506" i="6"/>
  <c r="B505" i="6"/>
  <c r="A505" i="6"/>
  <c r="B504" i="6"/>
  <c r="A504" i="6"/>
  <c r="B503" i="6"/>
  <c r="A503" i="6"/>
  <c r="B502" i="6"/>
  <c r="A502" i="6"/>
  <c r="B501" i="6"/>
  <c r="A501" i="6"/>
  <c r="B500" i="6"/>
  <c r="A500" i="6"/>
  <c r="B499" i="6"/>
  <c r="A499" i="6"/>
  <c r="B498" i="6"/>
  <c r="A498" i="6"/>
  <c r="B497" i="6"/>
  <c r="A497" i="6"/>
  <c r="B496" i="6"/>
  <c r="A496" i="6"/>
  <c r="B495" i="6"/>
  <c r="A495" i="6"/>
  <c r="B494" i="6"/>
  <c r="A494" i="6"/>
  <c r="B493" i="6"/>
  <c r="A493" i="6"/>
  <c r="B492" i="6"/>
  <c r="A492" i="6"/>
  <c r="B491" i="6"/>
  <c r="A491" i="6"/>
  <c r="B490" i="6"/>
  <c r="A490" i="6"/>
  <c r="B489" i="6"/>
  <c r="A489" i="6"/>
  <c r="B488" i="6"/>
  <c r="A488" i="6"/>
  <c r="B487" i="6"/>
  <c r="A487" i="6"/>
  <c r="B486" i="6"/>
  <c r="A486" i="6"/>
  <c r="B485" i="6"/>
  <c r="A485" i="6"/>
  <c r="B484" i="6"/>
  <c r="A484" i="6"/>
  <c r="B483" i="6"/>
  <c r="A483" i="6"/>
  <c r="B482" i="6"/>
  <c r="A482" i="6"/>
  <c r="B481" i="6"/>
  <c r="A481" i="6"/>
  <c r="B480" i="6"/>
  <c r="A480" i="6"/>
  <c r="B479" i="6"/>
  <c r="A479" i="6"/>
  <c r="B478" i="6"/>
  <c r="A478" i="6"/>
  <c r="B477" i="6"/>
  <c r="A477" i="6"/>
  <c r="B476" i="6"/>
  <c r="A476" i="6"/>
  <c r="B475" i="6"/>
  <c r="A475" i="6"/>
  <c r="B474" i="6"/>
  <c r="A474" i="6"/>
  <c r="B473" i="6"/>
  <c r="A473" i="6"/>
  <c r="B472" i="6"/>
  <c r="A472" i="6"/>
  <c r="B471" i="6"/>
  <c r="A471" i="6"/>
  <c r="B470" i="6"/>
  <c r="A470" i="6"/>
  <c r="B469" i="6"/>
  <c r="A469" i="6"/>
  <c r="B468" i="6"/>
  <c r="A468" i="6"/>
  <c r="B467" i="6"/>
  <c r="A467" i="6"/>
  <c r="B466" i="6"/>
  <c r="A466" i="6"/>
  <c r="B465" i="6"/>
  <c r="A465" i="6"/>
  <c r="B464" i="6"/>
  <c r="A464" i="6"/>
  <c r="B463" i="6"/>
  <c r="A463" i="6"/>
  <c r="B462" i="6"/>
  <c r="A462" i="6"/>
  <c r="B461" i="6"/>
  <c r="A461" i="6"/>
  <c r="B460" i="6"/>
  <c r="A460" i="6"/>
  <c r="B459" i="6"/>
  <c r="A459" i="6"/>
  <c r="B458" i="6"/>
  <c r="A458" i="6"/>
  <c r="B457" i="6"/>
  <c r="A457" i="6"/>
  <c r="B456" i="6"/>
  <c r="A456" i="6"/>
  <c r="B455" i="6"/>
  <c r="A455" i="6"/>
  <c r="B454" i="6"/>
  <c r="A454" i="6"/>
  <c r="B453" i="6"/>
  <c r="A453" i="6"/>
  <c r="B452" i="6"/>
  <c r="A452" i="6"/>
  <c r="B451" i="6"/>
  <c r="A451" i="6"/>
  <c r="B450" i="6"/>
  <c r="A450" i="6"/>
  <c r="B449" i="6"/>
  <c r="A449" i="6"/>
  <c r="B448" i="6"/>
  <c r="A448" i="6"/>
  <c r="B447" i="6"/>
  <c r="A447" i="6"/>
  <c r="B446" i="6"/>
  <c r="A446" i="6"/>
  <c r="B445" i="6"/>
  <c r="A445" i="6"/>
  <c r="B444" i="6"/>
  <c r="A444" i="6"/>
  <c r="B443" i="6"/>
  <c r="A443" i="6"/>
  <c r="B442" i="6"/>
  <c r="A442" i="6"/>
  <c r="B441" i="6"/>
  <c r="A441" i="6"/>
  <c r="B440" i="6"/>
  <c r="A440" i="6"/>
  <c r="B439" i="6"/>
  <c r="A439" i="6"/>
  <c r="B438" i="6"/>
  <c r="A438" i="6"/>
  <c r="B437" i="6"/>
  <c r="A437" i="6"/>
  <c r="B436" i="6"/>
  <c r="A436" i="6"/>
  <c r="B435" i="6"/>
  <c r="A435" i="6"/>
  <c r="B434" i="6"/>
  <c r="A434" i="6"/>
  <c r="B433" i="6"/>
  <c r="A433" i="6"/>
  <c r="B432" i="6"/>
  <c r="A432" i="6"/>
  <c r="B431" i="6"/>
  <c r="A431" i="6"/>
  <c r="B430" i="6"/>
  <c r="A430" i="6"/>
  <c r="B429" i="6"/>
  <c r="A429" i="6"/>
  <c r="B428" i="6"/>
  <c r="A428" i="6"/>
  <c r="B427" i="6"/>
  <c r="A427" i="6"/>
  <c r="B426" i="6"/>
  <c r="A426" i="6"/>
  <c r="B425" i="6"/>
  <c r="A425" i="6"/>
  <c r="B424" i="6"/>
  <c r="A424" i="6"/>
  <c r="B423" i="6"/>
  <c r="A423" i="6"/>
  <c r="B422" i="6"/>
  <c r="A422" i="6"/>
  <c r="B421" i="6"/>
  <c r="A421" i="6"/>
  <c r="B420" i="6"/>
  <c r="A420" i="6"/>
  <c r="B419" i="6"/>
  <c r="A419" i="6"/>
  <c r="B418" i="6"/>
  <c r="A418" i="6"/>
  <c r="B417" i="6"/>
  <c r="A417" i="6"/>
  <c r="B416" i="6"/>
  <c r="A416" i="6"/>
  <c r="B415" i="6"/>
  <c r="A415" i="6"/>
  <c r="B414" i="6"/>
  <c r="A414" i="6"/>
  <c r="B413" i="6"/>
  <c r="A413" i="6"/>
  <c r="B412" i="6"/>
  <c r="A412" i="6"/>
  <c r="B411" i="6"/>
  <c r="A411" i="6"/>
  <c r="B410" i="6"/>
  <c r="A410" i="6"/>
  <c r="B409" i="6"/>
  <c r="A409" i="6"/>
  <c r="B408" i="6"/>
  <c r="A408" i="6"/>
  <c r="B407" i="6"/>
  <c r="A407" i="6"/>
  <c r="B406" i="6"/>
  <c r="A406" i="6"/>
  <c r="B405" i="6"/>
  <c r="A405" i="6"/>
  <c r="B404" i="6"/>
  <c r="A404" i="6"/>
  <c r="B403" i="6"/>
  <c r="A403" i="6"/>
  <c r="B402" i="6"/>
  <c r="A402" i="6"/>
  <c r="B401" i="6"/>
  <c r="A401" i="6"/>
  <c r="B400" i="6"/>
  <c r="A400" i="6"/>
  <c r="B399" i="6"/>
  <c r="A399" i="6"/>
  <c r="B398" i="6"/>
  <c r="A398" i="6"/>
  <c r="B397" i="6"/>
  <c r="A397" i="6"/>
  <c r="B396" i="6"/>
  <c r="A396" i="6"/>
  <c r="B395" i="6"/>
  <c r="A395" i="6"/>
  <c r="B394" i="6"/>
  <c r="A394" i="6"/>
  <c r="B393" i="6"/>
  <c r="A393" i="6"/>
  <c r="B392" i="6"/>
  <c r="A392" i="6"/>
  <c r="B391" i="6"/>
  <c r="A391" i="6"/>
  <c r="B390" i="6"/>
  <c r="A390" i="6"/>
  <c r="B389" i="6"/>
  <c r="A389" i="6"/>
  <c r="B388" i="6"/>
  <c r="A388" i="6"/>
  <c r="B387" i="6"/>
  <c r="A387" i="6"/>
  <c r="B386" i="6"/>
  <c r="A386" i="6"/>
  <c r="B385" i="6"/>
  <c r="A385" i="6"/>
  <c r="B384" i="6"/>
  <c r="A384" i="6"/>
  <c r="B383" i="6"/>
  <c r="A383" i="6"/>
  <c r="B382" i="6"/>
  <c r="A382" i="6"/>
  <c r="B381" i="6"/>
  <c r="A381" i="6"/>
  <c r="B380" i="6"/>
  <c r="A380" i="6"/>
  <c r="B379" i="6"/>
  <c r="A379" i="6"/>
  <c r="B378" i="6"/>
  <c r="A378" i="6"/>
  <c r="B377" i="6"/>
  <c r="A377" i="6"/>
  <c r="B376" i="6"/>
  <c r="A376" i="6"/>
  <c r="B375" i="6"/>
  <c r="A375" i="6"/>
  <c r="B374" i="6"/>
  <c r="A374" i="6"/>
  <c r="B373" i="6"/>
  <c r="A373" i="6"/>
  <c r="B372" i="6"/>
  <c r="A372" i="6"/>
  <c r="B371" i="6"/>
  <c r="A371" i="6"/>
  <c r="B370" i="6"/>
  <c r="A370" i="6"/>
  <c r="B369" i="6"/>
  <c r="A369" i="6"/>
  <c r="B368" i="6"/>
  <c r="A368" i="6"/>
  <c r="B367" i="6"/>
  <c r="A367" i="6"/>
  <c r="B366" i="6"/>
  <c r="A366" i="6"/>
  <c r="B365" i="6"/>
  <c r="A365" i="6"/>
  <c r="B364" i="6"/>
  <c r="A364" i="6"/>
  <c r="B363" i="6"/>
  <c r="A363" i="6"/>
  <c r="B362" i="6"/>
  <c r="A362" i="6"/>
  <c r="B361" i="6"/>
  <c r="A361" i="6"/>
  <c r="B360" i="6"/>
  <c r="A360" i="6"/>
  <c r="B359" i="6"/>
  <c r="A359" i="6"/>
  <c r="B358" i="6"/>
  <c r="A358" i="6"/>
  <c r="B357" i="6"/>
  <c r="A357" i="6"/>
  <c r="B356" i="6"/>
  <c r="A356" i="6"/>
  <c r="B355" i="6"/>
  <c r="A355" i="6"/>
  <c r="B354" i="6"/>
  <c r="A354" i="6"/>
  <c r="B353" i="6"/>
  <c r="A353" i="6"/>
  <c r="B352" i="6"/>
  <c r="A352" i="6"/>
  <c r="B351" i="6"/>
  <c r="A351" i="6"/>
  <c r="B350" i="6"/>
  <c r="A350" i="6"/>
  <c r="B349" i="6"/>
  <c r="A349" i="6"/>
  <c r="B348" i="6"/>
  <c r="A348" i="6"/>
  <c r="B347" i="6"/>
  <c r="A347" i="6"/>
  <c r="B346" i="6"/>
  <c r="A346" i="6"/>
  <c r="B345" i="6"/>
  <c r="A345" i="6"/>
  <c r="B344" i="6"/>
  <c r="A344" i="6"/>
  <c r="B343" i="6"/>
  <c r="A343" i="6"/>
  <c r="B342" i="6"/>
  <c r="A342" i="6"/>
  <c r="B341" i="6"/>
  <c r="A341" i="6"/>
  <c r="B340" i="6"/>
  <c r="A340" i="6"/>
  <c r="B339" i="6"/>
  <c r="A339" i="6"/>
  <c r="B338" i="6"/>
  <c r="A338" i="6"/>
  <c r="B337" i="6"/>
  <c r="A337" i="6"/>
  <c r="B336" i="6"/>
  <c r="A336" i="6"/>
  <c r="B335" i="6"/>
  <c r="A335" i="6"/>
  <c r="B334" i="6"/>
  <c r="A334" i="6"/>
  <c r="B333" i="6"/>
  <c r="A333" i="6"/>
  <c r="B332" i="6"/>
  <c r="A332" i="6"/>
  <c r="B331" i="6"/>
  <c r="A331" i="6"/>
  <c r="B330" i="6"/>
  <c r="A330" i="6"/>
  <c r="B329" i="6"/>
  <c r="A329" i="6"/>
  <c r="B328" i="6"/>
  <c r="A328" i="6"/>
  <c r="B327" i="6"/>
  <c r="A327" i="6"/>
  <c r="B326" i="6"/>
  <c r="A326" i="6"/>
  <c r="B325" i="6"/>
  <c r="A325" i="6"/>
  <c r="B324" i="6"/>
  <c r="A324" i="6"/>
  <c r="B323" i="6"/>
  <c r="A323" i="6"/>
  <c r="B322" i="6"/>
  <c r="A322" i="6"/>
  <c r="B321" i="6"/>
  <c r="A321" i="6"/>
  <c r="B320" i="6"/>
  <c r="A320" i="6"/>
  <c r="B319" i="6"/>
  <c r="A319" i="6"/>
  <c r="B318" i="6"/>
  <c r="A318" i="6"/>
  <c r="B317" i="6"/>
  <c r="A317" i="6"/>
  <c r="B316" i="6"/>
  <c r="A316" i="6"/>
  <c r="B315" i="6"/>
  <c r="A315" i="6"/>
  <c r="B314" i="6"/>
  <c r="A314" i="6"/>
  <c r="B313" i="6"/>
  <c r="A313" i="6"/>
  <c r="B312" i="6"/>
  <c r="A312" i="6"/>
  <c r="B311" i="6"/>
  <c r="A311" i="6"/>
  <c r="B310" i="6"/>
  <c r="A310" i="6"/>
  <c r="B309" i="6"/>
  <c r="A309" i="6"/>
  <c r="B308" i="6"/>
  <c r="A308" i="6"/>
  <c r="B307" i="6"/>
  <c r="A307" i="6"/>
  <c r="B306" i="6"/>
  <c r="A306" i="6"/>
  <c r="B305" i="6"/>
  <c r="A305" i="6"/>
  <c r="B304" i="6"/>
  <c r="A304" i="6"/>
  <c r="B303" i="6"/>
  <c r="A303" i="6"/>
  <c r="B302" i="6"/>
  <c r="A302" i="6"/>
  <c r="B301" i="6"/>
  <c r="A301" i="6"/>
  <c r="B300" i="6"/>
  <c r="A300" i="6"/>
  <c r="B299" i="6"/>
  <c r="A299" i="6"/>
  <c r="B298" i="6"/>
  <c r="A298" i="6"/>
  <c r="B297" i="6"/>
  <c r="A297" i="6"/>
  <c r="B296" i="6"/>
  <c r="A296" i="6"/>
  <c r="B295" i="6"/>
  <c r="A295" i="6"/>
  <c r="B294" i="6"/>
  <c r="A294" i="6"/>
  <c r="B293" i="6"/>
  <c r="A293" i="6"/>
  <c r="B292" i="6"/>
  <c r="A292" i="6"/>
  <c r="B291" i="6"/>
  <c r="A291" i="6"/>
  <c r="B290" i="6"/>
  <c r="A290" i="6"/>
  <c r="B289" i="6"/>
  <c r="A289" i="6"/>
  <c r="B288" i="6"/>
  <c r="A288" i="6"/>
  <c r="B287" i="6"/>
  <c r="A287" i="6"/>
  <c r="B286" i="6"/>
  <c r="A286" i="6"/>
  <c r="B285" i="6"/>
  <c r="A285" i="6"/>
  <c r="B284" i="6"/>
  <c r="A284" i="6"/>
  <c r="B283" i="6"/>
  <c r="A283" i="6"/>
  <c r="B282" i="6"/>
  <c r="A282" i="6"/>
  <c r="B281" i="6"/>
  <c r="A281" i="6"/>
  <c r="B280" i="6"/>
  <c r="A280" i="6"/>
  <c r="B279" i="6"/>
  <c r="A279" i="6"/>
  <c r="B278" i="6"/>
  <c r="A278" i="6"/>
  <c r="B277" i="6"/>
  <c r="A277" i="6"/>
  <c r="B276" i="6"/>
  <c r="A276" i="6"/>
  <c r="B275" i="6"/>
  <c r="A275" i="6"/>
  <c r="B274" i="6"/>
  <c r="A274" i="6"/>
  <c r="B273" i="6"/>
  <c r="A273" i="6"/>
  <c r="B272" i="6"/>
  <c r="A272" i="6"/>
  <c r="B271" i="6"/>
  <c r="A271" i="6"/>
  <c r="B270" i="6"/>
  <c r="A270" i="6"/>
  <c r="B269" i="6"/>
  <c r="A269" i="6"/>
  <c r="B268" i="6"/>
  <c r="A268" i="6"/>
  <c r="B267" i="6"/>
  <c r="A267" i="6"/>
  <c r="B266" i="6"/>
  <c r="A266" i="6"/>
  <c r="B265" i="6"/>
  <c r="A265" i="6"/>
  <c r="B264" i="6"/>
  <c r="A264" i="6"/>
  <c r="B263" i="6"/>
  <c r="A263" i="6"/>
  <c r="B262" i="6"/>
  <c r="A262" i="6"/>
  <c r="B261" i="6"/>
  <c r="A261" i="6"/>
  <c r="B260" i="6"/>
  <c r="A260" i="6"/>
  <c r="B259" i="6"/>
  <c r="A259" i="6"/>
  <c r="B258" i="6"/>
  <c r="A258" i="6"/>
  <c r="B257" i="6"/>
  <c r="A257" i="6"/>
  <c r="B256" i="6"/>
  <c r="A256" i="6"/>
  <c r="B255" i="6"/>
  <c r="A255" i="6"/>
  <c r="B254" i="6"/>
  <c r="A254" i="6"/>
  <c r="B253" i="6"/>
  <c r="A253" i="6"/>
  <c r="B252" i="6"/>
  <c r="A252" i="6"/>
  <c r="B251" i="6"/>
  <c r="A251" i="6"/>
  <c r="B250" i="6"/>
  <c r="A250" i="6"/>
  <c r="B249" i="6"/>
  <c r="A249" i="6"/>
  <c r="B248" i="6"/>
  <c r="A248" i="6"/>
  <c r="B247" i="6"/>
  <c r="A247" i="6"/>
  <c r="B246" i="6"/>
  <c r="A246" i="6"/>
  <c r="B245" i="6"/>
  <c r="A245" i="6"/>
  <c r="B244" i="6"/>
  <c r="A244" i="6"/>
  <c r="B243" i="6"/>
  <c r="A243" i="6"/>
  <c r="B242" i="6"/>
  <c r="A242" i="6"/>
  <c r="B241" i="6"/>
  <c r="A241" i="6"/>
  <c r="B240" i="6"/>
  <c r="A240" i="6"/>
  <c r="B239" i="6"/>
  <c r="A239" i="6"/>
  <c r="B238" i="6"/>
  <c r="A238" i="6"/>
  <c r="B237" i="6"/>
  <c r="A237" i="6"/>
  <c r="B236" i="6"/>
  <c r="A236" i="6"/>
  <c r="B235" i="6"/>
  <c r="A235" i="6"/>
  <c r="B234" i="6"/>
  <c r="A234" i="6"/>
  <c r="B233" i="6"/>
  <c r="A233" i="6"/>
  <c r="B232" i="6"/>
  <c r="A232" i="6"/>
  <c r="B231" i="6"/>
  <c r="A231" i="6"/>
  <c r="B230" i="6"/>
  <c r="A230" i="6"/>
  <c r="B229" i="6"/>
  <c r="A229" i="6"/>
  <c r="B228" i="6"/>
  <c r="A228" i="6"/>
  <c r="B227" i="6"/>
  <c r="A227" i="6"/>
  <c r="B226" i="6"/>
  <c r="A226" i="6"/>
  <c r="B225" i="6"/>
  <c r="A225" i="6"/>
  <c r="B224" i="6"/>
  <c r="A224" i="6"/>
  <c r="B223" i="6"/>
  <c r="A223" i="6"/>
  <c r="B222" i="6"/>
  <c r="A222" i="6"/>
  <c r="B221" i="6"/>
  <c r="A221" i="6"/>
  <c r="B220" i="6"/>
  <c r="A220" i="6"/>
  <c r="B219" i="6"/>
  <c r="A219" i="6"/>
  <c r="B218" i="6"/>
  <c r="A218" i="6"/>
  <c r="B217" i="6"/>
  <c r="A217" i="6"/>
  <c r="B216" i="6"/>
  <c r="A216" i="6"/>
  <c r="B215" i="6"/>
  <c r="A215" i="6"/>
  <c r="B214" i="6"/>
  <c r="A214" i="6"/>
  <c r="B213" i="6"/>
  <c r="A213" i="6"/>
  <c r="B212" i="6"/>
  <c r="A212" i="6"/>
  <c r="B211" i="6"/>
  <c r="A211" i="6"/>
  <c r="B210" i="6"/>
  <c r="A210" i="6"/>
  <c r="B209" i="6"/>
  <c r="A209" i="6"/>
  <c r="B208" i="6"/>
  <c r="A208" i="6"/>
  <c r="B207" i="6"/>
  <c r="A207" i="6"/>
  <c r="B206" i="6"/>
  <c r="A206" i="6"/>
  <c r="B205" i="6"/>
  <c r="A205" i="6"/>
  <c r="B204" i="6"/>
  <c r="A204" i="6"/>
  <c r="B203" i="6"/>
  <c r="A203" i="6"/>
  <c r="B202" i="6"/>
  <c r="A202" i="6"/>
  <c r="B201" i="6"/>
  <c r="A201" i="6"/>
  <c r="B200" i="6"/>
  <c r="A200" i="6"/>
  <c r="B199" i="6"/>
  <c r="A199" i="6"/>
  <c r="B198" i="6"/>
  <c r="A198" i="6"/>
  <c r="B197" i="6"/>
  <c r="A197" i="6"/>
  <c r="B196" i="6"/>
  <c r="A196" i="6"/>
  <c r="B195" i="6"/>
  <c r="A195" i="6"/>
  <c r="B194" i="6"/>
  <c r="A194" i="6"/>
  <c r="B193" i="6"/>
  <c r="A193" i="6"/>
  <c r="B192" i="6"/>
  <c r="A192" i="6"/>
  <c r="B191" i="6"/>
  <c r="A191" i="6"/>
  <c r="B190" i="6"/>
  <c r="A190" i="6"/>
  <c r="B189" i="6"/>
  <c r="A189" i="6"/>
  <c r="B188" i="6"/>
  <c r="A188" i="6"/>
  <c r="B187" i="6"/>
  <c r="A187" i="6"/>
  <c r="B186" i="6"/>
  <c r="A186" i="6"/>
  <c r="B185" i="6"/>
  <c r="A185" i="6"/>
  <c r="B184" i="6"/>
  <c r="A184" i="6"/>
  <c r="B183" i="6"/>
  <c r="A183" i="6"/>
  <c r="B182" i="6"/>
  <c r="A182" i="6"/>
  <c r="B181" i="6"/>
  <c r="A181" i="6"/>
  <c r="B180" i="6"/>
  <c r="A180" i="6"/>
  <c r="B179" i="6"/>
  <c r="A179" i="6"/>
  <c r="B178" i="6"/>
  <c r="A178" i="6"/>
  <c r="B177" i="6"/>
  <c r="A177" i="6"/>
  <c r="B176" i="6"/>
  <c r="A176" i="6"/>
  <c r="B175" i="6"/>
  <c r="A175" i="6"/>
  <c r="B174" i="6"/>
  <c r="A174" i="6"/>
  <c r="B173" i="6"/>
  <c r="A173" i="6"/>
  <c r="B172" i="6"/>
  <c r="A172" i="6"/>
  <c r="B171" i="6"/>
  <c r="A171" i="6"/>
  <c r="B170" i="6"/>
  <c r="A170" i="6"/>
  <c r="B169" i="6"/>
  <c r="A169" i="6"/>
  <c r="B168" i="6"/>
  <c r="A168" i="6"/>
  <c r="B167" i="6"/>
  <c r="A167" i="6"/>
  <c r="B166" i="6"/>
  <c r="A166" i="6"/>
  <c r="B165" i="6"/>
  <c r="A165" i="6"/>
  <c r="B164" i="6"/>
  <c r="A164" i="6"/>
  <c r="B163" i="6"/>
  <c r="A163" i="6"/>
  <c r="B162" i="6"/>
  <c r="A162" i="6"/>
  <c r="B161" i="6"/>
  <c r="A161" i="6"/>
  <c r="B160" i="6"/>
  <c r="A160" i="6"/>
  <c r="B159" i="6"/>
  <c r="A159" i="6"/>
  <c r="B158" i="6"/>
  <c r="A158" i="6"/>
  <c r="B157" i="6"/>
  <c r="A157" i="6"/>
  <c r="B156" i="6"/>
  <c r="A156" i="6"/>
  <c r="B155" i="6"/>
  <c r="A155" i="6"/>
  <c r="B154" i="6"/>
  <c r="A154" i="6"/>
  <c r="B153" i="6"/>
  <c r="A153" i="6"/>
  <c r="B152" i="6"/>
  <c r="A152" i="6"/>
  <c r="B151" i="6"/>
  <c r="A151" i="6"/>
  <c r="B150" i="6"/>
  <c r="A150" i="6"/>
  <c r="B149" i="6"/>
  <c r="A149" i="6"/>
  <c r="B148" i="6"/>
  <c r="A148" i="6"/>
  <c r="B147" i="6"/>
  <c r="A147" i="6"/>
  <c r="B146" i="6"/>
  <c r="A146" i="6"/>
  <c r="B145" i="6"/>
  <c r="A145" i="6"/>
  <c r="B144" i="6"/>
  <c r="A144" i="6"/>
  <c r="B143" i="6"/>
  <c r="A143" i="6"/>
  <c r="B142" i="6"/>
  <c r="A142" i="6"/>
  <c r="B141" i="6"/>
  <c r="A141" i="6"/>
  <c r="B140" i="6"/>
  <c r="A140" i="6"/>
  <c r="B139" i="6"/>
  <c r="A139" i="6"/>
  <c r="B138" i="6"/>
  <c r="A138" i="6"/>
  <c r="B137" i="6"/>
  <c r="A137" i="6"/>
  <c r="B136" i="6"/>
  <c r="A136" i="6"/>
  <c r="B135" i="6"/>
  <c r="A135" i="6"/>
  <c r="B134" i="6"/>
  <c r="A134" i="6"/>
  <c r="B133" i="6"/>
  <c r="A133" i="6"/>
  <c r="B132" i="6"/>
  <c r="A132" i="6"/>
  <c r="B131" i="6"/>
  <c r="A131" i="6"/>
  <c r="B130" i="6"/>
  <c r="A130" i="6"/>
  <c r="B129" i="6"/>
  <c r="A129" i="6"/>
  <c r="B128" i="6"/>
  <c r="A128" i="6"/>
  <c r="B127" i="6"/>
  <c r="A127" i="6"/>
  <c r="B126" i="6"/>
  <c r="A126" i="6"/>
  <c r="B125" i="6"/>
  <c r="A125" i="6"/>
  <c r="B124" i="6"/>
  <c r="A124" i="6"/>
  <c r="B123" i="6"/>
  <c r="A123" i="6"/>
  <c r="B122" i="6"/>
  <c r="A122" i="6"/>
  <c r="B121" i="6"/>
  <c r="A121" i="6"/>
  <c r="B120" i="6"/>
  <c r="A120" i="6"/>
  <c r="B119" i="6"/>
  <c r="A119" i="6"/>
  <c r="B118" i="6"/>
  <c r="A118" i="6"/>
  <c r="B117" i="6"/>
  <c r="A117" i="6"/>
  <c r="B116" i="6"/>
  <c r="A116" i="6"/>
  <c r="B115" i="6"/>
  <c r="A115" i="6"/>
  <c r="B114" i="6"/>
  <c r="A114" i="6"/>
  <c r="B113" i="6"/>
  <c r="A113" i="6"/>
  <c r="B112" i="6"/>
  <c r="A112" i="6"/>
  <c r="B111" i="6"/>
  <c r="A111" i="6"/>
  <c r="B110" i="6"/>
  <c r="A110" i="6"/>
  <c r="B109" i="6"/>
  <c r="A109" i="6"/>
  <c r="B108" i="6"/>
  <c r="A108" i="6"/>
  <c r="B107" i="6"/>
  <c r="A107" i="6"/>
  <c r="B106" i="6"/>
  <c r="A106" i="6"/>
  <c r="B105" i="6"/>
  <c r="A105" i="6"/>
  <c r="B104" i="6"/>
  <c r="A104" i="6"/>
  <c r="B103" i="6"/>
  <c r="A103" i="6"/>
  <c r="B102" i="6"/>
  <c r="A102" i="6"/>
  <c r="B101" i="6"/>
  <c r="A101" i="6"/>
  <c r="B100" i="6"/>
  <c r="A100" i="6"/>
  <c r="B99" i="6"/>
  <c r="A99" i="6"/>
  <c r="B98" i="6"/>
  <c r="A98" i="6"/>
  <c r="B97" i="6"/>
  <c r="A97" i="6"/>
  <c r="B96" i="6"/>
  <c r="A96" i="6"/>
  <c r="B95" i="6"/>
  <c r="A95" i="6"/>
  <c r="B94" i="6"/>
  <c r="A94" i="6"/>
  <c r="B93" i="6"/>
  <c r="A93" i="6"/>
  <c r="B92" i="6"/>
  <c r="A92" i="6"/>
  <c r="B91" i="6"/>
  <c r="A91" i="6"/>
  <c r="B90" i="6"/>
  <c r="A90" i="6"/>
  <c r="B89" i="6"/>
  <c r="A89" i="6"/>
  <c r="B88" i="6"/>
  <c r="A88" i="6"/>
  <c r="B87" i="6"/>
  <c r="A87" i="6"/>
  <c r="B86" i="6"/>
  <c r="A86" i="6"/>
  <c r="B85" i="6"/>
  <c r="A85" i="6"/>
  <c r="B84" i="6"/>
  <c r="A84" i="6"/>
  <c r="B83" i="6"/>
  <c r="A83" i="6"/>
  <c r="B82" i="6"/>
  <c r="A82" i="6"/>
  <c r="B81" i="6"/>
  <c r="A81" i="6"/>
  <c r="B80" i="6"/>
  <c r="A80" i="6"/>
  <c r="B79" i="6"/>
  <c r="A79" i="6"/>
  <c r="B78" i="6"/>
  <c r="A78" i="6"/>
  <c r="B77" i="6"/>
  <c r="A77" i="6"/>
  <c r="B76" i="6"/>
  <c r="A76" i="6"/>
  <c r="B75" i="6"/>
  <c r="A75" i="6"/>
  <c r="B74" i="6"/>
  <c r="A74" i="6"/>
  <c r="B73" i="6"/>
  <c r="A73" i="6"/>
  <c r="B72" i="6"/>
  <c r="A72" i="6"/>
  <c r="B71" i="6"/>
  <c r="A71" i="6"/>
  <c r="B70" i="6"/>
  <c r="A70" i="6"/>
  <c r="B69" i="6"/>
  <c r="A69" i="6"/>
  <c r="B68" i="6"/>
  <c r="A68" i="6"/>
  <c r="B67" i="6"/>
  <c r="A67" i="6"/>
  <c r="B66" i="6"/>
  <c r="A66" i="6"/>
  <c r="B65" i="6"/>
  <c r="A65" i="6"/>
  <c r="B64" i="6"/>
  <c r="A64" i="6"/>
  <c r="B63" i="6"/>
  <c r="A63" i="6"/>
  <c r="B62" i="6"/>
  <c r="A62" i="6"/>
  <c r="B61" i="6"/>
  <c r="A61" i="6"/>
  <c r="B60" i="6"/>
  <c r="A60" i="6"/>
  <c r="B59" i="6"/>
  <c r="A59" i="6"/>
  <c r="B58" i="6"/>
  <c r="A58" i="6"/>
  <c r="B57" i="6"/>
  <c r="A57" i="6"/>
  <c r="B56" i="6"/>
  <c r="A56" i="6"/>
  <c r="B55" i="6"/>
  <c r="A55" i="6"/>
  <c r="B54" i="6"/>
  <c r="A54" i="6"/>
  <c r="B53" i="6"/>
  <c r="A53" i="6"/>
  <c r="B52" i="6"/>
  <c r="A52" i="6"/>
  <c r="B51" i="6"/>
  <c r="A51" i="6"/>
  <c r="B50" i="6"/>
  <c r="A50" i="6"/>
  <c r="B49" i="6"/>
  <c r="A49" i="6"/>
  <c r="B48" i="6"/>
  <c r="A48" i="6"/>
  <c r="B47" i="6"/>
  <c r="A47" i="6"/>
  <c r="B46" i="6"/>
  <c r="A46" i="6"/>
  <c r="B45" i="6"/>
  <c r="A45" i="6"/>
  <c r="B44" i="6"/>
  <c r="A44" i="6"/>
  <c r="B43" i="6"/>
  <c r="A43" i="6"/>
  <c r="B42" i="6"/>
  <c r="A42" i="6"/>
  <c r="B41" i="6"/>
  <c r="A41" i="6"/>
  <c r="B40" i="6"/>
  <c r="A40" i="6"/>
  <c r="B39" i="6"/>
  <c r="A39" i="6"/>
  <c r="B38" i="6"/>
  <c r="A38" i="6"/>
  <c r="B37" i="6"/>
  <c r="A37" i="6"/>
  <c r="B36" i="6"/>
  <c r="A36" i="6"/>
  <c r="B35" i="6"/>
  <c r="A35" i="6"/>
  <c r="B34" i="6"/>
  <c r="A34" i="6"/>
  <c r="B33" i="6"/>
  <c r="A33" i="6"/>
  <c r="B32" i="6"/>
  <c r="A32" i="6"/>
  <c r="B31" i="6"/>
  <c r="A31" i="6"/>
  <c r="B30" i="6"/>
  <c r="A30" i="6"/>
  <c r="B29" i="6"/>
  <c r="A29" i="6"/>
  <c r="B28" i="6"/>
  <c r="A28" i="6"/>
  <c r="B27" i="6"/>
  <c r="A27" i="6"/>
  <c r="B26" i="6"/>
  <c r="A26" i="6"/>
  <c r="B25" i="6"/>
  <c r="A25" i="6"/>
  <c r="B24" i="6"/>
  <c r="A24" i="6"/>
  <c r="B23" i="6"/>
  <c r="A23" i="6"/>
  <c r="B22" i="6"/>
  <c r="A22" i="6"/>
  <c r="B21" i="6"/>
  <c r="A21" i="6"/>
  <c r="B20" i="6"/>
  <c r="A20" i="6"/>
  <c r="B19" i="6"/>
  <c r="A19" i="6"/>
  <c r="B18" i="6"/>
  <c r="A18" i="6"/>
  <c r="B17" i="6"/>
  <c r="A17" i="6"/>
  <c r="B16" i="6"/>
  <c r="A16" i="6"/>
  <c r="B15" i="6"/>
  <c r="A15" i="6"/>
  <c r="B14" i="6"/>
  <c r="A14" i="6"/>
  <c r="B13" i="6"/>
  <c r="A13" i="6"/>
  <c r="B12" i="6"/>
  <c r="A12" i="6"/>
  <c r="B11" i="6"/>
  <c r="A11" i="6"/>
  <c r="B10" i="6"/>
  <c r="A10" i="6"/>
  <c r="B9" i="6"/>
  <c r="A9" i="6"/>
  <c r="B8" i="6"/>
  <c r="A8" i="6"/>
  <c r="B7" i="6"/>
  <c r="A7" i="6"/>
  <c r="B6" i="6"/>
  <c r="A6" i="6"/>
  <c r="B5" i="6"/>
  <c r="A5" i="6"/>
  <c r="B4" i="6"/>
  <c r="A4" i="6"/>
  <c r="B3" i="6"/>
  <c r="A3" i="6"/>
  <c r="B2" i="6"/>
  <c r="A2" i="6"/>
  <c r="R1001" i="6"/>
  <c r="Q1001" i="6"/>
  <c r="R1000" i="6"/>
  <c r="Q1000" i="6"/>
  <c r="R999" i="6"/>
  <c r="Q999" i="6"/>
  <c r="R998" i="6"/>
  <c r="Q998" i="6"/>
  <c r="R997" i="6"/>
  <c r="Q997" i="6"/>
  <c r="R996" i="6"/>
  <c r="Q996" i="6"/>
  <c r="R995" i="6"/>
  <c r="Q995" i="6"/>
  <c r="R994" i="6"/>
  <c r="Q994" i="6"/>
  <c r="R993" i="6"/>
  <c r="Q993" i="6"/>
  <c r="R992" i="6"/>
  <c r="Q992" i="6"/>
  <c r="R991" i="6"/>
  <c r="Q991" i="6"/>
  <c r="R990" i="6"/>
  <c r="Q990" i="6"/>
  <c r="R989" i="6"/>
  <c r="Q989" i="6"/>
  <c r="R988" i="6"/>
  <c r="Q988" i="6"/>
  <c r="R987" i="6"/>
  <c r="Q987" i="6"/>
  <c r="R986" i="6"/>
  <c r="Q986" i="6"/>
  <c r="R985" i="6"/>
  <c r="Q985" i="6"/>
  <c r="R984" i="6"/>
  <c r="Q984" i="6"/>
  <c r="R983" i="6"/>
  <c r="Q983" i="6"/>
  <c r="R982" i="6"/>
  <c r="Q982" i="6"/>
  <c r="R981" i="6"/>
  <c r="Q981" i="6"/>
  <c r="R980" i="6"/>
  <c r="Q980" i="6"/>
  <c r="R979" i="6"/>
  <c r="Q979" i="6"/>
  <c r="R978" i="6"/>
  <c r="Q978" i="6"/>
  <c r="R977" i="6"/>
  <c r="Q977" i="6"/>
  <c r="R976" i="6"/>
  <c r="Q976" i="6"/>
  <c r="R975" i="6"/>
  <c r="Q975" i="6"/>
  <c r="R974" i="6"/>
  <c r="Q974" i="6"/>
  <c r="R973" i="6"/>
  <c r="Q973" i="6"/>
  <c r="R972" i="6"/>
  <c r="Q972" i="6"/>
  <c r="R971" i="6"/>
  <c r="Q971" i="6"/>
  <c r="R970" i="6"/>
  <c r="Q970" i="6"/>
  <c r="R969" i="6"/>
  <c r="Q969" i="6"/>
  <c r="R968" i="6"/>
  <c r="Q968" i="6"/>
  <c r="R967" i="6"/>
  <c r="Q967" i="6"/>
  <c r="R966" i="6"/>
  <c r="Q966" i="6"/>
  <c r="R965" i="6"/>
  <c r="Q965" i="6"/>
  <c r="R964" i="6"/>
  <c r="Q964" i="6"/>
  <c r="R963" i="6"/>
  <c r="Q963" i="6"/>
  <c r="R962" i="6"/>
  <c r="Q962" i="6"/>
  <c r="R961" i="6"/>
  <c r="Q961" i="6"/>
  <c r="R960" i="6"/>
  <c r="Q960" i="6"/>
  <c r="R959" i="6"/>
  <c r="Q959" i="6"/>
  <c r="R958" i="6"/>
  <c r="Q958" i="6"/>
  <c r="R957" i="6"/>
  <c r="Q957" i="6"/>
  <c r="R956" i="6"/>
  <c r="Q956" i="6"/>
  <c r="R955" i="6"/>
  <c r="Q955" i="6"/>
  <c r="R954" i="6"/>
  <c r="Q954" i="6"/>
  <c r="R953" i="6"/>
  <c r="Q953" i="6"/>
  <c r="R952" i="6"/>
  <c r="Q952" i="6"/>
  <c r="R951" i="6"/>
  <c r="Q951" i="6"/>
  <c r="R950" i="6"/>
  <c r="Q950" i="6"/>
  <c r="R949" i="6"/>
  <c r="Q949" i="6"/>
  <c r="R948" i="6"/>
  <c r="Q948" i="6"/>
  <c r="R947" i="6"/>
  <c r="Q947" i="6"/>
  <c r="R946" i="6"/>
  <c r="Q946" i="6"/>
  <c r="R945" i="6"/>
  <c r="Q945" i="6"/>
  <c r="R944" i="6"/>
  <c r="Q944" i="6"/>
  <c r="R943" i="6"/>
  <c r="Q943" i="6"/>
  <c r="R942" i="6"/>
  <c r="Q942" i="6"/>
  <c r="R941" i="6"/>
  <c r="Q941" i="6"/>
  <c r="R940" i="6"/>
  <c r="Q940" i="6"/>
  <c r="R939" i="6"/>
  <c r="Q939" i="6"/>
  <c r="R938" i="6"/>
  <c r="Q938" i="6"/>
  <c r="R937" i="6"/>
  <c r="Q937" i="6"/>
  <c r="R936" i="6"/>
  <c r="Q936" i="6"/>
  <c r="R935" i="6"/>
  <c r="Q935" i="6"/>
  <c r="R934" i="6"/>
  <c r="Q934" i="6"/>
  <c r="R933" i="6"/>
  <c r="Q933" i="6"/>
  <c r="R932" i="6"/>
  <c r="Q932" i="6"/>
  <c r="R931" i="6"/>
  <c r="Q931" i="6"/>
  <c r="R930" i="6"/>
  <c r="Q930" i="6"/>
  <c r="R929" i="6"/>
  <c r="Q929" i="6"/>
  <c r="R928" i="6"/>
  <c r="Q928" i="6"/>
  <c r="R927" i="6"/>
  <c r="Q927" i="6"/>
  <c r="R926" i="6"/>
  <c r="Q926" i="6"/>
  <c r="R925" i="6"/>
  <c r="Q925" i="6"/>
  <c r="R924" i="6"/>
  <c r="Q924" i="6"/>
  <c r="R923" i="6"/>
  <c r="Q923" i="6"/>
  <c r="R922" i="6"/>
  <c r="Q922" i="6"/>
  <c r="R921" i="6"/>
  <c r="Q921" i="6"/>
  <c r="R920" i="6"/>
  <c r="Q920" i="6"/>
  <c r="R919" i="6"/>
  <c r="Q919" i="6"/>
  <c r="R918" i="6"/>
  <c r="Q918" i="6"/>
  <c r="R917" i="6"/>
  <c r="Q917" i="6"/>
  <c r="R916" i="6"/>
  <c r="Q916" i="6"/>
  <c r="R915" i="6"/>
  <c r="Q915" i="6"/>
  <c r="R914" i="6"/>
  <c r="Q914" i="6"/>
  <c r="R913" i="6"/>
  <c r="Q913" i="6"/>
  <c r="R912" i="6"/>
  <c r="Q912" i="6"/>
  <c r="R911" i="6"/>
  <c r="Q911" i="6"/>
  <c r="R910" i="6"/>
  <c r="Q910" i="6"/>
  <c r="R909" i="6"/>
  <c r="Q909" i="6"/>
  <c r="R908" i="6"/>
  <c r="Q908" i="6"/>
  <c r="R907" i="6"/>
  <c r="Q907" i="6"/>
  <c r="R906" i="6"/>
  <c r="Q906" i="6"/>
  <c r="R905" i="6"/>
  <c r="Q905" i="6"/>
  <c r="R904" i="6"/>
  <c r="Q904" i="6"/>
  <c r="R903" i="6"/>
  <c r="Q903" i="6"/>
  <c r="R902" i="6"/>
  <c r="Q902" i="6"/>
  <c r="R901" i="6"/>
  <c r="Q901" i="6"/>
  <c r="R900" i="6"/>
  <c r="Q900" i="6"/>
  <c r="R899" i="6"/>
  <c r="Q899" i="6"/>
  <c r="R898" i="6"/>
  <c r="Q898" i="6"/>
  <c r="R897" i="6"/>
  <c r="Q897" i="6"/>
  <c r="R896" i="6"/>
  <c r="Q896" i="6"/>
  <c r="R895" i="6"/>
  <c r="Q895" i="6"/>
  <c r="R894" i="6"/>
  <c r="Q894" i="6"/>
  <c r="R893" i="6"/>
  <c r="Q893" i="6"/>
  <c r="R892" i="6"/>
  <c r="Q892" i="6"/>
  <c r="R891" i="6"/>
  <c r="Q891" i="6"/>
  <c r="R890" i="6"/>
  <c r="Q890" i="6"/>
  <c r="R889" i="6"/>
  <c r="Q889" i="6"/>
  <c r="R888" i="6"/>
  <c r="Q888" i="6"/>
  <c r="R887" i="6"/>
  <c r="Q887" i="6"/>
  <c r="R886" i="6"/>
  <c r="Q886" i="6"/>
  <c r="R885" i="6"/>
  <c r="Q885" i="6"/>
  <c r="R884" i="6"/>
  <c r="Q884" i="6"/>
  <c r="R883" i="6"/>
  <c r="Q883" i="6"/>
  <c r="R882" i="6"/>
  <c r="Q882" i="6"/>
  <c r="R881" i="6"/>
  <c r="Q881" i="6"/>
  <c r="R880" i="6"/>
  <c r="Q880" i="6"/>
  <c r="R879" i="6"/>
  <c r="Q879" i="6"/>
  <c r="R878" i="6"/>
  <c r="Q878" i="6"/>
  <c r="R877" i="6"/>
  <c r="Q877" i="6"/>
  <c r="R876" i="6"/>
  <c r="Q876" i="6"/>
  <c r="R875" i="6"/>
  <c r="Q875" i="6"/>
  <c r="R874" i="6"/>
  <c r="Q874" i="6"/>
  <c r="R873" i="6"/>
  <c r="Q873" i="6"/>
  <c r="R872" i="6"/>
  <c r="Q872" i="6"/>
  <c r="R871" i="6"/>
  <c r="Q871" i="6"/>
  <c r="R870" i="6"/>
  <c r="Q870" i="6"/>
  <c r="R869" i="6"/>
  <c r="Q869" i="6"/>
  <c r="R868" i="6"/>
  <c r="Q868" i="6"/>
  <c r="R867" i="6"/>
  <c r="Q867" i="6"/>
  <c r="R866" i="6"/>
  <c r="Q866" i="6"/>
  <c r="R865" i="6"/>
  <c r="Q865" i="6"/>
  <c r="R864" i="6"/>
  <c r="Q864" i="6"/>
  <c r="R863" i="6"/>
  <c r="Q863" i="6"/>
  <c r="R862" i="6"/>
  <c r="Q862" i="6"/>
  <c r="R861" i="6"/>
  <c r="Q861" i="6"/>
  <c r="R860" i="6"/>
  <c r="Q860" i="6"/>
  <c r="R859" i="6"/>
  <c r="Q859" i="6"/>
  <c r="R858" i="6"/>
  <c r="Q858" i="6"/>
  <c r="R857" i="6"/>
  <c r="Q857" i="6"/>
  <c r="R856" i="6"/>
  <c r="Q856" i="6"/>
  <c r="R855" i="6"/>
  <c r="Q855" i="6"/>
  <c r="R854" i="6"/>
  <c r="Q854" i="6"/>
  <c r="R853" i="6"/>
  <c r="Q853" i="6"/>
  <c r="R852" i="6"/>
  <c r="Q852" i="6"/>
  <c r="R851" i="6"/>
  <c r="Q851" i="6"/>
  <c r="R850" i="6"/>
  <c r="Q850" i="6"/>
  <c r="R849" i="6"/>
  <c r="Q849" i="6"/>
  <c r="R848" i="6"/>
  <c r="Q848" i="6"/>
  <c r="R847" i="6"/>
  <c r="Q847" i="6"/>
  <c r="R846" i="6"/>
  <c r="Q846" i="6"/>
  <c r="R845" i="6"/>
  <c r="Q845" i="6"/>
  <c r="R844" i="6"/>
  <c r="Q844" i="6"/>
  <c r="R843" i="6"/>
  <c r="Q843" i="6"/>
  <c r="R842" i="6"/>
  <c r="Q842" i="6"/>
  <c r="R841" i="6"/>
  <c r="Q841" i="6"/>
  <c r="R840" i="6"/>
  <c r="Q840" i="6"/>
  <c r="R839" i="6"/>
  <c r="Q839" i="6"/>
  <c r="R838" i="6"/>
  <c r="Q838" i="6"/>
  <c r="R837" i="6"/>
  <c r="Q837" i="6"/>
  <c r="R836" i="6"/>
  <c r="Q836" i="6"/>
  <c r="R835" i="6"/>
  <c r="Q835" i="6"/>
  <c r="R834" i="6"/>
  <c r="Q834" i="6"/>
  <c r="R833" i="6"/>
  <c r="Q833" i="6"/>
  <c r="R832" i="6"/>
  <c r="Q832" i="6"/>
  <c r="R831" i="6"/>
  <c r="Q831" i="6"/>
  <c r="R830" i="6"/>
  <c r="Q830" i="6"/>
  <c r="R829" i="6"/>
  <c r="Q829" i="6"/>
  <c r="R828" i="6"/>
  <c r="Q828" i="6"/>
  <c r="R827" i="6"/>
  <c r="Q827" i="6"/>
  <c r="R826" i="6"/>
  <c r="Q826" i="6"/>
  <c r="R825" i="6"/>
  <c r="Q825" i="6"/>
  <c r="R824" i="6"/>
  <c r="Q824" i="6"/>
  <c r="R823" i="6"/>
  <c r="Q823" i="6"/>
  <c r="R822" i="6"/>
  <c r="Q822" i="6"/>
  <c r="R821" i="6"/>
  <c r="Q821" i="6"/>
  <c r="R820" i="6"/>
  <c r="Q820" i="6"/>
  <c r="R819" i="6"/>
  <c r="Q819" i="6"/>
  <c r="R818" i="6"/>
  <c r="Q818" i="6"/>
  <c r="R817" i="6"/>
  <c r="Q817" i="6"/>
  <c r="R816" i="6"/>
  <c r="Q816" i="6"/>
  <c r="R815" i="6"/>
  <c r="Q815" i="6"/>
  <c r="R814" i="6"/>
  <c r="Q814" i="6"/>
  <c r="R813" i="6"/>
  <c r="Q813" i="6"/>
  <c r="R812" i="6"/>
  <c r="Q812" i="6"/>
  <c r="R811" i="6"/>
  <c r="Q811" i="6"/>
  <c r="R810" i="6"/>
  <c r="Q810" i="6"/>
  <c r="R809" i="6"/>
  <c r="Q809" i="6"/>
  <c r="R808" i="6"/>
  <c r="Q808" i="6"/>
  <c r="R807" i="6"/>
  <c r="Q807" i="6"/>
  <c r="R806" i="6"/>
  <c r="Q806" i="6"/>
  <c r="R805" i="6"/>
  <c r="Q805" i="6"/>
  <c r="R804" i="6"/>
  <c r="Q804" i="6"/>
  <c r="R803" i="6"/>
  <c r="Q803" i="6"/>
  <c r="R802" i="6"/>
  <c r="Q802" i="6"/>
  <c r="R801" i="6"/>
  <c r="Q801" i="6"/>
  <c r="R800" i="6"/>
  <c r="Q800" i="6"/>
  <c r="R799" i="6"/>
  <c r="Q799" i="6"/>
  <c r="R798" i="6"/>
  <c r="Q798" i="6"/>
  <c r="R797" i="6"/>
  <c r="Q797" i="6"/>
  <c r="R796" i="6"/>
  <c r="Q796" i="6"/>
  <c r="R795" i="6"/>
  <c r="Q795" i="6"/>
  <c r="R794" i="6"/>
  <c r="Q794" i="6"/>
  <c r="R793" i="6"/>
  <c r="Q793" i="6"/>
  <c r="R792" i="6"/>
  <c r="Q792" i="6"/>
  <c r="R791" i="6"/>
  <c r="Q791" i="6"/>
  <c r="R790" i="6"/>
  <c r="Q790" i="6"/>
  <c r="R789" i="6"/>
  <c r="Q789" i="6"/>
  <c r="R788" i="6"/>
  <c r="Q788" i="6"/>
  <c r="R787" i="6"/>
  <c r="Q787" i="6"/>
  <c r="R786" i="6"/>
  <c r="Q786" i="6"/>
  <c r="R785" i="6"/>
  <c r="Q785" i="6"/>
  <c r="R784" i="6"/>
  <c r="Q784" i="6"/>
  <c r="R783" i="6"/>
  <c r="Q783" i="6"/>
  <c r="R782" i="6"/>
  <c r="Q782" i="6"/>
  <c r="R781" i="6"/>
  <c r="Q781" i="6"/>
  <c r="R780" i="6"/>
  <c r="Q780" i="6"/>
  <c r="R779" i="6"/>
  <c r="Q779" i="6"/>
  <c r="R778" i="6"/>
  <c r="Q778" i="6"/>
  <c r="R777" i="6"/>
  <c r="Q777" i="6"/>
  <c r="R776" i="6"/>
  <c r="Q776" i="6"/>
  <c r="R775" i="6"/>
  <c r="Q775" i="6"/>
  <c r="R774" i="6"/>
  <c r="Q774" i="6"/>
  <c r="R773" i="6"/>
  <c r="Q773" i="6"/>
  <c r="R772" i="6"/>
  <c r="Q772" i="6"/>
  <c r="R771" i="6"/>
  <c r="Q771" i="6"/>
  <c r="R770" i="6"/>
  <c r="Q770" i="6"/>
  <c r="R769" i="6"/>
  <c r="Q769" i="6"/>
  <c r="R768" i="6"/>
  <c r="Q768" i="6"/>
  <c r="R767" i="6"/>
  <c r="Q767" i="6"/>
  <c r="R766" i="6"/>
  <c r="Q766" i="6"/>
  <c r="R765" i="6"/>
  <c r="Q765" i="6"/>
  <c r="R764" i="6"/>
  <c r="Q764" i="6"/>
  <c r="R763" i="6"/>
  <c r="Q763" i="6"/>
  <c r="R762" i="6"/>
  <c r="Q762" i="6"/>
  <c r="R761" i="6"/>
  <c r="Q761" i="6"/>
  <c r="R760" i="6"/>
  <c r="Q760" i="6"/>
  <c r="R759" i="6"/>
  <c r="Q759" i="6"/>
  <c r="R758" i="6"/>
  <c r="Q758" i="6"/>
  <c r="R757" i="6"/>
  <c r="Q757" i="6"/>
  <c r="R756" i="6"/>
  <c r="Q756" i="6"/>
  <c r="R755" i="6"/>
  <c r="Q755" i="6"/>
  <c r="R754" i="6"/>
  <c r="Q754" i="6"/>
  <c r="R753" i="6"/>
  <c r="Q753" i="6"/>
  <c r="R752" i="6"/>
  <c r="Q752" i="6"/>
  <c r="R751" i="6"/>
  <c r="Q751" i="6"/>
  <c r="R750" i="6"/>
  <c r="Q750" i="6"/>
  <c r="R749" i="6"/>
  <c r="Q749" i="6"/>
  <c r="R748" i="6"/>
  <c r="Q748" i="6"/>
  <c r="R747" i="6"/>
  <c r="Q747" i="6"/>
  <c r="R746" i="6"/>
  <c r="Q746" i="6"/>
  <c r="R745" i="6"/>
  <c r="Q745" i="6"/>
  <c r="R744" i="6"/>
  <c r="Q744" i="6"/>
  <c r="R743" i="6"/>
  <c r="Q743" i="6"/>
  <c r="R742" i="6"/>
  <c r="Q742" i="6"/>
  <c r="R741" i="6"/>
  <c r="Q741" i="6"/>
  <c r="R740" i="6"/>
  <c r="Q740" i="6"/>
  <c r="R739" i="6"/>
  <c r="Q739" i="6"/>
  <c r="R738" i="6"/>
  <c r="Q738" i="6"/>
  <c r="R737" i="6"/>
  <c r="Q737" i="6"/>
  <c r="R736" i="6"/>
  <c r="Q736" i="6"/>
  <c r="R735" i="6"/>
  <c r="Q735" i="6"/>
  <c r="R734" i="6"/>
  <c r="Q734" i="6"/>
  <c r="R733" i="6"/>
  <c r="Q733" i="6"/>
  <c r="R732" i="6"/>
  <c r="Q732" i="6"/>
  <c r="R731" i="6"/>
  <c r="Q731" i="6"/>
  <c r="R730" i="6"/>
  <c r="Q730" i="6"/>
  <c r="R729" i="6"/>
  <c r="Q729" i="6"/>
  <c r="R728" i="6"/>
  <c r="Q728" i="6"/>
  <c r="R727" i="6"/>
  <c r="Q727" i="6"/>
  <c r="R726" i="6"/>
  <c r="Q726" i="6"/>
  <c r="R725" i="6"/>
  <c r="Q725" i="6"/>
  <c r="R724" i="6"/>
  <c r="Q724" i="6"/>
  <c r="R723" i="6"/>
  <c r="Q723" i="6"/>
  <c r="R722" i="6"/>
  <c r="Q722" i="6"/>
  <c r="R721" i="6"/>
  <c r="Q721" i="6"/>
  <c r="R720" i="6"/>
  <c r="Q720" i="6"/>
  <c r="R719" i="6"/>
  <c r="Q719" i="6"/>
  <c r="R718" i="6"/>
  <c r="Q718" i="6"/>
  <c r="R717" i="6"/>
  <c r="Q717" i="6"/>
  <c r="R716" i="6"/>
  <c r="Q716" i="6"/>
  <c r="R715" i="6"/>
  <c r="Q715" i="6"/>
  <c r="R714" i="6"/>
  <c r="Q714" i="6"/>
  <c r="R713" i="6"/>
  <c r="Q713" i="6"/>
  <c r="R712" i="6"/>
  <c r="Q712" i="6"/>
  <c r="R711" i="6"/>
  <c r="Q711" i="6"/>
  <c r="R710" i="6"/>
  <c r="Q710" i="6"/>
  <c r="R709" i="6"/>
  <c r="Q709" i="6"/>
  <c r="R708" i="6"/>
  <c r="Q708" i="6"/>
  <c r="R707" i="6"/>
  <c r="Q707" i="6"/>
  <c r="R706" i="6"/>
  <c r="Q706" i="6"/>
  <c r="R705" i="6"/>
  <c r="Q705" i="6"/>
  <c r="R704" i="6"/>
  <c r="Q704" i="6"/>
  <c r="R703" i="6"/>
  <c r="Q703" i="6"/>
  <c r="R702" i="6"/>
  <c r="Q702" i="6"/>
  <c r="R701" i="6"/>
  <c r="Q701" i="6"/>
  <c r="R700" i="6"/>
  <c r="Q700" i="6"/>
  <c r="R699" i="6"/>
  <c r="Q699" i="6"/>
  <c r="R698" i="6"/>
  <c r="Q698" i="6"/>
  <c r="R697" i="6"/>
  <c r="Q697" i="6"/>
  <c r="R696" i="6"/>
  <c r="Q696" i="6"/>
  <c r="R695" i="6"/>
  <c r="Q695" i="6"/>
  <c r="R694" i="6"/>
  <c r="Q694" i="6"/>
  <c r="R693" i="6"/>
  <c r="Q693" i="6"/>
  <c r="R692" i="6"/>
  <c r="Q692" i="6"/>
  <c r="R691" i="6"/>
  <c r="Q691" i="6"/>
  <c r="R690" i="6"/>
  <c r="Q690" i="6"/>
  <c r="R689" i="6"/>
  <c r="Q689" i="6"/>
  <c r="R688" i="6"/>
  <c r="Q688" i="6"/>
  <c r="R687" i="6"/>
  <c r="Q687" i="6"/>
  <c r="R686" i="6"/>
  <c r="Q686" i="6"/>
  <c r="R685" i="6"/>
  <c r="Q685" i="6"/>
  <c r="R684" i="6"/>
  <c r="Q684" i="6"/>
  <c r="R683" i="6"/>
  <c r="Q683" i="6"/>
  <c r="R682" i="6"/>
  <c r="Q682" i="6"/>
  <c r="R681" i="6"/>
  <c r="Q681" i="6"/>
  <c r="R680" i="6"/>
  <c r="Q680" i="6"/>
  <c r="R679" i="6"/>
  <c r="Q679" i="6"/>
  <c r="R678" i="6"/>
  <c r="Q678" i="6"/>
  <c r="R677" i="6"/>
  <c r="Q677" i="6"/>
  <c r="R676" i="6"/>
  <c r="Q676" i="6"/>
  <c r="R675" i="6"/>
  <c r="Q675" i="6"/>
  <c r="R674" i="6"/>
  <c r="Q674" i="6"/>
  <c r="R673" i="6"/>
  <c r="Q673" i="6"/>
  <c r="R672" i="6"/>
  <c r="Q672" i="6"/>
  <c r="R671" i="6"/>
  <c r="Q671" i="6"/>
  <c r="R670" i="6"/>
  <c r="Q670" i="6"/>
  <c r="R669" i="6"/>
  <c r="Q669" i="6"/>
  <c r="R668" i="6"/>
  <c r="Q668" i="6"/>
  <c r="R667" i="6"/>
  <c r="Q667" i="6"/>
  <c r="R666" i="6"/>
  <c r="Q666" i="6"/>
  <c r="R665" i="6"/>
  <c r="Q665" i="6"/>
  <c r="R664" i="6"/>
  <c r="Q664" i="6"/>
  <c r="R663" i="6"/>
  <c r="Q663" i="6"/>
  <c r="R662" i="6"/>
  <c r="Q662" i="6"/>
  <c r="R661" i="6"/>
  <c r="Q661" i="6"/>
  <c r="R660" i="6"/>
  <c r="Q660" i="6"/>
  <c r="R659" i="6"/>
  <c r="Q659" i="6"/>
  <c r="R658" i="6"/>
  <c r="Q658" i="6"/>
  <c r="R657" i="6"/>
  <c r="Q657" i="6"/>
  <c r="R656" i="6"/>
  <c r="Q656" i="6"/>
  <c r="R655" i="6"/>
  <c r="Q655" i="6"/>
  <c r="R654" i="6"/>
  <c r="Q654" i="6"/>
  <c r="R653" i="6"/>
  <c r="Q653" i="6"/>
  <c r="R652" i="6"/>
  <c r="Q652" i="6"/>
  <c r="R651" i="6"/>
  <c r="Q651" i="6"/>
  <c r="R650" i="6"/>
  <c r="Q650" i="6"/>
  <c r="R649" i="6"/>
  <c r="Q649" i="6"/>
  <c r="R648" i="6"/>
  <c r="Q648" i="6"/>
  <c r="R647" i="6"/>
  <c r="Q647" i="6"/>
  <c r="R646" i="6"/>
  <c r="Q646" i="6"/>
  <c r="R645" i="6"/>
  <c r="Q645" i="6"/>
  <c r="R644" i="6"/>
  <c r="Q644" i="6"/>
  <c r="R643" i="6"/>
  <c r="Q643" i="6"/>
  <c r="R642" i="6"/>
  <c r="Q642" i="6"/>
  <c r="R641" i="6"/>
  <c r="Q641" i="6"/>
  <c r="R640" i="6"/>
  <c r="Q640" i="6"/>
  <c r="R639" i="6"/>
  <c r="Q639" i="6"/>
  <c r="R638" i="6"/>
  <c r="Q638" i="6"/>
  <c r="R637" i="6"/>
  <c r="Q637" i="6"/>
  <c r="R636" i="6"/>
  <c r="Q636" i="6"/>
  <c r="R635" i="6"/>
  <c r="Q635" i="6"/>
  <c r="R634" i="6"/>
  <c r="Q634" i="6"/>
  <c r="R633" i="6"/>
  <c r="Q633" i="6"/>
  <c r="R632" i="6"/>
  <c r="Q632" i="6"/>
  <c r="R631" i="6"/>
  <c r="Q631" i="6"/>
  <c r="R630" i="6"/>
  <c r="Q630" i="6"/>
  <c r="R629" i="6"/>
  <c r="Q629" i="6"/>
  <c r="R628" i="6"/>
  <c r="Q628" i="6"/>
  <c r="R627" i="6"/>
  <c r="Q627" i="6"/>
  <c r="R626" i="6"/>
  <c r="Q626" i="6"/>
  <c r="R625" i="6"/>
  <c r="Q625" i="6"/>
  <c r="R624" i="6"/>
  <c r="Q624" i="6"/>
  <c r="R623" i="6"/>
  <c r="Q623" i="6"/>
  <c r="R622" i="6"/>
  <c r="Q622" i="6"/>
  <c r="R621" i="6"/>
  <c r="Q621" i="6"/>
  <c r="R620" i="6"/>
  <c r="Q620" i="6"/>
  <c r="R619" i="6"/>
  <c r="Q619" i="6"/>
  <c r="R618" i="6"/>
  <c r="Q618" i="6"/>
  <c r="R617" i="6"/>
  <c r="Q617" i="6"/>
  <c r="R616" i="6"/>
  <c r="Q616" i="6"/>
  <c r="R615" i="6"/>
  <c r="Q615" i="6"/>
  <c r="R614" i="6"/>
  <c r="Q614" i="6"/>
  <c r="R613" i="6"/>
  <c r="Q613" i="6"/>
  <c r="R612" i="6"/>
  <c r="Q612" i="6"/>
  <c r="R611" i="6"/>
  <c r="Q611" i="6"/>
  <c r="R610" i="6"/>
  <c r="Q610" i="6"/>
  <c r="R609" i="6"/>
  <c r="Q609" i="6"/>
  <c r="R608" i="6"/>
  <c r="Q608" i="6"/>
  <c r="R607" i="6"/>
  <c r="Q607" i="6"/>
  <c r="R606" i="6"/>
  <c r="Q606" i="6"/>
  <c r="R605" i="6"/>
  <c r="Q605" i="6"/>
  <c r="R604" i="6"/>
  <c r="Q604" i="6"/>
  <c r="R603" i="6"/>
  <c r="Q603" i="6"/>
  <c r="R602" i="6"/>
  <c r="Q602" i="6"/>
  <c r="R601" i="6"/>
  <c r="Q601" i="6"/>
  <c r="R600" i="6"/>
  <c r="Q600" i="6"/>
  <c r="R599" i="6"/>
  <c r="Q599" i="6"/>
  <c r="R598" i="6"/>
  <c r="Q598" i="6"/>
  <c r="R597" i="6"/>
  <c r="Q597" i="6"/>
  <c r="R596" i="6"/>
  <c r="Q596" i="6"/>
  <c r="R595" i="6"/>
  <c r="Q595" i="6"/>
  <c r="R594" i="6"/>
  <c r="Q594" i="6"/>
  <c r="R593" i="6"/>
  <c r="Q593" i="6"/>
  <c r="R592" i="6"/>
  <c r="Q592" i="6"/>
  <c r="R591" i="6"/>
  <c r="Q591" i="6"/>
  <c r="R590" i="6"/>
  <c r="Q590" i="6"/>
  <c r="R589" i="6"/>
  <c r="Q589" i="6"/>
  <c r="R588" i="6"/>
  <c r="Q588" i="6"/>
  <c r="R587" i="6"/>
  <c r="Q587" i="6"/>
  <c r="R586" i="6"/>
  <c r="Q586" i="6"/>
  <c r="R585" i="6"/>
  <c r="Q585" i="6"/>
  <c r="R584" i="6"/>
  <c r="Q584" i="6"/>
  <c r="R583" i="6"/>
  <c r="Q583" i="6"/>
  <c r="R582" i="6"/>
  <c r="Q582" i="6"/>
  <c r="R581" i="6"/>
  <c r="Q581" i="6"/>
  <c r="R580" i="6"/>
  <c r="Q580" i="6"/>
  <c r="R579" i="6"/>
  <c r="Q579" i="6"/>
  <c r="R578" i="6"/>
  <c r="Q578" i="6"/>
  <c r="R577" i="6"/>
  <c r="Q577" i="6"/>
  <c r="R576" i="6"/>
  <c r="Q576" i="6"/>
  <c r="R575" i="6"/>
  <c r="Q575" i="6"/>
  <c r="R574" i="6"/>
  <c r="Q574" i="6"/>
  <c r="R573" i="6"/>
  <c r="Q573" i="6"/>
  <c r="R572" i="6"/>
  <c r="Q572" i="6"/>
  <c r="R571" i="6"/>
  <c r="Q571" i="6"/>
  <c r="R570" i="6"/>
  <c r="Q570" i="6"/>
  <c r="R569" i="6"/>
  <c r="Q569" i="6"/>
  <c r="R568" i="6"/>
  <c r="Q568" i="6"/>
  <c r="R567" i="6"/>
  <c r="Q567" i="6"/>
  <c r="R566" i="6"/>
  <c r="Q566" i="6"/>
  <c r="R565" i="6"/>
  <c r="Q565" i="6"/>
  <c r="R564" i="6"/>
  <c r="Q564" i="6"/>
  <c r="R563" i="6"/>
  <c r="Q563" i="6"/>
  <c r="R562" i="6"/>
  <c r="Q562" i="6"/>
  <c r="R561" i="6"/>
  <c r="Q561" i="6"/>
  <c r="R560" i="6"/>
  <c r="Q560" i="6"/>
  <c r="R559" i="6"/>
  <c r="Q559" i="6"/>
  <c r="R558" i="6"/>
  <c r="Q558" i="6"/>
  <c r="R557" i="6"/>
  <c r="Q557" i="6"/>
  <c r="R556" i="6"/>
  <c r="Q556" i="6"/>
  <c r="R555" i="6"/>
  <c r="Q555" i="6"/>
  <c r="R554" i="6"/>
  <c r="Q554" i="6"/>
  <c r="R553" i="6"/>
  <c r="Q553" i="6"/>
  <c r="R552" i="6"/>
  <c r="Q552" i="6"/>
  <c r="R551" i="6"/>
  <c r="Q551" i="6"/>
  <c r="R550" i="6"/>
  <c r="Q550" i="6"/>
  <c r="R549" i="6"/>
  <c r="Q549" i="6"/>
  <c r="R548" i="6"/>
  <c r="Q548" i="6"/>
  <c r="R547" i="6"/>
  <c r="Q547" i="6"/>
  <c r="R546" i="6"/>
  <c r="Q546" i="6"/>
  <c r="R545" i="6"/>
  <c r="Q545" i="6"/>
  <c r="R544" i="6"/>
  <c r="Q544" i="6"/>
  <c r="R543" i="6"/>
  <c r="Q543" i="6"/>
  <c r="R542" i="6"/>
  <c r="Q542" i="6"/>
  <c r="R541" i="6"/>
  <c r="Q541" i="6"/>
  <c r="R540" i="6"/>
  <c r="Q540" i="6"/>
  <c r="R539" i="6"/>
  <c r="Q539" i="6"/>
  <c r="R538" i="6"/>
  <c r="Q538" i="6"/>
  <c r="R537" i="6"/>
  <c r="Q537" i="6"/>
  <c r="R536" i="6"/>
  <c r="Q536" i="6"/>
  <c r="R535" i="6"/>
  <c r="Q535" i="6"/>
  <c r="R534" i="6"/>
  <c r="Q534" i="6"/>
  <c r="R533" i="6"/>
  <c r="Q533" i="6"/>
  <c r="R532" i="6"/>
  <c r="Q532" i="6"/>
  <c r="R531" i="6"/>
  <c r="Q531" i="6"/>
  <c r="R530" i="6"/>
  <c r="Q530" i="6"/>
  <c r="R529" i="6"/>
  <c r="Q529" i="6"/>
  <c r="R528" i="6"/>
  <c r="Q528" i="6"/>
  <c r="R527" i="6"/>
  <c r="Q527" i="6"/>
  <c r="R526" i="6"/>
  <c r="Q526" i="6"/>
  <c r="R525" i="6"/>
  <c r="Q525" i="6"/>
  <c r="R524" i="6"/>
  <c r="Q524" i="6"/>
  <c r="R523" i="6"/>
  <c r="Q523" i="6"/>
  <c r="R522" i="6"/>
  <c r="Q522" i="6"/>
  <c r="R521" i="6"/>
  <c r="Q521" i="6"/>
  <c r="R520" i="6"/>
  <c r="Q520" i="6"/>
  <c r="R519" i="6"/>
  <c r="Q519" i="6"/>
  <c r="R518" i="6"/>
  <c r="Q518" i="6"/>
  <c r="R517" i="6"/>
  <c r="Q517" i="6"/>
  <c r="R516" i="6"/>
  <c r="Q516" i="6"/>
  <c r="R515" i="6"/>
  <c r="Q515" i="6"/>
  <c r="R514" i="6"/>
  <c r="Q514" i="6"/>
  <c r="R513" i="6"/>
  <c r="Q513" i="6"/>
  <c r="R512" i="6"/>
  <c r="Q512" i="6"/>
  <c r="R511" i="6"/>
  <c r="Q511" i="6"/>
  <c r="R510" i="6"/>
  <c r="Q510" i="6"/>
  <c r="R509" i="6"/>
  <c r="Q509" i="6"/>
  <c r="R508" i="6"/>
  <c r="Q508" i="6"/>
  <c r="R507" i="6"/>
  <c r="Q507" i="6"/>
  <c r="R506" i="6"/>
  <c r="Q506" i="6"/>
  <c r="R505" i="6"/>
  <c r="Q505" i="6"/>
  <c r="R504" i="6"/>
  <c r="Q504" i="6"/>
  <c r="R503" i="6"/>
  <c r="Q503" i="6"/>
  <c r="R502" i="6"/>
  <c r="Q502" i="6"/>
  <c r="R501" i="6"/>
  <c r="Q501" i="6"/>
  <c r="R500" i="6"/>
  <c r="Q500" i="6"/>
  <c r="R499" i="6"/>
  <c r="Q499" i="6"/>
  <c r="R498" i="6"/>
  <c r="Q498" i="6"/>
  <c r="R497" i="6"/>
  <c r="Q497" i="6"/>
  <c r="R496" i="6"/>
  <c r="Q496" i="6"/>
  <c r="R495" i="6"/>
  <c r="Q495" i="6"/>
  <c r="R494" i="6"/>
  <c r="Q494" i="6"/>
  <c r="R493" i="6"/>
  <c r="Q493" i="6"/>
  <c r="R492" i="6"/>
  <c r="Q492" i="6"/>
  <c r="R491" i="6"/>
  <c r="Q491" i="6"/>
  <c r="R490" i="6"/>
  <c r="Q490" i="6"/>
  <c r="R489" i="6"/>
  <c r="Q489" i="6"/>
  <c r="R488" i="6"/>
  <c r="Q488" i="6"/>
  <c r="R487" i="6"/>
  <c r="Q487" i="6"/>
  <c r="R486" i="6"/>
  <c r="Q486" i="6"/>
  <c r="R485" i="6"/>
  <c r="Q485" i="6"/>
  <c r="R484" i="6"/>
  <c r="Q484" i="6"/>
  <c r="R483" i="6"/>
  <c r="Q483" i="6"/>
  <c r="R482" i="6"/>
  <c r="Q482" i="6"/>
  <c r="R481" i="6"/>
  <c r="Q481" i="6"/>
  <c r="R480" i="6"/>
  <c r="Q480" i="6"/>
  <c r="R479" i="6"/>
  <c r="Q479" i="6"/>
  <c r="R478" i="6"/>
  <c r="Q478" i="6"/>
  <c r="R477" i="6"/>
  <c r="Q477" i="6"/>
  <c r="R476" i="6"/>
  <c r="Q476" i="6"/>
  <c r="R475" i="6"/>
  <c r="Q475" i="6"/>
  <c r="R474" i="6"/>
  <c r="Q474" i="6"/>
  <c r="R473" i="6"/>
  <c r="Q473" i="6"/>
  <c r="R472" i="6"/>
  <c r="Q472" i="6"/>
  <c r="R471" i="6"/>
  <c r="Q471" i="6"/>
  <c r="R470" i="6"/>
  <c r="Q470" i="6"/>
  <c r="R469" i="6"/>
  <c r="Q469" i="6"/>
  <c r="R468" i="6"/>
  <c r="Q468" i="6"/>
  <c r="R467" i="6"/>
  <c r="Q467" i="6"/>
  <c r="R466" i="6"/>
  <c r="Q466" i="6"/>
  <c r="R465" i="6"/>
  <c r="Q465" i="6"/>
  <c r="R464" i="6"/>
  <c r="Q464" i="6"/>
  <c r="R463" i="6"/>
  <c r="Q463" i="6"/>
  <c r="R462" i="6"/>
  <c r="Q462" i="6"/>
  <c r="R461" i="6"/>
  <c r="Q461" i="6"/>
  <c r="R460" i="6"/>
  <c r="Q460" i="6"/>
  <c r="R459" i="6"/>
  <c r="Q459" i="6"/>
  <c r="R458" i="6"/>
  <c r="Q458" i="6"/>
  <c r="R457" i="6"/>
  <c r="Q457" i="6"/>
  <c r="R456" i="6"/>
  <c r="Q456" i="6"/>
  <c r="R455" i="6"/>
  <c r="Q455" i="6"/>
  <c r="R454" i="6"/>
  <c r="Q454" i="6"/>
  <c r="R453" i="6"/>
  <c r="Q453" i="6"/>
  <c r="R452" i="6"/>
  <c r="Q452" i="6"/>
  <c r="R451" i="6"/>
  <c r="Q451" i="6"/>
  <c r="R450" i="6"/>
  <c r="Q450" i="6"/>
  <c r="R449" i="6"/>
  <c r="Q449" i="6"/>
  <c r="R448" i="6"/>
  <c r="Q448" i="6"/>
  <c r="R447" i="6"/>
  <c r="Q447" i="6"/>
  <c r="R446" i="6"/>
  <c r="Q446" i="6"/>
  <c r="R445" i="6"/>
  <c r="Q445" i="6"/>
  <c r="R444" i="6"/>
  <c r="Q444" i="6"/>
  <c r="R443" i="6"/>
  <c r="Q443" i="6"/>
  <c r="R442" i="6"/>
  <c r="Q442" i="6"/>
  <c r="R441" i="6"/>
  <c r="Q441" i="6"/>
  <c r="R440" i="6"/>
  <c r="Q440" i="6"/>
  <c r="R439" i="6"/>
  <c r="Q439" i="6"/>
  <c r="R438" i="6"/>
  <c r="Q438" i="6"/>
  <c r="R437" i="6"/>
  <c r="Q437" i="6"/>
  <c r="R436" i="6"/>
  <c r="Q436" i="6"/>
  <c r="R435" i="6"/>
  <c r="Q435" i="6"/>
  <c r="R434" i="6"/>
  <c r="Q434" i="6"/>
  <c r="R433" i="6"/>
  <c r="Q433" i="6"/>
  <c r="R432" i="6"/>
  <c r="Q432" i="6"/>
  <c r="R431" i="6"/>
  <c r="Q431" i="6"/>
  <c r="R430" i="6"/>
  <c r="Q430" i="6"/>
  <c r="R429" i="6"/>
  <c r="Q429" i="6"/>
  <c r="R428" i="6"/>
  <c r="Q428" i="6"/>
  <c r="R427" i="6"/>
  <c r="Q427" i="6"/>
  <c r="R426" i="6"/>
  <c r="Q426" i="6"/>
  <c r="R425" i="6"/>
  <c r="Q425" i="6"/>
  <c r="R424" i="6"/>
  <c r="Q424" i="6"/>
  <c r="R423" i="6"/>
  <c r="Q423" i="6"/>
  <c r="R422" i="6"/>
  <c r="Q422" i="6"/>
  <c r="R421" i="6"/>
  <c r="Q421" i="6"/>
  <c r="R420" i="6"/>
  <c r="Q420" i="6"/>
  <c r="R419" i="6"/>
  <c r="Q419" i="6"/>
  <c r="R418" i="6"/>
  <c r="Q418" i="6"/>
  <c r="R417" i="6"/>
  <c r="Q417" i="6"/>
  <c r="R416" i="6"/>
  <c r="Q416" i="6"/>
  <c r="R415" i="6"/>
  <c r="Q415" i="6"/>
  <c r="R414" i="6"/>
  <c r="Q414" i="6"/>
  <c r="R413" i="6"/>
  <c r="Q413" i="6"/>
  <c r="R412" i="6"/>
  <c r="Q412" i="6"/>
  <c r="R411" i="6"/>
  <c r="Q411" i="6"/>
  <c r="R410" i="6"/>
  <c r="Q410" i="6"/>
  <c r="R409" i="6"/>
  <c r="Q409" i="6"/>
  <c r="R408" i="6"/>
  <c r="Q408" i="6"/>
  <c r="R407" i="6"/>
  <c r="Q407" i="6"/>
  <c r="R406" i="6"/>
  <c r="Q406" i="6"/>
  <c r="R405" i="6"/>
  <c r="Q405" i="6"/>
  <c r="R404" i="6"/>
  <c r="Q404" i="6"/>
  <c r="R403" i="6"/>
  <c r="Q403" i="6"/>
  <c r="R402" i="6"/>
  <c r="Q402" i="6"/>
  <c r="R401" i="6"/>
  <c r="Q401" i="6"/>
  <c r="R400" i="6"/>
  <c r="Q400" i="6"/>
  <c r="R399" i="6"/>
  <c r="Q399" i="6"/>
  <c r="R398" i="6"/>
  <c r="Q398" i="6"/>
  <c r="R397" i="6"/>
  <c r="Q397" i="6"/>
  <c r="R396" i="6"/>
  <c r="Q396" i="6"/>
  <c r="R395" i="6"/>
  <c r="Q395" i="6"/>
  <c r="R394" i="6"/>
  <c r="Q394" i="6"/>
  <c r="R393" i="6"/>
  <c r="Q393" i="6"/>
  <c r="R392" i="6"/>
  <c r="Q392" i="6"/>
  <c r="R391" i="6"/>
  <c r="Q391" i="6"/>
  <c r="R390" i="6"/>
  <c r="Q390" i="6"/>
  <c r="R389" i="6"/>
  <c r="Q389" i="6"/>
  <c r="R388" i="6"/>
  <c r="Q388" i="6"/>
  <c r="R387" i="6"/>
  <c r="Q387" i="6"/>
  <c r="R386" i="6"/>
  <c r="Q386" i="6"/>
  <c r="R385" i="6"/>
  <c r="Q385" i="6"/>
  <c r="R384" i="6"/>
  <c r="Q384" i="6"/>
  <c r="R383" i="6"/>
  <c r="Q383" i="6"/>
  <c r="R382" i="6"/>
  <c r="Q382" i="6"/>
  <c r="R381" i="6"/>
  <c r="Q381" i="6"/>
  <c r="R380" i="6"/>
  <c r="Q380" i="6"/>
  <c r="R379" i="6"/>
  <c r="Q379" i="6"/>
  <c r="R378" i="6"/>
  <c r="Q378" i="6"/>
  <c r="R377" i="6"/>
  <c r="Q377" i="6"/>
  <c r="R376" i="6"/>
  <c r="Q376" i="6"/>
  <c r="R375" i="6"/>
  <c r="Q375" i="6"/>
  <c r="R374" i="6"/>
  <c r="Q374" i="6"/>
  <c r="R373" i="6"/>
  <c r="Q373" i="6"/>
  <c r="R372" i="6"/>
  <c r="Q372" i="6"/>
  <c r="R371" i="6"/>
  <c r="Q371" i="6"/>
  <c r="R370" i="6"/>
  <c r="Q370" i="6"/>
  <c r="R369" i="6"/>
  <c r="Q369" i="6"/>
  <c r="R368" i="6"/>
  <c r="Q368" i="6"/>
  <c r="R367" i="6"/>
  <c r="Q367" i="6"/>
  <c r="R366" i="6"/>
  <c r="Q366" i="6"/>
  <c r="R365" i="6"/>
  <c r="Q365" i="6"/>
  <c r="R364" i="6"/>
  <c r="Q364" i="6"/>
  <c r="R363" i="6"/>
  <c r="Q363" i="6"/>
  <c r="R362" i="6"/>
  <c r="Q362" i="6"/>
  <c r="R361" i="6"/>
  <c r="Q361" i="6"/>
  <c r="R360" i="6"/>
  <c r="Q360" i="6"/>
  <c r="R359" i="6"/>
  <c r="Q359" i="6"/>
  <c r="R358" i="6"/>
  <c r="Q358" i="6"/>
  <c r="R357" i="6"/>
  <c r="Q357" i="6"/>
  <c r="R356" i="6"/>
  <c r="Q356" i="6"/>
  <c r="R355" i="6"/>
  <c r="Q355" i="6"/>
  <c r="R354" i="6"/>
  <c r="Q354" i="6"/>
  <c r="R353" i="6"/>
  <c r="Q353" i="6"/>
  <c r="R352" i="6"/>
  <c r="Q352" i="6"/>
  <c r="R351" i="6"/>
  <c r="Q351" i="6"/>
  <c r="R350" i="6"/>
  <c r="Q350" i="6"/>
  <c r="R349" i="6"/>
  <c r="Q349" i="6"/>
  <c r="R348" i="6"/>
  <c r="Q348" i="6"/>
  <c r="R347" i="6"/>
  <c r="Q347" i="6"/>
  <c r="R346" i="6"/>
  <c r="Q346" i="6"/>
  <c r="R345" i="6"/>
  <c r="Q345" i="6"/>
  <c r="R344" i="6"/>
  <c r="Q344" i="6"/>
  <c r="R343" i="6"/>
  <c r="Q343" i="6"/>
  <c r="R342" i="6"/>
  <c r="Q342" i="6"/>
  <c r="R341" i="6"/>
  <c r="Q341" i="6"/>
  <c r="R340" i="6"/>
  <c r="Q340" i="6"/>
  <c r="R339" i="6"/>
  <c r="Q339" i="6"/>
  <c r="R338" i="6"/>
  <c r="Q338" i="6"/>
  <c r="R337" i="6"/>
  <c r="Q337" i="6"/>
  <c r="R336" i="6"/>
  <c r="Q336" i="6"/>
  <c r="R335" i="6"/>
  <c r="Q335" i="6"/>
  <c r="R334" i="6"/>
  <c r="Q334" i="6"/>
  <c r="R333" i="6"/>
  <c r="Q333" i="6"/>
  <c r="R332" i="6"/>
  <c r="Q332" i="6"/>
  <c r="R331" i="6"/>
  <c r="Q331" i="6"/>
  <c r="R330" i="6"/>
  <c r="Q330" i="6"/>
  <c r="R329" i="6"/>
  <c r="Q329" i="6"/>
  <c r="R328" i="6"/>
  <c r="Q328" i="6"/>
  <c r="R327" i="6"/>
  <c r="Q327" i="6"/>
  <c r="R326" i="6"/>
  <c r="Q326" i="6"/>
  <c r="R325" i="6"/>
  <c r="Q325" i="6"/>
  <c r="R324" i="6"/>
  <c r="Q324" i="6"/>
  <c r="R323" i="6"/>
  <c r="Q323" i="6"/>
  <c r="R322" i="6"/>
  <c r="Q322" i="6"/>
  <c r="R321" i="6"/>
  <c r="Q321" i="6"/>
  <c r="R320" i="6"/>
  <c r="Q320" i="6"/>
  <c r="R319" i="6"/>
  <c r="Q319" i="6"/>
  <c r="R318" i="6"/>
  <c r="Q318" i="6"/>
  <c r="R317" i="6"/>
  <c r="Q317" i="6"/>
  <c r="R316" i="6"/>
  <c r="Q316" i="6"/>
  <c r="R315" i="6"/>
  <c r="Q315" i="6"/>
  <c r="R314" i="6"/>
  <c r="Q314" i="6"/>
  <c r="R313" i="6"/>
  <c r="Q313" i="6"/>
  <c r="R312" i="6"/>
  <c r="Q312" i="6"/>
  <c r="R311" i="6"/>
  <c r="Q311" i="6"/>
  <c r="R310" i="6"/>
  <c r="Q310" i="6"/>
  <c r="R309" i="6"/>
  <c r="Q309" i="6"/>
  <c r="R308" i="6"/>
  <c r="Q308" i="6"/>
  <c r="R307" i="6"/>
  <c r="Q307" i="6"/>
  <c r="R306" i="6"/>
  <c r="Q306" i="6"/>
  <c r="R305" i="6"/>
  <c r="Q305" i="6"/>
  <c r="R304" i="6"/>
  <c r="Q304" i="6"/>
  <c r="R303" i="6"/>
  <c r="Q303" i="6"/>
  <c r="R302" i="6"/>
  <c r="Q302" i="6"/>
  <c r="R301" i="6"/>
  <c r="Q301" i="6"/>
  <c r="R300" i="6"/>
  <c r="Q300" i="6"/>
  <c r="R299" i="6"/>
  <c r="Q299" i="6"/>
  <c r="R298" i="6"/>
  <c r="Q298" i="6"/>
  <c r="R297" i="6"/>
  <c r="Q297" i="6"/>
  <c r="R296" i="6"/>
  <c r="Q296" i="6"/>
  <c r="R295" i="6"/>
  <c r="Q295" i="6"/>
  <c r="R294" i="6"/>
  <c r="Q294" i="6"/>
  <c r="R293" i="6"/>
  <c r="Q293" i="6"/>
  <c r="R292" i="6"/>
  <c r="Q292" i="6"/>
  <c r="R291" i="6"/>
  <c r="Q291" i="6"/>
  <c r="R290" i="6"/>
  <c r="Q290" i="6"/>
  <c r="R289" i="6"/>
  <c r="Q289" i="6"/>
  <c r="R288" i="6"/>
  <c r="Q288" i="6"/>
  <c r="R287" i="6"/>
  <c r="Q287" i="6"/>
  <c r="R286" i="6"/>
  <c r="Q286" i="6"/>
  <c r="R285" i="6"/>
  <c r="Q285" i="6"/>
  <c r="R284" i="6"/>
  <c r="Q284" i="6"/>
  <c r="R283" i="6"/>
  <c r="Q283" i="6"/>
  <c r="R282" i="6"/>
  <c r="Q282" i="6"/>
  <c r="R281" i="6"/>
  <c r="Q281" i="6"/>
  <c r="R280" i="6"/>
  <c r="Q280" i="6"/>
  <c r="R279" i="6"/>
  <c r="Q279" i="6"/>
  <c r="R278" i="6"/>
  <c r="Q278" i="6"/>
  <c r="R277" i="6"/>
  <c r="Q277" i="6"/>
  <c r="R276" i="6"/>
  <c r="Q276" i="6"/>
  <c r="R275" i="6"/>
  <c r="Q275" i="6"/>
  <c r="R274" i="6"/>
  <c r="Q274" i="6"/>
  <c r="R273" i="6"/>
  <c r="Q273" i="6"/>
  <c r="R272" i="6"/>
  <c r="Q272" i="6"/>
  <c r="R271" i="6"/>
  <c r="Q271" i="6"/>
  <c r="R270" i="6"/>
  <c r="Q270" i="6"/>
  <c r="R269" i="6"/>
  <c r="Q269" i="6"/>
  <c r="R268" i="6"/>
  <c r="Q268" i="6"/>
  <c r="R267" i="6"/>
  <c r="Q267" i="6"/>
  <c r="R266" i="6"/>
  <c r="Q266" i="6"/>
  <c r="R265" i="6"/>
  <c r="Q265" i="6"/>
  <c r="R264" i="6"/>
  <c r="Q264" i="6"/>
  <c r="R263" i="6"/>
  <c r="Q263" i="6"/>
  <c r="R262" i="6"/>
  <c r="Q262" i="6"/>
  <c r="R261" i="6"/>
  <c r="Q261" i="6"/>
  <c r="R260" i="6"/>
  <c r="Q260" i="6"/>
  <c r="R259" i="6"/>
  <c r="Q259" i="6"/>
  <c r="R258" i="6"/>
  <c r="Q258" i="6"/>
  <c r="R257" i="6"/>
  <c r="Q257" i="6"/>
  <c r="R256" i="6"/>
  <c r="Q256" i="6"/>
  <c r="R255" i="6"/>
  <c r="Q255" i="6"/>
  <c r="R254" i="6"/>
  <c r="Q254" i="6"/>
  <c r="R253" i="6"/>
  <c r="Q253" i="6"/>
  <c r="R252" i="6"/>
  <c r="Q252" i="6"/>
  <c r="R251" i="6"/>
  <c r="Q251" i="6"/>
  <c r="R250" i="6"/>
  <c r="Q250" i="6"/>
  <c r="R249" i="6"/>
  <c r="Q249" i="6"/>
  <c r="R248" i="6"/>
  <c r="Q248" i="6"/>
  <c r="R247" i="6"/>
  <c r="Q247" i="6"/>
  <c r="R246" i="6"/>
  <c r="Q246" i="6"/>
  <c r="R245" i="6"/>
  <c r="Q245" i="6"/>
  <c r="R244" i="6"/>
  <c r="Q244" i="6"/>
  <c r="R243" i="6"/>
  <c r="Q243" i="6"/>
  <c r="R242" i="6"/>
  <c r="Q242" i="6"/>
  <c r="R241" i="6"/>
  <c r="Q241" i="6"/>
  <c r="R240" i="6"/>
  <c r="Q240" i="6"/>
  <c r="R239" i="6"/>
  <c r="Q239" i="6"/>
  <c r="R238" i="6"/>
  <c r="Q238" i="6"/>
  <c r="R237" i="6"/>
  <c r="Q237" i="6"/>
  <c r="R236" i="6"/>
  <c r="Q236" i="6"/>
  <c r="R235" i="6"/>
  <c r="Q235" i="6"/>
  <c r="R234" i="6"/>
  <c r="Q234" i="6"/>
  <c r="R233" i="6"/>
  <c r="Q233" i="6"/>
  <c r="R232" i="6"/>
  <c r="Q232" i="6"/>
  <c r="R231" i="6"/>
  <c r="Q231" i="6"/>
  <c r="R230" i="6"/>
  <c r="Q230" i="6"/>
  <c r="R229" i="6"/>
  <c r="Q229" i="6"/>
  <c r="R228" i="6"/>
  <c r="Q228" i="6"/>
  <c r="R227" i="6"/>
  <c r="Q227" i="6"/>
  <c r="R226" i="6"/>
  <c r="Q226" i="6"/>
  <c r="R225" i="6"/>
  <c r="Q225" i="6"/>
  <c r="R224" i="6"/>
  <c r="Q224" i="6"/>
  <c r="R223" i="6"/>
  <c r="Q223" i="6"/>
  <c r="R222" i="6"/>
  <c r="Q222" i="6"/>
  <c r="R221" i="6"/>
  <c r="Q221" i="6"/>
  <c r="R220" i="6"/>
  <c r="Q220" i="6"/>
  <c r="R219" i="6"/>
  <c r="Q219" i="6"/>
  <c r="R218" i="6"/>
  <c r="Q218" i="6"/>
  <c r="R217" i="6"/>
  <c r="Q217" i="6"/>
  <c r="R216" i="6"/>
  <c r="Q216" i="6"/>
  <c r="R215" i="6"/>
  <c r="Q215" i="6"/>
  <c r="R214" i="6"/>
  <c r="Q214" i="6"/>
  <c r="R213" i="6"/>
  <c r="Q213" i="6"/>
  <c r="R212" i="6"/>
  <c r="Q212" i="6"/>
  <c r="R211" i="6"/>
  <c r="Q211" i="6"/>
  <c r="R210" i="6"/>
  <c r="Q210" i="6"/>
  <c r="R209" i="6"/>
  <c r="Q209" i="6"/>
  <c r="R208" i="6"/>
  <c r="Q208" i="6"/>
  <c r="R207" i="6"/>
  <c r="Q207" i="6"/>
  <c r="R206" i="6"/>
  <c r="Q206" i="6"/>
  <c r="R205" i="6"/>
  <c r="Q205" i="6"/>
  <c r="R204" i="6"/>
  <c r="Q204" i="6"/>
  <c r="R203" i="6"/>
  <c r="Q203" i="6"/>
  <c r="R202" i="6"/>
  <c r="Q202" i="6"/>
  <c r="R201" i="6"/>
  <c r="Q201" i="6"/>
  <c r="R200" i="6"/>
  <c r="Q200" i="6"/>
  <c r="R199" i="6"/>
  <c r="Q199" i="6"/>
  <c r="R198" i="6"/>
  <c r="Q198" i="6"/>
  <c r="R197" i="6"/>
  <c r="Q197" i="6"/>
  <c r="R196" i="6"/>
  <c r="Q196" i="6"/>
  <c r="R195" i="6"/>
  <c r="Q195" i="6"/>
  <c r="R194" i="6"/>
  <c r="Q194" i="6"/>
  <c r="R193" i="6"/>
  <c r="Q193" i="6"/>
  <c r="R192" i="6"/>
  <c r="Q192" i="6"/>
  <c r="R191" i="6"/>
  <c r="Q191" i="6"/>
  <c r="R190" i="6"/>
  <c r="Q190" i="6"/>
  <c r="R189" i="6"/>
  <c r="Q189" i="6"/>
  <c r="R188" i="6"/>
  <c r="Q188" i="6"/>
  <c r="R187" i="6"/>
  <c r="Q187" i="6"/>
  <c r="R186" i="6"/>
  <c r="Q186" i="6"/>
  <c r="R185" i="6"/>
  <c r="Q185" i="6"/>
  <c r="R184" i="6"/>
  <c r="Q184" i="6"/>
  <c r="R183" i="6"/>
  <c r="Q183" i="6"/>
  <c r="R182" i="6"/>
  <c r="Q182" i="6"/>
  <c r="R181" i="6"/>
  <c r="Q181" i="6"/>
  <c r="R180" i="6"/>
  <c r="Q180" i="6"/>
  <c r="R179" i="6"/>
  <c r="Q179" i="6"/>
  <c r="R178" i="6"/>
  <c r="Q178" i="6"/>
  <c r="R177" i="6"/>
  <c r="Q177" i="6"/>
  <c r="R176" i="6"/>
  <c r="Q176" i="6"/>
  <c r="R175" i="6"/>
  <c r="Q175" i="6"/>
  <c r="R174" i="6"/>
  <c r="Q174" i="6"/>
  <c r="R173" i="6"/>
  <c r="Q173" i="6"/>
  <c r="R172" i="6"/>
  <c r="Q172" i="6"/>
  <c r="R171" i="6"/>
  <c r="Q171" i="6"/>
  <c r="R170" i="6"/>
  <c r="Q170" i="6"/>
  <c r="R169" i="6"/>
  <c r="Q169" i="6"/>
  <c r="R168" i="6"/>
  <c r="Q168" i="6"/>
  <c r="R167" i="6"/>
  <c r="Q167" i="6"/>
  <c r="R166" i="6"/>
  <c r="Q166" i="6"/>
  <c r="R165" i="6"/>
  <c r="Q165" i="6"/>
  <c r="R164" i="6"/>
  <c r="Q164" i="6"/>
  <c r="R163" i="6"/>
  <c r="Q163" i="6"/>
  <c r="R162" i="6"/>
  <c r="Q162" i="6"/>
  <c r="R161" i="6"/>
  <c r="Q161" i="6"/>
  <c r="R160" i="6"/>
  <c r="Q160" i="6"/>
  <c r="R159" i="6"/>
  <c r="Q159" i="6"/>
  <c r="R158" i="6"/>
  <c r="Q158" i="6"/>
  <c r="R157" i="6"/>
  <c r="Q157" i="6"/>
  <c r="R156" i="6"/>
  <c r="Q156" i="6"/>
  <c r="R155" i="6"/>
  <c r="Q155" i="6"/>
  <c r="R154" i="6"/>
  <c r="Q154" i="6"/>
  <c r="R153" i="6"/>
  <c r="Q153" i="6"/>
  <c r="R152" i="6"/>
  <c r="Q152" i="6"/>
  <c r="R151" i="6"/>
  <c r="Q151" i="6"/>
  <c r="R150" i="6"/>
  <c r="Q150" i="6"/>
  <c r="R149" i="6"/>
  <c r="Q149" i="6"/>
  <c r="R148" i="6"/>
  <c r="Q148" i="6"/>
  <c r="R147" i="6"/>
  <c r="Q147" i="6"/>
  <c r="R146" i="6"/>
  <c r="Q146" i="6"/>
  <c r="R145" i="6"/>
  <c r="Q145" i="6"/>
  <c r="R144" i="6"/>
  <c r="Q144" i="6"/>
  <c r="R143" i="6"/>
  <c r="Q143" i="6"/>
  <c r="R142" i="6"/>
  <c r="Q142" i="6"/>
  <c r="R141" i="6"/>
  <c r="Q141" i="6"/>
  <c r="R140" i="6"/>
  <c r="Q140" i="6"/>
  <c r="R139" i="6"/>
  <c r="Q139" i="6"/>
  <c r="R138" i="6"/>
  <c r="Q138" i="6"/>
  <c r="R137" i="6"/>
  <c r="Q137" i="6"/>
  <c r="R136" i="6"/>
  <c r="Q136" i="6"/>
  <c r="R135" i="6"/>
  <c r="Q135" i="6"/>
  <c r="R134" i="6"/>
  <c r="Q134" i="6"/>
  <c r="R133" i="6"/>
  <c r="Q133" i="6"/>
  <c r="R132" i="6"/>
  <c r="Q132" i="6"/>
  <c r="R131" i="6"/>
  <c r="Q131" i="6"/>
  <c r="R130" i="6"/>
  <c r="Q130" i="6"/>
  <c r="R129" i="6"/>
  <c r="Q129" i="6"/>
  <c r="R128" i="6"/>
  <c r="Q128" i="6"/>
  <c r="R127" i="6"/>
  <c r="Q127" i="6"/>
  <c r="R126" i="6"/>
  <c r="Q126" i="6"/>
  <c r="R125" i="6"/>
  <c r="Q125" i="6"/>
  <c r="R124" i="6"/>
  <c r="Q124" i="6"/>
  <c r="R123" i="6"/>
  <c r="Q123" i="6"/>
  <c r="R122" i="6"/>
  <c r="Q122" i="6"/>
  <c r="R121" i="6"/>
  <c r="Q121" i="6"/>
  <c r="R120" i="6"/>
  <c r="Q120" i="6"/>
  <c r="R119" i="6"/>
  <c r="Q119" i="6"/>
  <c r="R118" i="6"/>
  <c r="Q118" i="6"/>
  <c r="R117" i="6"/>
  <c r="Q117" i="6"/>
  <c r="R116" i="6"/>
  <c r="Q116" i="6"/>
  <c r="R115" i="6"/>
  <c r="Q115" i="6"/>
  <c r="R114" i="6"/>
  <c r="Q114" i="6"/>
  <c r="R113" i="6"/>
  <c r="Q113" i="6"/>
  <c r="R112" i="6"/>
  <c r="Q112" i="6"/>
  <c r="R111" i="6"/>
  <c r="Q111" i="6"/>
  <c r="R110" i="6"/>
  <c r="Q110" i="6"/>
  <c r="R109" i="6"/>
  <c r="Q109" i="6"/>
  <c r="R108" i="6"/>
  <c r="Q108" i="6"/>
  <c r="R107" i="6"/>
  <c r="Q107" i="6"/>
  <c r="R106" i="6"/>
  <c r="Q106" i="6"/>
  <c r="R105" i="6"/>
  <c r="Q105" i="6"/>
  <c r="R104" i="6"/>
  <c r="Q104" i="6"/>
  <c r="R103" i="6"/>
  <c r="Q103" i="6"/>
  <c r="R102" i="6"/>
  <c r="Q102" i="6"/>
  <c r="R101" i="6"/>
  <c r="Q101" i="6"/>
  <c r="R100" i="6"/>
  <c r="Q100" i="6"/>
  <c r="R99" i="6"/>
  <c r="Q99" i="6"/>
  <c r="R98" i="6"/>
  <c r="Q98" i="6"/>
  <c r="R97" i="6"/>
  <c r="Q97" i="6"/>
  <c r="R96" i="6"/>
  <c r="Q96" i="6"/>
  <c r="R95" i="6"/>
  <c r="Q95" i="6"/>
  <c r="R94" i="6"/>
  <c r="Q94" i="6"/>
  <c r="R93" i="6"/>
  <c r="Q93" i="6"/>
  <c r="R92" i="6"/>
  <c r="Q92" i="6"/>
  <c r="R91" i="6"/>
  <c r="Q91" i="6"/>
  <c r="R90" i="6"/>
  <c r="Q90" i="6"/>
  <c r="R89" i="6"/>
  <c r="Q89" i="6"/>
  <c r="R88" i="6"/>
  <c r="Q88" i="6"/>
  <c r="R87" i="6"/>
  <c r="Q87" i="6"/>
  <c r="R86" i="6"/>
  <c r="Q86" i="6"/>
  <c r="R85" i="6"/>
  <c r="Q85" i="6"/>
  <c r="R84" i="6"/>
  <c r="Q84" i="6"/>
  <c r="R83" i="6"/>
  <c r="Q83" i="6"/>
  <c r="R82" i="6"/>
  <c r="Q82" i="6"/>
  <c r="R81" i="6"/>
  <c r="Q81" i="6"/>
  <c r="R80" i="6"/>
  <c r="Q80" i="6"/>
  <c r="R79" i="6"/>
  <c r="Q79" i="6"/>
  <c r="R78" i="6"/>
  <c r="Q78" i="6"/>
  <c r="R77" i="6"/>
  <c r="Q77" i="6"/>
  <c r="R76" i="6"/>
  <c r="Q76" i="6"/>
  <c r="R75" i="6"/>
  <c r="Q75" i="6"/>
  <c r="R74" i="6"/>
  <c r="Q74" i="6"/>
  <c r="R73" i="6"/>
  <c r="Q73" i="6"/>
  <c r="R72" i="6"/>
  <c r="Q72" i="6"/>
  <c r="R71" i="6"/>
  <c r="Q71" i="6"/>
  <c r="R70" i="6"/>
  <c r="Q70" i="6"/>
  <c r="R69" i="6"/>
  <c r="Q69" i="6"/>
  <c r="R68" i="6"/>
  <c r="Q68" i="6"/>
  <c r="R67" i="6"/>
  <c r="Q67" i="6"/>
  <c r="R66" i="6"/>
  <c r="Q66" i="6"/>
  <c r="R65" i="6"/>
  <c r="Q65" i="6"/>
  <c r="R64" i="6"/>
  <c r="Q64" i="6"/>
  <c r="R63" i="6"/>
  <c r="Q63" i="6"/>
  <c r="R62" i="6"/>
  <c r="Q62" i="6"/>
  <c r="R61" i="6"/>
  <c r="Q61" i="6"/>
  <c r="R60" i="6"/>
  <c r="Q60" i="6"/>
  <c r="R59" i="6"/>
  <c r="Q59" i="6"/>
  <c r="R58" i="6"/>
  <c r="Q58" i="6"/>
  <c r="R57" i="6"/>
  <c r="Q57" i="6"/>
  <c r="R56" i="6"/>
  <c r="Q56" i="6"/>
  <c r="R55" i="6"/>
  <c r="Q55" i="6"/>
  <c r="R54" i="6"/>
  <c r="Q54" i="6"/>
  <c r="R53" i="6"/>
  <c r="Q53" i="6"/>
  <c r="R52" i="6"/>
  <c r="Q52" i="6"/>
  <c r="R51" i="6"/>
  <c r="Q51" i="6"/>
  <c r="R50" i="6"/>
  <c r="Q50" i="6"/>
  <c r="R49" i="6"/>
  <c r="Q49" i="6"/>
  <c r="R48" i="6"/>
  <c r="Q48" i="6"/>
  <c r="R47" i="6"/>
  <c r="Q47" i="6"/>
  <c r="R46" i="6"/>
  <c r="Q46" i="6"/>
  <c r="R45" i="6"/>
  <c r="Q45" i="6"/>
  <c r="R44" i="6"/>
  <c r="Q44" i="6"/>
  <c r="R43" i="6"/>
  <c r="Q43" i="6"/>
  <c r="R42" i="6"/>
  <c r="Q42" i="6"/>
  <c r="R41" i="6"/>
  <c r="Q41" i="6"/>
  <c r="R40" i="6"/>
  <c r="Q40" i="6"/>
  <c r="R39" i="6"/>
  <c r="Q39" i="6"/>
  <c r="R38" i="6"/>
  <c r="Q38" i="6"/>
  <c r="R37" i="6"/>
  <c r="Q37" i="6"/>
  <c r="R36" i="6"/>
  <c r="Q36" i="6"/>
  <c r="R35" i="6"/>
  <c r="Q35" i="6"/>
  <c r="R34" i="6"/>
  <c r="Q34" i="6"/>
  <c r="R33" i="6"/>
  <c r="Q33" i="6"/>
  <c r="R32" i="6"/>
  <c r="Q32" i="6"/>
  <c r="R31" i="6"/>
  <c r="Q31" i="6"/>
  <c r="R30" i="6"/>
  <c r="Q30" i="6"/>
  <c r="R29" i="6"/>
  <c r="Q29" i="6"/>
  <c r="R28" i="6"/>
  <c r="Q28" i="6"/>
  <c r="R27" i="6"/>
  <c r="Q27" i="6"/>
  <c r="R26" i="6"/>
  <c r="Q26" i="6"/>
  <c r="R25" i="6"/>
  <c r="Q25" i="6"/>
  <c r="R24" i="6"/>
  <c r="Q24" i="6"/>
  <c r="R23" i="6"/>
  <c r="Q23" i="6"/>
  <c r="R22" i="6"/>
  <c r="Q22" i="6"/>
  <c r="R21" i="6"/>
  <c r="Q21" i="6"/>
  <c r="R20" i="6"/>
  <c r="Q20" i="6"/>
  <c r="R19" i="6"/>
  <c r="Q19" i="6"/>
  <c r="R18" i="6"/>
  <c r="Q18" i="6"/>
  <c r="R17" i="6"/>
  <c r="Q17" i="6"/>
  <c r="R16" i="6"/>
  <c r="Q16" i="6"/>
  <c r="R15" i="6"/>
  <c r="Q15" i="6"/>
  <c r="R14" i="6"/>
  <c r="Q14" i="6"/>
  <c r="R13" i="6"/>
  <c r="Q13" i="6"/>
  <c r="R12" i="6"/>
  <c r="Q12" i="6"/>
  <c r="R11" i="6"/>
  <c r="Q11" i="6"/>
  <c r="R10" i="6"/>
  <c r="Q10" i="6"/>
  <c r="R9" i="6"/>
  <c r="Q9" i="6"/>
  <c r="R8" i="6"/>
  <c r="Q8" i="6"/>
  <c r="R7" i="6"/>
  <c r="Q7" i="6"/>
  <c r="R6" i="6"/>
  <c r="Q6" i="6"/>
  <c r="R5" i="6"/>
  <c r="Q5" i="6"/>
  <c r="R4" i="6"/>
  <c r="Q4" i="6"/>
  <c r="R3" i="6"/>
  <c r="Q3" i="6"/>
  <c r="R2" i="6"/>
  <c r="Q2" i="6"/>
  <c r="A2" i="7"/>
  <c r="A3" i="7" s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A166" i="7" s="1"/>
  <c r="A167" i="7" s="1"/>
  <c r="A168" i="7" s="1"/>
  <c r="A169" i="7" s="1"/>
  <c r="A170" i="7" s="1"/>
  <c r="A171" i="7" s="1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8" i="7" s="1"/>
  <c r="A189" i="7" s="1"/>
  <c r="A190" i="7" s="1"/>
  <c r="A191" i="7" s="1"/>
  <c r="A192" i="7" s="1"/>
  <c r="A193" i="7" s="1"/>
  <c r="A194" i="7" s="1"/>
  <c r="A195" i="7" s="1"/>
  <c r="A196" i="7" s="1"/>
  <c r="A197" i="7" s="1"/>
  <c r="A198" i="7" s="1"/>
  <c r="A199" i="7" s="1"/>
  <c r="A200" i="7" s="1"/>
  <c r="A201" i="7" s="1"/>
  <c r="A202" i="7" s="1"/>
  <c r="A203" i="7" s="1"/>
  <c r="A204" i="7" s="1"/>
  <c r="A205" i="7" s="1"/>
  <c r="A206" i="7" s="1"/>
  <c r="A207" i="7" s="1"/>
  <c r="A208" i="7" s="1"/>
  <c r="A209" i="7" s="1"/>
  <c r="A210" i="7" s="1"/>
  <c r="A211" i="7" s="1"/>
  <c r="A212" i="7" s="1"/>
  <c r="A213" i="7" s="1"/>
  <c r="A214" i="7" s="1"/>
  <c r="A215" i="7" s="1"/>
  <c r="A216" i="7" s="1"/>
  <c r="A217" i="7" s="1"/>
  <c r="A218" i="7" s="1"/>
  <c r="A219" i="7" s="1"/>
  <c r="A220" i="7" s="1"/>
  <c r="A221" i="7" s="1"/>
  <c r="A222" i="7" s="1"/>
  <c r="A223" i="7" s="1"/>
  <c r="A224" i="7" s="1"/>
  <c r="A225" i="7" s="1"/>
  <c r="A226" i="7" s="1"/>
  <c r="A227" i="7" s="1"/>
  <c r="A228" i="7" s="1"/>
  <c r="A229" i="7" s="1"/>
  <c r="A230" i="7" s="1"/>
  <c r="A231" i="7" s="1"/>
  <c r="A232" i="7" s="1"/>
  <c r="A233" i="7" s="1"/>
  <c r="A234" i="7" s="1"/>
  <c r="A235" i="7" s="1"/>
  <c r="A236" i="7" s="1"/>
  <c r="A237" i="7" s="1"/>
  <c r="A238" i="7" s="1"/>
  <c r="A239" i="7" s="1"/>
  <c r="A240" i="7" s="1"/>
  <c r="A241" i="7" s="1"/>
  <c r="A242" i="7" s="1"/>
  <c r="A243" i="7" s="1"/>
  <c r="A244" i="7" s="1"/>
  <c r="A245" i="7" s="1"/>
  <c r="A246" i="7" s="1"/>
  <c r="A247" i="7" s="1"/>
  <c r="A248" i="7" s="1"/>
  <c r="A249" i="7" s="1"/>
  <c r="A250" i="7" s="1"/>
  <c r="A251" i="7" s="1"/>
  <c r="A252" i="7" s="1"/>
  <c r="A253" i="7" s="1"/>
  <c r="A254" i="7" s="1"/>
  <c r="A255" i="7" s="1"/>
  <c r="A256" i="7" s="1"/>
  <c r="A257" i="7" s="1"/>
  <c r="A258" i="7" s="1"/>
  <c r="A259" i="7" s="1"/>
  <c r="A260" i="7" s="1"/>
  <c r="A261" i="7" s="1"/>
  <c r="A262" i="7" s="1"/>
  <c r="A263" i="7" s="1"/>
  <c r="A264" i="7" s="1"/>
  <c r="A265" i="7" s="1"/>
  <c r="A266" i="7" s="1"/>
  <c r="A267" i="7" s="1"/>
  <c r="A268" i="7" s="1"/>
  <c r="A269" i="7" s="1"/>
  <c r="A270" i="7" s="1"/>
  <c r="A271" i="7" s="1"/>
  <c r="A272" i="7" s="1"/>
  <c r="A273" i="7" s="1"/>
  <c r="A274" i="7" s="1"/>
  <c r="A275" i="7" s="1"/>
  <c r="A276" i="7" s="1"/>
  <c r="A277" i="7" s="1"/>
  <c r="A278" i="7" s="1"/>
  <c r="A279" i="7" s="1"/>
  <c r="A280" i="7" s="1"/>
  <c r="A281" i="7" s="1"/>
  <c r="A282" i="7" s="1"/>
  <c r="A283" i="7" s="1"/>
  <c r="A284" i="7" s="1"/>
  <c r="A285" i="7" s="1"/>
  <c r="A286" i="7" s="1"/>
  <c r="A287" i="7" s="1"/>
  <c r="A288" i="7" s="1"/>
  <c r="A289" i="7" s="1"/>
  <c r="A290" i="7" s="1"/>
  <c r="A291" i="7" s="1"/>
  <c r="A292" i="7" s="1"/>
  <c r="A293" i="7" s="1"/>
  <c r="A294" i="7" s="1"/>
  <c r="A295" i="7" s="1"/>
  <c r="A296" i="7" s="1"/>
  <c r="A297" i="7" s="1"/>
  <c r="A298" i="7" s="1"/>
  <c r="A299" i="7" s="1"/>
  <c r="A300" i="7" s="1"/>
  <c r="A301" i="7" s="1"/>
  <c r="A302" i="7" s="1"/>
  <c r="A303" i="7" s="1"/>
  <c r="A304" i="7" s="1"/>
  <c r="A305" i="7" s="1"/>
  <c r="A306" i="7" s="1"/>
  <c r="A307" i="7" s="1"/>
  <c r="A308" i="7" s="1"/>
  <c r="A309" i="7" s="1"/>
  <c r="A310" i="7" s="1"/>
  <c r="A311" i="7" s="1"/>
  <c r="A312" i="7" s="1"/>
  <c r="A313" i="7" s="1"/>
  <c r="A314" i="7" s="1"/>
  <c r="A315" i="7" s="1"/>
  <c r="A316" i="7" s="1"/>
  <c r="A317" i="7" s="1"/>
  <c r="A318" i="7" s="1"/>
  <c r="A319" i="7" s="1"/>
  <c r="A320" i="7" s="1"/>
  <c r="A321" i="7" s="1"/>
  <c r="A322" i="7" s="1"/>
  <c r="A323" i="7" s="1"/>
  <c r="A324" i="7" s="1"/>
  <c r="A325" i="7" s="1"/>
  <c r="A326" i="7" s="1"/>
  <c r="A327" i="7" s="1"/>
  <c r="A328" i="7" s="1"/>
  <c r="A329" i="7" s="1"/>
  <c r="A330" i="7" s="1"/>
  <c r="A331" i="7" s="1"/>
  <c r="A332" i="7" s="1"/>
  <c r="A333" i="7" s="1"/>
  <c r="A334" i="7" s="1"/>
  <c r="A335" i="7" s="1"/>
  <c r="A336" i="7" s="1"/>
  <c r="A337" i="7" s="1"/>
  <c r="A338" i="7" s="1"/>
  <c r="A339" i="7" s="1"/>
  <c r="A340" i="7" s="1"/>
  <c r="A341" i="7" s="1"/>
  <c r="A342" i="7" s="1"/>
  <c r="A343" i="7" s="1"/>
  <c r="A344" i="7" s="1"/>
  <c r="A345" i="7" s="1"/>
  <c r="A346" i="7" s="1"/>
  <c r="A347" i="7" s="1"/>
  <c r="A348" i="7" s="1"/>
  <c r="A349" i="7" s="1"/>
  <c r="A350" i="7" s="1"/>
  <c r="A351" i="7" s="1"/>
  <c r="A352" i="7" s="1"/>
  <c r="A353" i="7" s="1"/>
  <c r="A354" i="7" s="1"/>
  <c r="A355" i="7" s="1"/>
  <c r="A356" i="7" s="1"/>
  <c r="A357" i="7" s="1"/>
  <c r="A358" i="7" s="1"/>
  <c r="A359" i="7" s="1"/>
  <c r="A360" i="7" s="1"/>
  <c r="A361" i="7" s="1"/>
  <c r="A362" i="7" s="1"/>
  <c r="A363" i="7" s="1"/>
  <c r="A364" i="7" s="1"/>
  <c r="A365" i="7" s="1"/>
  <c r="A366" i="7" s="1"/>
  <c r="A367" i="7" s="1"/>
  <c r="A368" i="7" s="1"/>
  <c r="A369" i="7" s="1"/>
  <c r="A370" i="7" s="1"/>
  <c r="A371" i="7" s="1"/>
  <c r="A372" i="7" s="1"/>
  <c r="A373" i="7" s="1"/>
  <c r="A374" i="7" s="1"/>
  <c r="A375" i="7" s="1"/>
  <c r="A376" i="7" s="1"/>
  <c r="A377" i="7" s="1"/>
  <c r="A378" i="7" s="1"/>
  <c r="A379" i="7" s="1"/>
  <c r="A380" i="7" s="1"/>
  <c r="A381" i="7" s="1"/>
  <c r="A382" i="7" s="1"/>
  <c r="A383" i="7" s="1"/>
  <c r="A384" i="7" s="1"/>
  <c r="A385" i="7" s="1"/>
  <c r="A386" i="7" s="1"/>
  <c r="A387" i="7" s="1"/>
  <c r="A388" i="7" s="1"/>
  <c r="A389" i="7" s="1"/>
  <c r="A390" i="7" s="1"/>
  <c r="A391" i="7" s="1"/>
  <c r="A392" i="7" s="1"/>
  <c r="A393" i="7" s="1"/>
  <c r="A394" i="7" s="1"/>
  <c r="A395" i="7" s="1"/>
  <c r="A396" i="7" s="1"/>
  <c r="A397" i="7" s="1"/>
  <c r="A398" i="7" s="1"/>
  <c r="A399" i="7" s="1"/>
  <c r="A400" i="7" s="1"/>
  <c r="A401" i="7" s="1"/>
  <c r="A402" i="7" s="1"/>
  <c r="A403" i="7" s="1"/>
  <c r="A404" i="7" s="1"/>
  <c r="A405" i="7" s="1"/>
  <c r="A406" i="7" s="1"/>
  <c r="A407" i="7" s="1"/>
  <c r="A408" i="7" s="1"/>
  <c r="A409" i="7" s="1"/>
  <c r="A410" i="7" s="1"/>
  <c r="A411" i="7" s="1"/>
  <c r="A412" i="7" s="1"/>
  <c r="A413" i="7" s="1"/>
  <c r="A414" i="7" s="1"/>
  <c r="A415" i="7" s="1"/>
  <c r="A416" i="7" s="1"/>
  <c r="A417" i="7" s="1"/>
  <c r="A418" i="7" s="1"/>
  <c r="A419" i="7" s="1"/>
  <c r="A420" i="7" s="1"/>
  <c r="A421" i="7" s="1"/>
  <c r="A422" i="7" s="1"/>
  <c r="A423" i="7" s="1"/>
  <c r="A424" i="7" s="1"/>
  <c r="A425" i="7" s="1"/>
  <c r="A426" i="7" s="1"/>
  <c r="A427" i="7" s="1"/>
  <c r="A428" i="7" s="1"/>
  <c r="A429" i="7" s="1"/>
  <c r="A430" i="7" s="1"/>
  <c r="A431" i="7" s="1"/>
  <c r="A432" i="7" s="1"/>
  <c r="A433" i="7" s="1"/>
  <c r="A434" i="7" s="1"/>
  <c r="A435" i="7" s="1"/>
  <c r="A436" i="7" s="1"/>
  <c r="A437" i="7" s="1"/>
  <c r="A438" i="7" s="1"/>
  <c r="A439" i="7" s="1"/>
  <c r="A440" i="7" s="1"/>
  <c r="A441" i="7" s="1"/>
  <c r="A442" i="7" s="1"/>
  <c r="A443" i="7" s="1"/>
  <c r="A444" i="7" s="1"/>
  <c r="A445" i="7" s="1"/>
  <c r="A446" i="7" s="1"/>
  <c r="A447" i="7" s="1"/>
  <c r="A448" i="7" s="1"/>
  <c r="A449" i="7" s="1"/>
  <c r="A450" i="7" s="1"/>
  <c r="A451" i="7" s="1"/>
  <c r="A452" i="7" s="1"/>
  <c r="A453" i="7" s="1"/>
  <c r="A454" i="7" s="1"/>
  <c r="A455" i="7" s="1"/>
  <c r="A456" i="7" s="1"/>
  <c r="A457" i="7" s="1"/>
  <c r="A458" i="7" s="1"/>
  <c r="A459" i="7" s="1"/>
  <c r="A460" i="7" s="1"/>
  <c r="A461" i="7" s="1"/>
  <c r="A462" i="7" s="1"/>
  <c r="A463" i="7" s="1"/>
  <c r="A464" i="7" s="1"/>
  <c r="A465" i="7" s="1"/>
  <c r="A466" i="7" s="1"/>
  <c r="A467" i="7" s="1"/>
  <c r="A468" i="7" s="1"/>
  <c r="A469" i="7" s="1"/>
  <c r="A470" i="7" s="1"/>
  <c r="A471" i="7" s="1"/>
  <c r="A472" i="7" s="1"/>
  <c r="A473" i="7" s="1"/>
  <c r="A474" i="7" s="1"/>
  <c r="A475" i="7" s="1"/>
  <c r="A476" i="7" s="1"/>
  <c r="A477" i="7" s="1"/>
  <c r="A478" i="7" s="1"/>
  <c r="A479" i="7" s="1"/>
  <c r="A480" i="7" s="1"/>
  <c r="A481" i="7" s="1"/>
  <c r="A482" i="7" s="1"/>
  <c r="A483" i="7" s="1"/>
  <c r="A484" i="7" s="1"/>
  <c r="A485" i="7" s="1"/>
  <c r="A486" i="7" s="1"/>
  <c r="A487" i="7" s="1"/>
  <c r="A488" i="7" s="1"/>
  <c r="A489" i="7" s="1"/>
  <c r="A490" i="7" s="1"/>
  <c r="A491" i="7" s="1"/>
  <c r="A492" i="7" s="1"/>
  <c r="A493" i="7" s="1"/>
  <c r="A494" i="7" s="1"/>
  <c r="A495" i="7" s="1"/>
  <c r="A496" i="7" s="1"/>
  <c r="A497" i="7" s="1"/>
  <c r="A498" i="7" s="1"/>
  <c r="A499" i="7" s="1"/>
  <c r="A500" i="7" s="1"/>
  <c r="A501" i="7" s="1"/>
  <c r="A502" i="7" s="1"/>
  <c r="A503" i="7" s="1"/>
  <c r="A504" i="7" s="1"/>
  <c r="A505" i="7" s="1"/>
  <c r="A506" i="7" s="1"/>
  <c r="A507" i="7" s="1"/>
  <c r="A508" i="7" s="1"/>
  <c r="A509" i="7" s="1"/>
  <c r="A510" i="7" s="1"/>
  <c r="A511" i="7" s="1"/>
  <c r="A512" i="7" s="1"/>
  <c r="A513" i="7" s="1"/>
  <c r="A514" i="7" s="1"/>
  <c r="A515" i="7" s="1"/>
  <c r="A516" i="7" s="1"/>
  <c r="A517" i="7" s="1"/>
  <c r="A518" i="7" s="1"/>
  <c r="A519" i="7" s="1"/>
  <c r="A520" i="7" s="1"/>
  <c r="A521" i="7" s="1"/>
  <c r="A522" i="7" s="1"/>
  <c r="A523" i="7" s="1"/>
  <c r="A524" i="7" s="1"/>
  <c r="A525" i="7" s="1"/>
  <c r="A526" i="7" s="1"/>
  <c r="A527" i="7" s="1"/>
  <c r="A528" i="7" s="1"/>
  <c r="A529" i="7" s="1"/>
  <c r="A530" i="7" s="1"/>
  <c r="A531" i="7" s="1"/>
  <c r="A532" i="7" s="1"/>
  <c r="A533" i="7" s="1"/>
  <c r="A534" i="7" s="1"/>
  <c r="A535" i="7" s="1"/>
  <c r="A536" i="7" s="1"/>
  <c r="A537" i="7" s="1"/>
  <c r="A538" i="7" s="1"/>
  <c r="A539" i="7" s="1"/>
  <c r="A540" i="7" s="1"/>
  <c r="A541" i="7" s="1"/>
  <c r="A542" i="7" s="1"/>
  <c r="A543" i="7" s="1"/>
  <c r="A544" i="7" s="1"/>
  <c r="A545" i="7" s="1"/>
  <c r="A546" i="7" s="1"/>
  <c r="A547" i="7" s="1"/>
  <c r="A548" i="7" s="1"/>
  <c r="A549" i="7" s="1"/>
  <c r="A550" i="7" s="1"/>
  <c r="A551" i="7" s="1"/>
  <c r="A552" i="7" s="1"/>
  <c r="A553" i="7" s="1"/>
  <c r="A554" i="7" s="1"/>
  <c r="A555" i="7" s="1"/>
  <c r="A556" i="7" s="1"/>
  <c r="A557" i="7" s="1"/>
  <c r="A558" i="7" s="1"/>
  <c r="A559" i="7" s="1"/>
  <c r="A560" i="7" s="1"/>
  <c r="A561" i="7" s="1"/>
  <c r="A562" i="7" s="1"/>
  <c r="A563" i="7" s="1"/>
  <c r="A564" i="7" s="1"/>
  <c r="A565" i="7" s="1"/>
  <c r="A566" i="7" s="1"/>
  <c r="A567" i="7" s="1"/>
  <c r="A568" i="7" s="1"/>
  <c r="A569" i="7" s="1"/>
  <c r="A570" i="7" s="1"/>
  <c r="A571" i="7" s="1"/>
  <c r="A572" i="7" s="1"/>
  <c r="A573" i="7" s="1"/>
  <c r="A574" i="7" s="1"/>
  <c r="A575" i="7" s="1"/>
  <c r="A576" i="7" s="1"/>
  <c r="A577" i="7" s="1"/>
  <c r="A578" i="7" s="1"/>
  <c r="A579" i="7" s="1"/>
  <c r="A580" i="7" s="1"/>
  <c r="A581" i="7" s="1"/>
  <c r="A582" i="7" s="1"/>
  <c r="A583" i="7" s="1"/>
  <c r="A584" i="7" s="1"/>
  <c r="A585" i="7" s="1"/>
  <c r="A586" i="7" s="1"/>
  <c r="A587" i="7" s="1"/>
  <c r="A588" i="7" s="1"/>
  <c r="A589" i="7" s="1"/>
  <c r="A590" i="7" s="1"/>
  <c r="A591" i="7" s="1"/>
  <c r="A592" i="7" s="1"/>
  <c r="A593" i="7" s="1"/>
  <c r="A594" i="7" s="1"/>
  <c r="A595" i="7" s="1"/>
  <c r="A596" i="7" s="1"/>
  <c r="A597" i="7" s="1"/>
  <c r="A598" i="7" s="1"/>
  <c r="A599" i="7" s="1"/>
  <c r="A600" i="7" s="1"/>
  <c r="A601" i="7" s="1"/>
  <c r="A602" i="7" s="1"/>
  <c r="A603" i="7" s="1"/>
  <c r="A604" i="7" s="1"/>
  <c r="A605" i="7" s="1"/>
  <c r="A606" i="7" s="1"/>
  <c r="A607" i="7" s="1"/>
  <c r="A608" i="7" s="1"/>
  <c r="A609" i="7" s="1"/>
  <c r="A610" i="7" s="1"/>
  <c r="A611" i="7" s="1"/>
  <c r="A612" i="7" s="1"/>
  <c r="A613" i="7" s="1"/>
  <c r="A614" i="7" s="1"/>
  <c r="A615" i="7" s="1"/>
  <c r="A616" i="7" s="1"/>
  <c r="A617" i="7" s="1"/>
  <c r="A618" i="7" s="1"/>
  <c r="A619" i="7" s="1"/>
  <c r="A620" i="7" s="1"/>
  <c r="A621" i="7" s="1"/>
  <c r="A622" i="7" s="1"/>
  <c r="A623" i="7" s="1"/>
  <c r="A624" i="7" s="1"/>
  <c r="A625" i="7" s="1"/>
  <c r="A626" i="7" s="1"/>
  <c r="A627" i="7" s="1"/>
  <c r="A628" i="7" s="1"/>
  <c r="A629" i="7" s="1"/>
  <c r="A630" i="7" s="1"/>
  <c r="A631" i="7" s="1"/>
  <c r="A632" i="7" s="1"/>
  <c r="A633" i="7" s="1"/>
  <c r="A634" i="7" s="1"/>
  <c r="A635" i="7" s="1"/>
  <c r="A636" i="7" s="1"/>
  <c r="A637" i="7" s="1"/>
  <c r="A638" i="7" s="1"/>
  <c r="A639" i="7" s="1"/>
  <c r="A640" i="7" s="1"/>
  <c r="A641" i="7" s="1"/>
  <c r="A642" i="7" s="1"/>
  <c r="A643" i="7" s="1"/>
  <c r="A644" i="7" s="1"/>
  <c r="A645" i="7" s="1"/>
  <c r="A646" i="7" s="1"/>
  <c r="A647" i="7" s="1"/>
  <c r="A648" i="7" s="1"/>
  <c r="A649" i="7" s="1"/>
  <c r="A650" i="7" s="1"/>
  <c r="A651" i="7" s="1"/>
  <c r="A652" i="7" s="1"/>
  <c r="A653" i="7" s="1"/>
  <c r="A654" i="7" s="1"/>
  <c r="A655" i="7" s="1"/>
  <c r="A656" i="7" s="1"/>
  <c r="A657" i="7" s="1"/>
  <c r="A658" i="7" s="1"/>
  <c r="A659" i="7" s="1"/>
  <c r="A660" i="7" s="1"/>
  <c r="A661" i="7" s="1"/>
  <c r="A662" i="7" s="1"/>
  <c r="A663" i="7" s="1"/>
  <c r="A664" i="7" s="1"/>
  <c r="A665" i="7" s="1"/>
  <c r="A666" i="7" s="1"/>
  <c r="A667" i="7" s="1"/>
  <c r="A668" i="7" s="1"/>
  <c r="A669" i="7" s="1"/>
  <c r="A670" i="7" s="1"/>
  <c r="A671" i="7" s="1"/>
  <c r="A672" i="7" s="1"/>
  <c r="A673" i="7" s="1"/>
  <c r="A674" i="7" s="1"/>
  <c r="A675" i="7" s="1"/>
  <c r="A676" i="7" s="1"/>
  <c r="A677" i="7" s="1"/>
  <c r="A678" i="7" s="1"/>
  <c r="A679" i="7" s="1"/>
  <c r="A680" i="7" s="1"/>
  <c r="A681" i="7" s="1"/>
  <c r="A682" i="7" s="1"/>
  <c r="A683" i="7" s="1"/>
  <c r="A684" i="7" s="1"/>
  <c r="A685" i="7" s="1"/>
  <c r="A686" i="7" s="1"/>
  <c r="A687" i="7" s="1"/>
  <c r="A688" i="7" s="1"/>
  <c r="A689" i="7" s="1"/>
  <c r="A690" i="7" s="1"/>
  <c r="A691" i="7" s="1"/>
  <c r="A692" i="7" s="1"/>
  <c r="A693" i="7" s="1"/>
  <c r="A694" i="7" s="1"/>
  <c r="A695" i="7" s="1"/>
  <c r="A696" i="7" s="1"/>
  <c r="A697" i="7" s="1"/>
  <c r="A698" i="7" s="1"/>
  <c r="A699" i="7" s="1"/>
  <c r="A700" i="7" s="1"/>
  <c r="A701" i="7" s="1"/>
  <c r="A702" i="7" s="1"/>
  <c r="A703" i="7" s="1"/>
  <c r="A704" i="7" s="1"/>
  <c r="A705" i="7" s="1"/>
  <c r="A706" i="7" s="1"/>
  <c r="A707" i="7" s="1"/>
  <c r="A708" i="7" s="1"/>
  <c r="A709" i="7" s="1"/>
  <c r="A710" i="7" s="1"/>
  <c r="A711" i="7" s="1"/>
  <c r="A712" i="7" s="1"/>
  <c r="A713" i="7" s="1"/>
  <c r="A714" i="7" s="1"/>
  <c r="A715" i="7" s="1"/>
  <c r="A716" i="7" s="1"/>
  <c r="A717" i="7" s="1"/>
  <c r="A718" i="7" s="1"/>
  <c r="A719" i="7" s="1"/>
  <c r="A720" i="7" s="1"/>
  <c r="A721" i="7" s="1"/>
  <c r="A722" i="7" s="1"/>
  <c r="A723" i="7" s="1"/>
  <c r="A724" i="7" s="1"/>
  <c r="A725" i="7" s="1"/>
  <c r="A726" i="7" s="1"/>
  <c r="A727" i="7" s="1"/>
  <c r="A728" i="7" s="1"/>
  <c r="A729" i="7" s="1"/>
  <c r="A730" i="7" s="1"/>
  <c r="A731" i="7" s="1"/>
  <c r="A732" i="7" s="1"/>
  <c r="A733" i="7" s="1"/>
  <c r="A734" i="7" s="1"/>
  <c r="A735" i="7" s="1"/>
  <c r="A736" i="7" s="1"/>
  <c r="A737" i="7" s="1"/>
  <c r="A738" i="7" s="1"/>
  <c r="A739" i="7" s="1"/>
  <c r="A740" i="7" s="1"/>
  <c r="A741" i="7" s="1"/>
  <c r="A742" i="7" s="1"/>
  <c r="A743" i="7" s="1"/>
  <c r="A744" i="7" s="1"/>
  <c r="A745" i="7" s="1"/>
  <c r="A746" i="7" s="1"/>
  <c r="A747" i="7" s="1"/>
  <c r="A748" i="7" s="1"/>
  <c r="A749" i="7" s="1"/>
  <c r="A750" i="7" s="1"/>
  <c r="A751" i="7" s="1"/>
  <c r="A752" i="7" s="1"/>
  <c r="A753" i="7" s="1"/>
  <c r="A754" i="7" s="1"/>
  <c r="A755" i="7" s="1"/>
  <c r="A756" i="7" s="1"/>
  <c r="A757" i="7" s="1"/>
  <c r="A758" i="7" s="1"/>
  <c r="A759" i="7" s="1"/>
  <c r="A760" i="7" s="1"/>
  <c r="A761" i="7" s="1"/>
  <c r="A762" i="7" s="1"/>
  <c r="A763" i="7" s="1"/>
  <c r="A764" i="7" s="1"/>
  <c r="A765" i="7" s="1"/>
  <c r="A766" i="7" s="1"/>
  <c r="A767" i="7" s="1"/>
  <c r="A768" i="7" s="1"/>
  <c r="A769" i="7" s="1"/>
  <c r="A770" i="7" s="1"/>
  <c r="A771" i="7" s="1"/>
  <c r="A772" i="7" s="1"/>
  <c r="A773" i="7" s="1"/>
  <c r="A774" i="7" s="1"/>
  <c r="A775" i="7" s="1"/>
  <c r="A776" i="7" s="1"/>
  <c r="A777" i="7" s="1"/>
  <c r="A778" i="7" s="1"/>
  <c r="A779" i="7" s="1"/>
  <c r="A780" i="7" s="1"/>
  <c r="A781" i="7" s="1"/>
  <c r="A782" i="7" s="1"/>
  <c r="A783" i="7" s="1"/>
  <c r="A784" i="7" s="1"/>
  <c r="A785" i="7" s="1"/>
  <c r="A786" i="7" s="1"/>
  <c r="A787" i="7" s="1"/>
  <c r="A788" i="7" s="1"/>
  <c r="A789" i="7" s="1"/>
  <c r="A790" i="7" s="1"/>
  <c r="A791" i="7" s="1"/>
  <c r="A792" i="7" s="1"/>
  <c r="A793" i="7" s="1"/>
  <c r="A794" i="7" s="1"/>
  <c r="A795" i="7" s="1"/>
  <c r="A796" i="7" s="1"/>
  <c r="A797" i="7" s="1"/>
  <c r="A798" i="7" s="1"/>
  <c r="A799" i="7" s="1"/>
  <c r="A800" i="7" s="1"/>
  <c r="A801" i="7" s="1"/>
  <c r="A802" i="7" s="1"/>
  <c r="A803" i="7" s="1"/>
  <c r="A804" i="7" s="1"/>
  <c r="A805" i="7" s="1"/>
  <c r="A806" i="7" s="1"/>
  <c r="A807" i="7" s="1"/>
  <c r="A808" i="7" s="1"/>
  <c r="A809" i="7" s="1"/>
  <c r="A810" i="7" s="1"/>
  <c r="A811" i="7" s="1"/>
  <c r="A812" i="7" s="1"/>
  <c r="A813" i="7" s="1"/>
  <c r="A814" i="7" s="1"/>
  <c r="A815" i="7" s="1"/>
  <c r="A816" i="7" s="1"/>
  <c r="A817" i="7" s="1"/>
  <c r="A818" i="7" s="1"/>
  <c r="A819" i="7" s="1"/>
  <c r="A820" i="7" s="1"/>
  <c r="A821" i="7" s="1"/>
  <c r="A822" i="7" s="1"/>
  <c r="A823" i="7" s="1"/>
  <c r="A824" i="7" s="1"/>
  <c r="A825" i="7" s="1"/>
  <c r="A826" i="7" s="1"/>
  <c r="A827" i="7" s="1"/>
  <c r="A828" i="7" s="1"/>
  <c r="A829" i="7" s="1"/>
  <c r="A830" i="7" s="1"/>
  <c r="A831" i="7" s="1"/>
  <c r="A832" i="7" s="1"/>
  <c r="A833" i="7" s="1"/>
  <c r="A834" i="7" s="1"/>
  <c r="A835" i="7" s="1"/>
  <c r="A836" i="7" s="1"/>
  <c r="A837" i="7" s="1"/>
  <c r="A838" i="7" s="1"/>
  <c r="A839" i="7" s="1"/>
  <c r="A840" i="7" s="1"/>
  <c r="A841" i="7" s="1"/>
  <c r="A842" i="7" s="1"/>
  <c r="A843" i="7" s="1"/>
  <c r="A844" i="7" s="1"/>
  <c r="A845" i="7" s="1"/>
  <c r="A846" i="7" s="1"/>
  <c r="A847" i="7" s="1"/>
  <c r="A848" i="7" s="1"/>
  <c r="A849" i="7" s="1"/>
  <c r="A850" i="7" s="1"/>
  <c r="A851" i="7" s="1"/>
  <c r="A852" i="7" s="1"/>
  <c r="A853" i="7" s="1"/>
  <c r="A854" i="7" s="1"/>
  <c r="A855" i="7" s="1"/>
  <c r="A856" i="7" s="1"/>
  <c r="A857" i="7" s="1"/>
  <c r="A858" i="7" s="1"/>
  <c r="A859" i="7" s="1"/>
  <c r="A860" i="7" s="1"/>
  <c r="A861" i="7" s="1"/>
  <c r="A862" i="7" s="1"/>
  <c r="A863" i="7" s="1"/>
  <c r="A864" i="7" s="1"/>
  <c r="A865" i="7" s="1"/>
  <c r="A866" i="7" s="1"/>
  <c r="A867" i="7" s="1"/>
  <c r="A868" i="7" s="1"/>
  <c r="A869" i="7" s="1"/>
  <c r="A870" i="7" s="1"/>
  <c r="A871" i="7" s="1"/>
  <c r="A872" i="7" s="1"/>
  <c r="A873" i="7" s="1"/>
  <c r="A874" i="7" s="1"/>
  <c r="A875" i="7" s="1"/>
  <c r="A876" i="7" s="1"/>
  <c r="A877" i="7" s="1"/>
  <c r="A878" i="7" s="1"/>
  <c r="A879" i="7" s="1"/>
  <c r="A880" i="7" s="1"/>
  <c r="A881" i="7" s="1"/>
  <c r="A882" i="7" s="1"/>
  <c r="A883" i="7" s="1"/>
  <c r="A884" i="7" s="1"/>
  <c r="A885" i="7" s="1"/>
  <c r="A886" i="7" s="1"/>
  <c r="A887" i="7" s="1"/>
  <c r="A888" i="7" s="1"/>
  <c r="A889" i="7" s="1"/>
  <c r="A890" i="7" s="1"/>
  <c r="A891" i="7" s="1"/>
  <c r="A892" i="7" s="1"/>
  <c r="A893" i="7" s="1"/>
  <c r="A894" i="7" s="1"/>
  <c r="A895" i="7" s="1"/>
  <c r="A896" i="7" s="1"/>
  <c r="A897" i="7" s="1"/>
  <c r="A898" i="7" s="1"/>
  <c r="A899" i="7" s="1"/>
  <c r="A900" i="7" s="1"/>
  <c r="A901" i="7" s="1"/>
  <c r="A902" i="7" s="1"/>
  <c r="A903" i="7" s="1"/>
  <c r="A904" i="7" s="1"/>
  <c r="A905" i="7" s="1"/>
  <c r="A906" i="7" s="1"/>
  <c r="A907" i="7" s="1"/>
  <c r="A908" i="7" s="1"/>
  <c r="A909" i="7" s="1"/>
  <c r="A910" i="7" s="1"/>
  <c r="A911" i="7" s="1"/>
  <c r="A912" i="7" s="1"/>
  <c r="A913" i="7" s="1"/>
  <c r="A914" i="7" s="1"/>
  <c r="A915" i="7" s="1"/>
  <c r="A916" i="7" s="1"/>
  <c r="A917" i="7" s="1"/>
  <c r="A918" i="7" s="1"/>
  <c r="A919" i="7" s="1"/>
  <c r="A920" i="7" s="1"/>
  <c r="A921" i="7" s="1"/>
  <c r="A922" i="7" s="1"/>
  <c r="A923" i="7" s="1"/>
  <c r="A924" i="7" s="1"/>
  <c r="A925" i="7" s="1"/>
  <c r="A926" i="7" s="1"/>
  <c r="A927" i="7" s="1"/>
  <c r="A928" i="7" s="1"/>
  <c r="A929" i="7" s="1"/>
  <c r="A930" i="7" s="1"/>
  <c r="A931" i="7" s="1"/>
  <c r="A932" i="7" s="1"/>
  <c r="A933" i="7" s="1"/>
  <c r="A934" i="7" s="1"/>
  <c r="A935" i="7" s="1"/>
  <c r="A936" i="7" s="1"/>
  <c r="A937" i="7" s="1"/>
  <c r="A938" i="7" s="1"/>
  <c r="A939" i="7" s="1"/>
  <c r="A940" i="7" s="1"/>
  <c r="A941" i="7" s="1"/>
  <c r="A942" i="7" s="1"/>
  <c r="A943" i="7" s="1"/>
  <c r="A944" i="7" s="1"/>
  <c r="A945" i="7" s="1"/>
  <c r="A946" i="7" s="1"/>
  <c r="A947" i="7" s="1"/>
  <c r="A948" i="7" s="1"/>
  <c r="A949" i="7" s="1"/>
  <c r="A950" i="7" s="1"/>
  <c r="A951" i="7" s="1"/>
  <c r="A952" i="7" s="1"/>
  <c r="A953" i="7" s="1"/>
  <c r="A954" i="7" s="1"/>
  <c r="A955" i="7" s="1"/>
  <c r="A956" i="7" s="1"/>
  <c r="A957" i="7" s="1"/>
  <c r="A958" i="7" s="1"/>
  <c r="A959" i="7" s="1"/>
  <c r="A960" i="7" s="1"/>
  <c r="A961" i="7" s="1"/>
  <c r="A962" i="7" s="1"/>
  <c r="A963" i="7" s="1"/>
  <c r="A964" i="7" s="1"/>
  <c r="A965" i="7" s="1"/>
  <c r="A966" i="7" s="1"/>
  <c r="A967" i="7" s="1"/>
  <c r="A968" i="7" s="1"/>
  <c r="A969" i="7" s="1"/>
  <c r="A970" i="7" s="1"/>
  <c r="A971" i="7" s="1"/>
  <c r="A972" i="7" s="1"/>
  <c r="A973" i="7" s="1"/>
  <c r="A974" i="7" s="1"/>
  <c r="A975" i="7" s="1"/>
  <c r="A976" i="7" s="1"/>
  <c r="A977" i="7" s="1"/>
  <c r="A978" i="7" s="1"/>
  <c r="A979" i="7" s="1"/>
  <c r="A980" i="7" s="1"/>
  <c r="A981" i="7" s="1"/>
  <c r="A982" i="7" s="1"/>
  <c r="A983" i="7" s="1"/>
  <c r="A984" i="7" s="1"/>
  <c r="A985" i="7" s="1"/>
  <c r="A986" i="7" s="1"/>
  <c r="A987" i="7" s="1"/>
  <c r="A988" i="7" s="1"/>
  <c r="A989" i="7" s="1"/>
  <c r="A990" i="7" s="1"/>
  <c r="A991" i="7" s="1"/>
  <c r="A992" i="7" s="1"/>
  <c r="A993" i="7" s="1"/>
  <c r="A994" i="7" s="1"/>
  <c r="A995" i="7" s="1"/>
  <c r="A996" i="7" s="1"/>
  <c r="A997" i="7" s="1"/>
  <c r="A998" i="7" s="1"/>
  <c r="A999" i="7" s="1"/>
  <c r="A1000" i="7" s="1"/>
  <c r="B1" i="7"/>
  <c r="C1002" i="1" l="1"/>
  <c r="C2" i="1"/>
  <c r="D2" i="6"/>
  <c r="CJ4" i="10"/>
  <c r="CN4" i="10"/>
  <c r="CR4" i="10"/>
  <c r="CV4" i="10"/>
  <c r="DD4" i="10"/>
  <c r="DH4" i="10"/>
  <c r="DP4" i="10"/>
  <c r="DT4" i="10"/>
  <c r="EB4" i="10"/>
  <c r="EJ4" i="10"/>
  <c r="ER4" i="10"/>
  <c r="EV4" i="10"/>
  <c r="EZ4" i="10"/>
  <c r="FD4" i="10"/>
  <c r="FH4" i="10"/>
  <c r="FL4" i="10"/>
  <c r="FP4" i="10"/>
  <c r="FT4" i="10"/>
  <c r="FX4" i="10"/>
  <c r="GF4" i="10"/>
  <c r="GJ4" i="10"/>
  <c r="N4" i="10"/>
  <c r="R4" i="10"/>
  <c r="L4" i="10"/>
  <c r="P4" i="10"/>
  <c r="T4" i="10"/>
  <c r="AB4" i="10"/>
  <c r="GN4" i="10"/>
  <c r="V4" i="10"/>
  <c r="AD4" i="10"/>
  <c r="AT4" i="10"/>
  <c r="D4" i="10"/>
  <c r="AF4" i="10"/>
  <c r="AJ4" i="10"/>
  <c r="AR4" i="10"/>
  <c r="AV4" i="10"/>
  <c r="AZ4" i="10"/>
  <c r="BH4" i="10"/>
  <c r="BL4" i="10"/>
  <c r="BP4" i="10"/>
  <c r="BT4" i="10"/>
  <c r="BX4" i="10"/>
  <c r="CB4" i="10"/>
  <c r="CF4" i="10"/>
  <c r="CZ4" i="10"/>
  <c r="DL4" i="10"/>
  <c r="DX4" i="10"/>
  <c r="EF4" i="10"/>
  <c r="EN4" i="10"/>
  <c r="GB4" i="10"/>
  <c r="BE4" i="10"/>
  <c r="F4" i="10"/>
  <c r="AH4" i="10"/>
  <c r="AL4" i="10"/>
  <c r="AX4" i="10"/>
  <c r="BB4" i="10"/>
  <c r="E4" i="10"/>
  <c r="J4" i="10"/>
  <c r="M4" i="10"/>
  <c r="Q4" i="10"/>
  <c r="U4" i="10"/>
  <c r="Z4" i="10"/>
  <c r="AC4" i="10"/>
  <c r="AG4" i="10"/>
  <c r="AK4" i="10"/>
  <c r="AP4" i="10"/>
  <c r="AS4" i="10"/>
  <c r="AW4" i="10"/>
  <c r="BA4" i="10"/>
  <c r="BF4" i="10"/>
  <c r="BI4" i="10"/>
  <c r="BM4" i="10"/>
  <c r="BQ4" i="10"/>
  <c r="BU4" i="10"/>
  <c r="BY4" i="10"/>
  <c r="CC4" i="10"/>
  <c r="CG4" i="10"/>
  <c r="CK4" i="10"/>
  <c r="CO4" i="10"/>
  <c r="CS4" i="10"/>
  <c r="CW4" i="10"/>
  <c r="DA4" i="10"/>
  <c r="DE4" i="10"/>
  <c r="DI4" i="10"/>
  <c r="DM4" i="10"/>
  <c r="DQ4" i="10"/>
  <c r="DU4" i="10"/>
  <c r="DY4" i="10"/>
  <c r="EC4" i="10"/>
  <c r="EG4" i="10"/>
  <c r="EK4" i="10"/>
  <c r="EO4" i="10"/>
  <c r="ES4" i="10"/>
  <c r="EW4" i="10"/>
  <c r="FA4" i="10"/>
  <c r="FE4" i="10"/>
  <c r="FI4" i="10"/>
  <c r="FM4" i="10"/>
  <c r="FQ4" i="10"/>
  <c r="FU4" i="10"/>
  <c r="FY4" i="10"/>
  <c r="GC4" i="10"/>
  <c r="GG4" i="10"/>
  <c r="GK4" i="10"/>
  <c r="GO4" i="10"/>
  <c r="I4" i="10"/>
  <c r="Y4" i="10"/>
  <c r="AO4" i="10"/>
  <c r="BJ4" i="10"/>
  <c r="BN4" i="10"/>
  <c r="BR4" i="10"/>
  <c r="BV4" i="10"/>
  <c r="BZ4" i="10"/>
  <c r="CD4" i="10"/>
  <c r="CH4" i="10"/>
  <c r="CL4" i="10"/>
  <c r="CP4" i="10"/>
  <c r="CT4" i="10"/>
  <c r="CX4" i="10"/>
  <c r="DB4" i="10"/>
  <c r="DF4" i="10"/>
  <c r="DJ4" i="10"/>
  <c r="DN4" i="10"/>
  <c r="DR4" i="10"/>
  <c r="DV4" i="10"/>
  <c r="DZ4" i="10"/>
  <c r="ED4" i="10"/>
  <c r="EH4" i="10"/>
  <c r="EL4" i="10"/>
  <c r="EP4" i="10"/>
  <c r="ET4" i="10"/>
  <c r="EX4" i="10"/>
  <c r="FB4" i="10"/>
  <c r="FF4" i="10"/>
  <c r="FJ4" i="10"/>
  <c r="FN4" i="10"/>
  <c r="FR4" i="10"/>
  <c r="FV4" i="10"/>
  <c r="FZ4" i="10"/>
  <c r="GD4" i="10"/>
  <c r="GH4" i="10"/>
  <c r="GL4" i="10"/>
  <c r="GP4" i="10"/>
  <c r="C4" i="10"/>
  <c r="G4" i="10"/>
  <c r="K4" i="10"/>
  <c r="O4" i="10"/>
  <c r="S4" i="10"/>
  <c r="W4" i="10"/>
  <c r="AA4" i="10"/>
  <c r="AE4" i="10"/>
  <c r="AI4" i="10"/>
  <c r="AM4" i="10"/>
  <c r="AQ4" i="10"/>
  <c r="AU4" i="10"/>
  <c r="AY4" i="10"/>
  <c r="BC4" i="10"/>
  <c r="BG4" i="10"/>
  <c r="BK4" i="10"/>
  <c r="BO4" i="10"/>
  <c r="BS4" i="10"/>
  <c r="BW4" i="10"/>
  <c r="CA4" i="10"/>
  <c r="CE4" i="10"/>
  <c r="CI4" i="10"/>
  <c r="CM4" i="10"/>
  <c r="CQ4" i="10"/>
  <c r="CU4" i="10"/>
  <c r="CY4" i="10"/>
  <c r="DC4" i="10"/>
  <c r="DG4" i="10"/>
  <c r="DK4" i="10"/>
  <c r="DO4" i="10"/>
  <c r="DS4" i="10"/>
  <c r="DW4" i="10"/>
  <c r="EA4" i="10"/>
  <c r="EE4" i="10"/>
  <c r="EI4" i="10"/>
  <c r="EM4" i="10"/>
  <c r="EQ4" i="10"/>
  <c r="EU4" i="10"/>
  <c r="EY4" i="10"/>
  <c r="FC4" i="10"/>
  <c r="FG4" i="10"/>
  <c r="FK4" i="10"/>
  <c r="FO4" i="10"/>
  <c r="FS4" i="10"/>
  <c r="FW4" i="10"/>
  <c r="GA4" i="10"/>
  <c r="GE4" i="10"/>
  <c r="GI4" i="10"/>
  <c r="GM4" i="10"/>
  <c r="GQ4" i="10"/>
  <c r="H4" i="10"/>
  <c r="X4" i="10"/>
  <c r="AN4" i="10"/>
  <c r="BD4" i="10"/>
  <c r="B4" i="10"/>
  <c r="E3" i="6"/>
  <c r="E2" i="6"/>
  <c r="B2" i="7" s="1"/>
  <c r="C3" i="1" s="1"/>
  <c r="E659" i="6"/>
  <c r="E673" i="6"/>
  <c r="E675" i="6"/>
  <c r="E681" i="6"/>
  <c r="E685" i="6"/>
  <c r="E229" i="6"/>
  <c r="E233" i="6"/>
  <c r="E237" i="6"/>
  <c r="E241" i="6"/>
  <c r="E245" i="6"/>
  <c r="E249" i="6"/>
  <c r="E253" i="6"/>
  <c r="E257" i="6"/>
  <c r="E261" i="6"/>
  <c r="E265" i="6"/>
  <c r="E269" i="6"/>
  <c r="E273" i="6"/>
  <c r="E277" i="6"/>
  <c r="E281" i="6"/>
  <c r="E285" i="6"/>
  <c r="E289" i="6"/>
  <c r="E731" i="6"/>
  <c r="E827" i="6"/>
  <c r="E855" i="6"/>
  <c r="E859" i="6"/>
  <c r="E293" i="6"/>
  <c r="E301" i="6"/>
  <c r="E305" i="6"/>
  <c r="E309" i="6"/>
  <c r="E313" i="6"/>
  <c r="E317" i="6"/>
  <c r="E321" i="6"/>
  <c r="E325" i="6"/>
  <c r="E329" i="6"/>
  <c r="E333" i="6"/>
  <c r="E337" i="6"/>
  <c r="E341" i="6"/>
  <c r="E343" i="6"/>
  <c r="E792" i="6"/>
  <c r="E804" i="6"/>
  <c r="E808" i="6"/>
  <c r="E447" i="6"/>
  <c r="E451" i="6"/>
  <c r="E455" i="6"/>
  <c r="E459" i="6"/>
  <c r="E763" i="6"/>
  <c r="E812" i="6"/>
  <c r="E816" i="6"/>
  <c r="E824" i="6"/>
  <c r="E297" i="6"/>
  <c r="E795" i="6"/>
  <c r="E819" i="6"/>
  <c r="E832" i="6"/>
  <c r="E852" i="6"/>
  <c r="E668" i="6"/>
  <c r="E670" i="6"/>
  <c r="E672" i="6"/>
  <c r="E684" i="6"/>
  <c r="E708" i="6"/>
  <c r="E807" i="6"/>
  <c r="E815" i="6"/>
  <c r="E862" i="6"/>
  <c r="E926" i="6"/>
  <c r="E928" i="6"/>
  <c r="E930" i="6"/>
  <c r="E932" i="6"/>
  <c r="E946" i="6"/>
  <c r="E948" i="6"/>
  <c r="E954" i="6"/>
  <c r="E956" i="6"/>
  <c r="E962" i="6"/>
  <c r="E964" i="6"/>
  <c r="E970" i="6"/>
  <c r="E972" i="6"/>
  <c r="E978" i="6"/>
  <c r="E980" i="6"/>
  <c r="E988" i="6"/>
  <c r="E839" i="6"/>
  <c r="E843" i="6"/>
  <c r="E20" i="6"/>
  <c r="E504" i="6"/>
  <c r="E576" i="6"/>
  <c r="E640" i="6"/>
  <c r="E665" i="6"/>
  <c r="E771" i="6"/>
  <c r="E779" i="6"/>
  <c r="E787" i="6"/>
  <c r="E800" i="6"/>
  <c r="E836" i="6"/>
  <c r="E840" i="6"/>
  <c r="E735" i="6"/>
  <c r="E739" i="6"/>
  <c r="E747" i="6"/>
  <c r="E751" i="6"/>
  <c r="E755" i="6"/>
  <c r="E796" i="6"/>
  <c r="E811" i="6"/>
  <c r="E828" i="6"/>
  <c r="E856" i="6"/>
  <c r="E858" i="6"/>
  <c r="E864" i="6"/>
  <c r="E868" i="6"/>
  <c r="E520" i="6"/>
  <c r="E652" i="6"/>
  <c r="E656" i="6"/>
  <c r="E767" i="6"/>
  <c r="E791" i="6"/>
  <c r="E823" i="6"/>
  <c r="E477" i="6"/>
  <c r="E649" i="6"/>
  <c r="E657" i="6"/>
  <c r="E719" i="6"/>
  <c r="E788" i="6"/>
  <c r="E799" i="6"/>
  <c r="E803" i="6"/>
  <c r="E820" i="6"/>
  <c r="E831" i="6"/>
  <c r="E835" i="6"/>
  <c r="E842" i="6"/>
  <c r="E846" i="6"/>
  <c r="E863" i="6"/>
  <c r="E867" i="6"/>
  <c r="E871" i="6"/>
  <c r="E742" i="6"/>
  <c r="E746" i="6"/>
  <c r="E774" i="6"/>
  <c r="E778" i="6"/>
  <c r="E994" i="6"/>
  <c r="E232" i="6"/>
  <c r="E240" i="6"/>
  <c r="E248" i="6"/>
  <c r="E256" i="6"/>
  <c r="E264" i="6"/>
  <c r="E276" i="6"/>
  <c r="E280" i="6"/>
  <c r="E284" i="6"/>
  <c r="E288" i="6"/>
  <c r="E292" i="6"/>
  <c r="E296" i="6"/>
  <c r="E300" i="6"/>
  <c r="E304" i="6"/>
  <c r="E308" i="6"/>
  <c r="E312" i="6"/>
  <c r="E316" i="6"/>
  <c r="E320" i="6"/>
  <c r="E324" i="6"/>
  <c r="E328" i="6"/>
  <c r="E332" i="6"/>
  <c r="E533" i="6"/>
  <c r="E660" i="6"/>
  <c r="E662" i="6"/>
  <c r="E664" i="6"/>
  <c r="E667" i="6"/>
  <c r="E676" i="6"/>
  <c r="E678" i="6"/>
  <c r="E680" i="6"/>
  <c r="E683" i="6"/>
  <c r="E726" i="6"/>
  <c r="E730" i="6"/>
  <c r="E758" i="6"/>
  <c r="E762" i="6"/>
  <c r="E847" i="6"/>
  <c r="E851" i="6"/>
  <c r="E351" i="6"/>
  <c r="E536" i="6"/>
  <c r="E715" i="6"/>
  <c r="E848" i="6"/>
  <c r="E870" i="6"/>
  <c r="E5" i="6"/>
  <c r="E7" i="6"/>
  <c r="E9" i="6"/>
  <c r="E11" i="6"/>
  <c r="E13" i="6"/>
  <c r="E15" i="6"/>
  <c r="E19" i="6"/>
  <c r="E653" i="6"/>
  <c r="E671" i="6"/>
  <c r="E687" i="6"/>
  <c r="E689" i="6"/>
  <c r="E691" i="6"/>
  <c r="E743" i="6"/>
  <c r="E775" i="6"/>
  <c r="E866" i="6"/>
  <c r="E4" i="6"/>
  <c r="E6" i="6"/>
  <c r="E8" i="6"/>
  <c r="E10" i="6"/>
  <c r="E12" i="6"/>
  <c r="E14" i="6"/>
  <c r="E53" i="6"/>
  <c r="E55" i="6"/>
  <c r="E790" i="6"/>
  <c r="E793" i="6"/>
  <c r="E798" i="6"/>
  <c r="E801" i="6"/>
  <c r="E806" i="6"/>
  <c r="E809" i="6"/>
  <c r="E814" i="6"/>
  <c r="E817" i="6"/>
  <c r="E822" i="6"/>
  <c r="E825" i="6"/>
  <c r="E830" i="6"/>
  <c r="E833" i="6"/>
  <c r="E838" i="6"/>
  <c r="E841" i="6"/>
  <c r="E844" i="6"/>
  <c r="E546" i="6"/>
  <c r="E550" i="6"/>
  <c r="E554" i="6"/>
  <c r="E558" i="6"/>
  <c r="E562" i="6"/>
  <c r="E568" i="6"/>
  <c r="E572" i="6"/>
  <c r="E578" i="6"/>
  <c r="E584" i="6"/>
  <c r="E588" i="6"/>
  <c r="E592" i="6"/>
  <c r="E594" i="6"/>
  <c r="E600" i="6"/>
  <c r="E604" i="6"/>
  <c r="E608" i="6"/>
  <c r="E610" i="6"/>
  <c r="E616" i="6"/>
  <c r="E620" i="6"/>
  <c r="E624" i="6"/>
  <c r="E626" i="6"/>
  <c r="E632" i="6"/>
  <c r="E636" i="6"/>
  <c r="E642" i="6"/>
  <c r="E648" i="6"/>
  <c r="E663" i="6"/>
  <c r="E679" i="6"/>
  <c r="E723" i="6"/>
  <c r="E727" i="6"/>
  <c r="E759" i="6"/>
  <c r="E850" i="6"/>
  <c r="E716" i="6"/>
  <c r="E782" i="6"/>
  <c r="E784" i="6"/>
  <c r="E789" i="6"/>
  <c r="E794" i="6"/>
  <c r="E797" i="6"/>
  <c r="E802" i="6"/>
  <c r="E805" i="6"/>
  <c r="E813" i="6"/>
  <c r="E818" i="6"/>
  <c r="E821" i="6"/>
  <c r="E826" i="6"/>
  <c r="E829" i="6"/>
  <c r="E834" i="6"/>
  <c r="E837" i="6"/>
  <c r="E854" i="6"/>
  <c r="E857" i="6"/>
  <c r="E860" i="6"/>
  <c r="E336" i="6"/>
  <c r="E340" i="6"/>
  <c r="E350" i="6"/>
  <c r="E358" i="6"/>
  <c r="E372" i="6"/>
  <c r="E374" i="6"/>
  <c r="E380" i="6"/>
  <c r="E382" i="6"/>
  <c r="E388" i="6"/>
  <c r="E390" i="6"/>
  <c r="E410" i="6"/>
  <c r="E418" i="6"/>
  <c r="E422" i="6"/>
  <c r="E426" i="6"/>
  <c r="E430" i="6"/>
  <c r="E446" i="6"/>
  <c r="E450" i="6"/>
  <c r="E454" i="6"/>
  <c r="E458" i="6"/>
  <c r="E472" i="6"/>
  <c r="E661" i="6"/>
  <c r="E666" i="6"/>
  <c r="E669" i="6"/>
  <c r="E674" i="6"/>
  <c r="E677" i="6"/>
  <c r="E682" i="6"/>
  <c r="E707" i="6"/>
  <c r="E718" i="6"/>
  <c r="E734" i="6"/>
  <c r="E750" i="6"/>
  <c r="E766" i="6"/>
  <c r="E786" i="6"/>
  <c r="E810" i="6"/>
  <c r="E853" i="6"/>
  <c r="E869" i="6"/>
  <c r="E872" i="6"/>
  <c r="E722" i="6"/>
  <c r="E738" i="6"/>
  <c r="E754" i="6"/>
  <c r="E770" i="6"/>
  <c r="E781" i="6"/>
  <c r="E783" i="6"/>
  <c r="E849" i="6"/>
  <c r="E865" i="6"/>
  <c r="E845" i="6"/>
  <c r="E861" i="6"/>
  <c r="E873" i="6"/>
  <c r="E901" i="6"/>
  <c r="E909" i="6"/>
  <c r="E894" i="6"/>
  <c r="E896" i="6"/>
  <c r="E902" i="6"/>
  <c r="E904" i="6"/>
  <c r="E910" i="6"/>
  <c r="E912" i="6"/>
  <c r="E996" i="6"/>
  <c r="E469" i="6"/>
  <c r="E512" i="6"/>
  <c r="E548" i="6"/>
  <c r="E556" i="6"/>
  <c r="E564" i="6"/>
  <c r="E577" i="6"/>
  <c r="E580" i="6"/>
  <c r="E593" i="6"/>
  <c r="E596" i="6"/>
  <c r="E609" i="6"/>
  <c r="E612" i="6"/>
  <c r="E625" i="6"/>
  <c r="E628" i="6"/>
  <c r="E641" i="6"/>
  <c r="E644" i="6"/>
  <c r="E57" i="6"/>
  <c r="E59" i="6"/>
  <c r="E61" i="6"/>
  <c r="E63" i="6"/>
  <c r="E65" i="6"/>
  <c r="E67" i="6"/>
  <c r="E69" i="6"/>
  <c r="E71" i="6"/>
  <c r="E73" i="6"/>
  <c r="E75" i="6"/>
  <c r="E77" i="6"/>
  <c r="E79" i="6"/>
  <c r="E81" i="6"/>
  <c r="E83" i="6"/>
  <c r="E85" i="6"/>
  <c r="E87" i="6"/>
  <c r="E89" i="6"/>
  <c r="E91" i="6"/>
  <c r="E93" i="6"/>
  <c r="E95" i="6"/>
  <c r="E97" i="6"/>
  <c r="E99" i="6"/>
  <c r="E101" i="6"/>
  <c r="E103" i="6"/>
  <c r="E105" i="6"/>
  <c r="E107" i="6"/>
  <c r="E109" i="6"/>
  <c r="E111" i="6"/>
  <c r="E113" i="6"/>
  <c r="E115" i="6"/>
  <c r="E117" i="6"/>
  <c r="E119" i="6"/>
  <c r="E121" i="6"/>
  <c r="E123" i="6"/>
  <c r="E125" i="6"/>
  <c r="E127" i="6"/>
  <c r="E129" i="6"/>
  <c r="E131" i="6"/>
  <c r="E133" i="6"/>
  <c r="E135" i="6"/>
  <c r="E137" i="6"/>
  <c r="E139" i="6"/>
  <c r="E141" i="6"/>
  <c r="E143" i="6"/>
  <c r="E145" i="6"/>
  <c r="E147" i="6"/>
  <c r="E149" i="6"/>
  <c r="E151" i="6"/>
  <c r="E153" i="6"/>
  <c r="E155" i="6"/>
  <c r="E157" i="6"/>
  <c r="E159" i="6"/>
  <c r="E161" i="6"/>
  <c r="E163" i="6"/>
  <c r="E165" i="6"/>
  <c r="E167" i="6"/>
  <c r="E169" i="6"/>
  <c r="E171" i="6"/>
  <c r="E173" i="6"/>
  <c r="E175" i="6"/>
  <c r="E177" i="6"/>
  <c r="E186" i="6"/>
  <c r="E485" i="6"/>
  <c r="E528" i="6"/>
  <c r="E651" i="6"/>
  <c r="E693" i="6"/>
  <c r="E16" i="6"/>
  <c r="E544" i="6"/>
  <c r="E552" i="6"/>
  <c r="E560" i="6"/>
  <c r="E570" i="6"/>
  <c r="E586" i="6"/>
  <c r="E602" i="6"/>
  <c r="E618" i="6"/>
  <c r="E634" i="6"/>
  <c r="E655" i="6"/>
  <c r="E496" i="6"/>
  <c r="E185" i="6"/>
  <c r="E278" i="6"/>
  <c r="E310" i="6"/>
  <c r="E318" i="6"/>
  <c r="E326" i="6"/>
  <c r="E334" i="6"/>
  <c r="E346" i="6"/>
  <c r="E362" i="6"/>
  <c r="E370" i="6"/>
  <c r="E384" i="6"/>
  <c r="E386" i="6"/>
  <c r="E398" i="6"/>
  <c r="E406" i="6"/>
  <c r="E435" i="6"/>
  <c r="E438" i="6"/>
  <c r="E443" i="6"/>
  <c r="E448" i="6"/>
  <c r="E461" i="6"/>
  <c r="E501" i="6"/>
  <c r="E517" i="6"/>
  <c r="E547" i="6"/>
  <c r="E551" i="6"/>
  <c r="E555" i="6"/>
  <c r="E559" i="6"/>
  <c r="E563" i="6"/>
  <c r="E566" i="6"/>
  <c r="E573" i="6"/>
  <c r="E582" i="6"/>
  <c r="E589" i="6"/>
  <c r="E598" i="6"/>
  <c r="E605" i="6"/>
  <c r="E614" i="6"/>
  <c r="E621" i="6"/>
  <c r="E630" i="6"/>
  <c r="E637" i="6"/>
  <c r="E646" i="6"/>
  <c r="E569" i="6"/>
  <c r="E585" i="6"/>
  <c r="E601" i="6"/>
  <c r="E617" i="6"/>
  <c r="E633" i="6"/>
  <c r="E179" i="6"/>
  <c r="E181" i="6"/>
  <c r="E183" i="6"/>
  <c r="E282" i="6"/>
  <c r="E306" i="6"/>
  <c r="E314" i="6"/>
  <c r="E322" i="6"/>
  <c r="E330" i="6"/>
  <c r="E338" i="6"/>
  <c r="E347" i="6"/>
  <c r="E354" i="6"/>
  <c r="E366" i="6"/>
  <c r="E376" i="6"/>
  <c r="E378" i="6"/>
  <c r="E392" i="6"/>
  <c r="E394" i="6"/>
  <c r="E402" i="6"/>
  <c r="E414" i="6"/>
  <c r="E434" i="6"/>
  <c r="E439" i="6"/>
  <c r="E442" i="6"/>
  <c r="E452" i="6"/>
  <c r="E480" i="6"/>
  <c r="E493" i="6"/>
  <c r="E509" i="6"/>
  <c r="E525" i="6"/>
  <c r="E541" i="6"/>
  <c r="E545" i="6"/>
  <c r="E549" i="6"/>
  <c r="E553" i="6"/>
  <c r="E557" i="6"/>
  <c r="E561" i="6"/>
  <c r="E565" i="6"/>
  <c r="E574" i="6"/>
  <c r="E581" i="6"/>
  <c r="E590" i="6"/>
  <c r="E597" i="6"/>
  <c r="E606" i="6"/>
  <c r="E613" i="6"/>
  <c r="E622" i="6"/>
  <c r="E629" i="6"/>
  <c r="E638" i="6"/>
  <c r="E645" i="6"/>
  <c r="E650" i="6"/>
  <c r="E654" i="6"/>
  <c r="E658" i="6"/>
  <c r="E567" i="6"/>
  <c r="E571" i="6"/>
  <c r="E575" i="6"/>
  <c r="E579" i="6"/>
  <c r="E583" i="6"/>
  <c r="E587" i="6"/>
  <c r="E591" i="6"/>
  <c r="E595" i="6"/>
  <c r="E599" i="6"/>
  <c r="E603" i="6"/>
  <c r="E607" i="6"/>
  <c r="E611" i="6"/>
  <c r="E615" i="6"/>
  <c r="E619" i="6"/>
  <c r="E623" i="6"/>
  <c r="E627" i="6"/>
  <c r="E631" i="6"/>
  <c r="E635" i="6"/>
  <c r="E639" i="6"/>
  <c r="E643" i="6"/>
  <c r="E647" i="6"/>
  <c r="E688" i="6"/>
  <c r="E692" i="6"/>
  <c r="E695" i="6"/>
  <c r="E697" i="6"/>
  <c r="E699" i="6"/>
  <c r="E701" i="6"/>
  <c r="E703" i="6"/>
  <c r="E686" i="6"/>
  <c r="E690" i="6"/>
  <c r="E694" i="6"/>
  <c r="E696" i="6"/>
  <c r="E698" i="6"/>
  <c r="E700" i="6"/>
  <c r="E702" i="6"/>
  <c r="E704" i="6"/>
  <c r="E898" i="6"/>
  <c r="E906" i="6"/>
  <c r="E914" i="6"/>
  <c r="E924" i="6"/>
  <c r="E942" i="6"/>
  <c r="E944" i="6"/>
  <c r="E952" i="6"/>
  <c r="E960" i="6"/>
  <c r="E968" i="6"/>
  <c r="E976" i="6"/>
  <c r="E984" i="6"/>
  <c r="E992" i="6"/>
  <c r="E1000" i="6"/>
  <c r="E712" i="6"/>
  <c r="E721" i="6"/>
  <c r="E725" i="6"/>
  <c r="E729" i="6"/>
  <c r="E733" i="6"/>
  <c r="E737" i="6"/>
  <c r="E741" i="6"/>
  <c r="E745" i="6"/>
  <c r="E749" i="6"/>
  <c r="E753" i="6"/>
  <c r="E757" i="6"/>
  <c r="E761" i="6"/>
  <c r="E765" i="6"/>
  <c r="E769" i="6"/>
  <c r="E773" i="6"/>
  <c r="E777" i="6"/>
  <c r="E785" i="6"/>
  <c r="E897" i="6"/>
  <c r="E900" i="6"/>
  <c r="E905" i="6"/>
  <c r="E908" i="6"/>
  <c r="E913" i="6"/>
  <c r="E916" i="6"/>
  <c r="E986" i="6"/>
  <c r="E1001" i="6"/>
  <c r="E711" i="6"/>
  <c r="E720" i="6"/>
  <c r="E724" i="6"/>
  <c r="E728" i="6"/>
  <c r="E732" i="6"/>
  <c r="E736" i="6"/>
  <c r="E740" i="6"/>
  <c r="E744" i="6"/>
  <c r="E748" i="6"/>
  <c r="E752" i="6"/>
  <c r="E756" i="6"/>
  <c r="E760" i="6"/>
  <c r="E764" i="6"/>
  <c r="E768" i="6"/>
  <c r="E772" i="6"/>
  <c r="E776" i="6"/>
  <c r="E780" i="6"/>
  <c r="E918" i="6"/>
  <c r="E920" i="6"/>
  <c r="E922" i="6"/>
  <c r="E934" i="6"/>
  <c r="E936" i="6"/>
  <c r="E938" i="6"/>
  <c r="E940" i="6"/>
  <c r="E950" i="6"/>
  <c r="E958" i="6"/>
  <c r="E966" i="6"/>
  <c r="E974" i="6"/>
  <c r="E982" i="6"/>
  <c r="E990" i="6"/>
  <c r="E998" i="6"/>
  <c r="E21" i="6"/>
  <c r="E23" i="6"/>
  <c r="E25" i="6"/>
  <c r="E27" i="6"/>
  <c r="E29" i="6"/>
  <c r="E31" i="6"/>
  <c r="E33" i="6"/>
  <c r="E35" i="6"/>
  <c r="E37" i="6"/>
  <c r="E39" i="6"/>
  <c r="E41" i="6"/>
  <c r="E43" i="6"/>
  <c r="E45" i="6"/>
  <c r="E47" i="6"/>
  <c r="E49" i="6"/>
  <c r="E51" i="6"/>
  <c r="E190" i="6"/>
  <c r="E192" i="6"/>
  <c r="E194" i="6"/>
  <c r="E196" i="6"/>
  <c r="E198" i="6"/>
  <c r="E200" i="6"/>
  <c r="E202" i="6"/>
  <c r="E204" i="6"/>
  <c r="E206" i="6"/>
  <c r="E208" i="6"/>
  <c r="E210" i="6"/>
  <c r="E212" i="6"/>
  <c r="E214" i="6"/>
  <c r="E216" i="6"/>
  <c r="E218" i="6"/>
  <c r="E220" i="6"/>
  <c r="E222" i="6"/>
  <c r="E224" i="6"/>
  <c r="E226" i="6"/>
  <c r="E497" i="6"/>
  <c r="E513" i="6"/>
  <c r="E529" i="6"/>
  <c r="E875" i="6"/>
  <c r="E883" i="6"/>
  <c r="E891" i="6"/>
  <c r="E899" i="6"/>
  <c r="E907" i="6"/>
  <c r="E915" i="6"/>
  <c r="E18" i="6"/>
  <c r="E17" i="6"/>
  <c r="E22" i="6"/>
  <c r="E24" i="6"/>
  <c r="E26" i="6"/>
  <c r="E28" i="6"/>
  <c r="E30" i="6"/>
  <c r="E32" i="6"/>
  <c r="E34" i="6"/>
  <c r="E36" i="6"/>
  <c r="E38" i="6"/>
  <c r="E40" i="6"/>
  <c r="E42" i="6"/>
  <c r="E44" i="6"/>
  <c r="E46" i="6"/>
  <c r="E48" i="6"/>
  <c r="E50" i="6"/>
  <c r="E52" i="6"/>
  <c r="E54" i="6"/>
  <c r="E56" i="6"/>
  <c r="E58" i="6"/>
  <c r="E60" i="6"/>
  <c r="E62" i="6"/>
  <c r="E64" i="6"/>
  <c r="E66" i="6"/>
  <c r="E68" i="6"/>
  <c r="E70" i="6"/>
  <c r="E72" i="6"/>
  <c r="E74" i="6"/>
  <c r="E76" i="6"/>
  <c r="E78" i="6"/>
  <c r="E80" i="6"/>
  <c r="E82" i="6"/>
  <c r="E84" i="6"/>
  <c r="E86" i="6"/>
  <c r="E88" i="6"/>
  <c r="E90" i="6"/>
  <c r="E92" i="6"/>
  <c r="E94" i="6"/>
  <c r="E96" i="6"/>
  <c r="E98" i="6"/>
  <c r="E100" i="6"/>
  <c r="E102" i="6"/>
  <c r="E104" i="6"/>
  <c r="E106" i="6"/>
  <c r="E108" i="6"/>
  <c r="E110" i="6"/>
  <c r="E112" i="6"/>
  <c r="E114" i="6"/>
  <c r="E116" i="6"/>
  <c r="E118" i="6"/>
  <c r="E120" i="6"/>
  <c r="E122" i="6"/>
  <c r="E124" i="6"/>
  <c r="E126" i="6"/>
  <c r="E128" i="6"/>
  <c r="E130" i="6"/>
  <c r="E132" i="6"/>
  <c r="E134" i="6"/>
  <c r="E136" i="6"/>
  <c r="E138" i="6"/>
  <c r="E140" i="6"/>
  <c r="E142" i="6"/>
  <c r="E144" i="6"/>
  <c r="E146" i="6"/>
  <c r="E148" i="6"/>
  <c r="E150" i="6"/>
  <c r="E152" i="6"/>
  <c r="E154" i="6"/>
  <c r="E156" i="6"/>
  <c r="E158" i="6"/>
  <c r="E160" i="6"/>
  <c r="E162" i="6"/>
  <c r="E164" i="6"/>
  <c r="E166" i="6"/>
  <c r="E168" i="6"/>
  <c r="E170" i="6"/>
  <c r="E172" i="6"/>
  <c r="E174" i="6"/>
  <c r="E176" i="6"/>
  <c r="E178" i="6"/>
  <c r="E180" i="6"/>
  <c r="E182" i="6"/>
  <c r="E187" i="6"/>
  <c r="E184" i="6"/>
  <c r="E188" i="6"/>
  <c r="E228" i="6"/>
  <c r="E236" i="6"/>
  <c r="E244" i="6"/>
  <c r="E252" i="6"/>
  <c r="E260" i="6"/>
  <c r="E268" i="6"/>
  <c r="E189" i="6"/>
  <c r="E191" i="6"/>
  <c r="E193" i="6"/>
  <c r="E195" i="6"/>
  <c r="E197" i="6"/>
  <c r="E199" i="6"/>
  <c r="E201" i="6"/>
  <c r="E203" i="6"/>
  <c r="E205" i="6"/>
  <c r="E207" i="6"/>
  <c r="E209" i="6"/>
  <c r="E211" i="6"/>
  <c r="E213" i="6"/>
  <c r="E215" i="6"/>
  <c r="E217" i="6"/>
  <c r="E219" i="6"/>
  <c r="E221" i="6"/>
  <c r="E223" i="6"/>
  <c r="E225" i="6"/>
  <c r="E227" i="6"/>
  <c r="E272" i="6"/>
  <c r="E231" i="6"/>
  <c r="E235" i="6"/>
  <c r="E239" i="6"/>
  <c r="E243" i="6"/>
  <c r="E247" i="6"/>
  <c r="E251" i="6"/>
  <c r="E255" i="6"/>
  <c r="E259" i="6"/>
  <c r="E263" i="6"/>
  <c r="E267" i="6"/>
  <c r="E271" i="6"/>
  <c r="E275" i="6"/>
  <c r="E279" i="6"/>
  <c r="E283" i="6"/>
  <c r="E287" i="6"/>
  <c r="E291" i="6"/>
  <c r="E295" i="6"/>
  <c r="E299" i="6"/>
  <c r="E303" i="6"/>
  <c r="E307" i="6"/>
  <c r="E311" i="6"/>
  <c r="E315" i="6"/>
  <c r="E319" i="6"/>
  <c r="E323" i="6"/>
  <c r="E327" i="6"/>
  <c r="E331" i="6"/>
  <c r="E335" i="6"/>
  <c r="E339" i="6"/>
  <c r="E342" i="6"/>
  <c r="E465" i="6"/>
  <c r="E481" i="6"/>
  <c r="E709" i="6"/>
  <c r="E717" i="6"/>
  <c r="E230" i="6"/>
  <c r="E234" i="6"/>
  <c r="E238" i="6"/>
  <c r="E242" i="6"/>
  <c r="E246" i="6"/>
  <c r="E250" i="6"/>
  <c r="E254" i="6"/>
  <c r="E258" i="6"/>
  <c r="E262" i="6"/>
  <c r="E266" i="6"/>
  <c r="E270" i="6"/>
  <c r="E274" i="6"/>
  <c r="E286" i="6"/>
  <c r="E290" i="6"/>
  <c r="E294" i="6"/>
  <c r="E298" i="6"/>
  <c r="E302" i="6"/>
  <c r="E489" i="6"/>
  <c r="E505" i="6"/>
  <c r="E521" i="6"/>
  <c r="E537" i="6"/>
  <c r="E473" i="6"/>
  <c r="E705" i="6"/>
  <c r="E713" i="6"/>
  <c r="E345" i="6"/>
  <c r="E349" i="6"/>
  <c r="E353" i="6"/>
  <c r="E357" i="6"/>
  <c r="E361" i="6"/>
  <c r="E365" i="6"/>
  <c r="E369" i="6"/>
  <c r="E373" i="6"/>
  <c r="E377" i="6"/>
  <c r="E381" i="6"/>
  <c r="E385" i="6"/>
  <c r="E389" i="6"/>
  <c r="E393" i="6"/>
  <c r="E397" i="6"/>
  <c r="E401" i="6"/>
  <c r="E405" i="6"/>
  <c r="E409" i="6"/>
  <c r="E413" i="6"/>
  <c r="E417" i="6"/>
  <c r="E421" i="6"/>
  <c r="E425" i="6"/>
  <c r="E429" i="6"/>
  <c r="E433" i="6"/>
  <c r="E437" i="6"/>
  <c r="E441" i="6"/>
  <c r="E445" i="6"/>
  <c r="E449" i="6"/>
  <c r="E453" i="6"/>
  <c r="E457" i="6"/>
  <c r="E468" i="6"/>
  <c r="E476" i="6"/>
  <c r="E484" i="6"/>
  <c r="E492" i="6"/>
  <c r="E500" i="6"/>
  <c r="E508" i="6"/>
  <c r="E516" i="6"/>
  <c r="E524" i="6"/>
  <c r="E532" i="6"/>
  <c r="E540" i="6"/>
  <c r="E543" i="6"/>
  <c r="E706" i="6"/>
  <c r="E710" i="6"/>
  <c r="E714" i="6"/>
  <c r="E344" i="6"/>
  <c r="E348" i="6"/>
  <c r="E352" i="6"/>
  <c r="E356" i="6"/>
  <c r="E360" i="6"/>
  <c r="E364" i="6"/>
  <c r="E368" i="6"/>
  <c r="E396" i="6"/>
  <c r="E400" i="6"/>
  <c r="E404" i="6"/>
  <c r="E408" i="6"/>
  <c r="E412" i="6"/>
  <c r="E416" i="6"/>
  <c r="E420" i="6"/>
  <c r="E424" i="6"/>
  <c r="E428" i="6"/>
  <c r="E432" i="6"/>
  <c r="E436" i="6"/>
  <c r="E440" i="6"/>
  <c r="E444" i="6"/>
  <c r="E456" i="6"/>
  <c r="E460" i="6"/>
  <c r="E879" i="6"/>
  <c r="E887" i="6"/>
  <c r="E895" i="6"/>
  <c r="E903" i="6"/>
  <c r="E911" i="6"/>
  <c r="E355" i="6"/>
  <c r="E359" i="6"/>
  <c r="E363" i="6"/>
  <c r="E367" i="6"/>
  <c r="E371" i="6"/>
  <c r="E375" i="6"/>
  <c r="E379" i="6"/>
  <c r="E383" i="6"/>
  <c r="E387" i="6"/>
  <c r="E391" i="6"/>
  <c r="E395" i="6"/>
  <c r="E399" i="6"/>
  <c r="E403" i="6"/>
  <c r="E407" i="6"/>
  <c r="E411" i="6"/>
  <c r="E415" i="6"/>
  <c r="E419" i="6"/>
  <c r="E423" i="6"/>
  <c r="E427" i="6"/>
  <c r="E431" i="6"/>
  <c r="E464" i="6"/>
  <c r="E488" i="6"/>
  <c r="E874" i="6"/>
  <c r="E878" i="6"/>
  <c r="E882" i="6"/>
  <c r="E886" i="6"/>
  <c r="E890" i="6"/>
  <c r="E877" i="6"/>
  <c r="E881" i="6"/>
  <c r="E885" i="6"/>
  <c r="E889" i="6"/>
  <c r="E893" i="6"/>
  <c r="E876" i="6"/>
  <c r="E880" i="6"/>
  <c r="E884" i="6"/>
  <c r="E888" i="6"/>
  <c r="E892" i="6"/>
  <c r="E919" i="6"/>
  <c r="E923" i="6"/>
  <c r="E927" i="6"/>
  <c r="E931" i="6"/>
  <c r="E935" i="6"/>
  <c r="E939" i="6"/>
  <c r="E943" i="6"/>
  <c r="E947" i="6"/>
  <c r="E951" i="6"/>
  <c r="E955" i="6"/>
  <c r="E959" i="6"/>
  <c r="E963" i="6"/>
  <c r="E967" i="6"/>
  <c r="E971" i="6"/>
  <c r="E975" i="6"/>
  <c r="E979" i="6"/>
  <c r="E983" i="6"/>
  <c r="E987" i="6"/>
  <c r="E991" i="6"/>
  <c r="E995" i="6"/>
  <c r="E999" i="6"/>
  <c r="E917" i="6"/>
  <c r="E921" i="6"/>
  <c r="E925" i="6"/>
  <c r="E929" i="6"/>
  <c r="E933" i="6"/>
  <c r="E937" i="6"/>
  <c r="E941" i="6"/>
  <c r="E945" i="6"/>
  <c r="E949" i="6"/>
  <c r="E953" i="6"/>
  <c r="E957" i="6"/>
  <c r="E961" i="6"/>
  <c r="E965" i="6"/>
  <c r="E969" i="6"/>
  <c r="E973" i="6"/>
  <c r="E977" i="6"/>
  <c r="E981" i="6"/>
  <c r="E985" i="6"/>
  <c r="E989" i="6"/>
  <c r="E993" i="6"/>
  <c r="E997" i="6"/>
  <c r="E471" i="6"/>
  <c r="E479" i="6"/>
  <c r="E487" i="6"/>
  <c r="E495" i="6"/>
  <c r="E503" i="6"/>
  <c r="E511" i="6"/>
  <c r="E519" i="6"/>
  <c r="E527" i="6"/>
  <c r="E535" i="6"/>
  <c r="E463" i="6"/>
  <c r="E467" i="6"/>
  <c r="E475" i="6"/>
  <c r="E483" i="6"/>
  <c r="E491" i="6"/>
  <c r="E499" i="6"/>
  <c r="E507" i="6"/>
  <c r="E515" i="6"/>
  <c r="E523" i="6"/>
  <c r="E531" i="6"/>
  <c r="E539" i="6"/>
  <c r="E462" i="6"/>
  <c r="E466" i="6"/>
  <c r="E470" i="6"/>
  <c r="E474" i="6"/>
  <c r="E478" i="6"/>
  <c r="E482" i="6"/>
  <c r="E486" i="6"/>
  <c r="E490" i="6"/>
  <c r="E494" i="6"/>
  <c r="E498" i="6"/>
  <c r="E502" i="6"/>
  <c r="E506" i="6"/>
  <c r="E510" i="6"/>
  <c r="E514" i="6"/>
  <c r="E518" i="6"/>
  <c r="E522" i="6"/>
  <c r="E526" i="6"/>
  <c r="E530" i="6"/>
  <c r="E534" i="6"/>
  <c r="E538" i="6"/>
  <c r="E542" i="6"/>
  <c r="A3" i="1" l="1"/>
  <c r="B3" i="1" s="1"/>
  <c r="B3" i="7" l="1"/>
  <c r="C4" i="1" s="1"/>
  <c r="D3" i="6"/>
  <c r="A4" i="1" l="1"/>
  <c r="B4" i="1" s="1"/>
  <c r="B4" i="7"/>
  <c r="C5" i="1" s="1"/>
  <c r="D4" i="6"/>
  <c r="A5" i="1" s="1"/>
  <c r="B5" i="1" l="1"/>
  <c r="B5" i="7"/>
  <c r="C6" i="1" s="1"/>
  <c r="D5" i="6"/>
  <c r="A6" i="1" l="1"/>
  <c r="B6" i="1" s="1"/>
  <c r="B6" i="7"/>
  <c r="C7" i="1" s="1"/>
  <c r="D6" i="6"/>
  <c r="B7" i="7" l="1"/>
  <c r="C8" i="1" s="1"/>
  <c r="D7" i="6"/>
  <c r="A7" i="1"/>
  <c r="B7" i="1" s="1"/>
  <c r="B8" i="7" l="1"/>
  <c r="C9" i="1" s="1"/>
  <c r="D8" i="6"/>
  <c r="A8" i="1"/>
  <c r="B8" i="1" s="1"/>
  <c r="B9" i="7" l="1"/>
  <c r="C10" i="1" s="1"/>
  <c r="D9" i="6"/>
  <c r="A9" i="1"/>
  <c r="B9" i="1" s="1"/>
  <c r="A10" i="1" l="1"/>
  <c r="B10" i="1" s="1"/>
  <c r="B10" i="7"/>
  <c r="C11" i="1" s="1"/>
  <c r="D10" i="6"/>
  <c r="A11" i="1" s="1"/>
  <c r="B11" i="1" l="1"/>
  <c r="B11" i="7"/>
  <c r="C12" i="1" s="1"/>
  <c r="D11" i="6"/>
  <c r="A12" i="1" l="1"/>
  <c r="B12" i="1" s="1"/>
  <c r="B12" i="7"/>
  <c r="C13" i="1" s="1"/>
  <c r="D12" i="6"/>
  <c r="A13" i="1" s="1"/>
  <c r="B13" i="1" l="1"/>
  <c r="B13" i="7"/>
  <c r="C14" i="1" s="1"/>
  <c r="D13" i="6"/>
  <c r="A14" i="1" s="1"/>
  <c r="B14" i="1" l="1"/>
  <c r="B14" i="7"/>
  <c r="C15" i="1" s="1"/>
  <c r="D14" i="6"/>
  <c r="A15" i="1" s="1"/>
  <c r="B15" i="1" l="1"/>
  <c r="B15" i="7"/>
  <c r="C16" i="1" s="1"/>
  <c r="D15" i="6"/>
  <c r="A16" i="1" s="1"/>
  <c r="B16" i="1" l="1"/>
  <c r="B16" i="7"/>
  <c r="C17" i="1" s="1"/>
  <c r="D16" i="6"/>
  <c r="A17" i="1" s="1"/>
  <c r="B17" i="1" l="1"/>
  <c r="B17" i="7"/>
  <c r="C18" i="1" s="1"/>
  <c r="D17" i="6"/>
  <c r="A18" i="1" s="1"/>
  <c r="B18" i="1" l="1"/>
  <c r="B18" i="7"/>
  <c r="C19" i="1" s="1"/>
  <c r="D18" i="6"/>
  <c r="A19" i="1" s="1"/>
  <c r="B19" i="1" l="1"/>
  <c r="B19" i="7"/>
  <c r="C20" i="1" s="1"/>
  <c r="D19" i="6"/>
  <c r="A20" i="1" s="1"/>
  <c r="B20" i="1" l="1"/>
  <c r="B20" i="7"/>
  <c r="C21" i="1" s="1"/>
  <c r="D20" i="6"/>
  <c r="A21" i="1" s="1"/>
  <c r="B21" i="1" l="1"/>
  <c r="B21" i="7"/>
  <c r="C22" i="1" s="1"/>
  <c r="D21" i="6"/>
  <c r="A22" i="1" s="1"/>
  <c r="B22" i="1" l="1"/>
  <c r="B22" i="7"/>
  <c r="C23" i="1" s="1"/>
  <c r="D22" i="6"/>
  <c r="A23" i="1" s="1"/>
  <c r="B23" i="1" l="1"/>
  <c r="B23" i="7"/>
  <c r="C24" i="1" s="1"/>
  <c r="D23" i="6"/>
  <c r="A24" i="1" s="1"/>
  <c r="B24" i="1" l="1"/>
  <c r="B24" i="7"/>
  <c r="C25" i="1" s="1"/>
  <c r="D24" i="6"/>
  <c r="A25" i="1" s="1"/>
  <c r="B25" i="1" l="1"/>
  <c r="B25" i="7"/>
  <c r="C26" i="1" s="1"/>
  <c r="D25" i="6"/>
  <c r="A26" i="1" s="1"/>
  <c r="B26" i="1" l="1"/>
  <c r="B26" i="7"/>
  <c r="C27" i="1" s="1"/>
  <c r="D26" i="6"/>
  <c r="A27" i="1" s="1"/>
  <c r="B27" i="1" l="1"/>
  <c r="B27" i="7"/>
  <c r="C28" i="1" s="1"/>
  <c r="D27" i="6"/>
  <c r="A28" i="1" s="1"/>
  <c r="B28" i="1" l="1"/>
  <c r="B28" i="7"/>
  <c r="C29" i="1" s="1"/>
  <c r="D28" i="6"/>
  <c r="A29" i="1" s="1"/>
  <c r="B29" i="1" l="1"/>
  <c r="B29" i="7"/>
  <c r="C30" i="1" s="1"/>
  <c r="D29" i="6"/>
  <c r="A30" i="1" s="1"/>
  <c r="B30" i="1" l="1"/>
  <c r="B30" i="7"/>
  <c r="C31" i="1" s="1"/>
  <c r="D30" i="6"/>
  <c r="A31" i="1" s="1"/>
  <c r="B31" i="1" l="1"/>
  <c r="B31" i="7"/>
  <c r="C32" i="1" s="1"/>
  <c r="D31" i="6"/>
  <c r="A32" i="1" s="1"/>
  <c r="B32" i="1" l="1"/>
  <c r="B32" i="7"/>
  <c r="C33" i="1" s="1"/>
  <c r="D32" i="6"/>
  <c r="A33" i="1" s="1"/>
  <c r="B33" i="1" l="1"/>
  <c r="B33" i="7"/>
  <c r="C34" i="1" s="1"/>
  <c r="D33" i="6"/>
  <c r="A34" i="1" s="1"/>
  <c r="B34" i="1" l="1"/>
  <c r="B34" i="7"/>
  <c r="C35" i="1" s="1"/>
  <c r="D34" i="6"/>
  <c r="A35" i="1" s="1"/>
  <c r="B35" i="1" l="1"/>
  <c r="B35" i="7"/>
  <c r="C36" i="1" s="1"/>
  <c r="D35" i="6"/>
  <c r="A36" i="1" s="1"/>
  <c r="B36" i="1" l="1"/>
  <c r="B36" i="7"/>
  <c r="C37" i="1" s="1"/>
  <c r="D36" i="6"/>
  <c r="A37" i="1" s="1"/>
  <c r="B37" i="1" l="1"/>
  <c r="B37" i="7"/>
  <c r="C38" i="1" s="1"/>
  <c r="D37" i="6"/>
  <c r="A38" i="1" s="1"/>
  <c r="B38" i="1" l="1"/>
  <c r="B38" i="7"/>
  <c r="C39" i="1" s="1"/>
  <c r="D38" i="6"/>
  <c r="A39" i="1" s="1"/>
  <c r="B39" i="1" l="1"/>
  <c r="B39" i="7"/>
  <c r="C40" i="1" s="1"/>
  <c r="D39" i="6"/>
  <c r="A40" i="1" s="1"/>
  <c r="B40" i="1" l="1"/>
  <c r="B40" i="7"/>
  <c r="C41" i="1" s="1"/>
  <c r="D40" i="6"/>
  <c r="A41" i="1" s="1"/>
  <c r="B41" i="1" l="1"/>
  <c r="B41" i="7"/>
  <c r="C42" i="1" s="1"/>
  <c r="D41" i="6"/>
  <c r="A42" i="1" s="1"/>
  <c r="B42" i="1" l="1"/>
  <c r="B42" i="7"/>
  <c r="C43" i="1" s="1"/>
  <c r="D42" i="6"/>
  <c r="A43" i="1" s="1"/>
  <c r="B43" i="1" l="1"/>
  <c r="B43" i="7"/>
  <c r="C44" i="1" s="1"/>
  <c r="D43" i="6"/>
  <c r="A44" i="1" s="1"/>
  <c r="B44" i="1" l="1"/>
  <c r="B44" i="7"/>
  <c r="C45" i="1" s="1"/>
  <c r="D44" i="6"/>
  <c r="A45" i="1" s="1"/>
  <c r="B45" i="1" l="1"/>
  <c r="B45" i="7"/>
  <c r="C46" i="1" s="1"/>
  <c r="D45" i="6"/>
  <c r="A46" i="1" s="1"/>
  <c r="B46" i="1" l="1"/>
  <c r="B46" i="7"/>
  <c r="C47" i="1" s="1"/>
  <c r="D46" i="6"/>
  <c r="A47" i="1" s="1"/>
  <c r="B47" i="1" l="1"/>
  <c r="B47" i="7"/>
  <c r="C48" i="1" s="1"/>
  <c r="D47" i="6"/>
  <c r="A48" i="1" s="1"/>
  <c r="B48" i="1" l="1"/>
  <c r="B48" i="7"/>
  <c r="C49" i="1" s="1"/>
  <c r="D48" i="6"/>
  <c r="A49" i="1" s="1"/>
  <c r="B49" i="1" l="1"/>
  <c r="B49" i="7"/>
  <c r="C50" i="1" s="1"/>
  <c r="D49" i="6"/>
  <c r="A50" i="1" s="1"/>
  <c r="B50" i="1" l="1"/>
  <c r="B50" i="7"/>
  <c r="C51" i="1" s="1"/>
  <c r="D50" i="6"/>
  <c r="A51" i="1" s="1"/>
  <c r="B51" i="1" l="1"/>
  <c r="B51" i="7"/>
  <c r="C52" i="1" s="1"/>
  <c r="D51" i="6"/>
  <c r="A52" i="1" s="1"/>
  <c r="B52" i="1" l="1"/>
  <c r="B52" i="7"/>
  <c r="C53" i="1" s="1"/>
  <c r="D52" i="6"/>
  <c r="A53" i="1" s="1"/>
  <c r="B53" i="1" l="1"/>
  <c r="B53" i="7"/>
  <c r="C54" i="1" s="1"/>
  <c r="D53" i="6"/>
  <c r="A54" i="1" s="1"/>
  <c r="B54" i="1" l="1"/>
  <c r="B54" i="7"/>
  <c r="C55" i="1" s="1"/>
  <c r="D54" i="6"/>
  <c r="A55" i="1" s="1"/>
  <c r="B55" i="1" l="1"/>
  <c r="B55" i="7"/>
  <c r="C56" i="1" s="1"/>
  <c r="D55" i="6"/>
  <c r="A56" i="1" s="1"/>
  <c r="B56" i="1" l="1"/>
  <c r="B56" i="7"/>
  <c r="C57" i="1" s="1"/>
  <c r="D56" i="6"/>
  <c r="A57" i="1" s="1"/>
  <c r="B57" i="1" l="1"/>
  <c r="B57" i="7"/>
  <c r="C58" i="1" s="1"/>
  <c r="D57" i="6"/>
  <c r="A58" i="1" s="1"/>
  <c r="B58" i="1" l="1"/>
  <c r="B58" i="7"/>
  <c r="C59" i="1" s="1"/>
  <c r="D58" i="6"/>
  <c r="A59" i="1" s="1"/>
  <c r="B59" i="1" l="1"/>
  <c r="B59" i="7"/>
  <c r="C60" i="1" s="1"/>
  <c r="D59" i="6"/>
  <c r="A60" i="1" s="1"/>
  <c r="B60" i="1" l="1"/>
  <c r="B60" i="7"/>
  <c r="C61" i="1" s="1"/>
  <c r="D60" i="6"/>
  <c r="A61" i="1" s="1"/>
  <c r="B61" i="1" l="1"/>
  <c r="B61" i="7"/>
  <c r="C62" i="1" s="1"/>
  <c r="D61" i="6"/>
  <c r="A62" i="1" s="1"/>
  <c r="B62" i="1" l="1"/>
  <c r="B62" i="7"/>
  <c r="C63" i="1" s="1"/>
  <c r="D62" i="6"/>
  <c r="A63" i="1" s="1"/>
  <c r="B63" i="1" l="1"/>
  <c r="B63" i="7"/>
  <c r="C64" i="1" s="1"/>
  <c r="D63" i="6"/>
  <c r="A64" i="1" s="1"/>
  <c r="B64" i="1" l="1"/>
  <c r="B64" i="7"/>
  <c r="C65" i="1" s="1"/>
  <c r="D64" i="6"/>
  <c r="A65" i="1" s="1"/>
  <c r="B65" i="1" l="1"/>
  <c r="B65" i="7"/>
  <c r="C66" i="1" s="1"/>
  <c r="D65" i="6"/>
  <c r="A66" i="1" s="1"/>
  <c r="B66" i="1" l="1"/>
  <c r="B66" i="7"/>
  <c r="C67" i="1" s="1"/>
  <c r="D66" i="6"/>
  <c r="A67" i="1" s="1"/>
  <c r="B67" i="1" l="1"/>
  <c r="B67" i="7"/>
  <c r="C68" i="1" s="1"/>
  <c r="D67" i="6"/>
  <c r="A68" i="1" s="1"/>
  <c r="B68" i="1" l="1"/>
  <c r="B68" i="7"/>
  <c r="C69" i="1" s="1"/>
  <c r="D68" i="6"/>
  <c r="A69" i="1" s="1"/>
  <c r="B69" i="1" l="1"/>
  <c r="B69" i="7"/>
  <c r="C70" i="1" s="1"/>
  <c r="D69" i="6"/>
  <c r="A70" i="1" s="1"/>
  <c r="B70" i="1" l="1"/>
  <c r="B70" i="7"/>
  <c r="C71" i="1" s="1"/>
  <c r="D70" i="6"/>
  <c r="A71" i="1" s="1"/>
  <c r="B71" i="1" l="1"/>
  <c r="B71" i="7"/>
  <c r="C72" i="1" s="1"/>
  <c r="D71" i="6"/>
  <c r="A72" i="1" s="1"/>
  <c r="B72" i="1" l="1"/>
  <c r="B72" i="7"/>
  <c r="C73" i="1" s="1"/>
  <c r="D72" i="6"/>
  <c r="A73" i="1" s="1"/>
  <c r="B73" i="1" l="1"/>
  <c r="B73" i="7"/>
  <c r="C74" i="1" s="1"/>
  <c r="D73" i="6"/>
  <c r="A74" i="1" s="1"/>
  <c r="B74" i="1" l="1"/>
  <c r="B74" i="7"/>
  <c r="C75" i="1" s="1"/>
  <c r="D74" i="6"/>
  <c r="A75" i="1" s="1"/>
  <c r="B75" i="1" l="1"/>
  <c r="B75" i="7"/>
  <c r="C76" i="1" s="1"/>
  <c r="D75" i="6"/>
  <c r="A76" i="1" s="1"/>
  <c r="B76" i="1" l="1"/>
  <c r="B76" i="7"/>
  <c r="C77" i="1" s="1"/>
  <c r="D76" i="6"/>
  <c r="A77" i="1" s="1"/>
  <c r="B77" i="1" l="1"/>
  <c r="B77" i="7"/>
  <c r="C78" i="1" s="1"/>
  <c r="D77" i="6"/>
  <c r="A78" i="1" s="1"/>
  <c r="B78" i="1" l="1"/>
  <c r="B78" i="7"/>
  <c r="C79" i="1" s="1"/>
  <c r="D78" i="6"/>
  <c r="A79" i="1" s="1"/>
  <c r="B79" i="1" l="1"/>
  <c r="B79" i="7"/>
  <c r="C80" i="1" s="1"/>
  <c r="D79" i="6"/>
  <c r="A80" i="1" s="1"/>
  <c r="B80" i="1" l="1"/>
  <c r="B80" i="7"/>
  <c r="C81" i="1" s="1"/>
  <c r="D80" i="6"/>
  <c r="A81" i="1" s="1"/>
  <c r="B81" i="1" l="1"/>
  <c r="B81" i="7"/>
  <c r="C82" i="1" s="1"/>
  <c r="D81" i="6"/>
  <c r="A82" i="1" s="1"/>
  <c r="B82" i="1" l="1"/>
  <c r="B82" i="7"/>
  <c r="C83" i="1" s="1"/>
  <c r="D82" i="6"/>
  <c r="A83" i="1" s="1"/>
  <c r="B83" i="1" l="1"/>
  <c r="B83" i="7"/>
  <c r="C84" i="1" s="1"/>
  <c r="D83" i="6"/>
  <c r="A84" i="1" s="1"/>
  <c r="B84" i="1" l="1"/>
  <c r="B84" i="7"/>
  <c r="C85" i="1" s="1"/>
  <c r="D84" i="6"/>
  <c r="A85" i="1" s="1"/>
  <c r="B85" i="1" l="1"/>
  <c r="B85" i="7"/>
  <c r="C86" i="1" s="1"/>
  <c r="D85" i="6"/>
  <c r="A86" i="1" s="1"/>
  <c r="B86" i="1" l="1"/>
  <c r="B86" i="7"/>
  <c r="C87" i="1" s="1"/>
  <c r="D86" i="6"/>
  <c r="A87" i="1" s="1"/>
  <c r="B87" i="1" l="1"/>
  <c r="B87" i="7"/>
  <c r="C88" i="1" s="1"/>
  <c r="D87" i="6"/>
  <c r="A88" i="1" s="1"/>
  <c r="B88" i="1" l="1"/>
  <c r="B88" i="7"/>
  <c r="C89" i="1" s="1"/>
  <c r="D88" i="6"/>
  <c r="A89" i="1" s="1"/>
  <c r="B89" i="1" l="1"/>
  <c r="B89" i="7"/>
  <c r="C90" i="1" s="1"/>
  <c r="D89" i="6"/>
  <c r="A90" i="1" s="1"/>
  <c r="B90" i="1" l="1"/>
  <c r="B90" i="7"/>
  <c r="C91" i="1" s="1"/>
  <c r="D90" i="6"/>
  <c r="A91" i="1" s="1"/>
  <c r="B91" i="1" l="1"/>
  <c r="B91" i="7"/>
  <c r="C92" i="1" s="1"/>
  <c r="D91" i="6"/>
  <c r="A92" i="1" s="1"/>
  <c r="B92" i="1" l="1"/>
  <c r="B92" i="7"/>
  <c r="C93" i="1" s="1"/>
  <c r="D92" i="6"/>
  <c r="A93" i="1" s="1"/>
  <c r="B93" i="1" l="1"/>
  <c r="B93" i="7"/>
  <c r="C94" i="1" s="1"/>
  <c r="D93" i="6"/>
  <c r="A94" i="1" s="1"/>
  <c r="B94" i="1" l="1"/>
  <c r="B94" i="7"/>
  <c r="C95" i="1" s="1"/>
  <c r="D94" i="6"/>
  <c r="A95" i="1" s="1"/>
  <c r="B95" i="1" l="1"/>
  <c r="B95" i="7"/>
  <c r="C96" i="1" s="1"/>
  <c r="D95" i="6"/>
  <c r="A96" i="1" s="1"/>
  <c r="B96" i="1" l="1"/>
  <c r="B96" i="7"/>
  <c r="C97" i="1" s="1"/>
  <c r="D96" i="6"/>
  <c r="A97" i="1" s="1"/>
  <c r="B97" i="1" l="1"/>
  <c r="B97" i="7"/>
  <c r="C98" i="1" s="1"/>
  <c r="D97" i="6"/>
  <c r="A98" i="1" s="1"/>
  <c r="B98" i="1" l="1"/>
  <c r="B98" i="7"/>
  <c r="C99" i="1" s="1"/>
  <c r="D98" i="6"/>
  <c r="A99" i="1" s="1"/>
  <c r="B99" i="1" l="1"/>
  <c r="B99" i="7"/>
  <c r="C100" i="1" s="1"/>
  <c r="D99" i="6"/>
  <c r="A100" i="1" s="1"/>
  <c r="B100" i="1" l="1"/>
  <c r="B100" i="7"/>
  <c r="C101" i="1" s="1"/>
  <c r="D100" i="6"/>
  <c r="A101" i="1" s="1"/>
  <c r="B101" i="1" l="1"/>
  <c r="B101" i="7"/>
  <c r="C102" i="1" s="1"/>
  <c r="D101" i="6"/>
  <c r="A102" i="1" s="1"/>
  <c r="B102" i="1" l="1"/>
  <c r="B102" i="7"/>
  <c r="C103" i="1" s="1"/>
  <c r="D102" i="6"/>
  <c r="A103" i="1" s="1"/>
  <c r="B103" i="1" l="1"/>
  <c r="B103" i="7"/>
  <c r="C104" i="1" s="1"/>
  <c r="D103" i="6"/>
  <c r="A104" i="1" s="1"/>
  <c r="B104" i="1" l="1"/>
  <c r="B104" i="7"/>
  <c r="C105" i="1" s="1"/>
  <c r="D104" i="6"/>
  <c r="A105" i="1" s="1"/>
  <c r="B105" i="1" l="1"/>
  <c r="B105" i="7"/>
  <c r="C106" i="1" s="1"/>
  <c r="D105" i="6"/>
  <c r="A106" i="1" s="1"/>
  <c r="B106" i="1" l="1"/>
  <c r="B106" i="7"/>
  <c r="C107" i="1" s="1"/>
  <c r="D106" i="6"/>
  <c r="A107" i="1" s="1"/>
  <c r="B107" i="1" l="1"/>
  <c r="B107" i="7"/>
  <c r="C108" i="1" s="1"/>
  <c r="D107" i="6"/>
  <c r="A108" i="1" s="1"/>
  <c r="B108" i="1" l="1"/>
  <c r="B108" i="7"/>
  <c r="C109" i="1" s="1"/>
  <c r="D108" i="6"/>
  <c r="A109" i="1" s="1"/>
  <c r="B109" i="1" l="1"/>
  <c r="B109" i="7"/>
  <c r="C110" i="1" s="1"/>
  <c r="D109" i="6"/>
  <c r="A110" i="1" s="1"/>
  <c r="B110" i="1" l="1"/>
  <c r="B110" i="7"/>
  <c r="C111" i="1" s="1"/>
  <c r="D110" i="6"/>
  <c r="A111" i="1" s="1"/>
  <c r="B111" i="1" l="1"/>
  <c r="B111" i="7"/>
  <c r="C112" i="1" s="1"/>
  <c r="D111" i="6"/>
  <c r="A112" i="1" s="1"/>
  <c r="B112" i="1" l="1"/>
  <c r="B112" i="7"/>
  <c r="C113" i="1" s="1"/>
  <c r="D112" i="6"/>
  <c r="A113" i="1" s="1"/>
  <c r="B113" i="1" l="1"/>
  <c r="B113" i="7"/>
  <c r="C114" i="1" s="1"/>
  <c r="D113" i="6"/>
  <c r="A114" i="1" s="1"/>
  <c r="B114" i="1" l="1"/>
  <c r="B114" i="7"/>
  <c r="C115" i="1" s="1"/>
  <c r="D114" i="6"/>
  <c r="A115" i="1" s="1"/>
  <c r="B115" i="1" l="1"/>
  <c r="B115" i="7"/>
  <c r="C116" i="1" s="1"/>
  <c r="D115" i="6"/>
  <c r="A116" i="1" s="1"/>
  <c r="B116" i="1" l="1"/>
  <c r="B116" i="7"/>
  <c r="C117" i="1" s="1"/>
  <c r="D116" i="6"/>
  <c r="A117" i="1" s="1"/>
  <c r="B117" i="1" l="1"/>
  <c r="B117" i="7"/>
  <c r="C118" i="1" s="1"/>
  <c r="D117" i="6"/>
  <c r="A118" i="1" s="1"/>
  <c r="B118" i="1" l="1"/>
  <c r="B118" i="7"/>
  <c r="C119" i="1" s="1"/>
  <c r="D118" i="6"/>
  <c r="A119" i="1" s="1"/>
  <c r="B119" i="1" l="1"/>
  <c r="B119" i="7"/>
  <c r="C120" i="1" s="1"/>
  <c r="D119" i="6"/>
  <c r="A120" i="1" s="1"/>
  <c r="B120" i="1" l="1"/>
  <c r="B120" i="7"/>
  <c r="C121" i="1" s="1"/>
  <c r="D120" i="6"/>
  <c r="A121" i="1" s="1"/>
  <c r="B121" i="1" l="1"/>
  <c r="B121" i="7"/>
  <c r="C122" i="1" s="1"/>
  <c r="D121" i="6"/>
  <c r="A122" i="1" s="1"/>
  <c r="B122" i="1" l="1"/>
  <c r="B122" i="7"/>
  <c r="C123" i="1" s="1"/>
  <c r="D122" i="6"/>
  <c r="A123" i="1" s="1"/>
  <c r="B123" i="1" l="1"/>
  <c r="B123" i="7"/>
  <c r="C124" i="1" s="1"/>
  <c r="D123" i="6"/>
  <c r="A124" i="1" s="1"/>
  <c r="B124" i="1" l="1"/>
  <c r="B124" i="7"/>
  <c r="C125" i="1" s="1"/>
  <c r="D124" i="6"/>
  <c r="A125" i="1" s="1"/>
  <c r="B125" i="1" l="1"/>
  <c r="B125" i="7"/>
  <c r="C126" i="1" s="1"/>
  <c r="D125" i="6"/>
  <c r="A126" i="1" s="1"/>
  <c r="B126" i="1" l="1"/>
  <c r="B126" i="7"/>
  <c r="C127" i="1" s="1"/>
  <c r="D126" i="6"/>
  <c r="A127" i="1" s="1"/>
  <c r="B127" i="1" l="1"/>
  <c r="B127" i="7"/>
  <c r="C128" i="1" s="1"/>
  <c r="D127" i="6"/>
  <c r="A128" i="1" s="1"/>
  <c r="B128" i="1" l="1"/>
  <c r="B128" i="7"/>
  <c r="C129" i="1" s="1"/>
  <c r="D128" i="6"/>
  <c r="A129" i="1" s="1"/>
  <c r="B129" i="1" l="1"/>
  <c r="B129" i="7"/>
  <c r="C130" i="1" s="1"/>
  <c r="D129" i="6"/>
  <c r="A130" i="1" s="1"/>
  <c r="B130" i="1" l="1"/>
  <c r="B130" i="7"/>
  <c r="C131" i="1" s="1"/>
  <c r="D130" i="6"/>
  <c r="A131" i="1" s="1"/>
  <c r="B131" i="1" l="1"/>
  <c r="B131" i="7"/>
  <c r="C132" i="1" s="1"/>
  <c r="D131" i="6"/>
  <c r="A132" i="1" s="1"/>
  <c r="B132" i="1" l="1"/>
  <c r="B132" i="7"/>
  <c r="C133" i="1" s="1"/>
  <c r="D132" i="6"/>
  <c r="A133" i="1" s="1"/>
  <c r="B133" i="1" l="1"/>
  <c r="B133" i="7"/>
  <c r="C134" i="1" s="1"/>
  <c r="D133" i="6"/>
  <c r="A134" i="1" s="1"/>
  <c r="B134" i="1" l="1"/>
  <c r="B134" i="7"/>
  <c r="C135" i="1" s="1"/>
  <c r="D134" i="6"/>
  <c r="A135" i="1" s="1"/>
  <c r="B135" i="1" l="1"/>
  <c r="B135" i="7"/>
  <c r="C136" i="1" s="1"/>
  <c r="D135" i="6"/>
  <c r="A136" i="1" s="1"/>
  <c r="B136" i="1" l="1"/>
  <c r="B136" i="7"/>
  <c r="C137" i="1" s="1"/>
  <c r="D136" i="6"/>
  <c r="A137" i="1" s="1"/>
  <c r="B137" i="1" l="1"/>
  <c r="B137" i="7"/>
  <c r="C138" i="1" s="1"/>
  <c r="D137" i="6"/>
  <c r="A138" i="1" s="1"/>
  <c r="B138" i="1" l="1"/>
  <c r="B138" i="7"/>
  <c r="C139" i="1" s="1"/>
  <c r="D138" i="6"/>
  <c r="A139" i="1" s="1"/>
  <c r="B139" i="1" l="1"/>
  <c r="B139" i="7"/>
  <c r="C140" i="1" s="1"/>
  <c r="D139" i="6"/>
  <c r="A140" i="1" s="1"/>
  <c r="B140" i="1" l="1"/>
  <c r="B140" i="7"/>
  <c r="C141" i="1" s="1"/>
  <c r="D140" i="6"/>
  <c r="A141" i="1" s="1"/>
  <c r="B141" i="1" l="1"/>
  <c r="B141" i="7"/>
  <c r="C142" i="1" s="1"/>
  <c r="D141" i="6"/>
  <c r="A142" i="1" s="1"/>
  <c r="B142" i="1" l="1"/>
  <c r="B142" i="7"/>
  <c r="C143" i="1" s="1"/>
  <c r="D142" i="6"/>
  <c r="A143" i="1" s="1"/>
  <c r="B143" i="1" l="1"/>
  <c r="B143" i="7"/>
  <c r="C144" i="1" s="1"/>
  <c r="D143" i="6"/>
  <c r="A144" i="1" s="1"/>
  <c r="B144" i="1" l="1"/>
  <c r="B144" i="7"/>
  <c r="C145" i="1" s="1"/>
  <c r="D144" i="6"/>
  <c r="A145" i="1" s="1"/>
  <c r="B145" i="1" l="1"/>
  <c r="B145" i="7"/>
  <c r="C146" i="1" s="1"/>
  <c r="D145" i="6"/>
  <c r="A146" i="1" s="1"/>
  <c r="B146" i="1" l="1"/>
  <c r="B146" i="7"/>
  <c r="C147" i="1" s="1"/>
  <c r="D146" i="6"/>
  <c r="A147" i="1" s="1"/>
  <c r="B147" i="1" l="1"/>
  <c r="B147" i="7"/>
  <c r="C148" i="1" s="1"/>
  <c r="D147" i="6"/>
  <c r="A148" i="1" s="1"/>
  <c r="B148" i="1" l="1"/>
  <c r="B148" i="7"/>
  <c r="C149" i="1" s="1"/>
  <c r="D148" i="6"/>
  <c r="A149" i="1" s="1"/>
  <c r="B149" i="1" l="1"/>
  <c r="B149" i="7"/>
  <c r="C150" i="1" s="1"/>
  <c r="D149" i="6"/>
  <c r="A150" i="1" s="1"/>
  <c r="B150" i="1" l="1"/>
  <c r="B150" i="7"/>
  <c r="C151" i="1" s="1"/>
  <c r="D150" i="6"/>
  <c r="A151" i="1" s="1"/>
  <c r="B151" i="1" l="1"/>
  <c r="B151" i="7"/>
  <c r="C152" i="1" s="1"/>
  <c r="D151" i="6"/>
  <c r="A152" i="1" s="1"/>
  <c r="B152" i="1" l="1"/>
  <c r="B152" i="7"/>
  <c r="C153" i="1" s="1"/>
  <c r="D152" i="6"/>
  <c r="A153" i="1" s="1"/>
  <c r="B153" i="1" l="1"/>
  <c r="B153" i="7"/>
  <c r="C154" i="1" s="1"/>
  <c r="D153" i="6"/>
  <c r="A154" i="1" s="1"/>
  <c r="B154" i="1" l="1"/>
  <c r="B154" i="7"/>
  <c r="C155" i="1" s="1"/>
  <c r="D154" i="6"/>
  <c r="A155" i="1" s="1"/>
  <c r="B155" i="1" l="1"/>
  <c r="B155" i="7"/>
  <c r="C156" i="1" s="1"/>
  <c r="D155" i="6"/>
  <c r="A156" i="1" s="1"/>
  <c r="B156" i="1" l="1"/>
  <c r="B156" i="7"/>
  <c r="C157" i="1" s="1"/>
  <c r="D156" i="6"/>
  <c r="A157" i="1" s="1"/>
  <c r="B157" i="1" l="1"/>
  <c r="B157" i="7"/>
  <c r="C158" i="1" s="1"/>
  <c r="D157" i="6"/>
  <c r="A158" i="1" s="1"/>
  <c r="B158" i="1" l="1"/>
  <c r="B158" i="7"/>
  <c r="C159" i="1" s="1"/>
  <c r="D158" i="6"/>
  <c r="A159" i="1" s="1"/>
  <c r="B159" i="1" l="1"/>
  <c r="B159" i="7"/>
  <c r="C160" i="1" s="1"/>
  <c r="D159" i="6"/>
  <c r="A160" i="1" s="1"/>
  <c r="B160" i="1" l="1"/>
  <c r="B160" i="7"/>
  <c r="C161" i="1" s="1"/>
  <c r="D160" i="6"/>
  <c r="A161" i="1" s="1"/>
  <c r="B161" i="1" l="1"/>
  <c r="B161" i="7"/>
  <c r="C162" i="1" s="1"/>
  <c r="D161" i="6"/>
  <c r="A162" i="1" s="1"/>
  <c r="B162" i="1" l="1"/>
  <c r="B162" i="7"/>
  <c r="C163" i="1" s="1"/>
  <c r="D162" i="6"/>
  <c r="A163" i="1" s="1"/>
  <c r="B163" i="1" l="1"/>
  <c r="B163" i="7"/>
  <c r="C164" i="1" s="1"/>
  <c r="D163" i="6"/>
  <c r="A164" i="1" s="1"/>
  <c r="B164" i="1" l="1"/>
  <c r="B164" i="7"/>
  <c r="C165" i="1" s="1"/>
  <c r="D164" i="6"/>
  <c r="A165" i="1" s="1"/>
  <c r="B165" i="1" l="1"/>
  <c r="B165" i="7"/>
  <c r="C166" i="1" s="1"/>
  <c r="D165" i="6"/>
  <c r="A166" i="1" s="1"/>
  <c r="B166" i="1" l="1"/>
  <c r="B166" i="7"/>
  <c r="C167" i="1" s="1"/>
  <c r="D166" i="6"/>
  <c r="A167" i="1" s="1"/>
  <c r="B167" i="1" l="1"/>
  <c r="B167" i="7"/>
  <c r="C168" i="1" s="1"/>
  <c r="D167" i="6"/>
  <c r="A168" i="1" s="1"/>
  <c r="B168" i="1" l="1"/>
  <c r="B168" i="7"/>
  <c r="C169" i="1" s="1"/>
  <c r="D168" i="6"/>
  <c r="A169" i="1" s="1"/>
  <c r="B169" i="1" l="1"/>
  <c r="B169" i="7"/>
  <c r="C170" i="1" s="1"/>
  <c r="D169" i="6"/>
  <c r="A170" i="1" s="1"/>
  <c r="B170" i="1" l="1"/>
  <c r="B170" i="7"/>
  <c r="C171" i="1" s="1"/>
  <c r="D170" i="6"/>
  <c r="A171" i="1" s="1"/>
  <c r="B171" i="1" l="1"/>
  <c r="B171" i="7"/>
  <c r="C172" i="1" s="1"/>
  <c r="D171" i="6"/>
  <c r="A172" i="1" s="1"/>
  <c r="B172" i="1" l="1"/>
  <c r="B172" i="7"/>
  <c r="C173" i="1" s="1"/>
  <c r="D172" i="6"/>
  <c r="A173" i="1" s="1"/>
  <c r="B173" i="1" l="1"/>
  <c r="B173" i="7"/>
  <c r="C174" i="1" s="1"/>
  <c r="D173" i="6"/>
  <c r="A174" i="1" s="1"/>
  <c r="B174" i="1" l="1"/>
  <c r="B174" i="7"/>
  <c r="C175" i="1" s="1"/>
  <c r="D174" i="6"/>
  <c r="A175" i="1" s="1"/>
  <c r="B175" i="1" l="1"/>
  <c r="B175" i="7"/>
  <c r="C176" i="1" s="1"/>
  <c r="D175" i="6"/>
  <c r="A176" i="1" s="1"/>
  <c r="B176" i="1" l="1"/>
  <c r="B176" i="7"/>
  <c r="C177" i="1" s="1"/>
  <c r="D176" i="6"/>
  <c r="A177" i="1" s="1"/>
  <c r="B177" i="1" l="1"/>
  <c r="B177" i="7"/>
  <c r="C178" i="1" s="1"/>
  <c r="D177" i="6"/>
  <c r="A178" i="1" s="1"/>
  <c r="B178" i="1" l="1"/>
  <c r="B178" i="7"/>
  <c r="C179" i="1" s="1"/>
  <c r="D178" i="6"/>
  <c r="A179" i="1" s="1"/>
  <c r="B179" i="1" l="1"/>
  <c r="B179" i="7"/>
  <c r="C180" i="1" s="1"/>
  <c r="D179" i="6"/>
  <c r="A180" i="1" s="1"/>
  <c r="B180" i="1" l="1"/>
  <c r="B180" i="7"/>
  <c r="C181" i="1" s="1"/>
  <c r="D180" i="6"/>
  <c r="A181" i="1" s="1"/>
  <c r="B181" i="1" l="1"/>
  <c r="B181" i="7"/>
  <c r="C182" i="1" s="1"/>
  <c r="D181" i="6"/>
  <c r="A182" i="1" s="1"/>
  <c r="B182" i="1" l="1"/>
  <c r="B182" i="7"/>
  <c r="C183" i="1" s="1"/>
  <c r="D182" i="6"/>
  <c r="A183" i="1" s="1"/>
  <c r="B183" i="1" l="1"/>
  <c r="B183" i="7"/>
  <c r="C184" i="1" s="1"/>
  <c r="D183" i="6"/>
  <c r="A184" i="1" s="1"/>
  <c r="B184" i="1" l="1"/>
  <c r="B184" i="7"/>
  <c r="C185" i="1" s="1"/>
  <c r="D184" i="6"/>
  <c r="A185" i="1" s="1"/>
  <c r="B185" i="1" l="1"/>
  <c r="B185" i="7"/>
  <c r="C186" i="1" s="1"/>
  <c r="D185" i="6"/>
  <c r="A186" i="1" s="1"/>
  <c r="B186" i="1" l="1"/>
  <c r="B186" i="7"/>
  <c r="C187" i="1" s="1"/>
  <c r="D186" i="6"/>
  <c r="A187" i="1" s="1"/>
  <c r="B187" i="1" l="1"/>
  <c r="B187" i="7"/>
  <c r="C188" i="1" s="1"/>
  <c r="D187" i="6"/>
  <c r="A188" i="1" s="1"/>
  <c r="B188" i="1" l="1"/>
  <c r="B188" i="7"/>
  <c r="C189" i="1" s="1"/>
  <c r="D188" i="6"/>
  <c r="A189" i="1" s="1"/>
  <c r="B189" i="1" l="1"/>
  <c r="B189" i="7"/>
  <c r="C190" i="1" s="1"/>
  <c r="D189" i="6"/>
  <c r="A190" i="1" s="1"/>
  <c r="B190" i="1" l="1"/>
  <c r="B190" i="7"/>
  <c r="C191" i="1" s="1"/>
  <c r="D190" i="6"/>
  <c r="A191" i="1" s="1"/>
  <c r="B191" i="1" l="1"/>
  <c r="B191" i="7"/>
  <c r="C192" i="1" s="1"/>
  <c r="D191" i="6"/>
  <c r="A192" i="1" s="1"/>
  <c r="B192" i="1" l="1"/>
  <c r="B192" i="7"/>
  <c r="C193" i="1" s="1"/>
  <c r="D192" i="6"/>
  <c r="A193" i="1" s="1"/>
  <c r="B193" i="1" l="1"/>
  <c r="B193" i="7"/>
  <c r="C194" i="1" s="1"/>
  <c r="D193" i="6"/>
  <c r="A194" i="1" s="1"/>
  <c r="B194" i="1" l="1"/>
  <c r="B194" i="7"/>
  <c r="C195" i="1" s="1"/>
  <c r="D194" i="6"/>
  <c r="A195" i="1" s="1"/>
  <c r="B195" i="1" l="1"/>
  <c r="B195" i="7"/>
  <c r="C196" i="1" s="1"/>
  <c r="D195" i="6"/>
  <c r="A196" i="1" s="1"/>
  <c r="B196" i="1" l="1"/>
  <c r="B196" i="7"/>
  <c r="C197" i="1" s="1"/>
  <c r="D196" i="6"/>
  <c r="A197" i="1" s="1"/>
  <c r="B197" i="1" l="1"/>
  <c r="B197" i="7"/>
  <c r="C198" i="1" s="1"/>
  <c r="D197" i="6"/>
  <c r="A198" i="1" s="1"/>
  <c r="B198" i="1" l="1"/>
  <c r="B198" i="7"/>
  <c r="C199" i="1" s="1"/>
  <c r="D198" i="6"/>
  <c r="A199" i="1" s="1"/>
  <c r="B199" i="1" l="1"/>
  <c r="B199" i="7"/>
  <c r="C200" i="1" s="1"/>
  <c r="D199" i="6"/>
  <c r="A200" i="1" s="1"/>
  <c r="B200" i="1" l="1"/>
  <c r="B200" i="7"/>
  <c r="C201" i="1" s="1"/>
  <c r="D200" i="6"/>
  <c r="A201" i="1" s="1"/>
  <c r="B201" i="1" l="1"/>
  <c r="B201" i="7"/>
  <c r="C202" i="1" s="1"/>
  <c r="D201" i="6"/>
  <c r="A202" i="1" s="1"/>
  <c r="B202" i="1" l="1"/>
  <c r="B202" i="7"/>
  <c r="C203" i="1" s="1"/>
  <c r="D202" i="6"/>
  <c r="A203" i="1" s="1"/>
  <c r="B203" i="1" l="1"/>
  <c r="B203" i="7"/>
  <c r="C204" i="1" s="1"/>
  <c r="D203" i="6"/>
  <c r="A204" i="1" s="1"/>
  <c r="B204" i="1" l="1"/>
  <c r="B204" i="7"/>
  <c r="C205" i="1" s="1"/>
  <c r="D204" i="6"/>
  <c r="A205" i="1" s="1"/>
  <c r="B205" i="1" l="1"/>
  <c r="B205" i="7"/>
  <c r="C206" i="1" s="1"/>
  <c r="D205" i="6"/>
  <c r="A206" i="1" s="1"/>
  <c r="B206" i="1" l="1"/>
  <c r="B206" i="7"/>
  <c r="C207" i="1" s="1"/>
  <c r="D206" i="6"/>
  <c r="A207" i="1" s="1"/>
  <c r="B207" i="1" l="1"/>
  <c r="B207" i="7"/>
  <c r="C208" i="1" s="1"/>
  <c r="D207" i="6"/>
  <c r="A208" i="1" s="1"/>
  <c r="B208" i="1" l="1"/>
  <c r="B208" i="7"/>
  <c r="C209" i="1" s="1"/>
  <c r="D208" i="6"/>
  <c r="A209" i="1" s="1"/>
  <c r="B209" i="1" l="1"/>
  <c r="B209" i="7"/>
  <c r="C210" i="1" s="1"/>
  <c r="D209" i="6"/>
  <c r="A210" i="1" s="1"/>
  <c r="B210" i="1" l="1"/>
  <c r="B210" i="7"/>
  <c r="C211" i="1" s="1"/>
  <c r="D210" i="6"/>
  <c r="A211" i="1" s="1"/>
  <c r="B211" i="1" l="1"/>
  <c r="B211" i="7"/>
  <c r="C212" i="1" s="1"/>
  <c r="D211" i="6"/>
  <c r="A212" i="1" s="1"/>
  <c r="B212" i="1" l="1"/>
  <c r="B212" i="7"/>
  <c r="C213" i="1" s="1"/>
  <c r="D212" i="6"/>
  <c r="A213" i="1" s="1"/>
  <c r="B213" i="1" l="1"/>
  <c r="B213" i="7"/>
  <c r="C214" i="1" s="1"/>
  <c r="D213" i="6"/>
  <c r="A214" i="1" s="1"/>
  <c r="B214" i="1" l="1"/>
  <c r="B214" i="7"/>
  <c r="C215" i="1" s="1"/>
  <c r="D214" i="6"/>
  <c r="A215" i="1" s="1"/>
  <c r="B215" i="1" l="1"/>
  <c r="B215" i="7"/>
  <c r="C216" i="1" s="1"/>
  <c r="D215" i="6"/>
  <c r="A216" i="1" s="1"/>
  <c r="B216" i="1" l="1"/>
  <c r="B216" i="7"/>
  <c r="C217" i="1" s="1"/>
  <c r="D216" i="6"/>
  <c r="A217" i="1" s="1"/>
  <c r="B217" i="1" l="1"/>
  <c r="B217" i="7"/>
  <c r="C218" i="1" s="1"/>
  <c r="D217" i="6"/>
  <c r="A218" i="1" s="1"/>
  <c r="B218" i="1" l="1"/>
  <c r="B218" i="7"/>
  <c r="C219" i="1" s="1"/>
  <c r="D218" i="6"/>
  <c r="A219" i="1" s="1"/>
  <c r="B219" i="1" l="1"/>
  <c r="B219" i="7"/>
  <c r="C220" i="1" s="1"/>
  <c r="D219" i="6"/>
  <c r="A220" i="1" s="1"/>
  <c r="B220" i="1" l="1"/>
  <c r="B220" i="7"/>
  <c r="C221" i="1" s="1"/>
  <c r="D220" i="6"/>
  <c r="A221" i="1" s="1"/>
  <c r="B221" i="1" l="1"/>
  <c r="B221" i="7"/>
  <c r="C222" i="1" s="1"/>
  <c r="D221" i="6"/>
  <c r="A222" i="1" s="1"/>
  <c r="B222" i="1" l="1"/>
  <c r="B222" i="7"/>
  <c r="C223" i="1" s="1"/>
  <c r="D222" i="6"/>
  <c r="A223" i="1" s="1"/>
  <c r="B223" i="1" l="1"/>
  <c r="B223" i="7"/>
  <c r="C224" i="1" s="1"/>
  <c r="D223" i="6"/>
  <c r="A224" i="1" s="1"/>
  <c r="B224" i="1" l="1"/>
  <c r="B224" i="7"/>
  <c r="C225" i="1" s="1"/>
  <c r="D224" i="6"/>
  <c r="A225" i="1" s="1"/>
  <c r="B225" i="1" l="1"/>
  <c r="B225" i="7"/>
  <c r="C226" i="1" s="1"/>
  <c r="D225" i="6"/>
  <c r="A226" i="1" s="1"/>
  <c r="B226" i="1" l="1"/>
  <c r="B226" i="7"/>
  <c r="C227" i="1" s="1"/>
  <c r="D226" i="6"/>
  <c r="A227" i="1" s="1"/>
  <c r="B227" i="1" l="1"/>
  <c r="B227" i="7"/>
  <c r="C228" i="1" s="1"/>
  <c r="D227" i="6"/>
  <c r="A228" i="1" s="1"/>
  <c r="B228" i="1" l="1"/>
  <c r="B228" i="7"/>
  <c r="C229" i="1" s="1"/>
  <c r="D228" i="6"/>
  <c r="A229" i="1" s="1"/>
  <c r="B229" i="1" l="1"/>
  <c r="B229" i="7"/>
  <c r="C230" i="1" s="1"/>
  <c r="D229" i="6"/>
  <c r="A230" i="1" s="1"/>
  <c r="B230" i="1" l="1"/>
  <c r="B230" i="7"/>
  <c r="C231" i="1" s="1"/>
  <c r="D230" i="6"/>
  <c r="A231" i="1" s="1"/>
  <c r="B231" i="1" l="1"/>
  <c r="B231" i="7"/>
  <c r="C232" i="1" s="1"/>
  <c r="D231" i="6"/>
  <c r="A232" i="1" s="1"/>
  <c r="B232" i="1" l="1"/>
  <c r="B232" i="7"/>
  <c r="C233" i="1" s="1"/>
  <c r="D232" i="6"/>
  <c r="A233" i="1" s="1"/>
  <c r="B233" i="1" l="1"/>
  <c r="B233" i="7"/>
  <c r="C234" i="1" s="1"/>
  <c r="D233" i="6"/>
  <c r="A234" i="1" s="1"/>
  <c r="B234" i="1" l="1"/>
  <c r="B234" i="7"/>
  <c r="C235" i="1" s="1"/>
  <c r="D234" i="6"/>
  <c r="A235" i="1" s="1"/>
  <c r="B235" i="1" l="1"/>
  <c r="B235" i="7"/>
  <c r="C236" i="1" s="1"/>
  <c r="D235" i="6"/>
  <c r="A236" i="1" s="1"/>
  <c r="B236" i="1" l="1"/>
  <c r="B236" i="7"/>
  <c r="C237" i="1" s="1"/>
  <c r="D236" i="6"/>
  <c r="A237" i="1" s="1"/>
  <c r="B237" i="1" l="1"/>
  <c r="B237" i="7"/>
  <c r="C238" i="1" s="1"/>
  <c r="D237" i="6"/>
  <c r="A238" i="1" s="1"/>
  <c r="B238" i="1" l="1"/>
  <c r="B238" i="7"/>
  <c r="C239" i="1" s="1"/>
  <c r="D238" i="6"/>
  <c r="A239" i="1" s="1"/>
  <c r="B239" i="1" l="1"/>
  <c r="B239" i="7"/>
  <c r="C240" i="1" s="1"/>
  <c r="D239" i="6"/>
  <c r="A240" i="1" s="1"/>
  <c r="B240" i="1" l="1"/>
  <c r="B240" i="7"/>
  <c r="C241" i="1" s="1"/>
  <c r="D240" i="6"/>
  <c r="A241" i="1" s="1"/>
  <c r="B241" i="1" l="1"/>
  <c r="B241" i="7"/>
  <c r="C242" i="1" s="1"/>
  <c r="D241" i="6"/>
  <c r="A242" i="1" s="1"/>
  <c r="B242" i="1" l="1"/>
  <c r="B242" i="7"/>
  <c r="C243" i="1" s="1"/>
  <c r="D242" i="6"/>
  <c r="A243" i="1" s="1"/>
  <c r="B243" i="1" l="1"/>
  <c r="B243" i="7"/>
  <c r="C244" i="1" s="1"/>
  <c r="D243" i="6"/>
  <c r="A244" i="1" s="1"/>
  <c r="B244" i="1" l="1"/>
  <c r="B244" i="7"/>
  <c r="C245" i="1" s="1"/>
  <c r="D244" i="6"/>
  <c r="A245" i="1" s="1"/>
  <c r="B245" i="1" l="1"/>
  <c r="B245" i="7"/>
  <c r="C246" i="1" s="1"/>
  <c r="D245" i="6"/>
  <c r="A246" i="1" s="1"/>
  <c r="B246" i="1" l="1"/>
  <c r="B246" i="7"/>
  <c r="C247" i="1" s="1"/>
  <c r="D246" i="6"/>
  <c r="A247" i="1" s="1"/>
  <c r="B247" i="1" l="1"/>
  <c r="B247" i="7"/>
  <c r="C248" i="1" s="1"/>
  <c r="D247" i="6"/>
  <c r="A248" i="1" s="1"/>
  <c r="B248" i="1" l="1"/>
  <c r="B248" i="7"/>
  <c r="C249" i="1" s="1"/>
  <c r="D248" i="6"/>
  <c r="A249" i="1" s="1"/>
  <c r="B249" i="1" l="1"/>
  <c r="B249" i="7"/>
  <c r="C250" i="1" s="1"/>
  <c r="D249" i="6"/>
  <c r="A250" i="1" s="1"/>
  <c r="B250" i="1" l="1"/>
  <c r="B250" i="7"/>
  <c r="C251" i="1" s="1"/>
  <c r="D250" i="6"/>
  <c r="A251" i="1" s="1"/>
  <c r="B251" i="1" l="1"/>
  <c r="B251" i="7"/>
  <c r="C252" i="1" s="1"/>
  <c r="D251" i="6"/>
  <c r="A252" i="1" s="1"/>
  <c r="B252" i="1" l="1"/>
  <c r="B252" i="7"/>
  <c r="C253" i="1" s="1"/>
  <c r="D252" i="6"/>
  <c r="A253" i="1" s="1"/>
  <c r="B253" i="1" l="1"/>
  <c r="B253" i="7"/>
  <c r="C254" i="1" s="1"/>
  <c r="D253" i="6"/>
  <c r="A254" i="1" s="1"/>
  <c r="B254" i="1" l="1"/>
  <c r="B254" i="7"/>
  <c r="C255" i="1" s="1"/>
  <c r="D254" i="6"/>
  <c r="A255" i="1" s="1"/>
  <c r="B255" i="1" l="1"/>
  <c r="B255" i="7"/>
  <c r="C256" i="1" s="1"/>
  <c r="D255" i="6"/>
  <c r="A256" i="1" s="1"/>
  <c r="B256" i="1" l="1"/>
  <c r="B256" i="7"/>
  <c r="C257" i="1" s="1"/>
  <c r="D256" i="6"/>
  <c r="A257" i="1" s="1"/>
  <c r="B257" i="1" l="1"/>
  <c r="B257" i="7"/>
  <c r="C258" i="1" s="1"/>
  <c r="D257" i="6"/>
  <c r="A258" i="1" s="1"/>
  <c r="B258" i="1" l="1"/>
  <c r="B258" i="7"/>
  <c r="C259" i="1" s="1"/>
  <c r="D258" i="6"/>
  <c r="A259" i="1" s="1"/>
  <c r="B259" i="1" l="1"/>
  <c r="B259" i="7"/>
  <c r="C260" i="1" s="1"/>
  <c r="D259" i="6"/>
  <c r="A260" i="1" s="1"/>
  <c r="B260" i="1" l="1"/>
  <c r="B260" i="7"/>
  <c r="C261" i="1" s="1"/>
  <c r="D260" i="6"/>
  <c r="A261" i="1" s="1"/>
  <c r="B261" i="1" l="1"/>
  <c r="B261" i="7"/>
  <c r="C262" i="1" s="1"/>
  <c r="D261" i="6"/>
  <c r="A262" i="1" s="1"/>
  <c r="B262" i="1" l="1"/>
  <c r="B262" i="7"/>
  <c r="C263" i="1" s="1"/>
  <c r="D262" i="6"/>
  <c r="A263" i="1" s="1"/>
  <c r="B263" i="1" l="1"/>
  <c r="B263" i="7"/>
  <c r="C264" i="1" s="1"/>
  <c r="D263" i="6"/>
  <c r="A264" i="1" s="1"/>
  <c r="B264" i="1" l="1"/>
  <c r="B264" i="7"/>
  <c r="C265" i="1" s="1"/>
  <c r="D264" i="6"/>
  <c r="A265" i="1" s="1"/>
  <c r="B265" i="1" l="1"/>
  <c r="B265" i="7"/>
  <c r="C266" i="1" s="1"/>
  <c r="D265" i="6"/>
  <c r="A266" i="1" s="1"/>
  <c r="B266" i="1" l="1"/>
  <c r="B266" i="7"/>
  <c r="C267" i="1" s="1"/>
  <c r="D266" i="6"/>
  <c r="A267" i="1" s="1"/>
  <c r="B267" i="1" l="1"/>
  <c r="B267" i="7"/>
  <c r="C268" i="1" s="1"/>
  <c r="D267" i="6"/>
  <c r="A268" i="1" s="1"/>
  <c r="B268" i="1" l="1"/>
  <c r="B268" i="7"/>
  <c r="C269" i="1" s="1"/>
  <c r="D268" i="6"/>
  <c r="A269" i="1" s="1"/>
  <c r="B269" i="1" l="1"/>
  <c r="B269" i="7"/>
  <c r="C270" i="1" s="1"/>
  <c r="D269" i="6"/>
  <c r="A270" i="1" s="1"/>
  <c r="B270" i="1" l="1"/>
  <c r="B270" i="7"/>
  <c r="C271" i="1" s="1"/>
  <c r="D270" i="6"/>
  <c r="A271" i="1" s="1"/>
  <c r="B271" i="1" l="1"/>
  <c r="B271" i="7"/>
  <c r="C272" i="1" s="1"/>
  <c r="D271" i="6"/>
  <c r="A272" i="1" s="1"/>
  <c r="B272" i="1" l="1"/>
  <c r="B272" i="7"/>
  <c r="C273" i="1" s="1"/>
  <c r="D272" i="6"/>
  <c r="A273" i="1" s="1"/>
  <c r="B273" i="1" l="1"/>
  <c r="B273" i="7"/>
  <c r="C274" i="1" s="1"/>
  <c r="D273" i="6"/>
  <c r="A274" i="1" s="1"/>
  <c r="B274" i="1" l="1"/>
  <c r="B274" i="7"/>
  <c r="C275" i="1" s="1"/>
  <c r="D274" i="6"/>
  <c r="A275" i="1" s="1"/>
  <c r="B275" i="1" l="1"/>
  <c r="B275" i="7"/>
  <c r="C276" i="1" s="1"/>
  <c r="D275" i="6"/>
  <c r="A276" i="1" s="1"/>
  <c r="B276" i="1" l="1"/>
  <c r="B276" i="7"/>
  <c r="C277" i="1" s="1"/>
  <c r="D276" i="6"/>
  <c r="A277" i="1" s="1"/>
  <c r="B277" i="1" l="1"/>
  <c r="B277" i="7"/>
  <c r="C278" i="1" s="1"/>
  <c r="D277" i="6"/>
  <c r="A278" i="1" s="1"/>
  <c r="B278" i="1" l="1"/>
  <c r="B278" i="7"/>
  <c r="C279" i="1" s="1"/>
  <c r="D278" i="6"/>
  <c r="A279" i="1" s="1"/>
  <c r="B279" i="1" l="1"/>
  <c r="B279" i="7"/>
  <c r="C280" i="1" s="1"/>
  <c r="D279" i="6"/>
  <c r="A280" i="1" s="1"/>
  <c r="B280" i="1" l="1"/>
  <c r="B280" i="7"/>
  <c r="C281" i="1" s="1"/>
  <c r="D280" i="6"/>
  <c r="A281" i="1" s="1"/>
  <c r="B281" i="1" l="1"/>
  <c r="B281" i="7"/>
  <c r="C282" i="1" s="1"/>
  <c r="D281" i="6"/>
  <c r="A282" i="1" s="1"/>
  <c r="B282" i="1" l="1"/>
  <c r="B282" i="7"/>
  <c r="C283" i="1" s="1"/>
  <c r="D282" i="6"/>
  <c r="A283" i="1" s="1"/>
  <c r="B283" i="1" l="1"/>
  <c r="B283" i="7"/>
  <c r="C284" i="1" s="1"/>
  <c r="D283" i="6"/>
  <c r="A284" i="1" s="1"/>
  <c r="B284" i="1" l="1"/>
  <c r="B284" i="7"/>
  <c r="C285" i="1" s="1"/>
  <c r="D284" i="6"/>
  <c r="A285" i="1" s="1"/>
  <c r="B285" i="1" l="1"/>
  <c r="B285" i="7"/>
  <c r="C286" i="1" s="1"/>
  <c r="D285" i="6"/>
  <c r="A286" i="1" s="1"/>
  <c r="B286" i="1" l="1"/>
  <c r="B286" i="7"/>
  <c r="C287" i="1" s="1"/>
  <c r="D286" i="6"/>
  <c r="A287" i="1" s="1"/>
  <c r="B287" i="1" l="1"/>
  <c r="B287" i="7"/>
  <c r="C288" i="1" s="1"/>
  <c r="D287" i="6"/>
  <c r="A288" i="1" s="1"/>
  <c r="B288" i="1" l="1"/>
  <c r="B288" i="7"/>
  <c r="C289" i="1" s="1"/>
  <c r="D288" i="6"/>
  <c r="A289" i="1" s="1"/>
  <c r="B289" i="1" l="1"/>
  <c r="B289" i="7"/>
  <c r="C290" i="1" s="1"/>
  <c r="D289" i="6"/>
  <c r="A290" i="1" s="1"/>
  <c r="B290" i="1" l="1"/>
  <c r="B290" i="7"/>
  <c r="C291" i="1" s="1"/>
  <c r="D290" i="6"/>
  <c r="A291" i="1" s="1"/>
  <c r="B291" i="1" l="1"/>
  <c r="B291" i="7"/>
  <c r="C292" i="1" s="1"/>
  <c r="D291" i="6"/>
  <c r="A292" i="1" s="1"/>
  <c r="B292" i="1" l="1"/>
  <c r="B292" i="7"/>
  <c r="C293" i="1" s="1"/>
  <c r="D292" i="6"/>
  <c r="A293" i="1" s="1"/>
  <c r="B293" i="1" l="1"/>
  <c r="B293" i="7"/>
  <c r="C294" i="1" s="1"/>
  <c r="D293" i="6"/>
  <c r="A294" i="1" s="1"/>
  <c r="B294" i="1" l="1"/>
  <c r="B294" i="7"/>
  <c r="C295" i="1" s="1"/>
  <c r="D294" i="6"/>
  <c r="A295" i="1" s="1"/>
  <c r="B295" i="1" l="1"/>
  <c r="B295" i="7"/>
  <c r="C296" i="1" s="1"/>
  <c r="D295" i="6"/>
  <c r="A296" i="1" s="1"/>
  <c r="B296" i="1" l="1"/>
  <c r="B296" i="7"/>
  <c r="C297" i="1" s="1"/>
  <c r="D296" i="6"/>
  <c r="A297" i="1" s="1"/>
  <c r="B297" i="1" l="1"/>
  <c r="B297" i="7"/>
  <c r="C298" i="1" s="1"/>
  <c r="D297" i="6"/>
  <c r="A298" i="1" s="1"/>
  <c r="B298" i="1" l="1"/>
  <c r="B298" i="7"/>
  <c r="C299" i="1" s="1"/>
  <c r="D298" i="6"/>
  <c r="A299" i="1" s="1"/>
  <c r="B299" i="1" l="1"/>
  <c r="B299" i="7"/>
  <c r="C300" i="1" s="1"/>
  <c r="D299" i="6"/>
  <c r="A300" i="1" s="1"/>
  <c r="B300" i="1" l="1"/>
  <c r="B300" i="7"/>
  <c r="C301" i="1" s="1"/>
  <c r="D300" i="6"/>
  <c r="A301" i="1" s="1"/>
  <c r="B301" i="1" l="1"/>
  <c r="B301" i="7"/>
  <c r="C302" i="1" s="1"/>
  <c r="D301" i="6"/>
  <c r="A302" i="1" s="1"/>
  <c r="B302" i="1" l="1"/>
  <c r="B302" i="7"/>
  <c r="C303" i="1" s="1"/>
  <c r="D302" i="6"/>
  <c r="A303" i="1" s="1"/>
  <c r="B303" i="1" l="1"/>
  <c r="B303" i="7"/>
  <c r="C304" i="1" s="1"/>
  <c r="D303" i="6"/>
  <c r="A304" i="1" s="1"/>
  <c r="B304" i="1" l="1"/>
  <c r="B304" i="7"/>
  <c r="C305" i="1" s="1"/>
  <c r="D304" i="6"/>
  <c r="A305" i="1" s="1"/>
  <c r="B305" i="1" l="1"/>
  <c r="B305" i="7"/>
  <c r="C306" i="1" s="1"/>
  <c r="D305" i="6"/>
  <c r="A306" i="1" s="1"/>
  <c r="B306" i="1" l="1"/>
  <c r="B306" i="7"/>
  <c r="C307" i="1" s="1"/>
  <c r="D306" i="6"/>
  <c r="A307" i="1" s="1"/>
  <c r="B307" i="1" l="1"/>
  <c r="B307" i="7"/>
  <c r="C308" i="1" s="1"/>
  <c r="D307" i="6"/>
  <c r="A308" i="1" s="1"/>
  <c r="B308" i="1" l="1"/>
  <c r="B308" i="7"/>
  <c r="C309" i="1" s="1"/>
  <c r="D308" i="6"/>
  <c r="A309" i="1" s="1"/>
  <c r="B309" i="1" l="1"/>
  <c r="B309" i="7"/>
  <c r="C310" i="1" s="1"/>
  <c r="D309" i="6"/>
  <c r="A310" i="1" s="1"/>
  <c r="B310" i="1" l="1"/>
  <c r="B310" i="7"/>
  <c r="C311" i="1" s="1"/>
  <c r="D310" i="6"/>
  <c r="A311" i="1" s="1"/>
  <c r="B311" i="1" l="1"/>
  <c r="B311" i="7"/>
  <c r="C312" i="1" s="1"/>
  <c r="D311" i="6"/>
  <c r="A312" i="1" s="1"/>
  <c r="B312" i="1" l="1"/>
  <c r="B312" i="7"/>
  <c r="C313" i="1" s="1"/>
  <c r="D312" i="6"/>
  <c r="A313" i="1" s="1"/>
  <c r="B313" i="1" l="1"/>
  <c r="B313" i="7"/>
  <c r="C314" i="1" s="1"/>
  <c r="D313" i="6"/>
  <c r="A314" i="1" s="1"/>
  <c r="B314" i="1" l="1"/>
  <c r="B314" i="7"/>
  <c r="C315" i="1" s="1"/>
  <c r="D314" i="6"/>
  <c r="A315" i="1" s="1"/>
  <c r="B315" i="1" l="1"/>
  <c r="B315" i="7"/>
  <c r="C316" i="1" s="1"/>
  <c r="D315" i="6"/>
  <c r="A316" i="1" s="1"/>
  <c r="B316" i="1" l="1"/>
  <c r="B316" i="7"/>
  <c r="C317" i="1" s="1"/>
  <c r="D316" i="6"/>
  <c r="A317" i="1" s="1"/>
  <c r="B317" i="1" l="1"/>
  <c r="B317" i="7"/>
  <c r="C318" i="1" s="1"/>
  <c r="D317" i="6"/>
  <c r="A318" i="1" s="1"/>
  <c r="B318" i="1" l="1"/>
  <c r="B318" i="7"/>
  <c r="C319" i="1" s="1"/>
  <c r="D318" i="6"/>
  <c r="A319" i="1" s="1"/>
  <c r="B319" i="1" l="1"/>
  <c r="B319" i="7"/>
  <c r="C320" i="1" s="1"/>
  <c r="D319" i="6"/>
  <c r="A320" i="1" s="1"/>
  <c r="B320" i="1" l="1"/>
  <c r="B320" i="7"/>
  <c r="C321" i="1" s="1"/>
  <c r="D320" i="6"/>
  <c r="A321" i="1" s="1"/>
  <c r="B321" i="1" l="1"/>
  <c r="B321" i="7"/>
  <c r="C322" i="1" s="1"/>
  <c r="D321" i="6"/>
  <c r="A322" i="1" s="1"/>
  <c r="B322" i="1" l="1"/>
  <c r="B322" i="7"/>
  <c r="C323" i="1" s="1"/>
  <c r="D322" i="6"/>
  <c r="A323" i="1" s="1"/>
  <c r="B323" i="1" l="1"/>
  <c r="B323" i="7"/>
  <c r="C324" i="1" s="1"/>
  <c r="D323" i="6"/>
  <c r="A324" i="1" s="1"/>
  <c r="B324" i="1" l="1"/>
  <c r="B324" i="7"/>
  <c r="C325" i="1" s="1"/>
  <c r="D324" i="6"/>
  <c r="A325" i="1" s="1"/>
  <c r="B325" i="1" l="1"/>
  <c r="B325" i="7"/>
  <c r="C326" i="1" s="1"/>
  <c r="D325" i="6"/>
  <c r="A326" i="1" s="1"/>
  <c r="B326" i="1" l="1"/>
  <c r="B326" i="7"/>
  <c r="C327" i="1" s="1"/>
  <c r="D326" i="6"/>
  <c r="A327" i="1" s="1"/>
  <c r="B327" i="1" l="1"/>
  <c r="B327" i="7"/>
  <c r="C328" i="1" s="1"/>
  <c r="D327" i="6"/>
  <c r="A328" i="1" s="1"/>
  <c r="B328" i="1" l="1"/>
  <c r="B328" i="7"/>
  <c r="C329" i="1" s="1"/>
  <c r="D328" i="6"/>
  <c r="A329" i="1" s="1"/>
  <c r="B329" i="1" l="1"/>
  <c r="B329" i="7"/>
  <c r="C330" i="1" s="1"/>
  <c r="D329" i="6"/>
  <c r="A330" i="1" s="1"/>
  <c r="B330" i="1" l="1"/>
  <c r="B330" i="7"/>
  <c r="C331" i="1" s="1"/>
  <c r="D330" i="6"/>
  <c r="A331" i="1" s="1"/>
  <c r="B331" i="1" l="1"/>
  <c r="B331" i="7"/>
  <c r="C332" i="1" s="1"/>
  <c r="D331" i="6"/>
  <c r="A332" i="1" s="1"/>
  <c r="B332" i="1" l="1"/>
  <c r="B332" i="7"/>
  <c r="C333" i="1" s="1"/>
  <c r="D332" i="6"/>
  <c r="A333" i="1" s="1"/>
  <c r="B333" i="1" l="1"/>
  <c r="B333" i="7"/>
  <c r="C334" i="1" s="1"/>
  <c r="D333" i="6"/>
  <c r="A334" i="1" s="1"/>
  <c r="B334" i="1" l="1"/>
  <c r="B334" i="7"/>
  <c r="C335" i="1" s="1"/>
  <c r="D334" i="6"/>
  <c r="A335" i="1" s="1"/>
  <c r="B335" i="1" l="1"/>
  <c r="B335" i="7"/>
  <c r="C336" i="1" s="1"/>
  <c r="D335" i="6"/>
  <c r="A336" i="1" s="1"/>
  <c r="B336" i="1" l="1"/>
  <c r="B336" i="7"/>
  <c r="C337" i="1" s="1"/>
  <c r="D336" i="6"/>
  <c r="A337" i="1" s="1"/>
  <c r="B337" i="1" l="1"/>
  <c r="B337" i="7"/>
  <c r="C338" i="1" s="1"/>
  <c r="D337" i="6"/>
  <c r="A338" i="1" s="1"/>
  <c r="B338" i="1" l="1"/>
  <c r="B338" i="7"/>
  <c r="C339" i="1" s="1"/>
  <c r="D338" i="6"/>
  <c r="A339" i="1" s="1"/>
  <c r="B339" i="1" l="1"/>
  <c r="B339" i="7"/>
  <c r="C340" i="1" s="1"/>
  <c r="D339" i="6"/>
  <c r="A340" i="1" s="1"/>
  <c r="B340" i="1" l="1"/>
  <c r="B340" i="7"/>
  <c r="C341" i="1" s="1"/>
  <c r="D340" i="6"/>
  <c r="A341" i="1" s="1"/>
  <c r="B341" i="1" l="1"/>
  <c r="B341" i="7"/>
  <c r="C342" i="1" s="1"/>
  <c r="D341" i="6"/>
  <c r="A342" i="1" s="1"/>
  <c r="B342" i="1" l="1"/>
  <c r="B342" i="7"/>
  <c r="C343" i="1" s="1"/>
  <c r="D342" i="6"/>
  <c r="A343" i="1" s="1"/>
  <c r="B343" i="1" l="1"/>
  <c r="B343" i="7"/>
  <c r="C344" i="1" s="1"/>
  <c r="D343" i="6"/>
  <c r="A344" i="1" s="1"/>
  <c r="B344" i="1" l="1"/>
  <c r="B344" i="7"/>
  <c r="C345" i="1" s="1"/>
  <c r="D344" i="6"/>
  <c r="A345" i="1" s="1"/>
  <c r="B345" i="1" l="1"/>
  <c r="B345" i="7"/>
  <c r="C346" i="1" s="1"/>
  <c r="D345" i="6"/>
  <c r="A346" i="1" s="1"/>
  <c r="B346" i="1" l="1"/>
  <c r="B346" i="7"/>
  <c r="C347" i="1" s="1"/>
  <c r="D346" i="6"/>
  <c r="A347" i="1" s="1"/>
  <c r="B347" i="1" l="1"/>
  <c r="B347" i="7"/>
  <c r="C348" i="1" s="1"/>
  <c r="D347" i="6"/>
  <c r="A348" i="1" s="1"/>
  <c r="B348" i="1" l="1"/>
  <c r="B348" i="7"/>
  <c r="C349" i="1" s="1"/>
  <c r="D348" i="6"/>
  <c r="A349" i="1" s="1"/>
  <c r="B349" i="1" l="1"/>
  <c r="B349" i="7"/>
  <c r="C350" i="1" s="1"/>
  <c r="D349" i="6"/>
  <c r="A350" i="1" s="1"/>
  <c r="B350" i="1" l="1"/>
  <c r="B350" i="7"/>
  <c r="C351" i="1" s="1"/>
  <c r="D350" i="6"/>
  <c r="A351" i="1" s="1"/>
  <c r="B351" i="1" l="1"/>
  <c r="B351" i="7"/>
  <c r="C352" i="1" s="1"/>
  <c r="D351" i="6"/>
  <c r="A352" i="1" s="1"/>
  <c r="B352" i="1" l="1"/>
  <c r="B352" i="7"/>
  <c r="C353" i="1" s="1"/>
  <c r="D352" i="6"/>
  <c r="A353" i="1" s="1"/>
  <c r="B353" i="1" l="1"/>
  <c r="B353" i="7"/>
  <c r="C354" i="1" s="1"/>
  <c r="D353" i="6"/>
  <c r="A354" i="1" s="1"/>
  <c r="B354" i="1" l="1"/>
  <c r="B354" i="7"/>
  <c r="C355" i="1" s="1"/>
  <c r="D354" i="6"/>
  <c r="A355" i="1" s="1"/>
  <c r="B355" i="1" l="1"/>
  <c r="B355" i="7"/>
  <c r="C356" i="1" s="1"/>
  <c r="D355" i="6"/>
  <c r="A356" i="1" s="1"/>
  <c r="B356" i="1" l="1"/>
  <c r="B356" i="7"/>
  <c r="C357" i="1" s="1"/>
  <c r="D356" i="6"/>
  <c r="A357" i="1" s="1"/>
  <c r="B357" i="1" l="1"/>
  <c r="B357" i="7"/>
  <c r="C358" i="1" s="1"/>
  <c r="D357" i="6"/>
  <c r="A358" i="1" s="1"/>
  <c r="B358" i="1" l="1"/>
  <c r="B358" i="7"/>
  <c r="C359" i="1" s="1"/>
  <c r="D358" i="6"/>
  <c r="A359" i="1" s="1"/>
  <c r="B359" i="1" l="1"/>
  <c r="B359" i="7"/>
  <c r="C360" i="1" s="1"/>
  <c r="D359" i="6"/>
  <c r="A360" i="1" s="1"/>
  <c r="B360" i="1" l="1"/>
  <c r="B360" i="7"/>
  <c r="C361" i="1" s="1"/>
  <c r="D360" i="6"/>
  <c r="A361" i="1" s="1"/>
  <c r="B361" i="1" l="1"/>
  <c r="B361" i="7"/>
  <c r="C362" i="1" s="1"/>
  <c r="D361" i="6"/>
  <c r="A362" i="1" s="1"/>
  <c r="B362" i="1" l="1"/>
  <c r="B362" i="7"/>
  <c r="C363" i="1" s="1"/>
  <c r="D362" i="6"/>
  <c r="A363" i="1" s="1"/>
  <c r="B363" i="1" l="1"/>
  <c r="B363" i="7"/>
  <c r="C364" i="1" s="1"/>
  <c r="D363" i="6"/>
  <c r="A364" i="1" s="1"/>
  <c r="B364" i="1" l="1"/>
  <c r="B364" i="7"/>
  <c r="C365" i="1" s="1"/>
  <c r="D364" i="6"/>
  <c r="A365" i="1" s="1"/>
  <c r="B365" i="1" l="1"/>
  <c r="B365" i="7"/>
  <c r="C366" i="1" s="1"/>
  <c r="D365" i="6"/>
  <c r="A366" i="1" s="1"/>
  <c r="B366" i="1" l="1"/>
  <c r="B366" i="7"/>
  <c r="C367" i="1" s="1"/>
  <c r="D366" i="6"/>
  <c r="A367" i="1" s="1"/>
  <c r="B367" i="1" l="1"/>
  <c r="B367" i="7"/>
  <c r="C368" i="1" s="1"/>
  <c r="D367" i="6"/>
  <c r="A368" i="1" s="1"/>
  <c r="B368" i="1" l="1"/>
  <c r="B368" i="7"/>
  <c r="C369" i="1" s="1"/>
  <c r="D368" i="6"/>
  <c r="A369" i="1" s="1"/>
  <c r="B369" i="1" l="1"/>
  <c r="B369" i="7"/>
  <c r="C370" i="1" s="1"/>
  <c r="D369" i="6"/>
  <c r="A370" i="1" s="1"/>
  <c r="B370" i="1" l="1"/>
  <c r="B370" i="7"/>
  <c r="C371" i="1" s="1"/>
  <c r="D370" i="6"/>
  <c r="A371" i="1" s="1"/>
  <c r="B371" i="1" l="1"/>
  <c r="B371" i="7"/>
  <c r="C372" i="1" s="1"/>
  <c r="D371" i="6"/>
  <c r="A372" i="1" s="1"/>
  <c r="B372" i="1" l="1"/>
  <c r="B372" i="7"/>
  <c r="C373" i="1" s="1"/>
  <c r="D372" i="6"/>
  <c r="A373" i="1" s="1"/>
  <c r="B373" i="1" l="1"/>
  <c r="B373" i="7"/>
  <c r="C374" i="1" s="1"/>
  <c r="D373" i="6"/>
  <c r="A374" i="1" s="1"/>
  <c r="B374" i="1" l="1"/>
  <c r="B374" i="7"/>
  <c r="C375" i="1" s="1"/>
  <c r="D374" i="6"/>
  <c r="A375" i="1" s="1"/>
  <c r="B375" i="1" l="1"/>
  <c r="B375" i="7"/>
  <c r="C376" i="1" s="1"/>
  <c r="D375" i="6"/>
  <c r="A376" i="1" s="1"/>
  <c r="B376" i="1" l="1"/>
  <c r="B376" i="7"/>
  <c r="C377" i="1" s="1"/>
  <c r="D376" i="6"/>
  <c r="A377" i="1" s="1"/>
  <c r="B377" i="1" l="1"/>
  <c r="B377" i="7"/>
  <c r="C378" i="1" s="1"/>
  <c r="D377" i="6"/>
  <c r="A378" i="1" s="1"/>
  <c r="B378" i="1" l="1"/>
  <c r="B378" i="7"/>
  <c r="C379" i="1" s="1"/>
  <c r="D378" i="6"/>
  <c r="A379" i="1" s="1"/>
  <c r="B379" i="1" l="1"/>
  <c r="B379" i="7"/>
  <c r="C380" i="1" s="1"/>
  <c r="D379" i="6"/>
  <c r="A380" i="1" s="1"/>
  <c r="B380" i="1" l="1"/>
  <c r="B380" i="7"/>
  <c r="C381" i="1" s="1"/>
  <c r="D380" i="6"/>
  <c r="A381" i="1" s="1"/>
  <c r="B381" i="1" l="1"/>
  <c r="B381" i="7"/>
  <c r="C382" i="1" s="1"/>
  <c r="D381" i="6"/>
  <c r="A382" i="1" s="1"/>
  <c r="B382" i="1" l="1"/>
  <c r="B382" i="7"/>
  <c r="C383" i="1" s="1"/>
  <c r="D382" i="6"/>
  <c r="A383" i="1" s="1"/>
  <c r="B383" i="1" l="1"/>
  <c r="B383" i="7"/>
  <c r="C384" i="1" s="1"/>
  <c r="D383" i="6"/>
  <c r="A384" i="1" s="1"/>
  <c r="B384" i="1" l="1"/>
  <c r="B384" i="7"/>
  <c r="C385" i="1" s="1"/>
  <c r="D384" i="6"/>
  <c r="A385" i="1" s="1"/>
  <c r="B385" i="1" l="1"/>
  <c r="B385" i="7"/>
  <c r="C386" i="1" s="1"/>
  <c r="D385" i="6"/>
  <c r="A386" i="1" s="1"/>
  <c r="B386" i="1" l="1"/>
  <c r="B386" i="7"/>
  <c r="C387" i="1" s="1"/>
  <c r="D386" i="6"/>
  <c r="A387" i="1" s="1"/>
  <c r="B387" i="1" l="1"/>
  <c r="B387" i="7"/>
  <c r="C388" i="1" s="1"/>
  <c r="D387" i="6"/>
  <c r="A388" i="1" s="1"/>
  <c r="B388" i="1" l="1"/>
  <c r="B388" i="7"/>
  <c r="C389" i="1" s="1"/>
  <c r="D388" i="6"/>
  <c r="A389" i="1" s="1"/>
  <c r="B389" i="1" l="1"/>
  <c r="B389" i="7"/>
  <c r="C390" i="1" s="1"/>
  <c r="D389" i="6"/>
  <c r="A390" i="1" s="1"/>
  <c r="B390" i="1" l="1"/>
  <c r="B390" i="7"/>
  <c r="C391" i="1" s="1"/>
  <c r="D390" i="6"/>
  <c r="A391" i="1" s="1"/>
  <c r="B391" i="1" l="1"/>
  <c r="B391" i="7"/>
  <c r="C392" i="1" s="1"/>
  <c r="D391" i="6"/>
  <c r="A392" i="1" s="1"/>
  <c r="B392" i="1" l="1"/>
  <c r="B392" i="7"/>
  <c r="C393" i="1" s="1"/>
  <c r="D392" i="6"/>
  <c r="A393" i="1" s="1"/>
  <c r="B393" i="1" l="1"/>
  <c r="B393" i="7"/>
  <c r="C394" i="1" s="1"/>
  <c r="D393" i="6"/>
  <c r="A394" i="1" s="1"/>
  <c r="B394" i="1" l="1"/>
  <c r="B394" i="7"/>
  <c r="C395" i="1" s="1"/>
  <c r="D394" i="6"/>
  <c r="A395" i="1" s="1"/>
  <c r="B395" i="1" l="1"/>
  <c r="B395" i="7"/>
  <c r="C396" i="1" s="1"/>
  <c r="D395" i="6"/>
  <c r="A396" i="1" s="1"/>
  <c r="B396" i="1" l="1"/>
  <c r="B396" i="7"/>
  <c r="C397" i="1" s="1"/>
  <c r="D396" i="6"/>
  <c r="A397" i="1" s="1"/>
  <c r="B397" i="1" l="1"/>
  <c r="B397" i="7"/>
  <c r="C398" i="1" s="1"/>
  <c r="D397" i="6"/>
  <c r="A398" i="1" s="1"/>
  <c r="B398" i="1" l="1"/>
  <c r="B398" i="7"/>
  <c r="C399" i="1" s="1"/>
  <c r="D398" i="6"/>
  <c r="A399" i="1" s="1"/>
  <c r="B399" i="1" l="1"/>
  <c r="B399" i="7"/>
  <c r="C400" i="1" s="1"/>
  <c r="D399" i="6"/>
  <c r="A400" i="1" s="1"/>
  <c r="B400" i="1" l="1"/>
  <c r="B400" i="7"/>
  <c r="C401" i="1" s="1"/>
  <c r="D400" i="6"/>
  <c r="A401" i="1" s="1"/>
  <c r="B401" i="1" l="1"/>
  <c r="B401" i="7"/>
  <c r="C402" i="1" s="1"/>
  <c r="D401" i="6"/>
  <c r="A402" i="1" s="1"/>
  <c r="B402" i="1" l="1"/>
  <c r="B402" i="7"/>
  <c r="C403" i="1" s="1"/>
  <c r="D402" i="6"/>
  <c r="A403" i="1" s="1"/>
  <c r="B403" i="1" l="1"/>
  <c r="B403" i="7"/>
  <c r="C404" i="1" s="1"/>
  <c r="D403" i="6"/>
  <c r="A404" i="1" s="1"/>
  <c r="B404" i="1" l="1"/>
  <c r="B404" i="7"/>
  <c r="C405" i="1" s="1"/>
  <c r="D404" i="6"/>
  <c r="A405" i="1" s="1"/>
  <c r="B405" i="1" l="1"/>
  <c r="B405" i="7"/>
  <c r="C406" i="1" s="1"/>
  <c r="D405" i="6"/>
  <c r="A406" i="1" s="1"/>
  <c r="B406" i="1" l="1"/>
  <c r="B406" i="7"/>
  <c r="C407" i="1" s="1"/>
  <c r="D406" i="6"/>
  <c r="A407" i="1" s="1"/>
  <c r="B407" i="1" l="1"/>
  <c r="B407" i="7"/>
  <c r="C408" i="1" s="1"/>
  <c r="D407" i="6"/>
  <c r="A408" i="1" s="1"/>
  <c r="B408" i="1" l="1"/>
  <c r="B408" i="7"/>
  <c r="C409" i="1" s="1"/>
  <c r="D408" i="6"/>
  <c r="A409" i="1" s="1"/>
  <c r="B409" i="1" l="1"/>
  <c r="B409" i="7"/>
  <c r="C410" i="1" s="1"/>
  <c r="D409" i="6"/>
  <c r="A410" i="1" s="1"/>
  <c r="B410" i="1" l="1"/>
  <c r="B410" i="7"/>
  <c r="C411" i="1" s="1"/>
  <c r="D410" i="6"/>
  <c r="A411" i="1" s="1"/>
  <c r="B411" i="1" l="1"/>
  <c r="B411" i="7"/>
  <c r="C412" i="1" s="1"/>
  <c r="D411" i="6"/>
  <c r="A412" i="1" s="1"/>
  <c r="B412" i="1" l="1"/>
  <c r="B412" i="7"/>
  <c r="C413" i="1" s="1"/>
  <c r="D412" i="6"/>
  <c r="A413" i="1" s="1"/>
  <c r="B413" i="1" l="1"/>
  <c r="B413" i="7"/>
  <c r="C414" i="1" s="1"/>
  <c r="D413" i="6"/>
  <c r="A414" i="1" s="1"/>
  <c r="B414" i="1" l="1"/>
  <c r="B414" i="7"/>
  <c r="C415" i="1" s="1"/>
  <c r="D414" i="6"/>
  <c r="A415" i="1" s="1"/>
  <c r="B415" i="1" l="1"/>
  <c r="B415" i="7"/>
  <c r="C416" i="1" s="1"/>
  <c r="D415" i="6"/>
  <c r="A416" i="1" s="1"/>
  <c r="B416" i="1" l="1"/>
  <c r="B416" i="7"/>
  <c r="C417" i="1" s="1"/>
  <c r="D416" i="6"/>
  <c r="A417" i="1" s="1"/>
  <c r="B417" i="1" l="1"/>
  <c r="B417" i="7"/>
  <c r="C418" i="1" s="1"/>
  <c r="D417" i="6"/>
  <c r="A418" i="1" s="1"/>
  <c r="B418" i="1" l="1"/>
  <c r="B418" i="7"/>
  <c r="C419" i="1" s="1"/>
  <c r="D418" i="6"/>
  <c r="A419" i="1" s="1"/>
  <c r="B419" i="1" l="1"/>
  <c r="B419" i="7"/>
  <c r="C420" i="1" s="1"/>
  <c r="D419" i="6"/>
  <c r="A420" i="1" s="1"/>
  <c r="B420" i="1" l="1"/>
  <c r="B420" i="7"/>
  <c r="C421" i="1" s="1"/>
  <c r="D420" i="6"/>
  <c r="A421" i="1" s="1"/>
  <c r="B421" i="1" l="1"/>
  <c r="B421" i="7"/>
  <c r="C422" i="1" s="1"/>
  <c r="D421" i="6"/>
  <c r="A422" i="1" s="1"/>
  <c r="B422" i="1" l="1"/>
  <c r="B422" i="7"/>
  <c r="C423" i="1" s="1"/>
  <c r="D422" i="6"/>
  <c r="A423" i="1" s="1"/>
  <c r="B423" i="1" l="1"/>
  <c r="B423" i="7"/>
  <c r="C424" i="1" s="1"/>
  <c r="D423" i="6"/>
  <c r="A424" i="1" s="1"/>
  <c r="B424" i="1" l="1"/>
  <c r="B424" i="7"/>
  <c r="C425" i="1" s="1"/>
  <c r="D424" i="6"/>
  <c r="A425" i="1" s="1"/>
  <c r="B425" i="1" l="1"/>
  <c r="B425" i="7"/>
  <c r="C426" i="1" s="1"/>
  <c r="D425" i="6"/>
  <c r="A426" i="1" s="1"/>
  <c r="B426" i="1" l="1"/>
  <c r="B426" i="7"/>
  <c r="C427" i="1" s="1"/>
  <c r="D426" i="6"/>
  <c r="A427" i="1" s="1"/>
  <c r="B427" i="1" l="1"/>
  <c r="B427" i="7"/>
  <c r="C428" i="1" s="1"/>
  <c r="D427" i="6"/>
  <c r="A428" i="1" s="1"/>
  <c r="B428" i="1" l="1"/>
  <c r="B428" i="7"/>
  <c r="C429" i="1" s="1"/>
  <c r="D428" i="6"/>
  <c r="A429" i="1" s="1"/>
  <c r="B429" i="1" l="1"/>
  <c r="B429" i="7"/>
  <c r="C430" i="1" s="1"/>
  <c r="D429" i="6"/>
  <c r="A430" i="1" s="1"/>
  <c r="B430" i="1" l="1"/>
  <c r="B430" i="7"/>
  <c r="C431" i="1" s="1"/>
  <c r="D430" i="6"/>
  <c r="A431" i="1" s="1"/>
  <c r="B431" i="1" l="1"/>
  <c r="B431" i="7"/>
  <c r="C432" i="1" s="1"/>
  <c r="D431" i="6"/>
  <c r="A432" i="1" s="1"/>
  <c r="B432" i="1" l="1"/>
  <c r="B432" i="7"/>
  <c r="C433" i="1" s="1"/>
  <c r="D432" i="6"/>
  <c r="A433" i="1" s="1"/>
  <c r="B433" i="1" l="1"/>
  <c r="B433" i="7"/>
  <c r="C434" i="1" s="1"/>
  <c r="D433" i="6"/>
  <c r="A434" i="1" s="1"/>
  <c r="B434" i="1" l="1"/>
  <c r="B434" i="7"/>
  <c r="C435" i="1" s="1"/>
  <c r="D434" i="6"/>
  <c r="A435" i="1" s="1"/>
  <c r="B435" i="1" l="1"/>
  <c r="B435" i="7"/>
  <c r="C436" i="1" s="1"/>
  <c r="D435" i="6"/>
  <c r="A436" i="1" s="1"/>
  <c r="B436" i="1" l="1"/>
  <c r="B436" i="7"/>
  <c r="C437" i="1" s="1"/>
  <c r="D436" i="6"/>
  <c r="A437" i="1" s="1"/>
  <c r="B437" i="1" l="1"/>
  <c r="B437" i="7"/>
  <c r="C438" i="1" s="1"/>
  <c r="D437" i="6"/>
  <c r="A438" i="1" s="1"/>
  <c r="B438" i="1" l="1"/>
  <c r="B438" i="7"/>
  <c r="C439" i="1" s="1"/>
  <c r="D438" i="6"/>
  <c r="A439" i="1" s="1"/>
  <c r="B439" i="1" l="1"/>
  <c r="B439" i="7"/>
  <c r="C440" i="1" s="1"/>
  <c r="D439" i="6"/>
  <c r="A440" i="1" s="1"/>
  <c r="B440" i="1" l="1"/>
  <c r="B440" i="7"/>
  <c r="C441" i="1" s="1"/>
  <c r="D440" i="6"/>
  <c r="A441" i="1" s="1"/>
  <c r="B441" i="1" l="1"/>
  <c r="B441" i="7"/>
  <c r="C442" i="1" s="1"/>
  <c r="D441" i="6"/>
  <c r="A442" i="1" s="1"/>
  <c r="B442" i="1" l="1"/>
  <c r="B442" i="7"/>
  <c r="C443" i="1" s="1"/>
  <c r="D442" i="6"/>
  <c r="A443" i="1" s="1"/>
  <c r="B443" i="1" l="1"/>
  <c r="B443" i="7"/>
  <c r="C444" i="1" s="1"/>
  <c r="D443" i="6"/>
  <c r="A444" i="1" s="1"/>
  <c r="B444" i="1" l="1"/>
  <c r="B444" i="7"/>
  <c r="C445" i="1" s="1"/>
  <c r="D444" i="6"/>
  <c r="A445" i="1" s="1"/>
  <c r="B445" i="1" l="1"/>
  <c r="B445" i="7"/>
  <c r="C446" i="1" s="1"/>
  <c r="D445" i="6"/>
  <c r="A446" i="1" s="1"/>
  <c r="B446" i="1" l="1"/>
  <c r="B446" i="7"/>
  <c r="C447" i="1" s="1"/>
  <c r="D446" i="6"/>
  <c r="A447" i="1" s="1"/>
  <c r="B447" i="1" l="1"/>
  <c r="B447" i="7"/>
  <c r="C448" i="1" s="1"/>
  <c r="D447" i="6"/>
  <c r="A448" i="1" s="1"/>
  <c r="B448" i="1" l="1"/>
  <c r="B448" i="7"/>
  <c r="C449" i="1" s="1"/>
  <c r="D448" i="6"/>
  <c r="A449" i="1" s="1"/>
  <c r="B449" i="1" l="1"/>
  <c r="B449" i="7"/>
  <c r="C450" i="1" s="1"/>
  <c r="D449" i="6"/>
  <c r="A450" i="1" s="1"/>
  <c r="B450" i="1" l="1"/>
  <c r="B450" i="7"/>
  <c r="C451" i="1" s="1"/>
  <c r="D450" i="6"/>
  <c r="A451" i="1" s="1"/>
  <c r="B451" i="1" l="1"/>
  <c r="B451" i="7"/>
  <c r="C452" i="1" s="1"/>
  <c r="D451" i="6"/>
  <c r="A452" i="1" s="1"/>
  <c r="B452" i="1" l="1"/>
  <c r="B452" i="7"/>
  <c r="C453" i="1" s="1"/>
  <c r="D452" i="6"/>
  <c r="A453" i="1" s="1"/>
  <c r="B453" i="1" l="1"/>
  <c r="B453" i="7"/>
  <c r="C454" i="1" s="1"/>
  <c r="D453" i="6"/>
  <c r="A454" i="1" s="1"/>
  <c r="B454" i="1" l="1"/>
  <c r="B454" i="7"/>
  <c r="C455" i="1" s="1"/>
  <c r="D454" i="6"/>
  <c r="A455" i="1" s="1"/>
  <c r="B455" i="1" l="1"/>
  <c r="B455" i="7"/>
  <c r="C456" i="1" s="1"/>
  <c r="D455" i="6"/>
  <c r="A456" i="1" s="1"/>
  <c r="B456" i="1" l="1"/>
  <c r="B456" i="7"/>
  <c r="C457" i="1" s="1"/>
  <c r="D456" i="6"/>
  <c r="A457" i="1" s="1"/>
  <c r="B457" i="1" l="1"/>
  <c r="B457" i="7"/>
  <c r="C458" i="1" s="1"/>
  <c r="D457" i="6"/>
  <c r="A458" i="1" s="1"/>
  <c r="B458" i="1" l="1"/>
  <c r="B458" i="7"/>
  <c r="C459" i="1" s="1"/>
  <c r="D458" i="6"/>
  <c r="A459" i="1" s="1"/>
  <c r="B459" i="1" l="1"/>
  <c r="B459" i="7"/>
  <c r="C460" i="1" s="1"/>
  <c r="D459" i="6"/>
  <c r="A460" i="1" s="1"/>
  <c r="B460" i="1" l="1"/>
  <c r="B460" i="7"/>
  <c r="C461" i="1" s="1"/>
  <c r="D460" i="6"/>
  <c r="A461" i="1" s="1"/>
  <c r="B461" i="1" l="1"/>
  <c r="B461" i="7"/>
  <c r="C462" i="1" s="1"/>
  <c r="D461" i="6"/>
  <c r="A462" i="1" s="1"/>
  <c r="B462" i="1" l="1"/>
  <c r="B462" i="7"/>
  <c r="C463" i="1" s="1"/>
  <c r="D462" i="6"/>
  <c r="A463" i="1" s="1"/>
  <c r="B463" i="1" l="1"/>
  <c r="B463" i="7"/>
  <c r="C464" i="1" s="1"/>
  <c r="D463" i="6"/>
  <c r="A464" i="1" s="1"/>
  <c r="B464" i="1" l="1"/>
  <c r="B464" i="7"/>
  <c r="C465" i="1" s="1"/>
  <c r="D464" i="6"/>
  <c r="A465" i="1" s="1"/>
  <c r="B465" i="1" l="1"/>
  <c r="B465" i="7"/>
  <c r="C466" i="1" s="1"/>
  <c r="D465" i="6"/>
  <c r="A466" i="1" s="1"/>
  <c r="B466" i="1" l="1"/>
  <c r="B466" i="7"/>
  <c r="C467" i="1" s="1"/>
  <c r="D466" i="6"/>
  <c r="A467" i="1" s="1"/>
  <c r="B467" i="1" l="1"/>
  <c r="B467" i="7"/>
  <c r="C468" i="1" s="1"/>
  <c r="D467" i="6"/>
  <c r="A468" i="1" s="1"/>
  <c r="B468" i="1" l="1"/>
  <c r="B468" i="7"/>
  <c r="C469" i="1" s="1"/>
  <c r="D468" i="6"/>
  <c r="A469" i="1" s="1"/>
  <c r="B469" i="1" l="1"/>
  <c r="B469" i="7"/>
  <c r="C470" i="1" s="1"/>
  <c r="D469" i="6"/>
  <c r="A470" i="1" s="1"/>
  <c r="B470" i="1" l="1"/>
  <c r="B470" i="7"/>
  <c r="C471" i="1" s="1"/>
  <c r="D470" i="6"/>
  <c r="A471" i="1" s="1"/>
  <c r="B471" i="1" l="1"/>
  <c r="B471" i="7"/>
  <c r="C472" i="1" s="1"/>
  <c r="D471" i="6"/>
  <c r="A472" i="1" s="1"/>
  <c r="B472" i="1" l="1"/>
  <c r="B472" i="7"/>
  <c r="C473" i="1" s="1"/>
  <c r="D472" i="6"/>
  <c r="A473" i="1" s="1"/>
  <c r="B473" i="1" l="1"/>
  <c r="B473" i="7"/>
  <c r="C474" i="1" s="1"/>
  <c r="D473" i="6"/>
  <c r="A474" i="1" s="1"/>
  <c r="B474" i="1" l="1"/>
  <c r="B474" i="7"/>
  <c r="C475" i="1" s="1"/>
  <c r="D474" i="6"/>
  <c r="A475" i="1" s="1"/>
  <c r="B475" i="1" l="1"/>
  <c r="B475" i="7"/>
  <c r="C476" i="1" s="1"/>
  <c r="D475" i="6"/>
  <c r="A476" i="1" s="1"/>
  <c r="B476" i="1" l="1"/>
  <c r="B476" i="7"/>
  <c r="C477" i="1" s="1"/>
  <c r="D476" i="6"/>
  <c r="A477" i="1" s="1"/>
  <c r="B477" i="1" l="1"/>
  <c r="B477" i="7"/>
  <c r="C478" i="1" s="1"/>
  <c r="D477" i="6"/>
  <c r="A478" i="1" s="1"/>
  <c r="B478" i="1" l="1"/>
  <c r="B478" i="7"/>
  <c r="C479" i="1" s="1"/>
  <c r="D478" i="6"/>
  <c r="A479" i="1" s="1"/>
  <c r="B479" i="1" l="1"/>
  <c r="B479" i="7"/>
  <c r="C480" i="1" s="1"/>
  <c r="D479" i="6"/>
  <c r="A480" i="1" s="1"/>
  <c r="B480" i="1" l="1"/>
  <c r="B480" i="7"/>
  <c r="C481" i="1" s="1"/>
  <c r="D480" i="6"/>
  <c r="A481" i="1" s="1"/>
  <c r="B481" i="1" l="1"/>
  <c r="B481" i="7"/>
  <c r="C482" i="1" s="1"/>
  <c r="D481" i="6"/>
  <c r="A482" i="1" s="1"/>
  <c r="B482" i="1" l="1"/>
  <c r="B482" i="7"/>
  <c r="C483" i="1" s="1"/>
  <c r="D482" i="6"/>
  <c r="A483" i="1" s="1"/>
  <c r="B483" i="1" l="1"/>
  <c r="B483" i="7"/>
  <c r="C484" i="1" s="1"/>
  <c r="D483" i="6"/>
  <c r="A484" i="1" s="1"/>
  <c r="B484" i="1" l="1"/>
  <c r="B484" i="7"/>
  <c r="C485" i="1" s="1"/>
  <c r="D484" i="6"/>
  <c r="A485" i="1" s="1"/>
  <c r="B485" i="1" l="1"/>
  <c r="B485" i="7"/>
  <c r="C486" i="1" s="1"/>
  <c r="D485" i="6"/>
  <c r="A486" i="1" s="1"/>
  <c r="B486" i="1" l="1"/>
  <c r="B486" i="7"/>
  <c r="C487" i="1" s="1"/>
  <c r="D486" i="6"/>
  <c r="A487" i="1" s="1"/>
  <c r="B487" i="1" l="1"/>
  <c r="B487" i="7"/>
  <c r="C488" i="1" s="1"/>
  <c r="D487" i="6"/>
  <c r="A488" i="1" s="1"/>
  <c r="B488" i="1" l="1"/>
  <c r="B488" i="7"/>
  <c r="C489" i="1" s="1"/>
  <c r="D488" i="6"/>
  <c r="A489" i="1" s="1"/>
  <c r="B489" i="1" l="1"/>
  <c r="B489" i="7"/>
  <c r="C490" i="1" s="1"/>
  <c r="D489" i="6"/>
  <c r="A490" i="1" s="1"/>
  <c r="B490" i="1" l="1"/>
  <c r="B490" i="7"/>
  <c r="C491" i="1" s="1"/>
  <c r="D490" i="6"/>
  <c r="A491" i="1" s="1"/>
  <c r="B491" i="1" l="1"/>
  <c r="B491" i="7"/>
  <c r="C492" i="1" s="1"/>
  <c r="D491" i="6"/>
  <c r="A492" i="1" s="1"/>
  <c r="B492" i="1" l="1"/>
  <c r="B492" i="7"/>
  <c r="C493" i="1" s="1"/>
  <c r="D492" i="6"/>
  <c r="A493" i="1" s="1"/>
  <c r="B493" i="1" l="1"/>
  <c r="B493" i="7"/>
  <c r="C494" i="1" s="1"/>
  <c r="D493" i="6"/>
  <c r="A494" i="1" s="1"/>
  <c r="B494" i="1" l="1"/>
  <c r="B494" i="7"/>
  <c r="C495" i="1" s="1"/>
  <c r="D494" i="6"/>
  <c r="A495" i="1" s="1"/>
  <c r="B495" i="1" l="1"/>
  <c r="B495" i="7"/>
  <c r="C496" i="1" s="1"/>
  <c r="D495" i="6"/>
  <c r="A496" i="1" s="1"/>
  <c r="B496" i="1" l="1"/>
  <c r="B496" i="7"/>
  <c r="C497" i="1" s="1"/>
  <c r="D496" i="6"/>
  <c r="A497" i="1" s="1"/>
  <c r="B497" i="1" l="1"/>
  <c r="B497" i="7"/>
  <c r="C498" i="1" s="1"/>
  <c r="D497" i="6"/>
  <c r="A498" i="1" s="1"/>
  <c r="B498" i="1" l="1"/>
  <c r="B498" i="7"/>
  <c r="C499" i="1" s="1"/>
  <c r="D498" i="6"/>
  <c r="A499" i="1" s="1"/>
  <c r="B499" i="1" l="1"/>
  <c r="B499" i="7"/>
  <c r="C500" i="1" s="1"/>
  <c r="D499" i="6"/>
  <c r="A500" i="1" s="1"/>
  <c r="B500" i="1" l="1"/>
  <c r="B500" i="7"/>
  <c r="C501" i="1" s="1"/>
  <c r="D500" i="6"/>
  <c r="A501" i="1" s="1"/>
  <c r="B501" i="1" l="1"/>
  <c r="B501" i="7"/>
  <c r="C502" i="1" s="1"/>
  <c r="D501" i="6"/>
  <c r="A502" i="1" s="1"/>
  <c r="B502" i="1" l="1"/>
  <c r="B502" i="7"/>
  <c r="C503" i="1" s="1"/>
  <c r="D502" i="6"/>
  <c r="A503" i="1" s="1"/>
  <c r="B503" i="1" l="1"/>
  <c r="B503" i="7"/>
  <c r="C504" i="1" s="1"/>
  <c r="D503" i="6"/>
  <c r="A504" i="1" s="1"/>
  <c r="B504" i="1" l="1"/>
  <c r="B504" i="7"/>
  <c r="C505" i="1" s="1"/>
  <c r="D504" i="6"/>
  <c r="A505" i="1" s="1"/>
  <c r="B505" i="1" l="1"/>
  <c r="B505" i="7"/>
  <c r="C506" i="1" s="1"/>
  <c r="D505" i="6"/>
  <c r="A506" i="1" s="1"/>
  <c r="B506" i="1" l="1"/>
  <c r="B506" i="7"/>
  <c r="C507" i="1" s="1"/>
  <c r="D506" i="6"/>
  <c r="A507" i="1" s="1"/>
  <c r="B507" i="1" l="1"/>
  <c r="B507" i="7"/>
  <c r="C508" i="1" s="1"/>
  <c r="D507" i="6"/>
  <c r="A508" i="1" s="1"/>
  <c r="B508" i="1" l="1"/>
  <c r="B508" i="7"/>
  <c r="C509" i="1" s="1"/>
  <c r="D508" i="6"/>
  <c r="A509" i="1" s="1"/>
  <c r="B509" i="1" l="1"/>
  <c r="B509" i="7"/>
  <c r="C510" i="1" s="1"/>
  <c r="D509" i="6"/>
  <c r="A510" i="1" s="1"/>
  <c r="B510" i="1" l="1"/>
  <c r="B510" i="7"/>
  <c r="C511" i="1" s="1"/>
  <c r="D510" i="6"/>
  <c r="A511" i="1" s="1"/>
  <c r="B511" i="1" l="1"/>
  <c r="B511" i="7"/>
  <c r="C512" i="1" s="1"/>
  <c r="D511" i="6"/>
  <c r="A512" i="1" s="1"/>
  <c r="B512" i="1" l="1"/>
  <c r="B512" i="7"/>
  <c r="C513" i="1" s="1"/>
  <c r="D512" i="6"/>
  <c r="A513" i="1" s="1"/>
  <c r="B513" i="1" l="1"/>
  <c r="B513" i="7"/>
  <c r="C514" i="1" s="1"/>
  <c r="D513" i="6"/>
  <c r="A514" i="1" s="1"/>
  <c r="B514" i="1" l="1"/>
  <c r="B514" i="7"/>
  <c r="C515" i="1" s="1"/>
  <c r="D514" i="6"/>
  <c r="A515" i="1" s="1"/>
  <c r="B515" i="1" l="1"/>
  <c r="B515" i="7"/>
  <c r="C516" i="1" s="1"/>
  <c r="D515" i="6"/>
  <c r="A516" i="1" s="1"/>
  <c r="B516" i="1" l="1"/>
  <c r="B516" i="7"/>
  <c r="C517" i="1" s="1"/>
  <c r="D516" i="6"/>
  <c r="A517" i="1" s="1"/>
  <c r="B517" i="1" l="1"/>
  <c r="B517" i="7"/>
  <c r="C518" i="1" s="1"/>
  <c r="D517" i="6"/>
  <c r="A518" i="1" s="1"/>
  <c r="B518" i="1" l="1"/>
  <c r="B518" i="7"/>
  <c r="C519" i="1" s="1"/>
  <c r="D518" i="6"/>
  <c r="A519" i="1" s="1"/>
  <c r="B519" i="1" l="1"/>
  <c r="B519" i="7"/>
  <c r="C520" i="1" s="1"/>
  <c r="D519" i="6"/>
  <c r="A520" i="1" s="1"/>
  <c r="B520" i="1" l="1"/>
  <c r="B520" i="7"/>
  <c r="C521" i="1" s="1"/>
  <c r="D520" i="6"/>
  <c r="A521" i="1" s="1"/>
  <c r="B521" i="1" l="1"/>
  <c r="B521" i="7"/>
  <c r="C522" i="1" s="1"/>
  <c r="D521" i="6"/>
  <c r="A522" i="1" s="1"/>
  <c r="B522" i="1" l="1"/>
  <c r="B522" i="7"/>
  <c r="C523" i="1" s="1"/>
  <c r="D522" i="6"/>
  <c r="A523" i="1" s="1"/>
  <c r="B523" i="1" l="1"/>
  <c r="B523" i="7"/>
  <c r="C524" i="1" s="1"/>
  <c r="D523" i="6"/>
  <c r="A524" i="1" s="1"/>
  <c r="B524" i="1" l="1"/>
  <c r="B524" i="7"/>
  <c r="C525" i="1" s="1"/>
  <c r="D524" i="6"/>
  <c r="A525" i="1" s="1"/>
  <c r="B525" i="1" l="1"/>
  <c r="B525" i="7"/>
  <c r="C526" i="1" s="1"/>
  <c r="D525" i="6"/>
  <c r="A526" i="1" s="1"/>
  <c r="B526" i="1" l="1"/>
  <c r="B526" i="7"/>
  <c r="C527" i="1" s="1"/>
  <c r="D526" i="6"/>
  <c r="A527" i="1" s="1"/>
  <c r="B527" i="1" l="1"/>
  <c r="B527" i="7"/>
  <c r="C528" i="1" s="1"/>
  <c r="D527" i="6"/>
  <c r="A528" i="1" s="1"/>
  <c r="B528" i="1" l="1"/>
  <c r="B528" i="7"/>
  <c r="C529" i="1" s="1"/>
  <c r="D528" i="6"/>
  <c r="A529" i="1" s="1"/>
  <c r="B529" i="1" l="1"/>
  <c r="B529" i="7"/>
  <c r="C530" i="1" s="1"/>
  <c r="D529" i="6"/>
  <c r="A530" i="1" s="1"/>
  <c r="B530" i="1" l="1"/>
  <c r="B530" i="7"/>
  <c r="C531" i="1" s="1"/>
  <c r="D530" i="6"/>
  <c r="A531" i="1" s="1"/>
  <c r="B531" i="1" l="1"/>
  <c r="B531" i="7"/>
  <c r="C532" i="1" s="1"/>
  <c r="D531" i="6"/>
  <c r="A532" i="1" s="1"/>
  <c r="B532" i="1" l="1"/>
  <c r="B532" i="7"/>
  <c r="C533" i="1" s="1"/>
  <c r="D532" i="6"/>
  <c r="A533" i="1" s="1"/>
  <c r="B533" i="1" l="1"/>
  <c r="B533" i="7"/>
  <c r="C534" i="1" s="1"/>
  <c r="D533" i="6"/>
  <c r="A534" i="1" s="1"/>
  <c r="B534" i="1" l="1"/>
  <c r="B534" i="7"/>
  <c r="C535" i="1" s="1"/>
  <c r="D534" i="6"/>
  <c r="A535" i="1" s="1"/>
  <c r="B535" i="1" l="1"/>
  <c r="B535" i="7"/>
  <c r="C536" i="1" s="1"/>
  <c r="D535" i="6"/>
  <c r="A536" i="1" s="1"/>
  <c r="B536" i="1" l="1"/>
  <c r="B536" i="7"/>
  <c r="C537" i="1" s="1"/>
  <c r="D536" i="6"/>
  <c r="A537" i="1" s="1"/>
  <c r="B537" i="1" l="1"/>
  <c r="B537" i="7"/>
  <c r="C538" i="1" s="1"/>
  <c r="D537" i="6"/>
  <c r="A538" i="1" s="1"/>
  <c r="B538" i="1" l="1"/>
  <c r="B538" i="7"/>
  <c r="C539" i="1" s="1"/>
  <c r="D538" i="6"/>
  <c r="A539" i="1" s="1"/>
  <c r="B539" i="1" l="1"/>
  <c r="B539" i="7"/>
  <c r="C540" i="1" s="1"/>
  <c r="D539" i="6"/>
  <c r="A540" i="1" s="1"/>
  <c r="B540" i="1" l="1"/>
  <c r="B540" i="7"/>
  <c r="C541" i="1" s="1"/>
  <c r="D540" i="6"/>
  <c r="A541" i="1" s="1"/>
  <c r="B541" i="1" l="1"/>
  <c r="B541" i="7"/>
  <c r="C542" i="1" s="1"/>
  <c r="D541" i="6"/>
  <c r="A542" i="1" s="1"/>
  <c r="B542" i="1" l="1"/>
  <c r="B542" i="7"/>
  <c r="C543" i="1" s="1"/>
  <c r="D542" i="6"/>
  <c r="A543" i="1" s="1"/>
  <c r="B543" i="1" l="1"/>
  <c r="B543" i="7"/>
  <c r="C544" i="1" s="1"/>
  <c r="D543" i="6"/>
  <c r="A544" i="1" s="1"/>
  <c r="B544" i="1" l="1"/>
  <c r="B544" i="7"/>
  <c r="C545" i="1" s="1"/>
  <c r="D544" i="6"/>
  <c r="A545" i="1" s="1"/>
  <c r="B545" i="1" l="1"/>
  <c r="B545" i="7"/>
  <c r="C546" i="1" s="1"/>
  <c r="D545" i="6"/>
  <c r="A546" i="1" s="1"/>
  <c r="B546" i="1" l="1"/>
  <c r="B546" i="7"/>
  <c r="C547" i="1" s="1"/>
  <c r="D546" i="6"/>
  <c r="A547" i="1" s="1"/>
  <c r="B547" i="1" l="1"/>
  <c r="B547" i="7"/>
  <c r="C548" i="1" s="1"/>
  <c r="D547" i="6"/>
  <c r="A548" i="1" s="1"/>
  <c r="B548" i="1" l="1"/>
  <c r="B548" i="7"/>
  <c r="C549" i="1" s="1"/>
  <c r="D548" i="6"/>
  <c r="A549" i="1" s="1"/>
  <c r="B549" i="1" l="1"/>
  <c r="B549" i="7"/>
  <c r="C550" i="1" s="1"/>
  <c r="D549" i="6"/>
  <c r="A550" i="1" s="1"/>
  <c r="B550" i="1" l="1"/>
  <c r="B550" i="7"/>
  <c r="C551" i="1" s="1"/>
  <c r="D550" i="6"/>
  <c r="A551" i="1" s="1"/>
  <c r="B551" i="1" l="1"/>
  <c r="B551" i="7"/>
  <c r="C552" i="1" s="1"/>
  <c r="D551" i="6"/>
  <c r="A552" i="1" s="1"/>
  <c r="B552" i="1" l="1"/>
  <c r="B552" i="7"/>
  <c r="C553" i="1" s="1"/>
  <c r="D552" i="6"/>
  <c r="A553" i="1" s="1"/>
  <c r="B553" i="1" l="1"/>
  <c r="B553" i="7"/>
  <c r="C554" i="1" s="1"/>
  <c r="D553" i="6"/>
  <c r="A554" i="1" s="1"/>
  <c r="B554" i="1" l="1"/>
  <c r="B554" i="7"/>
  <c r="C555" i="1" s="1"/>
  <c r="D554" i="6"/>
  <c r="A555" i="1" s="1"/>
  <c r="B555" i="1" l="1"/>
  <c r="B555" i="7"/>
  <c r="C556" i="1" s="1"/>
  <c r="D555" i="6"/>
  <c r="A556" i="1" s="1"/>
  <c r="B556" i="1" l="1"/>
  <c r="B556" i="7"/>
  <c r="C557" i="1" s="1"/>
  <c r="D556" i="6"/>
  <c r="A557" i="1" s="1"/>
  <c r="B557" i="1" l="1"/>
  <c r="B557" i="7"/>
  <c r="C558" i="1" s="1"/>
  <c r="D557" i="6"/>
  <c r="A558" i="1" s="1"/>
  <c r="B558" i="1" l="1"/>
  <c r="B558" i="7"/>
  <c r="C559" i="1" s="1"/>
  <c r="D558" i="6"/>
  <c r="A559" i="1" s="1"/>
  <c r="B559" i="1" l="1"/>
  <c r="B559" i="7"/>
  <c r="C560" i="1" s="1"/>
  <c r="D559" i="6"/>
  <c r="A560" i="1" s="1"/>
  <c r="B560" i="1" l="1"/>
  <c r="B560" i="7"/>
  <c r="C561" i="1" s="1"/>
  <c r="D560" i="6"/>
  <c r="A561" i="1" s="1"/>
  <c r="B561" i="1" l="1"/>
  <c r="B561" i="7"/>
  <c r="C562" i="1" s="1"/>
  <c r="D561" i="6"/>
  <c r="A562" i="1" s="1"/>
  <c r="B562" i="1" l="1"/>
  <c r="B562" i="7"/>
  <c r="C563" i="1" s="1"/>
  <c r="D562" i="6"/>
  <c r="A563" i="1" s="1"/>
  <c r="B563" i="1" l="1"/>
  <c r="B563" i="7"/>
  <c r="C564" i="1" s="1"/>
  <c r="D563" i="6"/>
  <c r="A564" i="1" s="1"/>
  <c r="B564" i="1" l="1"/>
  <c r="B564" i="7"/>
  <c r="C565" i="1" s="1"/>
  <c r="D564" i="6"/>
  <c r="A565" i="1" s="1"/>
  <c r="B565" i="1" l="1"/>
  <c r="B565" i="7"/>
  <c r="C566" i="1" s="1"/>
  <c r="D565" i="6"/>
  <c r="A566" i="1" s="1"/>
  <c r="B566" i="1" l="1"/>
  <c r="B566" i="7"/>
  <c r="C567" i="1" s="1"/>
  <c r="D566" i="6"/>
  <c r="A567" i="1" s="1"/>
  <c r="B567" i="1" l="1"/>
  <c r="B567" i="7"/>
  <c r="C568" i="1" s="1"/>
  <c r="D567" i="6"/>
  <c r="A568" i="1" s="1"/>
  <c r="B568" i="1" l="1"/>
  <c r="B568" i="7"/>
  <c r="C569" i="1" s="1"/>
  <c r="D568" i="6"/>
  <c r="A569" i="1" s="1"/>
  <c r="B569" i="1" l="1"/>
  <c r="B569" i="7"/>
  <c r="C570" i="1" s="1"/>
  <c r="D569" i="6"/>
  <c r="A570" i="1" s="1"/>
  <c r="B570" i="1" l="1"/>
  <c r="B570" i="7"/>
  <c r="C571" i="1" s="1"/>
  <c r="D570" i="6"/>
  <c r="A571" i="1" s="1"/>
  <c r="B571" i="1" l="1"/>
  <c r="B571" i="7"/>
  <c r="C572" i="1" s="1"/>
  <c r="D571" i="6"/>
  <c r="A572" i="1" s="1"/>
  <c r="B572" i="1" l="1"/>
  <c r="B572" i="7"/>
  <c r="C573" i="1" s="1"/>
  <c r="D572" i="6"/>
  <c r="A573" i="1" s="1"/>
  <c r="B573" i="1" l="1"/>
  <c r="B573" i="7"/>
  <c r="C574" i="1" s="1"/>
  <c r="D573" i="6"/>
  <c r="A574" i="1" s="1"/>
  <c r="B574" i="1" l="1"/>
  <c r="B574" i="7"/>
  <c r="C575" i="1" s="1"/>
  <c r="D574" i="6"/>
  <c r="A575" i="1" s="1"/>
  <c r="B575" i="1" l="1"/>
  <c r="B575" i="7"/>
  <c r="C576" i="1" s="1"/>
  <c r="D575" i="6"/>
  <c r="A576" i="1" s="1"/>
  <c r="B576" i="1" l="1"/>
  <c r="B576" i="7"/>
  <c r="C577" i="1" s="1"/>
  <c r="D576" i="6"/>
  <c r="A577" i="1" s="1"/>
  <c r="B577" i="1" l="1"/>
  <c r="B577" i="7"/>
  <c r="C578" i="1" s="1"/>
  <c r="D577" i="6"/>
  <c r="A578" i="1" s="1"/>
  <c r="B578" i="1" l="1"/>
  <c r="B578" i="7"/>
  <c r="C579" i="1" s="1"/>
  <c r="D578" i="6"/>
  <c r="A579" i="1" s="1"/>
  <c r="B579" i="1" l="1"/>
  <c r="B579" i="7"/>
  <c r="C580" i="1" s="1"/>
  <c r="D579" i="6"/>
  <c r="A580" i="1" s="1"/>
  <c r="B580" i="1" l="1"/>
  <c r="B580" i="7"/>
  <c r="C581" i="1" s="1"/>
  <c r="D580" i="6"/>
  <c r="A581" i="1" s="1"/>
  <c r="B581" i="1" l="1"/>
  <c r="B581" i="7"/>
  <c r="C582" i="1" s="1"/>
  <c r="D581" i="6"/>
  <c r="A582" i="1" s="1"/>
  <c r="B582" i="1" l="1"/>
  <c r="B582" i="7"/>
  <c r="C583" i="1" s="1"/>
  <c r="D582" i="6"/>
  <c r="A583" i="1" s="1"/>
  <c r="B583" i="1" l="1"/>
  <c r="B583" i="7"/>
  <c r="C584" i="1" s="1"/>
  <c r="D583" i="6"/>
  <c r="A584" i="1" s="1"/>
  <c r="B584" i="1" l="1"/>
  <c r="B584" i="7"/>
  <c r="C585" i="1" s="1"/>
  <c r="D584" i="6"/>
  <c r="A585" i="1" s="1"/>
  <c r="B585" i="1" l="1"/>
  <c r="B585" i="7"/>
  <c r="C586" i="1" s="1"/>
  <c r="D585" i="6"/>
  <c r="A586" i="1" s="1"/>
  <c r="B586" i="1" l="1"/>
  <c r="B586" i="7"/>
  <c r="C587" i="1" s="1"/>
  <c r="D586" i="6"/>
  <c r="A587" i="1" s="1"/>
  <c r="B587" i="1" l="1"/>
  <c r="B587" i="7"/>
  <c r="C588" i="1" s="1"/>
  <c r="D587" i="6"/>
  <c r="A588" i="1" s="1"/>
  <c r="B588" i="1" l="1"/>
  <c r="B588" i="7"/>
  <c r="C589" i="1" s="1"/>
  <c r="D588" i="6"/>
  <c r="A589" i="1" s="1"/>
  <c r="B589" i="1" l="1"/>
  <c r="B589" i="7"/>
  <c r="C590" i="1" s="1"/>
  <c r="D589" i="6"/>
  <c r="A590" i="1" s="1"/>
  <c r="B590" i="1" l="1"/>
  <c r="B590" i="7"/>
  <c r="C591" i="1" s="1"/>
  <c r="D590" i="6"/>
  <c r="A591" i="1" s="1"/>
  <c r="B591" i="1" l="1"/>
  <c r="B591" i="7"/>
  <c r="C592" i="1" s="1"/>
  <c r="D591" i="6"/>
  <c r="A592" i="1" s="1"/>
  <c r="B592" i="1" l="1"/>
  <c r="B592" i="7"/>
  <c r="C593" i="1" s="1"/>
  <c r="D592" i="6"/>
  <c r="A593" i="1" s="1"/>
  <c r="B593" i="1" l="1"/>
  <c r="B593" i="7"/>
  <c r="C594" i="1" s="1"/>
  <c r="D593" i="6"/>
  <c r="A594" i="1" s="1"/>
  <c r="B594" i="1" l="1"/>
  <c r="B594" i="7"/>
  <c r="C595" i="1" s="1"/>
  <c r="D594" i="6"/>
  <c r="A595" i="1" s="1"/>
  <c r="B595" i="1" l="1"/>
  <c r="B595" i="7"/>
  <c r="C596" i="1" s="1"/>
  <c r="D595" i="6"/>
  <c r="A596" i="1" s="1"/>
  <c r="B596" i="1" l="1"/>
  <c r="B596" i="7"/>
  <c r="C597" i="1" s="1"/>
  <c r="D596" i="6"/>
  <c r="A597" i="1" s="1"/>
  <c r="B597" i="1" l="1"/>
  <c r="B597" i="7"/>
  <c r="C598" i="1" s="1"/>
  <c r="D597" i="6"/>
  <c r="A598" i="1" s="1"/>
  <c r="B598" i="1" l="1"/>
  <c r="B598" i="7"/>
  <c r="C599" i="1" s="1"/>
  <c r="D598" i="6"/>
  <c r="A599" i="1" s="1"/>
  <c r="B599" i="1" l="1"/>
  <c r="B599" i="7"/>
  <c r="C600" i="1" s="1"/>
  <c r="D599" i="6"/>
  <c r="A600" i="1" s="1"/>
  <c r="B600" i="1" l="1"/>
  <c r="B600" i="7"/>
  <c r="C601" i="1" s="1"/>
  <c r="D600" i="6"/>
  <c r="A601" i="1" s="1"/>
  <c r="B601" i="1" l="1"/>
  <c r="B601" i="7"/>
  <c r="C602" i="1" s="1"/>
  <c r="D601" i="6"/>
  <c r="A602" i="1" s="1"/>
  <c r="B602" i="1" l="1"/>
  <c r="B602" i="7"/>
  <c r="C603" i="1" s="1"/>
  <c r="D602" i="6"/>
  <c r="A603" i="1" s="1"/>
  <c r="B603" i="1" l="1"/>
  <c r="B603" i="7"/>
  <c r="C604" i="1" s="1"/>
  <c r="D603" i="6"/>
  <c r="A604" i="1" s="1"/>
  <c r="B604" i="1" l="1"/>
  <c r="B604" i="7"/>
  <c r="C605" i="1" s="1"/>
  <c r="D604" i="6"/>
  <c r="A605" i="1" s="1"/>
  <c r="B605" i="1" l="1"/>
  <c r="B605" i="7"/>
  <c r="C606" i="1" s="1"/>
  <c r="D605" i="6"/>
  <c r="A606" i="1" s="1"/>
  <c r="B606" i="1" l="1"/>
  <c r="B606" i="7"/>
  <c r="C607" i="1" s="1"/>
  <c r="D606" i="6"/>
  <c r="A607" i="1" s="1"/>
  <c r="B607" i="1" l="1"/>
  <c r="B607" i="7"/>
  <c r="C608" i="1" s="1"/>
  <c r="D607" i="6"/>
  <c r="A608" i="1" s="1"/>
  <c r="B608" i="1" l="1"/>
  <c r="B608" i="7"/>
  <c r="C609" i="1" s="1"/>
  <c r="D608" i="6"/>
  <c r="A609" i="1" s="1"/>
  <c r="B609" i="1" l="1"/>
  <c r="B609" i="7"/>
  <c r="C610" i="1" s="1"/>
  <c r="D609" i="6"/>
  <c r="A610" i="1" s="1"/>
  <c r="B610" i="1" l="1"/>
  <c r="B610" i="7"/>
  <c r="C611" i="1" s="1"/>
  <c r="D610" i="6"/>
  <c r="A611" i="1" s="1"/>
  <c r="B611" i="1" l="1"/>
  <c r="B611" i="7"/>
  <c r="C612" i="1" s="1"/>
  <c r="D611" i="6"/>
  <c r="A612" i="1" s="1"/>
  <c r="B612" i="1" l="1"/>
  <c r="B612" i="7"/>
  <c r="C613" i="1" s="1"/>
  <c r="D612" i="6"/>
  <c r="A613" i="1" s="1"/>
  <c r="B613" i="1" l="1"/>
  <c r="B613" i="7"/>
  <c r="C614" i="1" s="1"/>
  <c r="D613" i="6"/>
  <c r="A614" i="1" s="1"/>
  <c r="B614" i="1" l="1"/>
  <c r="B614" i="7"/>
  <c r="C615" i="1" s="1"/>
  <c r="D614" i="6"/>
  <c r="A615" i="1" s="1"/>
  <c r="B615" i="1" l="1"/>
  <c r="B615" i="7"/>
  <c r="C616" i="1" s="1"/>
  <c r="D615" i="6"/>
  <c r="A616" i="1" s="1"/>
  <c r="B616" i="1" l="1"/>
  <c r="B616" i="7"/>
  <c r="C617" i="1" s="1"/>
  <c r="D616" i="6"/>
  <c r="A617" i="1" s="1"/>
  <c r="B617" i="1" l="1"/>
  <c r="B617" i="7"/>
  <c r="C618" i="1" s="1"/>
  <c r="D617" i="6"/>
  <c r="A618" i="1" s="1"/>
  <c r="B618" i="1" l="1"/>
  <c r="B618" i="7"/>
  <c r="C619" i="1" s="1"/>
  <c r="D618" i="6"/>
  <c r="A619" i="1" s="1"/>
  <c r="B619" i="1" l="1"/>
  <c r="B619" i="7"/>
  <c r="C620" i="1" s="1"/>
  <c r="D619" i="6"/>
  <c r="A620" i="1" s="1"/>
  <c r="B620" i="1" l="1"/>
  <c r="B620" i="7"/>
  <c r="C621" i="1" s="1"/>
  <c r="D620" i="6"/>
  <c r="A621" i="1" s="1"/>
  <c r="B621" i="1" l="1"/>
  <c r="B621" i="7"/>
  <c r="C622" i="1" s="1"/>
  <c r="D621" i="6"/>
  <c r="A622" i="1" s="1"/>
  <c r="B622" i="1" l="1"/>
  <c r="B622" i="7"/>
  <c r="C623" i="1" s="1"/>
  <c r="D622" i="6"/>
  <c r="A623" i="1" s="1"/>
  <c r="B623" i="1" l="1"/>
  <c r="B623" i="7"/>
  <c r="C624" i="1" s="1"/>
  <c r="D623" i="6"/>
  <c r="A624" i="1" s="1"/>
  <c r="B624" i="1" l="1"/>
  <c r="B624" i="7"/>
  <c r="C625" i="1" s="1"/>
  <c r="D624" i="6"/>
  <c r="A625" i="1" s="1"/>
  <c r="B625" i="1" l="1"/>
  <c r="B625" i="7"/>
  <c r="C626" i="1" s="1"/>
  <c r="D625" i="6"/>
  <c r="A626" i="1" s="1"/>
  <c r="B626" i="1" l="1"/>
  <c r="B626" i="7"/>
  <c r="C627" i="1" s="1"/>
  <c r="D626" i="6"/>
  <c r="A627" i="1" s="1"/>
  <c r="B627" i="1" l="1"/>
  <c r="B627" i="7"/>
  <c r="C628" i="1" s="1"/>
  <c r="D627" i="6"/>
  <c r="A628" i="1" s="1"/>
  <c r="B628" i="1" l="1"/>
  <c r="B628" i="7"/>
  <c r="C629" i="1" s="1"/>
  <c r="D628" i="6"/>
  <c r="A629" i="1" s="1"/>
  <c r="B629" i="1" l="1"/>
  <c r="B629" i="7"/>
  <c r="C630" i="1" s="1"/>
  <c r="D629" i="6"/>
  <c r="A630" i="1" s="1"/>
  <c r="B630" i="1" l="1"/>
  <c r="B630" i="7"/>
  <c r="C631" i="1" s="1"/>
  <c r="D630" i="6"/>
  <c r="A631" i="1" s="1"/>
  <c r="B631" i="1" l="1"/>
  <c r="B631" i="7"/>
  <c r="C632" i="1" s="1"/>
  <c r="D631" i="6"/>
  <c r="A632" i="1" s="1"/>
  <c r="B632" i="1" l="1"/>
  <c r="B632" i="7"/>
  <c r="C633" i="1" s="1"/>
  <c r="D632" i="6"/>
  <c r="A633" i="1" s="1"/>
  <c r="B633" i="1" l="1"/>
  <c r="B633" i="7"/>
  <c r="C634" i="1" s="1"/>
  <c r="D633" i="6"/>
  <c r="A634" i="1" s="1"/>
  <c r="B634" i="1" l="1"/>
  <c r="B634" i="7"/>
  <c r="C635" i="1" s="1"/>
  <c r="D634" i="6"/>
  <c r="A635" i="1" s="1"/>
  <c r="B635" i="1" l="1"/>
  <c r="B635" i="7"/>
  <c r="C636" i="1" s="1"/>
  <c r="D635" i="6"/>
  <c r="A636" i="1" s="1"/>
  <c r="B636" i="1" l="1"/>
  <c r="B636" i="7"/>
  <c r="C637" i="1" s="1"/>
  <c r="D636" i="6"/>
  <c r="A637" i="1" s="1"/>
  <c r="B637" i="1" l="1"/>
  <c r="B637" i="7"/>
  <c r="C638" i="1" s="1"/>
  <c r="D637" i="6"/>
  <c r="A638" i="1" s="1"/>
  <c r="B638" i="1" l="1"/>
  <c r="B638" i="7"/>
  <c r="C639" i="1" s="1"/>
  <c r="D638" i="6"/>
  <c r="A639" i="1" s="1"/>
  <c r="B639" i="1" l="1"/>
  <c r="B639" i="7"/>
  <c r="C640" i="1" s="1"/>
  <c r="D639" i="6"/>
  <c r="A640" i="1" s="1"/>
  <c r="B640" i="1" l="1"/>
  <c r="B640" i="7"/>
  <c r="C641" i="1" s="1"/>
  <c r="D640" i="6"/>
  <c r="A641" i="1" s="1"/>
  <c r="B641" i="1" l="1"/>
  <c r="B641" i="7"/>
  <c r="C642" i="1" s="1"/>
  <c r="D641" i="6"/>
  <c r="A642" i="1" s="1"/>
  <c r="B642" i="1" l="1"/>
  <c r="B642" i="7"/>
  <c r="C643" i="1" s="1"/>
  <c r="D642" i="6"/>
  <c r="A643" i="1" s="1"/>
  <c r="B643" i="1" l="1"/>
  <c r="B643" i="7"/>
  <c r="C644" i="1" s="1"/>
  <c r="D643" i="6"/>
  <c r="A644" i="1" s="1"/>
  <c r="B644" i="1" l="1"/>
  <c r="B644" i="7"/>
  <c r="C645" i="1" s="1"/>
  <c r="D644" i="6"/>
  <c r="A645" i="1" s="1"/>
  <c r="B645" i="1" l="1"/>
  <c r="B645" i="7"/>
  <c r="C646" i="1" s="1"/>
  <c r="D645" i="6"/>
  <c r="A646" i="1" s="1"/>
  <c r="B646" i="1" l="1"/>
  <c r="B646" i="7"/>
  <c r="C647" i="1" s="1"/>
  <c r="D646" i="6"/>
  <c r="A647" i="1" s="1"/>
  <c r="B647" i="1" l="1"/>
  <c r="B647" i="7"/>
  <c r="C648" i="1" s="1"/>
  <c r="D647" i="6"/>
  <c r="A648" i="1" s="1"/>
  <c r="B648" i="1" l="1"/>
  <c r="B648" i="7"/>
  <c r="C649" i="1" s="1"/>
  <c r="D648" i="6"/>
  <c r="A649" i="1" s="1"/>
  <c r="B649" i="1" l="1"/>
  <c r="B649" i="7"/>
  <c r="C650" i="1" s="1"/>
  <c r="D649" i="6"/>
  <c r="A650" i="1" s="1"/>
  <c r="B650" i="1" l="1"/>
  <c r="B650" i="7"/>
  <c r="C651" i="1" s="1"/>
  <c r="D650" i="6"/>
  <c r="A651" i="1" s="1"/>
  <c r="B651" i="1" l="1"/>
  <c r="B651" i="7"/>
  <c r="C652" i="1" s="1"/>
  <c r="D651" i="6"/>
  <c r="A652" i="1" s="1"/>
  <c r="B652" i="1" l="1"/>
  <c r="B652" i="7"/>
  <c r="C653" i="1" s="1"/>
  <c r="D652" i="6"/>
  <c r="A653" i="1" s="1"/>
  <c r="B653" i="1" l="1"/>
  <c r="B653" i="7"/>
  <c r="C654" i="1" s="1"/>
  <c r="D653" i="6"/>
  <c r="A654" i="1" s="1"/>
  <c r="B654" i="1" l="1"/>
  <c r="B654" i="7"/>
  <c r="C655" i="1" s="1"/>
  <c r="D654" i="6"/>
  <c r="A655" i="1" s="1"/>
  <c r="B655" i="1" l="1"/>
  <c r="B655" i="7"/>
  <c r="C656" i="1" s="1"/>
  <c r="D655" i="6"/>
  <c r="A656" i="1" s="1"/>
  <c r="B656" i="1" l="1"/>
  <c r="B656" i="7"/>
  <c r="C657" i="1" s="1"/>
  <c r="D656" i="6"/>
  <c r="A657" i="1" s="1"/>
  <c r="B657" i="1" l="1"/>
  <c r="B657" i="7"/>
  <c r="C658" i="1" s="1"/>
  <c r="D657" i="6"/>
  <c r="A658" i="1" s="1"/>
  <c r="B658" i="1" l="1"/>
  <c r="B658" i="7"/>
  <c r="C659" i="1" s="1"/>
  <c r="D658" i="6"/>
  <c r="A659" i="1" s="1"/>
  <c r="B659" i="1" l="1"/>
  <c r="B659" i="7"/>
  <c r="C660" i="1" s="1"/>
  <c r="D659" i="6"/>
  <c r="A660" i="1" s="1"/>
  <c r="B660" i="1" l="1"/>
  <c r="B660" i="7"/>
  <c r="C661" i="1" s="1"/>
  <c r="D660" i="6"/>
  <c r="A661" i="1" s="1"/>
  <c r="B661" i="1" l="1"/>
  <c r="B661" i="7"/>
  <c r="C662" i="1" s="1"/>
  <c r="D661" i="6"/>
  <c r="A662" i="1" s="1"/>
  <c r="B662" i="1" l="1"/>
  <c r="B662" i="7"/>
  <c r="C663" i="1" s="1"/>
  <c r="D662" i="6"/>
  <c r="A663" i="1" s="1"/>
  <c r="B663" i="1" l="1"/>
  <c r="B663" i="7"/>
  <c r="C664" i="1" s="1"/>
  <c r="D663" i="6"/>
  <c r="A664" i="1" s="1"/>
  <c r="B664" i="1" l="1"/>
  <c r="B664" i="7"/>
  <c r="C665" i="1" s="1"/>
  <c r="D664" i="6"/>
  <c r="A665" i="1" s="1"/>
  <c r="B665" i="1" l="1"/>
  <c r="B665" i="7"/>
  <c r="C666" i="1" s="1"/>
  <c r="D665" i="6"/>
  <c r="A666" i="1" s="1"/>
  <c r="B666" i="1" l="1"/>
  <c r="B666" i="7"/>
  <c r="C667" i="1" s="1"/>
  <c r="D666" i="6"/>
  <c r="A667" i="1" s="1"/>
  <c r="B667" i="1" l="1"/>
  <c r="B667" i="7"/>
  <c r="C668" i="1" s="1"/>
  <c r="D667" i="6"/>
  <c r="A668" i="1" s="1"/>
  <c r="B668" i="1" l="1"/>
  <c r="B668" i="7"/>
  <c r="C669" i="1" s="1"/>
  <c r="D668" i="6"/>
  <c r="A669" i="1" s="1"/>
  <c r="B669" i="1" l="1"/>
  <c r="B669" i="7"/>
  <c r="C670" i="1" s="1"/>
  <c r="D669" i="6"/>
  <c r="A670" i="1" s="1"/>
  <c r="B670" i="1" l="1"/>
  <c r="B670" i="7"/>
  <c r="C671" i="1" s="1"/>
  <c r="D670" i="6"/>
  <c r="A671" i="1" s="1"/>
  <c r="B671" i="1" l="1"/>
  <c r="B671" i="7"/>
  <c r="C672" i="1" s="1"/>
  <c r="D671" i="6"/>
  <c r="A672" i="1" s="1"/>
  <c r="B672" i="1" l="1"/>
  <c r="B672" i="7"/>
  <c r="C673" i="1" s="1"/>
  <c r="D672" i="6"/>
  <c r="A673" i="1" s="1"/>
  <c r="B673" i="1" l="1"/>
  <c r="B673" i="7"/>
  <c r="C674" i="1" s="1"/>
  <c r="D673" i="6"/>
  <c r="A674" i="1" s="1"/>
  <c r="B674" i="1" l="1"/>
  <c r="B674" i="7"/>
  <c r="C675" i="1" s="1"/>
  <c r="D674" i="6"/>
  <c r="A675" i="1" s="1"/>
  <c r="B675" i="1" l="1"/>
  <c r="B675" i="7"/>
  <c r="C676" i="1" s="1"/>
  <c r="D675" i="6"/>
  <c r="A676" i="1" s="1"/>
  <c r="B676" i="1" l="1"/>
  <c r="B676" i="7"/>
  <c r="C677" i="1" s="1"/>
  <c r="D676" i="6"/>
  <c r="A677" i="1" s="1"/>
  <c r="B677" i="1" l="1"/>
  <c r="B677" i="7"/>
  <c r="C678" i="1" s="1"/>
  <c r="D677" i="6"/>
  <c r="A678" i="1" s="1"/>
  <c r="B678" i="1" l="1"/>
  <c r="B678" i="7"/>
  <c r="C679" i="1" s="1"/>
  <c r="D678" i="6"/>
  <c r="A679" i="1" s="1"/>
  <c r="B679" i="1" l="1"/>
  <c r="B679" i="7"/>
  <c r="C680" i="1" s="1"/>
  <c r="D679" i="6"/>
  <c r="A680" i="1" s="1"/>
  <c r="B680" i="1" l="1"/>
  <c r="B680" i="7"/>
  <c r="C681" i="1" s="1"/>
  <c r="D680" i="6"/>
  <c r="A681" i="1" s="1"/>
  <c r="B681" i="1" l="1"/>
  <c r="B681" i="7"/>
  <c r="C682" i="1" s="1"/>
  <c r="D681" i="6"/>
  <c r="A682" i="1" s="1"/>
  <c r="B682" i="1" l="1"/>
  <c r="B682" i="7"/>
  <c r="C683" i="1" s="1"/>
  <c r="D682" i="6"/>
  <c r="A683" i="1" s="1"/>
  <c r="B683" i="1" l="1"/>
  <c r="B683" i="7"/>
  <c r="C684" i="1" s="1"/>
  <c r="D683" i="6"/>
  <c r="A684" i="1" s="1"/>
  <c r="B684" i="1" l="1"/>
  <c r="B684" i="7"/>
  <c r="C685" i="1" s="1"/>
  <c r="D684" i="6"/>
  <c r="A685" i="1" s="1"/>
  <c r="B685" i="1" l="1"/>
  <c r="B685" i="7"/>
  <c r="C686" i="1" s="1"/>
  <c r="D685" i="6"/>
  <c r="A686" i="1" s="1"/>
  <c r="B686" i="1" l="1"/>
  <c r="B686" i="7"/>
  <c r="C687" i="1" s="1"/>
  <c r="D686" i="6"/>
  <c r="A687" i="1" s="1"/>
  <c r="B687" i="1" l="1"/>
  <c r="B687" i="7"/>
  <c r="C688" i="1" s="1"/>
  <c r="D687" i="6"/>
  <c r="A688" i="1" s="1"/>
  <c r="B688" i="1" l="1"/>
  <c r="B688" i="7"/>
  <c r="C689" i="1" s="1"/>
  <c r="D688" i="6"/>
  <c r="A689" i="1" s="1"/>
  <c r="B689" i="1" l="1"/>
  <c r="B689" i="7"/>
  <c r="C690" i="1" s="1"/>
  <c r="D689" i="6"/>
  <c r="A690" i="1" s="1"/>
  <c r="B690" i="1" l="1"/>
  <c r="B690" i="7"/>
  <c r="C691" i="1" s="1"/>
  <c r="D690" i="6"/>
  <c r="A691" i="1" s="1"/>
  <c r="B691" i="1" l="1"/>
  <c r="B691" i="7"/>
  <c r="C692" i="1" s="1"/>
  <c r="D691" i="6"/>
  <c r="A692" i="1" s="1"/>
  <c r="B692" i="1" l="1"/>
  <c r="B692" i="7"/>
  <c r="C693" i="1" s="1"/>
  <c r="D692" i="6"/>
  <c r="A693" i="1" s="1"/>
  <c r="B693" i="1" l="1"/>
  <c r="B693" i="7"/>
  <c r="C694" i="1" s="1"/>
  <c r="D693" i="6"/>
  <c r="A694" i="1" s="1"/>
  <c r="B694" i="1" l="1"/>
  <c r="B694" i="7"/>
  <c r="C695" i="1" s="1"/>
  <c r="D694" i="6"/>
  <c r="A695" i="1" s="1"/>
  <c r="B695" i="1" l="1"/>
  <c r="B695" i="7"/>
  <c r="C696" i="1" s="1"/>
  <c r="D695" i="6"/>
  <c r="A696" i="1" s="1"/>
  <c r="B696" i="1" l="1"/>
  <c r="B696" i="7"/>
  <c r="C697" i="1" s="1"/>
  <c r="D696" i="6"/>
  <c r="A697" i="1" s="1"/>
  <c r="B697" i="1" l="1"/>
  <c r="B697" i="7"/>
  <c r="C698" i="1" s="1"/>
  <c r="D697" i="6"/>
  <c r="A698" i="1" s="1"/>
  <c r="B698" i="1" l="1"/>
  <c r="B698" i="7"/>
  <c r="C699" i="1" s="1"/>
  <c r="D698" i="6"/>
  <c r="A699" i="1" s="1"/>
  <c r="B699" i="1" l="1"/>
  <c r="B699" i="7"/>
  <c r="C700" i="1" s="1"/>
  <c r="D699" i="6"/>
  <c r="A700" i="1" s="1"/>
  <c r="B700" i="1" l="1"/>
  <c r="B700" i="7"/>
  <c r="C701" i="1" s="1"/>
  <c r="D700" i="6"/>
  <c r="A701" i="1" s="1"/>
  <c r="B701" i="1" l="1"/>
  <c r="B701" i="7"/>
  <c r="C702" i="1" s="1"/>
  <c r="D701" i="6"/>
  <c r="A702" i="1" s="1"/>
  <c r="B702" i="1" l="1"/>
  <c r="B702" i="7"/>
  <c r="C703" i="1" s="1"/>
  <c r="D702" i="6"/>
  <c r="A703" i="1" s="1"/>
  <c r="B703" i="1" l="1"/>
  <c r="B703" i="7"/>
  <c r="C704" i="1" s="1"/>
  <c r="D703" i="6"/>
  <c r="A704" i="1" s="1"/>
  <c r="B704" i="1" l="1"/>
  <c r="B704" i="7"/>
  <c r="C705" i="1" s="1"/>
  <c r="D704" i="6"/>
  <c r="A705" i="1" s="1"/>
  <c r="B705" i="1" l="1"/>
  <c r="B705" i="7"/>
  <c r="C706" i="1" s="1"/>
  <c r="D705" i="6"/>
  <c r="A706" i="1" s="1"/>
  <c r="B706" i="1" l="1"/>
  <c r="B706" i="7"/>
  <c r="C707" i="1" s="1"/>
  <c r="D706" i="6"/>
  <c r="A707" i="1" s="1"/>
  <c r="B707" i="1" l="1"/>
  <c r="B707" i="7"/>
  <c r="C708" i="1" s="1"/>
  <c r="D707" i="6"/>
  <c r="A708" i="1" s="1"/>
  <c r="B708" i="1" l="1"/>
  <c r="B708" i="7"/>
  <c r="C709" i="1" s="1"/>
  <c r="D708" i="6"/>
  <c r="A709" i="1" s="1"/>
  <c r="B709" i="1" l="1"/>
  <c r="B709" i="7"/>
  <c r="C710" i="1" s="1"/>
  <c r="D709" i="6"/>
  <c r="A710" i="1" s="1"/>
  <c r="B710" i="1" l="1"/>
  <c r="B710" i="7"/>
  <c r="C711" i="1" s="1"/>
  <c r="D710" i="6"/>
  <c r="A711" i="1" s="1"/>
  <c r="B711" i="1" l="1"/>
  <c r="B711" i="7"/>
  <c r="C712" i="1" s="1"/>
  <c r="D711" i="6"/>
  <c r="A712" i="1" s="1"/>
  <c r="B712" i="1" l="1"/>
  <c r="B712" i="7"/>
  <c r="C713" i="1" s="1"/>
  <c r="D712" i="6"/>
  <c r="A713" i="1" s="1"/>
  <c r="B713" i="1" l="1"/>
  <c r="B713" i="7"/>
  <c r="C714" i="1" s="1"/>
  <c r="D713" i="6"/>
  <c r="A714" i="1" s="1"/>
  <c r="B714" i="1" l="1"/>
  <c r="B714" i="7"/>
  <c r="C715" i="1" s="1"/>
  <c r="D714" i="6"/>
  <c r="A715" i="1" s="1"/>
  <c r="B715" i="1" l="1"/>
  <c r="B715" i="7"/>
  <c r="C716" i="1" s="1"/>
  <c r="D715" i="6"/>
  <c r="A716" i="1" s="1"/>
  <c r="B716" i="1" l="1"/>
  <c r="B716" i="7"/>
  <c r="C717" i="1" s="1"/>
  <c r="D716" i="6"/>
  <c r="A717" i="1" s="1"/>
  <c r="B717" i="1" l="1"/>
  <c r="B717" i="7"/>
  <c r="C718" i="1" s="1"/>
  <c r="D717" i="6"/>
  <c r="A718" i="1" s="1"/>
  <c r="B718" i="1" l="1"/>
  <c r="B718" i="7"/>
  <c r="C719" i="1" s="1"/>
  <c r="D718" i="6"/>
  <c r="A719" i="1" s="1"/>
  <c r="B719" i="1" l="1"/>
  <c r="B719" i="7"/>
  <c r="C720" i="1" s="1"/>
  <c r="D719" i="6"/>
  <c r="A720" i="1" s="1"/>
  <c r="B720" i="1" l="1"/>
  <c r="B720" i="7"/>
  <c r="C721" i="1" s="1"/>
  <c r="D720" i="6"/>
  <c r="A721" i="1" s="1"/>
  <c r="B721" i="1" l="1"/>
  <c r="B721" i="7"/>
  <c r="C722" i="1" s="1"/>
  <c r="D721" i="6"/>
  <c r="A722" i="1" s="1"/>
  <c r="B722" i="1" l="1"/>
  <c r="B722" i="7"/>
  <c r="C723" i="1" s="1"/>
  <c r="D722" i="6"/>
  <c r="A723" i="1" s="1"/>
  <c r="B723" i="1" l="1"/>
  <c r="B723" i="7"/>
  <c r="C724" i="1" s="1"/>
  <c r="D723" i="6"/>
  <c r="A724" i="1" s="1"/>
  <c r="B724" i="1" l="1"/>
  <c r="B724" i="7"/>
  <c r="C725" i="1" s="1"/>
  <c r="D724" i="6"/>
  <c r="A725" i="1" s="1"/>
  <c r="B725" i="1" l="1"/>
  <c r="B725" i="7"/>
  <c r="C726" i="1" s="1"/>
  <c r="D725" i="6"/>
  <c r="A726" i="1" s="1"/>
  <c r="B726" i="1" l="1"/>
  <c r="B726" i="7"/>
  <c r="C727" i="1" s="1"/>
  <c r="D726" i="6"/>
  <c r="A727" i="1" s="1"/>
  <c r="B727" i="1" l="1"/>
  <c r="B727" i="7"/>
  <c r="C728" i="1" s="1"/>
  <c r="D727" i="6"/>
  <c r="A728" i="1" s="1"/>
  <c r="B728" i="1" l="1"/>
  <c r="B728" i="7"/>
  <c r="C729" i="1" s="1"/>
  <c r="D728" i="6"/>
  <c r="A729" i="1" s="1"/>
  <c r="B729" i="1" l="1"/>
  <c r="B729" i="7"/>
  <c r="C730" i="1" s="1"/>
  <c r="D729" i="6"/>
  <c r="A730" i="1" s="1"/>
  <c r="B730" i="1" l="1"/>
  <c r="B730" i="7"/>
  <c r="C731" i="1" s="1"/>
  <c r="D730" i="6"/>
  <c r="A731" i="1" s="1"/>
  <c r="B731" i="1" l="1"/>
  <c r="B731" i="7"/>
  <c r="C732" i="1" s="1"/>
  <c r="D731" i="6"/>
  <c r="A732" i="1" s="1"/>
  <c r="B732" i="1" l="1"/>
  <c r="B732" i="7"/>
  <c r="C733" i="1" s="1"/>
  <c r="D732" i="6"/>
  <c r="A733" i="1" s="1"/>
  <c r="B733" i="1" l="1"/>
  <c r="B733" i="7"/>
  <c r="C734" i="1" s="1"/>
  <c r="D733" i="6"/>
  <c r="A734" i="1" s="1"/>
  <c r="B734" i="1" l="1"/>
  <c r="B734" i="7"/>
  <c r="C735" i="1" s="1"/>
  <c r="D734" i="6"/>
  <c r="A735" i="1" s="1"/>
  <c r="B735" i="1" l="1"/>
  <c r="B735" i="7"/>
  <c r="C736" i="1" s="1"/>
  <c r="D735" i="6"/>
  <c r="A736" i="1" s="1"/>
  <c r="B736" i="1" l="1"/>
  <c r="B736" i="7"/>
  <c r="C737" i="1" s="1"/>
  <c r="D736" i="6"/>
  <c r="A737" i="1" s="1"/>
  <c r="B737" i="1" l="1"/>
  <c r="B737" i="7"/>
  <c r="C738" i="1" s="1"/>
  <c r="D737" i="6"/>
  <c r="A738" i="1" s="1"/>
  <c r="B738" i="1" l="1"/>
  <c r="B738" i="7"/>
  <c r="C739" i="1" s="1"/>
  <c r="D738" i="6"/>
  <c r="A739" i="1" s="1"/>
  <c r="B739" i="1" l="1"/>
  <c r="B739" i="7"/>
  <c r="C740" i="1" s="1"/>
  <c r="D739" i="6"/>
  <c r="A740" i="1" s="1"/>
  <c r="B740" i="1" l="1"/>
  <c r="B740" i="7"/>
  <c r="C741" i="1" s="1"/>
  <c r="D740" i="6"/>
  <c r="A741" i="1" s="1"/>
  <c r="B741" i="1" l="1"/>
  <c r="B741" i="7"/>
  <c r="C742" i="1" s="1"/>
  <c r="D741" i="6"/>
  <c r="A742" i="1" s="1"/>
  <c r="B742" i="1" l="1"/>
  <c r="B742" i="7"/>
  <c r="C743" i="1" s="1"/>
  <c r="D742" i="6"/>
  <c r="A743" i="1" s="1"/>
  <c r="B743" i="1" l="1"/>
  <c r="B743" i="7"/>
  <c r="C744" i="1" s="1"/>
  <c r="D743" i="6"/>
  <c r="A744" i="1" s="1"/>
  <c r="B744" i="1" l="1"/>
  <c r="B744" i="7"/>
  <c r="C745" i="1" s="1"/>
  <c r="D744" i="6"/>
  <c r="A745" i="1" s="1"/>
  <c r="B745" i="1" l="1"/>
  <c r="B745" i="7"/>
  <c r="C746" i="1" s="1"/>
  <c r="D745" i="6"/>
  <c r="A746" i="1" s="1"/>
  <c r="B746" i="1" l="1"/>
  <c r="B746" i="7"/>
  <c r="C747" i="1" s="1"/>
  <c r="D746" i="6"/>
  <c r="A747" i="1" s="1"/>
  <c r="B747" i="1" l="1"/>
  <c r="B747" i="7"/>
  <c r="C748" i="1" s="1"/>
  <c r="D747" i="6"/>
  <c r="A748" i="1" s="1"/>
  <c r="B748" i="1" l="1"/>
  <c r="B748" i="7"/>
  <c r="C749" i="1" s="1"/>
  <c r="D748" i="6"/>
  <c r="A749" i="1" s="1"/>
  <c r="B749" i="1" l="1"/>
  <c r="B749" i="7"/>
  <c r="C750" i="1" s="1"/>
  <c r="D749" i="6"/>
  <c r="A750" i="1" s="1"/>
  <c r="B750" i="1" l="1"/>
  <c r="B750" i="7"/>
  <c r="C751" i="1" s="1"/>
  <c r="D750" i="6"/>
  <c r="A751" i="1" s="1"/>
  <c r="B751" i="1" l="1"/>
  <c r="B751" i="7"/>
  <c r="C752" i="1" s="1"/>
  <c r="D751" i="6"/>
  <c r="A752" i="1" s="1"/>
  <c r="B752" i="1" l="1"/>
  <c r="B752" i="7"/>
  <c r="C753" i="1" s="1"/>
  <c r="D752" i="6"/>
  <c r="A753" i="1" s="1"/>
  <c r="B753" i="1" l="1"/>
  <c r="B753" i="7"/>
  <c r="C754" i="1" s="1"/>
  <c r="D753" i="6"/>
  <c r="A754" i="1" s="1"/>
  <c r="B754" i="1" l="1"/>
  <c r="B754" i="7"/>
  <c r="C755" i="1" s="1"/>
  <c r="D754" i="6"/>
  <c r="A755" i="1" s="1"/>
  <c r="B755" i="1" l="1"/>
  <c r="B755" i="7"/>
  <c r="C756" i="1" s="1"/>
  <c r="D755" i="6"/>
  <c r="A756" i="1" s="1"/>
  <c r="B756" i="1" l="1"/>
  <c r="B756" i="7"/>
  <c r="C757" i="1" s="1"/>
  <c r="D756" i="6"/>
  <c r="A757" i="1" s="1"/>
  <c r="B757" i="1" l="1"/>
  <c r="B757" i="7"/>
  <c r="C758" i="1" s="1"/>
  <c r="D757" i="6"/>
  <c r="A758" i="1" s="1"/>
  <c r="B758" i="1" l="1"/>
  <c r="B758" i="7"/>
  <c r="C759" i="1" s="1"/>
  <c r="D758" i="6"/>
  <c r="A759" i="1" s="1"/>
  <c r="B759" i="1" l="1"/>
  <c r="B759" i="7"/>
  <c r="C760" i="1" s="1"/>
  <c r="D759" i="6"/>
  <c r="A760" i="1" s="1"/>
  <c r="B760" i="1" l="1"/>
  <c r="B760" i="7"/>
  <c r="C761" i="1" s="1"/>
  <c r="D760" i="6"/>
  <c r="A761" i="1" s="1"/>
  <c r="B761" i="1" l="1"/>
  <c r="B761" i="7"/>
  <c r="C762" i="1" s="1"/>
  <c r="D761" i="6"/>
  <c r="A762" i="1" s="1"/>
  <c r="B762" i="1" l="1"/>
  <c r="B762" i="7"/>
  <c r="C763" i="1" s="1"/>
  <c r="D762" i="6"/>
  <c r="A763" i="1" s="1"/>
  <c r="B763" i="1" l="1"/>
  <c r="B763" i="7"/>
  <c r="C764" i="1" s="1"/>
  <c r="D763" i="6"/>
  <c r="A764" i="1" s="1"/>
  <c r="B764" i="1" l="1"/>
  <c r="B764" i="7"/>
  <c r="C765" i="1" s="1"/>
  <c r="D764" i="6"/>
  <c r="A765" i="1" s="1"/>
  <c r="B765" i="1" l="1"/>
  <c r="B765" i="7"/>
  <c r="C766" i="1" s="1"/>
  <c r="D765" i="6"/>
  <c r="A766" i="1" s="1"/>
  <c r="B766" i="1" l="1"/>
  <c r="B766" i="7"/>
  <c r="C767" i="1" s="1"/>
  <c r="D766" i="6"/>
  <c r="A767" i="1" s="1"/>
  <c r="B767" i="1" l="1"/>
  <c r="B767" i="7"/>
  <c r="C768" i="1" s="1"/>
  <c r="D767" i="6"/>
  <c r="A768" i="1" s="1"/>
  <c r="B768" i="1" l="1"/>
  <c r="B768" i="7"/>
  <c r="C769" i="1" s="1"/>
  <c r="D768" i="6"/>
  <c r="A769" i="1" s="1"/>
  <c r="B769" i="1" l="1"/>
  <c r="B769" i="7"/>
  <c r="C770" i="1" s="1"/>
  <c r="D769" i="6"/>
  <c r="A770" i="1" s="1"/>
  <c r="B770" i="1" l="1"/>
  <c r="B770" i="7"/>
  <c r="C771" i="1" s="1"/>
  <c r="D770" i="6"/>
  <c r="A771" i="1" s="1"/>
  <c r="B771" i="1" l="1"/>
  <c r="B771" i="7"/>
  <c r="C772" i="1" s="1"/>
  <c r="D771" i="6"/>
  <c r="A772" i="1" s="1"/>
  <c r="B772" i="1" l="1"/>
  <c r="B772" i="7"/>
  <c r="C773" i="1" s="1"/>
  <c r="D772" i="6"/>
  <c r="A773" i="1" s="1"/>
  <c r="B773" i="1" l="1"/>
  <c r="B773" i="7"/>
  <c r="C774" i="1" s="1"/>
  <c r="D773" i="6"/>
  <c r="A774" i="1" s="1"/>
  <c r="B774" i="1" l="1"/>
  <c r="B774" i="7"/>
  <c r="C775" i="1" s="1"/>
  <c r="D774" i="6"/>
  <c r="A775" i="1" s="1"/>
  <c r="B775" i="1" l="1"/>
  <c r="B775" i="7"/>
  <c r="C776" i="1" s="1"/>
  <c r="D775" i="6"/>
  <c r="A776" i="1" s="1"/>
  <c r="B776" i="1" l="1"/>
  <c r="B776" i="7"/>
  <c r="C777" i="1" s="1"/>
  <c r="D776" i="6"/>
  <c r="A777" i="1" s="1"/>
  <c r="B777" i="1" l="1"/>
  <c r="B777" i="7"/>
  <c r="C778" i="1" s="1"/>
  <c r="D777" i="6"/>
  <c r="A778" i="1" s="1"/>
  <c r="B778" i="1" l="1"/>
  <c r="B778" i="7"/>
  <c r="C779" i="1" s="1"/>
  <c r="D778" i="6"/>
  <c r="A779" i="1" s="1"/>
  <c r="B779" i="1" l="1"/>
  <c r="B779" i="7"/>
  <c r="C780" i="1" s="1"/>
  <c r="D779" i="6"/>
  <c r="A780" i="1" s="1"/>
  <c r="B780" i="1" l="1"/>
  <c r="B780" i="7"/>
  <c r="C781" i="1" s="1"/>
  <c r="D780" i="6"/>
  <c r="A781" i="1" s="1"/>
  <c r="B781" i="1" l="1"/>
  <c r="B781" i="7"/>
  <c r="C782" i="1" s="1"/>
  <c r="D781" i="6"/>
  <c r="A782" i="1" s="1"/>
  <c r="B782" i="1" l="1"/>
  <c r="B782" i="7"/>
  <c r="C783" i="1" s="1"/>
  <c r="D782" i="6"/>
  <c r="A783" i="1" s="1"/>
  <c r="B783" i="1" l="1"/>
  <c r="B783" i="7"/>
  <c r="C784" i="1" s="1"/>
  <c r="D783" i="6"/>
  <c r="A784" i="1" s="1"/>
  <c r="B784" i="1" l="1"/>
  <c r="B784" i="7"/>
  <c r="C785" i="1" s="1"/>
  <c r="D784" i="6"/>
  <c r="A785" i="1" s="1"/>
  <c r="B785" i="1" l="1"/>
  <c r="B785" i="7"/>
  <c r="C786" i="1" s="1"/>
  <c r="D785" i="6"/>
  <c r="A786" i="1" s="1"/>
  <c r="B786" i="1" l="1"/>
  <c r="B786" i="7"/>
  <c r="C787" i="1" s="1"/>
  <c r="D786" i="6"/>
  <c r="A787" i="1" s="1"/>
  <c r="B787" i="1" l="1"/>
  <c r="B787" i="7"/>
  <c r="C788" i="1" s="1"/>
  <c r="D787" i="6"/>
  <c r="A788" i="1" s="1"/>
  <c r="B788" i="1" l="1"/>
  <c r="B788" i="7"/>
  <c r="C789" i="1" s="1"/>
  <c r="D788" i="6"/>
  <c r="A789" i="1" s="1"/>
  <c r="B789" i="1" l="1"/>
  <c r="B789" i="7"/>
  <c r="C790" i="1" s="1"/>
  <c r="D789" i="6"/>
  <c r="A790" i="1" s="1"/>
  <c r="B790" i="1" l="1"/>
  <c r="B790" i="7"/>
  <c r="C791" i="1" s="1"/>
  <c r="D790" i="6"/>
  <c r="A791" i="1" s="1"/>
  <c r="B791" i="1" l="1"/>
  <c r="B791" i="7"/>
  <c r="C792" i="1" s="1"/>
  <c r="D791" i="6"/>
  <c r="A792" i="1" s="1"/>
  <c r="B792" i="1" l="1"/>
  <c r="B792" i="7"/>
  <c r="C793" i="1" s="1"/>
  <c r="D792" i="6"/>
  <c r="A793" i="1" s="1"/>
  <c r="B793" i="1" l="1"/>
  <c r="B793" i="7"/>
  <c r="C794" i="1" s="1"/>
  <c r="D793" i="6"/>
  <c r="A794" i="1" s="1"/>
  <c r="B794" i="1" l="1"/>
  <c r="B794" i="7"/>
  <c r="C795" i="1" s="1"/>
  <c r="D794" i="6"/>
  <c r="A795" i="1" s="1"/>
  <c r="B795" i="1" l="1"/>
  <c r="B795" i="7"/>
  <c r="C796" i="1" s="1"/>
  <c r="D795" i="6"/>
  <c r="A796" i="1" s="1"/>
  <c r="B796" i="1" l="1"/>
  <c r="B796" i="7"/>
  <c r="C797" i="1" s="1"/>
  <c r="D796" i="6"/>
  <c r="A797" i="1" s="1"/>
  <c r="B797" i="1" l="1"/>
  <c r="B797" i="7"/>
  <c r="C798" i="1" s="1"/>
  <c r="D797" i="6"/>
  <c r="A798" i="1" s="1"/>
  <c r="B798" i="1" l="1"/>
  <c r="B798" i="7"/>
  <c r="C799" i="1" s="1"/>
  <c r="D798" i="6"/>
  <c r="A799" i="1" s="1"/>
  <c r="B799" i="1" l="1"/>
  <c r="B799" i="7"/>
  <c r="C800" i="1" s="1"/>
  <c r="D799" i="6"/>
  <c r="A800" i="1" s="1"/>
  <c r="B800" i="1" l="1"/>
  <c r="B800" i="7"/>
  <c r="C801" i="1" s="1"/>
  <c r="D800" i="6"/>
  <c r="A801" i="1" s="1"/>
  <c r="B801" i="1" l="1"/>
  <c r="B801" i="7"/>
  <c r="C802" i="1" s="1"/>
  <c r="D801" i="6"/>
  <c r="A802" i="1" s="1"/>
  <c r="B802" i="1" l="1"/>
  <c r="B802" i="7"/>
  <c r="C803" i="1" s="1"/>
  <c r="D802" i="6"/>
  <c r="A803" i="1" s="1"/>
  <c r="B803" i="1" l="1"/>
  <c r="B803" i="7"/>
  <c r="C804" i="1" s="1"/>
  <c r="D803" i="6"/>
  <c r="A804" i="1" s="1"/>
  <c r="B804" i="1" l="1"/>
  <c r="B804" i="7"/>
  <c r="C805" i="1" s="1"/>
  <c r="D804" i="6"/>
  <c r="A805" i="1" s="1"/>
  <c r="B805" i="1" l="1"/>
  <c r="B805" i="7"/>
  <c r="C806" i="1" s="1"/>
  <c r="D805" i="6"/>
  <c r="A806" i="1" s="1"/>
  <c r="B806" i="1" l="1"/>
  <c r="B806" i="7"/>
  <c r="C807" i="1" s="1"/>
  <c r="D806" i="6"/>
  <c r="A807" i="1" s="1"/>
  <c r="B807" i="1" l="1"/>
  <c r="B807" i="7"/>
  <c r="C808" i="1" s="1"/>
  <c r="D807" i="6"/>
  <c r="A808" i="1" s="1"/>
  <c r="B808" i="1" l="1"/>
  <c r="B808" i="7"/>
  <c r="C809" i="1" s="1"/>
  <c r="D808" i="6"/>
  <c r="A809" i="1" s="1"/>
  <c r="B809" i="1" l="1"/>
  <c r="B809" i="7"/>
  <c r="C810" i="1" s="1"/>
  <c r="D809" i="6"/>
  <c r="A810" i="1" s="1"/>
  <c r="B810" i="1" l="1"/>
  <c r="B810" i="7"/>
  <c r="C811" i="1" s="1"/>
  <c r="D810" i="6"/>
  <c r="A811" i="1" s="1"/>
  <c r="B811" i="1" l="1"/>
  <c r="B811" i="7"/>
  <c r="C812" i="1" s="1"/>
  <c r="D811" i="6"/>
  <c r="A812" i="1" s="1"/>
  <c r="B812" i="1" l="1"/>
  <c r="B812" i="7"/>
  <c r="C813" i="1" s="1"/>
  <c r="D812" i="6"/>
  <c r="A813" i="1" s="1"/>
  <c r="B813" i="1" l="1"/>
  <c r="B813" i="7"/>
  <c r="C814" i="1" s="1"/>
  <c r="D813" i="6"/>
  <c r="A814" i="1" s="1"/>
  <c r="B814" i="1" l="1"/>
  <c r="B814" i="7"/>
  <c r="C815" i="1" s="1"/>
  <c r="D814" i="6"/>
  <c r="A815" i="1" s="1"/>
  <c r="B815" i="1" l="1"/>
  <c r="B815" i="7"/>
  <c r="C816" i="1" s="1"/>
  <c r="D815" i="6"/>
  <c r="A816" i="1" s="1"/>
  <c r="B816" i="1" l="1"/>
  <c r="B816" i="7"/>
  <c r="C817" i="1" s="1"/>
  <c r="D816" i="6"/>
  <c r="A817" i="1" s="1"/>
  <c r="B817" i="1" l="1"/>
  <c r="B817" i="7"/>
  <c r="C818" i="1" s="1"/>
  <c r="D817" i="6"/>
  <c r="A818" i="1" s="1"/>
  <c r="B818" i="1" l="1"/>
  <c r="B818" i="7"/>
  <c r="C819" i="1" s="1"/>
  <c r="D818" i="6"/>
  <c r="A819" i="1" s="1"/>
  <c r="B819" i="1" l="1"/>
  <c r="B819" i="7"/>
  <c r="C820" i="1" s="1"/>
  <c r="D819" i="6"/>
  <c r="A820" i="1" s="1"/>
  <c r="B820" i="1" l="1"/>
  <c r="B820" i="7"/>
  <c r="C821" i="1" s="1"/>
  <c r="D820" i="6"/>
  <c r="A821" i="1" s="1"/>
  <c r="B821" i="1" l="1"/>
  <c r="B821" i="7"/>
  <c r="C822" i="1" s="1"/>
  <c r="D821" i="6"/>
  <c r="A822" i="1" s="1"/>
  <c r="B822" i="1" l="1"/>
  <c r="B822" i="7"/>
  <c r="C823" i="1" s="1"/>
  <c r="D822" i="6"/>
  <c r="A823" i="1" s="1"/>
  <c r="B823" i="1" l="1"/>
  <c r="B823" i="7"/>
  <c r="C824" i="1" s="1"/>
  <c r="D823" i="6"/>
  <c r="A824" i="1" s="1"/>
  <c r="B824" i="1" l="1"/>
  <c r="B824" i="7"/>
  <c r="C825" i="1" s="1"/>
  <c r="D824" i="6"/>
  <c r="A825" i="1" s="1"/>
  <c r="B825" i="1" l="1"/>
  <c r="B825" i="7"/>
  <c r="C826" i="1" s="1"/>
  <c r="D825" i="6"/>
  <c r="A826" i="1" s="1"/>
  <c r="B826" i="1" l="1"/>
  <c r="B826" i="7"/>
  <c r="C827" i="1" s="1"/>
  <c r="D826" i="6"/>
  <c r="A827" i="1" s="1"/>
  <c r="B827" i="1" l="1"/>
  <c r="B827" i="7"/>
  <c r="C828" i="1" s="1"/>
  <c r="D827" i="6"/>
  <c r="A828" i="1" s="1"/>
  <c r="B828" i="1" l="1"/>
  <c r="B828" i="7"/>
  <c r="C829" i="1" s="1"/>
  <c r="D828" i="6"/>
  <c r="A829" i="1" s="1"/>
  <c r="B829" i="1" l="1"/>
  <c r="B829" i="7"/>
  <c r="C830" i="1" s="1"/>
  <c r="D829" i="6"/>
  <c r="A830" i="1" s="1"/>
  <c r="B830" i="1" l="1"/>
  <c r="B830" i="7"/>
  <c r="C831" i="1" s="1"/>
  <c r="D830" i="6"/>
  <c r="A831" i="1" s="1"/>
  <c r="B831" i="1" l="1"/>
  <c r="B831" i="7"/>
  <c r="C832" i="1" s="1"/>
  <c r="D831" i="6"/>
  <c r="A832" i="1" s="1"/>
  <c r="B832" i="1" l="1"/>
  <c r="B832" i="7"/>
  <c r="C833" i="1" s="1"/>
  <c r="D832" i="6"/>
  <c r="A833" i="1" s="1"/>
  <c r="B833" i="1" l="1"/>
  <c r="B833" i="7"/>
  <c r="C834" i="1" s="1"/>
  <c r="D833" i="6"/>
  <c r="A834" i="1" s="1"/>
  <c r="B834" i="1" l="1"/>
  <c r="B834" i="7"/>
  <c r="C835" i="1" s="1"/>
  <c r="D834" i="6"/>
  <c r="A835" i="1" s="1"/>
  <c r="B835" i="1" l="1"/>
  <c r="B835" i="7"/>
  <c r="C836" i="1" s="1"/>
  <c r="D835" i="6"/>
  <c r="A836" i="1" s="1"/>
  <c r="B836" i="1" l="1"/>
  <c r="B836" i="7"/>
  <c r="C837" i="1" s="1"/>
  <c r="D836" i="6"/>
  <c r="A837" i="1" s="1"/>
  <c r="B837" i="1" l="1"/>
  <c r="B837" i="7"/>
  <c r="C838" i="1" s="1"/>
  <c r="D837" i="6"/>
  <c r="A838" i="1" s="1"/>
  <c r="B838" i="1" l="1"/>
  <c r="B838" i="7"/>
  <c r="C839" i="1" s="1"/>
  <c r="D838" i="6"/>
  <c r="A839" i="1" s="1"/>
  <c r="B839" i="1" l="1"/>
  <c r="B839" i="7"/>
  <c r="C840" i="1" s="1"/>
  <c r="D839" i="6"/>
  <c r="A840" i="1" s="1"/>
  <c r="B840" i="1" l="1"/>
  <c r="B840" i="7"/>
  <c r="C841" i="1" s="1"/>
  <c r="D840" i="6"/>
  <c r="A841" i="1" s="1"/>
  <c r="B841" i="1" l="1"/>
  <c r="B841" i="7"/>
  <c r="C842" i="1" s="1"/>
  <c r="D841" i="6"/>
  <c r="A842" i="1" s="1"/>
  <c r="B842" i="1" l="1"/>
  <c r="B842" i="7"/>
  <c r="C843" i="1" s="1"/>
  <c r="D842" i="6"/>
  <c r="A843" i="1" s="1"/>
  <c r="B843" i="1" l="1"/>
  <c r="B843" i="7"/>
  <c r="C844" i="1" s="1"/>
  <c r="D843" i="6"/>
  <c r="A844" i="1" s="1"/>
  <c r="B844" i="1" l="1"/>
  <c r="B844" i="7"/>
  <c r="C845" i="1" s="1"/>
  <c r="D844" i="6"/>
  <c r="A845" i="1" s="1"/>
  <c r="B845" i="1" l="1"/>
  <c r="B845" i="7"/>
  <c r="C846" i="1" s="1"/>
  <c r="D845" i="6"/>
  <c r="A846" i="1" s="1"/>
  <c r="B846" i="1" l="1"/>
  <c r="B846" i="7"/>
  <c r="C847" i="1" s="1"/>
  <c r="D846" i="6"/>
  <c r="A847" i="1" s="1"/>
  <c r="B847" i="1" l="1"/>
  <c r="B847" i="7"/>
  <c r="C848" i="1" s="1"/>
  <c r="D847" i="6"/>
  <c r="A848" i="1" s="1"/>
  <c r="B848" i="1" l="1"/>
  <c r="B848" i="7"/>
  <c r="C849" i="1" s="1"/>
  <c r="D848" i="6"/>
  <c r="A849" i="1" s="1"/>
  <c r="B849" i="1" l="1"/>
  <c r="B849" i="7"/>
  <c r="C850" i="1" s="1"/>
  <c r="D849" i="6"/>
  <c r="A850" i="1" s="1"/>
  <c r="B850" i="1" l="1"/>
  <c r="B850" i="7"/>
  <c r="C851" i="1" s="1"/>
  <c r="D850" i="6"/>
  <c r="A851" i="1" s="1"/>
  <c r="B851" i="1" l="1"/>
  <c r="B851" i="7"/>
  <c r="C852" i="1" s="1"/>
  <c r="D851" i="6"/>
  <c r="A852" i="1" s="1"/>
  <c r="B852" i="1" l="1"/>
  <c r="B852" i="7"/>
  <c r="C853" i="1" s="1"/>
  <c r="D852" i="6"/>
  <c r="A853" i="1" s="1"/>
  <c r="B853" i="1" l="1"/>
  <c r="B853" i="7"/>
  <c r="C854" i="1" s="1"/>
  <c r="D853" i="6"/>
  <c r="A854" i="1" s="1"/>
  <c r="B854" i="1" l="1"/>
  <c r="B854" i="7"/>
  <c r="C855" i="1" s="1"/>
  <c r="D854" i="6"/>
  <c r="A855" i="1" s="1"/>
  <c r="B855" i="1" l="1"/>
  <c r="B855" i="7"/>
  <c r="C856" i="1" s="1"/>
  <c r="D855" i="6"/>
  <c r="A856" i="1" s="1"/>
  <c r="B856" i="1" l="1"/>
  <c r="B856" i="7"/>
  <c r="C857" i="1" s="1"/>
  <c r="D856" i="6"/>
  <c r="A857" i="1" s="1"/>
  <c r="B857" i="1" l="1"/>
  <c r="B857" i="7"/>
  <c r="C858" i="1" s="1"/>
  <c r="D857" i="6"/>
  <c r="A858" i="1" s="1"/>
  <c r="B858" i="1" l="1"/>
  <c r="B858" i="7"/>
  <c r="C859" i="1" s="1"/>
  <c r="D858" i="6"/>
  <c r="A859" i="1" s="1"/>
  <c r="B859" i="1" l="1"/>
  <c r="B859" i="7"/>
  <c r="C860" i="1" s="1"/>
  <c r="D859" i="6"/>
  <c r="A860" i="1" s="1"/>
  <c r="B860" i="1" l="1"/>
  <c r="B860" i="7"/>
  <c r="C861" i="1" s="1"/>
  <c r="D860" i="6"/>
  <c r="A861" i="1" s="1"/>
  <c r="B861" i="1" l="1"/>
  <c r="B861" i="7"/>
  <c r="C862" i="1" s="1"/>
  <c r="D861" i="6"/>
  <c r="A862" i="1" s="1"/>
  <c r="B862" i="1" l="1"/>
  <c r="B862" i="7"/>
  <c r="C863" i="1" s="1"/>
  <c r="D862" i="6"/>
  <c r="A863" i="1" s="1"/>
  <c r="B863" i="1" l="1"/>
  <c r="B863" i="7"/>
  <c r="C864" i="1" s="1"/>
  <c r="D863" i="6"/>
  <c r="A864" i="1" s="1"/>
  <c r="B864" i="1" l="1"/>
  <c r="B864" i="7"/>
  <c r="C865" i="1" s="1"/>
  <c r="D864" i="6"/>
  <c r="A865" i="1" s="1"/>
  <c r="B865" i="1" l="1"/>
  <c r="B865" i="7"/>
  <c r="C866" i="1" s="1"/>
  <c r="D865" i="6"/>
  <c r="A866" i="1" s="1"/>
  <c r="B866" i="1" l="1"/>
  <c r="B866" i="7"/>
  <c r="C867" i="1" s="1"/>
  <c r="D866" i="6"/>
  <c r="A867" i="1" s="1"/>
  <c r="B867" i="1" l="1"/>
  <c r="B867" i="7"/>
  <c r="C868" i="1" s="1"/>
  <c r="D867" i="6"/>
  <c r="A868" i="1" s="1"/>
  <c r="B868" i="1" l="1"/>
  <c r="B868" i="7"/>
  <c r="C869" i="1" s="1"/>
  <c r="D868" i="6"/>
  <c r="A869" i="1" s="1"/>
  <c r="B869" i="1" l="1"/>
  <c r="B869" i="7"/>
  <c r="C870" i="1" s="1"/>
  <c r="D869" i="6"/>
  <c r="A870" i="1" s="1"/>
  <c r="B870" i="1" l="1"/>
  <c r="B870" i="7"/>
  <c r="C871" i="1" s="1"/>
  <c r="D870" i="6"/>
  <c r="A871" i="1" s="1"/>
  <c r="B871" i="1" l="1"/>
  <c r="B871" i="7"/>
  <c r="C872" i="1" s="1"/>
  <c r="D871" i="6"/>
  <c r="A872" i="1" s="1"/>
  <c r="B872" i="1" l="1"/>
  <c r="B872" i="7"/>
  <c r="C873" i="1" s="1"/>
  <c r="D872" i="6"/>
  <c r="A873" i="1" s="1"/>
  <c r="B873" i="1" l="1"/>
  <c r="B873" i="7"/>
  <c r="C874" i="1" s="1"/>
  <c r="D873" i="6"/>
  <c r="A874" i="1" s="1"/>
  <c r="B874" i="1" l="1"/>
  <c r="B874" i="7"/>
  <c r="C875" i="1" s="1"/>
  <c r="D874" i="6"/>
  <c r="A875" i="1" s="1"/>
  <c r="B875" i="1" l="1"/>
  <c r="B875" i="7"/>
  <c r="C876" i="1" s="1"/>
  <c r="D875" i="6"/>
  <c r="A876" i="1" s="1"/>
  <c r="B876" i="1" l="1"/>
  <c r="B876" i="7"/>
  <c r="C877" i="1" s="1"/>
  <c r="D876" i="6"/>
  <c r="A877" i="1" s="1"/>
  <c r="B877" i="1" l="1"/>
  <c r="B877" i="7"/>
  <c r="C878" i="1" s="1"/>
  <c r="D877" i="6"/>
  <c r="A878" i="1" s="1"/>
  <c r="B878" i="1" l="1"/>
  <c r="B878" i="7"/>
  <c r="C879" i="1" s="1"/>
  <c r="D878" i="6"/>
  <c r="A879" i="1" s="1"/>
  <c r="B879" i="1" l="1"/>
  <c r="B879" i="7"/>
  <c r="C880" i="1" s="1"/>
  <c r="D879" i="6"/>
  <c r="A880" i="1" s="1"/>
  <c r="B880" i="1" l="1"/>
  <c r="B880" i="7"/>
  <c r="C881" i="1" s="1"/>
  <c r="D880" i="6"/>
  <c r="A881" i="1" s="1"/>
  <c r="B881" i="1" l="1"/>
  <c r="B881" i="7"/>
  <c r="C882" i="1" s="1"/>
  <c r="D881" i="6"/>
  <c r="A882" i="1" s="1"/>
  <c r="B882" i="1" l="1"/>
  <c r="B882" i="7"/>
  <c r="C883" i="1" s="1"/>
  <c r="D882" i="6"/>
  <c r="A883" i="1" s="1"/>
  <c r="B883" i="1" l="1"/>
  <c r="B883" i="7"/>
  <c r="C884" i="1" s="1"/>
  <c r="D883" i="6"/>
  <c r="A884" i="1" s="1"/>
  <c r="B884" i="1" l="1"/>
  <c r="B884" i="7"/>
  <c r="C885" i="1" s="1"/>
  <c r="D884" i="6"/>
  <c r="A885" i="1" s="1"/>
  <c r="B885" i="1" l="1"/>
  <c r="B885" i="7"/>
  <c r="C886" i="1" s="1"/>
  <c r="D885" i="6"/>
  <c r="A886" i="1" s="1"/>
  <c r="B886" i="1" l="1"/>
  <c r="B886" i="7"/>
  <c r="C887" i="1" s="1"/>
  <c r="D886" i="6"/>
  <c r="A887" i="1" s="1"/>
  <c r="B887" i="1" l="1"/>
  <c r="B887" i="7"/>
  <c r="C888" i="1" s="1"/>
  <c r="D887" i="6"/>
  <c r="A888" i="1" s="1"/>
  <c r="B888" i="1" l="1"/>
  <c r="B888" i="7"/>
  <c r="C889" i="1" s="1"/>
  <c r="D888" i="6"/>
  <c r="A889" i="1" s="1"/>
  <c r="B889" i="1" l="1"/>
  <c r="B889" i="7"/>
  <c r="C890" i="1" s="1"/>
  <c r="D889" i="6"/>
  <c r="A890" i="1" s="1"/>
  <c r="B890" i="1" l="1"/>
  <c r="B890" i="7"/>
  <c r="C891" i="1" s="1"/>
  <c r="D890" i="6"/>
  <c r="A891" i="1" s="1"/>
  <c r="B891" i="1" l="1"/>
  <c r="B891" i="7"/>
  <c r="C892" i="1" s="1"/>
  <c r="D891" i="6"/>
  <c r="A892" i="1" s="1"/>
  <c r="B892" i="1" l="1"/>
  <c r="B892" i="7"/>
  <c r="C893" i="1" s="1"/>
  <c r="D892" i="6"/>
  <c r="A893" i="1" s="1"/>
  <c r="B893" i="1" l="1"/>
  <c r="B893" i="7"/>
  <c r="C894" i="1" s="1"/>
  <c r="D893" i="6"/>
  <c r="A894" i="1" s="1"/>
  <c r="B894" i="1" l="1"/>
  <c r="B894" i="7"/>
  <c r="C895" i="1" s="1"/>
  <c r="D894" i="6"/>
  <c r="A895" i="1" s="1"/>
  <c r="B895" i="1" l="1"/>
  <c r="B895" i="7"/>
  <c r="C896" i="1" s="1"/>
  <c r="D895" i="6"/>
  <c r="A896" i="1" s="1"/>
  <c r="B896" i="1" l="1"/>
  <c r="B896" i="7"/>
  <c r="C897" i="1" s="1"/>
  <c r="D896" i="6"/>
  <c r="A897" i="1" s="1"/>
  <c r="B897" i="1" l="1"/>
  <c r="B897" i="7"/>
  <c r="C898" i="1" s="1"/>
  <c r="D897" i="6"/>
  <c r="A898" i="1" s="1"/>
  <c r="B898" i="1" l="1"/>
  <c r="B898" i="7"/>
  <c r="C899" i="1" s="1"/>
  <c r="D898" i="6"/>
  <c r="A899" i="1" s="1"/>
  <c r="B899" i="1" l="1"/>
  <c r="B899" i="7"/>
  <c r="C900" i="1" s="1"/>
  <c r="D899" i="6"/>
  <c r="A900" i="1" s="1"/>
  <c r="B900" i="1" l="1"/>
  <c r="B900" i="7"/>
  <c r="C901" i="1" s="1"/>
  <c r="D900" i="6"/>
  <c r="A901" i="1" s="1"/>
  <c r="B901" i="1" l="1"/>
  <c r="B901" i="7"/>
  <c r="C902" i="1" s="1"/>
  <c r="D901" i="6"/>
  <c r="A902" i="1" s="1"/>
  <c r="B902" i="1" l="1"/>
  <c r="B902" i="7"/>
  <c r="C903" i="1" s="1"/>
  <c r="D902" i="6"/>
  <c r="A903" i="1" s="1"/>
  <c r="B903" i="1" l="1"/>
  <c r="B903" i="7"/>
  <c r="C904" i="1" s="1"/>
  <c r="D903" i="6"/>
  <c r="A904" i="1" s="1"/>
  <c r="B904" i="1" l="1"/>
  <c r="B904" i="7"/>
  <c r="C905" i="1" s="1"/>
  <c r="D904" i="6"/>
  <c r="A905" i="1" s="1"/>
  <c r="B905" i="1" l="1"/>
  <c r="B905" i="7"/>
  <c r="C906" i="1" s="1"/>
  <c r="D905" i="6"/>
  <c r="A906" i="1" s="1"/>
  <c r="B906" i="1" l="1"/>
  <c r="B906" i="7"/>
  <c r="C907" i="1" s="1"/>
  <c r="D906" i="6"/>
  <c r="A907" i="1" s="1"/>
  <c r="B907" i="1" l="1"/>
  <c r="B907" i="7"/>
  <c r="C908" i="1" s="1"/>
  <c r="D907" i="6"/>
  <c r="A908" i="1" s="1"/>
  <c r="B908" i="1" l="1"/>
  <c r="B908" i="7"/>
  <c r="C909" i="1" s="1"/>
  <c r="D908" i="6"/>
  <c r="A909" i="1" s="1"/>
  <c r="B909" i="1" l="1"/>
  <c r="B909" i="7"/>
  <c r="C910" i="1" s="1"/>
  <c r="D909" i="6"/>
  <c r="A910" i="1" s="1"/>
  <c r="B910" i="1" l="1"/>
  <c r="B910" i="7"/>
  <c r="C911" i="1" s="1"/>
  <c r="D910" i="6"/>
  <c r="A911" i="1" s="1"/>
  <c r="B911" i="1" l="1"/>
  <c r="B911" i="7"/>
  <c r="C912" i="1" s="1"/>
  <c r="D911" i="6"/>
  <c r="A912" i="1" s="1"/>
  <c r="B912" i="1" l="1"/>
  <c r="B912" i="7"/>
  <c r="C913" i="1" s="1"/>
  <c r="D912" i="6"/>
  <c r="A913" i="1" s="1"/>
  <c r="B913" i="1" l="1"/>
  <c r="B913" i="7"/>
  <c r="C914" i="1" s="1"/>
  <c r="D913" i="6"/>
  <c r="A914" i="1" s="1"/>
  <c r="B914" i="1" l="1"/>
  <c r="B914" i="7"/>
  <c r="C915" i="1" s="1"/>
  <c r="D914" i="6"/>
  <c r="A915" i="1" s="1"/>
  <c r="B915" i="1" l="1"/>
  <c r="B915" i="7"/>
  <c r="C916" i="1" s="1"/>
  <c r="D915" i="6"/>
  <c r="A916" i="1" s="1"/>
  <c r="B916" i="1" l="1"/>
  <c r="B916" i="7"/>
  <c r="C917" i="1" s="1"/>
  <c r="D916" i="6"/>
  <c r="A917" i="1" s="1"/>
  <c r="B917" i="1" l="1"/>
  <c r="B917" i="7"/>
  <c r="C918" i="1" s="1"/>
  <c r="D917" i="6"/>
  <c r="A918" i="1" s="1"/>
  <c r="B918" i="1" l="1"/>
  <c r="B918" i="7"/>
  <c r="C919" i="1" s="1"/>
  <c r="D918" i="6"/>
  <c r="A919" i="1" s="1"/>
  <c r="B919" i="1" l="1"/>
  <c r="B919" i="7"/>
  <c r="C920" i="1" s="1"/>
  <c r="D919" i="6"/>
  <c r="A920" i="1" s="1"/>
  <c r="B920" i="1" l="1"/>
  <c r="B920" i="7"/>
  <c r="C921" i="1" s="1"/>
  <c r="D920" i="6"/>
  <c r="A921" i="1" s="1"/>
  <c r="B921" i="1" l="1"/>
  <c r="B921" i="7"/>
  <c r="C922" i="1" s="1"/>
  <c r="D921" i="6"/>
  <c r="A922" i="1" s="1"/>
  <c r="B922" i="1" l="1"/>
  <c r="B922" i="7"/>
  <c r="C923" i="1" s="1"/>
  <c r="D922" i="6"/>
  <c r="A923" i="1" s="1"/>
  <c r="B923" i="1" l="1"/>
  <c r="B923" i="7"/>
  <c r="C924" i="1" s="1"/>
  <c r="D923" i="6"/>
  <c r="A924" i="1" s="1"/>
  <c r="B924" i="1" l="1"/>
  <c r="B924" i="7"/>
  <c r="C925" i="1" s="1"/>
  <c r="D924" i="6"/>
  <c r="A925" i="1" s="1"/>
  <c r="B925" i="1" l="1"/>
  <c r="B925" i="7"/>
  <c r="C926" i="1" s="1"/>
  <c r="D925" i="6"/>
  <c r="A926" i="1" s="1"/>
  <c r="B926" i="1" l="1"/>
  <c r="B926" i="7"/>
  <c r="C927" i="1" s="1"/>
  <c r="D926" i="6"/>
  <c r="A927" i="1" s="1"/>
  <c r="B927" i="1" l="1"/>
  <c r="B927" i="7"/>
  <c r="C928" i="1" s="1"/>
  <c r="D927" i="6"/>
  <c r="A928" i="1" s="1"/>
  <c r="B928" i="1" l="1"/>
  <c r="B928" i="7"/>
  <c r="C929" i="1" s="1"/>
  <c r="D928" i="6"/>
  <c r="A929" i="1" s="1"/>
  <c r="B929" i="1" l="1"/>
  <c r="B929" i="7"/>
  <c r="C930" i="1" s="1"/>
  <c r="D929" i="6"/>
  <c r="A930" i="1" s="1"/>
  <c r="B930" i="1" l="1"/>
  <c r="B930" i="7"/>
  <c r="C931" i="1" s="1"/>
  <c r="D930" i="6"/>
  <c r="A931" i="1" s="1"/>
  <c r="B931" i="1" l="1"/>
  <c r="B931" i="7"/>
  <c r="C932" i="1" s="1"/>
  <c r="D931" i="6"/>
  <c r="A932" i="1" s="1"/>
  <c r="B932" i="1" l="1"/>
  <c r="B932" i="7"/>
  <c r="C933" i="1" s="1"/>
  <c r="D932" i="6"/>
  <c r="A933" i="1" s="1"/>
  <c r="B933" i="1" l="1"/>
  <c r="B933" i="7"/>
  <c r="C934" i="1" s="1"/>
  <c r="D933" i="6"/>
  <c r="A934" i="1" s="1"/>
  <c r="B934" i="1" l="1"/>
  <c r="B934" i="7"/>
  <c r="C935" i="1" s="1"/>
  <c r="D934" i="6"/>
  <c r="A935" i="1" s="1"/>
  <c r="B935" i="1" l="1"/>
  <c r="B935" i="7"/>
  <c r="C936" i="1" s="1"/>
  <c r="D935" i="6"/>
  <c r="A936" i="1" s="1"/>
  <c r="B936" i="1" l="1"/>
  <c r="B936" i="7"/>
  <c r="C937" i="1" s="1"/>
  <c r="D936" i="6"/>
  <c r="A937" i="1" s="1"/>
  <c r="B937" i="1" l="1"/>
  <c r="B937" i="7"/>
  <c r="C938" i="1" s="1"/>
  <c r="D937" i="6"/>
  <c r="A938" i="1" s="1"/>
  <c r="B938" i="1" l="1"/>
  <c r="B938" i="7"/>
  <c r="C939" i="1" s="1"/>
  <c r="D938" i="6"/>
  <c r="A939" i="1" s="1"/>
  <c r="B939" i="1" l="1"/>
  <c r="B939" i="7"/>
  <c r="C940" i="1" s="1"/>
  <c r="D939" i="6"/>
  <c r="A940" i="1" s="1"/>
  <c r="B940" i="1" l="1"/>
  <c r="B940" i="7"/>
  <c r="C941" i="1" s="1"/>
  <c r="D940" i="6"/>
  <c r="A941" i="1" s="1"/>
  <c r="B941" i="1" l="1"/>
  <c r="B941" i="7"/>
  <c r="C942" i="1" s="1"/>
  <c r="D941" i="6"/>
  <c r="A942" i="1" s="1"/>
  <c r="B942" i="1" l="1"/>
  <c r="B942" i="7"/>
  <c r="C943" i="1" s="1"/>
  <c r="D942" i="6"/>
  <c r="A943" i="1" s="1"/>
  <c r="B943" i="1" l="1"/>
  <c r="B943" i="7"/>
  <c r="C944" i="1" s="1"/>
  <c r="D943" i="6"/>
  <c r="A944" i="1" s="1"/>
  <c r="B944" i="1" l="1"/>
  <c r="B944" i="7"/>
  <c r="C945" i="1" s="1"/>
  <c r="D944" i="6"/>
  <c r="A945" i="1" s="1"/>
  <c r="B945" i="1" l="1"/>
  <c r="B945" i="7"/>
  <c r="C946" i="1" s="1"/>
  <c r="D945" i="6"/>
  <c r="A946" i="1" s="1"/>
  <c r="B946" i="1" l="1"/>
  <c r="B946" i="7"/>
  <c r="C947" i="1" s="1"/>
  <c r="D946" i="6"/>
  <c r="A947" i="1" s="1"/>
  <c r="B947" i="1" l="1"/>
  <c r="B947" i="7"/>
  <c r="C948" i="1" s="1"/>
  <c r="D947" i="6"/>
  <c r="A948" i="1" s="1"/>
  <c r="B948" i="1" l="1"/>
  <c r="B948" i="7"/>
  <c r="C949" i="1" s="1"/>
  <c r="D948" i="6"/>
  <c r="A949" i="1" s="1"/>
  <c r="B949" i="1" l="1"/>
  <c r="B949" i="7"/>
  <c r="C950" i="1" s="1"/>
  <c r="D949" i="6"/>
  <c r="A950" i="1" s="1"/>
  <c r="B950" i="1" l="1"/>
  <c r="B950" i="7"/>
  <c r="C951" i="1" s="1"/>
  <c r="D950" i="6"/>
  <c r="A951" i="1" s="1"/>
  <c r="B951" i="1" l="1"/>
  <c r="B951" i="7"/>
  <c r="C952" i="1" s="1"/>
  <c r="D951" i="6"/>
  <c r="A952" i="1" s="1"/>
  <c r="B952" i="1" l="1"/>
  <c r="B952" i="7"/>
  <c r="C953" i="1" s="1"/>
  <c r="D952" i="6"/>
  <c r="A953" i="1" s="1"/>
  <c r="B953" i="1" l="1"/>
  <c r="B953" i="7"/>
  <c r="C954" i="1" s="1"/>
  <c r="D953" i="6"/>
  <c r="A954" i="1" s="1"/>
  <c r="B954" i="1" l="1"/>
  <c r="B954" i="7"/>
  <c r="C955" i="1" s="1"/>
  <c r="D954" i="6"/>
  <c r="A955" i="1" s="1"/>
  <c r="B955" i="1" l="1"/>
  <c r="B955" i="7"/>
  <c r="C956" i="1" s="1"/>
  <c r="D955" i="6"/>
  <c r="A956" i="1" s="1"/>
  <c r="B956" i="1" l="1"/>
  <c r="B956" i="7"/>
  <c r="C957" i="1" s="1"/>
  <c r="D956" i="6"/>
  <c r="A957" i="1" s="1"/>
  <c r="B957" i="1" l="1"/>
  <c r="B957" i="7"/>
  <c r="C958" i="1" s="1"/>
  <c r="D957" i="6"/>
  <c r="A958" i="1" s="1"/>
  <c r="B958" i="1" l="1"/>
  <c r="B958" i="7"/>
  <c r="C959" i="1" s="1"/>
  <c r="D958" i="6"/>
  <c r="A959" i="1" s="1"/>
  <c r="B959" i="1" l="1"/>
  <c r="B959" i="7"/>
  <c r="C960" i="1" s="1"/>
  <c r="D959" i="6"/>
  <c r="A960" i="1" s="1"/>
  <c r="B960" i="1" l="1"/>
  <c r="B960" i="7"/>
  <c r="C961" i="1" s="1"/>
  <c r="D960" i="6"/>
  <c r="A961" i="1" s="1"/>
  <c r="B961" i="1" l="1"/>
  <c r="B961" i="7"/>
  <c r="C962" i="1" s="1"/>
  <c r="D961" i="6"/>
  <c r="A962" i="1" s="1"/>
  <c r="B962" i="1" l="1"/>
  <c r="B962" i="7"/>
  <c r="C963" i="1" s="1"/>
  <c r="D962" i="6"/>
  <c r="A963" i="1" s="1"/>
  <c r="B963" i="1" l="1"/>
  <c r="B963" i="7"/>
  <c r="C964" i="1" s="1"/>
  <c r="D963" i="6"/>
  <c r="A964" i="1" s="1"/>
  <c r="B964" i="1" l="1"/>
  <c r="B964" i="7"/>
  <c r="C965" i="1" s="1"/>
  <c r="D964" i="6"/>
  <c r="A965" i="1" s="1"/>
  <c r="B965" i="1" l="1"/>
  <c r="B965" i="7"/>
  <c r="C966" i="1" s="1"/>
  <c r="D965" i="6"/>
  <c r="A966" i="1" s="1"/>
  <c r="B966" i="1" l="1"/>
  <c r="B966" i="7"/>
  <c r="C967" i="1" s="1"/>
  <c r="D966" i="6"/>
  <c r="A967" i="1" s="1"/>
  <c r="B967" i="1" l="1"/>
  <c r="B967" i="7"/>
  <c r="C968" i="1" s="1"/>
  <c r="D967" i="6"/>
  <c r="A968" i="1" s="1"/>
  <c r="B968" i="1" l="1"/>
  <c r="B968" i="7"/>
  <c r="C969" i="1" s="1"/>
  <c r="D968" i="6"/>
  <c r="A969" i="1" s="1"/>
  <c r="B969" i="1" l="1"/>
  <c r="B969" i="7"/>
  <c r="C970" i="1" s="1"/>
  <c r="D969" i="6"/>
  <c r="A970" i="1" s="1"/>
  <c r="B970" i="1" l="1"/>
  <c r="B970" i="7"/>
  <c r="C971" i="1" s="1"/>
  <c r="D970" i="6"/>
  <c r="A971" i="1" s="1"/>
  <c r="B971" i="1" l="1"/>
  <c r="B971" i="7"/>
  <c r="C972" i="1" s="1"/>
  <c r="D971" i="6"/>
  <c r="A972" i="1" s="1"/>
  <c r="B972" i="1" l="1"/>
  <c r="B972" i="7"/>
  <c r="C973" i="1" s="1"/>
  <c r="D972" i="6"/>
  <c r="A973" i="1" s="1"/>
  <c r="B973" i="1" l="1"/>
  <c r="B973" i="7"/>
  <c r="C974" i="1" s="1"/>
  <c r="D973" i="6"/>
  <c r="A974" i="1" s="1"/>
  <c r="B974" i="1" l="1"/>
  <c r="B974" i="7"/>
  <c r="C975" i="1" s="1"/>
  <c r="D974" i="6"/>
  <c r="A975" i="1" s="1"/>
  <c r="B975" i="1" l="1"/>
  <c r="B975" i="7"/>
  <c r="C976" i="1" s="1"/>
  <c r="D975" i="6"/>
  <c r="A976" i="1" s="1"/>
  <c r="B976" i="1" l="1"/>
  <c r="B976" i="7"/>
  <c r="C977" i="1" s="1"/>
  <c r="D976" i="6"/>
  <c r="A977" i="1" s="1"/>
  <c r="B977" i="1" l="1"/>
  <c r="B977" i="7"/>
  <c r="C978" i="1" s="1"/>
  <c r="D977" i="6"/>
  <c r="A978" i="1" s="1"/>
  <c r="B978" i="1" l="1"/>
  <c r="B978" i="7"/>
  <c r="C979" i="1" s="1"/>
  <c r="D978" i="6"/>
  <c r="A979" i="1" s="1"/>
  <c r="B979" i="1" l="1"/>
  <c r="B979" i="7"/>
  <c r="C980" i="1" s="1"/>
  <c r="D979" i="6"/>
  <c r="A980" i="1" s="1"/>
  <c r="B980" i="1" l="1"/>
  <c r="B980" i="7"/>
  <c r="C981" i="1" s="1"/>
  <c r="D980" i="6"/>
  <c r="A981" i="1" s="1"/>
  <c r="B981" i="1" l="1"/>
  <c r="B981" i="7"/>
  <c r="C982" i="1" s="1"/>
  <c r="D981" i="6"/>
  <c r="A982" i="1" s="1"/>
  <c r="B982" i="1" l="1"/>
  <c r="B982" i="7"/>
  <c r="C983" i="1" s="1"/>
  <c r="D982" i="6"/>
  <c r="A983" i="1" s="1"/>
  <c r="B983" i="1" l="1"/>
  <c r="B983" i="7"/>
  <c r="C984" i="1" s="1"/>
  <c r="D983" i="6"/>
  <c r="A984" i="1" s="1"/>
  <c r="B984" i="1" l="1"/>
  <c r="B984" i="7"/>
  <c r="C985" i="1" s="1"/>
  <c r="D984" i="6"/>
  <c r="A985" i="1" s="1"/>
  <c r="B985" i="1" l="1"/>
  <c r="B985" i="7"/>
  <c r="C986" i="1" s="1"/>
  <c r="D985" i="6"/>
  <c r="A986" i="1" s="1"/>
  <c r="B986" i="1" l="1"/>
  <c r="B986" i="7"/>
  <c r="C987" i="1" s="1"/>
  <c r="D986" i="6"/>
  <c r="A987" i="1" s="1"/>
  <c r="B987" i="1" l="1"/>
  <c r="B987" i="7"/>
  <c r="C988" i="1" s="1"/>
  <c r="D987" i="6"/>
  <c r="A988" i="1" s="1"/>
  <c r="B988" i="1" l="1"/>
  <c r="B988" i="7"/>
  <c r="C989" i="1" s="1"/>
  <c r="D988" i="6"/>
  <c r="A989" i="1" s="1"/>
  <c r="B989" i="1" l="1"/>
  <c r="B989" i="7"/>
  <c r="C990" i="1" s="1"/>
  <c r="D989" i="6"/>
  <c r="A990" i="1" s="1"/>
  <c r="B990" i="1" l="1"/>
  <c r="B990" i="7"/>
  <c r="C991" i="1" s="1"/>
  <c r="D990" i="6"/>
  <c r="A991" i="1" s="1"/>
  <c r="B991" i="1" l="1"/>
  <c r="B991" i="7"/>
  <c r="C992" i="1" s="1"/>
  <c r="D991" i="6"/>
  <c r="A992" i="1" s="1"/>
  <c r="B992" i="1" l="1"/>
  <c r="B992" i="7"/>
  <c r="C993" i="1" s="1"/>
  <c r="D992" i="6"/>
  <c r="A993" i="1" s="1"/>
  <c r="B993" i="1" l="1"/>
  <c r="B993" i="7"/>
  <c r="C994" i="1" s="1"/>
  <c r="D993" i="6"/>
  <c r="A994" i="1" s="1"/>
  <c r="B994" i="1" l="1"/>
  <c r="B994" i="7"/>
  <c r="C995" i="1" s="1"/>
  <c r="D994" i="6"/>
  <c r="A995" i="1" s="1"/>
  <c r="B995" i="1" l="1"/>
  <c r="B995" i="7"/>
  <c r="C996" i="1" s="1"/>
  <c r="D995" i="6"/>
  <c r="A996" i="1" s="1"/>
  <c r="B996" i="1" l="1"/>
  <c r="B996" i="7"/>
  <c r="C997" i="1" s="1"/>
  <c r="D996" i="6"/>
  <c r="A997" i="1" s="1"/>
  <c r="B997" i="1" l="1"/>
  <c r="B997" i="7"/>
  <c r="C998" i="1" s="1"/>
  <c r="D997" i="6"/>
  <c r="A998" i="1" s="1"/>
  <c r="B998" i="1" l="1"/>
  <c r="B998" i="7"/>
  <c r="C999" i="1" s="1"/>
  <c r="D998" i="6"/>
  <c r="A999" i="1" s="1"/>
  <c r="B999" i="1" l="1"/>
  <c r="B999" i="7"/>
  <c r="C1000" i="1" s="1"/>
  <c r="D999" i="6"/>
  <c r="A1000" i="1" s="1"/>
  <c r="B1000" i="1" l="1"/>
  <c r="B1000" i="7"/>
  <c r="C1001" i="1" s="1"/>
  <c r="D1000" i="6"/>
  <c r="A1001" i="1" s="1"/>
  <c r="B1001" i="1" l="1"/>
  <c r="D1001" i="6"/>
  <c r="A1002" i="1" s="1"/>
  <c r="B1002" i="1" l="1"/>
  <c r="G5" i="6"/>
  <c r="G6" i="6"/>
  <c r="G8" i="6"/>
  <c r="G7" i="6"/>
  <c r="N2" i="6"/>
  <c r="E3" i="1"/>
  <c r="E4" i="1"/>
  <c r="E6" i="1"/>
  <c r="E5" i="1"/>
</calcChain>
</file>

<file path=xl/sharedStrings.xml><?xml version="1.0" encoding="utf-8"?>
<sst xmlns="http://schemas.openxmlformats.org/spreadsheetml/2006/main" count="49" uniqueCount="45">
  <si>
    <t>stdev recomputed</t>
  </si>
  <si>
    <t>mean recomputed</t>
  </si>
  <si>
    <t>skew recomputed</t>
  </si>
  <si>
    <t>kurt recomputed</t>
  </si>
  <si>
    <t>cumulative product of A
("price")</t>
  </si>
  <si>
    <t>target correl</t>
  </si>
  <si>
    <t>baseX</t>
  </si>
  <si>
    <t>baseY</t>
  </si>
  <si>
    <t>actual correl</t>
  </si>
  <si>
    <t>meanMain</t>
  </si>
  <si>
    <t>stdevMain</t>
  </si>
  <si>
    <t>meanSTOCHVOL</t>
  </si>
  <si>
    <t>stdevSTOCHVOL</t>
  </si>
  <si>
    <t>mean</t>
  </si>
  <si>
    <t>stdev</t>
  </si>
  <si>
    <t>skew</t>
  </si>
  <si>
    <t>kurt</t>
  </si>
  <si>
    <t>VolOfVol</t>
  </si>
  <si>
    <t>Return</t>
  </si>
  <si>
    <t>stats for column D ("returns")</t>
  </si>
  <si>
    <t>samples from stdnorm + randomized stdev
from sheet randcorrWithFeedback column D
("daily return")</t>
  </si>
  <si>
    <t>kappa</t>
  </si>
  <si>
    <t>theta</t>
  </si>
  <si>
    <t>xi</t>
  </si>
  <si>
    <t>long term volatility constant</t>
  </si>
  <si>
    <t>volatility of volatility</t>
  </si>
  <si>
    <t>&lt;--stdnorm now</t>
  </si>
  <si>
    <t>(close to 0 and &gt; 0 = sticky)</t>
  </si>
  <si>
    <t>of the main return</t>
  </si>
  <si>
    <t>volatility stickiness</t>
  </si>
  <si>
    <t>Q and R for ref</t>
  </si>
  <si>
    <t>mc progress meter</t>
  </si>
  <si>
    <t>1 = null (no influence of the past)</t>
  </si>
  <si>
    <t>prob --&gt;</t>
  </si>
  <si>
    <t>time step (trading days fwd) [0 = last known price exact, no distribution)</t>
  </si>
  <si>
    <t>macro run time (sec)</t>
  </si>
  <si>
    <t>driftRate daily</t>
  </si>
  <si>
    <t>days per annum</t>
  </si>
  <si>
    <t>driftRate annual (perc)</t>
  </si>
  <si>
    <t>check via Pe^rt</t>
  </si>
  <si>
    <t>GE close</t>
  </si>
  <si>
    <t>nmonte</t>
  </si>
  <si>
    <t>daysfwd</t>
  </si>
  <si>
    <t>mc macro params</t>
  </si>
  <si>
    <t>drift term (inside EXP)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</si>
</sst>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2499465926084170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/>
    <xf numFmtId="0" fontId="0" fillId="0" borderId="1" xfId="0" applyBorder="1"/>
    <xf numFmtId="0" fontId="0" fillId="0" borderId="2" xfId="0" applyBorder="1"/>
    <xf numFmtId="14" fontId="0" fillId="0" borderId="0" xfId="0" applyNumberFormat="1"/>
    <xf numFmtId="0" fontId="1" fillId="0" borderId="1" xfId="0" applyFont="1" applyBorder="1"/>
    <xf numFmtId="0" fontId="1" fillId="0" borderId="2" xfId="0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36363"/>
      <color rgb="FF0000FF"/>
      <color rgb="FFAAAAFF"/>
      <color rgb="FF8080FF"/>
      <color rgb="FFFFC0FF"/>
      <color rgb="FFFFA500"/>
      <color rgb="FFFF00FF"/>
      <color rgb="FF008000"/>
      <color rgb="FF008031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"Price" time series of our fake asset for one sheet</a:t>
            </a:r>
            <a:r>
              <a:rPr lang="en-US" baseline="0"/>
              <a:t> recomputation</a:t>
            </a:r>
          </a:p>
          <a:p>
            <a:pPr>
              <a:defRPr/>
            </a:pPr>
            <a:r>
              <a:rPr lang="en-US" baseline="0"/>
              <a:t>(red returns overlayed,  right side axis, percent)</a:t>
            </a:r>
            <a:endParaRPr lang="en-US"/>
          </a:p>
        </c:rich>
      </c:tx>
      <c:layout>
        <c:manualLayout>
          <c:xMode val="edge"/>
          <c:yMode val="edge"/>
          <c:x val="0.13263956639566396"/>
          <c:y val="7.48739931012526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046902673751146E-2"/>
          <c:y val="0.24241895151013271"/>
          <c:w val="0.89949239271920278"/>
          <c:h val="0.65276743530043468"/>
        </c:manualLayout>
      </c:layout>
      <c:scatterChart>
        <c:scatterStyle val="lineMarker"/>
        <c:varyColors val="0"/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Sheet1!$B$3:$B$1002</c:f>
              <c:numCache>
                <c:formatCode>General</c:formatCode>
                <c:ptCount val="1000"/>
                <c:pt idx="0">
                  <c:v>101.55259536416749</c:v>
                </c:pt>
                <c:pt idx="1">
                  <c:v>98.423384064342699</c:v>
                </c:pt>
                <c:pt idx="2">
                  <c:v>97.998288795561493</c:v>
                </c:pt>
                <c:pt idx="3">
                  <c:v>97.72327235071603</c:v>
                </c:pt>
                <c:pt idx="4">
                  <c:v>98.042581164035653</c:v>
                </c:pt>
                <c:pt idx="5">
                  <c:v>98.68479439159114</c:v>
                </c:pt>
                <c:pt idx="6">
                  <c:v>99.094602141190876</c:v>
                </c:pt>
                <c:pt idx="7">
                  <c:v>98.685321461650858</c:v>
                </c:pt>
                <c:pt idx="8">
                  <c:v>99.246124023922349</c:v>
                </c:pt>
                <c:pt idx="9">
                  <c:v>99.264931743617041</c:v>
                </c:pt>
                <c:pt idx="10">
                  <c:v>100.35570295588613</c:v>
                </c:pt>
                <c:pt idx="11">
                  <c:v>102.00784013097055</c:v>
                </c:pt>
                <c:pt idx="12">
                  <c:v>104.2796329222129</c:v>
                </c:pt>
                <c:pt idx="13">
                  <c:v>105.27628219206038</c:v>
                </c:pt>
                <c:pt idx="14">
                  <c:v>100.96519533293447</c:v>
                </c:pt>
                <c:pt idx="15">
                  <c:v>100.57733938722555</c:v>
                </c:pt>
                <c:pt idx="16">
                  <c:v>100.56447830139176</c:v>
                </c:pt>
                <c:pt idx="17">
                  <c:v>99.507810530120778</c:v>
                </c:pt>
                <c:pt idx="18">
                  <c:v>100.55146513523131</c:v>
                </c:pt>
                <c:pt idx="19">
                  <c:v>100.45757505335538</c:v>
                </c:pt>
                <c:pt idx="20">
                  <c:v>98.331782581982281</c:v>
                </c:pt>
                <c:pt idx="21">
                  <c:v>97.08802208901399</c:v>
                </c:pt>
                <c:pt idx="22">
                  <c:v>98.254632812355865</c:v>
                </c:pt>
                <c:pt idx="23">
                  <c:v>98.896992997413861</c:v>
                </c:pt>
                <c:pt idx="24">
                  <c:v>98.828191651880374</c:v>
                </c:pt>
                <c:pt idx="25">
                  <c:v>99.463580906295093</c:v>
                </c:pt>
                <c:pt idx="26">
                  <c:v>98.425046187462229</c:v>
                </c:pt>
                <c:pt idx="27">
                  <c:v>97.203551898649195</c:v>
                </c:pt>
                <c:pt idx="28">
                  <c:v>96.636373355218197</c:v>
                </c:pt>
                <c:pt idx="29">
                  <c:v>98.224048217064151</c:v>
                </c:pt>
                <c:pt idx="30">
                  <c:v>100.12248154065534</c:v>
                </c:pt>
                <c:pt idx="31">
                  <c:v>101.20352604730675</c:v>
                </c:pt>
                <c:pt idx="32">
                  <c:v>102.24072967298207</c:v>
                </c:pt>
                <c:pt idx="33">
                  <c:v>102.21400478529425</c:v>
                </c:pt>
                <c:pt idx="34">
                  <c:v>102.90104590693417</c:v>
                </c:pt>
                <c:pt idx="35">
                  <c:v>103.96837218573114</c:v>
                </c:pt>
                <c:pt idx="36">
                  <c:v>101.94048509302118</c:v>
                </c:pt>
                <c:pt idx="37">
                  <c:v>99.844825790841412</c:v>
                </c:pt>
                <c:pt idx="38">
                  <c:v>99.943112995763471</c:v>
                </c:pt>
                <c:pt idx="39">
                  <c:v>101.93459727052709</c:v>
                </c:pt>
                <c:pt idx="40">
                  <c:v>99.52087046934659</c:v>
                </c:pt>
                <c:pt idx="41">
                  <c:v>98.427178898525781</c:v>
                </c:pt>
                <c:pt idx="42">
                  <c:v>100.86472605680596</c:v>
                </c:pt>
                <c:pt idx="43">
                  <c:v>99.94016609346788</c:v>
                </c:pt>
                <c:pt idx="44">
                  <c:v>99.405648814986662</c:v>
                </c:pt>
                <c:pt idx="45">
                  <c:v>99.264357194968198</c:v>
                </c:pt>
                <c:pt idx="46">
                  <c:v>99.962449121377489</c:v>
                </c:pt>
                <c:pt idx="47">
                  <c:v>97.549098737189155</c:v>
                </c:pt>
                <c:pt idx="48">
                  <c:v>97.674491128864247</c:v>
                </c:pt>
                <c:pt idx="49">
                  <c:v>97.225157183436622</c:v>
                </c:pt>
                <c:pt idx="50">
                  <c:v>99.528561103734404</c:v>
                </c:pt>
                <c:pt idx="51">
                  <c:v>100.69341257674175</c:v>
                </c:pt>
                <c:pt idx="52">
                  <c:v>102.22371765446138</c:v>
                </c:pt>
                <c:pt idx="53">
                  <c:v>102.0634256932581</c:v>
                </c:pt>
                <c:pt idx="54">
                  <c:v>99.103237557507498</c:v>
                </c:pt>
                <c:pt idx="55">
                  <c:v>98.743254420981515</c:v>
                </c:pt>
                <c:pt idx="56">
                  <c:v>98.426271663650851</c:v>
                </c:pt>
                <c:pt idx="57">
                  <c:v>97.91722687535065</c:v>
                </c:pt>
                <c:pt idx="58">
                  <c:v>98.25929654140171</c:v>
                </c:pt>
                <c:pt idx="59">
                  <c:v>98.994622613752853</c:v>
                </c:pt>
                <c:pt idx="60">
                  <c:v>99.511685824976013</c:v>
                </c:pt>
                <c:pt idx="61">
                  <c:v>98.518969401932111</c:v>
                </c:pt>
                <c:pt idx="62">
                  <c:v>97.891699451874246</c:v>
                </c:pt>
                <c:pt idx="63">
                  <c:v>97.510459751927954</c:v>
                </c:pt>
                <c:pt idx="64">
                  <c:v>97.714609153015985</c:v>
                </c:pt>
                <c:pt idx="65">
                  <c:v>97.958957068213337</c:v>
                </c:pt>
                <c:pt idx="66">
                  <c:v>98.230591945734943</c:v>
                </c:pt>
                <c:pt idx="67">
                  <c:v>97.950708954961527</c:v>
                </c:pt>
                <c:pt idx="68">
                  <c:v>97.387257263816267</c:v>
                </c:pt>
                <c:pt idx="69">
                  <c:v>97.405085117610511</c:v>
                </c:pt>
                <c:pt idx="70">
                  <c:v>97.409493463048889</c:v>
                </c:pt>
                <c:pt idx="71">
                  <c:v>97.580249316192706</c:v>
                </c:pt>
                <c:pt idx="72">
                  <c:v>96.665681029132131</c:v>
                </c:pt>
                <c:pt idx="73">
                  <c:v>96.675944903822639</c:v>
                </c:pt>
                <c:pt idx="74">
                  <c:v>96.834335433974118</c:v>
                </c:pt>
                <c:pt idx="75">
                  <c:v>96.792636068506411</c:v>
                </c:pt>
                <c:pt idx="76">
                  <c:v>97.258659525045687</c:v>
                </c:pt>
                <c:pt idx="77">
                  <c:v>97.308523070622556</c:v>
                </c:pt>
                <c:pt idx="78">
                  <c:v>97.52198626187203</c:v>
                </c:pt>
                <c:pt idx="79">
                  <c:v>97.329332320519796</c:v>
                </c:pt>
                <c:pt idx="80">
                  <c:v>97.958161856880707</c:v>
                </c:pt>
                <c:pt idx="81">
                  <c:v>98.179149527828386</c:v>
                </c:pt>
                <c:pt idx="82">
                  <c:v>98.081012517395791</c:v>
                </c:pt>
                <c:pt idx="83">
                  <c:v>98.443132522068666</c:v>
                </c:pt>
                <c:pt idx="84">
                  <c:v>99.240802026362701</c:v>
                </c:pt>
                <c:pt idx="85">
                  <c:v>99.645606083352476</c:v>
                </c:pt>
                <c:pt idx="86">
                  <c:v>100.31822129296351</c:v>
                </c:pt>
                <c:pt idx="87">
                  <c:v>100.87331738913535</c:v>
                </c:pt>
                <c:pt idx="88">
                  <c:v>100.92309334208946</c:v>
                </c:pt>
                <c:pt idx="89">
                  <c:v>98.773972417706318</c:v>
                </c:pt>
                <c:pt idx="90">
                  <c:v>97.47659373676801</c:v>
                </c:pt>
                <c:pt idx="91">
                  <c:v>98.081628921705729</c:v>
                </c:pt>
                <c:pt idx="92">
                  <c:v>98.773568566849818</c:v>
                </c:pt>
                <c:pt idx="93">
                  <c:v>98.541526403200876</c:v>
                </c:pt>
                <c:pt idx="94">
                  <c:v>98.9699449766416</c:v>
                </c:pt>
                <c:pt idx="95">
                  <c:v>99.45456116765736</c:v>
                </c:pt>
                <c:pt idx="96">
                  <c:v>100.6458274411191</c:v>
                </c:pt>
                <c:pt idx="97">
                  <c:v>100.81622877541209</c:v>
                </c:pt>
                <c:pt idx="98">
                  <c:v>102.74643141331759</c:v>
                </c:pt>
                <c:pt idx="99">
                  <c:v>104.02102604892575</c:v>
                </c:pt>
                <c:pt idx="100">
                  <c:v>104.91848740618087</c:v>
                </c:pt>
                <c:pt idx="101">
                  <c:v>106.30108248454407</c:v>
                </c:pt>
                <c:pt idx="102">
                  <c:v>108.14063838946095</c:v>
                </c:pt>
                <c:pt idx="103">
                  <c:v>111.27357442848424</c:v>
                </c:pt>
                <c:pt idx="104">
                  <c:v>114.15869037174002</c:v>
                </c:pt>
                <c:pt idx="105">
                  <c:v>113.18758924150082</c:v>
                </c:pt>
                <c:pt idx="106">
                  <c:v>108.63073482182362</c:v>
                </c:pt>
                <c:pt idx="107">
                  <c:v>111.60776698227031</c:v>
                </c:pt>
                <c:pt idx="108">
                  <c:v>109.68814557753032</c:v>
                </c:pt>
                <c:pt idx="109">
                  <c:v>108.28677614952817</c:v>
                </c:pt>
                <c:pt idx="110">
                  <c:v>109.36618212057618</c:v>
                </c:pt>
                <c:pt idx="111">
                  <c:v>108.51364814024367</c:v>
                </c:pt>
                <c:pt idx="112">
                  <c:v>110.01132470161194</c:v>
                </c:pt>
                <c:pt idx="113">
                  <c:v>109.21673714991255</c:v>
                </c:pt>
                <c:pt idx="114">
                  <c:v>106.69041223175955</c:v>
                </c:pt>
                <c:pt idx="115">
                  <c:v>107.45222031283866</c:v>
                </c:pt>
                <c:pt idx="116">
                  <c:v>108.36981040273704</c:v>
                </c:pt>
                <c:pt idx="117">
                  <c:v>108.58120990309506</c:v>
                </c:pt>
                <c:pt idx="118">
                  <c:v>107.49988923688011</c:v>
                </c:pt>
                <c:pt idx="119">
                  <c:v>107.33696118037635</c:v>
                </c:pt>
                <c:pt idx="120">
                  <c:v>108.62624375328731</c:v>
                </c:pt>
                <c:pt idx="121">
                  <c:v>107.69760021714163</c:v>
                </c:pt>
                <c:pt idx="122">
                  <c:v>108.57454527260677</c:v>
                </c:pt>
                <c:pt idx="123">
                  <c:v>109.45589610195128</c:v>
                </c:pt>
                <c:pt idx="124">
                  <c:v>113.69688702338192</c:v>
                </c:pt>
                <c:pt idx="125">
                  <c:v>114.01958284164992</c:v>
                </c:pt>
                <c:pt idx="126">
                  <c:v>118.48363642333484</c:v>
                </c:pt>
                <c:pt idx="127">
                  <c:v>118.47188098765037</c:v>
                </c:pt>
                <c:pt idx="128">
                  <c:v>119.84068451471191</c:v>
                </c:pt>
                <c:pt idx="129">
                  <c:v>120.29557595574492</c:v>
                </c:pt>
                <c:pt idx="130">
                  <c:v>121.59912741006553</c:v>
                </c:pt>
                <c:pt idx="131">
                  <c:v>122.30368804644846</c:v>
                </c:pt>
                <c:pt idx="132">
                  <c:v>121.16170500537167</c:v>
                </c:pt>
                <c:pt idx="133">
                  <c:v>126.02994773375164</c:v>
                </c:pt>
                <c:pt idx="134">
                  <c:v>126.86900751248841</c:v>
                </c:pt>
                <c:pt idx="135">
                  <c:v>130.19899451165179</c:v>
                </c:pt>
                <c:pt idx="136">
                  <c:v>127.7408016299517</c:v>
                </c:pt>
                <c:pt idx="137">
                  <c:v>123.03149529782583</c:v>
                </c:pt>
                <c:pt idx="138">
                  <c:v>118.02083670987233</c:v>
                </c:pt>
                <c:pt idx="139">
                  <c:v>120.72493837429644</c:v>
                </c:pt>
                <c:pt idx="140">
                  <c:v>120.36120661788362</c:v>
                </c:pt>
                <c:pt idx="141">
                  <c:v>120.68442916011742</c:v>
                </c:pt>
                <c:pt idx="142">
                  <c:v>124.39011633012841</c:v>
                </c:pt>
                <c:pt idx="143">
                  <c:v>125.69670452015745</c:v>
                </c:pt>
                <c:pt idx="144">
                  <c:v>123.26978141401163</c:v>
                </c:pt>
                <c:pt idx="145">
                  <c:v>123.63773649071923</c:v>
                </c:pt>
                <c:pt idx="146">
                  <c:v>128.7188461197056</c:v>
                </c:pt>
                <c:pt idx="147">
                  <c:v>131.51065884493022</c:v>
                </c:pt>
                <c:pt idx="148">
                  <c:v>132.39170638670598</c:v>
                </c:pt>
                <c:pt idx="149">
                  <c:v>130.50764793083431</c:v>
                </c:pt>
                <c:pt idx="150">
                  <c:v>131.84899390352965</c:v>
                </c:pt>
                <c:pt idx="151">
                  <c:v>126.00704204389434</c:v>
                </c:pt>
                <c:pt idx="152">
                  <c:v>127.34013852397368</c:v>
                </c:pt>
                <c:pt idx="153">
                  <c:v>126.32333555390233</c:v>
                </c:pt>
                <c:pt idx="154">
                  <c:v>129.40352603741883</c:v>
                </c:pt>
                <c:pt idx="155">
                  <c:v>126.59921619468399</c:v>
                </c:pt>
                <c:pt idx="156">
                  <c:v>127.16819123678748</c:v>
                </c:pt>
                <c:pt idx="157">
                  <c:v>129.87376771215281</c:v>
                </c:pt>
                <c:pt idx="158">
                  <c:v>127.16731287253829</c:v>
                </c:pt>
                <c:pt idx="159">
                  <c:v>128.92409599752514</c:v>
                </c:pt>
                <c:pt idx="160">
                  <c:v>128.43259225754716</c:v>
                </c:pt>
                <c:pt idx="161">
                  <c:v>133.61926411282121</c:v>
                </c:pt>
                <c:pt idx="162">
                  <c:v>129.30942229049793</c:v>
                </c:pt>
                <c:pt idx="163">
                  <c:v>124.12594311370036</c:v>
                </c:pt>
                <c:pt idx="164">
                  <c:v>124.63162912225999</c:v>
                </c:pt>
                <c:pt idx="165">
                  <c:v>121.31232163372604</c:v>
                </c:pt>
                <c:pt idx="166">
                  <c:v>123.06037911058131</c:v>
                </c:pt>
                <c:pt idx="167">
                  <c:v>122.03648415640062</c:v>
                </c:pt>
                <c:pt idx="168">
                  <c:v>123.5670570969702</c:v>
                </c:pt>
                <c:pt idx="169">
                  <c:v>126.0475257760162</c:v>
                </c:pt>
                <c:pt idx="170">
                  <c:v>127.96325910320876</c:v>
                </c:pt>
                <c:pt idx="171">
                  <c:v>128.12144294291807</c:v>
                </c:pt>
                <c:pt idx="172">
                  <c:v>127.47503245184247</c:v>
                </c:pt>
                <c:pt idx="173">
                  <c:v>129.80326356454336</c:v>
                </c:pt>
                <c:pt idx="174">
                  <c:v>132.58643596538155</c:v>
                </c:pt>
                <c:pt idx="175">
                  <c:v>136.50856551242239</c:v>
                </c:pt>
                <c:pt idx="176">
                  <c:v>137.66311183736923</c:v>
                </c:pt>
                <c:pt idx="177">
                  <c:v>143.37892493895393</c:v>
                </c:pt>
                <c:pt idx="178">
                  <c:v>141.1891177430937</c:v>
                </c:pt>
                <c:pt idx="179">
                  <c:v>142.65009343335018</c:v>
                </c:pt>
                <c:pt idx="180">
                  <c:v>144.36128780250323</c:v>
                </c:pt>
                <c:pt idx="181">
                  <c:v>144.17198602756338</c:v>
                </c:pt>
                <c:pt idx="182">
                  <c:v>144.72907231931077</c:v>
                </c:pt>
                <c:pt idx="183">
                  <c:v>141.62766568195863</c:v>
                </c:pt>
                <c:pt idx="184">
                  <c:v>140.32779527578668</c:v>
                </c:pt>
                <c:pt idx="185">
                  <c:v>149.1993839377273</c:v>
                </c:pt>
                <c:pt idx="186">
                  <c:v>150.34972257008232</c:v>
                </c:pt>
                <c:pt idx="187">
                  <c:v>144.8716956736186</c:v>
                </c:pt>
                <c:pt idx="188">
                  <c:v>144.48316611975466</c:v>
                </c:pt>
                <c:pt idx="189">
                  <c:v>146.66122975892011</c:v>
                </c:pt>
                <c:pt idx="190">
                  <c:v>152.43934333858093</c:v>
                </c:pt>
                <c:pt idx="191">
                  <c:v>153.11100847989027</c:v>
                </c:pt>
                <c:pt idx="192">
                  <c:v>154.10218495266059</c:v>
                </c:pt>
                <c:pt idx="193">
                  <c:v>158.97280835116536</c:v>
                </c:pt>
                <c:pt idx="194">
                  <c:v>158.8603324370724</c:v>
                </c:pt>
                <c:pt idx="195">
                  <c:v>162.0447281353425</c:v>
                </c:pt>
                <c:pt idx="196">
                  <c:v>167.5136176062588</c:v>
                </c:pt>
                <c:pt idx="197">
                  <c:v>173.34052324535131</c:v>
                </c:pt>
                <c:pt idx="198">
                  <c:v>177.70258554216565</c:v>
                </c:pt>
                <c:pt idx="199">
                  <c:v>177.58320212164392</c:v>
                </c:pt>
                <c:pt idx="200">
                  <c:v>182.51223682128526</c:v>
                </c:pt>
                <c:pt idx="201">
                  <c:v>193.02139987912071</c:v>
                </c:pt>
                <c:pt idx="202">
                  <c:v>193.80946767374039</c:v>
                </c:pt>
                <c:pt idx="203">
                  <c:v>194.6034467547326</c:v>
                </c:pt>
                <c:pt idx="204">
                  <c:v>185.36662947836322</c:v>
                </c:pt>
                <c:pt idx="205">
                  <c:v>185.41714774682248</c:v>
                </c:pt>
                <c:pt idx="206">
                  <c:v>177.45681455027295</c:v>
                </c:pt>
                <c:pt idx="207">
                  <c:v>173.12554729375842</c:v>
                </c:pt>
                <c:pt idx="208">
                  <c:v>176.17069137576786</c:v>
                </c:pt>
                <c:pt idx="209">
                  <c:v>176.49697205622206</c:v>
                </c:pt>
                <c:pt idx="210">
                  <c:v>188.39923284630095</c:v>
                </c:pt>
                <c:pt idx="211">
                  <c:v>186.74098629229718</c:v>
                </c:pt>
                <c:pt idx="212">
                  <c:v>183.94277513341231</c:v>
                </c:pt>
                <c:pt idx="213">
                  <c:v>179.40954681835532</c:v>
                </c:pt>
                <c:pt idx="214">
                  <c:v>183.50059014776539</c:v>
                </c:pt>
                <c:pt idx="215">
                  <c:v>177.74178539029552</c:v>
                </c:pt>
                <c:pt idx="216">
                  <c:v>186.2384800027647</c:v>
                </c:pt>
                <c:pt idx="217">
                  <c:v>182.6503517078269</c:v>
                </c:pt>
                <c:pt idx="218">
                  <c:v>186.53804535236242</c:v>
                </c:pt>
                <c:pt idx="219">
                  <c:v>183.18320503254429</c:v>
                </c:pt>
                <c:pt idx="220">
                  <c:v>184.66562584630424</c:v>
                </c:pt>
                <c:pt idx="221">
                  <c:v>185.67967809817782</c:v>
                </c:pt>
                <c:pt idx="222">
                  <c:v>177.18842218847522</c:v>
                </c:pt>
                <c:pt idx="223">
                  <c:v>186.15702154279305</c:v>
                </c:pt>
                <c:pt idx="224">
                  <c:v>186.63616479894353</c:v>
                </c:pt>
                <c:pt idx="225">
                  <c:v>184.25037587836363</c:v>
                </c:pt>
                <c:pt idx="226">
                  <c:v>180.63165881308009</c:v>
                </c:pt>
                <c:pt idx="227">
                  <c:v>187.57638542621305</c:v>
                </c:pt>
                <c:pt idx="228">
                  <c:v>185.1925761483088</c:v>
                </c:pt>
                <c:pt idx="229">
                  <c:v>179.72504442579492</c:v>
                </c:pt>
                <c:pt idx="230">
                  <c:v>180.02568221646786</c:v>
                </c:pt>
                <c:pt idx="231">
                  <c:v>175.39324842702015</c:v>
                </c:pt>
                <c:pt idx="232">
                  <c:v>170.065727843948</c:v>
                </c:pt>
                <c:pt idx="233">
                  <c:v>170.26977742509894</c:v>
                </c:pt>
                <c:pt idx="234">
                  <c:v>173.10222860951157</c:v>
                </c:pt>
                <c:pt idx="235">
                  <c:v>170.47922821831628</c:v>
                </c:pt>
                <c:pt idx="236">
                  <c:v>165.94896677481745</c:v>
                </c:pt>
                <c:pt idx="237">
                  <c:v>167.74931969390943</c:v>
                </c:pt>
                <c:pt idx="238">
                  <c:v>167.06769950532248</c:v>
                </c:pt>
                <c:pt idx="239">
                  <c:v>165.54599789036124</c:v>
                </c:pt>
                <c:pt idx="240">
                  <c:v>161.45153240886302</c:v>
                </c:pt>
                <c:pt idx="241">
                  <c:v>163.137088959772</c:v>
                </c:pt>
                <c:pt idx="242">
                  <c:v>161.43195138251849</c:v>
                </c:pt>
                <c:pt idx="243">
                  <c:v>154.59942990279413</c:v>
                </c:pt>
                <c:pt idx="244">
                  <c:v>154.22938567867382</c:v>
                </c:pt>
                <c:pt idx="245">
                  <c:v>153.27899598460428</c:v>
                </c:pt>
                <c:pt idx="246">
                  <c:v>159.2497348764976</c:v>
                </c:pt>
                <c:pt idx="247">
                  <c:v>153.85904042408688</c:v>
                </c:pt>
                <c:pt idx="248">
                  <c:v>154.03524788721904</c:v>
                </c:pt>
                <c:pt idx="249">
                  <c:v>151.01603537536928</c:v>
                </c:pt>
                <c:pt idx="250">
                  <c:v>157.67935925597499</c:v>
                </c:pt>
                <c:pt idx="251">
                  <c:v>158.86512340827119</c:v>
                </c:pt>
                <c:pt idx="252">
                  <c:v>159.81526826658745</c:v>
                </c:pt>
                <c:pt idx="253">
                  <c:v>159.32024223235521</c:v>
                </c:pt>
                <c:pt idx="254">
                  <c:v>161.22097298378804</c:v>
                </c:pt>
                <c:pt idx="255">
                  <c:v>156.30360792027372</c:v>
                </c:pt>
                <c:pt idx="256">
                  <c:v>154.3098443929062</c:v>
                </c:pt>
                <c:pt idx="257">
                  <c:v>157.75883017831833</c:v>
                </c:pt>
                <c:pt idx="258">
                  <c:v>156.75491604780234</c:v>
                </c:pt>
                <c:pt idx="259">
                  <c:v>154.25692336900866</c:v>
                </c:pt>
                <c:pt idx="260">
                  <c:v>157.10454455034596</c:v>
                </c:pt>
                <c:pt idx="261">
                  <c:v>159.07623745955985</c:v>
                </c:pt>
                <c:pt idx="262">
                  <c:v>154.56527946366685</c:v>
                </c:pt>
                <c:pt idx="263">
                  <c:v>152.85119697770114</c:v>
                </c:pt>
                <c:pt idx="264">
                  <c:v>150.06903423603967</c:v>
                </c:pt>
                <c:pt idx="265">
                  <c:v>146.06327063694241</c:v>
                </c:pt>
                <c:pt idx="266">
                  <c:v>144.47224769986678</c:v>
                </c:pt>
                <c:pt idx="267">
                  <c:v>144.20489780897071</c:v>
                </c:pt>
                <c:pt idx="268">
                  <c:v>145.06919712234327</c:v>
                </c:pt>
                <c:pt idx="269">
                  <c:v>148.27631043447465</c:v>
                </c:pt>
                <c:pt idx="270">
                  <c:v>150.69503216838422</c:v>
                </c:pt>
                <c:pt idx="271">
                  <c:v>154.89937776259396</c:v>
                </c:pt>
                <c:pt idx="272">
                  <c:v>157.96768270188764</c:v>
                </c:pt>
                <c:pt idx="273">
                  <c:v>163.60640766617115</c:v>
                </c:pt>
                <c:pt idx="274">
                  <c:v>160.30790366764353</c:v>
                </c:pt>
                <c:pt idx="275">
                  <c:v>159.01971715417915</c:v>
                </c:pt>
                <c:pt idx="276">
                  <c:v>157.92247301701693</c:v>
                </c:pt>
                <c:pt idx="277">
                  <c:v>154.83106680546109</c:v>
                </c:pt>
                <c:pt idx="278">
                  <c:v>153.12400162389076</c:v>
                </c:pt>
                <c:pt idx="279">
                  <c:v>156.40351986267856</c:v>
                </c:pt>
                <c:pt idx="280">
                  <c:v>158.8368314675204</c:v>
                </c:pt>
                <c:pt idx="281">
                  <c:v>161.57542112592603</c:v>
                </c:pt>
                <c:pt idx="282">
                  <c:v>162.16745237530714</c:v>
                </c:pt>
                <c:pt idx="283">
                  <c:v>160.40903521656261</c:v>
                </c:pt>
                <c:pt idx="284">
                  <c:v>161.526857813791</c:v>
                </c:pt>
                <c:pt idx="285">
                  <c:v>161.37160201706035</c:v>
                </c:pt>
                <c:pt idx="286">
                  <c:v>158.38554968401746</c:v>
                </c:pt>
                <c:pt idx="287">
                  <c:v>153.29061064674332</c:v>
                </c:pt>
                <c:pt idx="288">
                  <c:v>154.78722254972703</c:v>
                </c:pt>
                <c:pt idx="289">
                  <c:v>156.153177366004</c:v>
                </c:pt>
                <c:pt idx="290">
                  <c:v>157.77071779468025</c:v>
                </c:pt>
                <c:pt idx="291">
                  <c:v>156.66893109260155</c:v>
                </c:pt>
                <c:pt idx="292">
                  <c:v>158.27754615970721</c:v>
                </c:pt>
                <c:pt idx="293">
                  <c:v>162.89745352822118</c:v>
                </c:pt>
                <c:pt idx="294">
                  <c:v>167.55872774506636</c:v>
                </c:pt>
                <c:pt idx="295">
                  <c:v>166.1393724473626</c:v>
                </c:pt>
                <c:pt idx="296">
                  <c:v>162.7002206219307</c:v>
                </c:pt>
                <c:pt idx="297">
                  <c:v>159.56257274466415</c:v>
                </c:pt>
                <c:pt idx="298">
                  <c:v>160.10694907368006</c:v>
                </c:pt>
                <c:pt idx="299">
                  <c:v>164.68870370505351</c:v>
                </c:pt>
                <c:pt idx="300">
                  <c:v>166.07022814813169</c:v>
                </c:pt>
                <c:pt idx="301">
                  <c:v>163.66407237309983</c:v>
                </c:pt>
                <c:pt idx="302">
                  <c:v>158.48313861480651</c:v>
                </c:pt>
                <c:pt idx="303">
                  <c:v>161.44818331395703</c:v>
                </c:pt>
                <c:pt idx="304">
                  <c:v>160.92817668204469</c:v>
                </c:pt>
                <c:pt idx="305">
                  <c:v>166.84812122102838</c:v>
                </c:pt>
                <c:pt idx="306">
                  <c:v>164.96662004002337</c:v>
                </c:pt>
                <c:pt idx="307">
                  <c:v>160.73353183065944</c:v>
                </c:pt>
                <c:pt idx="308">
                  <c:v>157.49126357290001</c:v>
                </c:pt>
                <c:pt idx="309">
                  <c:v>153.72868925393237</c:v>
                </c:pt>
                <c:pt idx="310">
                  <c:v>154.80121024403167</c:v>
                </c:pt>
                <c:pt idx="311">
                  <c:v>154.28407831469781</c:v>
                </c:pt>
                <c:pt idx="312">
                  <c:v>155.19942292220662</c:v>
                </c:pt>
                <c:pt idx="313">
                  <c:v>154.54256521711469</c:v>
                </c:pt>
                <c:pt idx="314">
                  <c:v>154.52190779892564</c:v>
                </c:pt>
                <c:pt idx="315">
                  <c:v>158.36859308277994</c:v>
                </c:pt>
                <c:pt idx="316">
                  <c:v>160.20656474356548</c:v>
                </c:pt>
                <c:pt idx="317">
                  <c:v>157.25128384192317</c:v>
                </c:pt>
                <c:pt idx="318">
                  <c:v>155.88982203950002</c:v>
                </c:pt>
                <c:pt idx="319">
                  <c:v>158.93937369735642</c:v>
                </c:pt>
                <c:pt idx="320">
                  <c:v>160.32240162478107</c:v>
                </c:pt>
                <c:pt idx="321">
                  <c:v>161.45998029316394</c:v>
                </c:pt>
                <c:pt idx="322">
                  <c:v>162.96026119969895</c:v>
                </c:pt>
                <c:pt idx="323">
                  <c:v>166.0842393851579</c:v>
                </c:pt>
                <c:pt idx="324">
                  <c:v>164.80404859694536</c:v>
                </c:pt>
                <c:pt idx="325">
                  <c:v>166.47102692623125</c:v>
                </c:pt>
                <c:pt idx="326">
                  <c:v>164.47381045793946</c:v>
                </c:pt>
                <c:pt idx="327">
                  <c:v>163.18373942890685</c:v>
                </c:pt>
                <c:pt idx="328">
                  <c:v>164.05695274521852</c:v>
                </c:pt>
                <c:pt idx="329">
                  <c:v>163.70577976358356</c:v>
                </c:pt>
                <c:pt idx="330">
                  <c:v>166.10464806648037</c:v>
                </c:pt>
                <c:pt idx="331">
                  <c:v>166.99560674110333</c:v>
                </c:pt>
                <c:pt idx="332">
                  <c:v>168.49151381080424</c:v>
                </c:pt>
                <c:pt idx="333">
                  <c:v>166.12787393467136</c:v>
                </c:pt>
                <c:pt idx="334">
                  <c:v>163.40868410695165</c:v>
                </c:pt>
                <c:pt idx="335">
                  <c:v>160.75227262069583</c:v>
                </c:pt>
                <c:pt idx="336">
                  <c:v>162.16929693301708</c:v>
                </c:pt>
                <c:pt idx="337">
                  <c:v>158.65484008713011</c:v>
                </c:pt>
                <c:pt idx="338">
                  <c:v>156.25892166475958</c:v>
                </c:pt>
                <c:pt idx="339">
                  <c:v>160.66832022956777</c:v>
                </c:pt>
                <c:pt idx="340">
                  <c:v>159.26751987691665</c:v>
                </c:pt>
                <c:pt idx="341">
                  <c:v>155.58451357721916</c:v>
                </c:pt>
                <c:pt idx="342">
                  <c:v>154.31018409192464</c:v>
                </c:pt>
                <c:pt idx="343">
                  <c:v>155.84020907208716</c:v>
                </c:pt>
                <c:pt idx="344">
                  <c:v>157.00869238662307</c:v>
                </c:pt>
                <c:pt idx="345">
                  <c:v>159.45751922254007</c:v>
                </c:pt>
                <c:pt idx="346">
                  <c:v>158.93959221407857</c:v>
                </c:pt>
                <c:pt idx="347">
                  <c:v>160.08427516916004</c:v>
                </c:pt>
                <c:pt idx="348">
                  <c:v>159.4529537790466</c:v>
                </c:pt>
                <c:pt idx="349">
                  <c:v>159.69570682240652</c:v>
                </c:pt>
                <c:pt idx="350">
                  <c:v>160.87751673932993</c:v>
                </c:pt>
                <c:pt idx="351">
                  <c:v>160.02884469980097</c:v>
                </c:pt>
                <c:pt idx="352">
                  <c:v>161.5431229616058</c:v>
                </c:pt>
                <c:pt idx="353">
                  <c:v>160.84933109083147</c:v>
                </c:pt>
                <c:pt idx="354">
                  <c:v>160.22861922347164</c:v>
                </c:pt>
                <c:pt idx="355">
                  <c:v>159.9768134114876</c:v>
                </c:pt>
                <c:pt idx="356">
                  <c:v>163.09665645219687</c:v>
                </c:pt>
                <c:pt idx="357">
                  <c:v>165.48516050950201</c:v>
                </c:pt>
                <c:pt idx="358">
                  <c:v>168.16316176357839</c:v>
                </c:pt>
                <c:pt idx="359">
                  <c:v>166.19198972523867</c:v>
                </c:pt>
                <c:pt idx="360">
                  <c:v>166.52608723984207</c:v>
                </c:pt>
                <c:pt idx="361">
                  <c:v>165.39727424325122</c:v>
                </c:pt>
                <c:pt idx="362">
                  <c:v>169.85736384987055</c:v>
                </c:pt>
                <c:pt idx="363">
                  <c:v>169.61676600992649</c:v>
                </c:pt>
                <c:pt idx="364">
                  <c:v>172.62857976179569</c:v>
                </c:pt>
                <c:pt idx="365">
                  <c:v>173.42559143336558</c:v>
                </c:pt>
                <c:pt idx="366">
                  <c:v>177.32752500268055</c:v>
                </c:pt>
                <c:pt idx="367">
                  <c:v>180.72132035592426</c:v>
                </c:pt>
                <c:pt idx="368">
                  <c:v>183.72220156350386</c:v>
                </c:pt>
                <c:pt idx="369">
                  <c:v>191.21860104034764</c:v>
                </c:pt>
                <c:pt idx="370">
                  <c:v>191.93905519087741</c:v>
                </c:pt>
                <c:pt idx="371">
                  <c:v>189.39897334538799</c:v>
                </c:pt>
                <c:pt idx="372">
                  <c:v>190.61670381716922</c:v>
                </c:pt>
                <c:pt idx="373">
                  <c:v>188.10100603689438</c:v>
                </c:pt>
                <c:pt idx="374">
                  <c:v>189.30590057583268</c:v>
                </c:pt>
                <c:pt idx="375">
                  <c:v>190.45102374973524</c:v>
                </c:pt>
                <c:pt idx="376">
                  <c:v>192.68335017735583</c:v>
                </c:pt>
                <c:pt idx="377">
                  <c:v>193.40815571710164</c:v>
                </c:pt>
                <c:pt idx="378">
                  <c:v>193.54943670371568</c:v>
                </c:pt>
                <c:pt idx="379">
                  <c:v>195.3810486190882</c:v>
                </c:pt>
                <c:pt idx="380">
                  <c:v>195.35155266531063</c:v>
                </c:pt>
                <c:pt idx="381">
                  <c:v>194.42488988612385</c:v>
                </c:pt>
                <c:pt idx="382">
                  <c:v>198.55375048180161</c:v>
                </c:pt>
                <c:pt idx="383">
                  <c:v>200.78069239061051</c:v>
                </c:pt>
                <c:pt idx="384">
                  <c:v>198.78397859033888</c:v>
                </c:pt>
                <c:pt idx="385">
                  <c:v>205.97648587793097</c:v>
                </c:pt>
                <c:pt idx="386">
                  <c:v>209.40555137682608</c:v>
                </c:pt>
                <c:pt idx="387">
                  <c:v>206.90279182789058</c:v>
                </c:pt>
                <c:pt idx="388">
                  <c:v>207.31775580970481</c:v>
                </c:pt>
                <c:pt idx="389">
                  <c:v>204.88908444795007</c:v>
                </c:pt>
                <c:pt idx="390">
                  <c:v>201.63196544314673</c:v>
                </c:pt>
                <c:pt idx="391">
                  <c:v>200.60728963657661</c:v>
                </c:pt>
                <c:pt idx="392">
                  <c:v>203.56112642683038</c:v>
                </c:pt>
                <c:pt idx="393">
                  <c:v>196.39221548090515</c:v>
                </c:pt>
                <c:pt idx="394">
                  <c:v>200.09450486387544</c:v>
                </c:pt>
                <c:pt idx="395">
                  <c:v>200.07760881324816</c:v>
                </c:pt>
                <c:pt idx="396">
                  <c:v>204.2453937652308</c:v>
                </c:pt>
                <c:pt idx="397">
                  <c:v>207.33596298174803</c:v>
                </c:pt>
                <c:pt idx="398">
                  <c:v>206.6665289129493</c:v>
                </c:pt>
                <c:pt idx="399">
                  <c:v>198.3875320009208</c:v>
                </c:pt>
                <c:pt idx="400">
                  <c:v>199.19659143569183</c:v>
                </c:pt>
                <c:pt idx="401">
                  <c:v>201.34322381304358</c:v>
                </c:pt>
                <c:pt idx="402">
                  <c:v>204.98062818672182</c:v>
                </c:pt>
                <c:pt idx="403">
                  <c:v>212.17055908044634</c:v>
                </c:pt>
                <c:pt idx="404">
                  <c:v>213.02926931955037</c:v>
                </c:pt>
                <c:pt idx="405">
                  <c:v>211.61737613855399</c:v>
                </c:pt>
                <c:pt idx="406">
                  <c:v>211.06986041168489</c:v>
                </c:pt>
                <c:pt idx="407">
                  <c:v>211.1430238378224</c:v>
                </c:pt>
                <c:pt idx="408">
                  <c:v>207.40743138163549</c:v>
                </c:pt>
                <c:pt idx="409">
                  <c:v>209.9948826952832</c:v>
                </c:pt>
                <c:pt idx="410">
                  <c:v>212.59042221976654</c:v>
                </c:pt>
                <c:pt idx="411">
                  <c:v>209.14555494132242</c:v>
                </c:pt>
                <c:pt idx="412">
                  <c:v>209.3662260615219</c:v>
                </c:pt>
                <c:pt idx="413">
                  <c:v>202.45643402161855</c:v>
                </c:pt>
                <c:pt idx="414">
                  <c:v>198.78114956670885</c:v>
                </c:pt>
                <c:pt idx="415">
                  <c:v>199.20270696344943</c:v>
                </c:pt>
                <c:pt idx="416">
                  <c:v>201.91110760903561</c:v>
                </c:pt>
                <c:pt idx="417">
                  <c:v>200.59734540316072</c:v>
                </c:pt>
                <c:pt idx="418">
                  <c:v>200.25918363560214</c:v>
                </c:pt>
                <c:pt idx="419">
                  <c:v>200.31404266661778</c:v>
                </c:pt>
                <c:pt idx="420">
                  <c:v>201.54630166914288</c:v>
                </c:pt>
                <c:pt idx="421">
                  <c:v>200.23685333966694</c:v>
                </c:pt>
                <c:pt idx="422">
                  <c:v>197.10649185486128</c:v>
                </c:pt>
                <c:pt idx="423">
                  <c:v>203.71845117300097</c:v>
                </c:pt>
                <c:pt idx="424">
                  <c:v>200.97896823358516</c:v>
                </c:pt>
                <c:pt idx="425">
                  <c:v>204.09711930932477</c:v>
                </c:pt>
                <c:pt idx="426">
                  <c:v>204.5314384238487</c:v>
                </c:pt>
                <c:pt idx="427">
                  <c:v>209.31619235751555</c:v>
                </c:pt>
                <c:pt idx="428">
                  <c:v>215.25916104026081</c:v>
                </c:pt>
                <c:pt idx="429">
                  <c:v>215.41445779956535</c:v>
                </c:pt>
                <c:pt idx="430">
                  <c:v>212.15031799957359</c:v>
                </c:pt>
                <c:pt idx="431">
                  <c:v>209.6594553087281</c:v>
                </c:pt>
                <c:pt idx="432">
                  <c:v>207.16773966441156</c:v>
                </c:pt>
                <c:pt idx="433">
                  <c:v>211.32249613363953</c:v>
                </c:pt>
                <c:pt idx="434">
                  <c:v>206.04400323481119</c:v>
                </c:pt>
                <c:pt idx="435">
                  <c:v>206.26067364425256</c:v>
                </c:pt>
                <c:pt idx="436">
                  <c:v>201.89391108567355</c:v>
                </c:pt>
                <c:pt idx="437">
                  <c:v>202.26126302694612</c:v>
                </c:pt>
                <c:pt idx="438">
                  <c:v>199.26922823120961</c:v>
                </c:pt>
                <c:pt idx="439">
                  <c:v>200.66237765775381</c:v>
                </c:pt>
                <c:pt idx="440">
                  <c:v>201.45947381608696</c:v>
                </c:pt>
                <c:pt idx="441">
                  <c:v>201.79169434969572</c:v>
                </c:pt>
                <c:pt idx="442">
                  <c:v>202.03744238525863</c:v>
                </c:pt>
                <c:pt idx="443">
                  <c:v>202.925751665315</c:v>
                </c:pt>
                <c:pt idx="444">
                  <c:v>202.72158780964781</c:v>
                </c:pt>
                <c:pt idx="445">
                  <c:v>203.82612070950489</c:v>
                </c:pt>
                <c:pt idx="446">
                  <c:v>204.86154277807287</c:v>
                </c:pt>
                <c:pt idx="447">
                  <c:v>207.24046119167031</c:v>
                </c:pt>
                <c:pt idx="448">
                  <c:v>209.0189457965875</c:v>
                </c:pt>
                <c:pt idx="449">
                  <c:v>207.48505575632225</c:v>
                </c:pt>
                <c:pt idx="450">
                  <c:v>203.05828915134035</c:v>
                </c:pt>
                <c:pt idx="451">
                  <c:v>202.05959365051203</c:v>
                </c:pt>
                <c:pt idx="452">
                  <c:v>201.35038181037851</c:v>
                </c:pt>
                <c:pt idx="453">
                  <c:v>199.76589892610738</c:v>
                </c:pt>
                <c:pt idx="454">
                  <c:v>200.539879303975</c:v>
                </c:pt>
                <c:pt idx="455">
                  <c:v>197.651262147539</c:v>
                </c:pt>
                <c:pt idx="456">
                  <c:v>197.67250285032713</c:v>
                </c:pt>
                <c:pt idx="457">
                  <c:v>197.69374583575919</c:v>
                </c:pt>
                <c:pt idx="458">
                  <c:v>197.7149911040805</c:v>
                </c:pt>
                <c:pt idx="459">
                  <c:v>197.73623865553637</c:v>
                </c:pt>
                <c:pt idx="460">
                  <c:v>197.75748849037217</c:v>
                </c:pt>
                <c:pt idx="461">
                  <c:v>197.77874060883329</c:v>
                </c:pt>
                <c:pt idx="462">
                  <c:v>197.7999540170876</c:v>
                </c:pt>
                <c:pt idx="463">
                  <c:v>197.9499768332532</c:v>
                </c:pt>
                <c:pt idx="464">
                  <c:v>197.60805703969871</c:v>
                </c:pt>
                <c:pt idx="465">
                  <c:v>197.62929309942589</c:v>
                </c:pt>
                <c:pt idx="466">
                  <c:v>197.65053144129806</c:v>
                </c:pt>
                <c:pt idx="467">
                  <c:v>197.67155800594651</c:v>
                </c:pt>
                <c:pt idx="468">
                  <c:v>197.29627959246784</c:v>
                </c:pt>
                <c:pt idx="469">
                  <c:v>197.30482555600116</c:v>
                </c:pt>
                <c:pt idx="470">
                  <c:v>197.61314436783977</c:v>
                </c:pt>
                <c:pt idx="471">
                  <c:v>198.13986983488536</c:v>
                </c:pt>
                <c:pt idx="472">
                  <c:v>198.62293076545345</c:v>
                </c:pt>
                <c:pt idx="473">
                  <c:v>198.78542486222489</c:v>
                </c:pt>
                <c:pt idx="474">
                  <c:v>200.50929835191391</c:v>
                </c:pt>
                <c:pt idx="475">
                  <c:v>200.18244005411677</c:v>
                </c:pt>
                <c:pt idx="476">
                  <c:v>204.49210090985986</c:v>
                </c:pt>
                <c:pt idx="477">
                  <c:v>206.25856528090492</c:v>
                </c:pt>
                <c:pt idx="478">
                  <c:v>201.93572722238241</c:v>
                </c:pt>
                <c:pt idx="479">
                  <c:v>204.54939955956493</c:v>
                </c:pt>
                <c:pt idx="480">
                  <c:v>204.03014199725612</c:v>
                </c:pt>
                <c:pt idx="481">
                  <c:v>206.08411704854754</c:v>
                </c:pt>
                <c:pt idx="482">
                  <c:v>205.53952033006556</c:v>
                </c:pt>
                <c:pt idx="483">
                  <c:v>203.21181735995509</c:v>
                </c:pt>
                <c:pt idx="484">
                  <c:v>205.09486624690163</c:v>
                </c:pt>
                <c:pt idx="485">
                  <c:v>204.1290089081952</c:v>
                </c:pt>
                <c:pt idx="486">
                  <c:v>205.00870160423989</c:v>
                </c:pt>
                <c:pt idx="487">
                  <c:v>205.13183453838207</c:v>
                </c:pt>
                <c:pt idx="488">
                  <c:v>202.87963597525786</c:v>
                </c:pt>
                <c:pt idx="489">
                  <c:v>203.75939481371631</c:v>
                </c:pt>
                <c:pt idx="490">
                  <c:v>204.77201772558044</c:v>
                </c:pt>
                <c:pt idx="491">
                  <c:v>202.33405293099648</c:v>
                </c:pt>
                <c:pt idx="492">
                  <c:v>203.39399634312184</c:v>
                </c:pt>
                <c:pt idx="493">
                  <c:v>206.46040996952058</c:v>
                </c:pt>
                <c:pt idx="494">
                  <c:v>204.12796696986658</c:v>
                </c:pt>
                <c:pt idx="495">
                  <c:v>203.52629448110568</c:v>
                </c:pt>
                <c:pt idx="496">
                  <c:v>205.55330268535846</c:v>
                </c:pt>
                <c:pt idx="497">
                  <c:v>207.70455550293144</c:v>
                </c:pt>
                <c:pt idx="498">
                  <c:v>207.32309531423749</c:v>
                </c:pt>
                <c:pt idx="499">
                  <c:v>208.98915939089864</c:v>
                </c:pt>
                <c:pt idx="500">
                  <c:v>205.15729319129477</c:v>
                </c:pt>
                <c:pt idx="501">
                  <c:v>202.23694009417443</c:v>
                </c:pt>
                <c:pt idx="502">
                  <c:v>202.13534326402296</c:v>
                </c:pt>
                <c:pt idx="503">
                  <c:v>202.04462457504442</c:v>
                </c:pt>
                <c:pt idx="504">
                  <c:v>202.18354056257323</c:v>
                </c:pt>
                <c:pt idx="505">
                  <c:v>202.06204533933106</c:v>
                </c:pt>
                <c:pt idx="506">
                  <c:v>201.71895433321603</c:v>
                </c:pt>
                <c:pt idx="507">
                  <c:v>201.0612409688205</c:v>
                </c:pt>
                <c:pt idx="508">
                  <c:v>202.24071218808575</c:v>
                </c:pt>
                <c:pt idx="509">
                  <c:v>203.61915411093361</c:v>
                </c:pt>
                <c:pt idx="510">
                  <c:v>202.18587083317561</c:v>
                </c:pt>
                <c:pt idx="511">
                  <c:v>204.45010367145551</c:v>
                </c:pt>
                <c:pt idx="512">
                  <c:v>205.4077910104364</c:v>
                </c:pt>
                <c:pt idx="513">
                  <c:v>206.36347332159067</c:v>
                </c:pt>
                <c:pt idx="514">
                  <c:v>202.4284303196778</c:v>
                </c:pt>
                <c:pt idx="515">
                  <c:v>202.40837043535814</c:v>
                </c:pt>
                <c:pt idx="516">
                  <c:v>202.93873370269216</c:v>
                </c:pt>
                <c:pt idx="517">
                  <c:v>202.93063776529704</c:v>
                </c:pt>
                <c:pt idx="518">
                  <c:v>203.07262245151014</c:v>
                </c:pt>
                <c:pt idx="519">
                  <c:v>203.63659214029641</c:v>
                </c:pt>
                <c:pt idx="520">
                  <c:v>203.97256147441692</c:v>
                </c:pt>
                <c:pt idx="521">
                  <c:v>205.66251337132351</c:v>
                </c:pt>
                <c:pt idx="522">
                  <c:v>204.74075886854899</c:v>
                </c:pt>
                <c:pt idx="523">
                  <c:v>204.67170151445896</c:v>
                </c:pt>
                <c:pt idx="524">
                  <c:v>206.12796732419682</c:v>
                </c:pt>
                <c:pt idx="525">
                  <c:v>206.27862719343662</c:v>
                </c:pt>
                <c:pt idx="526">
                  <c:v>206.43568743680692</c:v>
                </c:pt>
                <c:pt idx="527">
                  <c:v>205.42991246269685</c:v>
                </c:pt>
                <c:pt idx="528">
                  <c:v>205.52910506075688</c:v>
                </c:pt>
                <c:pt idx="529">
                  <c:v>206.64873556390592</c:v>
                </c:pt>
                <c:pt idx="530">
                  <c:v>205.29761098372447</c:v>
                </c:pt>
                <c:pt idx="531">
                  <c:v>205.98894735877573</c:v>
                </c:pt>
                <c:pt idx="532">
                  <c:v>208.14720443285105</c:v>
                </c:pt>
                <c:pt idx="533">
                  <c:v>209.80375561309461</c:v>
                </c:pt>
                <c:pt idx="534">
                  <c:v>208.17298699658386</c:v>
                </c:pt>
                <c:pt idx="535">
                  <c:v>207.44174906138116</c:v>
                </c:pt>
                <c:pt idx="536">
                  <c:v>210.72040745239519</c:v>
                </c:pt>
                <c:pt idx="537">
                  <c:v>209.89439165498521</c:v>
                </c:pt>
                <c:pt idx="538">
                  <c:v>208.80886573953009</c:v>
                </c:pt>
                <c:pt idx="539">
                  <c:v>207.5727312805553</c:v>
                </c:pt>
                <c:pt idx="540">
                  <c:v>207.21466559905491</c:v>
                </c:pt>
                <c:pt idx="541">
                  <c:v>211.12360956637582</c:v>
                </c:pt>
                <c:pt idx="542">
                  <c:v>209.72330659674236</c:v>
                </c:pt>
                <c:pt idx="543">
                  <c:v>212.36314369999062</c:v>
                </c:pt>
                <c:pt idx="544">
                  <c:v>209.98956056706126</c:v>
                </c:pt>
                <c:pt idx="545">
                  <c:v>213.19909174712348</c:v>
                </c:pt>
                <c:pt idx="546">
                  <c:v>210.68983946338716</c:v>
                </c:pt>
                <c:pt idx="547">
                  <c:v>210.35905728084126</c:v>
                </c:pt>
                <c:pt idx="548">
                  <c:v>211.32342807048317</c:v>
                </c:pt>
                <c:pt idx="549">
                  <c:v>211.75547686975781</c:v>
                </c:pt>
                <c:pt idx="550">
                  <c:v>211.72816882406926</c:v>
                </c:pt>
                <c:pt idx="551">
                  <c:v>213.37991906144384</c:v>
                </c:pt>
                <c:pt idx="552">
                  <c:v>213.61766079287753</c:v>
                </c:pt>
                <c:pt idx="553">
                  <c:v>213.16843064443881</c:v>
                </c:pt>
                <c:pt idx="554">
                  <c:v>215.1431610575587</c:v>
                </c:pt>
                <c:pt idx="555">
                  <c:v>216.18255568022641</c:v>
                </c:pt>
                <c:pt idx="556">
                  <c:v>216.69997920977244</c:v>
                </c:pt>
                <c:pt idx="557">
                  <c:v>215.21143340550634</c:v>
                </c:pt>
                <c:pt idx="558">
                  <c:v>216.10960021122139</c:v>
                </c:pt>
                <c:pt idx="559">
                  <c:v>218.97101141791273</c:v>
                </c:pt>
                <c:pt idx="560">
                  <c:v>219.73869756957961</c:v>
                </c:pt>
                <c:pt idx="561">
                  <c:v>223.04140423665365</c:v>
                </c:pt>
                <c:pt idx="562">
                  <c:v>226.45830825278438</c:v>
                </c:pt>
                <c:pt idx="563">
                  <c:v>233.13758702837376</c:v>
                </c:pt>
                <c:pt idx="564">
                  <c:v>226.27625523453594</c:v>
                </c:pt>
                <c:pt idx="565">
                  <c:v>223.15844206688195</c:v>
                </c:pt>
                <c:pt idx="566">
                  <c:v>221.30234241410309</c:v>
                </c:pt>
                <c:pt idx="567">
                  <c:v>220.55757289947476</c:v>
                </c:pt>
                <c:pt idx="568">
                  <c:v>222.90001360507063</c:v>
                </c:pt>
                <c:pt idx="569">
                  <c:v>222.7388148985429</c:v>
                </c:pt>
                <c:pt idx="570">
                  <c:v>222.77548245371534</c:v>
                </c:pt>
                <c:pt idx="571">
                  <c:v>220.79629878516067</c:v>
                </c:pt>
                <c:pt idx="572">
                  <c:v>221.50126404296012</c:v>
                </c:pt>
                <c:pt idx="573">
                  <c:v>220.17991994908917</c:v>
                </c:pt>
                <c:pt idx="574">
                  <c:v>221.64535745253207</c:v>
                </c:pt>
                <c:pt idx="575">
                  <c:v>220.99471400643617</c:v>
                </c:pt>
                <c:pt idx="576">
                  <c:v>218.7876206087399</c:v>
                </c:pt>
                <c:pt idx="577">
                  <c:v>220.12828140909861</c:v>
                </c:pt>
                <c:pt idx="578">
                  <c:v>219.6241183770033</c:v>
                </c:pt>
                <c:pt idx="579">
                  <c:v>221.04192851534938</c:v>
                </c:pt>
                <c:pt idx="580">
                  <c:v>219.44551366481912</c:v>
                </c:pt>
                <c:pt idx="581">
                  <c:v>218.75397835268188</c:v>
                </c:pt>
                <c:pt idx="582">
                  <c:v>217.99008874510687</c:v>
                </c:pt>
                <c:pt idx="583">
                  <c:v>216.12829585530216</c:v>
                </c:pt>
                <c:pt idx="584">
                  <c:v>216.3962050466065</c:v>
                </c:pt>
                <c:pt idx="585">
                  <c:v>215.55726526316036</c:v>
                </c:pt>
                <c:pt idx="586">
                  <c:v>214.81860453284915</c:v>
                </c:pt>
                <c:pt idx="587">
                  <c:v>213.89642084827778</c:v>
                </c:pt>
                <c:pt idx="588">
                  <c:v>211.59542849097986</c:v>
                </c:pt>
                <c:pt idx="589">
                  <c:v>212.07469849210688</c:v>
                </c:pt>
                <c:pt idx="590">
                  <c:v>211.70770755627984</c:v>
                </c:pt>
                <c:pt idx="591">
                  <c:v>211.85494266190801</c:v>
                </c:pt>
                <c:pt idx="592">
                  <c:v>211.78381172213233</c:v>
                </c:pt>
                <c:pt idx="593">
                  <c:v>211.28835531405568</c:v>
                </c:pt>
                <c:pt idx="594">
                  <c:v>210.79780402548718</c:v>
                </c:pt>
                <c:pt idx="595">
                  <c:v>212.14508087242911</c:v>
                </c:pt>
                <c:pt idx="596">
                  <c:v>212.98683325736198</c:v>
                </c:pt>
                <c:pt idx="597">
                  <c:v>215.87469072339857</c:v>
                </c:pt>
                <c:pt idx="598">
                  <c:v>215.84109372456206</c:v>
                </c:pt>
                <c:pt idx="599">
                  <c:v>215.64308456602353</c:v>
                </c:pt>
                <c:pt idx="600">
                  <c:v>216.30242644031685</c:v>
                </c:pt>
                <c:pt idx="601">
                  <c:v>215.0836156027531</c:v>
                </c:pt>
                <c:pt idx="602">
                  <c:v>215.61730691222232</c:v>
                </c:pt>
                <c:pt idx="603">
                  <c:v>209.81299049675442</c:v>
                </c:pt>
                <c:pt idx="604">
                  <c:v>209.29611222980211</c:v>
                </c:pt>
                <c:pt idx="605">
                  <c:v>210.2263316753</c:v>
                </c:pt>
                <c:pt idx="606">
                  <c:v>208.03286251236815</c:v>
                </c:pt>
                <c:pt idx="607">
                  <c:v>208.05504224168155</c:v>
                </c:pt>
                <c:pt idx="608">
                  <c:v>208.42444910608319</c:v>
                </c:pt>
                <c:pt idx="609">
                  <c:v>208.36469118756472</c:v>
                </c:pt>
                <c:pt idx="610">
                  <c:v>208.42584746577054</c:v>
                </c:pt>
                <c:pt idx="611">
                  <c:v>208.37353464510943</c:v>
                </c:pt>
                <c:pt idx="612">
                  <c:v>208.92025804749161</c:v>
                </c:pt>
                <c:pt idx="613">
                  <c:v>209.29340566372386</c:v>
                </c:pt>
                <c:pt idx="614">
                  <c:v>210.19103140915587</c:v>
                </c:pt>
                <c:pt idx="615">
                  <c:v>212.78795950439266</c:v>
                </c:pt>
                <c:pt idx="616">
                  <c:v>215.83537421910412</c:v>
                </c:pt>
                <c:pt idx="617">
                  <c:v>219.97811104309224</c:v>
                </c:pt>
                <c:pt idx="618">
                  <c:v>222.60923723709507</c:v>
                </c:pt>
                <c:pt idx="619">
                  <c:v>222.56694581930981</c:v>
                </c:pt>
                <c:pt idx="620">
                  <c:v>220.31862848809891</c:v>
                </c:pt>
                <c:pt idx="621">
                  <c:v>220.99399753950374</c:v>
                </c:pt>
                <c:pt idx="622">
                  <c:v>225.93922005915579</c:v>
                </c:pt>
                <c:pt idx="623">
                  <c:v>228.15709813730055</c:v>
                </c:pt>
                <c:pt idx="624">
                  <c:v>231.15737111026846</c:v>
                </c:pt>
                <c:pt idx="625">
                  <c:v>228.60425553243692</c:v>
                </c:pt>
                <c:pt idx="626">
                  <c:v>227.96117757471535</c:v>
                </c:pt>
                <c:pt idx="627">
                  <c:v>218.32272907817986</c:v>
                </c:pt>
                <c:pt idx="628">
                  <c:v>216.85560744369107</c:v>
                </c:pt>
                <c:pt idx="629">
                  <c:v>219.84935237141977</c:v>
                </c:pt>
                <c:pt idx="630">
                  <c:v>217.17597721875501</c:v>
                </c:pt>
                <c:pt idx="631">
                  <c:v>219.75824232540774</c:v>
                </c:pt>
                <c:pt idx="632">
                  <c:v>215.90839005499708</c:v>
                </c:pt>
                <c:pt idx="633">
                  <c:v>215.02129229916414</c:v>
                </c:pt>
                <c:pt idx="634">
                  <c:v>212.00727499212869</c:v>
                </c:pt>
                <c:pt idx="635">
                  <c:v>212.39083735648373</c:v>
                </c:pt>
                <c:pt idx="636">
                  <c:v>212.24248676749076</c:v>
                </c:pt>
                <c:pt idx="637">
                  <c:v>210.69118943198001</c:v>
                </c:pt>
                <c:pt idx="638">
                  <c:v>205.51518973950147</c:v>
                </c:pt>
                <c:pt idx="639">
                  <c:v>205.0640764449744</c:v>
                </c:pt>
                <c:pt idx="640">
                  <c:v>205.08610493913559</c:v>
                </c:pt>
                <c:pt idx="641">
                  <c:v>205.00602276246465</c:v>
                </c:pt>
                <c:pt idx="642">
                  <c:v>205.04357093067938</c:v>
                </c:pt>
                <c:pt idx="643">
                  <c:v>205.20249518586456</c:v>
                </c:pt>
                <c:pt idx="644">
                  <c:v>205.53413004811634</c:v>
                </c:pt>
                <c:pt idx="645">
                  <c:v>206.34617679330486</c:v>
                </c:pt>
                <c:pt idx="646">
                  <c:v>206.82569155530263</c:v>
                </c:pt>
                <c:pt idx="647">
                  <c:v>205.96057039597969</c:v>
                </c:pt>
                <c:pt idx="648">
                  <c:v>204.68625037489079</c:v>
                </c:pt>
                <c:pt idx="649">
                  <c:v>204.70824709660047</c:v>
                </c:pt>
                <c:pt idx="650">
                  <c:v>204.73024618220009</c:v>
                </c:pt>
                <c:pt idx="651">
                  <c:v>204.75224763194367</c:v>
                </c:pt>
                <c:pt idx="652">
                  <c:v>204.77395347901722</c:v>
                </c:pt>
                <c:pt idx="653">
                  <c:v>204.57229200075685</c:v>
                </c:pt>
                <c:pt idx="654">
                  <c:v>203.62084516175096</c:v>
                </c:pt>
                <c:pt idx="655">
                  <c:v>203.64272738909702</c:v>
                </c:pt>
                <c:pt idx="656">
                  <c:v>203.66446651365922</c:v>
                </c:pt>
                <c:pt idx="657">
                  <c:v>203.74095534172554</c:v>
                </c:pt>
                <c:pt idx="658">
                  <c:v>204.30813242500977</c:v>
                </c:pt>
                <c:pt idx="659">
                  <c:v>203.44210569616234</c:v>
                </c:pt>
                <c:pt idx="660">
                  <c:v>203.25150958790888</c:v>
                </c:pt>
                <c:pt idx="661">
                  <c:v>202.13007080968103</c:v>
                </c:pt>
                <c:pt idx="662">
                  <c:v>202.15173851285755</c:v>
                </c:pt>
                <c:pt idx="663">
                  <c:v>202.24968153199791</c:v>
                </c:pt>
                <c:pt idx="664">
                  <c:v>201.7504183817193</c:v>
                </c:pt>
                <c:pt idx="665">
                  <c:v>201.77182714693157</c:v>
                </c:pt>
                <c:pt idx="666">
                  <c:v>201.61915794829034</c:v>
                </c:pt>
                <c:pt idx="667">
                  <c:v>201.64061349833446</c:v>
                </c:pt>
                <c:pt idx="668">
                  <c:v>202.24388464057384</c:v>
                </c:pt>
                <c:pt idx="669">
                  <c:v>202.14361623258759</c:v>
                </c:pt>
                <c:pt idx="670">
                  <c:v>201.93978349694106</c:v>
                </c:pt>
                <c:pt idx="671">
                  <c:v>201.53285603650232</c:v>
                </c:pt>
                <c:pt idx="672">
                  <c:v>201.55423922670539</c:v>
                </c:pt>
                <c:pt idx="673">
                  <c:v>201.28357135221336</c:v>
                </c:pt>
                <c:pt idx="674">
                  <c:v>201.5040263687516</c:v>
                </c:pt>
                <c:pt idx="675">
                  <c:v>201.73662622599579</c:v>
                </c:pt>
                <c:pt idx="676">
                  <c:v>202.50989629629052</c:v>
                </c:pt>
                <c:pt idx="677">
                  <c:v>201.55634418606539</c:v>
                </c:pt>
                <c:pt idx="678">
                  <c:v>201.42118377878856</c:v>
                </c:pt>
                <c:pt idx="679">
                  <c:v>201.73672104058824</c:v>
                </c:pt>
                <c:pt idx="680">
                  <c:v>202.5146882353032</c:v>
                </c:pt>
                <c:pt idx="681">
                  <c:v>201.11478368932089</c:v>
                </c:pt>
                <c:pt idx="682">
                  <c:v>200.71591449274223</c:v>
                </c:pt>
                <c:pt idx="683">
                  <c:v>200.85151195463152</c:v>
                </c:pt>
                <c:pt idx="684">
                  <c:v>200.64381796958745</c:v>
                </c:pt>
                <c:pt idx="685">
                  <c:v>200.31240662480494</c:v>
                </c:pt>
                <c:pt idx="686">
                  <c:v>201.49736534438034</c:v>
                </c:pt>
                <c:pt idx="687">
                  <c:v>200.78354542783867</c:v>
                </c:pt>
                <c:pt idx="688">
                  <c:v>201.22439134635732</c:v>
                </c:pt>
                <c:pt idx="689">
                  <c:v>200.12013616198578</c:v>
                </c:pt>
                <c:pt idx="690">
                  <c:v>200.56602089261673</c:v>
                </c:pt>
                <c:pt idx="691">
                  <c:v>199.72251847097269</c:v>
                </c:pt>
                <c:pt idx="692">
                  <c:v>199.2941076083585</c:v>
                </c:pt>
                <c:pt idx="693">
                  <c:v>198.89414728102051</c:v>
                </c:pt>
                <c:pt idx="694">
                  <c:v>196.34227419570232</c:v>
                </c:pt>
                <c:pt idx="695">
                  <c:v>196.18826580004733</c:v>
                </c:pt>
                <c:pt idx="696">
                  <c:v>197.2262988328433</c:v>
                </c:pt>
                <c:pt idx="697">
                  <c:v>199.99744261109257</c:v>
                </c:pt>
                <c:pt idx="698">
                  <c:v>199.39810055437434</c:v>
                </c:pt>
                <c:pt idx="699">
                  <c:v>198.83080471007028</c:v>
                </c:pt>
                <c:pt idx="700">
                  <c:v>199.06789628164975</c:v>
                </c:pt>
                <c:pt idx="701">
                  <c:v>195.8505073716764</c:v>
                </c:pt>
                <c:pt idx="702">
                  <c:v>195.76430758582583</c:v>
                </c:pt>
                <c:pt idx="703">
                  <c:v>194.74793614797954</c:v>
                </c:pt>
                <c:pt idx="704">
                  <c:v>192.94665000768751</c:v>
                </c:pt>
                <c:pt idx="705">
                  <c:v>192.99960524225628</c:v>
                </c:pt>
                <c:pt idx="706">
                  <c:v>192.79646430592078</c:v>
                </c:pt>
                <c:pt idx="707">
                  <c:v>194.17876971769851</c:v>
                </c:pt>
                <c:pt idx="708">
                  <c:v>195.22402239278838</c:v>
                </c:pt>
                <c:pt idx="709">
                  <c:v>196.14707010158173</c:v>
                </c:pt>
                <c:pt idx="710">
                  <c:v>196.06793760547006</c:v>
                </c:pt>
                <c:pt idx="711">
                  <c:v>194.5013543640419</c:v>
                </c:pt>
                <c:pt idx="712">
                  <c:v>194.9892755324681</c:v>
                </c:pt>
                <c:pt idx="713">
                  <c:v>194.27541815130834</c:v>
                </c:pt>
                <c:pt idx="714">
                  <c:v>192.877459745621</c:v>
                </c:pt>
                <c:pt idx="715">
                  <c:v>195.24798184394658</c:v>
                </c:pt>
                <c:pt idx="716">
                  <c:v>194.01215501475133</c:v>
                </c:pt>
                <c:pt idx="717">
                  <c:v>192.64841971359431</c:v>
                </c:pt>
                <c:pt idx="718">
                  <c:v>192.88045575371387</c:v>
                </c:pt>
                <c:pt idx="719">
                  <c:v>193.97455436024862</c:v>
                </c:pt>
                <c:pt idx="720">
                  <c:v>193.20809015579263</c:v>
                </c:pt>
                <c:pt idx="721">
                  <c:v>192.02230420407054</c:v>
                </c:pt>
                <c:pt idx="722">
                  <c:v>190.96629089700878</c:v>
                </c:pt>
                <c:pt idx="723">
                  <c:v>191.44218156052028</c:v>
                </c:pt>
                <c:pt idx="724">
                  <c:v>191.00293394081817</c:v>
                </c:pt>
                <c:pt idx="725">
                  <c:v>189.50118984533651</c:v>
                </c:pt>
                <c:pt idx="726">
                  <c:v>187.82198347241953</c:v>
                </c:pt>
                <c:pt idx="727">
                  <c:v>187.21324634267651</c:v>
                </c:pt>
                <c:pt idx="728">
                  <c:v>187.80592744259718</c:v>
                </c:pt>
                <c:pt idx="729">
                  <c:v>186.27838297422841</c:v>
                </c:pt>
                <c:pt idx="730">
                  <c:v>186.22623265204805</c:v>
                </c:pt>
                <c:pt idx="731">
                  <c:v>185.94614888681483</c:v>
                </c:pt>
                <c:pt idx="732">
                  <c:v>185.75716974478061</c:v>
                </c:pt>
                <c:pt idx="733">
                  <c:v>185.75455235106938</c:v>
                </c:pt>
                <c:pt idx="734">
                  <c:v>185.75434643102292</c:v>
                </c:pt>
                <c:pt idx="735">
                  <c:v>185.27912891207896</c:v>
                </c:pt>
                <c:pt idx="736">
                  <c:v>185.52942299973543</c:v>
                </c:pt>
                <c:pt idx="737">
                  <c:v>185.26352677697804</c:v>
                </c:pt>
                <c:pt idx="738">
                  <c:v>185.00460029579179</c:v>
                </c:pt>
                <c:pt idx="739">
                  <c:v>184.64408534743862</c:v>
                </c:pt>
                <c:pt idx="740">
                  <c:v>184.28518901538473</c:v>
                </c:pt>
                <c:pt idx="741">
                  <c:v>184.30473279198625</c:v>
                </c:pt>
                <c:pt idx="742">
                  <c:v>184.47750573124935</c:v>
                </c:pt>
                <c:pt idx="743">
                  <c:v>184.43895214782569</c:v>
                </c:pt>
                <c:pt idx="744">
                  <c:v>184.8297487320236</c:v>
                </c:pt>
                <c:pt idx="745">
                  <c:v>184.74099251879821</c:v>
                </c:pt>
                <c:pt idx="746">
                  <c:v>184.96872565487772</c:v>
                </c:pt>
                <c:pt idx="747">
                  <c:v>184.82957727534307</c:v>
                </c:pt>
                <c:pt idx="748">
                  <c:v>184.0796432205602</c:v>
                </c:pt>
                <c:pt idx="749">
                  <c:v>182.25572847443732</c:v>
                </c:pt>
                <c:pt idx="750">
                  <c:v>182.295878334983</c:v>
                </c:pt>
                <c:pt idx="751">
                  <c:v>182.95726893295739</c:v>
                </c:pt>
                <c:pt idx="752">
                  <c:v>182.2917596975808</c:v>
                </c:pt>
                <c:pt idx="753">
                  <c:v>183.6135325801296</c:v>
                </c:pt>
                <c:pt idx="754">
                  <c:v>186.37468578391434</c:v>
                </c:pt>
                <c:pt idx="755">
                  <c:v>185.76980565463177</c:v>
                </c:pt>
                <c:pt idx="756">
                  <c:v>186.4797424623176</c:v>
                </c:pt>
                <c:pt idx="757">
                  <c:v>188.97907717571584</c:v>
                </c:pt>
                <c:pt idx="758">
                  <c:v>191.57333173242196</c:v>
                </c:pt>
                <c:pt idx="759">
                  <c:v>192.30331160577836</c:v>
                </c:pt>
                <c:pt idx="760">
                  <c:v>191.15469481580556</c:v>
                </c:pt>
                <c:pt idx="761">
                  <c:v>193.32803325191449</c:v>
                </c:pt>
                <c:pt idx="762">
                  <c:v>193.52761676792412</c:v>
                </c:pt>
                <c:pt idx="763">
                  <c:v>194.66340516922804</c:v>
                </c:pt>
                <c:pt idx="764">
                  <c:v>197.70654277579516</c:v>
                </c:pt>
                <c:pt idx="765">
                  <c:v>198.23628073383082</c:v>
                </c:pt>
                <c:pt idx="766">
                  <c:v>195.3081110175591</c:v>
                </c:pt>
                <c:pt idx="767">
                  <c:v>196.88729213177234</c:v>
                </c:pt>
                <c:pt idx="768">
                  <c:v>198.43710237934226</c:v>
                </c:pt>
                <c:pt idx="769">
                  <c:v>197.42451338523455</c:v>
                </c:pt>
                <c:pt idx="770">
                  <c:v>199.55869940024712</c:v>
                </c:pt>
                <c:pt idx="771">
                  <c:v>197.26272033204549</c:v>
                </c:pt>
                <c:pt idx="772">
                  <c:v>202.97089682596263</c:v>
                </c:pt>
                <c:pt idx="773">
                  <c:v>200.80355778236739</c:v>
                </c:pt>
                <c:pt idx="774">
                  <c:v>198.21068611168462</c:v>
                </c:pt>
                <c:pt idx="775">
                  <c:v>199.78988377385656</c:v>
                </c:pt>
                <c:pt idx="776">
                  <c:v>197.58056873767146</c:v>
                </c:pt>
                <c:pt idx="777">
                  <c:v>203.94946376235404</c:v>
                </c:pt>
                <c:pt idx="778">
                  <c:v>208.26337088265649</c:v>
                </c:pt>
                <c:pt idx="779">
                  <c:v>202.93744549178385</c:v>
                </c:pt>
                <c:pt idx="780">
                  <c:v>200.34931295193604</c:v>
                </c:pt>
                <c:pt idx="781">
                  <c:v>201.61545814043876</c:v>
                </c:pt>
                <c:pt idx="782">
                  <c:v>203.11744847756472</c:v>
                </c:pt>
                <c:pt idx="783">
                  <c:v>202.03768477617081</c:v>
                </c:pt>
                <c:pt idx="784">
                  <c:v>200.9580429371513</c:v>
                </c:pt>
                <c:pt idx="785">
                  <c:v>199.63828523543185</c:v>
                </c:pt>
                <c:pt idx="786">
                  <c:v>196.7202726357132</c:v>
                </c:pt>
                <c:pt idx="787">
                  <c:v>193.78802259883506</c:v>
                </c:pt>
                <c:pt idx="788">
                  <c:v>193.03340498222391</c:v>
                </c:pt>
                <c:pt idx="789">
                  <c:v>193.20486918919417</c:v>
                </c:pt>
                <c:pt idx="790">
                  <c:v>195.59990057853025</c:v>
                </c:pt>
                <c:pt idx="791">
                  <c:v>196.79772384226342</c:v>
                </c:pt>
                <c:pt idx="792">
                  <c:v>193.98906481361738</c:v>
                </c:pt>
                <c:pt idx="793">
                  <c:v>193.14816599949117</c:v>
                </c:pt>
                <c:pt idx="794">
                  <c:v>193.77013943660225</c:v>
                </c:pt>
                <c:pt idx="795">
                  <c:v>194.03703899904221</c:v>
                </c:pt>
                <c:pt idx="796">
                  <c:v>193.4283524961011</c:v>
                </c:pt>
                <c:pt idx="797">
                  <c:v>194.02770322723862</c:v>
                </c:pt>
                <c:pt idx="798">
                  <c:v>195.64766915889501</c:v>
                </c:pt>
                <c:pt idx="799">
                  <c:v>194.4773003660946</c:v>
                </c:pt>
                <c:pt idx="800">
                  <c:v>194.14330280528287</c:v>
                </c:pt>
                <c:pt idx="801">
                  <c:v>194.34320941753302</c:v>
                </c:pt>
                <c:pt idx="802">
                  <c:v>192.79700863216729</c:v>
                </c:pt>
                <c:pt idx="803">
                  <c:v>195.0514006039285</c:v>
                </c:pt>
                <c:pt idx="804">
                  <c:v>193.80224660964319</c:v>
                </c:pt>
                <c:pt idx="805">
                  <c:v>196.39149042528493</c:v>
                </c:pt>
                <c:pt idx="806">
                  <c:v>195.46224435465606</c:v>
                </c:pt>
                <c:pt idx="807">
                  <c:v>196.9591453986763</c:v>
                </c:pt>
                <c:pt idx="808">
                  <c:v>196.34044654654525</c:v>
                </c:pt>
                <c:pt idx="809">
                  <c:v>197.47853303084381</c:v>
                </c:pt>
                <c:pt idx="810">
                  <c:v>197.14049684618428</c:v>
                </c:pt>
                <c:pt idx="811">
                  <c:v>197.64009704086655</c:v>
                </c:pt>
                <c:pt idx="812">
                  <c:v>199.93368279900696</c:v>
                </c:pt>
                <c:pt idx="813">
                  <c:v>204.82904024782894</c:v>
                </c:pt>
                <c:pt idx="814">
                  <c:v>203.57461563021911</c:v>
                </c:pt>
                <c:pt idx="815">
                  <c:v>204.45042730965034</c:v>
                </c:pt>
                <c:pt idx="816">
                  <c:v>203.8194100841315</c:v>
                </c:pt>
                <c:pt idx="817">
                  <c:v>205.49441517524977</c:v>
                </c:pt>
                <c:pt idx="818">
                  <c:v>207.86064595688697</c:v>
                </c:pt>
                <c:pt idx="819">
                  <c:v>205.86895088842635</c:v>
                </c:pt>
                <c:pt idx="820">
                  <c:v>204.16993037377324</c:v>
                </c:pt>
                <c:pt idx="821">
                  <c:v>199.16047084642614</c:v>
                </c:pt>
                <c:pt idx="822">
                  <c:v>199.1148511480927</c:v>
                </c:pt>
                <c:pt idx="823">
                  <c:v>197.88662125383448</c:v>
                </c:pt>
                <c:pt idx="824">
                  <c:v>192.4057452681227</c:v>
                </c:pt>
                <c:pt idx="825">
                  <c:v>192.04187355562485</c:v>
                </c:pt>
                <c:pt idx="826">
                  <c:v>193.15796991735286</c:v>
                </c:pt>
                <c:pt idx="827">
                  <c:v>195.54800368313363</c:v>
                </c:pt>
                <c:pt idx="828">
                  <c:v>196.11760565934381</c:v>
                </c:pt>
                <c:pt idx="829">
                  <c:v>197.68801255445592</c:v>
                </c:pt>
                <c:pt idx="830">
                  <c:v>200.09437921770984</c:v>
                </c:pt>
                <c:pt idx="831">
                  <c:v>203.29830403456938</c:v>
                </c:pt>
                <c:pt idx="832">
                  <c:v>206.36027343988624</c:v>
                </c:pt>
                <c:pt idx="833">
                  <c:v>207.06990068621604</c:v>
                </c:pt>
                <c:pt idx="834">
                  <c:v>204.8533103756115</c:v>
                </c:pt>
                <c:pt idx="835">
                  <c:v>205.00521633432905</c:v>
                </c:pt>
                <c:pt idx="836">
                  <c:v>208.72371963424538</c:v>
                </c:pt>
                <c:pt idx="837">
                  <c:v>211.25477310169302</c:v>
                </c:pt>
                <c:pt idx="838">
                  <c:v>220.07033335317018</c:v>
                </c:pt>
                <c:pt idx="839">
                  <c:v>220.16020675178106</c:v>
                </c:pt>
                <c:pt idx="840">
                  <c:v>219.70084974784407</c:v>
                </c:pt>
                <c:pt idx="841">
                  <c:v>220.88187334337127</c:v>
                </c:pt>
                <c:pt idx="842">
                  <c:v>216.98212279317949</c:v>
                </c:pt>
                <c:pt idx="843">
                  <c:v>215.69189926427657</c:v>
                </c:pt>
                <c:pt idx="844">
                  <c:v>211.10189115188075</c:v>
                </c:pt>
                <c:pt idx="845">
                  <c:v>206.8662247490407</c:v>
                </c:pt>
                <c:pt idx="846">
                  <c:v>207.54318908015091</c:v>
                </c:pt>
                <c:pt idx="847">
                  <c:v>210.6562201567948</c:v>
                </c:pt>
                <c:pt idx="848">
                  <c:v>216.21861730255969</c:v>
                </c:pt>
                <c:pt idx="849">
                  <c:v>216.53774956444744</c:v>
                </c:pt>
                <c:pt idx="850">
                  <c:v>221.44350497290156</c:v>
                </c:pt>
                <c:pt idx="851">
                  <c:v>223.42854970188318</c:v>
                </c:pt>
                <c:pt idx="852">
                  <c:v>223.63347370858003</c:v>
                </c:pt>
                <c:pt idx="853">
                  <c:v>221.84348146808964</c:v>
                </c:pt>
                <c:pt idx="854">
                  <c:v>217.61127063083489</c:v>
                </c:pt>
                <c:pt idx="855">
                  <c:v>214.78696782906502</c:v>
                </c:pt>
                <c:pt idx="856">
                  <c:v>218.18070931463049</c:v>
                </c:pt>
                <c:pt idx="857">
                  <c:v>221.52015599867062</c:v>
                </c:pt>
                <c:pt idx="858">
                  <c:v>224.8300732374498</c:v>
                </c:pt>
                <c:pt idx="859">
                  <c:v>226.87301205792394</c:v>
                </c:pt>
                <c:pt idx="860">
                  <c:v>226.64971114214126</c:v>
                </c:pt>
                <c:pt idx="861">
                  <c:v>226.13997186194251</c:v>
                </c:pt>
                <c:pt idx="862">
                  <c:v>230.64504218259219</c:v>
                </c:pt>
                <c:pt idx="863">
                  <c:v>237.42734470732586</c:v>
                </c:pt>
                <c:pt idx="864">
                  <c:v>227.91943488335932</c:v>
                </c:pt>
                <c:pt idx="865">
                  <c:v>232.41304030189309</c:v>
                </c:pt>
                <c:pt idx="866">
                  <c:v>228.19412678935876</c:v>
                </c:pt>
                <c:pt idx="867">
                  <c:v>229.5844433457105</c:v>
                </c:pt>
                <c:pt idx="868">
                  <c:v>224.59136509270041</c:v>
                </c:pt>
                <c:pt idx="869">
                  <c:v>218.12145352246594</c:v>
                </c:pt>
                <c:pt idx="870">
                  <c:v>219.40942972292385</c:v>
                </c:pt>
                <c:pt idx="871">
                  <c:v>219.72593514044169</c:v>
                </c:pt>
                <c:pt idx="872">
                  <c:v>218.2603961265267</c:v>
                </c:pt>
                <c:pt idx="873">
                  <c:v>216.843016837432</c:v>
                </c:pt>
                <c:pt idx="874">
                  <c:v>221.52665714535041</c:v>
                </c:pt>
                <c:pt idx="875">
                  <c:v>219.74213122858157</c:v>
                </c:pt>
                <c:pt idx="876">
                  <c:v>223.16644583711047</c:v>
                </c:pt>
                <c:pt idx="877">
                  <c:v>229.52618858857898</c:v>
                </c:pt>
                <c:pt idx="878">
                  <c:v>240.25383768950664</c:v>
                </c:pt>
                <c:pt idx="879">
                  <c:v>237.87096130117843</c:v>
                </c:pt>
                <c:pt idx="880">
                  <c:v>252.65615605524596</c:v>
                </c:pt>
                <c:pt idx="881">
                  <c:v>255.03442524687978</c:v>
                </c:pt>
                <c:pt idx="882">
                  <c:v>252.93729639323575</c:v>
                </c:pt>
                <c:pt idx="883">
                  <c:v>260.48558942326724</c:v>
                </c:pt>
                <c:pt idx="884">
                  <c:v>262.20105387154223</c:v>
                </c:pt>
                <c:pt idx="885">
                  <c:v>260.25983952917784</c:v>
                </c:pt>
                <c:pt idx="886">
                  <c:v>262.64319965906901</c:v>
                </c:pt>
                <c:pt idx="887">
                  <c:v>258.34816395132162</c:v>
                </c:pt>
                <c:pt idx="888">
                  <c:v>256.90938715881208</c:v>
                </c:pt>
                <c:pt idx="889">
                  <c:v>258.77874734572379</c:v>
                </c:pt>
                <c:pt idx="890">
                  <c:v>255.02575904564378</c:v>
                </c:pt>
                <c:pt idx="891">
                  <c:v>248.35886664132792</c:v>
                </c:pt>
                <c:pt idx="892">
                  <c:v>265.87036126176719</c:v>
                </c:pt>
                <c:pt idx="893">
                  <c:v>266.92516408049346</c:v>
                </c:pt>
                <c:pt idx="894">
                  <c:v>248.3349500564949</c:v>
                </c:pt>
                <c:pt idx="895">
                  <c:v>248.76464206842999</c:v>
                </c:pt>
                <c:pt idx="896">
                  <c:v>250.96466908088757</c:v>
                </c:pt>
                <c:pt idx="897">
                  <c:v>241.40290768066146</c:v>
                </c:pt>
                <c:pt idx="898">
                  <c:v>238.54572830426281</c:v>
                </c:pt>
                <c:pt idx="899">
                  <c:v>242.07403368704246</c:v>
                </c:pt>
                <c:pt idx="900">
                  <c:v>236.11690124530077</c:v>
                </c:pt>
                <c:pt idx="901">
                  <c:v>223.80788152210886</c:v>
                </c:pt>
                <c:pt idx="902">
                  <c:v>222.05221112358828</c:v>
                </c:pt>
                <c:pt idx="903">
                  <c:v>218.00228655929402</c:v>
                </c:pt>
                <c:pt idx="904">
                  <c:v>218.5507733827491</c:v>
                </c:pt>
                <c:pt idx="905">
                  <c:v>221.02225175433762</c:v>
                </c:pt>
                <c:pt idx="906">
                  <c:v>224.17538858506614</c:v>
                </c:pt>
                <c:pt idx="907">
                  <c:v>228.24449097452887</c:v>
                </c:pt>
                <c:pt idx="908">
                  <c:v>232.95953304273777</c:v>
                </c:pt>
                <c:pt idx="909">
                  <c:v>226.39879347171143</c:v>
                </c:pt>
                <c:pt idx="910">
                  <c:v>219.06368049476009</c:v>
                </c:pt>
                <c:pt idx="911">
                  <c:v>216.72111151180803</c:v>
                </c:pt>
                <c:pt idx="912">
                  <c:v>218.94697841106228</c:v>
                </c:pt>
                <c:pt idx="913">
                  <c:v>220.45868500651528</c:v>
                </c:pt>
                <c:pt idx="914">
                  <c:v>216.04956640707891</c:v>
                </c:pt>
                <c:pt idx="915">
                  <c:v>216.74338475400151</c:v>
                </c:pt>
                <c:pt idx="916">
                  <c:v>216.6556910491916</c:v>
                </c:pt>
                <c:pt idx="917">
                  <c:v>219.62813853019483</c:v>
                </c:pt>
                <c:pt idx="918">
                  <c:v>222.77077088859926</c:v>
                </c:pt>
                <c:pt idx="919">
                  <c:v>221.17837074701407</c:v>
                </c:pt>
                <c:pt idx="920">
                  <c:v>220.96433413891677</c:v>
                </c:pt>
                <c:pt idx="921">
                  <c:v>219.12521560824254</c:v>
                </c:pt>
                <c:pt idx="922">
                  <c:v>215.97048833252745</c:v>
                </c:pt>
                <c:pt idx="923">
                  <c:v>215.39267373864766</c:v>
                </c:pt>
                <c:pt idx="924">
                  <c:v>215.42449898057464</c:v>
                </c:pt>
                <c:pt idx="925">
                  <c:v>216.48455218515997</c:v>
                </c:pt>
                <c:pt idx="926">
                  <c:v>213.63662192915734</c:v>
                </c:pt>
                <c:pt idx="927">
                  <c:v>213.58807042479447</c:v>
                </c:pt>
                <c:pt idx="928">
                  <c:v>214.43832710355275</c:v>
                </c:pt>
                <c:pt idx="929">
                  <c:v>212.19227779999062</c:v>
                </c:pt>
                <c:pt idx="930">
                  <c:v>211.07146109915357</c:v>
                </c:pt>
                <c:pt idx="931">
                  <c:v>211.09414401108415</c:v>
                </c:pt>
                <c:pt idx="932">
                  <c:v>211.11682936064648</c:v>
                </c:pt>
                <c:pt idx="933">
                  <c:v>211.13947369559963</c:v>
                </c:pt>
                <c:pt idx="934">
                  <c:v>211.29229791392268</c:v>
                </c:pt>
                <c:pt idx="935">
                  <c:v>211.62831781337988</c:v>
                </c:pt>
                <c:pt idx="936">
                  <c:v>212.03408438814023</c:v>
                </c:pt>
                <c:pt idx="937">
                  <c:v>212.39915174860116</c:v>
                </c:pt>
                <c:pt idx="938">
                  <c:v>211.89485733825495</c:v>
                </c:pt>
                <c:pt idx="939">
                  <c:v>211.30267698362132</c:v>
                </c:pt>
                <c:pt idx="940">
                  <c:v>211.3971040748574</c:v>
                </c:pt>
                <c:pt idx="941">
                  <c:v>211.24029420836564</c:v>
                </c:pt>
                <c:pt idx="942">
                  <c:v>212.55566465160481</c:v>
                </c:pt>
                <c:pt idx="943">
                  <c:v>213.31195878611678</c:v>
                </c:pt>
                <c:pt idx="944">
                  <c:v>212.71386962080368</c:v>
                </c:pt>
                <c:pt idx="945">
                  <c:v>211.29437449377988</c:v>
                </c:pt>
                <c:pt idx="946">
                  <c:v>212.06811951865768</c:v>
                </c:pt>
                <c:pt idx="947">
                  <c:v>211.09077031820638</c:v>
                </c:pt>
                <c:pt idx="948">
                  <c:v>210.052462444112</c:v>
                </c:pt>
                <c:pt idx="949">
                  <c:v>210.3640192624141</c:v>
                </c:pt>
                <c:pt idx="950">
                  <c:v>211.37816223411596</c:v>
                </c:pt>
                <c:pt idx="951">
                  <c:v>214.57574027321124</c:v>
                </c:pt>
                <c:pt idx="952">
                  <c:v>212.80814576663488</c:v>
                </c:pt>
                <c:pt idx="953">
                  <c:v>212.60056638634123</c:v>
                </c:pt>
                <c:pt idx="954">
                  <c:v>210.16661548120658</c:v>
                </c:pt>
                <c:pt idx="955">
                  <c:v>210.76152645225557</c:v>
                </c:pt>
                <c:pt idx="956">
                  <c:v>213.53240832592584</c:v>
                </c:pt>
                <c:pt idx="957">
                  <c:v>215.55802362069107</c:v>
                </c:pt>
                <c:pt idx="958">
                  <c:v>210.54744179341816</c:v>
                </c:pt>
                <c:pt idx="959">
                  <c:v>209.83961328612276</c:v>
                </c:pt>
                <c:pt idx="960">
                  <c:v>209.31666658137937</c:v>
                </c:pt>
                <c:pt idx="961">
                  <c:v>210.48848789933828</c:v>
                </c:pt>
                <c:pt idx="962">
                  <c:v>209.6331880463519</c:v>
                </c:pt>
                <c:pt idx="963">
                  <c:v>211.18547143792969</c:v>
                </c:pt>
                <c:pt idx="964">
                  <c:v>211.8896477433164</c:v>
                </c:pt>
                <c:pt idx="965">
                  <c:v>209.95109673580268</c:v>
                </c:pt>
                <c:pt idx="966">
                  <c:v>209.58488756337161</c:v>
                </c:pt>
                <c:pt idx="967">
                  <c:v>209.55066366589978</c:v>
                </c:pt>
                <c:pt idx="968">
                  <c:v>209.17882743012314</c:v>
                </c:pt>
                <c:pt idx="969">
                  <c:v>207.99098823803689</c:v>
                </c:pt>
                <c:pt idx="970">
                  <c:v>208.01610648865952</c:v>
                </c:pt>
                <c:pt idx="971">
                  <c:v>208.28874211666943</c:v>
                </c:pt>
                <c:pt idx="972">
                  <c:v>208.16397505939113</c:v>
                </c:pt>
                <c:pt idx="973">
                  <c:v>208.18612441435525</c:v>
                </c:pt>
                <c:pt idx="974">
                  <c:v>208.08321073059494</c:v>
                </c:pt>
                <c:pt idx="975">
                  <c:v>208.15014974670927</c:v>
                </c:pt>
                <c:pt idx="976">
                  <c:v>208.19710509445736</c:v>
                </c:pt>
                <c:pt idx="977">
                  <c:v>207.50424329639591</c:v>
                </c:pt>
                <c:pt idx="978">
                  <c:v>209.18658488469012</c:v>
                </c:pt>
                <c:pt idx="979">
                  <c:v>209.00538287383839</c:v>
                </c:pt>
                <c:pt idx="980">
                  <c:v>210.70627444169887</c:v>
                </c:pt>
                <c:pt idx="981">
                  <c:v>211.45465883293477</c:v>
                </c:pt>
                <c:pt idx="982">
                  <c:v>216.34629286191876</c:v>
                </c:pt>
                <c:pt idx="983">
                  <c:v>218.45290471073557</c:v>
                </c:pt>
                <c:pt idx="984">
                  <c:v>222.11816606629014</c:v>
                </c:pt>
                <c:pt idx="985">
                  <c:v>221.10044931050703</c:v>
                </c:pt>
                <c:pt idx="986">
                  <c:v>219.8529903933659</c:v>
                </c:pt>
                <c:pt idx="987">
                  <c:v>214.96337491909946</c:v>
                </c:pt>
                <c:pt idx="988">
                  <c:v>211.48478051744382</c:v>
                </c:pt>
                <c:pt idx="989">
                  <c:v>214.03729393992739</c:v>
                </c:pt>
                <c:pt idx="990">
                  <c:v>210.21185054845134</c:v>
                </c:pt>
                <c:pt idx="991">
                  <c:v>208.82113684696398</c:v>
                </c:pt>
                <c:pt idx="992">
                  <c:v>208.98092621751508</c:v>
                </c:pt>
                <c:pt idx="993">
                  <c:v>211.34048742538815</c:v>
                </c:pt>
                <c:pt idx="994">
                  <c:v>214.91872182271982</c:v>
                </c:pt>
                <c:pt idx="995">
                  <c:v>214.82329284338937</c:v>
                </c:pt>
                <c:pt idx="996">
                  <c:v>216.12578670889377</c:v>
                </c:pt>
                <c:pt idx="997">
                  <c:v>217.60942325124591</c:v>
                </c:pt>
                <c:pt idx="998">
                  <c:v>217.78922947983429</c:v>
                </c:pt>
                <c:pt idx="999">
                  <c:v>218.10628578946123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FC-4E12-9C2F-3D78740A9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9392"/>
        <c:axId val="568069752"/>
      </c:scatterChart>
      <c:scatterChart>
        <c:scatterStyle val="lineMarker"/>
        <c:varyColors val="0"/>
        <c:ser>
          <c:idx val="1"/>
          <c:order val="0"/>
          <c:spPr>
            <a:ln w="19050" cap="rnd">
              <a:solidFill>
                <a:srgbClr val="FF0000">
                  <a:alpha val="49804"/>
                </a:srgbClr>
              </a:solidFill>
              <a:round/>
            </a:ln>
            <a:effectLst/>
          </c:spPr>
          <c:marker>
            <c:symbol val="none"/>
          </c:marker>
          <c:yVal>
            <c:numRef>
              <c:f>Sheet1!$A$3:$A$1002</c:f>
              <c:numCache>
                <c:formatCode>General</c:formatCode>
                <c:ptCount val="1000"/>
                <c:pt idx="0">
                  <c:v>1.2487750980791479</c:v>
                </c:pt>
                <c:pt idx="1">
                  <c:v>-3.1356710807393231</c:v>
                </c:pt>
                <c:pt idx="2">
                  <c:v>-0.43984381661730365</c:v>
                </c:pt>
                <c:pt idx="3">
                  <c:v>-0.28743567341568721</c:v>
                </c:pt>
                <c:pt idx="4">
                  <c:v>0.31907467554759084</c:v>
                </c:pt>
                <c:pt idx="5">
                  <c:v>0.64623206839021863</c:v>
                </c:pt>
                <c:pt idx="6">
                  <c:v>0.40936748101308518</c:v>
                </c:pt>
                <c:pt idx="7">
                  <c:v>-0.41896036382335011</c:v>
                </c:pt>
                <c:pt idx="8">
                  <c:v>0.56338495139477418</c:v>
                </c:pt>
                <c:pt idx="9">
                  <c:v>1.7142421610878786E-2</c:v>
                </c:pt>
                <c:pt idx="10">
                  <c:v>1.0939381873344811</c:v>
                </c:pt>
                <c:pt idx="11">
                  <c:v>1.6357345701154455</c:v>
                </c:pt>
                <c:pt idx="12">
                  <c:v>2.209174689219195</c:v>
                </c:pt>
                <c:pt idx="13">
                  <c:v>0.9568447669408402</c:v>
                </c:pt>
                <c:pt idx="14">
                  <c:v>-4.1779033021079632</c:v>
                </c:pt>
                <c:pt idx="15">
                  <c:v>-0.38217634669355621</c:v>
                </c:pt>
                <c:pt idx="16">
                  <c:v>-1.3442297277576405E-2</c:v>
                </c:pt>
                <c:pt idx="17">
                  <c:v>-1.058120825628194</c:v>
                </c:pt>
                <c:pt idx="18">
                  <c:v>1.0418996709335275</c:v>
                </c:pt>
                <c:pt idx="19">
                  <c:v>-9.5817998837568349E-2</c:v>
                </c:pt>
                <c:pt idx="20">
                  <c:v>-2.1443523438195844</c:v>
                </c:pt>
                <c:pt idx="21">
                  <c:v>-1.2799658417347946</c:v>
                </c:pt>
                <c:pt idx="22">
                  <c:v>1.1889648985967203</c:v>
                </c:pt>
                <c:pt idx="23">
                  <c:v>0.64689782085000613</c:v>
                </c:pt>
                <c:pt idx="24">
                  <c:v>-7.3021055577719762E-2</c:v>
                </c:pt>
                <c:pt idx="25">
                  <c:v>0.63679142991909077</c:v>
                </c:pt>
                <c:pt idx="26">
                  <c:v>-1.054533311513725</c:v>
                </c:pt>
                <c:pt idx="27">
                  <c:v>-1.2549950619635601</c:v>
                </c:pt>
                <c:pt idx="28">
                  <c:v>-0.59171778476294956</c:v>
                </c:pt>
                <c:pt idx="29">
                  <c:v>1.6255320234617259</c:v>
                </c:pt>
                <c:pt idx="30">
                  <c:v>1.9108840795107922</c:v>
                </c:pt>
                <c:pt idx="31">
                  <c:v>1.071081969789639</c:v>
                </c:pt>
                <c:pt idx="32">
                  <c:v>1.0179206667048868</c:v>
                </c:pt>
                <c:pt idx="33">
                  <c:v>-2.7361633977420387E-2</c:v>
                </c:pt>
                <c:pt idx="34">
                  <c:v>0.67008489069930488</c:v>
                </c:pt>
                <c:pt idx="35">
                  <c:v>1.0357314150533583</c:v>
                </c:pt>
                <c:pt idx="36">
                  <c:v>-1.9677669541563367</c:v>
                </c:pt>
                <c:pt idx="37">
                  <c:v>-2.0779882802965211</c:v>
                </c:pt>
                <c:pt idx="38">
                  <c:v>9.7160382218323127E-2</c:v>
                </c:pt>
                <c:pt idx="39">
                  <c:v>1.9728682261648081</c:v>
                </c:pt>
                <c:pt idx="40">
                  <c:v>-2.4004956218062672</c:v>
                </c:pt>
                <c:pt idx="41">
                  <c:v>-1.1117137683822194</c:v>
                </c:pt>
                <c:pt idx="42">
                  <c:v>2.4422403294981194</c:v>
                </c:pt>
                <c:pt idx="43">
                  <c:v>-0.92618641411012381</c:v>
                </c:pt>
                <c:pt idx="44">
                  <c:v>-0.54062242207948219</c:v>
                </c:pt>
                <c:pt idx="45">
                  <c:v>-0.14819894324302274</c:v>
                </c:pt>
                <c:pt idx="46">
                  <c:v>0.69607557649225982</c:v>
                </c:pt>
                <c:pt idx="47">
                  <c:v>-2.4506081239909583</c:v>
                </c:pt>
                <c:pt idx="48">
                  <c:v>0.1216949878452204</c:v>
                </c:pt>
                <c:pt idx="49">
                  <c:v>-0.46845086740413922</c:v>
                </c:pt>
                <c:pt idx="50">
                  <c:v>2.3360136325393661</c:v>
                </c:pt>
                <c:pt idx="51">
                  <c:v>1.1595317404843499</c:v>
                </c:pt>
                <c:pt idx="52">
                  <c:v>1.50549110519128</c:v>
                </c:pt>
                <c:pt idx="53">
                  <c:v>-0.15875659182021126</c:v>
                </c:pt>
                <c:pt idx="54">
                  <c:v>-2.9514375389894689</c:v>
                </c:pt>
                <c:pt idx="55">
                  <c:v>-0.37226329262338004</c:v>
                </c:pt>
                <c:pt idx="56">
                  <c:v>-0.3298537123341857</c:v>
                </c:pt>
                <c:pt idx="57">
                  <c:v>-0.52853156558743319</c:v>
                </c:pt>
                <c:pt idx="58">
                  <c:v>0.33954126589414885</c:v>
                </c:pt>
                <c:pt idx="59">
                  <c:v>0.73761431914433317</c:v>
                </c:pt>
                <c:pt idx="60">
                  <c:v>0.5134053576747678</c:v>
                </c:pt>
                <c:pt idx="61">
                  <c:v>-1.011666984864225</c:v>
                </c:pt>
                <c:pt idx="62">
                  <c:v>-0.64893873227724819</c:v>
                </c:pt>
                <c:pt idx="63">
                  <c:v>-0.4007432213120351</c:v>
                </c:pt>
                <c:pt idx="64">
                  <c:v>0.19884122841176441</c:v>
                </c:pt>
                <c:pt idx="65">
                  <c:v>0.23956429689122838</c:v>
                </c:pt>
                <c:pt idx="66">
                  <c:v>0.26755921467406713</c:v>
                </c:pt>
                <c:pt idx="67">
                  <c:v>-0.29495855570198654</c:v>
                </c:pt>
                <c:pt idx="68">
                  <c:v>-0.58753833187926374</c:v>
                </c:pt>
                <c:pt idx="69">
                  <c:v>7.693561267255249E-3</c:v>
                </c:pt>
                <c:pt idx="70">
                  <c:v>-5.9479605936673154E-3</c:v>
                </c:pt>
                <c:pt idx="71">
                  <c:v>0.1651103337713187</c:v>
                </c:pt>
                <c:pt idx="72">
                  <c:v>-0.95241311491360248</c:v>
                </c:pt>
                <c:pt idx="73">
                  <c:v>0</c:v>
                </c:pt>
                <c:pt idx="74">
                  <c:v>0.1533831053825534</c:v>
                </c:pt>
                <c:pt idx="75">
                  <c:v>-5.3281629807234353E-2</c:v>
                </c:pt>
                <c:pt idx="76">
                  <c:v>0.47097645438319796</c:v>
                </c:pt>
                <c:pt idx="77">
                  <c:v>4.2343424638335909E-2</c:v>
                </c:pt>
                <c:pt idx="78">
                  <c:v>0.21033563165108696</c:v>
                </c:pt>
                <c:pt idx="79">
                  <c:v>-0.20747948999602739</c:v>
                </c:pt>
                <c:pt idx="80">
                  <c:v>0.6347551714360864</c:v>
                </c:pt>
                <c:pt idx="81">
                  <c:v>0.21689187998530635</c:v>
                </c:pt>
                <c:pt idx="82">
                  <c:v>-0.10840658878798029</c:v>
                </c:pt>
                <c:pt idx="83">
                  <c:v>0.36126535492607964</c:v>
                </c:pt>
                <c:pt idx="84">
                  <c:v>0.80087687525325779</c:v>
                </c:pt>
                <c:pt idx="85">
                  <c:v>0.40173067024532921</c:v>
                </c:pt>
                <c:pt idx="86">
                  <c:v>0.66773443243101316</c:v>
                </c:pt>
                <c:pt idx="87">
                  <c:v>0.54850800364957208</c:v>
                </c:pt>
                <c:pt idx="88">
                  <c:v>4.5621875568752142E-2</c:v>
                </c:pt>
                <c:pt idx="89">
                  <c:v>-2.1591407143447476</c:v>
                </c:pt>
                <c:pt idx="90">
                  <c:v>-1.33043856009635</c:v>
                </c:pt>
                <c:pt idx="91">
                  <c:v>0.61157642291448788</c:v>
                </c:pt>
                <c:pt idx="92">
                  <c:v>0.6959921952411634</c:v>
                </c:pt>
                <c:pt idx="93">
                  <c:v>-0.24280707283663994</c:v>
                </c:pt>
                <c:pt idx="94">
                  <c:v>0.42512604826913059</c:v>
                </c:pt>
                <c:pt idx="95">
                  <c:v>0.48131873675908138</c:v>
                </c:pt>
                <c:pt idx="96">
                  <c:v>1.1856134748274201</c:v>
                </c:pt>
                <c:pt idx="97">
                  <c:v>0.16540588027096365</c:v>
                </c:pt>
                <c:pt idx="98">
                  <c:v>1.893277105681324</c:v>
                </c:pt>
                <c:pt idx="99">
                  <c:v>1.2299363597410045</c:v>
                </c:pt>
                <c:pt idx="100">
                  <c:v>0.85741245501590424</c:v>
                </c:pt>
                <c:pt idx="101">
                  <c:v>1.3107386420481093</c:v>
                </c:pt>
                <c:pt idx="102">
                  <c:v>1.7225256981922852</c:v>
                </c:pt>
                <c:pt idx="103">
                  <c:v>2.8677409418361526</c:v>
                </c:pt>
                <c:pt idx="104">
                  <c:v>2.5737511574394327</c:v>
                </c:pt>
                <c:pt idx="105">
                  <c:v>-0.84181743151024857</c:v>
                </c:pt>
                <c:pt idx="106">
                  <c:v>-4.1040220425454796</c:v>
                </c:pt>
                <c:pt idx="107">
                  <c:v>2.7096993107718554</c:v>
                </c:pt>
                <c:pt idx="108">
                  <c:v>-1.7334456114216723</c:v>
                </c:pt>
                <c:pt idx="109">
                  <c:v>-1.2864503127811922</c:v>
                </c:pt>
                <c:pt idx="110">
                  <c:v>0.99368016123936753</c:v>
                </c:pt>
                <c:pt idx="111">
                  <c:v>-0.78229028964307779</c:v>
                </c:pt>
                <c:pt idx="112">
                  <c:v>1.3723982129478827</c:v>
                </c:pt>
                <c:pt idx="113">
                  <c:v>-0.7251292500397537</c:v>
                </c:pt>
                <c:pt idx="114">
                  <c:v>-2.3438733537036232</c:v>
                </c:pt>
                <c:pt idx="115">
                  <c:v>0.71025038442482624</c:v>
                </c:pt>
                <c:pt idx="116">
                  <c:v>0.85004244480188007</c:v>
                </c:pt>
                <c:pt idx="117">
                  <c:v>0.19530217041040393</c:v>
                </c:pt>
                <c:pt idx="118">
                  <c:v>-1.0005728128126832</c:v>
                </c:pt>
                <c:pt idx="119">
                  <c:v>-0.15165486809660508</c:v>
                </c:pt>
                <c:pt idx="120">
                  <c:v>1.1967738333537254</c:v>
                </c:pt>
                <c:pt idx="121">
                  <c:v>-0.85686900219668916</c:v>
                </c:pt>
                <c:pt idx="122">
                  <c:v>0.81316825867739873</c:v>
                </c:pt>
                <c:pt idx="123">
                  <c:v>0.81309610068729854</c:v>
                </c:pt>
                <c:pt idx="124">
                  <c:v>3.809236536401964</c:v>
                </c:pt>
                <c:pt idx="125">
                  <c:v>0.29111617463162592</c:v>
                </c:pt>
                <c:pt idx="126">
                  <c:v>3.8511343595307816</c:v>
                </c:pt>
                <c:pt idx="127">
                  <c:v>1.2684234405205481E-3</c:v>
                </c:pt>
                <c:pt idx="128">
                  <c:v>1.1618644214911447</c:v>
                </c:pt>
                <c:pt idx="129">
                  <c:v>0.38962304320688168</c:v>
                </c:pt>
                <c:pt idx="130">
                  <c:v>1.0919027873390064</c:v>
                </c:pt>
                <c:pt idx="131">
                  <c:v>0.59576988542325937</c:v>
                </c:pt>
                <c:pt idx="132">
                  <c:v>-0.92056556985000526</c:v>
                </c:pt>
                <c:pt idx="133">
                  <c:v>3.960906590666414</c:v>
                </c:pt>
                <c:pt idx="134">
                  <c:v>0.68814481328456845</c:v>
                </c:pt>
                <c:pt idx="135">
                  <c:v>2.6178165173507102</c:v>
                </c:pt>
                <c:pt idx="136">
                  <c:v>-1.8831398850743466</c:v>
                </c:pt>
                <c:pt idx="137">
                  <c:v>-3.7425930768997135</c:v>
                </c:pt>
                <c:pt idx="138">
                  <c:v>-4.1494191672989507</c:v>
                </c:pt>
                <c:pt idx="139">
                  <c:v>2.2736662917383121</c:v>
                </c:pt>
                <c:pt idx="140">
                  <c:v>-0.29474532345298771</c:v>
                </c:pt>
                <c:pt idx="141">
                  <c:v>0.27407503415407608</c:v>
                </c:pt>
                <c:pt idx="142">
                  <c:v>3.0366305501800799</c:v>
                </c:pt>
                <c:pt idx="143">
                  <c:v>1.0565128914867781</c:v>
                </c:pt>
                <c:pt idx="144">
                  <c:v>-1.943334256078785</c:v>
                </c:pt>
                <c:pt idx="145">
                  <c:v>0.30586646279141594</c:v>
                </c:pt>
                <c:pt idx="146">
                  <c:v>4.04186416755328</c:v>
                </c:pt>
                <c:pt idx="147">
                  <c:v>2.1596571891668974</c:v>
                </c:pt>
                <c:pt idx="148">
                  <c:v>0.68057363390531334</c:v>
                </c:pt>
                <c:pt idx="149">
                  <c:v>-1.4213518358079418</c:v>
                </c:pt>
                <c:pt idx="150">
                  <c:v>1.0335521101907001</c:v>
                </c:pt>
                <c:pt idx="151">
                  <c:v>-4.5299721531002071</c:v>
                </c:pt>
                <c:pt idx="152">
                  <c:v>1.0551130599516718</c:v>
                </c:pt>
                <c:pt idx="153">
                  <c:v>-0.79907219487783709</c:v>
                </c:pt>
                <c:pt idx="154">
                  <c:v>2.4171906399509537</c:v>
                </c:pt>
                <c:pt idx="155">
                  <c:v>-2.181461925599951</c:v>
                </c:pt>
                <c:pt idx="156">
                  <c:v>0.4562786308386661</c:v>
                </c:pt>
                <c:pt idx="157">
                  <c:v>2.1164663740448741</c:v>
                </c:pt>
                <c:pt idx="158">
                  <c:v>-2.0956982189571711</c:v>
                </c:pt>
                <c:pt idx="159">
                  <c:v>1.3842708342505747</c:v>
                </c:pt>
                <c:pt idx="160">
                  <c:v>-0.36872677778191981</c:v>
                </c:pt>
                <c:pt idx="161">
                  <c:v>3.9753612816643327</c:v>
                </c:pt>
                <c:pt idx="162">
                  <c:v>-3.2624676637572945</c:v>
                </c:pt>
                <c:pt idx="163">
                  <c:v>-4.0797024671494073</c:v>
                </c:pt>
                <c:pt idx="164">
                  <c:v>0.41826939869833624</c:v>
                </c:pt>
                <c:pt idx="165">
                  <c:v>-2.6889307426809115</c:v>
                </c:pt>
                <c:pt idx="166">
                  <c:v>1.4429816611378621</c:v>
                </c:pt>
                <c:pt idx="167">
                  <c:v>-0.81989096187635768</c:v>
                </c:pt>
                <c:pt idx="168">
                  <c:v>1.2606837306559229</c:v>
                </c:pt>
                <c:pt idx="169">
                  <c:v>2.0008864180909312</c:v>
                </c:pt>
                <c:pt idx="170">
                  <c:v>1.5236534445475094</c:v>
                </c:pt>
                <c:pt idx="171">
                  <c:v>0.13876359688978221</c:v>
                </c:pt>
                <c:pt idx="172">
                  <c:v>-0.49266511723272455</c:v>
                </c:pt>
                <c:pt idx="173">
                  <c:v>1.8242297574189319</c:v>
                </c:pt>
                <c:pt idx="174">
                  <c:v>2.1421613175100132</c:v>
                </c:pt>
                <c:pt idx="175">
                  <c:v>2.9410130653287667</c:v>
                </c:pt>
                <c:pt idx="176">
                  <c:v>0.86670938563357358</c:v>
                </c:pt>
                <c:pt idx="177">
                  <c:v>4.0991598731224528</c:v>
                </c:pt>
                <c:pt idx="178">
                  <c:v>-1.5130714782253463</c:v>
                </c:pt>
                <c:pt idx="179">
                  <c:v>1.0575176919406166</c:v>
                </c:pt>
                <c:pt idx="180">
                  <c:v>1.2198046946969134</c:v>
                </c:pt>
                <c:pt idx="181">
                  <c:v>-0.10284474111480028</c:v>
                </c:pt>
                <c:pt idx="182">
                  <c:v>0.41448091802122339</c:v>
                </c:pt>
                <c:pt idx="183">
                  <c:v>-2.1404819632123959</c:v>
                </c:pt>
                <c:pt idx="184">
                  <c:v>-0.8988694472496197</c:v>
                </c:pt>
                <c:pt idx="185">
                  <c:v>6.1544431217281295</c:v>
                </c:pt>
                <c:pt idx="186">
                  <c:v>0.79550008787003279</c:v>
                </c:pt>
                <c:pt idx="187">
                  <c:v>-3.6908430757502066</c:v>
                </c:pt>
                <c:pt idx="188">
                  <c:v>-0.24909533199056985</c:v>
                </c:pt>
                <c:pt idx="189">
                  <c:v>1.5128545510726437</c:v>
                </c:pt>
                <c:pt idx="190">
                  <c:v>3.8848511267144068</c:v>
                </c:pt>
                <c:pt idx="191">
                  <c:v>0.46156684391922315</c:v>
                </c:pt>
                <c:pt idx="192">
                  <c:v>0.66957746988174183</c:v>
                </c:pt>
                <c:pt idx="193">
                  <c:v>3.1396270142549767</c:v>
                </c:pt>
                <c:pt idx="194">
                  <c:v>-4.4419013165290802E-2</c:v>
                </c:pt>
                <c:pt idx="195">
                  <c:v>2.011130652791028</c:v>
                </c:pt>
                <c:pt idx="196">
                  <c:v>3.3508113398436916</c:v>
                </c:pt>
                <c:pt idx="197">
                  <c:v>3.4570146269698925</c:v>
                </c:pt>
                <c:pt idx="198">
                  <c:v>2.5247823588124727</c:v>
                </c:pt>
                <c:pt idx="199">
                  <c:v>-2.7046500176103643E-2</c:v>
                </c:pt>
                <c:pt idx="200">
                  <c:v>2.7796142833071622</c:v>
                </c:pt>
                <c:pt idx="201">
                  <c:v>5.6499192787789072</c:v>
                </c:pt>
                <c:pt idx="202">
                  <c:v>0.46389218950928734</c:v>
                </c:pt>
                <c:pt idx="203">
                  <c:v>0.46830371061426468</c:v>
                </c:pt>
                <c:pt idx="204">
                  <c:v>-4.8152124544263843</c:v>
                </c:pt>
                <c:pt idx="205">
                  <c:v>7.5783442148794192E-2</c:v>
                </c:pt>
                <c:pt idx="206">
                  <c:v>-4.3405038732683678</c:v>
                </c:pt>
                <c:pt idx="207">
                  <c:v>-2.4304971515768914</c:v>
                </c:pt>
                <c:pt idx="208">
                  <c:v>1.7858748298402631</c:v>
                </c:pt>
                <c:pt idx="209">
                  <c:v>0.2275737396647767</c:v>
                </c:pt>
                <c:pt idx="210">
                  <c:v>6.5773875277121316</c:v>
                </c:pt>
                <c:pt idx="211">
                  <c:v>-0.84256081550424167</c:v>
                </c:pt>
                <c:pt idx="212">
                  <c:v>-1.4714351161230934</c:v>
                </c:pt>
                <c:pt idx="213">
                  <c:v>-2.4544803997919247</c:v>
                </c:pt>
                <c:pt idx="214">
                  <c:v>2.2991071145079061</c:v>
                </c:pt>
                <c:pt idx="215">
                  <c:v>-3.1499353977787767</c:v>
                </c:pt>
                <c:pt idx="216">
                  <c:v>4.7187960416371633</c:v>
                </c:pt>
                <c:pt idx="217">
                  <c:v>-1.8972030978024348</c:v>
                </c:pt>
                <c:pt idx="218">
                  <c:v>2.1579980487235666</c:v>
                </c:pt>
                <c:pt idx="219">
                  <c:v>-1.7623715324742253</c:v>
                </c:pt>
                <c:pt idx="220">
                  <c:v>0.86372656979103168</c:v>
                </c:pt>
                <c:pt idx="221">
                  <c:v>0.59699633171930067</c:v>
                </c:pt>
                <c:pt idx="222">
                  <c:v>-4.6366746601539877</c:v>
                </c:pt>
                <c:pt idx="223">
                  <c:v>4.9908906578912005</c:v>
                </c:pt>
                <c:pt idx="224">
                  <c:v>0.31123947758004422</c:v>
                </c:pt>
                <c:pt idx="225">
                  <c:v>-1.2320413289640915</c:v>
                </c:pt>
                <c:pt idx="226">
                  <c:v>-1.93227644221479</c:v>
                </c:pt>
                <c:pt idx="227">
                  <c:v>3.8284840891160474</c:v>
                </c:pt>
                <c:pt idx="228">
                  <c:v>-1.2258339167491896</c:v>
                </c:pt>
                <c:pt idx="229">
                  <c:v>-2.950585857117487</c:v>
                </c:pt>
                <c:pt idx="230">
                  <c:v>0.21450022163920116</c:v>
                </c:pt>
                <c:pt idx="231">
                  <c:v>-2.5635269824197575</c:v>
                </c:pt>
                <c:pt idx="232">
                  <c:v>-3.0409745259237568</c:v>
                </c:pt>
                <c:pt idx="233">
                  <c:v>0.16398601840527582</c:v>
                </c:pt>
                <c:pt idx="234">
                  <c:v>1.6933755344973169</c:v>
                </c:pt>
                <c:pt idx="235">
                  <c:v>-1.4832023131042682</c:v>
                </c:pt>
                <c:pt idx="236">
                  <c:v>-2.6536467167001403</c:v>
                </c:pt>
                <c:pt idx="237">
                  <c:v>1.1213762695332847</c:v>
                </c:pt>
                <c:pt idx="238">
                  <c:v>-0.36485974708114716</c:v>
                </c:pt>
                <c:pt idx="239">
                  <c:v>-0.87839371337818206</c:v>
                </c:pt>
                <c:pt idx="240">
                  <c:v>-2.4698284870807847</c:v>
                </c:pt>
                <c:pt idx="241">
                  <c:v>1.0760561123226369</c:v>
                </c:pt>
                <c:pt idx="242">
                  <c:v>-1.0148891440389736</c:v>
                </c:pt>
                <c:pt idx="243">
                  <c:v>-4.2930748069210312</c:v>
                </c:pt>
                <c:pt idx="244">
                  <c:v>-0.20588480891491714</c:v>
                </c:pt>
                <c:pt idx="245">
                  <c:v>-0.58939180540845881</c:v>
                </c:pt>
                <c:pt idx="246">
                  <c:v>3.8466196856295372</c:v>
                </c:pt>
                <c:pt idx="247">
                  <c:v>-3.4263917345563084</c:v>
                </c:pt>
                <c:pt idx="248">
                  <c:v>0.12893992324668493</c:v>
                </c:pt>
                <c:pt idx="249">
                  <c:v>-1.9668761929032561</c:v>
                </c:pt>
                <c:pt idx="250">
                  <c:v>4.3340567313731899</c:v>
                </c:pt>
                <c:pt idx="251">
                  <c:v>0.7639097228578573</c:v>
                </c:pt>
                <c:pt idx="252">
                  <c:v>0.61092358117984147</c:v>
                </c:pt>
                <c:pt idx="253">
                  <c:v>-0.29355748912858809</c:v>
                </c:pt>
                <c:pt idx="254">
                  <c:v>1.2002583725312512</c:v>
                </c:pt>
                <c:pt idx="255">
                  <c:v>-3.0859958111660268</c:v>
                </c:pt>
                <c:pt idx="256">
                  <c:v>-1.2785144270725366</c:v>
                </c:pt>
                <c:pt idx="257">
                  <c:v>2.2188154176278974</c:v>
                </c:pt>
                <c:pt idx="258">
                  <c:v>-0.63048817567790827</c:v>
                </c:pt>
                <c:pt idx="259">
                  <c:v>-1.6003565508709532</c:v>
                </c:pt>
                <c:pt idx="260">
                  <c:v>1.8380824630380022</c:v>
                </c:pt>
                <c:pt idx="261">
                  <c:v>1.2558630517221665</c:v>
                </c:pt>
                <c:pt idx="262">
                  <c:v>-2.8716961337103539</c:v>
                </c:pt>
                <c:pt idx="263">
                  <c:v>-1.1112688484862399</c:v>
                </c:pt>
                <c:pt idx="264">
                  <c:v>-1.8365451458428594</c:v>
                </c:pt>
                <c:pt idx="265">
                  <c:v>-2.7052633253200802</c:v>
                </c:pt>
                <c:pt idx="266">
                  <c:v>-1.094144883231281</c:v>
                </c:pt>
                <c:pt idx="267">
                  <c:v>-0.1835527511766365</c:v>
                </c:pt>
                <c:pt idx="268">
                  <c:v>0.60068142104213318</c:v>
                </c:pt>
                <c:pt idx="269">
                  <c:v>2.1900857984033251</c:v>
                </c:pt>
                <c:pt idx="270">
                  <c:v>1.6222997562158514</c:v>
                </c:pt>
                <c:pt idx="271">
                  <c:v>2.7611292234441898</c:v>
                </c:pt>
                <c:pt idx="272">
                  <c:v>1.9754474172487893</c:v>
                </c:pt>
                <c:pt idx="273">
                  <c:v>3.5247586662735566</c:v>
                </c:pt>
                <c:pt idx="274">
                  <c:v>-2.0224950630885106</c:v>
                </c:pt>
                <c:pt idx="275">
                  <c:v>-0.79186911337234278</c:v>
                </c:pt>
                <c:pt idx="276">
                  <c:v>-0.67994471283587654</c:v>
                </c:pt>
                <c:pt idx="277">
                  <c:v>-1.965297533899899</c:v>
                </c:pt>
                <c:pt idx="278">
                  <c:v>-1.0989859148731433</c:v>
                </c:pt>
                <c:pt idx="279">
                  <c:v>2.1313535582945486</c:v>
                </c:pt>
                <c:pt idx="280">
                  <c:v>1.5580714304461296</c:v>
                </c:pt>
                <c:pt idx="281">
                  <c:v>1.7219897683882721</c:v>
                </c:pt>
                <c:pt idx="282">
                  <c:v>0.37837882666122985</c:v>
                </c:pt>
                <c:pt idx="283">
                  <c:v>-1.0769719191160683</c:v>
                </c:pt>
                <c:pt idx="284">
                  <c:v>0.71157571340935999</c:v>
                </c:pt>
                <c:pt idx="285">
                  <c:v>-7.8574630324440078E-2</c:v>
                </c:pt>
                <c:pt idx="286">
                  <c:v>-1.8517229798761476</c:v>
                </c:pt>
                <c:pt idx="287">
                  <c:v>-3.2618783597593146</c:v>
                </c:pt>
                <c:pt idx="288">
                  <c:v>0.97722938421350991</c:v>
                </c:pt>
                <c:pt idx="289">
                  <c:v>0.88485010726239688</c:v>
                </c:pt>
                <c:pt idx="290">
                  <c:v>1.0381913693389977</c:v>
                </c:pt>
                <c:pt idx="291">
                  <c:v>-0.69432657173350709</c:v>
                </c:pt>
                <c:pt idx="292">
                  <c:v>1.030893419800341</c:v>
                </c:pt>
                <c:pt idx="293">
                  <c:v>2.8907899458167146</c:v>
                </c:pt>
                <c:pt idx="294">
                  <c:v>2.838677889799829</c:v>
                </c:pt>
                <c:pt idx="295">
                  <c:v>-0.83699202471860756</c:v>
                </c:pt>
                <c:pt idx="296">
                  <c:v>-2.0780962506213099</c:v>
                </c:pt>
                <c:pt idx="297">
                  <c:v>-1.9347984410958103</c:v>
                </c:pt>
                <c:pt idx="298">
                  <c:v>0.35725409147239023</c:v>
                </c:pt>
                <c:pt idx="299">
                  <c:v>2.8388121626029719</c:v>
                </c:pt>
                <c:pt idx="300">
                  <c:v>0.84906339455349733</c:v>
                </c:pt>
                <c:pt idx="301">
                  <c:v>-1.4478016426764693</c:v>
                </c:pt>
                <c:pt idx="302">
                  <c:v>-3.2093243972367111</c:v>
                </c:pt>
                <c:pt idx="303">
                  <c:v>1.8596098895486768</c:v>
                </c:pt>
                <c:pt idx="304">
                  <c:v>-0.31582185563216253</c:v>
                </c:pt>
                <c:pt idx="305">
                  <c:v>3.6220930256459858</c:v>
                </c:pt>
                <c:pt idx="306">
                  <c:v>-1.1259109806368799</c:v>
                </c:pt>
                <c:pt idx="307">
                  <c:v>-2.5899035949807918</c:v>
                </c:pt>
                <c:pt idx="308">
                  <c:v>-2.0346431601670516</c:v>
                </c:pt>
                <c:pt idx="309">
                  <c:v>-2.4194892683812768</c:v>
                </c:pt>
                <c:pt idx="310">
                  <c:v>0.69465267477375647</c:v>
                </c:pt>
                <c:pt idx="311">
                  <c:v>-0.33691653257515297</c:v>
                </c:pt>
                <c:pt idx="312">
                  <c:v>0.5923859738510695</c:v>
                </c:pt>
                <c:pt idx="313">
                  <c:v>-0.42313217461639668</c:v>
                </c:pt>
                <c:pt idx="314">
                  <c:v>-1.0945359671476956E-2</c:v>
                </c:pt>
                <c:pt idx="315">
                  <c:v>2.4628426666485166</c:v>
                </c:pt>
                <c:pt idx="316">
                  <c:v>1.1578620916690776</c:v>
                </c:pt>
                <c:pt idx="317">
                  <c:v>-1.8623967882517154</c:v>
                </c:pt>
                <c:pt idx="318">
                  <c:v>-0.87096539126208994</c:v>
                </c:pt>
                <c:pt idx="319">
                  <c:v>1.9375941713514462</c:v>
                </c:pt>
                <c:pt idx="320">
                  <c:v>0.86725724860318776</c:v>
                </c:pt>
                <c:pt idx="321">
                  <c:v>0.70691240850174464</c:v>
                </c:pt>
                <c:pt idx="322">
                  <c:v>0.92514239889120475</c:v>
                </c:pt>
                <c:pt idx="323">
                  <c:v>1.9019782809450432</c:v>
                </c:pt>
                <c:pt idx="324">
                  <c:v>-0.77060010004418666</c:v>
                </c:pt>
                <c:pt idx="325">
                  <c:v>1.0086128352050285</c:v>
                </c:pt>
                <c:pt idx="326">
                  <c:v>-1.208921905323479</c:v>
                </c:pt>
                <c:pt idx="327">
                  <c:v>-0.79007758520530336</c:v>
                </c:pt>
                <c:pt idx="328">
                  <c:v>0.53184068449873789</c:v>
                </c:pt>
                <c:pt idx="329">
                  <c:v>-0.21734005166266196</c:v>
                </c:pt>
                <c:pt idx="330">
                  <c:v>1.4540290807122407</c:v>
                </c:pt>
                <c:pt idx="331">
                  <c:v>0.53553243515030036</c:v>
                </c:pt>
                <c:pt idx="332">
                  <c:v>0.89281932969631383</c:v>
                </c:pt>
                <c:pt idx="333">
                  <c:v>-1.4134781372111551</c:v>
                </c:pt>
                <c:pt idx="334">
                  <c:v>-1.6527758098941752</c:v>
                </c:pt>
                <c:pt idx="335">
                  <c:v>-1.6434035625841983</c:v>
                </c:pt>
                <c:pt idx="336">
                  <c:v>0.87384176954761306</c:v>
                </c:pt>
                <c:pt idx="337">
                  <c:v>-2.1969875385112192</c:v>
                </c:pt>
                <c:pt idx="338">
                  <c:v>-1.5282841345527729</c:v>
                </c:pt>
                <c:pt idx="339">
                  <c:v>2.7783169896415774</c:v>
                </c:pt>
                <c:pt idx="340">
                  <c:v>-0.8804107327711006</c:v>
                </c:pt>
                <c:pt idx="341">
                  <c:v>-2.346031835046682</c:v>
                </c:pt>
                <c:pt idx="342">
                  <c:v>-0.83054740401872074</c:v>
                </c:pt>
                <c:pt idx="343">
                  <c:v>0.97854882145889421</c:v>
                </c:pt>
                <c:pt idx="344">
                  <c:v>0.74003966425571732</c:v>
                </c:pt>
                <c:pt idx="345">
                  <c:v>1.5416258090850783</c:v>
                </c:pt>
                <c:pt idx="346">
                  <c:v>-0.3330525263610114</c:v>
                </c:pt>
                <c:pt idx="347">
                  <c:v>0.71190333807854034</c:v>
                </c:pt>
                <c:pt idx="348">
                  <c:v>-0.4014102534149559</c:v>
                </c:pt>
                <c:pt idx="349">
                  <c:v>0.14651317287517074</c:v>
                </c:pt>
                <c:pt idx="350">
                  <c:v>0.73249549122584501</c:v>
                </c:pt>
                <c:pt idx="351">
                  <c:v>-0.53575589241544841</c:v>
                </c:pt>
                <c:pt idx="352">
                  <c:v>0.93515419950035683</c:v>
                </c:pt>
                <c:pt idx="353">
                  <c:v>-0.43880894932052694</c:v>
                </c:pt>
                <c:pt idx="354">
                  <c:v>-0.39499213924698928</c:v>
                </c:pt>
                <c:pt idx="355">
                  <c:v>-0.16562625995996708</c:v>
                </c:pt>
                <c:pt idx="356">
                  <c:v>1.9253904756388527</c:v>
                </c:pt>
                <c:pt idx="357">
                  <c:v>1.4496231714695487</c:v>
                </c:pt>
                <c:pt idx="358">
                  <c:v>1.6050318979251019</c:v>
                </c:pt>
                <c:pt idx="359">
                  <c:v>-1.181517944976874</c:v>
                </c:pt>
                <c:pt idx="360">
                  <c:v>0.19977254800332964</c:v>
                </c:pt>
                <c:pt idx="361">
                  <c:v>-0.68127707863782239</c:v>
                </c:pt>
                <c:pt idx="362">
                  <c:v>2.6644680065467128</c:v>
                </c:pt>
                <c:pt idx="363">
                  <c:v>-0.13792047365715215</c:v>
                </c:pt>
                <c:pt idx="364">
                  <c:v>1.7650397270658749</c:v>
                </c:pt>
                <c:pt idx="365">
                  <c:v>0.46457800636705637</c:v>
                </c:pt>
                <c:pt idx="366">
                  <c:v>2.2296259732660597</c:v>
                </c:pt>
                <c:pt idx="367">
                  <c:v>1.9013783882444257</c:v>
                </c:pt>
                <c:pt idx="368">
                  <c:v>1.6561502021227101</c:v>
                </c:pt>
                <c:pt idx="369">
                  <c:v>4.0101869678839188</c:v>
                </c:pt>
                <c:pt idx="370">
                  <c:v>0.38761281717339624</c:v>
                </c:pt>
                <c:pt idx="371">
                  <c:v>-1.3242000081082885</c:v>
                </c:pt>
                <c:pt idx="372">
                  <c:v>0.64633668303442382</c:v>
                </c:pt>
                <c:pt idx="373">
                  <c:v>-1.3252484268026061</c:v>
                </c:pt>
                <c:pt idx="374">
                  <c:v>0.63937896292466423</c:v>
                </c:pt>
                <c:pt idx="375">
                  <c:v>0.60439102526913546</c:v>
                </c:pt>
                <c:pt idx="376">
                  <c:v>1.1686632096669893</c:v>
                </c:pt>
                <c:pt idx="377">
                  <c:v>0.37876117646643881</c:v>
                </c:pt>
                <c:pt idx="378">
                  <c:v>7.4337154235865469E-2</c:v>
                </c:pt>
                <c:pt idx="379">
                  <c:v>0.94437736390998384</c:v>
                </c:pt>
                <c:pt idx="380">
                  <c:v>-1.1648429212240683E-2</c:v>
                </c:pt>
                <c:pt idx="381">
                  <c:v>-0.47124036901814176</c:v>
                </c:pt>
                <c:pt idx="382">
                  <c:v>2.1075938830894927</c:v>
                </c:pt>
                <c:pt idx="383">
                  <c:v>1.1245304712640229</c:v>
                </c:pt>
                <c:pt idx="384">
                  <c:v>-0.98931232477245523</c:v>
                </c:pt>
                <c:pt idx="385">
                  <c:v>3.5678312181020022</c:v>
                </c:pt>
                <c:pt idx="386">
                  <c:v>1.6645095396045388</c:v>
                </c:pt>
                <c:pt idx="387">
                  <c:v>-1.1915655600772774</c:v>
                </c:pt>
                <c:pt idx="388">
                  <c:v>0.21278442098737796</c:v>
                </c:pt>
                <c:pt idx="389">
                  <c:v>-1.1663778056848582</c:v>
                </c:pt>
                <c:pt idx="390">
                  <c:v>-1.592350380357747</c:v>
                </c:pt>
                <c:pt idx="391">
                  <c:v>-0.49794047620328652</c:v>
                </c:pt>
                <c:pt idx="392">
                  <c:v>1.4747291733091039</c:v>
                </c:pt>
                <c:pt idx="393">
                  <c:v>-3.5764830724540544</c:v>
                </c:pt>
                <c:pt idx="394">
                  <c:v>1.8793375133671606</c:v>
                </c:pt>
                <c:pt idx="395">
                  <c:v>2.6647831276245515E-3</c:v>
                </c:pt>
                <c:pt idx="396">
                  <c:v>2.0721519764662157</c:v>
                </c:pt>
                <c:pt idx="397">
                  <c:v>1.5114708067822218</c:v>
                </c:pt>
                <c:pt idx="398">
                  <c:v>-0.31597509274897151</c:v>
                </c:pt>
                <c:pt idx="399">
                  <c:v>-4.0888088168019117</c:v>
                </c:pt>
                <c:pt idx="400">
                  <c:v>0.40870709408432893</c:v>
                </c:pt>
                <c:pt idx="401">
                  <c:v>1.0774686579460648</c:v>
                </c:pt>
                <c:pt idx="402">
                  <c:v>1.7975666220211421</c:v>
                </c:pt>
                <c:pt idx="403">
                  <c:v>3.4555135657062785</c:v>
                </c:pt>
                <c:pt idx="404">
                  <c:v>0.41049504037537365</c:v>
                </c:pt>
                <c:pt idx="405">
                  <c:v>-0.65769096642322911</c:v>
                </c:pt>
                <c:pt idx="406">
                  <c:v>-0.25068044971322223</c:v>
                </c:pt>
                <c:pt idx="407">
                  <c:v>4.2795891472607199E-2</c:v>
                </c:pt>
                <c:pt idx="408">
                  <c:v>-1.7809409201553186</c:v>
                </c:pt>
                <c:pt idx="409">
                  <c:v>1.2469238827969014</c:v>
                </c:pt>
                <c:pt idx="410">
                  <c:v>1.2354170372099809</c:v>
                </c:pt>
                <c:pt idx="411">
                  <c:v>-1.6289174494598335</c:v>
                </c:pt>
                <c:pt idx="412">
                  <c:v>0.1084223268593271</c:v>
                </c:pt>
                <c:pt idx="413">
                  <c:v>-3.3567088508538001</c:v>
                </c:pt>
                <c:pt idx="414">
                  <c:v>-1.8363209877944879</c:v>
                </c:pt>
                <c:pt idx="415">
                  <c:v>0.20653615394819419</c:v>
                </c:pt>
                <c:pt idx="416">
                  <c:v>1.3459158627497136</c:v>
                </c:pt>
                <c:pt idx="417">
                  <c:v>-0.65622557526918335</c:v>
                </c:pt>
                <c:pt idx="418">
                  <c:v>-0.17217124040956311</c:v>
                </c:pt>
                <c:pt idx="419">
                  <c:v>2.5468337520233756E-2</c:v>
                </c:pt>
                <c:pt idx="420">
                  <c:v>0.61032127907665623</c:v>
                </c:pt>
                <c:pt idx="421">
                  <c:v>-0.65508652692467639</c:v>
                </c:pt>
                <c:pt idx="422">
                  <c:v>-1.5801438693049157</c:v>
                </c:pt>
                <c:pt idx="423">
                  <c:v>3.2966358622470158</c:v>
                </c:pt>
                <c:pt idx="424">
                  <c:v>-1.3599261003345906</c:v>
                </c:pt>
                <c:pt idx="425">
                  <c:v>1.5357816715566199</c:v>
                </c:pt>
                <c:pt idx="426">
                  <c:v>0.20757220996837245</c:v>
                </c:pt>
                <c:pt idx="427">
                  <c:v>2.3113305192285374</c:v>
                </c:pt>
                <c:pt idx="428">
                  <c:v>2.8023835296922557</c:v>
                </c:pt>
                <c:pt idx="429">
                  <c:v>7.4785136194210872E-2</c:v>
                </c:pt>
                <c:pt idx="430">
                  <c:v>-1.5250678162972608</c:v>
                </c:pt>
                <c:pt idx="431">
                  <c:v>-1.1813132617214446</c:v>
                </c:pt>
                <c:pt idx="432">
                  <c:v>-1.1979163467702234</c:v>
                </c:pt>
                <c:pt idx="433">
                  <c:v>1.9880437683978436</c:v>
                </c:pt>
                <c:pt idx="434">
                  <c:v>-2.5317611522820695</c:v>
                </c:pt>
                <c:pt idx="435">
                  <c:v>0.10236725382301001</c:v>
                </c:pt>
                <c:pt idx="436">
                  <c:v>-2.1465020141145819</c:v>
                </c:pt>
                <c:pt idx="437">
                  <c:v>0.17522037704251719</c:v>
                </c:pt>
                <c:pt idx="438">
                  <c:v>-1.4990754680492793</c:v>
                </c:pt>
                <c:pt idx="439">
                  <c:v>0.6884287966500281</c:v>
                </c:pt>
                <c:pt idx="440">
                  <c:v>0.38945976678251931</c:v>
                </c:pt>
                <c:pt idx="441">
                  <c:v>0.15803607331494998</c:v>
                </c:pt>
                <c:pt idx="442">
                  <c:v>0.11452601436086662</c:v>
                </c:pt>
                <c:pt idx="443">
                  <c:v>0.43321127000892229</c:v>
                </c:pt>
                <c:pt idx="444">
                  <c:v>-0.1056921680798223</c:v>
                </c:pt>
                <c:pt idx="445">
                  <c:v>0.53918732837756045</c:v>
                </c:pt>
                <c:pt idx="446">
                  <c:v>0.50376752725768559</c:v>
                </c:pt>
                <c:pt idx="447">
                  <c:v>1.1517807595044847</c:v>
                </c:pt>
                <c:pt idx="448">
                  <c:v>0.8518970653021487</c:v>
                </c:pt>
                <c:pt idx="449">
                  <c:v>-0.73821912742425333</c:v>
                </c:pt>
                <c:pt idx="450">
                  <c:v>-2.1627390809771696</c:v>
                </c:pt>
                <c:pt idx="451">
                  <c:v>-0.50077885264994948</c:v>
                </c:pt>
                <c:pt idx="452">
                  <c:v>-0.36048629114038061</c:v>
                </c:pt>
                <c:pt idx="453">
                  <c:v>-0.79958703918206608</c:v>
                </c:pt>
                <c:pt idx="454">
                  <c:v>0.37756329377672615</c:v>
                </c:pt>
                <c:pt idx="455">
                  <c:v>-1.4616410529705908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6.5373643458506256E-2</c:v>
                </c:pt>
                <c:pt idx="464">
                  <c:v>-0.18362573259221937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-0.20075501696840636</c:v>
                </c:pt>
                <c:pt idx="469">
                  <c:v>-6.1933305334850109E-3</c:v>
                </c:pt>
                <c:pt idx="470">
                  <c:v>0.14592927629205069</c:v>
                </c:pt>
                <c:pt idx="471">
                  <c:v>0.25662902975326857</c:v>
                </c:pt>
                <c:pt idx="472">
                  <c:v>0.23372737672370433</c:v>
                </c:pt>
                <c:pt idx="473">
                  <c:v>7.2566436061281936E-2</c:v>
                </c:pt>
                <c:pt idx="474">
                  <c:v>0.85562458042766454</c:v>
                </c:pt>
                <c:pt idx="475">
                  <c:v>-0.17105657470331767</c:v>
                </c:pt>
                <c:pt idx="476">
                  <c:v>2.1242161853997881</c:v>
                </c:pt>
                <c:pt idx="477">
                  <c:v>0.85448271605438808</c:v>
                </c:pt>
                <c:pt idx="478">
                  <c:v>-2.12677104712232</c:v>
                </c:pt>
                <c:pt idx="479">
                  <c:v>1.2792805019060121</c:v>
                </c:pt>
                <c:pt idx="480">
                  <c:v>-0.26102437986136301</c:v>
                </c:pt>
                <c:pt idx="481">
                  <c:v>0.99601032109811782</c:v>
                </c:pt>
                <c:pt idx="482">
                  <c:v>-0.2699346012615233</c:v>
                </c:pt>
                <c:pt idx="483">
                  <c:v>-1.1442762279333047</c:v>
                </c:pt>
                <c:pt idx="484">
                  <c:v>0.9173111966414782</c:v>
                </c:pt>
                <c:pt idx="485">
                  <c:v>-0.47890354746523034</c:v>
                </c:pt>
                <c:pt idx="486">
                  <c:v>0.42367493215045271</c:v>
                </c:pt>
                <c:pt idx="487">
                  <c:v>5.4728180865401606E-2</c:v>
                </c:pt>
                <c:pt idx="488">
                  <c:v>-1.1087721262754964</c:v>
                </c:pt>
                <c:pt idx="489">
                  <c:v>0.42722912383544603</c:v>
                </c:pt>
                <c:pt idx="490">
                  <c:v>0.49110727088365003</c:v>
                </c:pt>
                <c:pt idx="491">
                  <c:v>-1.2044922931731257</c:v>
                </c:pt>
                <c:pt idx="492">
                  <c:v>0.51641602478085813</c:v>
                </c:pt>
                <c:pt idx="493">
                  <c:v>1.4920112168118669</c:v>
                </c:pt>
                <c:pt idx="494">
                  <c:v>-1.1414532896531311</c:v>
                </c:pt>
                <c:pt idx="495">
                  <c:v>-0.30074703388614066</c:v>
                </c:pt>
                <c:pt idx="496">
                  <c:v>0.98789945184246641</c:v>
                </c:pt>
                <c:pt idx="497">
                  <c:v>1.0390073241868882</c:v>
                </c:pt>
                <c:pt idx="498">
                  <c:v>-0.18741147919893145</c:v>
                </c:pt>
                <c:pt idx="499">
                  <c:v>0.79620993904979442</c:v>
                </c:pt>
                <c:pt idx="500">
                  <c:v>-1.8584578375484193</c:v>
                </c:pt>
                <c:pt idx="501">
                  <c:v>-1.4443178665565251</c:v>
                </c:pt>
                <c:pt idx="502">
                  <c:v>-6.0778649886357124E-2</c:v>
                </c:pt>
                <c:pt idx="503">
                  <c:v>-5.5225771750251292E-2</c:v>
                </c:pt>
                <c:pt idx="504">
                  <c:v>5.8350001279225946E-2</c:v>
                </c:pt>
                <c:pt idx="505">
                  <c:v>-7.0331599830746383E-2</c:v>
                </c:pt>
                <c:pt idx="506">
                  <c:v>-0.17983861005091961</c:v>
                </c:pt>
                <c:pt idx="507">
                  <c:v>-0.33603985450356449</c:v>
                </c:pt>
                <c:pt idx="508">
                  <c:v>0.57676551896713357</c:v>
                </c:pt>
                <c:pt idx="509">
                  <c:v>0.67180815607699806</c:v>
                </c:pt>
                <c:pt idx="510">
                  <c:v>-0.71451903570551689</c:v>
                </c:pt>
                <c:pt idx="511">
                  <c:v>1.107550153851109</c:v>
                </c:pt>
                <c:pt idx="512">
                  <c:v>0.4614648104333513</c:v>
                </c:pt>
                <c:pt idx="513">
                  <c:v>0.45669209841557884</c:v>
                </c:pt>
                <c:pt idx="514">
                  <c:v>-1.9359261741401284</c:v>
                </c:pt>
                <c:pt idx="515">
                  <c:v>-2.0380518365553775E-2</c:v>
                </c:pt>
                <c:pt idx="516">
                  <c:v>0.25116776215580888</c:v>
                </c:pt>
                <c:pt idx="517">
                  <c:v>-1.4441158192502192E-2</c:v>
                </c:pt>
                <c:pt idx="518">
                  <c:v>6.0274064173711214E-2</c:v>
                </c:pt>
                <c:pt idx="519">
                  <c:v>0.26847495517204573</c:v>
                </c:pt>
                <c:pt idx="520">
                  <c:v>0.15557111843450855</c:v>
                </c:pt>
                <c:pt idx="521">
                  <c:v>0.81646610875519787</c:v>
                </c:pt>
                <c:pt idx="522">
                  <c:v>-0.45917548690813242</c:v>
                </c:pt>
                <c:pt idx="523">
                  <c:v>-4.3325367627138102E-2</c:v>
                </c:pt>
                <c:pt idx="524">
                  <c:v>0.69989460865831044</c:v>
                </c:pt>
                <c:pt idx="525">
                  <c:v>6.4635623079190851E-2</c:v>
                </c:pt>
                <c:pt idx="526">
                  <c:v>6.7183448251374622E-2</c:v>
                </c:pt>
                <c:pt idx="527">
                  <c:v>-0.49773540852442461</c:v>
                </c:pt>
                <c:pt idx="528">
                  <c:v>3.9403146153557514E-2</c:v>
                </c:pt>
                <c:pt idx="529">
                  <c:v>0.53592716821561814</c:v>
                </c:pt>
                <c:pt idx="530">
                  <c:v>-0.66428732130821799</c:v>
                </c:pt>
                <c:pt idx="531">
                  <c:v>0.32927658550038219</c:v>
                </c:pt>
                <c:pt idx="532">
                  <c:v>1.0385373267136848</c:v>
                </c:pt>
                <c:pt idx="533">
                  <c:v>0.7895542026190735</c:v>
                </c:pt>
                <c:pt idx="534">
                  <c:v>-0.7844744866892468</c:v>
                </c:pt>
                <c:pt idx="535">
                  <c:v>-0.35750588474272588</c:v>
                </c:pt>
                <c:pt idx="536">
                  <c:v>1.5645481768658351</c:v>
                </c:pt>
                <c:pt idx="537">
                  <c:v>-0.39653118676358012</c:v>
                </c:pt>
                <c:pt idx="538">
                  <c:v>-0.52298497630345697</c:v>
                </c:pt>
                <c:pt idx="539">
                  <c:v>-0.59646243860997272</c:v>
                </c:pt>
                <c:pt idx="540">
                  <c:v>-0.17462247947570059</c:v>
                </c:pt>
                <c:pt idx="541">
                  <c:v>1.8684630559510718</c:v>
                </c:pt>
                <c:pt idx="542">
                  <c:v>-0.66655139462449453</c:v>
                </c:pt>
                <c:pt idx="543">
                  <c:v>1.2500500179268184</c:v>
                </c:pt>
                <c:pt idx="544">
                  <c:v>-1.1273883441144641</c:v>
                </c:pt>
                <c:pt idx="545">
                  <c:v>1.5122161248956443</c:v>
                </c:pt>
                <c:pt idx="546">
                  <c:v>-1.1910519927534138</c:v>
                </c:pt>
                <c:pt idx="547">
                  <c:v>-0.16477054990730233</c:v>
                </c:pt>
                <c:pt idx="548">
                  <c:v>0.45142703925435895</c:v>
                </c:pt>
                <c:pt idx="549">
                  <c:v>0.19834953554645346</c:v>
                </c:pt>
                <c:pt idx="550">
                  <c:v>-1.8015434200093296E-2</c:v>
                </c:pt>
                <c:pt idx="551">
                  <c:v>0.77255097022468688</c:v>
                </c:pt>
                <c:pt idx="552">
                  <c:v>0.10730738017429182</c:v>
                </c:pt>
                <c:pt idx="553">
                  <c:v>-0.21509131820491675</c:v>
                </c:pt>
                <c:pt idx="554">
                  <c:v>0.92017029316293064</c:v>
                </c:pt>
                <c:pt idx="555">
                  <c:v>0.4816333577725857</c:v>
                </c:pt>
                <c:pt idx="556">
                  <c:v>0.24132428216426532</c:v>
                </c:pt>
                <c:pt idx="557">
                  <c:v>-0.68859317643119855</c:v>
                </c:pt>
                <c:pt idx="558">
                  <c:v>0.41691369573459625</c:v>
                </c:pt>
                <c:pt idx="559">
                  <c:v>1.3152862015994553</c:v>
                </c:pt>
                <c:pt idx="560">
                  <c:v>0.34988058759292706</c:v>
                </c:pt>
                <c:pt idx="561">
                  <c:v>1.4926883642907853</c:v>
                </c:pt>
                <c:pt idx="562">
                  <c:v>1.5213575339380887</c:v>
                </c:pt>
                <c:pt idx="563">
                  <c:v>2.9123731006619415</c:v>
                </c:pt>
                <c:pt idx="564">
                  <c:v>-2.9859558234621515</c:v>
                </c:pt>
                <c:pt idx="565">
                  <c:v>-1.3898390812052686</c:v>
                </c:pt>
                <c:pt idx="566">
                  <c:v>-0.84090928414736299</c:v>
                </c:pt>
                <c:pt idx="567">
                  <c:v>-0.34395286945903436</c:v>
                </c:pt>
                <c:pt idx="568">
                  <c:v>1.050837371213118</c:v>
                </c:pt>
                <c:pt idx="569">
                  <c:v>-7.7431906823684171E-2</c:v>
                </c:pt>
                <c:pt idx="570">
                  <c:v>9.867528596978441E-3</c:v>
                </c:pt>
                <c:pt idx="571">
                  <c:v>-0.89996979901191954</c:v>
                </c:pt>
                <c:pt idx="572">
                  <c:v>0.31165115856417591</c:v>
                </c:pt>
                <c:pt idx="573">
                  <c:v>-0.60506874673680155</c:v>
                </c:pt>
                <c:pt idx="574">
                  <c:v>0.65690920591566104</c:v>
                </c:pt>
                <c:pt idx="575">
                  <c:v>-0.29983258265766261</c:v>
                </c:pt>
                <c:pt idx="576">
                  <c:v>-1.0112733517911177</c:v>
                </c:pt>
                <c:pt idx="577">
                  <c:v>0.60301295608870964</c:v>
                </c:pt>
                <c:pt idx="578">
                  <c:v>-0.23783316780908637</c:v>
                </c:pt>
                <c:pt idx="579">
                  <c:v>0.63667041488468223</c:v>
                </c:pt>
                <c:pt idx="580">
                  <c:v>-0.73276619146883615</c:v>
                </c:pt>
                <c:pt idx="581">
                  <c:v>-0.32431604887941828</c:v>
                </c:pt>
                <c:pt idx="582">
                  <c:v>-0.3586493415778047</c:v>
                </c:pt>
                <c:pt idx="583">
                  <c:v>-0.86674588897469529</c:v>
                </c:pt>
                <c:pt idx="584">
                  <c:v>0.11590374236605991</c:v>
                </c:pt>
                <c:pt idx="585">
                  <c:v>-0.39635204448727762</c:v>
                </c:pt>
                <c:pt idx="586">
                  <c:v>-0.35162643695449186</c:v>
                </c:pt>
                <c:pt idx="587">
                  <c:v>-0.43806117205232015</c:v>
                </c:pt>
                <c:pt idx="588">
                  <c:v>-1.0915854446390572</c:v>
                </c:pt>
                <c:pt idx="589">
                  <c:v>0.21625600173022722</c:v>
                </c:pt>
                <c:pt idx="590">
                  <c:v>-0.18286609533288398</c:v>
                </c:pt>
                <c:pt idx="591">
                  <c:v>5.9986051279609813E-2</c:v>
                </c:pt>
                <c:pt idx="592">
                  <c:v>-4.3168620555229201E-2</c:v>
                </c:pt>
                <c:pt idx="593">
                  <c:v>-0.24369062947424186</c:v>
                </c:pt>
                <c:pt idx="594">
                  <c:v>-0.24170853730923089</c:v>
                </c:pt>
                <c:pt idx="595">
                  <c:v>0.6285735295222461</c:v>
                </c:pt>
                <c:pt idx="596">
                  <c:v>0.38741693723628873</c:v>
                </c:pt>
                <c:pt idx="597">
                  <c:v>1.3406904973506486</c:v>
                </c:pt>
                <c:pt idx="598">
                  <c:v>-2.1311717607578481E-2</c:v>
                </c:pt>
                <c:pt idx="599">
                  <c:v>-9.6996374464936419E-2</c:v>
                </c:pt>
                <c:pt idx="600">
                  <c:v>0.30049382269006208</c:v>
                </c:pt>
                <c:pt idx="601">
                  <c:v>-0.57079096857924938</c:v>
                </c:pt>
                <c:pt idx="602">
                  <c:v>0.24196220294927398</c:v>
                </c:pt>
                <c:pt idx="603">
                  <c:v>-2.7379065134661502</c:v>
                </c:pt>
                <c:pt idx="604">
                  <c:v>-0.25626870155329151</c:v>
                </c:pt>
                <c:pt idx="605">
                  <c:v>0.43420649009036066</c:v>
                </c:pt>
                <c:pt idx="606">
                  <c:v>-1.0596119935202684</c:v>
                </c:pt>
                <c:pt idx="607">
                  <c:v>0</c:v>
                </c:pt>
                <c:pt idx="608">
                  <c:v>0.16701269504970415</c:v>
                </c:pt>
                <c:pt idx="609">
                  <c:v>-3.9394247595513174E-2</c:v>
                </c:pt>
                <c:pt idx="610">
                  <c:v>1.8793232049523472E-2</c:v>
                </c:pt>
                <c:pt idx="611">
                  <c:v>-3.5521158978400129E-2</c:v>
                </c:pt>
                <c:pt idx="612">
                  <c:v>0.25240898254410299</c:v>
                </c:pt>
                <c:pt idx="613">
                  <c:v>0.16901567295843908</c:v>
                </c:pt>
                <c:pt idx="614">
                  <c:v>0.41864612873484164</c:v>
                </c:pt>
                <c:pt idx="615">
                  <c:v>1.2204527423917462</c:v>
                </c:pt>
                <c:pt idx="616">
                  <c:v>1.4173524197047276</c:v>
                </c:pt>
                <c:pt idx="617">
                  <c:v>1.8991948703186616</c:v>
                </c:pt>
                <c:pt idx="618">
                  <c:v>1.1886259511543544</c:v>
                </c:pt>
                <c:pt idx="619">
                  <c:v>-1.9470991469660845E-2</c:v>
                </c:pt>
                <c:pt idx="620">
                  <c:v>-1.016955395178833</c:v>
                </c:pt>
                <c:pt idx="621">
                  <c:v>0.30409421096048256</c:v>
                </c:pt>
                <c:pt idx="622">
                  <c:v>2.2141998103560181</c:v>
                </c:pt>
                <c:pt idx="623">
                  <c:v>0.97996379266196931</c:v>
                </c:pt>
                <c:pt idx="624">
                  <c:v>1.3104852648896028</c:v>
                </c:pt>
                <c:pt idx="625">
                  <c:v>-1.1105603682462082</c:v>
                </c:pt>
                <c:pt idx="626">
                  <c:v>-0.28033538609035663</c:v>
                </c:pt>
                <c:pt idx="627">
                  <c:v>-4.3236552646623574</c:v>
                </c:pt>
                <c:pt idx="628">
                  <c:v>-0.6793283528870766</c:v>
                </c:pt>
                <c:pt idx="629">
                  <c:v>1.367135925103161</c:v>
                </c:pt>
                <c:pt idx="630">
                  <c:v>-1.2280484589430445</c:v>
                </c:pt>
                <c:pt idx="631">
                  <c:v>1.1806593597792894</c:v>
                </c:pt>
                <c:pt idx="632">
                  <c:v>-1.7696905214550762</c:v>
                </c:pt>
                <c:pt idx="633">
                  <c:v>-0.41442647641100133</c:v>
                </c:pt>
                <c:pt idx="634">
                  <c:v>-1.4169867486612442</c:v>
                </c:pt>
                <c:pt idx="635">
                  <c:v>0.1760931162814337</c:v>
                </c:pt>
                <c:pt idx="636">
                  <c:v>-7.5334643204785987E-2</c:v>
                </c:pt>
                <c:pt idx="637">
                  <c:v>-0.7405990538287085</c:v>
                </c:pt>
                <c:pt idx="638">
                  <c:v>-2.4978596793012802</c:v>
                </c:pt>
                <c:pt idx="639">
                  <c:v>-0.23049086705045871</c:v>
                </c:pt>
                <c:pt idx="640">
                  <c:v>0</c:v>
                </c:pt>
                <c:pt idx="641">
                  <c:v>-4.9766699291601657E-2</c:v>
                </c:pt>
                <c:pt idx="642">
                  <c:v>7.7077725621325774E-3</c:v>
                </c:pt>
                <c:pt idx="643">
                  <c:v>6.6884512895357517E-2</c:v>
                </c:pt>
                <c:pt idx="644">
                  <c:v>0.15090939928907104</c:v>
                </c:pt>
                <c:pt idx="645">
                  <c:v>0.38438003577007268</c:v>
                </c:pt>
                <c:pt idx="646">
                  <c:v>0.22215297808474879</c:v>
                </c:pt>
                <c:pt idx="647">
                  <c:v>-0.42935605745121508</c:v>
                </c:pt>
                <c:pt idx="648">
                  <c:v>-0.63138836341800031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-0.10904777035852928</c:v>
                </c:pt>
                <c:pt idx="654">
                  <c:v>-0.47692165606325504</c:v>
                </c:pt>
                <c:pt idx="655">
                  <c:v>0</c:v>
                </c:pt>
                <c:pt idx="656">
                  <c:v>0</c:v>
                </c:pt>
                <c:pt idx="657">
                  <c:v>2.7046409758074919E-2</c:v>
                </c:pt>
                <c:pt idx="658">
                  <c:v>0.26820576907411103</c:v>
                </c:pt>
                <c:pt idx="659">
                  <c:v>-0.43499983957741534</c:v>
                </c:pt>
                <c:pt idx="660">
                  <c:v>-0.10383426601081107</c:v>
                </c:pt>
                <c:pt idx="661">
                  <c:v>-0.56402303527815245</c:v>
                </c:pt>
                <c:pt idx="662">
                  <c:v>0</c:v>
                </c:pt>
                <c:pt idx="663">
                  <c:v>3.7914085620241435E-2</c:v>
                </c:pt>
                <c:pt idx="664">
                  <c:v>-0.25790601828386278</c:v>
                </c:pt>
                <c:pt idx="665">
                  <c:v>0</c:v>
                </c:pt>
                <c:pt idx="666">
                  <c:v>-8.6438897267112944E-2</c:v>
                </c:pt>
                <c:pt idx="667">
                  <c:v>0</c:v>
                </c:pt>
                <c:pt idx="668">
                  <c:v>0.28845103962905161</c:v>
                </c:pt>
                <c:pt idx="669">
                  <c:v>-6.0071008359873349E-2</c:v>
                </c:pt>
                <c:pt idx="670">
                  <c:v>-0.11146125961935445</c:v>
                </c:pt>
                <c:pt idx="671">
                  <c:v>-0.21245858943944154</c:v>
                </c:pt>
                <c:pt idx="672">
                  <c:v>0</c:v>
                </c:pt>
                <c:pt idx="673">
                  <c:v>-0.14495568806566952</c:v>
                </c:pt>
                <c:pt idx="674">
                  <c:v>9.945083534275094E-2</c:v>
                </c:pt>
                <c:pt idx="675">
                  <c:v>0.10572527245068988</c:v>
                </c:pt>
                <c:pt idx="676">
                  <c:v>0.37295708004758471</c:v>
                </c:pt>
                <c:pt idx="677">
                  <c:v>-0.48233938994327408</c:v>
                </c:pt>
                <c:pt idx="678">
                  <c:v>-7.7369260567450179E-2</c:v>
                </c:pt>
                <c:pt idx="679">
                  <c:v>0.14665548306037229</c:v>
                </c:pt>
                <c:pt idx="680">
                  <c:v>0.3760670801730624</c:v>
                </c:pt>
                <c:pt idx="681">
                  <c:v>-0.70287103551833707</c:v>
                </c:pt>
                <c:pt idx="682">
                  <c:v>-0.20884777751216385</c:v>
                </c:pt>
                <c:pt idx="683">
                  <c:v>5.712629206803007E-2</c:v>
                </c:pt>
                <c:pt idx="684">
                  <c:v>-0.11383025737036821</c:v>
                </c:pt>
                <c:pt idx="685">
                  <c:v>-0.17540211783400517</c:v>
                </c:pt>
                <c:pt idx="686">
                  <c:v>0.58066394128308185</c:v>
                </c:pt>
                <c:pt idx="687">
                  <c:v>-0.36450992792867704</c:v>
                </c:pt>
                <c:pt idx="688">
                  <c:v>0.21057526079451175</c:v>
                </c:pt>
                <c:pt idx="689">
                  <c:v>-0.55907362177598841</c:v>
                </c:pt>
                <c:pt idx="690">
                  <c:v>0.21467602770286145</c:v>
                </c:pt>
                <c:pt idx="691">
                  <c:v>-0.43004902835390102</c:v>
                </c:pt>
                <c:pt idx="692">
                  <c:v>-0.22311459460582436</c:v>
                </c:pt>
                <c:pt idx="693">
                  <c:v>-0.20859863266308665</c:v>
                </c:pt>
                <c:pt idx="694">
                  <c:v>-1.3012845658340224</c:v>
                </c:pt>
                <c:pt idx="695">
                  <c:v>-8.7532607607066562E-2</c:v>
                </c:pt>
                <c:pt idx="696">
                  <c:v>0.51920566487827047</c:v>
                </c:pt>
                <c:pt idx="697">
                  <c:v>1.3883912633298763</c:v>
                </c:pt>
                <c:pt idx="698">
                  <c:v>-0.30719173081883228</c:v>
                </c:pt>
                <c:pt idx="699">
                  <c:v>-0.29323629903332921</c:v>
                </c:pt>
                <c:pt idx="700">
                  <c:v>0.1116543780782662</c:v>
                </c:pt>
                <c:pt idx="701">
                  <c:v>-1.6383915619539622</c:v>
                </c:pt>
                <c:pt idx="702">
                  <c:v>-5.2289036014333774E-2</c:v>
                </c:pt>
                <c:pt idx="703">
                  <c:v>-0.5287698464662457</c:v>
                </c:pt>
                <c:pt idx="704">
                  <c:v>-0.93818094661493057</c:v>
                </c:pt>
                <c:pt idx="705">
                  <c:v>1.8260130800230163E-2</c:v>
                </c:pt>
                <c:pt idx="706">
                  <c:v>-0.11486118886292354</c:v>
                </c:pt>
                <c:pt idx="707">
                  <c:v>0.70537356635574866</c:v>
                </c:pt>
                <c:pt idx="708">
                  <c:v>0.52885348562581369</c:v>
                </c:pt>
                <c:pt idx="709">
                  <c:v>0.46424202998327108</c:v>
                </c:pt>
                <c:pt idx="710">
                  <c:v>-4.7300860595161219E-2</c:v>
                </c:pt>
                <c:pt idx="711">
                  <c:v>-0.80960314127554578</c:v>
                </c:pt>
                <c:pt idx="712">
                  <c:v>0.24290503696035057</c:v>
                </c:pt>
                <c:pt idx="713">
                  <c:v>-0.37507923486970918</c:v>
                </c:pt>
                <c:pt idx="714">
                  <c:v>-0.73101308530499121</c:v>
                </c:pt>
                <c:pt idx="715">
                  <c:v>1.2142983479942937</c:v>
                </c:pt>
                <c:pt idx="716">
                  <c:v>-0.64328874027214744</c:v>
                </c:pt>
                <c:pt idx="717">
                  <c:v>-0.71390690871060813</c:v>
                </c:pt>
                <c:pt idx="718">
                  <c:v>0.11144442044445679</c:v>
                </c:pt>
                <c:pt idx="719">
                  <c:v>0.55829411668809081</c:v>
                </c:pt>
                <c:pt idx="720">
                  <c:v>-0.40248420748394048</c:v>
                </c:pt>
                <c:pt idx="721">
                  <c:v>-0.62272234071577381</c:v>
                </c:pt>
                <c:pt idx="722">
                  <c:v>-0.55762759278146212</c:v>
                </c:pt>
                <c:pt idx="723">
                  <c:v>0.24286156088233884</c:v>
                </c:pt>
                <c:pt idx="724">
                  <c:v>-0.23597914932447553</c:v>
                </c:pt>
                <c:pt idx="725">
                  <c:v>-0.79732337394973762</c:v>
                </c:pt>
                <c:pt idx="726">
                  <c:v>-0.89900975924408388</c:v>
                </c:pt>
                <c:pt idx="727">
                  <c:v>-0.33443959376482346</c:v>
                </c:pt>
                <c:pt idx="728">
                  <c:v>0.30638810683608259</c:v>
                </c:pt>
                <c:pt idx="729">
                  <c:v>-0.82732338051157206</c:v>
                </c:pt>
                <c:pt idx="730">
                  <c:v>-3.8451182762595237E-2</c:v>
                </c:pt>
                <c:pt idx="731">
                  <c:v>-0.16083694976472893</c:v>
                </c:pt>
                <c:pt idx="732">
                  <c:v>-0.11194956274602015</c:v>
                </c:pt>
                <c:pt idx="733">
                  <c:v>-1.1989802949378811E-2</c:v>
                </c:pt>
                <c:pt idx="734">
                  <c:v>-1.0451261189059756E-2</c:v>
                </c:pt>
                <c:pt idx="735">
                  <c:v>-0.26667860161353446</c:v>
                </c:pt>
                <c:pt idx="736">
                  <c:v>0.12475451673925478</c:v>
                </c:pt>
                <c:pt idx="737">
                  <c:v>-0.15385878258960692</c:v>
                </c:pt>
                <c:pt idx="738">
                  <c:v>-0.15044916949364726</c:v>
                </c:pt>
                <c:pt idx="739">
                  <c:v>-0.20569303902149957</c:v>
                </c:pt>
                <c:pt idx="740">
                  <c:v>-0.20530708799145952</c:v>
                </c:pt>
                <c:pt idx="741">
                  <c:v>0</c:v>
                </c:pt>
                <c:pt idx="742">
                  <c:v>8.3123169072516934E-2</c:v>
                </c:pt>
                <c:pt idx="743">
                  <c:v>-3.1516296190723853E-2</c:v>
                </c:pt>
                <c:pt idx="744">
                  <c:v>0.20161967285480781</c:v>
                </c:pt>
                <c:pt idx="745">
                  <c:v>-5.7927755379883636E-2</c:v>
                </c:pt>
                <c:pt idx="746">
                  <c:v>0.11375732106216473</c:v>
                </c:pt>
                <c:pt idx="747">
                  <c:v>-8.4678242810470747E-2</c:v>
                </c:pt>
                <c:pt idx="748">
                  <c:v>-0.41559478073412792</c:v>
                </c:pt>
                <c:pt idx="749">
                  <c:v>-1.0056517082310392</c:v>
                </c:pt>
                <c:pt idx="750">
                  <c:v>1.198338498730243E-2</c:v>
                </c:pt>
                <c:pt idx="751">
                  <c:v>0.35302997658482776</c:v>
                </c:pt>
                <c:pt idx="752">
                  <c:v>-0.37402465938363544</c:v>
                </c:pt>
                <c:pt idx="753">
                  <c:v>0.71378382048209976</c:v>
                </c:pt>
                <c:pt idx="754">
                  <c:v>1.4869657270861047</c:v>
                </c:pt>
                <c:pt idx="755">
                  <c:v>-0.33124116919555252</c:v>
                </c:pt>
                <c:pt idx="756">
                  <c:v>0.37443666093958272</c:v>
                </c:pt>
                <c:pt idx="757">
                  <c:v>1.3256763098799553</c:v>
                </c:pt>
                <c:pt idx="758">
                  <c:v>1.3586572725756754</c:v>
                </c:pt>
                <c:pt idx="759">
                  <c:v>0.37671211590495163</c:v>
                </c:pt>
                <c:pt idx="760">
                  <c:v>-0.60314471372352718</c:v>
                </c:pt>
                <c:pt idx="761">
                  <c:v>1.1274510583394575</c:v>
                </c:pt>
                <c:pt idx="762">
                  <c:v>9.9612173148371605E-2</c:v>
                </c:pt>
                <c:pt idx="763">
                  <c:v>0.58248183101029771</c:v>
                </c:pt>
                <c:pt idx="764">
                  <c:v>1.5483271348733403</c:v>
                </c:pt>
                <c:pt idx="765">
                  <c:v>0.26836164758915104</c:v>
                </c:pt>
                <c:pt idx="766">
                  <c:v>-1.4905544995729905</c:v>
                </c:pt>
                <c:pt idx="767">
                  <c:v>0.80370950348970938</c:v>
                </c:pt>
                <c:pt idx="768">
                  <c:v>0.78406725174641423</c:v>
                </c:pt>
                <c:pt idx="769">
                  <c:v>-0.51140394715120019</c:v>
                </c:pt>
                <c:pt idx="770">
                  <c:v>1.077886470109904</c:v>
                </c:pt>
                <c:pt idx="771">
                  <c:v>-1.1542070969697718</c:v>
                </c:pt>
                <c:pt idx="772">
                  <c:v>2.8569509185704089</c:v>
                </c:pt>
                <c:pt idx="773">
                  <c:v>-1.0720630962422153</c:v>
                </c:pt>
                <c:pt idx="774">
                  <c:v>-1.3010495980318433</c:v>
                </c:pt>
                <c:pt idx="775">
                  <c:v>0.7931312601625683</c:v>
                </c:pt>
                <c:pt idx="776">
                  <c:v>-1.1142634866596162</c:v>
                </c:pt>
                <c:pt idx="777">
                  <c:v>3.1735013250275146</c:v>
                </c:pt>
                <c:pt idx="778">
                  <c:v>2.0949118209920807</c:v>
                </c:pt>
                <c:pt idx="779">
                  <c:v>-2.595613214773218</c:v>
                </c:pt>
                <c:pt idx="780">
                  <c:v>-1.2903030168705554</c:v>
                </c:pt>
                <c:pt idx="781">
                  <c:v>0.62386241025671818</c:v>
                </c:pt>
                <c:pt idx="782">
                  <c:v>0.73666848046902222</c:v>
                </c:pt>
                <c:pt idx="783">
                  <c:v>-0.53869049306059491</c:v>
                </c:pt>
                <c:pt idx="784">
                  <c:v>-0.54238114718731478</c:v>
                </c:pt>
                <c:pt idx="785">
                  <c:v>-0.66557790172477616</c:v>
                </c:pt>
                <c:pt idx="786">
                  <c:v>-1.4799625475947693</c:v>
                </c:pt>
                <c:pt idx="787">
                  <c:v>-1.5109777374345696</c:v>
                </c:pt>
                <c:pt idx="788">
                  <c:v>-0.3999020810699262</c:v>
                </c:pt>
                <c:pt idx="789">
                  <c:v>7.9570694164158337E-2</c:v>
                </c:pt>
                <c:pt idx="790">
                  <c:v>1.2242501526021361</c:v>
                </c:pt>
                <c:pt idx="791">
                  <c:v>0.60295800229615815</c:v>
                </c:pt>
                <c:pt idx="792">
                  <c:v>-1.4448839293605771</c:v>
                </c:pt>
                <c:pt idx="793">
                  <c:v>-0.4421200936457787</c:v>
                </c:pt>
                <c:pt idx="794">
                  <c:v>0.31318441564939992</c:v>
                </c:pt>
                <c:pt idx="795">
                  <c:v>0.12939867124528556</c:v>
                </c:pt>
                <c:pt idx="796">
                  <c:v>-0.32286737132597443</c:v>
                </c:pt>
                <c:pt idx="797">
                  <c:v>0.30090376792550522</c:v>
                </c:pt>
                <c:pt idx="798">
                  <c:v>0.82466357913694754</c:v>
                </c:pt>
                <c:pt idx="799">
                  <c:v>-0.60739962238332879</c:v>
                </c:pt>
                <c:pt idx="800">
                  <c:v>-0.17962325153683537</c:v>
                </c:pt>
                <c:pt idx="801">
                  <c:v>9.5154849384200046E-2</c:v>
                </c:pt>
                <c:pt idx="802">
                  <c:v>-0.80564109399232098</c:v>
                </c:pt>
                <c:pt idx="803">
                  <c:v>1.1570940733589363</c:v>
                </c:pt>
                <c:pt idx="804">
                  <c:v>-0.64878475929308588</c:v>
                </c:pt>
                <c:pt idx="805">
                  <c:v>1.3232430329113136</c:v>
                </c:pt>
                <c:pt idx="806">
                  <c:v>-0.47934886480586275</c:v>
                </c:pt>
                <c:pt idx="807">
                  <c:v>0.75900376902633193</c:v>
                </c:pt>
                <c:pt idx="808">
                  <c:v>-0.31645013318316823</c:v>
                </c:pt>
                <c:pt idx="809">
                  <c:v>0.57755884470740571</c:v>
                </c:pt>
                <c:pt idx="810">
                  <c:v>-0.17110108532974586</c:v>
                </c:pt>
                <c:pt idx="811">
                  <c:v>0.25244909042944058</c:v>
                </c:pt>
                <c:pt idx="812">
                  <c:v>1.1560634761518001</c:v>
                </c:pt>
                <c:pt idx="813">
                  <c:v>2.4236474175270621</c:v>
                </c:pt>
                <c:pt idx="814">
                  <c:v>-0.6092569912106689</c:v>
                </c:pt>
                <c:pt idx="815">
                  <c:v>0.43692297819369585</c:v>
                </c:pt>
                <c:pt idx="816">
                  <c:v>-0.30342023534612411</c:v>
                </c:pt>
                <c:pt idx="817">
                  <c:v>0.82592945993560651</c:v>
                </c:pt>
                <c:pt idx="818">
                  <c:v>1.1522235055227987</c:v>
                </c:pt>
                <c:pt idx="819">
                  <c:v>-0.95847953240091888</c:v>
                </c:pt>
                <c:pt idx="820">
                  <c:v>-0.82439515797780805</c:v>
                </c:pt>
                <c:pt idx="821">
                  <c:v>-2.4830161383461378</c:v>
                </c:pt>
                <c:pt idx="822">
                  <c:v>-2.3405626764090134E-2</c:v>
                </c:pt>
                <c:pt idx="823">
                  <c:v>-0.62025952112805949</c:v>
                </c:pt>
                <c:pt idx="824">
                  <c:v>-2.8134734208056167</c:v>
                </c:pt>
                <c:pt idx="825">
                  <c:v>-0.19382071837127923</c:v>
                </c:pt>
                <c:pt idx="826">
                  <c:v>0.57568067964909209</c:v>
                </c:pt>
                <c:pt idx="827">
                  <c:v>1.2267555885748047</c:v>
                </c:pt>
                <c:pt idx="828">
                  <c:v>0.28832649352041162</c:v>
                </c:pt>
                <c:pt idx="829">
                  <c:v>0.79808708211770352</c:v>
                </c:pt>
                <c:pt idx="830">
                  <c:v>1.2111702107159847</c:v>
                </c:pt>
                <c:pt idx="831">
                  <c:v>1.5922668638700332</c:v>
                </c:pt>
                <c:pt idx="832">
                  <c:v>1.5005812095963396</c:v>
                </c:pt>
                <c:pt idx="833">
                  <c:v>0.34996038163388371</c:v>
                </c:pt>
                <c:pt idx="834">
                  <c:v>-1.0740077191504882</c:v>
                </c:pt>
                <c:pt idx="835">
                  <c:v>7.6066624494880136E-2</c:v>
                </c:pt>
                <c:pt idx="836">
                  <c:v>1.802111382844056</c:v>
                </c:pt>
                <c:pt idx="837">
                  <c:v>1.2095818252983586</c:v>
                </c:pt>
                <c:pt idx="838">
                  <c:v>4.0951632073923108</c:v>
                </c:pt>
                <c:pt idx="839">
                  <c:v>4.8953384079868489E-2</c:v>
                </c:pt>
                <c:pt idx="840">
                  <c:v>-0.20108190681337906</c:v>
                </c:pt>
                <c:pt idx="841">
                  <c:v>0.54389785005833813</c:v>
                </c:pt>
                <c:pt idx="842">
                  <c:v>-1.7749594086273586</c:v>
                </c:pt>
                <c:pt idx="843">
                  <c:v>-0.58970155687987469</c:v>
                </c:pt>
                <c:pt idx="844">
                  <c:v>-2.1473221386340473</c:v>
                </c:pt>
                <c:pt idx="845">
                  <c:v>-2.0272958899790843</c:v>
                </c:pt>
                <c:pt idx="846">
                  <c:v>0.32618367754412725</c:v>
                </c:pt>
                <c:pt idx="847">
                  <c:v>1.4908137057974242</c:v>
                </c:pt>
                <c:pt idx="848">
                  <c:v>2.610064120978576</c:v>
                </c:pt>
                <c:pt idx="849">
                  <c:v>0.15360642486386258</c:v>
                </c:pt>
                <c:pt idx="850">
                  <c:v>2.2504715013622576</c:v>
                </c:pt>
                <c:pt idx="851">
                  <c:v>0.89949264375772031</c:v>
                </c:pt>
                <c:pt idx="852">
                  <c:v>9.9711384536938133E-2</c:v>
                </c:pt>
                <c:pt idx="853">
                  <c:v>-0.79761603772498546</c:v>
                </c:pt>
                <c:pt idx="854">
                  <c:v>-1.9220990649250826</c:v>
                </c:pt>
                <c:pt idx="855">
                  <c:v>-1.3032790993261376</c:v>
                </c:pt>
                <c:pt idx="856">
                  <c:v>1.5727405017990599</c:v>
                </c:pt>
                <c:pt idx="857">
                  <c:v>1.5272061841475699</c:v>
                </c:pt>
                <c:pt idx="858">
                  <c:v>1.4949715188394006</c:v>
                </c:pt>
                <c:pt idx="859">
                  <c:v>0.92037540983513388</c:v>
                </c:pt>
                <c:pt idx="860">
                  <c:v>-8.2972366551695514E-2</c:v>
                </c:pt>
                <c:pt idx="861">
                  <c:v>-0.21172359137244795</c:v>
                </c:pt>
                <c:pt idx="862">
                  <c:v>1.9868496344443543</c:v>
                </c:pt>
                <c:pt idx="863">
                  <c:v>2.9173967727879826</c:v>
                </c:pt>
                <c:pt idx="864">
                  <c:v>-4.0734237192250857</c:v>
                </c:pt>
                <c:pt idx="865">
                  <c:v>1.9685632151075181</c:v>
                </c:pt>
                <c:pt idx="866">
                  <c:v>-1.8174551866275179</c:v>
                </c:pt>
                <c:pt idx="867">
                  <c:v>0.6220114331267812</c:v>
                </c:pt>
                <c:pt idx="868">
                  <c:v>-2.1878175551476473</c:v>
                </c:pt>
                <c:pt idx="869">
                  <c:v>-2.9158134982003072</c:v>
                </c:pt>
                <c:pt idx="870">
                  <c:v>0.59319171741069077</c:v>
                </c:pt>
                <c:pt idx="871">
                  <c:v>0.14989553031012331</c:v>
                </c:pt>
                <c:pt idx="872">
                  <c:v>-0.66379793108181617</c:v>
                </c:pt>
                <c:pt idx="873">
                  <c:v>-0.64813155522548782</c:v>
                </c:pt>
                <c:pt idx="874">
                  <c:v>2.1409856097321276</c:v>
                </c:pt>
                <c:pt idx="875">
                  <c:v>-0.80640814467497313</c:v>
                </c:pt>
                <c:pt idx="876">
                  <c:v>1.5521222439030151</c:v>
                </c:pt>
                <c:pt idx="877">
                  <c:v>2.8199767548011625</c:v>
                </c:pt>
                <c:pt idx="878">
                  <c:v>4.5815571446231251</c:v>
                </c:pt>
                <c:pt idx="879">
                  <c:v>-0.98313826913753877</c:v>
                </c:pt>
                <c:pt idx="880">
                  <c:v>6.0489104788486019</c:v>
                </c:pt>
                <c:pt idx="881">
                  <c:v>0.95565447162916928</c:v>
                </c:pt>
                <c:pt idx="882">
                  <c:v>-0.80810044700873951</c:v>
                </c:pt>
                <c:pt idx="883">
                  <c:v>2.9627877542005798</c:v>
                </c:pt>
                <c:pt idx="884">
                  <c:v>0.68026717091721267</c:v>
                </c:pt>
                <c:pt idx="885">
                  <c:v>-0.71922800995041913</c:v>
                </c:pt>
                <c:pt idx="886">
                  <c:v>0.93694149879714517</c:v>
                </c:pt>
                <c:pt idx="887">
                  <c:v>-1.6275206944808602</c:v>
                </c:pt>
                <c:pt idx="888">
                  <c:v>-0.5407291944097975</c:v>
                </c:pt>
                <c:pt idx="889">
                  <c:v>0.74719313588300107</c:v>
                </c:pt>
                <c:pt idx="890">
                  <c:v>-1.436352780378664</c:v>
                </c:pt>
                <c:pt idx="891">
                  <c:v>-2.6281686258615613</c:v>
                </c:pt>
                <c:pt idx="892">
                  <c:v>6.8410879459770344</c:v>
                </c:pt>
                <c:pt idx="893">
                  <c:v>0.4229056813508702</c:v>
                </c:pt>
                <c:pt idx="894">
                  <c:v>-7.2001738119500214</c:v>
                </c:pt>
                <c:pt idx="895">
                  <c:v>0.19101150812116899</c:v>
                </c:pt>
                <c:pt idx="896">
                  <c:v>0.90054381284302865</c:v>
                </c:pt>
                <c:pt idx="897">
                  <c:v>-3.8695811697952092</c:v>
                </c:pt>
                <c:pt idx="898">
                  <c:v>-1.1803506113422677</c:v>
                </c:pt>
                <c:pt idx="899">
                  <c:v>1.4808080256608589</c:v>
                </c:pt>
                <c:pt idx="900">
                  <c:v>-2.4811467354789292</c:v>
                </c:pt>
                <c:pt idx="901">
                  <c:v>-5.3521237252915439</c:v>
                </c:pt>
                <c:pt idx="902">
                  <c:v>-0.78822370952303278</c:v>
                </c:pt>
                <c:pt idx="903">
                  <c:v>-1.8445964522280676</c:v>
                </c:pt>
                <c:pt idx="904">
                  <c:v>0.24754923547967178</c:v>
                </c:pt>
                <c:pt idx="905">
                  <c:v>1.1228024655277329</c:v>
                </c:pt>
                <c:pt idx="906">
                  <c:v>1.4156907366967153</c:v>
                </c:pt>
                <c:pt idx="907">
                  <c:v>1.7992448915064174</c:v>
                </c:pt>
                <c:pt idx="908">
                  <c:v>2.0477122308900904</c:v>
                </c:pt>
                <c:pt idx="909">
                  <c:v>-2.8572622994642418</c:v>
                </c:pt>
                <c:pt idx="910">
                  <c:v>-3.2998420494558487</c:v>
                </c:pt>
                <c:pt idx="911">
                  <c:v>-1.0833677665989376</c:v>
                </c:pt>
                <c:pt idx="912">
                  <c:v>1.0147465709717356</c:v>
                </c:pt>
                <c:pt idx="913">
                  <c:v>0.68212832953045466</c:v>
                </c:pt>
                <c:pt idx="914">
                  <c:v>-2.0289084920213125</c:v>
                </c:pt>
                <c:pt idx="915">
                  <c:v>0.31295158619234209</c:v>
                </c:pt>
                <c:pt idx="916">
                  <c:v>-4.8645671769465833E-2</c:v>
                </c:pt>
                <c:pt idx="917">
                  <c:v>1.3574426289624688</c:v>
                </c:pt>
                <c:pt idx="918">
                  <c:v>1.4158641067834961</c:v>
                </c:pt>
                <c:pt idx="919">
                  <c:v>-0.72480176391541284</c:v>
                </c:pt>
                <c:pt idx="920">
                  <c:v>-0.10330648466480387</c:v>
                </c:pt>
                <c:pt idx="921">
                  <c:v>-0.84387258947180044</c:v>
                </c:pt>
                <c:pt idx="922">
                  <c:v>-1.4596524610939166</c:v>
                </c:pt>
                <c:pt idx="923">
                  <c:v>-0.27666214504035264</c:v>
                </c:pt>
                <c:pt idx="924">
                  <c:v>6.017846413616296E-3</c:v>
                </c:pt>
                <c:pt idx="925">
                  <c:v>0.48284224029201733</c:v>
                </c:pt>
                <c:pt idx="926">
                  <c:v>-1.3340844516187782</c:v>
                </c:pt>
                <c:pt idx="927">
                  <c:v>-3.2070543795883415E-2</c:v>
                </c:pt>
                <c:pt idx="928">
                  <c:v>0.38871724974334249</c:v>
                </c:pt>
                <c:pt idx="929">
                  <c:v>-1.0634138630426648</c:v>
                </c:pt>
                <c:pt idx="930">
                  <c:v>-0.54035398266662948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6.1782268007181403E-2</c:v>
                </c:pt>
                <c:pt idx="935">
                  <c:v>0.14846341687319628</c:v>
                </c:pt>
                <c:pt idx="936">
                  <c:v>0.18143827287531386</c:v>
                </c:pt>
                <c:pt idx="937">
                  <c:v>0.16227546965081513</c:v>
                </c:pt>
                <c:pt idx="938">
                  <c:v>-0.24766203984644944</c:v>
                </c:pt>
                <c:pt idx="939">
                  <c:v>-0.2891111478809667</c:v>
                </c:pt>
                <c:pt idx="940">
                  <c:v>3.4950549643765295E-2</c:v>
                </c:pt>
                <c:pt idx="941">
                  <c:v>-8.4144282738134138E-2</c:v>
                </c:pt>
                <c:pt idx="942">
                  <c:v>0.61226952016537906</c:v>
                </c:pt>
                <c:pt idx="943">
                  <c:v>0.34664421778592658</c:v>
                </c:pt>
                <c:pt idx="944">
                  <c:v>-0.28897270684139637</c:v>
                </c:pt>
                <c:pt idx="945">
                  <c:v>-0.67803635051443811</c:v>
                </c:pt>
                <c:pt idx="946">
                  <c:v>0.35709022336240931</c:v>
                </c:pt>
                <c:pt idx="947">
                  <c:v>-0.47160213795194161</c:v>
                </c:pt>
                <c:pt idx="948">
                  <c:v>-0.50290642315954925</c:v>
                </c:pt>
                <c:pt idx="949">
                  <c:v>0.13885200658601871</c:v>
                </c:pt>
                <c:pt idx="950">
                  <c:v>0.4729321512024689</c:v>
                </c:pt>
                <c:pt idx="951">
                  <c:v>1.4952215097385342</c:v>
                </c:pt>
                <c:pt idx="952">
                  <c:v>-0.83453949973246788</c:v>
                </c:pt>
                <c:pt idx="953">
                  <c:v>-0.10413803929248644</c:v>
                </c:pt>
                <c:pt idx="954">
                  <c:v>-1.1595520512782844</c:v>
                </c:pt>
                <c:pt idx="955">
                  <c:v>0.27584757207332111</c:v>
                </c:pt>
                <c:pt idx="956">
                  <c:v>1.3013650000286234</c:v>
                </c:pt>
                <c:pt idx="957">
                  <c:v>0.94042762352810705</c:v>
                </c:pt>
                <c:pt idx="958">
                  <c:v>-2.358148699652356</c:v>
                </c:pt>
                <c:pt idx="959">
                  <c:v>-0.34404602253097444</c:v>
                </c:pt>
                <c:pt idx="960">
                  <c:v>-0.25687590370999142</c:v>
                </c:pt>
                <c:pt idx="961">
                  <c:v>0.55253291856441045</c:v>
                </c:pt>
                <c:pt idx="962">
                  <c:v>-0.41365824563808834</c:v>
                </c:pt>
                <c:pt idx="963">
                  <c:v>0.73124796697019423</c:v>
                </c:pt>
                <c:pt idx="964">
                  <c:v>0.32596879465350465</c:v>
                </c:pt>
                <c:pt idx="965">
                  <c:v>-0.92698188760179179</c:v>
                </c:pt>
                <c:pt idx="966">
                  <c:v>-0.18380318983879992</c:v>
                </c:pt>
                <c:pt idx="967">
                  <c:v>-2.5733525723101815E-2</c:v>
                </c:pt>
                <c:pt idx="968">
                  <c:v>-0.18734086368075034</c:v>
                </c:pt>
                <c:pt idx="969">
                  <c:v>-0.58012789255281294</c:v>
                </c:pt>
                <c:pt idx="970">
                  <c:v>1.5703025516513921E-3</c:v>
                </c:pt>
                <c:pt idx="971">
                  <c:v>0.12045652559369981</c:v>
                </c:pt>
                <c:pt idx="972">
                  <c:v>-7.0664934600642604E-2</c:v>
                </c:pt>
                <c:pt idx="973">
                  <c:v>0</c:v>
                </c:pt>
                <c:pt idx="974">
                  <c:v>-6.0079121147092407E-2</c:v>
                </c:pt>
                <c:pt idx="975">
                  <c:v>2.1768130785892389E-2</c:v>
                </c:pt>
                <c:pt idx="976">
                  <c:v>1.2537843556542574E-2</c:v>
                </c:pt>
                <c:pt idx="977">
                  <c:v>-0.34323474695009926</c:v>
                </c:pt>
                <c:pt idx="978">
                  <c:v>0.798875157152244</c:v>
                </c:pt>
                <c:pt idx="979">
                  <c:v>-9.5676209503297291E-2</c:v>
                </c:pt>
                <c:pt idx="980">
                  <c:v>0.802816567509822</c:v>
                </c:pt>
                <c:pt idx="981">
                  <c:v>0.34753778331268276</c:v>
                </c:pt>
                <c:pt idx="982">
                  <c:v>2.2833352546941459</c:v>
                </c:pt>
                <c:pt idx="983">
                  <c:v>0.96646606259327261</c:v>
                </c:pt>
                <c:pt idx="984">
                  <c:v>1.6641232939681307</c:v>
                </c:pt>
                <c:pt idx="985">
                  <c:v>-0.45941587648620907</c:v>
                </c:pt>
                <c:pt idx="986">
                  <c:v>-0.56577293940483797</c:v>
                </c:pt>
                <c:pt idx="987">
                  <c:v>-2.2523006113541424</c:v>
                </c:pt>
                <c:pt idx="988">
                  <c:v>-1.6376481697457317</c:v>
                </c:pt>
                <c:pt idx="989">
                  <c:v>1.1944491680217506</c:v>
                </c:pt>
                <c:pt idx="990">
                  <c:v>-1.8096158694452884</c:v>
                </c:pt>
                <c:pt idx="991">
                  <c:v>-0.67046917767051573</c:v>
                </c:pt>
                <c:pt idx="992">
                  <c:v>6.8266492756989663E-2</c:v>
                </c:pt>
                <c:pt idx="993">
                  <c:v>1.1161153522343072</c:v>
                </c:pt>
                <c:pt idx="994">
                  <c:v>1.6753290276651047</c:v>
                </c:pt>
                <c:pt idx="995">
                  <c:v>-4.7353565603656556E-2</c:v>
                </c:pt>
                <c:pt idx="996">
                  <c:v>0.60160012696030074</c:v>
                </c:pt>
                <c:pt idx="997">
                  <c:v>0.68245758327407879</c:v>
                </c:pt>
                <c:pt idx="998">
                  <c:v>8.1184004580431374E-2</c:v>
                </c:pt>
                <c:pt idx="999">
                  <c:v>0.13472758343520785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5A-4BED-B485-AC22A407B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218944"/>
        <c:axId val="976214264"/>
      </c:scatterChart>
      <c:valAx>
        <c:axId val="56806939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69752"/>
        <c:crosses val="autoZero"/>
        <c:crossBetween val="midCat"/>
      </c:valAx>
      <c:valAx>
        <c:axId val="568069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69392"/>
        <c:crosses val="autoZero"/>
        <c:crossBetween val="midCat"/>
      </c:valAx>
      <c:valAx>
        <c:axId val="976214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218944"/>
        <c:crosses val="max"/>
        <c:crossBetween val="midCat"/>
      </c:valAx>
      <c:valAx>
        <c:axId val="976218944"/>
        <c:scaling>
          <c:orientation val="minMax"/>
        </c:scaling>
        <c:delete val="1"/>
        <c:axPos val="b"/>
        <c:majorTickMark val="out"/>
        <c:minorTickMark val="none"/>
        <c:tickLblPos val="nextTo"/>
        <c:crossAx val="976214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5,</a:t>
            </a:r>
            <a:r>
              <a:rPr lang="en-US" baseline="0"/>
              <a:t> 25, 50, mean, 75, 95, 95.5 percentiles versus actual </a:t>
            </a:r>
            <a:endParaRPr lang="en-US"/>
          </a:p>
        </c:rich>
      </c:tx>
      <c:layout>
        <c:manualLayout>
          <c:xMode val="edge"/>
          <c:yMode val="edge"/>
          <c:x val="0.25668453884789166"/>
          <c:y val="2.01567678067320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749419849014251E-2"/>
          <c:y val="8.0828638904995503E-2"/>
          <c:w val="0.77334232827167715"/>
          <c:h val="0.81144851506519999"/>
        </c:manualLayout>
      </c:layout>
      <c:lineChart>
        <c:grouping val="standard"/>
        <c:varyColors val="0"/>
        <c:ser>
          <c:idx val="8"/>
          <c:order val="0"/>
          <c:tx>
            <c:v>99.50%</c:v>
          </c:tx>
          <c:spPr>
            <a:ln w="127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probability!$GQ$2:$GQ$102</c:f>
              <c:numCache>
                <c:formatCode>General</c:formatCode>
                <c:ptCount val="101"/>
                <c:pt idx="0">
                  <c:v>100.29</c:v>
                </c:pt>
                <c:pt idx="1">
                  <c:v>103.45662444198472</c:v>
                </c:pt>
                <c:pt idx="2">
                  <c:v>105.10582067965242</c:v>
                </c:pt>
                <c:pt idx="3">
                  <c:v>106.71870662564346</c:v>
                </c:pt>
                <c:pt idx="4">
                  <c:v>108.02698620666871</c:v>
                </c:pt>
                <c:pt idx="5">
                  <c:v>108.96951784906688</c:v>
                </c:pt>
                <c:pt idx="6">
                  <c:v>110.19893384806292</c:v>
                </c:pt>
                <c:pt idx="7">
                  <c:v>111.41047010104324</c:v>
                </c:pt>
                <c:pt idx="8">
                  <c:v>112.25094040560491</c:v>
                </c:pt>
                <c:pt idx="9">
                  <c:v>113.22599886159378</c:v>
                </c:pt>
                <c:pt idx="10">
                  <c:v>113.52677297782924</c:v>
                </c:pt>
                <c:pt idx="11">
                  <c:v>114.44730109946603</c:v>
                </c:pt>
                <c:pt idx="12">
                  <c:v>115.3499954522465</c:v>
                </c:pt>
                <c:pt idx="13">
                  <c:v>116.63426853962039</c:v>
                </c:pt>
                <c:pt idx="14">
                  <c:v>117.60908742413349</c:v>
                </c:pt>
                <c:pt idx="15">
                  <c:v>118.16453362728664</c:v>
                </c:pt>
                <c:pt idx="16">
                  <c:v>118.88409066307537</c:v>
                </c:pt>
                <c:pt idx="17">
                  <c:v>119.65756995353084</c:v>
                </c:pt>
                <c:pt idx="18">
                  <c:v>120.46226883040261</c:v>
                </c:pt>
                <c:pt idx="19">
                  <c:v>121.13505625006557</c:v>
                </c:pt>
                <c:pt idx="20">
                  <c:v>121.56300404076981</c:v>
                </c:pt>
                <c:pt idx="21">
                  <c:v>122.53093705812373</c:v>
                </c:pt>
                <c:pt idx="22">
                  <c:v>123.67424257533595</c:v>
                </c:pt>
                <c:pt idx="23">
                  <c:v>125.06486827335982</c:v>
                </c:pt>
                <c:pt idx="24">
                  <c:v>125.51156419895425</c:v>
                </c:pt>
                <c:pt idx="25">
                  <c:v>126.89579443424839</c:v>
                </c:pt>
                <c:pt idx="26">
                  <c:v>126.79531837203878</c:v>
                </c:pt>
                <c:pt idx="27">
                  <c:v>127.37823387172547</c:v>
                </c:pt>
                <c:pt idx="28">
                  <c:v>128.53271961910991</c:v>
                </c:pt>
                <c:pt idx="29">
                  <c:v>129.1875746057174</c:v>
                </c:pt>
                <c:pt idx="30">
                  <c:v>129.35397815294422</c:v>
                </c:pt>
                <c:pt idx="31">
                  <c:v>129.45765659775853</c:v>
                </c:pt>
                <c:pt idx="32">
                  <c:v>130.20201973215401</c:v>
                </c:pt>
                <c:pt idx="33">
                  <c:v>131.7465175968955</c:v>
                </c:pt>
                <c:pt idx="34">
                  <c:v>133.99221730847643</c:v>
                </c:pt>
                <c:pt idx="35">
                  <c:v>133.68250086816425</c:v>
                </c:pt>
                <c:pt idx="36">
                  <c:v>134.41337930486307</c:v>
                </c:pt>
                <c:pt idx="37">
                  <c:v>135.05687305921518</c:v>
                </c:pt>
                <c:pt idx="38">
                  <c:v>135.46246270918994</c:v>
                </c:pt>
                <c:pt idx="39">
                  <c:v>135.44387391460714</c:v>
                </c:pt>
                <c:pt idx="40">
                  <c:v>137.37933589828995</c:v>
                </c:pt>
                <c:pt idx="41">
                  <c:v>138.06480092062699</c:v>
                </c:pt>
                <c:pt idx="42">
                  <c:v>138.57218645737012</c:v>
                </c:pt>
                <c:pt idx="43">
                  <c:v>139.73075334223731</c:v>
                </c:pt>
                <c:pt idx="44">
                  <c:v>140.40066622326447</c:v>
                </c:pt>
                <c:pt idx="45">
                  <c:v>141.11892886291884</c:v>
                </c:pt>
                <c:pt idx="46">
                  <c:v>141.50852836459362</c:v>
                </c:pt>
                <c:pt idx="47">
                  <c:v>142.03805960263131</c:v>
                </c:pt>
                <c:pt idx="48">
                  <c:v>141.51727894938318</c:v>
                </c:pt>
                <c:pt idx="49">
                  <c:v>143.15302603939432</c:v>
                </c:pt>
                <c:pt idx="50">
                  <c:v>143.38896579202341</c:v>
                </c:pt>
                <c:pt idx="51">
                  <c:v>143.21621226679915</c:v>
                </c:pt>
                <c:pt idx="52">
                  <c:v>144.00227415053396</c:v>
                </c:pt>
                <c:pt idx="53">
                  <c:v>144.03345672713289</c:v>
                </c:pt>
                <c:pt idx="54">
                  <c:v>145.46310965517139</c:v>
                </c:pt>
                <c:pt idx="55">
                  <c:v>145.15837973219283</c:v>
                </c:pt>
                <c:pt idx="56">
                  <c:v>145.08593271994783</c:v>
                </c:pt>
                <c:pt idx="57">
                  <c:v>145.24310255122046</c:v>
                </c:pt>
                <c:pt idx="58">
                  <c:v>146.09384464904397</c:v>
                </c:pt>
                <c:pt idx="59">
                  <c:v>146.46137658081381</c:v>
                </c:pt>
                <c:pt idx="60">
                  <c:v>146.28039315647663</c:v>
                </c:pt>
                <c:pt idx="61">
                  <c:v>147.59322161541479</c:v>
                </c:pt>
                <c:pt idx="62">
                  <c:v>148.01482808683565</c:v>
                </c:pt>
                <c:pt idx="63">
                  <c:v>147.53447117706207</c:v>
                </c:pt>
                <c:pt idx="64">
                  <c:v>148.64500376655374</c:v>
                </c:pt>
                <c:pt idx="65">
                  <c:v>149.83212704888774</c:v>
                </c:pt>
                <c:pt idx="66">
                  <c:v>150.30535133720232</c:v>
                </c:pt>
                <c:pt idx="67">
                  <c:v>151.45011411120387</c:v>
                </c:pt>
                <c:pt idx="68">
                  <c:v>150.79256917325506</c:v>
                </c:pt>
                <c:pt idx="69">
                  <c:v>150.82421349996036</c:v>
                </c:pt>
                <c:pt idx="70">
                  <c:v>150.95064325252562</c:v>
                </c:pt>
                <c:pt idx="71">
                  <c:v>153.04214650644721</c:v>
                </c:pt>
                <c:pt idx="72">
                  <c:v>153.7116334176616</c:v>
                </c:pt>
                <c:pt idx="73">
                  <c:v>154.27267602295052</c:v>
                </c:pt>
                <c:pt idx="74">
                  <c:v>154.57515548788425</c:v>
                </c:pt>
                <c:pt idx="75">
                  <c:v>157.23013733004672</c:v>
                </c:pt>
                <c:pt idx="76">
                  <c:v>156.30975602752684</c:v>
                </c:pt>
                <c:pt idx="77">
                  <c:v>157.23354131584912</c:v>
                </c:pt>
                <c:pt idx="78">
                  <c:v>157.95165157396869</c:v>
                </c:pt>
                <c:pt idx="79">
                  <c:v>156.79165157253112</c:v>
                </c:pt>
                <c:pt idx="80">
                  <c:v>157.27872533866426</c:v>
                </c:pt>
                <c:pt idx="81">
                  <c:v>157.60420942330609</c:v>
                </c:pt>
                <c:pt idx="82">
                  <c:v>158.26181761307919</c:v>
                </c:pt>
                <c:pt idx="83">
                  <c:v>157.65213341397455</c:v>
                </c:pt>
                <c:pt idx="84">
                  <c:v>158.62061985571938</c:v>
                </c:pt>
                <c:pt idx="85">
                  <c:v>159.12293562397889</c:v>
                </c:pt>
                <c:pt idx="86">
                  <c:v>157.40837506762699</c:v>
                </c:pt>
                <c:pt idx="87">
                  <c:v>159.0012169919124</c:v>
                </c:pt>
                <c:pt idx="88">
                  <c:v>161.21355825426079</c:v>
                </c:pt>
                <c:pt idx="89">
                  <c:v>161.52118206805613</c:v>
                </c:pt>
                <c:pt idx="90">
                  <c:v>160.9633341098332</c:v>
                </c:pt>
                <c:pt idx="91">
                  <c:v>161.14607947801159</c:v>
                </c:pt>
                <c:pt idx="92">
                  <c:v>160.88831905351066</c:v>
                </c:pt>
                <c:pt idx="93">
                  <c:v>160.81994921525302</c:v>
                </c:pt>
                <c:pt idx="94">
                  <c:v>161.52555034857767</c:v>
                </c:pt>
                <c:pt idx="95">
                  <c:v>162.72203106987112</c:v>
                </c:pt>
                <c:pt idx="96">
                  <c:v>161.01624985608595</c:v>
                </c:pt>
                <c:pt idx="97">
                  <c:v>162.62388542696061</c:v>
                </c:pt>
                <c:pt idx="98">
                  <c:v>162.61045494025353</c:v>
                </c:pt>
                <c:pt idx="99">
                  <c:v>165.2049608489466</c:v>
                </c:pt>
                <c:pt idx="100">
                  <c:v>166.10418108783702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55-4712-9720-DBB8BB2FEF35}"/>
            </c:ext>
          </c:extLst>
        </c:ser>
        <c:ser>
          <c:idx val="1"/>
          <c:order val="1"/>
          <c:tx>
            <c:v>95%</c:v>
          </c:tx>
          <c:spPr>
            <a:ln w="12700" cap="rnd">
              <a:solidFill>
                <a:srgbClr val="008000"/>
              </a:solidFill>
              <a:round/>
            </a:ln>
            <a:effectLst/>
          </c:spPr>
          <c:marker>
            <c:symbol val="none"/>
          </c:marker>
          <c:val>
            <c:numRef>
              <c:f>probability!$GH$2:$GH$102</c:f>
              <c:numCache>
                <c:formatCode>General</c:formatCode>
                <c:ptCount val="101"/>
                <c:pt idx="0">
                  <c:v>100.29</c:v>
                </c:pt>
                <c:pt idx="1">
                  <c:v>102.34106790083899</c:v>
                </c:pt>
                <c:pt idx="2">
                  <c:v>103.29493859866807</c:v>
                </c:pt>
                <c:pt idx="3">
                  <c:v>104.10256403231314</c:v>
                </c:pt>
                <c:pt idx="4">
                  <c:v>104.73259998857743</c:v>
                </c:pt>
                <c:pt idx="5">
                  <c:v>105.41839104081359</c:v>
                </c:pt>
                <c:pt idx="6">
                  <c:v>105.9159281513906</c:v>
                </c:pt>
                <c:pt idx="7">
                  <c:v>106.3386577148439</c:v>
                </c:pt>
                <c:pt idx="8">
                  <c:v>106.75693187529572</c:v>
                </c:pt>
                <c:pt idx="9">
                  <c:v>107.06108572688569</c:v>
                </c:pt>
                <c:pt idx="10">
                  <c:v>107.58379799624542</c:v>
                </c:pt>
                <c:pt idx="11">
                  <c:v>108.05385326213894</c:v>
                </c:pt>
                <c:pt idx="12">
                  <c:v>108.51764769164971</c:v>
                </c:pt>
                <c:pt idx="13">
                  <c:v>108.79721018051539</c:v>
                </c:pt>
                <c:pt idx="14">
                  <c:v>109.1662714958082</c:v>
                </c:pt>
                <c:pt idx="15">
                  <c:v>109.54842126881668</c:v>
                </c:pt>
                <c:pt idx="16">
                  <c:v>109.86516410045002</c:v>
                </c:pt>
                <c:pt idx="17">
                  <c:v>110.39713973203607</c:v>
                </c:pt>
                <c:pt idx="18">
                  <c:v>110.57716715312401</c:v>
                </c:pt>
                <c:pt idx="19">
                  <c:v>110.82434693711497</c:v>
                </c:pt>
                <c:pt idx="20">
                  <c:v>111.07054301279291</c:v>
                </c:pt>
                <c:pt idx="21">
                  <c:v>111.50957305472757</c:v>
                </c:pt>
                <c:pt idx="22">
                  <c:v>111.78627830059135</c:v>
                </c:pt>
                <c:pt idx="23">
                  <c:v>112.10767599212907</c:v>
                </c:pt>
                <c:pt idx="24">
                  <c:v>112.4425096320908</c:v>
                </c:pt>
                <c:pt idx="25">
                  <c:v>112.86308608605225</c:v>
                </c:pt>
                <c:pt idx="26">
                  <c:v>113.06991732471373</c:v>
                </c:pt>
                <c:pt idx="27">
                  <c:v>113.48109201278582</c:v>
                </c:pt>
                <c:pt idx="28">
                  <c:v>113.75196344343821</c:v>
                </c:pt>
                <c:pt idx="29">
                  <c:v>114.03795900646109</c:v>
                </c:pt>
                <c:pt idx="30">
                  <c:v>114.10802020872259</c:v>
                </c:pt>
                <c:pt idx="31">
                  <c:v>114.32489902330181</c:v>
                </c:pt>
                <c:pt idx="32">
                  <c:v>114.69561879985444</c:v>
                </c:pt>
                <c:pt idx="33">
                  <c:v>115.06567334937766</c:v>
                </c:pt>
                <c:pt idx="34">
                  <c:v>115.37772352097895</c:v>
                </c:pt>
                <c:pt idx="35">
                  <c:v>115.53128069451215</c:v>
                </c:pt>
                <c:pt idx="36">
                  <c:v>115.80315795355905</c:v>
                </c:pt>
                <c:pt idx="37">
                  <c:v>115.86880631713144</c:v>
                </c:pt>
                <c:pt idx="38">
                  <c:v>116.23000981445217</c:v>
                </c:pt>
                <c:pt idx="39">
                  <c:v>116.40794775116905</c:v>
                </c:pt>
                <c:pt idx="40">
                  <c:v>116.77804843877944</c:v>
                </c:pt>
                <c:pt idx="41">
                  <c:v>116.96408640458799</c:v>
                </c:pt>
                <c:pt idx="42">
                  <c:v>117.30403205195093</c:v>
                </c:pt>
                <c:pt idx="43">
                  <c:v>117.39372778993284</c:v>
                </c:pt>
                <c:pt idx="44">
                  <c:v>117.69378094476892</c:v>
                </c:pt>
                <c:pt idx="45">
                  <c:v>117.82262204308113</c:v>
                </c:pt>
                <c:pt idx="46">
                  <c:v>117.94730190142097</c:v>
                </c:pt>
                <c:pt idx="47">
                  <c:v>118.21087015872814</c:v>
                </c:pt>
                <c:pt idx="48">
                  <c:v>118.41023532852697</c:v>
                </c:pt>
                <c:pt idx="49">
                  <c:v>118.55377429861552</c:v>
                </c:pt>
                <c:pt idx="50">
                  <c:v>118.67189039826955</c:v>
                </c:pt>
                <c:pt idx="51">
                  <c:v>118.95616955576951</c:v>
                </c:pt>
                <c:pt idx="52">
                  <c:v>119.33662272155217</c:v>
                </c:pt>
                <c:pt idx="53">
                  <c:v>119.68305391010632</c:v>
                </c:pt>
                <c:pt idx="54">
                  <c:v>120.08909795306738</c:v>
                </c:pt>
                <c:pt idx="55">
                  <c:v>120.22249534734681</c:v>
                </c:pt>
                <c:pt idx="56">
                  <c:v>120.34289928247728</c:v>
                </c:pt>
                <c:pt idx="57">
                  <c:v>120.30723591212421</c:v>
                </c:pt>
                <c:pt idx="58">
                  <c:v>120.72933439539864</c:v>
                </c:pt>
                <c:pt idx="59">
                  <c:v>120.98204666918284</c:v>
                </c:pt>
                <c:pt idx="60">
                  <c:v>121.12844076196893</c:v>
                </c:pt>
                <c:pt idx="61">
                  <c:v>121.32861170084182</c:v>
                </c:pt>
                <c:pt idx="62">
                  <c:v>121.37156488982885</c:v>
                </c:pt>
                <c:pt idx="63">
                  <c:v>121.403309707932</c:v>
                </c:pt>
                <c:pt idx="64">
                  <c:v>121.81730211328914</c:v>
                </c:pt>
                <c:pt idx="65">
                  <c:v>122.31695580899164</c:v>
                </c:pt>
                <c:pt idx="66">
                  <c:v>122.32149250723883</c:v>
                </c:pt>
                <c:pt idx="67">
                  <c:v>122.39817860354979</c:v>
                </c:pt>
                <c:pt idx="68">
                  <c:v>122.24885118865559</c:v>
                </c:pt>
                <c:pt idx="69">
                  <c:v>122.59539855712869</c:v>
                </c:pt>
                <c:pt idx="70">
                  <c:v>122.94068916111794</c:v>
                </c:pt>
                <c:pt idx="71">
                  <c:v>122.63494505246015</c:v>
                </c:pt>
                <c:pt idx="72">
                  <c:v>123.16908025722273</c:v>
                </c:pt>
                <c:pt idx="73">
                  <c:v>123.29417298656692</c:v>
                </c:pt>
                <c:pt idx="74">
                  <c:v>122.88106250517208</c:v>
                </c:pt>
                <c:pt idx="75">
                  <c:v>123.21482841137963</c:v>
                </c:pt>
                <c:pt idx="76">
                  <c:v>123.49977580886048</c:v>
                </c:pt>
                <c:pt idx="77">
                  <c:v>123.37833648196356</c:v>
                </c:pt>
                <c:pt idx="78">
                  <c:v>123.16897997638249</c:v>
                </c:pt>
                <c:pt idx="79">
                  <c:v>123.91782048447546</c:v>
                </c:pt>
                <c:pt idx="80">
                  <c:v>123.79027686830813</c:v>
                </c:pt>
                <c:pt idx="81">
                  <c:v>123.98970539810321</c:v>
                </c:pt>
                <c:pt idx="82">
                  <c:v>124.42262982325516</c:v>
                </c:pt>
                <c:pt idx="83">
                  <c:v>124.59023662112564</c:v>
                </c:pt>
                <c:pt idx="84">
                  <c:v>124.62120224209242</c:v>
                </c:pt>
                <c:pt idx="85">
                  <c:v>124.86861974904413</c:v>
                </c:pt>
                <c:pt idx="86">
                  <c:v>125.08773214166717</c:v>
                </c:pt>
                <c:pt idx="87">
                  <c:v>124.96153839028392</c:v>
                </c:pt>
                <c:pt idx="88">
                  <c:v>125.28992755148276</c:v>
                </c:pt>
                <c:pt idx="89">
                  <c:v>125.32579461821324</c:v>
                </c:pt>
                <c:pt idx="90">
                  <c:v>125.64222066671195</c:v>
                </c:pt>
                <c:pt idx="91">
                  <c:v>125.7100773360784</c:v>
                </c:pt>
                <c:pt idx="92">
                  <c:v>125.69206575014049</c:v>
                </c:pt>
                <c:pt idx="93">
                  <c:v>126.05664011687887</c:v>
                </c:pt>
                <c:pt idx="94">
                  <c:v>125.99670261841086</c:v>
                </c:pt>
                <c:pt idx="95">
                  <c:v>126.26976212202817</c:v>
                </c:pt>
                <c:pt idx="96">
                  <c:v>126.38104030569794</c:v>
                </c:pt>
                <c:pt idx="97">
                  <c:v>126.69456995641694</c:v>
                </c:pt>
                <c:pt idx="98">
                  <c:v>126.21969992605183</c:v>
                </c:pt>
                <c:pt idx="99">
                  <c:v>126.35438454828792</c:v>
                </c:pt>
                <c:pt idx="100">
                  <c:v>126.43116677243547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9A-4336-8615-36CB1FEC6764}"/>
            </c:ext>
          </c:extLst>
        </c:ser>
        <c:ser>
          <c:idx val="3"/>
          <c:order val="2"/>
          <c:tx>
            <c:v>75%</c:v>
          </c:tx>
          <c:spPr>
            <a:ln w="12700" cap="rnd">
              <a:solidFill>
                <a:srgbClr val="AAAAFF"/>
              </a:solidFill>
              <a:round/>
            </a:ln>
            <a:effectLst/>
          </c:spPr>
          <c:marker>
            <c:symbol val="none"/>
          </c:marker>
          <c:val>
            <c:numRef>
              <c:f>probability!$ET$2:$ET$102</c:f>
              <c:numCache>
                <c:formatCode>General</c:formatCode>
                <c:ptCount val="101"/>
                <c:pt idx="0">
                  <c:v>100.29</c:v>
                </c:pt>
                <c:pt idx="1">
                  <c:v>101.1156020717482</c:v>
                </c:pt>
                <c:pt idx="2">
                  <c:v>101.44103931565606</c:v>
                </c:pt>
                <c:pt idx="3">
                  <c:v>101.68330876638115</c:v>
                </c:pt>
                <c:pt idx="4">
                  <c:v>101.8639094433199</c:v>
                </c:pt>
                <c:pt idx="5">
                  <c:v>102.01259331488392</c:v>
                </c:pt>
                <c:pt idx="6">
                  <c:v>102.13159671468632</c:v>
                </c:pt>
                <c:pt idx="7">
                  <c:v>102.28037306042376</c:v>
                </c:pt>
                <c:pt idx="8">
                  <c:v>102.40348867370989</c:v>
                </c:pt>
                <c:pt idx="9">
                  <c:v>102.48769424255295</c:v>
                </c:pt>
                <c:pt idx="10">
                  <c:v>102.57596630586704</c:v>
                </c:pt>
                <c:pt idx="11">
                  <c:v>102.70947132885279</c:v>
                </c:pt>
                <c:pt idx="12">
                  <c:v>102.85279730289749</c:v>
                </c:pt>
                <c:pt idx="13">
                  <c:v>102.94389438424538</c:v>
                </c:pt>
                <c:pt idx="14">
                  <c:v>102.97727490912798</c:v>
                </c:pt>
                <c:pt idx="15">
                  <c:v>103.05919503114714</c:v>
                </c:pt>
                <c:pt idx="16">
                  <c:v>103.13507239230617</c:v>
                </c:pt>
                <c:pt idx="17">
                  <c:v>103.14547933136805</c:v>
                </c:pt>
                <c:pt idx="18">
                  <c:v>103.23453181586683</c:v>
                </c:pt>
                <c:pt idx="19">
                  <c:v>103.31097076307056</c:v>
                </c:pt>
                <c:pt idx="20">
                  <c:v>103.37080960538309</c:v>
                </c:pt>
                <c:pt idx="21">
                  <c:v>103.34256326408712</c:v>
                </c:pt>
                <c:pt idx="22">
                  <c:v>103.36849035943682</c:v>
                </c:pt>
                <c:pt idx="23">
                  <c:v>103.4868082742131</c:v>
                </c:pt>
                <c:pt idx="24">
                  <c:v>103.47654804534608</c:v>
                </c:pt>
                <c:pt idx="25">
                  <c:v>103.54578438155141</c:v>
                </c:pt>
                <c:pt idx="26">
                  <c:v>103.62766533633086</c:v>
                </c:pt>
                <c:pt idx="27">
                  <c:v>103.66666360369113</c:v>
                </c:pt>
                <c:pt idx="28">
                  <c:v>103.69772928009033</c:v>
                </c:pt>
                <c:pt idx="29">
                  <c:v>103.64779531111441</c:v>
                </c:pt>
                <c:pt idx="30">
                  <c:v>103.67569774719398</c:v>
                </c:pt>
                <c:pt idx="31">
                  <c:v>103.73428377131324</c:v>
                </c:pt>
                <c:pt idx="32">
                  <c:v>103.74427103406583</c:v>
                </c:pt>
                <c:pt idx="33">
                  <c:v>103.82793970365297</c:v>
                </c:pt>
                <c:pt idx="34">
                  <c:v>103.90854509102513</c:v>
                </c:pt>
                <c:pt idx="35">
                  <c:v>104.00242220457484</c:v>
                </c:pt>
                <c:pt idx="36">
                  <c:v>103.90045665522396</c:v>
                </c:pt>
                <c:pt idx="37">
                  <c:v>103.98549393440058</c:v>
                </c:pt>
                <c:pt idx="38">
                  <c:v>104.08446426494763</c:v>
                </c:pt>
                <c:pt idx="39">
                  <c:v>104.10578329139095</c:v>
                </c:pt>
                <c:pt idx="40">
                  <c:v>104.14989116908066</c:v>
                </c:pt>
                <c:pt idx="41">
                  <c:v>104.25525822696162</c:v>
                </c:pt>
                <c:pt idx="42">
                  <c:v>104.31570999105894</c:v>
                </c:pt>
                <c:pt idx="43">
                  <c:v>104.34386573913672</c:v>
                </c:pt>
                <c:pt idx="44">
                  <c:v>104.36239920943282</c:v>
                </c:pt>
                <c:pt idx="45">
                  <c:v>104.4167455733986</c:v>
                </c:pt>
                <c:pt idx="46">
                  <c:v>104.49468552788447</c:v>
                </c:pt>
                <c:pt idx="47">
                  <c:v>104.51545594712097</c:v>
                </c:pt>
                <c:pt idx="48">
                  <c:v>104.5904841729572</c:v>
                </c:pt>
                <c:pt idx="49">
                  <c:v>104.62972304681408</c:v>
                </c:pt>
                <c:pt idx="50">
                  <c:v>104.59692867602318</c:v>
                </c:pt>
                <c:pt idx="51">
                  <c:v>104.6706947710898</c:v>
                </c:pt>
                <c:pt idx="52">
                  <c:v>104.70108306844942</c:v>
                </c:pt>
                <c:pt idx="53">
                  <c:v>104.71292150388723</c:v>
                </c:pt>
                <c:pt idx="54">
                  <c:v>104.69132630676576</c:v>
                </c:pt>
                <c:pt idx="55">
                  <c:v>104.71009739790522</c:v>
                </c:pt>
                <c:pt idx="56">
                  <c:v>104.7412910351145</c:v>
                </c:pt>
                <c:pt idx="57">
                  <c:v>104.87327205385175</c:v>
                </c:pt>
                <c:pt idx="58">
                  <c:v>104.89705737103945</c:v>
                </c:pt>
                <c:pt idx="59">
                  <c:v>104.88343942123113</c:v>
                </c:pt>
                <c:pt idx="60">
                  <c:v>105.00994760596431</c:v>
                </c:pt>
                <c:pt idx="61">
                  <c:v>105.05156988251558</c:v>
                </c:pt>
                <c:pt idx="62">
                  <c:v>105.07016904443282</c:v>
                </c:pt>
                <c:pt idx="63">
                  <c:v>105.05804985960886</c:v>
                </c:pt>
                <c:pt idx="64">
                  <c:v>105.09888651755713</c:v>
                </c:pt>
                <c:pt idx="65">
                  <c:v>105.18341281963522</c:v>
                </c:pt>
                <c:pt idx="66">
                  <c:v>105.22049533261199</c:v>
                </c:pt>
                <c:pt idx="67">
                  <c:v>105.20177960202351</c:v>
                </c:pt>
                <c:pt idx="68">
                  <c:v>105.24323310312668</c:v>
                </c:pt>
                <c:pt idx="69">
                  <c:v>105.24771472806643</c:v>
                </c:pt>
                <c:pt idx="70">
                  <c:v>105.27035081114501</c:v>
                </c:pt>
                <c:pt idx="71">
                  <c:v>105.32820530537106</c:v>
                </c:pt>
                <c:pt idx="72">
                  <c:v>105.30895241337977</c:v>
                </c:pt>
                <c:pt idx="73">
                  <c:v>105.38765038322461</c:v>
                </c:pt>
                <c:pt idx="74">
                  <c:v>105.36482767130634</c:v>
                </c:pt>
                <c:pt idx="75">
                  <c:v>105.43438054729765</c:v>
                </c:pt>
                <c:pt idx="76">
                  <c:v>105.43222306946724</c:v>
                </c:pt>
                <c:pt idx="77">
                  <c:v>105.47293705932556</c:v>
                </c:pt>
                <c:pt idx="78">
                  <c:v>105.40285071235577</c:v>
                </c:pt>
                <c:pt idx="79">
                  <c:v>105.49459312364958</c:v>
                </c:pt>
                <c:pt idx="80">
                  <c:v>105.45840366462228</c:v>
                </c:pt>
                <c:pt idx="81">
                  <c:v>105.53404642429363</c:v>
                </c:pt>
                <c:pt idx="82">
                  <c:v>105.48541523356063</c:v>
                </c:pt>
                <c:pt idx="83">
                  <c:v>105.49526754299278</c:v>
                </c:pt>
                <c:pt idx="84">
                  <c:v>105.50394538834742</c:v>
                </c:pt>
                <c:pt idx="85">
                  <c:v>105.60909494633452</c:v>
                </c:pt>
                <c:pt idx="86">
                  <c:v>105.53968544165565</c:v>
                </c:pt>
                <c:pt idx="87">
                  <c:v>105.53387787711404</c:v>
                </c:pt>
                <c:pt idx="88">
                  <c:v>105.51382858102809</c:v>
                </c:pt>
                <c:pt idx="89">
                  <c:v>105.51145188538585</c:v>
                </c:pt>
                <c:pt idx="90">
                  <c:v>105.58857004645873</c:v>
                </c:pt>
                <c:pt idx="91">
                  <c:v>105.68555715666869</c:v>
                </c:pt>
                <c:pt idx="92">
                  <c:v>105.65428005054771</c:v>
                </c:pt>
                <c:pt idx="93">
                  <c:v>105.60339442720638</c:v>
                </c:pt>
                <c:pt idx="94">
                  <c:v>105.69783506619805</c:v>
                </c:pt>
                <c:pt idx="95">
                  <c:v>105.82339568677227</c:v>
                </c:pt>
                <c:pt idx="96">
                  <c:v>105.85543480845308</c:v>
                </c:pt>
                <c:pt idx="97">
                  <c:v>105.78849282023076</c:v>
                </c:pt>
                <c:pt idx="98">
                  <c:v>105.84210749821322</c:v>
                </c:pt>
                <c:pt idx="99">
                  <c:v>105.94498232039398</c:v>
                </c:pt>
                <c:pt idx="100">
                  <c:v>105.88462998328637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9A-4336-8615-36CB1FEC6764}"/>
            </c:ext>
          </c:extLst>
        </c:ser>
        <c:ser>
          <c:idx val="6"/>
          <c:order val="3"/>
          <c:tx>
            <c:v>mean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probability!$GR$2:$GR$102</c:f>
              <c:numCache>
                <c:formatCode>General</c:formatCode>
                <c:ptCount val="101"/>
                <c:pt idx="0">
                  <c:v>100.29000000001301</c:v>
                </c:pt>
                <c:pt idx="1">
                  <c:v>100.30194242023521</c:v>
                </c:pt>
                <c:pt idx="2">
                  <c:v>100.31755013249747</c:v>
                </c:pt>
                <c:pt idx="3">
                  <c:v>100.33502185653822</c:v>
                </c:pt>
                <c:pt idx="4">
                  <c:v>100.32633706955683</c:v>
                </c:pt>
                <c:pt idx="5">
                  <c:v>100.33493743815141</c:v>
                </c:pt>
                <c:pt idx="6">
                  <c:v>100.35403476320734</c:v>
                </c:pt>
                <c:pt idx="7">
                  <c:v>100.35810766498726</c:v>
                </c:pt>
                <c:pt idx="8">
                  <c:v>100.36985039994829</c:v>
                </c:pt>
                <c:pt idx="9">
                  <c:v>100.37583573354379</c:v>
                </c:pt>
                <c:pt idx="10">
                  <c:v>100.38093870928</c:v>
                </c:pt>
                <c:pt idx="11">
                  <c:v>100.40235979758008</c:v>
                </c:pt>
                <c:pt idx="12">
                  <c:v>100.42580738524963</c:v>
                </c:pt>
                <c:pt idx="13">
                  <c:v>100.43110141374133</c:v>
                </c:pt>
                <c:pt idx="14">
                  <c:v>100.4384958673716</c:v>
                </c:pt>
                <c:pt idx="15">
                  <c:v>100.43791390676274</c:v>
                </c:pt>
                <c:pt idx="16">
                  <c:v>100.44816475225859</c:v>
                </c:pt>
                <c:pt idx="17">
                  <c:v>100.47819591778013</c:v>
                </c:pt>
                <c:pt idx="18">
                  <c:v>100.48833069325889</c:v>
                </c:pt>
                <c:pt idx="19">
                  <c:v>100.4948121099324</c:v>
                </c:pt>
                <c:pt idx="20">
                  <c:v>100.48393957618552</c:v>
                </c:pt>
                <c:pt idx="21">
                  <c:v>100.50476072541871</c:v>
                </c:pt>
                <c:pt idx="22">
                  <c:v>100.51237868830881</c:v>
                </c:pt>
                <c:pt idx="23">
                  <c:v>100.53834558977842</c:v>
                </c:pt>
                <c:pt idx="24">
                  <c:v>100.54908409492208</c:v>
                </c:pt>
                <c:pt idx="25">
                  <c:v>100.56946171299033</c:v>
                </c:pt>
                <c:pt idx="26">
                  <c:v>100.57155343167227</c:v>
                </c:pt>
                <c:pt idx="27">
                  <c:v>100.60085165946951</c:v>
                </c:pt>
                <c:pt idx="28">
                  <c:v>100.61441910829743</c:v>
                </c:pt>
                <c:pt idx="29">
                  <c:v>100.6049322640892</c:v>
                </c:pt>
                <c:pt idx="30">
                  <c:v>100.59964265776087</c:v>
                </c:pt>
                <c:pt idx="31">
                  <c:v>100.61525280387889</c:v>
                </c:pt>
                <c:pt idx="32">
                  <c:v>100.65015705992218</c:v>
                </c:pt>
                <c:pt idx="33">
                  <c:v>100.6675572358221</c:v>
                </c:pt>
                <c:pt idx="34">
                  <c:v>100.70157376368928</c:v>
                </c:pt>
                <c:pt idx="35">
                  <c:v>100.71777526102385</c:v>
                </c:pt>
                <c:pt idx="36">
                  <c:v>100.72345402859231</c:v>
                </c:pt>
                <c:pt idx="37">
                  <c:v>100.7478094486134</c:v>
                </c:pt>
                <c:pt idx="38">
                  <c:v>100.75045848151153</c:v>
                </c:pt>
                <c:pt idx="39">
                  <c:v>100.8001621817937</c:v>
                </c:pt>
                <c:pt idx="40">
                  <c:v>100.79349754918935</c:v>
                </c:pt>
                <c:pt idx="41">
                  <c:v>100.81030561331626</c:v>
                </c:pt>
                <c:pt idx="42">
                  <c:v>100.85495399632624</c:v>
                </c:pt>
                <c:pt idx="43">
                  <c:v>100.86112229360727</c:v>
                </c:pt>
                <c:pt idx="44">
                  <c:v>100.88494729107278</c:v>
                </c:pt>
                <c:pt idx="45">
                  <c:v>100.88499271113137</c:v>
                </c:pt>
                <c:pt idx="46">
                  <c:v>100.90175924148441</c:v>
                </c:pt>
                <c:pt idx="47">
                  <c:v>100.91191714442333</c:v>
                </c:pt>
                <c:pt idx="48">
                  <c:v>100.91910467239894</c:v>
                </c:pt>
                <c:pt idx="49">
                  <c:v>100.94350893408142</c:v>
                </c:pt>
                <c:pt idx="50">
                  <c:v>100.96420213430665</c:v>
                </c:pt>
                <c:pt idx="51">
                  <c:v>100.99458431498493</c:v>
                </c:pt>
                <c:pt idx="52">
                  <c:v>101.01237646311456</c:v>
                </c:pt>
                <c:pt idx="53">
                  <c:v>101.03639706650132</c:v>
                </c:pt>
                <c:pt idx="54">
                  <c:v>101.041546376062</c:v>
                </c:pt>
                <c:pt idx="55">
                  <c:v>101.0635115280203</c:v>
                </c:pt>
                <c:pt idx="56">
                  <c:v>101.05691110033092</c:v>
                </c:pt>
                <c:pt idx="57">
                  <c:v>101.0564928540916</c:v>
                </c:pt>
                <c:pt idx="58">
                  <c:v>101.07868243290564</c:v>
                </c:pt>
                <c:pt idx="59">
                  <c:v>101.075199502362</c:v>
                </c:pt>
                <c:pt idx="60">
                  <c:v>101.1099831651309</c:v>
                </c:pt>
                <c:pt idx="61">
                  <c:v>101.11362149137777</c:v>
                </c:pt>
                <c:pt idx="62">
                  <c:v>101.11550661510445</c:v>
                </c:pt>
                <c:pt idx="63">
                  <c:v>101.11188965506699</c:v>
                </c:pt>
                <c:pt idx="64">
                  <c:v>101.12376372539283</c:v>
                </c:pt>
                <c:pt idx="65">
                  <c:v>101.14402050464442</c:v>
                </c:pt>
                <c:pt idx="66">
                  <c:v>101.12242673082275</c:v>
                </c:pt>
                <c:pt idx="67">
                  <c:v>101.14038708080018</c:v>
                </c:pt>
                <c:pt idx="68">
                  <c:v>101.15510267197442</c:v>
                </c:pt>
                <c:pt idx="69">
                  <c:v>101.17743950001223</c:v>
                </c:pt>
                <c:pt idx="70">
                  <c:v>101.18419689566704</c:v>
                </c:pt>
                <c:pt idx="71">
                  <c:v>101.18336320597732</c:v>
                </c:pt>
                <c:pt idx="72">
                  <c:v>101.19367317874087</c:v>
                </c:pt>
                <c:pt idx="73">
                  <c:v>101.20655058991406</c:v>
                </c:pt>
                <c:pt idx="74">
                  <c:v>101.21767569356209</c:v>
                </c:pt>
                <c:pt idx="75">
                  <c:v>101.24581194392368</c:v>
                </c:pt>
                <c:pt idx="76">
                  <c:v>101.24452624549851</c:v>
                </c:pt>
                <c:pt idx="77">
                  <c:v>101.25899634738212</c:v>
                </c:pt>
                <c:pt idx="78">
                  <c:v>101.25895250426935</c:v>
                </c:pt>
                <c:pt idx="79">
                  <c:v>101.28731862923078</c:v>
                </c:pt>
                <c:pt idx="80">
                  <c:v>101.28020485304091</c:v>
                </c:pt>
                <c:pt idx="81">
                  <c:v>101.2971924657497</c:v>
                </c:pt>
                <c:pt idx="82">
                  <c:v>101.28624192276821</c:v>
                </c:pt>
                <c:pt idx="83">
                  <c:v>101.30335865576859</c:v>
                </c:pt>
                <c:pt idx="84">
                  <c:v>101.31370495911094</c:v>
                </c:pt>
                <c:pt idx="85">
                  <c:v>101.30701141720034</c:v>
                </c:pt>
                <c:pt idx="86">
                  <c:v>101.30064671804512</c:v>
                </c:pt>
                <c:pt idx="87">
                  <c:v>101.31734271383694</c:v>
                </c:pt>
                <c:pt idx="88">
                  <c:v>101.31879483825635</c:v>
                </c:pt>
                <c:pt idx="89">
                  <c:v>101.3098914697355</c:v>
                </c:pt>
                <c:pt idx="90">
                  <c:v>101.32403791047103</c:v>
                </c:pt>
                <c:pt idx="91">
                  <c:v>101.35874747702486</c:v>
                </c:pt>
                <c:pt idx="92">
                  <c:v>101.36390207536174</c:v>
                </c:pt>
                <c:pt idx="93">
                  <c:v>101.3877817517636</c:v>
                </c:pt>
                <c:pt idx="94">
                  <c:v>101.40576743352771</c:v>
                </c:pt>
                <c:pt idx="95">
                  <c:v>101.4276607921017</c:v>
                </c:pt>
                <c:pt idx="96">
                  <c:v>101.41893867302362</c:v>
                </c:pt>
                <c:pt idx="97">
                  <c:v>101.43199941484585</c:v>
                </c:pt>
                <c:pt idx="98">
                  <c:v>101.45224780439669</c:v>
                </c:pt>
                <c:pt idx="99">
                  <c:v>101.42968429696673</c:v>
                </c:pt>
                <c:pt idx="100">
                  <c:v>101.45954820327722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A9A-4336-8615-36CB1FEC6764}"/>
            </c:ext>
          </c:extLst>
        </c:ser>
        <c:ser>
          <c:idx val="4"/>
          <c:order val="4"/>
          <c:tx>
            <c:v>50%</c:v>
          </c:tx>
          <c:spPr>
            <a:ln w="1270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val>
            <c:numRef>
              <c:f>probability!$CV$2:$CV$102</c:f>
              <c:numCache>
                <c:formatCode>General</c:formatCode>
                <c:ptCount val="101"/>
                <c:pt idx="0">
                  <c:v>100.29</c:v>
                </c:pt>
                <c:pt idx="1">
                  <c:v>100.300628927278</c:v>
                </c:pt>
                <c:pt idx="2">
                  <c:v>100.23466526428516</c:v>
                </c:pt>
                <c:pt idx="3">
                  <c:v>100.21774732213908</c:v>
                </c:pt>
                <c:pt idx="4">
                  <c:v>100.10750061911138</c:v>
                </c:pt>
                <c:pt idx="5">
                  <c:v>100.04117111159475</c:v>
                </c:pt>
                <c:pt idx="6">
                  <c:v>100.00454591422273</c:v>
                </c:pt>
                <c:pt idx="7">
                  <c:v>99.953175787568824</c:v>
                </c:pt>
                <c:pt idx="8">
                  <c:v>99.903980906890624</c:v>
                </c:pt>
                <c:pt idx="9">
                  <c:v>99.882634347245215</c:v>
                </c:pt>
                <c:pt idx="10">
                  <c:v>99.827114089511639</c:v>
                </c:pt>
                <c:pt idx="11">
                  <c:v>99.7430249223315</c:v>
                </c:pt>
                <c:pt idx="12">
                  <c:v>99.705520755658114</c:v>
                </c:pt>
                <c:pt idx="13">
                  <c:v>99.648355294446333</c:v>
                </c:pt>
                <c:pt idx="14">
                  <c:v>99.61008747365095</c:v>
                </c:pt>
                <c:pt idx="15">
                  <c:v>99.514321103888705</c:v>
                </c:pt>
                <c:pt idx="16">
                  <c:v>99.518101476151244</c:v>
                </c:pt>
                <c:pt idx="17">
                  <c:v>99.447696431666685</c:v>
                </c:pt>
                <c:pt idx="18">
                  <c:v>99.418548596499576</c:v>
                </c:pt>
                <c:pt idx="19">
                  <c:v>99.357016394784679</c:v>
                </c:pt>
                <c:pt idx="20">
                  <c:v>99.318336268152791</c:v>
                </c:pt>
                <c:pt idx="21">
                  <c:v>99.288418501291133</c:v>
                </c:pt>
                <c:pt idx="22">
                  <c:v>99.247817210902241</c:v>
                </c:pt>
                <c:pt idx="23">
                  <c:v>99.15824658306019</c:v>
                </c:pt>
                <c:pt idx="24">
                  <c:v>99.142775440345616</c:v>
                </c:pt>
                <c:pt idx="25">
                  <c:v>99.102880864036933</c:v>
                </c:pt>
                <c:pt idx="26">
                  <c:v>99.083639222833398</c:v>
                </c:pt>
                <c:pt idx="27">
                  <c:v>99.043001630120514</c:v>
                </c:pt>
                <c:pt idx="28">
                  <c:v>99.015212182488298</c:v>
                </c:pt>
                <c:pt idx="29">
                  <c:v>98.963559867078772</c:v>
                </c:pt>
                <c:pt idx="30">
                  <c:v>98.953067605920097</c:v>
                </c:pt>
                <c:pt idx="31">
                  <c:v>98.940367947393014</c:v>
                </c:pt>
                <c:pt idx="32">
                  <c:v>98.931972050015858</c:v>
                </c:pt>
                <c:pt idx="33">
                  <c:v>98.897511313881722</c:v>
                </c:pt>
                <c:pt idx="34">
                  <c:v>98.872200058638512</c:v>
                </c:pt>
                <c:pt idx="35">
                  <c:v>98.860506477752196</c:v>
                </c:pt>
                <c:pt idx="36">
                  <c:v>98.804844185508514</c:v>
                </c:pt>
                <c:pt idx="37">
                  <c:v>98.804151290591619</c:v>
                </c:pt>
                <c:pt idx="38">
                  <c:v>98.815852288562169</c:v>
                </c:pt>
                <c:pt idx="39">
                  <c:v>98.825782181167824</c:v>
                </c:pt>
                <c:pt idx="40">
                  <c:v>98.753735797893384</c:v>
                </c:pt>
                <c:pt idx="41">
                  <c:v>98.745950639008356</c:v>
                </c:pt>
                <c:pt idx="42">
                  <c:v>98.715874018942785</c:v>
                </c:pt>
                <c:pt idx="43">
                  <c:v>98.687398957199079</c:v>
                </c:pt>
                <c:pt idx="44">
                  <c:v>98.647084714307127</c:v>
                </c:pt>
                <c:pt idx="45">
                  <c:v>98.59745902018652</c:v>
                </c:pt>
                <c:pt idx="46">
                  <c:v>98.563151077206925</c:v>
                </c:pt>
                <c:pt idx="47">
                  <c:v>98.546841430534954</c:v>
                </c:pt>
                <c:pt idx="48">
                  <c:v>98.588631237153734</c:v>
                </c:pt>
                <c:pt idx="49">
                  <c:v>98.595177490094031</c:v>
                </c:pt>
                <c:pt idx="50">
                  <c:v>98.563203177178693</c:v>
                </c:pt>
                <c:pt idx="51">
                  <c:v>98.479867508504867</c:v>
                </c:pt>
                <c:pt idx="52">
                  <c:v>98.517691876328229</c:v>
                </c:pt>
                <c:pt idx="53">
                  <c:v>98.483970140084125</c:v>
                </c:pt>
                <c:pt idx="54">
                  <c:v>98.471896698703048</c:v>
                </c:pt>
                <c:pt idx="55">
                  <c:v>98.527815811969077</c:v>
                </c:pt>
                <c:pt idx="56">
                  <c:v>98.492153649563988</c:v>
                </c:pt>
                <c:pt idx="57">
                  <c:v>98.450439910353069</c:v>
                </c:pt>
                <c:pt idx="58">
                  <c:v>98.373983042539649</c:v>
                </c:pt>
                <c:pt idx="59">
                  <c:v>98.40218639412727</c:v>
                </c:pt>
                <c:pt idx="60">
                  <c:v>98.375394951188824</c:v>
                </c:pt>
                <c:pt idx="61">
                  <c:v>98.402160050180129</c:v>
                </c:pt>
                <c:pt idx="62">
                  <c:v>98.335980453211349</c:v>
                </c:pt>
                <c:pt idx="63">
                  <c:v>98.321638854688004</c:v>
                </c:pt>
                <c:pt idx="64">
                  <c:v>98.31650542495791</c:v>
                </c:pt>
                <c:pt idx="65">
                  <c:v>98.338547976650204</c:v>
                </c:pt>
                <c:pt idx="66">
                  <c:v>98.246801511264906</c:v>
                </c:pt>
                <c:pt idx="67">
                  <c:v>98.269945273994466</c:v>
                </c:pt>
                <c:pt idx="68">
                  <c:v>98.284541231881406</c:v>
                </c:pt>
                <c:pt idx="69">
                  <c:v>98.313494268433843</c:v>
                </c:pt>
                <c:pt idx="70">
                  <c:v>98.26239547327755</c:v>
                </c:pt>
                <c:pt idx="71">
                  <c:v>98.21826895503213</c:v>
                </c:pt>
                <c:pt idx="72">
                  <c:v>98.180267175956345</c:v>
                </c:pt>
                <c:pt idx="73">
                  <c:v>98.181881544216949</c:v>
                </c:pt>
                <c:pt idx="74">
                  <c:v>98.209205760676809</c:v>
                </c:pt>
                <c:pt idx="75">
                  <c:v>98.245504082660034</c:v>
                </c:pt>
                <c:pt idx="76">
                  <c:v>98.312832334027263</c:v>
                </c:pt>
                <c:pt idx="77">
                  <c:v>98.232202770639446</c:v>
                </c:pt>
                <c:pt idx="78">
                  <c:v>98.254948212164322</c:v>
                </c:pt>
                <c:pt idx="79">
                  <c:v>98.265740258901033</c:v>
                </c:pt>
                <c:pt idx="80">
                  <c:v>98.253754713124081</c:v>
                </c:pt>
                <c:pt idx="81">
                  <c:v>98.216382782734541</c:v>
                </c:pt>
                <c:pt idx="82">
                  <c:v>98.167481697473818</c:v>
                </c:pt>
                <c:pt idx="83">
                  <c:v>98.147074372760812</c:v>
                </c:pt>
                <c:pt idx="84">
                  <c:v>98.146069700498089</c:v>
                </c:pt>
                <c:pt idx="85">
                  <c:v>98.161528530591383</c:v>
                </c:pt>
                <c:pt idx="86">
                  <c:v>98.103131513182348</c:v>
                </c:pt>
                <c:pt idx="87">
                  <c:v>98.187798056784274</c:v>
                </c:pt>
                <c:pt idx="88">
                  <c:v>98.117635495125711</c:v>
                </c:pt>
                <c:pt idx="89">
                  <c:v>98.055156472886978</c:v>
                </c:pt>
                <c:pt idx="90">
                  <c:v>98.087153738645711</c:v>
                </c:pt>
                <c:pt idx="91">
                  <c:v>98.081241689044759</c:v>
                </c:pt>
                <c:pt idx="92">
                  <c:v>98.081527386552949</c:v>
                </c:pt>
                <c:pt idx="93">
                  <c:v>98.057741849638106</c:v>
                </c:pt>
                <c:pt idx="94">
                  <c:v>98.068352091959852</c:v>
                </c:pt>
                <c:pt idx="95">
                  <c:v>98.044420933099886</c:v>
                </c:pt>
                <c:pt idx="96">
                  <c:v>98.075922845788341</c:v>
                </c:pt>
                <c:pt idx="97">
                  <c:v>98.042312258734015</c:v>
                </c:pt>
                <c:pt idx="98">
                  <c:v>98.119149168757374</c:v>
                </c:pt>
                <c:pt idx="99">
                  <c:v>98.05042441372872</c:v>
                </c:pt>
                <c:pt idx="100">
                  <c:v>97.983159719737287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A9A-4336-8615-36CB1FEC6764}"/>
            </c:ext>
          </c:extLst>
        </c:ser>
        <c:ser>
          <c:idx val="2"/>
          <c:order val="5"/>
          <c:tx>
            <c:v>25%</c:v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probability!$AX$2:$AX$102</c:f>
              <c:numCache>
                <c:formatCode>General</c:formatCode>
                <c:ptCount val="101"/>
                <c:pt idx="0">
                  <c:v>100.29</c:v>
                </c:pt>
                <c:pt idx="1">
                  <c:v>99.476439755290116</c:v>
                </c:pt>
                <c:pt idx="2">
                  <c:v>99.1305215341783</c:v>
                </c:pt>
                <c:pt idx="3">
                  <c:v>98.818356669739259</c:v>
                </c:pt>
                <c:pt idx="4">
                  <c:v>98.599429948960548</c:v>
                </c:pt>
                <c:pt idx="5">
                  <c:v>98.353725451884031</c:v>
                </c:pt>
                <c:pt idx="6">
                  <c:v>98.158056595398207</c:v>
                </c:pt>
                <c:pt idx="7">
                  <c:v>98.009893967548507</c:v>
                </c:pt>
                <c:pt idx="8">
                  <c:v>97.851268673807368</c:v>
                </c:pt>
                <c:pt idx="9">
                  <c:v>97.734650977356708</c:v>
                </c:pt>
                <c:pt idx="10">
                  <c:v>97.565994472996806</c:v>
                </c:pt>
                <c:pt idx="11">
                  <c:v>97.418040830033121</c:v>
                </c:pt>
                <c:pt idx="12">
                  <c:v>97.306103031264996</c:v>
                </c:pt>
                <c:pt idx="13">
                  <c:v>97.225098699745644</c:v>
                </c:pt>
                <c:pt idx="14">
                  <c:v>97.068843100658285</c:v>
                </c:pt>
                <c:pt idx="15">
                  <c:v>96.972531316077237</c:v>
                </c:pt>
                <c:pt idx="16">
                  <c:v>96.875797504713034</c:v>
                </c:pt>
                <c:pt idx="17">
                  <c:v>96.79572638750966</c:v>
                </c:pt>
                <c:pt idx="18">
                  <c:v>96.747823202035235</c:v>
                </c:pt>
                <c:pt idx="19">
                  <c:v>96.596783752289411</c:v>
                </c:pt>
                <c:pt idx="20">
                  <c:v>96.525778164498306</c:v>
                </c:pt>
                <c:pt idx="21">
                  <c:v>96.474947343729298</c:v>
                </c:pt>
                <c:pt idx="22">
                  <c:v>96.400014206751521</c:v>
                </c:pt>
                <c:pt idx="23">
                  <c:v>96.314616127583975</c:v>
                </c:pt>
                <c:pt idx="24">
                  <c:v>96.208397486539141</c:v>
                </c:pt>
                <c:pt idx="25">
                  <c:v>96.13674091836539</c:v>
                </c:pt>
                <c:pt idx="26">
                  <c:v>96.083443428763715</c:v>
                </c:pt>
                <c:pt idx="27">
                  <c:v>96.020611693206291</c:v>
                </c:pt>
                <c:pt idx="28">
                  <c:v>95.95619497320061</c:v>
                </c:pt>
                <c:pt idx="29">
                  <c:v>95.871828578527669</c:v>
                </c:pt>
                <c:pt idx="30">
                  <c:v>95.815150685755796</c:v>
                </c:pt>
                <c:pt idx="31">
                  <c:v>95.777787564350703</c:v>
                </c:pt>
                <c:pt idx="32">
                  <c:v>95.7071417345811</c:v>
                </c:pt>
                <c:pt idx="33">
                  <c:v>95.669975451334025</c:v>
                </c:pt>
                <c:pt idx="34">
                  <c:v>95.618990713627213</c:v>
                </c:pt>
                <c:pt idx="35">
                  <c:v>95.541930569453328</c:v>
                </c:pt>
                <c:pt idx="36">
                  <c:v>95.489282175511548</c:v>
                </c:pt>
                <c:pt idx="37">
                  <c:v>95.443891024111096</c:v>
                </c:pt>
                <c:pt idx="38">
                  <c:v>95.404744401198755</c:v>
                </c:pt>
                <c:pt idx="39">
                  <c:v>95.358103027851939</c:v>
                </c:pt>
                <c:pt idx="40">
                  <c:v>95.316861964902657</c:v>
                </c:pt>
                <c:pt idx="41">
                  <c:v>95.260675124003797</c:v>
                </c:pt>
                <c:pt idx="42">
                  <c:v>95.18189738955418</c:v>
                </c:pt>
                <c:pt idx="43">
                  <c:v>95.140232010725256</c:v>
                </c:pt>
                <c:pt idx="44">
                  <c:v>95.11473563388877</c:v>
                </c:pt>
                <c:pt idx="45">
                  <c:v>95.035535929926894</c:v>
                </c:pt>
                <c:pt idx="46">
                  <c:v>94.982717731416642</c:v>
                </c:pt>
                <c:pt idx="47">
                  <c:v>94.900765013050844</c:v>
                </c:pt>
                <c:pt idx="48">
                  <c:v>94.893319794969855</c:v>
                </c:pt>
                <c:pt idx="49">
                  <c:v>94.859285881765828</c:v>
                </c:pt>
                <c:pt idx="50">
                  <c:v>94.841440378327448</c:v>
                </c:pt>
                <c:pt idx="51">
                  <c:v>94.785485072136737</c:v>
                </c:pt>
                <c:pt idx="52">
                  <c:v>94.730303729288408</c:v>
                </c:pt>
                <c:pt idx="53">
                  <c:v>94.689701391492733</c:v>
                </c:pt>
                <c:pt idx="54">
                  <c:v>94.659201249223329</c:v>
                </c:pt>
                <c:pt idx="55">
                  <c:v>94.5943086328666</c:v>
                </c:pt>
                <c:pt idx="56">
                  <c:v>94.580081572871279</c:v>
                </c:pt>
                <c:pt idx="57">
                  <c:v>94.537649377381115</c:v>
                </c:pt>
                <c:pt idx="58">
                  <c:v>94.441368215385594</c:v>
                </c:pt>
                <c:pt idx="59">
                  <c:v>94.395534857118093</c:v>
                </c:pt>
                <c:pt idx="60">
                  <c:v>94.394685034014358</c:v>
                </c:pt>
                <c:pt idx="61">
                  <c:v>94.366751824190246</c:v>
                </c:pt>
                <c:pt idx="62">
                  <c:v>94.288711929531857</c:v>
                </c:pt>
                <c:pt idx="63">
                  <c:v>94.228542379658748</c:v>
                </c:pt>
                <c:pt idx="64">
                  <c:v>94.154718354311768</c:v>
                </c:pt>
                <c:pt idx="65">
                  <c:v>94.136394132330267</c:v>
                </c:pt>
                <c:pt idx="66">
                  <c:v>94.101505687567524</c:v>
                </c:pt>
                <c:pt idx="67">
                  <c:v>94.10354592935137</c:v>
                </c:pt>
                <c:pt idx="68">
                  <c:v>94.028256660414499</c:v>
                </c:pt>
                <c:pt idx="69">
                  <c:v>94.007493666468093</c:v>
                </c:pt>
                <c:pt idx="70">
                  <c:v>94.011916457520684</c:v>
                </c:pt>
                <c:pt idx="71">
                  <c:v>93.961730990954521</c:v>
                </c:pt>
                <c:pt idx="72">
                  <c:v>93.900291885705627</c:v>
                </c:pt>
                <c:pt idx="73">
                  <c:v>93.8396277512891</c:v>
                </c:pt>
                <c:pt idx="74">
                  <c:v>93.807583432323995</c:v>
                </c:pt>
                <c:pt idx="75">
                  <c:v>93.762812402996602</c:v>
                </c:pt>
                <c:pt idx="76">
                  <c:v>93.733578655382431</c:v>
                </c:pt>
                <c:pt idx="77">
                  <c:v>93.705553926611572</c:v>
                </c:pt>
                <c:pt idx="78">
                  <c:v>93.651533554519446</c:v>
                </c:pt>
                <c:pt idx="79">
                  <c:v>93.678552566041546</c:v>
                </c:pt>
                <c:pt idx="80">
                  <c:v>93.579581261612034</c:v>
                </c:pt>
                <c:pt idx="81">
                  <c:v>93.536465723971276</c:v>
                </c:pt>
                <c:pt idx="82">
                  <c:v>93.501078000044672</c:v>
                </c:pt>
                <c:pt idx="83">
                  <c:v>93.521370687284374</c:v>
                </c:pt>
                <c:pt idx="84">
                  <c:v>93.502349215358123</c:v>
                </c:pt>
                <c:pt idx="85">
                  <c:v>93.446414095165935</c:v>
                </c:pt>
                <c:pt idx="86">
                  <c:v>93.424189269984893</c:v>
                </c:pt>
                <c:pt idx="87">
                  <c:v>93.379393265413398</c:v>
                </c:pt>
                <c:pt idx="88">
                  <c:v>93.336766666778146</c:v>
                </c:pt>
                <c:pt idx="89">
                  <c:v>93.256980476013581</c:v>
                </c:pt>
                <c:pt idx="90">
                  <c:v>93.235601827439197</c:v>
                </c:pt>
                <c:pt idx="91">
                  <c:v>93.183853559958322</c:v>
                </c:pt>
                <c:pt idx="92">
                  <c:v>93.166815974235476</c:v>
                </c:pt>
                <c:pt idx="93">
                  <c:v>93.158891779127543</c:v>
                </c:pt>
                <c:pt idx="94">
                  <c:v>93.145325262296694</c:v>
                </c:pt>
                <c:pt idx="95">
                  <c:v>93.030786183394042</c:v>
                </c:pt>
                <c:pt idx="96">
                  <c:v>93.023902972538792</c:v>
                </c:pt>
                <c:pt idx="97">
                  <c:v>93.024611286972203</c:v>
                </c:pt>
                <c:pt idx="98">
                  <c:v>93.006777333326198</c:v>
                </c:pt>
                <c:pt idx="99">
                  <c:v>92.965806405513888</c:v>
                </c:pt>
                <c:pt idx="100">
                  <c:v>92.919380681919264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9A-4336-8615-36CB1FEC6764}"/>
            </c:ext>
          </c:extLst>
        </c:ser>
        <c:ser>
          <c:idx val="0"/>
          <c:order val="6"/>
          <c:tx>
            <c:v>5%</c:v>
          </c:tx>
          <c:spPr>
            <a:ln w="1270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val>
            <c:numRef>
              <c:f>probability!$J$2:$J$102</c:f>
              <c:numCache>
                <c:formatCode>General</c:formatCode>
                <c:ptCount val="101"/>
                <c:pt idx="0">
                  <c:v>100.29</c:v>
                </c:pt>
                <c:pt idx="1">
                  <c:v>98.274726044007807</c:v>
                </c:pt>
                <c:pt idx="2">
                  <c:v>97.546729317762939</c:v>
                </c:pt>
                <c:pt idx="3">
                  <c:v>97.047294536587742</c:v>
                </c:pt>
                <c:pt idx="4">
                  <c:v>96.605501172561105</c:v>
                </c:pt>
                <c:pt idx="5">
                  <c:v>96.20710073840803</c:v>
                </c:pt>
                <c:pt idx="6">
                  <c:v>96.009104987441106</c:v>
                </c:pt>
                <c:pt idx="7">
                  <c:v>95.767517729811658</c:v>
                </c:pt>
                <c:pt idx="8">
                  <c:v>95.532370307802921</c:v>
                </c:pt>
                <c:pt idx="9">
                  <c:v>95.321558390238309</c:v>
                </c:pt>
                <c:pt idx="10">
                  <c:v>95.132089200550297</c:v>
                </c:pt>
                <c:pt idx="11">
                  <c:v>94.908118316458271</c:v>
                </c:pt>
                <c:pt idx="12">
                  <c:v>94.720112757844007</c:v>
                </c:pt>
                <c:pt idx="13">
                  <c:v>94.547227218741114</c:v>
                </c:pt>
                <c:pt idx="14">
                  <c:v>94.41728166095136</c:v>
                </c:pt>
                <c:pt idx="15">
                  <c:v>94.262184124586881</c:v>
                </c:pt>
                <c:pt idx="16">
                  <c:v>94.118334255279493</c:v>
                </c:pt>
                <c:pt idx="17">
                  <c:v>94.028871590913724</c:v>
                </c:pt>
                <c:pt idx="18">
                  <c:v>93.915727653127718</c:v>
                </c:pt>
                <c:pt idx="19">
                  <c:v>93.792515357490529</c:v>
                </c:pt>
                <c:pt idx="20">
                  <c:v>93.679571613306734</c:v>
                </c:pt>
                <c:pt idx="21">
                  <c:v>93.500362468667106</c:v>
                </c:pt>
                <c:pt idx="22">
                  <c:v>93.400402058724552</c:v>
                </c:pt>
                <c:pt idx="23">
                  <c:v>93.317870120718624</c:v>
                </c:pt>
                <c:pt idx="24">
                  <c:v>93.234741230504184</c:v>
                </c:pt>
                <c:pt idx="25">
                  <c:v>93.103478059607681</c:v>
                </c:pt>
                <c:pt idx="26">
                  <c:v>92.985370516550319</c:v>
                </c:pt>
                <c:pt idx="27">
                  <c:v>92.857249030837863</c:v>
                </c:pt>
                <c:pt idx="28">
                  <c:v>92.745912275719789</c:v>
                </c:pt>
                <c:pt idx="29">
                  <c:v>92.633216363431416</c:v>
                </c:pt>
                <c:pt idx="30">
                  <c:v>92.524734847436306</c:v>
                </c:pt>
                <c:pt idx="31">
                  <c:v>92.427434424521792</c:v>
                </c:pt>
                <c:pt idx="32">
                  <c:v>92.331136023317399</c:v>
                </c:pt>
                <c:pt idx="33">
                  <c:v>92.180039065317828</c:v>
                </c:pt>
                <c:pt idx="34">
                  <c:v>92.146381192752443</c:v>
                </c:pt>
                <c:pt idx="35">
                  <c:v>92.047810760371362</c:v>
                </c:pt>
                <c:pt idx="36">
                  <c:v>91.957978296411397</c:v>
                </c:pt>
                <c:pt idx="37">
                  <c:v>91.895669801989783</c:v>
                </c:pt>
                <c:pt idx="38">
                  <c:v>91.788651789256676</c:v>
                </c:pt>
                <c:pt idx="39">
                  <c:v>91.713113930768117</c:v>
                </c:pt>
                <c:pt idx="40">
                  <c:v>91.619335248582289</c:v>
                </c:pt>
                <c:pt idx="41">
                  <c:v>91.50104877894772</c:v>
                </c:pt>
                <c:pt idx="42">
                  <c:v>91.42647453218531</c:v>
                </c:pt>
                <c:pt idx="43">
                  <c:v>91.301508864318308</c:v>
                </c:pt>
                <c:pt idx="44">
                  <c:v>91.249961250286177</c:v>
                </c:pt>
                <c:pt idx="45">
                  <c:v>91.175818463145475</c:v>
                </c:pt>
                <c:pt idx="46">
                  <c:v>91.069857787547107</c:v>
                </c:pt>
                <c:pt idx="47">
                  <c:v>90.989082708289473</c:v>
                </c:pt>
                <c:pt idx="48">
                  <c:v>90.982853895621957</c:v>
                </c:pt>
                <c:pt idx="49">
                  <c:v>90.90965318296432</c:v>
                </c:pt>
                <c:pt idx="50">
                  <c:v>90.894411258997081</c:v>
                </c:pt>
                <c:pt idx="51">
                  <c:v>90.748274599194843</c:v>
                </c:pt>
                <c:pt idx="52">
                  <c:v>90.620153760221484</c:v>
                </c:pt>
                <c:pt idx="53">
                  <c:v>90.685909402903718</c:v>
                </c:pt>
                <c:pt idx="54">
                  <c:v>90.577899254791902</c:v>
                </c:pt>
                <c:pt idx="55">
                  <c:v>90.508024254615421</c:v>
                </c:pt>
                <c:pt idx="56">
                  <c:v>90.392375438969466</c:v>
                </c:pt>
                <c:pt idx="57">
                  <c:v>90.336192138741168</c:v>
                </c:pt>
                <c:pt idx="58">
                  <c:v>90.285142381819256</c:v>
                </c:pt>
                <c:pt idx="59">
                  <c:v>90.162944950217337</c:v>
                </c:pt>
                <c:pt idx="60">
                  <c:v>90.02904871170368</c:v>
                </c:pt>
                <c:pt idx="61">
                  <c:v>89.932190490873694</c:v>
                </c:pt>
                <c:pt idx="62">
                  <c:v>89.885473369842899</c:v>
                </c:pt>
                <c:pt idx="63">
                  <c:v>89.875309298360065</c:v>
                </c:pt>
                <c:pt idx="64">
                  <c:v>89.788347664962672</c:v>
                </c:pt>
                <c:pt idx="65">
                  <c:v>89.701323394667781</c:v>
                </c:pt>
                <c:pt idx="66">
                  <c:v>89.626620979489829</c:v>
                </c:pt>
                <c:pt idx="67">
                  <c:v>89.589259497669985</c:v>
                </c:pt>
                <c:pt idx="68">
                  <c:v>89.438786629757331</c:v>
                </c:pt>
                <c:pt idx="69">
                  <c:v>89.464969822824514</c:v>
                </c:pt>
                <c:pt idx="70">
                  <c:v>89.412652994325455</c:v>
                </c:pt>
                <c:pt idx="71">
                  <c:v>89.367290680200298</c:v>
                </c:pt>
                <c:pt idx="72">
                  <c:v>89.304556381027425</c:v>
                </c:pt>
                <c:pt idx="73">
                  <c:v>89.260091822877115</c:v>
                </c:pt>
                <c:pt idx="74">
                  <c:v>89.175622098542348</c:v>
                </c:pt>
                <c:pt idx="75">
                  <c:v>89.067593720762318</c:v>
                </c:pt>
                <c:pt idx="76">
                  <c:v>89.071348000109069</c:v>
                </c:pt>
                <c:pt idx="77">
                  <c:v>89.049552676039553</c:v>
                </c:pt>
                <c:pt idx="78">
                  <c:v>88.974541349893045</c:v>
                </c:pt>
                <c:pt idx="79">
                  <c:v>88.797045940050154</c:v>
                </c:pt>
                <c:pt idx="80">
                  <c:v>88.679234351725029</c:v>
                </c:pt>
                <c:pt idx="81">
                  <c:v>88.713222187781184</c:v>
                </c:pt>
                <c:pt idx="82">
                  <c:v>88.645143411075736</c:v>
                </c:pt>
                <c:pt idx="83">
                  <c:v>88.530590955283316</c:v>
                </c:pt>
                <c:pt idx="84">
                  <c:v>88.409029399796225</c:v>
                </c:pt>
                <c:pt idx="85">
                  <c:v>88.330760742289314</c:v>
                </c:pt>
                <c:pt idx="86">
                  <c:v>88.228550862325164</c:v>
                </c:pt>
                <c:pt idx="87">
                  <c:v>88.149484298458518</c:v>
                </c:pt>
                <c:pt idx="88">
                  <c:v>88.106282117583078</c:v>
                </c:pt>
                <c:pt idx="89">
                  <c:v>88.037725084076271</c:v>
                </c:pt>
                <c:pt idx="90">
                  <c:v>88.033372588643473</c:v>
                </c:pt>
                <c:pt idx="91">
                  <c:v>88.019471176020048</c:v>
                </c:pt>
                <c:pt idx="92">
                  <c:v>87.899084232748166</c:v>
                </c:pt>
                <c:pt idx="93">
                  <c:v>87.899468016213206</c:v>
                </c:pt>
                <c:pt idx="94">
                  <c:v>87.840177088873617</c:v>
                </c:pt>
                <c:pt idx="95">
                  <c:v>87.732440793462715</c:v>
                </c:pt>
                <c:pt idx="96">
                  <c:v>87.642891408877773</c:v>
                </c:pt>
                <c:pt idx="97">
                  <c:v>87.670978256133381</c:v>
                </c:pt>
                <c:pt idx="98">
                  <c:v>87.650235259846426</c:v>
                </c:pt>
                <c:pt idx="99">
                  <c:v>87.542696996661761</c:v>
                </c:pt>
                <c:pt idx="100">
                  <c:v>87.545026968682038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9A-4336-8615-36CB1FEC6764}"/>
            </c:ext>
          </c:extLst>
        </c:ser>
        <c:ser>
          <c:idx val="7"/>
          <c:order val="7"/>
          <c:tx>
            <c:v>GEactual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probability!$GU$2:$GU$102</c:f>
              <c:numCache>
                <c:formatCode>General</c:formatCode>
                <c:ptCount val="101"/>
                <c:pt idx="0">
                  <c:v>100.29398500000001</c:v>
                </c:pt>
                <c:pt idx="1">
                  <c:v>98.788978</c:v>
                </c:pt>
                <c:pt idx="2">
                  <c:v>99.266757999999996</c:v>
                </c:pt>
                <c:pt idx="3">
                  <c:v>100.564727</c:v>
                </c:pt>
                <c:pt idx="4">
                  <c:v>102.14936400000001</c:v>
                </c:pt>
                <c:pt idx="5">
                  <c:v>102.54751400000001</c:v>
                </c:pt>
                <c:pt idx="6">
                  <c:v>103.28010999999999</c:v>
                </c:pt>
                <c:pt idx="7">
                  <c:v>103.383629</c:v>
                </c:pt>
                <c:pt idx="8">
                  <c:v>103.351777</c:v>
                </c:pt>
                <c:pt idx="9">
                  <c:v>101.902511</c:v>
                </c:pt>
                <c:pt idx="10">
                  <c:v>101.034544</c:v>
                </c:pt>
                <c:pt idx="11">
                  <c:v>102.36436500000001</c:v>
                </c:pt>
                <c:pt idx="12">
                  <c:v>103.36770300000001</c:v>
                </c:pt>
                <c:pt idx="13">
                  <c:v>104.49844899999999</c:v>
                </c:pt>
                <c:pt idx="14">
                  <c:v>103.479185</c:v>
                </c:pt>
                <c:pt idx="15">
                  <c:v>103.46325899999999</c:v>
                </c:pt>
                <c:pt idx="16">
                  <c:v>103.46325899999999</c:v>
                </c:pt>
                <c:pt idx="17">
                  <c:v>104.46659699999999</c:v>
                </c:pt>
                <c:pt idx="18">
                  <c:v>104.39493</c:v>
                </c:pt>
                <c:pt idx="19">
                  <c:v>106.648459</c:v>
                </c:pt>
                <c:pt idx="20">
                  <c:v>105.446046</c:v>
                </c:pt>
                <c:pt idx="21">
                  <c:v>107.826983</c:v>
                </c:pt>
                <c:pt idx="22">
                  <c:v>108.72680200000001</c:v>
                </c:pt>
                <c:pt idx="23">
                  <c:v>109.658473</c:v>
                </c:pt>
                <c:pt idx="24">
                  <c:v>109.554954</c:v>
                </c:pt>
                <c:pt idx="25">
                  <c:v>110.28755</c:v>
                </c:pt>
                <c:pt idx="26">
                  <c:v>110.725515</c:v>
                </c:pt>
                <c:pt idx="27">
                  <c:v>110.908664</c:v>
                </c:pt>
                <c:pt idx="28">
                  <c:v>111.61737100000001</c:v>
                </c:pt>
                <c:pt idx="29">
                  <c:v>112.891451</c:v>
                </c:pt>
                <c:pt idx="30">
                  <c:v>116.65795</c:v>
                </c:pt>
                <c:pt idx="31">
                  <c:v>118.147031</c:v>
                </c:pt>
                <c:pt idx="32">
                  <c:v>118.77610799999999</c:v>
                </c:pt>
                <c:pt idx="33">
                  <c:v>118.34610600000001</c:v>
                </c:pt>
                <c:pt idx="34">
                  <c:v>118.704441</c:v>
                </c:pt>
                <c:pt idx="35">
                  <c:v>120.774821</c:v>
                </c:pt>
                <c:pt idx="36">
                  <c:v>122.09667899999999</c:v>
                </c:pt>
                <c:pt idx="37">
                  <c:v>123.243351</c:v>
                </c:pt>
                <c:pt idx="38">
                  <c:v>122.622237</c:v>
                </c:pt>
                <c:pt idx="39">
                  <c:v>123.912243</c:v>
                </c:pt>
                <c:pt idx="40">
                  <c:v>124.931507</c:v>
                </c:pt>
                <c:pt idx="41">
                  <c:v>126.332995</c:v>
                </c:pt>
                <c:pt idx="42">
                  <c:v>128.21226300000001</c:v>
                </c:pt>
                <c:pt idx="43">
                  <c:v>125.703918</c:v>
                </c:pt>
                <c:pt idx="44">
                  <c:v>127.00985</c:v>
                </c:pt>
                <c:pt idx="45">
                  <c:v>132.58394999999999</c:v>
                </c:pt>
                <c:pt idx="46">
                  <c:v>133.74654799999999</c:v>
                </c:pt>
                <c:pt idx="47">
                  <c:v>132.63172800000001</c:v>
                </c:pt>
                <c:pt idx="48">
                  <c:v>133.348398</c:v>
                </c:pt>
                <c:pt idx="49">
                  <c:v>135.49840800000001</c:v>
                </c:pt>
                <c:pt idx="50">
                  <c:v>132.78302500000001</c:v>
                </c:pt>
                <c:pt idx="51">
                  <c:v>134.48710700000001</c:v>
                </c:pt>
                <c:pt idx="52">
                  <c:v>135.29933299999999</c:v>
                </c:pt>
                <c:pt idx="53">
                  <c:v>138.12619799999999</c:v>
                </c:pt>
                <c:pt idx="54">
                  <c:v>138.50045900000001</c:v>
                </c:pt>
                <c:pt idx="55">
                  <c:v>140.658432</c:v>
                </c:pt>
                <c:pt idx="56">
                  <c:v>139.47194500000001</c:v>
                </c:pt>
                <c:pt idx="57">
                  <c:v>138.15008700000001</c:v>
                </c:pt>
                <c:pt idx="58">
                  <c:v>138.19786500000001</c:v>
                </c:pt>
                <c:pt idx="59">
                  <c:v>143.42955599999999</c:v>
                </c:pt>
                <c:pt idx="60">
                  <c:v>139.774539</c:v>
                </c:pt>
                <c:pt idx="61">
                  <c:v>139.63916800000001</c:v>
                </c:pt>
                <c:pt idx="62">
                  <c:v>136.47</c:v>
                </c:pt>
                <c:pt idx="63">
                  <c:v>145.62</c:v>
                </c:pt>
                <c:pt idx="64">
                  <c:v>147.38999999999999</c:v>
                </c:pt>
                <c:pt idx="65">
                  <c:v>156.30000000000001</c:v>
                </c:pt>
                <c:pt idx="66">
                  <c:v>156.52000000000001</c:v>
                </c:pt>
                <c:pt idx="67">
                  <c:v>154.49</c:v>
                </c:pt>
                <c:pt idx="68">
                  <c:v>156.61000000000001</c:v>
                </c:pt>
                <c:pt idx="69">
                  <c:v>157.68</c:v>
                </c:pt>
                <c:pt idx="70">
                  <c:v>154.63</c:v>
                </c:pt>
                <c:pt idx="71">
                  <c:v>153.69999999999999</c:v>
                </c:pt>
                <c:pt idx="72">
                  <c:v>156.76</c:v>
                </c:pt>
                <c:pt idx="73">
                  <c:v>155.66999999999999</c:v>
                </c:pt>
                <c:pt idx="74">
                  <c:v>152.94</c:v>
                </c:pt>
                <c:pt idx="75">
                  <c:v>148.06</c:v>
                </c:pt>
                <c:pt idx="76">
                  <c:v>150.19</c:v>
                </c:pt>
                <c:pt idx="77">
                  <c:v>162.62</c:v>
                </c:pt>
                <c:pt idx="78">
                  <c:v>159.19</c:v>
                </c:pt>
                <c:pt idx="79">
                  <c:v>161.26</c:v>
                </c:pt>
                <c:pt idx="80">
                  <c:v>162.35</c:v>
                </c:pt>
                <c:pt idx="81">
                  <c:v>164.49</c:v>
                </c:pt>
                <c:pt idx="82">
                  <c:v>161.82</c:v>
                </c:pt>
                <c:pt idx="83">
                  <c:v>159.69999999999999</c:v>
                </c:pt>
                <c:pt idx="84">
                  <c:v>162.63999999999999</c:v>
                </c:pt>
                <c:pt idx="85">
                  <c:v>164.11</c:v>
                </c:pt>
                <c:pt idx="86">
                  <c:v>167.97</c:v>
                </c:pt>
                <c:pt idx="87">
                  <c:v>168.78</c:v>
                </c:pt>
                <c:pt idx="88">
                  <c:v>168.86</c:v>
                </c:pt>
                <c:pt idx="89">
                  <c:v>167.5</c:v>
                </c:pt>
                <c:pt idx="90">
                  <c:v>163.38</c:v>
                </c:pt>
                <c:pt idx="91">
                  <c:v>159.5</c:v>
                </c:pt>
                <c:pt idx="92">
                  <c:v>160</c:v>
                </c:pt>
                <c:pt idx="93">
                  <c:v>163.47</c:v>
                </c:pt>
                <c:pt idx="94">
                  <c:v>161.12</c:v>
                </c:pt>
                <c:pt idx="95">
                  <c:v>159.88999999999999</c:v>
                </c:pt>
                <c:pt idx="96">
                  <c:v>159.28</c:v>
                </c:pt>
                <c:pt idx="97">
                  <c:v>161</c:v>
                </c:pt>
                <c:pt idx="98">
                  <c:v>160.81</c:v>
                </c:pt>
                <c:pt idx="99">
                  <c:v>165.26</c:v>
                </c:pt>
                <c:pt idx="100">
                  <c:v>167.33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19-4C59-8460-78032A255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1047352"/>
        <c:axId val="1101050952"/>
      </c:lineChart>
      <c:catAx>
        <c:axId val="1101047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  <a:r>
                  <a:rPr lang="en-US" baseline="0"/>
                  <a:t> fwd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050952"/>
        <c:crosses val="autoZero"/>
        <c:auto val="1"/>
        <c:lblAlgn val="ctr"/>
        <c:lblOffset val="100"/>
        <c:noMultiLvlLbl val="0"/>
      </c:catAx>
      <c:valAx>
        <c:axId val="1101050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047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370860680762215E-2"/>
          <c:y val="0.18869907554623558"/>
          <c:w val="0.8806678936990211"/>
          <c:h val="0.7258218958320800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probability!$A$1002:$GQ$1002</c:f>
              <c:numCache>
                <c:formatCode>General</c:formatCode>
                <c:ptCount val="199"/>
              </c:numCache>
            </c:numRef>
          </c:xVal>
          <c:yVal>
            <c:numRef>
              <c:f>probability!$A$1:$GQ$1</c:f>
              <c:numCache>
                <c:formatCode>General</c:formatCode>
                <c:ptCount val="199"/>
                <c:pt idx="0">
                  <c:v>5.0000000000000001E-3</c:v>
                </c:pt>
                <c:pt idx="1">
                  <c:v>0.01</c:v>
                </c:pt>
                <c:pt idx="2">
                  <c:v>1.4999999999999999E-2</c:v>
                </c:pt>
                <c:pt idx="3">
                  <c:v>0.02</c:v>
                </c:pt>
                <c:pt idx="4">
                  <c:v>2.5000000000000001E-2</c:v>
                </c:pt>
                <c:pt idx="5">
                  <c:v>3.0000000000000002E-2</c:v>
                </c:pt>
                <c:pt idx="6">
                  <c:v>3.5000000000000003E-2</c:v>
                </c:pt>
                <c:pt idx="7">
                  <c:v>0.04</c:v>
                </c:pt>
                <c:pt idx="8">
                  <c:v>4.4999999999999998E-2</c:v>
                </c:pt>
                <c:pt idx="9">
                  <c:v>4.9999999999999996E-2</c:v>
                </c:pt>
                <c:pt idx="10">
                  <c:v>5.4999999999999993E-2</c:v>
                </c:pt>
                <c:pt idx="11">
                  <c:v>5.9999999999999991E-2</c:v>
                </c:pt>
                <c:pt idx="12">
                  <c:v>6.4999999999999988E-2</c:v>
                </c:pt>
                <c:pt idx="13">
                  <c:v>6.9999999999999993E-2</c:v>
                </c:pt>
                <c:pt idx="14">
                  <c:v>7.4999999999999997E-2</c:v>
                </c:pt>
                <c:pt idx="15">
                  <c:v>0.08</c:v>
                </c:pt>
                <c:pt idx="16">
                  <c:v>8.5000000000000006E-2</c:v>
                </c:pt>
                <c:pt idx="17">
                  <c:v>9.0000000000000011E-2</c:v>
                </c:pt>
                <c:pt idx="18">
                  <c:v>9.5000000000000015E-2</c:v>
                </c:pt>
                <c:pt idx="19">
                  <c:v>0.10000000000000002</c:v>
                </c:pt>
                <c:pt idx="20">
                  <c:v>0.10500000000000002</c:v>
                </c:pt>
                <c:pt idx="21">
                  <c:v>0.11000000000000003</c:v>
                </c:pt>
                <c:pt idx="22">
                  <c:v>0.11500000000000003</c:v>
                </c:pt>
                <c:pt idx="23">
                  <c:v>0.12000000000000004</c:v>
                </c:pt>
                <c:pt idx="24">
                  <c:v>0.12500000000000003</c:v>
                </c:pt>
                <c:pt idx="25">
                  <c:v>0.13000000000000003</c:v>
                </c:pt>
                <c:pt idx="26">
                  <c:v>0.13500000000000004</c:v>
                </c:pt>
                <c:pt idx="27">
                  <c:v>0.14000000000000004</c:v>
                </c:pt>
                <c:pt idx="28">
                  <c:v>0.14500000000000005</c:v>
                </c:pt>
                <c:pt idx="29">
                  <c:v>0.15000000000000005</c:v>
                </c:pt>
                <c:pt idx="30">
                  <c:v>0.15500000000000005</c:v>
                </c:pt>
                <c:pt idx="31">
                  <c:v>0.16000000000000006</c:v>
                </c:pt>
                <c:pt idx="32">
                  <c:v>0.16500000000000006</c:v>
                </c:pt>
                <c:pt idx="33">
                  <c:v>0.17000000000000007</c:v>
                </c:pt>
                <c:pt idx="34">
                  <c:v>0.17500000000000007</c:v>
                </c:pt>
                <c:pt idx="35">
                  <c:v>0.18000000000000008</c:v>
                </c:pt>
                <c:pt idx="36">
                  <c:v>0.18500000000000008</c:v>
                </c:pt>
                <c:pt idx="37">
                  <c:v>0.19000000000000009</c:v>
                </c:pt>
                <c:pt idx="38">
                  <c:v>0.19500000000000009</c:v>
                </c:pt>
                <c:pt idx="39">
                  <c:v>0.20000000000000009</c:v>
                </c:pt>
                <c:pt idx="40">
                  <c:v>0.2050000000000001</c:v>
                </c:pt>
                <c:pt idx="41">
                  <c:v>0.2100000000000001</c:v>
                </c:pt>
                <c:pt idx="42">
                  <c:v>0.21500000000000011</c:v>
                </c:pt>
                <c:pt idx="43">
                  <c:v>0.22000000000000011</c:v>
                </c:pt>
                <c:pt idx="44">
                  <c:v>0.22500000000000012</c:v>
                </c:pt>
                <c:pt idx="45">
                  <c:v>0.23000000000000012</c:v>
                </c:pt>
                <c:pt idx="46">
                  <c:v>0.23500000000000013</c:v>
                </c:pt>
                <c:pt idx="47">
                  <c:v>0.24000000000000013</c:v>
                </c:pt>
                <c:pt idx="48">
                  <c:v>0.24500000000000013</c:v>
                </c:pt>
                <c:pt idx="49">
                  <c:v>0.25000000000000011</c:v>
                </c:pt>
                <c:pt idx="50">
                  <c:v>0.25500000000000012</c:v>
                </c:pt>
                <c:pt idx="51">
                  <c:v>0.26000000000000012</c:v>
                </c:pt>
                <c:pt idx="52">
                  <c:v>0.26500000000000012</c:v>
                </c:pt>
                <c:pt idx="53">
                  <c:v>0.27000000000000013</c:v>
                </c:pt>
                <c:pt idx="54">
                  <c:v>0.27500000000000013</c:v>
                </c:pt>
                <c:pt idx="55">
                  <c:v>0.28000000000000014</c:v>
                </c:pt>
                <c:pt idx="56">
                  <c:v>0.28500000000000014</c:v>
                </c:pt>
                <c:pt idx="57">
                  <c:v>0.29000000000000015</c:v>
                </c:pt>
                <c:pt idx="58">
                  <c:v>0.29500000000000015</c:v>
                </c:pt>
                <c:pt idx="59">
                  <c:v>0.30000000000000016</c:v>
                </c:pt>
                <c:pt idx="60">
                  <c:v>0.30500000000000016</c:v>
                </c:pt>
                <c:pt idx="61">
                  <c:v>0.31000000000000016</c:v>
                </c:pt>
                <c:pt idx="62">
                  <c:v>0.31500000000000017</c:v>
                </c:pt>
                <c:pt idx="63">
                  <c:v>0.32000000000000017</c:v>
                </c:pt>
                <c:pt idx="64">
                  <c:v>0.32500000000000018</c:v>
                </c:pt>
                <c:pt idx="65">
                  <c:v>0.33000000000000018</c:v>
                </c:pt>
                <c:pt idx="66">
                  <c:v>0.33500000000000019</c:v>
                </c:pt>
                <c:pt idx="67">
                  <c:v>0.34000000000000019</c:v>
                </c:pt>
                <c:pt idx="68">
                  <c:v>0.3450000000000002</c:v>
                </c:pt>
                <c:pt idx="69">
                  <c:v>0.3500000000000002</c:v>
                </c:pt>
                <c:pt idx="70">
                  <c:v>0.3550000000000002</c:v>
                </c:pt>
                <c:pt idx="71">
                  <c:v>0.36000000000000021</c:v>
                </c:pt>
                <c:pt idx="72">
                  <c:v>0.36500000000000021</c:v>
                </c:pt>
                <c:pt idx="73">
                  <c:v>0.37000000000000022</c:v>
                </c:pt>
                <c:pt idx="74">
                  <c:v>0.37500000000000022</c:v>
                </c:pt>
                <c:pt idx="75">
                  <c:v>0.38000000000000023</c:v>
                </c:pt>
                <c:pt idx="76">
                  <c:v>0.38500000000000023</c:v>
                </c:pt>
                <c:pt idx="77">
                  <c:v>0.39000000000000024</c:v>
                </c:pt>
                <c:pt idx="78">
                  <c:v>0.39500000000000024</c:v>
                </c:pt>
                <c:pt idx="79">
                  <c:v>0.40000000000000024</c:v>
                </c:pt>
                <c:pt idx="80">
                  <c:v>0.40500000000000025</c:v>
                </c:pt>
                <c:pt idx="81">
                  <c:v>0.41000000000000025</c:v>
                </c:pt>
                <c:pt idx="82">
                  <c:v>0.41500000000000026</c:v>
                </c:pt>
                <c:pt idx="83">
                  <c:v>0.42000000000000026</c:v>
                </c:pt>
                <c:pt idx="84">
                  <c:v>0.42500000000000027</c:v>
                </c:pt>
                <c:pt idx="85">
                  <c:v>0.43000000000000027</c:v>
                </c:pt>
                <c:pt idx="86">
                  <c:v>0.43500000000000028</c:v>
                </c:pt>
                <c:pt idx="87">
                  <c:v>0.44000000000000028</c:v>
                </c:pt>
                <c:pt idx="88">
                  <c:v>0.44500000000000028</c:v>
                </c:pt>
                <c:pt idx="89">
                  <c:v>0.45000000000000029</c:v>
                </c:pt>
                <c:pt idx="90">
                  <c:v>0.45500000000000029</c:v>
                </c:pt>
                <c:pt idx="91">
                  <c:v>0.4600000000000003</c:v>
                </c:pt>
                <c:pt idx="92">
                  <c:v>0.4650000000000003</c:v>
                </c:pt>
                <c:pt idx="93">
                  <c:v>0.47000000000000031</c:v>
                </c:pt>
                <c:pt idx="94">
                  <c:v>0.47500000000000031</c:v>
                </c:pt>
                <c:pt idx="95">
                  <c:v>0.48000000000000032</c:v>
                </c:pt>
                <c:pt idx="96">
                  <c:v>0.48500000000000032</c:v>
                </c:pt>
                <c:pt idx="97">
                  <c:v>0.49000000000000032</c:v>
                </c:pt>
                <c:pt idx="98">
                  <c:v>0.49500000000000033</c:v>
                </c:pt>
                <c:pt idx="99">
                  <c:v>0.50000000000000033</c:v>
                </c:pt>
                <c:pt idx="100">
                  <c:v>0.50500000000000034</c:v>
                </c:pt>
                <c:pt idx="101">
                  <c:v>0.51000000000000034</c:v>
                </c:pt>
                <c:pt idx="102">
                  <c:v>0.51500000000000035</c:v>
                </c:pt>
                <c:pt idx="103">
                  <c:v>0.52000000000000035</c:v>
                </c:pt>
                <c:pt idx="104">
                  <c:v>0.52500000000000036</c:v>
                </c:pt>
                <c:pt idx="105">
                  <c:v>0.53000000000000036</c:v>
                </c:pt>
                <c:pt idx="106">
                  <c:v>0.53500000000000036</c:v>
                </c:pt>
                <c:pt idx="107">
                  <c:v>0.54000000000000037</c:v>
                </c:pt>
                <c:pt idx="108">
                  <c:v>0.54500000000000037</c:v>
                </c:pt>
                <c:pt idx="109">
                  <c:v>0.55000000000000038</c:v>
                </c:pt>
                <c:pt idx="110">
                  <c:v>0.55500000000000038</c:v>
                </c:pt>
                <c:pt idx="111">
                  <c:v>0.56000000000000039</c:v>
                </c:pt>
                <c:pt idx="112">
                  <c:v>0.56500000000000039</c:v>
                </c:pt>
                <c:pt idx="113">
                  <c:v>0.5700000000000004</c:v>
                </c:pt>
                <c:pt idx="114">
                  <c:v>0.5750000000000004</c:v>
                </c:pt>
                <c:pt idx="115">
                  <c:v>0.5800000000000004</c:v>
                </c:pt>
                <c:pt idx="116">
                  <c:v>0.58500000000000041</c:v>
                </c:pt>
                <c:pt idx="117">
                  <c:v>0.59000000000000041</c:v>
                </c:pt>
                <c:pt idx="118">
                  <c:v>0.59500000000000042</c:v>
                </c:pt>
                <c:pt idx="119">
                  <c:v>0.60000000000000042</c:v>
                </c:pt>
                <c:pt idx="120">
                  <c:v>0.60500000000000043</c:v>
                </c:pt>
                <c:pt idx="121">
                  <c:v>0.61000000000000043</c:v>
                </c:pt>
                <c:pt idx="122">
                  <c:v>0.61500000000000044</c:v>
                </c:pt>
                <c:pt idx="123">
                  <c:v>0.62000000000000044</c:v>
                </c:pt>
                <c:pt idx="124">
                  <c:v>0.62500000000000044</c:v>
                </c:pt>
                <c:pt idx="125">
                  <c:v>0.63000000000000045</c:v>
                </c:pt>
                <c:pt idx="126">
                  <c:v>0.63500000000000045</c:v>
                </c:pt>
                <c:pt idx="127">
                  <c:v>0.64000000000000046</c:v>
                </c:pt>
                <c:pt idx="128">
                  <c:v>0.64500000000000046</c:v>
                </c:pt>
                <c:pt idx="129">
                  <c:v>0.65000000000000047</c:v>
                </c:pt>
                <c:pt idx="130">
                  <c:v>0.65500000000000047</c:v>
                </c:pt>
                <c:pt idx="131">
                  <c:v>0.66000000000000048</c:v>
                </c:pt>
                <c:pt idx="132">
                  <c:v>0.66500000000000048</c:v>
                </c:pt>
                <c:pt idx="133">
                  <c:v>0.67000000000000048</c:v>
                </c:pt>
                <c:pt idx="134">
                  <c:v>0.67500000000000049</c:v>
                </c:pt>
                <c:pt idx="135">
                  <c:v>0.68000000000000049</c:v>
                </c:pt>
                <c:pt idx="136">
                  <c:v>0.6850000000000005</c:v>
                </c:pt>
                <c:pt idx="137">
                  <c:v>0.6900000000000005</c:v>
                </c:pt>
                <c:pt idx="138">
                  <c:v>0.69500000000000051</c:v>
                </c:pt>
                <c:pt idx="139">
                  <c:v>0.70000000000000051</c:v>
                </c:pt>
                <c:pt idx="140">
                  <c:v>0.70500000000000052</c:v>
                </c:pt>
                <c:pt idx="141">
                  <c:v>0.71000000000000052</c:v>
                </c:pt>
                <c:pt idx="142">
                  <c:v>0.71500000000000052</c:v>
                </c:pt>
                <c:pt idx="143">
                  <c:v>0.72000000000000053</c:v>
                </c:pt>
                <c:pt idx="144">
                  <c:v>0.72500000000000053</c:v>
                </c:pt>
                <c:pt idx="145">
                  <c:v>0.73000000000000054</c:v>
                </c:pt>
                <c:pt idx="146">
                  <c:v>0.73500000000000054</c:v>
                </c:pt>
                <c:pt idx="147">
                  <c:v>0.74000000000000055</c:v>
                </c:pt>
                <c:pt idx="148">
                  <c:v>0.74500000000000055</c:v>
                </c:pt>
                <c:pt idx="149">
                  <c:v>0.75000000000000056</c:v>
                </c:pt>
                <c:pt idx="150">
                  <c:v>0.75500000000000056</c:v>
                </c:pt>
                <c:pt idx="151">
                  <c:v>0.76000000000000056</c:v>
                </c:pt>
                <c:pt idx="152">
                  <c:v>0.76500000000000057</c:v>
                </c:pt>
                <c:pt idx="153">
                  <c:v>0.77000000000000057</c:v>
                </c:pt>
                <c:pt idx="154">
                  <c:v>0.77500000000000058</c:v>
                </c:pt>
                <c:pt idx="155">
                  <c:v>0.78000000000000058</c:v>
                </c:pt>
                <c:pt idx="156">
                  <c:v>0.78500000000000059</c:v>
                </c:pt>
                <c:pt idx="157">
                  <c:v>0.79000000000000059</c:v>
                </c:pt>
                <c:pt idx="158">
                  <c:v>0.7950000000000006</c:v>
                </c:pt>
                <c:pt idx="159">
                  <c:v>0.8000000000000006</c:v>
                </c:pt>
                <c:pt idx="160">
                  <c:v>0.8050000000000006</c:v>
                </c:pt>
                <c:pt idx="161">
                  <c:v>0.81000000000000061</c:v>
                </c:pt>
                <c:pt idx="162">
                  <c:v>0.81500000000000061</c:v>
                </c:pt>
                <c:pt idx="163">
                  <c:v>0.82000000000000062</c:v>
                </c:pt>
                <c:pt idx="164">
                  <c:v>0.82500000000000062</c:v>
                </c:pt>
                <c:pt idx="165">
                  <c:v>0.83000000000000063</c:v>
                </c:pt>
                <c:pt idx="166">
                  <c:v>0.83500000000000063</c:v>
                </c:pt>
                <c:pt idx="167">
                  <c:v>0.84000000000000064</c:v>
                </c:pt>
                <c:pt idx="168">
                  <c:v>0.84500000000000064</c:v>
                </c:pt>
                <c:pt idx="169">
                  <c:v>0.85000000000000064</c:v>
                </c:pt>
                <c:pt idx="170">
                  <c:v>0.85500000000000065</c:v>
                </c:pt>
                <c:pt idx="171">
                  <c:v>0.86000000000000065</c:v>
                </c:pt>
                <c:pt idx="172">
                  <c:v>0.86500000000000066</c:v>
                </c:pt>
                <c:pt idx="173">
                  <c:v>0.87000000000000066</c:v>
                </c:pt>
                <c:pt idx="174">
                  <c:v>0.87500000000000067</c:v>
                </c:pt>
                <c:pt idx="175">
                  <c:v>0.88000000000000067</c:v>
                </c:pt>
                <c:pt idx="176">
                  <c:v>0.88500000000000068</c:v>
                </c:pt>
                <c:pt idx="177">
                  <c:v>0.89000000000000068</c:v>
                </c:pt>
                <c:pt idx="178">
                  <c:v>0.89500000000000068</c:v>
                </c:pt>
                <c:pt idx="179">
                  <c:v>0.90000000000000069</c:v>
                </c:pt>
                <c:pt idx="180">
                  <c:v>0.90500000000000069</c:v>
                </c:pt>
                <c:pt idx="181">
                  <c:v>0.9100000000000007</c:v>
                </c:pt>
                <c:pt idx="182">
                  <c:v>0.9150000000000007</c:v>
                </c:pt>
                <c:pt idx="183">
                  <c:v>0.92000000000000071</c:v>
                </c:pt>
                <c:pt idx="184">
                  <c:v>0.92500000000000071</c:v>
                </c:pt>
                <c:pt idx="185">
                  <c:v>0.93000000000000071</c:v>
                </c:pt>
                <c:pt idx="186">
                  <c:v>0.93500000000000072</c:v>
                </c:pt>
                <c:pt idx="187">
                  <c:v>0.94000000000000072</c:v>
                </c:pt>
                <c:pt idx="188">
                  <c:v>0.94500000000000073</c:v>
                </c:pt>
                <c:pt idx="189">
                  <c:v>0.95000000000000073</c:v>
                </c:pt>
                <c:pt idx="190">
                  <c:v>0.95500000000000074</c:v>
                </c:pt>
                <c:pt idx="191">
                  <c:v>0.96000000000000074</c:v>
                </c:pt>
                <c:pt idx="192">
                  <c:v>0.96500000000000075</c:v>
                </c:pt>
                <c:pt idx="193">
                  <c:v>0.97000000000000075</c:v>
                </c:pt>
                <c:pt idx="194">
                  <c:v>0.97500000000000075</c:v>
                </c:pt>
                <c:pt idx="195">
                  <c:v>0.98000000000000076</c:v>
                </c:pt>
                <c:pt idx="196">
                  <c:v>0.98500000000000076</c:v>
                </c:pt>
                <c:pt idx="197">
                  <c:v>0.99000000000000077</c:v>
                </c:pt>
                <c:pt idx="198">
                  <c:v>0.99500000000000077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02-4800-BAEE-826E349D7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677312"/>
        <c:axId val="1380678392"/>
      </c:scatterChart>
      <c:valAx>
        <c:axId val="138067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78392"/>
        <c:crosses val="autoZero"/>
        <c:crossBetween val="midCat"/>
      </c:valAx>
      <c:valAx>
        <c:axId val="1380678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77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slice thru probability</a:t>
            </a:r>
            <a:r>
              <a:rPr lang="en-US" baseline="0"/>
              <a:t> surface</a:t>
            </a:r>
            <a:r>
              <a:rPr lang="en-US"/>
              <a:t> at #</a:t>
            </a:r>
            <a:r>
              <a:rPr lang="en-US" baseline="0"/>
              <a:t> of </a:t>
            </a:r>
            <a:r>
              <a:rPr lang="en-US"/>
              <a:t>days fwd specified</a:t>
            </a:r>
            <a:r>
              <a:rPr lang="en-US" baseline="0"/>
              <a:t> in A1 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94152404577999E-2"/>
          <c:y val="0.1886991492078173"/>
          <c:w val="0.8806678936990211"/>
          <c:h val="0.72582189583208001"/>
        </c:manualLayout>
      </c:layout>
      <c:scatterChart>
        <c:scatterStyle val="smoothMarker"/>
        <c:varyColors val="0"/>
        <c:ser>
          <c:idx val="0"/>
          <c:order val="0"/>
          <c:tx>
            <c:v>cumulative prob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probplot!$A$3:$GQ$3</c:f>
              <c:numCache>
                <c:formatCode>General</c:formatCode>
                <c:ptCount val="199"/>
                <c:pt idx="0">
                  <c:v>82.301464178502471</c:v>
                </c:pt>
                <c:pt idx="1">
                  <c:v>83.815436660802206</c:v>
                </c:pt>
                <c:pt idx="2">
                  <c:v>84.859487384272484</c:v>
                </c:pt>
                <c:pt idx="3">
                  <c:v>85.38752069312433</c:v>
                </c:pt>
                <c:pt idx="4">
                  <c:v>85.860991595532681</c:v>
                </c:pt>
                <c:pt idx="5">
                  <c:v>86.300981207740605</c:v>
                </c:pt>
                <c:pt idx="6">
                  <c:v>86.63575462277332</c:v>
                </c:pt>
                <c:pt idx="7">
                  <c:v>86.949828554556689</c:v>
                </c:pt>
                <c:pt idx="8">
                  <c:v>87.27888080092923</c:v>
                </c:pt>
                <c:pt idx="9">
                  <c:v>87.545026968682038</c:v>
                </c:pt>
                <c:pt idx="10">
                  <c:v>87.748554505256791</c:v>
                </c:pt>
                <c:pt idx="11">
                  <c:v>87.9823931348039</c:v>
                </c:pt>
                <c:pt idx="12">
                  <c:v>88.162336711189639</c:v>
                </c:pt>
                <c:pt idx="13">
                  <c:v>88.375803130423307</c:v>
                </c:pt>
                <c:pt idx="14">
                  <c:v>88.528526190545577</c:v>
                </c:pt>
                <c:pt idx="15">
                  <c:v>88.711413991220908</c:v>
                </c:pt>
                <c:pt idx="16">
                  <c:v>88.945317622872722</c:v>
                </c:pt>
                <c:pt idx="17">
                  <c:v>89.14387469687442</c:v>
                </c:pt>
                <c:pt idx="18">
                  <c:v>89.30437189119634</c:v>
                </c:pt>
                <c:pt idx="19">
                  <c:v>89.502744102269716</c:v>
                </c:pt>
                <c:pt idx="20">
                  <c:v>89.670403009403771</c:v>
                </c:pt>
                <c:pt idx="21">
                  <c:v>89.821553950172458</c:v>
                </c:pt>
                <c:pt idx="22">
                  <c:v>89.962254871343887</c:v>
                </c:pt>
                <c:pt idx="23">
                  <c:v>90.096718967848076</c:v>
                </c:pt>
                <c:pt idx="24">
                  <c:v>90.219771465746788</c:v>
                </c:pt>
                <c:pt idx="25">
                  <c:v>90.327742010959383</c:v>
                </c:pt>
                <c:pt idx="26">
                  <c:v>90.490515605274197</c:v>
                </c:pt>
                <c:pt idx="27">
                  <c:v>90.592786474216126</c:v>
                </c:pt>
                <c:pt idx="28">
                  <c:v>90.710664508389996</c:v>
                </c:pt>
                <c:pt idx="29">
                  <c:v>90.822986776500272</c:v>
                </c:pt>
                <c:pt idx="30">
                  <c:v>90.950989655370023</c:v>
                </c:pt>
                <c:pt idx="31">
                  <c:v>91.058010183949378</c:v>
                </c:pt>
                <c:pt idx="32">
                  <c:v>91.182678888039533</c:v>
                </c:pt>
                <c:pt idx="33">
                  <c:v>91.275618293404236</c:v>
                </c:pt>
                <c:pt idx="34">
                  <c:v>91.409378821032348</c:v>
                </c:pt>
                <c:pt idx="35">
                  <c:v>91.527659009823907</c:v>
                </c:pt>
                <c:pt idx="36">
                  <c:v>91.630938548679481</c:v>
                </c:pt>
                <c:pt idx="37">
                  <c:v>91.743739833672208</c:v>
                </c:pt>
                <c:pt idx="38">
                  <c:v>91.867673163300211</c:v>
                </c:pt>
                <c:pt idx="39">
                  <c:v>91.976157046276938</c:v>
                </c:pt>
                <c:pt idx="40">
                  <c:v>92.082235478816074</c:v>
                </c:pt>
                <c:pt idx="41">
                  <c:v>92.169917681024529</c:v>
                </c:pt>
                <c:pt idx="42">
                  <c:v>92.271445773780698</c:v>
                </c:pt>
                <c:pt idx="43">
                  <c:v>92.366772897031481</c:v>
                </c:pt>
                <c:pt idx="44">
                  <c:v>92.474288878372221</c:v>
                </c:pt>
                <c:pt idx="45">
                  <c:v>92.573054488101377</c:v>
                </c:pt>
                <c:pt idx="46">
                  <c:v>92.665807568686503</c:v>
                </c:pt>
                <c:pt idx="47">
                  <c:v>92.749683472417516</c:v>
                </c:pt>
                <c:pt idx="48">
                  <c:v>92.825779890099696</c:v>
                </c:pt>
                <c:pt idx="49">
                  <c:v>92.919380681919264</c:v>
                </c:pt>
                <c:pt idx="50">
                  <c:v>93.010019675126202</c:v>
                </c:pt>
                <c:pt idx="51">
                  <c:v>93.106571616816254</c:v>
                </c:pt>
                <c:pt idx="52">
                  <c:v>93.208940904167861</c:v>
                </c:pt>
                <c:pt idx="53">
                  <c:v>93.296474588163576</c:v>
                </c:pt>
                <c:pt idx="54">
                  <c:v>93.381269081366938</c:v>
                </c:pt>
                <c:pt idx="55">
                  <c:v>93.490454055356153</c:v>
                </c:pt>
                <c:pt idx="56">
                  <c:v>93.593942004213858</c:v>
                </c:pt>
                <c:pt idx="57">
                  <c:v>93.684945764881192</c:v>
                </c:pt>
                <c:pt idx="58">
                  <c:v>93.775231400948471</c:v>
                </c:pt>
                <c:pt idx="59">
                  <c:v>93.868369772166901</c:v>
                </c:pt>
                <c:pt idx="60">
                  <c:v>93.958152683090432</c:v>
                </c:pt>
                <c:pt idx="61">
                  <c:v>94.048162519359721</c:v>
                </c:pt>
                <c:pt idx="62">
                  <c:v>94.150698442659731</c:v>
                </c:pt>
                <c:pt idx="63">
                  <c:v>94.261723640670141</c:v>
                </c:pt>
                <c:pt idx="64">
                  <c:v>94.344685698284664</c:v>
                </c:pt>
                <c:pt idx="65">
                  <c:v>94.452726754371611</c:v>
                </c:pt>
                <c:pt idx="66">
                  <c:v>94.55646782018016</c:v>
                </c:pt>
                <c:pt idx="67">
                  <c:v>94.632610536224874</c:v>
                </c:pt>
                <c:pt idx="68">
                  <c:v>94.729899639121996</c:v>
                </c:pt>
                <c:pt idx="69">
                  <c:v>94.795042984995135</c:v>
                </c:pt>
                <c:pt idx="70">
                  <c:v>94.879111968350799</c:v>
                </c:pt>
                <c:pt idx="71">
                  <c:v>94.956569863566187</c:v>
                </c:pt>
                <c:pt idx="72">
                  <c:v>95.061512381747292</c:v>
                </c:pt>
                <c:pt idx="73">
                  <c:v>95.167917871624155</c:v>
                </c:pt>
                <c:pt idx="74">
                  <c:v>95.267910039581167</c:v>
                </c:pt>
                <c:pt idx="75">
                  <c:v>95.397256444175099</c:v>
                </c:pt>
                <c:pt idx="76">
                  <c:v>95.503912482243692</c:v>
                </c:pt>
                <c:pt idx="77">
                  <c:v>95.614415774657033</c:v>
                </c:pt>
                <c:pt idx="78">
                  <c:v>95.740331050017929</c:v>
                </c:pt>
                <c:pt idx="79">
                  <c:v>95.823397925371168</c:v>
                </c:pt>
                <c:pt idx="80">
                  <c:v>95.912804994513522</c:v>
                </c:pt>
                <c:pt idx="81">
                  <c:v>96.02076537154187</c:v>
                </c:pt>
                <c:pt idx="82">
                  <c:v>96.151955196849926</c:v>
                </c:pt>
                <c:pt idx="83">
                  <c:v>96.241882962473554</c:v>
                </c:pt>
                <c:pt idx="84">
                  <c:v>96.331331134568686</c:v>
                </c:pt>
                <c:pt idx="85">
                  <c:v>96.444900196646472</c:v>
                </c:pt>
                <c:pt idx="86">
                  <c:v>96.564542361472959</c:v>
                </c:pt>
                <c:pt idx="87">
                  <c:v>96.65873910426437</c:v>
                </c:pt>
                <c:pt idx="88">
                  <c:v>96.744138688267441</c:v>
                </c:pt>
                <c:pt idx="89">
                  <c:v>96.846045497577038</c:v>
                </c:pt>
                <c:pt idx="90">
                  <c:v>96.996929939166534</c:v>
                </c:pt>
                <c:pt idx="91">
                  <c:v>97.111601771629466</c:v>
                </c:pt>
                <c:pt idx="92">
                  <c:v>97.214725983400385</c:v>
                </c:pt>
                <c:pt idx="93">
                  <c:v>97.314205569518904</c:v>
                </c:pt>
                <c:pt idx="94">
                  <c:v>97.422350004174106</c:v>
                </c:pt>
                <c:pt idx="95">
                  <c:v>97.558431498736624</c:v>
                </c:pt>
                <c:pt idx="96">
                  <c:v>97.658894007030852</c:v>
                </c:pt>
                <c:pt idx="97">
                  <c:v>97.777037869869005</c:v>
                </c:pt>
                <c:pt idx="98">
                  <c:v>97.877085881602071</c:v>
                </c:pt>
                <c:pt idx="99">
                  <c:v>97.983159719737287</c:v>
                </c:pt>
                <c:pt idx="100">
                  <c:v>98.152633098182861</c:v>
                </c:pt>
                <c:pt idx="101">
                  <c:v>98.280185061181129</c:v>
                </c:pt>
                <c:pt idx="102">
                  <c:v>98.400448484005452</c:v>
                </c:pt>
                <c:pt idx="103">
                  <c:v>98.502772238337229</c:v>
                </c:pt>
                <c:pt idx="104">
                  <c:v>98.644000404978627</c:v>
                </c:pt>
                <c:pt idx="105">
                  <c:v>98.768194555309648</c:v>
                </c:pt>
                <c:pt idx="106">
                  <c:v>98.898419993167025</c:v>
                </c:pt>
                <c:pt idx="107">
                  <c:v>99.014534916431202</c:v>
                </c:pt>
                <c:pt idx="108">
                  <c:v>99.147657971139182</c:v>
                </c:pt>
                <c:pt idx="109">
                  <c:v>99.302194018318644</c:v>
                </c:pt>
                <c:pt idx="110">
                  <c:v>99.42112503930683</c:v>
                </c:pt>
                <c:pt idx="111">
                  <c:v>99.566647146751308</c:v>
                </c:pt>
                <c:pt idx="112">
                  <c:v>99.694231052777667</c:v>
                </c:pt>
                <c:pt idx="113">
                  <c:v>99.842081363184633</c:v>
                </c:pt>
                <c:pt idx="114">
                  <c:v>99.981132917474639</c:v>
                </c:pt>
                <c:pt idx="115">
                  <c:v>100.1243111114121</c:v>
                </c:pt>
                <c:pt idx="116">
                  <c:v>100.2562488221416</c:v>
                </c:pt>
                <c:pt idx="117">
                  <c:v>100.39076827108182</c:v>
                </c:pt>
                <c:pt idx="118">
                  <c:v>100.52127389756974</c:v>
                </c:pt>
                <c:pt idx="119">
                  <c:v>100.66133560414858</c:v>
                </c:pt>
                <c:pt idx="120">
                  <c:v>100.80520970781086</c:v>
                </c:pt>
                <c:pt idx="121">
                  <c:v>100.9181032333023</c:v>
                </c:pt>
                <c:pt idx="122">
                  <c:v>101.05490880450276</c:v>
                </c:pt>
                <c:pt idx="123">
                  <c:v>101.19385787400921</c:v>
                </c:pt>
                <c:pt idx="124">
                  <c:v>101.35303919868115</c:v>
                </c:pt>
                <c:pt idx="125">
                  <c:v>101.51807816863094</c:v>
                </c:pt>
                <c:pt idx="126">
                  <c:v>101.62303119676993</c:v>
                </c:pt>
                <c:pt idx="127">
                  <c:v>101.76996849550278</c:v>
                </c:pt>
                <c:pt idx="128">
                  <c:v>101.90747788620116</c:v>
                </c:pt>
                <c:pt idx="129">
                  <c:v>102.0519920589706</c:v>
                </c:pt>
                <c:pt idx="130">
                  <c:v>102.17719356389807</c:v>
                </c:pt>
                <c:pt idx="131">
                  <c:v>102.33294879011196</c:v>
                </c:pt>
                <c:pt idx="132">
                  <c:v>102.4764157820067</c:v>
                </c:pt>
                <c:pt idx="133">
                  <c:v>102.69514218345188</c:v>
                </c:pt>
                <c:pt idx="134">
                  <c:v>102.85818756786104</c:v>
                </c:pt>
                <c:pt idx="135">
                  <c:v>103.03025386674915</c:v>
                </c:pt>
                <c:pt idx="136">
                  <c:v>103.23045161933406</c:v>
                </c:pt>
                <c:pt idx="137">
                  <c:v>103.38018459367819</c:v>
                </c:pt>
                <c:pt idx="138">
                  <c:v>103.54310991920011</c:v>
                </c:pt>
                <c:pt idx="139">
                  <c:v>103.76643003378636</c:v>
                </c:pt>
                <c:pt idx="140">
                  <c:v>103.96903803064164</c:v>
                </c:pt>
                <c:pt idx="141">
                  <c:v>104.16952627697792</c:v>
                </c:pt>
                <c:pt idx="142">
                  <c:v>104.34418231477423</c:v>
                </c:pt>
                <c:pt idx="143">
                  <c:v>104.53770735062378</c:v>
                </c:pt>
                <c:pt idx="144">
                  <c:v>104.72662767025801</c:v>
                </c:pt>
                <c:pt idx="145">
                  <c:v>104.95711779752966</c:v>
                </c:pt>
                <c:pt idx="146">
                  <c:v>105.20778302907426</c:v>
                </c:pt>
                <c:pt idx="147">
                  <c:v>105.43557623121505</c:v>
                </c:pt>
                <c:pt idx="148">
                  <c:v>105.65455680390511</c:v>
                </c:pt>
                <c:pt idx="149">
                  <c:v>105.88462998328637</c:v>
                </c:pt>
                <c:pt idx="150">
                  <c:v>106.10351155164886</c:v>
                </c:pt>
                <c:pt idx="151">
                  <c:v>106.42259537583431</c:v>
                </c:pt>
                <c:pt idx="152">
                  <c:v>106.6705593337031</c:v>
                </c:pt>
                <c:pt idx="153">
                  <c:v>106.90305824531544</c:v>
                </c:pt>
                <c:pt idx="154">
                  <c:v>107.23834994960463</c:v>
                </c:pt>
                <c:pt idx="155">
                  <c:v>107.46328058072679</c:v>
                </c:pt>
                <c:pt idx="156">
                  <c:v>107.80859197157373</c:v>
                </c:pt>
                <c:pt idx="157">
                  <c:v>108.02808180307225</c:v>
                </c:pt>
                <c:pt idx="158">
                  <c:v>108.30661591246717</c:v>
                </c:pt>
                <c:pt idx="159">
                  <c:v>108.57967230331124</c:v>
                </c:pt>
                <c:pt idx="160">
                  <c:v>108.94528420344511</c:v>
                </c:pt>
                <c:pt idx="161">
                  <c:v>109.21233234406432</c:v>
                </c:pt>
                <c:pt idx="162">
                  <c:v>109.50873027354339</c:v>
                </c:pt>
                <c:pt idx="163">
                  <c:v>109.83014549814557</c:v>
                </c:pt>
                <c:pt idx="164">
                  <c:v>110.13431037185937</c:v>
                </c:pt>
                <c:pt idx="165">
                  <c:v>110.41237728170273</c:v>
                </c:pt>
                <c:pt idx="166">
                  <c:v>110.85267035069128</c:v>
                </c:pt>
                <c:pt idx="167">
                  <c:v>111.28452987420719</c:v>
                </c:pt>
                <c:pt idx="168">
                  <c:v>111.65896463743852</c:v>
                </c:pt>
                <c:pt idx="169">
                  <c:v>112.11361976144154</c:v>
                </c:pt>
                <c:pt idx="170">
                  <c:v>112.53502125453267</c:v>
                </c:pt>
                <c:pt idx="171">
                  <c:v>112.99459684452734</c:v>
                </c:pt>
                <c:pt idx="172">
                  <c:v>113.41305856976011</c:v>
                </c:pt>
                <c:pt idx="173">
                  <c:v>113.93662304618408</c:v>
                </c:pt>
                <c:pt idx="174">
                  <c:v>114.39685828711603</c:v>
                </c:pt>
                <c:pt idx="175">
                  <c:v>114.99289392757649</c:v>
                </c:pt>
                <c:pt idx="176">
                  <c:v>115.47885562698877</c:v>
                </c:pt>
                <c:pt idx="177">
                  <c:v>116.03921411753251</c:v>
                </c:pt>
                <c:pt idx="178">
                  <c:v>116.55004237610494</c:v>
                </c:pt>
                <c:pt idx="179">
                  <c:v>117.28746427724531</c:v>
                </c:pt>
                <c:pt idx="180">
                  <c:v>117.94299347821709</c:v>
                </c:pt>
                <c:pt idx="181">
                  <c:v>118.62110455451423</c:v>
                </c:pt>
                <c:pt idx="182">
                  <c:v>119.35682058669744</c:v>
                </c:pt>
                <c:pt idx="183">
                  <c:v>120.19469324982097</c:v>
                </c:pt>
                <c:pt idx="184">
                  <c:v>120.98614462812587</c:v>
                </c:pt>
                <c:pt idx="185">
                  <c:v>121.84318798138507</c:v>
                </c:pt>
                <c:pt idx="186">
                  <c:v>122.79657957086143</c:v>
                </c:pt>
                <c:pt idx="187">
                  <c:v>123.88234713466036</c:v>
                </c:pt>
                <c:pt idx="188">
                  <c:v>125.14043723052259</c:v>
                </c:pt>
                <c:pt idx="189">
                  <c:v>126.43116677243547</c:v>
                </c:pt>
                <c:pt idx="190">
                  <c:v>127.70994681320343</c:v>
                </c:pt>
                <c:pt idx="191">
                  <c:v>130.29984436090615</c:v>
                </c:pt>
                <c:pt idx="192">
                  <c:v>132.86258404167927</c:v>
                </c:pt>
                <c:pt idx="193">
                  <c:v>135.51886238380757</c:v>
                </c:pt>
                <c:pt idx="194">
                  <c:v>138.77745111068774</c:v>
                </c:pt>
                <c:pt idx="195">
                  <c:v>143.06161997533056</c:v>
                </c:pt>
                <c:pt idx="196">
                  <c:v>147.00410509233535</c:v>
                </c:pt>
                <c:pt idx="197">
                  <c:v>153.44867312527708</c:v>
                </c:pt>
                <c:pt idx="198">
                  <c:v>166.10418108783702</c:v>
                </c:pt>
              </c:numCache>
            </c:numRef>
          </c:xVal>
          <c:yVal>
            <c:numRef>
              <c:f>probability!$A$1:$GQ$1</c:f>
              <c:numCache>
                <c:formatCode>General</c:formatCode>
                <c:ptCount val="199"/>
                <c:pt idx="0">
                  <c:v>5.0000000000000001E-3</c:v>
                </c:pt>
                <c:pt idx="1">
                  <c:v>0.01</c:v>
                </c:pt>
                <c:pt idx="2">
                  <c:v>1.4999999999999999E-2</c:v>
                </c:pt>
                <c:pt idx="3">
                  <c:v>0.02</c:v>
                </c:pt>
                <c:pt idx="4">
                  <c:v>2.5000000000000001E-2</c:v>
                </c:pt>
                <c:pt idx="5">
                  <c:v>3.0000000000000002E-2</c:v>
                </c:pt>
                <c:pt idx="6">
                  <c:v>3.5000000000000003E-2</c:v>
                </c:pt>
                <c:pt idx="7">
                  <c:v>0.04</c:v>
                </c:pt>
                <c:pt idx="8">
                  <c:v>4.4999999999999998E-2</c:v>
                </c:pt>
                <c:pt idx="9">
                  <c:v>4.9999999999999996E-2</c:v>
                </c:pt>
                <c:pt idx="10">
                  <c:v>5.4999999999999993E-2</c:v>
                </c:pt>
                <c:pt idx="11">
                  <c:v>5.9999999999999991E-2</c:v>
                </c:pt>
                <c:pt idx="12">
                  <c:v>6.4999999999999988E-2</c:v>
                </c:pt>
                <c:pt idx="13">
                  <c:v>6.9999999999999993E-2</c:v>
                </c:pt>
                <c:pt idx="14">
                  <c:v>7.4999999999999997E-2</c:v>
                </c:pt>
                <c:pt idx="15">
                  <c:v>0.08</c:v>
                </c:pt>
                <c:pt idx="16">
                  <c:v>8.5000000000000006E-2</c:v>
                </c:pt>
                <c:pt idx="17">
                  <c:v>9.0000000000000011E-2</c:v>
                </c:pt>
                <c:pt idx="18">
                  <c:v>9.5000000000000015E-2</c:v>
                </c:pt>
                <c:pt idx="19">
                  <c:v>0.10000000000000002</c:v>
                </c:pt>
                <c:pt idx="20">
                  <c:v>0.10500000000000002</c:v>
                </c:pt>
                <c:pt idx="21">
                  <c:v>0.11000000000000003</c:v>
                </c:pt>
                <c:pt idx="22">
                  <c:v>0.11500000000000003</c:v>
                </c:pt>
                <c:pt idx="23">
                  <c:v>0.12000000000000004</c:v>
                </c:pt>
                <c:pt idx="24">
                  <c:v>0.12500000000000003</c:v>
                </c:pt>
                <c:pt idx="25">
                  <c:v>0.13000000000000003</c:v>
                </c:pt>
                <c:pt idx="26">
                  <c:v>0.13500000000000004</c:v>
                </c:pt>
                <c:pt idx="27">
                  <c:v>0.14000000000000004</c:v>
                </c:pt>
                <c:pt idx="28">
                  <c:v>0.14500000000000005</c:v>
                </c:pt>
                <c:pt idx="29">
                  <c:v>0.15000000000000005</c:v>
                </c:pt>
                <c:pt idx="30">
                  <c:v>0.15500000000000005</c:v>
                </c:pt>
                <c:pt idx="31">
                  <c:v>0.16000000000000006</c:v>
                </c:pt>
                <c:pt idx="32">
                  <c:v>0.16500000000000006</c:v>
                </c:pt>
                <c:pt idx="33">
                  <c:v>0.17000000000000007</c:v>
                </c:pt>
                <c:pt idx="34">
                  <c:v>0.17500000000000007</c:v>
                </c:pt>
                <c:pt idx="35">
                  <c:v>0.18000000000000008</c:v>
                </c:pt>
                <c:pt idx="36">
                  <c:v>0.18500000000000008</c:v>
                </c:pt>
                <c:pt idx="37">
                  <c:v>0.19000000000000009</c:v>
                </c:pt>
                <c:pt idx="38">
                  <c:v>0.19500000000000009</c:v>
                </c:pt>
                <c:pt idx="39">
                  <c:v>0.20000000000000009</c:v>
                </c:pt>
                <c:pt idx="40">
                  <c:v>0.2050000000000001</c:v>
                </c:pt>
                <c:pt idx="41">
                  <c:v>0.2100000000000001</c:v>
                </c:pt>
                <c:pt idx="42">
                  <c:v>0.21500000000000011</c:v>
                </c:pt>
                <c:pt idx="43">
                  <c:v>0.22000000000000011</c:v>
                </c:pt>
                <c:pt idx="44">
                  <c:v>0.22500000000000012</c:v>
                </c:pt>
                <c:pt idx="45">
                  <c:v>0.23000000000000012</c:v>
                </c:pt>
                <c:pt idx="46">
                  <c:v>0.23500000000000013</c:v>
                </c:pt>
                <c:pt idx="47">
                  <c:v>0.24000000000000013</c:v>
                </c:pt>
                <c:pt idx="48">
                  <c:v>0.24500000000000013</c:v>
                </c:pt>
                <c:pt idx="49">
                  <c:v>0.25000000000000011</c:v>
                </c:pt>
                <c:pt idx="50">
                  <c:v>0.25500000000000012</c:v>
                </c:pt>
                <c:pt idx="51">
                  <c:v>0.26000000000000012</c:v>
                </c:pt>
                <c:pt idx="52">
                  <c:v>0.26500000000000012</c:v>
                </c:pt>
                <c:pt idx="53">
                  <c:v>0.27000000000000013</c:v>
                </c:pt>
                <c:pt idx="54">
                  <c:v>0.27500000000000013</c:v>
                </c:pt>
                <c:pt idx="55">
                  <c:v>0.28000000000000014</c:v>
                </c:pt>
                <c:pt idx="56">
                  <c:v>0.28500000000000014</c:v>
                </c:pt>
                <c:pt idx="57">
                  <c:v>0.29000000000000015</c:v>
                </c:pt>
                <c:pt idx="58">
                  <c:v>0.29500000000000015</c:v>
                </c:pt>
                <c:pt idx="59">
                  <c:v>0.30000000000000016</c:v>
                </c:pt>
                <c:pt idx="60">
                  <c:v>0.30500000000000016</c:v>
                </c:pt>
                <c:pt idx="61">
                  <c:v>0.31000000000000016</c:v>
                </c:pt>
                <c:pt idx="62">
                  <c:v>0.31500000000000017</c:v>
                </c:pt>
                <c:pt idx="63">
                  <c:v>0.32000000000000017</c:v>
                </c:pt>
                <c:pt idx="64">
                  <c:v>0.32500000000000018</c:v>
                </c:pt>
                <c:pt idx="65">
                  <c:v>0.33000000000000018</c:v>
                </c:pt>
                <c:pt idx="66">
                  <c:v>0.33500000000000019</c:v>
                </c:pt>
                <c:pt idx="67">
                  <c:v>0.34000000000000019</c:v>
                </c:pt>
                <c:pt idx="68">
                  <c:v>0.3450000000000002</c:v>
                </c:pt>
                <c:pt idx="69">
                  <c:v>0.3500000000000002</c:v>
                </c:pt>
                <c:pt idx="70">
                  <c:v>0.3550000000000002</c:v>
                </c:pt>
                <c:pt idx="71">
                  <c:v>0.36000000000000021</c:v>
                </c:pt>
                <c:pt idx="72">
                  <c:v>0.36500000000000021</c:v>
                </c:pt>
                <c:pt idx="73">
                  <c:v>0.37000000000000022</c:v>
                </c:pt>
                <c:pt idx="74">
                  <c:v>0.37500000000000022</c:v>
                </c:pt>
                <c:pt idx="75">
                  <c:v>0.38000000000000023</c:v>
                </c:pt>
                <c:pt idx="76">
                  <c:v>0.38500000000000023</c:v>
                </c:pt>
                <c:pt idx="77">
                  <c:v>0.39000000000000024</c:v>
                </c:pt>
                <c:pt idx="78">
                  <c:v>0.39500000000000024</c:v>
                </c:pt>
                <c:pt idx="79">
                  <c:v>0.40000000000000024</c:v>
                </c:pt>
                <c:pt idx="80">
                  <c:v>0.40500000000000025</c:v>
                </c:pt>
                <c:pt idx="81">
                  <c:v>0.41000000000000025</c:v>
                </c:pt>
                <c:pt idx="82">
                  <c:v>0.41500000000000026</c:v>
                </c:pt>
                <c:pt idx="83">
                  <c:v>0.42000000000000026</c:v>
                </c:pt>
                <c:pt idx="84">
                  <c:v>0.42500000000000027</c:v>
                </c:pt>
                <c:pt idx="85">
                  <c:v>0.43000000000000027</c:v>
                </c:pt>
                <c:pt idx="86">
                  <c:v>0.43500000000000028</c:v>
                </c:pt>
                <c:pt idx="87">
                  <c:v>0.44000000000000028</c:v>
                </c:pt>
                <c:pt idx="88">
                  <c:v>0.44500000000000028</c:v>
                </c:pt>
                <c:pt idx="89">
                  <c:v>0.45000000000000029</c:v>
                </c:pt>
                <c:pt idx="90">
                  <c:v>0.45500000000000029</c:v>
                </c:pt>
                <c:pt idx="91">
                  <c:v>0.4600000000000003</c:v>
                </c:pt>
                <c:pt idx="92">
                  <c:v>0.4650000000000003</c:v>
                </c:pt>
                <c:pt idx="93">
                  <c:v>0.47000000000000031</c:v>
                </c:pt>
                <c:pt idx="94">
                  <c:v>0.47500000000000031</c:v>
                </c:pt>
                <c:pt idx="95">
                  <c:v>0.48000000000000032</c:v>
                </c:pt>
                <c:pt idx="96">
                  <c:v>0.48500000000000032</c:v>
                </c:pt>
                <c:pt idx="97">
                  <c:v>0.49000000000000032</c:v>
                </c:pt>
                <c:pt idx="98">
                  <c:v>0.49500000000000033</c:v>
                </c:pt>
                <c:pt idx="99">
                  <c:v>0.50000000000000033</c:v>
                </c:pt>
                <c:pt idx="100">
                  <c:v>0.50500000000000034</c:v>
                </c:pt>
                <c:pt idx="101">
                  <c:v>0.51000000000000034</c:v>
                </c:pt>
                <c:pt idx="102">
                  <c:v>0.51500000000000035</c:v>
                </c:pt>
                <c:pt idx="103">
                  <c:v>0.52000000000000035</c:v>
                </c:pt>
                <c:pt idx="104">
                  <c:v>0.52500000000000036</c:v>
                </c:pt>
                <c:pt idx="105">
                  <c:v>0.53000000000000036</c:v>
                </c:pt>
                <c:pt idx="106">
                  <c:v>0.53500000000000036</c:v>
                </c:pt>
                <c:pt idx="107">
                  <c:v>0.54000000000000037</c:v>
                </c:pt>
                <c:pt idx="108">
                  <c:v>0.54500000000000037</c:v>
                </c:pt>
                <c:pt idx="109">
                  <c:v>0.55000000000000038</c:v>
                </c:pt>
                <c:pt idx="110">
                  <c:v>0.55500000000000038</c:v>
                </c:pt>
                <c:pt idx="111">
                  <c:v>0.56000000000000039</c:v>
                </c:pt>
                <c:pt idx="112">
                  <c:v>0.56500000000000039</c:v>
                </c:pt>
                <c:pt idx="113">
                  <c:v>0.5700000000000004</c:v>
                </c:pt>
                <c:pt idx="114">
                  <c:v>0.5750000000000004</c:v>
                </c:pt>
                <c:pt idx="115">
                  <c:v>0.5800000000000004</c:v>
                </c:pt>
                <c:pt idx="116">
                  <c:v>0.58500000000000041</c:v>
                </c:pt>
                <c:pt idx="117">
                  <c:v>0.59000000000000041</c:v>
                </c:pt>
                <c:pt idx="118">
                  <c:v>0.59500000000000042</c:v>
                </c:pt>
                <c:pt idx="119">
                  <c:v>0.60000000000000042</c:v>
                </c:pt>
                <c:pt idx="120">
                  <c:v>0.60500000000000043</c:v>
                </c:pt>
                <c:pt idx="121">
                  <c:v>0.61000000000000043</c:v>
                </c:pt>
                <c:pt idx="122">
                  <c:v>0.61500000000000044</c:v>
                </c:pt>
                <c:pt idx="123">
                  <c:v>0.62000000000000044</c:v>
                </c:pt>
                <c:pt idx="124">
                  <c:v>0.62500000000000044</c:v>
                </c:pt>
                <c:pt idx="125">
                  <c:v>0.63000000000000045</c:v>
                </c:pt>
                <c:pt idx="126">
                  <c:v>0.63500000000000045</c:v>
                </c:pt>
                <c:pt idx="127">
                  <c:v>0.64000000000000046</c:v>
                </c:pt>
                <c:pt idx="128">
                  <c:v>0.64500000000000046</c:v>
                </c:pt>
                <c:pt idx="129">
                  <c:v>0.65000000000000047</c:v>
                </c:pt>
                <c:pt idx="130">
                  <c:v>0.65500000000000047</c:v>
                </c:pt>
                <c:pt idx="131">
                  <c:v>0.66000000000000048</c:v>
                </c:pt>
                <c:pt idx="132">
                  <c:v>0.66500000000000048</c:v>
                </c:pt>
                <c:pt idx="133">
                  <c:v>0.67000000000000048</c:v>
                </c:pt>
                <c:pt idx="134">
                  <c:v>0.67500000000000049</c:v>
                </c:pt>
                <c:pt idx="135">
                  <c:v>0.68000000000000049</c:v>
                </c:pt>
                <c:pt idx="136">
                  <c:v>0.6850000000000005</c:v>
                </c:pt>
                <c:pt idx="137">
                  <c:v>0.6900000000000005</c:v>
                </c:pt>
                <c:pt idx="138">
                  <c:v>0.69500000000000051</c:v>
                </c:pt>
                <c:pt idx="139">
                  <c:v>0.70000000000000051</c:v>
                </c:pt>
                <c:pt idx="140">
                  <c:v>0.70500000000000052</c:v>
                </c:pt>
                <c:pt idx="141">
                  <c:v>0.71000000000000052</c:v>
                </c:pt>
                <c:pt idx="142">
                  <c:v>0.71500000000000052</c:v>
                </c:pt>
                <c:pt idx="143">
                  <c:v>0.72000000000000053</c:v>
                </c:pt>
                <c:pt idx="144">
                  <c:v>0.72500000000000053</c:v>
                </c:pt>
                <c:pt idx="145">
                  <c:v>0.73000000000000054</c:v>
                </c:pt>
                <c:pt idx="146">
                  <c:v>0.73500000000000054</c:v>
                </c:pt>
                <c:pt idx="147">
                  <c:v>0.74000000000000055</c:v>
                </c:pt>
                <c:pt idx="148">
                  <c:v>0.74500000000000055</c:v>
                </c:pt>
                <c:pt idx="149">
                  <c:v>0.75000000000000056</c:v>
                </c:pt>
                <c:pt idx="150">
                  <c:v>0.75500000000000056</c:v>
                </c:pt>
                <c:pt idx="151">
                  <c:v>0.76000000000000056</c:v>
                </c:pt>
                <c:pt idx="152">
                  <c:v>0.76500000000000057</c:v>
                </c:pt>
                <c:pt idx="153">
                  <c:v>0.77000000000000057</c:v>
                </c:pt>
                <c:pt idx="154">
                  <c:v>0.77500000000000058</c:v>
                </c:pt>
                <c:pt idx="155">
                  <c:v>0.78000000000000058</c:v>
                </c:pt>
                <c:pt idx="156">
                  <c:v>0.78500000000000059</c:v>
                </c:pt>
                <c:pt idx="157">
                  <c:v>0.79000000000000059</c:v>
                </c:pt>
                <c:pt idx="158">
                  <c:v>0.7950000000000006</c:v>
                </c:pt>
                <c:pt idx="159">
                  <c:v>0.8000000000000006</c:v>
                </c:pt>
                <c:pt idx="160">
                  <c:v>0.8050000000000006</c:v>
                </c:pt>
                <c:pt idx="161">
                  <c:v>0.81000000000000061</c:v>
                </c:pt>
                <c:pt idx="162">
                  <c:v>0.81500000000000061</c:v>
                </c:pt>
                <c:pt idx="163">
                  <c:v>0.82000000000000062</c:v>
                </c:pt>
                <c:pt idx="164">
                  <c:v>0.82500000000000062</c:v>
                </c:pt>
                <c:pt idx="165">
                  <c:v>0.83000000000000063</c:v>
                </c:pt>
                <c:pt idx="166">
                  <c:v>0.83500000000000063</c:v>
                </c:pt>
                <c:pt idx="167">
                  <c:v>0.84000000000000064</c:v>
                </c:pt>
                <c:pt idx="168">
                  <c:v>0.84500000000000064</c:v>
                </c:pt>
                <c:pt idx="169">
                  <c:v>0.85000000000000064</c:v>
                </c:pt>
                <c:pt idx="170">
                  <c:v>0.85500000000000065</c:v>
                </c:pt>
                <c:pt idx="171">
                  <c:v>0.86000000000000065</c:v>
                </c:pt>
                <c:pt idx="172">
                  <c:v>0.86500000000000066</c:v>
                </c:pt>
                <c:pt idx="173">
                  <c:v>0.87000000000000066</c:v>
                </c:pt>
                <c:pt idx="174">
                  <c:v>0.87500000000000067</c:v>
                </c:pt>
                <c:pt idx="175">
                  <c:v>0.88000000000000067</c:v>
                </c:pt>
                <c:pt idx="176">
                  <c:v>0.88500000000000068</c:v>
                </c:pt>
                <c:pt idx="177">
                  <c:v>0.89000000000000068</c:v>
                </c:pt>
                <c:pt idx="178">
                  <c:v>0.89500000000000068</c:v>
                </c:pt>
                <c:pt idx="179">
                  <c:v>0.90000000000000069</c:v>
                </c:pt>
                <c:pt idx="180">
                  <c:v>0.90500000000000069</c:v>
                </c:pt>
                <c:pt idx="181">
                  <c:v>0.9100000000000007</c:v>
                </c:pt>
                <c:pt idx="182">
                  <c:v>0.9150000000000007</c:v>
                </c:pt>
                <c:pt idx="183">
                  <c:v>0.92000000000000071</c:v>
                </c:pt>
                <c:pt idx="184">
                  <c:v>0.92500000000000071</c:v>
                </c:pt>
                <c:pt idx="185">
                  <c:v>0.93000000000000071</c:v>
                </c:pt>
                <c:pt idx="186">
                  <c:v>0.93500000000000072</c:v>
                </c:pt>
                <c:pt idx="187">
                  <c:v>0.94000000000000072</c:v>
                </c:pt>
                <c:pt idx="188">
                  <c:v>0.94500000000000073</c:v>
                </c:pt>
                <c:pt idx="189">
                  <c:v>0.95000000000000073</c:v>
                </c:pt>
                <c:pt idx="190">
                  <c:v>0.95500000000000074</c:v>
                </c:pt>
                <c:pt idx="191">
                  <c:v>0.96000000000000074</c:v>
                </c:pt>
                <c:pt idx="192">
                  <c:v>0.96500000000000075</c:v>
                </c:pt>
                <c:pt idx="193">
                  <c:v>0.97000000000000075</c:v>
                </c:pt>
                <c:pt idx="194">
                  <c:v>0.97500000000000075</c:v>
                </c:pt>
                <c:pt idx="195">
                  <c:v>0.98000000000000076</c:v>
                </c:pt>
                <c:pt idx="196">
                  <c:v>0.98500000000000076</c:v>
                </c:pt>
                <c:pt idx="197">
                  <c:v>0.99000000000000077</c:v>
                </c:pt>
                <c:pt idx="198">
                  <c:v>0.99500000000000077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DD-4AA6-8074-46D213DCE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677312"/>
        <c:axId val="1380678392"/>
      </c:scatterChart>
      <c:scatterChart>
        <c:scatterStyle val="smoothMarker"/>
        <c:varyColors val="0"/>
        <c:ser>
          <c:idx val="1"/>
          <c:order val="1"/>
          <c:tx>
            <c:v>relative probability</c:v>
          </c:tx>
          <c:spPr>
            <a:ln w="31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probplot!$B$3:$GQ$3</c:f>
              <c:numCache>
                <c:formatCode>General</c:formatCode>
                <c:ptCount val="198"/>
                <c:pt idx="0">
                  <c:v>83.815436660802206</c:v>
                </c:pt>
                <c:pt idx="1">
                  <c:v>84.859487384272484</c:v>
                </c:pt>
                <c:pt idx="2">
                  <c:v>85.38752069312433</c:v>
                </c:pt>
                <c:pt idx="3">
                  <c:v>85.860991595532681</c:v>
                </c:pt>
                <c:pt idx="4">
                  <c:v>86.300981207740605</c:v>
                </c:pt>
                <c:pt idx="5">
                  <c:v>86.63575462277332</c:v>
                </c:pt>
                <c:pt idx="6">
                  <c:v>86.949828554556689</c:v>
                </c:pt>
                <c:pt idx="7">
                  <c:v>87.27888080092923</c:v>
                </c:pt>
                <c:pt idx="8">
                  <c:v>87.545026968682038</c:v>
                </c:pt>
                <c:pt idx="9">
                  <c:v>87.748554505256791</c:v>
                </c:pt>
                <c:pt idx="10">
                  <c:v>87.9823931348039</c:v>
                </c:pt>
                <c:pt idx="11">
                  <c:v>88.162336711189639</c:v>
                </c:pt>
                <c:pt idx="12">
                  <c:v>88.375803130423307</c:v>
                </c:pt>
                <c:pt idx="13">
                  <c:v>88.528526190545577</c:v>
                </c:pt>
                <c:pt idx="14">
                  <c:v>88.711413991220908</c:v>
                </c:pt>
                <c:pt idx="15">
                  <c:v>88.945317622872722</c:v>
                </c:pt>
                <c:pt idx="16">
                  <c:v>89.14387469687442</c:v>
                </c:pt>
                <c:pt idx="17">
                  <c:v>89.30437189119634</c:v>
                </c:pt>
                <c:pt idx="18">
                  <c:v>89.502744102269716</c:v>
                </c:pt>
                <c:pt idx="19">
                  <c:v>89.670403009403771</c:v>
                </c:pt>
                <c:pt idx="20">
                  <c:v>89.821553950172458</c:v>
                </c:pt>
                <c:pt idx="21">
                  <c:v>89.962254871343887</c:v>
                </c:pt>
                <c:pt idx="22">
                  <c:v>90.096718967848076</c:v>
                </c:pt>
                <c:pt idx="23">
                  <c:v>90.219771465746788</c:v>
                </c:pt>
                <c:pt idx="24">
                  <c:v>90.327742010959383</c:v>
                </c:pt>
                <c:pt idx="25">
                  <c:v>90.490515605274197</c:v>
                </c:pt>
                <c:pt idx="26">
                  <c:v>90.592786474216126</c:v>
                </c:pt>
                <c:pt idx="27">
                  <c:v>90.710664508389996</c:v>
                </c:pt>
                <c:pt idx="28">
                  <c:v>90.822986776500272</c:v>
                </c:pt>
                <c:pt idx="29">
                  <c:v>90.950989655370023</c:v>
                </c:pt>
                <c:pt idx="30">
                  <c:v>91.058010183949378</c:v>
                </c:pt>
                <c:pt idx="31">
                  <c:v>91.182678888039533</c:v>
                </c:pt>
                <c:pt idx="32">
                  <c:v>91.275618293404236</c:v>
                </c:pt>
                <c:pt idx="33">
                  <c:v>91.409378821032348</c:v>
                </c:pt>
                <c:pt idx="34">
                  <c:v>91.527659009823907</c:v>
                </c:pt>
                <c:pt idx="35">
                  <c:v>91.630938548679481</c:v>
                </c:pt>
                <c:pt idx="36">
                  <c:v>91.743739833672208</c:v>
                </c:pt>
                <c:pt idx="37">
                  <c:v>91.867673163300211</c:v>
                </c:pt>
                <c:pt idx="38">
                  <c:v>91.976157046276938</c:v>
                </c:pt>
                <c:pt idx="39">
                  <c:v>92.082235478816074</c:v>
                </c:pt>
                <c:pt idx="40">
                  <c:v>92.169917681024529</c:v>
                </c:pt>
                <c:pt idx="41">
                  <c:v>92.271445773780698</c:v>
                </c:pt>
                <c:pt idx="42">
                  <c:v>92.366772897031481</c:v>
                </c:pt>
                <c:pt idx="43">
                  <c:v>92.474288878372221</c:v>
                </c:pt>
                <c:pt idx="44">
                  <c:v>92.573054488101377</c:v>
                </c:pt>
                <c:pt idx="45">
                  <c:v>92.665807568686503</c:v>
                </c:pt>
                <c:pt idx="46">
                  <c:v>92.749683472417516</c:v>
                </c:pt>
                <c:pt idx="47">
                  <c:v>92.825779890099696</c:v>
                </c:pt>
                <c:pt idx="48">
                  <c:v>92.919380681919264</c:v>
                </c:pt>
                <c:pt idx="49">
                  <c:v>93.010019675126202</c:v>
                </c:pt>
                <c:pt idx="50">
                  <c:v>93.106571616816254</c:v>
                </c:pt>
                <c:pt idx="51">
                  <c:v>93.208940904167861</c:v>
                </c:pt>
                <c:pt idx="52">
                  <c:v>93.296474588163576</c:v>
                </c:pt>
                <c:pt idx="53">
                  <c:v>93.381269081366938</c:v>
                </c:pt>
                <c:pt idx="54">
                  <c:v>93.490454055356153</c:v>
                </c:pt>
                <c:pt idx="55">
                  <c:v>93.593942004213858</c:v>
                </c:pt>
                <c:pt idx="56">
                  <c:v>93.684945764881192</c:v>
                </c:pt>
                <c:pt idx="57">
                  <c:v>93.775231400948471</c:v>
                </c:pt>
                <c:pt idx="58">
                  <c:v>93.868369772166901</c:v>
                </c:pt>
                <c:pt idx="59">
                  <c:v>93.958152683090432</c:v>
                </c:pt>
                <c:pt idx="60">
                  <c:v>94.048162519359721</c:v>
                </c:pt>
                <c:pt idx="61">
                  <c:v>94.150698442659731</c:v>
                </c:pt>
                <c:pt idx="62">
                  <c:v>94.261723640670141</c:v>
                </c:pt>
                <c:pt idx="63">
                  <c:v>94.344685698284664</c:v>
                </c:pt>
                <c:pt idx="64">
                  <c:v>94.452726754371611</c:v>
                </c:pt>
                <c:pt idx="65">
                  <c:v>94.55646782018016</c:v>
                </c:pt>
                <c:pt idx="66">
                  <c:v>94.632610536224874</c:v>
                </c:pt>
                <c:pt idx="67">
                  <c:v>94.729899639121996</c:v>
                </c:pt>
                <c:pt idx="68">
                  <c:v>94.795042984995135</c:v>
                </c:pt>
                <c:pt idx="69">
                  <c:v>94.879111968350799</c:v>
                </c:pt>
                <c:pt idx="70">
                  <c:v>94.956569863566187</c:v>
                </c:pt>
                <c:pt idx="71">
                  <c:v>95.061512381747292</c:v>
                </c:pt>
                <c:pt idx="72">
                  <c:v>95.167917871624155</c:v>
                </c:pt>
                <c:pt idx="73">
                  <c:v>95.267910039581167</c:v>
                </c:pt>
                <c:pt idx="74">
                  <c:v>95.397256444175099</c:v>
                </c:pt>
                <c:pt idx="75">
                  <c:v>95.503912482243692</c:v>
                </c:pt>
                <c:pt idx="76">
                  <c:v>95.614415774657033</c:v>
                </c:pt>
                <c:pt idx="77">
                  <c:v>95.740331050017929</c:v>
                </c:pt>
                <c:pt idx="78">
                  <c:v>95.823397925371168</c:v>
                </c:pt>
                <c:pt idx="79">
                  <c:v>95.912804994513522</c:v>
                </c:pt>
                <c:pt idx="80">
                  <c:v>96.02076537154187</c:v>
                </c:pt>
                <c:pt idx="81">
                  <c:v>96.151955196849926</c:v>
                </c:pt>
                <c:pt idx="82">
                  <c:v>96.241882962473554</c:v>
                </c:pt>
                <c:pt idx="83">
                  <c:v>96.331331134568686</c:v>
                </c:pt>
                <c:pt idx="84">
                  <c:v>96.444900196646472</c:v>
                </c:pt>
                <c:pt idx="85">
                  <c:v>96.564542361472959</c:v>
                </c:pt>
                <c:pt idx="86">
                  <c:v>96.65873910426437</c:v>
                </c:pt>
                <c:pt idx="87">
                  <c:v>96.744138688267441</c:v>
                </c:pt>
                <c:pt idx="88">
                  <c:v>96.846045497577038</c:v>
                </c:pt>
                <c:pt idx="89">
                  <c:v>96.996929939166534</c:v>
                </c:pt>
                <c:pt idx="90">
                  <c:v>97.111601771629466</c:v>
                </c:pt>
                <c:pt idx="91">
                  <c:v>97.214725983400385</c:v>
                </c:pt>
                <c:pt idx="92">
                  <c:v>97.314205569518904</c:v>
                </c:pt>
                <c:pt idx="93">
                  <c:v>97.422350004174106</c:v>
                </c:pt>
                <c:pt idx="94">
                  <c:v>97.558431498736624</c:v>
                </c:pt>
                <c:pt idx="95">
                  <c:v>97.658894007030852</c:v>
                </c:pt>
                <c:pt idx="96">
                  <c:v>97.777037869869005</c:v>
                </c:pt>
                <c:pt idx="97">
                  <c:v>97.877085881602071</c:v>
                </c:pt>
                <c:pt idx="98">
                  <c:v>97.983159719737287</c:v>
                </c:pt>
                <c:pt idx="99">
                  <c:v>98.152633098182861</c:v>
                </c:pt>
                <c:pt idx="100">
                  <c:v>98.280185061181129</c:v>
                </c:pt>
                <c:pt idx="101">
                  <c:v>98.400448484005452</c:v>
                </c:pt>
                <c:pt idx="102">
                  <c:v>98.502772238337229</c:v>
                </c:pt>
                <c:pt idx="103">
                  <c:v>98.644000404978627</c:v>
                </c:pt>
                <c:pt idx="104">
                  <c:v>98.768194555309648</c:v>
                </c:pt>
                <c:pt idx="105">
                  <c:v>98.898419993167025</c:v>
                </c:pt>
                <c:pt idx="106">
                  <c:v>99.014534916431202</c:v>
                </c:pt>
                <c:pt idx="107">
                  <c:v>99.147657971139182</c:v>
                </c:pt>
                <c:pt idx="108">
                  <c:v>99.302194018318644</c:v>
                </c:pt>
                <c:pt idx="109">
                  <c:v>99.42112503930683</c:v>
                </c:pt>
                <c:pt idx="110">
                  <c:v>99.566647146751308</c:v>
                </c:pt>
                <c:pt idx="111">
                  <c:v>99.694231052777667</c:v>
                </c:pt>
                <c:pt idx="112">
                  <c:v>99.842081363184633</c:v>
                </c:pt>
                <c:pt idx="113">
                  <c:v>99.981132917474639</c:v>
                </c:pt>
                <c:pt idx="114">
                  <c:v>100.1243111114121</c:v>
                </c:pt>
                <c:pt idx="115">
                  <c:v>100.2562488221416</c:v>
                </c:pt>
                <c:pt idx="116">
                  <c:v>100.39076827108182</c:v>
                </c:pt>
                <c:pt idx="117">
                  <c:v>100.52127389756974</c:v>
                </c:pt>
                <c:pt idx="118">
                  <c:v>100.66133560414858</c:v>
                </c:pt>
                <c:pt idx="119">
                  <c:v>100.80520970781086</c:v>
                </c:pt>
                <c:pt idx="120">
                  <c:v>100.9181032333023</c:v>
                </c:pt>
                <c:pt idx="121">
                  <c:v>101.05490880450276</c:v>
                </c:pt>
                <c:pt idx="122">
                  <c:v>101.19385787400921</c:v>
                </c:pt>
                <c:pt idx="123">
                  <c:v>101.35303919868115</c:v>
                </c:pt>
                <c:pt idx="124">
                  <c:v>101.51807816863094</c:v>
                </c:pt>
                <c:pt idx="125">
                  <c:v>101.62303119676993</c:v>
                </c:pt>
                <c:pt idx="126">
                  <c:v>101.76996849550278</c:v>
                </c:pt>
                <c:pt idx="127">
                  <c:v>101.90747788620116</c:v>
                </c:pt>
                <c:pt idx="128">
                  <c:v>102.0519920589706</c:v>
                </c:pt>
                <c:pt idx="129">
                  <c:v>102.17719356389807</c:v>
                </c:pt>
                <c:pt idx="130">
                  <c:v>102.33294879011196</c:v>
                </c:pt>
                <c:pt idx="131">
                  <c:v>102.4764157820067</c:v>
                </c:pt>
                <c:pt idx="132">
                  <c:v>102.69514218345188</c:v>
                </c:pt>
                <c:pt idx="133">
                  <c:v>102.85818756786104</c:v>
                </c:pt>
                <c:pt idx="134">
                  <c:v>103.03025386674915</c:v>
                </c:pt>
                <c:pt idx="135">
                  <c:v>103.23045161933406</c:v>
                </c:pt>
                <c:pt idx="136">
                  <c:v>103.38018459367819</c:v>
                </c:pt>
                <c:pt idx="137">
                  <c:v>103.54310991920011</c:v>
                </c:pt>
                <c:pt idx="138">
                  <c:v>103.76643003378636</c:v>
                </c:pt>
                <c:pt idx="139">
                  <c:v>103.96903803064164</c:v>
                </c:pt>
                <c:pt idx="140">
                  <c:v>104.16952627697792</c:v>
                </c:pt>
                <c:pt idx="141">
                  <c:v>104.34418231477423</c:v>
                </c:pt>
                <c:pt idx="142">
                  <c:v>104.53770735062378</c:v>
                </c:pt>
                <c:pt idx="143">
                  <c:v>104.72662767025801</c:v>
                </c:pt>
                <c:pt idx="144">
                  <c:v>104.95711779752966</c:v>
                </c:pt>
                <c:pt idx="145">
                  <c:v>105.20778302907426</c:v>
                </c:pt>
                <c:pt idx="146">
                  <c:v>105.43557623121505</c:v>
                </c:pt>
                <c:pt idx="147">
                  <c:v>105.65455680390511</c:v>
                </c:pt>
                <c:pt idx="148">
                  <c:v>105.88462998328637</c:v>
                </c:pt>
                <c:pt idx="149">
                  <c:v>106.10351155164886</c:v>
                </c:pt>
                <c:pt idx="150">
                  <c:v>106.42259537583431</c:v>
                </c:pt>
                <c:pt idx="151">
                  <c:v>106.6705593337031</c:v>
                </c:pt>
                <c:pt idx="152">
                  <c:v>106.90305824531544</c:v>
                </c:pt>
                <c:pt idx="153">
                  <c:v>107.23834994960463</c:v>
                </c:pt>
                <c:pt idx="154">
                  <c:v>107.46328058072679</c:v>
                </c:pt>
                <c:pt idx="155">
                  <c:v>107.80859197157373</c:v>
                </c:pt>
                <c:pt idx="156">
                  <c:v>108.02808180307225</c:v>
                </c:pt>
                <c:pt idx="157">
                  <c:v>108.30661591246717</c:v>
                </c:pt>
                <c:pt idx="158">
                  <c:v>108.57967230331124</c:v>
                </c:pt>
                <c:pt idx="159">
                  <c:v>108.94528420344511</c:v>
                </c:pt>
                <c:pt idx="160">
                  <c:v>109.21233234406432</c:v>
                </c:pt>
                <c:pt idx="161">
                  <c:v>109.50873027354339</c:v>
                </c:pt>
                <c:pt idx="162">
                  <c:v>109.83014549814557</c:v>
                </c:pt>
                <c:pt idx="163">
                  <c:v>110.13431037185937</c:v>
                </c:pt>
                <c:pt idx="164">
                  <c:v>110.41237728170273</c:v>
                </c:pt>
                <c:pt idx="165">
                  <c:v>110.85267035069128</c:v>
                </c:pt>
                <c:pt idx="166">
                  <c:v>111.28452987420719</c:v>
                </c:pt>
                <c:pt idx="167">
                  <c:v>111.65896463743852</c:v>
                </c:pt>
                <c:pt idx="168">
                  <c:v>112.11361976144154</c:v>
                </c:pt>
                <c:pt idx="169">
                  <c:v>112.53502125453267</c:v>
                </c:pt>
                <c:pt idx="170">
                  <c:v>112.99459684452734</c:v>
                </c:pt>
                <c:pt idx="171">
                  <c:v>113.41305856976011</c:v>
                </c:pt>
                <c:pt idx="172">
                  <c:v>113.93662304618408</c:v>
                </c:pt>
                <c:pt idx="173">
                  <c:v>114.39685828711603</c:v>
                </c:pt>
                <c:pt idx="174">
                  <c:v>114.99289392757649</c:v>
                </c:pt>
                <c:pt idx="175">
                  <c:v>115.47885562698877</c:v>
                </c:pt>
                <c:pt idx="176">
                  <c:v>116.03921411753251</c:v>
                </c:pt>
                <c:pt idx="177">
                  <c:v>116.55004237610494</c:v>
                </c:pt>
                <c:pt idx="178">
                  <c:v>117.28746427724531</c:v>
                </c:pt>
                <c:pt idx="179">
                  <c:v>117.94299347821709</c:v>
                </c:pt>
                <c:pt idx="180">
                  <c:v>118.62110455451423</c:v>
                </c:pt>
                <c:pt idx="181">
                  <c:v>119.35682058669744</c:v>
                </c:pt>
                <c:pt idx="182">
                  <c:v>120.19469324982097</c:v>
                </c:pt>
                <c:pt idx="183">
                  <c:v>120.98614462812587</c:v>
                </c:pt>
                <c:pt idx="184">
                  <c:v>121.84318798138507</c:v>
                </c:pt>
                <c:pt idx="185">
                  <c:v>122.79657957086143</c:v>
                </c:pt>
                <c:pt idx="186">
                  <c:v>123.88234713466036</c:v>
                </c:pt>
                <c:pt idx="187">
                  <c:v>125.14043723052259</c:v>
                </c:pt>
                <c:pt idx="188">
                  <c:v>126.43116677243547</c:v>
                </c:pt>
                <c:pt idx="189">
                  <c:v>127.70994681320343</c:v>
                </c:pt>
                <c:pt idx="190">
                  <c:v>130.29984436090615</c:v>
                </c:pt>
                <c:pt idx="191">
                  <c:v>132.86258404167927</c:v>
                </c:pt>
                <c:pt idx="192">
                  <c:v>135.51886238380757</c:v>
                </c:pt>
                <c:pt idx="193">
                  <c:v>138.77745111068774</c:v>
                </c:pt>
                <c:pt idx="194">
                  <c:v>143.06161997533056</c:v>
                </c:pt>
                <c:pt idx="195">
                  <c:v>147.00410509233535</c:v>
                </c:pt>
                <c:pt idx="196">
                  <c:v>153.44867312527708</c:v>
                </c:pt>
                <c:pt idx="197">
                  <c:v>166.10418108783702</c:v>
                </c:pt>
              </c:numCache>
            </c:numRef>
          </c:xVal>
          <c:yVal>
            <c:numRef>
              <c:f>probplot!$B$4:$GQ$4</c:f>
              <c:numCache>
                <c:formatCode>General</c:formatCode>
                <c:ptCount val="198"/>
                <c:pt idx="0">
                  <c:v>3.3025699333748548E-3</c:v>
                </c:pt>
                <c:pt idx="1">
                  <c:v>4.7890393518245002E-3</c:v>
                </c:pt>
                <c:pt idx="2">
                  <c:v>9.4690996120528528E-3</c:v>
                </c:pt>
                <c:pt idx="3">
                  <c:v>1.0560311044600755E-2</c:v>
                </c:pt>
                <c:pt idx="4">
                  <c:v>1.1363904649724255E-2</c:v>
                </c:pt>
                <c:pt idx="5">
                  <c:v>1.49354750869671E-2</c:v>
                </c:pt>
                <c:pt idx="6">
                  <c:v>1.5919818533200403E-2</c:v>
                </c:pt>
                <c:pt idx="7">
                  <c:v>1.5195155344234249E-2</c:v>
                </c:pt>
                <c:pt idx="8">
                  <c:v>1.8786669153334993E-2</c:v>
                </c:pt>
                <c:pt idx="9">
                  <c:v>2.4566700330318925E-2</c:v>
                </c:pt>
                <c:pt idx="10">
                  <c:v>2.1382266949151442E-2</c:v>
                </c:pt>
                <c:pt idx="11">
                  <c:v>2.7786487855958088E-2</c:v>
                </c:pt>
                <c:pt idx="12">
                  <c:v>2.3422887861939572E-2</c:v>
                </c:pt>
                <c:pt idx="13">
                  <c:v>3.2738998262587263E-2</c:v>
                </c:pt>
                <c:pt idx="14">
                  <c:v>2.7339166316927663E-2</c:v>
                </c:pt>
                <c:pt idx="15">
                  <c:v>2.1376324791070166E-2</c:v>
                </c:pt>
                <c:pt idx="16">
                  <c:v>2.5181676478357232E-2</c:v>
                </c:pt>
                <c:pt idx="17">
                  <c:v>3.1153192559685319E-2</c:v>
                </c:pt>
                <c:pt idx="18">
                  <c:v>2.5205143265507757E-2</c:v>
                </c:pt>
                <c:pt idx="19">
                  <c:v>2.9822453727448961E-2</c:v>
                </c:pt>
                <c:pt idx="20">
                  <c:v>3.3079516240998544E-2</c:v>
                </c:pt>
                <c:pt idx="21">
                  <c:v>3.5536370042012828E-2</c:v>
                </c:pt>
                <c:pt idx="22">
                  <c:v>3.7184647277529834E-2</c:v>
                </c:pt>
                <c:pt idx="23">
                  <c:v>4.0633063817328133E-2</c:v>
                </c:pt>
                <c:pt idx="24">
                  <c:v>4.6308926107161495E-2</c:v>
                </c:pt>
                <c:pt idx="25">
                  <c:v>3.0717513003550818E-2</c:v>
                </c:pt>
                <c:pt idx="26">
                  <c:v>4.8889777233036724E-2</c:v>
                </c:pt>
                <c:pt idx="27">
                  <c:v>4.2416723650353719E-2</c:v>
                </c:pt>
                <c:pt idx="28">
                  <c:v>4.4514770616019689E-2</c:v>
                </c:pt>
                <c:pt idx="29">
                  <c:v>3.9061621458434143E-2</c:v>
                </c:pt>
                <c:pt idx="30">
                  <c:v>4.672000845419616E-2</c:v>
                </c:pt>
                <c:pt idx="31">
                  <c:v>4.0106296415692452E-2</c:v>
                </c:pt>
                <c:pt idx="32">
                  <c:v>5.3798493549421011E-2</c:v>
                </c:pt>
                <c:pt idx="33">
                  <c:v>3.73802353254859E-2</c:v>
                </c:pt>
                <c:pt idx="34">
                  <c:v>4.2272506081397397E-2</c:v>
                </c:pt>
                <c:pt idx="35">
                  <c:v>4.8412299816636403E-2</c:v>
                </c:pt>
                <c:pt idx="36">
                  <c:v>4.4325736185739067E-2</c:v>
                </c:pt>
                <c:pt idx="37">
                  <c:v>4.0344272319705901E-2</c:v>
                </c:pt>
                <c:pt idx="38">
                  <c:v>4.6089795671054742E-2</c:v>
                </c:pt>
                <c:pt idx="39">
                  <c:v>4.7134934786629328E-2</c:v>
                </c:pt>
                <c:pt idx="40">
                  <c:v>5.702411520314029E-2</c:v>
                </c:pt>
                <c:pt idx="41">
                  <c:v>4.9247453234525486E-2</c:v>
                </c:pt>
                <c:pt idx="42">
                  <c:v>5.2450969141764454E-2</c:v>
                </c:pt>
                <c:pt idx="43">
                  <c:v>4.6504714347107179E-2</c:v>
                </c:pt>
                <c:pt idx="44">
                  <c:v>5.0624908950711076E-2</c:v>
                </c:pt>
                <c:pt idx="45">
                  <c:v>5.3906565350259589E-2</c:v>
                </c:pt>
                <c:pt idx="46">
                  <c:v>5.9611876326660429E-2</c:v>
                </c:pt>
                <c:pt idx="47">
                  <c:v>6.5706115376977528E-2</c:v>
                </c:pt>
                <c:pt idx="48">
                  <c:v>5.3418351520341349E-2</c:v>
                </c:pt>
                <c:pt idx="49">
                  <c:v>5.5163896057235866E-2</c:v>
                </c:pt>
                <c:pt idx="50">
                  <c:v>5.1785597601453147E-2</c:v>
                </c:pt>
                <c:pt idx="51">
                  <c:v>4.8842774325726666E-2</c:v>
                </c:pt>
                <c:pt idx="52">
                  <c:v>5.7120867896348598E-2</c:v>
                </c:pt>
                <c:pt idx="53">
                  <c:v>5.8966093328827129E-2</c:v>
                </c:pt>
                <c:pt idx="54">
                  <c:v>4.5793847058972291E-2</c:v>
                </c:pt>
                <c:pt idx="55">
                  <c:v>4.8314804334125591E-2</c:v>
                </c:pt>
                <c:pt idx="56">
                  <c:v>5.4942784378742178E-2</c:v>
                </c:pt>
                <c:pt idx="57">
                  <c:v>5.5379794813364622E-2</c:v>
                </c:pt>
                <c:pt idx="58">
                  <c:v>5.3683567090451925E-2</c:v>
                </c:pt>
                <c:pt idx="59">
                  <c:v>5.5689885174902698E-2</c:v>
                </c:pt>
                <c:pt idx="60">
                  <c:v>5.554948444791246E-2</c:v>
                </c:pt>
                <c:pt idx="61">
                  <c:v>4.8763397637435618E-2</c:v>
                </c:pt>
                <c:pt idx="62">
                  <c:v>4.5034821730569739E-2</c:v>
                </c:pt>
                <c:pt idx="63">
                  <c:v>6.02685148339994E-2</c:v>
                </c:pt>
                <c:pt idx="64">
                  <c:v>4.6278703495606519E-2</c:v>
                </c:pt>
                <c:pt idx="65">
                  <c:v>4.8196921450829724E-2</c:v>
                </c:pt>
                <c:pt idx="66">
                  <c:v>6.5666162959879121E-2</c:v>
                </c:pt>
                <c:pt idx="67">
                  <c:v>5.1393217237157965E-2</c:v>
                </c:pt>
                <c:pt idx="68">
                  <c:v>7.6753810124169361E-2</c:v>
                </c:pt>
                <c:pt idx="69">
                  <c:v>5.9474966871514386E-2</c:v>
                </c:pt>
                <c:pt idx="70">
                  <c:v>6.4551198894527068E-2</c:v>
                </c:pt>
                <c:pt idx="71">
                  <c:v>4.7645130750257482E-2</c:v>
                </c:pt>
                <c:pt idx="72">
                  <c:v>4.6990056676457267E-2</c:v>
                </c:pt>
                <c:pt idx="73">
                  <c:v>5.0003916328222431E-2</c:v>
                </c:pt>
                <c:pt idx="74">
                  <c:v>3.8655887001242381E-2</c:v>
                </c:pt>
                <c:pt idx="75">
                  <c:v>4.6879671236094406E-2</c:v>
                </c:pt>
                <c:pt idx="76">
                  <c:v>4.5247520601443617E-2</c:v>
                </c:pt>
                <c:pt idx="77">
                  <c:v>3.9709240881768311E-2</c:v>
                </c:pt>
                <c:pt idx="78">
                  <c:v>6.0192465152175946E-2</c:v>
                </c:pt>
                <c:pt idx="79">
                  <c:v>5.5923989545379423E-2</c:v>
                </c:pt>
                <c:pt idx="80">
                  <c:v>4.6313287685972919E-2</c:v>
                </c:pt>
                <c:pt idx="81">
                  <c:v>3.8112711776688193E-2</c:v>
                </c:pt>
                <c:pt idx="82">
                  <c:v>5.5600180492934248E-2</c:v>
                </c:pt>
                <c:pt idx="83">
                  <c:v>5.5898291523300107E-2</c:v>
                </c:pt>
                <c:pt idx="84">
                  <c:v>4.402607460626351E-2</c:v>
                </c:pt>
                <c:pt idx="85">
                  <c:v>4.1791286602439165E-2</c:v>
                </c:pt>
                <c:pt idx="86">
                  <c:v>5.308039165507026E-2</c:v>
                </c:pt>
                <c:pt idx="87">
                  <c:v>5.85482945656998E-2</c:v>
                </c:pt>
                <c:pt idx="88">
                  <c:v>4.9064434789728446E-2</c:v>
                </c:pt>
                <c:pt idx="89">
                  <c:v>3.313794283444562E-2</c:v>
                </c:pt>
                <c:pt idx="90">
                  <c:v>4.3602686837818427E-2</c:v>
                </c:pt>
                <c:pt idx="91">
                  <c:v>4.8485219078397167E-2</c:v>
                </c:pt>
                <c:pt idx="92">
                  <c:v>5.0261568177847257E-2</c:v>
                </c:pt>
                <c:pt idx="93">
                  <c:v>4.6234464269396369E-2</c:v>
                </c:pt>
                <c:pt idx="94">
                  <c:v>3.6742688754810252E-2</c:v>
                </c:pt>
                <c:pt idx="95">
                  <c:v>4.9769810498423078E-2</c:v>
                </c:pt>
                <c:pt idx="96">
                  <c:v>4.232128423674094E-2</c:v>
                </c:pt>
                <c:pt idx="97">
                  <c:v>4.9976005653568897E-2</c:v>
                </c:pt>
                <c:pt idx="98">
                  <c:v>4.7136976354398494E-2</c:v>
                </c:pt>
                <c:pt idx="99">
                  <c:v>2.9503158819753822E-2</c:v>
                </c:pt>
                <c:pt idx="100">
                  <c:v>3.9199710317808951E-2</c:v>
                </c:pt>
                <c:pt idx="101">
                  <c:v>4.157540075425805E-2</c:v>
                </c:pt>
                <c:pt idx="102">
                  <c:v>4.8864508858694221E-2</c:v>
                </c:pt>
                <c:pt idx="103">
                  <c:v>3.5403702525544055E-2</c:v>
                </c:pt>
                <c:pt idx="104">
                  <c:v>4.0259545128922929E-2</c:v>
                </c:pt>
                <c:pt idx="105">
                  <c:v>3.8394956333155338E-2</c:v>
                </c:pt>
                <c:pt idx="106">
                  <c:v>4.3060787187744198E-2</c:v>
                </c:pt>
                <c:pt idx="107">
                  <c:v>3.7559234281154791E-2</c:v>
                </c:pt>
                <c:pt idx="108">
                  <c:v>3.2354910658440178E-2</c:v>
                </c:pt>
                <c:pt idx="109">
                  <c:v>4.2041176124240145E-2</c:v>
                </c:pt>
                <c:pt idx="110">
                  <c:v>3.4359040614551889E-2</c:v>
                </c:pt>
                <c:pt idx="111">
                  <c:v>3.9189895933794211E-2</c:v>
                </c:pt>
                <c:pt idx="112">
                  <c:v>3.381798784349678E-2</c:v>
                </c:pt>
                <c:pt idx="113">
                  <c:v>3.5957886451035218E-2</c:v>
                </c:pt>
                <c:pt idx="114">
                  <c:v>3.492151886050493E-2</c:v>
                </c:pt>
                <c:pt idx="115">
                  <c:v>3.789667087866147E-2</c:v>
                </c:pt>
                <c:pt idx="116">
                  <c:v>3.7169346435709918E-2</c:v>
                </c:pt>
                <c:pt idx="117">
                  <c:v>3.8312524406470178E-2</c:v>
                </c:pt>
                <c:pt idx="118">
                  <c:v>3.5698551175268912E-2</c:v>
                </c:pt>
                <c:pt idx="119">
                  <c:v>3.4752605734639348E-2</c:v>
                </c:pt>
                <c:pt idx="120">
                  <c:v>4.4289519511718577E-2</c:v>
                </c:pt>
                <c:pt idx="121">
                  <c:v>3.6548219170648648E-2</c:v>
                </c:pt>
                <c:pt idx="122">
                  <c:v>3.5984407939974122E-2</c:v>
                </c:pt>
                <c:pt idx="123">
                  <c:v>3.1410719883785292E-2</c:v>
                </c:pt>
                <c:pt idx="124">
                  <c:v>3.0295874977413723E-2</c:v>
                </c:pt>
                <c:pt idx="125">
                  <c:v>4.764035958427329E-2</c:v>
                </c:pt>
                <c:pt idx="126">
                  <c:v>3.4028119770260448E-2</c:v>
                </c:pt>
                <c:pt idx="127">
                  <c:v>3.6361153042755626E-2</c:v>
                </c:pt>
                <c:pt idx="128">
                  <c:v>3.4598682635628403E-2</c:v>
                </c:pt>
                <c:pt idx="129">
                  <c:v>3.9935622202755039E-2</c:v>
                </c:pt>
                <c:pt idx="130">
                  <c:v>3.2101651556359113E-2</c:v>
                </c:pt>
                <c:pt idx="131">
                  <c:v>3.4851222110159084E-2</c:v>
                </c:pt>
                <c:pt idx="132">
                  <c:v>2.2859608931357717E-2</c:v>
                </c:pt>
                <c:pt idx="133">
                  <c:v>3.0666308145544326E-2</c:v>
                </c:pt>
                <c:pt idx="134">
                  <c:v>2.905856656596836E-2</c:v>
                </c:pt>
                <c:pt idx="135">
                  <c:v>2.4975305344046142E-2</c:v>
                </c:pt>
                <c:pt idx="136">
                  <c:v>3.339277818998275E-2</c:v>
                </c:pt>
                <c:pt idx="137">
                  <c:v>3.0688906000237326E-2</c:v>
                </c:pt>
                <c:pt idx="138">
                  <c:v>2.2389384893803359E-2</c:v>
                </c:pt>
                <c:pt idx="139">
                  <c:v>2.4678196703022938E-2</c:v>
                </c:pt>
                <c:pt idx="140">
                  <c:v>2.4939117835434271E-2</c:v>
                </c:pt>
                <c:pt idx="141">
                  <c:v>2.8627696259954989E-2</c:v>
                </c:pt>
                <c:pt idx="142">
                  <c:v>2.5836450452266971E-2</c:v>
                </c:pt>
                <c:pt idx="143">
                  <c:v>2.6466184313473546E-2</c:v>
                </c:pt>
                <c:pt idx="144">
                  <c:v>2.1692903115572967E-2</c:v>
                </c:pt>
                <c:pt idx="145">
                  <c:v>1.9946922711179156E-2</c:v>
                </c:pt>
                <c:pt idx="146">
                  <c:v>2.194973314835684E-2</c:v>
                </c:pt>
                <c:pt idx="147">
                  <c:v>2.2833075731685772E-2</c:v>
                </c:pt>
                <c:pt idx="148">
                  <c:v>2.1732215869083454E-2</c:v>
                </c:pt>
                <c:pt idx="149">
                  <c:v>2.2843403569365296E-2</c:v>
                </c:pt>
                <c:pt idx="150">
                  <c:v>1.5669863593881738E-2</c:v>
                </c:pt>
                <c:pt idx="151">
                  <c:v>2.0164220812468762E-2</c:v>
                </c:pt>
                <c:pt idx="152">
                  <c:v>2.150547701632614E-2</c:v>
                </c:pt>
                <c:pt idx="153">
                  <c:v>1.491238803715669E-2</c:v>
                </c:pt>
                <c:pt idx="154">
                  <c:v>2.2229075582348892E-2</c:v>
                </c:pt>
                <c:pt idx="155">
                  <c:v>1.4479684518186636E-2</c:v>
                </c:pt>
                <c:pt idx="156">
                  <c:v>2.2780098585267229E-2</c:v>
                </c:pt>
                <c:pt idx="157">
                  <c:v>1.7951122793764897E-2</c:v>
                </c:pt>
                <c:pt idx="158">
                  <c:v>1.8311235948530374E-2</c:v>
                </c:pt>
                <c:pt idx="159">
                  <c:v>1.3675703657810977E-2</c:v>
                </c:pt>
                <c:pt idx="160">
                  <c:v>1.8723215928058534E-2</c:v>
                </c:pt>
                <c:pt idx="161">
                  <c:v>1.6869213657422211E-2</c:v>
                </c:pt>
                <c:pt idx="162">
                  <c:v>1.5556201502864766E-2</c:v>
                </c:pt>
                <c:pt idx="163">
                  <c:v>1.6438453063139222E-2</c:v>
                </c:pt>
                <c:pt idx="164">
                  <c:v>1.7981283723462738E-2</c:v>
                </c:pt>
                <c:pt idx="165">
                  <c:v>1.1356072471197591E-2</c:v>
                </c:pt>
                <c:pt idx="166">
                  <c:v>1.1577838921539465E-2</c:v>
                </c:pt>
                <c:pt idx="167">
                  <c:v>1.3353460979025251E-2</c:v>
                </c:pt>
                <c:pt idx="168">
                  <c:v>1.0997346639310566E-2</c:v>
                </c:pt>
                <c:pt idx="169">
                  <c:v>1.1865169160468042E-2</c:v>
                </c:pt>
                <c:pt idx="170">
                  <c:v>1.0879603070428475E-2</c:v>
                </c:pt>
                <c:pt idx="171">
                  <c:v>1.1948524078800024E-2</c:v>
                </c:pt>
                <c:pt idx="172">
                  <c:v>9.5499221684228839E-3</c:v>
                </c:pt>
                <c:pt idx="173">
                  <c:v>1.086400943542541E-2</c:v>
                </c:pt>
                <c:pt idx="174">
                  <c:v>8.3887601018914557E-3</c:v>
                </c:pt>
                <c:pt idx="175">
                  <c:v>1.0288876687292265E-2</c:v>
                </c:pt>
                <c:pt idx="176">
                  <c:v>8.9228593558890023E-3</c:v>
                </c:pt>
                <c:pt idx="177">
                  <c:v>9.7880254588363635E-3</c:v>
                </c:pt>
                <c:pt idx="178">
                  <c:v>6.7803790371127994E-3</c:v>
                </c:pt>
                <c:pt idx="179">
                  <c:v>7.6274252811130089E-3</c:v>
                </c:pt>
                <c:pt idx="180">
                  <c:v>7.3734232853159354E-3</c:v>
                </c:pt>
                <c:pt idx="181">
                  <c:v>6.796100371990966E-3</c:v>
                </c:pt>
                <c:pt idx="182">
                  <c:v>5.9674938926403583E-3</c:v>
                </c:pt>
                <c:pt idx="183">
                  <c:v>6.3175074768443947E-3</c:v>
                </c:pt>
                <c:pt idx="184">
                  <c:v>5.8340105911629673E-3</c:v>
                </c:pt>
                <c:pt idx="185">
                  <c:v>5.2444347686622953E-3</c:v>
                </c:pt>
                <c:pt idx="186">
                  <c:v>4.6050371798783026E-3</c:v>
                </c:pt>
                <c:pt idx="187">
                  <c:v>3.9742781669171801E-3</c:v>
                </c:pt>
                <c:pt idx="188">
                  <c:v>3.8737782297830741E-3</c:v>
                </c:pt>
                <c:pt idx="189">
                  <c:v>3.9099765718874626E-3</c:v>
                </c:pt>
                <c:pt idx="190">
                  <c:v>1.9305782981396621E-3</c:v>
                </c:pt>
                <c:pt idx="191">
                  <c:v>1.9510370239756907E-3</c:v>
                </c:pt>
                <c:pt idx="192">
                  <c:v>1.882332856726839E-3</c:v>
                </c:pt>
                <c:pt idx="193">
                  <c:v>1.5344065848982111E-3</c:v>
                </c:pt>
                <c:pt idx="194">
                  <c:v>1.1670875163826806E-3</c:v>
                </c:pt>
                <c:pt idx="195">
                  <c:v>1.2682356056168522E-3</c:v>
                </c:pt>
                <c:pt idx="196">
                  <c:v>7.7584719013629004E-4</c:v>
                </c:pt>
                <c:pt idx="197">
                  <c:v>3.9508489226920034E-4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DD-4AA6-8074-46D213DCE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687392"/>
        <c:axId val="1380688832"/>
      </c:scatterChart>
      <c:valAx>
        <c:axId val="1380677312"/>
        <c:scaling>
          <c:orientation val="minMax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 $</a:t>
                </a:r>
              </a:p>
            </c:rich>
          </c:tx>
          <c:layout>
            <c:manualLayout>
              <c:xMode val="edge"/>
              <c:yMode val="edge"/>
              <c:x val="0.50755164702066924"/>
              <c:y val="0.943800010309091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78392"/>
        <c:crosses val="autoZero"/>
        <c:crossBetween val="midCat"/>
      </c:valAx>
      <c:valAx>
        <c:axId val="138067839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cumulative 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77312"/>
        <c:crosses val="autoZero"/>
        <c:crossBetween val="midCat"/>
      </c:valAx>
      <c:valAx>
        <c:axId val="1380688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87392"/>
        <c:crosses val="max"/>
        <c:crossBetween val="midCat"/>
      </c:valAx>
      <c:valAx>
        <c:axId val="1380687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0688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typical random</a:t>
            </a:r>
            <a:r>
              <a:rPr lang="en-US" baseline="0"/>
              <a:t> walk </a:t>
            </a:r>
            <a:r>
              <a:rPr lang="en-US"/>
              <a:t>path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mc!$H$2:$H$1002</c:f>
              <c:numCache>
                <c:formatCode>General</c:formatCode>
                <c:ptCount val="10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D-436C-AEEE-4E8F6A359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0650312"/>
        <c:axId val="1380656432"/>
      </c:lineChart>
      <c:catAx>
        <c:axId val="1380650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56432"/>
        <c:crosses val="autoZero"/>
        <c:auto val="1"/>
        <c:lblAlgn val="ctr"/>
        <c:lblOffset val="100"/>
        <c:noMultiLvlLbl val="0"/>
      </c:catAx>
      <c:valAx>
        <c:axId val="138065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5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Column B (Heston</a:t>
            </a:r>
            <a:r>
              <a:rPr lang="en-US" baseline="0"/>
              <a:t> Eqn 2 recurrence relation)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'HE2'!$B$1:$B$1000</c:f>
              <c:numCache>
                <c:formatCode>General</c:formatCode>
                <c:ptCount val="1000"/>
                <c:pt idx="0">
                  <c:v>1.5134000000000001</c:v>
                </c:pt>
                <c:pt idx="1">
                  <c:v>1.6870932542343497</c:v>
                </c:pt>
                <c:pt idx="2">
                  <c:v>0.98350837896037668</c:v>
                </c:pt>
                <c:pt idx="3">
                  <c:v>0.74846246849298004</c:v>
                </c:pt>
                <c:pt idx="4">
                  <c:v>0.86774912677770544</c:v>
                </c:pt>
                <c:pt idx="5">
                  <c:v>0.72106802979942985</c:v>
                </c:pt>
                <c:pt idx="6">
                  <c:v>0.81581439584588211</c:v>
                </c:pt>
                <c:pt idx="7">
                  <c:v>1.1407853815662947</c:v>
                </c:pt>
                <c:pt idx="8">
                  <c:v>1.1322107226410902</c:v>
                </c:pt>
                <c:pt idx="9">
                  <c:v>1.493195994254874</c:v>
                </c:pt>
                <c:pt idx="10">
                  <c:v>1.7879223236458164</c:v>
                </c:pt>
                <c:pt idx="11">
                  <c:v>2.3658281446045137</c:v>
                </c:pt>
                <c:pt idx="12">
                  <c:v>2.7207080560795887</c:v>
                </c:pt>
                <c:pt idx="13">
                  <c:v>3.4562418297914919</c:v>
                </c:pt>
                <c:pt idx="14">
                  <c:v>3.2764593093037471</c:v>
                </c:pt>
                <c:pt idx="15">
                  <c:v>2.8144680072821582</c:v>
                </c:pt>
                <c:pt idx="16">
                  <c:v>2.6915082403305965</c:v>
                </c:pt>
                <c:pt idx="17">
                  <c:v>2.01835170211513</c:v>
                </c:pt>
                <c:pt idx="18">
                  <c:v>1.7841913568852701</c:v>
                </c:pt>
                <c:pt idx="19">
                  <c:v>1.8581608424415541</c:v>
                </c:pt>
                <c:pt idx="20">
                  <c:v>1.6693503183265377</c:v>
                </c:pt>
                <c:pt idx="21">
                  <c:v>1.0427750018034061</c:v>
                </c:pt>
                <c:pt idx="22">
                  <c:v>0.7417463577008846</c:v>
                </c:pt>
                <c:pt idx="23">
                  <c:v>1.054341306296515</c:v>
                </c:pt>
                <c:pt idx="24">
                  <c:v>1.2001448656759337</c:v>
                </c:pt>
                <c:pt idx="25">
                  <c:v>1.4635651918771095</c:v>
                </c:pt>
                <c:pt idx="26">
                  <c:v>1.3344523798851053</c:v>
                </c:pt>
                <c:pt idx="27">
                  <c:v>1.1675338375958648</c:v>
                </c:pt>
                <c:pt idx="28">
                  <c:v>0.91124583441491169</c:v>
                </c:pt>
                <c:pt idx="29">
                  <c:v>0.84657570683521888</c:v>
                </c:pt>
                <c:pt idx="30">
                  <c:v>1.3382111554459115</c:v>
                </c:pt>
                <c:pt idx="31">
                  <c:v>1.4624846162369101</c:v>
                </c:pt>
                <c:pt idx="32">
                  <c:v>1.5786557803934471</c:v>
                </c:pt>
                <c:pt idx="33">
                  <c:v>1.8027518465806021</c:v>
                </c:pt>
                <c:pt idx="34">
                  <c:v>1.9053880888739025</c:v>
                </c:pt>
                <c:pt idx="35">
                  <c:v>2.1840620359059155</c:v>
                </c:pt>
                <c:pt idx="36">
                  <c:v>2.9168346940853813</c:v>
                </c:pt>
                <c:pt idx="37">
                  <c:v>2.5473203497887447</c:v>
                </c:pt>
                <c:pt idx="38">
                  <c:v>1.9900358988107225</c:v>
                </c:pt>
                <c:pt idx="39">
                  <c:v>1.9029644850249567</c:v>
                </c:pt>
                <c:pt idx="40">
                  <c:v>2.1178345202551894</c:v>
                </c:pt>
                <c:pt idx="41">
                  <c:v>1.3306465853156833</c:v>
                </c:pt>
                <c:pt idx="42">
                  <c:v>0.81446980553789805</c:v>
                </c:pt>
                <c:pt idx="43">
                  <c:v>1.3312834302952581</c:v>
                </c:pt>
                <c:pt idx="44">
                  <c:v>1.0840187593851507</c:v>
                </c:pt>
                <c:pt idx="45">
                  <c:v>1.27924470639454</c:v>
                </c:pt>
                <c:pt idx="46">
                  <c:v>0.95691080540098739</c:v>
                </c:pt>
                <c:pt idx="47">
                  <c:v>1.2034969583975632</c:v>
                </c:pt>
                <c:pt idx="48">
                  <c:v>0.80314359323585549</c:v>
                </c:pt>
                <c:pt idx="49">
                  <c:v>0.79613232603302886</c:v>
                </c:pt>
                <c:pt idx="50">
                  <c:v>0.677709143528195</c:v>
                </c:pt>
                <c:pt idx="51">
                  <c:v>1.0488720463481092</c:v>
                </c:pt>
                <c:pt idx="52">
                  <c:v>1.3409032757174677</c:v>
                </c:pt>
                <c:pt idx="53">
                  <c:v>1.5806054415115498</c:v>
                </c:pt>
                <c:pt idx="54">
                  <c:v>1.7835027195435225</c:v>
                </c:pt>
                <c:pt idx="55">
                  <c:v>0.50829088955794344</c:v>
                </c:pt>
                <c:pt idx="56">
                  <c:v>0.47690945023150555</c:v>
                </c:pt>
                <c:pt idx="57">
                  <c:v>0.48515141778757581</c:v>
                </c:pt>
                <c:pt idx="58">
                  <c:v>0.14805893908194057</c:v>
                </c:pt>
                <c:pt idx="59">
                  <c:v>0.31005870896422016</c:v>
                </c:pt>
                <c:pt idx="60">
                  <c:v>0.55877812989316511</c:v>
                </c:pt>
                <c:pt idx="61">
                  <c:v>0.63924479659599898</c:v>
                </c:pt>
                <c:pt idx="62">
                  <c:v>0.3352056360517105</c:v>
                </c:pt>
                <c:pt idx="63">
                  <c:v>0.10849802811518577</c:v>
                </c:pt>
                <c:pt idx="64">
                  <c:v>4.271534266015807E-2</c:v>
                </c:pt>
                <c:pt idx="65">
                  <c:v>8.8904312426408783E-2</c:v>
                </c:pt>
                <c:pt idx="66">
                  <c:v>0.11191674986436248</c:v>
                </c:pt>
                <c:pt idx="67">
                  <c:v>0.27887322341840071</c:v>
                </c:pt>
                <c:pt idx="68">
                  <c:v>0.22371443638800956</c:v>
                </c:pt>
                <c:pt idx="69">
                  <c:v>2.1711573252663041E-2</c:v>
                </c:pt>
                <c:pt idx="70">
                  <c:v>2.7013707703849629E-2</c:v>
                </c:pt>
                <c:pt idx="71">
                  <c:v>5.4466858798940455E-2</c:v>
                </c:pt>
                <c:pt idx="72">
                  <c:v>0.14256922157122348</c:v>
                </c:pt>
                <c:pt idx="73">
                  <c:v>-4.5415607812510916E-3</c:v>
                </c:pt>
                <c:pt idx="74">
                  <c:v>2.5726439218748912E-2</c:v>
                </c:pt>
                <c:pt idx="75">
                  <c:v>8.5320398857474888E-2</c:v>
                </c:pt>
                <c:pt idx="76">
                  <c:v>0.1072410735100283</c:v>
                </c:pt>
                <c:pt idx="77">
                  <c:v>0.28239096943424402</c:v>
                </c:pt>
                <c:pt idx="78">
                  <c:v>0.36670747658360653</c:v>
                </c:pt>
                <c:pt idx="79">
                  <c:v>0.39089085204511065</c:v>
                </c:pt>
                <c:pt idx="80">
                  <c:v>0.20222254094047917</c:v>
                </c:pt>
                <c:pt idx="81">
                  <c:v>0.29900538070565252</c:v>
                </c:pt>
                <c:pt idx="82">
                  <c:v>0.45960106158656011</c:v>
                </c:pt>
                <c:pt idx="83">
                  <c:v>0.46929184066902491</c:v>
                </c:pt>
                <c:pt idx="84">
                  <c:v>0.6972438802634362</c:v>
                </c:pt>
                <c:pt idx="85">
                  <c:v>0.92069427977818397</c:v>
                </c:pt>
                <c:pt idx="86">
                  <c:v>1.0810953379907162</c:v>
                </c:pt>
                <c:pt idx="87">
                  <c:v>1.1481981032768949</c:v>
                </c:pt>
                <c:pt idx="88">
                  <c:v>1.4887983784885166</c:v>
                </c:pt>
                <c:pt idx="89">
                  <c:v>1.4070020114330655</c:v>
                </c:pt>
                <c:pt idx="90">
                  <c:v>0.81388778036994736</c:v>
                </c:pt>
                <c:pt idx="91">
                  <c:v>0.49844432008143219</c:v>
                </c:pt>
                <c:pt idx="92">
                  <c:v>0.7085762849060413</c:v>
                </c:pt>
                <c:pt idx="93">
                  <c:v>0.74835082320752877</c:v>
                </c:pt>
                <c:pt idx="94">
                  <c:v>0.62772409501941351</c:v>
                </c:pt>
                <c:pt idx="95">
                  <c:v>0.41099001711367877</c:v>
                </c:pt>
                <c:pt idx="96">
                  <c:v>0.71993843300171023</c:v>
                </c:pt>
                <c:pt idx="97">
                  <c:v>1.1353520855078785</c:v>
                </c:pt>
                <c:pt idx="98">
                  <c:v>1.3974250587098</c:v>
                </c:pt>
                <c:pt idx="99">
                  <c:v>1.5090254105362688</c:v>
                </c:pt>
                <c:pt idx="100">
                  <c:v>1.5578625520989331</c:v>
                </c:pt>
                <c:pt idx="101">
                  <c:v>1.8179666275892559</c:v>
                </c:pt>
                <c:pt idx="102">
                  <c:v>2.4623172799071393</c:v>
                </c:pt>
                <c:pt idx="103">
                  <c:v>3.511961204675381</c:v>
                </c:pt>
                <c:pt idx="104">
                  <c:v>4.5130585008981061</c:v>
                </c:pt>
                <c:pt idx="105">
                  <c:v>4.9454738554424997</c:v>
                </c:pt>
                <c:pt idx="106">
                  <c:v>4.6452524102325157</c:v>
                </c:pt>
                <c:pt idx="107">
                  <c:v>3.1877314030810688</c:v>
                </c:pt>
                <c:pt idx="108">
                  <c:v>3.3637123645266431</c:v>
                </c:pt>
                <c:pt idx="109">
                  <c:v>2.4469711727214478</c:v>
                </c:pt>
                <c:pt idx="110">
                  <c:v>2.0242647001773388</c:v>
                </c:pt>
                <c:pt idx="111">
                  <c:v>2.5116649544023781</c:v>
                </c:pt>
                <c:pt idx="112">
                  <c:v>2.2064664156121565</c:v>
                </c:pt>
                <c:pt idx="113">
                  <c:v>2.4816793226976746</c:v>
                </c:pt>
                <c:pt idx="114">
                  <c:v>2.1031487609111186</c:v>
                </c:pt>
                <c:pt idx="115">
                  <c:v>1.4350278242649237</c:v>
                </c:pt>
                <c:pt idx="116">
                  <c:v>1.899481815056826</c:v>
                </c:pt>
                <c:pt idx="117">
                  <c:v>2.0924478413138905</c:v>
                </c:pt>
                <c:pt idx="118">
                  <c:v>2.2331700652688484</c:v>
                </c:pt>
                <c:pt idx="119">
                  <c:v>2.2057164225920567</c:v>
                </c:pt>
                <c:pt idx="120">
                  <c:v>2.1534438275250687</c:v>
                </c:pt>
                <c:pt idx="121">
                  <c:v>2.7044149020477684</c:v>
                </c:pt>
                <c:pt idx="122">
                  <c:v>2.4900289018146284</c:v>
                </c:pt>
                <c:pt idx="123">
                  <c:v>2.5890781048414846</c:v>
                </c:pt>
                <c:pt idx="124">
                  <c:v>3.0743652804099604</c:v>
                </c:pt>
                <c:pt idx="125">
                  <c:v>3.709928451656539</c:v>
                </c:pt>
                <c:pt idx="126">
                  <c:v>3.6886018622587269</c:v>
                </c:pt>
                <c:pt idx="127">
                  <c:v>4.2830909348867499</c:v>
                </c:pt>
                <c:pt idx="128">
                  <c:v>4.3872925630856292</c:v>
                </c:pt>
                <c:pt idx="129">
                  <c:v>4.7702702582157253</c:v>
                </c:pt>
                <c:pt idx="130">
                  <c:v>4.3014933026899547</c:v>
                </c:pt>
                <c:pt idx="131">
                  <c:v>4.9708251972521786</c:v>
                </c:pt>
                <c:pt idx="132">
                  <c:v>5.7550852917685571</c:v>
                </c:pt>
                <c:pt idx="133">
                  <c:v>5.6588730401300058</c:v>
                </c:pt>
                <c:pt idx="134">
                  <c:v>6.4604991515659567</c:v>
                </c:pt>
                <c:pt idx="135">
                  <c:v>7.066995989683754</c:v>
                </c:pt>
                <c:pt idx="136">
                  <c:v>7.5347021519877231</c:v>
                </c:pt>
                <c:pt idx="137">
                  <c:v>6.7368887269800277</c:v>
                </c:pt>
                <c:pt idx="138">
                  <c:v>4.8874136222481912</c:v>
                </c:pt>
                <c:pt idx="139">
                  <c:v>3.8491774375255594</c:v>
                </c:pt>
                <c:pt idx="140">
                  <c:v>3.811851346330835</c:v>
                </c:pt>
                <c:pt idx="141">
                  <c:v>3.5490211618267771</c:v>
                </c:pt>
                <c:pt idx="142">
                  <c:v>3.3274320041502912</c:v>
                </c:pt>
                <c:pt idx="143">
                  <c:v>4.6030833265919586</c:v>
                </c:pt>
                <c:pt idx="144">
                  <c:v>4.4683378807625989</c:v>
                </c:pt>
                <c:pt idx="145">
                  <c:v>3.4143423581268157</c:v>
                </c:pt>
                <c:pt idx="146">
                  <c:v>3.7122580652990731</c:v>
                </c:pt>
                <c:pt idx="147">
                  <c:v>5.0274583709633838</c:v>
                </c:pt>
                <c:pt idx="148">
                  <c:v>4.9333172777408025</c:v>
                </c:pt>
                <c:pt idx="149">
                  <c:v>4.7219870384365938</c:v>
                </c:pt>
                <c:pt idx="150">
                  <c:v>4.5422500305993108</c:v>
                </c:pt>
                <c:pt idx="151">
                  <c:v>4.3505721478644714</c:v>
                </c:pt>
                <c:pt idx="152">
                  <c:v>2.5445156021806143</c:v>
                </c:pt>
                <c:pt idx="153">
                  <c:v>2.6924518518157297</c:v>
                </c:pt>
                <c:pt idx="154">
                  <c:v>2.6745012444083684</c:v>
                </c:pt>
                <c:pt idx="155">
                  <c:v>3.7702108596998505</c:v>
                </c:pt>
                <c:pt idx="156">
                  <c:v>4.043057117442026</c:v>
                </c:pt>
                <c:pt idx="157">
                  <c:v>3.7202769138665808</c:v>
                </c:pt>
                <c:pt idx="158">
                  <c:v>4.3942629822992778</c:v>
                </c:pt>
                <c:pt idx="159">
                  <c:v>4.1959019248423726</c:v>
                </c:pt>
                <c:pt idx="160">
                  <c:v>4.5996733970154544</c:v>
                </c:pt>
                <c:pt idx="161">
                  <c:v>4.7965448366547045</c:v>
                </c:pt>
                <c:pt idx="162">
                  <c:v>5.4164451331999599</c:v>
                </c:pt>
                <c:pt idx="163">
                  <c:v>5.3814329557174698</c:v>
                </c:pt>
                <c:pt idx="164">
                  <c:v>4.4373868700617223</c:v>
                </c:pt>
                <c:pt idx="165">
                  <c:v>4.4890955736712961</c:v>
                </c:pt>
                <c:pt idx="166">
                  <c:v>4.2436230862200155</c:v>
                </c:pt>
                <c:pt idx="167">
                  <c:v>4.6109002544434583</c:v>
                </c:pt>
                <c:pt idx="168">
                  <c:v>5.2724335810435976</c:v>
                </c:pt>
                <c:pt idx="169">
                  <c:v>5.0073284106503024</c:v>
                </c:pt>
                <c:pt idx="170">
                  <c:v>4.8256117525376387</c:v>
                </c:pt>
                <c:pt idx="171">
                  <c:v>5.196685993543392</c:v>
                </c:pt>
                <c:pt idx="172">
                  <c:v>5.1938620088648708</c:v>
                </c:pt>
                <c:pt idx="173">
                  <c:v>4.777484097911632</c:v>
                </c:pt>
                <c:pt idx="174">
                  <c:v>5.0066378689832103</c:v>
                </c:pt>
                <c:pt idx="175">
                  <c:v>6.2848057238025188</c:v>
                </c:pt>
                <c:pt idx="176">
                  <c:v>7.3001284273909484</c:v>
                </c:pt>
                <c:pt idx="177">
                  <c:v>7.0487069285167587</c:v>
                </c:pt>
                <c:pt idx="178">
                  <c:v>8.351801125643366</c:v>
                </c:pt>
                <c:pt idx="179">
                  <c:v>7.3488626139778983</c:v>
                </c:pt>
                <c:pt idx="180">
                  <c:v>7.7631267991183002</c:v>
                </c:pt>
                <c:pt idx="181">
                  <c:v>7.6227773131758179</c:v>
                </c:pt>
                <c:pt idx="182">
                  <c:v>7.8235710507243184</c:v>
                </c:pt>
                <c:pt idx="183">
                  <c:v>7.9135078128908667</c:v>
                </c:pt>
                <c:pt idx="184">
                  <c:v>7.2925352033683231</c:v>
                </c:pt>
                <c:pt idx="185">
                  <c:v>6.7845190484227027</c:v>
                </c:pt>
                <c:pt idx="186">
                  <c:v>6.9882596894491913</c:v>
                </c:pt>
                <c:pt idx="187">
                  <c:v>7.6391022515645508</c:v>
                </c:pt>
                <c:pt idx="188">
                  <c:v>6.2919990055133725</c:v>
                </c:pt>
                <c:pt idx="189">
                  <c:v>6.0399283392988492</c:v>
                </c:pt>
                <c:pt idx="190">
                  <c:v>5.4728177238678715</c:v>
                </c:pt>
                <c:pt idx="191">
                  <c:v>6.291409113601647</c:v>
                </c:pt>
                <c:pt idx="192">
                  <c:v>6.5338522921579143</c:v>
                </c:pt>
                <c:pt idx="193">
                  <c:v>7.0103477933742813</c:v>
                </c:pt>
                <c:pt idx="194">
                  <c:v>7.7296002305995888</c:v>
                </c:pt>
                <c:pt idx="195">
                  <c:v>7.4207348336217134</c:v>
                </c:pt>
                <c:pt idx="196">
                  <c:v>7.4354685945285706</c:v>
                </c:pt>
                <c:pt idx="197">
                  <c:v>8.466456057586095</c:v>
                </c:pt>
                <c:pt idx="198">
                  <c:v>9.68501690744149</c:v>
                </c:pt>
                <c:pt idx="199">
                  <c:v>10.040011675931206</c:v>
                </c:pt>
                <c:pt idx="200">
                  <c:v>10.180728777968783</c:v>
                </c:pt>
                <c:pt idx="201">
                  <c:v>10.512484025762774</c:v>
                </c:pt>
                <c:pt idx="202">
                  <c:v>12.456229184955385</c:v>
                </c:pt>
                <c:pt idx="203">
                  <c:v>13.437871377290154</c:v>
                </c:pt>
                <c:pt idx="204">
                  <c:v>14.043327292150314</c:v>
                </c:pt>
                <c:pt idx="205">
                  <c:v>11.671438505070963</c:v>
                </c:pt>
                <c:pt idx="206">
                  <c:v>11.855994201896173</c:v>
                </c:pt>
                <c:pt idx="207">
                  <c:v>11.665588852173334</c:v>
                </c:pt>
                <c:pt idx="208">
                  <c:v>10.254621427610607</c:v>
                </c:pt>
                <c:pt idx="209">
                  <c:v>10.597677371167014</c:v>
                </c:pt>
                <c:pt idx="210">
                  <c:v>10.65677706745832</c:v>
                </c:pt>
                <c:pt idx="211">
                  <c:v>12.435312072443878</c:v>
                </c:pt>
                <c:pt idx="212">
                  <c:v>10.451702884812244</c:v>
                </c:pt>
                <c:pt idx="213">
                  <c:v>9.8192153832138516</c:v>
                </c:pt>
                <c:pt idx="214">
                  <c:v>10.323936772108746</c:v>
                </c:pt>
                <c:pt idx="215">
                  <c:v>11.036216926313857</c:v>
                </c:pt>
                <c:pt idx="216">
                  <c:v>9.8827228593198821</c:v>
                </c:pt>
                <c:pt idx="217">
                  <c:v>11.985408013170805</c:v>
                </c:pt>
                <c:pt idx="218">
                  <c:v>11.795059872951144</c:v>
                </c:pt>
                <c:pt idx="219">
                  <c:v>12.518085707683275</c:v>
                </c:pt>
                <c:pt idx="220">
                  <c:v>12.643736261762244</c:v>
                </c:pt>
                <c:pt idx="221">
                  <c:v>13.694721580288505</c:v>
                </c:pt>
                <c:pt idx="222">
                  <c:v>12.023132480880314</c:v>
                </c:pt>
                <c:pt idx="223">
                  <c:v>11.000860160748516</c:v>
                </c:pt>
                <c:pt idx="224">
                  <c:v>12.790908845789378</c:v>
                </c:pt>
                <c:pt idx="225">
                  <c:v>12.985902589348301</c:v>
                </c:pt>
                <c:pt idx="226">
                  <c:v>13.05108452418961</c:v>
                </c:pt>
                <c:pt idx="227">
                  <c:v>12.406857686360263</c:v>
                </c:pt>
                <c:pt idx="228">
                  <c:v>13.321457431664891</c:v>
                </c:pt>
                <c:pt idx="229">
                  <c:v>12.78072376231658</c:v>
                </c:pt>
                <c:pt idx="230">
                  <c:v>11.393699393477096</c:v>
                </c:pt>
                <c:pt idx="231">
                  <c:v>11.621887260688931</c:v>
                </c:pt>
                <c:pt idx="232">
                  <c:v>10.822457756615105</c:v>
                </c:pt>
                <c:pt idx="233">
                  <c:v>10.866091661672616</c:v>
                </c:pt>
                <c:pt idx="234">
                  <c:v>10.964228500002482</c:v>
                </c:pt>
                <c:pt idx="235">
                  <c:v>10.859671550531043</c:v>
                </c:pt>
                <c:pt idx="236">
                  <c:v>10.886255477423102</c:v>
                </c:pt>
                <c:pt idx="237">
                  <c:v>10.082825242721988</c:v>
                </c:pt>
                <c:pt idx="238">
                  <c:v>10.61628265836031</c:v>
                </c:pt>
                <c:pt idx="239">
                  <c:v>10.609322989454652</c:v>
                </c:pt>
                <c:pt idx="240">
                  <c:v>9.4710020880480492</c:v>
                </c:pt>
                <c:pt idx="241">
                  <c:v>9.0655057371515433</c:v>
                </c:pt>
                <c:pt idx="242">
                  <c:v>9.6425141223204456</c:v>
                </c:pt>
                <c:pt idx="243">
                  <c:v>9.3150407729866487</c:v>
                </c:pt>
                <c:pt idx="244">
                  <c:v>8.4592665754039569</c:v>
                </c:pt>
                <c:pt idx="245">
                  <c:v>8.9009739937969261</c:v>
                </c:pt>
                <c:pt idx="246">
                  <c:v>7.8957861720470657</c:v>
                </c:pt>
                <c:pt idx="247">
                  <c:v>7.1958201893774021</c:v>
                </c:pt>
                <c:pt idx="248">
                  <c:v>5.60621464768764</c:v>
                </c:pt>
                <c:pt idx="249">
                  <c:v>5.0452347021931603</c:v>
                </c:pt>
                <c:pt idx="250">
                  <c:v>4.682614920677846</c:v>
                </c:pt>
                <c:pt idx="251">
                  <c:v>5.4090709410771245</c:v>
                </c:pt>
                <c:pt idx="252">
                  <c:v>5.091889984364407</c:v>
                </c:pt>
                <c:pt idx="253">
                  <c:v>5.0736500548363805</c:v>
                </c:pt>
                <c:pt idx="254">
                  <c:v>5.4836206241260879</c:v>
                </c:pt>
                <c:pt idx="255">
                  <c:v>5.0079053112228671</c:v>
                </c:pt>
                <c:pt idx="256">
                  <c:v>4.4621634860711872</c:v>
                </c:pt>
                <c:pt idx="257">
                  <c:v>3.2015659714844973</c:v>
                </c:pt>
                <c:pt idx="258">
                  <c:v>3.8139201319880773</c:v>
                </c:pt>
                <c:pt idx="259">
                  <c:v>3.7302457225306616</c:v>
                </c:pt>
                <c:pt idx="260">
                  <c:v>3.3577956979550962</c:v>
                </c:pt>
                <c:pt idx="261">
                  <c:v>3.9271534019012235</c:v>
                </c:pt>
                <c:pt idx="262">
                  <c:v>3.8798942781957186</c:v>
                </c:pt>
                <c:pt idx="263">
                  <c:v>3.1507745442228812</c:v>
                </c:pt>
                <c:pt idx="264">
                  <c:v>2.928396625217669</c:v>
                </c:pt>
                <c:pt idx="265">
                  <c:v>2.2294245394529995</c:v>
                </c:pt>
                <c:pt idx="266">
                  <c:v>2.2070926205454162</c:v>
                </c:pt>
                <c:pt idx="267">
                  <c:v>2.3693528954841945</c:v>
                </c:pt>
                <c:pt idx="268">
                  <c:v>2.4834854960741932</c:v>
                </c:pt>
                <c:pt idx="269">
                  <c:v>2.7722706927726772</c:v>
                </c:pt>
                <c:pt idx="270">
                  <c:v>2.8334467007547892</c:v>
                </c:pt>
                <c:pt idx="271">
                  <c:v>2.9962569339295078</c:v>
                </c:pt>
                <c:pt idx="272">
                  <c:v>4.0232335346240724</c:v>
                </c:pt>
                <c:pt idx="273">
                  <c:v>4.9438419679371988</c:v>
                </c:pt>
                <c:pt idx="274">
                  <c:v>5.6385724767733825</c:v>
                </c:pt>
                <c:pt idx="275">
                  <c:v>4.9947068278975451</c:v>
                </c:pt>
                <c:pt idx="276">
                  <c:v>5.1386146477536192</c:v>
                </c:pt>
                <c:pt idx="277">
                  <c:v>4.6395789310184927</c:v>
                </c:pt>
                <c:pt idx="278">
                  <c:v>4.4817792650435457</c:v>
                </c:pt>
                <c:pt idx="279">
                  <c:v>4.0834068130876569</c:v>
                </c:pt>
                <c:pt idx="280">
                  <c:v>4.5944652330483473</c:v>
                </c:pt>
                <c:pt idx="281">
                  <c:v>5.000986937085278</c:v>
                </c:pt>
                <c:pt idx="282">
                  <c:v>4.6555610663254052</c:v>
                </c:pt>
                <c:pt idx="283">
                  <c:v>4.6765511954404788</c:v>
                </c:pt>
                <c:pt idx="284">
                  <c:v>4.8035095896446895</c:v>
                </c:pt>
                <c:pt idx="285">
                  <c:v>5.5761790763286614</c:v>
                </c:pt>
                <c:pt idx="286">
                  <c:v>5.6670412372460728</c:v>
                </c:pt>
                <c:pt idx="287">
                  <c:v>5.3554802437787323</c:v>
                </c:pt>
                <c:pt idx="288">
                  <c:v>3.7077777278075921</c:v>
                </c:pt>
                <c:pt idx="289">
                  <c:v>3.2774663672154354</c:v>
                </c:pt>
                <c:pt idx="290">
                  <c:v>3.3989049555951265</c:v>
                </c:pt>
                <c:pt idx="291">
                  <c:v>3.6795855308456296</c:v>
                </c:pt>
                <c:pt idx="292">
                  <c:v>3.4432047356704953</c:v>
                </c:pt>
                <c:pt idx="293">
                  <c:v>4.0228091578862495</c:v>
                </c:pt>
                <c:pt idx="294">
                  <c:v>4.8917821424821595</c:v>
                </c:pt>
                <c:pt idx="295">
                  <c:v>5.6243766270116851</c:v>
                </c:pt>
                <c:pt idx="296">
                  <c:v>4.8882720195390492</c:v>
                </c:pt>
                <c:pt idx="297">
                  <c:v>4.8831239820420134</c:v>
                </c:pt>
                <c:pt idx="298">
                  <c:v>4.653893945605077</c:v>
                </c:pt>
                <c:pt idx="299">
                  <c:v>5.4825591150267829</c:v>
                </c:pt>
                <c:pt idx="300">
                  <c:v>5.6111463489520164</c:v>
                </c:pt>
                <c:pt idx="301">
                  <c:v>4.8876287357821369</c:v>
                </c:pt>
                <c:pt idx="302">
                  <c:v>4.4843092015146091</c:v>
                </c:pt>
                <c:pt idx="303">
                  <c:v>3.6399410049335934</c:v>
                </c:pt>
                <c:pt idx="304">
                  <c:v>3.3504105910565669</c:v>
                </c:pt>
                <c:pt idx="305">
                  <c:v>3.5065633813378758</c:v>
                </c:pt>
                <c:pt idx="306">
                  <c:v>4.05206151911581</c:v>
                </c:pt>
                <c:pt idx="307">
                  <c:v>3.7828835051368044</c:v>
                </c:pt>
                <c:pt idx="308">
                  <c:v>4.0732490557290539</c:v>
                </c:pt>
                <c:pt idx="309">
                  <c:v>2.7790571574592695</c:v>
                </c:pt>
                <c:pt idx="310">
                  <c:v>1.8652769126866464</c:v>
                </c:pt>
                <c:pt idx="311">
                  <c:v>2.0299578434650138</c:v>
                </c:pt>
                <c:pt idx="312">
                  <c:v>1.6901240870906362</c:v>
                </c:pt>
                <c:pt idx="313">
                  <c:v>2.3199510794211164</c:v>
                </c:pt>
                <c:pt idx="314">
                  <c:v>2.349321522222878</c:v>
                </c:pt>
                <c:pt idx="315">
                  <c:v>2.6336653162961916</c:v>
                </c:pt>
                <c:pt idx="316">
                  <c:v>2.9317411345443491</c:v>
                </c:pt>
                <c:pt idx="317">
                  <c:v>2.9450441657943158</c:v>
                </c:pt>
                <c:pt idx="318">
                  <c:v>2.0488846930925972</c:v>
                </c:pt>
                <c:pt idx="319">
                  <c:v>1.8675401327870242</c:v>
                </c:pt>
                <c:pt idx="320">
                  <c:v>2.2011647026714041</c:v>
                </c:pt>
                <c:pt idx="321">
                  <c:v>2.3213259244318936</c:v>
                </c:pt>
                <c:pt idx="322">
                  <c:v>2.121398659136311</c:v>
                </c:pt>
                <c:pt idx="323">
                  <c:v>2.1964184215245237</c:v>
                </c:pt>
                <c:pt idx="324">
                  <c:v>2.7698307888594362</c:v>
                </c:pt>
                <c:pt idx="325">
                  <c:v>2.7880138742503315</c:v>
                </c:pt>
                <c:pt idx="326">
                  <c:v>2.589804264453984</c:v>
                </c:pt>
                <c:pt idx="327">
                  <c:v>1.7634392852268621</c:v>
                </c:pt>
                <c:pt idx="328">
                  <c:v>1.6246560854952123</c:v>
                </c:pt>
                <c:pt idx="329">
                  <c:v>1.780559302248512</c:v>
                </c:pt>
                <c:pt idx="330">
                  <c:v>1.5381768059198451</c:v>
                </c:pt>
                <c:pt idx="331">
                  <c:v>2.0108323850386247</c:v>
                </c:pt>
                <c:pt idx="332">
                  <c:v>2.2655754591141277</c:v>
                </c:pt>
                <c:pt idx="333">
                  <c:v>2.355456533765838</c:v>
                </c:pt>
                <c:pt idx="334">
                  <c:v>2.0049415437354692</c:v>
                </c:pt>
                <c:pt idx="335">
                  <c:v>1.6638215255574433</c:v>
                </c:pt>
                <c:pt idx="336">
                  <c:v>1.2650170429597822</c:v>
                </c:pt>
                <c:pt idx="337">
                  <c:v>1.3909150580612331</c:v>
                </c:pt>
                <c:pt idx="338">
                  <c:v>0.94782458664396718</c:v>
                </c:pt>
                <c:pt idx="339">
                  <c:v>0.8251662975539229</c:v>
                </c:pt>
                <c:pt idx="340">
                  <c:v>1.2579620908719753</c:v>
                </c:pt>
                <c:pt idx="341">
                  <c:v>1.2033268471001033</c:v>
                </c:pt>
                <c:pt idx="342">
                  <c:v>0.8673021177271496</c:v>
                </c:pt>
                <c:pt idx="343">
                  <c:v>0.52612622536337339</c:v>
                </c:pt>
                <c:pt idx="344">
                  <c:v>0.53051209277281475</c:v>
                </c:pt>
                <c:pt idx="345">
                  <c:v>0.75737127983879615</c:v>
                </c:pt>
                <c:pt idx="346">
                  <c:v>0.94675240730022492</c:v>
                </c:pt>
                <c:pt idx="347">
                  <c:v>0.60554514558033057</c:v>
                </c:pt>
                <c:pt idx="348">
                  <c:v>1.006072783236202</c:v>
                </c:pt>
                <c:pt idx="349">
                  <c:v>0.89671076498748614</c:v>
                </c:pt>
                <c:pt idx="350">
                  <c:v>1.0267499764750814</c:v>
                </c:pt>
                <c:pt idx="351">
                  <c:v>1.1855385503725688</c:v>
                </c:pt>
                <c:pt idx="352">
                  <c:v>0.78264719812863415</c:v>
                </c:pt>
                <c:pt idx="353">
                  <c:v>0.81915747227421043</c:v>
                </c:pt>
                <c:pt idx="354">
                  <c:v>0.46794929712935546</c:v>
                </c:pt>
                <c:pt idx="355">
                  <c:v>0.47935918376927905</c:v>
                </c:pt>
                <c:pt idx="356">
                  <c:v>0.47948290260729404</c:v>
                </c:pt>
                <c:pt idx="357">
                  <c:v>0.94487324733760492</c:v>
                </c:pt>
                <c:pt idx="358">
                  <c:v>1.3034945035976775</c:v>
                </c:pt>
                <c:pt idx="359">
                  <c:v>2.0919179344921965</c:v>
                </c:pt>
                <c:pt idx="360">
                  <c:v>1.6660947571526374</c:v>
                </c:pt>
                <c:pt idx="361">
                  <c:v>1.9378531249624102</c:v>
                </c:pt>
                <c:pt idx="362">
                  <c:v>1.9272719069401476</c:v>
                </c:pt>
                <c:pt idx="363">
                  <c:v>2.867876585122505</c:v>
                </c:pt>
                <c:pt idx="364">
                  <c:v>2.9145813632834647</c:v>
                </c:pt>
                <c:pt idx="365">
                  <c:v>3.1416597074599362</c:v>
                </c:pt>
                <c:pt idx="366">
                  <c:v>2.9389799575523452</c:v>
                </c:pt>
                <c:pt idx="367">
                  <c:v>3.0782539888423863</c:v>
                </c:pt>
                <c:pt idx="368">
                  <c:v>3.2702367580985867</c:v>
                </c:pt>
                <c:pt idx="369">
                  <c:v>4.0059476486915058</c:v>
                </c:pt>
                <c:pt idx="370">
                  <c:v>4.3378087973498545</c:v>
                </c:pt>
                <c:pt idx="371">
                  <c:v>4.4593771344317545</c:v>
                </c:pt>
                <c:pt idx="372">
                  <c:v>3.7520056963131081</c:v>
                </c:pt>
                <c:pt idx="373">
                  <c:v>3.2392266253161144</c:v>
                </c:pt>
                <c:pt idx="374">
                  <c:v>2.8103252328867447</c:v>
                </c:pt>
                <c:pt idx="375">
                  <c:v>2.322117773578936</c:v>
                </c:pt>
                <c:pt idx="376">
                  <c:v>2.4105985955006215</c:v>
                </c:pt>
                <c:pt idx="377">
                  <c:v>2.8198268543372702</c:v>
                </c:pt>
                <c:pt idx="378">
                  <c:v>2.809761716671495</c:v>
                </c:pt>
                <c:pt idx="379">
                  <c:v>2.4123395416698168</c:v>
                </c:pt>
                <c:pt idx="380">
                  <c:v>2.6490563080507457</c:v>
                </c:pt>
                <c:pt idx="381">
                  <c:v>2.8390637064996773</c:v>
                </c:pt>
                <c:pt idx="382">
                  <c:v>2.9981491482949449</c:v>
                </c:pt>
                <c:pt idx="383">
                  <c:v>3.389401629905656</c:v>
                </c:pt>
                <c:pt idx="384">
                  <c:v>3.987629781005273</c:v>
                </c:pt>
                <c:pt idx="385">
                  <c:v>4.1773182520900782</c:v>
                </c:pt>
                <c:pt idx="386">
                  <c:v>4.8491259059917518</c:v>
                </c:pt>
                <c:pt idx="387">
                  <c:v>4.8352454143557511</c:v>
                </c:pt>
                <c:pt idx="388">
                  <c:v>4.3106973801809056</c:v>
                </c:pt>
                <c:pt idx="389">
                  <c:v>4.6342752885754717</c:v>
                </c:pt>
                <c:pt idx="390">
                  <c:v>4.5513795838782194</c:v>
                </c:pt>
                <c:pt idx="391">
                  <c:v>4.1730969681498626</c:v>
                </c:pt>
                <c:pt idx="392">
                  <c:v>4.4584672179218643</c:v>
                </c:pt>
                <c:pt idx="393">
                  <c:v>4.7526041465389053</c:v>
                </c:pt>
                <c:pt idx="394">
                  <c:v>3.9041061536833301</c:v>
                </c:pt>
                <c:pt idx="395">
                  <c:v>4.4962948662333213</c:v>
                </c:pt>
                <c:pt idx="396">
                  <c:v>4.3710306321492656</c:v>
                </c:pt>
                <c:pt idx="397">
                  <c:v>4.2426670108262297</c:v>
                </c:pt>
                <c:pt idx="398">
                  <c:v>4.0772441659903818</c:v>
                </c:pt>
                <c:pt idx="399">
                  <c:v>3.6334643265518385</c:v>
                </c:pt>
                <c:pt idx="400">
                  <c:v>2.070885915567283</c:v>
                </c:pt>
                <c:pt idx="401">
                  <c:v>2.4929424834106646</c:v>
                </c:pt>
                <c:pt idx="402">
                  <c:v>3.2669427927924986</c:v>
                </c:pt>
                <c:pt idx="403">
                  <c:v>3.5736187679667841</c:v>
                </c:pt>
                <c:pt idx="404">
                  <c:v>3.7519656364101861</c:v>
                </c:pt>
                <c:pt idx="405">
                  <c:v>3.4662890311732353</c:v>
                </c:pt>
                <c:pt idx="406">
                  <c:v>3.606131255026376</c:v>
                </c:pt>
                <c:pt idx="407">
                  <c:v>3.8259815780218016</c:v>
                </c:pt>
                <c:pt idx="408">
                  <c:v>3.7769486186880492</c:v>
                </c:pt>
                <c:pt idx="409">
                  <c:v>2.9733242614725972</c:v>
                </c:pt>
                <c:pt idx="410">
                  <c:v>3.5732523213556364</c:v>
                </c:pt>
                <c:pt idx="411">
                  <c:v>3.5475654120850906</c:v>
                </c:pt>
                <c:pt idx="412">
                  <c:v>3.1050956293039702</c:v>
                </c:pt>
                <c:pt idx="413">
                  <c:v>2.7426283900161388</c:v>
                </c:pt>
                <c:pt idx="414">
                  <c:v>2.0128966082952373</c:v>
                </c:pt>
                <c:pt idx="415">
                  <c:v>1.2900807394486709</c:v>
                </c:pt>
                <c:pt idx="416">
                  <c:v>1.087114461134792</c:v>
                </c:pt>
                <c:pt idx="417">
                  <c:v>1.2402687448963565</c:v>
                </c:pt>
                <c:pt idx="418">
                  <c:v>1.4620215558768548</c:v>
                </c:pt>
                <c:pt idx="419">
                  <c:v>1.4588757005150068</c:v>
                </c:pt>
                <c:pt idx="420">
                  <c:v>1.7648104185134237</c:v>
                </c:pt>
                <c:pt idx="421">
                  <c:v>1.5576201838725119</c:v>
                </c:pt>
                <c:pt idx="422">
                  <c:v>1.4960381162146414</c:v>
                </c:pt>
                <c:pt idx="423">
                  <c:v>1.2560633933152963</c:v>
                </c:pt>
                <c:pt idx="424">
                  <c:v>1.5813923268859218</c:v>
                </c:pt>
                <c:pt idx="425">
                  <c:v>0.93662222567255704</c:v>
                </c:pt>
                <c:pt idx="426">
                  <c:v>1.3917565203389486</c:v>
                </c:pt>
                <c:pt idx="427">
                  <c:v>1.1488138556443706</c:v>
                </c:pt>
                <c:pt idx="428">
                  <c:v>1.9294192079909642</c:v>
                </c:pt>
                <c:pt idx="429">
                  <c:v>2.6916696109720535</c:v>
                </c:pt>
                <c:pt idx="430">
                  <c:v>2.6826074786015233</c:v>
                </c:pt>
                <c:pt idx="431">
                  <c:v>2.5118841573139297</c:v>
                </c:pt>
                <c:pt idx="432">
                  <c:v>2.0964940519415789</c:v>
                </c:pt>
                <c:pt idx="433">
                  <c:v>1.6813539629672984</c:v>
                </c:pt>
                <c:pt idx="434">
                  <c:v>2.6262959903705361</c:v>
                </c:pt>
                <c:pt idx="435">
                  <c:v>1.7095734817585888</c:v>
                </c:pt>
                <c:pt idx="436">
                  <c:v>1.6022271339720464</c:v>
                </c:pt>
                <c:pt idx="437">
                  <c:v>0.81695450023205407</c:v>
                </c:pt>
                <c:pt idx="438">
                  <c:v>0.8357464181787706</c:v>
                </c:pt>
                <c:pt idx="439">
                  <c:v>0.40264140953800359</c:v>
                </c:pt>
                <c:pt idx="440">
                  <c:v>0.49562382942738076</c:v>
                </c:pt>
                <c:pt idx="441">
                  <c:v>0.75202810972786882</c:v>
                </c:pt>
                <c:pt idx="442">
                  <c:v>0.80219863607450337</c:v>
                </c:pt>
                <c:pt idx="443">
                  <c:v>0.71261199524330465</c:v>
                </c:pt>
                <c:pt idx="444">
                  <c:v>1.0490851147964027</c:v>
                </c:pt>
                <c:pt idx="445">
                  <c:v>1.1429165379874744</c:v>
                </c:pt>
                <c:pt idx="446">
                  <c:v>1.3120241837325781</c:v>
                </c:pt>
                <c:pt idx="447">
                  <c:v>1.5613221897693361</c:v>
                </c:pt>
                <c:pt idx="448">
                  <c:v>1.5969980765123239</c:v>
                </c:pt>
                <c:pt idx="449">
                  <c:v>1.6260035452553661</c:v>
                </c:pt>
                <c:pt idx="450">
                  <c:v>1.8169896579515927</c:v>
                </c:pt>
                <c:pt idx="451">
                  <c:v>0.92618192064441673</c:v>
                </c:pt>
                <c:pt idx="452">
                  <c:v>0.6015158735358872</c:v>
                </c:pt>
                <c:pt idx="453">
                  <c:v>0.37370573081376124</c:v>
                </c:pt>
                <c:pt idx="454">
                  <c:v>0.23994671863972999</c:v>
                </c:pt>
                <c:pt idx="455">
                  <c:v>0.32284162888026918</c:v>
                </c:pt>
                <c:pt idx="456">
                  <c:v>-0.2077309966813537</c:v>
                </c:pt>
                <c:pt idx="457">
                  <c:v>-0.17746299668135368</c:v>
                </c:pt>
                <c:pt idx="458">
                  <c:v>-0.14719499668135366</c:v>
                </c:pt>
                <c:pt idx="459">
                  <c:v>-0.11692699668135366</c:v>
                </c:pt>
                <c:pt idx="460">
                  <c:v>-8.6658996681353656E-2</c:v>
                </c:pt>
                <c:pt idx="461">
                  <c:v>-5.6390996681353653E-2</c:v>
                </c:pt>
                <c:pt idx="462">
                  <c:v>-2.612299668135365E-2</c:v>
                </c:pt>
                <c:pt idx="463">
                  <c:v>4.1450033186463536E-3</c:v>
                </c:pt>
                <c:pt idx="464">
                  <c:v>6.0528292783310234E-2</c:v>
                </c:pt>
                <c:pt idx="465">
                  <c:v>-6.9145902075523E-2</c:v>
                </c:pt>
                <c:pt idx="466">
                  <c:v>-3.8877902075522996E-2</c:v>
                </c:pt>
                <c:pt idx="467">
                  <c:v>-8.6099020755229932E-3</c:v>
                </c:pt>
                <c:pt idx="468">
                  <c:v>2.165809792447701E-2</c:v>
                </c:pt>
                <c:pt idx="469">
                  <c:v>4.1755889465164078E-3</c:v>
                </c:pt>
                <c:pt idx="470">
                  <c:v>4.424067423494956E-2</c:v>
                </c:pt>
                <c:pt idx="471">
                  <c:v>0.10640110721391868</c:v>
                </c:pt>
                <c:pt idx="472">
                  <c:v>0.2371730305471994</c:v>
                </c:pt>
                <c:pt idx="473">
                  <c:v>0.1944230264697932</c:v>
                </c:pt>
                <c:pt idx="474">
                  <c:v>0.30710395591915784</c:v>
                </c:pt>
                <c:pt idx="475">
                  <c:v>0.58120094742963158</c:v>
                </c:pt>
                <c:pt idx="476">
                  <c:v>0.56729019030765704</c:v>
                </c:pt>
                <c:pt idx="477">
                  <c:v>0.98848547274698206</c:v>
                </c:pt>
                <c:pt idx="478">
                  <c:v>1.0216466913330575</c:v>
                </c:pt>
                <c:pt idx="479">
                  <c:v>0.41675189717644867</c:v>
                </c:pt>
                <c:pt idx="480">
                  <c:v>0.80441108930754845</c:v>
                </c:pt>
                <c:pt idx="481">
                  <c:v>0.77974230250591148</c:v>
                </c:pt>
                <c:pt idx="482">
                  <c:v>1.0176036095389358</c:v>
                </c:pt>
                <c:pt idx="483">
                  <c:v>1.0841182360954973</c:v>
                </c:pt>
                <c:pt idx="484">
                  <c:v>1.0831135715338154</c:v>
                </c:pt>
                <c:pt idx="485">
                  <c:v>1.1361556745739108</c:v>
                </c:pt>
                <c:pt idx="486">
                  <c:v>0.77736019702084069</c:v>
                </c:pt>
                <c:pt idx="487">
                  <c:v>0.87949181120960562</c:v>
                </c:pt>
                <c:pt idx="488">
                  <c:v>1.0859785557084223</c:v>
                </c:pt>
                <c:pt idx="489">
                  <c:v>1.1945861685437393</c:v>
                </c:pt>
                <c:pt idx="490">
                  <c:v>1.0553481701636918</c:v>
                </c:pt>
                <c:pt idx="491">
                  <c:v>1.2228286597659643</c:v>
                </c:pt>
                <c:pt idx="492">
                  <c:v>0.79459200755308546</c:v>
                </c:pt>
                <c:pt idx="493">
                  <c:v>0.93424471502989648</c:v>
                </c:pt>
                <c:pt idx="494">
                  <c:v>1.2772776098270582</c:v>
                </c:pt>
                <c:pt idx="495">
                  <c:v>1.0903076304723831</c:v>
                </c:pt>
                <c:pt idx="496">
                  <c:v>1.0373589368608798</c:v>
                </c:pt>
                <c:pt idx="497">
                  <c:v>1.5256255678693702</c:v>
                </c:pt>
                <c:pt idx="498">
                  <c:v>1.7250011742860887</c:v>
                </c:pt>
                <c:pt idx="499">
                  <c:v>1.4317076741513111</c:v>
                </c:pt>
                <c:pt idx="500">
                  <c:v>1.3120166912227114</c:v>
                </c:pt>
                <c:pt idx="501">
                  <c:v>0.56588592875352817</c:v>
                </c:pt>
                <c:pt idx="502">
                  <c:v>2.538262713537609E-2</c:v>
                </c:pt>
                <c:pt idx="503">
                  <c:v>4.329711518310049E-2</c:v>
                </c:pt>
                <c:pt idx="504">
                  <c:v>8.20904488534899E-2</c:v>
                </c:pt>
                <c:pt idx="505">
                  <c:v>7.2900612876944826E-2</c:v>
                </c:pt>
                <c:pt idx="506">
                  <c:v>0.10479810349646215</c:v>
                </c:pt>
                <c:pt idx="507">
                  <c:v>0.16931247984052603</c:v>
                </c:pt>
                <c:pt idx="508">
                  <c:v>0.2586317682397018</c:v>
                </c:pt>
                <c:pt idx="509">
                  <c:v>0.52051219609269217</c:v>
                </c:pt>
                <c:pt idx="510">
                  <c:v>0.65632755296906697</c:v>
                </c:pt>
                <c:pt idx="511">
                  <c:v>0.52399764572584706</c:v>
                </c:pt>
                <c:pt idx="512">
                  <c:v>0.9286878983027953</c:v>
                </c:pt>
                <c:pt idx="513">
                  <c:v>0.97668158470729238</c:v>
                </c:pt>
                <c:pt idx="514">
                  <c:v>0.65121707031295173</c:v>
                </c:pt>
                <c:pt idx="515">
                  <c:v>1.7041812144803048E-2</c:v>
                </c:pt>
                <c:pt idx="516">
                  <c:v>5.5113789441900311E-2</c:v>
                </c:pt>
                <c:pt idx="517">
                  <c:v>4.6015965039878703E-2</c:v>
                </c:pt>
                <c:pt idx="518">
                  <c:v>5.8850018133418697E-2</c:v>
                </c:pt>
                <c:pt idx="519">
                  <c:v>0.21548119839876634</c:v>
                </c:pt>
                <c:pt idx="520">
                  <c:v>0.37752597218492517</c:v>
                </c:pt>
                <c:pt idx="521">
                  <c:v>0.29365824878597652</c:v>
                </c:pt>
                <c:pt idx="522">
                  <c:v>0.42124725006966129</c:v>
                </c:pt>
                <c:pt idx="523">
                  <c:v>0.15315316176397159</c:v>
                </c:pt>
                <c:pt idx="524">
                  <c:v>0.23109358544993799</c:v>
                </c:pt>
                <c:pt idx="525">
                  <c:v>0.32937502648366801</c:v>
                </c:pt>
                <c:pt idx="526">
                  <c:v>0.46356886542633491</c:v>
                </c:pt>
                <c:pt idx="527">
                  <c:v>0.36370904110127034</c:v>
                </c:pt>
                <c:pt idx="528">
                  <c:v>0.28222838337381734</c:v>
                </c:pt>
                <c:pt idx="529">
                  <c:v>0.37508113705698071</c:v>
                </c:pt>
                <c:pt idx="530">
                  <c:v>0.67927262770763608</c:v>
                </c:pt>
                <c:pt idx="531">
                  <c:v>0.48643053550563192</c:v>
                </c:pt>
                <c:pt idx="532">
                  <c:v>0.76798267226966965</c:v>
                </c:pt>
                <c:pt idx="533">
                  <c:v>1.3960758312242827</c:v>
                </c:pt>
                <c:pt idx="534">
                  <c:v>1.5189619093859796</c:v>
                </c:pt>
                <c:pt idx="535">
                  <c:v>1.3181865555205718</c:v>
                </c:pt>
                <c:pt idx="536">
                  <c:v>1.0246079981254959</c:v>
                </c:pt>
                <c:pt idx="537">
                  <c:v>1.4268556408692952</c:v>
                </c:pt>
                <c:pt idx="538">
                  <c:v>1.396243720840924</c:v>
                </c:pt>
                <c:pt idx="539">
                  <c:v>1.2560362992878333</c:v>
                </c:pt>
                <c:pt idx="540">
                  <c:v>1.6072098040798424</c:v>
                </c:pt>
                <c:pt idx="541">
                  <c:v>1.7547527931156379</c:v>
                </c:pt>
                <c:pt idx="542">
                  <c:v>2.0717773056952962</c:v>
                </c:pt>
                <c:pt idx="543">
                  <c:v>1.9332161939333263</c:v>
                </c:pt>
                <c:pt idx="544">
                  <c:v>1.9856604242509208</c:v>
                </c:pt>
                <c:pt idx="545">
                  <c:v>1.4701937137787804</c:v>
                </c:pt>
                <c:pt idx="546">
                  <c:v>1.2201348534633523</c:v>
                </c:pt>
                <c:pt idx="547">
                  <c:v>0.72550313860767712</c:v>
                </c:pt>
                <c:pt idx="548">
                  <c:v>0.61967820932747009</c:v>
                </c:pt>
                <c:pt idx="549">
                  <c:v>0.95606175189043441</c:v>
                </c:pt>
                <c:pt idx="550">
                  <c:v>0.97102978592024247</c:v>
                </c:pt>
                <c:pt idx="551">
                  <c:v>1.1254807318143809</c:v>
                </c:pt>
                <c:pt idx="552">
                  <c:v>1.239288617894527</c:v>
                </c:pt>
                <c:pt idx="553">
                  <c:v>1.3396549561790274</c:v>
                </c:pt>
                <c:pt idx="554">
                  <c:v>1.2344891078190132</c:v>
                </c:pt>
                <c:pt idx="555">
                  <c:v>1.7619643856198943</c:v>
                </c:pt>
                <c:pt idx="556">
                  <c:v>2.0849872401290162</c:v>
                </c:pt>
                <c:pt idx="557">
                  <c:v>2.6021184181592885</c:v>
                </c:pt>
                <c:pt idx="558">
                  <c:v>2.2876907164394211</c:v>
                </c:pt>
                <c:pt idx="559">
                  <c:v>2.2373088419149849</c:v>
                </c:pt>
                <c:pt idx="560">
                  <c:v>2.133121580264274</c:v>
                </c:pt>
                <c:pt idx="561">
                  <c:v>2.1303329244255629</c:v>
                </c:pt>
                <c:pt idx="562">
                  <c:v>2.320441772825125</c:v>
                </c:pt>
                <c:pt idx="563">
                  <c:v>2.3520022741749473</c:v>
                </c:pt>
                <c:pt idx="564">
                  <c:v>3.2653537838372868</c:v>
                </c:pt>
                <c:pt idx="565">
                  <c:v>2.4012404023941896</c:v>
                </c:pt>
                <c:pt idx="566">
                  <c:v>1.6733667609696283</c:v>
                </c:pt>
                <c:pt idx="567">
                  <c:v>1.0111372795490294</c:v>
                </c:pt>
                <c:pt idx="568">
                  <c:v>0.78000976066096195</c:v>
                </c:pt>
                <c:pt idx="569">
                  <c:v>1.0258891283086389</c:v>
                </c:pt>
                <c:pt idx="570">
                  <c:v>1.1318150224277774</c:v>
                </c:pt>
                <c:pt idx="571">
                  <c:v>0.83054616105893242</c:v>
                </c:pt>
                <c:pt idx="572">
                  <c:v>0.63338857845993746</c:v>
                </c:pt>
                <c:pt idx="573">
                  <c:v>0.72453345227401511</c:v>
                </c:pt>
                <c:pt idx="574">
                  <c:v>0.80076903824026158</c:v>
                </c:pt>
                <c:pt idx="575">
                  <c:v>0.85932678733279477</c:v>
                </c:pt>
                <c:pt idx="576">
                  <c:v>0.97933640726255988</c:v>
                </c:pt>
                <c:pt idx="577">
                  <c:v>0.6403719272790418</c:v>
                </c:pt>
                <c:pt idx="578">
                  <c:v>0.57211976383071261</c:v>
                </c:pt>
                <c:pt idx="579">
                  <c:v>0.4413911134713141</c:v>
                </c:pt>
                <c:pt idx="580">
                  <c:v>0.78581797279858567</c:v>
                </c:pt>
                <c:pt idx="581">
                  <c:v>0.5646159064824281</c:v>
                </c:pt>
                <c:pt idx="582">
                  <c:v>0.41119699093131251</c:v>
                </c:pt>
                <c:pt idx="583">
                  <c:v>0.38161820303987443</c:v>
                </c:pt>
                <c:pt idx="584">
                  <c:v>0.34809048795537456</c:v>
                </c:pt>
                <c:pt idx="585">
                  <c:v>0.5536158356428631</c:v>
                </c:pt>
                <c:pt idx="586">
                  <c:v>0.56686159177796624</c:v>
                </c:pt>
                <c:pt idx="587">
                  <c:v>0.47659139967322317</c:v>
                </c:pt>
                <c:pt idx="588">
                  <c:v>0.57874211364970529</c:v>
                </c:pt>
                <c:pt idx="589">
                  <c:v>0.14786382168749396</c:v>
                </c:pt>
                <c:pt idx="590">
                  <c:v>0.15102152831348303</c:v>
                </c:pt>
                <c:pt idx="591">
                  <c:v>0.21554842304956867</c:v>
                </c:pt>
                <c:pt idx="592">
                  <c:v>0.24195879920741695</c:v>
                </c:pt>
                <c:pt idx="593">
                  <c:v>0.23165976375921604</c:v>
                </c:pt>
                <c:pt idx="594">
                  <c:v>0.25476906506416058</c:v>
                </c:pt>
                <c:pt idx="595">
                  <c:v>0.29577011647894724</c:v>
                </c:pt>
                <c:pt idx="596">
                  <c:v>0.44420000622181105</c:v>
                </c:pt>
                <c:pt idx="597">
                  <c:v>0.4333080451545448</c:v>
                </c:pt>
                <c:pt idx="598">
                  <c:v>0.93218121088817785</c:v>
                </c:pt>
                <c:pt idx="599">
                  <c:v>0.99973333530803687</c:v>
                </c:pt>
                <c:pt idx="600">
                  <c:v>1.106021147139318</c:v>
                </c:pt>
                <c:pt idx="601">
                  <c:v>1.1900378628039026</c:v>
                </c:pt>
                <c:pt idx="602">
                  <c:v>1.0047725947725932</c:v>
                </c:pt>
                <c:pt idx="603">
                  <c:v>0.9767010544379362</c:v>
                </c:pt>
                <c:pt idx="604">
                  <c:v>0.33782369214837604</c:v>
                </c:pt>
                <c:pt idx="605">
                  <c:v>0.22662238335487708</c:v>
                </c:pt>
                <c:pt idx="606">
                  <c:v>0.29717262116449017</c:v>
                </c:pt>
                <c:pt idx="607">
                  <c:v>-1.32880841458064E-2</c:v>
                </c:pt>
                <c:pt idx="608">
                  <c:v>1.6979915854193603E-2</c:v>
                </c:pt>
                <c:pt idx="609">
                  <c:v>7.272846173434952E-2</c:v>
                </c:pt>
                <c:pt idx="610">
                  <c:v>5.4205896465226167E-3</c:v>
                </c:pt>
                <c:pt idx="611">
                  <c:v>3.858418848658221E-2</c:v>
                </c:pt>
                <c:pt idx="612">
                  <c:v>6.5395561532494845E-2</c:v>
                </c:pt>
                <c:pt idx="613">
                  <c:v>0.22439279143623755</c:v>
                </c:pt>
                <c:pt idx="614">
                  <c:v>0.26265793016932226</c:v>
                </c:pt>
                <c:pt idx="615">
                  <c:v>0.28505618538873539</c:v>
                </c:pt>
                <c:pt idx="616">
                  <c:v>0.65206415822096375</c:v>
                </c:pt>
                <c:pt idx="617">
                  <c:v>1.2239573429483102</c:v>
                </c:pt>
                <c:pt idx="618">
                  <c:v>1.7464608758433717</c:v>
                </c:pt>
                <c:pt idx="619">
                  <c:v>2.0766086964488495</c:v>
                </c:pt>
                <c:pt idx="620">
                  <c:v>2.0549686408780987</c:v>
                </c:pt>
                <c:pt idx="621">
                  <c:v>1.8206479468710532</c:v>
                </c:pt>
                <c:pt idx="622">
                  <c:v>1.7534213621300394</c:v>
                </c:pt>
                <c:pt idx="623">
                  <c:v>2.379465381357869</c:v>
                </c:pt>
                <c:pt idx="624">
                  <c:v>2.7740883394317621</c:v>
                </c:pt>
                <c:pt idx="625">
                  <c:v>2.9598449256434289</c:v>
                </c:pt>
                <c:pt idx="626">
                  <c:v>2.164561433410265</c:v>
                </c:pt>
                <c:pt idx="627">
                  <c:v>2.4226414983967985</c:v>
                </c:pt>
                <c:pt idx="628">
                  <c:v>1.4374223291337271</c:v>
                </c:pt>
                <c:pt idx="629">
                  <c:v>1.1364871439433049</c:v>
                </c:pt>
                <c:pt idx="630">
                  <c:v>1.3599552269503121</c:v>
                </c:pt>
                <c:pt idx="631">
                  <c:v>1.2309044200482686</c:v>
                </c:pt>
                <c:pt idx="632">
                  <c:v>1.879791986633649</c:v>
                </c:pt>
                <c:pt idx="633">
                  <c:v>1.6880112649708197</c:v>
                </c:pt>
                <c:pt idx="634">
                  <c:v>1.6067089645732582</c:v>
                </c:pt>
                <c:pt idx="635">
                  <c:v>1.0811877060408821</c:v>
                </c:pt>
                <c:pt idx="636">
                  <c:v>1.2166242870521855</c:v>
                </c:pt>
                <c:pt idx="637">
                  <c:v>1.0567326480144668</c:v>
                </c:pt>
                <c:pt idx="638">
                  <c:v>0.74783079897249394</c:v>
                </c:pt>
                <c:pt idx="639">
                  <c:v>4.8400255462290209E-2</c:v>
                </c:pt>
                <c:pt idx="640">
                  <c:v>-2.9406816645923428E-2</c:v>
                </c:pt>
                <c:pt idx="641">
                  <c:v>8.6118335407657509E-4</c:v>
                </c:pt>
                <c:pt idx="642">
                  <c:v>6.9959899472998369E-3</c:v>
                </c:pt>
                <c:pt idx="643">
                  <c:v>2.7957271612742564E-2</c:v>
                </c:pt>
                <c:pt idx="644">
                  <c:v>3.0591862727629631E-2</c:v>
                </c:pt>
                <c:pt idx="645">
                  <c:v>3.4473350537485847E-2</c:v>
                </c:pt>
                <c:pt idx="646">
                  <c:v>0.16269989187650352</c:v>
                </c:pt>
                <c:pt idx="647">
                  <c:v>0.15698137897470618</c:v>
                </c:pt>
                <c:pt idx="648">
                  <c:v>0.11046654872555833</c:v>
                </c:pt>
                <c:pt idx="649">
                  <c:v>-9.1969973474348432E-2</c:v>
                </c:pt>
                <c:pt idx="650">
                  <c:v>-6.1701973474348429E-2</c:v>
                </c:pt>
                <c:pt idx="651">
                  <c:v>-3.1433973474348426E-2</c:v>
                </c:pt>
                <c:pt idx="652">
                  <c:v>-1.1659734743484224E-3</c:v>
                </c:pt>
                <c:pt idx="653">
                  <c:v>2.9102026525651581E-2</c:v>
                </c:pt>
                <c:pt idx="654">
                  <c:v>4.5354940005501478E-2</c:v>
                </c:pt>
                <c:pt idx="655">
                  <c:v>-4.6252279317006068E-2</c:v>
                </c:pt>
                <c:pt idx="656">
                  <c:v>-1.5984279317006064E-2</c:v>
                </c:pt>
                <c:pt idx="657">
                  <c:v>1.4283720682993939E-2</c:v>
                </c:pt>
                <c:pt idx="658">
                  <c:v>4.8628693581039828E-2</c:v>
                </c:pt>
                <c:pt idx="659">
                  <c:v>0.19140652864032062</c:v>
                </c:pt>
                <c:pt idx="660">
                  <c:v>0.10594388160210007</c:v>
                </c:pt>
                <c:pt idx="661">
                  <c:v>0.12825976231717082</c:v>
                </c:pt>
                <c:pt idx="662">
                  <c:v>-2.4894089492270899E-2</c:v>
                </c:pt>
                <c:pt idx="663">
                  <c:v>5.3739105077291044E-3</c:v>
                </c:pt>
                <c:pt idx="664">
                  <c:v>4.4309784282371138E-2</c:v>
                </c:pt>
                <c:pt idx="665">
                  <c:v>-3.2617028640990336E-3</c:v>
                </c:pt>
                <c:pt idx="666">
                  <c:v>2.700629713590097E-2</c:v>
                </c:pt>
                <c:pt idx="667">
                  <c:v>-9.2836598066755108E-3</c:v>
                </c:pt>
                <c:pt idx="668">
                  <c:v>2.0984340193324492E-2</c:v>
                </c:pt>
                <c:pt idx="669">
                  <c:v>9.2461689270082179E-2</c:v>
                </c:pt>
                <c:pt idx="670">
                  <c:v>5.3046314371937339E-2</c:v>
                </c:pt>
                <c:pt idx="671">
                  <c:v>3.4239103876437971E-2</c:v>
                </c:pt>
                <c:pt idx="672">
                  <c:v>-3.014785721287952E-3</c:v>
                </c:pt>
                <c:pt idx="673">
                  <c:v>2.7253214278712051E-2</c:v>
                </c:pt>
                <c:pt idx="674">
                  <c:v>3.4176218454341566E-2</c:v>
                </c:pt>
                <c:pt idx="675">
                  <c:v>0.14643057326241726</c:v>
                </c:pt>
                <c:pt idx="676">
                  <c:v>0.2211912468706152</c:v>
                </c:pt>
                <c:pt idx="677">
                  <c:v>0.22581482561824456</c:v>
                </c:pt>
                <c:pt idx="678">
                  <c:v>7.711565074879248E-2</c:v>
                </c:pt>
                <c:pt idx="679">
                  <c:v>9.1517180994547448E-2</c:v>
                </c:pt>
                <c:pt idx="680">
                  <c:v>0.17371758731155063</c:v>
                </c:pt>
                <c:pt idx="681">
                  <c:v>0.38396548794812163</c:v>
                </c:pt>
                <c:pt idx="682">
                  <c:v>0.30719285474487867</c:v>
                </c:pt>
                <c:pt idx="683">
                  <c:v>8.4852247313719903E-2</c:v>
                </c:pt>
                <c:pt idx="684">
                  <c:v>6.7634714497021534E-2</c:v>
                </c:pt>
                <c:pt idx="685">
                  <c:v>7.5190931721474813E-2</c:v>
                </c:pt>
                <c:pt idx="686">
                  <c:v>0.13087710429728566</c:v>
                </c:pt>
                <c:pt idx="687">
                  <c:v>0.31948149712837692</c:v>
                </c:pt>
                <c:pt idx="688">
                  <c:v>0.22454421192290702</c:v>
                </c:pt>
                <c:pt idx="689">
                  <c:v>0.39983071657174984</c:v>
                </c:pt>
                <c:pt idx="690">
                  <c:v>0.39033552719129888</c:v>
                </c:pt>
                <c:pt idx="691">
                  <c:v>0.57226550271056031</c:v>
                </c:pt>
                <c:pt idx="692">
                  <c:v>0.4289548418293434</c:v>
                </c:pt>
                <c:pt idx="693">
                  <c:v>0.4729610660693131</c:v>
                </c:pt>
                <c:pt idx="694">
                  <c:v>0.60749615281870606</c:v>
                </c:pt>
                <c:pt idx="695">
                  <c:v>0.15881944328075182</c:v>
                </c:pt>
                <c:pt idx="696">
                  <c:v>0.33657692315799798</c:v>
                </c:pt>
                <c:pt idx="697">
                  <c:v>0.4491987260383421</c:v>
                </c:pt>
                <c:pt idx="698">
                  <c:v>0.7717478322749125</c:v>
                </c:pt>
                <c:pt idx="699">
                  <c:v>0.73580637526254677</c:v>
                </c:pt>
                <c:pt idx="700">
                  <c:v>0.4838596017965015</c:v>
                </c:pt>
                <c:pt idx="701">
                  <c:v>0.64570345875900237</c:v>
                </c:pt>
                <c:pt idx="702">
                  <c:v>0.3569463737711468</c:v>
                </c:pt>
                <c:pt idx="703">
                  <c:v>0.49593657533547514</c:v>
                </c:pt>
                <c:pt idx="704">
                  <c:v>0.50194761717215941</c:v>
                </c:pt>
                <c:pt idx="705">
                  <c:v>0.36023411474228445</c:v>
                </c:pt>
                <c:pt idx="706">
                  <c:v>0.31286852024303613</c:v>
                </c:pt>
                <c:pt idx="707">
                  <c:v>0.23896146457270001</c:v>
                </c:pt>
                <c:pt idx="708">
                  <c:v>0.34021304994801549</c:v>
                </c:pt>
                <c:pt idx="709">
                  <c:v>0.54981667102638965</c:v>
                </c:pt>
                <c:pt idx="710">
                  <c:v>0.6575302330151388</c:v>
                </c:pt>
                <c:pt idx="711">
                  <c:v>0.75934165116613506</c:v>
                </c:pt>
                <c:pt idx="712">
                  <c:v>0.67043262698735395</c:v>
                </c:pt>
                <c:pt idx="713">
                  <c:v>0.62153430421821931</c:v>
                </c:pt>
                <c:pt idx="714">
                  <c:v>0.48787508420924158</c:v>
                </c:pt>
                <c:pt idx="715">
                  <c:v>0.38197464650423463</c:v>
                </c:pt>
                <c:pt idx="716">
                  <c:v>0.70109039828045527</c:v>
                </c:pt>
                <c:pt idx="717">
                  <c:v>0.4842592653363057</c:v>
                </c:pt>
                <c:pt idx="718">
                  <c:v>0.44668720768490483</c:v>
                </c:pt>
                <c:pt idx="719">
                  <c:v>0.36350758686316365</c:v>
                </c:pt>
                <c:pt idx="720">
                  <c:v>0.68020674392913438</c:v>
                </c:pt>
                <c:pt idx="721">
                  <c:v>0.83619324590257937</c:v>
                </c:pt>
                <c:pt idx="722">
                  <c:v>0.7299755718340456</c:v>
                </c:pt>
                <c:pt idx="723">
                  <c:v>0.91583687818678361</c:v>
                </c:pt>
                <c:pt idx="724">
                  <c:v>0.94322689981147589</c:v>
                </c:pt>
                <c:pt idx="725">
                  <c:v>0.89436959943065575</c:v>
                </c:pt>
                <c:pt idx="726">
                  <c:v>0.5542309578800545</c:v>
                </c:pt>
                <c:pt idx="727">
                  <c:v>0.36095485075174399</c:v>
                </c:pt>
                <c:pt idx="728">
                  <c:v>0.18719487539237992</c:v>
                </c:pt>
                <c:pt idx="729">
                  <c:v>0.21067929620823156</c:v>
                </c:pt>
                <c:pt idx="730">
                  <c:v>2.234645951086911E-2</c:v>
                </c:pt>
                <c:pt idx="731">
                  <c:v>5.8924332323188465E-2</c:v>
                </c:pt>
                <c:pt idx="732">
                  <c:v>8.4395992742337139E-2</c:v>
                </c:pt>
                <c:pt idx="733">
                  <c:v>9.5841722326274956E-2</c:v>
                </c:pt>
                <c:pt idx="734">
                  <c:v>3.3045131560331384E-2</c:v>
                </c:pt>
                <c:pt idx="735">
                  <c:v>8.1114612869260444E-2</c:v>
                </c:pt>
                <c:pt idx="736">
                  <c:v>4.5270870430176538E-2</c:v>
                </c:pt>
                <c:pt idx="737">
                  <c:v>0.10027664030746175</c:v>
                </c:pt>
                <c:pt idx="738">
                  <c:v>6.1508600785292439E-2</c:v>
                </c:pt>
                <c:pt idx="739">
                  <c:v>3.1148072926341676E-2</c:v>
                </c:pt>
                <c:pt idx="740">
                  <c:v>2.2230691928465274E-2</c:v>
                </c:pt>
                <c:pt idx="741">
                  <c:v>-1.9959619118654209E-3</c:v>
                </c:pt>
                <c:pt idx="742">
                  <c:v>2.8272038088134582E-2</c:v>
                </c:pt>
                <c:pt idx="743">
                  <c:v>3.3995064390591877E-2</c:v>
                </c:pt>
                <c:pt idx="744">
                  <c:v>2.6133055678503748E-2</c:v>
                </c:pt>
                <c:pt idx="745">
                  <c:v>0.14116661278997725</c:v>
                </c:pt>
                <c:pt idx="746">
                  <c:v>0.17005600628598178</c:v>
                </c:pt>
                <c:pt idx="747">
                  <c:v>0.26152772442612604</c:v>
                </c:pt>
                <c:pt idx="748">
                  <c:v>0.26482070512006767</c:v>
                </c:pt>
                <c:pt idx="749">
                  <c:v>0.34402035264979147</c:v>
                </c:pt>
                <c:pt idx="750">
                  <c:v>0.17295791285120504</c:v>
                </c:pt>
                <c:pt idx="751">
                  <c:v>0.14047598546549023</c:v>
                </c:pt>
                <c:pt idx="752">
                  <c:v>0.32418514134339427</c:v>
                </c:pt>
                <c:pt idx="753">
                  <c:v>0.22713760544640421</c:v>
                </c:pt>
                <c:pt idx="754">
                  <c:v>0.41188875757437649</c:v>
                </c:pt>
                <c:pt idx="755">
                  <c:v>1.0242447552631599</c:v>
                </c:pt>
                <c:pt idx="756">
                  <c:v>0.91663994535093019</c:v>
                </c:pt>
                <c:pt idx="757">
                  <c:v>0.75031907265311892</c:v>
                </c:pt>
                <c:pt idx="758">
                  <c:v>1.0106080504938835</c:v>
                </c:pt>
                <c:pt idx="759">
                  <c:v>1.1934003282481731</c:v>
                </c:pt>
                <c:pt idx="760">
                  <c:v>1.4275220950926835</c:v>
                </c:pt>
                <c:pt idx="761">
                  <c:v>1.337307810556613</c:v>
                </c:pt>
                <c:pt idx="762">
                  <c:v>1.5318164537301127</c:v>
                </c:pt>
                <c:pt idx="763">
                  <c:v>1.4351439005183453</c:v>
                </c:pt>
                <c:pt idx="764">
                  <c:v>1.6112588172207745</c:v>
                </c:pt>
                <c:pt idx="765">
                  <c:v>1.5769357714344849</c:v>
                </c:pt>
                <c:pt idx="766">
                  <c:v>2.3048815763175861</c:v>
                </c:pt>
                <c:pt idx="767">
                  <c:v>1.6640594311327566</c:v>
                </c:pt>
                <c:pt idx="768">
                  <c:v>1.8295809869060633</c:v>
                </c:pt>
                <c:pt idx="769">
                  <c:v>2.1478165569375971</c:v>
                </c:pt>
                <c:pt idx="770">
                  <c:v>2.1861013100022308</c:v>
                </c:pt>
                <c:pt idx="771">
                  <c:v>2.6839884161510996</c:v>
                </c:pt>
                <c:pt idx="772">
                  <c:v>2.7473684987300842</c:v>
                </c:pt>
                <c:pt idx="773">
                  <c:v>3.0162323035550167</c:v>
                </c:pt>
                <c:pt idx="774">
                  <c:v>2.446529879137803</c:v>
                </c:pt>
                <c:pt idx="775">
                  <c:v>1.8706651777481147</c:v>
                </c:pt>
                <c:pt idx="776">
                  <c:v>2.061509132456846</c:v>
                </c:pt>
                <c:pt idx="777">
                  <c:v>1.692279099178684</c:v>
                </c:pt>
                <c:pt idx="778">
                  <c:v>2.333613262906522</c:v>
                </c:pt>
                <c:pt idx="779">
                  <c:v>2.5065917352496849</c:v>
                </c:pt>
                <c:pt idx="780">
                  <c:v>1.1406254460392635</c:v>
                </c:pt>
                <c:pt idx="781">
                  <c:v>0.79606086305342272</c:v>
                </c:pt>
                <c:pt idx="782">
                  <c:v>0.92562360268524357</c:v>
                </c:pt>
                <c:pt idx="783">
                  <c:v>1.0395892241269238</c:v>
                </c:pt>
                <c:pt idx="784">
                  <c:v>1.0138443854449246</c:v>
                </c:pt>
                <c:pt idx="785">
                  <c:v>0.83483892195128984</c:v>
                </c:pt>
                <c:pt idx="786">
                  <c:v>0.81340294225737531</c:v>
                </c:pt>
                <c:pt idx="787">
                  <c:v>0.64411545249030888</c:v>
                </c:pt>
                <c:pt idx="788">
                  <c:v>0.31143141813680508</c:v>
                </c:pt>
                <c:pt idx="789">
                  <c:v>0.20153770588595546</c:v>
                </c:pt>
                <c:pt idx="790">
                  <c:v>0.30598314905354262</c:v>
                </c:pt>
                <c:pt idx="791">
                  <c:v>0.59672601270673464</c:v>
                </c:pt>
                <c:pt idx="792">
                  <c:v>0.637408134874765</c:v>
                </c:pt>
                <c:pt idx="793">
                  <c:v>0.66497325994011658</c:v>
                </c:pt>
                <c:pt idx="794">
                  <c:v>0.60911053011424565</c:v>
                </c:pt>
                <c:pt idx="795">
                  <c:v>0.48578962770175949</c:v>
                </c:pt>
                <c:pt idx="796">
                  <c:v>0.49982579657416015</c:v>
                </c:pt>
                <c:pt idx="797">
                  <c:v>0.41354039314768476</c:v>
                </c:pt>
                <c:pt idx="798">
                  <c:v>0.45442034037237689</c:v>
                </c:pt>
                <c:pt idx="799">
                  <c:v>0.79218633888107215</c:v>
                </c:pt>
                <c:pt idx="800">
                  <c:v>0.66900410219326301</c:v>
                </c:pt>
                <c:pt idx="801">
                  <c:v>0.60230506298201969</c:v>
                </c:pt>
                <c:pt idx="802">
                  <c:v>0.59704372500173641</c:v>
                </c:pt>
                <c:pt idx="803">
                  <c:v>0.77797801559097379</c:v>
                </c:pt>
                <c:pt idx="804">
                  <c:v>1.0630101691545994</c:v>
                </c:pt>
                <c:pt idx="805">
                  <c:v>0.88874113039530744</c:v>
                </c:pt>
                <c:pt idx="806">
                  <c:v>1.3622941088576574</c:v>
                </c:pt>
                <c:pt idx="807">
                  <c:v>1.1360214616397399</c:v>
                </c:pt>
                <c:pt idx="808">
                  <c:v>1.3682254686530675</c:v>
                </c:pt>
                <c:pt idx="809">
                  <c:v>1.7831460590349502</c:v>
                </c:pt>
                <c:pt idx="810">
                  <c:v>2.065758507816831</c:v>
                </c:pt>
                <c:pt idx="811">
                  <c:v>2.1935468542635803</c:v>
                </c:pt>
                <c:pt idx="812">
                  <c:v>2.018444313876059</c:v>
                </c:pt>
                <c:pt idx="813">
                  <c:v>2.6010792561682989</c:v>
                </c:pt>
                <c:pt idx="814">
                  <c:v>3.0795663103660655</c:v>
                </c:pt>
                <c:pt idx="815">
                  <c:v>3.1594363139556902</c:v>
                </c:pt>
                <c:pt idx="816">
                  <c:v>3.6750392604385835</c:v>
                </c:pt>
                <c:pt idx="817">
                  <c:v>3.2887436735318736</c:v>
                </c:pt>
                <c:pt idx="818">
                  <c:v>3.6450935055484095</c:v>
                </c:pt>
                <c:pt idx="819">
                  <c:v>3.6133566476377204</c:v>
                </c:pt>
                <c:pt idx="820">
                  <c:v>3.0148529885078386</c:v>
                </c:pt>
                <c:pt idx="821">
                  <c:v>3.0134938547069741</c:v>
                </c:pt>
                <c:pt idx="822">
                  <c:v>2.381031859415387</c:v>
                </c:pt>
                <c:pt idx="823">
                  <c:v>2.0497951412382176</c:v>
                </c:pt>
                <c:pt idx="824">
                  <c:v>1.8483501173575325</c:v>
                </c:pt>
                <c:pt idx="825">
                  <c:v>1.2114696454118377</c:v>
                </c:pt>
                <c:pt idx="826">
                  <c:v>1.2442352033923605</c:v>
                </c:pt>
                <c:pt idx="827">
                  <c:v>1.3871032672711778</c:v>
                </c:pt>
                <c:pt idx="828">
                  <c:v>1.5494869381374847</c:v>
                </c:pt>
                <c:pt idx="829">
                  <c:v>1.6421795746043557</c:v>
                </c:pt>
                <c:pt idx="830">
                  <c:v>2.2548989821878016</c:v>
                </c:pt>
                <c:pt idx="831">
                  <c:v>2.4020874802849628</c:v>
                </c:pt>
                <c:pt idx="832">
                  <c:v>2.8980266205958247</c:v>
                </c:pt>
                <c:pt idx="833">
                  <c:v>3.2821771663072425</c:v>
                </c:pt>
                <c:pt idx="834">
                  <c:v>3.4836859822125072</c:v>
                </c:pt>
                <c:pt idx="835">
                  <c:v>2.5927893476729467</c:v>
                </c:pt>
                <c:pt idx="836">
                  <c:v>2.5373107880055539</c:v>
                </c:pt>
                <c:pt idx="837">
                  <c:v>3.0507224097917094</c:v>
                </c:pt>
                <c:pt idx="838">
                  <c:v>2.9975865344309662</c:v>
                </c:pt>
                <c:pt idx="839">
                  <c:v>3.5352016439634819</c:v>
                </c:pt>
                <c:pt idx="840">
                  <c:v>3.7738420091204685</c:v>
                </c:pt>
                <c:pt idx="841">
                  <c:v>3.7057481753079666</c:v>
                </c:pt>
                <c:pt idx="842">
                  <c:v>3.7047314426676352</c:v>
                </c:pt>
                <c:pt idx="843">
                  <c:v>3.4189569710635097</c:v>
                </c:pt>
                <c:pt idx="844">
                  <c:v>3.4882759034160755</c:v>
                </c:pt>
                <c:pt idx="845">
                  <c:v>2.8864429085474375</c:v>
                </c:pt>
                <c:pt idx="846">
                  <c:v>2.0617431123175107</c:v>
                </c:pt>
                <c:pt idx="847">
                  <c:v>2.0433099938580583</c:v>
                </c:pt>
                <c:pt idx="848">
                  <c:v>2.5507722398522388</c:v>
                </c:pt>
                <c:pt idx="849">
                  <c:v>2.9120879459991555</c:v>
                </c:pt>
                <c:pt idx="850">
                  <c:v>3.3728376741177843</c:v>
                </c:pt>
                <c:pt idx="851">
                  <c:v>4.1913905210358022</c:v>
                </c:pt>
                <c:pt idx="852">
                  <c:v>3.5642361772716478</c:v>
                </c:pt>
                <c:pt idx="853">
                  <c:v>3.7562966378238509</c:v>
                </c:pt>
                <c:pt idx="854">
                  <c:v>3.3527644847595566</c:v>
                </c:pt>
                <c:pt idx="855">
                  <c:v>2.9651019523584687</c:v>
                </c:pt>
                <c:pt idx="856">
                  <c:v>2.7657600081754805</c:v>
                </c:pt>
                <c:pt idx="857">
                  <c:v>3.1578638100220107</c:v>
                </c:pt>
                <c:pt idx="858">
                  <c:v>3.7919951700429322</c:v>
                </c:pt>
                <c:pt idx="859">
                  <c:v>4.5174246695455356</c:v>
                </c:pt>
                <c:pt idx="860">
                  <c:v>5.3131599505996441</c:v>
                </c:pt>
                <c:pt idx="861">
                  <c:v>5.2495179736982411</c:v>
                </c:pt>
                <c:pt idx="862">
                  <c:v>4.8354941648253353</c:v>
                </c:pt>
                <c:pt idx="863">
                  <c:v>5.0038682865525903</c:v>
                </c:pt>
                <c:pt idx="864">
                  <c:v>5.9936530158025318</c:v>
                </c:pt>
                <c:pt idx="865">
                  <c:v>4.8534301138225011</c:v>
                </c:pt>
                <c:pt idx="866">
                  <c:v>5.3833562089050897</c:v>
                </c:pt>
                <c:pt idx="867">
                  <c:v>5.0468559170704212</c:v>
                </c:pt>
                <c:pt idx="868">
                  <c:v>5.0673480743638972</c:v>
                </c:pt>
                <c:pt idx="869">
                  <c:v>4.3519013189646589</c:v>
                </c:pt>
                <c:pt idx="870">
                  <c:v>3.5977349975838706</c:v>
                </c:pt>
                <c:pt idx="871">
                  <c:v>3.0376869264321966</c:v>
                </c:pt>
                <c:pt idx="872">
                  <c:v>3.2984239338464101</c:v>
                </c:pt>
                <c:pt idx="873">
                  <c:v>3.233465166403974</c:v>
                </c:pt>
                <c:pt idx="874">
                  <c:v>2.8260962478997778</c:v>
                </c:pt>
                <c:pt idx="875">
                  <c:v>2.9610475933108886</c:v>
                </c:pt>
                <c:pt idx="876">
                  <c:v>2.6316154912255367</c:v>
                </c:pt>
                <c:pt idx="877">
                  <c:v>3.3104675316129617</c:v>
                </c:pt>
                <c:pt idx="878">
                  <c:v>4.1595955540426424</c:v>
                </c:pt>
                <c:pt idx="879">
                  <c:v>4.8828851850383481</c:v>
                </c:pt>
                <c:pt idx="880">
                  <c:v>4.8750262970992955</c:v>
                </c:pt>
                <c:pt idx="881">
                  <c:v>5.9082883940281512</c:v>
                </c:pt>
                <c:pt idx="882">
                  <c:v>5.89929733239022</c:v>
                </c:pt>
                <c:pt idx="883">
                  <c:v>5.667493192534792</c:v>
                </c:pt>
                <c:pt idx="884">
                  <c:v>6.5882848089317125</c:v>
                </c:pt>
                <c:pt idx="885">
                  <c:v>6.9216315616822284</c:v>
                </c:pt>
                <c:pt idx="886">
                  <c:v>6.9251115356328627</c:v>
                </c:pt>
                <c:pt idx="887">
                  <c:v>7.2186748084816932</c:v>
                </c:pt>
                <c:pt idx="888">
                  <c:v>6.4112151017293249</c:v>
                </c:pt>
                <c:pt idx="889">
                  <c:v>5.6974428636278898</c:v>
                </c:pt>
                <c:pt idx="890">
                  <c:v>6.5879091093952997</c:v>
                </c:pt>
                <c:pt idx="891">
                  <c:v>7.056306353584274</c:v>
                </c:pt>
                <c:pt idx="892">
                  <c:v>6.311726589349588</c:v>
                </c:pt>
                <c:pt idx="893">
                  <c:v>7.6851210765163618</c:v>
                </c:pt>
                <c:pt idx="894">
                  <c:v>7.5401625771990641</c:v>
                </c:pt>
                <c:pt idx="895">
                  <c:v>5.9123289638033265</c:v>
                </c:pt>
                <c:pt idx="896">
                  <c:v>5.7755591017333279</c:v>
                </c:pt>
                <c:pt idx="897">
                  <c:v>6.1593242663476513</c:v>
                </c:pt>
                <c:pt idx="898">
                  <c:v>5.1292602037083546</c:v>
                </c:pt>
                <c:pt idx="899">
                  <c:v>4.205649015033857</c:v>
                </c:pt>
                <c:pt idx="900">
                  <c:v>4.659224450788602</c:v>
                </c:pt>
                <c:pt idx="901">
                  <c:v>4.2513896470358006</c:v>
                </c:pt>
                <c:pt idx="902">
                  <c:v>2.5047420827351363</c:v>
                </c:pt>
                <c:pt idx="903">
                  <c:v>2.0139058541659658</c:v>
                </c:pt>
                <c:pt idx="904">
                  <c:v>1.3696636703785312</c:v>
                </c:pt>
                <c:pt idx="905">
                  <c:v>1.4028734513404668</c:v>
                </c:pt>
                <c:pt idx="906">
                  <c:v>1.8092263868921785</c:v>
                </c:pt>
                <c:pt idx="907">
                  <c:v>1.9804006449376539</c:v>
                </c:pt>
                <c:pt idx="908">
                  <c:v>2.2251135604790635</c:v>
                </c:pt>
                <c:pt idx="909">
                  <c:v>2.7440958673517528</c:v>
                </c:pt>
                <c:pt idx="910">
                  <c:v>2.0316042978015343</c:v>
                </c:pt>
                <c:pt idx="911">
                  <c:v>0.89180700470127072</c:v>
                </c:pt>
                <c:pt idx="912">
                  <c:v>0.49843247665202095</c:v>
                </c:pt>
                <c:pt idx="913">
                  <c:v>0.73318511612843096</c:v>
                </c:pt>
                <c:pt idx="914">
                  <c:v>0.96056245846146082</c:v>
                </c:pt>
                <c:pt idx="915">
                  <c:v>0.41654284041690159</c:v>
                </c:pt>
                <c:pt idx="916">
                  <c:v>0.61472161978161199</c:v>
                </c:pt>
                <c:pt idx="917">
                  <c:v>0.51363701422286001</c:v>
                </c:pt>
                <c:pt idx="918">
                  <c:v>1.1093100790764843</c:v>
                </c:pt>
                <c:pt idx="919">
                  <c:v>1.1725624113124939</c:v>
                </c:pt>
                <c:pt idx="920">
                  <c:v>0.66536496150451063</c:v>
                </c:pt>
                <c:pt idx="921">
                  <c:v>0.85147724921918511</c:v>
                </c:pt>
                <c:pt idx="922">
                  <c:v>0.53422405284318963</c:v>
                </c:pt>
                <c:pt idx="923">
                  <c:v>0.24984206727780139</c:v>
                </c:pt>
                <c:pt idx="924">
                  <c:v>0.39713605424303011</c:v>
                </c:pt>
                <c:pt idx="925">
                  <c:v>0.39789274081929588</c:v>
                </c:pt>
                <c:pt idx="926">
                  <c:v>0.54370358366140981</c:v>
                </c:pt>
                <c:pt idx="927">
                  <c:v>0.18528599970975157</c:v>
                </c:pt>
                <c:pt idx="928">
                  <c:v>0.28084516181917618</c:v>
                </c:pt>
                <c:pt idx="929">
                  <c:v>0.4342007786582327</c:v>
                </c:pt>
                <c:pt idx="930">
                  <c:v>5.328940155691364E-2</c:v>
                </c:pt>
                <c:pt idx="931">
                  <c:v>-8.6688000502688531E-2</c:v>
                </c:pt>
                <c:pt idx="932">
                  <c:v>-5.6420000502688528E-2</c:v>
                </c:pt>
                <c:pt idx="933">
                  <c:v>-2.6152000502688524E-2</c:v>
                </c:pt>
                <c:pt idx="934">
                  <c:v>4.1159994973114788E-3</c:v>
                </c:pt>
                <c:pt idx="935">
                  <c:v>3.474669525226904E-2</c:v>
                </c:pt>
                <c:pt idx="936">
                  <c:v>6.0976626665380784E-2</c:v>
                </c:pt>
                <c:pt idx="937">
                  <c:v>0.12646942920891235</c:v>
                </c:pt>
                <c:pt idx="938">
                  <c:v>0.19911868333737978</c:v>
                </c:pt>
                <c:pt idx="939">
                  <c:v>0.15878798331750932</c:v>
                </c:pt>
                <c:pt idx="940">
                  <c:v>0.29900683604782402</c:v>
                </c:pt>
                <c:pt idx="941">
                  <c:v>0.2036877111348688</c:v>
                </c:pt>
                <c:pt idx="942">
                  <c:v>0.16141793018084621</c:v>
                </c:pt>
                <c:pt idx="943">
                  <c:v>0.45140453614289966</c:v>
                </c:pt>
                <c:pt idx="944">
                  <c:v>0.44235693838494122</c:v>
                </c:pt>
                <c:pt idx="945">
                  <c:v>0.50989354221241001</c:v>
                </c:pt>
                <c:pt idx="946">
                  <c:v>0.4544567101369294</c:v>
                </c:pt>
                <c:pt idx="947">
                  <c:v>0.46242849741763431</c:v>
                </c:pt>
                <c:pt idx="948">
                  <c:v>0.2149579013508312</c:v>
                </c:pt>
                <c:pt idx="949">
                  <c:v>0.18613845190478978</c:v>
                </c:pt>
                <c:pt idx="950">
                  <c:v>0.27690796791768846</c:v>
                </c:pt>
                <c:pt idx="951">
                  <c:v>0.54938026345741375</c:v>
                </c:pt>
                <c:pt idx="952">
                  <c:v>0.91329480726667944</c:v>
                </c:pt>
                <c:pt idx="953">
                  <c:v>0.67613241011600622</c:v>
                </c:pt>
                <c:pt idx="954">
                  <c:v>0.83970208845096228</c:v>
                </c:pt>
                <c:pt idx="955">
                  <c:v>0.52892155001553931</c:v>
                </c:pt>
                <c:pt idx="956">
                  <c:v>0.78541537651369264</c:v>
                </c:pt>
                <c:pt idx="957">
                  <c:v>1.1956223916074951</c:v>
                </c:pt>
                <c:pt idx="958">
                  <c:v>1.4045632300212672</c:v>
                </c:pt>
                <c:pt idx="959">
                  <c:v>0.90185616147776193</c:v>
                </c:pt>
                <c:pt idx="960">
                  <c:v>0.69022636625233624</c:v>
                </c:pt>
                <c:pt idx="961">
                  <c:v>0.6787402902186811</c:v>
                </c:pt>
                <c:pt idx="962">
                  <c:v>1.0016608725720892</c:v>
                </c:pt>
                <c:pt idx="963">
                  <c:v>0.85119620027340959</c:v>
                </c:pt>
                <c:pt idx="964">
                  <c:v>0.84920708307275572</c:v>
                </c:pt>
                <c:pt idx="965">
                  <c:v>0.76594035099614066</c:v>
                </c:pt>
                <c:pt idx="966">
                  <c:v>0.57239262171539684</c:v>
                </c:pt>
                <c:pt idx="967">
                  <c:v>0.30420535460278292</c:v>
                </c:pt>
                <c:pt idx="968">
                  <c:v>0.2686317189869285</c:v>
                </c:pt>
                <c:pt idx="969">
                  <c:v>0.20145711525316806</c:v>
                </c:pt>
                <c:pt idx="970">
                  <c:v>1.8952568288335803E-2</c:v>
                </c:pt>
                <c:pt idx="971">
                  <c:v>4.8080931852877706E-2</c:v>
                </c:pt>
                <c:pt idx="972">
                  <c:v>4.4729280788872519E-2</c:v>
                </c:pt>
                <c:pt idx="973">
                  <c:v>-9.0271756431772737E-3</c:v>
                </c:pt>
                <c:pt idx="974">
                  <c:v>2.124082435682273E-2</c:v>
                </c:pt>
                <c:pt idx="975">
                  <c:v>2.2515498221078015E-2</c:v>
                </c:pt>
                <c:pt idx="976">
                  <c:v>6.9986465681053669E-2</c:v>
                </c:pt>
                <c:pt idx="977">
                  <c:v>0.14559273719357527</c:v>
                </c:pt>
                <c:pt idx="978">
                  <c:v>0.1714973686090038</c:v>
                </c:pt>
                <c:pt idx="979">
                  <c:v>0.42792183952945562</c:v>
                </c:pt>
                <c:pt idx="980">
                  <c:v>0.34590042103914664</c:v>
                </c:pt>
                <c:pt idx="981">
                  <c:v>0.61066140727487195</c:v>
                </c:pt>
                <c:pt idx="982">
                  <c:v>0.74681097834433097</c:v>
                </c:pt>
                <c:pt idx="983">
                  <c:v>1.4215435928612385</c:v>
                </c:pt>
                <c:pt idx="984">
                  <c:v>1.6399959638758255</c:v>
                </c:pt>
                <c:pt idx="985">
                  <c:v>2.192502090577519</c:v>
                </c:pt>
                <c:pt idx="986">
                  <c:v>2.1140167155817426</c:v>
                </c:pt>
                <c:pt idx="987">
                  <c:v>2.1550580700233049</c:v>
                </c:pt>
                <c:pt idx="988">
                  <c:v>1.5177354178386513</c:v>
                </c:pt>
                <c:pt idx="989">
                  <c:v>0.91212637916020356</c:v>
                </c:pt>
                <c:pt idx="990">
                  <c:v>1.0943409032327309</c:v>
                </c:pt>
                <c:pt idx="991">
                  <c:v>0.91474658829031374</c:v>
                </c:pt>
                <c:pt idx="992">
                  <c:v>0.81042708467269287</c:v>
                </c:pt>
                <c:pt idx="993">
                  <c:v>0.50440043244698973</c:v>
                </c:pt>
                <c:pt idx="994">
                  <c:v>0.82163241276024457</c:v>
                </c:pt>
                <c:pt idx="995">
                  <c:v>1.4269761203947784</c:v>
                </c:pt>
                <c:pt idx="996">
                  <c:v>1.5609261853039182</c:v>
                </c:pt>
                <c:pt idx="997">
                  <c:v>1.5734685330327447</c:v>
                </c:pt>
                <c:pt idx="998">
                  <c:v>1.8160049836691818</c:v>
                </c:pt>
                <c:pt idx="999">
                  <c:v>1.8672280503888761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0F-4D0C-A39A-C2D335F74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2108176"/>
        <c:axId val="602110336"/>
      </c:lineChart>
      <c:catAx>
        <c:axId val="6021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110336"/>
        <c:crosses val="autoZero"/>
        <c:auto val="1"/>
        <c:lblAlgn val="ctr"/>
        <c:lblOffset val="100"/>
        <c:noMultiLvlLbl val="0"/>
      </c:catAx>
      <c:valAx>
        <c:axId val="60211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10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Colum</a:t>
            </a:r>
            <a:r>
              <a:rPr lang="en-US" baseline="0"/>
              <a:t>n A simple recurrence relation, no random.</a:t>
            </a:r>
          </a:p>
          <a:p>
            <a:pPr>
              <a:defRPr/>
            </a:pPr>
            <a:r>
              <a:rPr lang="en-US" baseline="0"/>
              <a:t>Behavior controlled by C2 and initial value A1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'HE2'!$A$1:$A$20</c:f>
              <c:numCache>
                <c:formatCode>General</c:formatCode>
                <c:ptCount val="20"/>
                <c:pt idx="0">
                  <c:v>1.5</c:v>
                </c:pt>
                <c:pt idx="1">
                  <c:v>1.5002679999999999</c:v>
                </c:pt>
                <c:pt idx="2">
                  <c:v>1.50053064</c:v>
                </c:pt>
                <c:pt idx="3">
                  <c:v>1.5007880272</c:v>
                </c:pt>
                <c:pt idx="4">
                  <c:v>1.5010402666560001</c:v>
                </c:pt>
                <c:pt idx="5">
                  <c:v>1.5012874613228802</c:v>
                </c:pt>
                <c:pt idx="6">
                  <c:v>1.5015297120964226</c:v>
                </c:pt>
                <c:pt idx="7">
                  <c:v>1.5017671178544942</c:v>
                </c:pt>
                <c:pt idx="8">
                  <c:v>1.5019997754974044</c:v>
                </c:pt>
                <c:pt idx="9">
                  <c:v>1.5022277799874564</c:v>
                </c:pt>
                <c:pt idx="10">
                  <c:v>1.5024512243877073</c:v>
                </c:pt>
                <c:pt idx="11">
                  <c:v>1.5026701998999532</c:v>
                </c:pt>
                <c:pt idx="12">
                  <c:v>1.5028847959019542</c:v>
                </c:pt>
                <c:pt idx="13">
                  <c:v>1.5030950999839152</c:v>
                </c:pt>
                <c:pt idx="14">
                  <c:v>1.503301197984237</c:v>
                </c:pt>
                <c:pt idx="15">
                  <c:v>1.5035031740245524</c:v>
                </c:pt>
                <c:pt idx="16">
                  <c:v>1.5037011105440614</c:v>
                </c:pt>
                <c:pt idx="17">
                  <c:v>1.5038950883331801</c:v>
                </c:pt>
                <c:pt idx="18">
                  <c:v>1.5040851865665166</c:v>
                </c:pt>
                <c:pt idx="19">
                  <c:v>1.5042714828351862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52-4607-B680-74D0E567E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2103496"/>
        <c:axId val="602099536"/>
      </c:lineChart>
      <c:catAx>
        <c:axId val="6021034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099536"/>
        <c:crosses val="autoZero"/>
        <c:auto val="1"/>
        <c:lblAlgn val="ctr"/>
        <c:lblOffset val="100"/>
        <c:noMultiLvlLbl val="0"/>
      </c:catAx>
      <c:valAx>
        <c:axId val="60209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10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histogram of gen'd data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histogram of gen'd data</a:t>
          </a:r>
        </a:p>
      </cx:txPr>
    </cx:title>
    <cx:plotArea>
      <cx:plotAreaRegion>
        <cx:plotSurface>
          <cx:spPr>
            <a:ln w="9525">
              <a:solidFill>
                <a:schemeClr val="accent1"/>
              </a:solidFill>
            </a:ln>
          </cx:spPr>
        </cx:plotSurface>
        <cx:series layoutId="clusteredColumn" uniqueId="{4DDFB433-2743-4611-8183-EF2A27F8D411}">
          <cx:spPr>
            <a:noFill/>
            <a:ln w="12700">
              <a:solidFill>
                <a:schemeClr val="accent1"/>
              </a:solidFill>
            </a:ln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  <cx:numFmt formatCode="#,##0.00" sourceLinked="0"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generated fake "returns" from partly correlated stochvol (column D)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generated fake "returns" from partly correlated stochvol (column D)</a:t>
          </a:r>
        </a:p>
      </cx:txPr>
    </cx:title>
    <cx:plotArea>
      <cx:plotAreaRegion>
        <cx:series layoutId="clusteredColumn" uniqueId="{9D9B34D6-61C6-4C0B-B65E-82F1D32FE7A5}">
          <cx:spPr>
            <a:noFill/>
            <a:ln w="6350">
              <a:solidFill>
                <a:schemeClr val="accent1"/>
              </a:solidFill>
            </a:ln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  <cx:numFmt formatCode="#,##0.00" sourceLinked="0"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185738</xdr:colOff>
      <xdr:row>8</xdr:row>
      <xdr:rowOff>66675</xdr:rowOff>
    </xdr:from>
    <xdr:to>
      <xdr:col>19</xdr:col>
      <xdr:colOff>28575</xdr:colOff>
      <xdr:row>33</xdr:row>
      <xdr:rowOff>42862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20763" y="1876425"/>
              <a:ext cx="6953250" cy="45005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19048</xdr:colOff>
      <xdr:row>39</xdr:row>
      <xdr:rowOff>90487</xdr:rowOff>
    </xdr:from>
    <xdr:to>
      <xdr:col>13</xdr:col>
      <xdr:colOff>581023</xdr:colOff>
      <xdr:row>58</xdr:row>
      <xdr:rowOff>161925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1166813</xdr:colOff>
          <xdr:row>2</xdr:row>
          <xdr:rowOff>100013</xdr:rowOff>
        </xdr:from>
        <xdr:to>
          <xdr:col>11</xdr:col>
          <xdr:colOff>66675</xdr:colOff>
          <xdr:row>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mcFaster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0</xdr:row>
      <xdr:rowOff>177798</xdr:rowOff>
    </xdr:from>
    <xdr:to>
      <xdr:col>13</xdr:col>
      <xdr:colOff>261938</xdr:colOff>
      <xdr:row>32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159</xdr:col>
      <xdr:colOff>429787</xdr:colOff>
      <xdr:row>924</xdr:row>
      <xdr:rowOff>174239</xdr:rowOff>
    </xdr:from>
    <xdr:to>
      <xdr:col>185</xdr:col>
      <xdr:colOff>441402</xdr:colOff>
      <xdr:row>988</xdr:row>
      <xdr:rowOff>58079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290513</xdr:colOff>
      <xdr:row>6</xdr:row>
      <xdr:rowOff>90488</xdr:rowOff>
    </xdr:from>
    <xdr:to>
      <xdr:col>16</xdr:col>
      <xdr:colOff>522247</xdr:colOff>
      <xdr:row>32</xdr:row>
      <xdr:rowOff>177025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373856</xdr:colOff>
      <xdr:row>4</xdr:row>
      <xdr:rowOff>57150</xdr:rowOff>
    </xdr:from>
    <xdr:to>
      <xdr:col>8</xdr:col>
      <xdr:colOff>411956</xdr:colOff>
      <xdr:row>19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509589</xdr:colOff>
      <xdr:row>9</xdr:row>
      <xdr:rowOff>47625</xdr:rowOff>
    </xdr:from>
    <xdr:to>
      <xdr:col>12</xdr:col>
      <xdr:colOff>104775</xdr:colOff>
      <xdr:row>30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10014" y="1676400"/>
              <a:ext cx="7248524" cy="3848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269081</xdr:colOff>
      <xdr:row>18</xdr:row>
      <xdr:rowOff>150017</xdr:rowOff>
    </xdr:from>
    <xdr:to>
      <xdr:col>13</xdr:col>
      <xdr:colOff>481012</xdr:colOff>
      <xdr:row>35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283369</xdr:colOff>
      <xdr:row>3</xdr:row>
      <xdr:rowOff>16668</xdr:rowOff>
    </xdr:from>
    <xdr:to>
      <xdr:col>13</xdr:col>
      <xdr:colOff>321469</xdr:colOff>
      <xdr:row>18</xdr:row>
      <xdr:rowOff>45243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3E09-E395-4AD7-B770-743B23D01FE3}">
  <sheetPr codeName="Sheet1"/>
  <dimension ref="A1:M1002"/>
  <sheetViews>
    <sheetView tabSelected="1" topLeftCell="B1" zoomScaleNormal="100" workbookViewId="0">
      <selection activeCell="F18" sqref="F18"/>
    </sheetView>
  </sheetViews>
  <sheetFormatPr defaultRowHeight="14.25" x14ac:dyDescent="0.45"/>
  <cols>
    <col min="1" max="1" width="37.46484375" customWidth="1"/>
    <col min="2" max="2" width="28.9296875" customWidth="1"/>
    <col min="3" max="3" width="26.73046875" customWidth="1"/>
    <col min="4" max="4" width="6.59765625" customWidth="1"/>
    <col min="5" max="5" width="17.53125" customWidth="1"/>
    <col min="6" max="6" width="24.33203125" customWidth="1"/>
    <col min="7" max="7" width="21.46484375" customWidth="1"/>
    <col min="9" max="9" width="17.33203125" customWidth="1"/>
    <col min="13" max="13" width="17.9296875" customWidth="1"/>
  </cols>
  <sheetData>
    <row r="1" spans="1:13" ht="42.75" x14ac:dyDescent="0.45">
      <c r="A1" s="1" t="s">
        <v>20</v>
      </c>
      <c r="B1" s="1" t="s">
        <v>4</v>
      </c>
      <c r="C1" t="s">
        <v>44</v>
      </c>
      <c r="I1" s="2" t="s">
        <v>43</v>
      </c>
      <c r="J1" s="9" t="s">
        <v>41</v>
      </c>
      <c r="K1" s="9" t="s">
        <v>42</v>
      </c>
      <c r="M1" s="6" t="s">
        <v>31</v>
      </c>
    </row>
    <row r="2" spans="1:13" x14ac:dyDescent="0.45">
      <c r="A2" s="1"/>
      <c r="B2" s="1">
        <v>100.29</v>
      </c>
      <c r="C2">
        <f>$E$10 - 0.5*MAX('HE2'!B1,0)/10000</f>
        <v>3.1789782027863328E-5</v>
      </c>
      <c r="J2" s="10">
        <v>1000</v>
      </c>
      <c r="K2" s="10">
        <v>100</v>
      </c>
      <c r="M2" s="7" t="s">
        <v>13</v>
      </c>
    </row>
    <row r="3" spans="1:13" x14ac:dyDescent="0.45">
      <c r="A3">
        <f ca="1">randcorrWithFeedback!D2</f>
        <v>1.2487750980791479</v>
      </c>
      <c r="B3">
        <f ca="1">B2*EXP(C3+A3/100)</f>
        <v>101.55259536416749</v>
      </c>
      <c r="C3">
        <f ca="1">$E$10 - 0.5*MAX('HE2'!B2,0)/10000</f>
        <v>2.3105119316145834E-5</v>
      </c>
      <c r="E3">
        <f ca="1">AVERAGE(A3:A1002)</f>
        <v>7.8938825914832228E-2</v>
      </c>
      <c r="F3" t="s">
        <v>1</v>
      </c>
      <c r="M3" s="6" t="s">
        <v>35</v>
      </c>
    </row>
    <row r="4" spans="1:13" x14ac:dyDescent="0.45">
      <c r="A4">
        <f ca="1">randcorrWithFeedback!D3</f>
        <v>-3.1356710807393231</v>
      </c>
      <c r="B4">
        <f t="shared" ref="B4:B67" ca="1" si="0">B3*EXP(C4+A4/100)</f>
        <v>98.423384064342699</v>
      </c>
      <c r="C4">
        <f ca="1">$E$10 - 0.5*MAX('HE2'!B3,0)/10000</f>
        <v>5.8284363079844489E-5</v>
      </c>
      <c r="E4">
        <f ca="1">STDEV(A3:A1002)</f>
        <v>1.4927034240036754</v>
      </c>
      <c r="F4" t="s">
        <v>0</v>
      </c>
      <c r="M4" s="7">
        <v>1321</v>
      </c>
    </row>
    <row r="5" spans="1:13" x14ac:dyDescent="0.45">
      <c r="A5">
        <f ca="1">randcorrWithFeedback!D4</f>
        <v>-0.43984381661730365</v>
      </c>
      <c r="B5">
        <f t="shared" ca="1" si="0"/>
        <v>97.998288795561493</v>
      </c>
      <c r="C5">
        <f ca="1">$E$10 - 0.5*MAX('HE2'!B4,0)/10000</f>
        <v>7.0036658603214329E-5</v>
      </c>
      <c r="E5">
        <f ca="1">SKEW(A3:A1002)</f>
        <v>9.0910190842453373E-2</v>
      </c>
      <c r="F5" t="s">
        <v>2</v>
      </c>
    </row>
    <row r="6" spans="1:13" x14ac:dyDescent="0.45">
      <c r="A6">
        <f ca="1">randcorrWithFeedback!D5</f>
        <v>-0.28743567341568721</v>
      </c>
      <c r="B6">
        <f t="shared" ca="1" si="0"/>
        <v>97.72327235071603</v>
      </c>
      <c r="C6">
        <f ca="1">$E$10 - 0.5*MAX('HE2'!B5,0)/10000</f>
        <v>6.4072325688978058E-5</v>
      </c>
      <c r="E6">
        <f ca="1">KURT(A3:A1002)</f>
        <v>2.6697818274263994</v>
      </c>
      <c r="F6" t="s">
        <v>3</v>
      </c>
    </row>
    <row r="7" spans="1:13" x14ac:dyDescent="0.45">
      <c r="A7">
        <f ca="1">randcorrWithFeedback!D6</f>
        <v>0.31907467554759084</v>
      </c>
      <c r="B7">
        <f t="shared" ca="1" si="0"/>
        <v>98.042581164035653</v>
      </c>
      <c r="C7">
        <f ca="1">$E$10 - 0.5*MAX('HE2'!B6,0)/10000</f>
        <v>7.1406380537891834E-5</v>
      </c>
    </row>
    <row r="8" spans="1:13" x14ac:dyDescent="0.45">
      <c r="A8">
        <f ca="1">randcorrWithFeedback!D7</f>
        <v>0.64623206839021863</v>
      </c>
      <c r="B8">
        <f t="shared" ca="1" si="0"/>
        <v>98.68479439159114</v>
      </c>
      <c r="C8">
        <f ca="1">$E$10 - 0.5*MAX('HE2'!B7,0)/10000</f>
        <v>6.6669062235569218E-5</v>
      </c>
    </row>
    <row r="9" spans="1:13" x14ac:dyDescent="0.45">
      <c r="A9">
        <f ca="1">randcorrWithFeedback!D8</f>
        <v>0.40936748101308518</v>
      </c>
      <c r="B9">
        <f t="shared" ca="1" si="0"/>
        <v>99.094602141190876</v>
      </c>
      <c r="C9">
        <f ca="1">$E$10 - 0.5*MAX('HE2'!B8,0)/10000</f>
        <v>5.0420512949548588E-5</v>
      </c>
      <c r="E9" t="s">
        <v>36</v>
      </c>
      <c r="F9" s="2" t="s">
        <v>38</v>
      </c>
      <c r="G9" t="s">
        <v>37</v>
      </c>
    </row>
    <row r="10" spans="1:13" x14ac:dyDescent="0.45">
      <c r="A10">
        <f ca="1">randcorrWithFeedback!D9</f>
        <v>-0.41896036382335011</v>
      </c>
      <c r="B10">
        <f t="shared" ca="1" si="0"/>
        <v>98.685321461650858</v>
      </c>
      <c r="C10">
        <f ca="1">$E$10 - 0.5*MAX('HE2'!B9,0)/10000</f>
        <v>5.0849245895808815E-5</v>
      </c>
      <c r="E10">
        <f>POWER(1+F10*0.01,1/G10)-1</f>
        <v>1.0745978202786333E-4</v>
      </c>
      <c r="F10" s="2">
        <v>4</v>
      </c>
      <c r="G10">
        <v>365</v>
      </c>
    </row>
    <row r="11" spans="1:13" x14ac:dyDescent="0.45">
      <c r="A11">
        <f ca="1">randcorrWithFeedback!D10</f>
        <v>0.56338495139477418</v>
      </c>
      <c r="B11">
        <f t="shared" ca="1" si="0"/>
        <v>99.246124023922349</v>
      </c>
      <c r="C11">
        <f ca="1">$E$10 - 0.5*MAX('HE2'!B10,0)/10000</f>
        <v>3.2799982315119623E-5</v>
      </c>
      <c r="E11" t="s">
        <v>39</v>
      </c>
    </row>
    <row r="12" spans="1:13" x14ac:dyDescent="0.45">
      <c r="A12">
        <f ca="1">randcorrWithFeedback!D11</f>
        <v>1.7142421610878786E-2</v>
      </c>
      <c r="B12">
        <f t="shared" ca="1" si="0"/>
        <v>99.264931743617041</v>
      </c>
      <c r="C12">
        <f ca="1">$E$10 - 0.5*MAX('HE2'!B11,0)/10000</f>
        <v>1.8063665845572505E-5</v>
      </c>
      <c r="E12">
        <f>EXP(E10*G10)</f>
        <v>1.0400021915806734</v>
      </c>
    </row>
    <row r="13" spans="1:13" x14ac:dyDescent="0.45">
      <c r="A13">
        <f ca="1">randcorrWithFeedback!D12</f>
        <v>1.0939381873344811</v>
      </c>
      <c r="B13">
        <f t="shared" ca="1" si="0"/>
        <v>100.35570295588613</v>
      </c>
      <c r="C13">
        <f ca="1">$E$10 - 0.5*MAX('HE2'!B12,0)/10000</f>
        <v>-1.0831625202362366E-5</v>
      </c>
    </row>
    <row r="14" spans="1:13" x14ac:dyDescent="0.45">
      <c r="A14">
        <f ca="1">randcorrWithFeedback!D13</f>
        <v>1.6357345701154455</v>
      </c>
      <c r="B14">
        <f t="shared" ca="1" si="0"/>
        <v>102.00784013097055</v>
      </c>
      <c r="C14">
        <f ca="1">$E$10 - 0.5*MAX('HE2'!B13,0)/10000</f>
        <v>-2.8575620776116116E-5</v>
      </c>
    </row>
    <row r="15" spans="1:13" x14ac:dyDescent="0.45">
      <c r="A15">
        <f ca="1">randcorrWithFeedback!D14</f>
        <v>2.209174689219195</v>
      </c>
      <c r="B15">
        <f t="shared" ca="1" si="0"/>
        <v>104.2796329222129</v>
      </c>
      <c r="C15">
        <f ca="1">$E$10 - 0.5*MAX('HE2'!B14,0)/10000</f>
        <v>-6.5352309461711269E-5</v>
      </c>
    </row>
    <row r="16" spans="1:13" x14ac:dyDescent="0.45">
      <c r="A16">
        <f ca="1">randcorrWithFeedback!D15</f>
        <v>0.9568447669408402</v>
      </c>
      <c r="B16">
        <f t="shared" ca="1" si="0"/>
        <v>105.27628219206038</v>
      </c>
      <c r="C16">
        <f ca="1">$E$10 - 0.5*MAX('HE2'!B15,0)/10000</f>
        <v>-5.6363183437324035E-5</v>
      </c>
    </row>
    <row r="17" spans="1:3" x14ac:dyDescent="0.45">
      <c r="A17">
        <f ca="1">randcorrWithFeedback!D16</f>
        <v>-4.1779033021079632</v>
      </c>
      <c r="B17">
        <f t="shared" ca="1" si="0"/>
        <v>100.96519533293447</v>
      </c>
      <c r="C17">
        <f ca="1">$E$10 - 0.5*MAX('HE2'!B16,0)/10000</f>
        <v>-3.3263618336244576E-5</v>
      </c>
    </row>
    <row r="18" spans="1:3" x14ac:dyDescent="0.45">
      <c r="A18">
        <f ca="1">randcorrWithFeedback!D17</f>
        <v>-0.38217634669355621</v>
      </c>
      <c r="B18">
        <f t="shared" ca="1" si="0"/>
        <v>100.57733938722555</v>
      </c>
      <c r="C18">
        <f ca="1">$E$10 - 0.5*MAX('HE2'!B17,0)/10000</f>
        <v>-2.7115629988666513E-5</v>
      </c>
    </row>
    <row r="19" spans="1:3" x14ac:dyDescent="0.45">
      <c r="A19">
        <f ca="1">randcorrWithFeedback!D18</f>
        <v>-1.3442297277576405E-2</v>
      </c>
      <c r="B19">
        <f t="shared" ca="1" si="0"/>
        <v>100.56447830139176</v>
      </c>
      <c r="C19">
        <f ca="1">$E$10 - 0.5*MAX('HE2'!B18,0)/10000</f>
        <v>6.5421969221068281E-6</v>
      </c>
    </row>
    <row r="20" spans="1:3" x14ac:dyDescent="0.45">
      <c r="A20">
        <f ca="1">randcorrWithFeedback!D19</f>
        <v>-1.058120825628194</v>
      </c>
      <c r="B20">
        <f t="shared" ca="1" si="0"/>
        <v>99.507810530120778</v>
      </c>
      <c r="C20">
        <f ca="1">$E$10 - 0.5*MAX('HE2'!B19,0)/10000</f>
        <v>1.8250214183599821E-5</v>
      </c>
    </row>
    <row r="21" spans="1:3" x14ac:dyDescent="0.45">
      <c r="A21">
        <f ca="1">randcorrWithFeedback!D20</f>
        <v>1.0418996709335275</v>
      </c>
      <c r="B21">
        <f t="shared" ca="1" si="0"/>
        <v>100.55146513523131</v>
      </c>
      <c r="C21">
        <f ca="1">$E$10 - 0.5*MAX('HE2'!B20,0)/10000</f>
        <v>1.4551739905785624E-5</v>
      </c>
    </row>
    <row r="22" spans="1:3" x14ac:dyDescent="0.45">
      <c r="A22">
        <f ca="1">randcorrWithFeedback!D21</f>
        <v>-9.5817998837568349E-2</v>
      </c>
      <c r="B22">
        <f t="shared" ca="1" si="0"/>
        <v>100.45757505335538</v>
      </c>
      <c r="C22">
        <f ca="1">$E$10 - 0.5*MAX('HE2'!B21,0)/10000</f>
        <v>2.3992266111536436E-5</v>
      </c>
    </row>
    <row r="23" spans="1:3" x14ac:dyDescent="0.45">
      <c r="A23">
        <f ca="1">randcorrWithFeedback!D22</f>
        <v>-2.1443523438195844</v>
      </c>
      <c r="B23">
        <f t="shared" ca="1" si="0"/>
        <v>98.331782581982281</v>
      </c>
      <c r="C23">
        <f ca="1">$E$10 - 0.5*MAX('HE2'!B22,0)/10000</f>
        <v>5.5321031937693024E-5</v>
      </c>
    </row>
    <row r="24" spans="1:3" x14ac:dyDescent="0.45">
      <c r="A24">
        <f ca="1">randcorrWithFeedback!D23</f>
        <v>-1.2799658417347946</v>
      </c>
      <c r="B24">
        <f t="shared" ca="1" si="0"/>
        <v>97.08802208901399</v>
      </c>
      <c r="C24">
        <f ca="1">$E$10 - 0.5*MAX('HE2'!B23,0)/10000</f>
        <v>7.0372464142819092E-5</v>
      </c>
    </row>
    <row r="25" spans="1:3" x14ac:dyDescent="0.45">
      <c r="A25">
        <f ca="1">randcorrWithFeedback!D24</f>
        <v>1.1889648985967203</v>
      </c>
      <c r="B25">
        <f t="shared" ca="1" si="0"/>
        <v>98.254632812355865</v>
      </c>
      <c r="C25">
        <f ca="1">$E$10 - 0.5*MAX('HE2'!B24,0)/10000</f>
        <v>5.4742716713037577E-5</v>
      </c>
    </row>
    <row r="26" spans="1:3" x14ac:dyDescent="0.45">
      <c r="A26">
        <f ca="1">randcorrWithFeedback!D25</f>
        <v>0.64689782085000613</v>
      </c>
      <c r="B26">
        <f t="shared" ca="1" si="0"/>
        <v>98.896992997413861</v>
      </c>
      <c r="C26">
        <f ca="1">$E$10 - 0.5*MAX('HE2'!B25,0)/10000</f>
        <v>4.7452538744066644E-5</v>
      </c>
    </row>
    <row r="27" spans="1:3" x14ac:dyDescent="0.45">
      <c r="A27">
        <f ca="1">randcorrWithFeedback!D26</f>
        <v>-7.3021055577719762E-2</v>
      </c>
      <c r="B27">
        <f t="shared" ca="1" si="0"/>
        <v>98.828191651880374</v>
      </c>
      <c r="C27">
        <f ca="1">$E$10 - 0.5*MAX('HE2'!B26,0)/10000</f>
        <v>3.4281522434007845E-5</v>
      </c>
    </row>
    <row r="28" spans="1:3" x14ac:dyDescent="0.45">
      <c r="A28">
        <f ca="1">randcorrWithFeedback!D27</f>
        <v>0.63679142991909077</v>
      </c>
      <c r="B28">
        <f t="shared" ca="1" si="0"/>
        <v>99.463580906295093</v>
      </c>
      <c r="C28">
        <f ca="1">$E$10 - 0.5*MAX('HE2'!B27,0)/10000</f>
        <v>4.0737163033608057E-5</v>
      </c>
    </row>
    <row r="29" spans="1:3" x14ac:dyDescent="0.45">
      <c r="A29">
        <f ca="1">randcorrWithFeedback!D28</f>
        <v>-1.054533311513725</v>
      </c>
      <c r="B29">
        <f t="shared" ca="1" si="0"/>
        <v>98.425046187462229</v>
      </c>
      <c r="C29">
        <f ca="1">$E$10 - 0.5*MAX('HE2'!B28,0)/10000</f>
        <v>4.9083090148070084E-5</v>
      </c>
    </row>
    <row r="30" spans="1:3" x14ac:dyDescent="0.45">
      <c r="A30">
        <f ca="1">randcorrWithFeedback!D29</f>
        <v>-1.2549950619635601</v>
      </c>
      <c r="B30">
        <f t="shared" ca="1" si="0"/>
        <v>97.203551898649195</v>
      </c>
      <c r="C30">
        <f ca="1">$E$10 - 0.5*MAX('HE2'!B29,0)/10000</f>
        <v>6.1897490307117735E-5</v>
      </c>
    </row>
    <row r="31" spans="1:3" x14ac:dyDescent="0.45">
      <c r="A31">
        <f ca="1">randcorrWithFeedback!D30</f>
        <v>-0.59171778476294956</v>
      </c>
      <c r="B31">
        <f t="shared" ca="1" si="0"/>
        <v>96.636373355218197</v>
      </c>
      <c r="C31">
        <f ca="1">$E$10 - 0.5*MAX('HE2'!B30,0)/10000</f>
        <v>6.5130996686102379E-5</v>
      </c>
    </row>
    <row r="32" spans="1:3" x14ac:dyDescent="0.45">
      <c r="A32">
        <f ca="1">randcorrWithFeedback!D31</f>
        <v>1.6255320234617259</v>
      </c>
      <c r="B32">
        <f t="shared" ca="1" si="0"/>
        <v>98.224048217064151</v>
      </c>
      <c r="C32">
        <f ca="1">$E$10 - 0.5*MAX('HE2'!B31,0)/10000</f>
        <v>4.054922425556775E-5</v>
      </c>
    </row>
    <row r="33" spans="1:3" x14ac:dyDescent="0.45">
      <c r="A33">
        <f ca="1">randcorrWithFeedback!D32</f>
        <v>1.9108840795107922</v>
      </c>
      <c r="B33">
        <f t="shared" ca="1" si="0"/>
        <v>100.12248154065534</v>
      </c>
      <c r="C33">
        <f ca="1">$E$10 - 0.5*MAX('HE2'!B32,0)/10000</f>
        <v>3.4335551216017819E-5</v>
      </c>
    </row>
    <row r="34" spans="1:3" x14ac:dyDescent="0.45">
      <c r="A34">
        <f ca="1">randcorrWithFeedback!D33</f>
        <v>1.071081969789639</v>
      </c>
      <c r="B34">
        <f t="shared" ca="1" si="0"/>
        <v>101.20352604730675</v>
      </c>
      <c r="C34">
        <f ca="1">$E$10 - 0.5*MAX('HE2'!B33,0)/10000</f>
        <v>2.8526993008190965E-5</v>
      </c>
    </row>
    <row r="35" spans="1:3" x14ac:dyDescent="0.45">
      <c r="A35">
        <f ca="1">randcorrWithFeedback!D34</f>
        <v>1.0179206667048868</v>
      </c>
      <c r="B35">
        <f t="shared" ca="1" si="0"/>
        <v>102.24072967298207</v>
      </c>
      <c r="C35">
        <f ca="1">$E$10 - 0.5*MAX('HE2'!B34,0)/10000</f>
        <v>1.7322189698833228E-5</v>
      </c>
    </row>
    <row r="36" spans="1:3" x14ac:dyDescent="0.45">
      <c r="A36">
        <f ca="1">randcorrWithFeedback!D35</f>
        <v>-2.7361633977420387E-2</v>
      </c>
      <c r="B36">
        <f t="shared" ca="1" si="0"/>
        <v>102.21400478529425</v>
      </c>
      <c r="C36">
        <f ca="1">$E$10 - 0.5*MAX('HE2'!B35,0)/10000</f>
        <v>1.21903775841682E-5</v>
      </c>
    </row>
    <row r="37" spans="1:3" x14ac:dyDescent="0.45">
      <c r="A37">
        <f ca="1">randcorrWithFeedback!D36</f>
        <v>0.67008489069930488</v>
      </c>
      <c r="B37">
        <f t="shared" ca="1" si="0"/>
        <v>102.90104590693417</v>
      </c>
      <c r="C37">
        <f ca="1">$E$10 - 0.5*MAX('HE2'!B36,0)/10000</f>
        <v>-1.7433197674324494E-6</v>
      </c>
    </row>
    <row r="38" spans="1:3" x14ac:dyDescent="0.45">
      <c r="A38">
        <f ca="1">randcorrWithFeedback!D37</f>
        <v>1.0357314150533583</v>
      </c>
      <c r="B38">
        <f t="shared" ca="1" si="0"/>
        <v>103.96837218573114</v>
      </c>
      <c r="C38">
        <f ca="1">$E$10 - 0.5*MAX('HE2'!B37,0)/10000</f>
        <v>-3.8381952676405737E-5</v>
      </c>
    </row>
    <row r="39" spans="1:3" x14ac:dyDescent="0.45">
      <c r="A39">
        <f ca="1">randcorrWithFeedback!D38</f>
        <v>-1.9677669541563367</v>
      </c>
      <c r="B39">
        <f t="shared" ca="1" si="0"/>
        <v>101.94048509302118</v>
      </c>
      <c r="C39">
        <f ca="1">$E$10 - 0.5*MAX('HE2'!B38,0)/10000</f>
        <v>-1.9906235461573913E-5</v>
      </c>
    </row>
    <row r="40" spans="1:3" x14ac:dyDescent="0.45">
      <c r="A40">
        <f ca="1">randcorrWithFeedback!D39</f>
        <v>-2.0779882802965211</v>
      </c>
      <c r="B40">
        <f t="shared" ca="1" si="0"/>
        <v>99.844825790841412</v>
      </c>
      <c r="C40">
        <f ca="1">$E$10 - 0.5*MAX('HE2'!B39,0)/10000</f>
        <v>7.9579870873272047E-6</v>
      </c>
    </row>
    <row r="41" spans="1:3" x14ac:dyDescent="0.45">
      <c r="A41">
        <f ca="1">randcorrWithFeedback!D40</f>
        <v>9.7160382218323127E-2</v>
      </c>
      <c r="B41">
        <f t="shared" ca="1" si="0"/>
        <v>99.943112995763471</v>
      </c>
      <c r="C41">
        <f ca="1">$E$10 - 0.5*MAX('HE2'!B40,0)/10000</f>
        <v>1.2311557776615488E-5</v>
      </c>
    </row>
    <row r="42" spans="1:3" x14ac:dyDescent="0.45">
      <c r="A42">
        <f ca="1">randcorrWithFeedback!D41</f>
        <v>1.9728682261648081</v>
      </c>
      <c r="B42">
        <f t="shared" ca="1" si="0"/>
        <v>101.93459727052709</v>
      </c>
      <c r="C42">
        <f ca="1">$E$10 - 0.5*MAX('HE2'!B41,0)/10000</f>
        <v>1.5680560151038603E-6</v>
      </c>
    </row>
    <row r="43" spans="1:3" x14ac:dyDescent="0.45">
      <c r="A43">
        <f ca="1">randcorrWithFeedback!D42</f>
        <v>-2.4004956218062672</v>
      </c>
      <c r="B43">
        <f t="shared" ca="1" si="0"/>
        <v>99.52087046934659</v>
      </c>
      <c r="C43">
        <f ca="1">$E$10 - 0.5*MAX('HE2'!B42,0)/10000</f>
        <v>4.0927452762079167E-5</v>
      </c>
    </row>
    <row r="44" spans="1:3" x14ac:dyDescent="0.45">
      <c r="A44">
        <f ca="1">randcorrWithFeedback!D43</f>
        <v>-1.1117137683822194</v>
      </c>
      <c r="B44">
        <f t="shared" ca="1" si="0"/>
        <v>98.427178898525781</v>
      </c>
      <c r="C44">
        <f ca="1">$E$10 - 0.5*MAX('HE2'!B43,0)/10000</f>
        <v>6.6736291750968429E-5</v>
      </c>
    </row>
    <row r="45" spans="1:3" x14ac:dyDescent="0.45">
      <c r="A45">
        <f ca="1">randcorrWithFeedback!D44</f>
        <v>2.4422403294981194</v>
      </c>
      <c r="B45">
        <f t="shared" ca="1" si="0"/>
        <v>100.86472605680596</v>
      </c>
      <c r="C45">
        <f ca="1">$E$10 - 0.5*MAX('HE2'!B44,0)/10000</f>
        <v>4.0895610513100422E-5</v>
      </c>
    </row>
    <row r="46" spans="1:3" x14ac:dyDescent="0.45">
      <c r="A46">
        <f ca="1">randcorrWithFeedback!D45</f>
        <v>-0.92618641411012381</v>
      </c>
      <c r="B46">
        <f t="shared" ca="1" si="0"/>
        <v>99.94016609346788</v>
      </c>
      <c r="C46">
        <f ca="1">$E$10 - 0.5*MAX('HE2'!B45,0)/10000</f>
        <v>5.3258844058605789E-5</v>
      </c>
    </row>
    <row r="47" spans="1:3" x14ac:dyDescent="0.45">
      <c r="A47">
        <f ca="1">randcorrWithFeedback!D46</f>
        <v>-0.54062242207948219</v>
      </c>
      <c r="B47">
        <f t="shared" ca="1" si="0"/>
        <v>99.405648814986662</v>
      </c>
      <c r="C47">
        <f ca="1">$E$10 - 0.5*MAX('HE2'!B46,0)/10000</f>
        <v>4.3497546708136329E-5</v>
      </c>
    </row>
    <row r="48" spans="1:3" x14ac:dyDescent="0.45">
      <c r="A48">
        <f ca="1">randcorrWithFeedback!D47</f>
        <v>-0.14819894324302274</v>
      </c>
      <c r="B48">
        <f t="shared" ca="1" si="0"/>
        <v>99.264357194968198</v>
      </c>
      <c r="C48">
        <f ca="1">$E$10 - 0.5*MAX('HE2'!B47,0)/10000</f>
        <v>5.9614241757813959E-5</v>
      </c>
    </row>
    <row r="49" spans="1:3" x14ac:dyDescent="0.45">
      <c r="A49">
        <f ca="1">randcorrWithFeedback!D48</f>
        <v>0.69607557649225982</v>
      </c>
      <c r="B49">
        <f t="shared" ca="1" si="0"/>
        <v>99.962449121377489</v>
      </c>
      <c r="C49">
        <f ca="1">$E$10 - 0.5*MAX('HE2'!B48,0)/10000</f>
        <v>4.7284934107985166E-5</v>
      </c>
    </row>
    <row r="50" spans="1:3" x14ac:dyDescent="0.45">
      <c r="A50">
        <f ca="1">randcorrWithFeedback!D49</f>
        <v>-2.4506081239909583</v>
      </c>
      <c r="B50">
        <f t="shared" ca="1" si="0"/>
        <v>97.549098737189155</v>
      </c>
      <c r="C50">
        <f ca="1">$E$10 - 0.5*MAX('HE2'!B49,0)/10000</f>
        <v>6.7302602366070557E-5</v>
      </c>
    </row>
    <row r="51" spans="1:3" x14ac:dyDescent="0.45">
      <c r="A51">
        <f ca="1">randcorrWithFeedback!D50</f>
        <v>0.1216949878452204</v>
      </c>
      <c r="B51">
        <f t="shared" ca="1" si="0"/>
        <v>97.674491128864247</v>
      </c>
      <c r="C51">
        <f ca="1">$E$10 - 0.5*MAX('HE2'!B50,0)/10000</f>
        <v>6.7653165726211885E-5</v>
      </c>
    </row>
    <row r="52" spans="1:3" x14ac:dyDescent="0.45">
      <c r="A52">
        <f ca="1">randcorrWithFeedback!D51</f>
        <v>-0.46845086740413922</v>
      </c>
      <c r="B52">
        <f t="shared" ca="1" si="0"/>
        <v>97.225157183436622</v>
      </c>
      <c r="C52">
        <f ca="1">$E$10 - 0.5*MAX('HE2'!B51,0)/10000</f>
        <v>7.3574324851453568E-5</v>
      </c>
    </row>
    <row r="53" spans="1:3" x14ac:dyDescent="0.45">
      <c r="A53">
        <f ca="1">randcorrWithFeedback!D52</f>
        <v>2.3360136325393661</v>
      </c>
      <c r="B53">
        <f t="shared" ca="1" si="0"/>
        <v>99.528561103734404</v>
      </c>
      <c r="C53">
        <f ca="1">$E$10 - 0.5*MAX('HE2'!B52,0)/10000</f>
        <v>5.5016179710457869E-5</v>
      </c>
    </row>
    <row r="54" spans="1:3" x14ac:dyDescent="0.45">
      <c r="A54">
        <f ca="1">randcorrWithFeedback!D53</f>
        <v>1.1595317404843499</v>
      </c>
      <c r="B54">
        <f t="shared" ca="1" si="0"/>
        <v>100.69341257674175</v>
      </c>
      <c r="C54">
        <f ca="1">$E$10 - 0.5*MAX('HE2'!B53,0)/10000</f>
        <v>4.0414618241989947E-5</v>
      </c>
    </row>
    <row r="55" spans="1:3" x14ac:dyDescent="0.45">
      <c r="A55">
        <f ca="1">randcorrWithFeedback!D54</f>
        <v>1.50549110519128</v>
      </c>
      <c r="B55">
        <f t="shared" ca="1" si="0"/>
        <v>102.22371765446138</v>
      </c>
      <c r="C55">
        <f ca="1">$E$10 - 0.5*MAX('HE2'!B54,0)/10000</f>
        <v>2.8429509952285838E-5</v>
      </c>
    </row>
    <row r="56" spans="1:3" x14ac:dyDescent="0.45">
      <c r="A56">
        <f ca="1">randcorrWithFeedback!D55</f>
        <v>-0.15875659182021126</v>
      </c>
      <c r="B56">
        <f t="shared" ca="1" si="0"/>
        <v>102.0634256932581</v>
      </c>
      <c r="C56">
        <f ca="1">$E$10 - 0.5*MAX('HE2'!B55,0)/10000</f>
        <v>1.8284646050687207E-5</v>
      </c>
    </row>
    <row r="57" spans="1:3" x14ac:dyDescent="0.45">
      <c r="A57">
        <f ca="1">randcorrWithFeedback!D56</f>
        <v>-2.9514375389894689</v>
      </c>
      <c r="B57">
        <f t="shared" ca="1" si="0"/>
        <v>99.103237557507498</v>
      </c>
      <c r="C57">
        <f ca="1">$E$10 - 0.5*MAX('HE2'!B56,0)/10000</f>
        <v>8.2045237549966153E-5</v>
      </c>
    </row>
    <row r="58" spans="1:3" x14ac:dyDescent="0.45">
      <c r="A58">
        <f ca="1">randcorrWithFeedback!D57</f>
        <v>-0.37226329262338004</v>
      </c>
      <c r="B58">
        <f t="shared" ca="1" si="0"/>
        <v>98.743254420981515</v>
      </c>
      <c r="C58">
        <f ca="1">$E$10 - 0.5*MAX('HE2'!B57,0)/10000</f>
        <v>8.361430951628805E-5</v>
      </c>
    </row>
    <row r="59" spans="1:3" x14ac:dyDescent="0.45">
      <c r="A59">
        <f ca="1">randcorrWithFeedback!D58</f>
        <v>-0.3298537123341857</v>
      </c>
      <c r="B59">
        <f t="shared" ca="1" si="0"/>
        <v>98.426271663650851</v>
      </c>
      <c r="C59">
        <f ca="1">$E$10 - 0.5*MAX('HE2'!B58,0)/10000</f>
        <v>8.3202211138484538E-5</v>
      </c>
    </row>
    <row r="60" spans="1:3" x14ac:dyDescent="0.45">
      <c r="A60">
        <f ca="1">randcorrWithFeedback!D59</f>
        <v>-0.52853156558743319</v>
      </c>
      <c r="B60">
        <f t="shared" ca="1" si="0"/>
        <v>97.91722687535065</v>
      </c>
      <c r="C60">
        <f ca="1">$E$10 - 0.5*MAX('HE2'!B59,0)/10000</f>
        <v>1.000568350737663E-4</v>
      </c>
    </row>
    <row r="61" spans="1:3" x14ac:dyDescent="0.45">
      <c r="A61">
        <f ca="1">randcorrWithFeedback!D60</f>
        <v>0.33954126589414885</v>
      </c>
      <c r="B61">
        <f t="shared" ca="1" si="0"/>
        <v>98.25929654140171</v>
      </c>
      <c r="C61">
        <f ca="1">$E$10 - 0.5*MAX('HE2'!B60,0)/10000</f>
        <v>9.1956846579652326E-5</v>
      </c>
    </row>
    <row r="62" spans="1:3" x14ac:dyDescent="0.45">
      <c r="A62">
        <f ca="1">randcorrWithFeedback!D61</f>
        <v>0.73761431914433317</v>
      </c>
      <c r="B62">
        <f t="shared" ca="1" si="0"/>
        <v>98.994622613752853</v>
      </c>
      <c r="C62">
        <f ca="1">$E$10 - 0.5*MAX('HE2'!B61,0)/10000</f>
        <v>7.952087553320507E-5</v>
      </c>
    </row>
    <row r="63" spans="1:3" x14ac:dyDescent="0.45">
      <c r="A63">
        <f ca="1">randcorrWithFeedback!D62</f>
        <v>0.5134053576747678</v>
      </c>
      <c r="B63">
        <f t="shared" ca="1" si="0"/>
        <v>99.511685824976013</v>
      </c>
      <c r="C63">
        <f ca="1">$E$10 - 0.5*MAX('HE2'!B62,0)/10000</f>
        <v>7.5497542198063383E-5</v>
      </c>
    </row>
    <row r="64" spans="1:3" x14ac:dyDescent="0.45">
      <c r="A64">
        <f ca="1">randcorrWithFeedback!D63</f>
        <v>-1.011666984864225</v>
      </c>
      <c r="B64">
        <f t="shared" ca="1" si="0"/>
        <v>98.518969401932111</v>
      </c>
      <c r="C64">
        <f ca="1">$E$10 - 0.5*MAX('HE2'!B63,0)/10000</f>
        <v>9.0699500225277805E-5</v>
      </c>
    </row>
    <row r="65" spans="1:3" x14ac:dyDescent="0.45">
      <c r="A65">
        <f ca="1">randcorrWithFeedback!D64</f>
        <v>-0.64893873227724819</v>
      </c>
      <c r="B65">
        <f t="shared" ca="1" si="0"/>
        <v>97.891699451874246</v>
      </c>
      <c r="C65">
        <f ca="1">$E$10 - 0.5*MAX('HE2'!B64,0)/10000</f>
        <v>1.0203488062210404E-4</v>
      </c>
    </row>
    <row r="66" spans="1:3" x14ac:dyDescent="0.45">
      <c r="A66">
        <f ca="1">randcorrWithFeedback!D65</f>
        <v>-0.4007432213120351</v>
      </c>
      <c r="B66">
        <f t="shared" ca="1" si="0"/>
        <v>97.510459751927954</v>
      </c>
      <c r="C66">
        <f ca="1">$E$10 - 0.5*MAX('HE2'!B65,0)/10000</f>
        <v>1.0532401489485542E-4</v>
      </c>
    </row>
    <row r="67" spans="1:3" x14ac:dyDescent="0.45">
      <c r="A67">
        <f ca="1">randcorrWithFeedback!D66</f>
        <v>0.19884122841176441</v>
      </c>
      <c r="B67">
        <f t="shared" ca="1" si="0"/>
        <v>97.714609153015985</v>
      </c>
      <c r="C67">
        <f ca="1">$E$10 - 0.5*MAX('HE2'!B66,0)/10000</f>
        <v>1.0301456640654288E-4</v>
      </c>
    </row>
    <row r="68" spans="1:3" x14ac:dyDescent="0.45">
      <c r="A68">
        <f ca="1">randcorrWithFeedback!D67</f>
        <v>0.23956429689122838</v>
      </c>
      <c r="B68">
        <f t="shared" ref="B68:B131" ca="1" si="1">B67*EXP(C68+A68/100)</f>
        <v>97.958957068213337</v>
      </c>
      <c r="C68">
        <f ca="1">$E$10 - 0.5*MAX('HE2'!B67,0)/10000</f>
        <v>1.018639445346452E-4</v>
      </c>
    </row>
    <row r="69" spans="1:3" x14ac:dyDescent="0.45">
      <c r="A69">
        <f ca="1">randcorrWithFeedback!D68</f>
        <v>0.26755921467406713</v>
      </c>
      <c r="B69">
        <f t="shared" ca="1" si="1"/>
        <v>98.230591945734943</v>
      </c>
      <c r="C69">
        <f ca="1">$E$10 - 0.5*MAX('HE2'!B68,0)/10000</f>
        <v>9.3516120856943286E-5</v>
      </c>
    </row>
    <row r="70" spans="1:3" x14ac:dyDescent="0.45">
      <c r="A70">
        <f ca="1">randcorrWithFeedback!D69</f>
        <v>-0.29495855570198654</v>
      </c>
      <c r="B70">
        <f t="shared" ca="1" si="1"/>
        <v>97.950708954961527</v>
      </c>
      <c r="C70">
        <f ca="1">$E$10 - 0.5*MAX('HE2'!B69,0)/10000</f>
        <v>9.6274060208462843E-5</v>
      </c>
    </row>
    <row r="71" spans="1:3" x14ac:dyDescent="0.45">
      <c r="A71">
        <f ca="1">randcorrWithFeedback!D70</f>
        <v>-0.58753833187926374</v>
      </c>
      <c r="B71">
        <f t="shared" ca="1" si="1"/>
        <v>97.387257263816267</v>
      </c>
      <c r="C71">
        <f ca="1">$E$10 - 0.5*MAX('HE2'!B70,0)/10000</f>
        <v>1.0637420336523017E-4</v>
      </c>
    </row>
    <row r="72" spans="1:3" x14ac:dyDescent="0.45">
      <c r="A72">
        <f ca="1">randcorrWithFeedback!D71</f>
        <v>7.693561267255249E-3</v>
      </c>
      <c r="B72">
        <f t="shared" ca="1" si="1"/>
        <v>97.405085117610511</v>
      </c>
      <c r="C72">
        <f ca="1">$E$10 - 0.5*MAX('HE2'!B71,0)/10000</f>
        <v>1.0610909664267085E-4</v>
      </c>
    </row>
    <row r="73" spans="1:3" x14ac:dyDescent="0.45">
      <c r="A73">
        <f ca="1">randcorrWithFeedback!D72</f>
        <v>-5.9479605936673154E-3</v>
      </c>
      <c r="B73">
        <f t="shared" ca="1" si="1"/>
        <v>97.409493463048889</v>
      </c>
      <c r="C73">
        <f ca="1">$E$10 - 0.5*MAX('HE2'!B72,0)/10000</f>
        <v>1.047364390879163E-4</v>
      </c>
    </row>
    <row r="74" spans="1:3" x14ac:dyDescent="0.45">
      <c r="A74">
        <f ca="1">randcorrWithFeedback!D73</f>
        <v>0.1651103337713187</v>
      </c>
      <c r="B74">
        <f t="shared" ca="1" si="1"/>
        <v>97.580249316192706</v>
      </c>
      <c r="C74">
        <f ca="1">$E$10 - 0.5*MAX('HE2'!B73,0)/10000</f>
        <v>1.0033132094930215E-4</v>
      </c>
    </row>
    <row r="75" spans="1:3" x14ac:dyDescent="0.45">
      <c r="A75">
        <f ca="1">randcorrWithFeedback!D74</f>
        <v>-0.95241311491360248</v>
      </c>
      <c r="B75">
        <f t="shared" ca="1" si="1"/>
        <v>96.665681029132131</v>
      </c>
      <c r="C75">
        <f ca="1">$E$10 - 0.5*MAX('HE2'!B74,0)/10000</f>
        <v>1.0745978202786333E-4</v>
      </c>
    </row>
    <row r="76" spans="1:3" x14ac:dyDescent="0.45">
      <c r="A76">
        <f ca="1">randcorrWithFeedback!D75</f>
        <v>0</v>
      </c>
      <c r="B76">
        <f t="shared" ca="1" si="1"/>
        <v>96.675944903822639</v>
      </c>
      <c r="C76">
        <f ca="1">$E$10 - 0.5*MAX('HE2'!B75,0)/10000</f>
        <v>1.0617346006692588E-4</v>
      </c>
    </row>
    <row r="77" spans="1:3" x14ac:dyDescent="0.45">
      <c r="A77">
        <f ca="1">randcorrWithFeedback!D76</f>
        <v>0.1533831053825534</v>
      </c>
      <c r="B77">
        <f t="shared" ca="1" si="1"/>
        <v>96.834335433974118</v>
      </c>
      <c r="C77">
        <f ca="1">$E$10 - 0.5*MAX('HE2'!B76,0)/10000</f>
        <v>1.0319376208498958E-4</v>
      </c>
    </row>
    <row r="78" spans="1:3" x14ac:dyDescent="0.45">
      <c r="A78">
        <f ca="1">randcorrWithFeedback!D77</f>
        <v>-5.3281629807234353E-2</v>
      </c>
      <c r="B78">
        <f t="shared" ca="1" si="1"/>
        <v>96.792636068506411</v>
      </c>
      <c r="C78">
        <f ca="1">$E$10 - 0.5*MAX('HE2'!B77,0)/10000</f>
        <v>1.0209772835236191E-4</v>
      </c>
    </row>
    <row r="79" spans="1:3" x14ac:dyDescent="0.45">
      <c r="A79">
        <f ca="1">randcorrWithFeedback!D78</f>
        <v>0.47097645438319796</v>
      </c>
      <c r="B79">
        <f t="shared" ca="1" si="1"/>
        <v>97.258659525045687</v>
      </c>
      <c r="C79">
        <f ca="1">$E$10 - 0.5*MAX('HE2'!B78,0)/10000</f>
        <v>9.3340233556151128E-5</v>
      </c>
    </row>
    <row r="80" spans="1:3" x14ac:dyDescent="0.45">
      <c r="A80">
        <f ca="1">randcorrWithFeedback!D79</f>
        <v>4.2343424638335909E-2</v>
      </c>
      <c r="B80">
        <f t="shared" ca="1" si="1"/>
        <v>97.308523070622556</v>
      </c>
      <c r="C80">
        <f ca="1">$E$10 - 0.5*MAX('HE2'!B79,0)/10000</f>
        <v>8.9124408198682994E-5</v>
      </c>
    </row>
    <row r="81" spans="1:3" x14ac:dyDescent="0.45">
      <c r="A81">
        <f ca="1">randcorrWithFeedback!D80</f>
        <v>0.21033563165108696</v>
      </c>
      <c r="B81">
        <f t="shared" ca="1" si="1"/>
        <v>97.52198626187203</v>
      </c>
      <c r="C81">
        <f ca="1">$E$10 - 0.5*MAX('HE2'!B80,0)/10000</f>
        <v>8.7915239425607799E-5</v>
      </c>
    </row>
    <row r="82" spans="1:3" x14ac:dyDescent="0.45">
      <c r="A82">
        <f ca="1">randcorrWithFeedback!D81</f>
        <v>-0.20747948999602739</v>
      </c>
      <c r="B82">
        <f t="shared" ca="1" si="1"/>
        <v>97.329332320519796</v>
      </c>
      <c r="C82">
        <f ca="1">$E$10 - 0.5*MAX('HE2'!B81,0)/10000</f>
        <v>9.7348654980839371E-5</v>
      </c>
    </row>
    <row r="83" spans="1:3" x14ac:dyDescent="0.45">
      <c r="A83">
        <f ca="1">randcorrWithFeedback!D82</f>
        <v>0.6347551714360864</v>
      </c>
      <c r="B83">
        <f t="shared" ca="1" si="1"/>
        <v>97.958161856880707</v>
      </c>
      <c r="C83">
        <f ca="1">$E$10 - 0.5*MAX('HE2'!B82,0)/10000</f>
        <v>9.2509512992580698E-5</v>
      </c>
    </row>
    <row r="84" spans="1:3" x14ac:dyDescent="0.45">
      <c r="A84">
        <f ca="1">randcorrWithFeedback!D83</f>
        <v>0.21689187998530635</v>
      </c>
      <c r="B84">
        <f t="shared" ca="1" si="1"/>
        <v>98.179149527828386</v>
      </c>
      <c r="C84">
        <f ca="1">$E$10 - 0.5*MAX('HE2'!B83,0)/10000</f>
        <v>8.4479728948535325E-5</v>
      </c>
    </row>
    <row r="85" spans="1:3" x14ac:dyDescent="0.45">
      <c r="A85">
        <f ca="1">randcorrWithFeedback!D84</f>
        <v>-0.10840658878798029</v>
      </c>
      <c r="B85">
        <f t="shared" ca="1" si="1"/>
        <v>98.081012517395791</v>
      </c>
      <c r="C85">
        <f ca="1">$E$10 - 0.5*MAX('HE2'!B84,0)/10000</f>
        <v>8.3995189994412087E-5</v>
      </c>
    </row>
    <row r="86" spans="1:3" x14ac:dyDescent="0.45">
      <c r="A86">
        <f ca="1">randcorrWithFeedback!D85</f>
        <v>0.36126535492607964</v>
      </c>
      <c r="B86">
        <f t="shared" ca="1" si="1"/>
        <v>98.443132522068666</v>
      </c>
      <c r="C86">
        <f ca="1">$E$10 - 0.5*MAX('HE2'!B85,0)/10000</f>
        <v>7.2597588014691514E-5</v>
      </c>
    </row>
    <row r="87" spans="1:3" x14ac:dyDescent="0.45">
      <c r="A87">
        <f ca="1">randcorrWithFeedback!D86</f>
        <v>0.80087687525325779</v>
      </c>
      <c r="B87">
        <f t="shared" ca="1" si="1"/>
        <v>99.240802026362701</v>
      </c>
      <c r="C87">
        <f ca="1">$E$10 - 0.5*MAX('HE2'!B86,0)/10000</f>
        <v>6.1425068038954125E-5</v>
      </c>
    </row>
    <row r="88" spans="1:3" x14ac:dyDescent="0.45">
      <c r="A88">
        <f ca="1">randcorrWithFeedback!D87</f>
        <v>0.40173067024532921</v>
      </c>
      <c r="B88">
        <f t="shared" ca="1" si="1"/>
        <v>99.645606083352476</v>
      </c>
      <c r="C88">
        <f ca="1">$E$10 - 0.5*MAX('HE2'!B87,0)/10000</f>
        <v>5.3405015128327513E-5</v>
      </c>
    </row>
    <row r="89" spans="1:3" x14ac:dyDescent="0.45">
      <c r="A89">
        <f ca="1">randcorrWithFeedback!D88</f>
        <v>0.66773443243101316</v>
      </c>
      <c r="B89">
        <f t="shared" ca="1" si="1"/>
        <v>100.31822129296351</v>
      </c>
      <c r="C89">
        <f ca="1">$E$10 - 0.5*MAX('HE2'!B88,0)/10000</f>
        <v>5.0049876864018585E-5</v>
      </c>
    </row>
    <row r="90" spans="1:3" x14ac:dyDescent="0.45">
      <c r="A90">
        <f ca="1">randcorrWithFeedback!D89</f>
        <v>0.54850800364957208</v>
      </c>
      <c r="B90">
        <f t="shared" ca="1" si="1"/>
        <v>100.87331738913535</v>
      </c>
      <c r="C90">
        <f ca="1">$E$10 - 0.5*MAX('HE2'!B89,0)/10000</f>
        <v>3.3019863103437493E-5</v>
      </c>
    </row>
    <row r="91" spans="1:3" x14ac:dyDescent="0.45">
      <c r="A91">
        <f ca="1">randcorrWithFeedback!D90</f>
        <v>4.5621875568752142E-2</v>
      </c>
      <c r="B91">
        <f t="shared" ca="1" si="1"/>
        <v>100.92309334208946</v>
      </c>
      <c r="C91">
        <f ca="1">$E$10 - 0.5*MAX('HE2'!B90,0)/10000</f>
        <v>3.7109681456210051E-5</v>
      </c>
    </row>
    <row r="92" spans="1:3" x14ac:dyDescent="0.45">
      <c r="A92">
        <f ca="1">randcorrWithFeedback!D91</f>
        <v>-2.1591407143447476</v>
      </c>
      <c r="B92">
        <f t="shared" ca="1" si="1"/>
        <v>98.773972417706318</v>
      </c>
      <c r="C92">
        <f ca="1">$E$10 - 0.5*MAX('HE2'!B91,0)/10000</f>
        <v>6.6765393009365952E-5</v>
      </c>
    </row>
    <row r="93" spans="1:3" x14ac:dyDescent="0.45">
      <c r="A93">
        <f ca="1">randcorrWithFeedback!D92</f>
        <v>-1.33043856009635</v>
      </c>
      <c r="B93">
        <f t="shared" ca="1" si="1"/>
        <v>97.47659373676801</v>
      </c>
      <c r="C93">
        <f ca="1">$E$10 - 0.5*MAX('HE2'!B92,0)/10000</f>
        <v>8.253756602379172E-5</v>
      </c>
    </row>
    <row r="94" spans="1:3" x14ac:dyDescent="0.45">
      <c r="A94">
        <f ca="1">randcorrWithFeedback!D93</f>
        <v>0.61157642291448788</v>
      </c>
      <c r="B94">
        <f t="shared" ca="1" si="1"/>
        <v>98.081628921705729</v>
      </c>
      <c r="C94">
        <f ca="1">$E$10 - 0.5*MAX('HE2'!B93,0)/10000</f>
        <v>7.2030967782561256E-5</v>
      </c>
    </row>
    <row r="95" spans="1:3" x14ac:dyDescent="0.45">
      <c r="A95">
        <f ca="1">randcorrWithFeedback!D94</f>
        <v>0.6959921952411634</v>
      </c>
      <c r="B95">
        <f t="shared" ca="1" si="1"/>
        <v>98.773568566849818</v>
      </c>
      <c r="C95">
        <f ca="1">$E$10 - 0.5*MAX('HE2'!B94,0)/10000</f>
        <v>7.004224086748689E-5</v>
      </c>
    </row>
    <row r="96" spans="1:3" x14ac:dyDescent="0.45">
      <c r="A96">
        <f ca="1">randcorrWithFeedback!D95</f>
        <v>-0.24280707283663994</v>
      </c>
      <c r="B96">
        <f t="shared" ca="1" si="1"/>
        <v>98.541526403200876</v>
      </c>
      <c r="C96">
        <f ca="1">$E$10 - 0.5*MAX('HE2'!B95,0)/10000</f>
        <v>7.6073577276892645E-5</v>
      </c>
    </row>
    <row r="97" spans="1:3" x14ac:dyDescent="0.45">
      <c r="A97">
        <f ca="1">randcorrWithFeedback!D96</f>
        <v>0.42512604826913059</v>
      </c>
      <c r="B97">
        <f t="shared" ca="1" si="1"/>
        <v>98.9699449766416</v>
      </c>
      <c r="C97">
        <f ca="1">$E$10 - 0.5*MAX('HE2'!B96,0)/10000</f>
        <v>8.6910281172179391E-5</v>
      </c>
    </row>
    <row r="98" spans="1:3" x14ac:dyDescent="0.45">
      <c r="A98">
        <f ca="1">randcorrWithFeedback!D97</f>
        <v>0.48131873675908138</v>
      </c>
      <c r="B98">
        <f t="shared" ca="1" si="1"/>
        <v>99.45456116765736</v>
      </c>
      <c r="C98">
        <f ca="1">$E$10 - 0.5*MAX('HE2'!B97,0)/10000</f>
        <v>7.1462860377777813E-5</v>
      </c>
    </row>
    <row r="99" spans="1:3" x14ac:dyDescent="0.45">
      <c r="A99">
        <f ca="1">randcorrWithFeedback!D98</f>
        <v>1.1856134748274201</v>
      </c>
      <c r="B99">
        <f t="shared" ca="1" si="1"/>
        <v>100.6458274411191</v>
      </c>
      <c r="C99">
        <f ca="1">$E$10 - 0.5*MAX('HE2'!B98,0)/10000</f>
        <v>5.0692177752469402E-5</v>
      </c>
    </row>
    <row r="100" spans="1:3" x14ac:dyDescent="0.45">
      <c r="A100">
        <f ca="1">randcorrWithFeedback!D99</f>
        <v>0.16540588027096365</v>
      </c>
      <c r="B100">
        <f t="shared" ca="1" si="1"/>
        <v>100.81622877541209</v>
      </c>
      <c r="C100">
        <f ca="1">$E$10 - 0.5*MAX('HE2'!B99,0)/10000</f>
        <v>3.7588529092373327E-5</v>
      </c>
    </row>
    <row r="101" spans="1:3" x14ac:dyDescent="0.45">
      <c r="A101">
        <f ca="1">randcorrWithFeedback!D100</f>
        <v>1.893277105681324</v>
      </c>
      <c r="B101">
        <f t="shared" ca="1" si="1"/>
        <v>102.74643141331759</v>
      </c>
      <c r="C101">
        <f ca="1">$E$10 - 0.5*MAX('HE2'!B100,0)/10000</f>
        <v>3.2008511501049886E-5</v>
      </c>
    </row>
    <row r="102" spans="1:3" x14ac:dyDescent="0.45">
      <c r="A102">
        <f ca="1">randcorrWithFeedback!D101</f>
        <v>1.2299363597410045</v>
      </c>
      <c r="B102">
        <f t="shared" ca="1" si="1"/>
        <v>104.02102604892575</v>
      </c>
      <c r="C102">
        <f ca="1">$E$10 - 0.5*MAX('HE2'!B101,0)/10000</f>
        <v>2.9566654422916676E-5</v>
      </c>
    </row>
    <row r="103" spans="1:3" x14ac:dyDescent="0.45">
      <c r="A103">
        <f ca="1">randcorrWithFeedback!D102</f>
        <v>0.85741245501590424</v>
      </c>
      <c r="B103">
        <f t="shared" ca="1" si="1"/>
        <v>104.91848740618087</v>
      </c>
      <c r="C103">
        <f ca="1">$E$10 - 0.5*MAX('HE2'!B102,0)/10000</f>
        <v>1.6561450648400533E-5</v>
      </c>
    </row>
    <row r="104" spans="1:3" x14ac:dyDescent="0.45">
      <c r="A104">
        <f ca="1">randcorrWithFeedback!D103</f>
        <v>1.3107386420481093</v>
      </c>
      <c r="B104">
        <f t="shared" ca="1" si="1"/>
        <v>106.30108248454407</v>
      </c>
      <c r="C104">
        <f ca="1">$E$10 - 0.5*MAX('HE2'!B103,0)/10000</f>
        <v>-1.5656081967493652E-5</v>
      </c>
    </row>
    <row r="105" spans="1:3" x14ac:dyDescent="0.45">
      <c r="A105">
        <f ca="1">randcorrWithFeedback!D104</f>
        <v>1.7225256981922852</v>
      </c>
      <c r="B105">
        <f t="shared" ca="1" si="1"/>
        <v>108.14063838946095</v>
      </c>
      <c r="C105">
        <f ca="1">$E$10 - 0.5*MAX('HE2'!B104,0)/10000</f>
        <v>-6.8138278205905718E-5</v>
      </c>
    </row>
    <row r="106" spans="1:3" x14ac:dyDescent="0.45">
      <c r="A106">
        <f ca="1">randcorrWithFeedback!D105</f>
        <v>2.8677409418361526</v>
      </c>
      <c r="B106">
        <f t="shared" ca="1" si="1"/>
        <v>111.27357442848424</v>
      </c>
      <c r="C106">
        <f ca="1">$E$10 - 0.5*MAX('HE2'!B105,0)/10000</f>
        <v>-1.1819314301704197E-4</v>
      </c>
    </row>
    <row r="107" spans="1:3" x14ac:dyDescent="0.45">
      <c r="A107">
        <f ca="1">randcorrWithFeedback!D106</f>
        <v>2.5737511574394327</v>
      </c>
      <c r="B107">
        <f t="shared" ca="1" si="1"/>
        <v>114.15869037174002</v>
      </c>
      <c r="C107">
        <f ca="1">$E$10 - 0.5*MAX('HE2'!B106,0)/10000</f>
        <v>-1.3981391074426166E-4</v>
      </c>
    </row>
    <row r="108" spans="1:3" x14ac:dyDescent="0.45">
      <c r="A108">
        <f ca="1">randcorrWithFeedback!D107</f>
        <v>-0.84181743151024857</v>
      </c>
      <c r="B108">
        <f t="shared" ca="1" si="1"/>
        <v>113.18758924150082</v>
      </c>
      <c r="C108">
        <f ca="1">$E$10 - 0.5*MAX('HE2'!B107,0)/10000</f>
        <v>-1.2480283848376246E-4</v>
      </c>
    </row>
    <row r="109" spans="1:3" x14ac:dyDescent="0.45">
      <c r="A109">
        <f ca="1">randcorrWithFeedback!D108</f>
        <v>-4.1040220425454796</v>
      </c>
      <c r="B109">
        <f t="shared" ca="1" si="1"/>
        <v>108.63073482182362</v>
      </c>
      <c r="C109">
        <f ca="1">$E$10 - 0.5*MAX('HE2'!B108,0)/10000</f>
        <v>-5.1926788126190114E-5</v>
      </c>
    </row>
    <row r="110" spans="1:3" x14ac:dyDescent="0.45">
      <c r="A110">
        <f ca="1">randcorrWithFeedback!D109</f>
        <v>2.7096993107718554</v>
      </c>
      <c r="B110">
        <f t="shared" ca="1" si="1"/>
        <v>111.60776698227031</v>
      </c>
      <c r="C110">
        <f ca="1">$E$10 - 0.5*MAX('HE2'!B109,0)/10000</f>
        <v>-6.0725836198468838E-5</v>
      </c>
    </row>
    <row r="111" spans="1:3" x14ac:dyDescent="0.45">
      <c r="A111">
        <f ca="1">randcorrWithFeedback!D110</f>
        <v>-1.7334456114216723</v>
      </c>
      <c r="B111">
        <f t="shared" ca="1" si="1"/>
        <v>109.68814557753032</v>
      </c>
      <c r="C111">
        <f ca="1">$E$10 - 0.5*MAX('HE2'!B110,0)/10000</f>
        <v>-1.4888776608209067E-5</v>
      </c>
    </row>
    <row r="112" spans="1:3" x14ac:dyDescent="0.45">
      <c r="A112">
        <f ca="1">randcorrWithFeedback!D111</f>
        <v>-1.2864503127811922</v>
      </c>
      <c r="B112">
        <f t="shared" ca="1" si="1"/>
        <v>108.28677614952817</v>
      </c>
      <c r="C112">
        <f ca="1">$E$10 - 0.5*MAX('HE2'!B111,0)/10000</f>
        <v>6.2465470189963779E-6</v>
      </c>
    </row>
    <row r="113" spans="1:3" x14ac:dyDescent="0.45">
      <c r="A113">
        <f ca="1">randcorrWithFeedback!D112</f>
        <v>0.99368016123936753</v>
      </c>
      <c r="B113">
        <f t="shared" ca="1" si="1"/>
        <v>109.36618212057618</v>
      </c>
      <c r="C113">
        <f ca="1">$E$10 - 0.5*MAX('HE2'!B112,0)/10000</f>
        <v>-1.812346569225558E-5</v>
      </c>
    </row>
    <row r="114" spans="1:3" x14ac:dyDescent="0.45">
      <c r="A114">
        <f ca="1">randcorrWithFeedback!D113</f>
        <v>-0.78229028964307779</v>
      </c>
      <c r="B114">
        <f t="shared" ca="1" si="1"/>
        <v>108.51364814024367</v>
      </c>
      <c r="C114">
        <f ca="1">$E$10 - 0.5*MAX('HE2'!B113,0)/10000</f>
        <v>-2.8635387527445002E-6</v>
      </c>
    </row>
    <row r="115" spans="1:3" x14ac:dyDescent="0.45">
      <c r="A115">
        <f ca="1">randcorrWithFeedback!D114</f>
        <v>1.3723982129478827</v>
      </c>
      <c r="B115">
        <f t="shared" ca="1" si="1"/>
        <v>110.01132470161194</v>
      </c>
      <c r="C115">
        <f ca="1">$E$10 - 0.5*MAX('HE2'!B114,0)/10000</f>
        <v>-1.6624184107020396E-5</v>
      </c>
    </row>
    <row r="116" spans="1:3" x14ac:dyDescent="0.45">
      <c r="A116">
        <f ca="1">randcorrWithFeedback!D115</f>
        <v>-0.7251292500397537</v>
      </c>
      <c r="B116">
        <f t="shared" ca="1" si="1"/>
        <v>109.21673714991255</v>
      </c>
      <c r="C116">
        <f ca="1">$E$10 - 0.5*MAX('HE2'!B115,0)/10000</f>
        <v>2.302343982307393E-6</v>
      </c>
    </row>
    <row r="117" spans="1:3" x14ac:dyDescent="0.45">
      <c r="A117">
        <f ca="1">randcorrWithFeedback!D116</f>
        <v>-2.3438733537036232</v>
      </c>
      <c r="B117">
        <f t="shared" ca="1" si="1"/>
        <v>106.69041223175955</v>
      </c>
      <c r="C117">
        <f ca="1">$E$10 - 0.5*MAX('HE2'!B116,0)/10000</f>
        <v>3.5708390814617136E-5</v>
      </c>
    </row>
    <row r="118" spans="1:3" x14ac:dyDescent="0.45">
      <c r="A118">
        <f ca="1">randcorrWithFeedback!D117</f>
        <v>0.71025038442482624</v>
      </c>
      <c r="B118">
        <f t="shared" ca="1" si="1"/>
        <v>107.45222031283866</v>
      </c>
      <c r="C118">
        <f ca="1">$E$10 - 0.5*MAX('HE2'!B117,0)/10000</f>
        <v>1.248569127502202E-5</v>
      </c>
    </row>
    <row r="119" spans="1:3" x14ac:dyDescent="0.45">
      <c r="A119">
        <f ca="1">randcorrWithFeedback!D118</f>
        <v>0.85004244480188007</v>
      </c>
      <c r="B119">
        <f t="shared" ca="1" si="1"/>
        <v>108.36981040273704</v>
      </c>
      <c r="C119">
        <f ca="1">$E$10 - 0.5*MAX('HE2'!B118,0)/10000</f>
        <v>2.8373899621687984E-6</v>
      </c>
    </row>
    <row r="120" spans="1:3" x14ac:dyDescent="0.45">
      <c r="A120">
        <f ca="1">randcorrWithFeedback!D119</f>
        <v>0.19530217041040393</v>
      </c>
      <c r="B120">
        <f t="shared" ca="1" si="1"/>
        <v>108.58120990309506</v>
      </c>
      <c r="C120">
        <f ca="1">$E$10 - 0.5*MAX('HE2'!B119,0)/10000</f>
        <v>-4.1987212355790887E-6</v>
      </c>
    </row>
    <row r="121" spans="1:3" x14ac:dyDescent="0.45">
      <c r="A121">
        <f ca="1">randcorrWithFeedback!D120</f>
        <v>-1.0005728128126832</v>
      </c>
      <c r="B121">
        <f t="shared" ca="1" si="1"/>
        <v>107.49988923688011</v>
      </c>
      <c r="C121">
        <f ca="1">$E$10 - 0.5*MAX('HE2'!B120,0)/10000</f>
        <v>-2.8260391017395089E-6</v>
      </c>
    </row>
    <row r="122" spans="1:3" x14ac:dyDescent="0.45">
      <c r="A122">
        <f ca="1">randcorrWithFeedback!D121</f>
        <v>-0.15165486809660508</v>
      </c>
      <c r="B122">
        <f t="shared" ca="1" si="1"/>
        <v>107.33696118037635</v>
      </c>
      <c r="C122">
        <f ca="1">$E$10 - 0.5*MAX('HE2'!B121,0)/10000</f>
        <v>-2.1240934839010896E-7</v>
      </c>
    </row>
    <row r="123" spans="1:3" x14ac:dyDescent="0.45">
      <c r="A123">
        <f ca="1">randcorrWithFeedback!D122</f>
        <v>1.1967738333537254</v>
      </c>
      <c r="B123">
        <f t="shared" ca="1" si="1"/>
        <v>108.62624375328731</v>
      </c>
      <c r="C123">
        <f ca="1">$E$10 - 0.5*MAX('HE2'!B122,0)/10000</f>
        <v>-2.7760963074525096E-5</v>
      </c>
    </row>
    <row r="124" spans="1:3" x14ac:dyDescent="0.45">
      <c r="A124">
        <f ca="1">randcorrWithFeedback!D123</f>
        <v>-0.85686900219668916</v>
      </c>
      <c r="B124">
        <f t="shared" ca="1" si="1"/>
        <v>107.69760021714163</v>
      </c>
      <c r="C124">
        <f ca="1">$E$10 - 0.5*MAX('HE2'!B123,0)/10000</f>
        <v>-1.7041663062868095E-5</v>
      </c>
    </row>
    <row r="125" spans="1:3" x14ac:dyDescent="0.45">
      <c r="A125">
        <f ca="1">randcorrWithFeedback!D124</f>
        <v>0.81316825867739873</v>
      </c>
      <c r="B125">
        <f t="shared" ca="1" si="1"/>
        <v>108.57454527260677</v>
      </c>
      <c r="C125">
        <f ca="1">$E$10 - 0.5*MAX('HE2'!B124,0)/10000</f>
        <v>-2.1994123214210895E-5</v>
      </c>
    </row>
    <row r="126" spans="1:3" x14ac:dyDescent="0.45">
      <c r="A126">
        <f ca="1">randcorrWithFeedback!D125</f>
        <v>0.81309610068729854</v>
      </c>
      <c r="B126">
        <f t="shared" ca="1" si="1"/>
        <v>109.45589610195128</v>
      </c>
      <c r="C126">
        <f ca="1">$E$10 - 0.5*MAX('HE2'!B125,0)/10000</f>
        <v>-4.6258481992634691E-5</v>
      </c>
    </row>
    <row r="127" spans="1:3" x14ac:dyDescent="0.45">
      <c r="A127">
        <f ca="1">randcorrWithFeedback!D126</f>
        <v>3.809236536401964</v>
      </c>
      <c r="B127">
        <f t="shared" ca="1" si="1"/>
        <v>113.69688702338192</v>
      </c>
      <c r="C127">
        <f ca="1">$E$10 - 0.5*MAX('HE2'!B126,0)/10000</f>
        <v>-7.8036640554963614E-5</v>
      </c>
    </row>
    <row r="128" spans="1:3" x14ac:dyDescent="0.45">
      <c r="A128">
        <f ca="1">randcorrWithFeedback!D127</f>
        <v>0.29111617463162592</v>
      </c>
      <c r="B128">
        <f t="shared" ca="1" si="1"/>
        <v>114.01958284164992</v>
      </c>
      <c r="C128">
        <f ca="1">$E$10 - 0.5*MAX('HE2'!B127,0)/10000</f>
        <v>-7.6970311085073029E-5</v>
      </c>
    </row>
    <row r="129" spans="1:3" x14ac:dyDescent="0.45">
      <c r="A129">
        <f ca="1">randcorrWithFeedback!D128</f>
        <v>3.8511343595307816</v>
      </c>
      <c r="B129">
        <f t="shared" ca="1" si="1"/>
        <v>118.48363642333484</v>
      </c>
      <c r="C129">
        <f ca="1">$E$10 - 0.5*MAX('HE2'!B128,0)/10000</f>
        <v>-1.0669476471647418E-4</v>
      </c>
    </row>
    <row r="130" spans="1:3" x14ac:dyDescent="0.45">
      <c r="A130">
        <f ca="1">randcorrWithFeedback!D129</f>
        <v>1.2684234405205481E-3</v>
      </c>
      <c r="B130">
        <f t="shared" ca="1" si="1"/>
        <v>118.47188098765037</v>
      </c>
      <c r="C130">
        <f ca="1">$E$10 - 0.5*MAX('HE2'!B129,0)/10000</f>
        <v>-1.1190484612641813E-4</v>
      </c>
    </row>
    <row r="131" spans="1:3" x14ac:dyDescent="0.45">
      <c r="A131">
        <f ca="1">randcorrWithFeedback!D130</f>
        <v>1.1618644214911447</v>
      </c>
      <c r="B131">
        <f t="shared" ca="1" si="1"/>
        <v>119.84068451471191</v>
      </c>
      <c r="C131">
        <f ca="1">$E$10 - 0.5*MAX('HE2'!B130,0)/10000</f>
        <v>-1.3105373088292293E-4</v>
      </c>
    </row>
    <row r="132" spans="1:3" x14ac:dyDescent="0.45">
      <c r="A132">
        <f ca="1">randcorrWithFeedback!D131</f>
        <v>0.38962304320688168</v>
      </c>
      <c r="B132">
        <f t="shared" ref="B132:B195" ca="1" si="2">B131*EXP(C132+A132/100)</f>
        <v>120.29557595574492</v>
      </c>
      <c r="C132">
        <f ca="1">$E$10 - 0.5*MAX('HE2'!B131,0)/10000</f>
        <v>-1.0761488310663441E-4</v>
      </c>
    </row>
    <row r="133" spans="1:3" x14ac:dyDescent="0.45">
      <c r="A133">
        <f ca="1">randcorrWithFeedback!D132</f>
        <v>1.0919027873390064</v>
      </c>
      <c r="B133">
        <f t="shared" ca="1" si="2"/>
        <v>121.59912741006553</v>
      </c>
      <c r="C133">
        <f ca="1">$E$10 - 0.5*MAX('HE2'!B132,0)/10000</f>
        <v>-1.4108147783474561E-4</v>
      </c>
    </row>
    <row r="134" spans="1:3" x14ac:dyDescent="0.45">
      <c r="A134">
        <f ca="1">randcorrWithFeedback!D133</f>
        <v>0.59576988542325937</v>
      </c>
      <c r="B134">
        <f t="shared" ca="1" si="2"/>
        <v>122.30368804644846</v>
      </c>
      <c r="C134">
        <f ca="1">$E$10 - 0.5*MAX('HE2'!B133,0)/10000</f>
        <v>-1.8029448256056454E-4</v>
      </c>
    </row>
    <row r="135" spans="1:3" x14ac:dyDescent="0.45">
      <c r="A135">
        <f ca="1">randcorrWithFeedback!D134</f>
        <v>-0.92056556985000526</v>
      </c>
      <c r="B135">
        <f t="shared" ca="1" si="2"/>
        <v>121.16170500537167</v>
      </c>
      <c r="C135">
        <f ca="1">$E$10 - 0.5*MAX('HE2'!B134,0)/10000</f>
        <v>-1.7548386997863697E-4</v>
      </c>
    </row>
    <row r="136" spans="1:3" x14ac:dyDescent="0.45">
      <c r="A136">
        <f ca="1">randcorrWithFeedback!D135</f>
        <v>3.960906590666414</v>
      </c>
      <c r="B136">
        <f t="shared" ca="1" si="2"/>
        <v>126.02994773375164</v>
      </c>
      <c r="C136">
        <f ca="1">$E$10 - 0.5*MAX('HE2'!B135,0)/10000</f>
        <v>-2.1556517555043451E-4</v>
      </c>
    </row>
    <row r="137" spans="1:3" x14ac:dyDescent="0.45">
      <c r="A137">
        <f ca="1">randcorrWithFeedback!D136</f>
        <v>0.68814481328456845</v>
      </c>
      <c r="B137">
        <f t="shared" ca="1" si="2"/>
        <v>126.86900751248841</v>
      </c>
      <c r="C137">
        <f ca="1">$E$10 - 0.5*MAX('HE2'!B136,0)/10000</f>
        <v>-2.4589001745632438E-4</v>
      </c>
    </row>
    <row r="138" spans="1:3" x14ac:dyDescent="0.45">
      <c r="A138">
        <f ca="1">randcorrWithFeedback!D137</f>
        <v>2.6178165173507102</v>
      </c>
      <c r="B138">
        <f t="shared" ca="1" si="2"/>
        <v>130.19899451165179</v>
      </c>
      <c r="C138">
        <f ca="1">$E$10 - 0.5*MAX('HE2'!B137,0)/10000</f>
        <v>-2.6927532557152284E-4</v>
      </c>
    </row>
    <row r="139" spans="1:3" x14ac:dyDescent="0.45">
      <c r="A139">
        <f ca="1">randcorrWithFeedback!D138</f>
        <v>-1.8831398850743466</v>
      </c>
      <c r="B139">
        <f t="shared" ca="1" si="2"/>
        <v>127.7408016299517</v>
      </c>
      <c r="C139">
        <f ca="1">$E$10 - 0.5*MAX('HE2'!B138,0)/10000</f>
        <v>-2.2938465432113808E-4</v>
      </c>
    </row>
    <row r="140" spans="1:3" x14ac:dyDescent="0.45">
      <c r="A140">
        <f ca="1">randcorrWithFeedback!D139</f>
        <v>-3.7425930768997135</v>
      </c>
      <c r="B140">
        <f t="shared" ca="1" si="2"/>
        <v>123.03149529782583</v>
      </c>
      <c r="C140">
        <f ca="1">$E$10 - 0.5*MAX('HE2'!B139,0)/10000</f>
        <v>-1.3691089908454625E-4</v>
      </c>
    </row>
    <row r="141" spans="1:3" x14ac:dyDescent="0.45">
      <c r="A141">
        <f ca="1">randcorrWithFeedback!D140</f>
        <v>-4.1494191672989507</v>
      </c>
      <c r="B141">
        <f t="shared" ca="1" si="2"/>
        <v>118.02083670987233</v>
      </c>
      <c r="C141">
        <f ca="1">$E$10 - 0.5*MAX('HE2'!B140,0)/10000</f>
        <v>-8.4999089848414642E-5</v>
      </c>
    </row>
    <row r="142" spans="1:3" x14ac:dyDescent="0.45">
      <c r="A142">
        <f ca="1">randcorrWithFeedback!D141</f>
        <v>2.2736662917383121</v>
      </c>
      <c r="B142">
        <f t="shared" ca="1" si="2"/>
        <v>120.72493837429644</v>
      </c>
      <c r="C142">
        <f ca="1">$E$10 - 0.5*MAX('HE2'!B141,0)/10000</f>
        <v>-8.3132785288678434E-5</v>
      </c>
    </row>
    <row r="143" spans="1:3" x14ac:dyDescent="0.45">
      <c r="A143">
        <f ca="1">randcorrWithFeedback!D142</f>
        <v>-0.29474532345298771</v>
      </c>
      <c r="B143">
        <f t="shared" ca="1" si="2"/>
        <v>120.36120661788362</v>
      </c>
      <c r="C143">
        <f ca="1">$E$10 - 0.5*MAX('HE2'!B142,0)/10000</f>
        <v>-6.9991276063475534E-5</v>
      </c>
    </row>
    <row r="144" spans="1:3" x14ac:dyDescent="0.45">
      <c r="A144">
        <f ca="1">randcorrWithFeedback!D143</f>
        <v>0.27407503415407608</v>
      </c>
      <c r="B144">
        <f t="shared" ca="1" si="2"/>
        <v>120.68442916011742</v>
      </c>
      <c r="C144">
        <f ca="1">$E$10 - 0.5*MAX('HE2'!B143,0)/10000</f>
        <v>-5.8911818179651233E-5</v>
      </c>
    </row>
    <row r="145" spans="1:3" x14ac:dyDescent="0.45">
      <c r="A145">
        <f ca="1">randcorrWithFeedback!D144</f>
        <v>3.0366305501800799</v>
      </c>
      <c r="B145">
        <f t="shared" ca="1" si="2"/>
        <v>124.39011633012841</v>
      </c>
      <c r="C145">
        <f ca="1">$E$10 - 0.5*MAX('HE2'!B144,0)/10000</f>
        <v>-1.226943843017346E-4</v>
      </c>
    </row>
    <row r="146" spans="1:3" x14ac:dyDescent="0.45">
      <c r="A146">
        <f ca="1">randcorrWithFeedback!D145</f>
        <v>1.0565128914867781</v>
      </c>
      <c r="B146">
        <f t="shared" ca="1" si="2"/>
        <v>125.69670452015745</v>
      </c>
      <c r="C146">
        <f ca="1">$E$10 - 0.5*MAX('HE2'!B145,0)/10000</f>
        <v>-1.1595711201026662E-4</v>
      </c>
    </row>
    <row r="147" spans="1:3" x14ac:dyDescent="0.45">
      <c r="A147">
        <f ca="1">randcorrWithFeedback!D146</f>
        <v>-1.943334256078785</v>
      </c>
      <c r="B147">
        <f t="shared" ca="1" si="2"/>
        <v>123.26978141401163</v>
      </c>
      <c r="C147">
        <f ca="1">$E$10 - 0.5*MAX('HE2'!B146,0)/10000</f>
        <v>-6.325733587847745E-5</v>
      </c>
    </row>
    <row r="148" spans="1:3" x14ac:dyDescent="0.45">
      <c r="A148">
        <f ca="1">randcorrWithFeedback!D147</f>
        <v>0.30586646279141594</v>
      </c>
      <c r="B148">
        <f t="shared" ca="1" si="2"/>
        <v>123.63773649071923</v>
      </c>
      <c r="C148">
        <f ca="1">$E$10 - 0.5*MAX('HE2'!B147,0)/10000</f>
        <v>-7.8153121237090322E-5</v>
      </c>
    </row>
    <row r="149" spans="1:3" x14ac:dyDescent="0.45">
      <c r="A149">
        <f ca="1">randcorrWithFeedback!D148</f>
        <v>4.04186416755328</v>
      </c>
      <c r="B149">
        <f t="shared" ca="1" si="2"/>
        <v>128.7188461197056</v>
      </c>
      <c r="C149">
        <f ca="1">$E$10 - 0.5*MAX('HE2'!B148,0)/10000</f>
        <v>-1.4391313652030587E-4</v>
      </c>
    </row>
    <row r="150" spans="1:3" x14ac:dyDescent="0.45">
      <c r="A150">
        <f ca="1">randcorrWithFeedback!D149</f>
        <v>2.1596571891668974</v>
      </c>
      <c r="B150">
        <f t="shared" ca="1" si="2"/>
        <v>131.51065884493022</v>
      </c>
      <c r="C150">
        <f ca="1">$E$10 - 0.5*MAX('HE2'!B149,0)/10000</f>
        <v>-1.3920608185917678E-4</v>
      </c>
    </row>
    <row r="151" spans="1:3" x14ac:dyDescent="0.45">
      <c r="A151">
        <f ca="1">randcorrWithFeedback!D150</f>
        <v>0.68057363390531334</v>
      </c>
      <c r="B151">
        <f t="shared" ca="1" si="2"/>
        <v>132.39170638670598</v>
      </c>
      <c r="C151">
        <f ca="1">$E$10 - 0.5*MAX('HE2'!B150,0)/10000</f>
        <v>-1.2863956989396635E-4</v>
      </c>
    </row>
    <row r="152" spans="1:3" x14ac:dyDescent="0.45">
      <c r="A152">
        <f ca="1">randcorrWithFeedback!D151</f>
        <v>-1.4213518358079418</v>
      </c>
      <c r="B152">
        <f t="shared" ca="1" si="2"/>
        <v>130.50764793083431</v>
      </c>
      <c r="C152">
        <f ca="1">$E$10 - 0.5*MAX('HE2'!B151,0)/10000</f>
        <v>-1.1965271950210222E-4</v>
      </c>
    </row>
    <row r="153" spans="1:3" x14ac:dyDescent="0.45">
      <c r="A153">
        <f ca="1">randcorrWithFeedback!D152</f>
        <v>1.0335521101907001</v>
      </c>
      <c r="B153">
        <f t="shared" ca="1" si="2"/>
        <v>131.84899390352965</v>
      </c>
      <c r="C153">
        <f ca="1">$E$10 - 0.5*MAX('HE2'!B152,0)/10000</f>
        <v>-1.1006882536536024E-4</v>
      </c>
    </row>
    <row r="154" spans="1:3" x14ac:dyDescent="0.45">
      <c r="A154">
        <f ca="1">randcorrWithFeedback!D153</f>
        <v>-4.5299721531002071</v>
      </c>
      <c r="B154">
        <f t="shared" ca="1" si="2"/>
        <v>126.00704204389434</v>
      </c>
      <c r="C154">
        <f ca="1">$E$10 - 0.5*MAX('HE2'!B153,0)/10000</f>
        <v>-1.9765998081167394E-5</v>
      </c>
    </row>
    <row r="155" spans="1:3" x14ac:dyDescent="0.45">
      <c r="A155">
        <f ca="1">randcorrWithFeedback!D154</f>
        <v>1.0551130599516718</v>
      </c>
      <c r="B155">
        <f t="shared" ca="1" si="2"/>
        <v>127.34013852397368</v>
      </c>
      <c r="C155">
        <f ca="1">$E$10 - 0.5*MAX('HE2'!B154,0)/10000</f>
        <v>-2.7162810562923159E-5</v>
      </c>
    </row>
    <row r="156" spans="1:3" x14ac:dyDescent="0.45">
      <c r="A156">
        <f ca="1">randcorrWithFeedback!D155</f>
        <v>-0.79907219487783709</v>
      </c>
      <c r="B156">
        <f t="shared" ca="1" si="2"/>
        <v>126.32333555390233</v>
      </c>
      <c r="C156">
        <f ca="1">$E$10 - 0.5*MAX('HE2'!B155,0)/10000</f>
        <v>-2.6265280192555091E-5</v>
      </c>
    </row>
    <row r="157" spans="1:3" x14ac:dyDescent="0.45">
      <c r="A157">
        <f ca="1">randcorrWithFeedback!D156</f>
        <v>2.4171906399509537</v>
      </c>
      <c r="B157">
        <f t="shared" ca="1" si="2"/>
        <v>129.40352603741883</v>
      </c>
      <c r="C157">
        <f ca="1">$E$10 - 0.5*MAX('HE2'!B156,0)/10000</f>
        <v>-8.1050760957129196E-5</v>
      </c>
    </row>
    <row r="158" spans="1:3" x14ac:dyDescent="0.45">
      <c r="A158">
        <f ca="1">randcorrWithFeedback!D157</f>
        <v>-2.181461925599951</v>
      </c>
      <c r="B158">
        <f t="shared" ca="1" si="2"/>
        <v>126.59921619468399</v>
      </c>
      <c r="C158">
        <f ca="1">$E$10 - 0.5*MAX('HE2'!B157,0)/10000</f>
        <v>-9.4693073844237985E-5</v>
      </c>
    </row>
    <row r="159" spans="1:3" x14ac:dyDescent="0.45">
      <c r="A159">
        <f ca="1">randcorrWithFeedback!D158</f>
        <v>0.4562786308386661</v>
      </c>
      <c r="B159">
        <f t="shared" ca="1" si="2"/>
        <v>127.16819123678748</v>
      </c>
      <c r="C159">
        <f ca="1">$E$10 - 0.5*MAX('HE2'!B158,0)/10000</f>
        <v>-7.8554063665465715E-5</v>
      </c>
    </row>
    <row r="160" spans="1:3" x14ac:dyDescent="0.45">
      <c r="A160">
        <f ca="1">randcorrWithFeedback!D159</f>
        <v>2.1164663740448741</v>
      </c>
      <c r="B160">
        <f t="shared" ca="1" si="2"/>
        <v>129.87376771215281</v>
      </c>
      <c r="C160">
        <f ca="1">$E$10 - 0.5*MAX('HE2'!B159,0)/10000</f>
        <v>-1.1225336708710056E-4</v>
      </c>
    </row>
    <row r="161" spans="1:3" x14ac:dyDescent="0.45">
      <c r="A161">
        <f ca="1">randcorrWithFeedback!D160</f>
        <v>-2.0956982189571711</v>
      </c>
      <c r="B161">
        <f t="shared" ca="1" si="2"/>
        <v>127.16731287253829</v>
      </c>
      <c r="C161">
        <f ca="1">$E$10 - 0.5*MAX('HE2'!B160,0)/10000</f>
        <v>-1.0233531421425531E-4</v>
      </c>
    </row>
    <row r="162" spans="1:3" x14ac:dyDescent="0.45">
      <c r="A162">
        <f ca="1">randcorrWithFeedback!D161</f>
        <v>1.3842708342505747</v>
      </c>
      <c r="B162">
        <f t="shared" ca="1" si="2"/>
        <v>128.92409599752514</v>
      </c>
      <c r="C162">
        <f ca="1">$E$10 - 0.5*MAX('HE2'!B161,0)/10000</f>
        <v>-1.2252388782290941E-4</v>
      </c>
    </row>
    <row r="163" spans="1:3" x14ac:dyDescent="0.45">
      <c r="A163">
        <f ca="1">randcorrWithFeedback!D162</f>
        <v>-0.36872677778191981</v>
      </c>
      <c r="B163">
        <f t="shared" ca="1" si="2"/>
        <v>128.43259225754716</v>
      </c>
      <c r="C163">
        <f ca="1">$E$10 - 0.5*MAX('HE2'!B162,0)/10000</f>
        <v>-1.323674598048719E-4</v>
      </c>
    </row>
    <row r="164" spans="1:3" x14ac:dyDescent="0.45">
      <c r="A164">
        <f ca="1">randcorrWithFeedback!D163</f>
        <v>3.9753612816643327</v>
      </c>
      <c r="B164">
        <f t="shared" ca="1" si="2"/>
        <v>133.61926411282121</v>
      </c>
      <c r="C164">
        <f ca="1">$E$10 - 0.5*MAX('HE2'!B163,0)/10000</f>
        <v>-1.6336247463213466E-4</v>
      </c>
    </row>
    <row r="165" spans="1:3" x14ac:dyDescent="0.45">
      <c r="A165">
        <f ca="1">randcorrWithFeedback!D164</f>
        <v>-3.2624676637572945</v>
      </c>
      <c r="B165">
        <f t="shared" ca="1" si="2"/>
        <v>129.30942229049793</v>
      </c>
      <c r="C165">
        <f ca="1">$E$10 - 0.5*MAX('HE2'!B164,0)/10000</f>
        <v>-1.6161186575801019E-4</v>
      </c>
    </row>
    <row r="166" spans="1:3" x14ac:dyDescent="0.45">
      <c r="A166">
        <f ca="1">randcorrWithFeedback!D165</f>
        <v>-4.0797024671494073</v>
      </c>
      <c r="B166">
        <f t="shared" ca="1" si="2"/>
        <v>124.12594311370036</v>
      </c>
      <c r="C166">
        <f ca="1">$E$10 - 0.5*MAX('HE2'!B165,0)/10000</f>
        <v>-1.1440956147522278E-4</v>
      </c>
    </row>
    <row r="167" spans="1:3" x14ac:dyDescent="0.45">
      <c r="A167">
        <f ca="1">randcorrWithFeedback!D166</f>
        <v>0.41826939869833624</v>
      </c>
      <c r="B167">
        <f t="shared" ca="1" si="2"/>
        <v>124.63162912225999</v>
      </c>
      <c r="C167">
        <f ca="1">$E$10 - 0.5*MAX('HE2'!B166,0)/10000</f>
        <v>-1.1699499665570148E-4</v>
      </c>
    </row>
    <row r="168" spans="1:3" x14ac:dyDescent="0.45">
      <c r="A168">
        <f ca="1">randcorrWithFeedback!D167</f>
        <v>-2.6889307426809115</v>
      </c>
      <c r="B168">
        <f t="shared" ca="1" si="2"/>
        <v>121.31232163372604</v>
      </c>
      <c r="C168">
        <f ca="1">$E$10 - 0.5*MAX('HE2'!B167,0)/10000</f>
        <v>-1.0472137228313745E-4</v>
      </c>
    </row>
    <row r="169" spans="1:3" x14ac:dyDescent="0.45">
      <c r="A169">
        <f ca="1">randcorrWithFeedback!D168</f>
        <v>1.4429816611378621</v>
      </c>
      <c r="B169">
        <f t="shared" ca="1" si="2"/>
        <v>123.06037911058131</v>
      </c>
      <c r="C169">
        <f ca="1">$E$10 - 0.5*MAX('HE2'!B168,0)/10000</f>
        <v>-1.2308523069430959E-4</v>
      </c>
    </row>
    <row r="170" spans="1:3" x14ac:dyDescent="0.45">
      <c r="A170">
        <f ca="1">randcorrWithFeedback!D169</f>
        <v>-0.81989096187635768</v>
      </c>
      <c r="B170">
        <f t="shared" ca="1" si="2"/>
        <v>122.03648415640062</v>
      </c>
      <c r="C170">
        <f ca="1">$E$10 - 0.5*MAX('HE2'!B169,0)/10000</f>
        <v>-1.5616189702431657E-4</v>
      </c>
    </row>
    <row r="171" spans="1:3" x14ac:dyDescent="0.45">
      <c r="A171">
        <f ca="1">randcorrWithFeedback!D170</f>
        <v>1.2606837306559229</v>
      </c>
      <c r="B171">
        <f t="shared" ca="1" si="2"/>
        <v>123.5670570969702</v>
      </c>
      <c r="C171">
        <f ca="1">$E$10 - 0.5*MAX('HE2'!B170,0)/10000</f>
        <v>-1.4290663850465181E-4</v>
      </c>
    </row>
    <row r="172" spans="1:3" x14ac:dyDescent="0.45">
      <c r="A172">
        <f ca="1">randcorrWithFeedback!D171</f>
        <v>2.0008864180909312</v>
      </c>
      <c r="B172">
        <f t="shared" ca="1" si="2"/>
        <v>126.0475257760162</v>
      </c>
      <c r="C172">
        <f ca="1">$E$10 - 0.5*MAX('HE2'!B171,0)/10000</f>
        <v>-1.3382080559901861E-4</v>
      </c>
    </row>
    <row r="173" spans="1:3" x14ac:dyDescent="0.45">
      <c r="A173">
        <f ca="1">randcorrWithFeedback!D172</f>
        <v>1.5236534445475094</v>
      </c>
      <c r="B173">
        <f t="shared" ca="1" si="2"/>
        <v>127.96325910320876</v>
      </c>
      <c r="C173">
        <f ca="1">$E$10 - 0.5*MAX('HE2'!B172,0)/10000</f>
        <v>-1.5237451764930627E-4</v>
      </c>
    </row>
    <row r="174" spans="1:3" x14ac:dyDescent="0.45">
      <c r="A174">
        <f ca="1">randcorrWithFeedback!D173</f>
        <v>0.13876359688978221</v>
      </c>
      <c r="B174">
        <f t="shared" ca="1" si="2"/>
        <v>128.12144294291807</v>
      </c>
      <c r="C174">
        <f ca="1">$E$10 - 0.5*MAX('HE2'!B173,0)/10000</f>
        <v>-1.5223331841538021E-4</v>
      </c>
    </row>
    <row r="175" spans="1:3" x14ac:dyDescent="0.45">
      <c r="A175">
        <f ca="1">randcorrWithFeedback!D174</f>
        <v>-0.49266511723272455</v>
      </c>
      <c r="B175">
        <f t="shared" ca="1" si="2"/>
        <v>127.47503245184247</v>
      </c>
      <c r="C175">
        <f ca="1">$E$10 - 0.5*MAX('HE2'!B174,0)/10000</f>
        <v>-1.3141442286771827E-4</v>
      </c>
    </row>
    <row r="176" spans="1:3" x14ac:dyDescent="0.45">
      <c r="A176">
        <f ca="1">randcorrWithFeedback!D175</f>
        <v>1.8242297574189319</v>
      </c>
      <c r="B176">
        <f t="shared" ca="1" si="2"/>
        <v>129.80326356454336</v>
      </c>
      <c r="C176">
        <f ca="1">$E$10 - 0.5*MAX('HE2'!B175,0)/10000</f>
        <v>-1.4287211142129721E-4</v>
      </c>
    </row>
    <row r="177" spans="1:3" x14ac:dyDescent="0.45">
      <c r="A177">
        <f ca="1">randcorrWithFeedback!D176</f>
        <v>2.1421613175100132</v>
      </c>
      <c r="B177">
        <f t="shared" ca="1" si="2"/>
        <v>132.58643596538155</v>
      </c>
      <c r="C177">
        <f ca="1">$E$10 - 0.5*MAX('HE2'!B176,0)/10000</f>
        <v>-2.0678050416226261E-4</v>
      </c>
    </row>
    <row r="178" spans="1:3" x14ac:dyDescent="0.45">
      <c r="A178">
        <f ca="1">randcorrWithFeedback!D177</f>
        <v>2.9410130653287667</v>
      </c>
      <c r="B178">
        <f t="shared" ca="1" si="2"/>
        <v>136.50856551242239</v>
      </c>
      <c r="C178">
        <f ca="1">$E$10 - 0.5*MAX('HE2'!B177,0)/10000</f>
        <v>-2.5754663934168408E-4</v>
      </c>
    </row>
    <row r="179" spans="1:3" x14ac:dyDescent="0.45">
      <c r="A179">
        <f ca="1">randcorrWithFeedback!D178</f>
        <v>0.86670938563357358</v>
      </c>
      <c r="B179">
        <f t="shared" ca="1" si="2"/>
        <v>137.66311183736923</v>
      </c>
      <c r="C179">
        <f ca="1">$E$10 - 0.5*MAX('HE2'!B178,0)/10000</f>
        <v>-2.4497556439797462E-4</v>
      </c>
    </row>
    <row r="180" spans="1:3" x14ac:dyDescent="0.45">
      <c r="A180">
        <f ca="1">randcorrWithFeedback!D179</f>
        <v>4.0991598731224528</v>
      </c>
      <c r="B180">
        <f t="shared" ca="1" si="2"/>
        <v>143.37892493895393</v>
      </c>
      <c r="C180">
        <f ca="1">$E$10 - 0.5*MAX('HE2'!B179,0)/10000</f>
        <v>-3.1013027425430496E-4</v>
      </c>
    </row>
    <row r="181" spans="1:3" x14ac:dyDescent="0.45">
      <c r="A181">
        <f ca="1">randcorrWithFeedback!D180</f>
        <v>-1.5130714782253463</v>
      </c>
      <c r="B181">
        <f t="shared" ca="1" si="2"/>
        <v>141.1891177430937</v>
      </c>
      <c r="C181">
        <f ca="1">$E$10 - 0.5*MAX('HE2'!B180,0)/10000</f>
        <v>-2.5998334867103159E-4</v>
      </c>
    </row>
    <row r="182" spans="1:3" x14ac:dyDescent="0.45">
      <c r="A182">
        <f ca="1">randcorrWithFeedback!D181</f>
        <v>1.0575176919406166</v>
      </c>
      <c r="B182">
        <f t="shared" ca="1" si="2"/>
        <v>142.65009343335018</v>
      </c>
      <c r="C182">
        <f ca="1">$E$10 - 0.5*MAX('HE2'!B181,0)/10000</f>
        <v>-2.8069655792805167E-4</v>
      </c>
    </row>
    <row r="183" spans="1:3" x14ac:dyDescent="0.45">
      <c r="A183">
        <f ca="1">randcorrWithFeedback!D182</f>
        <v>1.2198046946969134</v>
      </c>
      <c r="B183">
        <f t="shared" ca="1" si="2"/>
        <v>144.36128780250323</v>
      </c>
      <c r="C183">
        <f ca="1">$E$10 - 0.5*MAX('HE2'!B182,0)/10000</f>
        <v>-2.7367908363092758E-4</v>
      </c>
    </row>
    <row r="184" spans="1:3" x14ac:dyDescent="0.45">
      <c r="A184">
        <f ca="1">randcorrWithFeedback!D183</f>
        <v>-0.10284474111480028</v>
      </c>
      <c r="B184">
        <f t="shared" ca="1" si="2"/>
        <v>144.17198602756338</v>
      </c>
      <c r="C184">
        <f ca="1">$E$10 - 0.5*MAX('HE2'!B183,0)/10000</f>
        <v>-2.8371877050835257E-4</v>
      </c>
    </row>
    <row r="185" spans="1:3" x14ac:dyDescent="0.45">
      <c r="A185">
        <f ca="1">randcorrWithFeedback!D184</f>
        <v>0.41448091802122339</v>
      </c>
      <c r="B185">
        <f t="shared" ca="1" si="2"/>
        <v>144.72907231931077</v>
      </c>
      <c r="C185">
        <f ca="1">$E$10 - 0.5*MAX('HE2'!B184,0)/10000</f>
        <v>-2.8821560861668003E-4</v>
      </c>
    </row>
    <row r="186" spans="1:3" x14ac:dyDescent="0.45">
      <c r="A186">
        <f ca="1">randcorrWithFeedback!D185</f>
        <v>-2.1404819632123959</v>
      </c>
      <c r="B186">
        <f t="shared" ca="1" si="2"/>
        <v>141.62766568195863</v>
      </c>
      <c r="C186">
        <f ca="1">$E$10 - 0.5*MAX('HE2'!B185,0)/10000</f>
        <v>-2.5716697814055285E-4</v>
      </c>
    </row>
    <row r="187" spans="1:3" x14ac:dyDescent="0.45">
      <c r="A187">
        <f ca="1">randcorrWithFeedback!D186</f>
        <v>-0.8988694472496197</v>
      </c>
      <c r="B187">
        <f t="shared" ca="1" si="2"/>
        <v>140.32779527578668</v>
      </c>
      <c r="C187">
        <f ca="1">$E$10 - 0.5*MAX('HE2'!B186,0)/10000</f>
        <v>-2.3176617039327182E-4</v>
      </c>
    </row>
    <row r="188" spans="1:3" x14ac:dyDescent="0.45">
      <c r="A188">
        <f ca="1">randcorrWithFeedback!D187</f>
        <v>6.1544431217281295</v>
      </c>
      <c r="B188">
        <f t="shared" ca="1" si="2"/>
        <v>149.1993839377273</v>
      </c>
      <c r="C188">
        <f ca="1">$E$10 - 0.5*MAX('HE2'!B187,0)/10000</f>
        <v>-2.4195320244459624E-4</v>
      </c>
    </row>
    <row r="189" spans="1:3" x14ac:dyDescent="0.45">
      <c r="A189">
        <f ca="1">randcorrWithFeedback!D188</f>
        <v>0.79550008787003279</v>
      </c>
      <c r="B189">
        <f t="shared" ca="1" si="2"/>
        <v>150.34972257008232</v>
      </c>
      <c r="C189">
        <f ca="1">$E$10 - 0.5*MAX('HE2'!B188,0)/10000</f>
        <v>-2.7449533055036419E-4</v>
      </c>
    </row>
    <row r="190" spans="1:3" x14ac:dyDescent="0.45">
      <c r="A190">
        <f ca="1">randcorrWithFeedback!D189</f>
        <v>-3.6908430757502066</v>
      </c>
      <c r="B190">
        <f t="shared" ca="1" si="2"/>
        <v>144.8716956736186</v>
      </c>
      <c r="C190">
        <f ca="1">$E$10 - 0.5*MAX('HE2'!B189,0)/10000</f>
        <v>-2.0714016824780531E-4</v>
      </c>
    </row>
    <row r="191" spans="1:3" x14ac:dyDescent="0.45">
      <c r="A191">
        <f ca="1">randcorrWithFeedback!D190</f>
        <v>-0.24909533199056985</v>
      </c>
      <c r="B191">
        <f t="shared" ca="1" si="2"/>
        <v>144.48316611975466</v>
      </c>
      <c r="C191">
        <f ca="1">$E$10 - 0.5*MAX('HE2'!B190,0)/10000</f>
        <v>-1.9453663493707913E-4</v>
      </c>
    </row>
    <row r="192" spans="1:3" x14ac:dyDescent="0.45">
      <c r="A192">
        <f ca="1">randcorrWithFeedback!D191</f>
        <v>1.5128545510726437</v>
      </c>
      <c r="B192">
        <f t="shared" ca="1" si="2"/>
        <v>146.66122975892011</v>
      </c>
      <c r="C192">
        <f ca="1">$E$10 - 0.5*MAX('HE2'!B191,0)/10000</f>
        <v>-1.6618110416553026E-4</v>
      </c>
    </row>
    <row r="193" spans="1:3" x14ac:dyDescent="0.45">
      <c r="A193">
        <f ca="1">randcorrWithFeedback!D192</f>
        <v>3.8848511267144068</v>
      </c>
      <c r="B193">
        <f t="shared" ca="1" si="2"/>
        <v>152.43934333858093</v>
      </c>
      <c r="C193">
        <f ca="1">$E$10 - 0.5*MAX('HE2'!B192,0)/10000</f>
        <v>-2.0711067365221901E-4</v>
      </c>
    </row>
    <row r="194" spans="1:3" x14ac:dyDescent="0.45">
      <c r="A194">
        <f ca="1">randcorrWithFeedback!D193</f>
        <v>0.46156684391922315</v>
      </c>
      <c r="B194">
        <f t="shared" ca="1" si="2"/>
        <v>153.11100847989027</v>
      </c>
      <c r="C194">
        <f ca="1">$E$10 - 0.5*MAX('HE2'!B193,0)/10000</f>
        <v>-2.192328325800324E-4</v>
      </c>
    </row>
    <row r="195" spans="1:3" x14ac:dyDescent="0.45">
      <c r="A195">
        <f ca="1">randcorrWithFeedback!D194</f>
        <v>0.66957746988174183</v>
      </c>
      <c r="B195">
        <f t="shared" ca="1" si="2"/>
        <v>154.10218495266059</v>
      </c>
      <c r="C195">
        <f ca="1">$E$10 - 0.5*MAX('HE2'!B194,0)/10000</f>
        <v>-2.4305760764085075E-4</v>
      </c>
    </row>
    <row r="196" spans="1:3" x14ac:dyDescent="0.45">
      <c r="A196">
        <f ca="1">randcorrWithFeedback!D195</f>
        <v>3.1396270142549767</v>
      </c>
      <c r="B196">
        <f t="shared" ref="B196:B259" ca="1" si="3">B195*EXP(C196+A196/100)</f>
        <v>158.97280835116536</v>
      </c>
      <c r="C196">
        <f ca="1">$E$10 - 0.5*MAX('HE2'!B195,0)/10000</f>
        <v>-2.7902022950211609E-4</v>
      </c>
    </row>
    <row r="197" spans="1:3" x14ac:dyDescent="0.45">
      <c r="A197">
        <f ca="1">randcorrWithFeedback!D196</f>
        <v>-4.4419013165290802E-2</v>
      </c>
      <c r="B197">
        <f t="shared" ca="1" si="3"/>
        <v>158.8603324370724</v>
      </c>
      <c r="C197">
        <f ca="1">$E$10 - 0.5*MAX('HE2'!B196,0)/10000</f>
        <v>-2.6357695965322235E-4</v>
      </c>
    </row>
    <row r="198" spans="1:3" x14ac:dyDescent="0.45">
      <c r="A198">
        <f ca="1">randcorrWithFeedback!D197</f>
        <v>2.011130652791028</v>
      </c>
      <c r="B198">
        <f t="shared" ca="1" si="3"/>
        <v>162.0447281353425</v>
      </c>
      <c r="C198">
        <f ca="1">$E$10 - 0.5*MAX('HE2'!B197,0)/10000</f>
        <v>-2.6431364769856521E-4</v>
      </c>
    </row>
    <row r="199" spans="1:3" x14ac:dyDescent="0.45">
      <c r="A199">
        <f ca="1">randcorrWithFeedback!D198</f>
        <v>3.3508113398436916</v>
      </c>
      <c r="B199">
        <f t="shared" ca="1" si="3"/>
        <v>167.5136176062588</v>
      </c>
      <c r="C199">
        <f ca="1">$E$10 - 0.5*MAX('HE2'!B198,0)/10000</f>
        <v>-3.1586302085144144E-4</v>
      </c>
    </row>
    <row r="200" spans="1:3" x14ac:dyDescent="0.45">
      <c r="A200">
        <f ca="1">randcorrWithFeedback!D199</f>
        <v>3.4570146269698925</v>
      </c>
      <c r="B200">
        <f t="shared" ca="1" si="3"/>
        <v>173.34052324535131</v>
      </c>
      <c r="C200">
        <f ca="1">$E$10 - 0.5*MAX('HE2'!B199,0)/10000</f>
        <v>-3.7679106334421119E-4</v>
      </c>
    </row>
    <row r="201" spans="1:3" x14ac:dyDescent="0.45">
      <c r="A201">
        <f ca="1">randcorrWithFeedback!D200</f>
        <v>2.5247823588124727</v>
      </c>
      <c r="B201">
        <f t="shared" ca="1" si="3"/>
        <v>177.70258554216565</v>
      </c>
      <c r="C201">
        <f ca="1">$E$10 - 0.5*MAX('HE2'!B200,0)/10000</f>
        <v>-3.9454080176869698E-4</v>
      </c>
    </row>
    <row r="202" spans="1:3" x14ac:dyDescent="0.45">
      <c r="A202">
        <f ca="1">randcorrWithFeedback!D201</f>
        <v>-2.7046500176103643E-2</v>
      </c>
      <c r="B202">
        <f t="shared" ca="1" si="3"/>
        <v>177.58320212164392</v>
      </c>
      <c r="C202">
        <f ca="1">$E$10 - 0.5*MAX('HE2'!B201,0)/10000</f>
        <v>-4.0157665687057579E-4</v>
      </c>
    </row>
    <row r="203" spans="1:3" x14ac:dyDescent="0.45">
      <c r="A203">
        <f ca="1">randcorrWithFeedback!D202</f>
        <v>2.7796142833071622</v>
      </c>
      <c r="B203">
        <f t="shared" ca="1" si="3"/>
        <v>182.51223682128526</v>
      </c>
      <c r="C203">
        <f ca="1">$E$10 - 0.5*MAX('HE2'!B202,0)/10000</f>
        <v>-4.1816441926027532E-4</v>
      </c>
    </row>
    <row r="204" spans="1:3" x14ac:dyDescent="0.45">
      <c r="A204">
        <f ca="1">randcorrWithFeedback!D203</f>
        <v>5.6499192787789072</v>
      </c>
      <c r="B204">
        <f t="shared" ca="1" si="3"/>
        <v>193.02139987912071</v>
      </c>
      <c r="C204">
        <f ca="1">$E$10 - 0.5*MAX('HE2'!B203,0)/10000</f>
        <v>-5.1535167721990596E-4</v>
      </c>
    </row>
    <row r="205" spans="1:3" x14ac:dyDescent="0.45">
      <c r="A205">
        <f ca="1">randcorrWithFeedback!D204</f>
        <v>0.46389218950928734</v>
      </c>
      <c r="B205">
        <f t="shared" ca="1" si="3"/>
        <v>193.80946767374039</v>
      </c>
      <c r="C205">
        <f ca="1">$E$10 - 0.5*MAX('HE2'!B204,0)/10000</f>
        <v>-5.6443378683664438E-4</v>
      </c>
    </row>
    <row r="206" spans="1:3" x14ac:dyDescent="0.45">
      <c r="A206">
        <f ca="1">randcorrWithFeedback!D205</f>
        <v>0.46830371061426468</v>
      </c>
      <c r="B206">
        <f t="shared" ca="1" si="3"/>
        <v>194.6034467547326</v>
      </c>
      <c r="C206">
        <f ca="1">$E$10 - 0.5*MAX('HE2'!B205,0)/10000</f>
        <v>-5.9470658257965235E-4</v>
      </c>
    </row>
    <row r="207" spans="1:3" x14ac:dyDescent="0.45">
      <c r="A207">
        <f ca="1">randcorrWithFeedback!D206</f>
        <v>-4.8152124544263843</v>
      </c>
      <c r="B207">
        <f t="shared" ca="1" si="3"/>
        <v>185.36662947836322</v>
      </c>
      <c r="C207">
        <f ca="1">$E$10 - 0.5*MAX('HE2'!B206,0)/10000</f>
        <v>-4.7611214322568478E-4</v>
      </c>
    </row>
    <row r="208" spans="1:3" x14ac:dyDescent="0.45">
      <c r="A208">
        <f ca="1">randcorrWithFeedback!D207</f>
        <v>7.5783442148794192E-2</v>
      </c>
      <c r="B208">
        <f t="shared" ca="1" si="3"/>
        <v>185.41714774682248</v>
      </c>
      <c r="C208">
        <f ca="1">$E$10 - 0.5*MAX('HE2'!B207,0)/10000</f>
        <v>-4.8533992806694534E-4</v>
      </c>
    </row>
    <row r="209" spans="1:3" x14ac:dyDescent="0.45">
      <c r="A209">
        <f ca="1">randcorrWithFeedback!D208</f>
        <v>-4.3405038732683678</v>
      </c>
      <c r="B209">
        <f t="shared" ca="1" si="3"/>
        <v>177.45681455027295</v>
      </c>
      <c r="C209">
        <f ca="1">$E$10 - 0.5*MAX('HE2'!B208,0)/10000</f>
        <v>-4.7581966058080343E-4</v>
      </c>
    </row>
    <row r="210" spans="1:3" x14ac:dyDescent="0.45">
      <c r="A210">
        <f ca="1">randcorrWithFeedback!D209</f>
        <v>-2.4304971515768914</v>
      </c>
      <c r="B210">
        <f t="shared" ca="1" si="3"/>
        <v>173.12554729375842</v>
      </c>
      <c r="C210">
        <f ca="1">$E$10 - 0.5*MAX('HE2'!B209,0)/10000</f>
        <v>-4.0527128935266706E-4</v>
      </c>
    </row>
    <row r="211" spans="1:3" x14ac:dyDescent="0.45">
      <c r="A211">
        <f ca="1">randcorrWithFeedback!D210</f>
        <v>1.7858748298402631</v>
      </c>
      <c r="B211">
        <f t="shared" ca="1" si="3"/>
        <v>176.17069137576786</v>
      </c>
      <c r="C211">
        <f ca="1">$E$10 - 0.5*MAX('HE2'!B210,0)/10000</f>
        <v>-4.2242408653048744E-4</v>
      </c>
    </row>
    <row r="212" spans="1:3" x14ac:dyDescent="0.45">
      <c r="A212">
        <f ca="1">randcorrWithFeedback!D211</f>
        <v>0.2275737396647767</v>
      </c>
      <c r="B212">
        <f t="shared" ca="1" si="3"/>
        <v>176.49697205622206</v>
      </c>
      <c r="C212">
        <f ca="1">$E$10 - 0.5*MAX('HE2'!B211,0)/10000</f>
        <v>-4.2537907134505262E-4</v>
      </c>
    </row>
    <row r="213" spans="1:3" x14ac:dyDescent="0.45">
      <c r="A213">
        <f ca="1">randcorrWithFeedback!D212</f>
        <v>6.5773875277121316</v>
      </c>
      <c r="B213">
        <f t="shared" ca="1" si="3"/>
        <v>188.39923284630095</v>
      </c>
      <c r="C213">
        <f ca="1">$E$10 - 0.5*MAX('HE2'!B212,0)/10000</f>
        <v>-5.143058215943306E-4</v>
      </c>
    </row>
    <row r="214" spans="1:3" x14ac:dyDescent="0.45">
      <c r="A214">
        <f ca="1">randcorrWithFeedback!D213</f>
        <v>-0.84256081550424167</v>
      </c>
      <c r="B214">
        <f t="shared" ca="1" si="3"/>
        <v>186.74098629229718</v>
      </c>
      <c r="C214">
        <f ca="1">$E$10 - 0.5*MAX('HE2'!B213,0)/10000</f>
        <v>-4.1512536221274886E-4</v>
      </c>
    </row>
    <row r="215" spans="1:3" x14ac:dyDescent="0.45">
      <c r="A215">
        <f ca="1">randcorrWithFeedback!D214</f>
        <v>-1.4714351161230934</v>
      </c>
      <c r="B215">
        <f t="shared" ca="1" si="3"/>
        <v>183.94277513341231</v>
      </c>
      <c r="C215">
        <f ca="1">$E$10 - 0.5*MAX('HE2'!B214,0)/10000</f>
        <v>-3.8350098713282931E-4</v>
      </c>
    </row>
    <row r="216" spans="1:3" x14ac:dyDescent="0.45">
      <c r="A216">
        <f ca="1">randcorrWithFeedback!D215</f>
        <v>-2.4544803997919247</v>
      </c>
      <c r="B216">
        <f t="shared" ca="1" si="3"/>
        <v>179.40954681835532</v>
      </c>
      <c r="C216">
        <f ca="1">$E$10 - 0.5*MAX('HE2'!B215,0)/10000</f>
        <v>-4.0873705657757395E-4</v>
      </c>
    </row>
    <row r="217" spans="1:3" x14ac:dyDescent="0.45">
      <c r="A217">
        <f ca="1">randcorrWithFeedback!D216</f>
        <v>2.2991071145079061</v>
      </c>
      <c r="B217">
        <f t="shared" ca="1" si="3"/>
        <v>183.50059014776539</v>
      </c>
      <c r="C217">
        <f ca="1">$E$10 - 0.5*MAX('HE2'!B216,0)/10000</f>
        <v>-4.4435106428782956E-4</v>
      </c>
    </row>
    <row r="218" spans="1:3" x14ac:dyDescent="0.45">
      <c r="A218">
        <f ca="1">randcorrWithFeedback!D217</f>
        <v>-3.1499353977787767</v>
      </c>
      <c r="B218">
        <f t="shared" ca="1" si="3"/>
        <v>177.74178539029552</v>
      </c>
      <c r="C218">
        <f ca="1">$E$10 - 0.5*MAX('HE2'!B217,0)/10000</f>
        <v>-3.8667636093813081E-4</v>
      </c>
    </row>
    <row r="219" spans="1:3" x14ac:dyDescent="0.45">
      <c r="A219">
        <f ca="1">randcorrWithFeedback!D218</f>
        <v>4.7187960416371633</v>
      </c>
      <c r="B219">
        <f t="shared" ca="1" si="3"/>
        <v>186.2384800027647</v>
      </c>
      <c r="C219">
        <f ca="1">$E$10 - 0.5*MAX('HE2'!B218,0)/10000</f>
        <v>-4.9181061863067693E-4</v>
      </c>
    </row>
    <row r="220" spans="1:3" x14ac:dyDescent="0.45">
      <c r="A220">
        <f ca="1">randcorrWithFeedback!D219</f>
        <v>-1.8972030978024348</v>
      </c>
      <c r="B220">
        <f t="shared" ca="1" si="3"/>
        <v>182.6503517078269</v>
      </c>
      <c r="C220">
        <f ca="1">$E$10 - 0.5*MAX('HE2'!B219,0)/10000</f>
        <v>-4.8229321161969395E-4</v>
      </c>
    </row>
    <row r="221" spans="1:3" x14ac:dyDescent="0.45">
      <c r="A221">
        <f ca="1">randcorrWithFeedback!D220</f>
        <v>2.1579980487235666</v>
      </c>
      <c r="B221">
        <f t="shared" ca="1" si="3"/>
        <v>186.53804535236242</v>
      </c>
      <c r="C221">
        <f ca="1">$E$10 - 0.5*MAX('HE2'!B220,0)/10000</f>
        <v>-5.1844450335630039E-4</v>
      </c>
    </row>
    <row r="222" spans="1:3" x14ac:dyDescent="0.45">
      <c r="A222">
        <f ca="1">randcorrWithFeedback!D221</f>
        <v>-1.7623715324742253</v>
      </c>
      <c r="B222">
        <f t="shared" ca="1" si="3"/>
        <v>183.18320503254429</v>
      </c>
      <c r="C222">
        <f ca="1">$E$10 - 0.5*MAX('HE2'!B221,0)/10000</f>
        <v>-5.2472703106024889E-4</v>
      </c>
    </row>
    <row r="223" spans="1:3" x14ac:dyDescent="0.45">
      <c r="A223">
        <f ca="1">randcorrWithFeedback!D222</f>
        <v>0.86372656979103168</v>
      </c>
      <c r="B223">
        <f t="shared" ca="1" si="3"/>
        <v>184.66562584630424</v>
      </c>
      <c r="C223">
        <f ca="1">$E$10 - 0.5*MAX('HE2'!B222,0)/10000</f>
        <v>-5.7727629698656191E-4</v>
      </c>
    </row>
    <row r="224" spans="1:3" x14ac:dyDescent="0.45">
      <c r="A224">
        <f ca="1">randcorrWithFeedback!D223</f>
        <v>0.59699633171930067</v>
      </c>
      <c r="B224">
        <f t="shared" ca="1" si="3"/>
        <v>185.67967809817782</v>
      </c>
      <c r="C224">
        <f ca="1">$E$10 - 0.5*MAX('HE2'!B223,0)/10000</f>
        <v>-4.936968420161524E-4</v>
      </c>
    </row>
    <row r="225" spans="1:3" x14ac:dyDescent="0.45">
      <c r="A225">
        <f ca="1">randcorrWithFeedback!D224</f>
        <v>-4.6366746601539877</v>
      </c>
      <c r="B225">
        <f t="shared" ca="1" si="3"/>
        <v>177.18842218847522</v>
      </c>
      <c r="C225">
        <f ca="1">$E$10 - 0.5*MAX('HE2'!B224,0)/10000</f>
        <v>-4.4258322600956249E-4</v>
      </c>
    </row>
    <row r="226" spans="1:3" x14ac:dyDescent="0.45">
      <c r="A226">
        <f ca="1">randcorrWithFeedback!D225</f>
        <v>4.9908906578912005</v>
      </c>
      <c r="B226">
        <f t="shared" ca="1" si="3"/>
        <v>186.15702154279305</v>
      </c>
      <c r="C226">
        <f ca="1">$E$10 - 0.5*MAX('HE2'!B225,0)/10000</f>
        <v>-5.3208566026160555E-4</v>
      </c>
    </row>
    <row r="227" spans="1:3" x14ac:dyDescent="0.45">
      <c r="A227">
        <f ca="1">randcorrWithFeedback!D226</f>
        <v>0.31123947758004422</v>
      </c>
      <c r="B227">
        <f t="shared" ca="1" si="3"/>
        <v>186.63616479894353</v>
      </c>
      <c r="C227">
        <f ca="1">$E$10 - 0.5*MAX('HE2'!B226,0)/10000</f>
        <v>-5.4183534743955169E-4</v>
      </c>
    </row>
    <row r="228" spans="1:3" x14ac:dyDescent="0.45">
      <c r="A228">
        <f ca="1">randcorrWithFeedback!D227</f>
        <v>-1.2320413289640915</v>
      </c>
      <c r="B228">
        <f t="shared" ca="1" si="3"/>
        <v>184.25037587836363</v>
      </c>
      <c r="C228">
        <f ca="1">$E$10 - 0.5*MAX('HE2'!B227,0)/10000</f>
        <v>-5.4509444418161714E-4</v>
      </c>
    </row>
    <row r="229" spans="1:3" x14ac:dyDescent="0.45">
      <c r="A229">
        <f ca="1">randcorrWithFeedback!D228</f>
        <v>-1.93227644221479</v>
      </c>
      <c r="B229">
        <f t="shared" ca="1" si="3"/>
        <v>180.63165881308009</v>
      </c>
      <c r="C229">
        <f ca="1">$E$10 - 0.5*MAX('HE2'!B228,0)/10000</f>
        <v>-5.1288310229014988E-4</v>
      </c>
    </row>
    <row r="230" spans="1:3" x14ac:dyDescent="0.45">
      <c r="A230">
        <f ca="1">randcorrWithFeedback!D229</f>
        <v>3.8284840891160474</v>
      </c>
      <c r="B230">
        <f t="shared" ca="1" si="3"/>
        <v>187.57638542621305</v>
      </c>
      <c r="C230">
        <f ca="1">$E$10 - 0.5*MAX('HE2'!B229,0)/10000</f>
        <v>-5.5861308955538124E-4</v>
      </c>
    </row>
    <row r="231" spans="1:3" x14ac:dyDescent="0.45">
      <c r="A231">
        <f ca="1">randcorrWithFeedback!D230</f>
        <v>-1.2258339167491896</v>
      </c>
      <c r="B231">
        <f t="shared" ca="1" si="3"/>
        <v>185.1925761483088</v>
      </c>
      <c r="C231">
        <f ca="1">$E$10 - 0.5*MAX('HE2'!B230,0)/10000</f>
        <v>-5.3157640608796563E-4</v>
      </c>
    </row>
    <row r="232" spans="1:3" x14ac:dyDescent="0.45">
      <c r="A232">
        <f ca="1">randcorrWithFeedback!D231</f>
        <v>-2.950585857117487</v>
      </c>
      <c r="B232">
        <f t="shared" ca="1" si="3"/>
        <v>179.72504442579492</v>
      </c>
      <c r="C232">
        <f ca="1">$E$10 - 0.5*MAX('HE2'!B231,0)/10000</f>
        <v>-4.6222518764599144E-4</v>
      </c>
    </row>
    <row r="233" spans="1:3" x14ac:dyDescent="0.45">
      <c r="A233">
        <f ca="1">randcorrWithFeedback!D232</f>
        <v>0.21450022163920116</v>
      </c>
      <c r="B233">
        <f t="shared" ca="1" si="3"/>
        <v>180.02568221646786</v>
      </c>
      <c r="C233">
        <f ca="1">$E$10 - 0.5*MAX('HE2'!B232,0)/10000</f>
        <v>-4.7363458100658324E-4</v>
      </c>
    </row>
    <row r="234" spans="1:3" x14ac:dyDescent="0.45">
      <c r="A234">
        <f ca="1">randcorrWithFeedback!D233</f>
        <v>-2.5635269824197575</v>
      </c>
      <c r="B234">
        <f t="shared" ca="1" si="3"/>
        <v>175.39324842702015</v>
      </c>
      <c r="C234">
        <f ca="1">$E$10 - 0.5*MAX('HE2'!B233,0)/10000</f>
        <v>-4.3366310580289188E-4</v>
      </c>
    </row>
    <row r="235" spans="1:3" x14ac:dyDescent="0.45">
      <c r="A235">
        <f ca="1">randcorrWithFeedback!D234</f>
        <v>-3.0409745259237568</v>
      </c>
      <c r="B235">
        <f t="shared" ca="1" si="3"/>
        <v>170.065727843948</v>
      </c>
      <c r="C235">
        <f ca="1">$E$10 - 0.5*MAX('HE2'!B234,0)/10000</f>
        <v>-4.3584480105576752E-4</v>
      </c>
    </row>
    <row r="236" spans="1:3" x14ac:dyDescent="0.45">
      <c r="A236">
        <f ca="1">randcorrWithFeedback!D235</f>
        <v>0.16398601840527582</v>
      </c>
      <c r="B236">
        <f t="shared" ca="1" si="3"/>
        <v>170.26977742509894</v>
      </c>
      <c r="C236">
        <f ca="1">$E$10 - 0.5*MAX('HE2'!B235,0)/10000</f>
        <v>-4.407516429722608E-4</v>
      </c>
    </row>
    <row r="237" spans="1:3" x14ac:dyDescent="0.45">
      <c r="A237">
        <f ca="1">randcorrWithFeedback!D236</f>
        <v>1.6933755344973169</v>
      </c>
      <c r="B237">
        <f t="shared" ca="1" si="3"/>
        <v>173.10222860951157</v>
      </c>
      <c r="C237">
        <f ca="1">$E$10 - 0.5*MAX('HE2'!B236,0)/10000</f>
        <v>-4.3552379549868889E-4</v>
      </c>
    </row>
    <row r="238" spans="1:3" x14ac:dyDescent="0.45">
      <c r="A238">
        <f ca="1">randcorrWithFeedback!D237</f>
        <v>-1.4832023131042682</v>
      </c>
      <c r="B238">
        <f t="shared" ca="1" si="3"/>
        <v>170.47922821831628</v>
      </c>
      <c r="C238">
        <f ca="1">$E$10 - 0.5*MAX('HE2'!B237,0)/10000</f>
        <v>-4.3685299184329179E-4</v>
      </c>
    </row>
    <row r="239" spans="1:3" x14ac:dyDescent="0.45">
      <c r="A239">
        <f ca="1">randcorrWithFeedback!D238</f>
        <v>-2.6536467167001403</v>
      </c>
      <c r="B239">
        <f t="shared" ca="1" si="3"/>
        <v>165.94896677481745</v>
      </c>
      <c r="C239">
        <f ca="1">$E$10 - 0.5*MAX('HE2'!B238,0)/10000</f>
        <v>-3.9668148010823612E-4</v>
      </c>
    </row>
    <row r="240" spans="1:3" x14ac:dyDescent="0.45">
      <c r="A240">
        <f ca="1">randcorrWithFeedback!D239</f>
        <v>1.1213762695332847</v>
      </c>
      <c r="B240">
        <f t="shared" ca="1" si="3"/>
        <v>167.74931969390943</v>
      </c>
      <c r="C240">
        <f ca="1">$E$10 - 0.5*MAX('HE2'!B239,0)/10000</f>
        <v>-4.2335435089015214E-4</v>
      </c>
    </row>
    <row r="241" spans="1:3" x14ac:dyDescent="0.45">
      <c r="A241">
        <f ca="1">randcorrWithFeedback!D240</f>
        <v>-0.36485974708114716</v>
      </c>
      <c r="B241">
        <f t="shared" ca="1" si="3"/>
        <v>167.06769950532248</v>
      </c>
      <c r="C241">
        <f ca="1">$E$10 - 0.5*MAX('HE2'!B240,0)/10000</f>
        <v>-4.2300636744486931E-4</v>
      </c>
    </row>
    <row r="242" spans="1:3" x14ac:dyDescent="0.45">
      <c r="A242">
        <f ca="1">randcorrWithFeedback!D241</f>
        <v>-0.87839371337818206</v>
      </c>
      <c r="B242">
        <f t="shared" ca="1" si="3"/>
        <v>165.54599789036124</v>
      </c>
      <c r="C242">
        <f ca="1">$E$10 - 0.5*MAX('HE2'!B241,0)/10000</f>
        <v>-3.6609032237453913E-4</v>
      </c>
    </row>
    <row r="243" spans="1:3" x14ac:dyDescent="0.45">
      <c r="A243">
        <f ca="1">randcorrWithFeedback!D242</f>
        <v>-2.4698284870807847</v>
      </c>
      <c r="B243">
        <f t="shared" ca="1" si="3"/>
        <v>161.45153240886302</v>
      </c>
      <c r="C243">
        <f ca="1">$E$10 - 0.5*MAX('HE2'!B242,0)/10000</f>
        <v>-3.4581550482971386E-4</v>
      </c>
    </row>
    <row r="244" spans="1:3" x14ac:dyDescent="0.45">
      <c r="A244">
        <f ca="1">randcorrWithFeedback!D243</f>
        <v>1.0760561123226369</v>
      </c>
      <c r="B244">
        <f t="shared" ca="1" si="3"/>
        <v>163.137088959772</v>
      </c>
      <c r="C244">
        <f ca="1">$E$10 - 0.5*MAX('HE2'!B243,0)/10000</f>
        <v>-3.7466592408815896E-4</v>
      </c>
    </row>
    <row r="245" spans="1:3" x14ac:dyDescent="0.45">
      <c r="A245">
        <f ca="1">randcorrWithFeedback!D244</f>
        <v>-1.0148891440389736</v>
      </c>
      <c r="B245">
        <f t="shared" ca="1" si="3"/>
        <v>161.43195138251849</v>
      </c>
      <c r="C245">
        <f ca="1">$E$10 - 0.5*MAX('HE2'!B244,0)/10000</f>
        <v>-3.582922566214691E-4</v>
      </c>
    </row>
    <row r="246" spans="1:3" x14ac:dyDescent="0.45">
      <c r="A246">
        <f ca="1">randcorrWithFeedback!D245</f>
        <v>-4.2930748069210312</v>
      </c>
      <c r="B246">
        <f t="shared" ca="1" si="3"/>
        <v>154.59942990279413</v>
      </c>
      <c r="C246">
        <f ca="1">$E$10 - 0.5*MAX('HE2'!B245,0)/10000</f>
        <v>-3.1550354674233453E-4</v>
      </c>
    </row>
    <row r="247" spans="1:3" x14ac:dyDescent="0.45">
      <c r="A247">
        <f ca="1">randcorrWithFeedback!D246</f>
        <v>-0.20588480891491714</v>
      </c>
      <c r="B247">
        <f t="shared" ca="1" si="3"/>
        <v>154.22938567867382</v>
      </c>
      <c r="C247">
        <f ca="1">$E$10 - 0.5*MAX('HE2'!B246,0)/10000</f>
        <v>-3.3758891766198296E-4</v>
      </c>
    </row>
    <row r="248" spans="1:3" x14ac:dyDescent="0.45">
      <c r="A248">
        <f ca="1">randcorrWithFeedback!D247</f>
        <v>-0.58939180540845881</v>
      </c>
      <c r="B248">
        <f t="shared" ca="1" si="3"/>
        <v>153.27899598460428</v>
      </c>
      <c r="C248">
        <f ca="1">$E$10 - 0.5*MAX('HE2'!B247,0)/10000</f>
        <v>-2.8732952657448997E-4</v>
      </c>
    </row>
    <row r="249" spans="1:3" x14ac:dyDescent="0.45">
      <c r="A249">
        <f ca="1">randcorrWithFeedback!D248</f>
        <v>3.8466196856295372</v>
      </c>
      <c r="B249">
        <f t="shared" ca="1" si="3"/>
        <v>159.2497348764976</v>
      </c>
      <c r="C249">
        <f ca="1">$E$10 - 0.5*MAX('HE2'!B248,0)/10000</f>
        <v>-2.5233122744100679E-4</v>
      </c>
    </row>
    <row r="250" spans="1:3" x14ac:dyDescent="0.45">
      <c r="A250">
        <f ca="1">randcorrWithFeedback!D249</f>
        <v>-3.4263917345563084</v>
      </c>
      <c r="B250">
        <f t="shared" ca="1" si="3"/>
        <v>153.85904042408688</v>
      </c>
      <c r="C250">
        <f ca="1">$E$10 - 0.5*MAX('HE2'!B249,0)/10000</f>
        <v>-1.7285095035651869E-4</v>
      </c>
    </row>
    <row r="251" spans="1:3" x14ac:dyDescent="0.45">
      <c r="A251">
        <f ca="1">randcorrWithFeedback!D250</f>
        <v>0.12893992324668493</v>
      </c>
      <c r="B251">
        <f t="shared" ca="1" si="3"/>
        <v>154.03524788721904</v>
      </c>
      <c r="C251">
        <f ca="1">$E$10 - 0.5*MAX('HE2'!B250,0)/10000</f>
        <v>-1.448019530817947E-4</v>
      </c>
    </row>
    <row r="252" spans="1:3" x14ac:dyDescent="0.45">
      <c r="A252">
        <f ca="1">randcorrWithFeedback!D251</f>
        <v>-1.9668761929032561</v>
      </c>
      <c r="B252">
        <f t="shared" ca="1" si="3"/>
        <v>151.01603537536928</v>
      </c>
      <c r="C252">
        <f ca="1">$E$10 - 0.5*MAX('HE2'!B251,0)/10000</f>
        <v>-1.2667096400602898E-4</v>
      </c>
    </row>
    <row r="253" spans="1:3" x14ac:dyDescent="0.45">
      <c r="A253">
        <f ca="1">randcorrWithFeedback!D252</f>
        <v>4.3340567313731899</v>
      </c>
      <c r="B253">
        <f t="shared" ca="1" si="3"/>
        <v>157.67935925597499</v>
      </c>
      <c r="C253">
        <f ca="1">$E$10 - 0.5*MAX('HE2'!B252,0)/10000</f>
        <v>-1.6299376502599292E-4</v>
      </c>
    </row>
    <row r="254" spans="1:3" x14ac:dyDescent="0.45">
      <c r="A254">
        <f ca="1">randcorrWithFeedback!D253</f>
        <v>0.7639097228578573</v>
      </c>
      <c r="B254">
        <f t="shared" ca="1" si="3"/>
        <v>158.86512340827119</v>
      </c>
      <c r="C254">
        <f ca="1">$E$10 - 0.5*MAX('HE2'!B253,0)/10000</f>
        <v>-1.4713471719035701E-4</v>
      </c>
    </row>
    <row r="255" spans="1:3" x14ac:dyDescent="0.45">
      <c r="A255">
        <f ca="1">randcorrWithFeedback!D254</f>
        <v>0.61092358117984147</v>
      </c>
      <c r="B255">
        <f t="shared" ca="1" si="3"/>
        <v>159.81526826658745</v>
      </c>
      <c r="C255">
        <f ca="1">$E$10 - 0.5*MAX('HE2'!B254,0)/10000</f>
        <v>-1.4622272071395569E-4</v>
      </c>
    </row>
    <row r="256" spans="1:3" x14ac:dyDescent="0.45">
      <c r="A256">
        <f ca="1">randcorrWithFeedback!D255</f>
        <v>-0.29355748912858809</v>
      </c>
      <c r="B256">
        <f t="shared" ca="1" si="3"/>
        <v>159.32024223235521</v>
      </c>
      <c r="C256">
        <f ca="1">$E$10 - 0.5*MAX('HE2'!B255,0)/10000</f>
        <v>-1.6672124917844106E-4</v>
      </c>
    </row>
    <row r="257" spans="1:3" x14ac:dyDescent="0.45">
      <c r="A257">
        <f ca="1">randcorrWithFeedback!D256</f>
        <v>1.2002583725312512</v>
      </c>
      <c r="B257">
        <f t="shared" ca="1" si="3"/>
        <v>161.22097298378804</v>
      </c>
      <c r="C257">
        <f ca="1">$E$10 - 0.5*MAX('HE2'!B256,0)/10000</f>
        <v>-1.4293548353328005E-4</v>
      </c>
    </row>
    <row r="258" spans="1:3" x14ac:dyDescent="0.45">
      <c r="A258">
        <f ca="1">randcorrWithFeedback!D257</f>
        <v>-3.0859958111660268</v>
      </c>
      <c r="B258">
        <f t="shared" ca="1" si="3"/>
        <v>156.30360792027372</v>
      </c>
      <c r="C258">
        <f ca="1">$E$10 - 0.5*MAX('HE2'!B257,0)/10000</f>
        <v>-1.1564839227569604E-4</v>
      </c>
    </row>
    <row r="259" spans="1:3" x14ac:dyDescent="0.45">
      <c r="A259">
        <f ca="1">randcorrWithFeedback!D258</f>
        <v>-1.2785144270725366</v>
      </c>
      <c r="B259">
        <f t="shared" ca="1" si="3"/>
        <v>154.3098443929062</v>
      </c>
      <c r="C259">
        <f ca="1">$E$10 - 0.5*MAX('HE2'!B258,0)/10000</f>
        <v>-5.2618516546361528E-5</v>
      </c>
    </row>
    <row r="260" spans="1:3" x14ac:dyDescent="0.45">
      <c r="A260">
        <f ca="1">randcorrWithFeedback!D259</f>
        <v>2.2188154176278974</v>
      </c>
      <c r="B260">
        <f t="shared" ref="B260:B323" ca="1" si="4">B259*EXP(C260+A260/100)</f>
        <v>157.75883017831833</v>
      </c>
      <c r="C260">
        <f ca="1">$E$10 - 0.5*MAX('HE2'!B259,0)/10000</f>
        <v>-8.323622457154055E-5</v>
      </c>
    </row>
    <row r="261" spans="1:3" x14ac:dyDescent="0.45">
      <c r="A261">
        <f ca="1">randcorrWithFeedback!D260</f>
        <v>-0.63048817567790827</v>
      </c>
      <c r="B261">
        <f t="shared" ca="1" si="4"/>
        <v>156.75491604780234</v>
      </c>
      <c r="C261">
        <f ca="1">$E$10 - 0.5*MAX('HE2'!B260,0)/10000</f>
        <v>-7.9052504098669764E-5</v>
      </c>
    </row>
    <row r="262" spans="1:3" x14ac:dyDescent="0.45">
      <c r="A262">
        <f ca="1">randcorrWithFeedback!D261</f>
        <v>-1.6003565508709532</v>
      </c>
      <c r="B262">
        <f t="shared" ca="1" si="4"/>
        <v>154.25692336900866</v>
      </c>
      <c r="C262">
        <f ca="1">$E$10 - 0.5*MAX('HE2'!B261,0)/10000</f>
        <v>-6.0430002869891488E-5</v>
      </c>
    </row>
    <row r="263" spans="1:3" x14ac:dyDescent="0.45">
      <c r="A263">
        <f ca="1">randcorrWithFeedback!D262</f>
        <v>1.8380824630380022</v>
      </c>
      <c r="B263">
        <f t="shared" ca="1" si="4"/>
        <v>157.10454455034596</v>
      </c>
      <c r="C263">
        <f ca="1">$E$10 - 0.5*MAX('HE2'!B262,0)/10000</f>
        <v>-8.889788806719785E-5</v>
      </c>
    </row>
    <row r="264" spans="1:3" x14ac:dyDescent="0.45">
      <c r="A264">
        <f ca="1">randcorrWithFeedback!D263</f>
        <v>1.2558630517221665</v>
      </c>
      <c r="B264">
        <f t="shared" ca="1" si="4"/>
        <v>159.07623745955985</v>
      </c>
      <c r="C264">
        <f ca="1">$E$10 - 0.5*MAX('HE2'!B263,0)/10000</f>
        <v>-8.6534931881922602E-5</v>
      </c>
    </row>
    <row r="265" spans="1:3" x14ac:dyDescent="0.45">
      <c r="A265">
        <f ca="1">randcorrWithFeedback!D264</f>
        <v>-2.8716961337103539</v>
      </c>
      <c r="B265">
        <f t="shared" ca="1" si="4"/>
        <v>154.56527946366685</v>
      </c>
      <c r="C265">
        <f ca="1">$E$10 - 0.5*MAX('HE2'!B264,0)/10000</f>
        <v>-5.0078945183280741E-5</v>
      </c>
    </row>
    <row r="266" spans="1:3" x14ac:dyDescent="0.45">
      <c r="A266">
        <f ca="1">randcorrWithFeedback!D265</f>
        <v>-1.1112688484862399</v>
      </c>
      <c r="B266">
        <f t="shared" ca="1" si="4"/>
        <v>152.85119697770114</v>
      </c>
      <c r="C266">
        <f ca="1">$E$10 - 0.5*MAX('HE2'!B265,0)/10000</f>
        <v>-3.8960049233020133E-5</v>
      </c>
    </row>
    <row r="267" spans="1:3" x14ac:dyDescent="0.45">
      <c r="A267">
        <f ca="1">randcorrWithFeedback!D266</f>
        <v>-1.8365451458428594</v>
      </c>
      <c r="B267">
        <f t="shared" ca="1" si="4"/>
        <v>150.06903423603967</v>
      </c>
      <c r="C267">
        <f ca="1">$E$10 - 0.5*MAX('HE2'!B266,0)/10000</f>
        <v>-4.0114449447866486E-6</v>
      </c>
    </row>
    <row r="268" spans="1:3" x14ac:dyDescent="0.45">
      <c r="A268">
        <f ca="1">randcorrWithFeedback!D267</f>
        <v>-2.7052633253200802</v>
      </c>
      <c r="B268">
        <f t="shared" ca="1" si="4"/>
        <v>146.06327063694241</v>
      </c>
      <c r="C268">
        <f ca="1">$E$10 - 0.5*MAX('HE2'!B267,0)/10000</f>
        <v>-2.8948489994074823E-6</v>
      </c>
    </row>
    <row r="269" spans="1:3" x14ac:dyDescent="0.45">
      <c r="A269">
        <f ca="1">randcorrWithFeedback!D268</f>
        <v>-1.094144883231281</v>
      </c>
      <c r="B269">
        <f t="shared" ca="1" si="4"/>
        <v>144.47224769986678</v>
      </c>
      <c r="C269">
        <f ca="1">$E$10 - 0.5*MAX('HE2'!B268,0)/10000</f>
        <v>-1.1007862746346394E-5</v>
      </c>
    </row>
    <row r="270" spans="1:3" x14ac:dyDescent="0.45">
      <c r="A270">
        <f ca="1">randcorrWithFeedback!D269</f>
        <v>-0.1835527511766365</v>
      </c>
      <c r="B270">
        <f t="shared" ca="1" si="4"/>
        <v>144.20489780897071</v>
      </c>
      <c r="C270">
        <f ca="1">$E$10 - 0.5*MAX('HE2'!B269,0)/10000</f>
        <v>-1.6714492775846335E-5</v>
      </c>
    </row>
    <row r="271" spans="1:3" x14ac:dyDescent="0.45">
      <c r="A271">
        <f ca="1">randcorrWithFeedback!D270</f>
        <v>0.60068142104213318</v>
      </c>
      <c r="B271">
        <f t="shared" ca="1" si="4"/>
        <v>145.06919712234327</v>
      </c>
      <c r="C271">
        <f ca="1">$E$10 - 0.5*MAX('HE2'!B270,0)/10000</f>
        <v>-3.1153752610770544E-5</v>
      </c>
    </row>
    <row r="272" spans="1:3" x14ac:dyDescent="0.45">
      <c r="A272">
        <f ca="1">randcorrWithFeedback!D271</f>
        <v>2.1900857984033251</v>
      </c>
      <c r="B272">
        <f t="shared" ca="1" si="4"/>
        <v>148.27631043447465</v>
      </c>
      <c r="C272">
        <f ca="1">$E$10 - 0.5*MAX('HE2'!B271,0)/10000</f>
        <v>-3.4212553009876136E-5</v>
      </c>
    </row>
    <row r="273" spans="1:3" x14ac:dyDescent="0.45">
      <c r="A273">
        <f ca="1">randcorrWithFeedback!D272</f>
        <v>1.6222997562158514</v>
      </c>
      <c r="B273">
        <f t="shared" ca="1" si="4"/>
        <v>150.69503216838422</v>
      </c>
      <c r="C273">
        <f ca="1">$E$10 - 0.5*MAX('HE2'!B272,0)/10000</f>
        <v>-4.2353064668612065E-5</v>
      </c>
    </row>
    <row r="274" spans="1:3" x14ac:dyDescent="0.45">
      <c r="A274">
        <f ca="1">randcorrWithFeedback!D273</f>
        <v>2.7611292234441898</v>
      </c>
      <c r="B274">
        <f t="shared" ca="1" si="4"/>
        <v>154.89937776259396</v>
      </c>
      <c r="C274">
        <f ca="1">$E$10 - 0.5*MAX('HE2'!B273,0)/10000</f>
        <v>-9.3701894703340294E-5</v>
      </c>
    </row>
    <row r="275" spans="1:3" x14ac:dyDescent="0.45">
      <c r="A275">
        <f ca="1">randcorrWithFeedback!D274</f>
        <v>1.9754474172487893</v>
      </c>
      <c r="B275">
        <f t="shared" ca="1" si="4"/>
        <v>157.96768270188764</v>
      </c>
      <c r="C275">
        <f ca="1">$E$10 - 0.5*MAX('HE2'!B274,0)/10000</f>
        <v>-1.3973231636899659E-4</v>
      </c>
    </row>
    <row r="276" spans="1:3" x14ac:dyDescent="0.45">
      <c r="A276">
        <f ca="1">randcorrWithFeedback!D275</f>
        <v>3.5247586662735566</v>
      </c>
      <c r="B276">
        <f t="shared" ca="1" si="4"/>
        <v>163.60640766617115</v>
      </c>
      <c r="C276">
        <f ca="1">$E$10 - 0.5*MAX('HE2'!B275,0)/10000</f>
        <v>-1.7446884181080579E-4</v>
      </c>
    </row>
    <row r="277" spans="1:3" x14ac:dyDescent="0.45">
      <c r="A277">
        <f ca="1">randcorrWithFeedback!D276</f>
        <v>-2.0224950630885106</v>
      </c>
      <c r="B277">
        <f t="shared" ca="1" si="4"/>
        <v>160.30790366764353</v>
      </c>
      <c r="C277">
        <f ca="1">$E$10 - 0.5*MAX('HE2'!B276,0)/10000</f>
        <v>-1.4227555936701395E-4</v>
      </c>
    </row>
    <row r="278" spans="1:3" x14ac:dyDescent="0.45">
      <c r="A278">
        <f ca="1">randcorrWithFeedback!D277</f>
        <v>-0.79186911337234278</v>
      </c>
      <c r="B278">
        <f t="shared" ca="1" si="4"/>
        <v>159.01971715417915</v>
      </c>
      <c r="C278">
        <f ca="1">$E$10 - 0.5*MAX('HE2'!B277,0)/10000</f>
        <v>-1.4947095035981766E-4</v>
      </c>
    </row>
    <row r="279" spans="1:3" x14ac:dyDescent="0.45">
      <c r="A279">
        <f ca="1">randcorrWithFeedback!D278</f>
        <v>-0.67994471283587654</v>
      </c>
      <c r="B279">
        <f t="shared" ca="1" si="4"/>
        <v>157.92247301701693</v>
      </c>
      <c r="C279">
        <f ca="1">$E$10 - 0.5*MAX('HE2'!B278,0)/10000</f>
        <v>-1.2451916452306132E-4</v>
      </c>
    </row>
    <row r="280" spans="1:3" x14ac:dyDescent="0.45">
      <c r="A280">
        <f ca="1">randcorrWithFeedback!D279</f>
        <v>-1.965297533899899</v>
      </c>
      <c r="B280">
        <f t="shared" ca="1" si="4"/>
        <v>154.83106680546109</v>
      </c>
      <c r="C280">
        <f ca="1">$E$10 - 0.5*MAX('HE2'!B279,0)/10000</f>
        <v>-1.1662918122431397E-4</v>
      </c>
    </row>
    <row r="281" spans="1:3" x14ac:dyDescent="0.45">
      <c r="A281">
        <f ca="1">randcorrWithFeedback!D280</f>
        <v>-1.0989859148731433</v>
      </c>
      <c r="B281">
        <f t="shared" ca="1" si="4"/>
        <v>153.12400162389076</v>
      </c>
      <c r="C281">
        <f ca="1">$E$10 - 0.5*MAX('HE2'!B280,0)/10000</f>
        <v>-9.6710558626519514E-5</v>
      </c>
    </row>
    <row r="282" spans="1:3" x14ac:dyDescent="0.45">
      <c r="A282">
        <f ca="1">randcorrWithFeedback!D281</f>
        <v>2.1313535582945486</v>
      </c>
      <c r="B282">
        <f t="shared" ca="1" si="4"/>
        <v>156.40351986267856</v>
      </c>
      <c r="C282">
        <f ca="1">$E$10 - 0.5*MAX('HE2'!B281,0)/10000</f>
        <v>-1.2226347962455403E-4</v>
      </c>
    </row>
    <row r="283" spans="1:3" x14ac:dyDescent="0.45">
      <c r="A283">
        <f ca="1">randcorrWithFeedback!D282</f>
        <v>1.5580714304461296</v>
      </c>
      <c r="B283">
        <f t="shared" ca="1" si="4"/>
        <v>158.8368314675204</v>
      </c>
      <c r="C283">
        <f ca="1">$E$10 - 0.5*MAX('HE2'!B282,0)/10000</f>
        <v>-1.4258956482640059E-4</v>
      </c>
    </row>
    <row r="284" spans="1:3" x14ac:dyDescent="0.45">
      <c r="A284">
        <f ca="1">randcorrWithFeedback!D283</f>
        <v>1.7219897683882721</v>
      </c>
      <c r="B284">
        <f t="shared" ca="1" si="4"/>
        <v>161.57542112592603</v>
      </c>
      <c r="C284">
        <f ca="1">$E$10 - 0.5*MAX('HE2'!B283,0)/10000</f>
        <v>-1.2531827128840694E-4</v>
      </c>
    </row>
    <row r="285" spans="1:3" x14ac:dyDescent="0.45">
      <c r="A285">
        <f ca="1">randcorrWithFeedback!D284</f>
        <v>0.37837882666122985</v>
      </c>
      <c r="B285">
        <f t="shared" ca="1" si="4"/>
        <v>162.16745237530714</v>
      </c>
      <c r="C285">
        <f ca="1">$E$10 - 0.5*MAX('HE2'!B284,0)/10000</f>
        <v>-1.2636777774416061E-4</v>
      </c>
    </row>
    <row r="286" spans="1:3" x14ac:dyDescent="0.45">
      <c r="A286">
        <f ca="1">randcorrWithFeedback!D285</f>
        <v>-1.0769719191160683</v>
      </c>
      <c r="B286">
        <f t="shared" ca="1" si="4"/>
        <v>160.40903521656261</v>
      </c>
      <c r="C286">
        <f ca="1">$E$10 - 0.5*MAX('HE2'!B285,0)/10000</f>
        <v>-1.3271569745437116E-4</v>
      </c>
    </row>
    <row r="287" spans="1:3" x14ac:dyDescent="0.45">
      <c r="A287">
        <f ca="1">randcorrWithFeedback!D286</f>
        <v>0.71157571340935999</v>
      </c>
      <c r="B287">
        <f t="shared" ca="1" si="4"/>
        <v>161.526857813791</v>
      </c>
      <c r="C287">
        <f ca="1">$E$10 - 0.5*MAX('HE2'!B286,0)/10000</f>
        <v>-1.7134917178856975E-4</v>
      </c>
    </row>
    <row r="288" spans="1:3" x14ac:dyDescent="0.45">
      <c r="A288">
        <f ca="1">randcorrWithFeedback!D287</f>
        <v>-7.8574630324440078E-2</v>
      </c>
      <c r="B288">
        <f t="shared" ca="1" si="4"/>
        <v>161.37160201706035</v>
      </c>
      <c r="C288">
        <f ca="1">$E$10 - 0.5*MAX('HE2'!B287,0)/10000</f>
        <v>-1.7589227983444032E-4</v>
      </c>
    </row>
    <row r="289" spans="1:3" x14ac:dyDescent="0.45">
      <c r="A289">
        <f ca="1">randcorrWithFeedback!D288</f>
        <v>-1.8517229798761476</v>
      </c>
      <c r="B289">
        <f t="shared" ca="1" si="4"/>
        <v>158.38554968401746</v>
      </c>
      <c r="C289">
        <f ca="1">$E$10 - 0.5*MAX('HE2'!B288,0)/10000</f>
        <v>-1.603142301610733E-4</v>
      </c>
    </row>
    <row r="290" spans="1:3" x14ac:dyDescent="0.45">
      <c r="A290">
        <f ca="1">randcorrWithFeedback!D289</f>
        <v>-3.2618783597593146</v>
      </c>
      <c r="B290">
        <f t="shared" ca="1" si="4"/>
        <v>153.29061064674332</v>
      </c>
      <c r="C290">
        <f ca="1">$E$10 - 0.5*MAX('HE2'!B289,0)/10000</f>
        <v>-7.7929104362516288E-5</v>
      </c>
    </row>
    <row r="291" spans="1:3" x14ac:dyDescent="0.45">
      <c r="A291">
        <f ca="1">randcorrWithFeedback!D290</f>
        <v>0.97722938421350991</v>
      </c>
      <c r="B291">
        <f t="shared" ca="1" si="4"/>
        <v>154.78722254972703</v>
      </c>
      <c r="C291">
        <f ca="1">$E$10 - 0.5*MAX('HE2'!B290,0)/10000</f>
        <v>-5.6413536332908454E-5</v>
      </c>
    </row>
    <row r="292" spans="1:3" x14ac:dyDescent="0.45">
      <c r="A292">
        <f ca="1">randcorrWithFeedback!D291</f>
        <v>0.88485010726239688</v>
      </c>
      <c r="B292">
        <f t="shared" ca="1" si="4"/>
        <v>156.153177366004</v>
      </c>
      <c r="C292">
        <f ca="1">$E$10 - 0.5*MAX('HE2'!B291,0)/10000</f>
        <v>-6.2485465751893008E-5</v>
      </c>
    </row>
    <row r="293" spans="1:3" x14ac:dyDescent="0.45">
      <c r="A293">
        <f ca="1">randcorrWithFeedback!D292</f>
        <v>1.0381913693389977</v>
      </c>
      <c r="B293">
        <f t="shared" ca="1" si="4"/>
        <v>157.77071779468025</v>
      </c>
      <c r="C293">
        <f ca="1">$E$10 - 0.5*MAX('HE2'!B292,0)/10000</f>
        <v>-7.6519494514418147E-5</v>
      </c>
    </row>
    <row r="294" spans="1:3" x14ac:dyDescent="0.45">
      <c r="A294">
        <f ca="1">randcorrWithFeedback!D293</f>
        <v>-0.69432657173350709</v>
      </c>
      <c r="B294">
        <f t="shared" ca="1" si="4"/>
        <v>156.66893109260155</v>
      </c>
      <c r="C294">
        <f ca="1">$E$10 - 0.5*MAX('HE2'!B293,0)/10000</f>
        <v>-6.4700454755661432E-5</v>
      </c>
    </row>
    <row r="295" spans="1:3" x14ac:dyDescent="0.45">
      <c r="A295">
        <f ca="1">randcorrWithFeedback!D294</f>
        <v>1.030893419800341</v>
      </c>
      <c r="B295">
        <f t="shared" ca="1" si="4"/>
        <v>158.27754615970721</v>
      </c>
      <c r="C295">
        <f ca="1">$E$10 - 0.5*MAX('HE2'!B294,0)/10000</f>
        <v>-9.3680675866449135E-5</v>
      </c>
    </row>
    <row r="296" spans="1:3" x14ac:dyDescent="0.45">
      <c r="A296">
        <f ca="1">randcorrWithFeedback!D295</f>
        <v>2.8907899458167146</v>
      </c>
      <c r="B296">
        <f t="shared" ca="1" si="4"/>
        <v>162.89745352822118</v>
      </c>
      <c r="C296">
        <f ca="1">$E$10 - 0.5*MAX('HE2'!B295,0)/10000</f>
        <v>-1.3712932509624462E-4</v>
      </c>
    </row>
    <row r="297" spans="1:3" x14ac:dyDescent="0.45">
      <c r="A297">
        <f ca="1">randcorrWithFeedback!D296</f>
        <v>2.838677889799829</v>
      </c>
      <c r="B297">
        <f t="shared" ca="1" si="4"/>
        <v>167.55872774506636</v>
      </c>
      <c r="C297">
        <f ca="1">$E$10 - 0.5*MAX('HE2'!B296,0)/10000</f>
        <v>-1.7375904932272093E-4</v>
      </c>
    </row>
    <row r="298" spans="1:3" x14ac:dyDescent="0.45">
      <c r="A298">
        <f ca="1">randcorrWithFeedback!D297</f>
        <v>-0.83699202471860756</v>
      </c>
      <c r="B298">
        <f t="shared" ca="1" si="4"/>
        <v>166.1393724473626</v>
      </c>
      <c r="C298">
        <f ca="1">$E$10 - 0.5*MAX('HE2'!B297,0)/10000</f>
        <v>-1.3695381894908914E-4</v>
      </c>
    </row>
    <row r="299" spans="1:3" x14ac:dyDescent="0.45">
      <c r="A299">
        <f ca="1">randcorrWithFeedback!D298</f>
        <v>-2.0780962506213099</v>
      </c>
      <c r="B299">
        <f t="shared" ca="1" si="4"/>
        <v>162.7002206219307</v>
      </c>
      <c r="C299">
        <f ca="1">$E$10 - 0.5*MAX('HE2'!B298,0)/10000</f>
        <v>-1.3669641707423735E-4</v>
      </c>
    </row>
    <row r="300" spans="1:3" x14ac:dyDescent="0.45">
      <c r="A300">
        <f ca="1">randcorrWithFeedback!D299</f>
        <v>-1.9347984410958103</v>
      </c>
      <c r="B300">
        <f t="shared" ca="1" si="4"/>
        <v>159.56257274466415</v>
      </c>
      <c r="C300">
        <f ca="1">$E$10 - 0.5*MAX('HE2'!B299,0)/10000</f>
        <v>-1.2523491525239053E-4</v>
      </c>
    </row>
    <row r="301" spans="1:3" x14ac:dyDescent="0.45">
      <c r="A301">
        <f ca="1">randcorrWithFeedback!D300</f>
        <v>0.35725409147239023</v>
      </c>
      <c r="B301">
        <f t="shared" ca="1" si="4"/>
        <v>160.10694907368006</v>
      </c>
      <c r="C301">
        <f ca="1">$E$10 - 0.5*MAX('HE2'!B300,0)/10000</f>
        <v>-1.6666817372347584E-4</v>
      </c>
    </row>
    <row r="302" spans="1:3" x14ac:dyDescent="0.45">
      <c r="A302">
        <f ca="1">randcorrWithFeedback!D301</f>
        <v>2.8388121626029719</v>
      </c>
      <c r="B302">
        <f t="shared" ca="1" si="4"/>
        <v>164.68870370505351</v>
      </c>
      <c r="C302">
        <f ca="1">$E$10 - 0.5*MAX('HE2'!B301,0)/10000</f>
        <v>-1.730975354197375E-4</v>
      </c>
    </row>
    <row r="303" spans="1:3" x14ac:dyDescent="0.45">
      <c r="A303">
        <f ca="1">randcorrWithFeedback!D302</f>
        <v>0.84906339455349733</v>
      </c>
      <c r="B303">
        <f t="shared" ca="1" si="4"/>
        <v>166.07022814813169</v>
      </c>
      <c r="C303">
        <f ca="1">$E$10 - 0.5*MAX('HE2'!B302,0)/10000</f>
        <v>-1.3692165476124351E-4</v>
      </c>
    </row>
    <row r="304" spans="1:3" x14ac:dyDescent="0.45">
      <c r="A304">
        <f ca="1">randcorrWithFeedback!D303</f>
        <v>-1.4478016426764693</v>
      </c>
      <c r="B304">
        <f t="shared" ca="1" si="4"/>
        <v>163.66407237309983</v>
      </c>
      <c r="C304">
        <f ca="1">$E$10 - 0.5*MAX('HE2'!B303,0)/10000</f>
        <v>-1.1675567804786714E-4</v>
      </c>
    </row>
    <row r="305" spans="1:3" x14ac:dyDescent="0.45">
      <c r="A305">
        <f ca="1">randcorrWithFeedback!D304</f>
        <v>-3.2093243972367111</v>
      </c>
      <c r="B305">
        <f t="shared" ca="1" si="4"/>
        <v>158.48313861480651</v>
      </c>
      <c r="C305">
        <f ca="1">$E$10 - 0.5*MAX('HE2'!B304,0)/10000</f>
        <v>-7.4537268218816333E-5</v>
      </c>
    </row>
    <row r="306" spans="1:3" x14ac:dyDescent="0.45">
      <c r="A306">
        <f ca="1">randcorrWithFeedback!D305</f>
        <v>1.8596098895486768</v>
      </c>
      <c r="B306">
        <f t="shared" ca="1" si="4"/>
        <v>161.44818331395703</v>
      </c>
      <c r="C306">
        <f ca="1">$E$10 - 0.5*MAX('HE2'!B305,0)/10000</f>
        <v>-6.0060747524965014E-5</v>
      </c>
    </row>
    <row r="307" spans="1:3" x14ac:dyDescent="0.45">
      <c r="A307">
        <f ca="1">randcorrWithFeedback!D306</f>
        <v>-0.31582185563216253</v>
      </c>
      <c r="B307">
        <f t="shared" ca="1" si="4"/>
        <v>160.92817668204469</v>
      </c>
      <c r="C307">
        <f ca="1">$E$10 - 0.5*MAX('HE2'!B306,0)/10000</f>
        <v>-6.7868387039030472E-5</v>
      </c>
    </row>
    <row r="308" spans="1:3" x14ac:dyDescent="0.45">
      <c r="A308">
        <f ca="1">randcorrWithFeedback!D307</f>
        <v>3.6220930256459858</v>
      </c>
      <c r="B308">
        <f t="shared" ca="1" si="4"/>
        <v>166.84812122102838</v>
      </c>
      <c r="C308">
        <f ca="1">$E$10 - 0.5*MAX('HE2'!B307,0)/10000</f>
        <v>-9.5143293927927171E-5</v>
      </c>
    </row>
    <row r="309" spans="1:3" x14ac:dyDescent="0.45">
      <c r="A309">
        <f ca="1">randcorrWithFeedback!D308</f>
        <v>-1.1259109806368799</v>
      </c>
      <c r="B309">
        <f t="shared" ca="1" si="4"/>
        <v>164.96662004002337</v>
      </c>
      <c r="C309">
        <f ca="1">$E$10 - 0.5*MAX('HE2'!B308,0)/10000</f>
        <v>-8.1684393228976886E-5</v>
      </c>
    </row>
    <row r="310" spans="1:3" x14ac:dyDescent="0.45">
      <c r="A310">
        <f ca="1">randcorrWithFeedback!D309</f>
        <v>-2.5899035949807918</v>
      </c>
      <c r="B310">
        <f t="shared" ca="1" si="4"/>
        <v>160.73353183065944</v>
      </c>
      <c r="C310">
        <f ca="1">$E$10 - 0.5*MAX('HE2'!B309,0)/10000</f>
        <v>-9.6202670758589363E-5</v>
      </c>
    </row>
    <row r="311" spans="1:3" x14ac:dyDescent="0.45">
      <c r="A311">
        <f ca="1">randcorrWithFeedback!D310</f>
        <v>-2.0346431601670516</v>
      </c>
      <c r="B311">
        <f t="shared" ca="1" si="4"/>
        <v>157.49126357290001</v>
      </c>
      <c r="C311">
        <f ca="1">$E$10 - 0.5*MAX('HE2'!B310,0)/10000</f>
        <v>-3.1493075845100143E-5</v>
      </c>
    </row>
    <row r="312" spans="1:3" x14ac:dyDescent="0.45">
      <c r="A312">
        <f ca="1">randcorrWithFeedback!D311</f>
        <v>-2.4194892683812768</v>
      </c>
      <c r="B312">
        <f t="shared" ca="1" si="4"/>
        <v>153.72868925393237</v>
      </c>
      <c r="C312">
        <f ca="1">$E$10 - 0.5*MAX('HE2'!B311,0)/10000</f>
        <v>1.4195936393531002E-5</v>
      </c>
    </row>
    <row r="313" spans="1:3" x14ac:dyDescent="0.45">
      <c r="A313">
        <f ca="1">randcorrWithFeedback!D312</f>
        <v>0.69465267477375647</v>
      </c>
      <c r="B313">
        <f t="shared" ca="1" si="4"/>
        <v>154.80121024403167</v>
      </c>
      <c r="C313">
        <f ca="1">$E$10 - 0.5*MAX('HE2'!B312,0)/10000</f>
        <v>5.9618898546126364E-6</v>
      </c>
    </row>
    <row r="314" spans="1:3" x14ac:dyDescent="0.45">
      <c r="A314">
        <f ca="1">randcorrWithFeedback!D313</f>
        <v>-0.33691653257515297</v>
      </c>
      <c r="B314">
        <f t="shared" ca="1" si="4"/>
        <v>154.28407831469781</v>
      </c>
      <c r="C314">
        <f ca="1">$E$10 - 0.5*MAX('HE2'!B313,0)/10000</f>
        <v>2.2953577673331515E-5</v>
      </c>
    </row>
    <row r="315" spans="1:3" x14ac:dyDescent="0.45">
      <c r="A315">
        <f ca="1">randcorrWithFeedback!D314</f>
        <v>0.5923859738510695</v>
      </c>
      <c r="B315">
        <f t="shared" ca="1" si="4"/>
        <v>155.19942292220662</v>
      </c>
      <c r="C315">
        <f ca="1">$E$10 - 0.5*MAX('HE2'!B314,0)/10000</f>
        <v>-8.5377719431924901E-6</v>
      </c>
    </row>
    <row r="316" spans="1:3" x14ac:dyDescent="0.45">
      <c r="A316">
        <f ca="1">randcorrWithFeedback!D315</f>
        <v>-0.42313217461639668</v>
      </c>
      <c r="B316">
        <f t="shared" ca="1" si="4"/>
        <v>154.54256521711469</v>
      </c>
      <c r="C316">
        <f ca="1">$E$10 - 0.5*MAX('HE2'!B315,0)/10000</f>
        <v>-1.0006294083280581E-5</v>
      </c>
    </row>
    <row r="317" spans="1:3" x14ac:dyDescent="0.45">
      <c r="A317">
        <f ca="1">randcorrWithFeedback!D316</f>
        <v>-1.0945359671476956E-2</v>
      </c>
      <c r="B317">
        <f t="shared" ca="1" si="4"/>
        <v>154.52190779892564</v>
      </c>
      <c r="C317">
        <f ca="1">$E$10 - 0.5*MAX('HE2'!B316,0)/10000</f>
        <v>-2.4223483786946242E-5</v>
      </c>
    </row>
    <row r="318" spans="1:3" x14ac:dyDescent="0.45">
      <c r="A318">
        <f ca="1">randcorrWithFeedback!D317</f>
        <v>2.4628426666485166</v>
      </c>
      <c r="B318">
        <f t="shared" ca="1" si="4"/>
        <v>158.36859308277994</v>
      </c>
      <c r="C318">
        <f ca="1">$E$10 - 0.5*MAX('HE2'!B317,0)/10000</f>
        <v>-3.9127274699354131E-5</v>
      </c>
    </row>
    <row r="319" spans="1:3" x14ac:dyDescent="0.45">
      <c r="A319">
        <f ca="1">randcorrWithFeedback!D318</f>
        <v>1.1578620916690776</v>
      </c>
      <c r="B319">
        <f t="shared" ca="1" si="4"/>
        <v>160.20656474356548</v>
      </c>
      <c r="C319">
        <f ca="1">$E$10 - 0.5*MAX('HE2'!B318,0)/10000</f>
        <v>-3.9792426261852477E-5</v>
      </c>
    </row>
    <row r="320" spans="1:3" x14ac:dyDescent="0.45">
      <c r="A320">
        <f ca="1">randcorrWithFeedback!D319</f>
        <v>-1.8623967882517154</v>
      </c>
      <c r="B320">
        <f t="shared" ca="1" si="4"/>
        <v>157.25128384192317</v>
      </c>
      <c r="C320">
        <f ca="1">$E$10 - 0.5*MAX('HE2'!B319,0)/10000</f>
        <v>5.0155473732334688E-6</v>
      </c>
    </row>
    <row r="321" spans="1:3" x14ac:dyDescent="0.45">
      <c r="A321">
        <f ca="1">randcorrWithFeedback!D320</f>
        <v>-0.87096539126208994</v>
      </c>
      <c r="B321">
        <f t="shared" ca="1" si="4"/>
        <v>155.88982203950002</v>
      </c>
      <c r="C321">
        <f ca="1">$E$10 - 0.5*MAX('HE2'!B320,0)/10000</f>
        <v>1.408277538851211E-5</v>
      </c>
    </row>
    <row r="322" spans="1:3" x14ac:dyDescent="0.45">
      <c r="A322">
        <f ca="1">randcorrWithFeedback!D321</f>
        <v>1.9375941713514462</v>
      </c>
      <c r="B322">
        <f t="shared" ca="1" si="4"/>
        <v>158.93937369735642</v>
      </c>
      <c r="C322">
        <f ca="1">$E$10 - 0.5*MAX('HE2'!B321,0)/10000</f>
        <v>-2.5984531057068763E-6</v>
      </c>
    </row>
    <row r="323" spans="1:3" x14ac:dyDescent="0.45">
      <c r="A323">
        <f ca="1">randcorrWithFeedback!D322</f>
        <v>0.86725724860318776</v>
      </c>
      <c r="B323">
        <f t="shared" ca="1" si="4"/>
        <v>160.32240162478107</v>
      </c>
      <c r="C323">
        <f ca="1">$E$10 - 0.5*MAX('HE2'!B322,0)/10000</f>
        <v>-8.6065141937313543E-6</v>
      </c>
    </row>
    <row r="324" spans="1:3" x14ac:dyDescent="0.45">
      <c r="A324">
        <f ca="1">randcorrWithFeedback!D323</f>
        <v>0.70691240850174464</v>
      </c>
      <c r="B324">
        <f t="shared" ref="B324:B387" ca="1" si="5">B323*EXP(C324+A324/100)</f>
        <v>161.45998029316394</v>
      </c>
      <c r="C324">
        <f ca="1">$E$10 - 0.5*MAX('HE2'!B323,0)/10000</f>
        <v>1.389849071047774E-6</v>
      </c>
    </row>
    <row r="325" spans="1:3" x14ac:dyDescent="0.45">
      <c r="A325">
        <f ca="1">randcorrWithFeedback!D324</f>
        <v>0.92514239889120475</v>
      </c>
      <c r="B325">
        <f t="shared" ca="1" si="5"/>
        <v>162.96026119969895</v>
      </c>
      <c r="C325">
        <f ca="1">$E$10 - 0.5*MAX('HE2'!B324,0)/10000</f>
        <v>-2.3611390483628574E-6</v>
      </c>
    </row>
    <row r="326" spans="1:3" x14ac:dyDescent="0.45">
      <c r="A326">
        <f ca="1">randcorrWithFeedback!D325</f>
        <v>1.9019782809450432</v>
      </c>
      <c r="B326">
        <f t="shared" ca="1" si="5"/>
        <v>166.0842393851579</v>
      </c>
      <c r="C326">
        <f ca="1">$E$10 - 0.5*MAX('HE2'!B325,0)/10000</f>
        <v>-3.1031757415108492E-5</v>
      </c>
    </row>
    <row r="327" spans="1:3" x14ac:dyDescent="0.45">
      <c r="A327">
        <f ca="1">randcorrWithFeedback!D326</f>
        <v>-0.77060010004418666</v>
      </c>
      <c r="B327">
        <f t="shared" ca="1" si="5"/>
        <v>164.80404859694536</v>
      </c>
      <c r="C327">
        <f ca="1">$E$10 - 0.5*MAX('HE2'!B326,0)/10000</f>
        <v>-3.1940911684653249E-5</v>
      </c>
    </row>
    <row r="328" spans="1:3" x14ac:dyDescent="0.45">
      <c r="A328">
        <f ca="1">randcorrWithFeedback!D327</f>
        <v>1.0086128352050285</v>
      </c>
      <c r="B328">
        <f t="shared" ca="1" si="5"/>
        <v>166.47102692623125</v>
      </c>
      <c r="C328">
        <f ca="1">$E$10 - 0.5*MAX('HE2'!B327,0)/10000</f>
        <v>-2.2030431194835863E-5</v>
      </c>
    </row>
    <row r="329" spans="1:3" x14ac:dyDescent="0.45">
      <c r="A329">
        <f ca="1">randcorrWithFeedback!D328</f>
        <v>-1.208921905323479</v>
      </c>
      <c r="B329">
        <f t="shared" ca="1" si="5"/>
        <v>164.47381045793946</v>
      </c>
      <c r="C329">
        <f ca="1">$E$10 - 0.5*MAX('HE2'!B328,0)/10000</f>
        <v>1.9287817766520224E-5</v>
      </c>
    </row>
    <row r="330" spans="1:3" x14ac:dyDescent="0.45">
      <c r="A330">
        <f ca="1">randcorrWithFeedback!D329</f>
        <v>-0.79007758520530336</v>
      </c>
      <c r="B330">
        <f t="shared" ca="1" si="5"/>
        <v>163.18373942890685</v>
      </c>
      <c r="C330">
        <f ca="1">$E$10 - 0.5*MAX('HE2'!B329,0)/10000</f>
        <v>2.6226977753102714E-5</v>
      </c>
    </row>
    <row r="331" spans="1:3" x14ac:dyDescent="0.45">
      <c r="A331">
        <f ca="1">randcorrWithFeedback!D330</f>
        <v>0.53184068449873789</v>
      </c>
      <c r="B331">
        <f t="shared" ca="1" si="5"/>
        <v>164.05695274521852</v>
      </c>
      <c r="C331">
        <f ca="1">$E$10 - 0.5*MAX('HE2'!B330,0)/10000</f>
        <v>1.8431816915437721E-5</v>
      </c>
    </row>
    <row r="332" spans="1:3" x14ac:dyDescent="0.45">
      <c r="A332">
        <f ca="1">randcorrWithFeedback!D331</f>
        <v>-0.21734005166266196</v>
      </c>
      <c r="B332">
        <f t="shared" ca="1" si="5"/>
        <v>163.70577976358356</v>
      </c>
      <c r="C332">
        <f ca="1">$E$10 - 0.5*MAX('HE2'!B331,0)/10000</f>
        <v>3.0550941731871071E-5</v>
      </c>
    </row>
    <row r="333" spans="1:3" x14ac:dyDescent="0.45">
      <c r="A333">
        <f ca="1">randcorrWithFeedback!D332</f>
        <v>1.4540290807122407</v>
      </c>
      <c r="B333">
        <f t="shared" ca="1" si="5"/>
        <v>166.10464806648037</v>
      </c>
      <c r="C333">
        <f ca="1">$E$10 - 0.5*MAX('HE2'!B332,0)/10000</f>
        <v>6.9181627759320872E-6</v>
      </c>
    </row>
    <row r="334" spans="1:3" x14ac:dyDescent="0.45">
      <c r="A334">
        <f ca="1">randcorrWithFeedback!D333</f>
        <v>0.53553243515030036</v>
      </c>
      <c r="B334">
        <f t="shared" ca="1" si="5"/>
        <v>166.99560674110333</v>
      </c>
      <c r="C334">
        <f ca="1">$E$10 - 0.5*MAX('HE2'!B333,0)/10000</f>
        <v>-5.8189909278430539E-6</v>
      </c>
    </row>
    <row r="335" spans="1:3" x14ac:dyDescent="0.45">
      <c r="A335">
        <f ca="1">randcorrWithFeedback!D334</f>
        <v>0.89281932969631383</v>
      </c>
      <c r="B335">
        <f t="shared" ca="1" si="5"/>
        <v>168.49151381080424</v>
      </c>
      <c r="C335">
        <f ca="1">$E$10 - 0.5*MAX('HE2'!B334,0)/10000</f>
        <v>-1.0313044660428575E-5</v>
      </c>
    </row>
    <row r="336" spans="1:3" x14ac:dyDescent="0.45">
      <c r="A336">
        <f ca="1">randcorrWithFeedback!D335</f>
        <v>-1.4134781372111551</v>
      </c>
      <c r="B336">
        <f t="shared" ca="1" si="5"/>
        <v>166.12787393467136</v>
      </c>
      <c r="C336">
        <f ca="1">$E$10 - 0.5*MAX('HE2'!B335,0)/10000</f>
        <v>7.2127048410898699E-6</v>
      </c>
    </row>
    <row r="337" spans="1:3" x14ac:dyDescent="0.45">
      <c r="A337">
        <f ca="1">randcorrWithFeedback!D336</f>
        <v>-1.6527758098941752</v>
      </c>
      <c r="B337">
        <f t="shared" ca="1" si="5"/>
        <v>163.40868410695165</v>
      </c>
      <c r="C337">
        <f ca="1">$E$10 - 0.5*MAX('HE2'!B336,0)/10000</f>
        <v>2.4268705749991155E-5</v>
      </c>
    </row>
    <row r="338" spans="1:3" x14ac:dyDescent="0.45">
      <c r="A338">
        <f ca="1">randcorrWithFeedback!D337</f>
        <v>-1.6434035625841983</v>
      </c>
      <c r="B338">
        <f t="shared" ca="1" si="5"/>
        <v>160.75227262069583</v>
      </c>
      <c r="C338">
        <f ca="1">$E$10 - 0.5*MAX('HE2'!B337,0)/10000</f>
        <v>4.4208929879874213E-5</v>
      </c>
    </row>
    <row r="339" spans="1:3" x14ac:dyDescent="0.45">
      <c r="A339">
        <f ca="1">randcorrWithFeedback!D338</f>
        <v>0.87384176954761306</v>
      </c>
      <c r="B339">
        <f t="shared" ca="1" si="5"/>
        <v>162.16929693301708</v>
      </c>
      <c r="C339">
        <f ca="1">$E$10 - 0.5*MAX('HE2'!B338,0)/10000</f>
        <v>3.7914029124801668E-5</v>
      </c>
    </row>
    <row r="340" spans="1:3" x14ac:dyDescent="0.45">
      <c r="A340">
        <f ca="1">randcorrWithFeedback!D339</f>
        <v>-2.1969875385112192</v>
      </c>
      <c r="B340">
        <f t="shared" ca="1" si="5"/>
        <v>158.65484008713011</v>
      </c>
      <c r="C340">
        <f ca="1">$E$10 - 0.5*MAX('HE2'!B339,0)/10000</f>
        <v>6.0068552695664966E-5</v>
      </c>
    </row>
    <row r="341" spans="1:3" x14ac:dyDescent="0.45">
      <c r="A341">
        <f ca="1">randcorrWithFeedback!D340</f>
        <v>-1.5282841345527729</v>
      </c>
      <c r="B341">
        <f t="shared" ca="1" si="5"/>
        <v>156.25892166475958</v>
      </c>
      <c r="C341">
        <f ca="1">$E$10 - 0.5*MAX('HE2'!B340,0)/10000</f>
        <v>6.6201467150167181E-5</v>
      </c>
    </row>
    <row r="342" spans="1:3" x14ac:dyDescent="0.45">
      <c r="A342">
        <f ca="1">randcorrWithFeedback!D341</f>
        <v>2.7783169896415774</v>
      </c>
      <c r="B342">
        <f t="shared" ca="1" si="5"/>
        <v>160.66832022956777</v>
      </c>
      <c r="C342">
        <f ca="1">$E$10 - 0.5*MAX('HE2'!B341,0)/10000</f>
        <v>4.4561677484264566E-5</v>
      </c>
    </row>
    <row r="343" spans="1:3" x14ac:dyDescent="0.45">
      <c r="A343">
        <f ca="1">randcorrWithFeedback!D342</f>
        <v>-0.8804107327711006</v>
      </c>
      <c r="B343">
        <f t="shared" ca="1" si="5"/>
        <v>159.26751987691665</v>
      </c>
      <c r="C343">
        <f ca="1">$E$10 - 0.5*MAX('HE2'!B342,0)/10000</f>
        <v>4.7293439672858162E-5</v>
      </c>
    </row>
    <row r="344" spans="1:3" x14ac:dyDescent="0.45">
      <c r="A344">
        <f ca="1">randcorrWithFeedback!D343</f>
        <v>-2.346031835046682</v>
      </c>
      <c r="B344">
        <f t="shared" ca="1" si="5"/>
        <v>155.58451357721916</v>
      </c>
      <c r="C344">
        <f ca="1">$E$10 - 0.5*MAX('HE2'!B343,0)/10000</f>
        <v>6.4094676141505848E-5</v>
      </c>
    </row>
    <row r="345" spans="1:3" x14ac:dyDescent="0.45">
      <c r="A345">
        <f ca="1">randcorrWithFeedback!D344</f>
        <v>-0.83054740401872074</v>
      </c>
      <c r="B345">
        <f t="shared" ca="1" si="5"/>
        <v>154.31018409192464</v>
      </c>
      <c r="C345">
        <f ca="1">$E$10 - 0.5*MAX('HE2'!B344,0)/10000</f>
        <v>8.1153470759694654E-5</v>
      </c>
    </row>
    <row r="346" spans="1:3" x14ac:dyDescent="0.45">
      <c r="A346">
        <f ca="1">randcorrWithFeedback!D345</f>
        <v>0.97854882145889421</v>
      </c>
      <c r="B346">
        <f t="shared" ca="1" si="5"/>
        <v>155.84020907208716</v>
      </c>
      <c r="C346">
        <f ca="1">$E$10 - 0.5*MAX('HE2'!B345,0)/10000</f>
        <v>8.0934177389222595E-5</v>
      </c>
    </row>
    <row r="347" spans="1:3" x14ac:dyDescent="0.45">
      <c r="A347">
        <f ca="1">randcorrWithFeedback!D346</f>
        <v>0.74003966425571732</v>
      </c>
      <c r="B347">
        <f t="shared" ca="1" si="5"/>
        <v>157.00869238662307</v>
      </c>
      <c r="C347">
        <f ca="1">$E$10 - 0.5*MAX('HE2'!B346,0)/10000</f>
        <v>6.9591218035923522E-5</v>
      </c>
    </row>
    <row r="348" spans="1:3" x14ac:dyDescent="0.45">
      <c r="A348">
        <f ca="1">randcorrWithFeedback!D347</f>
        <v>1.5416258090850783</v>
      </c>
      <c r="B348">
        <f t="shared" ca="1" si="5"/>
        <v>159.45751922254007</v>
      </c>
      <c r="C348">
        <f ca="1">$E$10 - 0.5*MAX('HE2'!B347,0)/10000</f>
        <v>6.0122161662852082E-5</v>
      </c>
    </row>
    <row r="349" spans="1:3" x14ac:dyDescent="0.45">
      <c r="A349">
        <f ca="1">randcorrWithFeedback!D348</f>
        <v>-0.3330525263610114</v>
      </c>
      <c r="B349">
        <f t="shared" ca="1" si="5"/>
        <v>158.93959221407857</v>
      </c>
      <c r="C349">
        <f ca="1">$E$10 - 0.5*MAX('HE2'!B348,0)/10000</f>
        <v>7.71825247488468E-5</v>
      </c>
    </row>
    <row r="350" spans="1:3" x14ac:dyDescent="0.45">
      <c r="A350">
        <f ca="1">randcorrWithFeedback!D349</f>
        <v>0.71190333807854034</v>
      </c>
      <c r="B350">
        <f t="shared" ca="1" si="5"/>
        <v>160.08427516916004</v>
      </c>
      <c r="C350">
        <f ca="1">$E$10 - 0.5*MAX('HE2'!B349,0)/10000</f>
        <v>5.7156142866053229E-5</v>
      </c>
    </row>
    <row r="351" spans="1:3" x14ac:dyDescent="0.45">
      <c r="A351">
        <f ca="1">randcorrWithFeedback!D350</f>
        <v>-0.4014102534149559</v>
      </c>
      <c r="B351">
        <f t="shared" ca="1" si="5"/>
        <v>159.4529537790466</v>
      </c>
      <c r="C351">
        <f ca="1">$E$10 - 0.5*MAX('HE2'!B350,0)/10000</f>
        <v>6.2624243778489015E-5</v>
      </c>
    </row>
    <row r="352" spans="1:3" x14ac:dyDescent="0.45">
      <c r="A352">
        <f ca="1">randcorrWithFeedback!D351</f>
        <v>0.14651317287517074</v>
      </c>
      <c r="B352">
        <f t="shared" ca="1" si="5"/>
        <v>159.69570682240652</v>
      </c>
      <c r="C352">
        <f ca="1">$E$10 - 0.5*MAX('HE2'!B351,0)/10000</f>
        <v>5.6122283204109255E-5</v>
      </c>
    </row>
    <row r="353" spans="1:3" x14ac:dyDescent="0.45">
      <c r="A353">
        <f ca="1">randcorrWithFeedback!D352</f>
        <v>0.73249549122584501</v>
      </c>
      <c r="B353">
        <f t="shared" ca="1" si="5"/>
        <v>160.87751673932993</v>
      </c>
      <c r="C353">
        <f ca="1">$E$10 - 0.5*MAX('HE2'!B352,0)/10000</f>
        <v>4.8182854509234883E-5</v>
      </c>
    </row>
    <row r="354" spans="1:3" x14ac:dyDescent="0.45">
      <c r="A354">
        <f ca="1">randcorrWithFeedback!D353</f>
        <v>-0.53575589241544841</v>
      </c>
      <c r="B354">
        <f t="shared" ca="1" si="5"/>
        <v>160.02884469980097</v>
      </c>
      <c r="C354">
        <f ca="1">$E$10 - 0.5*MAX('HE2'!B353,0)/10000</f>
        <v>6.8327422121431612E-5</v>
      </c>
    </row>
    <row r="355" spans="1:3" x14ac:dyDescent="0.45">
      <c r="A355">
        <f ca="1">randcorrWithFeedback!D354</f>
        <v>0.93515419950035683</v>
      </c>
      <c r="B355">
        <f t="shared" ca="1" si="5"/>
        <v>161.5431229616058</v>
      </c>
      <c r="C355">
        <f ca="1">$E$10 - 0.5*MAX('HE2'!B354,0)/10000</f>
        <v>6.6501908414152798E-5</v>
      </c>
    </row>
    <row r="356" spans="1:3" x14ac:dyDescent="0.45">
      <c r="A356">
        <f ca="1">randcorrWithFeedback!D355</f>
        <v>-0.43880894932052694</v>
      </c>
      <c r="B356">
        <f t="shared" ca="1" si="5"/>
        <v>160.84933109083147</v>
      </c>
      <c r="C356">
        <f ca="1">$E$10 - 0.5*MAX('HE2'!B355,0)/10000</f>
        <v>8.4062317171395548E-5</v>
      </c>
    </row>
    <row r="357" spans="1:3" x14ac:dyDescent="0.45">
      <c r="A357">
        <f ca="1">randcorrWithFeedback!D356</f>
        <v>-0.39499213924698928</v>
      </c>
      <c r="B357">
        <f t="shared" ca="1" si="5"/>
        <v>160.22861922347164</v>
      </c>
      <c r="C357">
        <f ca="1">$E$10 - 0.5*MAX('HE2'!B356,0)/10000</f>
        <v>8.3491822839399377E-5</v>
      </c>
    </row>
    <row r="358" spans="1:3" x14ac:dyDescent="0.45">
      <c r="A358">
        <f ca="1">randcorrWithFeedback!D357</f>
        <v>-0.16562625995996708</v>
      </c>
      <c r="B358">
        <f t="shared" ca="1" si="5"/>
        <v>159.9768134114876</v>
      </c>
      <c r="C358">
        <f ca="1">$E$10 - 0.5*MAX('HE2'!B357,0)/10000</f>
        <v>8.3485636897498626E-5</v>
      </c>
    </row>
    <row r="359" spans="1:3" x14ac:dyDescent="0.45">
      <c r="A359">
        <f ca="1">randcorrWithFeedback!D358</f>
        <v>1.9253904756388527</v>
      </c>
      <c r="B359">
        <f t="shared" ca="1" si="5"/>
        <v>163.09665645219687</v>
      </c>
      <c r="C359">
        <f ca="1">$E$10 - 0.5*MAX('HE2'!B358,0)/10000</f>
        <v>6.0216119660983082E-5</v>
      </c>
    </row>
    <row r="360" spans="1:3" x14ac:dyDescent="0.45">
      <c r="A360">
        <f ca="1">randcorrWithFeedback!D359</f>
        <v>1.4496231714695487</v>
      </c>
      <c r="B360">
        <f t="shared" ca="1" si="5"/>
        <v>165.48516050950201</v>
      </c>
      <c r="C360">
        <f ca="1">$E$10 - 0.5*MAX('HE2'!B359,0)/10000</f>
        <v>4.2285056847979455E-5</v>
      </c>
    </row>
    <row r="361" spans="1:3" x14ac:dyDescent="0.45">
      <c r="A361">
        <f ca="1">randcorrWithFeedback!D360</f>
        <v>1.6050318979251019</v>
      </c>
      <c r="B361">
        <f t="shared" ca="1" si="5"/>
        <v>168.16316176357839</v>
      </c>
      <c r="C361">
        <f ca="1">$E$10 - 0.5*MAX('HE2'!B360,0)/10000</f>
        <v>2.8638853032534928E-6</v>
      </c>
    </row>
    <row r="362" spans="1:3" x14ac:dyDescent="0.45">
      <c r="A362">
        <f ca="1">randcorrWithFeedback!D361</f>
        <v>-1.181517944976874</v>
      </c>
      <c r="B362">
        <f t="shared" ca="1" si="5"/>
        <v>166.19198972523867</v>
      </c>
      <c r="C362">
        <f ca="1">$E$10 - 0.5*MAX('HE2'!B361,0)/10000</f>
        <v>2.4155044170231452E-5</v>
      </c>
    </row>
    <row r="363" spans="1:3" x14ac:dyDescent="0.45">
      <c r="A363">
        <f ca="1">randcorrWithFeedback!D362</f>
        <v>0.19977254800332964</v>
      </c>
      <c r="B363">
        <f t="shared" ca="1" si="5"/>
        <v>166.52608723984207</v>
      </c>
      <c r="C363">
        <f ca="1">$E$10 - 0.5*MAX('HE2'!B362,0)/10000</f>
        <v>1.0567125779742818E-5</v>
      </c>
    </row>
    <row r="364" spans="1:3" x14ac:dyDescent="0.45">
      <c r="A364">
        <f ca="1">randcorrWithFeedback!D363</f>
        <v>-0.68127707863782239</v>
      </c>
      <c r="B364">
        <f t="shared" ca="1" si="5"/>
        <v>165.39727424325122</v>
      </c>
      <c r="C364">
        <f ca="1">$E$10 - 0.5*MAX('HE2'!B363,0)/10000</f>
        <v>1.1096186680855944E-5</v>
      </c>
    </row>
    <row r="365" spans="1:3" x14ac:dyDescent="0.45">
      <c r="A365">
        <f ca="1">randcorrWithFeedback!D364</f>
        <v>2.6644680065467128</v>
      </c>
      <c r="B365">
        <f t="shared" ca="1" si="5"/>
        <v>169.85736384987055</v>
      </c>
      <c r="C365">
        <f ca="1">$E$10 - 0.5*MAX('HE2'!B364,0)/10000</f>
        <v>-3.5934047228261936E-5</v>
      </c>
    </row>
    <row r="366" spans="1:3" x14ac:dyDescent="0.45">
      <c r="A366">
        <f ca="1">randcorrWithFeedback!D365</f>
        <v>-0.13792047365715215</v>
      </c>
      <c r="B366">
        <f t="shared" ca="1" si="5"/>
        <v>169.61676600992649</v>
      </c>
      <c r="C366">
        <f ca="1">$E$10 - 0.5*MAX('HE2'!B365,0)/10000</f>
        <v>-3.8269286136309913E-5</v>
      </c>
    </row>
    <row r="367" spans="1:3" x14ac:dyDescent="0.45">
      <c r="A367">
        <f ca="1">randcorrWithFeedback!D366</f>
        <v>1.7650397270658749</v>
      </c>
      <c r="B367">
        <f t="shared" ca="1" si="5"/>
        <v>172.62857976179569</v>
      </c>
      <c r="C367">
        <f ca="1">$E$10 - 0.5*MAX('HE2'!B366,0)/10000</f>
        <v>-4.9623203345133479E-5</v>
      </c>
    </row>
    <row r="368" spans="1:3" x14ac:dyDescent="0.45">
      <c r="A368">
        <f ca="1">randcorrWithFeedback!D367</f>
        <v>0.46457800636705637</v>
      </c>
      <c r="B368">
        <f t="shared" ca="1" si="5"/>
        <v>173.42559143336558</v>
      </c>
      <c r="C368">
        <f ca="1">$E$10 - 0.5*MAX('HE2'!B367,0)/10000</f>
        <v>-3.9489215849753924E-5</v>
      </c>
    </row>
    <row r="369" spans="1:3" x14ac:dyDescent="0.45">
      <c r="A369">
        <f ca="1">randcorrWithFeedback!D368</f>
        <v>2.2296259732660597</v>
      </c>
      <c r="B369">
        <f t="shared" ca="1" si="5"/>
        <v>177.32752500268055</v>
      </c>
      <c r="C369">
        <f ca="1">$E$10 - 0.5*MAX('HE2'!B368,0)/10000</f>
        <v>-4.6452917414255995E-5</v>
      </c>
    </row>
    <row r="370" spans="1:3" x14ac:dyDescent="0.45">
      <c r="A370">
        <f ca="1">randcorrWithFeedback!D369</f>
        <v>1.9013783882444257</v>
      </c>
      <c r="B370">
        <f t="shared" ca="1" si="5"/>
        <v>180.72132035592426</v>
      </c>
      <c r="C370">
        <f ca="1">$E$10 - 0.5*MAX('HE2'!B369,0)/10000</f>
        <v>-5.6052055877066007E-5</v>
      </c>
    </row>
    <row r="371" spans="1:3" x14ac:dyDescent="0.45">
      <c r="A371">
        <f ca="1">randcorrWithFeedback!D370</f>
        <v>1.6561502021227101</v>
      </c>
      <c r="B371">
        <f t="shared" ca="1" si="5"/>
        <v>183.72220156350386</v>
      </c>
      <c r="C371">
        <f ca="1">$E$10 - 0.5*MAX('HE2'!B370,0)/10000</f>
        <v>-9.283760040671197E-5</v>
      </c>
    </row>
    <row r="372" spans="1:3" x14ac:dyDescent="0.45">
      <c r="A372">
        <f ca="1">randcorrWithFeedback!D371</f>
        <v>4.0101869678839188</v>
      </c>
      <c r="B372">
        <f t="shared" ca="1" si="5"/>
        <v>191.21860104034764</v>
      </c>
      <c r="C372">
        <f ca="1">$E$10 - 0.5*MAX('HE2'!B371,0)/10000</f>
        <v>-1.0943065783962941E-4</v>
      </c>
    </row>
    <row r="373" spans="1:3" x14ac:dyDescent="0.45">
      <c r="A373">
        <f ca="1">randcorrWithFeedback!D372</f>
        <v>0.38761281717339624</v>
      </c>
      <c r="B373">
        <f t="shared" ca="1" si="5"/>
        <v>191.93905519087741</v>
      </c>
      <c r="C373">
        <f ca="1">$E$10 - 0.5*MAX('HE2'!B372,0)/10000</f>
        <v>-1.155090746937244E-4</v>
      </c>
    </row>
    <row r="374" spans="1:3" x14ac:dyDescent="0.45">
      <c r="A374">
        <f ca="1">randcorrWithFeedback!D373</f>
        <v>-1.3242000081082885</v>
      </c>
      <c r="B374">
        <f t="shared" ca="1" si="5"/>
        <v>189.39897334538799</v>
      </c>
      <c r="C374">
        <f ca="1">$E$10 - 0.5*MAX('HE2'!B373,0)/10000</f>
        <v>-8.0140502787792088E-5</v>
      </c>
    </row>
    <row r="375" spans="1:3" x14ac:dyDescent="0.45">
      <c r="A375">
        <f ca="1">randcorrWithFeedback!D374</f>
        <v>0.64633668303442382</v>
      </c>
      <c r="B375">
        <f t="shared" ca="1" si="5"/>
        <v>190.61670381716922</v>
      </c>
      <c r="C375">
        <f ca="1">$E$10 - 0.5*MAX('HE2'!B374,0)/10000</f>
        <v>-5.4501549237942384E-5</v>
      </c>
    </row>
    <row r="376" spans="1:3" x14ac:dyDescent="0.45">
      <c r="A376">
        <f ca="1">randcorrWithFeedback!D375</f>
        <v>-1.3252484268026061</v>
      </c>
      <c r="B376">
        <f t="shared" ca="1" si="5"/>
        <v>188.10100603689438</v>
      </c>
      <c r="C376">
        <f ca="1">$E$10 - 0.5*MAX('HE2'!B375,0)/10000</f>
        <v>-3.30564796164739E-5</v>
      </c>
    </row>
    <row r="377" spans="1:3" x14ac:dyDescent="0.45">
      <c r="A377">
        <f ca="1">randcorrWithFeedback!D376</f>
        <v>0.63937896292466423</v>
      </c>
      <c r="B377">
        <f t="shared" ca="1" si="5"/>
        <v>189.30590057583268</v>
      </c>
      <c r="C377">
        <f ca="1">$E$10 - 0.5*MAX('HE2'!B376,0)/10000</f>
        <v>-8.6461066510834706E-6</v>
      </c>
    </row>
    <row r="378" spans="1:3" x14ac:dyDescent="0.45">
      <c r="A378">
        <f ca="1">randcorrWithFeedback!D377</f>
        <v>0.60439102526913546</v>
      </c>
      <c r="B378">
        <f t="shared" ca="1" si="5"/>
        <v>190.45102374973524</v>
      </c>
      <c r="C378">
        <f ca="1">$E$10 - 0.5*MAX('HE2'!B377,0)/10000</f>
        <v>-1.3070147747167753E-5</v>
      </c>
    </row>
    <row r="379" spans="1:3" x14ac:dyDescent="0.45">
      <c r="A379">
        <f ca="1">randcorrWithFeedback!D378</f>
        <v>1.1686632096669893</v>
      </c>
      <c r="B379">
        <f t="shared" ca="1" si="5"/>
        <v>192.68335017735583</v>
      </c>
      <c r="C379">
        <f ca="1">$E$10 - 0.5*MAX('HE2'!B378,0)/10000</f>
        <v>-3.3531560689000194E-5</v>
      </c>
    </row>
    <row r="380" spans="1:3" x14ac:dyDescent="0.45">
      <c r="A380">
        <f ca="1">randcorrWithFeedback!D379</f>
        <v>0.37876117646643881</v>
      </c>
      <c r="B380">
        <f t="shared" ca="1" si="5"/>
        <v>193.40815571710164</v>
      </c>
      <c r="C380">
        <f ca="1">$E$10 - 0.5*MAX('HE2'!B379,0)/10000</f>
        <v>-3.3028303805711433E-5</v>
      </c>
    </row>
    <row r="381" spans="1:3" x14ac:dyDescent="0.45">
      <c r="A381">
        <f ca="1">randcorrWithFeedback!D380</f>
        <v>7.4337154235865469E-2</v>
      </c>
      <c r="B381">
        <f t="shared" ca="1" si="5"/>
        <v>193.54943670371568</v>
      </c>
      <c r="C381">
        <f ca="1">$E$10 - 0.5*MAX('HE2'!B380,0)/10000</f>
        <v>-1.3157195055627516E-5</v>
      </c>
    </row>
    <row r="382" spans="1:3" x14ac:dyDescent="0.45">
      <c r="A382">
        <f ca="1">randcorrWithFeedback!D381</f>
        <v>0.94437736390998384</v>
      </c>
      <c r="B382">
        <f t="shared" ca="1" si="5"/>
        <v>195.3810486190882</v>
      </c>
      <c r="C382">
        <f ca="1">$E$10 - 0.5*MAX('HE2'!B381,0)/10000</f>
        <v>-2.4993033374673965E-5</v>
      </c>
    </row>
    <row r="383" spans="1:3" x14ac:dyDescent="0.45">
      <c r="A383">
        <f ca="1">randcorrWithFeedback!D382</f>
        <v>-1.1648429212240683E-2</v>
      </c>
      <c r="B383">
        <f t="shared" ca="1" si="5"/>
        <v>195.35155266531063</v>
      </c>
      <c r="C383">
        <f ca="1">$E$10 - 0.5*MAX('HE2'!B382,0)/10000</f>
        <v>-3.4493403297120549E-5</v>
      </c>
    </row>
    <row r="384" spans="1:3" x14ac:dyDescent="0.45">
      <c r="A384">
        <f ca="1">randcorrWithFeedback!D383</f>
        <v>-0.47124036901814176</v>
      </c>
      <c r="B384">
        <f t="shared" ca="1" si="5"/>
        <v>194.42488988612385</v>
      </c>
      <c r="C384">
        <f ca="1">$E$10 - 0.5*MAX('HE2'!B383,0)/10000</f>
        <v>-4.2447675386883934E-5</v>
      </c>
    </row>
    <row r="385" spans="1:3" x14ac:dyDescent="0.45">
      <c r="A385">
        <f ca="1">randcorrWithFeedback!D384</f>
        <v>2.1075938830894927</v>
      </c>
      <c r="B385">
        <f t="shared" ca="1" si="5"/>
        <v>198.55375048180161</v>
      </c>
      <c r="C385">
        <f ca="1">$E$10 - 0.5*MAX('HE2'!B384,0)/10000</f>
        <v>-6.2010299467419461E-5</v>
      </c>
    </row>
    <row r="386" spans="1:3" x14ac:dyDescent="0.45">
      <c r="A386">
        <f ca="1">randcorrWithFeedback!D385</f>
        <v>1.1245304712640229</v>
      </c>
      <c r="B386">
        <f t="shared" ca="1" si="5"/>
        <v>200.78069239061051</v>
      </c>
      <c r="C386">
        <f ca="1">$E$10 - 0.5*MAX('HE2'!B385,0)/10000</f>
        <v>-9.1921707022400332E-5</v>
      </c>
    </row>
    <row r="387" spans="1:3" x14ac:dyDescent="0.45">
      <c r="A387">
        <f ca="1">randcorrWithFeedback!D386</f>
        <v>-0.98931232477245523</v>
      </c>
      <c r="B387">
        <f t="shared" ca="1" si="5"/>
        <v>198.78397859033888</v>
      </c>
      <c r="C387">
        <f ca="1">$E$10 - 0.5*MAX('HE2'!B386,0)/10000</f>
        <v>-1.0140613057664058E-4</v>
      </c>
    </row>
    <row r="388" spans="1:3" x14ac:dyDescent="0.45">
      <c r="A388">
        <f ca="1">randcorrWithFeedback!D387</f>
        <v>3.5678312181020022</v>
      </c>
      <c r="B388">
        <f t="shared" ref="B388:B451" ca="1" si="6">B387*EXP(C388+A388/100)</f>
        <v>205.97648587793097</v>
      </c>
      <c r="C388">
        <f ca="1">$E$10 - 0.5*MAX('HE2'!B387,0)/10000</f>
        <v>-1.3499651327172427E-4</v>
      </c>
    </row>
    <row r="389" spans="1:3" x14ac:dyDescent="0.45">
      <c r="A389">
        <f ca="1">randcorrWithFeedback!D388</f>
        <v>1.6645095396045388</v>
      </c>
      <c r="B389">
        <f t="shared" ca="1" si="6"/>
        <v>209.40555137682608</v>
      </c>
      <c r="C389">
        <f ca="1">$E$10 - 0.5*MAX('HE2'!B388,0)/10000</f>
        <v>-1.3430248868992424E-4</v>
      </c>
    </row>
    <row r="390" spans="1:3" x14ac:dyDescent="0.45">
      <c r="A390">
        <f ca="1">randcorrWithFeedback!D389</f>
        <v>-1.1915655600772774</v>
      </c>
      <c r="B390">
        <f t="shared" ca="1" si="6"/>
        <v>206.90279182789058</v>
      </c>
      <c r="C390">
        <f ca="1">$E$10 - 0.5*MAX('HE2'!B389,0)/10000</f>
        <v>-1.0807508698118195E-4</v>
      </c>
    </row>
    <row r="391" spans="1:3" x14ac:dyDescent="0.45">
      <c r="A391">
        <f ca="1">randcorrWithFeedback!D390</f>
        <v>0.21278442098737796</v>
      </c>
      <c r="B391">
        <f t="shared" ca="1" si="6"/>
        <v>207.31775580970481</v>
      </c>
      <c r="C391">
        <f ca="1">$E$10 - 0.5*MAX('HE2'!B390,0)/10000</f>
        <v>-1.2425398240091025E-4</v>
      </c>
    </row>
    <row r="392" spans="1:3" x14ac:dyDescent="0.45">
      <c r="A392">
        <f ca="1">randcorrWithFeedback!D391</f>
        <v>-1.1663778056848582</v>
      </c>
      <c r="B392">
        <f t="shared" ca="1" si="6"/>
        <v>204.88908444795007</v>
      </c>
      <c r="C392">
        <f ca="1">$E$10 - 0.5*MAX('HE2'!B391,0)/10000</f>
        <v>-1.2010919716604765E-4</v>
      </c>
    </row>
    <row r="393" spans="1:3" x14ac:dyDescent="0.45">
      <c r="A393">
        <f ca="1">randcorrWithFeedback!D392</f>
        <v>-1.592350380357747</v>
      </c>
      <c r="B393">
        <f t="shared" ca="1" si="6"/>
        <v>201.63196544314673</v>
      </c>
      <c r="C393">
        <f ca="1">$E$10 - 0.5*MAX('HE2'!B392,0)/10000</f>
        <v>-1.0119506637962982E-4</v>
      </c>
    </row>
    <row r="394" spans="1:3" x14ac:dyDescent="0.45">
      <c r="A394">
        <f ca="1">randcorrWithFeedback!D393</f>
        <v>-0.49794047620328652</v>
      </c>
      <c r="B394">
        <f t="shared" ca="1" si="6"/>
        <v>200.60728963657661</v>
      </c>
      <c r="C394">
        <f ca="1">$E$10 - 0.5*MAX('HE2'!B393,0)/10000</f>
        <v>-1.1546357886822988E-4</v>
      </c>
    </row>
    <row r="395" spans="1:3" x14ac:dyDescent="0.45">
      <c r="A395">
        <f ca="1">randcorrWithFeedback!D394</f>
        <v>1.4747291733091039</v>
      </c>
      <c r="B395">
        <f t="shared" ca="1" si="6"/>
        <v>203.56112642683038</v>
      </c>
      <c r="C395">
        <f ca="1">$E$10 - 0.5*MAX('HE2'!B394,0)/10000</f>
        <v>-1.3017042529908193E-4</v>
      </c>
    </row>
    <row r="396" spans="1:3" x14ac:dyDescent="0.45">
      <c r="A396">
        <f ca="1">randcorrWithFeedback!D395</f>
        <v>-3.5764830724540544</v>
      </c>
      <c r="B396">
        <f t="shared" ca="1" si="6"/>
        <v>196.39221548090515</v>
      </c>
      <c r="C396">
        <f ca="1">$E$10 - 0.5*MAX('HE2'!B395,0)/10000</f>
        <v>-8.7745525656303175E-5</v>
      </c>
    </row>
    <row r="397" spans="1:3" x14ac:dyDescent="0.45">
      <c r="A397">
        <f ca="1">randcorrWithFeedback!D396</f>
        <v>1.8793375133671606</v>
      </c>
      <c r="B397">
        <f t="shared" ca="1" si="6"/>
        <v>200.09450486387544</v>
      </c>
      <c r="C397">
        <f ca="1">$E$10 - 0.5*MAX('HE2'!B396,0)/10000</f>
        <v>-1.1735496128380274E-4</v>
      </c>
    </row>
    <row r="398" spans="1:3" x14ac:dyDescent="0.45">
      <c r="A398">
        <f ca="1">randcorrWithFeedback!D397</f>
        <v>2.6647831276245515E-3</v>
      </c>
      <c r="B398">
        <f t="shared" ca="1" si="6"/>
        <v>200.07760881324816</v>
      </c>
      <c r="C398">
        <f ca="1">$E$10 - 0.5*MAX('HE2'!B397,0)/10000</f>
        <v>-1.1109174957959995E-4</v>
      </c>
    </row>
    <row r="399" spans="1:3" x14ac:dyDescent="0.45">
      <c r="A399">
        <f ca="1">randcorrWithFeedback!D398</f>
        <v>2.0721519764662157</v>
      </c>
      <c r="B399">
        <f t="shared" ca="1" si="6"/>
        <v>204.2453937652308</v>
      </c>
      <c r="C399">
        <f ca="1">$E$10 - 0.5*MAX('HE2'!B398,0)/10000</f>
        <v>-1.0467356851344816E-4</v>
      </c>
    </row>
    <row r="400" spans="1:3" x14ac:dyDescent="0.45">
      <c r="A400">
        <f ca="1">randcorrWithFeedback!D399</f>
        <v>1.5114708067822218</v>
      </c>
      <c r="B400">
        <f t="shared" ca="1" si="6"/>
        <v>207.33596298174803</v>
      </c>
      <c r="C400">
        <f ca="1">$E$10 - 0.5*MAX('HE2'!B399,0)/10000</f>
        <v>-9.6402426271655767E-5</v>
      </c>
    </row>
    <row r="401" spans="1:3" x14ac:dyDescent="0.45">
      <c r="A401">
        <f ca="1">randcorrWithFeedback!D400</f>
        <v>-0.31597509274897151</v>
      </c>
      <c r="B401">
        <f t="shared" ca="1" si="6"/>
        <v>206.6665289129493</v>
      </c>
      <c r="C401">
        <f ca="1">$E$10 - 0.5*MAX('HE2'!B400,0)/10000</f>
        <v>-7.4213434299728588E-5</v>
      </c>
    </row>
    <row r="402" spans="1:3" x14ac:dyDescent="0.45">
      <c r="A402">
        <f ca="1">randcorrWithFeedback!D401</f>
        <v>-4.0888088168019117</v>
      </c>
      <c r="B402">
        <f t="shared" ca="1" si="6"/>
        <v>198.3875320009208</v>
      </c>
      <c r="C402">
        <f ca="1">$E$10 - 0.5*MAX('HE2'!B401,0)/10000</f>
        <v>3.9154862494991807E-6</v>
      </c>
    </row>
    <row r="403" spans="1:3" x14ac:dyDescent="0.45">
      <c r="A403">
        <f ca="1">randcorrWithFeedback!D402</f>
        <v>0.40870709408432893</v>
      </c>
      <c r="B403">
        <f t="shared" ca="1" si="6"/>
        <v>199.19659143569183</v>
      </c>
      <c r="C403">
        <f ca="1">$E$10 - 0.5*MAX('HE2'!B402,0)/10000</f>
        <v>-1.7187342142669905E-5</v>
      </c>
    </row>
    <row r="404" spans="1:3" x14ac:dyDescent="0.45">
      <c r="A404">
        <f ca="1">randcorrWithFeedback!D403</f>
        <v>1.0774686579460648</v>
      </c>
      <c r="B404">
        <f t="shared" ca="1" si="6"/>
        <v>201.34322381304358</v>
      </c>
      <c r="C404">
        <f ca="1">$E$10 - 0.5*MAX('HE2'!B403,0)/10000</f>
        <v>-5.5887357611761589E-5</v>
      </c>
    </row>
    <row r="405" spans="1:3" x14ac:dyDescent="0.45">
      <c r="A405">
        <f ca="1">randcorrWithFeedback!D404</f>
        <v>1.7975666220211421</v>
      </c>
      <c r="B405">
        <f t="shared" ca="1" si="6"/>
        <v>204.98062818672182</v>
      </c>
      <c r="C405">
        <f ca="1">$E$10 - 0.5*MAX('HE2'!B404,0)/10000</f>
        <v>-7.1221156370475868E-5</v>
      </c>
    </row>
    <row r="406" spans="1:3" x14ac:dyDescent="0.45">
      <c r="A406">
        <f ca="1">randcorrWithFeedback!D405</f>
        <v>3.4555135657062785</v>
      </c>
      <c r="B406">
        <f t="shared" ca="1" si="6"/>
        <v>212.17055908044634</v>
      </c>
      <c r="C406">
        <f ca="1">$E$10 - 0.5*MAX('HE2'!B405,0)/10000</f>
        <v>-8.0138499792645987E-5</v>
      </c>
    </row>
    <row r="407" spans="1:3" x14ac:dyDescent="0.45">
      <c r="A407">
        <f ca="1">randcorrWithFeedback!D406</f>
        <v>0.41049504037537365</v>
      </c>
      <c r="B407">
        <f t="shared" ca="1" si="6"/>
        <v>213.02926931955037</v>
      </c>
      <c r="C407">
        <f ca="1">$E$10 - 0.5*MAX('HE2'!B406,0)/10000</f>
        <v>-6.5854669530798435E-5</v>
      </c>
    </row>
    <row r="408" spans="1:3" x14ac:dyDescent="0.45">
      <c r="A408">
        <f ca="1">randcorrWithFeedback!D407</f>
        <v>-0.65769096642322911</v>
      </c>
      <c r="B408">
        <f t="shared" ca="1" si="6"/>
        <v>211.61737613855399</v>
      </c>
      <c r="C408">
        <f ca="1">$E$10 - 0.5*MAX('HE2'!B407,0)/10000</f>
        <v>-7.2846780723455476E-5</v>
      </c>
    </row>
    <row r="409" spans="1:3" x14ac:dyDescent="0.45">
      <c r="A409">
        <f ca="1">randcorrWithFeedback!D408</f>
        <v>-0.25068044971322223</v>
      </c>
      <c r="B409">
        <f t="shared" ca="1" si="6"/>
        <v>211.06986041168489</v>
      </c>
      <c r="C409">
        <f ca="1">$E$10 - 0.5*MAX('HE2'!B408,0)/10000</f>
        <v>-8.3839296873226761E-5</v>
      </c>
    </row>
    <row r="410" spans="1:3" x14ac:dyDescent="0.45">
      <c r="A410">
        <f ca="1">randcorrWithFeedback!D409</f>
        <v>4.2795891472607199E-2</v>
      </c>
      <c r="B410">
        <f t="shared" ca="1" si="6"/>
        <v>211.1430238378224</v>
      </c>
      <c r="C410">
        <f ca="1">$E$10 - 0.5*MAX('HE2'!B409,0)/10000</f>
        <v>-8.1387648906539137E-5</v>
      </c>
    </row>
    <row r="411" spans="1:3" x14ac:dyDescent="0.45">
      <c r="A411">
        <f ca="1">randcorrWithFeedback!D410</f>
        <v>-1.7809409201553186</v>
      </c>
      <c r="B411">
        <f t="shared" ca="1" si="6"/>
        <v>207.40743138163549</v>
      </c>
      <c r="C411">
        <f ca="1">$E$10 - 0.5*MAX('HE2'!B410,0)/10000</f>
        <v>-4.1206431045766529E-5</v>
      </c>
    </row>
    <row r="412" spans="1:3" x14ac:dyDescent="0.45">
      <c r="A412">
        <f ca="1">randcorrWithFeedback!D411</f>
        <v>1.2469238827969014</v>
      </c>
      <c r="B412">
        <f t="shared" ca="1" si="6"/>
        <v>209.9948826952832</v>
      </c>
      <c r="C412">
        <f ca="1">$E$10 - 0.5*MAX('HE2'!B411,0)/10000</f>
        <v>-7.1202834039918483E-5</v>
      </c>
    </row>
    <row r="413" spans="1:3" x14ac:dyDescent="0.45">
      <c r="A413">
        <f ca="1">randcorrWithFeedback!D412</f>
        <v>1.2354170372099809</v>
      </c>
      <c r="B413">
        <f t="shared" ca="1" si="6"/>
        <v>212.59042221976654</v>
      </c>
      <c r="C413">
        <f ca="1">$E$10 - 0.5*MAX('HE2'!B412,0)/10000</f>
        <v>-6.9918488576391208E-5</v>
      </c>
    </row>
    <row r="414" spans="1:3" x14ac:dyDescent="0.45">
      <c r="A414">
        <f ca="1">randcorrWithFeedback!D413</f>
        <v>-1.6289174494598335</v>
      </c>
      <c r="B414">
        <f t="shared" ca="1" si="6"/>
        <v>209.14555494132242</v>
      </c>
      <c r="C414">
        <f ca="1">$E$10 - 0.5*MAX('HE2'!B413,0)/10000</f>
        <v>-4.7794999437335175E-5</v>
      </c>
    </row>
    <row r="415" spans="1:3" x14ac:dyDescent="0.45">
      <c r="A415">
        <f ca="1">randcorrWithFeedback!D414</f>
        <v>0.1084223268593271</v>
      </c>
      <c r="B415">
        <f t="shared" ca="1" si="6"/>
        <v>209.3662260615219</v>
      </c>
      <c r="C415">
        <f ca="1">$E$10 - 0.5*MAX('HE2'!B414,0)/10000</f>
        <v>-2.9671637472943621E-5</v>
      </c>
    </row>
    <row r="416" spans="1:3" x14ac:dyDescent="0.45">
      <c r="A416">
        <f ca="1">randcorrWithFeedback!D415</f>
        <v>-3.3567088508538001</v>
      </c>
      <c r="B416">
        <f t="shared" ca="1" si="6"/>
        <v>202.45643402161855</v>
      </c>
      <c r="C416">
        <f ca="1">$E$10 - 0.5*MAX('HE2'!B415,0)/10000</f>
        <v>6.8149516131014624E-6</v>
      </c>
    </row>
    <row r="417" spans="1:3" x14ac:dyDescent="0.45">
      <c r="A417">
        <f ca="1">randcorrWithFeedback!D416</f>
        <v>-1.8363209877944879</v>
      </c>
      <c r="B417">
        <f t="shared" ca="1" si="6"/>
        <v>198.78114956670885</v>
      </c>
      <c r="C417">
        <f ca="1">$E$10 - 0.5*MAX('HE2'!B416,0)/10000</f>
        <v>4.2955745055429784E-5</v>
      </c>
    </row>
    <row r="418" spans="1:3" x14ac:dyDescent="0.45">
      <c r="A418">
        <f ca="1">randcorrWithFeedback!D417</f>
        <v>0.20653615394819419</v>
      </c>
      <c r="B418">
        <f t="shared" ca="1" si="6"/>
        <v>199.20270696344943</v>
      </c>
      <c r="C418">
        <f ca="1">$E$10 - 0.5*MAX('HE2'!B417,0)/10000</f>
        <v>5.3104058971123725E-5</v>
      </c>
    </row>
    <row r="419" spans="1:3" x14ac:dyDescent="0.45">
      <c r="A419">
        <f ca="1">randcorrWithFeedback!D418</f>
        <v>1.3459158627497136</v>
      </c>
      <c r="B419">
        <f t="shared" ca="1" si="6"/>
        <v>201.91110760903561</v>
      </c>
      <c r="C419">
        <f ca="1">$E$10 - 0.5*MAX('HE2'!B418,0)/10000</f>
        <v>4.5446344783045496E-5</v>
      </c>
    </row>
    <row r="420" spans="1:3" x14ac:dyDescent="0.45">
      <c r="A420">
        <f ca="1">randcorrWithFeedback!D419</f>
        <v>-0.65622557526918335</v>
      </c>
      <c r="B420">
        <f t="shared" ca="1" si="6"/>
        <v>200.59734540316072</v>
      </c>
      <c r="C420">
        <f ca="1">$E$10 - 0.5*MAX('HE2'!B419,0)/10000</f>
        <v>3.4358704234020585E-5</v>
      </c>
    </row>
    <row r="421" spans="1:3" x14ac:dyDescent="0.45">
      <c r="A421">
        <f ca="1">randcorrWithFeedback!D420</f>
        <v>-0.17217124040956311</v>
      </c>
      <c r="B421">
        <f t="shared" ca="1" si="6"/>
        <v>200.25918363560214</v>
      </c>
      <c r="C421">
        <f ca="1">$E$10 - 0.5*MAX('HE2'!B420,0)/10000</f>
        <v>3.4515997002112979E-5</v>
      </c>
    </row>
    <row r="422" spans="1:3" x14ac:dyDescent="0.45">
      <c r="A422">
        <f ca="1">randcorrWithFeedback!D421</f>
        <v>2.5468337520233756E-2</v>
      </c>
      <c r="B422">
        <f t="shared" ca="1" si="6"/>
        <v>200.31404266661778</v>
      </c>
      <c r="C422">
        <f ca="1">$E$10 - 0.5*MAX('HE2'!B421,0)/10000</f>
        <v>1.9219261102192147E-5</v>
      </c>
    </row>
    <row r="423" spans="1:3" x14ac:dyDescent="0.45">
      <c r="A423">
        <f ca="1">randcorrWithFeedback!D422</f>
        <v>0.61032127907665623</v>
      </c>
      <c r="B423">
        <f t="shared" ca="1" si="6"/>
        <v>201.54630166914288</v>
      </c>
      <c r="C423">
        <f ca="1">$E$10 - 0.5*MAX('HE2'!B422,0)/10000</f>
        <v>2.9578772834237734E-5</v>
      </c>
    </row>
    <row r="424" spans="1:3" x14ac:dyDescent="0.45">
      <c r="A424">
        <f ca="1">randcorrWithFeedback!D423</f>
        <v>-0.65508652692467639</v>
      </c>
      <c r="B424">
        <f t="shared" ca="1" si="6"/>
        <v>200.23685333966694</v>
      </c>
      <c r="C424">
        <f ca="1">$E$10 - 0.5*MAX('HE2'!B423,0)/10000</f>
        <v>3.265787621713125E-5</v>
      </c>
    </row>
    <row r="425" spans="1:3" x14ac:dyDescent="0.45">
      <c r="A425">
        <f ca="1">randcorrWithFeedback!D424</f>
        <v>-1.5801438693049157</v>
      </c>
      <c r="B425">
        <f t="shared" ca="1" si="6"/>
        <v>197.10649185486128</v>
      </c>
      <c r="C425">
        <f ca="1">$E$10 - 0.5*MAX('HE2'!B424,0)/10000</f>
        <v>4.4656612362098516E-5</v>
      </c>
    </row>
    <row r="426" spans="1:3" x14ac:dyDescent="0.45">
      <c r="A426">
        <f ca="1">randcorrWithFeedback!D425</f>
        <v>3.2966358622470158</v>
      </c>
      <c r="B426">
        <f t="shared" ca="1" si="6"/>
        <v>203.71845117300097</v>
      </c>
      <c r="C426">
        <f ca="1">$E$10 - 0.5*MAX('HE2'!B425,0)/10000</f>
        <v>2.8390165683567239E-5</v>
      </c>
    </row>
    <row r="427" spans="1:3" x14ac:dyDescent="0.45">
      <c r="A427">
        <f ca="1">randcorrWithFeedback!D426</f>
        <v>-1.3599261003345906</v>
      </c>
      <c r="B427">
        <f t="shared" ca="1" si="6"/>
        <v>200.97896823358516</v>
      </c>
      <c r="C427">
        <f ca="1">$E$10 - 0.5*MAX('HE2'!B426,0)/10000</f>
        <v>6.0628670744235473E-5</v>
      </c>
    </row>
    <row r="428" spans="1:3" x14ac:dyDescent="0.45">
      <c r="A428">
        <f ca="1">randcorrWithFeedback!D427</f>
        <v>1.5357816715566199</v>
      </c>
      <c r="B428">
        <f t="shared" ca="1" si="6"/>
        <v>204.09711930932477</v>
      </c>
      <c r="C428">
        <f ca="1">$E$10 - 0.5*MAX('HE2'!B427,0)/10000</f>
        <v>3.7871956010915902E-5</v>
      </c>
    </row>
    <row r="429" spans="1:3" x14ac:dyDescent="0.45">
      <c r="A429">
        <f ca="1">randcorrWithFeedback!D428</f>
        <v>0.20757220996837245</v>
      </c>
      <c r="B429">
        <f t="shared" ca="1" si="6"/>
        <v>204.5314384238487</v>
      </c>
      <c r="C429">
        <f ca="1">$E$10 - 0.5*MAX('HE2'!B428,0)/10000</f>
        <v>5.00190892456448E-5</v>
      </c>
    </row>
    <row r="430" spans="1:3" x14ac:dyDescent="0.45">
      <c r="A430">
        <f ca="1">randcorrWithFeedback!D429</f>
        <v>2.3113305192285374</v>
      </c>
      <c r="B430">
        <f t="shared" ca="1" si="6"/>
        <v>209.31619235751555</v>
      </c>
      <c r="C430">
        <f ca="1">$E$10 - 0.5*MAX('HE2'!B429,0)/10000</f>
        <v>1.0988821628315118E-5</v>
      </c>
    </row>
    <row r="431" spans="1:3" x14ac:dyDescent="0.45">
      <c r="A431">
        <f ca="1">randcorrWithFeedback!D430</f>
        <v>2.8023835296922557</v>
      </c>
      <c r="B431">
        <f t="shared" ca="1" si="6"/>
        <v>215.25916104026081</v>
      </c>
      <c r="C431">
        <f ca="1">$E$10 - 0.5*MAX('HE2'!B430,0)/10000</f>
        <v>-2.7123698520739343E-5</v>
      </c>
    </row>
    <row r="432" spans="1:3" x14ac:dyDescent="0.45">
      <c r="A432">
        <f ca="1">randcorrWithFeedback!D431</f>
        <v>7.4785136194210872E-2</v>
      </c>
      <c r="B432">
        <f t="shared" ca="1" si="6"/>
        <v>215.41445779956535</v>
      </c>
      <c r="C432">
        <f ca="1">$E$10 - 0.5*MAX('HE2'!B431,0)/10000</f>
        <v>-2.6670591902212831E-5</v>
      </c>
    </row>
    <row r="433" spans="1:3" x14ac:dyDescent="0.45">
      <c r="A433">
        <f ca="1">randcorrWithFeedback!D432</f>
        <v>-1.5250678162972608</v>
      </c>
      <c r="B433">
        <f t="shared" ca="1" si="6"/>
        <v>212.15031799957359</v>
      </c>
      <c r="C433">
        <f ca="1">$E$10 - 0.5*MAX('HE2'!B432,0)/10000</f>
        <v>-1.8134425837833148E-5</v>
      </c>
    </row>
    <row r="434" spans="1:3" x14ac:dyDescent="0.45">
      <c r="A434">
        <f ca="1">randcorrWithFeedback!D433</f>
        <v>-1.1813132617214446</v>
      </c>
      <c r="B434">
        <f t="shared" ca="1" si="6"/>
        <v>209.6594553087281</v>
      </c>
      <c r="C434">
        <f ca="1">$E$10 - 0.5*MAX('HE2'!B433,0)/10000</f>
        <v>2.6350794307843827E-6</v>
      </c>
    </row>
    <row r="435" spans="1:3" x14ac:dyDescent="0.45">
      <c r="A435">
        <f ca="1">randcorrWithFeedback!D434</f>
        <v>-1.1979163467702234</v>
      </c>
      <c r="B435">
        <f t="shared" ca="1" si="6"/>
        <v>207.16773966441156</v>
      </c>
      <c r="C435">
        <f ca="1">$E$10 - 0.5*MAX('HE2'!B434,0)/10000</f>
        <v>2.3392083879498408E-5</v>
      </c>
    </row>
    <row r="436" spans="1:3" x14ac:dyDescent="0.45">
      <c r="A436">
        <f ca="1">randcorrWithFeedback!D435</f>
        <v>1.9880437683978436</v>
      </c>
      <c r="B436">
        <f t="shared" ca="1" si="6"/>
        <v>211.32249613363953</v>
      </c>
      <c r="C436">
        <f ca="1">$E$10 - 0.5*MAX('HE2'!B435,0)/10000</f>
        <v>-2.3855017490663467E-5</v>
      </c>
    </row>
    <row r="437" spans="1:3" x14ac:dyDescent="0.45">
      <c r="A437">
        <f ca="1">randcorrWithFeedback!D436</f>
        <v>-2.5317611522820695</v>
      </c>
      <c r="B437">
        <f t="shared" ca="1" si="6"/>
        <v>206.04400323481119</v>
      </c>
      <c r="C437">
        <f ca="1">$E$10 - 0.5*MAX('HE2'!B436,0)/10000</f>
        <v>2.1981107939933892E-5</v>
      </c>
    </row>
    <row r="438" spans="1:3" x14ac:dyDescent="0.45">
      <c r="A438">
        <f ca="1">randcorrWithFeedback!D437</f>
        <v>0.10236725382301001</v>
      </c>
      <c r="B438">
        <f t="shared" ca="1" si="6"/>
        <v>206.26067364425256</v>
      </c>
      <c r="C438">
        <f ca="1">$E$10 - 0.5*MAX('HE2'!B437,0)/10000</f>
        <v>2.7348425329261011E-5</v>
      </c>
    </row>
    <row r="439" spans="1:3" x14ac:dyDescent="0.45">
      <c r="A439">
        <f ca="1">randcorrWithFeedback!D438</f>
        <v>-2.1465020141145819</v>
      </c>
      <c r="B439">
        <f t="shared" ca="1" si="6"/>
        <v>201.89391108567355</v>
      </c>
      <c r="C439">
        <f ca="1">$E$10 - 0.5*MAX('HE2'!B438,0)/10000</f>
        <v>6.6612057016260628E-5</v>
      </c>
    </row>
    <row r="440" spans="1:3" x14ac:dyDescent="0.45">
      <c r="A440">
        <f ca="1">randcorrWithFeedback!D439</f>
        <v>0.17522037704251719</v>
      </c>
      <c r="B440">
        <f t="shared" ca="1" si="6"/>
        <v>202.26126302694612</v>
      </c>
      <c r="C440">
        <f ca="1">$E$10 - 0.5*MAX('HE2'!B439,0)/10000</f>
        <v>6.56724611189248E-5</v>
      </c>
    </row>
    <row r="441" spans="1:3" x14ac:dyDescent="0.45">
      <c r="A441">
        <f ca="1">randcorrWithFeedback!D440</f>
        <v>-1.4990754680492793</v>
      </c>
      <c r="B441">
        <f t="shared" ca="1" si="6"/>
        <v>199.26922823120961</v>
      </c>
      <c r="C441">
        <f ca="1">$E$10 - 0.5*MAX('HE2'!B440,0)/10000</f>
        <v>8.7327711550963142E-5</v>
      </c>
    </row>
    <row r="442" spans="1:3" x14ac:dyDescent="0.45">
      <c r="A442">
        <f ca="1">randcorrWithFeedback!D441</f>
        <v>0.6884287966500281</v>
      </c>
      <c r="B442">
        <f t="shared" ca="1" si="6"/>
        <v>200.66237765775381</v>
      </c>
      <c r="C442">
        <f ca="1">$E$10 - 0.5*MAX('HE2'!B441,0)/10000</f>
        <v>8.2678590556494288E-5</v>
      </c>
    </row>
    <row r="443" spans="1:3" x14ac:dyDescent="0.45">
      <c r="A443">
        <f ca="1">randcorrWithFeedback!D442</f>
        <v>0.38945976678251931</v>
      </c>
      <c r="B443">
        <f t="shared" ca="1" si="6"/>
        <v>201.45947381608696</v>
      </c>
      <c r="C443">
        <f ca="1">$E$10 - 0.5*MAX('HE2'!B442,0)/10000</f>
        <v>6.9858376541469887E-5</v>
      </c>
    </row>
    <row r="444" spans="1:3" x14ac:dyDescent="0.45">
      <c r="A444">
        <f ca="1">randcorrWithFeedback!D443</f>
        <v>0.15803607331494998</v>
      </c>
      <c r="B444">
        <f t="shared" ca="1" si="6"/>
        <v>201.79169434969572</v>
      </c>
      <c r="C444">
        <f ca="1">$E$10 - 0.5*MAX('HE2'!B443,0)/10000</f>
        <v>6.7349850224138159E-5</v>
      </c>
    </row>
    <row r="445" spans="1:3" x14ac:dyDescent="0.45">
      <c r="A445">
        <f ca="1">randcorrWithFeedback!D444</f>
        <v>0.11452601436086662</v>
      </c>
      <c r="B445">
        <f t="shared" ca="1" si="6"/>
        <v>202.03744238525863</v>
      </c>
      <c r="C445">
        <f ca="1">$E$10 - 0.5*MAX('HE2'!B444,0)/10000</f>
        <v>7.1829182265698092E-5</v>
      </c>
    </row>
    <row r="446" spans="1:3" x14ac:dyDescent="0.45">
      <c r="A446">
        <f ca="1">randcorrWithFeedback!D445</f>
        <v>0.43321127000892229</v>
      </c>
      <c r="B446">
        <f t="shared" ca="1" si="6"/>
        <v>202.925751665315</v>
      </c>
      <c r="C446">
        <f ca="1">$E$10 - 0.5*MAX('HE2'!B445,0)/10000</f>
        <v>5.5005526288043195E-5</v>
      </c>
    </row>
    <row r="447" spans="1:3" x14ac:dyDescent="0.45">
      <c r="A447">
        <f ca="1">randcorrWithFeedback!D446</f>
        <v>-0.1056921680798223</v>
      </c>
      <c r="B447">
        <f t="shared" ca="1" si="6"/>
        <v>202.72158780964781</v>
      </c>
      <c r="C447">
        <f ca="1">$E$10 - 0.5*MAX('HE2'!B446,0)/10000</f>
        <v>5.0313955128489609E-5</v>
      </c>
    </row>
    <row r="448" spans="1:3" x14ac:dyDescent="0.45">
      <c r="A448">
        <f ca="1">randcorrWithFeedback!D447</f>
        <v>0.53918732837756045</v>
      </c>
      <c r="B448">
        <f t="shared" ca="1" si="6"/>
        <v>203.82612070950489</v>
      </c>
      <c r="C448">
        <f ca="1">$E$10 - 0.5*MAX('HE2'!B447,0)/10000</f>
        <v>4.1858572841234427E-5</v>
      </c>
    </row>
    <row r="449" spans="1:3" x14ac:dyDescent="0.45">
      <c r="A449">
        <f ca="1">randcorrWithFeedback!D448</f>
        <v>0.50376752725768559</v>
      </c>
      <c r="B449">
        <f t="shared" ca="1" si="6"/>
        <v>204.86154277807287</v>
      </c>
      <c r="C449">
        <f ca="1">$E$10 - 0.5*MAX('HE2'!B448,0)/10000</f>
        <v>2.9393672539396523E-5</v>
      </c>
    </row>
    <row r="450" spans="1:3" x14ac:dyDescent="0.45">
      <c r="A450">
        <f ca="1">randcorrWithFeedback!D449</f>
        <v>1.1517807595044847</v>
      </c>
      <c r="B450">
        <f t="shared" ca="1" si="6"/>
        <v>207.24046119167031</v>
      </c>
      <c r="C450">
        <f ca="1">$E$10 - 0.5*MAX('HE2'!B449,0)/10000</f>
        <v>2.7609878202247129E-5</v>
      </c>
    </row>
    <row r="451" spans="1:3" x14ac:dyDescent="0.45">
      <c r="A451">
        <f ca="1">randcorrWithFeedback!D450</f>
        <v>0.8518970653021487</v>
      </c>
      <c r="B451">
        <f t="shared" ca="1" si="6"/>
        <v>209.0189457965875</v>
      </c>
      <c r="C451">
        <f ca="1">$E$10 - 0.5*MAX('HE2'!B450,0)/10000</f>
        <v>2.6159604765095022E-5</v>
      </c>
    </row>
    <row r="452" spans="1:3" x14ac:dyDescent="0.45">
      <c r="A452">
        <f ca="1">randcorrWithFeedback!D451</f>
        <v>-0.73821912742425333</v>
      </c>
      <c r="B452">
        <f t="shared" ref="B452:B515" ca="1" si="7">B451*EXP(C452+A452/100)</f>
        <v>207.48505575632225</v>
      </c>
      <c r="C452">
        <f ca="1">$E$10 - 0.5*MAX('HE2'!B451,0)/10000</f>
        <v>1.6610299130283686E-5</v>
      </c>
    </row>
    <row r="453" spans="1:3" x14ac:dyDescent="0.45">
      <c r="A453">
        <f ca="1">randcorrWithFeedback!D452</f>
        <v>-2.1627390809771696</v>
      </c>
      <c r="B453">
        <f t="shared" ca="1" si="7"/>
        <v>203.05828915134035</v>
      </c>
      <c r="C453">
        <f ca="1">$E$10 - 0.5*MAX('HE2'!B452,0)/10000</f>
        <v>6.1150685995642489E-5</v>
      </c>
    </row>
    <row r="454" spans="1:3" x14ac:dyDescent="0.45">
      <c r="A454">
        <f ca="1">randcorrWithFeedback!D453</f>
        <v>-0.50077885264994948</v>
      </c>
      <c r="B454">
        <f t="shared" ca="1" si="7"/>
        <v>202.05959365051203</v>
      </c>
      <c r="C454">
        <f ca="1">$E$10 - 0.5*MAX('HE2'!B453,0)/10000</f>
        <v>7.738398835106897E-5</v>
      </c>
    </row>
    <row r="455" spans="1:3" x14ac:dyDescent="0.45">
      <c r="A455">
        <f ca="1">randcorrWithFeedback!D454</f>
        <v>-0.36048629114038061</v>
      </c>
      <c r="B455">
        <f t="shared" ca="1" si="7"/>
        <v>201.35038181037851</v>
      </c>
      <c r="C455">
        <f ca="1">$E$10 - 0.5*MAX('HE2'!B454,0)/10000</f>
        <v>8.8774495487175257E-5</v>
      </c>
    </row>
    <row r="456" spans="1:3" x14ac:dyDescent="0.45">
      <c r="A456">
        <f ca="1">randcorrWithFeedback!D455</f>
        <v>-0.79958703918206608</v>
      </c>
      <c r="B456">
        <f t="shared" ca="1" si="7"/>
        <v>199.76589892610738</v>
      </c>
      <c r="C456">
        <f ca="1">$E$10 - 0.5*MAX('HE2'!B455,0)/10000</f>
        <v>9.5462446095876833E-5</v>
      </c>
    </row>
    <row r="457" spans="1:3" x14ac:dyDescent="0.45">
      <c r="A457">
        <f ca="1">randcorrWithFeedback!D456</f>
        <v>0.37756329377672615</v>
      </c>
      <c r="B457">
        <f t="shared" ca="1" si="7"/>
        <v>200.539879303975</v>
      </c>
      <c r="C457">
        <f ca="1">$E$10 - 0.5*MAX('HE2'!B456,0)/10000</f>
        <v>9.1317700583849865E-5</v>
      </c>
    </row>
    <row r="458" spans="1:3" x14ac:dyDescent="0.45">
      <c r="A458">
        <f ca="1">randcorrWithFeedback!D457</f>
        <v>-1.4616410529705908</v>
      </c>
      <c r="B458">
        <f t="shared" ca="1" si="7"/>
        <v>197.651262147539</v>
      </c>
      <c r="C458">
        <f ca="1">$E$10 - 0.5*MAX('HE2'!B457,0)/10000</f>
        <v>1.0745978202786333E-4</v>
      </c>
    </row>
    <row r="459" spans="1:3" x14ac:dyDescent="0.45">
      <c r="A459">
        <f ca="1">randcorrWithFeedback!D458</f>
        <v>0</v>
      </c>
      <c r="B459">
        <f t="shared" ca="1" si="7"/>
        <v>197.67250285032713</v>
      </c>
      <c r="C459">
        <f ca="1">$E$10 - 0.5*MAX('HE2'!B458,0)/10000</f>
        <v>1.0745978202786333E-4</v>
      </c>
    </row>
    <row r="460" spans="1:3" x14ac:dyDescent="0.45">
      <c r="A460">
        <f ca="1">randcorrWithFeedback!D459</f>
        <v>0</v>
      </c>
      <c r="B460">
        <f t="shared" ca="1" si="7"/>
        <v>197.69374583575919</v>
      </c>
      <c r="C460">
        <f ca="1">$E$10 - 0.5*MAX('HE2'!B459,0)/10000</f>
        <v>1.0745978202786333E-4</v>
      </c>
    </row>
    <row r="461" spans="1:3" x14ac:dyDescent="0.45">
      <c r="A461">
        <f ca="1">randcorrWithFeedback!D460</f>
        <v>0</v>
      </c>
      <c r="B461">
        <f t="shared" ca="1" si="7"/>
        <v>197.7149911040805</v>
      </c>
      <c r="C461">
        <f ca="1">$E$10 - 0.5*MAX('HE2'!B460,0)/10000</f>
        <v>1.0745978202786333E-4</v>
      </c>
    </row>
    <row r="462" spans="1:3" x14ac:dyDescent="0.45">
      <c r="A462">
        <f ca="1">randcorrWithFeedback!D461</f>
        <v>0</v>
      </c>
      <c r="B462">
        <f t="shared" ca="1" si="7"/>
        <v>197.73623865553637</v>
      </c>
      <c r="C462">
        <f ca="1">$E$10 - 0.5*MAX('HE2'!B461,0)/10000</f>
        <v>1.0745978202786333E-4</v>
      </c>
    </row>
    <row r="463" spans="1:3" x14ac:dyDescent="0.45">
      <c r="A463">
        <f ca="1">randcorrWithFeedback!D462</f>
        <v>0</v>
      </c>
      <c r="B463">
        <f t="shared" ca="1" si="7"/>
        <v>197.75748849037217</v>
      </c>
      <c r="C463">
        <f ca="1">$E$10 - 0.5*MAX('HE2'!B462,0)/10000</f>
        <v>1.0745978202786333E-4</v>
      </c>
    </row>
    <row r="464" spans="1:3" x14ac:dyDescent="0.45">
      <c r="A464">
        <f ca="1">randcorrWithFeedback!D463</f>
        <v>0</v>
      </c>
      <c r="B464">
        <f t="shared" ca="1" si="7"/>
        <v>197.77874060883329</v>
      </c>
      <c r="C464">
        <f ca="1">$E$10 - 0.5*MAX('HE2'!B463,0)/10000</f>
        <v>1.0745978202786333E-4</v>
      </c>
    </row>
    <row r="465" spans="1:3" x14ac:dyDescent="0.45">
      <c r="A465">
        <f ca="1">randcorrWithFeedback!D464</f>
        <v>0</v>
      </c>
      <c r="B465">
        <f t="shared" ca="1" si="7"/>
        <v>197.7999540170876</v>
      </c>
      <c r="C465">
        <f ca="1">$E$10 - 0.5*MAX('HE2'!B464,0)/10000</f>
        <v>1.0725253186193101E-4</v>
      </c>
    </row>
    <row r="466" spans="1:3" x14ac:dyDescent="0.45">
      <c r="A466">
        <f ca="1">randcorrWithFeedback!D465</f>
        <v>6.5373643458506256E-2</v>
      </c>
      <c r="B466">
        <f t="shared" ca="1" si="7"/>
        <v>197.9499768332532</v>
      </c>
      <c r="C466">
        <f ca="1">$E$10 - 0.5*MAX('HE2'!B465,0)/10000</f>
        <v>1.0443336738869781E-4</v>
      </c>
    </row>
    <row r="467" spans="1:3" x14ac:dyDescent="0.45">
      <c r="A467">
        <f ca="1">randcorrWithFeedback!D466</f>
        <v>-0.18362573259221937</v>
      </c>
      <c r="B467">
        <f t="shared" ca="1" si="7"/>
        <v>197.60805703969871</v>
      </c>
      <c r="C467">
        <f ca="1">$E$10 - 0.5*MAX('HE2'!B466,0)/10000</f>
        <v>1.0745978202786333E-4</v>
      </c>
    </row>
    <row r="468" spans="1:3" x14ac:dyDescent="0.45">
      <c r="A468">
        <f ca="1">randcorrWithFeedback!D467</f>
        <v>0</v>
      </c>
      <c r="B468">
        <f t="shared" ca="1" si="7"/>
        <v>197.62929309942589</v>
      </c>
      <c r="C468">
        <f ca="1">$E$10 - 0.5*MAX('HE2'!B467,0)/10000</f>
        <v>1.0745978202786333E-4</v>
      </c>
    </row>
    <row r="469" spans="1:3" x14ac:dyDescent="0.45">
      <c r="A469">
        <f ca="1">randcorrWithFeedback!D468</f>
        <v>0</v>
      </c>
      <c r="B469">
        <f t="shared" ca="1" si="7"/>
        <v>197.65053144129806</v>
      </c>
      <c r="C469">
        <f ca="1">$E$10 - 0.5*MAX('HE2'!B468,0)/10000</f>
        <v>1.0745978202786333E-4</v>
      </c>
    </row>
    <row r="470" spans="1:3" x14ac:dyDescent="0.45">
      <c r="A470">
        <f ca="1">randcorrWithFeedback!D469</f>
        <v>0</v>
      </c>
      <c r="B470">
        <f t="shared" ca="1" si="7"/>
        <v>197.67155800594651</v>
      </c>
      <c r="C470">
        <f ca="1">$E$10 - 0.5*MAX('HE2'!B469,0)/10000</f>
        <v>1.0637687713163948E-4</v>
      </c>
    </row>
    <row r="471" spans="1:3" x14ac:dyDescent="0.45">
      <c r="A471">
        <f ca="1">randcorrWithFeedback!D470</f>
        <v>-0.20075501696840636</v>
      </c>
      <c r="B471">
        <f t="shared" ca="1" si="7"/>
        <v>197.29627959246784</v>
      </c>
      <c r="C471">
        <f ca="1">$E$10 - 0.5*MAX('HE2'!B470,0)/10000</f>
        <v>1.072510025805375E-4</v>
      </c>
    </row>
    <row r="472" spans="1:3" x14ac:dyDescent="0.45">
      <c r="A472">
        <f ca="1">randcorrWithFeedback!D471</f>
        <v>-6.1933305334850109E-3</v>
      </c>
      <c r="B472">
        <f t="shared" ca="1" si="7"/>
        <v>197.30482555600116</v>
      </c>
      <c r="C472">
        <f ca="1">$E$10 - 0.5*MAX('HE2'!B471,0)/10000</f>
        <v>1.0524774831611585E-4</v>
      </c>
    </row>
    <row r="473" spans="1:3" x14ac:dyDescent="0.45">
      <c r="A473">
        <f ca="1">randcorrWithFeedback!D472</f>
        <v>0.14592927629205069</v>
      </c>
      <c r="B473">
        <f t="shared" ca="1" si="7"/>
        <v>197.61314436783977</v>
      </c>
      <c r="C473">
        <f ca="1">$E$10 - 0.5*MAX('HE2'!B472,0)/10000</f>
        <v>1.0213972666716739E-4</v>
      </c>
    </row>
    <row r="474" spans="1:3" x14ac:dyDescent="0.45">
      <c r="A474">
        <f ca="1">randcorrWithFeedback!D473</f>
        <v>0.25662902975326857</v>
      </c>
      <c r="B474">
        <f t="shared" ca="1" si="7"/>
        <v>198.13986983488536</v>
      </c>
      <c r="C474">
        <f ca="1">$E$10 - 0.5*MAX('HE2'!B473,0)/10000</f>
        <v>9.5601130500503356E-5</v>
      </c>
    </row>
    <row r="475" spans="1:3" x14ac:dyDescent="0.45">
      <c r="A475">
        <f ca="1">randcorrWithFeedback!D474</f>
        <v>0.23372737672370433</v>
      </c>
      <c r="B475">
        <f t="shared" ca="1" si="7"/>
        <v>198.62293076545345</v>
      </c>
      <c r="C475">
        <f ca="1">$E$10 - 0.5*MAX('HE2'!B474,0)/10000</f>
        <v>9.7738630704373661E-5</v>
      </c>
    </row>
    <row r="476" spans="1:3" x14ac:dyDescent="0.45">
      <c r="A476">
        <f ca="1">randcorrWithFeedback!D475</f>
        <v>7.2566436061281936E-2</v>
      </c>
      <c r="B476">
        <f t="shared" ca="1" si="7"/>
        <v>198.78542486222489</v>
      </c>
      <c r="C476">
        <f ca="1">$E$10 - 0.5*MAX('HE2'!B475,0)/10000</f>
        <v>9.2104584231905432E-5</v>
      </c>
    </row>
    <row r="477" spans="1:3" x14ac:dyDescent="0.45">
      <c r="A477">
        <f ca="1">randcorrWithFeedback!D476</f>
        <v>0.85562458042766454</v>
      </c>
      <c r="B477">
        <f t="shared" ca="1" si="7"/>
        <v>200.50929835191391</v>
      </c>
      <c r="C477">
        <f ca="1">$E$10 - 0.5*MAX('HE2'!B476,0)/10000</f>
        <v>7.8399734656381756E-5</v>
      </c>
    </row>
    <row r="478" spans="1:3" x14ac:dyDescent="0.45">
      <c r="A478">
        <f ca="1">randcorrWithFeedback!D477</f>
        <v>-0.17105657470331767</v>
      </c>
      <c r="B478">
        <f t="shared" ca="1" si="7"/>
        <v>200.18244005411677</v>
      </c>
      <c r="C478">
        <f ca="1">$E$10 - 0.5*MAX('HE2'!B477,0)/10000</f>
        <v>7.9095272512480478E-5</v>
      </c>
    </row>
    <row r="479" spans="1:3" x14ac:dyDescent="0.45">
      <c r="A479">
        <f ca="1">randcorrWithFeedback!D478</f>
        <v>2.1242161853997881</v>
      </c>
      <c r="B479">
        <f t="shared" ca="1" si="7"/>
        <v>204.49210090985986</v>
      </c>
      <c r="C479">
        <f ca="1">$E$10 - 0.5*MAX('HE2'!B478,0)/10000</f>
        <v>5.8035508390514226E-5</v>
      </c>
    </row>
    <row r="480" spans="1:3" x14ac:dyDescent="0.45">
      <c r="A480">
        <f ca="1">randcorrWithFeedback!D479</f>
        <v>0.85448271605438808</v>
      </c>
      <c r="B480">
        <f t="shared" ca="1" si="7"/>
        <v>206.25856528090492</v>
      </c>
      <c r="C480">
        <f ca="1">$E$10 - 0.5*MAX('HE2'!B479,0)/10000</f>
        <v>5.6377447461210451E-5</v>
      </c>
    </row>
    <row r="481" spans="1:3" x14ac:dyDescent="0.45">
      <c r="A481">
        <f ca="1">randcorrWithFeedback!D480</f>
        <v>-2.12677104712232</v>
      </c>
      <c r="B481">
        <f t="shared" ca="1" si="7"/>
        <v>201.93572722238241</v>
      </c>
      <c r="C481">
        <f ca="1">$E$10 - 0.5*MAX('HE2'!B480,0)/10000</f>
        <v>8.6622187169040885E-5</v>
      </c>
    </row>
    <row r="482" spans="1:3" x14ac:dyDescent="0.45">
      <c r="A482">
        <f ca="1">randcorrWithFeedback!D481</f>
        <v>1.2792805019060121</v>
      </c>
      <c r="B482">
        <f t="shared" ca="1" si="7"/>
        <v>204.54939955956493</v>
      </c>
      <c r="C482">
        <f ca="1">$E$10 - 0.5*MAX('HE2'!B481,0)/10000</f>
        <v>6.7239227562485902E-5</v>
      </c>
    </row>
    <row r="483" spans="1:3" x14ac:dyDescent="0.45">
      <c r="A483">
        <f ca="1">randcorrWithFeedback!D482</f>
        <v>-0.26102437986136301</v>
      </c>
      <c r="B483">
        <f t="shared" ca="1" si="7"/>
        <v>204.03014199725612</v>
      </c>
      <c r="C483">
        <f ca="1">$E$10 - 0.5*MAX('HE2'!B482,0)/10000</f>
        <v>6.8472666902567761E-5</v>
      </c>
    </row>
    <row r="484" spans="1:3" x14ac:dyDescent="0.45">
      <c r="A484">
        <f ca="1">randcorrWithFeedback!D483</f>
        <v>0.99601032109811782</v>
      </c>
      <c r="B484">
        <f t="shared" ca="1" si="7"/>
        <v>206.08411704854754</v>
      </c>
      <c r="C484">
        <f ca="1">$E$10 - 0.5*MAX('HE2'!B483,0)/10000</f>
        <v>5.6579601550916536E-5</v>
      </c>
    </row>
    <row r="485" spans="1:3" x14ac:dyDescent="0.45">
      <c r="A485">
        <f ca="1">randcorrWithFeedback!D484</f>
        <v>-0.2699346012615233</v>
      </c>
      <c r="B485">
        <f t="shared" ca="1" si="7"/>
        <v>205.53952033006556</v>
      </c>
      <c r="C485">
        <f ca="1">$E$10 - 0.5*MAX('HE2'!B484,0)/10000</f>
        <v>5.3253870223088461E-5</v>
      </c>
    </row>
    <row r="486" spans="1:3" x14ac:dyDescent="0.45">
      <c r="A486">
        <f ca="1">randcorrWithFeedback!D485</f>
        <v>-1.1442762279333047</v>
      </c>
      <c r="B486">
        <f t="shared" ca="1" si="7"/>
        <v>203.21181735995509</v>
      </c>
      <c r="C486">
        <f ca="1">$E$10 - 0.5*MAX('HE2'!B485,0)/10000</f>
        <v>5.3304103451172558E-5</v>
      </c>
    </row>
    <row r="487" spans="1:3" x14ac:dyDescent="0.45">
      <c r="A487">
        <f ca="1">randcorrWithFeedback!D486</f>
        <v>0.9173111966414782</v>
      </c>
      <c r="B487">
        <f t="shared" ca="1" si="7"/>
        <v>205.09486624690163</v>
      </c>
      <c r="C487">
        <f ca="1">$E$10 - 0.5*MAX('HE2'!B486,0)/10000</f>
        <v>5.0651998299167792E-5</v>
      </c>
    </row>
    <row r="488" spans="1:3" x14ac:dyDescent="0.45">
      <c r="A488">
        <f ca="1">randcorrWithFeedback!D487</f>
        <v>-0.47890354746523034</v>
      </c>
      <c r="B488">
        <f t="shared" ca="1" si="7"/>
        <v>204.1290089081952</v>
      </c>
      <c r="C488">
        <f ca="1">$E$10 - 0.5*MAX('HE2'!B487,0)/10000</f>
        <v>6.8591772176821299E-5</v>
      </c>
    </row>
    <row r="489" spans="1:3" x14ac:dyDescent="0.45">
      <c r="A489">
        <f ca="1">randcorrWithFeedback!D488</f>
        <v>0.42367493215045271</v>
      </c>
      <c r="B489">
        <f t="shared" ca="1" si="7"/>
        <v>205.00870160423989</v>
      </c>
      <c r="C489">
        <f ca="1">$E$10 - 0.5*MAX('HE2'!B488,0)/10000</f>
        <v>6.3485191467383052E-5</v>
      </c>
    </row>
    <row r="490" spans="1:3" x14ac:dyDescent="0.45">
      <c r="A490">
        <f ca="1">randcorrWithFeedback!D489</f>
        <v>5.4728180865401606E-2</v>
      </c>
      <c r="B490">
        <f t="shared" ca="1" si="7"/>
        <v>205.13183453838207</v>
      </c>
      <c r="C490">
        <f ca="1">$E$10 - 0.5*MAX('HE2'!B489,0)/10000</f>
        <v>5.3160854242442211E-5</v>
      </c>
    </row>
    <row r="491" spans="1:3" x14ac:dyDescent="0.45">
      <c r="A491">
        <f ca="1">randcorrWithFeedback!D490</f>
        <v>-1.1087721262754964</v>
      </c>
      <c r="B491">
        <f t="shared" ca="1" si="7"/>
        <v>202.87963597525786</v>
      </c>
      <c r="C491">
        <f ca="1">$E$10 - 0.5*MAX('HE2'!B490,0)/10000</f>
        <v>4.7730473600676362E-5</v>
      </c>
    </row>
    <row r="492" spans="1:3" x14ac:dyDescent="0.45">
      <c r="A492">
        <f ca="1">randcorrWithFeedback!D491</f>
        <v>0.42722912383544603</v>
      </c>
      <c r="B492">
        <f t="shared" ca="1" si="7"/>
        <v>203.75939481371631</v>
      </c>
      <c r="C492">
        <f ca="1">$E$10 - 0.5*MAX('HE2'!B491,0)/10000</f>
        <v>5.469237351967874E-5</v>
      </c>
    </row>
    <row r="493" spans="1:3" x14ac:dyDescent="0.45">
      <c r="A493">
        <f ca="1">randcorrWithFeedback!D492</f>
        <v>0.49110727088365003</v>
      </c>
      <c r="B493">
        <f t="shared" ca="1" si="7"/>
        <v>204.77201772558044</v>
      </c>
      <c r="C493">
        <f ca="1">$E$10 - 0.5*MAX('HE2'!B492,0)/10000</f>
        <v>4.6318349039565113E-5</v>
      </c>
    </row>
    <row r="494" spans="1:3" x14ac:dyDescent="0.45">
      <c r="A494">
        <f ca="1">randcorrWithFeedback!D493</f>
        <v>-1.2044922931731257</v>
      </c>
      <c r="B494">
        <f t="shared" ca="1" si="7"/>
        <v>202.33405293099648</v>
      </c>
      <c r="C494">
        <f ca="1">$E$10 - 0.5*MAX('HE2'!B493,0)/10000</f>
        <v>6.7730181650209052E-5</v>
      </c>
    </row>
    <row r="495" spans="1:3" x14ac:dyDescent="0.45">
      <c r="A495">
        <f ca="1">randcorrWithFeedback!D494</f>
        <v>0.51641602478085813</v>
      </c>
      <c r="B495">
        <f t="shared" ca="1" si="7"/>
        <v>203.39399634312184</v>
      </c>
      <c r="C495">
        <f ca="1">$E$10 - 0.5*MAX('HE2'!B494,0)/10000</f>
        <v>6.07475462763685E-5</v>
      </c>
    </row>
    <row r="496" spans="1:3" x14ac:dyDescent="0.45">
      <c r="A496">
        <f ca="1">randcorrWithFeedback!D495</f>
        <v>1.4920112168118669</v>
      </c>
      <c r="B496">
        <f t="shared" ca="1" si="7"/>
        <v>206.46040996952058</v>
      </c>
      <c r="C496">
        <f ca="1">$E$10 - 0.5*MAX('HE2'!B495,0)/10000</f>
        <v>4.3595901536510421E-5</v>
      </c>
    </row>
    <row r="497" spans="1:3" x14ac:dyDescent="0.45">
      <c r="A497">
        <f ca="1">randcorrWithFeedback!D496</f>
        <v>-1.1414532896531311</v>
      </c>
      <c r="B497">
        <f t="shared" ca="1" si="7"/>
        <v>204.12796696986658</v>
      </c>
      <c r="C497">
        <f ca="1">$E$10 - 0.5*MAX('HE2'!B496,0)/10000</f>
        <v>5.2944400504244169E-5</v>
      </c>
    </row>
    <row r="498" spans="1:3" x14ac:dyDescent="0.45">
      <c r="A498">
        <f ca="1">randcorrWithFeedback!D497</f>
        <v>-0.30074703388614066</v>
      </c>
      <c r="B498">
        <f t="shared" ca="1" si="7"/>
        <v>203.52629448110568</v>
      </c>
      <c r="C498">
        <f ca="1">$E$10 - 0.5*MAX('HE2'!B497,0)/10000</f>
        <v>5.5591835184819337E-5</v>
      </c>
    </row>
    <row r="499" spans="1:3" x14ac:dyDescent="0.45">
      <c r="A499">
        <f ca="1">randcorrWithFeedback!D498</f>
        <v>0.98789945184246641</v>
      </c>
      <c r="B499">
        <f t="shared" ca="1" si="7"/>
        <v>205.55330268535846</v>
      </c>
      <c r="C499">
        <f ca="1">$E$10 - 0.5*MAX('HE2'!B498,0)/10000</f>
        <v>3.1178503634394814E-5</v>
      </c>
    </row>
    <row r="500" spans="1:3" x14ac:dyDescent="0.45">
      <c r="A500">
        <f ca="1">randcorrWithFeedback!D499</f>
        <v>1.0390073241868882</v>
      </c>
      <c r="B500">
        <f t="shared" ca="1" si="7"/>
        <v>207.70455550293144</v>
      </c>
      <c r="C500">
        <f ca="1">$E$10 - 0.5*MAX('HE2'!B499,0)/10000</f>
        <v>2.1209723313558889E-5</v>
      </c>
    </row>
    <row r="501" spans="1:3" x14ac:dyDescent="0.45">
      <c r="A501">
        <f ca="1">randcorrWithFeedback!D500</f>
        <v>-0.18741147919893145</v>
      </c>
      <c r="B501">
        <f t="shared" ca="1" si="7"/>
        <v>207.32309531423749</v>
      </c>
      <c r="C501">
        <f ca="1">$E$10 - 0.5*MAX('HE2'!B500,0)/10000</f>
        <v>3.5874398320297768E-5</v>
      </c>
    </row>
    <row r="502" spans="1:3" x14ac:dyDescent="0.45">
      <c r="A502">
        <f ca="1">randcorrWithFeedback!D501</f>
        <v>0.79620993904979442</v>
      </c>
      <c r="B502">
        <f t="shared" ca="1" si="7"/>
        <v>208.98915939089864</v>
      </c>
      <c r="C502">
        <f ca="1">$E$10 - 0.5*MAX('HE2'!B501,0)/10000</f>
        <v>4.185894746672776E-5</v>
      </c>
    </row>
    <row r="503" spans="1:3" x14ac:dyDescent="0.45">
      <c r="A503">
        <f ca="1">randcorrWithFeedback!D502</f>
        <v>-1.8584578375484193</v>
      </c>
      <c r="B503">
        <f t="shared" ca="1" si="7"/>
        <v>205.15729319129477</v>
      </c>
      <c r="C503">
        <f ca="1">$E$10 - 0.5*MAX('HE2'!B502,0)/10000</f>
        <v>7.9165485590186922E-5</v>
      </c>
    </row>
    <row r="504" spans="1:3" x14ac:dyDescent="0.45">
      <c r="A504">
        <f ca="1">randcorrWithFeedback!D503</f>
        <v>-1.4443178665565251</v>
      </c>
      <c r="B504">
        <f t="shared" ca="1" si="7"/>
        <v>202.23694009417443</v>
      </c>
      <c r="C504">
        <f ca="1">$E$10 - 0.5*MAX('HE2'!B503,0)/10000</f>
        <v>1.0619065067109452E-4</v>
      </c>
    </row>
    <row r="505" spans="1:3" x14ac:dyDescent="0.45">
      <c r="A505">
        <f ca="1">randcorrWithFeedback!D504</f>
        <v>-6.0778649886357124E-2</v>
      </c>
      <c r="B505">
        <f t="shared" ca="1" si="7"/>
        <v>202.13534326402296</v>
      </c>
      <c r="C505">
        <f ca="1">$E$10 - 0.5*MAX('HE2'!B504,0)/10000</f>
        <v>1.052949262687083E-4</v>
      </c>
    </row>
    <row r="506" spans="1:3" x14ac:dyDescent="0.45">
      <c r="A506">
        <f ca="1">randcorrWithFeedback!D505</f>
        <v>-5.5225771750251292E-2</v>
      </c>
      <c r="B506">
        <f t="shared" ca="1" si="7"/>
        <v>202.04462457504442</v>
      </c>
      <c r="C506">
        <f ca="1">$E$10 - 0.5*MAX('HE2'!B505,0)/10000</f>
        <v>1.0335525958518884E-4</v>
      </c>
    </row>
    <row r="507" spans="1:3" x14ac:dyDescent="0.45">
      <c r="A507">
        <f ca="1">randcorrWithFeedback!D506</f>
        <v>5.8350001279225946E-2</v>
      </c>
      <c r="B507">
        <f t="shared" ca="1" si="7"/>
        <v>202.18354056257323</v>
      </c>
      <c r="C507">
        <f ca="1">$E$10 - 0.5*MAX('HE2'!B506,0)/10000</f>
        <v>1.0381475138401609E-4</v>
      </c>
    </row>
    <row r="508" spans="1:3" x14ac:dyDescent="0.45">
      <c r="A508">
        <f ca="1">randcorrWithFeedback!D507</f>
        <v>-7.0331599830746383E-2</v>
      </c>
      <c r="B508">
        <f t="shared" ca="1" si="7"/>
        <v>202.06204533933106</v>
      </c>
      <c r="C508">
        <f ca="1">$E$10 - 0.5*MAX('HE2'!B507,0)/10000</f>
        <v>1.0221987685304021E-4</v>
      </c>
    </row>
    <row r="509" spans="1:3" x14ac:dyDescent="0.45">
      <c r="A509">
        <f ca="1">randcorrWithFeedback!D508</f>
        <v>-0.17983861005091961</v>
      </c>
      <c r="B509">
        <f t="shared" ca="1" si="7"/>
        <v>201.71895433321603</v>
      </c>
      <c r="C509">
        <f ca="1">$E$10 - 0.5*MAX('HE2'!B508,0)/10000</f>
        <v>9.8994158035837029E-5</v>
      </c>
    </row>
    <row r="510" spans="1:3" x14ac:dyDescent="0.45">
      <c r="A510">
        <f ca="1">randcorrWithFeedback!D509</f>
        <v>-0.33603985450356449</v>
      </c>
      <c r="B510">
        <f t="shared" ca="1" si="7"/>
        <v>201.0612409688205</v>
      </c>
      <c r="C510">
        <f ca="1">$E$10 - 0.5*MAX('HE2'!B509,0)/10000</f>
        <v>9.452819361587824E-5</v>
      </c>
    </row>
    <row r="511" spans="1:3" x14ac:dyDescent="0.45">
      <c r="A511">
        <f ca="1">randcorrWithFeedback!D510</f>
        <v>0.57676551896713357</v>
      </c>
      <c r="B511">
        <f t="shared" ca="1" si="7"/>
        <v>202.24071218808575</v>
      </c>
      <c r="C511">
        <f ca="1">$E$10 - 0.5*MAX('HE2'!B510,0)/10000</f>
        <v>8.1434172223228713E-5</v>
      </c>
    </row>
    <row r="512" spans="1:3" x14ac:dyDescent="0.45">
      <c r="A512">
        <f ca="1">randcorrWithFeedback!D511</f>
        <v>0.67180815607699806</v>
      </c>
      <c r="B512">
        <f t="shared" ca="1" si="7"/>
        <v>203.61915411093361</v>
      </c>
      <c r="C512">
        <f ca="1">$E$10 - 0.5*MAX('HE2'!B511,0)/10000</f>
        <v>7.4643404379409972E-5</v>
      </c>
    </row>
    <row r="513" spans="1:3" x14ac:dyDescent="0.45">
      <c r="A513">
        <f ca="1">randcorrWithFeedback!D512</f>
        <v>-0.71451903570551689</v>
      </c>
      <c r="B513">
        <f t="shared" ca="1" si="7"/>
        <v>202.18587083317561</v>
      </c>
      <c r="C513">
        <f ca="1">$E$10 - 0.5*MAX('HE2'!B512,0)/10000</f>
        <v>8.1259899741570977E-5</v>
      </c>
    </row>
    <row r="514" spans="1:3" x14ac:dyDescent="0.45">
      <c r="A514">
        <f ca="1">randcorrWithFeedback!D513</f>
        <v>1.107550153851109</v>
      </c>
      <c r="B514">
        <f t="shared" ca="1" si="7"/>
        <v>204.45010367145551</v>
      </c>
      <c r="C514">
        <f ca="1">$E$10 - 0.5*MAX('HE2'!B513,0)/10000</f>
        <v>6.1025387112723563E-5</v>
      </c>
    </row>
    <row r="515" spans="1:3" x14ac:dyDescent="0.45">
      <c r="A515">
        <f ca="1">randcorrWithFeedback!D514</f>
        <v>0.4614648104333513</v>
      </c>
      <c r="B515">
        <f t="shared" ca="1" si="7"/>
        <v>205.4077910104364</v>
      </c>
      <c r="C515">
        <f ca="1">$E$10 - 0.5*MAX('HE2'!B514,0)/10000</f>
        <v>5.8625702792498705E-5</v>
      </c>
    </row>
    <row r="516" spans="1:3" x14ac:dyDescent="0.45">
      <c r="A516">
        <f ca="1">randcorrWithFeedback!D515</f>
        <v>0.45669209841557884</v>
      </c>
      <c r="B516">
        <f t="shared" ref="B516:B579" ca="1" si="8">B515*EXP(C516+A516/100)</f>
        <v>206.36347332159067</v>
      </c>
      <c r="C516">
        <f ca="1">$E$10 - 0.5*MAX('HE2'!B515,0)/10000</f>
        <v>7.4898928512215736E-5</v>
      </c>
    </row>
    <row r="517" spans="1:3" x14ac:dyDescent="0.45">
      <c r="A517">
        <f ca="1">randcorrWithFeedback!D516</f>
        <v>-1.9359261741401284</v>
      </c>
      <c r="B517">
        <f t="shared" ca="1" si="8"/>
        <v>202.4284303196778</v>
      </c>
      <c r="C517">
        <f ca="1">$E$10 - 0.5*MAX('HE2'!B516,0)/10000</f>
        <v>1.0660769142062318E-4</v>
      </c>
    </row>
    <row r="518" spans="1:3" x14ac:dyDescent="0.45">
      <c r="A518">
        <f ca="1">randcorrWithFeedback!D517</f>
        <v>-2.0380518365553775E-2</v>
      </c>
      <c r="B518">
        <f t="shared" ca="1" si="8"/>
        <v>202.40837043535814</v>
      </c>
      <c r="C518">
        <f ca="1">$E$10 - 0.5*MAX('HE2'!B517,0)/10000</f>
        <v>1.0470409255576831E-4</v>
      </c>
    </row>
    <row r="519" spans="1:3" x14ac:dyDescent="0.45">
      <c r="A519">
        <f ca="1">randcorrWithFeedback!D518</f>
        <v>0.25116776215580888</v>
      </c>
      <c r="B519">
        <f t="shared" ca="1" si="8"/>
        <v>202.93873370269216</v>
      </c>
      <c r="C519">
        <f ca="1">$E$10 - 0.5*MAX('HE2'!B518,0)/10000</f>
        <v>1.0515898377586939E-4</v>
      </c>
    </row>
    <row r="520" spans="1:3" x14ac:dyDescent="0.45">
      <c r="A520">
        <f ca="1">randcorrWithFeedback!D519</f>
        <v>-1.4441158192502192E-2</v>
      </c>
      <c r="B520">
        <f t="shared" ca="1" si="8"/>
        <v>202.93063776529704</v>
      </c>
      <c r="C520">
        <f ca="1">$E$10 - 0.5*MAX('HE2'!B519,0)/10000</f>
        <v>1.0451728112119239E-4</v>
      </c>
    </row>
    <row r="521" spans="1:3" x14ac:dyDescent="0.45">
      <c r="A521">
        <f ca="1">randcorrWithFeedback!D520</f>
        <v>6.0274064173711214E-2</v>
      </c>
      <c r="B521">
        <f t="shared" ca="1" si="8"/>
        <v>203.07262245151014</v>
      </c>
      <c r="C521">
        <f ca="1">$E$10 - 0.5*MAX('HE2'!B520,0)/10000</f>
        <v>9.668572210792501E-5</v>
      </c>
    </row>
    <row r="522" spans="1:3" x14ac:dyDescent="0.45">
      <c r="A522">
        <f ca="1">randcorrWithFeedback!D521</f>
        <v>0.26847495517204573</v>
      </c>
      <c r="B522">
        <f t="shared" ca="1" si="8"/>
        <v>203.63659214029641</v>
      </c>
      <c r="C522">
        <f ca="1">$E$10 - 0.5*MAX('HE2'!B521,0)/10000</f>
        <v>8.8583483418617069E-5</v>
      </c>
    </row>
    <row r="523" spans="1:3" x14ac:dyDescent="0.45">
      <c r="A523">
        <f ca="1">randcorrWithFeedback!D522</f>
        <v>0.15557111843450855</v>
      </c>
      <c r="B523">
        <f t="shared" ca="1" si="8"/>
        <v>203.97256147441692</v>
      </c>
      <c r="C523">
        <f ca="1">$E$10 - 0.5*MAX('HE2'!B522,0)/10000</f>
        <v>9.2776869588564494E-5</v>
      </c>
    </row>
    <row r="524" spans="1:3" x14ac:dyDescent="0.45">
      <c r="A524">
        <f ca="1">randcorrWithFeedback!D523</f>
        <v>0.81646610875519787</v>
      </c>
      <c r="B524">
        <f t="shared" ca="1" si="8"/>
        <v>205.66251337132351</v>
      </c>
      <c r="C524">
        <f ca="1">$E$10 - 0.5*MAX('HE2'!B523,0)/10000</f>
        <v>8.6397419524380262E-5</v>
      </c>
    </row>
    <row r="525" spans="1:3" x14ac:dyDescent="0.45">
      <c r="A525">
        <f ca="1">randcorrWithFeedback!D524</f>
        <v>-0.45917548690813242</v>
      </c>
      <c r="B525">
        <f t="shared" ca="1" si="8"/>
        <v>204.74075886854899</v>
      </c>
      <c r="C525">
        <f ca="1">$E$10 - 0.5*MAX('HE2'!B524,0)/10000</f>
        <v>9.9802123939664742E-5</v>
      </c>
    </row>
    <row r="526" spans="1:3" x14ac:dyDescent="0.45">
      <c r="A526">
        <f ca="1">randcorrWithFeedback!D525</f>
        <v>-4.3325367627138102E-2</v>
      </c>
      <c r="B526">
        <f t="shared" ca="1" si="8"/>
        <v>204.67170151445896</v>
      </c>
      <c r="C526">
        <f ca="1">$E$10 - 0.5*MAX('HE2'!B525,0)/10000</f>
        <v>9.5905102755366428E-5</v>
      </c>
    </row>
    <row r="527" spans="1:3" x14ac:dyDescent="0.45">
      <c r="A527">
        <f ca="1">randcorrWithFeedback!D526</f>
        <v>0.69989460865831044</v>
      </c>
      <c r="B527">
        <f t="shared" ca="1" si="8"/>
        <v>206.12796732419682</v>
      </c>
      <c r="C527">
        <f ca="1">$E$10 - 0.5*MAX('HE2'!B526,0)/10000</f>
        <v>9.0991030703679925E-5</v>
      </c>
    </row>
    <row r="528" spans="1:3" x14ac:dyDescent="0.45">
      <c r="A528">
        <f ca="1">randcorrWithFeedback!D527</f>
        <v>6.4635623079190851E-2</v>
      </c>
      <c r="B528">
        <f t="shared" ca="1" si="8"/>
        <v>206.27862719343662</v>
      </c>
      <c r="C528">
        <f ca="1">$E$10 - 0.5*MAX('HE2'!B527,0)/10000</f>
        <v>8.4281338756546579E-5</v>
      </c>
    </row>
    <row r="529" spans="1:3" x14ac:dyDescent="0.45">
      <c r="A529">
        <f ca="1">randcorrWithFeedback!D528</f>
        <v>6.7183448251374622E-2</v>
      </c>
      <c r="B529">
        <f t="shared" ca="1" si="8"/>
        <v>206.43568743680692</v>
      </c>
      <c r="C529">
        <f ca="1">$E$10 - 0.5*MAX('HE2'!B528,0)/10000</f>
        <v>8.9274329972799816E-5</v>
      </c>
    </row>
    <row r="530" spans="1:3" x14ac:dyDescent="0.45">
      <c r="A530">
        <f ca="1">randcorrWithFeedback!D529</f>
        <v>-0.49773540852442461</v>
      </c>
      <c r="B530">
        <f t="shared" ca="1" si="8"/>
        <v>205.42991246269685</v>
      </c>
      <c r="C530">
        <f ca="1">$E$10 - 0.5*MAX('HE2'!B529,0)/10000</f>
        <v>9.3348362859172466E-5</v>
      </c>
    </row>
    <row r="531" spans="1:3" x14ac:dyDescent="0.45">
      <c r="A531">
        <f ca="1">randcorrWithFeedback!D530</f>
        <v>3.9403146153557514E-2</v>
      </c>
      <c r="B531">
        <f t="shared" ca="1" si="8"/>
        <v>205.52910506075688</v>
      </c>
      <c r="C531">
        <f ca="1">$E$10 - 0.5*MAX('HE2'!B530,0)/10000</f>
        <v>8.8705725175014288E-5</v>
      </c>
    </row>
    <row r="532" spans="1:3" x14ac:dyDescent="0.45">
      <c r="A532">
        <f ca="1">randcorrWithFeedback!D531</f>
        <v>0.53592716821561814</v>
      </c>
      <c r="B532">
        <f t="shared" ca="1" si="8"/>
        <v>206.64873556390592</v>
      </c>
      <c r="C532">
        <f ca="1">$E$10 - 0.5*MAX('HE2'!B531,0)/10000</f>
        <v>7.3496150642481524E-5</v>
      </c>
    </row>
    <row r="533" spans="1:3" x14ac:dyDescent="0.45">
      <c r="A533">
        <f ca="1">randcorrWithFeedback!D532</f>
        <v>-0.66428732130821799</v>
      </c>
      <c r="B533">
        <f t="shared" ca="1" si="8"/>
        <v>205.29761098372447</v>
      </c>
      <c r="C533">
        <f ca="1">$E$10 - 0.5*MAX('HE2'!B532,0)/10000</f>
        <v>8.3138255252581728E-5</v>
      </c>
    </row>
    <row r="534" spans="1:3" x14ac:dyDescent="0.45">
      <c r="A534">
        <f ca="1">randcorrWithFeedback!D533</f>
        <v>0.32927658550038219</v>
      </c>
      <c r="B534">
        <f t="shared" ca="1" si="8"/>
        <v>205.98894735877573</v>
      </c>
      <c r="C534">
        <f ca="1">$E$10 - 0.5*MAX('HE2'!B533,0)/10000</f>
        <v>6.9060648414379853E-5</v>
      </c>
    </row>
    <row r="535" spans="1:3" x14ac:dyDescent="0.45">
      <c r="A535">
        <f ca="1">randcorrWithFeedback!D534</f>
        <v>1.0385373267136848</v>
      </c>
      <c r="B535">
        <f t="shared" ca="1" si="8"/>
        <v>208.14720443285105</v>
      </c>
      <c r="C535">
        <f ca="1">$E$10 - 0.5*MAX('HE2'!B534,0)/10000</f>
        <v>3.7655990466649186E-5</v>
      </c>
    </row>
    <row r="536" spans="1:3" x14ac:dyDescent="0.45">
      <c r="A536">
        <f ca="1">randcorrWithFeedback!D535</f>
        <v>0.7895542026190735</v>
      </c>
      <c r="B536">
        <f t="shared" ca="1" si="8"/>
        <v>209.80375561309461</v>
      </c>
      <c r="C536">
        <f ca="1">$E$10 - 0.5*MAX('HE2'!B535,0)/10000</f>
        <v>3.1511686558564344E-5</v>
      </c>
    </row>
    <row r="537" spans="1:3" x14ac:dyDescent="0.45">
      <c r="A537">
        <f ca="1">randcorrWithFeedback!D536</f>
        <v>-0.7844744866892468</v>
      </c>
      <c r="B537">
        <f t="shared" ca="1" si="8"/>
        <v>208.17298699658386</v>
      </c>
      <c r="C537">
        <f ca="1">$E$10 - 0.5*MAX('HE2'!B536,0)/10000</f>
        <v>4.1550454251834736E-5</v>
      </c>
    </row>
    <row r="538" spans="1:3" x14ac:dyDescent="0.45">
      <c r="A538">
        <f ca="1">randcorrWithFeedback!D537</f>
        <v>-0.35750588474272588</v>
      </c>
      <c r="B538">
        <f t="shared" ca="1" si="8"/>
        <v>207.44174906138116</v>
      </c>
      <c r="C538">
        <f ca="1">$E$10 - 0.5*MAX('HE2'!B537,0)/10000</f>
        <v>5.6229382121588535E-5</v>
      </c>
    </row>
    <row r="539" spans="1:3" x14ac:dyDescent="0.45">
      <c r="A539">
        <f ca="1">randcorrWithFeedback!D538</f>
        <v>1.5645481768658351</v>
      </c>
      <c r="B539">
        <f t="shared" ca="1" si="8"/>
        <v>210.72040745239519</v>
      </c>
      <c r="C539">
        <f ca="1">$E$10 - 0.5*MAX('HE2'!B538,0)/10000</f>
        <v>3.6116999984398568E-5</v>
      </c>
    </row>
    <row r="540" spans="1:3" x14ac:dyDescent="0.45">
      <c r="A540">
        <f ca="1">randcorrWithFeedback!D539</f>
        <v>-0.39653118676358012</v>
      </c>
      <c r="B540">
        <f t="shared" ca="1" si="8"/>
        <v>209.89439165498521</v>
      </c>
      <c r="C540">
        <f ca="1">$E$10 - 0.5*MAX('HE2'!B539,0)/10000</f>
        <v>3.7647595985817122E-5</v>
      </c>
    </row>
    <row r="541" spans="1:3" x14ac:dyDescent="0.45">
      <c r="A541">
        <f ca="1">randcorrWithFeedback!D540</f>
        <v>-0.52298497630345697</v>
      </c>
      <c r="B541">
        <f t="shared" ca="1" si="8"/>
        <v>208.80886573953009</v>
      </c>
      <c r="C541">
        <f ca="1">$E$10 - 0.5*MAX('HE2'!B540,0)/10000</f>
        <v>4.4657967063471663E-5</v>
      </c>
    </row>
    <row r="542" spans="1:3" x14ac:dyDescent="0.45">
      <c r="A542">
        <f ca="1">randcorrWithFeedback!D541</f>
        <v>-0.59646243860997272</v>
      </c>
      <c r="B542">
        <f t="shared" ca="1" si="8"/>
        <v>207.5727312805553</v>
      </c>
      <c r="C542">
        <f ca="1">$E$10 - 0.5*MAX('HE2'!B541,0)/10000</f>
        <v>2.7099291823871213E-5</v>
      </c>
    </row>
    <row r="543" spans="1:3" x14ac:dyDescent="0.45">
      <c r="A543">
        <f ca="1">randcorrWithFeedback!D542</f>
        <v>-0.17462247947570059</v>
      </c>
      <c r="B543">
        <f t="shared" ca="1" si="8"/>
        <v>207.21466559905491</v>
      </c>
      <c r="C543">
        <f ca="1">$E$10 - 0.5*MAX('HE2'!B542,0)/10000</f>
        <v>1.9722142372081435E-5</v>
      </c>
    </row>
    <row r="544" spans="1:3" x14ac:dyDescent="0.45">
      <c r="A544">
        <f ca="1">randcorrWithFeedback!D543</f>
        <v>1.8684630559510718</v>
      </c>
      <c r="B544">
        <f t="shared" ca="1" si="8"/>
        <v>211.12360956637582</v>
      </c>
      <c r="C544">
        <f ca="1">$E$10 - 0.5*MAX('HE2'!B543,0)/10000</f>
        <v>3.8709167430985226E-6</v>
      </c>
    </row>
    <row r="545" spans="1:3" x14ac:dyDescent="0.45">
      <c r="A545">
        <f ca="1">randcorrWithFeedback!D544</f>
        <v>-0.66655139462449453</v>
      </c>
      <c r="B545">
        <f t="shared" ca="1" si="8"/>
        <v>209.72330659674236</v>
      </c>
      <c r="C545">
        <f ca="1">$E$10 - 0.5*MAX('HE2'!B544,0)/10000</f>
        <v>1.0798972331197004E-5</v>
      </c>
    </row>
    <row r="546" spans="1:3" x14ac:dyDescent="0.45">
      <c r="A546">
        <f ca="1">randcorrWithFeedback!D545</f>
        <v>1.2500500179268184</v>
      </c>
      <c r="B546">
        <f t="shared" ca="1" si="8"/>
        <v>212.36314369999062</v>
      </c>
      <c r="C546">
        <f ca="1">$E$10 - 0.5*MAX('HE2'!B545,0)/10000</f>
        <v>8.1767608153172791E-6</v>
      </c>
    </row>
    <row r="547" spans="1:3" x14ac:dyDescent="0.45">
      <c r="A547">
        <f ca="1">randcorrWithFeedback!D546</f>
        <v>-1.1273883441144641</v>
      </c>
      <c r="B547">
        <f t="shared" ca="1" si="8"/>
        <v>209.98956056706126</v>
      </c>
      <c r="C547">
        <f ca="1">$E$10 - 0.5*MAX('HE2'!B546,0)/10000</f>
        <v>3.3950096338924304E-5</v>
      </c>
    </row>
    <row r="548" spans="1:3" x14ac:dyDescent="0.45">
      <c r="A548">
        <f ca="1">randcorrWithFeedback!D547</f>
        <v>1.5122161248956443</v>
      </c>
      <c r="B548">
        <f t="shared" ca="1" si="8"/>
        <v>213.19909174712348</v>
      </c>
      <c r="C548">
        <f ca="1">$E$10 - 0.5*MAX('HE2'!B547,0)/10000</f>
        <v>4.6453039354695715E-5</v>
      </c>
    </row>
    <row r="549" spans="1:3" x14ac:dyDescent="0.45">
      <c r="A549">
        <f ca="1">randcorrWithFeedback!D548</f>
        <v>-1.1910519927534138</v>
      </c>
      <c r="B549">
        <f t="shared" ca="1" si="8"/>
        <v>210.68983946338716</v>
      </c>
      <c r="C549">
        <f ca="1">$E$10 - 0.5*MAX('HE2'!B548,0)/10000</f>
        <v>7.1184625097479463E-5</v>
      </c>
    </row>
    <row r="550" spans="1:3" x14ac:dyDescent="0.45">
      <c r="A550">
        <f ca="1">randcorrWithFeedback!D549</f>
        <v>-0.16477054990730233</v>
      </c>
      <c r="B550">
        <f t="shared" ca="1" si="8"/>
        <v>210.35905728084126</v>
      </c>
      <c r="C550">
        <f ca="1">$E$10 - 0.5*MAX('HE2'!B549,0)/10000</f>
        <v>7.6475871561489824E-5</v>
      </c>
    </row>
    <row r="551" spans="1:3" x14ac:dyDescent="0.45">
      <c r="A551">
        <f ca="1">randcorrWithFeedback!D550</f>
        <v>0.45142703925435895</v>
      </c>
      <c r="B551">
        <f t="shared" ca="1" si="8"/>
        <v>211.32342807048317</v>
      </c>
      <c r="C551">
        <f ca="1">$E$10 - 0.5*MAX('HE2'!B550,0)/10000</f>
        <v>5.9656694433341606E-5</v>
      </c>
    </row>
    <row r="552" spans="1:3" x14ac:dyDescent="0.45">
      <c r="A552">
        <f ca="1">randcorrWithFeedback!D551</f>
        <v>0.19834953554645346</v>
      </c>
      <c r="B552">
        <f t="shared" ca="1" si="8"/>
        <v>211.75547686975781</v>
      </c>
      <c r="C552">
        <f ca="1">$E$10 - 0.5*MAX('HE2'!B551,0)/10000</f>
        <v>5.8908292731851203E-5</v>
      </c>
    </row>
    <row r="553" spans="1:3" x14ac:dyDescent="0.45">
      <c r="A553">
        <f ca="1">randcorrWithFeedback!D552</f>
        <v>-1.8015434200093296E-2</v>
      </c>
      <c r="B553">
        <f t="shared" ca="1" si="8"/>
        <v>211.72816882406926</v>
      </c>
      <c r="C553">
        <f ca="1">$E$10 - 0.5*MAX('HE2'!B552,0)/10000</f>
        <v>5.1185745437144282E-5</v>
      </c>
    </row>
    <row r="554" spans="1:3" x14ac:dyDescent="0.45">
      <c r="A554">
        <f ca="1">randcorrWithFeedback!D553</f>
        <v>0.77255097022468688</v>
      </c>
      <c r="B554">
        <f t="shared" ca="1" si="8"/>
        <v>213.37991906144384</v>
      </c>
      <c r="C554">
        <f ca="1">$E$10 - 0.5*MAX('HE2'!B553,0)/10000</f>
        <v>4.5495351133136968E-5</v>
      </c>
    </row>
    <row r="555" spans="1:3" x14ac:dyDescent="0.45">
      <c r="A555">
        <f ca="1">randcorrWithFeedback!D554</f>
        <v>0.10730738017429182</v>
      </c>
      <c r="B555">
        <f t="shared" ca="1" si="8"/>
        <v>213.61766079287753</v>
      </c>
      <c r="C555">
        <f ca="1">$E$10 - 0.5*MAX('HE2'!B554,0)/10000</f>
        <v>4.047703421891195E-5</v>
      </c>
    </row>
    <row r="556" spans="1:3" x14ac:dyDescent="0.45">
      <c r="A556">
        <f ca="1">randcorrWithFeedback!D555</f>
        <v>-0.21509131820491675</v>
      </c>
      <c r="B556">
        <f t="shared" ca="1" si="8"/>
        <v>213.16843064443881</v>
      </c>
      <c r="C556">
        <f ca="1">$E$10 - 0.5*MAX('HE2'!B555,0)/10000</f>
        <v>4.5735326636912662E-5</v>
      </c>
    </row>
    <row r="557" spans="1:3" x14ac:dyDescent="0.45">
      <c r="A557">
        <f ca="1">randcorrWithFeedback!D556</f>
        <v>0.92017029316293064</v>
      </c>
      <c r="B557">
        <f t="shared" ca="1" si="8"/>
        <v>215.1431610575587</v>
      </c>
      <c r="C557">
        <f ca="1">$E$10 - 0.5*MAX('HE2'!B556,0)/10000</f>
        <v>1.9361562746868615E-5</v>
      </c>
    </row>
    <row r="558" spans="1:3" x14ac:dyDescent="0.45">
      <c r="A558">
        <f ca="1">randcorrWithFeedback!D557</f>
        <v>0.4816333577725857</v>
      </c>
      <c r="B558">
        <f t="shared" ca="1" si="8"/>
        <v>216.18255568022641</v>
      </c>
      <c r="C558">
        <f ca="1">$E$10 - 0.5*MAX('HE2'!B557,0)/10000</f>
        <v>3.2104200214125257E-6</v>
      </c>
    </row>
    <row r="559" spans="1:3" x14ac:dyDescent="0.45">
      <c r="A559">
        <f ca="1">randcorrWithFeedback!D558</f>
        <v>0.24132428216426532</v>
      </c>
      <c r="B559">
        <f t="shared" ca="1" si="8"/>
        <v>216.69997920977244</v>
      </c>
      <c r="C559">
        <f ca="1">$E$10 - 0.5*MAX('HE2'!B558,0)/10000</f>
        <v>-2.2646138880101104E-5</v>
      </c>
    </row>
    <row r="560" spans="1:3" x14ac:dyDescent="0.45">
      <c r="A560">
        <f ca="1">randcorrWithFeedback!D559</f>
        <v>-0.68859317643119855</v>
      </c>
      <c r="B560">
        <f t="shared" ca="1" si="8"/>
        <v>215.21143340550634</v>
      </c>
      <c r="C560">
        <f ca="1">$E$10 - 0.5*MAX('HE2'!B559,0)/10000</f>
        <v>-6.9247537941077299E-6</v>
      </c>
    </row>
    <row r="561" spans="1:3" x14ac:dyDescent="0.45">
      <c r="A561">
        <f ca="1">randcorrWithFeedback!D560</f>
        <v>0.41691369573459625</v>
      </c>
      <c r="B561">
        <f t="shared" ca="1" si="8"/>
        <v>216.10960021122139</v>
      </c>
      <c r="C561">
        <f ca="1">$E$10 - 0.5*MAX('HE2'!B560,0)/10000</f>
        <v>-4.4056600678859246E-6</v>
      </c>
    </row>
    <row r="562" spans="1:3" x14ac:dyDescent="0.45">
      <c r="A562">
        <f ca="1">randcorrWithFeedback!D561</f>
        <v>1.3152862015994553</v>
      </c>
      <c r="B562">
        <f t="shared" ca="1" si="8"/>
        <v>218.97101141791273</v>
      </c>
      <c r="C562">
        <f ca="1">$E$10 - 0.5*MAX('HE2'!B561,0)/10000</f>
        <v>8.0370301464962658E-7</v>
      </c>
    </row>
    <row r="563" spans="1:3" x14ac:dyDescent="0.45">
      <c r="A563">
        <f ca="1">randcorrWithFeedback!D562</f>
        <v>0.34988058759292706</v>
      </c>
      <c r="B563">
        <f t="shared" ca="1" si="8"/>
        <v>219.73869756957961</v>
      </c>
      <c r="C563">
        <f ca="1">$E$10 - 0.5*MAX('HE2'!B562,0)/10000</f>
        <v>9.4313580658518287E-7</v>
      </c>
    </row>
    <row r="564" spans="1:3" x14ac:dyDescent="0.45">
      <c r="A564">
        <f ca="1">randcorrWithFeedback!D563</f>
        <v>1.4926883642907853</v>
      </c>
      <c r="B564">
        <f t="shared" ca="1" si="8"/>
        <v>223.04140423665365</v>
      </c>
      <c r="C564">
        <f ca="1">$E$10 - 0.5*MAX('HE2'!B563,0)/10000</f>
        <v>-8.5623066133929228E-6</v>
      </c>
    </row>
    <row r="565" spans="1:3" x14ac:dyDescent="0.45">
      <c r="A565">
        <f ca="1">randcorrWithFeedback!D564</f>
        <v>1.5213575339380887</v>
      </c>
      <c r="B565">
        <f t="shared" ca="1" si="8"/>
        <v>226.45830825278438</v>
      </c>
      <c r="C565">
        <f ca="1">$E$10 - 0.5*MAX('HE2'!B564,0)/10000</f>
        <v>-1.0140331680884046E-5</v>
      </c>
    </row>
    <row r="566" spans="1:3" x14ac:dyDescent="0.45">
      <c r="A566">
        <f ca="1">randcorrWithFeedback!D565</f>
        <v>2.9123731006619415</v>
      </c>
      <c r="B566">
        <f t="shared" ca="1" si="8"/>
        <v>233.13758702837376</v>
      </c>
      <c r="C566">
        <f ca="1">$E$10 - 0.5*MAX('HE2'!B565,0)/10000</f>
        <v>-5.5807907164001012E-5</v>
      </c>
    </row>
    <row r="567" spans="1:3" x14ac:dyDescent="0.45">
      <c r="A567">
        <f ca="1">randcorrWithFeedback!D566</f>
        <v>-2.9859558234621515</v>
      </c>
      <c r="B567">
        <f t="shared" ca="1" si="8"/>
        <v>226.27625523453594</v>
      </c>
      <c r="C567">
        <f ca="1">$E$10 - 0.5*MAX('HE2'!B566,0)/10000</f>
        <v>-1.2602238091846151E-5</v>
      </c>
    </row>
    <row r="568" spans="1:3" x14ac:dyDescent="0.45">
      <c r="A568">
        <f ca="1">randcorrWithFeedback!D567</f>
        <v>-1.3898390812052686</v>
      </c>
      <c r="B568">
        <f t="shared" ca="1" si="8"/>
        <v>223.15844206688195</v>
      </c>
      <c r="C568">
        <f ca="1">$E$10 - 0.5*MAX('HE2'!B567,0)/10000</f>
        <v>2.3791443979381908E-5</v>
      </c>
    </row>
    <row r="569" spans="1:3" x14ac:dyDescent="0.45">
      <c r="A569">
        <f ca="1">randcorrWithFeedback!D568</f>
        <v>-0.84090928414736299</v>
      </c>
      <c r="B569">
        <f t="shared" ca="1" si="8"/>
        <v>221.30234241410309</v>
      </c>
      <c r="C569">
        <f ca="1">$E$10 - 0.5*MAX('HE2'!B568,0)/10000</f>
        <v>5.6902918050411853E-5</v>
      </c>
    </row>
    <row r="570" spans="1:3" x14ac:dyDescent="0.45">
      <c r="A570">
        <f ca="1">randcorrWithFeedback!D569</f>
        <v>-0.34395286945903436</v>
      </c>
      <c r="B570">
        <f t="shared" ca="1" si="8"/>
        <v>220.55757289947476</v>
      </c>
      <c r="C570">
        <f ca="1">$E$10 - 0.5*MAX('HE2'!B569,0)/10000</f>
        <v>6.8459293994815231E-5</v>
      </c>
    </row>
    <row r="571" spans="1:3" x14ac:dyDescent="0.45">
      <c r="A571">
        <f ca="1">randcorrWithFeedback!D570</f>
        <v>1.050837371213118</v>
      </c>
      <c r="B571">
        <f t="shared" ca="1" si="8"/>
        <v>222.90001360507063</v>
      </c>
      <c r="C571">
        <f ca="1">$E$10 - 0.5*MAX('HE2'!B570,0)/10000</f>
        <v>5.6165325612431381E-5</v>
      </c>
    </row>
    <row r="572" spans="1:3" x14ac:dyDescent="0.45">
      <c r="A572">
        <f ca="1">randcorrWithFeedback!D571</f>
        <v>-7.7431906823684171E-2</v>
      </c>
      <c r="B572">
        <f t="shared" ca="1" si="8"/>
        <v>222.7388148985429</v>
      </c>
      <c r="C572">
        <f ca="1">$E$10 - 0.5*MAX('HE2'!B571,0)/10000</f>
        <v>5.0869030906474452E-5</v>
      </c>
    </row>
    <row r="573" spans="1:3" x14ac:dyDescent="0.45">
      <c r="A573">
        <f ca="1">randcorrWithFeedback!D572</f>
        <v>9.867528596978441E-3</v>
      </c>
      <c r="B573">
        <f t="shared" ca="1" si="8"/>
        <v>222.77548245371534</v>
      </c>
      <c r="C573">
        <f ca="1">$E$10 - 0.5*MAX('HE2'!B572,0)/10000</f>
        <v>6.5932473974916707E-5</v>
      </c>
    </row>
    <row r="574" spans="1:3" x14ac:dyDescent="0.45">
      <c r="A574">
        <f ca="1">randcorrWithFeedback!D573</f>
        <v>-0.89996979901191954</v>
      </c>
      <c r="B574">
        <f t="shared" ca="1" si="8"/>
        <v>220.79629878516067</v>
      </c>
      <c r="C574">
        <f ca="1">$E$10 - 0.5*MAX('HE2'!B573,0)/10000</f>
        <v>7.579035310486645E-5</v>
      </c>
    </row>
    <row r="575" spans="1:3" x14ac:dyDescent="0.45">
      <c r="A575">
        <f ca="1">randcorrWithFeedback!D574</f>
        <v>0.31165115856417591</v>
      </c>
      <c r="B575">
        <f t="shared" ca="1" si="8"/>
        <v>221.50126404296012</v>
      </c>
      <c r="C575">
        <f ca="1">$E$10 - 0.5*MAX('HE2'!B574,0)/10000</f>
        <v>7.1233109414162572E-5</v>
      </c>
    </row>
    <row r="576" spans="1:3" x14ac:dyDescent="0.45">
      <c r="A576">
        <f ca="1">randcorrWithFeedback!D575</f>
        <v>-0.60506874673680155</v>
      </c>
      <c r="B576">
        <f t="shared" ca="1" si="8"/>
        <v>220.17991994908917</v>
      </c>
      <c r="C576">
        <f ca="1">$E$10 - 0.5*MAX('HE2'!B575,0)/10000</f>
        <v>6.7421330115850255E-5</v>
      </c>
    </row>
    <row r="577" spans="1:3" x14ac:dyDescent="0.45">
      <c r="A577">
        <f ca="1">randcorrWithFeedback!D576</f>
        <v>0.65690920591566104</v>
      </c>
      <c r="B577">
        <f t="shared" ca="1" si="8"/>
        <v>221.64535745253207</v>
      </c>
      <c r="C577">
        <f ca="1">$E$10 - 0.5*MAX('HE2'!B576,0)/10000</f>
        <v>6.4493442661223588E-5</v>
      </c>
    </row>
    <row r="578" spans="1:3" x14ac:dyDescent="0.45">
      <c r="A578">
        <f ca="1">randcorrWithFeedback!D577</f>
        <v>-0.29983258265766261</v>
      </c>
      <c r="B578">
        <f t="shared" ca="1" si="8"/>
        <v>220.99471400643617</v>
      </c>
      <c r="C578">
        <f ca="1">$E$10 - 0.5*MAX('HE2'!B577,0)/10000</f>
        <v>5.8492961664735333E-5</v>
      </c>
    </row>
    <row r="579" spans="1:3" x14ac:dyDescent="0.45">
      <c r="A579">
        <f ca="1">randcorrWithFeedback!D578</f>
        <v>-1.0112733517911177</v>
      </c>
      <c r="B579">
        <f t="shared" ca="1" si="8"/>
        <v>218.7876206087399</v>
      </c>
      <c r="C579">
        <f ca="1">$E$10 - 0.5*MAX('HE2'!B578,0)/10000</f>
        <v>7.5441185663911232E-5</v>
      </c>
    </row>
    <row r="580" spans="1:3" x14ac:dyDescent="0.45">
      <c r="A580">
        <f ca="1">randcorrWithFeedback!D579</f>
        <v>0.60301295608870964</v>
      </c>
      <c r="B580">
        <f t="shared" ref="B580:B643" ca="1" si="9">B579*EXP(C580+A580/100)</f>
        <v>220.12828140909861</v>
      </c>
      <c r="C580">
        <f ca="1">$E$10 - 0.5*MAX('HE2'!B579,0)/10000</f>
        <v>7.8853793836327699E-5</v>
      </c>
    </row>
    <row r="581" spans="1:3" x14ac:dyDescent="0.45">
      <c r="A581">
        <f ca="1">randcorrWithFeedback!D580</f>
        <v>-0.23783316780908637</v>
      </c>
      <c r="B581">
        <f t="shared" ca="1" si="9"/>
        <v>219.6241183770033</v>
      </c>
      <c r="C581">
        <f ca="1">$E$10 - 0.5*MAX('HE2'!B580,0)/10000</f>
        <v>8.5390226354297618E-5</v>
      </c>
    </row>
    <row r="582" spans="1:3" x14ac:dyDescent="0.45">
      <c r="A582">
        <f ca="1">randcorrWithFeedback!D581</f>
        <v>0.63667041488468223</v>
      </c>
      <c r="B582">
        <f t="shared" ca="1" si="9"/>
        <v>221.04192851534938</v>
      </c>
      <c r="C582">
        <f ca="1">$E$10 - 0.5*MAX('HE2'!B581,0)/10000</f>
        <v>6.816888338793404E-5</v>
      </c>
    </row>
    <row r="583" spans="1:3" x14ac:dyDescent="0.45">
      <c r="A583">
        <f ca="1">randcorrWithFeedback!D582</f>
        <v>-0.73276619146883615</v>
      </c>
      <c r="B583">
        <f t="shared" ca="1" si="9"/>
        <v>219.44551366481912</v>
      </c>
      <c r="C583">
        <f ca="1">$E$10 - 0.5*MAX('HE2'!B582,0)/10000</f>
        <v>7.9228986703741913E-5</v>
      </c>
    </row>
    <row r="584" spans="1:3" x14ac:dyDescent="0.45">
      <c r="A584">
        <f ca="1">randcorrWithFeedback!D583</f>
        <v>-0.32431604887941828</v>
      </c>
      <c r="B584">
        <f t="shared" ca="1" si="9"/>
        <v>218.75397835268188</v>
      </c>
      <c r="C584">
        <f ca="1">$E$10 - 0.5*MAX('HE2'!B583,0)/10000</f>
        <v>8.6899932481297699E-5</v>
      </c>
    </row>
    <row r="585" spans="1:3" x14ac:dyDescent="0.45">
      <c r="A585">
        <f ca="1">randcorrWithFeedback!D584</f>
        <v>-0.3586493415778047</v>
      </c>
      <c r="B585">
        <f t="shared" ca="1" si="9"/>
        <v>217.99008874510687</v>
      </c>
      <c r="C585">
        <f ca="1">$E$10 - 0.5*MAX('HE2'!B584,0)/10000</f>
        <v>8.837887187586961E-5</v>
      </c>
    </row>
    <row r="586" spans="1:3" x14ac:dyDescent="0.45">
      <c r="A586">
        <f ca="1">randcorrWithFeedback!D585</f>
        <v>-0.86674588897469529</v>
      </c>
      <c r="B586">
        <f t="shared" ca="1" si="9"/>
        <v>216.12829585530216</v>
      </c>
      <c r="C586">
        <f ca="1">$E$10 - 0.5*MAX('HE2'!B585,0)/10000</f>
        <v>9.0055257630094603E-5</v>
      </c>
    </row>
    <row r="587" spans="1:3" x14ac:dyDescent="0.45">
      <c r="A587">
        <f ca="1">randcorrWithFeedback!D586</f>
        <v>0.11590374236605991</v>
      </c>
      <c r="B587">
        <f t="shared" ca="1" si="9"/>
        <v>216.3962050466065</v>
      </c>
      <c r="C587">
        <f ca="1">$E$10 - 0.5*MAX('HE2'!B586,0)/10000</f>
        <v>7.9778990245720174E-5</v>
      </c>
    </row>
    <row r="588" spans="1:3" x14ac:dyDescent="0.45">
      <c r="A588">
        <f ca="1">randcorrWithFeedback!D587</f>
        <v>-0.39635204448727762</v>
      </c>
      <c r="B588">
        <f t="shared" ca="1" si="9"/>
        <v>215.55726526316036</v>
      </c>
      <c r="C588">
        <f ca="1">$E$10 - 0.5*MAX('HE2'!B587,0)/10000</f>
        <v>7.9116702438965019E-5</v>
      </c>
    </row>
    <row r="589" spans="1:3" x14ac:dyDescent="0.45">
      <c r="A589">
        <f ca="1">randcorrWithFeedback!D588</f>
        <v>-0.35162643695449186</v>
      </c>
      <c r="B589">
        <f t="shared" ca="1" si="9"/>
        <v>214.81860453284915</v>
      </c>
      <c r="C589">
        <f ca="1">$E$10 - 0.5*MAX('HE2'!B588,0)/10000</f>
        <v>8.3630212044202168E-5</v>
      </c>
    </row>
    <row r="590" spans="1:3" x14ac:dyDescent="0.45">
      <c r="A590">
        <f ca="1">randcorrWithFeedback!D589</f>
        <v>-0.43806117205232015</v>
      </c>
      <c r="B590">
        <f t="shared" ca="1" si="9"/>
        <v>213.89642084827778</v>
      </c>
      <c r="C590">
        <f ca="1">$E$10 - 0.5*MAX('HE2'!B589,0)/10000</f>
        <v>7.8522676345378064E-5</v>
      </c>
    </row>
    <row r="591" spans="1:3" x14ac:dyDescent="0.45">
      <c r="A591">
        <f ca="1">randcorrWithFeedback!D590</f>
        <v>-1.0915854446390572</v>
      </c>
      <c r="B591">
        <f t="shared" ca="1" si="9"/>
        <v>211.59542849097986</v>
      </c>
      <c r="C591">
        <f ca="1">$E$10 - 0.5*MAX('HE2'!B590,0)/10000</f>
        <v>1.0006659094348863E-4</v>
      </c>
    </row>
    <row r="592" spans="1:3" x14ac:dyDescent="0.45">
      <c r="A592">
        <f ca="1">randcorrWithFeedback!D591</f>
        <v>0.21625600173022722</v>
      </c>
      <c r="B592">
        <f t="shared" ca="1" si="9"/>
        <v>212.07469849210688</v>
      </c>
      <c r="C592">
        <f ca="1">$E$10 - 0.5*MAX('HE2'!B591,0)/10000</f>
        <v>9.9908705612189181E-5</v>
      </c>
    </row>
    <row r="593" spans="1:3" x14ac:dyDescent="0.45">
      <c r="A593">
        <f ca="1">randcorrWithFeedback!D592</f>
        <v>-0.18286609533288398</v>
      </c>
      <c r="B593">
        <f t="shared" ca="1" si="9"/>
        <v>211.70770755627984</v>
      </c>
      <c r="C593">
        <f ca="1">$E$10 - 0.5*MAX('HE2'!B592,0)/10000</f>
        <v>9.6682360875384893E-5</v>
      </c>
    </row>
    <row r="594" spans="1:3" x14ac:dyDescent="0.45">
      <c r="A594">
        <f ca="1">randcorrWithFeedback!D593</f>
        <v>5.9986051279609813E-2</v>
      </c>
      <c r="B594">
        <f t="shared" ca="1" si="9"/>
        <v>211.85494266190801</v>
      </c>
      <c r="C594">
        <f ca="1">$E$10 - 0.5*MAX('HE2'!B593,0)/10000</f>
        <v>9.5361842067492473E-5</v>
      </c>
    </row>
    <row r="595" spans="1:3" x14ac:dyDescent="0.45">
      <c r="A595">
        <f ca="1">randcorrWithFeedback!D594</f>
        <v>-4.3168620555229201E-2</v>
      </c>
      <c r="B595">
        <f t="shared" ca="1" si="9"/>
        <v>211.78381172213233</v>
      </c>
      <c r="C595">
        <f ca="1">$E$10 - 0.5*MAX('HE2'!B594,0)/10000</f>
        <v>9.587679383990252E-5</v>
      </c>
    </row>
    <row r="596" spans="1:3" x14ac:dyDescent="0.45">
      <c r="A596">
        <f ca="1">randcorrWithFeedback!D595</f>
        <v>-0.24369062947424186</v>
      </c>
      <c r="B596">
        <f t="shared" ca="1" si="9"/>
        <v>211.28835531405568</v>
      </c>
      <c r="C596">
        <f ca="1">$E$10 - 0.5*MAX('HE2'!B595,0)/10000</f>
        <v>9.472132877465529E-5</v>
      </c>
    </row>
    <row r="597" spans="1:3" x14ac:dyDescent="0.45">
      <c r="A597">
        <f ca="1">randcorrWithFeedback!D596</f>
        <v>-0.24170853730923089</v>
      </c>
      <c r="B597">
        <f t="shared" ca="1" si="9"/>
        <v>210.79780402548718</v>
      </c>
      <c r="C597">
        <f ca="1">$E$10 - 0.5*MAX('HE2'!B596,0)/10000</f>
        <v>9.2671276203915961E-5</v>
      </c>
    </row>
    <row r="598" spans="1:3" x14ac:dyDescent="0.45">
      <c r="A598">
        <f ca="1">randcorrWithFeedback!D597</f>
        <v>0.6285735295222461</v>
      </c>
      <c r="B598">
        <f t="shared" ca="1" si="9"/>
        <v>212.14508087242911</v>
      </c>
      <c r="C598">
        <f ca="1">$E$10 - 0.5*MAX('HE2'!B597,0)/10000</f>
        <v>8.5249781716772771E-5</v>
      </c>
    </row>
    <row r="599" spans="1:3" x14ac:dyDescent="0.45">
      <c r="A599">
        <f ca="1">randcorrWithFeedback!D598</f>
        <v>0.38741693723628873</v>
      </c>
      <c r="B599">
        <f t="shared" ca="1" si="9"/>
        <v>212.98683325736198</v>
      </c>
      <c r="C599">
        <f ca="1">$E$10 - 0.5*MAX('HE2'!B598,0)/10000</f>
        <v>8.5794379770136087E-5</v>
      </c>
    </row>
    <row r="600" spans="1:3" x14ac:dyDescent="0.45">
      <c r="A600">
        <f ca="1">randcorrWithFeedback!D599</f>
        <v>1.3406904973506486</v>
      </c>
      <c r="B600">
        <f t="shared" ca="1" si="9"/>
        <v>215.87469072339857</v>
      </c>
      <c r="C600">
        <f ca="1">$E$10 - 0.5*MAX('HE2'!B599,0)/10000</f>
        <v>6.0850721483454437E-5</v>
      </c>
    </row>
    <row r="601" spans="1:3" x14ac:dyDescent="0.45">
      <c r="A601">
        <f ca="1">randcorrWithFeedback!D600</f>
        <v>-2.1311717607578481E-2</v>
      </c>
      <c r="B601">
        <f t="shared" ca="1" si="9"/>
        <v>215.84109372456206</v>
      </c>
      <c r="C601">
        <f ca="1">$E$10 - 0.5*MAX('HE2'!B600,0)/10000</f>
        <v>5.7473115262461485E-5</v>
      </c>
    </row>
    <row r="602" spans="1:3" x14ac:dyDescent="0.45">
      <c r="A602">
        <f ca="1">randcorrWithFeedback!D601</f>
        <v>-9.6996374464936419E-2</v>
      </c>
      <c r="B602">
        <f t="shared" ca="1" si="9"/>
        <v>215.64308456602353</v>
      </c>
      <c r="C602">
        <f ca="1">$E$10 - 0.5*MAX('HE2'!B601,0)/10000</f>
        <v>5.2158724670897425E-5</v>
      </c>
    </row>
    <row r="603" spans="1:3" x14ac:dyDescent="0.45">
      <c r="A603">
        <f ca="1">randcorrWithFeedback!D602</f>
        <v>0.30049382269006208</v>
      </c>
      <c r="B603">
        <f t="shared" ca="1" si="9"/>
        <v>216.30242644031685</v>
      </c>
      <c r="C603">
        <f ca="1">$E$10 - 0.5*MAX('HE2'!B602,0)/10000</f>
        <v>4.7957888887668198E-5</v>
      </c>
    </row>
    <row r="604" spans="1:3" x14ac:dyDescent="0.45">
      <c r="A604">
        <f ca="1">randcorrWithFeedback!D603</f>
        <v>-0.57079096857924938</v>
      </c>
      <c r="B604">
        <f t="shared" ca="1" si="9"/>
        <v>215.0836156027531</v>
      </c>
      <c r="C604">
        <f ca="1">$E$10 - 0.5*MAX('HE2'!B603,0)/10000</f>
        <v>5.7221152289233666E-5</v>
      </c>
    </row>
    <row r="605" spans="1:3" x14ac:dyDescent="0.45">
      <c r="A605">
        <f ca="1">randcorrWithFeedback!D604</f>
        <v>0.24196220294927398</v>
      </c>
      <c r="B605">
        <f t="shared" ca="1" si="9"/>
        <v>215.61730691222232</v>
      </c>
      <c r="C605">
        <f ca="1">$E$10 - 0.5*MAX('HE2'!B604,0)/10000</f>
        <v>5.8624729305966516E-5</v>
      </c>
    </row>
    <row r="606" spans="1:3" x14ac:dyDescent="0.45">
      <c r="A606">
        <f ca="1">randcorrWithFeedback!D605</f>
        <v>-2.7379065134661502</v>
      </c>
      <c r="B606">
        <f t="shared" ca="1" si="9"/>
        <v>209.81299049675442</v>
      </c>
      <c r="C606">
        <f ca="1">$E$10 - 0.5*MAX('HE2'!B605,0)/10000</f>
        <v>9.0568597420444526E-5</v>
      </c>
    </row>
    <row r="607" spans="1:3" x14ac:dyDescent="0.45">
      <c r="A607">
        <f ca="1">randcorrWithFeedback!D606</f>
        <v>-0.25626870155329151</v>
      </c>
      <c r="B607">
        <f t="shared" ca="1" si="9"/>
        <v>209.29611222980211</v>
      </c>
      <c r="C607">
        <f ca="1">$E$10 - 0.5*MAX('HE2'!B606,0)/10000</f>
        <v>9.6128662860119467E-5</v>
      </c>
    </row>
    <row r="608" spans="1:3" x14ac:dyDescent="0.45">
      <c r="A608">
        <f ca="1">randcorrWithFeedback!D607</f>
        <v>0.43420649009036066</v>
      </c>
      <c r="B608">
        <f t="shared" ca="1" si="9"/>
        <v>210.2263316753</v>
      </c>
      <c r="C608">
        <f ca="1">$E$10 - 0.5*MAX('HE2'!B607,0)/10000</f>
        <v>9.2601150969638825E-5</v>
      </c>
    </row>
    <row r="609" spans="1:3" x14ac:dyDescent="0.45">
      <c r="A609">
        <f ca="1">randcorrWithFeedback!D608</f>
        <v>-1.0596119935202684</v>
      </c>
      <c r="B609">
        <f t="shared" ca="1" si="9"/>
        <v>208.03286251236815</v>
      </c>
      <c r="C609">
        <f ca="1">$E$10 - 0.5*MAX('HE2'!B608,0)/10000</f>
        <v>1.0745978202786333E-4</v>
      </c>
    </row>
    <row r="610" spans="1:3" x14ac:dyDescent="0.45">
      <c r="A610">
        <f ca="1">randcorrWithFeedback!D609</f>
        <v>0</v>
      </c>
      <c r="B610">
        <f t="shared" ca="1" si="9"/>
        <v>208.05504224168155</v>
      </c>
      <c r="C610">
        <f ca="1">$E$10 - 0.5*MAX('HE2'!B609,0)/10000</f>
        <v>1.0661078623515364E-4</v>
      </c>
    </row>
    <row r="611" spans="1:3" x14ac:dyDescent="0.45">
      <c r="A611">
        <f ca="1">randcorrWithFeedback!D610</f>
        <v>0.16701269504970415</v>
      </c>
      <c r="B611">
        <f t="shared" ca="1" si="9"/>
        <v>208.42444910608319</v>
      </c>
      <c r="C611">
        <f ca="1">$E$10 - 0.5*MAX('HE2'!B610,0)/10000</f>
        <v>1.0382335894114585E-4</v>
      </c>
    </row>
    <row r="612" spans="1:3" x14ac:dyDescent="0.45">
      <c r="A612">
        <f ca="1">randcorrWithFeedback!D611</f>
        <v>-3.9394247595513174E-2</v>
      </c>
      <c r="B612">
        <f t="shared" ca="1" si="9"/>
        <v>208.36469118756472</v>
      </c>
      <c r="C612">
        <f ca="1">$E$10 - 0.5*MAX('HE2'!B611,0)/10000</f>
        <v>1.071887525455372E-4</v>
      </c>
    </row>
    <row r="613" spans="1:3" x14ac:dyDescent="0.45">
      <c r="A613">
        <f ca="1">randcorrWithFeedback!D612</f>
        <v>1.8793232049523472E-2</v>
      </c>
      <c r="B613">
        <f t="shared" ca="1" si="9"/>
        <v>208.42584746577054</v>
      </c>
      <c r="C613">
        <f ca="1">$E$10 - 0.5*MAX('HE2'!B612,0)/10000</f>
        <v>1.0553057260353421E-4</v>
      </c>
    </row>
    <row r="614" spans="1:3" x14ac:dyDescent="0.45">
      <c r="A614">
        <f ca="1">randcorrWithFeedback!D613</f>
        <v>-3.5521158978400129E-2</v>
      </c>
      <c r="B614">
        <f t="shared" ca="1" si="9"/>
        <v>208.37353464510943</v>
      </c>
      <c r="C614">
        <f ca="1">$E$10 - 0.5*MAX('HE2'!B613,0)/10000</f>
        <v>1.0419000395123858E-4</v>
      </c>
    </row>
    <row r="615" spans="1:3" x14ac:dyDescent="0.45">
      <c r="A615">
        <f ca="1">randcorrWithFeedback!D614</f>
        <v>0.25240898254410299</v>
      </c>
      <c r="B615">
        <f t="shared" ca="1" si="9"/>
        <v>208.92025804749161</v>
      </c>
      <c r="C615">
        <f ca="1">$E$10 - 0.5*MAX('HE2'!B614,0)/10000</f>
        <v>9.6240142456051445E-5</v>
      </c>
    </row>
    <row r="616" spans="1:3" x14ac:dyDescent="0.45">
      <c r="A616">
        <f ca="1">randcorrWithFeedback!D615</f>
        <v>0.16901567295843908</v>
      </c>
      <c r="B616">
        <f t="shared" ca="1" si="9"/>
        <v>209.29340566372386</v>
      </c>
      <c r="C616">
        <f ca="1">$E$10 - 0.5*MAX('HE2'!B615,0)/10000</f>
        <v>9.4326885519397221E-5</v>
      </c>
    </row>
    <row r="617" spans="1:3" x14ac:dyDescent="0.45">
      <c r="A617">
        <f ca="1">randcorrWithFeedback!D616</f>
        <v>0.41864612873484164</v>
      </c>
      <c r="B617">
        <f t="shared" ca="1" si="9"/>
        <v>210.19103140915587</v>
      </c>
      <c r="C617">
        <f ca="1">$E$10 - 0.5*MAX('HE2'!B616,0)/10000</f>
        <v>9.3206972758426559E-5</v>
      </c>
    </row>
    <row r="618" spans="1:3" x14ac:dyDescent="0.45">
      <c r="A618">
        <f ca="1">randcorrWithFeedback!D617</f>
        <v>1.2204527423917462</v>
      </c>
      <c r="B618">
        <f t="shared" ca="1" si="9"/>
        <v>212.78795950439266</v>
      </c>
      <c r="C618">
        <f ca="1">$E$10 - 0.5*MAX('HE2'!B617,0)/10000</f>
        <v>7.485657411681514E-5</v>
      </c>
    </row>
    <row r="619" spans="1:3" x14ac:dyDescent="0.45">
      <c r="A619">
        <f ca="1">randcorrWithFeedback!D618</f>
        <v>1.4173524197047276</v>
      </c>
      <c r="B619">
        <f t="shared" ca="1" si="9"/>
        <v>215.83537421910412</v>
      </c>
      <c r="C619">
        <f ca="1">$E$10 - 0.5*MAX('HE2'!B618,0)/10000</f>
        <v>4.6261914880447818E-5</v>
      </c>
    </row>
    <row r="620" spans="1:3" x14ac:dyDescent="0.45">
      <c r="A620">
        <f ca="1">randcorrWithFeedback!D619</f>
        <v>1.8991948703186616</v>
      </c>
      <c r="B620">
        <f t="shared" ca="1" si="9"/>
        <v>219.97811104309224</v>
      </c>
      <c r="C620">
        <f ca="1">$E$10 - 0.5*MAX('HE2'!B619,0)/10000</f>
        <v>2.0136738235694741E-5</v>
      </c>
    </row>
    <row r="621" spans="1:3" x14ac:dyDescent="0.45">
      <c r="A621">
        <f ca="1">randcorrWithFeedback!D620</f>
        <v>1.1886259511543544</v>
      </c>
      <c r="B621">
        <f t="shared" ca="1" si="9"/>
        <v>222.60923723709507</v>
      </c>
      <c r="C621">
        <f ca="1">$E$10 - 0.5*MAX('HE2'!B620,0)/10000</f>
        <v>3.6293472054208561E-6</v>
      </c>
    </row>
    <row r="622" spans="1:3" x14ac:dyDescent="0.45">
      <c r="A622">
        <f ca="1">randcorrWithFeedback!D621</f>
        <v>-1.9470991469660845E-2</v>
      </c>
      <c r="B622">
        <f t="shared" ca="1" si="9"/>
        <v>222.56694581930981</v>
      </c>
      <c r="C622">
        <f ca="1">$E$10 - 0.5*MAX('HE2'!B621,0)/10000</f>
        <v>4.7113499839583888E-6</v>
      </c>
    </row>
    <row r="623" spans="1:3" x14ac:dyDescent="0.45">
      <c r="A623">
        <f ca="1">randcorrWithFeedback!D622</f>
        <v>-1.016955395178833</v>
      </c>
      <c r="B623">
        <f t="shared" ca="1" si="9"/>
        <v>220.31862848809891</v>
      </c>
      <c r="C623">
        <f ca="1">$E$10 - 0.5*MAX('HE2'!B622,0)/10000</f>
        <v>1.6427384684310662E-5</v>
      </c>
    </row>
    <row r="624" spans="1:3" x14ac:dyDescent="0.45">
      <c r="A624">
        <f ca="1">randcorrWithFeedback!D623</f>
        <v>0.30409421096048256</v>
      </c>
      <c r="B624">
        <f t="shared" ca="1" si="9"/>
        <v>220.99399753950374</v>
      </c>
      <c r="C624">
        <f ca="1">$E$10 - 0.5*MAX('HE2'!B623,0)/10000</f>
        <v>1.9788713921361354E-5</v>
      </c>
    </row>
    <row r="625" spans="1:3" x14ac:dyDescent="0.45">
      <c r="A625">
        <f ca="1">randcorrWithFeedback!D624</f>
        <v>2.2141998103560181</v>
      </c>
      <c r="B625">
        <f t="shared" ca="1" si="9"/>
        <v>225.93922005915579</v>
      </c>
      <c r="C625">
        <f ca="1">$E$10 - 0.5*MAX('HE2'!B624,0)/10000</f>
        <v>-1.1513487040030129E-5</v>
      </c>
    </row>
    <row r="626" spans="1:3" x14ac:dyDescent="0.45">
      <c r="A626">
        <f ca="1">randcorrWithFeedback!D625</f>
        <v>0.97996379266196931</v>
      </c>
      <c r="B626">
        <f t="shared" ca="1" si="9"/>
        <v>228.15709813730055</v>
      </c>
      <c r="C626">
        <f ca="1">$E$10 - 0.5*MAX('HE2'!B625,0)/10000</f>
        <v>-3.1244634943724782E-5</v>
      </c>
    </row>
    <row r="627" spans="1:3" x14ac:dyDescent="0.45">
      <c r="A627">
        <f ca="1">randcorrWithFeedback!D626</f>
        <v>1.3104852648896028</v>
      </c>
      <c r="B627">
        <f t="shared" ca="1" si="9"/>
        <v>231.15737111026846</v>
      </c>
      <c r="C627">
        <f ca="1">$E$10 - 0.5*MAX('HE2'!B626,0)/10000</f>
        <v>-4.0532464254308117E-5</v>
      </c>
    </row>
    <row r="628" spans="1:3" x14ac:dyDescent="0.45">
      <c r="A628">
        <f ca="1">randcorrWithFeedback!D627</f>
        <v>-1.1105603682462082</v>
      </c>
      <c r="B628">
        <f t="shared" ca="1" si="9"/>
        <v>228.60425553243692</v>
      </c>
      <c r="C628">
        <f ca="1">$E$10 - 0.5*MAX('HE2'!B627,0)/10000</f>
        <v>-7.6828964264992862E-7</v>
      </c>
    </row>
    <row r="629" spans="1:3" x14ac:dyDescent="0.45">
      <c r="A629">
        <f ca="1">randcorrWithFeedback!D628</f>
        <v>-0.28033538609035663</v>
      </c>
      <c r="B629">
        <f t="shared" ca="1" si="9"/>
        <v>227.96117757471535</v>
      </c>
      <c r="C629">
        <f ca="1">$E$10 - 0.5*MAX('HE2'!B628,0)/10000</f>
        <v>-1.3672292891976596E-5</v>
      </c>
    </row>
    <row r="630" spans="1:3" x14ac:dyDescent="0.45">
      <c r="A630">
        <f ca="1">randcorrWithFeedback!D629</f>
        <v>-4.3236552646623574</v>
      </c>
      <c r="B630">
        <f t="shared" ca="1" si="9"/>
        <v>218.32272907817986</v>
      </c>
      <c r="C630">
        <f ca="1">$E$10 - 0.5*MAX('HE2'!B629,0)/10000</f>
        <v>3.5588665571176974E-5</v>
      </c>
    </row>
    <row r="631" spans="1:3" x14ac:dyDescent="0.45">
      <c r="A631">
        <f ca="1">randcorrWithFeedback!D630</f>
        <v>-0.6793283528870766</v>
      </c>
      <c r="B631">
        <f t="shared" ca="1" si="9"/>
        <v>216.85560744369107</v>
      </c>
      <c r="C631">
        <f ca="1">$E$10 - 0.5*MAX('HE2'!B630,0)/10000</f>
        <v>5.0635424830698085E-5</v>
      </c>
    </row>
    <row r="632" spans="1:3" x14ac:dyDescent="0.45">
      <c r="A632">
        <f ca="1">randcorrWithFeedback!D631</f>
        <v>1.367135925103161</v>
      </c>
      <c r="B632">
        <f t="shared" ca="1" si="9"/>
        <v>219.84935237141977</v>
      </c>
      <c r="C632">
        <f ca="1">$E$10 - 0.5*MAX('HE2'!B631,0)/10000</f>
        <v>3.9462020680347716E-5</v>
      </c>
    </row>
    <row r="633" spans="1:3" x14ac:dyDescent="0.45">
      <c r="A633">
        <f ca="1">randcorrWithFeedback!D632</f>
        <v>-1.2280484589430445</v>
      </c>
      <c r="B633">
        <f t="shared" ca="1" si="9"/>
        <v>217.17597721875501</v>
      </c>
      <c r="C633">
        <f ca="1">$E$10 - 0.5*MAX('HE2'!B632,0)/10000</f>
        <v>4.59145610254499E-5</v>
      </c>
    </row>
    <row r="634" spans="1:3" x14ac:dyDescent="0.45">
      <c r="A634">
        <f ca="1">randcorrWithFeedback!D633</f>
        <v>1.1806593597792894</v>
      </c>
      <c r="B634">
        <f t="shared" ca="1" si="9"/>
        <v>219.75824232540774</v>
      </c>
      <c r="C634">
        <f ca="1">$E$10 - 0.5*MAX('HE2'!B633,0)/10000</f>
        <v>1.3470182696180875E-5</v>
      </c>
    </row>
    <row r="635" spans="1:3" x14ac:dyDescent="0.45">
      <c r="A635">
        <f ca="1">randcorrWithFeedback!D634</f>
        <v>-1.7696905214550762</v>
      </c>
      <c r="B635">
        <f t="shared" ca="1" si="9"/>
        <v>215.90839005499708</v>
      </c>
      <c r="C635">
        <f ca="1">$E$10 - 0.5*MAX('HE2'!B634,0)/10000</f>
        <v>2.3059218779322347E-5</v>
      </c>
    </row>
    <row r="636" spans="1:3" x14ac:dyDescent="0.45">
      <c r="A636">
        <f ca="1">randcorrWithFeedback!D635</f>
        <v>-0.41442647641100133</v>
      </c>
      <c r="B636">
        <f t="shared" ca="1" si="9"/>
        <v>215.02129229916414</v>
      </c>
      <c r="C636">
        <f ca="1">$E$10 - 0.5*MAX('HE2'!B635,0)/10000</f>
        <v>2.7124333799200418E-5</v>
      </c>
    </row>
    <row r="637" spans="1:3" x14ac:dyDescent="0.45">
      <c r="A637">
        <f ca="1">randcorrWithFeedback!D636</f>
        <v>-1.4169867486612442</v>
      </c>
      <c r="B637">
        <f t="shared" ca="1" si="9"/>
        <v>212.00727499212869</v>
      </c>
      <c r="C637">
        <f ca="1">$E$10 - 0.5*MAX('HE2'!B636,0)/10000</f>
        <v>5.3400396725819219E-5</v>
      </c>
    </row>
    <row r="638" spans="1:3" x14ac:dyDescent="0.45">
      <c r="A638">
        <f ca="1">randcorrWithFeedback!D637</f>
        <v>0.1760931162814337</v>
      </c>
      <c r="B638">
        <f t="shared" ca="1" si="9"/>
        <v>212.39083735648373</v>
      </c>
      <c r="C638">
        <f ca="1">$E$10 - 0.5*MAX('HE2'!B637,0)/10000</f>
        <v>4.6628567675254048E-5</v>
      </c>
    </row>
    <row r="639" spans="1:3" x14ac:dyDescent="0.45">
      <c r="A639">
        <f ca="1">randcorrWithFeedback!D638</f>
        <v>-7.5334643204785987E-2</v>
      </c>
      <c r="B639">
        <f t="shared" ca="1" si="9"/>
        <v>212.24248676749076</v>
      </c>
      <c r="C639">
        <f ca="1">$E$10 - 0.5*MAX('HE2'!B638,0)/10000</f>
        <v>5.4623149627139992E-5</v>
      </c>
    </row>
    <row r="640" spans="1:3" x14ac:dyDescent="0.45">
      <c r="A640">
        <f ca="1">randcorrWithFeedback!D639</f>
        <v>-0.7405990538287085</v>
      </c>
      <c r="B640">
        <f t="shared" ca="1" si="9"/>
        <v>210.69118943198001</v>
      </c>
      <c r="C640">
        <f ca="1">$E$10 - 0.5*MAX('HE2'!B639,0)/10000</f>
        <v>7.0068242079238634E-5</v>
      </c>
    </row>
    <row r="641" spans="1:3" x14ac:dyDescent="0.45">
      <c r="A641">
        <f ca="1">randcorrWithFeedback!D640</f>
        <v>-2.4978596793012802</v>
      </c>
      <c r="B641">
        <f t="shared" ca="1" si="9"/>
        <v>205.51518973950147</v>
      </c>
      <c r="C641">
        <f ca="1">$E$10 - 0.5*MAX('HE2'!B640,0)/10000</f>
        <v>1.0503976925474882E-4</v>
      </c>
    </row>
    <row r="642" spans="1:3" x14ac:dyDescent="0.45">
      <c r="A642">
        <f ca="1">randcorrWithFeedback!D641</f>
        <v>-0.23049086705045871</v>
      </c>
      <c r="B642">
        <f t="shared" ca="1" si="9"/>
        <v>205.0640764449744</v>
      </c>
      <c r="C642">
        <f ca="1">$E$10 - 0.5*MAX('HE2'!B641,0)/10000</f>
        <v>1.0745978202786333E-4</v>
      </c>
    </row>
    <row r="643" spans="1:3" x14ac:dyDescent="0.45">
      <c r="A643">
        <f ca="1">randcorrWithFeedback!D642</f>
        <v>0</v>
      </c>
      <c r="B643">
        <f t="shared" ca="1" si="9"/>
        <v>205.08610493913559</v>
      </c>
      <c r="C643">
        <f ca="1">$E$10 - 0.5*MAX('HE2'!B642,0)/10000</f>
        <v>1.074167228601595E-4</v>
      </c>
    </row>
    <row r="644" spans="1:3" x14ac:dyDescent="0.45">
      <c r="A644">
        <f ca="1">randcorrWithFeedback!D643</f>
        <v>-4.9766699291601657E-2</v>
      </c>
      <c r="B644">
        <f t="shared" ref="B644:B707" ca="1" si="10">B643*EXP(C644+A644/100)</f>
        <v>205.00602276246465</v>
      </c>
      <c r="C644">
        <f ca="1">$E$10 - 0.5*MAX('HE2'!B643,0)/10000</f>
        <v>1.0710998253049833E-4</v>
      </c>
    </row>
    <row r="645" spans="1:3" x14ac:dyDescent="0.45">
      <c r="A645">
        <f ca="1">randcorrWithFeedback!D644</f>
        <v>7.7077725621325774E-3</v>
      </c>
      <c r="B645">
        <f t="shared" ca="1" si="10"/>
        <v>205.04357093067938</v>
      </c>
      <c r="C645">
        <f ca="1">$E$10 - 0.5*MAX('HE2'!B644,0)/10000</f>
        <v>1.060619184472262E-4</v>
      </c>
    </row>
    <row r="646" spans="1:3" x14ac:dyDescent="0.45">
      <c r="A646">
        <f ca="1">randcorrWithFeedback!D645</f>
        <v>6.6884512895357517E-2</v>
      </c>
      <c r="B646">
        <f t="shared" ca="1" si="10"/>
        <v>205.20249518586456</v>
      </c>
      <c r="C646">
        <f ca="1">$E$10 - 0.5*MAX('HE2'!B645,0)/10000</f>
        <v>1.0593018889148184E-4</v>
      </c>
    </row>
    <row r="647" spans="1:3" x14ac:dyDescent="0.45">
      <c r="A647">
        <f ca="1">randcorrWithFeedback!D646</f>
        <v>0.15090939928907104</v>
      </c>
      <c r="B647">
        <f t="shared" ca="1" si="10"/>
        <v>205.53413004811634</v>
      </c>
      <c r="C647">
        <f ca="1">$E$10 - 0.5*MAX('HE2'!B646,0)/10000</f>
        <v>1.0573611450098903E-4</v>
      </c>
    </row>
    <row r="648" spans="1:3" x14ac:dyDescent="0.45">
      <c r="A648">
        <f ca="1">randcorrWithFeedback!D647</f>
        <v>0.38438003577007268</v>
      </c>
      <c r="B648">
        <f t="shared" ca="1" si="10"/>
        <v>206.34617679330486</v>
      </c>
      <c r="C648">
        <f ca="1">$E$10 - 0.5*MAX('HE2'!B647,0)/10000</f>
        <v>9.9324787434038154E-5</v>
      </c>
    </row>
    <row r="649" spans="1:3" x14ac:dyDescent="0.45">
      <c r="A649">
        <f ca="1">randcorrWithFeedback!D648</f>
        <v>0.22215297808474879</v>
      </c>
      <c r="B649">
        <f t="shared" ca="1" si="10"/>
        <v>206.82569155530263</v>
      </c>
      <c r="C649">
        <f ca="1">$E$10 - 0.5*MAX('HE2'!B648,0)/10000</f>
        <v>9.9610713079128016E-5</v>
      </c>
    </row>
    <row r="650" spans="1:3" x14ac:dyDescent="0.45">
      <c r="A650">
        <f ca="1">randcorrWithFeedback!D649</f>
        <v>-0.42935605745121508</v>
      </c>
      <c r="B650">
        <f t="shared" ca="1" si="10"/>
        <v>205.96057039597969</v>
      </c>
      <c r="C650">
        <f ca="1">$E$10 - 0.5*MAX('HE2'!B649,0)/10000</f>
        <v>1.0193645459158541E-4</v>
      </c>
    </row>
    <row r="651" spans="1:3" x14ac:dyDescent="0.45">
      <c r="A651">
        <f ca="1">randcorrWithFeedback!D650</f>
        <v>-0.63138836341800031</v>
      </c>
      <c r="B651">
        <f t="shared" ca="1" si="10"/>
        <v>204.68625037489079</v>
      </c>
      <c r="C651">
        <f ca="1">$E$10 - 0.5*MAX('HE2'!B650,0)/10000</f>
        <v>1.0745978202786333E-4</v>
      </c>
    </row>
    <row r="652" spans="1:3" x14ac:dyDescent="0.45">
      <c r="A652">
        <f ca="1">randcorrWithFeedback!D651</f>
        <v>0</v>
      </c>
      <c r="B652">
        <f t="shared" ca="1" si="10"/>
        <v>204.70824709660047</v>
      </c>
      <c r="C652">
        <f ca="1">$E$10 - 0.5*MAX('HE2'!B651,0)/10000</f>
        <v>1.0745978202786333E-4</v>
      </c>
    </row>
    <row r="653" spans="1:3" x14ac:dyDescent="0.45">
      <c r="A653">
        <f ca="1">randcorrWithFeedback!D652</f>
        <v>0</v>
      </c>
      <c r="B653">
        <f t="shared" ca="1" si="10"/>
        <v>204.73024618220009</v>
      </c>
      <c r="C653">
        <f ca="1">$E$10 - 0.5*MAX('HE2'!B652,0)/10000</f>
        <v>1.0745978202786333E-4</v>
      </c>
    </row>
    <row r="654" spans="1:3" x14ac:dyDescent="0.45">
      <c r="A654">
        <f ca="1">randcorrWithFeedback!D653</f>
        <v>0</v>
      </c>
      <c r="B654">
        <f t="shared" ca="1" si="10"/>
        <v>204.75224763194367</v>
      </c>
      <c r="C654">
        <f ca="1">$E$10 - 0.5*MAX('HE2'!B653,0)/10000</f>
        <v>1.0745978202786333E-4</v>
      </c>
    </row>
    <row r="655" spans="1:3" x14ac:dyDescent="0.45">
      <c r="A655">
        <f ca="1">randcorrWithFeedback!D654</f>
        <v>0</v>
      </c>
      <c r="B655">
        <f t="shared" ca="1" si="10"/>
        <v>204.77395347901722</v>
      </c>
      <c r="C655">
        <f ca="1">$E$10 - 0.5*MAX('HE2'!B654,0)/10000</f>
        <v>1.0600468070158075E-4</v>
      </c>
    </row>
    <row r="656" spans="1:3" x14ac:dyDescent="0.45">
      <c r="A656">
        <f ca="1">randcorrWithFeedback!D655</f>
        <v>-0.10904777035852928</v>
      </c>
      <c r="B656">
        <f t="shared" ca="1" si="10"/>
        <v>204.57229200075685</v>
      </c>
      <c r="C656">
        <f ca="1">$E$10 - 0.5*MAX('HE2'!B655,0)/10000</f>
        <v>1.0519203502758826E-4</v>
      </c>
    </row>
    <row r="657" spans="1:3" x14ac:dyDescent="0.45">
      <c r="A657">
        <f ca="1">randcorrWithFeedback!D656</f>
        <v>-0.47692165606325504</v>
      </c>
      <c r="B657">
        <f t="shared" ca="1" si="10"/>
        <v>203.62084516175096</v>
      </c>
      <c r="C657">
        <f ca="1">$E$10 - 0.5*MAX('HE2'!B656,0)/10000</f>
        <v>1.0745978202786333E-4</v>
      </c>
    </row>
    <row r="658" spans="1:3" x14ac:dyDescent="0.45">
      <c r="A658">
        <f ca="1">randcorrWithFeedback!D657</f>
        <v>0</v>
      </c>
      <c r="B658">
        <f t="shared" ca="1" si="10"/>
        <v>203.64272738909702</v>
      </c>
      <c r="C658">
        <f ca="1">$E$10 - 0.5*MAX('HE2'!B657,0)/10000</f>
        <v>1.0745978202786333E-4</v>
      </c>
    </row>
    <row r="659" spans="1:3" x14ac:dyDescent="0.45">
      <c r="A659">
        <f ca="1">randcorrWithFeedback!D658</f>
        <v>0</v>
      </c>
      <c r="B659">
        <f t="shared" ca="1" si="10"/>
        <v>203.66446651365922</v>
      </c>
      <c r="C659">
        <f ca="1">$E$10 - 0.5*MAX('HE2'!B658,0)/10000</f>
        <v>1.0674559599371363E-4</v>
      </c>
    </row>
    <row r="660" spans="1:3" x14ac:dyDescent="0.45">
      <c r="A660">
        <f ca="1">randcorrWithFeedback!D659</f>
        <v>2.7046409758074919E-2</v>
      </c>
      <c r="B660">
        <f t="shared" ca="1" si="10"/>
        <v>203.74095534172554</v>
      </c>
      <c r="C660">
        <f ca="1">$E$10 - 0.5*MAX('HE2'!B659,0)/10000</f>
        <v>1.0502834734881133E-4</v>
      </c>
    </row>
    <row r="661" spans="1:3" x14ac:dyDescent="0.45">
      <c r="A661">
        <f ca="1">randcorrWithFeedback!D660</f>
        <v>0.26820576907411103</v>
      </c>
      <c r="B661">
        <f t="shared" ca="1" si="10"/>
        <v>204.30813242500977</v>
      </c>
      <c r="C661">
        <f ca="1">$E$10 - 0.5*MAX('HE2'!B660,0)/10000</f>
        <v>9.7889455595847301E-5</v>
      </c>
    </row>
    <row r="662" spans="1:3" x14ac:dyDescent="0.45">
      <c r="A662">
        <f ca="1">randcorrWithFeedback!D661</f>
        <v>-0.43499983957741534</v>
      </c>
      <c r="B662">
        <f t="shared" ca="1" si="10"/>
        <v>203.44210569616234</v>
      </c>
      <c r="C662">
        <f ca="1">$E$10 - 0.5*MAX('HE2'!B661,0)/10000</f>
        <v>1.0216258794775833E-4</v>
      </c>
    </row>
    <row r="663" spans="1:3" x14ac:dyDescent="0.45">
      <c r="A663">
        <f ca="1">randcorrWithFeedback!D662</f>
        <v>-0.10383426601081107</v>
      </c>
      <c r="B663">
        <f t="shared" ca="1" si="10"/>
        <v>203.25150958790888</v>
      </c>
      <c r="C663">
        <f ca="1">$E$10 - 0.5*MAX('HE2'!B662,0)/10000</f>
        <v>1.0104679391200479E-4</v>
      </c>
    </row>
    <row r="664" spans="1:3" x14ac:dyDescent="0.45">
      <c r="A664">
        <f ca="1">randcorrWithFeedback!D663</f>
        <v>-0.56402303527815245</v>
      </c>
      <c r="B664">
        <f t="shared" ca="1" si="10"/>
        <v>202.13007080968103</v>
      </c>
      <c r="C664">
        <f ca="1">$E$10 - 0.5*MAX('HE2'!B663,0)/10000</f>
        <v>1.0745978202786333E-4</v>
      </c>
    </row>
    <row r="665" spans="1:3" x14ac:dyDescent="0.45">
      <c r="A665">
        <f ca="1">randcorrWithFeedback!D664</f>
        <v>0</v>
      </c>
      <c r="B665">
        <f t="shared" ca="1" si="10"/>
        <v>202.15173851285755</v>
      </c>
      <c r="C665">
        <f ca="1">$E$10 - 0.5*MAX('HE2'!B664,0)/10000</f>
        <v>1.0719108650247688E-4</v>
      </c>
    </row>
    <row r="666" spans="1:3" x14ac:dyDescent="0.45">
      <c r="A666">
        <f ca="1">randcorrWithFeedback!D665</f>
        <v>3.7914085620241435E-2</v>
      </c>
      <c r="B666">
        <f t="shared" ca="1" si="10"/>
        <v>202.24968153199791</v>
      </c>
      <c r="C666">
        <f ca="1">$E$10 - 0.5*MAX('HE2'!B665,0)/10000</f>
        <v>1.0524429281374477E-4</v>
      </c>
    </row>
    <row r="667" spans="1:3" x14ac:dyDescent="0.45">
      <c r="A667">
        <f ca="1">randcorrWithFeedback!D666</f>
        <v>-0.25790601828386278</v>
      </c>
      <c r="B667">
        <f t="shared" ca="1" si="10"/>
        <v>201.7504183817193</v>
      </c>
      <c r="C667">
        <f ca="1">$E$10 - 0.5*MAX('HE2'!B666,0)/10000</f>
        <v>1.0745978202786333E-4</v>
      </c>
    </row>
    <row r="668" spans="1:3" x14ac:dyDescent="0.45">
      <c r="A668">
        <f ca="1">randcorrWithFeedback!D667</f>
        <v>0</v>
      </c>
      <c r="B668">
        <f t="shared" ca="1" si="10"/>
        <v>201.77182714693157</v>
      </c>
      <c r="C668">
        <f ca="1">$E$10 - 0.5*MAX('HE2'!B667,0)/10000</f>
        <v>1.0610946717106828E-4</v>
      </c>
    </row>
    <row r="669" spans="1:3" x14ac:dyDescent="0.45">
      <c r="A669">
        <f ca="1">randcorrWithFeedback!D668</f>
        <v>-8.6438897267112944E-2</v>
      </c>
      <c r="B669">
        <f t="shared" ca="1" si="10"/>
        <v>201.61915794829034</v>
      </c>
      <c r="C669">
        <f ca="1">$E$10 - 0.5*MAX('HE2'!B668,0)/10000</f>
        <v>1.0745978202786333E-4</v>
      </c>
    </row>
    <row r="670" spans="1:3" x14ac:dyDescent="0.45">
      <c r="A670">
        <f ca="1">randcorrWithFeedback!D669</f>
        <v>0</v>
      </c>
      <c r="B670">
        <f t="shared" ca="1" si="10"/>
        <v>201.64061349833446</v>
      </c>
      <c r="C670">
        <f ca="1">$E$10 - 0.5*MAX('HE2'!B669,0)/10000</f>
        <v>1.064105650181971E-4</v>
      </c>
    </row>
    <row r="671" spans="1:3" x14ac:dyDescent="0.45">
      <c r="A671">
        <f ca="1">randcorrWithFeedback!D670</f>
        <v>0.28845103962905161</v>
      </c>
      <c r="B671">
        <f t="shared" ca="1" si="10"/>
        <v>202.24388464057384</v>
      </c>
      <c r="C671">
        <f ca="1">$E$10 - 0.5*MAX('HE2'!B670,0)/10000</f>
        <v>1.0283669756435922E-4</v>
      </c>
    </row>
    <row r="672" spans="1:3" x14ac:dyDescent="0.45">
      <c r="A672">
        <f ca="1">randcorrWithFeedback!D671</f>
        <v>-6.0071008359873349E-2</v>
      </c>
      <c r="B672">
        <f t="shared" ca="1" si="10"/>
        <v>202.14361623258759</v>
      </c>
      <c r="C672">
        <f ca="1">$E$10 - 0.5*MAX('HE2'!B671,0)/10000</f>
        <v>1.0480746630926646E-4</v>
      </c>
    </row>
    <row r="673" spans="1:3" x14ac:dyDescent="0.45">
      <c r="A673">
        <f ca="1">randcorrWithFeedback!D672</f>
        <v>-0.11146125961935445</v>
      </c>
      <c r="B673">
        <f t="shared" ca="1" si="10"/>
        <v>201.93978349694106</v>
      </c>
      <c r="C673">
        <f ca="1">$E$10 - 0.5*MAX('HE2'!B672,0)/10000</f>
        <v>1.0574782683404142E-4</v>
      </c>
    </row>
    <row r="674" spans="1:3" x14ac:dyDescent="0.45">
      <c r="A674">
        <f ca="1">randcorrWithFeedback!D673</f>
        <v>-0.21245858943944154</v>
      </c>
      <c r="B674">
        <f t="shared" ca="1" si="10"/>
        <v>201.53285603650232</v>
      </c>
      <c r="C674">
        <f ca="1">$E$10 - 0.5*MAX('HE2'!B673,0)/10000</f>
        <v>1.0745978202786333E-4</v>
      </c>
    </row>
    <row r="675" spans="1:3" x14ac:dyDescent="0.45">
      <c r="A675">
        <f ca="1">randcorrWithFeedback!D674</f>
        <v>0</v>
      </c>
      <c r="B675">
        <f t="shared" ca="1" si="10"/>
        <v>201.55423922670539</v>
      </c>
      <c r="C675">
        <f ca="1">$E$10 - 0.5*MAX('HE2'!B674,0)/10000</f>
        <v>1.0609712131392772E-4</v>
      </c>
    </row>
    <row r="676" spans="1:3" x14ac:dyDescent="0.45">
      <c r="A676">
        <f ca="1">randcorrWithFeedback!D675</f>
        <v>-0.14495568806566952</v>
      </c>
      <c r="B676">
        <f t="shared" ca="1" si="10"/>
        <v>201.28357135221336</v>
      </c>
      <c r="C676">
        <f ca="1">$E$10 - 0.5*MAX('HE2'!B675,0)/10000</f>
        <v>1.0575097110514624E-4</v>
      </c>
    </row>
    <row r="677" spans="1:3" x14ac:dyDescent="0.45">
      <c r="A677">
        <f ca="1">randcorrWithFeedback!D676</f>
        <v>9.945083534275094E-2</v>
      </c>
      <c r="B677">
        <f t="shared" ca="1" si="10"/>
        <v>201.5040263687516</v>
      </c>
      <c r="C677">
        <f ca="1">$E$10 - 0.5*MAX('HE2'!B676,0)/10000</f>
        <v>1.0013825336474246E-4</v>
      </c>
    </row>
    <row r="678" spans="1:3" x14ac:dyDescent="0.45">
      <c r="A678">
        <f ca="1">randcorrWithFeedback!D677</f>
        <v>0.10572527245068988</v>
      </c>
      <c r="B678">
        <f t="shared" ca="1" si="10"/>
        <v>201.73662622599579</v>
      </c>
      <c r="C678">
        <f ca="1">$E$10 - 0.5*MAX('HE2'!B677,0)/10000</f>
        <v>9.6400219684332559E-5</v>
      </c>
    </row>
    <row r="679" spans="1:3" x14ac:dyDescent="0.45">
      <c r="A679">
        <f ca="1">randcorrWithFeedback!D678</f>
        <v>0.37295708004758471</v>
      </c>
      <c r="B679">
        <f t="shared" ca="1" si="10"/>
        <v>202.50989629629052</v>
      </c>
      <c r="C679">
        <f ca="1">$E$10 - 0.5*MAX('HE2'!B678,0)/10000</f>
        <v>9.6169040746951095E-5</v>
      </c>
    </row>
    <row r="680" spans="1:3" x14ac:dyDescent="0.45">
      <c r="A680">
        <f ca="1">randcorrWithFeedback!D679</f>
        <v>-0.48233938994327408</v>
      </c>
      <c r="B680">
        <f t="shared" ca="1" si="10"/>
        <v>201.55634418606539</v>
      </c>
      <c r="C680">
        <f ca="1">$E$10 - 0.5*MAX('HE2'!B679,0)/10000</f>
        <v>1.036039994904237E-4</v>
      </c>
    </row>
    <row r="681" spans="1:3" x14ac:dyDescent="0.45">
      <c r="A681">
        <f ca="1">randcorrWithFeedback!D680</f>
        <v>-7.7369260567450179E-2</v>
      </c>
      <c r="B681">
        <f t="shared" ca="1" si="10"/>
        <v>201.42118377878856</v>
      </c>
      <c r="C681">
        <f ca="1">$E$10 - 0.5*MAX('HE2'!B680,0)/10000</f>
        <v>1.0288392297813596E-4</v>
      </c>
    </row>
    <row r="682" spans="1:3" x14ac:dyDescent="0.45">
      <c r="A682">
        <f ca="1">randcorrWithFeedback!D681</f>
        <v>0.14665548306037229</v>
      </c>
      <c r="B682">
        <f t="shared" ca="1" si="10"/>
        <v>201.73672104058824</v>
      </c>
      <c r="C682">
        <f ca="1">$E$10 - 0.5*MAX('HE2'!B681,0)/10000</f>
        <v>9.877390266228579E-5</v>
      </c>
    </row>
    <row r="683" spans="1:3" x14ac:dyDescent="0.45">
      <c r="A683">
        <f ca="1">randcorrWithFeedback!D682</f>
        <v>0.3760670801730624</v>
      </c>
      <c r="B683">
        <f t="shared" ca="1" si="10"/>
        <v>202.5146882353032</v>
      </c>
      <c r="C683">
        <f ca="1">$E$10 - 0.5*MAX('HE2'!B682,0)/10000</f>
        <v>8.8261507630457242E-5</v>
      </c>
    </row>
    <row r="684" spans="1:3" x14ac:dyDescent="0.45">
      <c r="A684">
        <f ca="1">randcorrWithFeedback!D683</f>
        <v>-0.70287103551833707</v>
      </c>
      <c r="B684">
        <f t="shared" ca="1" si="10"/>
        <v>201.11478368932089</v>
      </c>
      <c r="C684">
        <f ca="1">$E$10 - 0.5*MAX('HE2'!B683,0)/10000</f>
        <v>9.2100139290619392E-5</v>
      </c>
    </row>
    <row r="685" spans="1:3" x14ac:dyDescent="0.45">
      <c r="A685">
        <f ca="1">randcorrWithFeedback!D684</f>
        <v>-0.20884777751216385</v>
      </c>
      <c r="B685">
        <f t="shared" ca="1" si="10"/>
        <v>200.71591449274223</v>
      </c>
      <c r="C685">
        <f ca="1">$E$10 - 0.5*MAX('HE2'!B684,0)/10000</f>
        <v>1.0321716966217733E-4</v>
      </c>
    </row>
    <row r="686" spans="1:3" x14ac:dyDescent="0.45">
      <c r="A686">
        <f ca="1">randcorrWithFeedback!D685</f>
        <v>5.712629206803007E-2</v>
      </c>
      <c r="B686">
        <f t="shared" ca="1" si="10"/>
        <v>200.85151195463152</v>
      </c>
      <c r="C686">
        <f ca="1">$E$10 - 0.5*MAX('HE2'!B685,0)/10000</f>
        <v>1.0407804630301225E-4</v>
      </c>
    </row>
    <row r="687" spans="1:3" x14ac:dyDescent="0.45">
      <c r="A687">
        <f ca="1">randcorrWithFeedback!D686</f>
        <v>-0.11383025737036821</v>
      </c>
      <c r="B687">
        <f t="shared" ca="1" si="10"/>
        <v>200.64381796958745</v>
      </c>
      <c r="C687">
        <f ca="1">$E$10 - 0.5*MAX('HE2'!B686,0)/10000</f>
        <v>1.0370023544178959E-4</v>
      </c>
    </row>
    <row r="688" spans="1:3" x14ac:dyDescent="0.45">
      <c r="A688">
        <f ca="1">randcorrWithFeedback!D687</f>
        <v>-0.17540211783400517</v>
      </c>
      <c r="B688">
        <f t="shared" ca="1" si="10"/>
        <v>200.31240662480494</v>
      </c>
      <c r="C688">
        <f ca="1">$E$10 - 0.5*MAX('HE2'!B687,0)/10000</f>
        <v>1.0091592681299905E-4</v>
      </c>
    </row>
    <row r="689" spans="1:3" x14ac:dyDescent="0.45">
      <c r="A689">
        <f ca="1">randcorrWithFeedback!D688</f>
        <v>0.58066394128308185</v>
      </c>
      <c r="B689">
        <f t="shared" ca="1" si="10"/>
        <v>201.49736534438034</v>
      </c>
      <c r="C689">
        <f ca="1">$E$10 - 0.5*MAX('HE2'!B688,0)/10000</f>
        <v>9.1485707171444486E-5</v>
      </c>
    </row>
    <row r="690" spans="1:3" x14ac:dyDescent="0.45">
      <c r="A690">
        <f ca="1">randcorrWithFeedback!D689</f>
        <v>-0.36450992792867704</v>
      </c>
      <c r="B690">
        <f t="shared" ca="1" si="10"/>
        <v>200.78354542783867</v>
      </c>
      <c r="C690">
        <f ca="1">$E$10 - 0.5*MAX('HE2'!B689,0)/10000</f>
        <v>9.623257143171798E-5</v>
      </c>
    </row>
    <row r="691" spans="1:3" x14ac:dyDescent="0.45">
      <c r="A691">
        <f ca="1">randcorrWithFeedback!D690</f>
        <v>0.21057526079451175</v>
      </c>
      <c r="B691">
        <f t="shared" ca="1" si="10"/>
        <v>201.22439134635732</v>
      </c>
      <c r="C691">
        <f ca="1">$E$10 - 0.5*MAX('HE2'!B690,0)/10000</f>
        <v>8.7468246199275834E-5</v>
      </c>
    </row>
    <row r="692" spans="1:3" x14ac:dyDescent="0.45">
      <c r="A692">
        <f ca="1">randcorrWithFeedback!D691</f>
        <v>-0.55907362177598841</v>
      </c>
      <c r="B692">
        <f t="shared" ca="1" si="10"/>
        <v>200.12013616198578</v>
      </c>
      <c r="C692">
        <f ca="1">$E$10 - 0.5*MAX('HE2'!B691,0)/10000</f>
        <v>8.7943005668298386E-5</v>
      </c>
    </row>
    <row r="693" spans="1:3" x14ac:dyDescent="0.45">
      <c r="A693">
        <f ca="1">randcorrWithFeedback!D692</f>
        <v>0.21467602770286145</v>
      </c>
      <c r="B693">
        <f t="shared" ca="1" si="10"/>
        <v>200.56602089261673</v>
      </c>
      <c r="C693">
        <f ca="1">$E$10 - 0.5*MAX('HE2'!B692,0)/10000</f>
        <v>7.8846506892335313E-5</v>
      </c>
    </row>
    <row r="694" spans="1:3" x14ac:dyDescent="0.45">
      <c r="A694">
        <f ca="1">randcorrWithFeedback!D693</f>
        <v>-0.43004902835390102</v>
      </c>
      <c r="B694">
        <f t="shared" ca="1" si="10"/>
        <v>199.72251847097269</v>
      </c>
      <c r="C694">
        <f ca="1">$E$10 - 0.5*MAX('HE2'!B693,0)/10000</f>
        <v>8.6012039936396152E-5</v>
      </c>
    </row>
    <row r="695" spans="1:3" x14ac:dyDescent="0.45">
      <c r="A695">
        <f ca="1">randcorrWithFeedback!D694</f>
        <v>-0.22311459460582436</v>
      </c>
      <c r="B695">
        <f t="shared" ca="1" si="10"/>
        <v>199.2941076083585</v>
      </c>
      <c r="C695">
        <f ca="1">$E$10 - 0.5*MAX('HE2'!B694,0)/10000</f>
        <v>8.381172872439768E-5</v>
      </c>
    </row>
    <row r="696" spans="1:3" x14ac:dyDescent="0.45">
      <c r="A696">
        <f ca="1">randcorrWithFeedback!D695</f>
        <v>-0.20859863266308665</v>
      </c>
      <c r="B696">
        <f t="shared" ca="1" si="10"/>
        <v>198.89414728102051</v>
      </c>
      <c r="C696">
        <f ca="1">$E$10 - 0.5*MAX('HE2'!B695,0)/10000</f>
        <v>7.7084974386928018E-5</v>
      </c>
    </row>
    <row r="697" spans="1:3" x14ac:dyDescent="0.45">
      <c r="A697">
        <f ca="1">randcorrWithFeedback!D696</f>
        <v>-1.3012845658340224</v>
      </c>
      <c r="B697">
        <f t="shared" ca="1" si="10"/>
        <v>196.34227419570232</v>
      </c>
      <c r="C697">
        <f ca="1">$E$10 - 0.5*MAX('HE2'!B696,0)/10000</f>
        <v>9.9518809863825732E-5</v>
      </c>
    </row>
    <row r="698" spans="1:3" x14ac:dyDescent="0.45">
      <c r="A698">
        <f ca="1">randcorrWithFeedback!D697</f>
        <v>-8.7532607607066562E-2</v>
      </c>
      <c r="B698">
        <f t="shared" ca="1" si="10"/>
        <v>196.18826580004733</v>
      </c>
      <c r="C698">
        <f ca="1">$E$10 - 0.5*MAX('HE2'!B697,0)/10000</f>
        <v>9.0630935869963426E-5</v>
      </c>
    </row>
    <row r="699" spans="1:3" x14ac:dyDescent="0.45">
      <c r="A699">
        <f ca="1">randcorrWithFeedback!D698</f>
        <v>0.51920566487827047</v>
      </c>
      <c r="B699">
        <f t="shared" ca="1" si="10"/>
        <v>197.2262988328433</v>
      </c>
      <c r="C699">
        <f ca="1">$E$10 - 0.5*MAX('HE2'!B698,0)/10000</f>
        <v>8.4999845725946215E-5</v>
      </c>
    </row>
    <row r="700" spans="1:3" x14ac:dyDescent="0.45">
      <c r="A700">
        <f ca="1">randcorrWithFeedback!D699</f>
        <v>1.3883912633298763</v>
      </c>
      <c r="B700">
        <f t="shared" ca="1" si="10"/>
        <v>199.99744261109257</v>
      </c>
      <c r="C700">
        <f ca="1">$E$10 - 0.5*MAX('HE2'!B699,0)/10000</f>
        <v>6.8872390414117702E-5</v>
      </c>
    </row>
    <row r="701" spans="1:3" x14ac:dyDescent="0.45">
      <c r="A701">
        <f ca="1">randcorrWithFeedback!D700</f>
        <v>-0.30719173081883228</v>
      </c>
      <c r="B701">
        <f t="shared" ca="1" si="10"/>
        <v>199.39810055437434</v>
      </c>
      <c r="C701">
        <f ca="1">$E$10 - 0.5*MAX('HE2'!B700,0)/10000</f>
        <v>7.0669463264735991E-5</v>
      </c>
    </row>
    <row r="702" spans="1:3" x14ac:dyDescent="0.45">
      <c r="A702">
        <f ca="1">randcorrWithFeedback!D701</f>
        <v>-0.29323629903332921</v>
      </c>
      <c r="B702">
        <f t="shared" ca="1" si="10"/>
        <v>198.83080471007028</v>
      </c>
      <c r="C702">
        <f ca="1">$E$10 - 0.5*MAX('HE2'!B701,0)/10000</f>
        <v>8.3266801938038245E-5</v>
      </c>
    </row>
    <row r="703" spans="1:3" x14ac:dyDescent="0.45">
      <c r="A703">
        <f ca="1">randcorrWithFeedback!D702</f>
        <v>0.1116543780782662</v>
      </c>
      <c r="B703">
        <f t="shared" ca="1" si="10"/>
        <v>199.06789628164975</v>
      </c>
      <c r="C703">
        <f ca="1">$E$10 - 0.5*MAX('HE2'!B702,0)/10000</f>
        <v>7.5174609089913199E-5</v>
      </c>
    </row>
    <row r="704" spans="1:3" x14ac:dyDescent="0.45">
      <c r="A704">
        <f ca="1">randcorrWithFeedback!D703</f>
        <v>-1.6383915619539622</v>
      </c>
      <c r="B704">
        <f t="shared" ca="1" si="10"/>
        <v>195.8505073716764</v>
      </c>
      <c r="C704">
        <f ca="1">$E$10 - 0.5*MAX('HE2'!B703,0)/10000</f>
        <v>8.9612463339305991E-5</v>
      </c>
    </row>
    <row r="705" spans="1:3" x14ac:dyDescent="0.45">
      <c r="A705">
        <f ca="1">randcorrWithFeedback!D704</f>
        <v>-5.2289036014333774E-2</v>
      </c>
      <c r="B705">
        <f t="shared" ca="1" si="10"/>
        <v>195.76430758582583</v>
      </c>
      <c r="C705">
        <f ca="1">$E$10 - 0.5*MAX('HE2'!B704,0)/10000</f>
        <v>8.2662953261089574E-5</v>
      </c>
    </row>
    <row r="706" spans="1:3" x14ac:dyDescent="0.45">
      <c r="A706">
        <f ca="1">randcorrWithFeedback!D705</f>
        <v>-0.5287698464662457</v>
      </c>
      <c r="B706">
        <f t="shared" ca="1" si="10"/>
        <v>194.74793614797954</v>
      </c>
      <c r="C706">
        <f ca="1">$E$10 - 0.5*MAX('HE2'!B705,0)/10000</f>
        <v>8.2362401169255362E-5</v>
      </c>
    </row>
    <row r="707" spans="1:3" x14ac:dyDescent="0.45">
      <c r="A707">
        <f ca="1">randcorrWithFeedback!D706</f>
        <v>-0.93818094661493057</v>
      </c>
      <c r="B707">
        <f t="shared" ca="1" si="10"/>
        <v>192.94665000768751</v>
      </c>
      <c r="C707">
        <f ca="1">$E$10 - 0.5*MAX('HE2'!B706,0)/10000</f>
        <v>8.944807629074911E-5</v>
      </c>
    </row>
    <row r="708" spans="1:3" x14ac:dyDescent="0.45">
      <c r="A708">
        <f ca="1">randcorrWithFeedback!D707</f>
        <v>1.8260130800230163E-2</v>
      </c>
      <c r="B708">
        <f t="shared" ref="B708:B771" ca="1" si="11">B707*EXP(C708+A708/100)</f>
        <v>192.99960524225628</v>
      </c>
      <c r="C708">
        <f ca="1">$E$10 - 0.5*MAX('HE2'!B707,0)/10000</f>
        <v>9.1816356015711516E-5</v>
      </c>
    </row>
    <row r="709" spans="1:3" x14ac:dyDescent="0.45">
      <c r="A709">
        <f ca="1">randcorrWithFeedback!D708</f>
        <v>-0.11486118886292354</v>
      </c>
      <c r="B709">
        <f t="shared" ca="1" si="11"/>
        <v>192.79646430592078</v>
      </c>
      <c r="C709">
        <f ca="1">$E$10 - 0.5*MAX('HE2'!B708,0)/10000</f>
        <v>9.5511708799228323E-5</v>
      </c>
    </row>
    <row r="710" spans="1:3" x14ac:dyDescent="0.45">
      <c r="A710">
        <f ca="1">randcorrWithFeedback!D709</f>
        <v>0.70537356635574866</v>
      </c>
      <c r="B710">
        <f t="shared" ca="1" si="11"/>
        <v>194.17876971769851</v>
      </c>
      <c r="C710">
        <f ca="1">$E$10 - 0.5*MAX('HE2'!B709,0)/10000</f>
        <v>9.0449129530462556E-5</v>
      </c>
    </row>
    <row r="711" spans="1:3" x14ac:dyDescent="0.45">
      <c r="A711">
        <f ca="1">randcorrWithFeedback!D710</f>
        <v>0.52885348562581369</v>
      </c>
      <c r="B711">
        <f t="shared" ca="1" si="11"/>
        <v>195.22402239278838</v>
      </c>
      <c r="C711">
        <f ca="1">$E$10 - 0.5*MAX('HE2'!B710,0)/10000</f>
        <v>7.9968948476543837E-5</v>
      </c>
    </row>
    <row r="712" spans="1:3" x14ac:dyDescent="0.45">
      <c r="A712">
        <f ca="1">randcorrWithFeedback!D711</f>
        <v>0.46424202998327108</v>
      </c>
      <c r="B712">
        <f t="shared" ca="1" si="11"/>
        <v>196.14707010158173</v>
      </c>
      <c r="C712">
        <f ca="1">$E$10 - 0.5*MAX('HE2'!B711,0)/10000</f>
        <v>7.4583270377106392E-5</v>
      </c>
    </row>
    <row r="713" spans="1:3" x14ac:dyDescent="0.45">
      <c r="A713">
        <f ca="1">randcorrWithFeedback!D712</f>
        <v>-4.7300860595161219E-2</v>
      </c>
      <c r="B713">
        <f t="shared" ca="1" si="11"/>
        <v>196.06793760547006</v>
      </c>
      <c r="C713">
        <f ca="1">$E$10 - 0.5*MAX('HE2'!B712,0)/10000</f>
        <v>6.9492699469556567E-5</v>
      </c>
    </row>
    <row r="714" spans="1:3" x14ac:dyDescent="0.45">
      <c r="A714">
        <f ca="1">randcorrWithFeedback!D713</f>
        <v>-0.80960314127554578</v>
      </c>
      <c r="B714">
        <f t="shared" ca="1" si="11"/>
        <v>194.5013543640419</v>
      </c>
      <c r="C714">
        <f ca="1">$E$10 - 0.5*MAX('HE2'!B713,0)/10000</f>
        <v>7.3938150678495623E-5</v>
      </c>
    </row>
    <row r="715" spans="1:3" x14ac:dyDescent="0.45">
      <c r="A715">
        <f ca="1">randcorrWithFeedback!D714</f>
        <v>0.24290503696035057</v>
      </c>
      <c r="B715">
        <f t="shared" ca="1" si="11"/>
        <v>194.9892755324681</v>
      </c>
      <c r="C715">
        <f ca="1">$E$10 - 0.5*MAX('HE2'!B714,0)/10000</f>
        <v>7.6383066816952352E-5</v>
      </c>
    </row>
    <row r="716" spans="1:3" x14ac:dyDescent="0.45">
      <c r="A716">
        <f ca="1">randcorrWithFeedback!D715</f>
        <v>-0.37507923486970918</v>
      </c>
      <c r="B716">
        <f t="shared" ca="1" si="11"/>
        <v>194.27541815130834</v>
      </c>
      <c r="C716">
        <f ca="1">$E$10 - 0.5*MAX('HE2'!B715,0)/10000</f>
        <v>8.3066027817401249E-5</v>
      </c>
    </row>
    <row r="717" spans="1:3" x14ac:dyDescent="0.45">
      <c r="A717">
        <f ca="1">randcorrWithFeedback!D716</f>
        <v>-0.73101308530499121</v>
      </c>
      <c r="B717">
        <f t="shared" ca="1" si="11"/>
        <v>192.877459745621</v>
      </c>
      <c r="C717">
        <f ca="1">$E$10 - 0.5*MAX('HE2'!B716,0)/10000</f>
        <v>8.8361049702651598E-5</v>
      </c>
    </row>
    <row r="718" spans="1:3" x14ac:dyDescent="0.45">
      <c r="A718">
        <f ca="1">randcorrWithFeedback!D717</f>
        <v>1.2142983479942937</v>
      </c>
      <c r="B718">
        <f t="shared" ca="1" si="11"/>
        <v>195.24798184394658</v>
      </c>
      <c r="C718">
        <f ca="1">$E$10 - 0.5*MAX('HE2'!B717,0)/10000</f>
        <v>7.2405262113840556E-5</v>
      </c>
    </row>
    <row r="719" spans="1:3" x14ac:dyDescent="0.45">
      <c r="A719">
        <f ca="1">randcorrWithFeedback!D718</f>
        <v>-0.64328874027214744</v>
      </c>
      <c r="B719">
        <f t="shared" ca="1" si="11"/>
        <v>194.01215501475133</v>
      </c>
      <c r="C719">
        <f ca="1">$E$10 - 0.5*MAX('HE2'!B718,0)/10000</f>
        <v>8.3246818761048037E-5</v>
      </c>
    </row>
    <row r="720" spans="1:3" x14ac:dyDescent="0.45">
      <c r="A720">
        <f ca="1">randcorrWithFeedback!D719</f>
        <v>-0.71390690871060813</v>
      </c>
      <c r="B720">
        <f t="shared" ca="1" si="11"/>
        <v>192.64841971359431</v>
      </c>
      <c r="C720">
        <f ca="1">$E$10 - 0.5*MAX('HE2'!B719,0)/10000</f>
        <v>8.5125421643618087E-5</v>
      </c>
    </row>
    <row r="721" spans="1:3" x14ac:dyDescent="0.45">
      <c r="A721">
        <f ca="1">randcorrWithFeedback!D720</f>
        <v>0.11144442044445679</v>
      </c>
      <c r="B721">
        <f t="shared" ca="1" si="11"/>
        <v>192.88045575371387</v>
      </c>
      <c r="C721">
        <f ca="1">$E$10 - 0.5*MAX('HE2'!B720,0)/10000</f>
        <v>8.9284402684705142E-5</v>
      </c>
    </row>
    <row r="722" spans="1:3" x14ac:dyDescent="0.45">
      <c r="A722">
        <f ca="1">randcorrWithFeedback!D721</f>
        <v>0.55829411668809081</v>
      </c>
      <c r="B722">
        <f t="shared" ca="1" si="11"/>
        <v>193.97455436024862</v>
      </c>
      <c r="C722">
        <f ca="1">$E$10 - 0.5*MAX('HE2'!B721,0)/10000</f>
        <v>7.3449444831406608E-5</v>
      </c>
    </row>
    <row r="723" spans="1:3" x14ac:dyDescent="0.45">
      <c r="A723">
        <f ca="1">randcorrWithFeedback!D722</f>
        <v>-0.40248420748394048</v>
      </c>
      <c r="B723">
        <f t="shared" ca="1" si="11"/>
        <v>193.20809015579263</v>
      </c>
      <c r="C723">
        <f ca="1">$E$10 - 0.5*MAX('HE2'!B722,0)/10000</f>
        <v>6.5650119732734357E-5</v>
      </c>
    </row>
    <row r="724" spans="1:3" x14ac:dyDescent="0.45">
      <c r="A724">
        <f ca="1">randcorrWithFeedback!D723</f>
        <v>-0.62272234071577381</v>
      </c>
      <c r="B724">
        <f t="shared" ca="1" si="11"/>
        <v>192.02230420407054</v>
      </c>
      <c r="C724">
        <f ca="1">$E$10 - 0.5*MAX('HE2'!B723,0)/10000</f>
        <v>7.0961003436161051E-5</v>
      </c>
    </row>
    <row r="725" spans="1:3" x14ac:dyDescent="0.45">
      <c r="A725">
        <f ca="1">randcorrWithFeedback!D724</f>
        <v>-0.55762759278146212</v>
      </c>
      <c r="B725">
        <f t="shared" ca="1" si="11"/>
        <v>190.96629089700878</v>
      </c>
      <c r="C725">
        <f ca="1">$E$10 - 0.5*MAX('HE2'!B724,0)/10000</f>
        <v>6.1667938118524138E-5</v>
      </c>
    </row>
    <row r="726" spans="1:3" x14ac:dyDescent="0.45">
      <c r="A726">
        <f ca="1">randcorrWithFeedback!D725</f>
        <v>0.24286156088233884</v>
      </c>
      <c r="B726">
        <f t="shared" ca="1" si="11"/>
        <v>191.44218156052028</v>
      </c>
      <c r="C726">
        <f ca="1">$E$10 - 0.5*MAX('HE2'!B725,0)/10000</f>
        <v>6.0298437037289534E-5</v>
      </c>
    </row>
    <row r="727" spans="1:3" x14ac:dyDescent="0.45">
      <c r="A727">
        <f ca="1">randcorrWithFeedback!D726</f>
        <v>-0.23597914932447553</v>
      </c>
      <c r="B727">
        <f t="shared" ca="1" si="11"/>
        <v>191.00293394081817</v>
      </c>
      <c r="C727">
        <f ca="1">$E$10 - 0.5*MAX('HE2'!B726,0)/10000</f>
        <v>6.2741302056330538E-5</v>
      </c>
    </row>
    <row r="728" spans="1:3" x14ac:dyDescent="0.45">
      <c r="A728">
        <f ca="1">randcorrWithFeedback!D727</f>
        <v>-0.79732337394973762</v>
      </c>
      <c r="B728">
        <f t="shared" ca="1" si="11"/>
        <v>189.50118984533651</v>
      </c>
      <c r="C728">
        <f ca="1">$E$10 - 0.5*MAX('HE2'!B727,0)/10000</f>
        <v>7.9748234133860597E-5</v>
      </c>
    </row>
    <row r="729" spans="1:3" x14ac:dyDescent="0.45">
      <c r="A729">
        <f ca="1">randcorrWithFeedback!D728</f>
        <v>-0.89900975924408388</v>
      </c>
      <c r="B729">
        <f t="shared" ca="1" si="11"/>
        <v>187.82198347241953</v>
      </c>
      <c r="C729">
        <f ca="1">$E$10 - 0.5*MAX('HE2'!B728,0)/10000</f>
        <v>8.9412039490276125E-5</v>
      </c>
    </row>
    <row r="730" spans="1:3" x14ac:dyDescent="0.45">
      <c r="A730">
        <f ca="1">randcorrWithFeedback!D729</f>
        <v>-0.33443959376482346</v>
      </c>
      <c r="B730">
        <f t="shared" ca="1" si="11"/>
        <v>187.21324634267651</v>
      </c>
      <c r="C730">
        <f ca="1">$E$10 - 0.5*MAX('HE2'!B729,0)/10000</f>
        <v>9.8100038258244337E-5</v>
      </c>
    </row>
    <row r="731" spans="1:3" x14ac:dyDescent="0.45">
      <c r="A731">
        <f ca="1">randcorrWithFeedback!D730</f>
        <v>0.30638810683608259</v>
      </c>
      <c r="B731">
        <f t="shared" ca="1" si="11"/>
        <v>187.80592744259718</v>
      </c>
      <c r="C731">
        <f ca="1">$E$10 - 0.5*MAX('HE2'!B730,0)/10000</f>
        <v>9.6925817217451748E-5</v>
      </c>
    </row>
    <row r="732" spans="1:3" x14ac:dyDescent="0.45">
      <c r="A732">
        <f ca="1">randcorrWithFeedback!D731</f>
        <v>-0.82732338051157206</v>
      </c>
      <c r="B732">
        <f t="shared" ca="1" si="11"/>
        <v>186.27838297422841</v>
      </c>
      <c r="C732">
        <f ca="1">$E$10 - 0.5*MAX('HE2'!B731,0)/10000</f>
        <v>1.0634245905231987E-4</v>
      </c>
    </row>
    <row r="733" spans="1:3" x14ac:dyDescent="0.45">
      <c r="A733">
        <f ca="1">randcorrWithFeedback!D732</f>
        <v>-3.8451182762595237E-2</v>
      </c>
      <c r="B733">
        <f t="shared" ca="1" si="11"/>
        <v>186.22623265204805</v>
      </c>
      <c r="C733">
        <f ca="1">$E$10 - 0.5*MAX('HE2'!B732,0)/10000</f>
        <v>1.045135654117039E-4</v>
      </c>
    </row>
    <row r="734" spans="1:3" x14ac:dyDescent="0.45">
      <c r="A734">
        <f ca="1">randcorrWithFeedback!D733</f>
        <v>-0.16083694976472893</v>
      </c>
      <c r="B734">
        <f t="shared" ca="1" si="11"/>
        <v>185.94614888681483</v>
      </c>
      <c r="C734">
        <f ca="1">$E$10 - 0.5*MAX('HE2'!B733,0)/10000</f>
        <v>1.0323998239074647E-4</v>
      </c>
    </row>
    <row r="735" spans="1:3" x14ac:dyDescent="0.45">
      <c r="A735">
        <f ca="1">randcorrWithFeedback!D734</f>
        <v>-0.11194956274602015</v>
      </c>
      <c r="B735">
        <f t="shared" ca="1" si="11"/>
        <v>185.75716974478061</v>
      </c>
      <c r="C735">
        <f ca="1">$E$10 - 0.5*MAX('HE2'!B734,0)/10000</f>
        <v>1.0266769591154958E-4</v>
      </c>
    </row>
    <row r="736" spans="1:3" x14ac:dyDescent="0.45">
      <c r="A736">
        <f ca="1">randcorrWithFeedback!D735</f>
        <v>-1.1989802949378811E-2</v>
      </c>
      <c r="B736">
        <f t="shared" ca="1" si="11"/>
        <v>185.75455235106938</v>
      </c>
      <c r="C736">
        <f ca="1">$E$10 - 0.5*MAX('HE2'!B735,0)/10000</f>
        <v>1.0580752544984676E-4</v>
      </c>
    </row>
    <row r="737" spans="1:3" x14ac:dyDescent="0.45">
      <c r="A737">
        <f ca="1">randcorrWithFeedback!D736</f>
        <v>-1.0451261189059756E-2</v>
      </c>
      <c r="B737">
        <f t="shared" ca="1" si="11"/>
        <v>185.75434643102292</v>
      </c>
      <c r="C737">
        <f ca="1">$E$10 - 0.5*MAX('HE2'!B736,0)/10000</f>
        <v>1.034040513844003E-4</v>
      </c>
    </row>
    <row r="738" spans="1:3" x14ac:dyDescent="0.45">
      <c r="A738">
        <f ca="1">randcorrWithFeedback!D737</f>
        <v>-0.26667860161353446</v>
      </c>
      <c r="B738">
        <f t="shared" ca="1" si="11"/>
        <v>185.27912891207896</v>
      </c>
      <c r="C738">
        <f ca="1">$E$10 - 0.5*MAX('HE2'!B737,0)/10000</f>
        <v>1.0519623850635451E-4</v>
      </c>
    </row>
    <row r="739" spans="1:3" x14ac:dyDescent="0.45">
      <c r="A739">
        <f ca="1">randcorrWithFeedback!D738</f>
        <v>0.12475451673925478</v>
      </c>
      <c r="B739">
        <f t="shared" ca="1" si="11"/>
        <v>185.52942299973543</v>
      </c>
      <c r="C739">
        <f ca="1">$E$10 - 0.5*MAX('HE2'!B738,0)/10000</f>
        <v>1.0244595001249024E-4</v>
      </c>
    </row>
    <row r="740" spans="1:3" x14ac:dyDescent="0.45">
      <c r="A740">
        <f ca="1">randcorrWithFeedback!D739</f>
        <v>-0.15385878258960692</v>
      </c>
      <c r="B740">
        <f t="shared" ca="1" si="11"/>
        <v>185.26352677697804</v>
      </c>
      <c r="C740">
        <f ca="1">$E$10 - 0.5*MAX('HE2'!B739,0)/10000</f>
        <v>1.043843519885987E-4</v>
      </c>
    </row>
    <row r="741" spans="1:3" x14ac:dyDescent="0.45">
      <c r="A741">
        <f ca="1">randcorrWithFeedback!D740</f>
        <v>-0.15044916949364726</v>
      </c>
      <c r="B741">
        <f t="shared" ca="1" si="11"/>
        <v>185.00460029579179</v>
      </c>
      <c r="C741">
        <f ca="1">$E$10 - 0.5*MAX('HE2'!B740,0)/10000</f>
        <v>1.0590237838154625E-4</v>
      </c>
    </row>
    <row r="742" spans="1:3" x14ac:dyDescent="0.45">
      <c r="A742">
        <f ca="1">randcorrWithFeedback!D741</f>
        <v>-0.20569303902149957</v>
      </c>
      <c r="B742">
        <f t="shared" ca="1" si="11"/>
        <v>184.64408534743862</v>
      </c>
      <c r="C742">
        <f ca="1">$E$10 - 0.5*MAX('HE2'!B741,0)/10000</f>
        <v>1.0634824743144006E-4</v>
      </c>
    </row>
    <row r="743" spans="1:3" x14ac:dyDescent="0.45">
      <c r="A743">
        <f ca="1">randcorrWithFeedback!D742</f>
        <v>-0.20530708799145952</v>
      </c>
      <c r="B743">
        <f t="shared" ca="1" si="11"/>
        <v>184.28518901538473</v>
      </c>
      <c r="C743">
        <f ca="1">$E$10 - 0.5*MAX('HE2'!B742,0)/10000</f>
        <v>1.0745978202786333E-4</v>
      </c>
    </row>
    <row r="744" spans="1:3" x14ac:dyDescent="0.45">
      <c r="A744">
        <f ca="1">randcorrWithFeedback!D743</f>
        <v>0</v>
      </c>
      <c r="B744">
        <f t="shared" ca="1" si="11"/>
        <v>184.30473279198625</v>
      </c>
      <c r="C744">
        <f ca="1">$E$10 - 0.5*MAX('HE2'!B743,0)/10000</f>
        <v>1.060461801234566E-4</v>
      </c>
    </row>
    <row r="745" spans="1:3" x14ac:dyDescent="0.45">
      <c r="A745">
        <f ca="1">randcorrWithFeedback!D744</f>
        <v>8.3123169072516934E-2</v>
      </c>
      <c r="B745">
        <f t="shared" ca="1" si="11"/>
        <v>184.47750573124935</v>
      </c>
      <c r="C745">
        <f ca="1">$E$10 - 0.5*MAX('HE2'!B744,0)/10000</f>
        <v>1.0576002880833373E-4</v>
      </c>
    </row>
    <row r="746" spans="1:3" x14ac:dyDescent="0.45">
      <c r="A746">
        <f ca="1">randcorrWithFeedback!D745</f>
        <v>-3.1516296190723853E-2</v>
      </c>
      <c r="B746">
        <f t="shared" ca="1" si="11"/>
        <v>184.43895214782569</v>
      </c>
      <c r="C746">
        <f ca="1">$E$10 - 0.5*MAX('HE2'!B745,0)/10000</f>
        <v>1.0615312924393814E-4</v>
      </c>
    </row>
    <row r="747" spans="1:3" x14ac:dyDescent="0.45">
      <c r="A747">
        <f ca="1">randcorrWithFeedback!D746</f>
        <v>0.20161967285480781</v>
      </c>
      <c r="B747">
        <f t="shared" ca="1" si="11"/>
        <v>184.8297487320236</v>
      </c>
      <c r="C747">
        <f ca="1">$E$10 - 0.5*MAX('HE2'!B746,0)/10000</f>
        <v>1.0040145138836446E-4</v>
      </c>
    </row>
    <row r="748" spans="1:3" x14ac:dyDescent="0.45">
      <c r="A748">
        <f ca="1">randcorrWithFeedback!D747</f>
        <v>-5.7927755379883636E-2</v>
      </c>
      <c r="B748">
        <f t="shared" ca="1" si="11"/>
        <v>184.74099251879821</v>
      </c>
      <c r="C748">
        <f ca="1">$E$10 - 0.5*MAX('HE2'!B747,0)/10000</f>
        <v>9.8956981713564234E-5</v>
      </c>
    </row>
    <row r="749" spans="1:3" x14ac:dyDescent="0.45">
      <c r="A749">
        <f ca="1">randcorrWithFeedback!D748</f>
        <v>0.11375732106216473</v>
      </c>
      <c r="B749">
        <f t="shared" ca="1" si="11"/>
        <v>184.96872565487772</v>
      </c>
      <c r="C749">
        <f ca="1">$E$10 - 0.5*MAX('HE2'!B748,0)/10000</f>
        <v>9.4383395806557025E-5</v>
      </c>
    </row>
    <row r="750" spans="1:3" x14ac:dyDescent="0.45">
      <c r="A750">
        <f ca="1">randcorrWithFeedback!D749</f>
        <v>-8.4678242810470747E-2</v>
      </c>
      <c r="B750">
        <f t="shared" ca="1" si="11"/>
        <v>184.82957727534307</v>
      </c>
      <c r="C750">
        <f ca="1">$E$10 - 0.5*MAX('HE2'!B749,0)/10000</f>
        <v>9.4218746771859938E-5</v>
      </c>
    </row>
    <row r="751" spans="1:3" x14ac:dyDescent="0.45">
      <c r="A751">
        <f ca="1">randcorrWithFeedback!D750</f>
        <v>-0.41559478073412792</v>
      </c>
      <c r="B751">
        <f t="shared" ca="1" si="11"/>
        <v>184.0796432205602</v>
      </c>
      <c r="C751">
        <f ca="1">$E$10 - 0.5*MAX('HE2'!B750,0)/10000</f>
        <v>9.0258764395373755E-5</v>
      </c>
    </row>
    <row r="752" spans="1:3" x14ac:dyDescent="0.45">
      <c r="A752">
        <f ca="1">randcorrWithFeedback!D751</f>
        <v>-1.0056517082310392</v>
      </c>
      <c r="B752">
        <f t="shared" ca="1" si="11"/>
        <v>182.25572847443732</v>
      </c>
      <c r="C752">
        <f ca="1">$E$10 - 0.5*MAX('HE2'!B751,0)/10000</f>
        <v>9.8811886385303074E-5</v>
      </c>
    </row>
    <row r="753" spans="1:3" x14ac:dyDescent="0.45">
      <c r="A753">
        <f ca="1">randcorrWithFeedback!D752</f>
        <v>1.198338498730243E-2</v>
      </c>
      <c r="B753">
        <f t="shared" ca="1" si="11"/>
        <v>182.295878334983</v>
      </c>
      <c r="C753">
        <f ca="1">$E$10 - 0.5*MAX('HE2'!B752,0)/10000</f>
        <v>1.0043598275458882E-4</v>
      </c>
    </row>
    <row r="754" spans="1:3" x14ac:dyDescent="0.45">
      <c r="A754">
        <f ca="1">randcorrWithFeedback!D753</f>
        <v>0.35302997658482776</v>
      </c>
      <c r="B754">
        <f t="shared" ca="1" si="11"/>
        <v>182.95726893295739</v>
      </c>
      <c r="C754">
        <f ca="1">$E$10 - 0.5*MAX('HE2'!B753,0)/10000</f>
        <v>9.1250524960693617E-5</v>
      </c>
    </row>
    <row r="755" spans="1:3" x14ac:dyDescent="0.45">
      <c r="A755">
        <f ca="1">randcorrWithFeedback!D754</f>
        <v>-0.37402465938363544</v>
      </c>
      <c r="B755">
        <f t="shared" ca="1" si="11"/>
        <v>182.2917596975808</v>
      </c>
      <c r="C755">
        <f ca="1">$E$10 - 0.5*MAX('HE2'!B754,0)/10000</f>
        <v>9.6102901755543117E-5</v>
      </c>
    </row>
    <row r="756" spans="1:3" x14ac:dyDescent="0.45">
      <c r="A756">
        <f ca="1">randcorrWithFeedback!D755</f>
        <v>0.71378382048209976</v>
      </c>
      <c r="B756">
        <f t="shared" ca="1" si="11"/>
        <v>183.6135325801296</v>
      </c>
      <c r="C756">
        <f ca="1">$E$10 - 0.5*MAX('HE2'!B755,0)/10000</f>
        <v>8.6865344149144501E-5</v>
      </c>
    </row>
    <row r="757" spans="1:3" x14ac:dyDescent="0.45">
      <c r="A757">
        <f ca="1">randcorrWithFeedback!D756</f>
        <v>1.4869657270861047</v>
      </c>
      <c r="B757">
        <f t="shared" ca="1" si="11"/>
        <v>186.37468578391434</v>
      </c>
      <c r="C757">
        <f ca="1">$E$10 - 0.5*MAX('HE2'!B756,0)/10000</f>
        <v>5.6247544264705331E-5</v>
      </c>
    </row>
    <row r="758" spans="1:3" x14ac:dyDescent="0.45">
      <c r="A758">
        <f ca="1">randcorrWithFeedback!D757</f>
        <v>-0.33124116919555252</v>
      </c>
      <c r="B758">
        <f t="shared" ca="1" si="11"/>
        <v>185.76980565463177</v>
      </c>
      <c r="C758">
        <f ca="1">$E$10 - 0.5*MAX('HE2'!B757,0)/10000</f>
        <v>6.1627784760316814E-5</v>
      </c>
    </row>
    <row r="759" spans="1:3" x14ac:dyDescent="0.45">
      <c r="A759">
        <f ca="1">randcorrWithFeedback!D758</f>
        <v>0.37443666093958272</v>
      </c>
      <c r="B759">
        <f t="shared" ca="1" si="11"/>
        <v>186.4797424623176</v>
      </c>
      <c r="C759">
        <f ca="1">$E$10 - 0.5*MAX('HE2'!B758,0)/10000</f>
        <v>6.9943828395207375E-5</v>
      </c>
    </row>
    <row r="760" spans="1:3" x14ac:dyDescent="0.45">
      <c r="A760">
        <f ca="1">randcorrWithFeedback!D759</f>
        <v>1.3256763098799553</v>
      </c>
      <c r="B760">
        <f t="shared" ca="1" si="11"/>
        <v>188.97907717571584</v>
      </c>
      <c r="C760">
        <f ca="1">$E$10 - 0.5*MAX('HE2'!B759,0)/10000</f>
        <v>5.6929379503169155E-5</v>
      </c>
    </row>
    <row r="761" spans="1:3" x14ac:dyDescent="0.45">
      <c r="A761">
        <f ca="1">randcorrWithFeedback!D760</f>
        <v>1.3586572725756754</v>
      </c>
      <c r="B761">
        <f t="shared" ca="1" si="11"/>
        <v>191.57333173242196</v>
      </c>
      <c r="C761">
        <f ca="1">$E$10 - 0.5*MAX('HE2'!B760,0)/10000</f>
        <v>4.7789765615454673E-5</v>
      </c>
    </row>
    <row r="762" spans="1:3" x14ac:dyDescent="0.45">
      <c r="A762">
        <f ca="1">randcorrWithFeedback!D761</f>
        <v>0.37671211590495163</v>
      </c>
      <c r="B762">
        <f t="shared" ca="1" si="11"/>
        <v>192.30331160577836</v>
      </c>
      <c r="C762">
        <f ca="1">$E$10 - 0.5*MAX('HE2'!B761,0)/10000</f>
        <v>3.6083677273229158E-5</v>
      </c>
    </row>
    <row r="763" spans="1:3" x14ac:dyDescent="0.45">
      <c r="A763">
        <f ca="1">randcorrWithFeedback!D762</f>
        <v>-0.60314471372352718</v>
      </c>
      <c r="B763">
        <f t="shared" ca="1" si="11"/>
        <v>191.15469481580556</v>
      </c>
      <c r="C763">
        <f ca="1">$E$10 - 0.5*MAX('HE2'!B762,0)/10000</f>
        <v>4.0594391500032681E-5</v>
      </c>
    </row>
    <row r="764" spans="1:3" x14ac:dyDescent="0.45">
      <c r="A764">
        <f ca="1">randcorrWithFeedback!D763</f>
        <v>1.1274510583394575</v>
      </c>
      <c r="B764">
        <f t="shared" ca="1" si="11"/>
        <v>193.32803325191449</v>
      </c>
      <c r="C764">
        <f ca="1">$E$10 - 0.5*MAX('HE2'!B763,0)/10000</f>
        <v>3.08689593413577E-5</v>
      </c>
    </row>
    <row r="765" spans="1:3" x14ac:dyDescent="0.45">
      <c r="A765">
        <f ca="1">randcorrWithFeedback!D764</f>
        <v>9.9612173148371605E-2</v>
      </c>
      <c r="B765">
        <f t="shared" ca="1" si="11"/>
        <v>193.52761676792412</v>
      </c>
      <c r="C765">
        <f ca="1">$E$10 - 0.5*MAX('HE2'!B764,0)/10000</f>
        <v>3.5702587001946065E-5</v>
      </c>
    </row>
    <row r="766" spans="1:3" x14ac:dyDescent="0.45">
      <c r="A766">
        <f ca="1">randcorrWithFeedback!D765</f>
        <v>0.58248183101029771</v>
      </c>
      <c r="B766">
        <f t="shared" ca="1" si="11"/>
        <v>194.66340516922804</v>
      </c>
      <c r="C766">
        <f ca="1">$E$10 - 0.5*MAX('HE2'!B765,0)/10000</f>
        <v>2.6896841166824598E-5</v>
      </c>
    </row>
    <row r="767" spans="1:3" x14ac:dyDescent="0.45">
      <c r="A767">
        <f ca="1">randcorrWithFeedback!D766</f>
        <v>1.5483271348733403</v>
      </c>
      <c r="B767">
        <f t="shared" ca="1" si="11"/>
        <v>197.70654277579516</v>
      </c>
      <c r="C767">
        <f ca="1">$E$10 - 0.5*MAX('HE2'!B766,0)/10000</f>
        <v>2.861299345613908E-5</v>
      </c>
    </row>
    <row r="768" spans="1:3" x14ac:dyDescent="0.45">
      <c r="A768">
        <f ca="1">randcorrWithFeedback!D767</f>
        <v>0.26836164758915104</v>
      </c>
      <c r="B768">
        <f t="shared" ca="1" si="11"/>
        <v>198.23628073383082</v>
      </c>
      <c r="C768">
        <f ca="1">$E$10 - 0.5*MAX('HE2'!B767,0)/10000</f>
        <v>-7.7842967880159758E-6</v>
      </c>
    </row>
    <row r="769" spans="1:3" x14ac:dyDescent="0.45">
      <c r="A769">
        <f ca="1">randcorrWithFeedback!D768</f>
        <v>-1.4905544995729905</v>
      </c>
      <c r="B769">
        <f t="shared" ca="1" si="11"/>
        <v>195.3081110175591</v>
      </c>
      <c r="C769">
        <f ca="1">$E$10 - 0.5*MAX('HE2'!B768,0)/10000</f>
        <v>2.4256810471225498E-5</v>
      </c>
    </row>
    <row r="770" spans="1:3" x14ac:dyDescent="0.45">
      <c r="A770">
        <f ca="1">randcorrWithFeedback!D769</f>
        <v>0.80370950348970938</v>
      </c>
      <c r="B770">
        <f t="shared" ca="1" si="11"/>
        <v>196.88729213177234</v>
      </c>
      <c r="C770">
        <f ca="1">$E$10 - 0.5*MAX('HE2'!B769,0)/10000</f>
        <v>1.5980732682560164E-5</v>
      </c>
    </row>
    <row r="771" spans="1:3" x14ac:dyDescent="0.45">
      <c r="A771">
        <f ca="1">randcorrWithFeedback!D770</f>
        <v>0.78406725174641423</v>
      </c>
      <c r="B771">
        <f t="shared" ca="1" si="11"/>
        <v>198.43710237934226</v>
      </c>
      <c r="C771">
        <f ca="1">$E$10 - 0.5*MAX('HE2'!B770,0)/10000</f>
        <v>6.8954180983466147E-8</v>
      </c>
    </row>
    <row r="772" spans="1:3" x14ac:dyDescent="0.45">
      <c r="A772">
        <f ca="1">randcorrWithFeedback!D771</f>
        <v>-0.51140394715120019</v>
      </c>
      <c r="B772">
        <f t="shared" ref="B772:B835" ca="1" si="12">B771*EXP(C772+A772/100)</f>
        <v>197.42451338523455</v>
      </c>
      <c r="C772">
        <f ca="1">$E$10 - 0.5*MAX('HE2'!B771,0)/10000</f>
        <v>-1.845283472248218E-6</v>
      </c>
    </row>
    <row r="773" spans="1:3" x14ac:dyDescent="0.45">
      <c r="A773">
        <f ca="1">randcorrWithFeedback!D772</f>
        <v>1.077886470109904</v>
      </c>
      <c r="B773">
        <f t="shared" ca="1" si="12"/>
        <v>199.55869940024712</v>
      </c>
      <c r="C773">
        <f ca="1">$E$10 - 0.5*MAX('HE2'!B772,0)/10000</f>
        <v>-2.6739638779691647E-5</v>
      </c>
    </row>
    <row r="774" spans="1:3" x14ac:dyDescent="0.45">
      <c r="A774">
        <f ca="1">randcorrWithFeedback!D773</f>
        <v>-1.1542070969697718</v>
      </c>
      <c r="B774">
        <f t="shared" ca="1" si="12"/>
        <v>197.26272033204549</v>
      </c>
      <c r="C774">
        <f ca="1">$E$10 - 0.5*MAX('HE2'!B773,0)/10000</f>
        <v>-2.9908642908640888E-5</v>
      </c>
    </row>
    <row r="775" spans="1:3" x14ac:dyDescent="0.45">
      <c r="A775">
        <f ca="1">randcorrWithFeedback!D774</f>
        <v>2.8569509185704089</v>
      </c>
      <c r="B775">
        <f t="shared" ca="1" si="12"/>
        <v>202.97089682596263</v>
      </c>
      <c r="C775">
        <f ca="1">$E$10 - 0.5*MAX('HE2'!B774,0)/10000</f>
        <v>-4.3351833149887499E-5</v>
      </c>
    </row>
    <row r="776" spans="1:3" x14ac:dyDescent="0.45">
      <c r="A776">
        <f ca="1">randcorrWithFeedback!D775</f>
        <v>-1.0720630962422153</v>
      </c>
      <c r="B776">
        <f t="shared" ca="1" si="12"/>
        <v>200.80355778236739</v>
      </c>
      <c r="C776">
        <f ca="1">$E$10 - 0.5*MAX('HE2'!B775,0)/10000</f>
        <v>-1.4866711929026815E-5</v>
      </c>
    </row>
    <row r="777" spans="1:3" x14ac:dyDescent="0.45">
      <c r="A777">
        <f ca="1">randcorrWithFeedback!D776</f>
        <v>-1.3010495980318433</v>
      </c>
      <c r="B777">
        <f t="shared" ca="1" si="12"/>
        <v>198.21068611168462</v>
      </c>
      <c r="C777">
        <f ca="1">$E$10 - 0.5*MAX('HE2'!B776,0)/10000</f>
        <v>1.3926523140457591E-5</v>
      </c>
    </row>
    <row r="778" spans="1:3" x14ac:dyDescent="0.45">
      <c r="A778">
        <f ca="1">randcorrWithFeedback!D777</f>
        <v>0.7931312601625683</v>
      </c>
      <c r="B778">
        <f t="shared" ca="1" si="12"/>
        <v>199.78988377385656</v>
      </c>
      <c r="C778">
        <f ca="1">$E$10 - 0.5*MAX('HE2'!B777,0)/10000</f>
        <v>4.3843254050210346E-6</v>
      </c>
    </row>
    <row r="779" spans="1:3" x14ac:dyDescent="0.45">
      <c r="A779">
        <f ca="1">randcorrWithFeedback!D778</f>
        <v>-1.1142634866596162</v>
      </c>
      <c r="B779">
        <f t="shared" ca="1" si="12"/>
        <v>197.58056873767146</v>
      </c>
      <c r="C779">
        <f ca="1">$E$10 - 0.5*MAX('HE2'!B778,0)/10000</f>
        <v>2.284582706892912E-5</v>
      </c>
    </row>
    <row r="780" spans="1:3" x14ac:dyDescent="0.45">
      <c r="A780">
        <f ca="1">randcorrWithFeedback!D779</f>
        <v>3.1735013250275146</v>
      </c>
      <c r="B780">
        <f t="shared" ca="1" si="12"/>
        <v>203.94946376235404</v>
      </c>
      <c r="C780">
        <f ca="1">$E$10 - 0.5*MAX('HE2'!B779,0)/10000</f>
        <v>-9.2208811174627749E-6</v>
      </c>
    </row>
    <row r="781" spans="1:3" x14ac:dyDescent="0.45">
      <c r="A781">
        <f ca="1">randcorrWithFeedback!D780</f>
        <v>2.0949118209920807</v>
      </c>
      <c r="B781">
        <f t="shared" ca="1" si="12"/>
        <v>208.26337088265649</v>
      </c>
      <c r="C781">
        <f ca="1">$E$10 - 0.5*MAX('HE2'!B780,0)/10000</f>
        <v>-1.7869804734620929E-5</v>
      </c>
    </row>
    <row r="782" spans="1:3" x14ac:dyDescent="0.45">
      <c r="A782">
        <f ca="1">randcorrWithFeedback!D781</f>
        <v>-2.595613214773218</v>
      </c>
      <c r="B782">
        <f t="shared" ca="1" si="12"/>
        <v>202.93744549178385</v>
      </c>
      <c r="C782">
        <f ca="1">$E$10 - 0.5*MAX('HE2'!B781,0)/10000</f>
        <v>5.0428509725900153E-5</v>
      </c>
    </row>
    <row r="783" spans="1:3" x14ac:dyDescent="0.45">
      <c r="A783">
        <f ca="1">randcorrWithFeedback!D782</f>
        <v>-1.2903030168705554</v>
      </c>
      <c r="B783">
        <f t="shared" ca="1" si="12"/>
        <v>200.34931295193604</v>
      </c>
      <c r="C783">
        <f ca="1">$E$10 - 0.5*MAX('HE2'!B782,0)/10000</f>
        <v>6.7656738875192181E-5</v>
      </c>
    </row>
    <row r="784" spans="1:3" x14ac:dyDescent="0.45">
      <c r="A784">
        <f ca="1">randcorrWithFeedback!D783</f>
        <v>0.62386241025671818</v>
      </c>
      <c r="B784">
        <f t="shared" ca="1" si="12"/>
        <v>201.61545814043876</v>
      </c>
      <c r="C784">
        <f ca="1">$E$10 - 0.5*MAX('HE2'!B783,0)/10000</f>
        <v>6.1178601893601152E-5</v>
      </c>
    </row>
    <row r="785" spans="1:3" x14ac:dyDescent="0.45">
      <c r="A785">
        <f ca="1">randcorrWithFeedback!D784</f>
        <v>0.73666848046902222</v>
      </c>
      <c r="B785">
        <f t="shared" ca="1" si="12"/>
        <v>203.11744847756472</v>
      </c>
      <c r="C785">
        <f ca="1">$E$10 - 0.5*MAX('HE2'!B784,0)/10000</f>
        <v>5.5480320821517136E-5</v>
      </c>
    </row>
    <row r="786" spans="1:3" x14ac:dyDescent="0.45">
      <c r="A786">
        <f ca="1">randcorrWithFeedback!D785</f>
        <v>-0.53869049306059491</v>
      </c>
      <c r="B786">
        <f t="shared" ca="1" si="12"/>
        <v>202.03768477617081</v>
      </c>
      <c r="C786">
        <f ca="1">$E$10 - 0.5*MAX('HE2'!B785,0)/10000</f>
        <v>5.6767562755617097E-5</v>
      </c>
    </row>
    <row r="787" spans="1:3" x14ac:dyDescent="0.45">
      <c r="A787">
        <f ca="1">randcorrWithFeedback!D786</f>
        <v>-0.54238114718731478</v>
      </c>
      <c r="B787">
        <f t="shared" ca="1" si="12"/>
        <v>200.9580429371513</v>
      </c>
      <c r="C787">
        <f ca="1">$E$10 - 0.5*MAX('HE2'!B786,0)/10000</f>
        <v>6.5717835930298826E-5</v>
      </c>
    </row>
    <row r="788" spans="1:3" x14ac:dyDescent="0.45">
      <c r="A788">
        <f ca="1">randcorrWithFeedback!D787</f>
        <v>-0.66557790172477616</v>
      </c>
      <c r="B788">
        <f t="shared" ca="1" si="12"/>
        <v>199.63828523543185</v>
      </c>
      <c r="C788">
        <f ca="1">$E$10 - 0.5*MAX('HE2'!B787,0)/10000</f>
        <v>6.6789634914994563E-5</v>
      </c>
    </row>
    <row r="789" spans="1:3" x14ac:dyDescent="0.45">
      <c r="A789">
        <f ca="1">randcorrWithFeedback!D788</f>
        <v>-1.4799625475947693</v>
      </c>
      <c r="B789">
        <f t="shared" ca="1" si="12"/>
        <v>196.7202726357132</v>
      </c>
      <c r="C789">
        <f ca="1">$E$10 - 0.5*MAX('HE2'!B788,0)/10000</f>
        <v>7.5254009403347887E-5</v>
      </c>
    </row>
    <row r="790" spans="1:3" x14ac:dyDescent="0.45">
      <c r="A790">
        <f ca="1">randcorrWithFeedback!D789</f>
        <v>-1.5109777374345696</v>
      </c>
      <c r="B790">
        <f t="shared" ca="1" si="12"/>
        <v>193.78802259883506</v>
      </c>
      <c r="C790">
        <f ca="1">$E$10 - 0.5*MAX('HE2'!B789,0)/10000</f>
        <v>9.1888211121023074E-5</v>
      </c>
    </row>
    <row r="791" spans="1:3" x14ac:dyDescent="0.45">
      <c r="A791">
        <f ca="1">randcorrWithFeedback!D790</f>
        <v>-0.3999020810699262</v>
      </c>
      <c r="B791">
        <f t="shared" ca="1" si="12"/>
        <v>193.03340498222391</v>
      </c>
      <c r="C791">
        <f ca="1">$E$10 - 0.5*MAX('HE2'!B790,0)/10000</f>
        <v>9.7382896733565547E-5</v>
      </c>
    </row>
    <row r="792" spans="1:3" x14ac:dyDescent="0.45">
      <c r="A792">
        <f ca="1">randcorrWithFeedback!D791</f>
        <v>7.9570694164158337E-2</v>
      </c>
      <c r="B792">
        <f t="shared" ca="1" si="12"/>
        <v>193.20486918919417</v>
      </c>
      <c r="C792">
        <f ca="1">$E$10 - 0.5*MAX('HE2'!B791,0)/10000</f>
        <v>9.2160624575186192E-5</v>
      </c>
    </row>
    <row r="793" spans="1:3" x14ac:dyDescent="0.45">
      <c r="A793">
        <f ca="1">randcorrWithFeedback!D792</f>
        <v>1.2242501526021361</v>
      </c>
      <c r="B793">
        <f t="shared" ca="1" si="12"/>
        <v>195.59990057853025</v>
      </c>
      <c r="C793">
        <f ca="1">$E$10 - 0.5*MAX('HE2'!B792,0)/10000</f>
        <v>7.7623481392526589E-5</v>
      </c>
    </row>
    <row r="794" spans="1:3" x14ac:dyDescent="0.45">
      <c r="A794">
        <f ca="1">randcorrWithFeedback!D793</f>
        <v>0.60295800229615815</v>
      </c>
      <c r="B794">
        <f t="shared" ca="1" si="12"/>
        <v>196.79772384226342</v>
      </c>
      <c r="C794">
        <f ca="1">$E$10 - 0.5*MAX('HE2'!B793,0)/10000</f>
        <v>7.5589375284125076E-5</v>
      </c>
    </row>
    <row r="795" spans="1:3" x14ac:dyDescent="0.45">
      <c r="A795">
        <f ca="1">randcorrWithFeedback!D794</f>
        <v>-1.4448839293605771</v>
      </c>
      <c r="B795">
        <f t="shared" ca="1" si="12"/>
        <v>193.98906481361738</v>
      </c>
      <c r="C795">
        <f ca="1">$E$10 - 0.5*MAX('HE2'!B794,0)/10000</f>
        <v>7.4211119030857489E-5</v>
      </c>
    </row>
    <row r="796" spans="1:3" x14ac:dyDescent="0.45">
      <c r="A796">
        <f ca="1">randcorrWithFeedback!D795</f>
        <v>-0.4421200936457787</v>
      </c>
      <c r="B796">
        <f t="shared" ca="1" si="12"/>
        <v>193.14816599949117</v>
      </c>
      <c r="C796">
        <f ca="1">$E$10 - 0.5*MAX('HE2'!B795,0)/10000</f>
        <v>7.7004255522151042E-5</v>
      </c>
    </row>
    <row r="797" spans="1:3" x14ac:dyDescent="0.45">
      <c r="A797">
        <f ca="1">randcorrWithFeedback!D796</f>
        <v>0.31318441564939992</v>
      </c>
      <c r="B797">
        <f t="shared" ca="1" si="12"/>
        <v>193.77013943660225</v>
      </c>
      <c r="C797">
        <f ca="1">$E$10 - 0.5*MAX('HE2'!B796,0)/10000</f>
        <v>8.3170300642775355E-5</v>
      </c>
    </row>
    <row r="798" spans="1:3" x14ac:dyDescent="0.45">
      <c r="A798">
        <f ca="1">randcorrWithFeedback!D797</f>
        <v>0.12939867124528556</v>
      </c>
      <c r="B798">
        <f t="shared" ca="1" si="12"/>
        <v>194.03703899904221</v>
      </c>
      <c r="C798">
        <f ca="1">$E$10 - 0.5*MAX('HE2'!B797,0)/10000</f>
        <v>8.2468492199155318E-5</v>
      </c>
    </row>
    <row r="799" spans="1:3" x14ac:dyDescent="0.45">
      <c r="A799">
        <f ca="1">randcorrWithFeedback!D798</f>
        <v>-0.32286737132597443</v>
      </c>
      <c r="B799">
        <f t="shared" ca="1" si="12"/>
        <v>193.4283524961011</v>
      </c>
      <c r="C799">
        <f ca="1">$E$10 - 0.5*MAX('HE2'!B798,0)/10000</f>
        <v>8.6782762370479094E-5</v>
      </c>
    </row>
    <row r="800" spans="1:3" x14ac:dyDescent="0.45">
      <c r="A800">
        <f ca="1">randcorrWithFeedback!D799</f>
        <v>0.30090376792550522</v>
      </c>
      <c r="B800">
        <f t="shared" ca="1" si="12"/>
        <v>194.02770322723862</v>
      </c>
      <c r="C800">
        <f ca="1">$E$10 - 0.5*MAX('HE2'!B799,0)/10000</f>
        <v>8.4738765009244484E-5</v>
      </c>
    </row>
    <row r="801" spans="1:3" x14ac:dyDescent="0.45">
      <c r="A801">
        <f ca="1">randcorrWithFeedback!D800</f>
        <v>0.82466357913694754</v>
      </c>
      <c r="B801">
        <f t="shared" ca="1" si="12"/>
        <v>195.64766915889501</v>
      </c>
      <c r="C801">
        <f ca="1">$E$10 - 0.5*MAX('HE2'!B800,0)/10000</f>
        <v>6.7850465083809717E-5</v>
      </c>
    </row>
    <row r="802" spans="1:3" x14ac:dyDescent="0.45">
      <c r="A802">
        <f ca="1">randcorrWithFeedback!D801</f>
        <v>-0.60739962238332879</v>
      </c>
      <c r="B802">
        <f t="shared" ca="1" si="12"/>
        <v>194.4773003660946</v>
      </c>
      <c r="C802">
        <f ca="1">$E$10 - 0.5*MAX('HE2'!B801,0)/10000</f>
        <v>7.4009576918200186E-5</v>
      </c>
    </row>
    <row r="803" spans="1:3" x14ac:dyDescent="0.45">
      <c r="A803">
        <f ca="1">randcorrWithFeedback!D802</f>
        <v>-0.17962325153683537</v>
      </c>
      <c r="B803">
        <f t="shared" ca="1" si="12"/>
        <v>194.14330280528287</v>
      </c>
      <c r="C803">
        <f ca="1">$E$10 - 0.5*MAX('HE2'!B802,0)/10000</f>
        <v>7.7344528878762342E-5</v>
      </c>
    </row>
    <row r="804" spans="1:3" x14ac:dyDescent="0.45">
      <c r="A804">
        <f ca="1">randcorrWithFeedback!D803</f>
        <v>9.5154849384200046E-2</v>
      </c>
      <c r="B804">
        <f t="shared" ca="1" si="12"/>
        <v>194.34320941753302</v>
      </c>
      <c r="C804">
        <f ca="1">$E$10 - 0.5*MAX('HE2'!B803,0)/10000</f>
        <v>7.760759577777651E-5</v>
      </c>
    </row>
    <row r="805" spans="1:3" x14ac:dyDescent="0.45">
      <c r="A805">
        <f ca="1">randcorrWithFeedback!D804</f>
        <v>-0.80564109399232098</v>
      </c>
      <c r="B805">
        <f t="shared" ca="1" si="12"/>
        <v>192.79700863216729</v>
      </c>
      <c r="C805">
        <f ca="1">$E$10 - 0.5*MAX('HE2'!B804,0)/10000</f>
        <v>6.8560881248314645E-5</v>
      </c>
    </row>
    <row r="806" spans="1:3" x14ac:dyDescent="0.45">
      <c r="A806">
        <f ca="1">randcorrWithFeedback!D805</f>
        <v>1.1570940733589363</v>
      </c>
      <c r="B806">
        <f t="shared" ca="1" si="12"/>
        <v>195.0514006039285</v>
      </c>
      <c r="C806">
        <f ca="1">$E$10 - 0.5*MAX('HE2'!B805,0)/10000</f>
        <v>5.4309273570133355E-5</v>
      </c>
    </row>
    <row r="807" spans="1:3" x14ac:dyDescent="0.45">
      <c r="A807">
        <f ca="1">randcorrWithFeedback!D806</f>
        <v>-0.64878475929308588</v>
      </c>
      <c r="B807">
        <f t="shared" ca="1" si="12"/>
        <v>193.80224660964319</v>
      </c>
      <c r="C807">
        <f ca="1">$E$10 - 0.5*MAX('HE2'!B806,0)/10000</f>
        <v>6.3022725508097955E-5</v>
      </c>
    </row>
    <row r="808" spans="1:3" x14ac:dyDescent="0.45">
      <c r="A808">
        <f ca="1">randcorrWithFeedback!D807</f>
        <v>1.3232430329113136</v>
      </c>
      <c r="B808">
        <f t="shared" ca="1" si="12"/>
        <v>196.39149042528493</v>
      </c>
      <c r="C808">
        <f ca="1">$E$10 - 0.5*MAX('HE2'!B807,0)/10000</f>
        <v>3.934507658498046E-5</v>
      </c>
    </row>
    <row r="809" spans="1:3" x14ac:dyDescent="0.45">
      <c r="A809">
        <f ca="1">randcorrWithFeedback!D808</f>
        <v>-0.47934886480586275</v>
      </c>
      <c r="B809">
        <f t="shared" ca="1" si="12"/>
        <v>195.46224435465606</v>
      </c>
      <c r="C809">
        <f ca="1">$E$10 - 0.5*MAX('HE2'!B808,0)/10000</f>
        <v>5.0658708945876331E-5</v>
      </c>
    </row>
    <row r="810" spans="1:3" x14ac:dyDescent="0.45">
      <c r="A810">
        <f ca="1">randcorrWithFeedback!D809</f>
        <v>0.75900376902633193</v>
      </c>
      <c r="B810">
        <f t="shared" ca="1" si="12"/>
        <v>196.9591453986763</v>
      </c>
      <c r="C810">
        <f ca="1">$E$10 - 0.5*MAX('HE2'!B809,0)/10000</f>
        <v>3.9048508595209956E-5</v>
      </c>
    </row>
    <row r="811" spans="1:3" x14ac:dyDescent="0.45">
      <c r="A811">
        <f ca="1">randcorrWithFeedback!D810</f>
        <v>-0.31645013318316823</v>
      </c>
      <c r="B811">
        <f t="shared" ca="1" si="12"/>
        <v>196.34044654654525</v>
      </c>
      <c r="C811">
        <f ca="1">$E$10 - 0.5*MAX('HE2'!B810,0)/10000</f>
        <v>1.8302479076115816E-5</v>
      </c>
    </row>
    <row r="812" spans="1:3" x14ac:dyDescent="0.45">
      <c r="A812">
        <f ca="1">randcorrWithFeedback!D811</f>
        <v>0.57755884470740571</v>
      </c>
      <c r="B812">
        <f t="shared" ca="1" si="12"/>
        <v>197.47853303084381</v>
      </c>
      <c r="C812">
        <f ca="1">$E$10 - 0.5*MAX('HE2'!B811,0)/10000</f>
        <v>4.1718566370217729E-6</v>
      </c>
    </row>
    <row r="813" spans="1:3" x14ac:dyDescent="0.45">
      <c r="A813">
        <f ca="1">randcorrWithFeedback!D812</f>
        <v>-0.17110108532974586</v>
      </c>
      <c r="B813">
        <f t="shared" ca="1" si="12"/>
        <v>197.14049684618428</v>
      </c>
      <c r="C813">
        <f ca="1">$E$10 - 0.5*MAX('HE2'!B812,0)/10000</f>
        <v>-2.2175606853156902E-6</v>
      </c>
    </row>
    <row r="814" spans="1:3" x14ac:dyDescent="0.45">
      <c r="A814">
        <f ca="1">randcorrWithFeedback!D813</f>
        <v>0.25244909042944058</v>
      </c>
      <c r="B814">
        <f t="shared" ca="1" si="12"/>
        <v>197.64009704086655</v>
      </c>
      <c r="C814">
        <f ca="1">$E$10 - 0.5*MAX('HE2'!B813,0)/10000</f>
        <v>6.5375663340603722E-6</v>
      </c>
    </row>
    <row r="815" spans="1:3" x14ac:dyDescent="0.45">
      <c r="A815">
        <f ca="1">randcorrWithFeedback!D814</f>
        <v>1.1560634761518001</v>
      </c>
      <c r="B815">
        <f t="shared" ca="1" si="12"/>
        <v>199.93368279900696</v>
      </c>
      <c r="C815">
        <f ca="1">$E$10 - 0.5*MAX('HE2'!B814,0)/10000</f>
        <v>-2.2594180780551628E-5</v>
      </c>
    </row>
    <row r="816" spans="1:3" x14ac:dyDescent="0.45">
      <c r="A816">
        <f ca="1">randcorrWithFeedback!D815</f>
        <v>2.4236474175270621</v>
      </c>
      <c r="B816">
        <f t="shared" ca="1" si="12"/>
        <v>204.82904024782894</v>
      </c>
      <c r="C816">
        <f ca="1">$E$10 - 0.5*MAX('HE2'!B815,0)/10000</f>
        <v>-4.6518533490439953E-5</v>
      </c>
    </row>
    <row r="817" spans="1:3" x14ac:dyDescent="0.45">
      <c r="A817">
        <f ca="1">randcorrWithFeedback!D816</f>
        <v>-0.6092569912106689</v>
      </c>
      <c r="B817">
        <f t="shared" ca="1" si="12"/>
        <v>203.57461563021911</v>
      </c>
      <c r="C817">
        <f ca="1">$E$10 - 0.5*MAX('HE2'!B816,0)/10000</f>
        <v>-5.0512033669921188E-5</v>
      </c>
    </row>
    <row r="818" spans="1:3" x14ac:dyDescent="0.45">
      <c r="A818">
        <f ca="1">randcorrWithFeedback!D817</f>
        <v>0.43692297819369585</v>
      </c>
      <c r="B818">
        <f t="shared" ca="1" si="12"/>
        <v>204.45042730965034</v>
      </c>
      <c r="C818">
        <f ca="1">$E$10 - 0.5*MAX('HE2'!B817,0)/10000</f>
        <v>-7.6292180994065839E-5</v>
      </c>
    </row>
    <row r="819" spans="1:3" x14ac:dyDescent="0.45">
      <c r="A819">
        <f ca="1">randcorrWithFeedback!D818</f>
        <v>-0.30342023534612411</v>
      </c>
      <c r="B819">
        <f t="shared" ca="1" si="12"/>
        <v>203.8194100841315</v>
      </c>
      <c r="C819">
        <f ca="1">$E$10 - 0.5*MAX('HE2'!B818,0)/10000</f>
        <v>-5.6977401648730354E-5</v>
      </c>
    </row>
    <row r="820" spans="1:3" x14ac:dyDescent="0.45">
      <c r="A820">
        <f ca="1">randcorrWithFeedback!D819</f>
        <v>0.82592945993560651</v>
      </c>
      <c r="B820">
        <f t="shared" ca="1" si="12"/>
        <v>205.49441517524977</v>
      </c>
      <c r="C820">
        <f ca="1">$E$10 - 0.5*MAX('HE2'!B819,0)/10000</f>
        <v>-7.4794893249557155E-5</v>
      </c>
    </row>
    <row r="821" spans="1:3" x14ac:dyDescent="0.45">
      <c r="A821">
        <f ca="1">randcorrWithFeedback!D820</f>
        <v>1.1522235055227987</v>
      </c>
      <c r="B821">
        <f t="shared" ca="1" si="12"/>
        <v>207.86064595688697</v>
      </c>
      <c r="C821">
        <f ca="1">$E$10 - 0.5*MAX('HE2'!B820,0)/10000</f>
        <v>-7.320805035402269E-5</v>
      </c>
    </row>
    <row r="822" spans="1:3" x14ac:dyDescent="0.45">
      <c r="A822">
        <f ca="1">randcorrWithFeedback!D821</f>
        <v>-0.95847953240091888</v>
      </c>
      <c r="B822">
        <f t="shared" ca="1" si="12"/>
        <v>205.86895088842635</v>
      </c>
      <c r="C822">
        <f ca="1">$E$10 - 0.5*MAX('HE2'!B821,0)/10000</f>
        <v>-4.3282867397528596E-5</v>
      </c>
    </row>
    <row r="823" spans="1:3" x14ac:dyDescent="0.45">
      <c r="A823">
        <f ca="1">randcorrWithFeedback!D822</f>
        <v>-0.82439515797780805</v>
      </c>
      <c r="B823">
        <f t="shared" ca="1" si="12"/>
        <v>204.16993037377324</v>
      </c>
      <c r="C823">
        <f ca="1">$E$10 - 0.5*MAX('HE2'!B822,0)/10000</f>
        <v>-4.3214910707485387E-5</v>
      </c>
    </row>
    <row r="824" spans="1:3" x14ac:dyDescent="0.45">
      <c r="A824">
        <f ca="1">randcorrWithFeedback!D823</f>
        <v>-2.4830161383461378</v>
      </c>
      <c r="B824">
        <f t="shared" ca="1" si="12"/>
        <v>199.16047084642614</v>
      </c>
      <c r="C824">
        <f ca="1">$E$10 - 0.5*MAX('HE2'!B823,0)/10000</f>
        <v>-1.1591810942906025E-5</v>
      </c>
    </row>
    <row r="825" spans="1:3" x14ac:dyDescent="0.45">
      <c r="A825">
        <f ca="1">randcorrWithFeedback!D824</f>
        <v>-2.3405626764090134E-2</v>
      </c>
      <c r="B825">
        <f t="shared" ca="1" si="12"/>
        <v>199.1148511480927</v>
      </c>
      <c r="C825">
        <f ca="1">$E$10 - 0.5*MAX('HE2'!B824,0)/10000</f>
        <v>4.9700249659524433E-6</v>
      </c>
    </row>
    <row r="826" spans="1:3" x14ac:dyDescent="0.45">
      <c r="A826">
        <f ca="1">randcorrWithFeedback!D825</f>
        <v>-0.62025952112805949</v>
      </c>
      <c r="B826">
        <f t="shared" ca="1" si="12"/>
        <v>197.88662125383448</v>
      </c>
      <c r="C826">
        <f ca="1">$E$10 - 0.5*MAX('HE2'!B825,0)/10000</f>
        <v>1.5042276159986707E-5</v>
      </c>
    </row>
    <row r="827" spans="1:3" x14ac:dyDescent="0.45">
      <c r="A827">
        <f ca="1">randcorrWithFeedback!D826</f>
        <v>-2.8134734208056167</v>
      </c>
      <c r="B827">
        <f t="shared" ca="1" si="12"/>
        <v>192.4057452681227</v>
      </c>
      <c r="C827">
        <f ca="1">$E$10 - 0.5*MAX('HE2'!B826,0)/10000</f>
        <v>4.6886299757271445E-5</v>
      </c>
    </row>
    <row r="828" spans="1:3" x14ac:dyDescent="0.45">
      <c r="A828">
        <f ca="1">randcorrWithFeedback!D827</f>
        <v>-0.19382071837127923</v>
      </c>
      <c r="B828">
        <f t="shared" ca="1" si="12"/>
        <v>192.04187355562485</v>
      </c>
      <c r="C828">
        <f ca="1">$E$10 - 0.5*MAX('HE2'!B827,0)/10000</f>
        <v>4.52480218582453E-5</v>
      </c>
    </row>
    <row r="829" spans="1:3" x14ac:dyDescent="0.45">
      <c r="A829">
        <f ca="1">randcorrWithFeedback!D828</f>
        <v>0.57568067964909209</v>
      </c>
      <c r="B829">
        <f t="shared" ca="1" si="12"/>
        <v>193.15796991735286</v>
      </c>
      <c r="C829">
        <f ca="1">$E$10 - 0.5*MAX('HE2'!B828,0)/10000</f>
        <v>3.8104618664304437E-5</v>
      </c>
    </row>
    <row r="830" spans="1:3" x14ac:dyDescent="0.45">
      <c r="A830">
        <f ca="1">randcorrWithFeedback!D829</f>
        <v>1.2267555885748047</v>
      </c>
      <c r="B830">
        <f t="shared" ca="1" si="12"/>
        <v>195.54800368313363</v>
      </c>
      <c r="C830">
        <f ca="1">$E$10 - 0.5*MAX('HE2'!B829,0)/10000</f>
        <v>2.998543512098909E-5</v>
      </c>
    </row>
    <row r="831" spans="1:3" x14ac:dyDescent="0.45">
      <c r="A831">
        <f ca="1">randcorrWithFeedback!D830</f>
        <v>0.28832649352041162</v>
      </c>
      <c r="B831">
        <f t="shared" ca="1" si="12"/>
        <v>196.11760565934381</v>
      </c>
      <c r="C831">
        <f ca="1">$E$10 - 0.5*MAX('HE2'!B830,0)/10000</f>
        <v>2.5350803297645544E-5</v>
      </c>
    </row>
    <row r="832" spans="1:3" x14ac:dyDescent="0.45">
      <c r="A832">
        <f ca="1">randcorrWithFeedback!D831</f>
        <v>0.79808708211770352</v>
      </c>
      <c r="B832">
        <f t="shared" ca="1" si="12"/>
        <v>197.68801255445592</v>
      </c>
      <c r="C832">
        <f ca="1">$E$10 - 0.5*MAX('HE2'!B831,0)/10000</f>
        <v>-5.2851670815267564E-6</v>
      </c>
    </row>
    <row r="833" spans="1:3" x14ac:dyDescent="0.45">
      <c r="A833">
        <f ca="1">randcorrWithFeedback!D832</f>
        <v>1.2111702107159847</v>
      </c>
      <c r="B833">
        <f t="shared" ca="1" si="12"/>
        <v>200.09437921770984</v>
      </c>
      <c r="C833">
        <f ca="1">$E$10 - 0.5*MAX('HE2'!B832,0)/10000</f>
        <v>-1.2644591986384808E-5</v>
      </c>
    </row>
    <row r="834" spans="1:3" x14ac:dyDescent="0.45">
      <c r="A834">
        <f ca="1">randcorrWithFeedback!D833</f>
        <v>1.5922668638700332</v>
      </c>
      <c r="B834">
        <f t="shared" ca="1" si="12"/>
        <v>203.29830403456938</v>
      </c>
      <c r="C834">
        <f ca="1">$E$10 - 0.5*MAX('HE2'!B833,0)/10000</f>
        <v>-3.7441549001927913E-5</v>
      </c>
    </row>
    <row r="835" spans="1:3" x14ac:dyDescent="0.45">
      <c r="A835">
        <f ca="1">randcorrWithFeedback!D834</f>
        <v>1.5005812095963396</v>
      </c>
      <c r="B835">
        <f t="shared" ca="1" si="12"/>
        <v>206.36027343988624</v>
      </c>
      <c r="C835">
        <f ca="1">$E$10 - 0.5*MAX('HE2'!B834,0)/10000</f>
        <v>-5.6649076287498812E-5</v>
      </c>
    </row>
    <row r="836" spans="1:3" x14ac:dyDescent="0.45">
      <c r="A836">
        <f ca="1">randcorrWithFeedback!D835</f>
        <v>0.34996038163388371</v>
      </c>
      <c r="B836">
        <f t="shared" ref="B836:B899" ca="1" si="13">B835*EXP(C836+A836/100)</f>
        <v>207.06990068621604</v>
      </c>
      <c r="C836">
        <f ca="1">$E$10 - 0.5*MAX('HE2'!B835,0)/10000</f>
        <v>-6.6724517082762045E-5</v>
      </c>
    </row>
    <row r="837" spans="1:3" x14ac:dyDescent="0.45">
      <c r="A837">
        <f ca="1">randcorrWithFeedback!D836</f>
        <v>-1.0740077191504882</v>
      </c>
      <c r="B837">
        <f t="shared" ca="1" si="13"/>
        <v>204.8533103756115</v>
      </c>
      <c r="C837">
        <f ca="1">$E$10 - 0.5*MAX('HE2'!B836,0)/10000</f>
        <v>-2.2179685355783998E-5</v>
      </c>
    </row>
    <row r="838" spans="1:3" x14ac:dyDescent="0.45">
      <c r="A838">
        <f ca="1">randcorrWithFeedback!D837</f>
        <v>7.6066624494880136E-2</v>
      </c>
      <c r="B838">
        <f t="shared" ca="1" si="13"/>
        <v>205.00521633432905</v>
      </c>
      <c r="C838">
        <f ca="1">$E$10 - 0.5*MAX('HE2'!B837,0)/10000</f>
        <v>-1.9405757372414358E-5</v>
      </c>
    </row>
    <row r="839" spans="1:3" x14ac:dyDescent="0.45">
      <c r="A839">
        <f ca="1">randcorrWithFeedback!D838</f>
        <v>1.802111382844056</v>
      </c>
      <c r="B839">
        <f t="shared" ca="1" si="13"/>
        <v>208.72371963424538</v>
      </c>
      <c r="C839">
        <f ca="1">$E$10 - 0.5*MAX('HE2'!B838,0)/10000</f>
        <v>-4.507633846172215E-5</v>
      </c>
    </row>
    <row r="840" spans="1:3" x14ac:dyDescent="0.45">
      <c r="A840">
        <f ca="1">randcorrWithFeedback!D839</f>
        <v>1.2095818252983586</v>
      </c>
      <c r="B840">
        <f t="shared" ca="1" si="13"/>
        <v>211.25477310169302</v>
      </c>
      <c r="C840">
        <f ca="1">$E$10 - 0.5*MAX('HE2'!B839,0)/10000</f>
        <v>-4.2419544693684987E-5</v>
      </c>
    </row>
    <row r="841" spans="1:3" x14ac:dyDescent="0.45">
      <c r="A841">
        <f ca="1">randcorrWithFeedback!D840</f>
        <v>4.0951632073923108</v>
      </c>
      <c r="B841">
        <f t="shared" ca="1" si="13"/>
        <v>220.07033335317018</v>
      </c>
      <c r="C841">
        <f ca="1">$E$10 - 0.5*MAX('HE2'!B840,0)/10000</f>
        <v>-6.9300300170310758E-5</v>
      </c>
    </row>
    <row r="842" spans="1:3" x14ac:dyDescent="0.45">
      <c r="A842">
        <f ca="1">randcorrWithFeedback!D841</f>
        <v>4.8953384079868489E-2</v>
      </c>
      <c r="B842">
        <f t="shared" ca="1" si="13"/>
        <v>220.16020675178106</v>
      </c>
      <c r="C842">
        <f ca="1">$E$10 - 0.5*MAX('HE2'!B841,0)/10000</f>
        <v>-8.1232318428160099E-5</v>
      </c>
    </row>
    <row r="843" spans="1:3" x14ac:dyDescent="0.45">
      <c r="A843">
        <f ca="1">randcorrWithFeedback!D842</f>
        <v>-0.20108190681337906</v>
      </c>
      <c r="B843">
        <f t="shared" ca="1" si="13"/>
        <v>219.70084974784407</v>
      </c>
      <c r="C843">
        <f ca="1">$E$10 - 0.5*MAX('HE2'!B842,0)/10000</f>
        <v>-7.7827626737535011E-5</v>
      </c>
    </row>
    <row r="844" spans="1:3" x14ac:dyDescent="0.45">
      <c r="A844">
        <f ca="1">randcorrWithFeedback!D843</f>
        <v>0.54389785005833813</v>
      </c>
      <c r="B844">
        <f t="shared" ca="1" si="13"/>
        <v>220.88187334337127</v>
      </c>
      <c r="C844">
        <f ca="1">$E$10 - 0.5*MAX('HE2'!B843,0)/10000</f>
        <v>-7.7776790105518441E-5</v>
      </c>
    </row>
    <row r="845" spans="1:3" x14ac:dyDescent="0.45">
      <c r="A845">
        <f ca="1">randcorrWithFeedback!D844</f>
        <v>-1.7749594086273586</v>
      </c>
      <c r="B845">
        <f t="shared" ca="1" si="13"/>
        <v>216.98212279317949</v>
      </c>
      <c r="C845">
        <f ca="1">$E$10 - 0.5*MAX('HE2'!B844,0)/10000</f>
        <v>-6.3488066525312168E-5</v>
      </c>
    </row>
    <row r="846" spans="1:3" x14ac:dyDescent="0.45">
      <c r="A846">
        <f ca="1">randcorrWithFeedback!D845</f>
        <v>-0.58970155687987469</v>
      </c>
      <c r="B846">
        <f t="shared" ca="1" si="13"/>
        <v>215.69189926427657</v>
      </c>
      <c r="C846">
        <f ca="1">$E$10 - 0.5*MAX('HE2'!B845,0)/10000</f>
        <v>-6.695401314294044E-5</v>
      </c>
    </row>
    <row r="847" spans="1:3" x14ac:dyDescent="0.45">
      <c r="A847">
        <f ca="1">randcorrWithFeedback!D846</f>
        <v>-2.1473221386340473</v>
      </c>
      <c r="B847">
        <f t="shared" ca="1" si="13"/>
        <v>211.10189115188075</v>
      </c>
      <c r="C847">
        <f ca="1">$E$10 - 0.5*MAX('HE2'!B846,0)/10000</f>
        <v>-3.6862363399508538E-5</v>
      </c>
    </row>
    <row r="848" spans="1:3" x14ac:dyDescent="0.45">
      <c r="A848">
        <f ca="1">randcorrWithFeedback!D847</f>
        <v>-2.0272958899790843</v>
      </c>
      <c r="B848">
        <f t="shared" ca="1" si="13"/>
        <v>206.8662247490407</v>
      </c>
      <c r="C848">
        <f ca="1">$E$10 - 0.5*MAX('HE2'!B847,0)/10000</f>
        <v>4.3726264119877968E-6</v>
      </c>
    </row>
    <row r="849" spans="1:3" x14ac:dyDescent="0.45">
      <c r="A849">
        <f ca="1">randcorrWithFeedback!D848</f>
        <v>0.32618367754412725</v>
      </c>
      <c r="B849">
        <f t="shared" ca="1" si="13"/>
        <v>207.54318908015091</v>
      </c>
      <c r="C849">
        <f ca="1">$E$10 - 0.5*MAX('HE2'!B848,0)/10000</f>
        <v>5.294282334960404E-6</v>
      </c>
    </row>
    <row r="850" spans="1:3" x14ac:dyDescent="0.45">
      <c r="A850">
        <f ca="1">randcorrWithFeedback!D849</f>
        <v>1.4908137057974242</v>
      </c>
      <c r="B850">
        <f t="shared" ca="1" si="13"/>
        <v>210.6562201567948</v>
      </c>
      <c r="C850">
        <f ca="1">$E$10 - 0.5*MAX('HE2'!B849,0)/10000</f>
        <v>-2.00788299647486E-5</v>
      </c>
    </row>
    <row r="851" spans="1:3" x14ac:dyDescent="0.45">
      <c r="A851">
        <f ca="1">randcorrWithFeedback!D850</f>
        <v>2.610064120978576</v>
      </c>
      <c r="B851">
        <f t="shared" ca="1" si="13"/>
        <v>216.21861730255969</v>
      </c>
      <c r="C851">
        <f ca="1">$E$10 - 0.5*MAX('HE2'!B850,0)/10000</f>
        <v>-3.8144615272094442E-5</v>
      </c>
    </row>
    <row r="852" spans="1:3" x14ac:dyDescent="0.45">
      <c r="A852">
        <f ca="1">randcorrWithFeedback!D851</f>
        <v>0.15360642486386258</v>
      </c>
      <c r="B852">
        <f t="shared" ca="1" si="13"/>
        <v>216.53774956444744</v>
      </c>
      <c r="C852">
        <f ca="1">$E$10 - 0.5*MAX('HE2'!B851,0)/10000</f>
        <v>-6.1182101678025901E-5</v>
      </c>
    </row>
    <row r="853" spans="1:3" x14ac:dyDescent="0.45">
      <c r="A853">
        <f ca="1">randcorrWithFeedback!D852</f>
        <v>2.2504715013622576</v>
      </c>
      <c r="B853">
        <f t="shared" ca="1" si="13"/>
        <v>221.44350497290156</v>
      </c>
      <c r="C853">
        <f ca="1">$E$10 - 0.5*MAX('HE2'!B852,0)/10000</f>
        <v>-1.0210974402392677E-4</v>
      </c>
    </row>
    <row r="854" spans="1:3" x14ac:dyDescent="0.45">
      <c r="A854">
        <f ca="1">randcorrWithFeedback!D853</f>
        <v>0.89949264375772031</v>
      </c>
      <c r="B854">
        <f t="shared" ca="1" si="13"/>
        <v>223.42854970188318</v>
      </c>
      <c r="C854">
        <f ca="1">$E$10 - 0.5*MAX('HE2'!B853,0)/10000</f>
        <v>-7.0752026835719075E-5</v>
      </c>
    </row>
    <row r="855" spans="1:3" x14ac:dyDescent="0.45">
      <c r="A855">
        <f ca="1">randcorrWithFeedback!D854</f>
        <v>9.9711384536938133E-2</v>
      </c>
      <c r="B855">
        <f t="shared" ca="1" si="13"/>
        <v>223.63347370858003</v>
      </c>
      <c r="C855">
        <f ca="1">$E$10 - 0.5*MAX('HE2'!B854,0)/10000</f>
        <v>-8.0355049863329231E-5</v>
      </c>
    </row>
    <row r="856" spans="1:3" x14ac:dyDescent="0.45">
      <c r="A856">
        <f ca="1">randcorrWithFeedback!D855</f>
        <v>-0.79761603772498546</v>
      </c>
      <c r="B856">
        <f t="shared" ca="1" si="13"/>
        <v>221.84348146808964</v>
      </c>
      <c r="C856">
        <f ca="1">$E$10 - 0.5*MAX('HE2'!B855,0)/10000</f>
        <v>-6.0178442210114506E-5</v>
      </c>
    </row>
    <row r="857" spans="1:3" x14ac:dyDescent="0.45">
      <c r="A857">
        <f ca="1">randcorrWithFeedback!D856</f>
        <v>-1.9220990649250826</v>
      </c>
      <c r="B857">
        <f t="shared" ca="1" si="13"/>
        <v>217.61127063083489</v>
      </c>
      <c r="C857">
        <f ca="1">$E$10 - 0.5*MAX('HE2'!B856,0)/10000</f>
        <v>-4.0795315590060098E-5</v>
      </c>
    </row>
    <row r="858" spans="1:3" x14ac:dyDescent="0.45">
      <c r="A858">
        <f ca="1">randcorrWithFeedback!D857</f>
        <v>-1.3032790993261376</v>
      </c>
      <c r="B858">
        <f t="shared" ca="1" si="13"/>
        <v>214.78696782906502</v>
      </c>
      <c r="C858">
        <f ca="1">$E$10 - 0.5*MAX('HE2'!B857,0)/10000</f>
        <v>-3.082821838091071E-5</v>
      </c>
    </row>
    <row r="859" spans="1:3" x14ac:dyDescent="0.45">
      <c r="A859">
        <f ca="1">randcorrWithFeedback!D858</f>
        <v>1.5727405017990599</v>
      </c>
      <c r="B859">
        <f t="shared" ca="1" si="13"/>
        <v>218.18070931463049</v>
      </c>
      <c r="C859">
        <f ca="1">$E$10 - 0.5*MAX('HE2'!B858,0)/10000</f>
        <v>-5.0433408473237205E-5</v>
      </c>
    </row>
    <row r="860" spans="1:3" x14ac:dyDescent="0.45">
      <c r="A860">
        <f ca="1">randcorrWithFeedback!D859</f>
        <v>1.5272061841475699</v>
      </c>
      <c r="B860">
        <f t="shared" ca="1" si="13"/>
        <v>221.52015599867062</v>
      </c>
      <c r="C860">
        <f ca="1">$E$10 - 0.5*MAX('HE2'!B859,0)/10000</f>
        <v>-8.2139976474283275E-5</v>
      </c>
    </row>
    <row r="861" spans="1:3" x14ac:dyDescent="0.45">
      <c r="A861">
        <f ca="1">randcorrWithFeedback!D860</f>
        <v>1.4949715188394006</v>
      </c>
      <c r="B861">
        <f t="shared" ca="1" si="13"/>
        <v>224.8300732374498</v>
      </c>
      <c r="C861">
        <f ca="1">$E$10 - 0.5*MAX('HE2'!B860,0)/10000</f>
        <v>-1.1841145144941346E-4</v>
      </c>
    </row>
    <row r="862" spans="1:3" x14ac:dyDescent="0.45">
      <c r="A862">
        <f ca="1">randcorrWithFeedback!D861</f>
        <v>0.92037540983513388</v>
      </c>
      <c r="B862">
        <f t="shared" ca="1" si="13"/>
        <v>226.87301205792394</v>
      </c>
      <c r="C862">
        <f ca="1">$E$10 - 0.5*MAX('HE2'!B861,0)/10000</f>
        <v>-1.5819821550211888E-4</v>
      </c>
    </row>
    <row r="863" spans="1:3" x14ac:dyDescent="0.45">
      <c r="A863">
        <f ca="1">randcorrWithFeedback!D862</f>
        <v>-8.2972366551695514E-2</v>
      </c>
      <c r="B863">
        <f t="shared" ca="1" si="13"/>
        <v>226.64971114214126</v>
      </c>
      <c r="C863">
        <f ca="1">$E$10 - 0.5*MAX('HE2'!B862,0)/10000</f>
        <v>-1.5501611665704872E-4</v>
      </c>
    </row>
    <row r="864" spans="1:3" x14ac:dyDescent="0.45">
      <c r="A864">
        <f ca="1">randcorrWithFeedback!D863</f>
        <v>-0.21172359137244795</v>
      </c>
      <c r="B864">
        <f t="shared" ca="1" si="13"/>
        <v>226.13997186194251</v>
      </c>
      <c r="C864">
        <f ca="1">$E$10 - 0.5*MAX('HE2'!B863,0)/10000</f>
        <v>-1.3431492621340343E-4</v>
      </c>
    </row>
    <row r="865" spans="1:3" x14ac:dyDescent="0.45">
      <c r="A865">
        <f ca="1">randcorrWithFeedback!D864</f>
        <v>1.9868496344443543</v>
      </c>
      <c r="B865">
        <f t="shared" ca="1" si="13"/>
        <v>230.64504218259219</v>
      </c>
      <c r="C865">
        <f ca="1">$E$10 - 0.5*MAX('HE2'!B864,0)/10000</f>
        <v>-1.4273363229976618E-4</v>
      </c>
    </row>
    <row r="866" spans="1:3" x14ac:dyDescent="0.45">
      <c r="A866">
        <f ca="1">randcorrWithFeedback!D865</f>
        <v>2.9173967727879826</v>
      </c>
      <c r="B866">
        <f t="shared" ca="1" si="13"/>
        <v>237.42734470732586</v>
      </c>
      <c r="C866">
        <f ca="1">$E$10 - 0.5*MAX('HE2'!B865,0)/10000</f>
        <v>-1.9222286876226328E-4</v>
      </c>
    </row>
    <row r="867" spans="1:3" x14ac:dyDescent="0.45">
      <c r="A867">
        <f ca="1">randcorrWithFeedback!D866</f>
        <v>-4.0734237192250857</v>
      </c>
      <c r="B867">
        <f t="shared" ca="1" si="13"/>
        <v>227.91943488335932</v>
      </c>
      <c r="C867">
        <f ca="1">$E$10 - 0.5*MAX('HE2'!B866,0)/10000</f>
        <v>-1.3521172366326174E-4</v>
      </c>
    </row>
    <row r="868" spans="1:3" x14ac:dyDescent="0.45">
      <c r="A868">
        <f ca="1">randcorrWithFeedback!D867</f>
        <v>1.9685632151075181</v>
      </c>
      <c r="B868">
        <f t="shared" ca="1" si="13"/>
        <v>232.41304030189309</v>
      </c>
      <c r="C868">
        <f ca="1">$E$10 - 0.5*MAX('HE2'!B867,0)/10000</f>
        <v>-1.6170802841739115E-4</v>
      </c>
    </row>
    <row r="869" spans="1:3" x14ac:dyDescent="0.45">
      <c r="A869">
        <f ca="1">randcorrWithFeedback!D868</f>
        <v>-1.8174551866275179</v>
      </c>
      <c r="B869">
        <f t="shared" ca="1" si="13"/>
        <v>228.19412678935876</v>
      </c>
      <c r="C869">
        <f ca="1">$E$10 - 0.5*MAX('HE2'!B868,0)/10000</f>
        <v>-1.4488301382565774E-4</v>
      </c>
    </row>
    <row r="870" spans="1:3" x14ac:dyDescent="0.45">
      <c r="A870">
        <f ca="1">randcorrWithFeedback!D869</f>
        <v>0.6220114331267812</v>
      </c>
      <c r="B870">
        <f t="shared" ca="1" si="13"/>
        <v>229.5844433457105</v>
      </c>
      <c r="C870">
        <f ca="1">$E$10 - 0.5*MAX('HE2'!B869,0)/10000</f>
        <v>-1.4590762169033151E-4</v>
      </c>
    </row>
    <row r="871" spans="1:3" x14ac:dyDescent="0.45">
      <c r="A871">
        <f ca="1">randcorrWithFeedback!D870</f>
        <v>-2.1878175551476473</v>
      </c>
      <c r="B871">
        <f t="shared" ca="1" si="13"/>
        <v>224.59136509270041</v>
      </c>
      <c r="C871">
        <f ca="1">$E$10 - 0.5*MAX('HE2'!B870,0)/10000</f>
        <v>-1.1013528392036961E-4</v>
      </c>
    </row>
    <row r="872" spans="1:3" x14ac:dyDescent="0.45">
      <c r="A872">
        <f ca="1">randcorrWithFeedback!D871</f>
        <v>-2.9158134982003072</v>
      </c>
      <c r="B872">
        <f t="shared" ca="1" si="13"/>
        <v>218.12145352246594</v>
      </c>
      <c r="C872">
        <f ca="1">$E$10 - 0.5*MAX('HE2'!B871,0)/10000</f>
        <v>-7.2426967851330195E-5</v>
      </c>
    </row>
    <row r="873" spans="1:3" x14ac:dyDescent="0.45">
      <c r="A873">
        <f ca="1">randcorrWithFeedback!D872</f>
        <v>0.59319171741069077</v>
      </c>
      <c r="B873">
        <f t="shared" ca="1" si="13"/>
        <v>219.40942972292385</v>
      </c>
      <c r="C873">
        <f ca="1">$E$10 - 0.5*MAX('HE2'!B872,0)/10000</f>
        <v>-4.4424564293746516E-5</v>
      </c>
    </row>
    <row r="874" spans="1:3" x14ac:dyDescent="0.45">
      <c r="A874">
        <f ca="1">randcorrWithFeedback!D873</f>
        <v>0.14989553031012331</v>
      </c>
      <c r="B874">
        <f t="shared" ca="1" si="13"/>
        <v>219.72593514044169</v>
      </c>
      <c r="C874">
        <f ca="1">$E$10 - 0.5*MAX('HE2'!B873,0)/10000</f>
        <v>-5.7461414664457174E-5</v>
      </c>
    </row>
    <row r="875" spans="1:3" x14ac:dyDescent="0.45">
      <c r="A875">
        <f ca="1">randcorrWithFeedback!D874</f>
        <v>-0.66379793108181617</v>
      </c>
      <c r="B875">
        <f t="shared" ca="1" si="13"/>
        <v>218.2603961265267</v>
      </c>
      <c r="C875">
        <f ca="1">$E$10 - 0.5*MAX('HE2'!B874,0)/10000</f>
        <v>-5.4213476292335383E-5</v>
      </c>
    </row>
    <row r="876" spans="1:3" x14ac:dyDescent="0.45">
      <c r="A876">
        <f ca="1">randcorrWithFeedback!D875</f>
        <v>-0.64813155522548782</v>
      </c>
      <c r="B876">
        <f t="shared" ca="1" si="13"/>
        <v>216.843016837432</v>
      </c>
      <c r="C876">
        <f ca="1">$E$10 - 0.5*MAX('HE2'!B875,0)/10000</f>
        <v>-3.3845030367125574E-5</v>
      </c>
    </row>
    <row r="877" spans="1:3" x14ac:dyDescent="0.45">
      <c r="A877">
        <f ca="1">randcorrWithFeedback!D876</f>
        <v>2.1409856097321276</v>
      </c>
      <c r="B877">
        <f t="shared" ca="1" si="13"/>
        <v>221.52665714535041</v>
      </c>
      <c r="C877">
        <f ca="1">$E$10 - 0.5*MAX('HE2'!B876,0)/10000</f>
        <v>-4.0592597637681118E-5</v>
      </c>
    </row>
    <row r="878" spans="1:3" x14ac:dyDescent="0.45">
      <c r="A878">
        <f ca="1">randcorrWithFeedback!D877</f>
        <v>-0.80640814467497313</v>
      </c>
      <c r="B878">
        <f t="shared" ca="1" si="13"/>
        <v>219.74213122858157</v>
      </c>
      <c r="C878">
        <f ca="1">$E$10 - 0.5*MAX('HE2'!B877,0)/10000</f>
        <v>-2.4120992533413509E-5</v>
      </c>
    </row>
    <row r="879" spans="1:3" x14ac:dyDescent="0.45">
      <c r="A879">
        <f ca="1">randcorrWithFeedback!D878</f>
        <v>1.5521222439030151</v>
      </c>
      <c r="B879">
        <f t="shared" ca="1" si="13"/>
        <v>223.16644583711047</v>
      </c>
      <c r="C879">
        <f ca="1">$E$10 - 0.5*MAX('HE2'!B878,0)/10000</f>
        <v>-5.8063594552784761E-5</v>
      </c>
    </row>
    <row r="880" spans="1:3" x14ac:dyDescent="0.45">
      <c r="A880">
        <f ca="1">randcorrWithFeedback!D879</f>
        <v>2.8199767548011625</v>
      </c>
      <c r="B880">
        <f t="shared" ca="1" si="13"/>
        <v>229.52618858857898</v>
      </c>
      <c r="C880">
        <f ca="1">$E$10 - 0.5*MAX('HE2'!B879,0)/10000</f>
        <v>-1.0051999567426879E-4</v>
      </c>
    </row>
    <row r="881" spans="1:3" x14ac:dyDescent="0.45">
      <c r="A881">
        <f ca="1">randcorrWithFeedback!D880</f>
        <v>4.5815571446231251</v>
      </c>
      <c r="B881">
        <f t="shared" ca="1" si="13"/>
        <v>240.25383768950664</v>
      </c>
      <c r="C881">
        <f ca="1">$E$10 - 0.5*MAX('HE2'!B880,0)/10000</f>
        <v>-1.3668447722405409E-4</v>
      </c>
    </row>
    <row r="882" spans="1:3" x14ac:dyDescent="0.45">
      <c r="A882">
        <f ca="1">randcorrWithFeedback!D881</f>
        <v>-0.98313826913753877</v>
      </c>
      <c r="B882">
        <f t="shared" ca="1" si="13"/>
        <v>237.87096130117843</v>
      </c>
      <c r="C882">
        <f ca="1">$E$10 - 0.5*MAX('HE2'!B881,0)/10000</f>
        <v>-1.3629153282710145E-4</v>
      </c>
    </row>
    <row r="883" spans="1:3" x14ac:dyDescent="0.45">
      <c r="A883">
        <f ca="1">randcorrWithFeedback!D882</f>
        <v>6.0489104788486019</v>
      </c>
      <c r="B883">
        <f t="shared" ca="1" si="13"/>
        <v>252.65615605524596</v>
      </c>
      <c r="C883">
        <f ca="1">$E$10 - 0.5*MAX('HE2'!B882,0)/10000</f>
        <v>-1.8795463767354423E-4</v>
      </c>
    </row>
    <row r="884" spans="1:3" x14ac:dyDescent="0.45">
      <c r="A884">
        <f ca="1">randcorrWithFeedback!D883</f>
        <v>0.95565447162916928</v>
      </c>
      <c r="B884">
        <f t="shared" ca="1" si="13"/>
        <v>255.03442524687978</v>
      </c>
      <c r="C884">
        <f ca="1">$E$10 - 0.5*MAX('HE2'!B883,0)/10000</f>
        <v>-1.8750508459164768E-4</v>
      </c>
    </row>
    <row r="885" spans="1:3" x14ac:dyDescent="0.45">
      <c r="A885">
        <f ca="1">randcorrWithFeedback!D884</f>
        <v>-0.80810044700873951</v>
      </c>
      <c r="B885">
        <f t="shared" ca="1" si="13"/>
        <v>252.93729639323575</v>
      </c>
      <c r="C885">
        <f ca="1">$E$10 - 0.5*MAX('HE2'!B884,0)/10000</f>
        <v>-1.7591487759887627E-4</v>
      </c>
    </row>
    <row r="886" spans="1:3" x14ac:dyDescent="0.45">
      <c r="A886">
        <f ca="1">randcorrWithFeedback!D885</f>
        <v>2.9627877542005798</v>
      </c>
      <c r="B886">
        <f t="shared" ca="1" si="13"/>
        <v>260.48558942326724</v>
      </c>
      <c r="C886">
        <f ca="1">$E$10 - 0.5*MAX('HE2'!B885,0)/10000</f>
        <v>-2.2195445841872232E-4</v>
      </c>
    </row>
    <row r="887" spans="1:3" x14ac:dyDescent="0.45">
      <c r="A887">
        <f ca="1">randcorrWithFeedback!D886</f>
        <v>0.68026717091721267</v>
      </c>
      <c r="B887">
        <f t="shared" ca="1" si="13"/>
        <v>262.20105387154223</v>
      </c>
      <c r="C887">
        <f ca="1">$E$10 - 0.5*MAX('HE2'!B886,0)/10000</f>
        <v>-2.3862179605624811E-4</v>
      </c>
    </row>
    <row r="888" spans="1:3" x14ac:dyDescent="0.45">
      <c r="A888">
        <f ca="1">randcorrWithFeedback!D887</f>
        <v>-0.71922800995041913</v>
      </c>
      <c r="B888">
        <f t="shared" ca="1" si="13"/>
        <v>260.25983952917784</v>
      </c>
      <c r="C888">
        <f ca="1">$E$10 - 0.5*MAX('HE2'!B887,0)/10000</f>
        <v>-2.387957947537798E-4</v>
      </c>
    </row>
    <row r="889" spans="1:3" x14ac:dyDescent="0.45">
      <c r="A889">
        <f ca="1">randcorrWithFeedback!D888</f>
        <v>0.93694149879714517</v>
      </c>
      <c r="B889">
        <f t="shared" ca="1" si="13"/>
        <v>262.64319965906901</v>
      </c>
      <c r="C889">
        <f ca="1">$E$10 - 0.5*MAX('HE2'!B888,0)/10000</f>
        <v>-2.5347395839622132E-4</v>
      </c>
    </row>
    <row r="890" spans="1:3" x14ac:dyDescent="0.45">
      <c r="A890">
        <f ca="1">randcorrWithFeedback!D889</f>
        <v>-1.6275206944808602</v>
      </c>
      <c r="B890">
        <f t="shared" ca="1" si="13"/>
        <v>258.34816395132162</v>
      </c>
      <c r="C890">
        <f ca="1">$E$10 - 0.5*MAX('HE2'!B889,0)/10000</f>
        <v>-2.1310097305860291E-4</v>
      </c>
    </row>
    <row r="891" spans="1:3" x14ac:dyDescent="0.45">
      <c r="A891">
        <f ca="1">randcorrWithFeedback!D890</f>
        <v>-0.5407291944097975</v>
      </c>
      <c r="B891">
        <f t="shared" ca="1" si="13"/>
        <v>256.90938715881208</v>
      </c>
      <c r="C891">
        <f ca="1">$E$10 - 0.5*MAX('HE2'!B890,0)/10000</f>
        <v>-1.7741236115353118E-4</v>
      </c>
    </row>
    <row r="892" spans="1:3" x14ac:dyDescent="0.45">
      <c r="A892">
        <f ca="1">randcorrWithFeedback!D891</f>
        <v>0.74719313588300107</v>
      </c>
      <c r="B892">
        <f t="shared" ca="1" si="13"/>
        <v>258.77874734572379</v>
      </c>
      <c r="C892">
        <f ca="1">$E$10 - 0.5*MAX('HE2'!B891,0)/10000</f>
        <v>-2.2193567344190167E-4</v>
      </c>
    </row>
    <row r="893" spans="1:3" x14ac:dyDescent="0.45">
      <c r="A893">
        <f ca="1">randcorrWithFeedback!D892</f>
        <v>-1.436352780378664</v>
      </c>
      <c r="B893">
        <f t="shared" ca="1" si="13"/>
        <v>255.02575904564378</v>
      </c>
      <c r="C893">
        <f ca="1">$E$10 - 0.5*MAX('HE2'!B892,0)/10000</f>
        <v>-2.4535553565135037E-4</v>
      </c>
    </row>
    <row r="894" spans="1:3" x14ac:dyDescent="0.45">
      <c r="A894">
        <f ca="1">randcorrWithFeedback!D893</f>
        <v>-2.6281686258615613</v>
      </c>
      <c r="B894">
        <f t="shared" ca="1" si="13"/>
        <v>248.35886664132792</v>
      </c>
      <c r="C894">
        <f ca="1">$E$10 - 0.5*MAX('HE2'!B893,0)/10000</f>
        <v>-2.0812654743961609E-4</v>
      </c>
    </row>
    <row r="895" spans="1:3" x14ac:dyDescent="0.45">
      <c r="A895">
        <f ca="1">randcorrWithFeedback!D894</f>
        <v>6.8410879459770344</v>
      </c>
      <c r="B895">
        <f t="shared" ca="1" si="13"/>
        <v>265.87036126176719</v>
      </c>
      <c r="C895">
        <f ca="1">$E$10 - 0.5*MAX('HE2'!B894,0)/10000</f>
        <v>-2.7679627179795475E-4</v>
      </c>
    </row>
    <row r="896" spans="1:3" x14ac:dyDescent="0.45">
      <c r="A896">
        <f ca="1">randcorrWithFeedback!D895</f>
        <v>0.4229056813508702</v>
      </c>
      <c r="B896">
        <f t="shared" ca="1" si="13"/>
        <v>266.92516408049346</v>
      </c>
      <c r="C896">
        <f ca="1">$E$10 - 0.5*MAX('HE2'!B895,0)/10000</f>
        <v>-2.6954834683208989E-4</v>
      </c>
    </row>
    <row r="897" spans="1:3" x14ac:dyDescent="0.45">
      <c r="A897">
        <f ca="1">randcorrWithFeedback!D896</f>
        <v>-7.2001738119500214</v>
      </c>
      <c r="B897">
        <f t="shared" ca="1" si="13"/>
        <v>248.3349500564949</v>
      </c>
      <c r="C897">
        <f ca="1">$E$10 - 0.5*MAX('HE2'!B896,0)/10000</f>
        <v>-1.8815666616230298E-4</v>
      </c>
    </row>
    <row r="898" spans="1:3" x14ac:dyDescent="0.45">
      <c r="A898">
        <f ca="1">randcorrWithFeedback!D897</f>
        <v>0.19101150812116899</v>
      </c>
      <c r="B898">
        <f t="shared" ca="1" si="13"/>
        <v>248.76464206842999</v>
      </c>
      <c r="C898">
        <f ca="1">$E$10 - 0.5*MAX('HE2'!B897,0)/10000</f>
        <v>-1.8131817305880305E-4</v>
      </c>
    </row>
    <row r="899" spans="1:3" x14ac:dyDescent="0.45">
      <c r="A899">
        <f ca="1">randcorrWithFeedback!D898</f>
        <v>0.90054381284302865</v>
      </c>
      <c r="B899">
        <f t="shared" ca="1" si="13"/>
        <v>250.96466908088757</v>
      </c>
      <c r="C899">
        <f ca="1">$E$10 - 0.5*MAX('HE2'!B898,0)/10000</f>
        <v>-2.0050643128951922E-4</v>
      </c>
    </row>
    <row r="900" spans="1:3" x14ac:dyDescent="0.45">
      <c r="A900">
        <f ca="1">randcorrWithFeedback!D899</f>
        <v>-3.8695811697952092</v>
      </c>
      <c r="B900">
        <f t="shared" ref="B900:B963" ca="1" si="14">B899*EXP(C900+A900/100)</f>
        <v>241.40290768066146</v>
      </c>
      <c r="C900">
        <f ca="1">$E$10 - 0.5*MAX('HE2'!B899,0)/10000</f>
        <v>-1.4900322815755441E-4</v>
      </c>
    </row>
    <row r="901" spans="1:3" x14ac:dyDescent="0.45">
      <c r="A901">
        <f ca="1">randcorrWithFeedback!D900</f>
        <v>-1.1803506113422677</v>
      </c>
      <c r="B901">
        <f t="shared" ca="1" si="14"/>
        <v>238.54572830426281</v>
      </c>
      <c r="C901">
        <f ca="1">$E$10 - 0.5*MAX('HE2'!B900,0)/10000</f>
        <v>-1.0282266872382951E-4</v>
      </c>
    </row>
    <row r="902" spans="1:3" x14ac:dyDescent="0.45">
      <c r="A902">
        <f ca="1">randcorrWithFeedback!D901</f>
        <v>1.4808080256608589</v>
      </c>
      <c r="B902">
        <f t="shared" ca="1" si="14"/>
        <v>242.07403368704246</v>
      </c>
      <c r="C902">
        <f ca="1">$E$10 - 0.5*MAX('HE2'!B901,0)/10000</f>
        <v>-1.2550144051156676E-4</v>
      </c>
    </row>
    <row r="903" spans="1:3" x14ac:dyDescent="0.45">
      <c r="A903">
        <f ca="1">randcorrWithFeedback!D902</f>
        <v>-2.4811467354789292</v>
      </c>
      <c r="B903">
        <f t="shared" ca="1" si="14"/>
        <v>236.11690124530077</v>
      </c>
      <c r="C903">
        <f ca="1">$E$10 - 0.5*MAX('HE2'!B902,0)/10000</f>
        <v>-1.0510970032392671E-4</v>
      </c>
    </row>
    <row r="904" spans="1:3" x14ac:dyDescent="0.45">
      <c r="A904">
        <f ca="1">randcorrWithFeedback!D903</f>
        <v>-5.3521237252915439</v>
      </c>
      <c r="B904">
        <f t="shared" ca="1" si="14"/>
        <v>223.80788152210886</v>
      </c>
      <c r="C904">
        <f ca="1">$E$10 - 0.5*MAX('HE2'!B903,0)/10000</f>
        <v>-1.7777322108893502E-5</v>
      </c>
    </row>
    <row r="905" spans="1:3" x14ac:dyDescent="0.45">
      <c r="A905">
        <f ca="1">randcorrWithFeedback!D904</f>
        <v>-0.78822370952303278</v>
      </c>
      <c r="B905">
        <f t="shared" ca="1" si="14"/>
        <v>222.05221112358828</v>
      </c>
      <c r="C905">
        <f ca="1">$E$10 - 0.5*MAX('HE2'!B904,0)/10000</f>
        <v>6.7644893195650422E-6</v>
      </c>
    </row>
    <row r="906" spans="1:3" x14ac:dyDescent="0.45">
      <c r="A906">
        <f ca="1">randcorrWithFeedback!D905</f>
        <v>-1.8445964522280676</v>
      </c>
      <c r="B906">
        <f t="shared" ca="1" si="14"/>
        <v>218.00228655929402</v>
      </c>
      <c r="C906">
        <f ca="1">$E$10 - 0.5*MAX('HE2'!B905,0)/10000</f>
        <v>3.8976598508936761E-5</v>
      </c>
    </row>
    <row r="907" spans="1:3" x14ac:dyDescent="0.45">
      <c r="A907">
        <f ca="1">randcorrWithFeedback!D906</f>
        <v>0.24754923547967178</v>
      </c>
      <c r="B907">
        <f t="shared" ca="1" si="14"/>
        <v>218.5507733827491</v>
      </c>
      <c r="C907">
        <f ca="1">$E$10 - 0.5*MAX('HE2'!B906,0)/10000</f>
        <v>3.7316109460839989E-5</v>
      </c>
    </row>
    <row r="908" spans="1:3" x14ac:dyDescent="0.45">
      <c r="A908">
        <f ca="1">randcorrWithFeedback!D907</f>
        <v>1.1228024655277329</v>
      </c>
      <c r="B908">
        <f t="shared" ca="1" si="14"/>
        <v>221.02225175433762</v>
      </c>
      <c r="C908">
        <f ca="1">$E$10 - 0.5*MAX('HE2'!B907,0)/10000</f>
        <v>1.6998462683254396E-5</v>
      </c>
    </row>
    <row r="909" spans="1:3" x14ac:dyDescent="0.45">
      <c r="A909">
        <f ca="1">randcorrWithFeedback!D908</f>
        <v>1.4156907366967153</v>
      </c>
      <c r="B909">
        <f t="shared" ca="1" si="14"/>
        <v>224.17538858506614</v>
      </c>
      <c r="C909">
        <f ca="1">$E$10 - 0.5*MAX('HE2'!B908,0)/10000</f>
        <v>8.4397497809806342E-6</v>
      </c>
    </row>
    <row r="910" spans="1:3" x14ac:dyDescent="0.45">
      <c r="A910">
        <f ca="1">randcorrWithFeedback!D909</f>
        <v>1.7992448915064174</v>
      </c>
      <c r="B910">
        <f t="shared" ca="1" si="14"/>
        <v>228.24449097452887</v>
      </c>
      <c r="C910">
        <f ca="1">$E$10 - 0.5*MAX('HE2'!B909,0)/10000</f>
        <v>-3.7958959960898497E-6</v>
      </c>
    </row>
    <row r="911" spans="1:3" x14ac:dyDescent="0.45">
      <c r="A911">
        <f ca="1">randcorrWithFeedback!D910</f>
        <v>2.0477122308900904</v>
      </c>
      <c r="B911">
        <f t="shared" ca="1" si="14"/>
        <v>232.95953304273777</v>
      </c>
      <c r="C911">
        <f ca="1">$E$10 - 0.5*MAX('HE2'!B910,0)/10000</f>
        <v>-2.9745011339724319E-5</v>
      </c>
    </row>
    <row r="912" spans="1:3" x14ac:dyDescent="0.45">
      <c r="A912">
        <f ca="1">randcorrWithFeedback!D911</f>
        <v>-2.8572622994642418</v>
      </c>
      <c r="B912">
        <f t="shared" ca="1" si="14"/>
        <v>226.39879347171143</v>
      </c>
      <c r="C912">
        <f ca="1">$E$10 - 0.5*MAX('HE2'!B911,0)/10000</f>
        <v>5.8795671377866057E-6</v>
      </c>
    </row>
    <row r="913" spans="1:3" x14ac:dyDescent="0.45">
      <c r="A913">
        <f ca="1">randcorrWithFeedback!D912</f>
        <v>-3.2998420494558487</v>
      </c>
      <c r="B913">
        <f t="shared" ca="1" si="14"/>
        <v>219.06368049476009</v>
      </c>
      <c r="C913">
        <f ca="1">$E$10 - 0.5*MAX('HE2'!B912,0)/10000</f>
        <v>6.2869431792799796E-5</v>
      </c>
    </row>
    <row r="914" spans="1:3" x14ac:dyDescent="0.45">
      <c r="A914">
        <f ca="1">randcorrWithFeedback!D913</f>
        <v>-1.0833677665989376</v>
      </c>
      <c r="B914">
        <f t="shared" ca="1" si="14"/>
        <v>216.72111151180803</v>
      </c>
      <c r="C914">
        <f ca="1">$E$10 - 0.5*MAX('HE2'!B913,0)/10000</f>
        <v>8.2538158195262284E-5</v>
      </c>
    </row>
    <row r="915" spans="1:3" x14ac:dyDescent="0.45">
      <c r="A915">
        <f ca="1">randcorrWithFeedback!D914</f>
        <v>1.0147465709717356</v>
      </c>
      <c r="B915">
        <f t="shared" ca="1" si="14"/>
        <v>218.94697841106228</v>
      </c>
      <c r="C915">
        <f ca="1">$E$10 - 0.5*MAX('HE2'!B914,0)/10000</f>
        <v>7.0800526221441787E-5</v>
      </c>
    </row>
    <row r="916" spans="1:3" x14ac:dyDescent="0.45">
      <c r="A916">
        <f ca="1">randcorrWithFeedback!D915</f>
        <v>0.68212832953045466</v>
      </c>
      <c r="B916">
        <f t="shared" ca="1" si="14"/>
        <v>220.45868500651528</v>
      </c>
      <c r="C916">
        <f ca="1">$E$10 - 0.5*MAX('HE2'!B915,0)/10000</f>
        <v>5.9431659104790285E-5</v>
      </c>
    </row>
    <row r="917" spans="1:3" x14ac:dyDescent="0.45">
      <c r="A917">
        <f ca="1">randcorrWithFeedback!D916</f>
        <v>-2.0289084920213125</v>
      </c>
      <c r="B917">
        <f t="shared" ca="1" si="14"/>
        <v>216.04956640707891</v>
      </c>
      <c r="C917">
        <f ca="1">$E$10 - 0.5*MAX('HE2'!B916,0)/10000</f>
        <v>8.6632640007018255E-5</v>
      </c>
    </row>
    <row r="918" spans="1:3" x14ac:dyDescent="0.45">
      <c r="A918">
        <f ca="1">randcorrWithFeedback!D917</f>
        <v>0.31295158619234209</v>
      </c>
      <c r="B918">
        <f t="shared" ca="1" si="14"/>
        <v>216.74338475400151</v>
      </c>
      <c r="C918">
        <f ca="1">$E$10 - 0.5*MAX('HE2'!B917,0)/10000</f>
        <v>7.6723701038782719E-5</v>
      </c>
    </row>
    <row r="919" spans="1:3" x14ac:dyDescent="0.45">
      <c r="A919">
        <f ca="1">randcorrWithFeedback!D918</f>
        <v>-4.8645671769465833E-2</v>
      </c>
      <c r="B919">
        <f t="shared" ca="1" si="14"/>
        <v>216.6556910491916</v>
      </c>
      <c r="C919">
        <f ca="1">$E$10 - 0.5*MAX('HE2'!B918,0)/10000</f>
        <v>8.177793131672033E-5</v>
      </c>
    </row>
    <row r="920" spans="1:3" x14ac:dyDescent="0.45">
      <c r="A920">
        <f ca="1">randcorrWithFeedback!D919</f>
        <v>1.3574426289624688</v>
      </c>
      <c r="B920">
        <f t="shared" ca="1" si="14"/>
        <v>219.62813853019483</v>
      </c>
      <c r="C920">
        <f ca="1">$E$10 - 0.5*MAX('HE2'!B919,0)/10000</f>
        <v>5.1994278074039114E-5</v>
      </c>
    </row>
    <row r="921" spans="1:3" x14ac:dyDescent="0.45">
      <c r="A921">
        <f ca="1">randcorrWithFeedback!D920</f>
        <v>1.4158641067834961</v>
      </c>
      <c r="B921">
        <f t="shared" ca="1" si="14"/>
        <v>222.77077088859926</v>
      </c>
      <c r="C921">
        <f ca="1">$E$10 - 0.5*MAX('HE2'!B920,0)/10000</f>
        <v>4.8831661462238628E-5</v>
      </c>
    </row>
    <row r="922" spans="1:3" x14ac:dyDescent="0.45">
      <c r="A922">
        <f ca="1">randcorrWithFeedback!D921</f>
        <v>-0.72480176391541284</v>
      </c>
      <c r="B922">
        <f t="shared" ca="1" si="14"/>
        <v>221.17837074701407</v>
      </c>
      <c r="C922">
        <f ca="1">$E$10 - 0.5*MAX('HE2'!B921,0)/10000</f>
        <v>7.4191533952637796E-5</v>
      </c>
    </row>
    <row r="923" spans="1:3" x14ac:dyDescent="0.45">
      <c r="A923">
        <f ca="1">randcorrWithFeedback!D922</f>
        <v>-0.10330648466480387</v>
      </c>
      <c r="B923">
        <f t="shared" ca="1" si="14"/>
        <v>220.96433413891677</v>
      </c>
      <c r="C923">
        <f ca="1">$E$10 - 0.5*MAX('HE2'!B922,0)/10000</f>
        <v>6.4885919566904068E-5</v>
      </c>
    </row>
    <row r="924" spans="1:3" x14ac:dyDescent="0.45">
      <c r="A924">
        <f ca="1">randcorrWithFeedback!D923</f>
        <v>-0.84387258947180044</v>
      </c>
      <c r="B924">
        <f t="shared" ca="1" si="14"/>
        <v>219.12521560824254</v>
      </c>
      <c r="C924">
        <f ca="1">$E$10 - 0.5*MAX('HE2'!B923,0)/10000</f>
        <v>8.0748579385703849E-5</v>
      </c>
    </row>
    <row r="925" spans="1:3" x14ac:dyDescent="0.45">
      <c r="A925">
        <f ca="1">randcorrWithFeedback!D924</f>
        <v>-1.4596524610939166</v>
      </c>
      <c r="B925">
        <f t="shared" ca="1" si="14"/>
        <v>215.97048833252745</v>
      </c>
      <c r="C925">
        <f ca="1">$E$10 - 0.5*MAX('HE2'!B924,0)/10000</f>
        <v>9.4967678663973259E-5</v>
      </c>
    </row>
    <row r="926" spans="1:3" x14ac:dyDescent="0.45">
      <c r="A926">
        <f ca="1">randcorrWithFeedback!D925</f>
        <v>-0.27666214504035264</v>
      </c>
      <c r="B926">
        <f t="shared" ca="1" si="14"/>
        <v>215.39267373864766</v>
      </c>
      <c r="C926">
        <f ca="1">$E$10 - 0.5*MAX('HE2'!B925,0)/10000</f>
        <v>8.7602979315711823E-5</v>
      </c>
    </row>
    <row r="927" spans="1:3" x14ac:dyDescent="0.45">
      <c r="A927">
        <f ca="1">randcorrWithFeedback!D926</f>
        <v>6.017846413616296E-3</v>
      </c>
      <c r="B927">
        <f t="shared" ca="1" si="14"/>
        <v>215.42449898057464</v>
      </c>
      <c r="C927">
        <f ca="1">$E$10 - 0.5*MAX('HE2'!B926,0)/10000</f>
        <v>8.7565144986898538E-5</v>
      </c>
    </row>
    <row r="928" spans="1:3" x14ac:dyDescent="0.45">
      <c r="A928">
        <f ca="1">randcorrWithFeedback!D927</f>
        <v>0.48284224029201733</v>
      </c>
      <c r="B928">
        <f t="shared" ca="1" si="14"/>
        <v>216.48455218515997</v>
      </c>
      <c r="C928">
        <f ca="1">$E$10 - 0.5*MAX('HE2'!B927,0)/10000</f>
        <v>8.0274602844792841E-5</v>
      </c>
    </row>
    <row r="929" spans="1:3" x14ac:dyDescent="0.45">
      <c r="A929">
        <f ca="1">randcorrWithFeedback!D928</f>
        <v>-1.3340844516187782</v>
      </c>
      <c r="B929">
        <f t="shared" ca="1" si="14"/>
        <v>213.63662192915734</v>
      </c>
      <c r="C929">
        <f ca="1">$E$10 - 0.5*MAX('HE2'!B928,0)/10000</f>
        <v>9.8195482042375747E-5</v>
      </c>
    </row>
    <row r="930" spans="1:3" x14ac:dyDescent="0.45">
      <c r="A930">
        <f ca="1">randcorrWithFeedback!D929</f>
        <v>-3.2070543795883415E-2</v>
      </c>
      <c r="B930">
        <f t="shared" ca="1" si="14"/>
        <v>213.58807042479447</v>
      </c>
      <c r="C930">
        <f ca="1">$E$10 - 0.5*MAX('HE2'!B929,0)/10000</f>
        <v>9.3417523936904513E-5</v>
      </c>
    </row>
    <row r="931" spans="1:3" x14ac:dyDescent="0.45">
      <c r="A931">
        <f ca="1">randcorrWithFeedback!D930</f>
        <v>0.38871724974334249</v>
      </c>
      <c r="B931">
        <f t="shared" ca="1" si="14"/>
        <v>214.43832710355275</v>
      </c>
      <c r="C931">
        <f ca="1">$E$10 - 0.5*MAX('HE2'!B930,0)/10000</f>
        <v>8.5749743094951696E-5</v>
      </c>
    </row>
    <row r="932" spans="1:3" x14ac:dyDescent="0.45">
      <c r="A932">
        <f ca="1">randcorrWithFeedback!D931</f>
        <v>-1.0634138630426648</v>
      </c>
      <c r="B932">
        <f t="shared" ca="1" si="14"/>
        <v>212.19227779999062</v>
      </c>
      <c r="C932">
        <f ca="1">$E$10 - 0.5*MAX('HE2'!B931,0)/10000</f>
        <v>1.0479531195001765E-4</v>
      </c>
    </row>
    <row r="933" spans="1:3" x14ac:dyDescent="0.45">
      <c r="A933">
        <f ca="1">randcorrWithFeedback!D932</f>
        <v>-0.54035398266662948</v>
      </c>
      <c r="B933">
        <f t="shared" ca="1" si="14"/>
        <v>211.07146109915357</v>
      </c>
      <c r="C933">
        <f ca="1">$E$10 - 0.5*MAX('HE2'!B932,0)/10000</f>
        <v>1.0745978202786333E-4</v>
      </c>
    </row>
    <row r="934" spans="1:3" x14ac:dyDescent="0.45">
      <c r="A934">
        <f ca="1">randcorrWithFeedback!D933</f>
        <v>0</v>
      </c>
      <c r="B934">
        <f t="shared" ca="1" si="14"/>
        <v>211.09414401108415</v>
      </c>
      <c r="C934">
        <f ca="1">$E$10 - 0.5*MAX('HE2'!B933,0)/10000</f>
        <v>1.0745978202786333E-4</v>
      </c>
    </row>
    <row r="935" spans="1:3" x14ac:dyDescent="0.45">
      <c r="A935">
        <f ca="1">randcorrWithFeedback!D934</f>
        <v>0</v>
      </c>
      <c r="B935">
        <f t="shared" ca="1" si="14"/>
        <v>211.11682936064648</v>
      </c>
      <c r="C935">
        <f ca="1">$E$10 - 0.5*MAX('HE2'!B934,0)/10000</f>
        <v>1.0745978202786333E-4</v>
      </c>
    </row>
    <row r="936" spans="1:3" x14ac:dyDescent="0.45">
      <c r="A936">
        <f ca="1">randcorrWithFeedback!D935</f>
        <v>0</v>
      </c>
      <c r="B936">
        <f t="shared" ca="1" si="14"/>
        <v>211.13947369559963</v>
      </c>
      <c r="C936">
        <f ca="1">$E$10 - 0.5*MAX('HE2'!B935,0)/10000</f>
        <v>1.0725398205299776E-4</v>
      </c>
    </row>
    <row r="937" spans="1:3" x14ac:dyDescent="0.45">
      <c r="A937">
        <f ca="1">randcorrWithFeedback!D936</f>
        <v>6.1782268007181403E-2</v>
      </c>
      <c r="B937">
        <f t="shared" ca="1" si="14"/>
        <v>211.29229791392268</v>
      </c>
      <c r="C937">
        <f ca="1">$E$10 - 0.5*MAX('HE2'!B936,0)/10000</f>
        <v>1.0572244726524988E-4</v>
      </c>
    </row>
    <row r="938" spans="1:3" x14ac:dyDescent="0.45">
      <c r="A938">
        <f ca="1">randcorrWithFeedback!D937</f>
        <v>0.14846341687319628</v>
      </c>
      <c r="B938">
        <f t="shared" ca="1" si="14"/>
        <v>211.62831781337988</v>
      </c>
      <c r="C938">
        <f ca="1">$E$10 - 0.5*MAX('HE2'!B937,0)/10000</f>
        <v>1.0441095069459428E-4</v>
      </c>
    </row>
    <row r="939" spans="1:3" x14ac:dyDescent="0.45">
      <c r="A939">
        <f ca="1">randcorrWithFeedback!D938</f>
        <v>0.18143827287531386</v>
      </c>
      <c r="B939">
        <f t="shared" ca="1" si="14"/>
        <v>212.03408438814023</v>
      </c>
      <c r="C939">
        <f ca="1">$E$10 - 0.5*MAX('HE2'!B938,0)/10000</f>
        <v>1.0113631056741771E-4</v>
      </c>
    </row>
    <row r="940" spans="1:3" x14ac:dyDescent="0.45">
      <c r="A940">
        <f ca="1">randcorrWithFeedback!D939</f>
        <v>0.16227546965081513</v>
      </c>
      <c r="B940">
        <f t="shared" ca="1" si="14"/>
        <v>212.39915174860116</v>
      </c>
      <c r="C940">
        <f ca="1">$E$10 - 0.5*MAX('HE2'!B939,0)/10000</f>
        <v>9.7503847860994336E-5</v>
      </c>
    </row>
    <row r="941" spans="1:3" x14ac:dyDescent="0.45">
      <c r="A941">
        <f ca="1">randcorrWithFeedback!D940</f>
        <v>-0.24766203984644944</v>
      </c>
      <c r="B941">
        <f t="shared" ca="1" si="14"/>
        <v>211.89485733825495</v>
      </c>
      <c r="C941">
        <f ca="1">$E$10 - 0.5*MAX('HE2'!B940,0)/10000</f>
        <v>9.9520382861987864E-5</v>
      </c>
    </row>
    <row r="942" spans="1:3" x14ac:dyDescent="0.45">
      <c r="A942">
        <f ca="1">randcorrWithFeedback!D941</f>
        <v>-0.2891111478809667</v>
      </c>
      <c r="B942">
        <f t="shared" ca="1" si="14"/>
        <v>211.30267698362132</v>
      </c>
      <c r="C942">
        <f ca="1">$E$10 - 0.5*MAX('HE2'!B941,0)/10000</f>
        <v>9.2509440225472129E-5</v>
      </c>
    </row>
    <row r="943" spans="1:3" x14ac:dyDescent="0.45">
      <c r="A943">
        <f ca="1">randcorrWithFeedback!D942</f>
        <v>3.4950549643765295E-2</v>
      </c>
      <c r="B943">
        <f t="shared" ca="1" si="14"/>
        <v>211.3971040748574</v>
      </c>
      <c r="C943">
        <f ca="1">$E$10 - 0.5*MAX('HE2'!B942,0)/10000</f>
        <v>9.7275396471119884E-5</v>
      </c>
    </row>
    <row r="944" spans="1:3" x14ac:dyDescent="0.45">
      <c r="A944">
        <f ca="1">randcorrWithFeedback!D943</f>
        <v>-8.4144282738134138E-2</v>
      </c>
      <c r="B944">
        <f t="shared" ca="1" si="14"/>
        <v>211.24029420836564</v>
      </c>
      <c r="C944">
        <f ca="1">$E$10 - 0.5*MAX('HE2'!B943,0)/10000</f>
        <v>9.9388885518821021E-5</v>
      </c>
    </row>
    <row r="945" spans="1:3" x14ac:dyDescent="0.45">
      <c r="A945">
        <f ca="1">randcorrWithFeedback!D944</f>
        <v>0.61226952016537906</v>
      </c>
      <c r="B945">
        <f t="shared" ca="1" si="14"/>
        <v>212.55566465160481</v>
      </c>
      <c r="C945">
        <f ca="1">$E$10 - 0.5*MAX('HE2'!B944,0)/10000</f>
        <v>8.4889555220718339E-5</v>
      </c>
    </row>
    <row r="946" spans="1:3" x14ac:dyDescent="0.45">
      <c r="A946">
        <f ca="1">randcorrWithFeedback!D945</f>
        <v>0.34664421778592658</v>
      </c>
      <c r="B946">
        <f t="shared" ca="1" si="14"/>
        <v>213.31195878611678</v>
      </c>
      <c r="C946">
        <f ca="1">$E$10 - 0.5*MAX('HE2'!B945,0)/10000</f>
        <v>8.5341935108616267E-5</v>
      </c>
    </row>
    <row r="947" spans="1:3" x14ac:dyDescent="0.45">
      <c r="A947">
        <f ca="1">randcorrWithFeedback!D946</f>
        <v>-0.28897270684139637</v>
      </c>
      <c r="B947">
        <f t="shared" ca="1" si="14"/>
        <v>212.71386962080368</v>
      </c>
      <c r="C947">
        <f ca="1">$E$10 - 0.5*MAX('HE2'!B946,0)/10000</f>
        <v>8.1965104917242827E-5</v>
      </c>
    </row>
    <row r="948" spans="1:3" x14ac:dyDescent="0.45">
      <c r="A948">
        <f ca="1">randcorrWithFeedback!D947</f>
        <v>-0.67803635051443811</v>
      </c>
      <c r="B948">
        <f t="shared" ca="1" si="14"/>
        <v>211.29437449377988</v>
      </c>
      <c r="C948">
        <f ca="1">$E$10 - 0.5*MAX('HE2'!B947,0)/10000</f>
        <v>8.4736946521016862E-5</v>
      </c>
    </row>
    <row r="949" spans="1:3" x14ac:dyDescent="0.45">
      <c r="A949">
        <f ca="1">randcorrWithFeedback!D948</f>
        <v>0.35709022336240931</v>
      </c>
      <c r="B949">
        <f t="shared" ca="1" si="14"/>
        <v>212.06811951865768</v>
      </c>
      <c r="C949">
        <f ca="1">$E$10 - 0.5*MAX('HE2'!B948,0)/10000</f>
        <v>8.4338357156981607E-5</v>
      </c>
    </row>
    <row r="950" spans="1:3" x14ac:dyDescent="0.45">
      <c r="A950">
        <f ca="1">randcorrWithFeedback!D949</f>
        <v>-0.47160213795194161</v>
      </c>
      <c r="B950">
        <f t="shared" ca="1" si="14"/>
        <v>211.09077031820638</v>
      </c>
      <c r="C950">
        <f ca="1">$E$10 - 0.5*MAX('HE2'!B949,0)/10000</f>
        <v>9.6711886960321761E-5</v>
      </c>
    </row>
    <row r="951" spans="1:3" x14ac:dyDescent="0.45">
      <c r="A951">
        <f ca="1">randcorrWithFeedback!D950</f>
        <v>-0.50290642315954925</v>
      </c>
      <c r="B951">
        <f t="shared" ca="1" si="14"/>
        <v>210.052462444112</v>
      </c>
      <c r="C951">
        <f ca="1">$E$10 - 0.5*MAX('HE2'!B950,0)/10000</f>
        <v>9.8152859432623841E-5</v>
      </c>
    </row>
    <row r="952" spans="1:3" x14ac:dyDescent="0.45">
      <c r="A952">
        <f ca="1">randcorrWithFeedback!D951</f>
        <v>0.13885200658601871</v>
      </c>
      <c r="B952">
        <f t="shared" ca="1" si="14"/>
        <v>210.3640192624141</v>
      </c>
      <c r="C952">
        <f ca="1">$E$10 - 0.5*MAX('HE2'!B951,0)/10000</f>
        <v>9.3614383631978901E-5</v>
      </c>
    </row>
    <row r="953" spans="1:3" x14ac:dyDescent="0.45">
      <c r="A953">
        <f ca="1">randcorrWithFeedback!D952</f>
        <v>0.4729321512024689</v>
      </c>
      <c r="B953">
        <f t="shared" ca="1" si="14"/>
        <v>211.37816223411596</v>
      </c>
      <c r="C953">
        <f ca="1">$E$10 - 0.5*MAX('HE2'!B952,0)/10000</f>
        <v>7.9990768854992637E-5</v>
      </c>
    </row>
    <row r="954" spans="1:3" x14ac:dyDescent="0.45">
      <c r="A954">
        <f ca="1">randcorrWithFeedback!D953</f>
        <v>1.4952215097385342</v>
      </c>
      <c r="B954">
        <f t="shared" ca="1" si="14"/>
        <v>214.57574027321124</v>
      </c>
      <c r="C954">
        <f ca="1">$E$10 - 0.5*MAX('HE2'!B953,0)/10000</f>
        <v>6.1795041664529357E-5</v>
      </c>
    </row>
    <row r="955" spans="1:3" x14ac:dyDescent="0.45">
      <c r="A955">
        <f ca="1">randcorrWithFeedback!D954</f>
        <v>-0.83453949973246788</v>
      </c>
      <c r="B955">
        <f t="shared" ca="1" si="14"/>
        <v>212.80814576663488</v>
      </c>
      <c r="C955">
        <f ca="1">$E$10 - 0.5*MAX('HE2'!B954,0)/10000</f>
        <v>7.3653161522063012E-5</v>
      </c>
    </row>
    <row r="956" spans="1:3" x14ac:dyDescent="0.45">
      <c r="A956">
        <f ca="1">randcorrWithFeedback!D955</f>
        <v>-0.10413803929248644</v>
      </c>
      <c r="B956">
        <f t="shared" ca="1" si="14"/>
        <v>212.60056638634123</v>
      </c>
      <c r="C956">
        <f ca="1">$E$10 - 0.5*MAX('HE2'!B955,0)/10000</f>
        <v>6.5474677605315218E-5</v>
      </c>
    </row>
    <row r="957" spans="1:3" x14ac:dyDescent="0.45">
      <c r="A957">
        <f ca="1">randcorrWithFeedback!D956</f>
        <v>-1.1595520512782844</v>
      </c>
      <c r="B957">
        <f t="shared" ca="1" si="14"/>
        <v>210.16661548120658</v>
      </c>
      <c r="C957">
        <f ca="1">$E$10 - 0.5*MAX('HE2'!B956,0)/10000</f>
        <v>8.1013704527086361E-5</v>
      </c>
    </row>
    <row r="958" spans="1:3" x14ac:dyDescent="0.45">
      <c r="A958">
        <f ca="1">randcorrWithFeedback!D957</f>
        <v>0.27584757207332111</v>
      </c>
      <c r="B958">
        <f t="shared" ca="1" si="14"/>
        <v>210.76152645225557</v>
      </c>
      <c r="C958">
        <f ca="1">$E$10 - 0.5*MAX('HE2'!B957,0)/10000</f>
        <v>6.8189013202178697E-5</v>
      </c>
    </row>
    <row r="959" spans="1:3" x14ac:dyDescent="0.45">
      <c r="A959">
        <f ca="1">randcorrWithFeedback!D958</f>
        <v>1.3013650000286234</v>
      </c>
      <c r="B959">
        <f t="shared" ca="1" si="14"/>
        <v>213.53240832592584</v>
      </c>
      <c r="C959">
        <f ca="1">$E$10 - 0.5*MAX('HE2'!B958,0)/10000</f>
        <v>4.7678662447488574E-5</v>
      </c>
    </row>
    <row r="960" spans="1:3" x14ac:dyDescent="0.45">
      <c r="A960">
        <f ca="1">randcorrWithFeedback!D959</f>
        <v>0.94042762352810705</v>
      </c>
      <c r="B960">
        <f t="shared" ca="1" si="14"/>
        <v>215.55802362069107</v>
      </c>
      <c r="C960">
        <f ca="1">$E$10 - 0.5*MAX('HE2'!B959,0)/10000</f>
        <v>3.7231620526799971E-5</v>
      </c>
    </row>
    <row r="961" spans="1:3" x14ac:dyDescent="0.45">
      <c r="A961">
        <f ca="1">randcorrWithFeedback!D960</f>
        <v>-2.358148699652356</v>
      </c>
      <c r="B961">
        <f t="shared" ca="1" si="14"/>
        <v>210.54744179341816</v>
      </c>
      <c r="C961">
        <f ca="1">$E$10 - 0.5*MAX('HE2'!B960,0)/10000</f>
        <v>6.2366973953975228E-5</v>
      </c>
    </row>
    <row r="962" spans="1:3" x14ac:dyDescent="0.45">
      <c r="A962">
        <f ca="1">randcorrWithFeedback!D961</f>
        <v>-0.34404602253097444</v>
      </c>
      <c r="B962">
        <f t="shared" ca="1" si="14"/>
        <v>209.83961328612276</v>
      </c>
      <c r="C962">
        <f ca="1">$E$10 - 0.5*MAX('HE2'!B961,0)/10000</f>
        <v>7.294846371524652E-5</v>
      </c>
    </row>
    <row r="963" spans="1:3" x14ac:dyDescent="0.45">
      <c r="A963">
        <f ca="1">randcorrWithFeedback!D962</f>
        <v>-0.25687590370999142</v>
      </c>
      <c r="B963">
        <f t="shared" ca="1" si="14"/>
        <v>209.31666658137937</v>
      </c>
      <c r="C963">
        <f ca="1">$E$10 - 0.5*MAX('HE2'!B962,0)/10000</f>
        <v>7.3522767516929263E-5</v>
      </c>
    </row>
    <row r="964" spans="1:3" x14ac:dyDescent="0.45">
      <c r="A964">
        <f ca="1">randcorrWithFeedback!D963</f>
        <v>0.55253291856441045</v>
      </c>
      <c r="B964">
        <f t="shared" ref="B964:B1002" ca="1" si="15">B963*EXP(C964+A964/100)</f>
        <v>210.48848789933828</v>
      </c>
      <c r="C964">
        <f ca="1">$E$10 - 0.5*MAX('HE2'!B963,0)/10000</f>
        <v>5.7376738399258866E-5</v>
      </c>
    </row>
    <row r="965" spans="1:3" x14ac:dyDescent="0.45">
      <c r="A965">
        <f ca="1">randcorrWithFeedback!D964</f>
        <v>-0.41365824563808834</v>
      </c>
      <c r="B965">
        <f t="shared" ca="1" si="15"/>
        <v>209.6331880463519</v>
      </c>
      <c r="C965">
        <f ca="1">$E$10 - 0.5*MAX('HE2'!B964,0)/10000</f>
        <v>6.4899972014192839E-5</v>
      </c>
    </row>
    <row r="966" spans="1:3" x14ac:dyDescent="0.45">
      <c r="A966">
        <f ca="1">randcorrWithFeedback!D965</f>
        <v>0.73124796697019423</v>
      </c>
      <c r="B966">
        <f t="shared" ca="1" si="15"/>
        <v>211.18547143792969</v>
      </c>
      <c r="C966">
        <f ca="1">$E$10 - 0.5*MAX('HE2'!B965,0)/10000</f>
        <v>6.4999427874225544E-5</v>
      </c>
    </row>
    <row r="967" spans="1:3" x14ac:dyDescent="0.45">
      <c r="A967">
        <f ca="1">randcorrWithFeedback!D966</f>
        <v>0.32596879465350465</v>
      </c>
      <c r="B967">
        <f t="shared" ca="1" si="15"/>
        <v>211.8896477433164</v>
      </c>
      <c r="C967">
        <f ca="1">$E$10 - 0.5*MAX('HE2'!B966,0)/10000</f>
        <v>6.9162764478056298E-5</v>
      </c>
    </row>
    <row r="968" spans="1:3" x14ac:dyDescent="0.45">
      <c r="A968">
        <f ca="1">randcorrWithFeedback!D967</f>
        <v>-0.92698188760179179</v>
      </c>
      <c r="B968">
        <f t="shared" ca="1" si="15"/>
        <v>209.95109673580268</v>
      </c>
      <c r="C968">
        <f ca="1">$E$10 - 0.5*MAX('HE2'!B967,0)/10000</f>
        <v>7.8840150942093484E-5</v>
      </c>
    </row>
    <row r="969" spans="1:3" x14ac:dyDescent="0.45">
      <c r="A969">
        <f ca="1">randcorrWithFeedback!D968</f>
        <v>-0.18380318983879992</v>
      </c>
      <c r="B969">
        <f t="shared" ca="1" si="15"/>
        <v>209.58488756337161</v>
      </c>
      <c r="C969">
        <f ca="1">$E$10 - 0.5*MAX('HE2'!B968,0)/10000</f>
        <v>9.2249514297724176E-5</v>
      </c>
    </row>
    <row r="970" spans="1:3" x14ac:dyDescent="0.45">
      <c r="A970">
        <f ca="1">randcorrWithFeedback!D969</f>
        <v>-2.5733525723101815E-2</v>
      </c>
      <c r="B970">
        <f t="shared" ca="1" si="15"/>
        <v>209.55066366589978</v>
      </c>
      <c r="C970">
        <f ca="1">$E$10 - 0.5*MAX('HE2'!B969,0)/10000</f>
        <v>9.4028196078516896E-5</v>
      </c>
    </row>
    <row r="971" spans="1:3" x14ac:dyDescent="0.45">
      <c r="A971">
        <f ca="1">randcorrWithFeedback!D970</f>
        <v>-0.18734086368075034</v>
      </c>
      <c r="B971">
        <f t="shared" ca="1" si="15"/>
        <v>209.17882743012314</v>
      </c>
      <c r="C971">
        <f ca="1">$E$10 - 0.5*MAX('HE2'!B970,0)/10000</f>
        <v>9.7386926265204924E-5</v>
      </c>
    </row>
    <row r="972" spans="1:3" x14ac:dyDescent="0.45">
      <c r="A972">
        <f ca="1">randcorrWithFeedback!D971</f>
        <v>-0.58012789255281294</v>
      </c>
      <c r="B972">
        <f t="shared" ca="1" si="15"/>
        <v>207.99098823803689</v>
      </c>
      <c r="C972">
        <f ca="1">$E$10 - 0.5*MAX('HE2'!B971,0)/10000</f>
        <v>1.0651215361344653E-4</v>
      </c>
    </row>
    <row r="973" spans="1:3" x14ac:dyDescent="0.45">
      <c r="A973">
        <f ca="1">randcorrWithFeedback!D972</f>
        <v>1.5703025516513921E-3</v>
      </c>
      <c r="B973">
        <f t="shared" ca="1" si="15"/>
        <v>208.01610648865952</v>
      </c>
      <c r="C973">
        <f ca="1">$E$10 - 0.5*MAX('HE2'!B972,0)/10000</f>
        <v>1.0505573543521944E-4</v>
      </c>
    </row>
    <row r="974" spans="1:3" x14ac:dyDescent="0.45">
      <c r="A974">
        <f ca="1">randcorrWithFeedback!D973</f>
        <v>0.12045652559369981</v>
      </c>
      <c r="B974">
        <f t="shared" ca="1" si="15"/>
        <v>208.28874211666943</v>
      </c>
      <c r="C974">
        <f ca="1">$E$10 - 0.5*MAX('HE2'!B973,0)/10000</f>
        <v>1.052233179884197E-4</v>
      </c>
    </row>
    <row r="975" spans="1:3" x14ac:dyDescent="0.45">
      <c r="A975">
        <f ca="1">randcorrWithFeedback!D974</f>
        <v>-7.0664934600642604E-2</v>
      </c>
      <c r="B975">
        <f t="shared" ca="1" si="15"/>
        <v>208.16397505939113</v>
      </c>
      <c r="C975">
        <f ca="1">$E$10 - 0.5*MAX('HE2'!B974,0)/10000</f>
        <v>1.0745978202786333E-4</v>
      </c>
    </row>
    <row r="976" spans="1:3" x14ac:dyDescent="0.45">
      <c r="A976">
        <f ca="1">randcorrWithFeedback!D975</f>
        <v>0</v>
      </c>
      <c r="B976">
        <f t="shared" ca="1" si="15"/>
        <v>208.18612441435525</v>
      </c>
      <c r="C976">
        <f ca="1">$E$10 - 0.5*MAX('HE2'!B975,0)/10000</f>
        <v>1.0639774081002219E-4</v>
      </c>
    </row>
    <row r="977" spans="1:3" x14ac:dyDescent="0.45">
      <c r="A977">
        <f ca="1">randcorrWithFeedback!D976</f>
        <v>-6.0079121147092407E-2</v>
      </c>
      <c r="B977">
        <f t="shared" ca="1" si="15"/>
        <v>208.08321073059494</v>
      </c>
      <c r="C977">
        <f ca="1">$E$10 - 0.5*MAX('HE2'!B976,0)/10000</f>
        <v>1.0633400711680942E-4</v>
      </c>
    </row>
    <row r="978" spans="1:3" x14ac:dyDescent="0.45">
      <c r="A978">
        <f ca="1">randcorrWithFeedback!D977</f>
        <v>2.1768130785892389E-2</v>
      </c>
      <c r="B978">
        <f t="shared" ca="1" si="15"/>
        <v>208.15014974670927</v>
      </c>
      <c r="C978">
        <f ca="1">$E$10 - 0.5*MAX('HE2'!B977,0)/10000</f>
        <v>1.0396045874381064E-4</v>
      </c>
    </row>
    <row r="979" spans="1:3" x14ac:dyDescent="0.45">
      <c r="A979">
        <f ca="1">randcorrWithFeedback!D978</f>
        <v>1.2537843556542574E-2</v>
      </c>
      <c r="B979">
        <f t="shared" ca="1" si="15"/>
        <v>208.19710509445736</v>
      </c>
      <c r="C979">
        <f ca="1">$E$10 - 0.5*MAX('HE2'!B978,0)/10000</f>
        <v>1.0018014516818457E-4</v>
      </c>
    </row>
    <row r="980" spans="1:3" x14ac:dyDescent="0.45">
      <c r="A980">
        <f ca="1">randcorrWithFeedback!D979</f>
        <v>-0.34323474695009926</v>
      </c>
      <c r="B980">
        <f t="shared" ca="1" si="15"/>
        <v>207.50424329639591</v>
      </c>
      <c r="C980">
        <f ca="1">$E$10 - 0.5*MAX('HE2'!B979,0)/10000</f>
        <v>9.8884913597413132E-5</v>
      </c>
    </row>
    <row r="981" spans="1:3" x14ac:dyDescent="0.45">
      <c r="A981">
        <f ca="1">randcorrWithFeedback!D980</f>
        <v>0.798875157152244</v>
      </c>
      <c r="B981">
        <f t="shared" ca="1" si="15"/>
        <v>209.18658488469012</v>
      </c>
      <c r="C981">
        <f ca="1">$E$10 - 0.5*MAX('HE2'!B980,0)/10000</f>
        <v>8.6063690051390546E-5</v>
      </c>
    </row>
    <row r="982" spans="1:3" x14ac:dyDescent="0.45">
      <c r="A982">
        <f ca="1">randcorrWithFeedback!D981</f>
        <v>-9.5676209503297291E-2</v>
      </c>
      <c r="B982">
        <f t="shared" ca="1" si="15"/>
        <v>209.00538287383839</v>
      </c>
      <c r="C982">
        <f ca="1">$E$10 - 0.5*MAX('HE2'!B981,0)/10000</f>
        <v>9.0164760975905986E-5</v>
      </c>
    </row>
    <row r="983" spans="1:3" x14ac:dyDescent="0.45">
      <c r="A983">
        <f ca="1">randcorrWithFeedback!D982</f>
        <v>0.802816567509822</v>
      </c>
      <c r="B983">
        <f t="shared" ca="1" si="15"/>
        <v>210.70627444169887</v>
      </c>
      <c r="C983">
        <f ca="1">$E$10 - 0.5*MAX('HE2'!B982,0)/10000</f>
        <v>7.6926711664119726E-5</v>
      </c>
    </row>
    <row r="984" spans="1:3" x14ac:dyDescent="0.45">
      <c r="A984">
        <f ca="1">randcorrWithFeedback!D983</f>
        <v>0.34753778331268276</v>
      </c>
      <c r="B984">
        <f t="shared" ca="1" si="15"/>
        <v>211.45465883293477</v>
      </c>
      <c r="C984">
        <f ca="1">$E$10 - 0.5*MAX('HE2'!B983,0)/10000</f>
        <v>7.0119233110646777E-5</v>
      </c>
    </row>
    <row r="985" spans="1:3" x14ac:dyDescent="0.45">
      <c r="A985">
        <f ca="1">randcorrWithFeedback!D984</f>
        <v>2.2833352546941459</v>
      </c>
      <c r="B985">
        <f t="shared" ca="1" si="15"/>
        <v>216.34629286191876</v>
      </c>
      <c r="C985">
        <f ca="1">$E$10 - 0.5*MAX('HE2'!B984,0)/10000</f>
        <v>3.6382602384801401E-5</v>
      </c>
    </row>
    <row r="986" spans="1:3" x14ac:dyDescent="0.45">
      <c r="A986">
        <f ca="1">randcorrWithFeedback!D985</f>
        <v>0.96646606259327261</v>
      </c>
      <c r="B986">
        <f t="shared" ca="1" si="15"/>
        <v>218.45290471073557</v>
      </c>
      <c r="C986">
        <f ca="1">$E$10 - 0.5*MAX('HE2'!B985,0)/10000</f>
        <v>2.5459983834072059E-5</v>
      </c>
    </row>
    <row r="987" spans="1:3" x14ac:dyDescent="0.45">
      <c r="A987">
        <f ca="1">randcorrWithFeedback!D986</f>
        <v>1.6641232939681307</v>
      </c>
      <c r="B987">
        <f t="shared" ca="1" si="15"/>
        <v>222.11816606629014</v>
      </c>
      <c r="C987">
        <f ca="1">$E$10 - 0.5*MAX('HE2'!B986,0)/10000</f>
        <v>-2.1653225010126204E-6</v>
      </c>
    </row>
    <row r="988" spans="1:3" x14ac:dyDescent="0.45">
      <c r="A988">
        <f ca="1">randcorrWithFeedback!D987</f>
        <v>-0.45941587648620907</v>
      </c>
      <c r="B988">
        <f t="shared" ca="1" si="15"/>
        <v>221.10044931050703</v>
      </c>
      <c r="C988">
        <f ca="1">$E$10 - 0.5*MAX('HE2'!B987,0)/10000</f>
        <v>1.7589462487761992E-6</v>
      </c>
    </row>
    <row r="989" spans="1:3" x14ac:dyDescent="0.45">
      <c r="A989">
        <f ca="1">randcorrWithFeedback!D988</f>
        <v>-0.56577293940483797</v>
      </c>
      <c r="B989">
        <f t="shared" ca="1" si="15"/>
        <v>219.8529903933659</v>
      </c>
      <c r="C989">
        <f ca="1">$E$10 - 0.5*MAX('HE2'!B988,0)/10000</f>
        <v>-2.9312147330192242E-7</v>
      </c>
    </row>
    <row r="990" spans="1:3" x14ac:dyDescent="0.45">
      <c r="A990">
        <f ca="1">randcorrWithFeedback!D989</f>
        <v>-2.2523006113541424</v>
      </c>
      <c r="B990">
        <f t="shared" ca="1" si="15"/>
        <v>214.96337491909946</v>
      </c>
      <c r="C990">
        <f ca="1">$E$10 - 0.5*MAX('HE2'!B989,0)/10000</f>
        <v>3.1573011135930764E-5</v>
      </c>
    </row>
    <row r="991" spans="1:3" x14ac:dyDescent="0.45">
      <c r="A991">
        <f ca="1">randcorrWithFeedback!D990</f>
        <v>-1.6376481697457317</v>
      </c>
      <c r="B991">
        <f t="shared" ca="1" si="15"/>
        <v>211.48478051744382</v>
      </c>
      <c r="C991">
        <f ca="1">$E$10 - 0.5*MAX('HE2'!B990,0)/10000</f>
        <v>6.1853463069853139E-5</v>
      </c>
    </row>
    <row r="992" spans="1:3" x14ac:dyDescent="0.45">
      <c r="A992">
        <f ca="1">randcorrWithFeedback!D991</f>
        <v>1.1944491680217506</v>
      </c>
      <c r="B992">
        <f t="shared" ca="1" si="15"/>
        <v>214.03729393992739</v>
      </c>
      <c r="C992">
        <f ca="1">$E$10 - 0.5*MAX('HE2'!B991,0)/10000</f>
        <v>5.2742736866226779E-5</v>
      </c>
    </row>
    <row r="993" spans="1:3" x14ac:dyDescent="0.45">
      <c r="A993">
        <f ca="1">randcorrWithFeedback!D992</f>
        <v>-1.8096158694452884</v>
      </c>
      <c r="B993">
        <f t="shared" ca="1" si="15"/>
        <v>210.21185054845134</v>
      </c>
      <c r="C993">
        <f ca="1">$E$10 - 0.5*MAX('HE2'!B992,0)/10000</f>
        <v>6.1722452613347642E-5</v>
      </c>
    </row>
    <row r="994" spans="1:3" x14ac:dyDescent="0.45">
      <c r="A994">
        <f ca="1">randcorrWithFeedback!D993</f>
        <v>-0.67046917767051573</v>
      </c>
      <c r="B994">
        <f t="shared" ca="1" si="15"/>
        <v>208.82113684696398</v>
      </c>
      <c r="C994">
        <f ca="1">$E$10 - 0.5*MAX('HE2'!B993,0)/10000</f>
        <v>6.6938427794228686E-5</v>
      </c>
    </row>
    <row r="995" spans="1:3" x14ac:dyDescent="0.45">
      <c r="A995">
        <f ca="1">randcorrWithFeedback!D994</f>
        <v>6.8266492756989663E-2</v>
      </c>
      <c r="B995">
        <f t="shared" ca="1" si="15"/>
        <v>208.98092621751508</v>
      </c>
      <c r="C995">
        <f ca="1">$E$10 - 0.5*MAX('HE2'!B994,0)/10000</f>
        <v>8.2239760405513848E-5</v>
      </c>
    </row>
    <row r="996" spans="1:3" x14ac:dyDescent="0.45">
      <c r="A996">
        <f ca="1">randcorrWithFeedback!D995</f>
        <v>1.1161153522343072</v>
      </c>
      <c r="B996">
        <f t="shared" ca="1" si="15"/>
        <v>211.34048742538815</v>
      </c>
      <c r="C996">
        <f ca="1">$E$10 - 0.5*MAX('HE2'!B995,0)/10000</f>
        <v>6.6378161389851103E-5</v>
      </c>
    </row>
    <row r="997" spans="1:3" x14ac:dyDescent="0.45">
      <c r="A997">
        <f ca="1">randcorrWithFeedback!D996</f>
        <v>1.6753290276651047</v>
      </c>
      <c r="B997">
        <f t="shared" ca="1" si="15"/>
        <v>214.91872182271982</v>
      </c>
      <c r="C997">
        <f ca="1">$E$10 - 0.5*MAX('HE2'!B996,0)/10000</f>
        <v>3.6110976008124409E-5</v>
      </c>
    </row>
    <row r="998" spans="1:3" x14ac:dyDescent="0.45">
      <c r="A998">
        <f ca="1">randcorrWithFeedback!D997</f>
        <v>-4.7353565603656556E-2</v>
      </c>
      <c r="B998">
        <f t="shared" ca="1" si="15"/>
        <v>214.82329284338937</v>
      </c>
      <c r="C998">
        <f ca="1">$E$10 - 0.5*MAX('HE2'!B997,0)/10000</f>
        <v>2.9413472762667418E-5</v>
      </c>
    </row>
    <row r="999" spans="1:3" x14ac:dyDescent="0.45">
      <c r="A999">
        <f ca="1">randcorrWithFeedback!D998</f>
        <v>0.60160012696030074</v>
      </c>
      <c r="B999">
        <f t="shared" ca="1" si="15"/>
        <v>216.12578670889377</v>
      </c>
      <c r="C999">
        <f ca="1">$E$10 - 0.5*MAX('HE2'!B998,0)/10000</f>
        <v>2.8786355376226092E-5</v>
      </c>
    </row>
    <row r="1000" spans="1:3" x14ac:dyDescent="0.45">
      <c r="A1000">
        <f ca="1">randcorrWithFeedback!D999</f>
        <v>0.68245758327407879</v>
      </c>
      <c r="B1000">
        <f t="shared" ca="1" si="15"/>
        <v>217.60942325124591</v>
      </c>
      <c r="C1000">
        <f ca="1">$E$10 - 0.5*MAX('HE2'!B999,0)/10000</f>
        <v>1.6659532844404238E-5</v>
      </c>
    </row>
    <row r="1001" spans="1:3" x14ac:dyDescent="0.45">
      <c r="A1001">
        <f ca="1">randcorrWithFeedback!D1000</f>
        <v>8.1184004580431374E-2</v>
      </c>
      <c r="B1001">
        <f t="shared" ca="1" si="15"/>
        <v>217.78922947983429</v>
      </c>
      <c r="C1001">
        <f ca="1">$E$10 - 0.5*MAX('HE2'!B1000,0)/10000</f>
        <v>1.4098379508419522E-5</v>
      </c>
    </row>
    <row r="1002" spans="1:3" x14ac:dyDescent="0.45">
      <c r="A1002">
        <f ca="1">randcorrWithFeedback!D1001</f>
        <v>0.13472758343520785</v>
      </c>
      <c r="B1002">
        <f t="shared" ca="1" si="15"/>
        <v>218.10628578946123</v>
      </c>
      <c r="C1002">
        <f>$E$10 - 0.5*MAX('HE2'!B1001,0)/10000</f>
        <v>1.0745978202786333E-4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8</xdr:col>
                    <xdr:colOff>1166813</xdr:colOff>
                    <xdr:row>2</xdr:row>
                    <xdr:rowOff>100013</xdr:rowOff>
                  </from>
                  <to>
                    <xdr:col>11</xdr:col>
                    <xdr:colOff>66675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92A9F-DDA6-47F4-8EF5-5967FC741DA2}">
  <sheetPr codeName="Sheet2"/>
  <dimension ref="A1:GU102"/>
  <sheetViews>
    <sheetView topLeftCell="B1" zoomScaleNormal="100" workbookViewId="0">
      <selection activeCell="O28" sqref="O28"/>
    </sheetView>
  </sheetViews>
  <sheetFormatPr defaultRowHeight="14.25" x14ac:dyDescent="0.45"/>
  <cols>
    <col min="100" max="100" width="9.06640625" customWidth="1"/>
  </cols>
  <sheetData>
    <row r="1" spans="1:203" s="2" customFormat="1" x14ac:dyDescent="0.45">
      <c r="A1" s="2">
        <v>5.0000000000000001E-3</v>
      </c>
      <c r="B1" s="2">
        <f>A1+0.005</f>
        <v>0.01</v>
      </c>
      <c r="C1" s="2">
        <f t="shared" ref="C1:BN1" si="0">B1+0.005</f>
        <v>1.4999999999999999E-2</v>
      </c>
      <c r="D1" s="2">
        <f t="shared" si="0"/>
        <v>0.02</v>
      </c>
      <c r="E1" s="2">
        <f t="shared" si="0"/>
        <v>2.5000000000000001E-2</v>
      </c>
      <c r="F1" s="2">
        <f t="shared" si="0"/>
        <v>3.0000000000000002E-2</v>
      </c>
      <c r="G1" s="2">
        <f t="shared" si="0"/>
        <v>3.5000000000000003E-2</v>
      </c>
      <c r="H1" s="2">
        <f t="shared" si="0"/>
        <v>0.04</v>
      </c>
      <c r="I1" s="2">
        <f t="shared" si="0"/>
        <v>4.4999999999999998E-2</v>
      </c>
      <c r="J1" s="2">
        <f t="shared" si="0"/>
        <v>4.9999999999999996E-2</v>
      </c>
      <c r="K1" s="2">
        <f t="shared" si="0"/>
        <v>5.4999999999999993E-2</v>
      </c>
      <c r="L1" s="2">
        <f t="shared" si="0"/>
        <v>5.9999999999999991E-2</v>
      </c>
      <c r="M1" s="2">
        <f t="shared" si="0"/>
        <v>6.4999999999999988E-2</v>
      </c>
      <c r="N1" s="2">
        <f t="shared" si="0"/>
        <v>6.9999999999999993E-2</v>
      </c>
      <c r="O1" s="2">
        <f t="shared" si="0"/>
        <v>7.4999999999999997E-2</v>
      </c>
      <c r="P1" s="2">
        <f t="shared" si="0"/>
        <v>0.08</v>
      </c>
      <c r="Q1" s="2">
        <f t="shared" si="0"/>
        <v>8.5000000000000006E-2</v>
      </c>
      <c r="R1" s="2">
        <f t="shared" si="0"/>
        <v>9.0000000000000011E-2</v>
      </c>
      <c r="S1" s="2">
        <f t="shared" si="0"/>
        <v>9.5000000000000015E-2</v>
      </c>
      <c r="T1" s="2">
        <f t="shared" si="0"/>
        <v>0.10000000000000002</v>
      </c>
      <c r="U1" s="2">
        <f t="shared" si="0"/>
        <v>0.10500000000000002</v>
      </c>
      <c r="V1" s="2">
        <f t="shared" si="0"/>
        <v>0.11000000000000003</v>
      </c>
      <c r="W1" s="2">
        <f t="shared" si="0"/>
        <v>0.11500000000000003</v>
      </c>
      <c r="X1" s="2">
        <f t="shared" si="0"/>
        <v>0.12000000000000004</v>
      </c>
      <c r="Y1" s="2">
        <f t="shared" si="0"/>
        <v>0.12500000000000003</v>
      </c>
      <c r="Z1" s="2">
        <f t="shared" si="0"/>
        <v>0.13000000000000003</v>
      </c>
      <c r="AA1" s="2">
        <f t="shared" si="0"/>
        <v>0.13500000000000004</v>
      </c>
      <c r="AB1" s="2">
        <f t="shared" si="0"/>
        <v>0.14000000000000004</v>
      </c>
      <c r="AC1" s="2">
        <f t="shared" si="0"/>
        <v>0.14500000000000005</v>
      </c>
      <c r="AD1" s="2">
        <f t="shared" si="0"/>
        <v>0.15000000000000005</v>
      </c>
      <c r="AE1" s="2">
        <f t="shared" si="0"/>
        <v>0.15500000000000005</v>
      </c>
      <c r="AF1" s="2">
        <f t="shared" si="0"/>
        <v>0.16000000000000006</v>
      </c>
      <c r="AG1" s="2">
        <f t="shared" si="0"/>
        <v>0.16500000000000006</v>
      </c>
      <c r="AH1" s="2">
        <f t="shared" si="0"/>
        <v>0.17000000000000007</v>
      </c>
      <c r="AI1" s="2">
        <f t="shared" si="0"/>
        <v>0.17500000000000007</v>
      </c>
      <c r="AJ1" s="2">
        <f t="shared" si="0"/>
        <v>0.18000000000000008</v>
      </c>
      <c r="AK1" s="2">
        <f t="shared" si="0"/>
        <v>0.18500000000000008</v>
      </c>
      <c r="AL1" s="2">
        <f t="shared" si="0"/>
        <v>0.19000000000000009</v>
      </c>
      <c r="AM1" s="2">
        <f t="shared" si="0"/>
        <v>0.19500000000000009</v>
      </c>
      <c r="AN1" s="2">
        <f t="shared" si="0"/>
        <v>0.20000000000000009</v>
      </c>
      <c r="AO1" s="2">
        <f t="shared" si="0"/>
        <v>0.2050000000000001</v>
      </c>
      <c r="AP1" s="2">
        <f t="shared" si="0"/>
        <v>0.2100000000000001</v>
      </c>
      <c r="AQ1" s="2">
        <f t="shared" si="0"/>
        <v>0.21500000000000011</v>
      </c>
      <c r="AR1" s="2">
        <f t="shared" si="0"/>
        <v>0.22000000000000011</v>
      </c>
      <c r="AS1" s="2">
        <f t="shared" si="0"/>
        <v>0.22500000000000012</v>
      </c>
      <c r="AT1" s="2">
        <f t="shared" si="0"/>
        <v>0.23000000000000012</v>
      </c>
      <c r="AU1" s="2">
        <f t="shared" si="0"/>
        <v>0.23500000000000013</v>
      </c>
      <c r="AV1" s="2">
        <f t="shared" si="0"/>
        <v>0.24000000000000013</v>
      </c>
      <c r="AW1" s="2">
        <f t="shared" si="0"/>
        <v>0.24500000000000013</v>
      </c>
      <c r="AX1" s="2">
        <f t="shared" si="0"/>
        <v>0.25000000000000011</v>
      </c>
      <c r="AY1" s="2">
        <f t="shared" si="0"/>
        <v>0.25500000000000012</v>
      </c>
      <c r="AZ1" s="2">
        <f t="shared" si="0"/>
        <v>0.26000000000000012</v>
      </c>
      <c r="BA1" s="2">
        <f t="shared" si="0"/>
        <v>0.26500000000000012</v>
      </c>
      <c r="BB1" s="2">
        <f t="shared" si="0"/>
        <v>0.27000000000000013</v>
      </c>
      <c r="BC1" s="2">
        <f t="shared" si="0"/>
        <v>0.27500000000000013</v>
      </c>
      <c r="BD1" s="2">
        <f t="shared" si="0"/>
        <v>0.28000000000000014</v>
      </c>
      <c r="BE1" s="2">
        <f t="shared" si="0"/>
        <v>0.28500000000000014</v>
      </c>
      <c r="BF1" s="2">
        <f t="shared" si="0"/>
        <v>0.29000000000000015</v>
      </c>
      <c r="BG1" s="2">
        <f t="shared" si="0"/>
        <v>0.29500000000000015</v>
      </c>
      <c r="BH1" s="2">
        <f t="shared" si="0"/>
        <v>0.30000000000000016</v>
      </c>
      <c r="BI1" s="2">
        <f t="shared" si="0"/>
        <v>0.30500000000000016</v>
      </c>
      <c r="BJ1" s="2">
        <f t="shared" si="0"/>
        <v>0.31000000000000016</v>
      </c>
      <c r="BK1" s="2">
        <f t="shared" si="0"/>
        <v>0.31500000000000017</v>
      </c>
      <c r="BL1" s="2">
        <f t="shared" si="0"/>
        <v>0.32000000000000017</v>
      </c>
      <c r="BM1" s="2">
        <f t="shared" si="0"/>
        <v>0.32500000000000018</v>
      </c>
      <c r="BN1" s="2">
        <f t="shared" si="0"/>
        <v>0.33000000000000018</v>
      </c>
      <c r="BO1" s="2">
        <f t="shared" ref="BO1:DZ1" si="1">BN1+0.005</f>
        <v>0.33500000000000019</v>
      </c>
      <c r="BP1" s="2">
        <f t="shared" si="1"/>
        <v>0.34000000000000019</v>
      </c>
      <c r="BQ1" s="2">
        <f t="shared" si="1"/>
        <v>0.3450000000000002</v>
      </c>
      <c r="BR1" s="2">
        <f t="shared" si="1"/>
        <v>0.3500000000000002</v>
      </c>
      <c r="BS1" s="2">
        <f t="shared" si="1"/>
        <v>0.3550000000000002</v>
      </c>
      <c r="BT1" s="2">
        <f t="shared" si="1"/>
        <v>0.36000000000000021</v>
      </c>
      <c r="BU1" s="2">
        <f t="shared" si="1"/>
        <v>0.36500000000000021</v>
      </c>
      <c r="BV1" s="2">
        <f t="shared" si="1"/>
        <v>0.37000000000000022</v>
      </c>
      <c r="BW1" s="2">
        <f t="shared" si="1"/>
        <v>0.37500000000000022</v>
      </c>
      <c r="BX1" s="2">
        <f t="shared" si="1"/>
        <v>0.38000000000000023</v>
      </c>
      <c r="BY1" s="2">
        <f t="shared" si="1"/>
        <v>0.38500000000000023</v>
      </c>
      <c r="BZ1" s="2">
        <f t="shared" si="1"/>
        <v>0.39000000000000024</v>
      </c>
      <c r="CA1" s="2">
        <f t="shared" si="1"/>
        <v>0.39500000000000024</v>
      </c>
      <c r="CB1" s="2">
        <f t="shared" si="1"/>
        <v>0.40000000000000024</v>
      </c>
      <c r="CC1" s="2">
        <f t="shared" si="1"/>
        <v>0.40500000000000025</v>
      </c>
      <c r="CD1" s="2">
        <f t="shared" si="1"/>
        <v>0.41000000000000025</v>
      </c>
      <c r="CE1" s="2">
        <f t="shared" si="1"/>
        <v>0.41500000000000026</v>
      </c>
      <c r="CF1" s="2">
        <f t="shared" si="1"/>
        <v>0.42000000000000026</v>
      </c>
      <c r="CG1" s="2">
        <f t="shared" si="1"/>
        <v>0.42500000000000027</v>
      </c>
      <c r="CH1" s="2">
        <f t="shared" si="1"/>
        <v>0.43000000000000027</v>
      </c>
      <c r="CI1" s="2">
        <f t="shared" si="1"/>
        <v>0.43500000000000028</v>
      </c>
      <c r="CJ1" s="2">
        <f t="shared" si="1"/>
        <v>0.44000000000000028</v>
      </c>
      <c r="CK1" s="2">
        <f t="shared" si="1"/>
        <v>0.44500000000000028</v>
      </c>
      <c r="CL1" s="2">
        <f t="shared" si="1"/>
        <v>0.45000000000000029</v>
      </c>
      <c r="CM1" s="2">
        <f t="shared" si="1"/>
        <v>0.45500000000000029</v>
      </c>
      <c r="CN1" s="2">
        <f t="shared" si="1"/>
        <v>0.4600000000000003</v>
      </c>
      <c r="CO1" s="2">
        <f t="shared" si="1"/>
        <v>0.4650000000000003</v>
      </c>
      <c r="CP1" s="2">
        <f t="shared" si="1"/>
        <v>0.47000000000000031</v>
      </c>
      <c r="CQ1" s="2">
        <f t="shared" si="1"/>
        <v>0.47500000000000031</v>
      </c>
      <c r="CR1" s="2">
        <f t="shared" si="1"/>
        <v>0.48000000000000032</v>
      </c>
      <c r="CS1" s="2">
        <f t="shared" si="1"/>
        <v>0.48500000000000032</v>
      </c>
      <c r="CT1" s="2">
        <f t="shared" si="1"/>
        <v>0.49000000000000032</v>
      </c>
      <c r="CU1" s="2">
        <f t="shared" si="1"/>
        <v>0.49500000000000033</v>
      </c>
      <c r="CV1" s="2">
        <f t="shared" si="1"/>
        <v>0.50000000000000033</v>
      </c>
      <c r="CW1" s="2">
        <f t="shared" si="1"/>
        <v>0.50500000000000034</v>
      </c>
      <c r="CX1" s="2">
        <f t="shared" si="1"/>
        <v>0.51000000000000034</v>
      </c>
      <c r="CY1" s="2">
        <f t="shared" si="1"/>
        <v>0.51500000000000035</v>
      </c>
      <c r="CZ1" s="2">
        <f t="shared" si="1"/>
        <v>0.52000000000000035</v>
      </c>
      <c r="DA1" s="2">
        <f t="shared" si="1"/>
        <v>0.52500000000000036</v>
      </c>
      <c r="DB1" s="2">
        <f t="shared" si="1"/>
        <v>0.53000000000000036</v>
      </c>
      <c r="DC1" s="2">
        <f t="shared" si="1"/>
        <v>0.53500000000000036</v>
      </c>
      <c r="DD1" s="2">
        <f t="shared" si="1"/>
        <v>0.54000000000000037</v>
      </c>
      <c r="DE1" s="2">
        <f t="shared" si="1"/>
        <v>0.54500000000000037</v>
      </c>
      <c r="DF1" s="2">
        <f t="shared" si="1"/>
        <v>0.55000000000000038</v>
      </c>
      <c r="DG1" s="2">
        <f t="shared" si="1"/>
        <v>0.55500000000000038</v>
      </c>
      <c r="DH1" s="2">
        <f t="shared" si="1"/>
        <v>0.56000000000000039</v>
      </c>
      <c r="DI1" s="2">
        <f t="shared" si="1"/>
        <v>0.56500000000000039</v>
      </c>
      <c r="DJ1" s="2">
        <f t="shared" si="1"/>
        <v>0.5700000000000004</v>
      </c>
      <c r="DK1" s="2">
        <f t="shared" si="1"/>
        <v>0.5750000000000004</v>
      </c>
      <c r="DL1" s="2">
        <f t="shared" si="1"/>
        <v>0.5800000000000004</v>
      </c>
      <c r="DM1" s="2">
        <f t="shared" si="1"/>
        <v>0.58500000000000041</v>
      </c>
      <c r="DN1" s="2">
        <f t="shared" si="1"/>
        <v>0.59000000000000041</v>
      </c>
      <c r="DO1" s="2">
        <f t="shared" si="1"/>
        <v>0.59500000000000042</v>
      </c>
      <c r="DP1" s="2">
        <f t="shared" si="1"/>
        <v>0.60000000000000042</v>
      </c>
      <c r="DQ1" s="2">
        <f t="shared" si="1"/>
        <v>0.60500000000000043</v>
      </c>
      <c r="DR1" s="2">
        <f t="shared" si="1"/>
        <v>0.61000000000000043</v>
      </c>
      <c r="DS1" s="2">
        <f t="shared" si="1"/>
        <v>0.61500000000000044</v>
      </c>
      <c r="DT1" s="2">
        <f t="shared" si="1"/>
        <v>0.62000000000000044</v>
      </c>
      <c r="DU1" s="2">
        <f t="shared" si="1"/>
        <v>0.62500000000000044</v>
      </c>
      <c r="DV1" s="2">
        <f t="shared" si="1"/>
        <v>0.63000000000000045</v>
      </c>
      <c r="DW1" s="2">
        <f t="shared" si="1"/>
        <v>0.63500000000000045</v>
      </c>
      <c r="DX1" s="2">
        <f t="shared" si="1"/>
        <v>0.64000000000000046</v>
      </c>
      <c r="DY1" s="2">
        <f t="shared" si="1"/>
        <v>0.64500000000000046</v>
      </c>
      <c r="DZ1" s="2">
        <f t="shared" si="1"/>
        <v>0.65000000000000047</v>
      </c>
      <c r="EA1" s="2">
        <f t="shared" ref="EA1:GL1" si="2">DZ1+0.005</f>
        <v>0.65500000000000047</v>
      </c>
      <c r="EB1" s="2">
        <f t="shared" si="2"/>
        <v>0.66000000000000048</v>
      </c>
      <c r="EC1" s="2">
        <f t="shared" si="2"/>
        <v>0.66500000000000048</v>
      </c>
      <c r="ED1" s="2">
        <f t="shared" si="2"/>
        <v>0.67000000000000048</v>
      </c>
      <c r="EE1" s="2">
        <f t="shared" si="2"/>
        <v>0.67500000000000049</v>
      </c>
      <c r="EF1" s="2">
        <f t="shared" si="2"/>
        <v>0.68000000000000049</v>
      </c>
      <c r="EG1" s="2">
        <f t="shared" si="2"/>
        <v>0.6850000000000005</v>
      </c>
      <c r="EH1" s="2">
        <f t="shared" si="2"/>
        <v>0.6900000000000005</v>
      </c>
      <c r="EI1" s="2">
        <f t="shared" si="2"/>
        <v>0.69500000000000051</v>
      </c>
      <c r="EJ1" s="2">
        <f t="shared" si="2"/>
        <v>0.70000000000000051</v>
      </c>
      <c r="EK1" s="2">
        <f t="shared" si="2"/>
        <v>0.70500000000000052</v>
      </c>
      <c r="EL1" s="2">
        <f t="shared" si="2"/>
        <v>0.71000000000000052</v>
      </c>
      <c r="EM1" s="2">
        <f t="shared" si="2"/>
        <v>0.71500000000000052</v>
      </c>
      <c r="EN1" s="2">
        <f t="shared" si="2"/>
        <v>0.72000000000000053</v>
      </c>
      <c r="EO1" s="2">
        <f t="shared" si="2"/>
        <v>0.72500000000000053</v>
      </c>
      <c r="EP1" s="2">
        <f t="shared" si="2"/>
        <v>0.73000000000000054</v>
      </c>
      <c r="EQ1" s="2">
        <f t="shared" si="2"/>
        <v>0.73500000000000054</v>
      </c>
      <c r="ER1" s="2">
        <f t="shared" si="2"/>
        <v>0.74000000000000055</v>
      </c>
      <c r="ES1" s="2">
        <f t="shared" si="2"/>
        <v>0.74500000000000055</v>
      </c>
      <c r="ET1" s="2">
        <f t="shared" si="2"/>
        <v>0.75000000000000056</v>
      </c>
      <c r="EU1" s="2">
        <f t="shared" si="2"/>
        <v>0.75500000000000056</v>
      </c>
      <c r="EV1" s="2">
        <f t="shared" si="2"/>
        <v>0.76000000000000056</v>
      </c>
      <c r="EW1" s="2">
        <f t="shared" si="2"/>
        <v>0.76500000000000057</v>
      </c>
      <c r="EX1" s="2">
        <f t="shared" si="2"/>
        <v>0.77000000000000057</v>
      </c>
      <c r="EY1" s="2">
        <f t="shared" si="2"/>
        <v>0.77500000000000058</v>
      </c>
      <c r="EZ1" s="2">
        <f t="shared" si="2"/>
        <v>0.78000000000000058</v>
      </c>
      <c r="FA1" s="2">
        <f t="shared" si="2"/>
        <v>0.78500000000000059</v>
      </c>
      <c r="FB1" s="2">
        <f t="shared" si="2"/>
        <v>0.79000000000000059</v>
      </c>
      <c r="FC1" s="2">
        <f t="shared" si="2"/>
        <v>0.7950000000000006</v>
      </c>
      <c r="FD1" s="2">
        <f t="shared" si="2"/>
        <v>0.8000000000000006</v>
      </c>
      <c r="FE1" s="2">
        <f t="shared" si="2"/>
        <v>0.8050000000000006</v>
      </c>
      <c r="FF1" s="2">
        <f t="shared" si="2"/>
        <v>0.81000000000000061</v>
      </c>
      <c r="FG1" s="2">
        <f t="shared" si="2"/>
        <v>0.81500000000000061</v>
      </c>
      <c r="FH1" s="2">
        <f t="shared" si="2"/>
        <v>0.82000000000000062</v>
      </c>
      <c r="FI1" s="2">
        <f t="shared" si="2"/>
        <v>0.82500000000000062</v>
      </c>
      <c r="FJ1" s="2">
        <f t="shared" si="2"/>
        <v>0.83000000000000063</v>
      </c>
      <c r="FK1" s="2">
        <f t="shared" si="2"/>
        <v>0.83500000000000063</v>
      </c>
      <c r="FL1" s="2">
        <f t="shared" si="2"/>
        <v>0.84000000000000064</v>
      </c>
      <c r="FM1" s="2">
        <f t="shared" si="2"/>
        <v>0.84500000000000064</v>
      </c>
      <c r="FN1" s="2">
        <f t="shared" si="2"/>
        <v>0.85000000000000064</v>
      </c>
      <c r="FO1" s="2">
        <f t="shared" si="2"/>
        <v>0.85500000000000065</v>
      </c>
      <c r="FP1" s="2">
        <f t="shared" si="2"/>
        <v>0.86000000000000065</v>
      </c>
      <c r="FQ1" s="2">
        <f t="shared" si="2"/>
        <v>0.86500000000000066</v>
      </c>
      <c r="FR1" s="2">
        <f t="shared" si="2"/>
        <v>0.87000000000000066</v>
      </c>
      <c r="FS1" s="2">
        <f t="shared" si="2"/>
        <v>0.87500000000000067</v>
      </c>
      <c r="FT1" s="2">
        <f t="shared" si="2"/>
        <v>0.88000000000000067</v>
      </c>
      <c r="FU1" s="2">
        <f t="shared" si="2"/>
        <v>0.88500000000000068</v>
      </c>
      <c r="FV1" s="2">
        <f t="shared" si="2"/>
        <v>0.89000000000000068</v>
      </c>
      <c r="FW1" s="2">
        <f t="shared" si="2"/>
        <v>0.89500000000000068</v>
      </c>
      <c r="FX1" s="2">
        <f t="shared" si="2"/>
        <v>0.90000000000000069</v>
      </c>
      <c r="FY1" s="2">
        <f t="shared" si="2"/>
        <v>0.90500000000000069</v>
      </c>
      <c r="FZ1" s="2">
        <f t="shared" si="2"/>
        <v>0.9100000000000007</v>
      </c>
      <c r="GA1" s="2">
        <f t="shared" si="2"/>
        <v>0.9150000000000007</v>
      </c>
      <c r="GB1" s="2">
        <f t="shared" si="2"/>
        <v>0.92000000000000071</v>
      </c>
      <c r="GC1" s="2">
        <f t="shared" si="2"/>
        <v>0.92500000000000071</v>
      </c>
      <c r="GD1" s="2">
        <f t="shared" si="2"/>
        <v>0.93000000000000071</v>
      </c>
      <c r="GE1" s="2">
        <f t="shared" si="2"/>
        <v>0.93500000000000072</v>
      </c>
      <c r="GF1" s="2">
        <f t="shared" si="2"/>
        <v>0.94000000000000072</v>
      </c>
      <c r="GG1" s="2">
        <f t="shared" si="2"/>
        <v>0.94500000000000073</v>
      </c>
      <c r="GH1" s="2">
        <f t="shared" si="2"/>
        <v>0.95000000000000073</v>
      </c>
      <c r="GI1" s="2">
        <f t="shared" si="2"/>
        <v>0.95500000000000074</v>
      </c>
      <c r="GJ1" s="2">
        <f t="shared" si="2"/>
        <v>0.96000000000000074</v>
      </c>
      <c r="GK1" s="2">
        <f t="shared" si="2"/>
        <v>0.96500000000000075</v>
      </c>
      <c r="GL1" s="2">
        <f t="shared" si="2"/>
        <v>0.97000000000000075</v>
      </c>
      <c r="GM1" s="2">
        <f t="shared" ref="GM1:GQ1" si="3">GL1+0.005</f>
        <v>0.97500000000000075</v>
      </c>
      <c r="GN1" s="2">
        <f t="shared" si="3"/>
        <v>0.98000000000000076</v>
      </c>
      <c r="GO1" s="2">
        <f t="shared" si="3"/>
        <v>0.98500000000000076</v>
      </c>
      <c r="GP1" s="2">
        <f t="shared" si="3"/>
        <v>0.99000000000000077</v>
      </c>
      <c r="GQ1" s="2">
        <f t="shared" si="3"/>
        <v>0.99500000000000077</v>
      </c>
      <c r="GR1" s="2" t="s">
        <v>13</v>
      </c>
      <c r="GU1" s="2" t="s">
        <v>40</v>
      </c>
    </row>
    <row r="2" spans="1:203" x14ac:dyDescent="0.45">
      <c r="A2">
        <v>100.29</v>
      </c>
      <c r="B2">
        <v>100.29</v>
      </c>
      <c r="C2">
        <v>100.29</v>
      </c>
      <c r="D2">
        <v>100.29</v>
      </c>
      <c r="E2">
        <v>100.29</v>
      </c>
      <c r="F2">
        <v>100.29</v>
      </c>
      <c r="G2">
        <v>100.29</v>
      </c>
      <c r="H2">
        <v>100.29</v>
      </c>
      <c r="I2">
        <v>100.29</v>
      </c>
      <c r="J2">
        <v>100.29</v>
      </c>
      <c r="K2">
        <v>100.29</v>
      </c>
      <c r="L2">
        <v>100.29</v>
      </c>
      <c r="M2">
        <v>100.29</v>
      </c>
      <c r="N2">
        <v>100.29</v>
      </c>
      <c r="O2">
        <v>100.29</v>
      </c>
      <c r="P2">
        <v>100.29</v>
      </c>
      <c r="Q2">
        <v>100.29</v>
      </c>
      <c r="R2">
        <v>100.29</v>
      </c>
      <c r="S2">
        <v>100.29</v>
      </c>
      <c r="T2">
        <v>100.29</v>
      </c>
      <c r="U2">
        <v>100.29</v>
      </c>
      <c r="V2">
        <v>100.29</v>
      </c>
      <c r="W2">
        <v>100.29</v>
      </c>
      <c r="X2">
        <v>100.29</v>
      </c>
      <c r="Y2">
        <v>100.29</v>
      </c>
      <c r="Z2">
        <v>100.29</v>
      </c>
      <c r="AA2">
        <v>100.29</v>
      </c>
      <c r="AB2">
        <v>100.29</v>
      </c>
      <c r="AC2">
        <v>100.29</v>
      </c>
      <c r="AD2">
        <v>100.29</v>
      </c>
      <c r="AE2">
        <v>100.29</v>
      </c>
      <c r="AF2">
        <v>100.29</v>
      </c>
      <c r="AG2">
        <v>100.29</v>
      </c>
      <c r="AH2">
        <v>100.29</v>
      </c>
      <c r="AI2">
        <v>100.29</v>
      </c>
      <c r="AJ2">
        <v>100.29</v>
      </c>
      <c r="AK2">
        <v>100.29</v>
      </c>
      <c r="AL2">
        <v>100.29</v>
      </c>
      <c r="AM2">
        <v>100.29</v>
      </c>
      <c r="AN2">
        <v>100.29</v>
      </c>
      <c r="AO2">
        <v>100.29</v>
      </c>
      <c r="AP2">
        <v>100.29</v>
      </c>
      <c r="AQ2">
        <v>100.29</v>
      </c>
      <c r="AR2">
        <v>100.29</v>
      </c>
      <c r="AS2">
        <v>100.29</v>
      </c>
      <c r="AT2">
        <v>100.29</v>
      </c>
      <c r="AU2">
        <v>100.29</v>
      </c>
      <c r="AV2">
        <v>100.29</v>
      </c>
      <c r="AW2">
        <v>100.29</v>
      </c>
      <c r="AX2">
        <v>100.29</v>
      </c>
      <c r="AY2">
        <v>100.29</v>
      </c>
      <c r="AZ2">
        <v>100.29</v>
      </c>
      <c r="BA2">
        <v>100.29</v>
      </c>
      <c r="BB2">
        <v>100.29</v>
      </c>
      <c r="BC2">
        <v>100.29</v>
      </c>
      <c r="BD2">
        <v>100.29</v>
      </c>
      <c r="BE2">
        <v>100.29</v>
      </c>
      <c r="BF2">
        <v>100.29</v>
      </c>
      <c r="BG2">
        <v>100.29</v>
      </c>
      <c r="BH2">
        <v>100.29</v>
      </c>
      <c r="BI2">
        <v>100.29</v>
      </c>
      <c r="BJ2">
        <v>100.29</v>
      </c>
      <c r="BK2">
        <v>100.29</v>
      </c>
      <c r="BL2">
        <v>100.29</v>
      </c>
      <c r="BM2">
        <v>100.29</v>
      </c>
      <c r="BN2">
        <v>100.29</v>
      </c>
      <c r="BO2">
        <v>100.29</v>
      </c>
      <c r="BP2">
        <v>100.29</v>
      </c>
      <c r="BQ2">
        <v>100.29</v>
      </c>
      <c r="BR2">
        <v>100.29</v>
      </c>
      <c r="BS2">
        <v>100.29</v>
      </c>
      <c r="BT2">
        <v>100.29</v>
      </c>
      <c r="BU2">
        <v>100.29</v>
      </c>
      <c r="BV2">
        <v>100.29</v>
      </c>
      <c r="BW2">
        <v>100.29</v>
      </c>
      <c r="BX2">
        <v>100.29</v>
      </c>
      <c r="BY2">
        <v>100.29</v>
      </c>
      <c r="BZ2">
        <v>100.29</v>
      </c>
      <c r="CA2">
        <v>100.29</v>
      </c>
      <c r="CB2">
        <v>100.29</v>
      </c>
      <c r="CC2">
        <v>100.29</v>
      </c>
      <c r="CD2">
        <v>100.29</v>
      </c>
      <c r="CE2">
        <v>100.29</v>
      </c>
      <c r="CF2">
        <v>100.29</v>
      </c>
      <c r="CG2">
        <v>100.29</v>
      </c>
      <c r="CH2">
        <v>100.29</v>
      </c>
      <c r="CI2">
        <v>100.29</v>
      </c>
      <c r="CJ2">
        <v>100.29</v>
      </c>
      <c r="CK2">
        <v>100.29</v>
      </c>
      <c r="CL2">
        <v>100.29</v>
      </c>
      <c r="CM2">
        <v>100.29</v>
      </c>
      <c r="CN2">
        <v>100.29</v>
      </c>
      <c r="CO2">
        <v>100.29</v>
      </c>
      <c r="CP2">
        <v>100.29</v>
      </c>
      <c r="CQ2">
        <v>100.29</v>
      </c>
      <c r="CR2">
        <v>100.29</v>
      </c>
      <c r="CS2">
        <v>100.29</v>
      </c>
      <c r="CT2">
        <v>100.29</v>
      </c>
      <c r="CU2">
        <v>100.29</v>
      </c>
      <c r="CV2">
        <v>100.29</v>
      </c>
      <c r="CW2">
        <v>100.29</v>
      </c>
      <c r="CX2">
        <v>100.29</v>
      </c>
      <c r="CY2">
        <v>100.29</v>
      </c>
      <c r="CZ2">
        <v>100.29</v>
      </c>
      <c r="DA2">
        <v>100.29</v>
      </c>
      <c r="DB2">
        <v>100.29</v>
      </c>
      <c r="DC2">
        <v>100.29</v>
      </c>
      <c r="DD2">
        <v>100.29</v>
      </c>
      <c r="DE2">
        <v>100.29</v>
      </c>
      <c r="DF2">
        <v>100.29</v>
      </c>
      <c r="DG2">
        <v>100.29</v>
      </c>
      <c r="DH2">
        <v>100.29</v>
      </c>
      <c r="DI2">
        <v>100.29</v>
      </c>
      <c r="DJ2">
        <v>100.29</v>
      </c>
      <c r="DK2">
        <v>100.29</v>
      </c>
      <c r="DL2">
        <v>100.29</v>
      </c>
      <c r="DM2">
        <v>100.29</v>
      </c>
      <c r="DN2">
        <v>100.29</v>
      </c>
      <c r="DO2">
        <v>100.29</v>
      </c>
      <c r="DP2">
        <v>100.29</v>
      </c>
      <c r="DQ2">
        <v>100.29</v>
      </c>
      <c r="DR2">
        <v>100.29</v>
      </c>
      <c r="DS2">
        <v>100.29</v>
      </c>
      <c r="DT2">
        <v>100.29</v>
      </c>
      <c r="DU2">
        <v>100.29</v>
      </c>
      <c r="DV2">
        <v>100.29</v>
      </c>
      <c r="DW2">
        <v>100.29</v>
      </c>
      <c r="DX2">
        <v>100.29</v>
      </c>
      <c r="DY2">
        <v>100.29</v>
      </c>
      <c r="DZ2">
        <v>100.29</v>
      </c>
      <c r="EA2">
        <v>100.29</v>
      </c>
      <c r="EB2">
        <v>100.29</v>
      </c>
      <c r="EC2">
        <v>100.29</v>
      </c>
      <c r="ED2">
        <v>100.29</v>
      </c>
      <c r="EE2">
        <v>100.29</v>
      </c>
      <c r="EF2">
        <v>100.29</v>
      </c>
      <c r="EG2">
        <v>100.29</v>
      </c>
      <c r="EH2">
        <v>100.29</v>
      </c>
      <c r="EI2">
        <v>100.29</v>
      </c>
      <c r="EJ2">
        <v>100.29</v>
      </c>
      <c r="EK2">
        <v>100.29</v>
      </c>
      <c r="EL2">
        <v>100.29</v>
      </c>
      <c r="EM2">
        <v>100.29</v>
      </c>
      <c r="EN2">
        <v>100.29</v>
      </c>
      <c r="EO2">
        <v>100.29</v>
      </c>
      <c r="EP2">
        <v>100.29</v>
      </c>
      <c r="EQ2">
        <v>100.29</v>
      </c>
      <c r="ER2">
        <v>100.29</v>
      </c>
      <c r="ES2">
        <v>100.29</v>
      </c>
      <c r="ET2">
        <v>100.29</v>
      </c>
      <c r="EU2">
        <v>100.29</v>
      </c>
      <c r="EV2">
        <v>100.29</v>
      </c>
      <c r="EW2">
        <v>100.29</v>
      </c>
      <c r="EX2">
        <v>100.29</v>
      </c>
      <c r="EY2">
        <v>100.29</v>
      </c>
      <c r="EZ2">
        <v>100.29</v>
      </c>
      <c r="FA2">
        <v>100.29</v>
      </c>
      <c r="FB2">
        <v>100.29</v>
      </c>
      <c r="FC2">
        <v>100.29</v>
      </c>
      <c r="FD2">
        <v>100.29</v>
      </c>
      <c r="FE2">
        <v>100.29</v>
      </c>
      <c r="FF2">
        <v>100.29</v>
      </c>
      <c r="FG2">
        <v>100.29</v>
      </c>
      <c r="FH2">
        <v>100.29</v>
      </c>
      <c r="FI2">
        <v>100.29</v>
      </c>
      <c r="FJ2">
        <v>100.29</v>
      </c>
      <c r="FK2">
        <v>100.29</v>
      </c>
      <c r="FL2">
        <v>100.29</v>
      </c>
      <c r="FM2">
        <v>100.29</v>
      </c>
      <c r="FN2">
        <v>100.29</v>
      </c>
      <c r="FO2">
        <v>100.29</v>
      </c>
      <c r="FP2">
        <v>100.29</v>
      </c>
      <c r="FQ2">
        <v>100.29</v>
      </c>
      <c r="FR2">
        <v>100.29</v>
      </c>
      <c r="FS2">
        <v>100.29</v>
      </c>
      <c r="FT2">
        <v>100.29</v>
      </c>
      <c r="FU2">
        <v>100.29</v>
      </c>
      <c r="FV2">
        <v>100.29</v>
      </c>
      <c r="FW2">
        <v>100.29</v>
      </c>
      <c r="FX2">
        <v>100.29</v>
      </c>
      <c r="FY2">
        <v>100.29</v>
      </c>
      <c r="FZ2">
        <v>100.29</v>
      </c>
      <c r="GA2">
        <v>100.29</v>
      </c>
      <c r="GB2">
        <v>100.29</v>
      </c>
      <c r="GC2">
        <v>100.29</v>
      </c>
      <c r="GD2">
        <v>100.29</v>
      </c>
      <c r="GE2">
        <v>100.29</v>
      </c>
      <c r="GF2">
        <v>100.29</v>
      </c>
      <c r="GG2">
        <v>100.29</v>
      </c>
      <c r="GH2">
        <v>100.29</v>
      </c>
      <c r="GI2">
        <v>100.29</v>
      </c>
      <c r="GJ2">
        <v>100.29</v>
      </c>
      <c r="GK2">
        <v>100.29</v>
      </c>
      <c r="GL2">
        <v>100.29</v>
      </c>
      <c r="GM2">
        <v>100.29</v>
      </c>
      <c r="GN2">
        <v>100.29</v>
      </c>
      <c r="GO2">
        <v>100.29</v>
      </c>
      <c r="GP2">
        <v>100.29</v>
      </c>
      <c r="GQ2">
        <v>100.29</v>
      </c>
      <c r="GR2">
        <v>100.29000000001301</v>
      </c>
      <c r="GT2" s="8">
        <v>45293</v>
      </c>
      <c r="GU2">
        <v>100.29398500000001</v>
      </c>
    </row>
    <row r="3" spans="1:203" x14ac:dyDescent="0.45">
      <c r="A3">
        <v>97.191439544688322</v>
      </c>
      <c r="B3">
        <v>97.474363489931676</v>
      </c>
      <c r="C3">
        <v>97.669305074530826</v>
      </c>
      <c r="D3">
        <v>97.777964567152083</v>
      </c>
      <c r="E3">
        <v>97.896614400564459</v>
      </c>
      <c r="F3">
        <v>97.986412584101984</v>
      </c>
      <c r="G3">
        <v>98.07415566066075</v>
      </c>
      <c r="H3">
        <v>98.152589773702715</v>
      </c>
      <c r="I3">
        <v>98.219578009999395</v>
      </c>
      <c r="J3">
        <v>98.274726044007807</v>
      </c>
      <c r="K3">
        <v>98.333357123399409</v>
      </c>
      <c r="L3">
        <v>98.38862863205415</v>
      </c>
      <c r="M3">
        <v>98.440283362972707</v>
      </c>
      <c r="N3">
        <v>98.485400185923368</v>
      </c>
      <c r="O3">
        <v>98.54078628878159</v>
      </c>
      <c r="P3">
        <v>98.587281776614986</v>
      </c>
      <c r="Q3">
        <v>98.622841288185825</v>
      </c>
      <c r="R3">
        <v>98.663029600100941</v>
      </c>
      <c r="S3">
        <v>98.699407650550881</v>
      </c>
      <c r="T3">
        <v>98.735324340508299</v>
      </c>
      <c r="U3">
        <v>98.770886178031802</v>
      </c>
      <c r="V3">
        <v>98.801490939061708</v>
      </c>
      <c r="W3">
        <v>98.829364360575468</v>
      </c>
      <c r="X3">
        <v>98.858640440508808</v>
      </c>
      <c r="Y3">
        <v>98.881652899707262</v>
      </c>
      <c r="Z3">
        <v>98.90657851642429</v>
      </c>
      <c r="AA3">
        <v>98.9322544186914</v>
      </c>
      <c r="AB3">
        <v>98.960442276872229</v>
      </c>
      <c r="AC3">
        <v>98.989446812213799</v>
      </c>
      <c r="AD3">
        <v>99.016679940515033</v>
      </c>
      <c r="AE3">
        <v>99.041900785570988</v>
      </c>
      <c r="AF3">
        <v>99.063543471734661</v>
      </c>
      <c r="AG3">
        <v>99.088274693642461</v>
      </c>
      <c r="AH3">
        <v>99.119708712740817</v>
      </c>
      <c r="AI3">
        <v>99.139996114958393</v>
      </c>
      <c r="AJ3">
        <v>99.161326093805471</v>
      </c>
      <c r="AK3">
        <v>99.184044672579034</v>
      </c>
      <c r="AL3">
        <v>99.209580285220312</v>
      </c>
      <c r="AM3">
        <v>99.22936881236518</v>
      </c>
      <c r="AN3">
        <v>99.254842945662688</v>
      </c>
      <c r="AO3">
        <v>99.28064537868056</v>
      </c>
      <c r="AP3">
        <v>99.299203788261892</v>
      </c>
      <c r="AQ3">
        <v>99.322707091238044</v>
      </c>
      <c r="AR3">
        <v>99.350204449634901</v>
      </c>
      <c r="AS3">
        <v>99.377339367699875</v>
      </c>
      <c r="AT3">
        <v>99.402386963573846</v>
      </c>
      <c r="AU3">
        <v>99.418473366163809</v>
      </c>
      <c r="AV3">
        <v>99.440069564446773</v>
      </c>
      <c r="AW3">
        <v>99.459976539068975</v>
      </c>
      <c r="AX3">
        <v>99.476439755290116</v>
      </c>
      <c r="AY3">
        <v>99.497986557277088</v>
      </c>
      <c r="AZ3">
        <v>99.520144109718174</v>
      </c>
      <c r="BA3">
        <v>99.542866824197091</v>
      </c>
      <c r="BB3">
        <v>99.563148720041283</v>
      </c>
      <c r="BC3">
        <v>99.57909368041399</v>
      </c>
      <c r="BD3">
        <v>99.596828858344423</v>
      </c>
      <c r="BE3">
        <v>99.611264004422353</v>
      </c>
      <c r="BF3">
        <v>99.629985917651453</v>
      </c>
      <c r="BG3">
        <v>99.650983300911648</v>
      </c>
      <c r="BH3">
        <v>99.669729246408721</v>
      </c>
      <c r="BI3">
        <v>99.68940899239756</v>
      </c>
      <c r="BJ3">
        <v>99.7112951917359</v>
      </c>
      <c r="BK3">
        <v>99.726623372842312</v>
      </c>
      <c r="BL3">
        <v>99.739631646813294</v>
      </c>
      <c r="BM3">
        <v>99.752090147408779</v>
      </c>
      <c r="BN3">
        <v>99.769218414504863</v>
      </c>
      <c r="BO3">
        <v>99.785766672948483</v>
      </c>
      <c r="BP3">
        <v>99.800324771357722</v>
      </c>
      <c r="BQ3">
        <v>99.818165301099668</v>
      </c>
      <c r="BR3">
        <v>99.835893591455218</v>
      </c>
      <c r="BS3">
        <v>99.854321425324159</v>
      </c>
      <c r="BT3">
        <v>99.868981289236729</v>
      </c>
      <c r="BU3">
        <v>99.884862846390604</v>
      </c>
      <c r="BV3">
        <v>99.90111018093161</v>
      </c>
      <c r="BW3">
        <v>99.916961692884072</v>
      </c>
      <c r="BX3">
        <v>99.932690342507499</v>
      </c>
      <c r="BY3">
        <v>99.949849517261313</v>
      </c>
      <c r="BZ3">
        <v>99.961982424181301</v>
      </c>
      <c r="CA3">
        <v>99.976486346992203</v>
      </c>
      <c r="CB3">
        <v>99.99413836587911</v>
      </c>
      <c r="CC3">
        <v>100.01039025189937</v>
      </c>
      <c r="CD3">
        <v>100.02705771603233</v>
      </c>
      <c r="CE3">
        <v>100.03893885922227</v>
      </c>
      <c r="CF3">
        <v>100.05600730927458</v>
      </c>
      <c r="CG3">
        <v>100.0707806339377</v>
      </c>
      <c r="CH3">
        <v>100.08630186540721</v>
      </c>
      <c r="CI3">
        <v>100.10471937342528</v>
      </c>
      <c r="CJ3">
        <v>100.11977806792584</v>
      </c>
      <c r="CK3">
        <v>100.13248286261279</v>
      </c>
      <c r="CL3">
        <v>100.1455295585465</v>
      </c>
      <c r="CM3">
        <v>100.16104463781367</v>
      </c>
      <c r="CN3">
        <v>100.17710055184635</v>
      </c>
      <c r="CO3">
        <v>100.18941050659214</v>
      </c>
      <c r="CP3">
        <v>100.20370269830076</v>
      </c>
      <c r="CQ3">
        <v>100.22192584118878</v>
      </c>
      <c r="CR3">
        <v>100.23827077031599</v>
      </c>
      <c r="CS3">
        <v>100.25604309293315</v>
      </c>
      <c r="CT3">
        <v>100.26887492541368</v>
      </c>
      <c r="CU3">
        <v>100.28708877391576</v>
      </c>
      <c r="CV3">
        <v>100.300628927278</v>
      </c>
      <c r="CW3">
        <v>100.31313579269018</v>
      </c>
      <c r="CX3">
        <v>100.32487294678762</v>
      </c>
      <c r="CY3">
        <v>100.34411503615344</v>
      </c>
      <c r="CZ3">
        <v>100.35769399905625</v>
      </c>
      <c r="DA3">
        <v>100.37316073254208</v>
      </c>
      <c r="DB3">
        <v>100.38804419440457</v>
      </c>
      <c r="DC3">
        <v>100.40659267635104</v>
      </c>
      <c r="DD3">
        <v>100.4219019510998</v>
      </c>
      <c r="DE3">
        <v>100.43866781884343</v>
      </c>
      <c r="DF3">
        <v>100.45682805826814</v>
      </c>
      <c r="DG3">
        <v>100.47120365874905</v>
      </c>
      <c r="DH3">
        <v>100.48842171639265</v>
      </c>
      <c r="DI3">
        <v>100.50465282544579</v>
      </c>
      <c r="DJ3">
        <v>100.52228159602964</v>
      </c>
      <c r="DK3">
        <v>100.53719707190703</v>
      </c>
      <c r="DL3">
        <v>100.55697073109886</v>
      </c>
      <c r="DM3">
        <v>100.56992269281142</v>
      </c>
      <c r="DN3">
        <v>100.58110528935595</v>
      </c>
      <c r="DO3">
        <v>100.59848441014091</v>
      </c>
      <c r="DP3">
        <v>100.61564188040421</v>
      </c>
      <c r="DQ3">
        <v>100.6312741626837</v>
      </c>
      <c r="DR3">
        <v>100.64875303567435</v>
      </c>
      <c r="DS3">
        <v>100.66717932854718</v>
      </c>
      <c r="DT3">
        <v>100.68300031089731</v>
      </c>
      <c r="DU3">
        <v>100.69849269628787</v>
      </c>
      <c r="DV3">
        <v>100.71332832368454</v>
      </c>
      <c r="DW3">
        <v>100.72984847703461</v>
      </c>
      <c r="DX3">
        <v>100.74523575500098</v>
      </c>
      <c r="DY3">
        <v>100.76245349959223</v>
      </c>
      <c r="DZ3">
        <v>100.77957796229346</v>
      </c>
      <c r="EA3">
        <v>100.79540052391899</v>
      </c>
      <c r="EB3">
        <v>100.81295116962706</v>
      </c>
      <c r="EC3">
        <v>100.83255042591098</v>
      </c>
      <c r="ED3">
        <v>100.84659084395798</v>
      </c>
      <c r="EE3">
        <v>100.85986294474496</v>
      </c>
      <c r="EF3">
        <v>100.87610268911463</v>
      </c>
      <c r="EG3">
        <v>100.89253014472537</v>
      </c>
      <c r="EH3">
        <v>100.9085615793864</v>
      </c>
      <c r="EI3">
        <v>100.92639130869402</v>
      </c>
      <c r="EJ3">
        <v>100.94508968258248</v>
      </c>
      <c r="EK3">
        <v>100.95968738185995</v>
      </c>
      <c r="EL3">
        <v>100.97791814673454</v>
      </c>
      <c r="EM3">
        <v>100.99422616897768</v>
      </c>
      <c r="EN3">
        <v>101.01019481525802</v>
      </c>
      <c r="EO3">
        <v>101.02409253376081</v>
      </c>
      <c r="EP3">
        <v>101.04601599393024</v>
      </c>
      <c r="EQ3">
        <v>101.06359999535395</v>
      </c>
      <c r="ER3">
        <v>101.07951433260676</v>
      </c>
      <c r="ES3">
        <v>101.09475071023316</v>
      </c>
      <c r="ET3">
        <v>101.1156020717482</v>
      </c>
      <c r="EU3">
        <v>101.13335504443371</v>
      </c>
      <c r="EV3">
        <v>101.15572494232477</v>
      </c>
      <c r="EW3">
        <v>101.17691127942119</v>
      </c>
      <c r="EX3">
        <v>101.19782471261746</v>
      </c>
      <c r="EY3">
        <v>101.21222475273333</v>
      </c>
      <c r="EZ3">
        <v>101.23450372514046</v>
      </c>
      <c r="FA3">
        <v>101.25379316986762</v>
      </c>
      <c r="FB3">
        <v>101.27918293953992</v>
      </c>
      <c r="FC3">
        <v>101.30179209692817</v>
      </c>
      <c r="FD3">
        <v>101.32780776044721</v>
      </c>
      <c r="FE3">
        <v>101.34817685817386</v>
      </c>
      <c r="FF3">
        <v>101.37508574225144</v>
      </c>
      <c r="FG3">
        <v>101.39660937627343</v>
      </c>
      <c r="FH3">
        <v>101.41926337595628</v>
      </c>
      <c r="FI3">
        <v>101.4436534581061</v>
      </c>
      <c r="FJ3">
        <v>101.47370124019028</v>
      </c>
      <c r="FK3">
        <v>101.49933969631573</v>
      </c>
      <c r="FL3">
        <v>101.51850540597616</v>
      </c>
      <c r="FM3">
        <v>101.54134271007906</v>
      </c>
      <c r="FN3">
        <v>101.56483799370383</v>
      </c>
      <c r="FO3">
        <v>101.5929060174925</v>
      </c>
      <c r="FP3">
        <v>101.62115869757218</v>
      </c>
      <c r="FQ3">
        <v>101.64891523513353</v>
      </c>
      <c r="FR3">
        <v>101.67596485304412</v>
      </c>
      <c r="FS3">
        <v>101.7127818714675</v>
      </c>
      <c r="FT3">
        <v>101.74727180965486</v>
      </c>
      <c r="FU3">
        <v>101.78546636100343</v>
      </c>
      <c r="FV3">
        <v>101.81183015208855</v>
      </c>
      <c r="FW3">
        <v>101.8473238286311</v>
      </c>
      <c r="FX3">
        <v>101.88196307783141</v>
      </c>
      <c r="FY3">
        <v>101.92024542460196</v>
      </c>
      <c r="FZ3">
        <v>101.96122235633386</v>
      </c>
      <c r="GA3">
        <v>101.99550125843562</v>
      </c>
      <c r="GB3">
        <v>102.03601317675306</v>
      </c>
      <c r="GC3">
        <v>102.09051676203707</v>
      </c>
      <c r="GD3">
        <v>102.1366318445634</v>
      </c>
      <c r="GE3">
        <v>102.18375358728262</v>
      </c>
      <c r="GF3">
        <v>102.22504403807835</v>
      </c>
      <c r="GG3">
        <v>102.27567615585033</v>
      </c>
      <c r="GH3">
        <v>102.34106790083899</v>
      </c>
      <c r="GI3">
        <v>102.39075820441514</v>
      </c>
      <c r="GJ3">
        <v>102.46645012493893</v>
      </c>
      <c r="GK3">
        <v>102.54156405738651</v>
      </c>
      <c r="GL3">
        <v>102.62441272597478</v>
      </c>
      <c r="GM3">
        <v>102.71101774264939</v>
      </c>
      <c r="GN3">
        <v>102.80429548455366</v>
      </c>
      <c r="GO3">
        <v>102.94837648816495</v>
      </c>
      <c r="GP3">
        <v>103.16157136064133</v>
      </c>
      <c r="GQ3">
        <v>103.45662444198472</v>
      </c>
      <c r="GR3">
        <v>100.30194242023521</v>
      </c>
      <c r="GT3" s="8">
        <v>45294</v>
      </c>
      <c r="GU3">
        <v>98.788978</v>
      </c>
    </row>
    <row r="4" spans="1:203" x14ac:dyDescent="0.45">
      <c r="A4">
        <v>96.120540477169911</v>
      </c>
      <c r="B4">
        <v>96.443539351554051</v>
      </c>
      <c r="C4">
        <v>96.737393972266645</v>
      </c>
      <c r="D4">
        <v>96.925347126756265</v>
      </c>
      <c r="E4">
        <v>97.040144073952519</v>
      </c>
      <c r="F4">
        <v>97.200405830488435</v>
      </c>
      <c r="G4">
        <v>97.312485653794283</v>
      </c>
      <c r="H4">
        <v>97.381049042173743</v>
      </c>
      <c r="I4">
        <v>97.479346546562354</v>
      </c>
      <c r="J4">
        <v>97.546729317762939</v>
      </c>
      <c r="K4">
        <v>97.626822141635799</v>
      </c>
      <c r="L4">
        <v>97.691363476986425</v>
      </c>
      <c r="M4">
        <v>97.768699123251309</v>
      </c>
      <c r="N4">
        <v>97.82847280052863</v>
      </c>
      <c r="O4">
        <v>97.893206224670777</v>
      </c>
      <c r="P4">
        <v>97.948021262945034</v>
      </c>
      <c r="Q4">
        <v>97.999984932684356</v>
      </c>
      <c r="R4">
        <v>98.045816262167733</v>
      </c>
      <c r="S4">
        <v>98.099815104791702</v>
      </c>
      <c r="T4">
        <v>98.155560210500596</v>
      </c>
      <c r="U4">
        <v>98.199694443267461</v>
      </c>
      <c r="V4">
        <v>98.231884396312822</v>
      </c>
      <c r="W4">
        <v>98.27087165508128</v>
      </c>
      <c r="X4">
        <v>98.309594009895761</v>
      </c>
      <c r="Y4">
        <v>98.354170395480168</v>
      </c>
      <c r="Z4">
        <v>98.389868983074194</v>
      </c>
      <c r="AA4">
        <v>98.426881330079084</v>
      </c>
      <c r="AB4">
        <v>98.46764055141945</v>
      </c>
      <c r="AC4">
        <v>98.501913967911833</v>
      </c>
      <c r="AD4">
        <v>98.537149843764738</v>
      </c>
      <c r="AE4">
        <v>98.575233467158327</v>
      </c>
      <c r="AF4">
        <v>98.600383307204268</v>
      </c>
      <c r="AG4">
        <v>98.63129049578545</v>
      </c>
      <c r="AH4">
        <v>98.668642799373217</v>
      </c>
      <c r="AI4">
        <v>98.704101563819449</v>
      </c>
      <c r="AJ4">
        <v>98.736498326471931</v>
      </c>
      <c r="AK4">
        <v>98.76806703312954</v>
      </c>
      <c r="AL4">
        <v>98.794474266984381</v>
      </c>
      <c r="AM4">
        <v>98.818095460702494</v>
      </c>
      <c r="AN4">
        <v>98.85843505102639</v>
      </c>
      <c r="AO4">
        <v>98.883082765325014</v>
      </c>
      <c r="AP4">
        <v>98.911839661578171</v>
      </c>
      <c r="AQ4">
        <v>98.935439085528401</v>
      </c>
      <c r="AR4">
        <v>98.966248255993477</v>
      </c>
      <c r="AS4">
        <v>98.990479190262874</v>
      </c>
      <c r="AT4">
        <v>99.02328423515759</v>
      </c>
      <c r="AU4">
        <v>99.053020646638046</v>
      </c>
      <c r="AV4">
        <v>99.082126236122235</v>
      </c>
      <c r="AW4">
        <v>99.111814878950938</v>
      </c>
      <c r="AX4">
        <v>99.1305215341783</v>
      </c>
      <c r="AY4">
        <v>99.150159511376629</v>
      </c>
      <c r="AZ4">
        <v>99.175170117415206</v>
      </c>
      <c r="BA4">
        <v>99.197575720756646</v>
      </c>
      <c r="BB4">
        <v>99.227254044210596</v>
      </c>
      <c r="BC4">
        <v>99.257390204865004</v>
      </c>
      <c r="BD4">
        <v>99.281575518755744</v>
      </c>
      <c r="BE4">
        <v>99.302296419551112</v>
      </c>
      <c r="BF4">
        <v>99.326909870131914</v>
      </c>
      <c r="BG4">
        <v>99.348167100918474</v>
      </c>
      <c r="BH4">
        <v>99.366841089159138</v>
      </c>
      <c r="BI4">
        <v>99.386306380114121</v>
      </c>
      <c r="BJ4">
        <v>99.404896938957478</v>
      </c>
      <c r="BK4">
        <v>99.429004943900694</v>
      </c>
      <c r="BL4">
        <v>99.454260840136811</v>
      </c>
      <c r="BM4">
        <v>99.481573635978648</v>
      </c>
      <c r="BN4">
        <v>99.502423182941783</v>
      </c>
      <c r="BO4">
        <v>99.529033120053114</v>
      </c>
      <c r="BP4">
        <v>99.545080166725569</v>
      </c>
      <c r="BQ4">
        <v>99.564591366862302</v>
      </c>
      <c r="BR4">
        <v>99.589661728098861</v>
      </c>
      <c r="BS4">
        <v>99.609714471027615</v>
      </c>
      <c r="BT4">
        <v>99.635418426159177</v>
      </c>
      <c r="BU4">
        <v>99.657097151158865</v>
      </c>
      <c r="BV4">
        <v>99.683074194874621</v>
      </c>
      <c r="BW4">
        <v>99.710726284981391</v>
      </c>
      <c r="BX4">
        <v>99.731851617436263</v>
      </c>
      <c r="BY4">
        <v>99.753386339986335</v>
      </c>
      <c r="BZ4">
        <v>99.779383178728395</v>
      </c>
      <c r="CA4">
        <v>99.798563874837342</v>
      </c>
      <c r="CB4">
        <v>99.815372341442924</v>
      </c>
      <c r="CC4">
        <v>99.832030592510662</v>
      </c>
      <c r="CD4">
        <v>99.854385847814569</v>
      </c>
      <c r="CE4">
        <v>99.875867234072714</v>
      </c>
      <c r="CF4">
        <v>99.897353736214981</v>
      </c>
      <c r="CG4">
        <v>99.917491950176441</v>
      </c>
      <c r="CH4">
        <v>99.938732304978174</v>
      </c>
      <c r="CI4">
        <v>99.956931353034207</v>
      </c>
      <c r="CJ4">
        <v>99.981001563477065</v>
      </c>
      <c r="CK4">
        <v>99.997895201194055</v>
      </c>
      <c r="CL4">
        <v>100.01764732529715</v>
      </c>
      <c r="CM4">
        <v>100.03832685321028</v>
      </c>
      <c r="CN4">
        <v>100.06164894134537</v>
      </c>
      <c r="CO4">
        <v>100.08012369505805</v>
      </c>
      <c r="CP4">
        <v>100.09724320507175</v>
      </c>
      <c r="CQ4">
        <v>100.12107088782689</v>
      </c>
      <c r="CR4">
        <v>100.14898771541735</v>
      </c>
      <c r="CS4">
        <v>100.16943047742063</v>
      </c>
      <c r="CT4">
        <v>100.18557964659621</v>
      </c>
      <c r="CU4">
        <v>100.21099026016887</v>
      </c>
      <c r="CV4">
        <v>100.23466526428516</v>
      </c>
      <c r="CW4">
        <v>100.25718568415073</v>
      </c>
      <c r="CX4">
        <v>100.27978864690962</v>
      </c>
      <c r="CY4">
        <v>100.30459426361206</v>
      </c>
      <c r="CZ4">
        <v>100.32627805321482</v>
      </c>
      <c r="DA4">
        <v>100.34935784771811</v>
      </c>
      <c r="DB4">
        <v>100.37683349290741</v>
      </c>
      <c r="DC4">
        <v>100.39792446095376</v>
      </c>
      <c r="DD4">
        <v>100.41692204973559</v>
      </c>
      <c r="DE4">
        <v>100.43713790321056</v>
      </c>
      <c r="DF4">
        <v>100.46338776897711</v>
      </c>
      <c r="DG4">
        <v>100.499172269928</v>
      </c>
      <c r="DH4">
        <v>100.51905013669032</v>
      </c>
      <c r="DI4">
        <v>100.53621558359416</v>
      </c>
      <c r="DJ4">
        <v>100.55900888630337</v>
      </c>
      <c r="DK4">
        <v>100.58018910611308</v>
      </c>
      <c r="DL4">
        <v>100.60263722534017</v>
      </c>
      <c r="DM4">
        <v>100.62828033640685</v>
      </c>
      <c r="DN4">
        <v>100.65181218702031</v>
      </c>
      <c r="DO4">
        <v>100.6743893768609</v>
      </c>
      <c r="DP4">
        <v>100.69972153535322</v>
      </c>
      <c r="DQ4">
        <v>100.72053941513229</v>
      </c>
      <c r="DR4">
        <v>100.73924944890969</v>
      </c>
      <c r="DS4">
        <v>100.76237511753719</v>
      </c>
      <c r="DT4">
        <v>100.7868092012824</v>
      </c>
      <c r="DU4">
        <v>100.81025365127311</v>
      </c>
      <c r="DV4">
        <v>100.83120379166357</v>
      </c>
      <c r="DW4">
        <v>100.85113586867855</v>
      </c>
      <c r="DX4">
        <v>100.87951441347251</v>
      </c>
      <c r="DY4">
        <v>100.90836587313159</v>
      </c>
      <c r="DZ4">
        <v>100.93773817896641</v>
      </c>
      <c r="EA4">
        <v>100.9643481793983</v>
      </c>
      <c r="EB4">
        <v>100.9855125864958</v>
      </c>
      <c r="EC4">
        <v>101.01483391519744</v>
      </c>
      <c r="ED4">
        <v>101.03779075727886</v>
      </c>
      <c r="EE4">
        <v>101.06301999521402</v>
      </c>
      <c r="EF4">
        <v>101.08033985956264</v>
      </c>
      <c r="EG4">
        <v>101.10503948072116</v>
      </c>
      <c r="EH4">
        <v>101.12782767980116</v>
      </c>
      <c r="EI4">
        <v>101.1536989186624</v>
      </c>
      <c r="EJ4">
        <v>101.18076598266748</v>
      </c>
      <c r="EK4">
        <v>101.20339634196506</v>
      </c>
      <c r="EL4">
        <v>101.22871266855491</v>
      </c>
      <c r="EM4">
        <v>101.25169706679097</v>
      </c>
      <c r="EN4">
        <v>101.27872081702807</v>
      </c>
      <c r="EO4">
        <v>101.30779791068797</v>
      </c>
      <c r="EP4">
        <v>101.33206752877553</v>
      </c>
      <c r="EQ4">
        <v>101.35742435243411</v>
      </c>
      <c r="ER4">
        <v>101.38929891537023</v>
      </c>
      <c r="ES4">
        <v>101.41281557885772</v>
      </c>
      <c r="ET4">
        <v>101.44103931565606</v>
      </c>
      <c r="EU4">
        <v>101.46390702050488</v>
      </c>
      <c r="EV4">
        <v>101.48895977711398</v>
      </c>
      <c r="EW4">
        <v>101.52045547729145</v>
      </c>
      <c r="EX4">
        <v>101.55590363644313</v>
      </c>
      <c r="EY4">
        <v>101.58261145389648</v>
      </c>
      <c r="EZ4">
        <v>101.61118578744342</v>
      </c>
      <c r="FA4">
        <v>101.64895445756804</v>
      </c>
      <c r="FB4">
        <v>101.68022921023365</v>
      </c>
      <c r="FC4">
        <v>101.7129892988326</v>
      </c>
      <c r="FD4">
        <v>101.75075115009798</v>
      </c>
      <c r="FE4">
        <v>101.79299075969611</v>
      </c>
      <c r="FF4">
        <v>101.82447337770759</v>
      </c>
      <c r="FG4">
        <v>101.86113070014918</v>
      </c>
      <c r="FH4">
        <v>101.8843197382763</v>
      </c>
      <c r="FI4">
        <v>101.91667213180929</v>
      </c>
      <c r="FJ4">
        <v>101.95447181032684</v>
      </c>
      <c r="FK4">
        <v>101.99282747514548</v>
      </c>
      <c r="FL4">
        <v>102.02876025888004</v>
      </c>
      <c r="FM4">
        <v>102.07464944302041</v>
      </c>
      <c r="FN4">
        <v>102.11381040643845</v>
      </c>
      <c r="FO4">
        <v>102.15207935439865</v>
      </c>
      <c r="FP4">
        <v>102.19843987544992</v>
      </c>
      <c r="FQ4">
        <v>102.24539024720747</v>
      </c>
      <c r="FR4">
        <v>102.28553437132295</v>
      </c>
      <c r="FS4">
        <v>102.33268447478426</v>
      </c>
      <c r="FT4">
        <v>102.39920387778581</v>
      </c>
      <c r="FU4">
        <v>102.44626917730473</v>
      </c>
      <c r="FV4">
        <v>102.4855732769699</v>
      </c>
      <c r="FW4">
        <v>102.53842592894284</v>
      </c>
      <c r="FX4">
        <v>102.59126315286585</v>
      </c>
      <c r="FY4">
        <v>102.6432076226487</v>
      </c>
      <c r="FZ4">
        <v>102.70446632538415</v>
      </c>
      <c r="GA4">
        <v>102.76534105144745</v>
      </c>
      <c r="GB4">
        <v>102.82471725200962</v>
      </c>
      <c r="GC4">
        <v>102.91110509638787</v>
      </c>
      <c r="GD4">
        <v>102.96378245918919</v>
      </c>
      <c r="GE4">
        <v>103.03251371096147</v>
      </c>
      <c r="GF4">
        <v>103.11306766728859</v>
      </c>
      <c r="GG4">
        <v>103.19512909597147</v>
      </c>
      <c r="GH4">
        <v>103.29493859866807</v>
      </c>
      <c r="GI4">
        <v>103.43431995916632</v>
      </c>
      <c r="GJ4">
        <v>103.57982705304934</v>
      </c>
      <c r="GK4">
        <v>103.70570676762941</v>
      </c>
      <c r="GL4">
        <v>103.83895606827944</v>
      </c>
      <c r="GM4">
        <v>103.99424127633455</v>
      </c>
      <c r="GN4">
        <v>104.18859286023792</v>
      </c>
      <c r="GO4">
        <v>104.42189476148356</v>
      </c>
      <c r="GP4">
        <v>104.65322874602097</v>
      </c>
      <c r="GQ4">
        <v>105.10582067965242</v>
      </c>
      <c r="GR4">
        <v>100.31755013249747</v>
      </c>
      <c r="GT4" s="8">
        <v>45295</v>
      </c>
      <c r="GU4">
        <v>99.266757999999996</v>
      </c>
    </row>
    <row r="5" spans="1:203" x14ac:dyDescent="0.45">
      <c r="A5">
        <v>95.476683448729531</v>
      </c>
      <c r="B5">
        <v>95.917728447706494</v>
      </c>
      <c r="C5">
        <v>96.201717577576844</v>
      </c>
      <c r="D5">
        <v>96.39741987731783</v>
      </c>
      <c r="E5">
        <v>96.534975710484332</v>
      </c>
      <c r="F5">
        <v>96.637610540776578</v>
      </c>
      <c r="G5">
        <v>96.753811799799294</v>
      </c>
      <c r="H5">
        <v>96.873582906053045</v>
      </c>
      <c r="I5">
        <v>96.962832730827472</v>
      </c>
      <c r="J5">
        <v>97.047294536587742</v>
      </c>
      <c r="K5">
        <v>97.117216674487494</v>
      </c>
      <c r="L5">
        <v>97.188320299885973</v>
      </c>
      <c r="M5">
        <v>97.269361090965617</v>
      </c>
      <c r="N5">
        <v>97.326125020010025</v>
      </c>
      <c r="O5">
        <v>97.387049313318045</v>
      </c>
      <c r="P5">
        <v>97.446354737821821</v>
      </c>
      <c r="Q5">
        <v>97.509169660104348</v>
      </c>
      <c r="R5">
        <v>97.570003040314049</v>
      </c>
      <c r="S5">
        <v>97.620257882909883</v>
      </c>
      <c r="T5">
        <v>97.672754522654202</v>
      </c>
      <c r="U5">
        <v>97.734271794551717</v>
      </c>
      <c r="V5">
        <v>97.775750984342551</v>
      </c>
      <c r="W5">
        <v>97.82510556505764</v>
      </c>
      <c r="X5">
        <v>97.866377376228769</v>
      </c>
      <c r="Y5">
        <v>97.921560136072742</v>
      </c>
      <c r="Z5">
        <v>97.964107164197557</v>
      </c>
      <c r="AA5">
        <v>98.011186060450001</v>
      </c>
      <c r="AB5">
        <v>98.053142395978455</v>
      </c>
      <c r="AC5">
        <v>98.094501307332848</v>
      </c>
      <c r="AD5">
        <v>98.136339878269879</v>
      </c>
      <c r="AE5">
        <v>98.172553504598056</v>
      </c>
      <c r="AF5">
        <v>98.208002137414681</v>
      </c>
      <c r="AG5">
        <v>98.249534843708688</v>
      </c>
      <c r="AH5">
        <v>98.27891308634085</v>
      </c>
      <c r="AI5">
        <v>98.32005078310425</v>
      </c>
      <c r="AJ5">
        <v>98.354155151166395</v>
      </c>
      <c r="AK5">
        <v>98.392019643427489</v>
      </c>
      <c r="AL5">
        <v>98.42631529749228</v>
      </c>
      <c r="AM5">
        <v>98.456824648425425</v>
      </c>
      <c r="AN5">
        <v>98.502517325628716</v>
      </c>
      <c r="AO5">
        <v>98.537915879700648</v>
      </c>
      <c r="AP5">
        <v>98.564900977121027</v>
      </c>
      <c r="AQ5">
        <v>98.592695387522824</v>
      </c>
      <c r="AR5">
        <v>98.63484477274659</v>
      </c>
      <c r="AS5">
        <v>98.662574498037472</v>
      </c>
      <c r="AT5">
        <v>98.686027747205358</v>
      </c>
      <c r="AU5">
        <v>98.71840713422651</v>
      </c>
      <c r="AV5">
        <v>98.752839680231645</v>
      </c>
      <c r="AW5">
        <v>98.780346113341722</v>
      </c>
      <c r="AX5">
        <v>98.818356669739259</v>
      </c>
      <c r="AY5">
        <v>98.855439155593771</v>
      </c>
      <c r="AZ5">
        <v>98.888634319074015</v>
      </c>
      <c r="BA5">
        <v>98.914333676791102</v>
      </c>
      <c r="BB5">
        <v>98.94321074657509</v>
      </c>
      <c r="BC5">
        <v>98.972887652751453</v>
      </c>
      <c r="BD5">
        <v>99.001967230166315</v>
      </c>
      <c r="BE5">
        <v>99.03261661673875</v>
      </c>
      <c r="BF5">
        <v>99.059829532753852</v>
      </c>
      <c r="BG5">
        <v>99.087996485368478</v>
      </c>
      <c r="BH5">
        <v>99.120648945301014</v>
      </c>
      <c r="BI5">
        <v>99.154717817526702</v>
      </c>
      <c r="BJ5">
        <v>99.188035268630856</v>
      </c>
      <c r="BK5">
        <v>99.215231358549161</v>
      </c>
      <c r="BL5">
        <v>99.246535271961292</v>
      </c>
      <c r="BM5">
        <v>99.2719551054644</v>
      </c>
      <c r="BN5">
        <v>99.298632936711542</v>
      </c>
      <c r="BO5">
        <v>99.329726763323222</v>
      </c>
      <c r="BP5">
        <v>99.371110000378309</v>
      </c>
      <c r="BQ5">
        <v>99.390381427744131</v>
      </c>
      <c r="BR5">
        <v>99.415607429074157</v>
      </c>
      <c r="BS5">
        <v>99.439444940059815</v>
      </c>
      <c r="BT5">
        <v>99.465855830859027</v>
      </c>
      <c r="BU5">
        <v>99.497657034770114</v>
      </c>
      <c r="BV5">
        <v>99.526964890828125</v>
      </c>
      <c r="BW5">
        <v>99.550941912719694</v>
      </c>
      <c r="BX5">
        <v>99.574439899952992</v>
      </c>
      <c r="BY5">
        <v>99.600813921606715</v>
      </c>
      <c r="BZ5">
        <v>99.620790366875667</v>
      </c>
      <c r="CA5">
        <v>99.658485315050029</v>
      </c>
      <c r="CB5">
        <v>99.682525494898286</v>
      </c>
      <c r="CC5">
        <v>99.719273399245651</v>
      </c>
      <c r="CD5">
        <v>99.749263833281233</v>
      </c>
      <c r="CE5">
        <v>99.774791545832699</v>
      </c>
      <c r="CF5">
        <v>99.79490914751419</v>
      </c>
      <c r="CG5">
        <v>99.825102980963337</v>
      </c>
      <c r="CH5">
        <v>99.852891215595392</v>
      </c>
      <c r="CI5">
        <v>99.872892401961423</v>
      </c>
      <c r="CJ5">
        <v>99.897134208091401</v>
      </c>
      <c r="CK5">
        <v>99.92015911693251</v>
      </c>
      <c r="CL5">
        <v>99.942961182691306</v>
      </c>
      <c r="CM5">
        <v>99.967666389390487</v>
      </c>
      <c r="CN5">
        <v>99.994510374597041</v>
      </c>
      <c r="CO5">
        <v>100.01775306352641</v>
      </c>
      <c r="CP5">
        <v>100.04827341822796</v>
      </c>
      <c r="CQ5">
        <v>100.07638569074958</v>
      </c>
      <c r="CR5">
        <v>100.10439591644894</v>
      </c>
      <c r="CS5">
        <v>100.12907688016156</v>
      </c>
      <c r="CT5">
        <v>100.15994373042932</v>
      </c>
      <c r="CU5">
        <v>100.18829579306599</v>
      </c>
      <c r="CV5">
        <v>100.21774732213908</v>
      </c>
      <c r="CW5">
        <v>100.24475386828962</v>
      </c>
      <c r="CX5">
        <v>100.27264759877026</v>
      </c>
      <c r="CY5">
        <v>100.30116512664301</v>
      </c>
      <c r="CZ5">
        <v>100.33112933382596</v>
      </c>
      <c r="DA5">
        <v>100.35280114901346</v>
      </c>
      <c r="DB5">
        <v>100.37656579581446</v>
      </c>
      <c r="DC5">
        <v>100.40533523345835</v>
      </c>
      <c r="DD5">
        <v>100.42881531445606</v>
      </c>
      <c r="DE5">
        <v>100.45651919964274</v>
      </c>
      <c r="DF5">
        <v>100.48649671367764</v>
      </c>
      <c r="DG5">
        <v>100.51690763233036</v>
      </c>
      <c r="DH5">
        <v>100.5399240313143</v>
      </c>
      <c r="DI5">
        <v>100.56423951627981</v>
      </c>
      <c r="DJ5">
        <v>100.58590928405842</v>
      </c>
      <c r="DK5">
        <v>100.60835205998994</v>
      </c>
      <c r="DL5">
        <v>100.63861497610513</v>
      </c>
      <c r="DM5">
        <v>100.66377099543097</v>
      </c>
      <c r="DN5">
        <v>100.69268524356228</v>
      </c>
      <c r="DO5">
        <v>100.71752310247763</v>
      </c>
      <c r="DP5">
        <v>100.74569733219829</v>
      </c>
      <c r="DQ5">
        <v>100.76909911446772</v>
      </c>
      <c r="DR5">
        <v>100.79895623255766</v>
      </c>
      <c r="DS5">
        <v>100.8178455167116</v>
      </c>
      <c r="DT5">
        <v>100.8397770411929</v>
      </c>
      <c r="DU5">
        <v>100.86638933740139</v>
      </c>
      <c r="DV5">
        <v>100.89477356676953</v>
      </c>
      <c r="DW5">
        <v>100.91787532970861</v>
      </c>
      <c r="DX5">
        <v>100.94541645771704</v>
      </c>
      <c r="DY5">
        <v>100.97410318209506</v>
      </c>
      <c r="DZ5">
        <v>101.00919648951985</v>
      </c>
      <c r="EA5">
        <v>101.03949229815105</v>
      </c>
      <c r="EB5">
        <v>101.07108901753847</v>
      </c>
      <c r="EC5">
        <v>101.09837333672897</v>
      </c>
      <c r="ED5">
        <v>101.13484331203074</v>
      </c>
      <c r="EE5">
        <v>101.15992755469203</v>
      </c>
      <c r="EF5">
        <v>101.19084394964038</v>
      </c>
      <c r="EG5">
        <v>101.22976415375147</v>
      </c>
      <c r="EH5">
        <v>101.25670620177237</v>
      </c>
      <c r="EI5">
        <v>101.28683243492216</v>
      </c>
      <c r="EJ5">
        <v>101.32033788495629</v>
      </c>
      <c r="EK5">
        <v>101.34707343612023</v>
      </c>
      <c r="EL5">
        <v>101.38443958972327</v>
      </c>
      <c r="EM5">
        <v>101.41720377029104</v>
      </c>
      <c r="EN5">
        <v>101.45144446868748</v>
      </c>
      <c r="EO5">
        <v>101.48114237410022</v>
      </c>
      <c r="EP5">
        <v>101.52450700446309</v>
      </c>
      <c r="EQ5">
        <v>101.57080692336739</v>
      </c>
      <c r="ER5">
        <v>101.60960755370765</v>
      </c>
      <c r="ES5">
        <v>101.64722829248653</v>
      </c>
      <c r="ET5">
        <v>101.68330876638115</v>
      </c>
      <c r="EU5">
        <v>101.73227386743659</v>
      </c>
      <c r="EV5">
        <v>101.77034767563586</v>
      </c>
      <c r="EW5">
        <v>101.81423417911999</v>
      </c>
      <c r="EX5">
        <v>101.85464078425069</v>
      </c>
      <c r="EY5">
        <v>101.8944720539278</v>
      </c>
      <c r="EZ5">
        <v>101.93271069115436</v>
      </c>
      <c r="FA5">
        <v>101.97854609687741</v>
      </c>
      <c r="FB5">
        <v>102.03067199170135</v>
      </c>
      <c r="FC5">
        <v>102.07168447778044</v>
      </c>
      <c r="FD5">
        <v>102.10818378611673</v>
      </c>
      <c r="FE5">
        <v>102.14736469411363</v>
      </c>
      <c r="FF5">
        <v>102.18352633137009</v>
      </c>
      <c r="FG5">
        <v>102.23908731622338</v>
      </c>
      <c r="FH5">
        <v>102.27981213747213</v>
      </c>
      <c r="FI5">
        <v>102.33731088573029</v>
      </c>
      <c r="FJ5">
        <v>102.38204294126807</v>
      </c>
      <c r="FK5">
        <v>102.43386313442963</v>
      </c>
      <c r="FL5">
        <v>102.48988265394843</v>
      </c>
      <c r="FM5">
        <v>102.53519312833295</v>
      </c>
      <c r="FN5">
        <v>102.5929364755514</v>
      </c>
      <c r="FO5">
        <v>102.64196071418714</v>
      </c>
      <c r="FP5">
        <v>102.69685297116619</v>
      </c>
      <c r="FQ5">
        <v>102.7410375502968</v>
      </c>
      <c r="FR5">
        <v>102.7972844029289</v>
      </c>
      <c r="FS5">
        <v>102.8666145313973</v>
      </c>
      <c r="FT5">
        <v>102.9123674534392</v>
      </c>
      <c r="FU5">
        <v>102.9686437072718</v>
      </c>
      <c r="FV5">
        <v>103.03421409839825</v>
      </c>
      <c r="FW5">
        <v>103.12242616952857</v>
      </c>
      <c r="FX5">
        <v>103.19231542351488</v>
      </c>
      <c r="FY5">
        <v>103.26183999275997</v>
      </c>
      <c r="FZ5">
        <v>103.34038236346257</v>
      </c>
      <c r="GA5">
        <v>103.41000369287578</v>
      </c>
      <c r="GB5">
        <v>103.47334210584413</v>
      </c>
      <c r="GC5">
        <v>103.53849846833846</v>
      </c>
      <c r="GD5">
        <v>103.61803170465072</v>
      </c>
      <c r="GE5">
        <v>103.71336739581646</v>
      </c>
      <c r="GF5">
        <v>103.82400590942132</v>
      </c>
      <c r="GG5">
        <v>103.96126925062843</v>
      </c>
      <c r="GH5">
        <v>104.10256403231314</v>
      </c>
      <c r="GI5">
        <v>104.21580420447576</v>
      </c>
      <c r="GJ5">
        <v>104.33930099154415</v>
      </c>
      <c r="GK5">
        <v>104.49811058365242</v>
      </c>
      <c r="GL5">
        <v>104.63724284968465</v>
      </c>
      <c r="GM5">
        <v>104.84536968286743</v>
      </c>
      <c r="GN5">
        <v>105.1124615575749</v>
      </c>
      <c r="GO5">
        <v>105.41812275884658</v>
      </c>
      <c r="GP5">
        <v>105.92173201128637</v>
      </c>
      <c r="GQ5">
        <v>106.71870662564346</v>
      </c>
      <c r="GR5">
        <v>100.33502185653822</v>
      </c>
      <c r="GT5" s="8">
        <v>45296</v>
      </c>
      <c r="GU5">
        <v>100.564727</v>
      </c>
    </row>
    <row r="6" spans="1:203" x14ac:dyDescent="0.45">
      <c r="A6">
        <v>95.009986679143765</v>
      </c>
      <c r="B6">
        <v>95.388185152726734</v>
      </c>
      <c r="C6">
        <v>95.70279184790401</v>
      </c>
      <c r="D6">
        <v>95.886322835125867</v>
      </c>
      <c r="E6">
        <v>96.047586027769057</v>
      </c>
      <c r="F6">
        <v>96.211491135404771</v>
      </c>
      <c r="G6">
        <v>96.319760502587499</v>
      </c>
      <c r="H6">
        <v>96.424917105365466</v>
      </c>
      <c r="I6">
        <v>96.52625005437605</v>
      </c>
      <c r="J6">
        <v>96.605501172561105</v>
      </c>
      <c r="K6">
        <v>96.697938125681048</v>
      </c>
      <c r="L6">
        <v>96.795256833628898</v>
      </c>
      <c r="M6">
        <v>96.861955453664024</v>
      </c>
      <c r="N6">
        <v>96.93473064138594</v>
      </c>
      <c r="O6">
        <v>96.997756237464372</v>
      </c>
      <c r="P6">
        <v>97.059312454321471</v>
      </c>
      <c r="Q6">
        <v>97.124237753588517</v>
      </c>
      <c r="R6">
        <v>97.186783283827438</v>
      </c>
      <c r="S6">
        <v>97.237324290185271</v>
      </c>
      <c r="T6">
        <v>97.2967234399798</v>
      </c>
      <c r="U6">
        <v>97.353763835970369</v>
      </c>
      <c r="V6">
        <v>97.409242318062425</v>
      </c>
      <c r="W6">
        <v>97.466193010641504</v>
      </c>
      <c r="X6">
        <v>97.518994985798244</v>
      </c>
      <c r="Y6">
        <v>97.560780032234618</v>
      </c>
      <c r="Z6">
        <v>97.610809580158104</v>
      </c>
      <c r="AA6">
        <v>97.654772391552399</v>
      </c>
      <c r="AB6">
        <v>97.696296826709116</v>
      </c>
      <c r="AC6">
        <v>97.739306409488933</v>
      </c>
      <c r="AD6">
        <v>97.785263994900532</v>
      </c>
      <c r="AE6">
        <v>97.828812494133288</v>
      </c>
      <c r="AF6">
        <v>97.880840409788973</v>
      </c>
      <c r="AG6">
        <v>97.921199930716739</v>
      </c>
      <c r="AH6">
        <v>97.973846706091408</v>
      </c>
      <c r="AI6">
        <v>98.023746950694161</v>
      </c>
      <c r="AJ6">
        <v>98.068411369371304</v>
      </c>
      <c r="AK6">
        <v>98.109262843646235</v>
      </c>
      <c r="AL6">
        <v>98.151482309777492</v>
      </c>
      <c r="AM6">
        <v>98.186435219252004</v>
      </c>
      <c r="AN6">
        <v>98.22280409481705</v>
      </c>
      <c r="AO6">
        <v>98.260180540756949</v>
      </c>
      <c r="AP6">
        <v>98.296533884505052</v>
      </c>
      <c r="AQ6">
        <v>98.340175510969658</v>
      </c>
      <c r="AR6">
        <v>98.37194704355376</v>
      </c>
      <c r="AS6">
        <v>98.416851760022524</v>
      </c>
      <c r="AT6">
        <v>98.447141200798157</v>
      </c>
      <c r="AU6">
        <v>98.492220175280053</v>
      </c>
      <c r="AV6">
        <v>98.529984246291065</v>
      </c>
      <c r="AW6">
        <v>98.561392851258717</v>
      </c>
      <c r="AX6">
        <v>98.599429948960548</v>
      </c>
      <c r="AY6">
        <v>98.638966459014085</v>
      </c>
      <c r="AZ6">
        <v>98.672385463524691</v>
      </c>
      <c r="BA6">
        <v>98.703615567237165</v>
      </c>
      <c r="BB6">
        <v>98.733726590199993</v>
      </c>
      <c r="BC6">
        <v>98.768008881699302</v>
      </c>
      <c r="BD6">
        <v>98.792814570825058</v>
      </c>
      <c r="BE6">
        <v>98.822236886179965</v>
      </c>
      <c r="BF6">
        <v>98.854798771419965</v>
      </c>
      <c r="BG6">
        <v>98.879049480460083</v>
      </c>
      <c r="BH6">
        <v>98.91046112136344</v>
      </c>
      <c r="BI6">
        <v>98.941714379569504</v>
      </c>
      <c r="BJ6">
        <v>98.968137713773956</v>
      </c>
      <c r="BK6">
        <v>99.006536418191303</v>
      </c>
      <c r="BL6">
        <v>99.029895978324163</v>
      </c>
      <c r="BM6">
        <v>99.058325755173755</v>
      </c>
      <c r="BN6">
        <v>99.090302329034643</v>
      </c>
      <c r="BO6">
        <v>99.120428406513454</v>
      </c>
      <c r="BP6">
        <v>99.14467142923337</v>
      </c>
      <c r="BQ6">
        <v>99.170145036139019</v>
      </c>
      <c r="BR6">
        <v>99.202453225478422</v>
      </c>
      <c r="BS6">
        <v>99.229869820763895</v>
      </c>
      <c r="BT6">
        <v>99.258352330514327</v>
      </c>
      <c r="BU6">
        <v>99.283361465122596</v>
      </c>
      <c r="BV6">
        <v>99.308887312125464</v>
      </c>
      <c r="BW6">
        <v>99.344794787448208</v>
      </c>
      <c r="BX6">
        <v>99.37637355582342</v>
      </c>
      <c r="BY6">
        <v>99.408315397599452</v>
      </c>
      <c r="BZ6">
        <v>99.43634085884635</v>
      </c>
      <c r="CA6">
        <v>99.469160668632171</v>
      </c>
      <c r="CB6">
        <v>99.497930451447417</v>
      </c>
      <c r="CC6">
        <v>99.520611356294125</v>
      </c>
      <c r="CD6">
        <v>99.545308822248344</v>
      </c>
      <c r="CE6">
        <v>99.585100692952437</v>
      </c>
      <c r="CF6">
        <v>99.619526316996641</v>
      </c>
      <c r="CG6">
        <v>99.65440694949784</v>
      </c>
      <c r="CH6">
        <v>99.690134912579055</v>
      </c>
      <c r="CI6">
        <v>99.71921617042733</v>
      </c>
      <c r="CJ6">
        <v>99.741296139504669</v>
      </c>
      <c r="CK6">
        <v>99.778421510873073</v>
      </c>
      <c r="CL6">
        <v>99.804023338446584</v>
      </c>
      <c r="CM6">
        <v>99.838724406346955</v>
      </c>
      <c r="CN6">
        <v>99.87067669086106</v>
      </c>
      <c r="CO6">
        <v>99.905035320161119</v>
      </c>
      <c r="CP6">
        <v>99.934502477115188</v>
      </c>
      <c r="CQ6">
        <v>99.964127971403485</v>
      </c>
      <c r="CR6">
        <v>99.986995036131205</v>
      </c>
      <c r="CS6">
        <v>100.00793438473916</v>
      </c>
      <c r="CT6">
        <v>100.03919596670846</v>
      </c>
      <c r="CU6">
        <v>100.0764328332465</v>
      </c>
      <c r="CV6">
        <v>100.10750061911138</v>
      </c>
      <c r="CW6">
        <v>100.14259229123957</v>
      </c>
      <c r="CX6">
        <v>100.17325836996443</v>
      </c>
      <c r="CY6">
        <v>100.20355266330439</v>
      </c>
      <c r="CZ6">
        <v>100.2337441556618</v>
      </c>
      <c r="DA6">
        <v>100.2672213231445</v>
      </c>
      <c r="DB6">
        <v>100.29862035085237</v>
      </c>
      <c r="DC6">
        <v>100.32571958378922</v>
      </c>
      <c r="DD6">
        <v>100.35705964723573</v>
      </c>
      <c r="DE6">
        <v>100.38683391054751</v>
      </c>
      <c r="DF6">
        <v>100.41386634296626</v>
      </c>
      <c r="DG6">
        <v>100.45297335583481</v>
      </c>
      <c r="DH6">
        <v>100.48375413783633</v>
      </c>
      <c r="DI6">
        <v>100.52887449826426</v>
      </c>
      <c r="DJ6">
        <v>100.56407699944187</v>
      </c>
      <c r="DK6">
        <v>100.59022198649549</v>
      </c>
      <c r="DL6">
        <v>100.62428268420059</v>
      </c>
      <c r="DM6">
        <v>100.66065355929278</v>
      </c>
      <c r="DN6">
        <v>100.68312729741399</v>
      </c>
      <c r="DO6">
        <v>100.71663012809141</v>
      </c>
      <c r="DP6">
        <v>100.74882811799633</v>
      </c>
      <c r="DQ6">
        <v>100.77462767434005</v>
      </c>
      <c r="DR6">
        <v>100.80901510432416</v>
      </c>
      <c r="DS6">
        <v>100.83999652640156</v>
      </c>
      <c r="DT6">
        <v>100.87200025686633</v>
      </c>
      <c r="DU6">
        <v>100.9028656730635</v>
      </c>
      <c r="DV6">
        <v>100.94185830352922</v>
      </c>
      <c r="DW6">
        <v>100.97830237581073</v>
      </c>
      <c r="DX6">
        <v>101.01287858596035</v>
      </c>
      <c r="DY6">
        <v>101.03679759682765</v>
      </c>
      <c r="DZ6">
        <v>101.07722098793799</v>
      </c>
      <c r="EA6">
        <v>101.10389324435491</v>
      </c>
      <c r="EB6">
        <v>101.14297829332668</v>
      </c>
      <c r="EC6">
        <v>101.18116392624859</v>
      </c>
      <c r="ED6">
        <v>101.21392399929267</v>
      </c>
      <c r="EE6">
        <v>101.25199836466403</v>
      </c>
      <c r="EF6">
        <v>101.28827345993435</v>
      </c>
      <c r="EG6">
        <v>101.32503788835731</v>
      </c>
      <c r="EH6">
        <v>101.37088937315386</v>
      </c>
      <c r="EI6">
        <v>101.41210463746789</v>
      </c>
      <c r="EJ6">
        <v>101.45484821855612</v>
      </c>
      <c r="EK6">
        <v>101.50405079225582</v>
      </c>
      <c r="EL6">
        <v>101.54134229892</v>
      </c>
      <c r="EM6">
        <v>101.57258290763943</v>
      </c>
      <c r="EN6">
        <v>101.6044299906133</v>
      </c>
      <c r="EO6">
        <v>101.64859537543752</v>
      </c>
      <c r="EP6">
        <v>101.68738719698837</v>
      </c>
      <c r="EQ6">
        <v>101.72274637297897</v>
      </c>
      <c r="ER6">
        <v>101.76923322542555</v>
      </c>
      <c r="ES6">
        <v>101.81759174437248</v>
      </c>
      <c r="ET6">
        <v>101.8639094433199</v>
      </c>
      <c r="EU6">
        <v>101.90008912136456</v>
      </c>
      <c r="EV6">
        <v>101.95259525798789</v>
      </c>
      <c r="EW6">
        <v>101.99089518510378</v>
      </c>
      <c r="EX6">
        <v>102.02985547620339</v>
      </c>
      <c r="EY6">
        <v>102.08257059430646</v>
      </c>
      <c r="EZ6">
        <v>102.11684238770096</v>
      </c>
      <c r="FA6">
        <v>102.16281176544265</v>
      </c>
      <c r="FB6">
        <v>102.22974362404855</v>
      </c>
      <c r="FC6">
        <v>102.27900187638058</v>
      </c>
      <c r="FD6">
        <v>102.32940051919107</v>
      </c>
      <c r="FE6">
        <v>102.38200262566352</v>
      </c>
      <c r="FF6">
        <v>102.43230772352713</v>
      </c>
      <c r="FG6">
        <v>102.47960219238274</v>
      </c>
      <c r="FH6">
        <v>102.53717331474411</v>
      </c>
      <c r="FI6">
        <v>102.59086826329481</v>
      </c>
      <c r="FJ6">
        <v>102.65141726724258</v>
      </c>
      <c r="FK6">
        <v>102.72607134413335</v>
      </c>
      <c r="FL6">
        <v>102.77801863460354</v>
      </c>
      <c r="FM6">
        <v>102.83830693087215</v>
      </c>
      <c r="FN6">
        <v>102.91368526804949</v>
      </c>
      <c r="FO6">
        <v>102.96991824201466</v>
      </c>
      <c r="FP6">
        <v>103.04570885794337</v>
      </c>
      <c r="FQ6">
        <v>103.11093614480336</v>
      </c>
      <c r="FR6">
        <v>103.18492970267657</v>
      </c>
      <c r="FS6">
        <v>103.25177162827731</v>
      </c>
      <c r="FT6">
        <v>103.32388444633175</v>
      </c>
      <c r="FU6">
        <v>103.39817035683194</v>
      </c>
      <c r="FV6">
        <v>103.4619478061578</v>
      </c>
      <c r="FW6">
        <v>103.53832957238369</v>
      </c>
      <c r="FX6">
        <v>103.635789220539</v>
      </c>
      <c r="FY6">
        <v>103.74224566688568</v>
      </c>
      <c r="FZ6">
        <v>103.83880729094281</v>
      </c>
      <c r="GA6">
        <v>103.93319702176072</v>
      </c>
      <c r="GB6">
        <v>104.02092904187695</v>
      </c>
      <c r="GC6">
        <v>104.1301961515715</v>
      </c>
      <c r="GD6">
        <v>104.23136977537439</v>
      </c>
      <c r="GE6">
        <v>104.34784668925604</v>
      </c>
      <c r="GF6">
        <v>104.45272929444425</v>
      </c>
      <c r="GG6">
        <v>104.55802224002444</v>
      </c>
      <c r="GH6">
        <v>104.73259998857743</v>
      </c>
      <c r="GI6">
        <v>104.88661858422763</v>
      </c>
      <c r="GJ6">
        <v>105.05833185816873</v>
      </c>
      <c r="GK6">
        <v>105.24615020905651</v>
      </c>
      <c r="GL6">
        <v>105.49313515262136</v>
      </c>
      <c r="GM6">
        <v>105.7415471185419</v>
      </c>
      <c r="GN6">
        <v>106.05956514187399</v>
      </c>
      <c r="GO6">
        <v>106.48053911530127</v>
      </c>
      <c r="GP6">
        <v>106.95117258884154</v>
      </c>
      <c r="GQ6">
        <v>108.02698620666871</v>
      </c>
      <c r="GR6">
        <v>100.32633706955683</v>
      </c>
      <c r="GT6" s="8">
        <v>45299</v>
      </c>
      <c r="GU6">
        <v>102.14936400000001</v>
      </c>
    </row>
    <row r="7" spans="1:203" x14ac:dyDescent="0.45">
      <c r="A7">
        <v>94.634487518608466</v>
      </c>
      <c r="B7">
        <v>95.03646300298189</v>
      </c>
      <c r="C7">
        <v>95.278760741697241</v>
      </c>
      <c r="D7">
        <v>95.486087200961663</v>
      </c>
      <c r="E7">
        <v>95.655987933932579</v>
      </c>
      <c r="F7">
        <v>95.784839913473206</v>
      </c>
      <c r="G7">
        <v>95.906384695403517</v>
      </c>
      <c r="H7">
        <v>96.034987838934072</v>
      </c>
      <c r="I7">
        <v>96.114996510053118</v>
      </c>
      <c r="J7">
        <v>96.20710073840803</v>
      </c>
      <c r="K7">
        <v>96.310330595998622</v>
      </c>
      <c r="L7">
        <v>96.422939052593918</v>
      </c>
      <c r="M7">
        <v>96.511476156755791</v>
      </c>
      <c r="N7">
        <v>96.600489130676806</v>
      </c>
      <c r="O7">
        <v>96.659010097173066</v>
      </c>
      <c r="P7">
        <v>96.737917087917467</v>
      </c>
      <c r="Q7">
        <v>96.815226355554216</v>
      </c>
      <c r="R7">
        <v>96.884299991820768</v>
      </c>
      <c r="S7">
        <v>96.944790898262326</v>
      </c>
      <c r="T7">
        <v>96.994951834237199</v>
      </c>
      <c r="U7">
        <v>97.049975585555458</v>
      </c>
      <c r="V7">
        <v>97.105826406848024</v>
      </c>
      <c r="W7">
        <v>97.172213043764714</v>
      </c>
      <c r="X7">
        <v>97.228392227369241</v>
      </c>
      <c r="Y7">
        <v>97.285759785150645</v>
      </c>
      <c r="Z7">
        <v>97.338207637854296</v>
      </c>
      <c r="AA7">
        <v>97.372746517558213</v>
      </c>
      <c r="AB7">
        <v>97.420483787777798</v>
      </c>
      <c r="AC7">
        <v>97.472082983447805</v>
      </c>
      <c r="AD7">
        <v>97.515782070977053</v>
      </c>
      <c r="AE7">
        <v>97.550523827811745</v>
      </c>
      <c r="AF7">
        <v>97.595241610632655</v>
      </c>
      <c r="AG7">
        <v>97.638798292218098</v>
      </c>
      <c r="AH7">
        <v>97.671831808722928</v>
      </c>
      <c r="AI7">
        <v>97.729675978366373</v>
      </c>
      <c r="AJ7">
        <v>97.773113310816711</v>
      </c>
      <c r="AK7">
        <v>97.815762401679933</v>
      </c>
      <c r="AL7">
        <v>97.862596628713504</v>
      </c>
      <c r="AM7">
        <v>97.919699752123122</v>
      </c>
      <c r="AN7">
        <v>97.954045541606206</v>
      </c>
      <c r="AO7">
        <v>97.988355449506884</v>
      </c>
      <c r="AP7">
        <v>98.036951620063121</v>
      </c>
      <c r="AQ7">
        <v>98.070806942067932</v>
      </c>
      <c r="AR7">
        <v>98.11105790597324</v>
      </c>
      <c r="AS7">
        <v>98.146181719368712</v>
      </c>
      <c r="AT7">
        <v>98.187435091318548</v>
      </c>
      <c r="AU7">
        <v>98.221801408548373</v>
      </c>
      <c r="AV7">
        <v>98.265165695779388</v>
      </c>
      <c r="AW7">
        <v>98.305432820304048</v>
      </c>
      <c r="AX7">
        <v>98.353725451884031</v>
      </c>
      <c r="AY7">
        <v>98.389730211548638</v>
      </c>
      <c r="AZ7">
        <v>98.423633147338791</v>
      </c>
      <c r="BA7">
        <v>98.462449763340175</v>
      </c>
      <c r="BB7">
        <v>98.498489817861014</v>
      </c>
      <c r="BC7">
        <v>98.540526168199733</v>
      </c>
      <c r="BD7">
        <v>98.577407645014574</v>
      </c>
      <c r="BE7">
        <v>98.618922531305245</v>
      </c>
      <c r="BF7">
        <v>98.660993801604718</v>
      </c>
      <c r="BG7">
        <v>98.693351116181148</v>
      </c>
      <c r="BH7">
        <v>98.725179400045405</v>
      </c>
      <c r="BI7">
        <v>98.765362953455266</v>
      </c>
      <c r="BJ7">
        <v>98.793976681134609</v>
      </c>
      <c r="BK7">
        <v>98.826149757166604</v>
      </c>
      <c r="BL7">
        <v>98.863223322823572</v>
      </c>
      <c r="BM7">
        <v>98.90185509500364</v>
      </c>
      <c r="BN7">
        <v>98.936088616868886</v>
      </c>
      <c r="BO7">
        <v>98.973951765945841</v>
      </c>
      <c r="BP7">
        <v>99.003490224860442</v>
      </c>
      <c r="BQ7">
        <v>99.038007247569823</v>
      </c>
      <c r="BR7">
        <v>99.069235019644893</v>
      </c>
      <c r="BS7">
        <v>99.1042560314159</v>
      </c>
      <c r="BT7">
        <v>99.139442924737651</v>
      </c>
      <c r="BU7">
        <v>99.173477066054701</v>
      </c>
      <c r="BV7">
        <v>99.206651691670615</v>
      </c>
      <c r="BW7">
        <v>99.24076838275441</v>
      </c>
      <c r="BX7">
        <v>99.268095268850004</v>
      </c>
      <c r="BY7">
        <v>99.296597994398525</v>
      </c>
      <c r="BZ7">
        <v>99.333109849147434</v>
      </c>
      <c r="CA7">
        <v>99.370835654806868</v>
      </c>
      <c r="CB7">
        <v>99.400298515221039</v>
      </c>
      <c r="CC7">
        <v>99.434424509742783</v>
      </c>
      <c r="CD7">
        <v>99.454542158430996</v>
      </c>
      <c r="CE7">
        <v>99.485510517533214</v>
      </c>
      <c r="CF7">
        <v>99.51564504957895</v>
      </c>
      <c r="CG7">
        <v>99.555160918553909</v>
      </c>
      <c r="CH7">
        <v>99.587206429966358</v>
      </c>
      <c r="CI7">
        <v>99.620806071192462</v>
      </c>
      <c r="CJ7">
        <v>99.653133311372699</v>
      </c>
      <c r="CK7">
        <v>99.678954467568914</v>
      </c>
      <c r="CL7">
        <v>99.718782215804694</v>
      </c>
      <c r="CM7">
        <v>99.748610612131287</v>
      </c>
      <c r="CN7">
        <v>99.779236280573159</v>
      </c>
      <c r="CO7">
        <v>99.812030356740152</v>
      </c>
      <c r="CP7">
        <v>99.838872290969775</v>
      </c>
      <c r="CQ7">
        <v>99.864523333163064</v>
      </c>
      <c r="CR7">
        <v>99.907096117506256</v>
      </c>
      <c r="CS7">
        <v>99.941296288357691</v>
      </c>
      <c r="CT7">
        <v>99.972841935992562</v>
      </c>
      <c r="CU7">
        <v>100.0080107891195</v>
      </c>
      <c r="CV7">
        <v>100.04117111159475</v>
      </c>
      <c r="CW7">
        <v>100.07443286922232</v>
      </c>
      <c r="CX7">
        <v>100.10996046574277</v>
      </c>
      <c r="CY7">
        <v>100.14389267563126</v>
      </c>
      <c r="CZ7">
        <v>100.17876339829613</v>
      </c>
      <c r="DA7">
        <v>100.21803909652931</v>
      </c>
      <c r="DB7">
        <v>100.25352323827374</v>
      </c>
      <c r="DC7">
        <v>100.29369887268543</v>
      </c>
      <c r="DD7">
        <v>100.33078398921988</v>
      </c>
      <c r="DE7">
        <v>100.37243446446861</v>
      </c>
      <c r="DF7">
        <v>100.41322066316776</v>
      </c>
      <c r="DG7">
        <v>100.44921861757952</v>
      </c>
      <c r="DH7">
        <v>100.48346462834675</v>
      </c>
      <c r="DI7">
        <v>100.52001869495474</v>
      </c>
      <c r="DJ7">
        <v>100.57183855624801</v>
      </c>
      <c r="DK7">
        <v>100.60390936108098</v>
      </c>
      <c r="DL7">
        <v>100.65006302088722</v>
      </c>
      <c r="DM7">
        <v>100.69038508259129</v>
      </c>
      <c r="DN7">
        <v>100.72367968810504</v>
      </c>
      <c r="DO7">
        <v>100.76211460992189</v>
      </c>
      <c r="DP7">
        <v>100.79771390977875</v>
      </c>
      <c r="DQ7">
        <v>100.83566750871132</v>
      </c>
      <c r="DR7">
        <v>100.87781838760523</v>
      </c>
      <c r="DS7">
        <v>100.9066701726223</v>
      </c>
      <c r="DT7">
        <v>100.94188466853208</v>
      </c>
      <c r="DU7">
        <v>100.97968778697715</v>
      </c>
      <c r="DV7">
        <v>101.01560696021599</v>
      </c>
      <c r="DW7">
        <v>101.05679046383499</v>
      </c>
      <c r="DX7">
        <v>101.09914074346244</v>
      </c>
      <c r="DY7">
        <v>101.12794773120687</v>
      </c>
      <c r="DZ7">
        <v>101.16637058941699</v>
      </c>
      <c r="EA7">
        <v>101.20643634786549</v>
      </c>
      <c r="EB7">
        <v>101.24565425343727</v>
      </c>
      <c r="EC7">
        <v>101.28732224351957</v>
      </c>
      <c r="ED7">
        <v>101.32452522070403</v>
      </c>
      <c r="EE7">
        <v>101.36203976494208</v>
      </c>
      <c r="EF7">
        <v>101.40498880078793</v>
      </c>
      <c r="EG7">
        <v>101.44048207410145</v>
      </c>
      <c r="EH7">
        <v>101.47906823138464</v>
      </c>
      <c r="EI7">
        <v>101.51778360326205</v>
      </c>
      <c r="EJ7">
        <v>101.55704742683419</v>
      </c>
      <c r="EK7">
        <v>101.59027898393144</v>
      </c>
      <c r="EL7">
        <v>101.6438767291357</v>
      </c>
      <c r="EM7">
        <v>101.67813078177711</v>
      </c>
      <c r="EN7">
        <v>101.72209725602697</v>
      </c>
      <c r="EO7">
        <v>101.77421561227027</v>
      </c>
      <c r="EP7">
        <v>101.81927598775273</v>
      </c>
      <c r="EQ7">
        <v>101.86646901871835</v>
      </c>
      <c r="ER7">
        <v>101.91378280088796</v>
      </c>
      <c r="ES7">
        <v>101.96257219997757</v>
      </c>
      <c r="ET7">
        <v>102.01259331488392</v>
      </c>
      <c r="EU7">
        <v>102.05005705651455</v>
      </c>
      <c r="EV7">
        <v>102.09668789286249</v>
      </c>
      <c r="EW7">
        <v>102.1488311622137</v>
      </c>
      <c r="EX7">
        <v>102.20316298487219</v>
      </c>
      <c r="EY7">
        <v>102.25276084420602</v>
      </c>
      <c r="EZ7">
        <v>102.31424947808038</v>
      </c>
      <c r="FA7">
        <v>102.37092777344604</v>
      </c>
      <c r="FB7">
        <v>102.4130206711331</v>
      </c>
      <c r="FC7">
        <v>102.46894825902326</v>
      </c>
      <c r="FD7">
        <v>102.52504470018442</v>
      </c>
      <c r="FE7">
        <v>102.57547221904967</v>
      </c>
      <c r="FF7">
        <v>102.65095452875381</v>
      </c>
      <c r="FG7">
        <v>102.72700600685438</v>
      </c>
      <c r="FH7">
        <v>102.78721410455856</v>
      </c>
      <c r="FI7">
        <v>102.86136356470315</v>
      </c>
      <c r="FJ7">
        <v>102.9191184591313</v>
      </c>
      <c r="FK7">
        <v>102.98764648517036</v>
      </c>
      <c r="FL7">
        <v>103.04130219913147</v>
      </c>
      <c r="FM7">
        <v>103.10878724673343</v>
      </c>
      <c r="FN7">
        <v>103.17462348373425</v>
      </c>
      <c r="FO7">
        <v>103.24878178501652</v>
      </c>
      <c r="FP7">
        <v>103.30827331138835</v>
      </c>
      <c r="FQ7">
        <v>103.40722455619441</v>
      </c>
      <c r="FR7">
        <v>103.46840068963537</v>
      </c>
      <c r="FS7">
        <v>103.56225419655004</v>
      </c>
      <c r="FT7">
        <v>103.6514572636913</v>
      </c>
      <c r="FU7">
        <v>103.7612648349284</v>
      </c>
      <c r="FV7">
        <v>103.83024338145808</v>
      </c>
      <c r="FW7">
        <v>103.92541137244666</v>
      </c>
      <c r="FX7">
        <v>104.03982371923681</v>
      </c>
      <c r="FY7">
        <v>104.13341733774462</v>
      </c>
      <c r="FZ7">
        <v>104.24292553689406</v>
      </c>
      <c r="GA7">
        <v>104.37176651957803</v>
      </c>
      <c r="GB7">
        <v>104.50787302499417</v>
      </c>
      <c r="GC7">
        <v>104.62104592263397</v>
      </c>
      <c r="GD7">
        <v>104.76462396856289</v>
      </c>
      <c r="GE7">
        <v>104.92278252305617</v>
      </c>
      <c r="GF7">
        <v>105.0959434602516</v>
      </c>
      <c r="GG7">
        <v>105.26299953099989</v>
      </c>
      <c r="GH7">
        <v>105.41839104081359</v>
      </c>
      <c r="GI7">
        <v>105.64269945845385</v>
      </c>
      <c r="GJ7">
        <v>105.85777769797025</v>
      </c>
      <c r="GK7">
        <v>106.01355990407119</v>
      </c>
      <c r="GL7">
        <v>106.26462501384178</v>
      </c>
      <c r="GM7">
        <v>106.54650049421417</v>
      </c>
      <c r="GN7">
        <v>106.90468181847969</v>
      </c>
      <c r="GO7">
        <v>107.32031778625226</v>
      </c>
      <c r="GP7">
        <v>107.80111167078022</v>
      </c>
      <c r="GQ7">
        <v>108.96951784906688</v>
      </c>
      <c r="GR7">
        <v>100.33493743815141</v>
      </c>
      <c r="GT7" s="8">
        <v>45300</v>
      </c>
      <c r="GU7">
        <v>102.54751400000001</v>
      </c>
    </row>
    <row r="8" spans="1:203" x14ac:dyDescent="0.45">
      <c r="A8">
        <v>94.240008789684509</v>
      </c>
      <c r="B8">
        <v>94.741767293584218</v>
      </c>
      <c r="C8">
        <v>95.074285415228744</v>
      </c>
      <c r="D8">
        <v>95.26718743892053</v>
      </c>
      <c r="E8">
        <v>95.433156065545191</v>
      </c>
      <c r="F8">
        <v>95.562197008092127</v>
      </c>
      <c r="G8">
        <v>95.673625097661912</v>
      </c>
      <c r="H8">
        <v>95.796972364654408</v>
      </c>
      <c r="I8">
        <v>95.906216488221531</v>
      </c>
      <c r="J8">
        <v>96.009104987441106</v>
      </c>
      <c r="K8">
        <v>96.085622805791232</v>
      </c>
      <c r="L8">
        <v>96.160192205921618</v>
      </c>
      <c r="M8">
        <v>96.252189469350924</v>
      </c>
      <c r="N8">
        <v>96.329945777085229</v>
      </c>
      <c r="O8">
        <v>96.397273722077827</v>
      </c>
      <c r="P8">
        <v>96.481571177293546</v>
      </c>
      <c r="Q8">
        <v>96.549638040490734</v>
      </c>
      <c r="R8">
        <v>96.627890358008912</v>
      </c>
      <c r="S8">
        <v>96.696337723945945</v>
      </c>
      <c r="T8">
        <v>96.768627232805358</v>
      </c>
      <c r="U8">
        <v>96.836246682520496</v>
      </c>
      <c r="V8">
        <v>96.900217878343966</v>
      </c>
      <c r="W8">
        <v>96.965954121554546</v>
      </c>
      <c r="X8">
        <v>97.026657263750536</v>
      </c>
      <c r="Y8">
        <v>97.094768655171677</v>
      </c>
      <c r="Z8">
        <v>97.14432105873594</v>
      </c>
      <c r="AA8">
        <v>97.203589476808133</v>
      </c>
      <c r="AB8">
        <v>97.24900065892686</v>
      </c>
      <c r="AC8">
        <v>97.298137264362211</v>
      </c>
      <c r="AD8">
        <v>97.355460077909243</v>
      </c>
      <c r="AE8">
        <v>97.394488873636078</v>
      </c>
      <c r="AF8">
        <v>97.448169110600929</v>
      </c>
      <c r="AG8">
        <v>97.506974884654539</v>
      </c>
      <c r="AH8">
        <v>97.544302000510513</v>
      </c>
      <c r="AI8">
        <v>97.57671609599771</v>
      </c>
      <c r="AJ8">
        <v>97.610776334717187</v>
      </c>
      <c r="AK8">
        <v>97.655588645796087</v>
      </c>
      <c r="AL8">
        <v>97.692089178185626</v>
      </c>
      <c r="AM8">
        <v>97.734269874951167</v>
      </c>
      <c r="AN8">
        <v>97.767286452114163</v>
      </c>
      <c r="AO8">
        <v>97.813321516063539</v>
      </c>
      <c r="AP8">
        <v>97.848878868709889</v>
      </c>
      <c r="AQ8">
        <v>97.887209472493822</v>
      </c>
      <c r="AR8">
        <v>97.929592014589403</v>
      </c>
      <c r="AS8">
        <v>97.965833611325522</v>
      </c>
      <c r="AT8">
        <v>98.008407770800147</v>
      </c>
      <c r="AU8">
        <v>98.056133049608519</v>
      </c>
      <c r="AV8">
        <v>98.089282268888738</v>
      </c>
      <c r="AW8">
        <v>98.127982981795299</v>
      </c>
      <c r="AX8">
        <v>98.158056595398207</v>
      </c>
      <c r="AY8">
        <v>98.196678682938312</v>
      </c>
      <c r="AZ8">
        <v>98.227973734427579</v>
      </c>
      <c r="BA8">
        <v>98.265327619051902</v>
      </c>
      <c r="BB8">
        <v>98.308955655860998</v>
      </c>
      <c r="BC8">
        <v>98.351827546889496</v>
      </c>
      <c r="BD8">
        <v>98.389691565656364</v>
      </c>
      <c r="BE8">
        <v>98.42121531751954</v>
      </c>
      <c r="BF8">
        <v>98.453875773145867</v>
      </c>
      <c r="BG8">
        <v>98.494823399251928</v>
      </c>
      <c r="BH8">
        <v>98.523335541195621</v>
      </c>
      <c r="BI8">
        <v>98.569129998909006</v>
      </c>
      <c r="BJ8">
        <v>98.618512687713775</v>
      </c>
      <c r="BK8">
        <v>98.654361402833189</v>
      </c>
      <c r="BL8">
        <v>98.7017744250753</v>
      </c>
      <c r="BM8">
        <v>98.738854318351656</v>
      </c>
      <c r="BN8">
        <v>98.782247862555934</v>
      </c>
      <c r="BO8">
        <v>98.807558158685652</v>
      </c>
      <c r="BP8">
        <v>98.849113107180983</v>
      </c>
      <c r="BQ8">
        <v>98.89458356935917</v>
      </c>
      <c r="BR8">
        <v>98.924976634087798</v>
      </c>
      <c r="BS8">
        <v>98.956828469307496</v>
      </c>
      <c r="BT8">
        <v>98.989559342726636</v>
      </c>
      <c r="BU8">
        <v>99.034788655471729</v>
      </c>
      <c r="BV8">
        <v>99.06806934480818</v>
      </c>
      <c r="BW8">
        <v>99.097036794431375</v>
      </c>
      <c r="BX8">
        <v>99.135089022159818</v>
      </c>
      <c r="BY8">
        <v>99.167694259799461</v>
      </c>
      <c r="BZ8">
        <v>99.210152031244135</v>
      </c>
      <c r="CA8">
        <v>99.25425994896699</v>
      </c>
      <c r="CB8">
        <v>99.294241515532022</v>
      </c>
      <c r="CC8">
        <v>99.335405436438222</v>
      </c>
      <c r="CD8">
        <v>99.378718826119126</v>
      </c>
      <c r="CE8">
        <v>99.40675291206189</v>
      </c>
      <c r="CF8">
        <v>99.439816548027522</v>
      </c>
      <c r="CG8">
        <v>99.48671710232972</v>
      </c>
      <c r="CH8">
        <v>99.529815649681993</v>
      </c>
      <c r="CI8">
        <v>99.554498331518616</v>
      </c>
      <c r="CJ8">
        <v>99.594659470352255</v>
      </c>
      <c r="CK8">
        <v>99.633456939371428</v>
      </c>
      <c r="CL8">
        <v>99.664821800899446</v>
      </c>
      <c r="CM8">
        <v>99.704341889609566</v>
      </c>
      <c r="CN8">
        <v>99.73402873877734</v>
      </c>
      <c r="CO8">
        <v>99.768676959009724</v>
      </c>
      <c r="CP8">
        <v>99.79673897621862</v>
      </c>
      <c r="CQ8">
        <v>99.826959777227088</v>
      </c>
      <c r="CR8">
        <v>99.869296788450868</v>
      </c>
      <c r="CS8">
        <v>99.906038837311357</v>
      </c>
      <c r="CT8">
        <v>99.93919756715573</v>
      </c>
      <c r="CU8">
        <v>99.975669282801761</v>
      </c>
      <c r="CV8">
        <v>100.00454591422273</v>
      </c>
      <c r="CW8">
        <v>100.03870116830984</v>
      </c>
      <c r="CX8">
        <v>100.06900501051084</v>
      </c>
      <c r="CY8">
        <v>100.10986956429159</v>
      </c>
      <c r="CZ8">
        <v>100.14428342949479</v>
      </c>
      <c r="DA8">
        <v>100.17119047176806</v>
      </c>
      <c r="DB8">
        <v>100.20182121977247</v>
      </c>
      <c r="DC8">
        <v>100.2460190058414</v>
      </c>
      <c r="DD8">
        <v>100.29588872935054</v>
      </c>
      <c r="DE8">
        <v>100.34527824821254</v>
      </c>
      <c r="DF8">
        <v>100.38523041868235</v>
      </c>
      <c r="DG8">
        <v>100.43360881999773</v>
      </c>
      <c r="DH8">
        <v>100.46856632268434</v>
      </c>
      <c r="DI8">
        <v>100.50744401478035</v>
      </c>
      <c r="DJ8">
        <v>100.54191639886524</v>
      </c>
      <c r="DK8">
        <v>100.57984337251597</v>
      </c>
      <c r="DL8">
        <v>100.62653973368168</v>
      </c>
      <c r="DM8">
        <v>100.66153356982687</v>
      </c>
      <c r="DN8">
        <v>100.70135716927547</v>
      </c>
      <c r="DO8">
        <v>100.74252261832071</v>
      </c>
      <c r="DP8">
        <v>100.79310730943008</v>
      </c>
      <c r="DQ8">
        <v>100.8382627320499</v>
      </c>
      <c r="DR8">
        <v>100.87596938800564</v>
      </c>
      <c r="DS8">
        <v>100.91588811019999</v>
      </c>
      <c r="DT8">
        <v>100.9609905843699</v>
      </c>
      <c r="DU8">
        <v>100.99639816099047</v>
      </c>
      <c r="DV8">
        <v>101.02897982677678</v>
      </c>
      <c r="DW8">
        <v>101.06267675479967</v>
      </c>
      <c r="DX8">
        <v>101.1018132874334</v>
      </c>
      <c r="DY8">
        <v>101.14985955713537</v>
      </c>
      <c r="DZ8">
        <v>101.20024781258694</v>
      </c>
      <c r="EA8">
        <v>101.25181715361866</v>
      </c>
      <c r="EB8">
        <v>101.30480018906462</v>
      </c>
      <c r="EC8">
        <v>101.35099389274565</v>
      </c>
      <c r="ED8">
        <v>101.40002785040575</v>
      </c>
      <c r="EE8">
        <v>101.43946768564255</v>
      </c>
      <c r="EF8">
        <v>101.47459794435858</v>
      </c>
      <c r="EG8">
        <v>101.50988240900624</v>
      </c>
      <c r="EH8">
        <v>101.55173174161018</v>
      </c>
      <c r="EI8">
        <v>101.58585396175812</v>
      </c>
      <c r="EJ8">
        <v>101.62999627133192</v>
      </c>
      <c r="EK8">
        <v>101.67136380939743</v>
      </c>
      <c r="EL8">
        <v>101.71289722414654</v>
      </c>
      <c r="EM8">
        <v>101.76808673826098</v>
      </c>
      <c r="EN8">
        <v>101.82159469129938</v>
      </c>
      <c r="EO8">
        <v>101.87718453229266</v>
      </c>
      <c r="EP8">
        <v>101.93652179252548</v>
      </c>
      <c r="EQ8">
        <v>101.99513228392709</v>
      </c>
      <c r="ER8">
        <v>102.03972141311851</v>
      </c>
      <c r="ES8">
        <v>102.09037168094169</v>
      </c>
      <c r="ET8">
        <v>102.13159671468632</v>
      </c>
      <c r="EU8">
        <v>102.18968569172759</v>
      </c>
      <c r="EV8">
        <v>102.2553563392982</v>
      </c>
      <c r="EW8">
        <v>102.33312755222489</v>
      </c>
      <c r="EX8">
        <v>102.38947848390704</v>
      </c>
      <c r="EY8">
        <v>102.45268034188824</v>
      </c>
      <c r="EZ8">
        <v>102.51619536569889</v>
      </c>
      <c r="FA8">
        <v>102.57394176353674</v>
      </c>
      <c r="FB8">
        <v>102.63161923643503</v>
      </c>
      <c r="FC8">
        <v>102.68265878780284</v>
      </c>
      <c r="FD8">
        <v>102.75322933235657</v>
      </c>
      <c r="FE8">
        <v>102.80843338532021</v>
      </c>
      <c r="FF8">
        <v>102.87910172652444</v>
      </c>
      <c r="FG8">
        <v>102.93717471358022</v>
      </c>
      <c r="FH8">
        <v>103.00055901862906</v>
      </c>
      <c r="FI8">
        <v>103.06572753796402</v>
      </c>
      <c r="FJ8">
        <v>103.13467343080363</v>
      </c>
      <c r="FK8">
        <v>103.21418745289691</v>
      </c>
      <c r="FL8">
        <v>103.28541375839984</v>
      </c>
      <c r="FM8">
        <v>103.36696812571887</v>
      </c>
      <c r="FN8">
        <v>103.44124218414991</v>
      </c>
      <c r="FO8">
        <v>103.52556099415956</v>
      </c>
      <c r="FP8">
        <v>103.59458897699574</v>
      </c>
      <c r="FQ8">
        <v>103.66932035071531</v>
      </c>
      <c r="FR8">
        <v>103.74731419211308</v>
      </c>
      <c r="FS8">
        <v>103.83156949907769</v>
      </c>
      <c r="FT8">
        <v>103.95812601042391</v>
      </c>
      <c r="FU8">
        <v>104.06178512225577</v>
      </c>
      <c r="FV8">
        <v>104.19022259866432</v>
      </c>
      <c r="FW8">
        <v>104.29688817190564</v>
      </c>
      <c r="FX8">
        <v>104.39605874889527</v>
      </c>
      <c r="FY8">
        <v>104.54187400310792</v>
      </c>
      <c r="FZ8">
        <v>104.67142330119567</v>
      </c>
      <c r="GA8">
        <v>104.78731654273925</v>
      </c>
      <c r="GB8">
        <v>104.93069451040896</v>
      </c>
      <c r="GC8">
        <v>105.10039953702018</v>
      </c>
      <c r="GD8">
        <v>105.25410769749605</v>
      </c>
      <c r="GE8">
        <v>105.37982236825137</v>
      </c>
      <c r="GF8">
        <v>105.52923536249673</v>
      </c>
      <c r="GG8">
        <v>105.73383160126467</v>
      </c>
      <c r="GH8">
        <v>105.9159281513906</v>
      </c>
      <c r="GI8">
        <v>106.09135131835542</v>
      </c>
      <c r="GJ8">
        <v>106.32636991796731</v>
      </c>
      <c r="GK8">
        <v>106.54743511518312</v>
      </c>
      <c r="GL8">
        <v>106.81728617818254</v>
      </c>
      <c r="GM8">
        <v>107.21516974267185</v>
      </c>
      <c r="GN8">
        <v>107.60862514362857</v>
      </c>
      <c r="GO8">
        <v>108.11448003671917</v>
      </c>
      <c r="GP8">
        <v>108.7626933105679</v>
      </c>
      <c r="GQ8">
        <v>110.19893384806292</v>
      </c>
      <c r="GR8">
        <v>100.35403476320734</v>
      </c>
      <c r="GT8" s="8">
        <v>45301</v>
      </c>
      <c r="GU8">
        <v>103.28010999999999</v>
      </c>
    </row>
    <row r="9" spans="1:203" x14ac:dyDescent="0.45">
      <c r="A9">
        <v>93.906694006684617</v>
      </c>
      <c r="B9">
        <v>94.406168589103089</v>
      </c>
      <c r="C9">
        <v>94.727893446813297</v>
      </c>
      <c r="D9">
        <v>94.963568687700459</v>
      </c>
      <c r="E9">
        <v>95.199733920783373</v>
      </c>
      <c r="F9">
        <v>95.344381316197698</v>
      </c>
      <c r="G9">
        <v>95.460507675202052</v>
      </c>
      <c r="H9">
        <v>95.562418068573791</v>
      </c>
      <c r="I9">
        <v>95.662569697704129</v>
      </c>
      <c r="J9">
        <v>95.767517729811658</v>
      </c>
      <c r="K9">
        <v>95.885083094498938</v>
      </c>
      <c r="L9">
        <v>95.973171988613061</v>
      </c>
      <c r="M9">
        <v>96.031306489568635</v>
      </c>
      <c r="N9">
        <v>96.111443047702451</v>
      </c>
      <c r="O9">
        <v>96.168845444749834</v>
      </c>
      <c r="P9">
        <v>96.233422130907996</v>
      </c>
      <c r="Q9">
        <v>96.30468215605552</v>
      </c>
      <c r="R9">
        <v>96.378951380971628</v>
      </c>
      <c r="S9">
        <v>96.459300608531549</v>
      </c>
      <c r="T9">
        <v>96.529200016266486</v>
      </c>
      <c r="U9">
        <v>96.583842607774798</v>
      </c>
      <c r="V9">
        <v>96.654295051073845</v>
      </c>
      <c r="W9">
        <v>96.702780216043422</v>
      </c>
      <c r="X9">
        <v>96.766944124960645</v>
      </c>
      <c r="Y9">
        <v>96.819347627784879</v>
      </c>
      <c r="Z9">
        <v>96.867203500992019</v>
      </c>
      <c r="AA9">
        <v>96.933414610015447</v>
      </c>
      <c r="AB9">
        <v>96.985696422724246</v>
      </c>
      <c r="AC9">
        <v>97.026799205168274</v>
      </c>
      <c r="AD9">
        <v>97.092739367965009</v>
      </c>
      <c r="AE9">
        <v>97.158485129727381</v>
      </c>
      <c r="AF9">
        <v>97.207281362177639</v>
      </c>
      <c r="AG9">
        <v>97.250922753747318</v>
      </c>
      <c r="AH9">
        <v>97.301248491620157</v>
      </c>
      <c r="AI9">
        <v>97.351262993872865</v>
      </c>
      <c r="AJ9">
        <v>97.392432900116717</v>
      </c>
      <c r="AK9">
        <v>97.435246919105907</v>
      </c>
      <c r="AL9">
        <v>97.48127353114495</v>
      </c>
      <c r="AM9">
        <v>97.531644727532935</v>
      </c>
      <c r="AN9">
        <v>97.586788378029141</v>
      </c>
      <c r="AO9">
        <v>97.626639944394384</v>
      </c>
      <c r="AP9">
        <v>97.679096276173624</v>
      </c>
      <c r="AQ9">
        <v>97.722011342563079</v>
      </c>
      <c r="AR9">
        <v>97.767502702075618</v>
      </c>
      <c r="AS9">
        <v>97.81861987257453</v>
      </c>
      <c r="AT9">
        <v>97.854137617099994</v>
      </c>
      <c r="AU9">
        <v>97.892563229372755</v>
      </c>
      <c r="AV9">
        <v>97.929786929459127</v>
      </c>
      <c r="AW9">
        <v>97.962208888401221</v>
      </c>
      <c r="AX9">
        <v>98.009893967548507</v>
      </c>
      <c r="AY9">
        <v>98.063186247061253</v>
      </c>
      <c r="AZ9">
        <v>98.10572176313336</v>
      </c>
      <c r="BA9">
        <v>98.138637473973333</v>
      </c>
      <c r="BB9">
        <v>98.173000480909451</v>
      </c>
      <c r="BC9">
        <v>98.215142570025421</v>
      </c>
      <c r="BD9">
        <v>98.257191193395485</v>
      </c>
      <c r="BE9">
        <v>98.294551322690893</v>
      </c>
      <c r="BF9">
        <v>98.342105532180838</v>
      </c>
      <c r="BG9">
        <v>98.378869989755913</v>
      </c>
      <c r="BH9">
        <v>98.421127428986637</v>
      </c>
      <c r="BI9">
        <v>98.461169689308662</v>
      </c>
      <c r="BJ9">
        <v>98.501917245613086</v>
      </c>
      <c r="BK9">
        <v>98.536394664508691</v>
      </c>
      <c r="BL9">
        <v>98.573399106836249</v>
      </c>
      <c r="BM9">
        <v>98.603930072254485</v>
      </c>
      <c r="BN9">
        <v>98.639416483504675</v>
      </c>
      <c r="BO9">
        <v>98.687519158511748</v>
      </c>
      <c r="BP9">
        <v>98.724166583169264</v>
      </c>
      <c r="BQ9">
        <v>98.766475358191954</v>
      </c>
      <c r="BR9">
        <v>98.798986447024816</v>
      </c>
      <c r="BS9">
        <v>98.837855936045543</v>
      </c>
      <c r="BT9">
        <v>98.863393684226764</v>
      </c>
      <c r="BU9">
        <v>98.899059115603905</v>
      </c>
      <c r="BV9">
        <v>98.941008812871246</v>
      </c>
      <c r="BW9">
        <v>98.98867860180323</v>
      </c>
      <c r="BX9">
        <v>99.024214821932162</v>
      </c>
      <c r="BY9">
        <v>99.066748657082798</v>
      </c>
      <c r="BZ9">
        <v>99.104212923474293</v>
      </c>
      <c r="CA9">
        <v>99.150488242887192</v>
      </c>
      <c r="CB9">
        <v>99.189018779956015</v>
      </c>
      <c r="CC9">
        <v>99.221604200214585</v>
      </c>
      <c r="CD9">
        <v>99.255433596205847</v>
      </c>
      <c r="CE9">
        <v>99.300524859569833</v>
      </c>
      <c r="CF9">
        <v>99.342458959994246</v>
      </c>
      <c r="CG9">
        <v>99.382831414536398</v>
      </c>
      <c r="CH9">
        <v>99.430618053369443</v>
      </c>
      <c r="CI9">
        <v>99.46511936415547</v>
      </c>
      <c r="CJ9">
        <v>99.50213751684052</v>
      </c>
      <c r="CK9">
        <v>99.534876628223131</v>
      </c>
      <c r="CL9">
        <v>99.569983310293793</v>
      </c>
      <c r="CM9">
        <v>99.608700204590434</v>
      </c>
      <c r="CN9">
        <v>99.647561808495368</v>
      </c>
      <c r="CO9">
        <v>99.688293193410132</v>
      </c>
      <c r="CP9">
        <v>99.721161317655842</v>
      </c>
      <c r="CQ9">
        <v>99.760841964172755</v>
      </c>
      <c r="CR9">
        <v>99.787498479495895</v>
      </c>
      <c r="CS9">
        <v>99.831522463862754</v>
      </c>
      <c r="CT9">
        <v>99.867566397369288</v>
      </c>
      <c r="CU9">
        <v>99.909055951398486</v>
      </c>
      <c r="CV9">
        <v>99.953175787568824</v>
      </c>
      <c r="CW9">
        <v>99.98777091188235</v>
      </c>
      <c r="CX9">
        <v>100.0294856600373</v>
      </c>
      <c r="CY9">
        <v>100.08013075027074</v>
      </c>
      <c r="CZ9">
        <v>100.11665785647475</v>
      </c>
      <c r="DA9">
        <v>100.15860700421126</v>
      </c>
      <c r="DB9">
        <v>100.19551523606253</v>
      </c>
      <c r="DC9">
        <v>100.23117726262868</v>
      </c>
      <c r="DD9">
        <v>100.26621003543701</v>
      </c>
      <c r="DE9">
        <v>100.30704681365117</v>
      </c>
      <c r="DF9">
        <v>100.34369585406998</v>
      </c>
      <c r="DG9">
        <v>100.39225352690329</v>
      </c>
      <c r="DH9">
        <v>100.43726683958594</v>
      </c>
      <c r="DI9">
        <v>100.47830522048932</v>
      </c>
      <c r="DJ9">
        <v>100.52599275187822</v>
      </c>
      <c r="DK9">
        <v>100.57469284630444</v>
      </c>
      <c r="DL9">
        <v>100.62247313599588</v>
      </c>
      <c r="DM9">
        <v>100.6560197222334</v>
      </c>
      <c r="DN9">
        <v>100.6927822026823</v>
      </c>
      <c r="DO9">
        <v>100.73537094594614</v>
      </c>
      <c r="DP9">
        <v>100.77179687536727</v>
      </c>
      <c r="DQ9">
        <v>100.81425544081598</v>
      </c>
      <c r="DR9">
        <v>100.85378654751852</v>
      </c>
      <c r="DS9">
        <v>100.89430649170406</v>
      </c>
      <c r="DT9">
        <v>100.93721203636834</v>
      </c>
      <c r="DU9">
        <v>100.98279447068045</v>
      </c>
      <c r="DV9">
        <v>101.03367381674613</v>
      </c>
      <c r="DW9">
        <v>101.08202958499055</v>
      </c>
      <c r="DX9">
        <v>101.13137226932434</v>
      </c>
      <c r="DY9">
        <v>101.18224575382115</v>
      </c>
      <c r="DZ9">
        <v>101.22511906493806</v>
      </c>
      <c r="EA9">
        <v>101.26246065340102</v>
      </c>
      <c r="EB9">
        <v>101.31032277907485</v>
      </c>
      <c r="EC9">
        <v>101.35685191068438</v>
      </c>
      <c r="ED9">
        <v>101.40189518634094</v>
      </c>
      <c r="EE9">
        <v>101.44677293670787</v>
      </c>
      <c r="EF9">
        <v>101.50463014721221</v>
      </c>
      <c r="EG9">
        <v>101.55794116105142</v>
      </c>
      <c r="EH9">
        <v>101.60937138171425</v>
      </c>
      <c r="EI9">
        <v>101.67178746474832</v>
      </c>
      <c r="EJ9">
        <v>101.7232042187285</v>
      </c>
      <c r="EK9">
        <v>101.78105882580162</v>
      </c>
      <c r="EL9">
        <v>101.8335487586543</v>
      </c>
      <c r="EM9">
        <v>101.89905203145474</v>
      </c>
      <c r="EN9">
        <v>101.94145927041654</v>
      </c>
      <c r="EO9">
        <v>101.98927156019452</v>
      </c>
      <c r="EP9">
        <v>102.04004113072139</v>
      </c>
      <c r="EQ9">
        <v>102.0975869005305</v>
      </c>
      <c r="ER9">
        <v>102.14777417911827</v>
      </c>
      <c r="ES9">
        <v>102.21174344004656</v>
      </c>
      <c r="ET9">
        <v>102.28037306042376</v>
      </c>
      <c r="EU9">
        <v>102.33382569070248</v>
      </c>
      <c r="EV9">
        <v>102.37930942628572</v>
      </c>
      <c r="EW9">
        <v>102.44815556962945</v>
      </c>
      <c r="EX9">
        <v>102.50422648149544</v>
      </c>
      <c r="EY9">
        <v>102.57959143018155</v>
      </c>
      <c r="EZ9">
        <v>102.64802945660284</v>
      </c>
      <c r="FA9">
        <v>102.70741614803538</v>
      </c>
      <c r="FB9">
        <v>102.76162473680415</v>
      </c>
      <c r="FC9">
        <v>102.83762279377767</v>
      </c>
      <c r="FD9">
        <v>102.89110637428799</v>
      </c>
      <c r="FE9">
        <v>102.96169161052484</v>
      </c>
      <c r="FF9">
        <v>103.0513819697987</v>
      </c>
      <c r="FG9">
        <v>103.11427083809559</v>
      </c>
      <c r="FH9">
        <v>103.17940270483413</v>
      </c>
      <c r="FI9">
        <v>103.25866665597113</v>
      </c>
      <c r="FJ9">
        <v>103.34628232281111</v>
      </c>
      <c r="FK9">
        <v>103.41820978813749</v>
      </c>
      <c r="FL9">
        <v>103.50738297666446</v>
      </c>
      <c r="FM9">
        <v>103.5945800838701</v>
      </c>
      <c r="FN9">
        <v>103.68903511649982</v>
      </c>
      <c r="FO9">
        <v>103.76725668219331</v>
      </c>
      <c r="FP9">
        <v>103.86698311861019</v>
      </c>
      <c r="FQ9">
        <v>103.97838420895302</v>
      </c>
      <c r="FR9">
        <v>104.0961788965384</v>
      </c>
      <c r="FS9">
        <v>104.18605641527557</v>
      </c>
      <c r="FT9">
        <v>104.2979815885566</v>
      </c>
      <c r="FU9">
        <v>104.39602205387584</v>
      </c>
      <c r="FV9">
        <v>104.5341387245752</v>
      </c>
      <c r="FW9">
        <v>104.63242075040046</v>
      </c>
      <c r="FX9">
        <v>104.69892331189612</v>
      </c>
      <c r="FY9">
        <v>104.81530616557551</v>
      </c>
      <c r="FZ9">
        <v>104.95439932495273</v>
      </c>
      <c r="GA9">
        <v>105.09052850220564</v>
      </c>
      <c r="GB9">
        <v>105.20280281878901</v>
      </c>
      <c r="GC9">
        <v>105.39184720324579</v>
      </c>
      <c r="GD9">
        <v>105.52131489745157</v>
      </c>
      <c r="GE9">
        <v>105.71868003818832</v>
      </c>
      <c r="GF9">
        <v>105.90861495946763</v>
      </c>
      <c r="GG9">
        <v>106.0746418388272</v>
      </c>
      <c r="GH9">
        <v>106.3386577148439</v>
      </c>
      <c r="GI9">
        <v>106.59891403591972</v>
      </c>
      <c r="GJ9">
        <v>106.90777745296749</v>
      </c>
      <c r="GK9">
        <v>107.18062112776433</v>
      </c>
      <c r="GL9">
        <v>107.5003074335204</v>
      </c>
      <c r="GM9">
        <v>107.8379821317001</v>
      </c>
      <c r="GN9">
        <v>108.27532747443634</v>
      </c>
      <c r="GO9">
        <v>108.82764423629658</v>
      </c>
      <c r="GP9">
        <v>109.98768108539235</v>
      </c>
      <c r="GQ9">
        <v>111.41047010104324</v>
      </c>
      <c r="GR9">
        <v>100.35810766498726</v>
      </c>
      <c r="GT9" s="8">
        <v>45302</v>
      </c>
      <c r="GU9">
        <v>103.383629</v>
      </c>
    </row>
    <row r="10" spans="1:203" x14ac:dyDescent="0.45">
      <c r="A10">
        <v>93.535285523962855</v>
      </c>
      <c r="B10">
        <v>94.140194264865826</v>
      </c>
      <c r="C10">
        <v>94.446976882556584</v>
      </c>
      <c r="D10">
        <v>94.655549567345446</v>
      </c>
      <c r="E10">
        <v>94.858547920333464</v>
      </c>
      <c r="F10">
        <v>95.001485344273618</v>
      </c>
      <c r="G10">
        <v>95.156560867705878</v>
      </c>
      <c r="H10">
        <v>95.277025293372404</v>
      </c>
      <c r="I10">
        <v>95.421345305902705</v>
      </c>
      <c r="J10">
        <v>95.532370307802921</v>
      </c>
      <c r="K10">
        <v>95.624724276062608</v>
      </c>
      <c r="L10">
        <v>95.720396835290742</v>
      </c>
      <c r="M10">
        <v>95.791893557941634</v>
      </c>
      <c r="N10">
        <v>95.878230227799648</v>
      </c>
      <c r="O10">
        <v>95.947321836858876</v>
      </c>
      <c r="P10">
        <v>96.026951715139518</v>
      </c>
      <c r="Q10">
        <v>96.094130035077256</v>
      </c>
      <c r="R10">
        <v>96.172954067731411</v>
      </c>
      <c r="S10">
        <v>96.232551923394965</v>
      </c>
      <c r="T10">
        <v>96.307426531814045</v>
      </c>
      <c r="U10">
        <v>96.391233633947678</v>
      </c>
      <c r="V10">
        <v>96.465325331755494</v>
      </c>
      <c r="W10">
        <v>96.51944352128875</v>
      </c>
      <c r="X10">
        <v>96.575669615741504</v>
      </c>
      <c r="Y10">
        <v>96.634945566601246</v>
      </c>
      <c r="Z10">
        <v>96.685560800061154</v>
      </c>
      <c r="AA10">
        <v>96.743119507796692</v>
      </c>
      <c r="AB10">
        <v>96.785271365074266</v>
      </c>
      <c r="AC10">
        <v>96.847433575208996</v>
      </c>
      <c r="AD10">
        <v>96.904028507574949</v>
      </c>
      <c r="AE10">
        <v>96.956135133289067</v>
      </c>
      <c r="AF10">
        <v>97.016150593905948</v>
      </c>
      <c r="AG10">
        <v>97.056926755631167</v>
      </c>
      <c r="AH10">
        <v>97.115068413355743</v>
      </c>
      <c r="AI10">
        <v>97.166341155695108</v>
      </c>
      <c r="AJ10">
        <v>97.20963600122306</v>
      </c>
      <c r="AK10">
        <v>97.260908188451268</v>
      </c>
      <c r="AL10">
        <v>97.300920503262503</v>
      </c>
      <c r="AM10">
        <v>97.351901835033203</v>
      </c>
      <c r="AN10">
        <v>97.40361288991005</v>
      </c>
      <c r="AO10">
        <v>97.454350392139716</v>
      </c>
      <c r="AP10">
        <v>97.500382944621151</v>
      </c>
      <c r="AQ10">
        <v>97.550312801641567</v>
      </c>
      <c r="AR10">
        <v>97.595512378490312</v>
      </c>
      <c r="AS10">
        <v>97.638527222184365</v>
      </c>
      <c r="AT10">
        <v>97.680862240407563</v>
      </c>
      <c r="AU10">
        <v>97.722663793287552</v>
      </c>
      <c r="AV10">
        <v>97.776759918362458</v>
      </c>
      <c r="AW10">
        <v>97.823236099264179</v>
      </c>
      <c r="AX10">
        <v>97.851268673807368</v>
      </c>
      <c r="AY10">
        <v>97.906342894463677</v>
      </c>
      <c r="AZ10">
        <v>97.975343763730407</v>
      </c>
      <c r="BA10">
        <v>98.026628977572429</v>
      </c>
      <c r="BB10">
        <v>98.069884203663804</v>
      </c>
      <c r="BC10">
        <v>98.106058546337323</v>
      </c>
      <c r="BD10">
        <v>98.136533917400968</v>
      </c>
      <c r="BE10">
        <v>98.17779080235654</v>
      </c>
      <c r="BF10">
        <v>98.221567345857352</v>
      </c>
      <c r="BG10">
        <v>98.264848430385214</v>
      </c>
      <c r="BH10">
        <v>98.312805673456822</v>
      </c>
      <c r="BI10">
        <v>98.35228160534318</v>
      </c>
      <c r="BJ10">
        <v>98.391377424895524</v>
      </c>
      <c r="BK10">
        <v>98.43364665398353</v>
      </c>
      <c r="BL10">
        <v>98.48275991531105</v>
      </c>
      <c r="BM10">
        <v>98.514588887537244</v>
      </c>
      <c r="BN10">
        <v>98.561608911892506</v>
      </c>
      <c r="BO10">
        <v>98.595555124719624</v>
      </c>
      <c r="BP10">
        <v>98.630549128271653</v>
      </c>
      <c r="BQ10">
        <v>98.662765182629983</v>
      </c>
      <c r="BR10">
        <v>98.702963806135827</v>
      </c>
      <c r="BS10">
        <v>98.739530234406743</v>
      </c>
      <c r="BT10">
        <v>98.766989683911362</v>
      </c>
      <c r="BU10">
        <v>98.810622703354525</v>
      </c>
      <c r="BV10">
        <v>98.848567523614662</v>
      </c>
      <c r="BW10">
        <v>98.878440686971487</v>
      </c>
      <c r="BX10">
        <v>98.92182088883095</v>
      </c>
      <c r="BY10">
        <v>98.959359301205126</v>
      </c>
      <c r="BZ10">
        <v>98.999208668320676</v>
      </c>
      <c r="CA10">
        <v>99.04366657134797</v>
      </c>
      <c r="CB10">
        <v>99.088595433240727</v>
      </c>
      <c r="CC10">
        <v>99.123436785054267</v>
      </c>
      <c r="CD10">
        <v>99.163921610400976</v>
      </c>
      <c r="CE10">
        <v>99.208285930423656</v>
      </c>
      <c r="CF10">
        <v>99.249497733587489</v>
      </c>
      <c r="CG10">
        <v>99.294608911159074</v>
      </c>
      <c r="CH10">
        <v>99.344366984132947</v>
      </c>
      <c r="CI10">
        <v>99.383310485472734</v>
      </c>
      <c r="CJ10">
        <v>99.429933913374867</v>
      </c>
      <c r="CK10">
        <v>99.468578755386886</v>
      </c>
      <c r="CL10">
        <v>99.50865532024909</v>
      </c>
      <c r="CM10">
        <v>99.550336136853247</v>
      </c>
      <c r="CN10">
        <v>99.58921458785089</v>
      </c>
      <c r="CO10">
        <v>99.633862079952038</v>
      </c>
      <c r="CP10">
        <v>99.667894011324364</v>
      </c>
      <c r="CQ10">
        <v>99.707451291510637</v>
      </c>
      <c r="CR10">
        <v>99.742086510484995</v>
      </c>
      <c r="CS10">
        <v>99.790793236727794</v>
      </c>
      <c r="CT10">
        <v>99.826349307935175</v>
      </c>
      <c r="CU10">
        <v>99.863772842277299</v>
      </c>
      <c r="CV10">
        <v>99.903980906890624</v>
      </c>
      <c r="CW10">
        <v>99.939895767908766</v>
      </c>
      <c r="CX10">
        <v>99.981446663229107</v>
      </c>
      <c r="CY10">
        <v>100.02284774656907</v>
      </c>
      <c r="CZ10">
        <v>100.06964896378541</v>
      </c>
      <c r="DA10">
        <v>100.1232130235156</v>
      </c>
      <c r="DB10">
        <v>100.16051239262157</v>
      </c>
      <c r="DC10">
        <v>100.20403505913514</v>
      </c>
      <c r="DD10">
        <v>100.25065522183222</v>
      </c>
      <c r="DE10">
        <v>100.28848148562513</v>
      </c>
      <c r="DF10">
        <v>100.33248002717721</v>
      </c>
      <c r="DG10">
        <v>100.38784545693278</v>
      </c>
      <c r="DH10">
        <v>100.42512302473509</v>
      </c>
      <c r="DI10">
        <v>100.47278815679049</v>
      </c>
      <c r="DJ10">
        <v>100.51658602596386</v>
      </c>
      <c r="DK10">
        <v>100.56244123121428</v>
      </c>
      <c r="DL10">
        <v>100.60317077974872</v>
      </c>
      <c r="DM10">
        <v>100.64377640234349</v>
      </c>
      <c r="DN10">
        <v>100.69616426173336</v>
      </c>
      <c r="DO10">
        <v>100.73677514386848</v>
      </c>
      <c r="DP10">
        <v>100.79000462604637</v>
      </c>
      <c r="DQ10">
        <v>100.83129784191811</v>
      </c>
      <c r="DR10">
        <v>100.89197238755135</v>
      </c>
      <c r="DS10">
        <v>100.94115008041823</v>
      </c>
      <c r="DT10">
        <v>100.98787987812673</v>
      </c>
      <c r="DU10">
        <v>101.04317863110765</v>
      </c>
      <c r="DV10">
        <v>101.09480327158221</v>
      </c>
      <c r="DW10">
        <v>101.14626298980015</v>
      </c>
      <c r="DX10">
        <v>101.19431792317002</v>
      </c>
      <c r="DY10">
        <v>101.23250325198353</v>
      </c>
      <c r="DZ10">
        <v>101.28650437055394</v>
      </c>
      <c r="EA10">
        <v>101.32793345545244</v>
      </c>
      <c r="EB10">
        <v>101.38498254144197</v>
      </c>
      <c r="EC10">
        <v>101.43474495803579</v>
      </c>
      <c r="ED10">
        <v>101.48863331643089</v>
      </c>
      <c r="EE10">
        <v>101.53087508480817</v>
      </c>
      <c r="EF10">
        <v>101.57177390219006</v>
      </c>
      <c r="EG10">
        <v>101.63408874435775</v>
      </c>
      <c r="EH10">
        <v>101.6869745351545</v>
      </c>
      <c r="EI10">
        <v>101.74557513587186</v>
      </c>
      <c r="EJ10">
        <v>101.80021756296479</v>
      </c>
      <c r="EK10">
        <v>101.853000016628</v>
      </c>
      <c r="EL10">
        <v>101.90484130512623</v>
      </c>
      <c r="EM10">
        <v>101.95703304019554</v>
      </c>
      <c r="EN10">
        <v>102.03021539252153</v>
      </c>
      <c r="EO10">
        <v>102.09530223361841</v>
      </c>
      <c r="EP10">
        <v>102.16640438073543</v>
      </c>
      <c r="EQ10">
        <v>102.2259849725601</v>
      </c>
      <c r="ER10">
        <v>102.28239247986191</v>
      </c>
      <c r="ES10">
        <v>102.34188670473408</v>
      </c>
      <c r="ET10">
        <v>102.40348867370989</v>
      </c>
      <c r="EU10">
        <v>102.47323152562944</v>
      </c>
      <c r="EV10">
        <v>102.52550828444501</v>
      </c>
      <c r="EW10">
        <v>102.58435566421014</v>
      </c>
      <c r="EX10">
        <v>102.64454793718512</v>
      </c>
      <c r="EY10">
        <v>102.71459422109291</v>
      </c>
      <c r="EZ10">
        <v>102.78237236385294</v>
      </c>
      <c r="FA10">
        <v>102.83500327293504</v>
      </c>
      <c r="FB10">
        <v>102.88976863827632</v>
      </c>
      <c r="FC10">
        <v>102.95367835482237</v>
      </c>
      <c r="FD10">
        <v>103.0411235084467</v>
      </c>
      <c r="FE10">
        <v>103.12090902611055</v>
      </c>
      <c r="FF10">
        <v>103.18775933304023</v>
      </c>
      <c r="FG10">
        <v>103.26853467168682</v>
      </c>
      <c r="FH10">
        <v>103.33824606983845</v>
      </c>
      <c r="FI10">
        <v>103.43409756713433</v>
      </c>
      <c r="FJ10">
        <v>103.54371282269564</v>
      </c>
      <c r="FK10">
        <v>103.63295626902971</v>
      </c>
      <c r="FL10">
        <v>103.72241774256746</v>
      </c>
      <c r="FM10">
        <v>103.80411602061838</v>
      </c>
      <c r="FN10">
        <v>103.89838478851382</v>
      </c>
      <c r="FO10">
        <v>104.00828563088024</v>
      </c>
      <c r="FP10">
        <v>104.11462751132042</v>
      </c>
      <c r="FQ10">
        <v>104.22625702163683</v>
      </c>
      <c r="FR10">
        <v>104.30245812858968</v>
      </c>
      <c r="FS10">
        <v>104.40860404256348</v>
      </c>
      <c r="FT10">
        <v>104.51898878248039</v>
      </c>
      <c r="FU10">
        <v>104.62745313429862</v>
      </c>
      <c r="FV10">
        <v>104.74271484027939</v>
      </c>
      <c r="FW10">
        <v>104.84214203021217</v>
      </c>
      <c r="FX10">
        <v>104.98184454618114</v>
      </c>
      <c r="FY10">
        <v>105.08902968703478</v>
      </c>
      <c r="FZ10">
        <v>105.22426135031245</v>
      </c>
      <c r="GA10">
        <v>105.38564453286274</v>
      </c>
      <c r="GB10">
        <v>105.56411395437817</v>
      </c>
      <c r="GC10">
        <v>105.72319205733857</v>
      </c>
      <c r="GD10">
        <v>105.90916332925778</v>
      </c>
      <c r="GE10">
        <v>106.12651390779823</v>
      </c>
      <c r="GF10">
        <v>106.32486744243216</v>
      </c>
      <c r="GG10">
        <v>106.54203224081805</v>
      </c>
      <c r="GH10">
        <v>106.75693187529572</v>
      </c>
      <c r="GI10">
        <v>107.01507044144422</v>
      </c>
      <c r="GJ10">
        <v>107.2857941099878</v>
      </c>
      <c r="GK10">
        <v>107.5967265913237</v>
      </c>
      <c r="GL10">
        <v>107.99079842474841</v>
      </c>
      <c r="GM10">
        <v>108.53433268077748</v>
      </c>
      <c r="GN10">
        <v>109.1024206982166</v>
      </c>
      <c r="GO10">
        <v>109.75738801161462</v>
      </c>
      <c r="GP10">
        <v>110.60050063612387</v>
      </c>
      <c r="GQ10">
        <v>112.25094040560491</v>
      </c>
      <c r="GR10">
        <v>100.36985039994829</v>
      </c>
      <c r="GT10" s="8">
        <v>45303</v>
      </c>
      <c r="GU10">
        <v>103.351777</v>
      </c>
    </row>
    <row r="11" spans="1:203" x14ac:dyDescent="0.45">
      <c r="A11">
        <v>93.371178518608005</v>
      </c>
      <c r="B11">
        <v>93.943107712003155</v>
      </c>
      <c r="C11">
        <v>94.212917719070333</v>
      </c>
      <c r="D11">
        <v>94.437220719588183</v>
      </c>
      <c r="E11">
        <v>94.642226402146576</v>
      </c>
      <c r="F11">
        <v>94.835868809587566</v>
      </c>
      <c r="G11">
        <v>94.965404122016537</v>
      </c>
      <c r="H11">
        <v>95.075557923588391</v>
      </c>
      <c r="I11">
        <v>95.20507413617679</v>
      </c>
      <c r="J11">
        <v>95.321558390238309</v>
      </c>
      <c r="K11">
        <v>95.430853995322195</v>
      </c>
      <c r="L11">
        <v>95.511110019233399</v>
      </c>
      <c r="M11">
        <v>95.598861592872723</v>
      </c>
      <c r="N11">
        <v>95.673085973836535</v>
      </c>
      <c r="O11">
        <v>95.771179136286293</v>
      </c>
      <c r="P11">
        <v>95.860945926944964</v>
      </c>
      <c r="Q11">
        <v>95.922309117680157</v>
      </c>
      <c r="R11">
        <v>95.982651492666662</v>
      </c>
      <c r="S11">
        <v>96.046441939335381</v>
      </c>
      <c r="T11">
        <v>96.110154218835802</v>
      </c>
      <c r="U11">
        <v>96.173737901639441</v>
      </c>
      <c r="V11">
        <v>96.226119653083032</v>
      </c>
      <c r="W11">
        <v>96.307937220945306</v>
      </c>
      <c r="X11">
        <v>96.384088190330814</v>
      </c>
      <c r="Y11">
        <v>96.443717872296901</v>
      </c>
      <c r="Z11">
        <v>96.497699799181831</v>
      </c>
      <c r="AA11">
        <v>96.548567466449825</v>
      </c>
      <c r="AB11">
        <v>96.601072284425925</v>
      </c>
      <c r="AC11">
        <v>96.656515440696182</v>
      </c>
      <c r="AD11">
        <v>96.733794435931017</v>
      </c>
      <c r="AE11">
        <v>96.793567482675243</v>
      </c>
      <c r="AF11">
        <v>96.841147880869741</v>
      </c>
      <c r="AG11">
        <v>96.895494126106271</v>
      </c>
      <c r="AH11">
        <v>96.948009259431629</v>
      </c>
      <c r="AI11">
        <v>96.993158047989795</v>
      </c>
      <c r="AJ11">
        <v>97.040273557546328</v>
      </c>
      <c r="AK11">
        <v>97.086150326377094</v>
      </c>
      <c r="AL11">
        <v>97.132355803582342</v>
      </c>
      <c r="AM11">
        <v>97.175912309360029</v>
      </c>
      <c r="AN11">
        <v>97.221208087812116</v>
      </c>
      <c r="AO11">
        <v>97.262028060060615</v>
      </c>
      <c r="AP11">
        <v>97.306885760868354</v>
      </c>
      <c r="AQ11">
        <v>97.367500459182139</v>
      </c>
      <c r="AR11">
        <v>97.426009623191462</v>
      </c>
      <c r="AS11">
        <v>97.488142720111924</v>
      </c>
      <c r="AT11">
        <v>97.53410652006788</v>
      </c>
      <c r="AU11">
        <v>97.574627126156727</v>
      </c>
      <c r="AV11">
        <v>97.629111202630099</v>
      </c>
      <c r="AW11">
        <v>97.674350266780507</v>
      </c>
      <c r="AX11">
        <v>97.734650977356708</v>
      </c>
      <c r="AY11">
        <v>97.787447414293013</v>
      </c>
      <c r="AZ11">
        <v>97.826990568189387</v>
      </c>
      <c r="BA11">
        <v>97.874411287219303</v>
      </c>
      <c r="BB11">
        <v>97.912444228418821</v>
      </c>
      <c r="BC11">
        <v>97.951630182429497</v>
      </c>
      <c r="BD11">
        <v>97.990040552970314</v>
      </c>
      <c r="BE11">
        <v>98.038062394651035</v>
      </c>
      <c r="BF11">
        <v>98.082009702793911</v>
      </c>
      <c r="BG11">
        <v>98.134804953019085</v>
      </c>
      <c r="BH11">
        <v>98.179784469581861</v>
      </c>
      <c r="BI11">
        <v>98.226922433521807</v>
      </c>
      <c r="BJ11">
        <v>98.27117513113393</v>
      </c>
      <c r="BK11">
        <v>98.315281280498056</v>
      </c>
      <c r="BL11">
        <v>98.353191027609554</v>
      </c>
      <c r="BM11">
        <v>98.391720224603191</v>
      </c>
      <c r="BN11">
        <v>98.432927372474026</v>
      </c>
      <c r="BO11">
        <v>98.486215510848396</v>
      </c>
      <c r="BP11">
        <v>98.516950312327538</v>
      </c>
      <c r="BQ11">
        <v>98.557352551955546</v>
      </c>
      <c r="BR11">
        <v>98.593583287161849</v>
      </c>
      <c r="BS11">
        <v>98.637515519974087</v>
      </c>
      <c r="BT11">
        <v>98.678574538736186</v>
      </c>
      <c r="BU11">
        <v>98.717177919748053</v>
      </c>
      <c r="BV11">
        <v>98.751305025746774</v>
      </c>
      <c r="BW11">
        <v>98.791782407211159</v>
      </c>
      <c r="BX11">
        <v>98.837404696673772</v>
      </c>
      <c r="BY11">
        <v>98.871612843265453</v>
      </c>
      <c r="BZ11">
        <v>98.9071932956887</v>
      </c>
      <c r="CA11">
        <v>98.956340629776648</v>
      </c>
      <c r="CB11">
        <v>98.991111308912295</v>
      </c>
      <c r="CC11">
        <v>99.038815600220886</v>
      </c>
      <c r="CD11">
        <v>99.079161310673896</v>
      </c>
      <c r="CE11">
        <v>99.12627851057502</v>
      </c>
      <c r="CF11">
        <v>99.173135120464025</v>
      </c>
      <c r="CG11">
        <v>99.216816209755919</v>
      </c>
      <c r="CH11">
        <v>99.253981354097434</v>
      </c>
      <c r="CI11">
        <v>99.295271402903566</v>
      </c>
      <c r="CJ11">
        <v>99.335353139701766</v>
      </c>
      <c r="CK11">
        <v>99.374966311362499</v>
      </c>
      <c r="CL11">
        <v>99.414418987126382</v>
      </c>
      <c r="CM11">
        <v>99.462949757454609</v>
      </c>
      <c r="CN11">
        <v>99.503303440810697</v>
      </c>
      <c r="CO11">
        <v>99.55154050977859</v>
      </c>
      <c r="CP11">
        <v>99.593562652467483</v>
      </c>
      <c r="CQ11">
        <v>99.638645836760631</v>
      </c>
      <c r="CR11">
        <v>99.689004486937208</v>
      </c>
      <c r="CS11">
        <v>99.737149304805627</v>
      </c>
      <c r="CT11">
        <v>99.790764523677069</v>
      </c>
      <c r="CU11">
        <v>99.82771337575204</v>
      </c>
      <c r="CV11">
        <v>99.882634347245215</v>
      </c>
      <c r="CW11">
        <v>99.917640699796777</v>
      </c>
      <c r="CX11">
        <v>99.95464879882293</v>
      </c>
      <c r="CY11">
        <v>99.994528651596397</v>
      </c>
      <c r="CZ11">
        <v>100.03802617509969</v>
      </c>
      <c r="DA11">
        <v>100.08483712926233</v>
      </c>
      <c r="DB11">
        <v>100.12794541763252</v>
      </c>
      <c r="DC11">
        <v>100.17370996154752</v>
      </c>
      <c r="DD11">
        <v>100.2220187795441</v>
      </c>
      <c r="DE11">
        <v>100.27749344454325</v>
      </c>
      <c r="DF11">
        <v>100.33454629411933</v>
      </c>
      <c r="DG11">
        <v>100.37194787130137</v>
      </c>
      <c r="DH11">
        <v>100.41950728477407</v>
      </c>
      <c r="DI11">
        <v>100.46002156778168</v>
      </c>
      <c r="DJ11">
        <v>100.50474730196157</v>
      </c>
      <c r="DK11">
        <v>100.54945482705406</v>
      </c>
      <c r="DL11">
        <v>100.60930320694207</v>
      </c>
      <c r="DM11">
        <v>100.64506599524583</v>
      </c>
      <c r="DN11">
        <v>100.69975583146103</v>
      </c>
      <c r="DO11">
        <v>100.73974243545544</v>
      </c>
      <c r="DP11">
        <v>100.78482186340536</v>
      </c>
      <c r="DQ11">
        <v>100.83041966830297</v>
      </c>
      <c r="DR11">
        <v>100.87319331841259</v>
      </c>
      <c r="DS11">
        <v>100.91443613345656</v>
      </c>
      <c r="DT11">
        <v>100.96096863383812</v>
      </c>
      <c r="DU11">
        <v>101.01507275549032</v>
      </c>
      <c r="DV11">
        <v>101.06864149870994</v>
      </c>
      <c r="DW11">
        <v>101.12510490962525</v>
      </c>
      <c r="DX11">
        <v>101.18071430138649</v>
      </c>
      <c r="DY11">
        <v>101.24904647257205</v>
      </c>
      <c r="DZ11">
        <v>101.31128015394316</v>
      </c>
      <c r="EA11">
        <v>101.36383515967854</v>
      </c>
      <c r="EB11">
        <v>101.42671642530452</v>
      </c>
      <c r="EC11">
        <v>101.46910705379896</v>
      </c>
      <c r="ED11">
        <v>101.5124474028521</v>
      </c>
      <c r="EE11">
        <v>101.55448135612521</v>
      </c>
      <c r="EF11">
        <v>101.61045758682634</v>
      </c>
      <c r="EG11">
        <v>101.66362006887978</v>
      </c>
      <c r="EH11">
        <v>101.72263180022118</v>
      </c>
      <c r="EI11">
        <v>101.77885370361092</v>
      </c>
      <c r="EJ11">
        <v>101.83245750579934</v>
      </c>
      <c r="EK11">
        <v>101.88458412225232</v>
      </c>
      <c r="EL11">
        <v>101.95971904111761</v>
      </c>
      <c r="EM11">
        <v>102.03415588051958</v>
      </c>
      <c r="EN11">
        <v>102.10320894510008</v>
      </c>
      <c r="EO11">
        <v>102.16701122598951</v>
      </c>
      <c r="EP11">
        <v>102.22346434198393</v>
      </c>
      <c r="EQ11">
        <v>102.29239627816587</v>
      </c>
      <c r="ER11">
        <v>102.35909853161141</v>
      </c>
      <c r="ES11">
        <v>102.4165667105576</v>
      </c>
      <c r="ET11">
        <v>102.48769424255295</v>
      </c>
      <c r="EU11">
        <v>102.54694038685159</v>
      </c>
      <c r="EV11">
        <v>102.61541550512349</v>
      </c>
      <c r="EW11">
        <v>102.68800235133243</v>
      </c>
      <c r="EX11">
        <v>102.76198788134957</v>
      </c>
      <c r="EY11">
        <v>102.84030149078193</v>
      </c>
      <c r="EZ11">
        <v>102.90072312921983</v>
      </c>
      <c r="FA11">
        <v>102.96209358497597</v>
      </c>
      <c r="FB11">
        <v>103.0473798303539</v>
      </c>
      <c r="FC11">
        <v>103.14471560958238</v>
      </c>
      <c r="FD11">
        <v>103.21450444722431</v>
      </c>
      <c r="FE11">
        <v>103.30034902189846</v>
      </c>
      <c r="FF11">
        <v>103.38940432602067</v>
      </c>
      <c r="FG11">
        <v>103.45791936102994</v>
      </c>
      <c r="FH11">
        <v>103.54143437414888</v>
      </c>
      <c r="FI11">
        <v>103.63023328552192</v>
      </c>
      <c r="FJ11">
        <v>103.7391747956209</v>
      </c>
      <c r="FK11">
        <v>103.82578566439328</v>
      </c>
      <c r="FL11">
        <v>103.88894479909015</v>
      </c>
      <c r="FM11">
        <v>103.9991063662787</v>
      </c>
      <c r="FN11">
        <v>104.08884735513976</v>
      </c>
      <c r="FO11">
        <v>104.21828360846303</v>
      </c>
      <c r="FP11">
        <v>104.3073325003531</v>
      </c>
      <c r="FQ11">
        <v>104.41489426098772</v>
      </c>
      <c r="FR11">
        <v>104.53166146303195</v>
      </c>
      <c r="FS11">
        <v>104.6551673212591</v>
      </c>
      <c r="FT11">
        <v>104.76622084000653</v>
      </c>
      <c r="FU11">
        <v>104.89041343347913</v>
      </c>
      <c r="FV11">
        <v>104.98492207173061</v>
      </c>
      <c r="FW11">
        <v>105.14673783061119</v>
      </c>
      <c r="FX11">
        <v>105.2524628546204</v>
      </c>
      <c r="FY11">
        <v>105.40299388681467</v>
      </c>
      <c r="FZ11">
        <v>105.55258547277755</v>
      </c>
      <c r="GA11">
        <v>105.70259296211627</v>
      </c>
      <c r="GB11">
        <v>105.86821759201599</v>
      </c>
      <c r="GC11">
        <v>106.03061191642571</v>
      </c>
      <c r="GD11">
        <v>106.20886319387311</v>
      </c>
      <c r="GE11">
        <v>106.40218251757527</v>
      </c>
      <c r="GF11">
        <v>106.65722163391052</v>
      </c>
      <c r="GG11">
        <v>106.87551249845463</v>
      </c>
      <c r="GH11">
        <v>107.06108572688569</v>
      </c>
      <c r="GI11">
        <v>107.46976052244185</v>
      </c>
      <c r="GJ11">
        <v>107.7358598273583</v>
      </c>
      <c r="GK11">
        <v>108.08008492278852</v>
      </c>
      <c r="GL11">
        <v>108.5048281919708</v>
      </c>
      <c r="GM11">
        <v>109.11891671156135</v>
      </c>
      <c r="GN11">
        <v>109.70168963283206</v>
      </c>
      <c r="GO11">
        <v>110.313871694475</v>
      </c>
      <c r="GP11">
        <v>111.46387550101551</v>
      </c>
      <c r="GQ11">
        <v>113.22599886159378</v>
      </c>
      <c r="GR11">
        <v>100.37583573354379</v>
      </c>
      <c r="GT11" s="8">
        <v>45307</v>
      </c>
      <c r="GU11">
        <v>101.902511</v>
      </c>
    </row>
    <row r="12" spans="1:203" x14ac:dyDescent="0.45">
      <c r="A12">
        <v>93.1271487769408</v>
      </c>
      <c r="B12">
        <v>93.616500445909878</v>
      </c>
      <c r="C12">
        <v>93.95241330704313</v>
      </c>
      <c r="D12">
        <v>94.201842299828897</v>
      </c>
      <c r="E12">
        <v>94.395146353021147</v>
      </c>
      <c r="F12">
        <v>94.573160162161727</v>
      </c>
      <c r="G12">
        <v>94.721722076345841</v>
      </c>
      <c r="H12">
        <v>94.88041261741337</v>
      </c>
      <c r="I12">
        <v>94.998786556203584</v>
      </c>
      <c r="J12">
        <v>95.132089200550297</v>
      </c>
      <c r="K12">
        <v>95.237697054966858</v>
      </c>
      <c r="L12">
        <v>95.348186598282425</v>
      </c>
      <c r="M12">
        <v>95.42453305237747</v>
      </c>
      <c r="N12">
        <v>95.504445547487265</v>
      </c>
      <c r="O12">
        <v>95.613496609873536</v>
      </c>
      <c r="P12">
        <v>95.687503240914751</v>
      </c>
      <c r="Q12">
        <v>95.746443121363271</v>
      </c>
      <c r="R12">
        <v>95.816576013904495</v>
      </c>
      <c r="S12">
        <v>95.876911429955513</v>
      </c>
      <c r="T12">
        <v>95.935891865649992</v>
      </c>
      <c r="U12">
        <v>96.004054913589798</v>
      </c>
      <c r="V12">
        <v>96.073851106499703</v>
      </c>
      <c r="W12">
        <v>96.153153260343743</v>
      </c>
      <c r="X12">
        <v>96.216753853798394</v>
      </c>
      <c r="Y12">
        <v>96.278811680304941</v>
      </c>
      <c r="Z12">
        <v>96.336026919618206</v>
      </c>
      <c r="AA12">
        <v>96.393723305094227</v>
      </c>
      <c r="AB12">
        <v>96.454349940842349</v>
      </c>
      <c r="AC12">
        <v>96.521816872399498</v>
      </c>
      <c r="AD12">
        <v>96.579363742249086</v>
      </c>
      <c r="AE12">
        <v>96.629366023733908</v>
      </c>
      <c r="AF12">
        <v>96.676598888234196</v>
      </c>
      <c r="AG12">
        <v>96.732053960281618</v>
      </c>
      <c r="AH12">
        <v>96.777994722313352</v>
      </c>
      <c r="AI12">
        <v>96.826796428399902</v>
      </c>
      <c r="AJ12">
        <v>96.885289260088655</v>
      </c>
      <c r="AK12">
        <v>96.946716893589937</v>
      </c>
      <c r="AL12">
        <v>96.992978987223239</v>
      </c>
      <c r="AM12">
        <v>97.049807767258073</v>
      </c>
      <c r="AN12">
        <v>97.096161956834152</v>
      </c>
      <c r="AO12">
        <v>97.134667755049861</v>
      </c>
      <c r="AP12">
        <v>97.179238567017833</v>
      </c>
      <c r="AQ12">
        <v>97.218436689426539</v>
      </c>
      <c r="AR12">
        <v>97.265868237462726</v>
      </c>
      <c r="AS12">
        <v>97.308917029640071</v>
      </c>
      <c r="AT12">
        <v>97.369802068739276</v>
      </c>
      <c r="AU12">
        <v>97.422041227425439</v>
      </c>
      <c r="AV12">
        <v>97.471218246089137</v>
      </c>
      <c r="AW12">
        <v>97.523616548045922</v>
      </c>
      <c r="AX12">
        <v>97.565994472996806</v>
      </c>
      <c r="AY12">
        <v>97.602623207660116</v>
      </c>
      <c r="AZ12">
        <v>97.649764889996845</v>
      </c>
      <c r="BA12">
        <v>97.692723945303925</v>
      </c>
      <c r="BB12">
        <v>97.733771637999894</v>
      </c>
      <c r="BC12">
        <v>97.781191674438688</v>
      </c>
      <c r="BD12">
        <v>97.824501877037122</v>
      </c>
      <c r="BE12">
        <v>97.8704728219938</v>
      </c>
      <c r="BF12">
        <v>97.908304886229473</v>
      </c>
      <c r="BG12">
        <v>97.962457046000949</v>
      </c>
      <c r="BH12">
        <v>98.002511198080711</v>
      </c>
      <c r="BI12">
        <v>98.053466396502955</v>
      </c>
      <c r="BJ12">
        <v>98.094806911745678</v>
      </c>
      <c r="BK12">
        <v>98.145574018092034</v>
      </c>
      <c r="BL12">
        <v>98.181843161956408</v>
      </c>
      <c r="BM12">
        <v>98.218181617516038</v>
      </c>
      <c r="BN12">
        <v>98.266383436584533</v>
      </c>
      <c r="BO12">
        <v>98.306167783574367</v>
      </c>
      <c r="BP12">
        <v>98.34442607659004</v>
      </c>
      <c r="BQ12">
        <v>98.385128869322784</v>
      </c>
      <c r="BR12">
        <v>98.424438148777668</v>
      </c>
      <c r="BS12">
        <v>98.479827476826713</v>
      </c>
      <c r="BT12">
        <v>98.517336909488847</v>
      </c>
      <c r="BU12">
        <v>98.558448515621834</v>
      </c>
      <c r="BV12">
        <v>98.603986580577924</v>
      </c>
      <c r="BW12">
        <v>98.6437405813965</v>
      </c>
      <c r="BX12">
        <v>98.686178271620619</v>
      </c>
      <c r="BY12">
        <v>98.723535434706761</v>
      </c>
      <c r="BZ12">
        <v>98.760803877991165</v>
      </c>
      <c r="CA12">
        <v>98.799648787646589</v>
      </c>
      <c r="CB12">
        <v>98.853385703423399</v>
      </c>
      <c r="CC12">
        <v>98.903161560570354</v>
      </c>
      <c r="CD12">
        <v>98.952656872729349</v>
      </c>
      <c r="CE12">
        <v>98.999937470830233</v>
      </c>
      <c r="CF12">
        <v>99.047340104879538</v>
      </c>
      <c r="CG12">
        <v>99.10011521333044</v>
      </c>
      <c r="CH12">
        <v>99.151450832057733</v>
      </c>
      <c r="CI12">
        <v>99.204594902343572</v>
      </c>
      <c r="CJ12">
        <v>99.245728982337198</v>
      </c>
      <c r="CK12">
        <v>99.302566209084233</v>
      </c>
      <c r="CL12">
        <v>99.344594689273976</v>
      </c>
      <c r="CM12">
        <v>99.38934574991751</v>
      </c>
      <c r="CN12">
        <v>99.435463528936438</v>
      </c>
      <c r="CO12">
        <v>99.487654422376309</v>
      </c>
      <c r="CP12">
        <v>99.527047806053218</v>
      </c>
      <c r="CQ12">
        <v>99.580543875707747</v>
      </c>
      <c r="CR12">
        <v>99.63498157670432</v>
      </c>
      <c r="CS12">
        <v>99.685574400055302</v>
      </c>
      <c r="CT12">
        <v>99.739970559725251</v>
      </c>
      <c r="CU12">
        <v>99.785397564287564</v>
      </c>
      <c r="CV12">
        <v>99.827114089511639</v>
      </c>
      <c r="CW12">
        <v>99.878269400610279</v>
      </c>
      <c r="CX12">
        <v>99.916861561653008</v>
      </c>
      <c r="CY12">
        <v>99.961814019018092</v>
      </c>
      <c r="CZ12">
        <v>100.00831828601967</v>
      </c>
      <c r="DA12">
        <v>100.04991889872512</v>
      </c>
      <c r="DB12">
        <v>100.08889355786285</v>
      </c>
      <c r="DC12">
        <v>100.12630817813762</v>
      </c>
      <c r="DD12">
        <v>100.16825024678889</v>
      </c>
      <c r="DE12">
        <v>100.21879849648228</v>
      </c>
      <c r="DF12">
        <v>100.27389679197111</v>
      </c>
      <c r="DG12">
        <v>100.31780293727098</v>
      </c>
      <c r="DH12">
        <v>100.36463332578323</v>
      </c>
      <c r="DI12">
        <v>100.41066267775913</v>
      </c>
      <c r="DJ12">
        <v>100.46471010018779</v>
      </c>
      <c r="DK12">
        <v>100.51737951940952</v>
      </c>
      <c r="DL12">
        <v>100.57063298642397</v>
      </c>
      <c r="DM12">
        <v>100.61702444804357</v>
      </c>
      <c r="DN12">
        <v>100.65028279938991</v>
      </c>
      <c r="DO12">
        <v>100.70770559075596</v>
      </c>
      <c r="DP12">
        <v>100.76098698139222</v>
      </c>
      <c r="DQ12">
        <v>100.81474696823292</v>
      </c>
      <c r="DR12">
        <v>100.87337414484452</v>
      </c>
      <c r="DS12">
        <v>100.92426232968322</v>
      </c>
      <c r="DT12">
        <v>100.98017997279092</v>
      </c>
      <c r="DU12">
        <v>101.03924837377828</v>
      </c>
      <c r="DV12">
        <v>101.0884058134552</v>
      </c>
      <c r="DW12">
        <v>101.15000322810525</v>
      </c>
      <c r="DX12">
        <v>101.208833882639</v>
      </c>
      <c r="DY12">
        <v>101.27345159367495</v>
      </c>
      <c r="DZ12">
        <v>101.34403512183619</v>
      </c>
      <c r="EA12">
        <v>101.41272261218018</v>
      </c>
      <c r="EB12">
        <v>101.46963250809887</v>
      </c>
      <c r="EC12">
        <v>101.52369175935672</v>
      </c>
      <c r="ED12">
        <v>101.60545164459307</v>
      </c>
      <c r="EE12">
        <v>101.65035096508231</v>
      </c>
      <c r="EF12">
        <v>101.69749471528925</v>
      </c>
      <c r="EG12">
        <v>101.75721339039386</v>
      </c>
      <c r="EH12">
        <v>101.8127665657866</v>
      </c>
      <c r="EI12">
        <v>101.86997154123037</v>
      </c>
      <c r="EJ12">
        <v>101.93919761040891</v>
      </c>
      <c r="EK12">
        <v>102.01451946032634</v>
      </c>
      <c r="EL12">
        <v>102.06877233164656</v>
      </c>
      <c r="EM12">
        <v>102.13216474785372</v>
      </c>
      <c r="EN12">
        <v>102.19720824681296</v>
      </c>
      <c r="EO12">
        <v>102.25856199167747</v>
      </c>
      <c r="EP12">
        <v>102.33004403702148</v>
      </c>
      <c r="EQ12">
        <v>102.39795973567905</v>
      </c>
      <c r="ER12">
        <v>102.46410036825164</v>
      </c>
      <c r="ES12">
        <v>102.5160381880403</v>
      </c>
      <c r="ET12">
        <v>102.57596630586704</v>
      </c>
      <c r="EU12">
        <v>102.63865080191833</v>
      </c>
      <c r="EV12">
        <v>102.71485109224868</v>
      </c>
      <c r="EW12">
        <v>102.76101003505384</v>
      </c>
      <c r="EX12">
        <v>102.85584600275413</v>
      </c>
      <c r="EY12">
        <v>102.93072059349728</v>
      </c>
      <c r="EZ12">
        <v>103.02023968030201</v>
      </c>
      <c r="FA12">
        <v>103.10786600311464</v>
      </c>
      <c r="FB12">
        <v>103.1796360137123</v>
      </c>
      <c r="FC12">
        <v>103.26968061285181</v>
      </c>
      <c r="FD12">
        <v>103.34993559286191</v>
      </c>
      <c r="FE12">
        <v>103.44100326063889</v>
      </c>
      <c r="FF12">
        <v>103.53916274364114</v>
      </c>
      <c r="FG12">
        <v>103.62909940450604</v>
      </c>
      <c r="FH12">
        <v>103.74641339388236</v>
      </c>
      <c r="FI12">
        <v>103.85040943386754</v>
      </c>
      <c r="FJ12">
        <v>103.93221952459425</v>
      </c>
      <c r="FK12">
        <v>104.04283699309455</v>
      </c>
      <c r="FL12">
        <v>104.13467671905588</v>
      </c>
      <c r="FM12">
        <v>104.2522796211248</v>
      </c>
      <c r="FN12">
        <v>104.35176428385242</v>
      </c>
      <c r="FO12">
        <v>104.48920875324445</v>
      </c>
      <c r="FP12">
        <v>104.59236436950323</v>
      </c>
      <c r="FQ12">
        <v>104.6979731155983</v>
      </c>
      <c r="FR12">
        <v>104.80138515622279</v>
      </c>
      <c r="FS12">
        <v>104.90197613991209</v>
      </c>
      <c r="FT12">
        <v>104.9982838691659</v>
      </c>
      <c r="FU12">
        <v>105.13797851960578</v>
      </c>
      <c r="FV12">
        <v>105.29471727480988</v>
      </c>
      <c r="FW12">
        <v>105.47523267046766</v>
      </c>
      <c r="FX12">
        <v>105.57788367518677</v>
      </c>
      <c r="FY12">
        <v>105.76123338378065</v>
      </c>
      <c r="FZ12">
        <v>105.92670224506895</v>
      </c>
      <c r="GA12">
        <v>106.0912733211424</v>
      </c>
      <c r="GB12">
        <v>106.27449962798811</v>
      </c>
      <c r="GC12">
        <v>106.41975144450204</v>
      </c>
      <c r="GD12">
        <v>106.61913733754525</v>
      </c>
      <c r="GE12">
        <v>106.84820010762292</v>
      </c>
      <c r="GF12">
        <v>107.0874981973584</v>
      </c>
      <c r="GG12">
        <v>107.34865980368778</v>
      </c>
      <c r="GH12">
        <v>107.58379799624542</v>
      </c>
      <c r="GI12">
        <v>107.86976320777988</v>
      </c>
      <c r="GJ12">
        <v>108.192838742896</v>
      </c>
      <c r="GK12">
        <v>108.52089793365575</v>
      </c>
      <c r="GL12">
        <v>109.06114449580893</v>
      </c>
      <c r="GM12">
        <v>109.54634952627522</v>
      </c>
      <c r="GN12">
        <v>110.28711890925717</v>
      </c>
      <c r="GO12">
        <v>111.04654146289697</v>
      </c>
      <c r="GP12">
        <v>112.12146515024968</v>
      </c>
      <c r="GQ12">
        <v>113.52677297782924</v>
      </c>
      <c r="GR12">
        <v>100.38093870928</v>
      </c>
      <c r="GT12" s="8">
        <v>45308</v>
      </c>
      <c r="GU12">
        <v>101.034544</v>
      </c>
    </row>
    <row r="13" spans="1:203" x14ac:dyDescent="0.45">
      <c r="A13">
        <v>92.875823448117956</v>
      </c>
      <c r="B13">
        <v>93.444415677608774</v>
      </c>
      <c r="C13">
        <v>93.785325948972982</v>
      </c>
      <c r="D13">
        <v>94.020731671386898</v>
      </c>
      <c r="E13">
        <v>94.194819684290266</v>
      </c>
      <c r="F13">
        <v>94.341130947700776</v>
      </c>
      <c r="G13">
        <v>94.476693359869728</v>
      </c>
      <c r="H13">
        <v>94.646905715553302</v>
      </c>
      <c r="I13">
        <v>94.796025415145081</v>
      </c>
      <c r="J13">
        <v>94.908118316458271</v>
      </c>
      <c r="K13">
        <v>95.039395216777166</v>
      </c>
      <c r="L13">
        <v>95.130528505192316</v>
      </c>
      <c r="M13">
        <v>95.243442307722702</v>
      </c>
      <c r="N13">
        <v>95.316801852071535</v>
      </c>
      <c r="O13">
        <v>95.407539785593897</v>
      </c>
      <c r="P13">
        <v>95.490981591940027</v>
      </c>
      <c r="Q13">
        <v>95.560859165321773</v>
      </c>
      <c r="R13">
        <v>95.629706068878093</v>
      </c>
      <c r="S13">
        <v>95.702110675462663</v>
      </c>
      <c r="T13">
        <v>95.764166156117042</v>
      </c>
      <c r="U13">
        <v>95.846962739438908</v>
      </c>
      <c r="V13">
        <v>95.926863926882547</v>
      </c>
      <c r="W13">
        <v>95.986302209870686</v>
      </c>
      <c r="X13">
        <v>96.043539601125715</v>
      </c>
      <c r="Y13">
        <v>96.108277242646864</v>
      </c>
      <c r="Z13">
        <v>96.178958551044587</v>
      </c>
      <c r="AA13">
        <v>96.242678015010597</v>
      </c>
      <c r="AB13">
        <v>96.307659308069745</v>
      </c>
      <c r="AC13">
        <v>96.367460108672049</v>
      </c>
      <c r="AD13">
        <v>96.417975984074005</v>
      </c>
      <c r="AE13">
        <v>96.46545695894406</v>
      </c>
      <c r="AF13">
        <v>96.516471745855398</v>
      </c>
      <c r="AG13">
        <v>96.56538287660068</v>
      </c>
      <c r="AH13">
        <v>96.617621472430201</v>
      </c>
      <c r="AI13">
        <v>96.66898499773734</v>
      </c>
      <c r="AJ13">
        <v>96.732597822311121</v>
      </c>
      <c r="AK13">
        <v>96.785371999095716</v>
      </c>
      <c r="AL13">
        <v>96.83003402234462</v>
      </c>
      <c r="AM13">
        <v>96.875627889132474</v>
      </c>
      <c r="AN13">
        <v>96.929066569920181</v>
      </c>
      <c r="AO13">
        <v>96.970232655114359</v>
      </c>
      <c r="AP13">
        <v>97.027708259550806</v>
      </c>
      <c r="AQ13">
        <v>97.088886120743183</v>
      </c>
      <c r="AR13">
        <v>97.134053631771323</v>
      </c>
      <c r="AS13">
        <v>97.172289412779477</v>
      </c>
      <c r="AT13">
        <v>97.22610678276699</v>
      </c>
      <c r="AU13">
        <v>97.274220873464827</v>
      </c>
      <c r="AV13">
        <v>97.312655530824529</v>
      </c>
      <c r="AW13">
        <v>97.368854993404852</v>
      </c>
      <c r="AX13">
        <v>97.418040830033121</v>
      </c>
      <c r="AY13">
        <v>97.468496176011257</v>
      </c>
      <c r="AZ13">
        <v>97.525730301978228</v>
      </c>
      <c r="BA13">
        <v>97.574615144557541</v>
      </c>
      <c r="BB13">
        <v>97.618498034310349</v>
      </c>
      <c r="BC13">
        <v>97.662769298846698</v>
      </c>
      <c r="BD13">
        <v>97.694403573077807</v>
      </c>
      <c r="BE13">
        <v>97.740707945432362</v>
      </c>
      <c r="BF13">
        <v>97.781605034463283</v>
      </c>
      <c r="BG13">
        <v>97.828525211225269</v>
      </c>
      <c r="BH13">
        <v>97.874693296555435</v>
      </c>
      <c r="BI13">
        <v>97.919393051876</v>
      </c>
      <c r="BJ13">
        <v>97.971493391270897</v>
      </c>
      <c r="BK13">
        <v>98.022900248397917</v>
      </c>
      <c r="BL13">
        <v>98.068733654970572</v>
      </c>
      <c r="BM13">
        <v>98.115241298426184</v>
      </c>
      <c r="BN13">
        <v>98.14771857681778</v>
      </c>
      <c r="BO13">
        <v>98.200453141980617</v>
      </c>
      <c r="BP13">
        <v>98.248549270411544</v>
      </c>
      <c r="BQ13">
        <v>98.284767908048181</v>
      </c>
      <c r="BR13">
        <v>98.325714321721819</v>
      </c>
      <c r="BS13">
        <v>98.373555441136716</v>
      </c>
      <c r="BT13">
        <v>98.421304202320243</v>
      </c>
      <c r="BU13">
        <v>98.468814222404674</v>
      </c>
      <c r="BV13">
        <v>98.513458777752618</v>
      </c>
      <c r="BW13">
        <v>98.557916682808226</v>
      </c>
      <c r="BX13">
        <v>98.616156446691591</v>
      </c>
      <c r="BY13">
        <v>98.669774434157844</v>
      </c>
      <c r="BZ13">
        <v>98.71571699862379</v>
      </c>
      <c r="CA13">
        <v>98.762756205893993</v>
      </c>
      <c r="CB13">
        <v>98.79533510928799</v>
      </c>
      <c r="CC13">
        <v>98.841381428405867</v>
      </c>
      <c r="CD13">
        <v>98.883252102447386</v>
      </c>
      <c r="CE13">
        <v>98.925864837599875</v>
      </c>
      <c r="CF13">
        <v>98.970094178773223</v>
      </c>
      <c r="CG13">
        <v>99.016519899228314</v>
      </c>
      <c r="CH13">
        <v>99.059233242172766</v>
      </c>
      <c r="CI13">
        <v>99.11494995900901</v>
      </c>
      <c r="CJ13">
        <v>99.157110187327291</v>
      </c>
      <c r="CK13">
        <v>99.210725127460222</v>
      </c>
      <c r="CL13">
        <v>99.256829115441562</v>
      </c>
      <c r="CM13">
        <v>99.305263975019216</v>
      </c>
      <c r="CN13">
        <v>99.353417565872704</v>
      </c>
      <c r="CO13">
        <v>99.400491311878483</v>
      </c>
      <c r="CP13">
        <v>99.462767113279952</v>
      </c>
      <c r="CQ13">
        <v>99.510081172855209</v>
      </c>
      <c r="CR13">
        <v>99.55216186927143</v>
      </c>
      <c r="CS13">
        <v>99.596484998794352</v>
      </c>
      <c r="CT13">
        <v>99.637957228238633</v>
      </c>
      <c r="CU13">
        <v>99.690989272523453</v>
      </c>
      <c r="CV13">
        <v>99.7430249223315</v>
      </c>
      <c r="CW13">
        <v>99.808621515221844</v>
      </c>
      <c r="CX13">
        <v>99.861016270999428</v>
      </c>
      <c r="CY13">
        <v>99.917354278459115</v>
      </c>
      <c r="CZ13">
        <v>99.966649021352254</v>
      </c>
      <c r="DA13">
        <v>100.02543020940912</v>
      </c>
      <c r="DB13">
        <v>100.09026701817777</v>
      </c>
      <c r="DC13">
        <v>100.13852400383227</v>
      </c>
      <c r="DD13">
        <v>100.19337035313251</v>
      </c>
      <c r="DE13">
        <v>100.22842112540378</v>
      </c>
      <c r="DF13">
        <v>100.28296963685658</v>
      </c>
      <c r="DG13">
        <v>100.32988543782081</v>
      </c>
      <c r="DH13">
        <v>100.37273044022373</v>
      </c>
      <c r="DI13">
        <v>100.42073773543137</v>
      </c>
      <c r="DJ13">
        <v>100.46520334506752</v>
      </c>
      <c r="DK13">
        <v>100.50996315949466</v>
      </c>
      <c r="DL13">
        <v>100.56238682446566</v>
      </c>
      <c r="DM13">
        <v>100.61851551645081</v>
      </c>
      <c r="DN13">
        <v>100.67078204488514</v>
      </c>
      <c r="DO13">
        <v>100.72495793744554</v>
      </c>
      <c r="DP13">
        <v>100.76823059813553</v>
      </c>
      <c r="DQ13">
        <v>100.82200390015497</v>
      </c>
      <c r="DR13">
        <v>100.8692421055061</v>
      </c>
      <c r="DS13">
        <v>100.92991839006869</v>
      </c>
      <c r="DT13">
        <v>100.99058213231086</v>
      </c>
      <c r="DU13">
        <v>101.04248981268161</v>
      </c>
      <c r="DV13">
        <v>101.09578818057516</v>
      </c>
      <c r="DW13">
        <v>101.15436442416944</v>
      </c>
      <c r="DX13">
        <v>101.22006910834098</v>
      </c>
      <c r="DY13">
        <v>101.27244005964437</v>
      </c>
      <c r="DZ13">
        <v>101.32488362527242</v>
      </c>
      <c r="EA13">
        <v>101.38682216659137</v>
      </c>
      <c r="EB13">
        <v>101.44023432055685</v>
      </c>
      <c r="EC13">
        <v>101.51034770532736</v>
      </c>
      <c r="ED13">
        <v>101.57134766258071</v>
      </c>
      <c r="EE13">
        <v>101.65734671092601</v>
      </c>
      <c r="EF13">
        <v>101.73236500128705</v>
      </c>
      <c r="EG13">
        <v>101.79248794505617</v>
      </c>
      <c r="EH13">
        <v>101.85153145749233</v>
      </c>
      <c r="EI13">
        <v>101.90175576929258</v>
      </c>
      <c r="EJ13">
        <v>101.97011580669945</v>
      </c>
      <c r="EK13">
        <v>102.03664178200589</v>
      </c>
      <c r="EL13">
        <v>102.10839721049892</v>
      </c>
      <c r="EM13">
        <v>102.18202441854631</v>
      </c>
      <c r="EN13">
        <v>102.25956540996565</v>
      </c>
      <c r="EO13">
        <v>102.33516174338294</v>
      </c>
      <c r="EP13">
        <v>102.39830735815642</v>
      </c>
      <c r="EQ13">
        <v>102.47549700302436</v>
      </c>
      <c r="ER13">
        <v>102.55465161759679</v>
      </c>
      <c r="ES13">
        <v>102.63346306802693</v>
      </c>
      <c r="ET13">
        <v>102.70947132885279</v>
      </c>
      <c r="EU13">
        <v>102.77684617992878</v>
      </c>
      <c r="EV13">
        <v>102.8544931342182</v>
      </c>
      <c r="EW13">
        <v>102.91786775216522</v>
      </c>
      <c r="EX13">
        <v>103.01434896266424</v>
      </c>
      <c r="EY13">
        <v>103.12041861862706</v>
      </c>
      <c r="EZ13">
        <v>103.20937218581292</v>
      </c>
      <c r="FA13">
        <v>103.30560075989339</v>
      </c>
      <c r="FB13">
        <v>103.41773532050004</v>
      </c>
      <c r="FC13">
        <v>103.48795015969158</v>
      </c>
      <c r="FD13">
        <v>103.5748994020897</v>
      </c>
      <c r="FE13">
        <v>103.67964636156694</v>
      </c>
      <c r="FF13">
        <v>103.76890270338919</v>
      </c>
      <c r="FG13">
        <v>103.89115317313677</v>
      </c>
      <c r="FH13">
        <v>103.97552664675905</v>
      </c>
      <c r="FI13">
        <v>104.08805877387391</v>
      </c>
      <c r="FJ13">
        <v>104.21078640786365</v>
      </c>
      <c r="FK13">
        <v>104.32073180036252</v>
      </c>
      <c r="FL13">
        <v>104.42205654092064</v>
      </c>
      <c r="FM13">
        <v>104.55292240576004</v>
      </c>
      <c r="FN13">
        <v>104.63993650892419</v>
      </c>
      <c r="FO13">
        <v>104.73621391452012</v>
      </c>
      <c r="FP13">
        <v>104.82403212278027</v>
      </c>
      <c r="FQ13">
        <v>104.94755160896581</v>
      </c>
      <c r="FR13">
        <v>105.05173752144344</v>
      </c>
      <c r="FS13">
        <v>105.22783599412413</v>
      </c>
      <c r="FT13">
        <v>105.35940364082533</v>
      </c>
      <c r="FU13">
        <v>105.49840041206413</v>
      </c>
      <c r="FV13">
        <v>105.65623232907609</v>
      </c>
      <c r="FW13">
        <v>105.81549107643488</v>
      </c>
      <c r="FX13">
        <v>105.91641339932585</v>
      </c>
      <c r="FY13">
        <v>106.09057909270666</v>
      </c>
      <c r="FZ13">
        <v>106.21999099666546</v>
      </c>
      <c r="GA13">
        <v>106.35301534352259</v>
      </c>
      <c r="GB13">
        <v>106.51366816264945</v>
      </c>
      <c r="GC13">
        <v>106.80216736071094</v>
      </c>
      <c r="GD13">
        <v>107.01685777188311</v>
      </c>
      <c r="GE13">
        <v>107.22619432811382</v>
      </c>
      <c r="GF13">
        <v>107.45889494510843</v>
      </c>
      <c r="GG13">
        <v>107.73511357994288</v>
      </c>
      <c r="GH13">
        <v>108.05385326213894</v>
      </c>
      <c r="GI13">
        <v>108.42170006949983</v>
      </c>
      <c r="GJ13">
        <v>108.73257454769848</v>
      </c>
      <c r="GK13">
        <v>109.11155452056236</v>
      </c>
      <c r="GL13">
        <v>109.67999152724678</v>
      </c>
      <c r="GM13">
        <v>110.27814739121581</v>
      </c>
      <c r="GN13">
        <v>110.82572387318817</v>
      </c>
      <c r="GO13">
        <v>111.60932519690142</v>
      </c>
      <c r="GP13">
        <v>112.78576275428706</v>
      </c>
      <c r="GQ13">
        <v>114.44730109946603</v>
      </c>
      <c r="GR13">
        <v>100.40235979758008</v>
      </c>
      <c r="GT13" s="8">
        <v>45309</v>
      </c>
      <c r="GU13">
        <v>102.36436500000001</v>
      </c>
    </row>
    <row r="14" spans="1:203" x14ac:dyDescent="0.45">
      <c r="A14">
        <v>92.626172674992446</v>
      </c>
      <c r="B14">
        <v>93.262001458369525</v>
      </c>
      <c r="C14">
        <v>93.547966927866725</v>
      </c>
      <c r="D14">
        <v>93.774462009811515</v>
      </c>
      <c r="E14">
        <v>93.986475669868568</v>
      </c>
      <c r="F14">
        <v>94.198580270024777</v>
      </c>
      <c r="G14">
        <v>94.327331049304746</v>
      </c>
      <c r="H14">
        <v>94.492886084070477</v>
      </c>
      <c r="I14">
        <v>94.59029101127922</v>
      </c>
      <c r="J14">
        <v>94.720112757844007</v>
      </c>
      <c r="K14">
        <v>94.834958280177219</v>
      </c>
      <c r="L14">
        <v>94.972078801470133</v>
      </c>
      <c r="M14">
        <v>95.060813623685931</v>
      </c>
      <c r="N14">
        <v>95.175610823276372</v>
      </c>
      <c r="O14">
        <v>95.277043854947834</v>
      </c>
      <c r="P14">
        <v>95.360637483645576</v>
      </c>
      <c r="Q14">
        <v>95.445762866190194</v>
      </c>
      <c r="R14">
        <v>95.509695244983476</v>
      </c>
      <c r="S14">
        <v>95.563984562743187</v>
      </c>
      <c r="T14">
        <v>95.638318932464472</v>
      </c>
      <c r="U14">
        <v>95.702939675109448</v>
      </c>
      <c r="V14">
        <v>95.771972473802293</v>
      </c>
      <c r="W14">
        <v>95.831638629047958</v>
      </c>
      <c r="X14">
        <v>95.904418959801077</v>
      </c>
      <c r="Y14">
        <v>95.968506137572035</v>
      </c>
      <c r="Z14">
        <v>96.024807377195216</v>
      </c>
      <c r="AA14">
        <v>96.086753258505695</v>
      </c>
      <c r="AB14">
        <v>96.154665679809753</v>
      </c>
      <c r="AC14">
        <v>96.216246296743165</v>
      </c>
      <c r="AD14">
        <v>96.273757991359744</v>
      </c>
      <c r="AE14">
        <v>96.345016241206096</v>
      </c>
      <c r="AF14">
        <v>96.40045610134986</v>
      </c>
      <c r="AG14">
        <v>96.452982874802785</v>
      </c>
      <c r="AH14">
        <v>96.498767613608962</v>
      </c>
      <c r="AI14">
        <v>96.544864790542064</v>
      </c>
      <c r="AJ14">
        <v>96.596050860520378</v>
      </c>
      <c r="AK14">
        <v>96.655572198884286</v>
      </c>
      <c r="AL14">
        <v>96.711546911393214</v>
      </c>
      <c r="AM14">
        <v>96.763293194214015</v>
      </c>
      <c r="AN14">
        <v>96.806383294334637</v>
      </c>
      <c r="AO14">
        <v>96.864134911911506</v>
      </c>
      <c r="AP14">
        <v>96.911330492243493</v>
      </c>
      <c r="AQ14">
        <v>96.96164489846177</v>
      </c>
      <c r="AR14">
        <v>97.019393379715908</v>
      </c>
      <c r="AS14">
        <v>97.069997336613611</v>
      </c>
      <c r="AT14">
        <v>97.109510801091673</v>
      </c>
      <c r="AU14">
        <v>97.165761403656077</v>
      </c>
      <c r="AV14">
        <v>97.214655353818131</v>
      </c>
      <c r="AW14">
        <v>97.261877545785893</v>
      </c>
      <c r="AX14">
        <v>97.306103031264996</v>
      </c>
      <c r="AY14">
        <v>97.355550220204336</v>
      </c>
      <c r="AZ14">
        <v>97.407077524539446</v>
      </c>
      <c r="BA14">
        <v>97.45195848601675</v>
      </c>
      <c r="BB14">
        <v>97.502482284357924</v>
      </c>
      <c r="BC14">
        <v>97.55102408534448</v>
      </c>
      <c r="BD14">
        <v>97.592034693721715</v>
      </c>
      <c r="BE14">
        <v>97.637920727752757</v>
      </c>
      <c r="BF14">
        <v>97.676266548267165</v>
      </c>
      <c r="BG14">
        <v>97.719080401601943</v>
      </c>
      <c r="BH14">
        <v>97.771030305093802</v>
      </c>
      <c r="BI14">
        <v>97.816381413353724</v>
      </c>
      <c r="BJ14">
        <v>97.867977637741703</v>
      </c>
      <c r="BK14">
        <v>97.923045641318637</v>
      </c>
      <c r="BL14">
        <v>97.983440143241623</v>
      </c>
      <c r="BM14">
        <v>98.018332171007245</v>
      </c>
      <c r="BN14">
        <v>98.07062294428232</v>
      </c>
      <c r="BO14">
        <v>98.111937363118187</v>
      </c>
      <c r="BP14">
        <v>98.151083842324724</v>
      </c>
      <c r="BQ14">
        <v>98.200770272418907</v>
      </c>
      <c r="BR14">
        <v>98.253046166533565</v>
      </c>
      <c r="BS14">
        <v>98.29982064140485</v>
      </c>
      <c r="BT14">
        <v>98.343064585953854</v>
      </c>
      <c r="BU14">
        <v>98.385692879191978</v>
      </c>
      <c r="BV14">
        <v>98.430836396656019</v>
      </c>
      <c r="BW14">
        <v>98.466461522274187</v>
      </c>
      <c r="BX14">
        <v>98.503154464330919</v>
      </c>
      <c r="BY14">
        <v>98.540366257696348</v>
      </c>
      <c r="BZ14">
        <v>98.584512025977219</v>
      </c>
      <c r="CA14">
        <v>98.636520842941437</v>
      </c>
      <c r="CB14">
        <v>98.687706266823199</v>
      </c>
      <c r="CC14">
        <v>98.729742425961518</v>
      </c>
      <c r="CD14">
        <v>98.77409945269855</v>
      </c>
      <c r="CE14">
        <v>98.819479037023939</v>
      </c>
      <c r="CF14">
        <v>98.865691241030063</v>
      </c>
      <c r="CG14">
        <v>98.915087612446527</v>
      </c>
      <c r="CH14">
        <v>98.952688756754569</v>
      </c>
      <c r="CI14">
        <v>99.026336759259948</v>
      </c>
      <c r="CJ14">
        <v>99.084217723091683</v>
      </c>
      <c r="CK14">
        <v>99.121185210430298</v>
      </c>
      <c r="CL14">
        <v>99.166057239757151</v>
      </c>
      <c r="CM14">
        <v>99.213038875611659</v>
      </c>
      <c r="CN14">
        <v>99.261426833103641</v>
      </c>
      <c r="CO14">
        <v>99.328007291283853</v>
      </c>
      <c r="CP14">
        <v>99.376260365574851</v>
      </c>
      <c r="CQ14">
        <v>99.423055700489229</v>
      </c>
      <c r="CR14">
        <v>99.467509076216032</v>
      </c>
      <c r="CS14">
        <v>99.532402614455009</v>
      </c>
      <c r="CT14">
        <v>99.603164039911277</v>
      </c>
      <c r="CU14">
        <v>99.655723309713608</v>
      </c>
      <c r="CV14">
        <v>99.705520755658114</v>
      </c>
      <c r="CW14">
        <v>99.758218207736917</v>
      </c>
      <c r="CX14">
        <v>99.817204898984187</v>
      </c>
      <c r="CY14">
        <v>99.867690411466683</v>
      </c>
      <c r="CZ14">
        <v>99.915388742703072</v>
      </c>
      <c r="DA14">
        <v>99.972747410701459</v>
      </c>
      <c r="DB14">
        <v>100.02451617135766</v>
      </c>
      <c r="DC14">
        <v>100.08247862496341</v>
      </c>
      <c r="DD14">
        <v>100.14323720670878</v>
      </c>
      <c r="DE14">
        <v>100.18652618251031</v>
      </c>
      <c r="DF14">
        <v>100.24088229157475</v>
      </c>
      <c r="DG14">
        <v>100.3141295246413</v>
      </c>
      <c r="DH14">
        <v>100.35131508282021</v>
      </c>
      <c r="DI14">
        <v>100.39551914998354</v>
      </c>
      <c r="DJ14">
        <v>100.46228590635424</v>
      </c>
      <c r="DK14">
        <v>100.51091138995692</v>
      </c>
      <c r="DL14">
        <v>100.54928396071497</v>
      </c>
      <c r="DM14">
        <v>100.60262562143961</v>
      </c>
      <c r="DN14">
        <v>100.65667981364911</v>
      </c>
      <c r="DO14">
        <v>100.71982422950394</v>
      </c>
      <c r="DP14">
        <v>100.77185370179852</v>
      </c>
      <c r="DQ14">
        <v>100.82499753038158</v>
      </c>
      <c r="DR14">
        <v>100.89721438851996</v>
      </c>
      <c r="DS14">
        <v>100.96027706784481</v>
      </c>
      <c r="DT14">
        <v>101.02536816722419</v>
      </c>
      <c r="DU14">
        <v>101.10451892008226</v>
      </c>
      <c r="DV14">
        <v>101.16655794161785</v>
      </c>
      <c r="DW14">
        <v>101.23269103484361</v>
      </c>
      <c r="DX14">
        <v>101.2903908867125</v>
      </c>
      <c r="DY14">
        <v>101.36129771466389</v>
      </c>
      <c r="DZ14">
        <v>101.43597160036104</v>
      </c>
      <c r="EA14">
        <v>101.49640179721962</v>
      </c>
      <c r="EB14">
        <v>101.56117975412833</v>
      </c>
      <c r="EC14">
        <v>101.63936602250259</v>
      </c>
      <c r="ED14">
        <v>101.70181704176501</v>
      </c>
      <c r="EE14">
        <v>101.76463520792703</v>
      </c>
      <c r="EF14">
        <v>101.82767002458807</v>
      </c>
      <c r="EG14">
        <v>101.89776685686812</v>
      </c>
      <c r="EH14">
        <v>101.96856736179556</v>
      </c>
      <c r="EI14">
        <v>102.03445849140022</v>
      </c>
      <c r="EJ14">
        <v>102.10913678772511</v>
      </c>
      <c r="EK14">
        <v>102.17066446488759</v>
      </c>
      <c r="EL14">
        <v>102.25156381737992</v>
      </c>
      <c r="EM14">
        <v>102.32956200418494</v>
      </c>
      <c r="EN14">
        <v>102.41367794820603</v>
      </c>
      <c r="EO14">
        <v>102.47379407268535</v>
      </c>
      <c r="EP14">
        <v>102.56150419968458</v>
      </c>
      <c r="EQ14">
        <v>102.64219520598789</v>
      </c>
      <c r="ER14">
        <v>102.70649256501217</v>
      </c>
      <c r="ES14">
        <v>102.77068732291403</v>
      </c>
      <c r="ET14">
        <v>102.85279730289749</v>
      </c>
      <c r="EU14">
        <v>102.92173200825074</v>
      </c>
      <c r="EV14">
        <v>103.01301195441485</v>
      </c>
      <c r="EW14">
        <v>103.11265096995866</v>
      </c>
      <c r="EX14">
        <v>103.19107143445885</v>
      </c>
      <c r="EY14">
        <v>103.27770421387073</v>
      </c>
      <c r="EZ14">
        <v>103.36721060851652</v>
      </c>
      <c r="FA14">
        <v>103.46508072088231</v>
      </c>
      <c r="FB14">
        <v>103.57450792315721</v>
      </c>
      <c r="FC14">
        <v>103.64773662926324</v>
      </c>
      <c r="FD14">
        <v>103.74912007206122</v>
      </c>
      <c r="FE14">
        <v>103.8570030682051</v>
      </c>
      <c r="FF14">
        <v>103.97927895988349</v>
      </c>
      <c r="FG14">
        <v>104.06426355230791</v>
      </c>
      <c r="FH14">
        <v>104.15040399697946</v>
      </c>
      <c r="FI14">
        <v>104.22340663253324</v>
      </c>
      <c r="FJ14">
        <v>104.32697869451141</v>
      </c>
      <c r="FK14">
        <v>104.4276497788167</v>
      </c>
      <c r="FL14">
        <v>104.53135545508206</v>
      </c>
      <c r="FM14">
        <v>104.6073289955285</v>
      </c>
      <c r="FN14">
        <v>104.70940423536369</v>
      </c>
      <c r="FO14">
        <v>104.79563480804917</v>
      </c>
      <c r="FP14">
        <v>104.94177545562964</v>
      </c>
      <c r="FQ14">
        <v>105.06832808870109</v>
      </c>
      <c r="FR14">
        <v>105.21990451107695</v>
      </c>
      <c r="FS14">
        <v>105.3535448302855</v>
      </c>
      <c r="FT14">
        <v>105.48979368349157</v>
      </c>
      <c r="FU14">
        <v>105.60072618319403</v>
      </c>
      <c r="FV14">
        <v>105.74974236899951</v>
      </c>
      <c r="FW14">
        <v>105.89925033271371</v>
      </c>
      <c r="FX14">
        <v>106.11618400742877</v>
      </c>
      <c r="FY14">
        <v>106.35991821529123</v>
      </c>
      <c r="FZ14">
        <v>106.51422420619271</v>
      </c>
      <c r="GA14">
        <v>106.70041760557754</v>
      </c>
      <c r="GB14">
        <v>106.90690408511999</v>
      </c>
      <c r="GC14">
        <v>107.09899196793347</v>
      </c>
      <c r="GD14">
        <v>107.33000446240285</v>
      </c>
      <c r="GE14">
        <v>107.57328632676138</v>
      </c>
      <c r="GF14">
        <v>107.84164362264654</v>
      </c>
      <c r="GG14">
        <v>108.20466305960977</v>
      </c>
      <c r="GH14">
        <v>108.51764769164971</v>
      </c>
      <c r="GI14">
        <v>108.93398781687665</v>
      </c>
      <c r="GJ14">
        <v>109.24858864757186</v>
      </c>
      <c r="GK14">
        <v>109.7859788811177</v>
      </c>
      <c r="GL14">
        <v>110.25517348515255</v>
      </c>
      <c r="GM14">
        <v>110.86626829177261</v>
      </c>
      <c r="GN14">
        <v>111.48699072480409</v>
      </c>
      <c r="GO14">
        <v>112.34186569805667</v>
      </c>
      <c r="GP14">
        <v>113.36650110300739</v>
      </c>
      <c r="GQ14">
        <v>115.3499954522465</v>
      </c>
      <c r="GR14">
        <v>100.42580738524963</v>
      </c>
      <c r="GT14" s="8">
        <v>45310</v>
      </c>
      <c r="GU14">
        <v>103.36770300000001</v>
      </c>
    </row>
    <row r="15" spans="1:203" x14ac:dyDescent="0.45">
      <c r="A15">
        <v>92.39834629450695</v>
      </c>
      <c r="B15">
        <v>93.027986369312814</v>
      </c>
      <c r="C15">
        <v>93.318204169579303</v>
      </c>
      <c r="D15">
        <v>93.58402106079015</v>
      </c>
      <c r="E15">
        <v>93.810410457022769</v>
      </c>
      <c r="F15">
        <v>93.989070575064616</v>
      </c>
      <c r="G15">
        <v>94.144157165871292</v>
      </c>
      <c r="H15">
        <v>94.288755783977336</v>
      </c>
      <c r="I15">
        <v>94.43085959402957</v>
      </c>
      <c r="J15">
        <v>94.547227218741114</v>
      </c>
      <c r="K15">
        <v>94.691603068939003</v>
      </c>
      <c r="L15">
        <v>94.798585538579005</v>
      </c>
      <c r="M15">
        <v>94.892757569562676</v>
      </c>
      <c r="N15">
        <v>95.000407067235855</v>
      </c>
      <c r="O15">
        <v>95.094440128347813</v>
      </c>
      <c r="P15">
        <v>95.191150387773064</v>
      </c>
      <c r="Q15">
        <v>95.259046910818242</v>
      </c>
      <c r="R15">
        <v>95.34259854769661</v>
      </c>
      <c r="S15">
        <v>95.4193718455153</v>
      </c>
      <c r="T15">
        <v>95.494881464572444</v>
      </c>
      <c r="U15">
        <v>95.558230441766995</v>
      </c>
      <c r="V15">
        <v>95.627614118878782</v>
      </c>
      <c r="W15">
        <v>95.689625486397958</v>
      </c>
      <c r="X15">
        <v>95.768315373619558</v>
      </c>
      <c r="Y15">
        <v>95.830863976706425</v>
      </c>
      <c r="Z15">
        <v>95.906940286685696</v>
      </c>
      <c r="AA15">
        <v>95.969790122193444</v>
      </c>
      <c r="AB15">
        <v>96.021805965776792</v>
      </c>
      <c r="AC15">
        <v>96.080665789624419</v>
      </c>
      <c r="AD15">
        <v>96.141944597862221</v>
      </c>
      <c r="AE15">
        <v>96.184505715433545</v>
      </c>
      <c r="AF15">
        <v>96.240308888468817</v>
      </c>
      <c r="AG15">
        <v>96.299127679567121</v>
      </c>
      <c r="AH15">
        <v>96.365433907490655</v>
      </c>
      <c r="AI15">
        <v>96.407920356847029</v>
      </c>
      <c r="AJ15">
        <v>96.467834219368271</v>
      </c>
      <c r="AK15">
        <v>96.527424317960381</v>
      </c>
      <c r="AL15">
        <v>96.592088700136131</v>
      </c>
      <c r="AM15">
        <v>96.654403575320217</v>
      </c>
      <c r="AN15">
        <v>96.707497761197502</v>
      </c>
      <c r="AO15">
        <v>96.757028849956612</v>
      </c>
      <c r="AP15">
        <v>96.81086516034722</v>
      </c>
      <c r="AQ15">
        <v>96.876907299983614</v>
      </c>
      <c r="AR15">
        <v>96.921945700609953</v>
      </c>
      <c r="AS15">
        <v>96.967340105076801</v>
      </c>
      <c r="AT15">
        <v>97.015856209950329</v>
      </c>
      <c r="AU15">
        <v>97.070774425702027</v>
      </c>
      <c r="AV15">
        <v>97.126296710338181</v>
      </c>
      <c r="AW15">
        <v>97.180186950723837</v>
      </c>
      <c r="AX15">
        <v>97.225098699745644</v>
      </c>
      <c r="AY15">
        <v>97.271097699081707</v>
      </c>
      <c r="AZ15">
        <v>97.310248192664062</v>
      </c>
      <c r="BA15">
        <v>97.362462289019291</v>
      </c>
      <c r="BB15">
        <v>97.400366846013512</v>
      </c>
      <c r="BC15">
        <v>97.448809740827087</v>
      </c>
      <c r="BD15">
        <v>97.490609822435985</v>
      </c>
      <c r="BE15">
        <v>97.552097939982104</v>
      </c>
      <c r="BF15">
        <v>97.591251022920176</v>
      </c>
      <c r="BG15">
        <v>97.645461924575031</v>
      </c>
      <c r="BH15">
        <v>97.691228652266929</v>
      </c>
      <c r="BI15">
        <v>97.739382518449474</v>
      </c>
      <c r="BJ15">
        <v>97.780694165668265</v>
      </c>
      <c r="BK15">
        <v>97.823169380276198</v>
      </c>
      <c r="BL15">
        <v>97.867312147884775</v>
      </c>
      <c r="BM15">
        <v>97.901435278127721</v>
      </c>
      <c r="BN15">
        <v>97.943608082659566</v>
      </c>
      <c r="BO15">
        <v>97.995552898122426</v>
      </c>
      <c r="BP15">
        <v>98.043343776416009</v>
      </c>
      <c r="BQ15">
        <v>98.101442224353363</v>
      </c>
      <c r="BR15">
        <v>98.149208630736382</v>
      </c>
      <c r="BS15">
        <v>98.192110484647259</v>
      </c>
      <c r="BT15">
        <v>98.234383101698384</v>
      </c>
      <c r="BU15">
        <v>98.26736264923619</v>
      </c>
      <c r="BV15">
        <v>98.315618225485366</v>
      </c>
      <c r="BW15">
        <v>98.36142139926821</v>
      </c>
      <c r="BX15">
        <v>98.41393162109442</v>
      </c>
      <c r="BY15">
        <v>98.458605463514573</v>
      </c>
      <c r="BZ15">
        <v>98.504038437956851</v>
      </c>
      <c r="CA15">
        <v>98.554877427954722</v>
      </c>
      <c r="CB15">
        <v>98.60370130677218</v>
      </c>
      <c r="CC15">
        <v>98.649952435042948</v>
      </c>
      <c r="CD15">
        <v>98.700516659074964</v>
      </c>
      <c r="CE15">
        <v>98.756242101149041</v>
      </c>
      <c r="CF15">
        <v>98.796336699795589</v>
      </c>
      <c r="CG15">
        <v>98.854524474014724</v>
      </c>
      <c r="CH15">
        <v>98.911476581569431</v>
      </c>
      <c r="CI15">
        <v>98.954918553993352</v>
      </c>
      <c r="CJ15">
        <v>99.007993418166194</v>
      </c>
      <c r="CK15">
        <v>99.050057960617849</v>
      </c>
      <c r="CL15">
        <v>99.099501615477593</v>
      </c>
      <c r="CM15">
        <v>99.15733451870635</v>
      </c>
      <c r="CN15">
        <v>99.217839312565317</v>
      </c>
      <c r="CO15">
        <v>99.268243846389097</v>
      </c>
      <c r="CP15">
        <v>99.319919774147834</v>
      </c>
      <c r="CQ15">
        <v>99.373247885751454</v>
      </c>
      <c r="CR15">
        <v>99.417405933622689</v>
      </c>
      <c r="CS15">
        <v>99.470215579935797</v>
      </c>
      <c r="CT15">
        <v>99.528270549572497</v>
      </c>
      <c r="CU15">
        <v>99.582563741828324</v>
      </c>
      <c r="CV15">
        <v>99.648355294446333</v>
      </c>
      <c r="CW15">
        <v>99.700243248829111</v>
      </c>
      <c r="CX15">
        <v>99.747942393052924</v>
      </c>
      <c r="CY15">
        <v>99.799798457757277</v>
      </c>
      <c r="CZ15">
        <v>99.869183131864062</v>
      </c>
      <c r="DA15">
        <v>99.913756243731299</v>
      </c>
      <c r="DB15">
        <v>99.973589002307449</v>
      </c>
      <c r="DC15">
        <v>100.03663956197732</v>
      </c>
      <c r="DD15">
        <v>100.09770737810886</v>
      </c>
      <c r="DE15">
        <v>100.14716452622953</v>
      </c>
      <c r="DF15">
        <v>100.18980510051563</v>
      </c>
      <c r="DG15">
        <v>100.24772896906306</v>
      </c>
      <c r="DH15">
        <v>100.29433927434262</v>
      </c>
      <c r="DI15">
        <v>100.34891536643806</v>
      </c>
      <c r="DJ15">
        <v>100.40712086424615</v>
      </c>
      <c r="DK15">
        <v>100.46384870924111</v>
      </c>
      <c r="DL15">
        <v>100.5342422819826</v>
      </c>
      <c r="DM15">
        <v>100.62017142191917</v>
      </c>
      <c r="DN15">
        <v>100.67628467380973</v>
      </c>
      <c r="DO15">
        <v>100.73899221749683</v>
      </c>
      <c r="DP15">
        <v>100.80803162769089</v>
      </c>
      <c r="DQ15">
        <v>100.87715717766331</v>
      </c>
      <c r="DR15">
        <v>100.94127682278204</v>
      </c>
      <c r="DS15">
        <v>101.00137735851892</v>
      </c>
      <c r="DT15">
        <v>101.07249181671551</v>
      </c>
      <c r="DU15">
        <v>101.12715775833142</v>
      </c>
      <c r="DV15">
        <v>101.18643160781785</v>
      </c>
      <c r="DW15">
        <v>101.23964827359876</v>
      </c>
      <c r="DX15">
        <v>101.30459614543543</v>
      </c>
      <c r="DY15">
        <v>101.36743400627442</v>
      </c>
      <c r="DZ15">
        <v>101.43412463384749</v>
      </c>
      <c r="EA15">
        <v>101.48805458096928</v>
      </c>
      <c r="EB15">
        <v>101.55277359063085</v>
      </c>
      <c r="EC15">
        <v>101.61307692838182</v>
      </c>
      <c r="ED15">
        <v>101.69423260219939</v>
      </c>
      <c r="EE15">
        <v>101.76022043063132</v>
      </c>
      <c r="EF15">
        <v>101.82718204742126</v>
      </c>
      <c r="EG15">
        <v>101.9031244200722</v>
      </c>
      <c r="EH15">
        <v>101.97631833139897</v>
      </c>
      <c r="EI15">
        <v>102.07776778351018</v>
      </c>
      <c r="EJ15">
        <v>102.14537021003247</v>
      </c>
      <c r="EK15">
        <v>102.22352466661071</v>
      </c>
      <c r="EL15">
        <v>102.29658207825116</v>
      </c>
      <c r="EM15">
        <v>102.3640399638511</v>
      </c>
      <c r="EN15">
        <v>102.44742330060456</v>
      </c>
      <c r="EO15">
        <v>102.52776825334449</v>
      </c>
      <c r="EP15">
        <v>102.62299109898082</v>
      </c>
      <c r="EQ15">
        <v>102.7035481938489</v>
      </c>
      <c r="ER15">
        <v>102.78103705469023</v>
      </c>
      <c r="ES15">
        <v>102.86824080290283</v>
      </c>
      <c r="ET15">
        <v>102.94389438424538</v>
      </c>
      <c r="EU15">
        <v>103.03432124513195</v>
      </c>
      <c r="EV15">
        <v>103.12100901692432</v>
      </c>
      <c r="EW15">
        <v>103.20415665499087</v>
      </c>
      <c r="EX15">
        <v>103.27470517332704</v>
      </c>
      <c r="EY15">
        <v>103.36664645853909</v>
      </c>
      <c r="EZ15">
        <v>103.45982395427214</v>
      </c>
      <c r="FA15">
        <v>103.54944534185445</v>
      </c>
      <c r="FB15">
        <v>103.66425249958277</v>
      </c>
      <c r="FC15">
        <v>103.78032661725466</v>
      </c>
      <c r="FD15">
        <v>103.86331148403407</v>
      </c>
      <c r="FE15">
        <v>103.96182720631693</v>
      </c>
      <c r="FF15">
        <v>104.09433432822988</v>
      </c>
      <c r="FG15">
        <v>104.18261981378947</v>
      </c>
      <c r="FH15">
        <v>104.29772937361255</v>
      </c>
      <c r="FI15">
        <v>104.38723676685004</v>
      </c>
      <c r="FJ15">
        <v>104.48967618090047</v>
      </c>
      <c r="FK15">
        <v>104.63070643518418</v>
      </c>
      <c r="FL15">
        <v>104.73703397996358</v>
      </c>
      <c r="FM15">
        <v>104.86575213183232</v>
      </c>
      <c r="FN15">
        <v>105.00290680017923</v>
      </c>
      <c r="FO15">
        <v>105.10853594631455</v>
      </c>
      <c r="FP15">
        <v>105.22855477200116</v>
      </c>
      <c r="FQ15">
        <v>105.34163515898113</v>
      </c>
      <c r="FR15">
        <v>105.44414446465261</v>
      </c>
      <c r="FS15">
        <v>105.56476648189181</v>
      </c>
      <c r="FT15">
        <v>105.73045242635466</v>
      </c>
      <c r="FU15">
        <v>105.86950258878728</v>
      </c>
      <c r="FV15">
        <v>106.0174615911842</v>
      </c>
      <c r="FW15">
        <v>106.1815333477554</v>
      </c>
      <c r="FX15">
        <v>106.36829498168971</v>
      </c>
      <c r="FY15">
        <v>106.50075023225293</v>
      </c>
      <c r="FZ15">
        <v>106.64067343520557</v>
      </c>
      <c r="GA15">
        <v>106.89577639430871</v>
      </c>
      <c r="GB15">
        <v>107.14562032845612</v>
      </c>
      <c r="GC15">
        <v>107.36350327630821</v>
      </c>
      <c r="GD15">
        <v>107.59651911583886</v>
      </c>
      <c r="GE15">
        <v>107.87768803180559</v>
      </c>
      <c r="GF15">
        <v>108.13189342410597</v>
      </c>
      <c r="GG15">
        <v>108.42147751394205</v>
      </c>
      <c r="GH15">
        <v>108.79721018051539</v>
      </c>
      <c r="GI15">
        <v>109.19565619871895</v>
      </c>
      <c r="GJ15">
        <v>109.57949723790526</v>
      </c>
      <c r="GK15">
        <v>110.01305757207814</v>
      </c>
      <c r="GL15">
        <v>110.5030306438955</v>
      </c>
      <c r="GM15">
        <v>111.15632764318792</v>
      </c>
      <c r="GN15">
        <v>111.92149226735798</v>
      </c>
      <c r="GO15">
        <v>112.84714440749849</v>
      </c>
      <c r="GP15">
        <v>113.9550298676684</v>
      </c>
      <c r="GQ15">
        <v>116.63426853962039</v>
      </c>
      <c r="GR15">
        <v>100.43110141374133</v>
      </c>
      <c r="GT15" s="8">
        <v>45313</v>
      </c>
      <c r="GU15">
        <v>104.49844899999999</v>
      </c>
    </row>
    <row r="16" spans="1:203" x14ac:dyDescent="0.45">
      <c r="A16">
        <v>92.131780176365439</v>
      </c>
      <c r="B16">
        <v>92.781481130008601</v>
      </c>
      <c r="C16">
        <v>93.122867119943763</v>
      </c>
      <c r="D16">
        <v>93.407832033500142</v>
      </c>
      <c r="E16">
        <v>93.578513519758317</v>
      </c>
      <c r="F16">
        <v>93.802420587757993</v>
      </c>
      <c r="G16">
        <v>93.990680627583174</v>
      </c>
      <c r="H16">
        <v>94.134572987830197</v>
      </c>
      <c r="I16">
        <v>94.266520133122654</v>
      </c>
      <c r="J16">
        <v>94.41728166095136</v>
      </c>
      <c r="K16">
        <v>94.533466028942939</v>
      </c>
      <c r="L16">
        <v>94.649010253736762</v>
      </c>
      <c r="M16">
        <v>94.789236252344338</v>
      </c>
      <c r="N16">
        <v>94.881043783974988</v>
      </c>
      <c r="O16">
        <v>94.964762051676161</v>
      </c>
      <c r="P16">
        <v>95.037953695323537</v>
      </c>
      <c r="Q16">
        <v>95.128874162166667</v>
      </c>
      <c r="R16">
        <v>95.202991134980266</v>
      </c>
      <c r="S16">
        <v>95.272171828345947</v>
      </c>
      <c r="T16">
        <v>95.346567085650705</v>
      </c>
      <c r="U16">
        <v>95.437358731033413</v>
      </c>
      <c r="V16">
        <v>95.505659559756921</v>
      </c>
      <c r="W16">
        <v>95.560317941642523</v>
      </c>
      <c r="X16">
        <v>95.619468160329404</v>
      </c>
      <c r="Y16">
        <v>95.677686268560009</v>
      </c>
      <c r="Z16">
        <v>95.760575648555445</v>
      </c>
      <c r="AA16">
        <v>95.825460265536819</v>
      </c>
      <c r="AB16">
        <v>95.882606052482359</v>
      </c>
      <c r="AC16">
        <v>95.937187860186498</v>
      </c>
      <c r="AD16">
        <v>96.006770844480684</v>
      </c>
      <c r="AE16">
        <v>96.060577247619477</v>
      </c>
      <c r="AF16">
        <v>96.116883162792107</v>
      </c>
      <c r="AG16">
        <v>96.177905703000803</v>
      </c>
      <c r="AH16">
        <v>96.231953069337223</v>
      </c>
      <c r="AI16">
        <v>96.280410424869444</v>
      </c>
      <c r="AJ16">
        <v>96.333902117097779</v>
      </c>
      <c r="AK16">
        <v>96.402583253845521</v>
      </c>
      <c r="AL16">
        <v>96.456802975945067</v>
      </c>
      <c r="AM16">
        <v>96.502006433981066</v>
      </c>
      <c r="AN16">
        <v>96.541600459062181</v>
      </c>
      <c r="AO16">
        <v>96.595884428436648</v>
      </c>
      <c r="AP16">
        <v>96.64584186567366</v>
      </c>
      <c r="AQ16">
        <v>96.710393565973334</v>
      </c>
      <c r="AR16">
        <v>96.774473581119054</v>
      </c>
      <c r="AS16">
        <v>96.83883094990145</v>
      </c>
      <c r="AT16">
        <v>96.880616253328711</v>
      </c>
      <c r="AU16">
        <v>96.932156311530889</v>
      </c>
      <c r="AV16">
        <v>96.976696460831619</v>
      </c>
      <c r="AW16">
        <v>97.028415021863452</v>
      </c>
      <c r="AX16">
        <v>97.068843100658285</v>
      </c>
      <c r="AY16">
        <v>97.109726203293974</v>
      </c>
      <c r="AZ16">
        <v>97.173442066479396</v>
      </c>
      <c r="BA16">
        <v>97.223451529022043</v>
      </c>
      <c r="BB16">
        <v>97.27302999326902</v>
      </c>
      <c r="BC16">
        <v>97.32456965545758</v>
      </c>
      <c r="BD16">
        <v>97.375663604450608</v>
      </c>
      <c r="BE16">
        <v>97.428550856085295</v>
      </c>
      <c r="BF16">
        <v>97.480313276960388</v>
      </c>
      <c r="BG16">
        <v>97.517443842756208</v>
      </c>
      <c r="BH16">
        <v>97.5600950389627</v>
      </c>
      <c r="BI16">
        <v>97.605804174436273</v>
      </c>
      <c r="BJ16">
        <v>97.658240069476065</v>
      </c>
      <c r="BK16">
        <v>97.705370598556797</v>
      </c>
      <c r="BL16">
        <v>97.752519837652571</v>
      </c>
      <c r="BM16">
        <v>97.804973583124507</v>
      </c>
      <c r="BN16">
        <v>97.852455625819573</v>
      </c>
      <c r="BO16">
        <v>97.914291842645156</v>
      </c>
      <c r="BP16">
        <v>97.96723022572283</v>
      </c>
      <c r="BQ16">
        <v>98.010870646739477</v>
      </c>
      <c r="BR16">
        <v>98.051696712402475</v>
      </c>
      <c r="BS16">
        <v>98.097365132673545</v>
      </c>
      <c r="BT16">
        <v>98.146925005773113</v>
      </c>
      <c r="BU16">
        <v>98.184737416302482</v>
      </c>
      <c r="BV16">
        <v>98.225121619486572</v>
      </c>
      <c r="BW16">
        <v>98.275521751719978</v>
      </c>
      <c r="BX16">
        <v>98.323794245041171</v>
      </c>
      <c r="BY16">
        <v>98.376086696922385</v>
      </c>
      <c r="BZ16">
        <v>98.423387293239628</v>
      </c>
      <c r="CA16">
        <v>98.467240948132627</v>
      </c>
      <c r="CB16">
        <v>98.536889697574452</v>
      </c>
      <c r="CC16">
        <v>98.583386652379659</v>
      </c>
      <c r="CD16">
        <v>98.634532998897313</v>
      </c>
      <c r="CE16">
        <v>98.676685057509758</v>
      </c>
      <c r="CF16">
        <v>98.736917045492348</v>
      </c>
      <c r="CG16">
        <v>98.784991825388445</v>
      </c>
      <c r="CH16">
        <v>98.834578499444049</v>
      </c>
      <c r="CI16">
        <v>98.899656646773863</v>
      </c>
      <c r="CJ16">
        <v>98.963229790839861</v>
      </c>
      <c r="CK16">
        <v>99.022185136848279</v>
      </c>
      <c r="CL16">
        <v>99.071582933457634</v>
      </c>
      <c r="CM16">
        <v>99.12727041854113</v>
      </c>
      <c r="CN16">
        <v>99.180945181783343</v>
      </c>
      <c r="CO16">
        <v>99.240667875499241</v>
      </c>
      <c r="CP16">
        <v>99.284839560546473</v>
      </c>
      <c r="CQ16">
        <v>99.33978559877778</v>
      </c>
      <c r="CR16">
        <v>99.399376030799161</v>
      </c>
      <c r="CS16">
        <v>99.45129274108551</v>
      </c>
      <c r="CT16">
        <v>99.508570887513898</v>
      </c>
      <c r="CU16">
        <v>99.561663183646388</v>
      </c>
      <c r="CV16">
        <v>99.61008747365095</v>
      </c>
      <c r="CW16">
        <v>99.670964066078128</v>
      </c>
      <c r="CX16">
        <v>99.71824538608341</v>
      </c>
      <c r="CY16">
        <v>99.76814417696653</v>
      </c>
      <c r="CZ16">
        <v>99.826576745142404</v>
      </c>
      <c r="DA16">
        <v>99.874215394144585</v>
      </c>
      <c r="DB16">
        <v>99.934451474149313</v>
      </c>
      <c r="DC16">
        <v>99.986945362588614</v>
      </c>
      <c r="DD16">
        <v>100.04749846977884</v>
      </c>
      <c r="DE16">
        <v>100.10365119990783</v>
      </c>
      <c r="DF16">
        <v>100.1568525886763</v>
      </c>
      <c r="DG16">
        <v>100.20714040342666</v>
      </c>
      <c r="DH16">
        <v>100.26307715918904</v>
      </c>
      <c r="DI16">
        <v>100.32873044206929</v>
      </c>
      <c r="DJ16">
        <v>100.39993007934785</v>
      </c>
      <c r="DK16">
        <v>100.45632194008036</v>
      </c>
      <c r="DL16">
        <v>100.54234310287144</v>
      </c>
      <c r="DM16">
        <v>100.61053106492737</v>
      </c>
      <c r="DN16">
        <v>100.67245966997017</v>
      </c>
      <c r="DO16">
        <v>100.73362168492068</v>
      </c>
      <c r="DP16">
        <v>100.79794885313073</v>
      </c>
      <c r="DQ16">
        <v>100.85906038947941</v>
      </c>
      <c r="DR16">
        <v>100.9172054843491</v>
      </c>
      <c r="DS16">
        <v>100.99081145344272</v>
      </c>
      <c r="DT16">
        <v>101.0655358160041</v>
      </c>
      <c r="DU16">
        <v>101.11807096475408</v>
      </c>
      <c r="DV16">
        <v>101.16381131937663</v>
      </c>
      <c r="DW16">
        <v>101.23396060436795</v>
      </c>
      <c r="DX16">
        <v>101.28749000857196</v>
      </c>
      <c r="DY16">
        <v>101.36998716714788</v>
      </c>
      <c r="DZ16">
        <v>101.43134719773717</v>
      </c>
      <c r="EA16">
        <v>101.49503012289694</v>
      </c>
      <c r="EB16">
        <v>101.5472213112279</v>
      </c>
      <c r="EC16">
        <v>101.63047654819012</v>
      </c>
      <c r="ED16">
        <v>101.70086505575181</v>
      </c>
      <c r="EE16">
        <v>101.7870341009487</v>
      </c>
      <c r="EF16">
        <v>101.86098246022553</v>
      </c>
      <c r="EG16">
        <v>101.92809890250207</v>
      </c>
      <c r="EH16">
        <v>101.99394518843542</v>
      </c>
      <c r="EI16">
        <v>102.06677500011278</v>
      </c>
      <c r="EJ16">
        <v>102.14130128169697</v>
      </c>
      <c r="EK16">
        <v>102.22200233808604</v>
      </c>
      <c r="EL16">
        <v>102.27793513251433</v>
      </c>
      <c r="EM16">
        <v>102.36640821788434</v>
      </c>
      <c r="EN16">
        <v>102.4388129366579</v>
      </c>
      <c r="EO16">
        <v>102.51561118556509</v>
      </c>
      <c r="EP16">
        <v>102.59855270534585</v>
      </c>
      <c r="EQ16">
        <v>102.67945869452419</v>
      </c>
      <c r="ER16">
        <v>102.78663318174357</v>
      </c>
      <c r="ES16">
        <v>102.87215750191646</v>
      </c>
      <c r="ET16">
        <v>102.97727490912798</v>
      </c>
      <c r="EU16">
        <v>103.06950341512504</v>
      </c>
      <c r="EV16">
        <v>103.17318603275879</v>
      </c>
      <c r="EW16">
        <v>103.26842268964894</v>
      </c>
      <c r="EX16">
        <v>103.33937041852941</v>
      </c>
      <c r="EY16">
        <v>103.42033589797278</v>
      </c>
      <c r="EZ16">
        <v>103.51999624984475</v>
      </c>
      <c r="FA16">
        <v>103.61281680034689</v>
      </c>
      <c r="FB16">
        <v>103.73698068358992</v>
      </c>
      <c r="FC16">
        <v>103.85031985794467</v>
      </c>
      <c r="FD16">
        <v>103.96922402551752</v>
      </c>
      <c r="FE16">
        <v>104.0587725810415</v>
      </c>
      <c r="FF16">
        <v>104.18613715791456</v>
      </c>
      <c r="FG16">
        <v>104.29245208489991</v>
      </c>
      <c r="FH16">
        <v>104.40197104553302</v>
      </c>
      <c r="FI16">
        <v>104.51118632946978</v>
      </c>
      <c r="FJ16">
        <v>104.59695791315761</v>
      </c>
      <c r="FK16">
        <v>104.73763361257514</v>
      </c>
      <c r="FL16">
        <v>104.85352699059088</v>
      </c>
      <c r="FM16">
        <v>104.96030604182936</v>
      </c>
      <c r="FN16">
        <v>105.08966873365031</v>
      </c>
      <c r="FO16">
        <v>105.20118303947987</v>
      </c>
      <c r="FP16">
        <v>105.33073600009838</v>
      </c>
      <c r="FQ16">
        <v>105.45313517544562</v>
      </c>
      <c r="FR16">
        <v>105.56432442823196</v>
      </c>
      <c r="FS16">
        <v>105.70696746542521</v>
      </c>
      <c r="FT16">
        <v>105.92337183362308</v>
      </c>
      <c r="FU16">
        <v>106.07309881287945</v>
      </c>
      <c r="FV16">
        <v>106.24016123992894</v>
      </c>
      <c r="FW16">
        <v>106.41514493818855</v>
      </c>
      <c r="FX16">
        <v>106.58678275863171</v>
      </c>
      <c r="FY16">
        <v>106.78362366613429</v>
      </c>
      <c r="FZ16">
        <v>107.00403644061714</v>
      </c>
      <c r="GA16">
        <v>107.1969591643107</v>
      </c>
      <c r="GB16">
        <v>107.41657711664934</v>
      </c>
      <c r="GC16">
        <v>107.68089519031908</v>
      </c>
      <c r="GD16">
        <v>107.99153802354085</v>
      </c>
      <c r="GE16">
        <v>108.22828318404845</v>
      </c>
      <c r="GF16">
        <v>108.48072158046776</v>
      </c>
      <c r="GG16">
        <v>108.85075084556942</v>
      </c>
      <c r="GH16">
        <v>109.1662714958082</v>
      </c>
      <c r="GI16">
        <v>109.54687970805271</v>
      </c>
      <c r="GJ16">
        <v>110.06110658922314</v>
      </c>
      <c r="GK16">
        <v>110.59940442273145</v>
      </c>
      <c r="GL16">
        <v>111.13186017802818</v>
      </c>
      <c r="GM16">
        <v>111.69440099393282</v>
      </c>
      <c r="GN16">
        <v>112.55361424896522</v>
      </c>
      <c r="GO16">
        <v>113.61356866670495</v>
      </c>
      <c r="GP16">
        <v>115.08726332704558</v>
      </c>
      <c r="GQ16">
        <v>117.60908742413349</v>
      </c>
      <c r="GR16">
        <v>100.4384958673716</v>
      </c>
      <c r="GT16" s="8">
        <v>45314</v>
      </c>
      <c r="GU16">
        <v>103.479185</v>
      </c>
    </row>
    <row r="17" spans="1:203" x14ac:dyDescent="0.45">
      <c r="A17">
        <v>92.017654163591843</v>
      </c>
      <c r="B17">
        <v>92.686835999613294</v>
      </c>
      <c r="C17">
        <v>93.045350304244153</v>
      </c>
      <c r="D17">
        <v>93.273420077183744</v>
      </c>
      <c r="E17">
        <v>93.44756698398389</v>
      </c>
      <c r="F17">
        <v>93.681939929062125</v>
      </c>
      <c r="G17">
        <v>93.84991939995804</v>
      </c>
      <c r="H17">
        <v>94.019848508835551</v>
      </c>
      <c r="I17">
        <v>94.130789183275581</v>
      </c>
      <c r="J17">
        <v>94.262184124586881</v>
      </c>
      <c r="K17">
        <v>94.400578358989037</v>
      </c>
      <c r="L17">
        <v>94.520716395275542</v>
      </c>
      <c r="M17">
        <v>94.643798922368291</v>
      </c>
      <c r="N17">
        <v>94.752308698346752</v>
      </c>
      <c r="O17">
        <v>94.857145729917789</v>
      </c>
      <c r="P17">
        <v>94.9556030261773</v>
      </c>
      <c r="Q17">
        <v>95.043631714670752</v>
      </c>
      <c r="R17">
        <v>95.12301457849054</v>
      </c>
      <c r="S17">
        <v>95.190510713390026</v>
      </c>
      <c r="T17">
        <v>95.249502503328003</v>
      </c>
      <c r="U17">
        <v>95.328813938136904</v>
      </c>
      <c r="V17">
        <v>95.397877487920312</v>
      </c>
      <c r="W17">
        <v>95.46161735064122</v>
      </c>
      <c r="X17">
        <v>95.51615137757625</v>
      </c>
      <c r="Y17">
        <v>95.573610020417362</v>
      </c>
      <c r="Z17">
        <v>95.633802952616321</v>
      </c>
      <c r="AA17">
        <v>95.694526049099466</v>
      </c>
      <c r="AB17">
        <v>95.761719163304349</v>
      </c>
      <c r="AC17">
        <v>95.822934904222606</v>
      </c>
      <c r="AD17">
        <v>95.877864916412165</v>
      </c>
      <c r="AE17">
        <v>95.933656737301888</v>
      </c>
      <c r="AF17">
        <v>95.987135055599026</v>
      </c>
      <c r="AG17">
        <v>96.05222783081544</v>
      </c>
      <c r="AH17">
        <v>96.126905273839981</v>
      </c>
      <c r="AI17">
        <v>96.184731001321822</v>
      </c>
      <c r="AJ17">
        <v>96.236436639715748</v>
      </c>
      <c r="AK17">
        <v>96.304463274992258</v>
      </c>
      <c r="AL17">
        <v>96.351806764273405</v>
      </c>
      <c r="AM17">
        <v>96.401744615214653</v>
      </c>
      <c r="AN17">
        <v>96.450622147662401</v>
      </c>
      <c r="AO17">
        <v>96.509448290058202</v>
      </c>
      <c r="AP17">
        <v>96.572865623871948</v>
      </c>
      <c r="AQ17">
        <v>96.627916703909065</v>
      </c>
      <c r="AR17">
        <v>96.684589324438718</v>
      </c>
      <c r="AS17">
        <v>96.73948235411909</v>
      </c>
      <c r="AT17">
        <v>96.796369573717371</v>
      </c>
      <c r="AU17">
        <v>96.844803860675071</v>
      </c>
      <c r="AV17">
        <v>96.882164524726221</v>
      </c>
      <c r="AW17">
        <v>96.920657306542367</v>
      </c>
      <c r="AX17">
        <v>96.972531316077237</v>
      </c>
      <c r="AY17">
        <v>97.027299132250377</v>
      </c>
      <c r="AZ17">
        <v>97.078220023267122</v>
      </c>
      <c r="BA17">
        <v>97.128390645866546</v>
      </c>
      <c r="BB17">
        <v>97.174441994046376</v>
      </c>
      <c r="BC17">
        <v>97.222849738209177</v>
      </c>
      <c r="BD17">
        <v>97.265578076131888</v>
      </c>
      <c r="BE17">
        <v>97.308863728503482</v>
      </c>
      <c r="BF17">
        <v>97.357712298705152</v>
      </c>
      <c r="BG17">
        <v>97.404623255873844</v>
      </c>
      <c r="BH17">
        <v>97.457072397347886</v>
      </c>
      <c r="BI17">
        <v>97.511185596036285</v>
      </c>
      <c r="BJ17">
        <v>97.561036860137463</v>
      </c>
      <c r="BK17">
        <v>97.606378611726427</v>
      </c>
      <c r="BL17">
        <v>97.662710948629382</v>
      </c>
      <c r="BM17">
        <v>97.697751242041562</v>
      </c>
      <c r="BN17">
        <v>97.753665135784246</v>
      </c>
      <c r="BO17">
        <v>97.808680535265154</v>
      </c>
      <c r="BP17">
        <v>97.853787929892292</v>
      </c>
      <c r="BQ17">
        <v>97.906936832241101</v>
      </c>
      <c r="BR17">
        <v>97.957117690180439</v>
      </c>
      <c r="BS17">
        <v>98.007568704664251</v>
      </c>
      <c r="BT17">
        <v>98.062421614365888</v>
      </c>
      <c r="BU17">
        <v>98.114030667755912</v>
      </c>
      <c r="BV17">
        <v>98.163672416605465</v>
      </c>
      <c r="BW17">
        <v>98.213282901830766</v>
      </c>
      <c r="BX17">
        <v>98.255956040104849</v>
      </c>
      <c r="BY17">
        <v>98.318458954688268</v>
      </c>
      <c r="BZ17">
        <v>98.363575179649075</v>
      </c>
      <c r="CA17">
        <v>98.412650915641933</v>
      </c>
      <c r="CB17">
        <v>98.451660705428694</v>
      </c>
      <c r="CC17">
        <v>98.506264234378364</v>
      </c>
      <c r="CD17">
        <v>98.548987120547409</v>
      </c>
      <c r="CE17">
        <v>98.591006338440451</v>
      </c>
      <c r="CF17">
        <v>98.637871269535538</v>
      </c>
      <c r="CG17">
        <v>98.697743142102141</v>
      </c>
      <c r="CH17">
        <v>98.753932167247171</v>
      </c>
      <c r="CI17">
        <v>98.812762216779049</v>
      </c>
      <c r="CJ17">
        <v>98.86771979194306</v>
      </c>
      <c r="CK17">
        <v>98.929510859200875</v>
      </c>
      <c r="CL17">
        <v>98.991039337337597</v>
      </c>
      <c r="CM17">
        <v>99.038996240238177</v>
      </c>
      <c r="CN17">
        <v>99.091489232473748</v>
      </c>
      <c r="CO17">
        <v>99.151487117659826</v>
      </c>
      <c r="CP17">
        <v>99.201907888972741</v>
      </c>
      <c r="CQ17">
        <v>99.262087392267475</v>
      </c>
      <c r="CR17">
        <v>99.312470516512022</v>
      </c>
      <c r="CS17">
        <v>99.36283830210202</v>
      </c>
      <c r="CT17">
        <v>99.420658678427429</v>
      </c>
      <c r="CU17">
        <v>99.467359525527726</v>
      </c>
      <c r="CV17">
        <v>99.514321103888705</v>
      </c>
      <c r="CW17">
        <v>99.573616660475835</v>
      </c>
      <c r="CX17">
        <v>99.623986855005668</v>
      </c>
      <c r="CY17">
        <v>99.686573178427594</v>
      </c>
      <c r="CZ17">
        <v>99.744071753831292</v>
      </c>
      <c r="DA17">
        <v>99.795360729125832</v>
      </c>
      <c r="DB17">
        <v>99.850370413617838</v>
      </c>
      <c r="DC17">
        <v>99.906971547815743</v>
      </c>
      <c r="DD17">
        <v>99.950792165912574</v>
      </c>
      <c r="DE17">
        <v>100.01971024234369</v>
      </c>
      <c r="DF17">
        <v>100.0804702559124</v>
      </c>
      <c r="DG17">
        <v>100.16145637631678</v>
      </c>
      <c r="DH17">
        <v>100.23229768476963</v>
      </c>
      <c r="DI17">
        <v>100.28017462607937</v>
      </c>
      <c r="DJ17">
        <v>100.35418129343017</v>
      </c>
      <c r="DK17">
        <v>100.42127169644797</v>
      </c>
      <c r="DL17">
        <v>100.48087469043395</v>
      </c>
      <c r="DM17">
        <v>100.53644004677187</v>
      </c>
      <c r="DN17">
        <v>100.59937811651568</v>
      </c>
      <c r="DO17">
        <v>100.67471272992876</v>
      </c>
      <c r="DP17">
        <v>100.74693736236492</v>
      </c>
      <c r="DQ17">
        <v>100.81747317160985</v>
      </c>
      <c r="DR17">
        <v>100.89671136344644</v>
      </c>
      <c r="DS17">
        <v>100.95843849377027</v>
      </c>
      <c r="DT17">
        <v>101.01650713041265</v>
      </c>
      <c r="DU17">
        <v>101.09258500767493</v>
      </c>
      <c r="DV17">
        <v>101.14787877003511</v>
      </c>
      <c r="DW17">
        <v>101.22132500386321</v>
      </c>
      <c r="DX17">
        <v>101.29749457866647</v>
      </c>
      <c r="DY17">
        <v>101.37487393224716</v>
      </c>
      <c r="DZ17">
        <v>101.4526544181263</v>
      </c>
      <c r="EA17">
        <v>101.53099130443017</v>
      </c>
      <c r="EB17">
        <v>101.60936001918974</v>
      </c>
      <c r="EC17">
        <v>101.69487706320736</v>
      </c>
      <c r="ED17">
        <v>101.78318573365746</v>
      </c>
      <c r="EE17">
        <v>101.85941124302622</v>
      </c>
      <c r="EF17">
        <v>101.91790156382724</v>
      </c>
      <c r="EG17">
        <v>101.98479921478651</v>
      </c>
      <c r="EH17">
        <v>102.06790013685161</v>
      </c>
      <c r="EI17">
        <v>102.14742445973155</v>
      </c>
      <c r="EJ17">
        <v>102.2350183066453</v>
      </c>
      <c r="EK17">
        <v>102.3209694839254</v>
      </c>
      <c r="EL17">
        <v>102.4018831527422</v>
      </c>
      <c r="EM17">
        <v>102.4965937732678</v>
      </c>
      <c r="EN17">
        <v>102.58286333581725</v>
      </c>
      <c r="EO17">
        <v>102.65892373801957</v>
      </c>
      <c r="EP17">
        <v>102.72148903973739</v>
      </c>
      <c r="EQ17">
        <v>102.81620423669862</v>
      </c>
      <c r="ER17">
        <v>102.8759462415489</v>
      </c>
      <c r="ES17">
        <v>102.96021492858982</v>
      </c>
      <c r="ET17">
        <v>103.05919503114714</v>
      </c>
      <c r="EU17">
        <v>103.13331758710414</v>
      </c>
      <c r="EV17">
        <v>103.22487017180291</v>
      </c>
      <c r="EW17">
        <v>103.32514087684852</v>
      </c>
      <c r="EX17">
        <v>103.41972666917309</v>
      </c>
      <c r="EY17">
        <v>103.49174872857695</v>
      </c>
      <c r="EZ17">
        <v>103.58654413821034</v>
      </c>
      <c r="FA17">
        <v>103.68180595709404</v>
      </c>
      <c r="FB17">
        <v>103.76716356157579</v>
      </c>
      <c r="FC17">
        <v>103.86802707832669</v>
      </c>
      <c r="FD17">
        <v>103.97366906067693</v>
      </c>
      <c r="FE17">
        <v>104.05861765897914</v>
      </c>
      <c r="FF17">
        <v>104.16839190174554</v>
      </c>
      <c r="FG17">
        <v>104.24866817603971</v>
      </c>
      <c r="FH17">
        <v>104.36201007548243</v>
      </c>
      <c r="FI17">
        <v>104.48853421198733</v>
      </c>
      <c r="FJ17">
        <v>104.59920389382042</v>
      </c>
      <c r="FK17">
        <v>104.74717594342606</v>
      </c>
      <c r="FL17">
        <v>104.9106741796073</v>
      </c>
      <c r="FM17">
        <v>105.03099640295277</v>
      </c>
      <c r="FN17">
        <v>105.15342998446428</v>
      </c>
      <c r="FO17">
        <v>105.30431106379953</v>
      </c>
      <c r="FP17">
        <v>105.44193419956473</v>
      </c>
      <c r="FQ17">
        <v>105.57506766291866</v>
      </c>
      <c r="FR17">
        <v>105.72902177651935</v>
      </c>
      <c r="FS17">
        <v>105.88311733551934</v>
      </c>
      <c r="FT17">
        <v>106.02822149830588</v>
      </c>
      <c r="FU17">
        <v>106.19870253812917</v>
      </c>
      <c r="FV17">
        <v>106.35090018497921</v>
      </c>
      <c r="FW17">
        <v>106.55933483998663</v>
      </c>
      <c r="FX17">
        <v>106.75387626415082</v>
      </c>
      <c r="FY17">
        <v>106.97981129597039</v>
      </c>
      <c r="FZ17">
        <v>107.21947776851447</v>
      </c>
      <c r="GA17">
        <v>107.47603478467764</v>
      </c>
      <c r="GB17">
        <v>107.71969701416374</v>
      </c>
      <c r="GC17">
        <v>107.96547886173721</v>
      </c>
      <c r="GD17">
        <v>108.21855654597819</v>
      </c>
      <c r="GE17">
        <v>108.47303483419883</v>
      </c>
      <c r="GF17">
        <v>108.78991615453062</v>
      </c>
      <c r="GG17">
        <v>109.20252797172753</v>
      </c>
      <c r="GH17">
        <v>109.54842126881668</v>
      </c>
      <c r="GI17">
        <v>109.90470257145651</v>
      </c>
      <c r="GJ17">
        <v>110.38901157058068</v>
      </c>
      <c r="GK17">
        <v>110.80373447523925</v>
      </c>
      <c r="GL17">
        <v>111.41668308719676</v>
      </c>
      <c r="GM17">
        <v>112.16533045038636</v>
      </c>
      <c r="GN17">
        <v>113.03006802533685</v>
      </c>
      <c r="GO17">
        <v>114.55343484379645</v>
      </c>
      <c r="GP17">
        <v>115.82042896214674</v>
      </c>
      <c r="GQ17">
        <v>118.16453362728664</v>
      </c>
      <c r="GR17">
        <v>100.43791390676274</v>
      </c>
      <c r="GT17" s="8">
        <v>45315</v>
      </c>
      <c r="GU17">
        <v>103.46325899999999</v>
      </c>
    </row>
    <row r="18" spans="1:203" x14ac:dyDescent="0.45">
      <c r="A18">
        <v>91.832428364960876</v>
      </c>
      <c r="B18">
        <v>92.444778991242089</v>
      </c>
      <c r="C18">
        <v>92.796614106292907</v>
      </c>
      <c r="D18">
        <v>93.110033599149091</v>
      </c>
      <c r="E18">
        <v>93.316800614649452</v>
      </c>
      <c r="F18">
        <v>93.483870443476178</v>
      </c>
      <c r="G18">
        <v>93.721514865763652</v>
      </c>
      <c r="H18">
        <v>93.863107210296178</v>
      </c>
      <c r="I18">
        <v>93.995305496838299</v>
      </c>
      <c r="J18">
        <v>94.118334255279493</v>
      </c>
      <c r="K18">
        <v>94.257346755928637</v>
      </c>
      <c r="L18">
        <v>94.368888849037873</v>
      </c>
      <c r="M18">
        <v>94.457042983493778</v>
      </c>
      <c r="N18">
        <v>94.578664580957394</v>
      </c>
      <c r="O18">
        <v>94.663750306984895</v>
      </c>
      <c r="P18">
        <v>94.776872365469671</v>
      </c>
      <c r="Q18">
        <v>94.873908977882522</v>
      </c>
      <c r="R18">
        <v>94.967365859670409</v>
      </c>
      <c r="S18">
        <v>95.052218276642904</v>
      </c>
      <c r="T18">
        <v>95.125026581390657</v>
      </c>
      <c r="U18">
        <v>95.18919701204689</v>
      </c>
      <c r="V18">
        <v>95.273039663243011</v>
      </c>
      <c r="W18">
        <v>95.358111758229967</v>
      </c>
      <c r="X18">
        <v>95.434102962401511</v>
      </c>
      <c r="Y18">
        <v>95.488158230345221</v>
      </c>
      <c r="Z18">
        <v>95.556773654076281</v>
      </c>
      <c r="AA18">
        <v>95.607857482477002</v>
      </c>
      <c r="AB18">
        <v>95.678659898443385</v>
      </c>
      <c r="AC18">
        <v>95.757130202420839</v>
      </c>
      <c r="AD18">
        <v>95.815439514657285</v>
      </c>
      <c r="AE18">
        <v>95.872205241766608</v>
      </c>
      <c r="AF18">
        <v>95.922563675984108</v>
      </c>
      <c r="AG18">
        <v>95.994731564132621</v>
      </c>
      <c r="AH18">
        <v>96.049799484794718</v>
      </c>
      <c r="AI18">
        <v>96.101421323838466</v>
      </c>
      <c r="AJ18">
        <v>96.151718158912701</v>
      </c>
      <c r="AK18">
        <v>96.197535180928583</v>
      </c>
      <c r="AL18">
        <v>96.246436085569897</v>
      </c>
      <c r="AM18">
        <v>96.297187175656035</v>
      </c>
      <c r="AN18">
        <v>96.35078198158628</v>
      </c>
      <c r="AO18">
        <v>96.396664581008693</v>
      </c>
      <c r="AP18">
        <v>96.433610771862021</v>
      </c>
      <c r="AQ18">
        <v>96.483293757532266</v>
      </c>
      <c r="AR18">
        <v>96.550670083919698</v>
      </c>
      <c r="AS18">
        <v>96.597933326005091</v>
      </c>
      <c r="AT18">
        <v>96.656905075532151</v>
      </c>
      <c r="AU18">
        <v>96.71103045685949</v>
      </c>
      <c r="AV18">
        <v>96.771485607821546</v>
      </c>
      <c r="AW18">
        <v>96.819913378673192</v>
      </c>
      <c r="AX18">
        <v>96.875797504713034</v>
      </c>
      <c r="AY18">
        <v>96.923796645538758</v>
      </c>
      <c r="AZ18">
        <v>96.958414207312345</v>
      </c>
      <c r="BA18">
        <v>97.014760308229569</v>
      </c>
      <c r="BB18">
        <v>97.07075779665864</v>
      </c>
      <c r="BC18">
        <v>97.118935675313679</v>
      </c>
      <c r="BD18">
        <v>97.173511267859467</v>
      </c>
      <c r="BE18">
        <v>97.219175401761873</v>
      </c>
      <c r="BF18">
        <v>97.277301353316673</v>
      </c>
      <c r="BG18">
        <v>97.32474488170287</v>
      </c>
      <c r="BH18">
        <v>97.372954123636958</v>
      </c>
      <c r="BI18">
        <v>97.424590539619729</v>
      </c>
      <c r="BJ18">
        <v>97.469611681340439</v>
      </c>
      <c r="BK18">
        <v>97.517541093466917</v>
      </c>
      <c r="BL18">
        <v>97.569699417413744</v>
      </c>
      <c r="BM18">
        <v>97.623620325706923</v>
      </c>
      <c r="BN18">
        <v>97.675312984270064</v>
      </c>
      <c r="BO18">
        <v>97.71366987077775</v>
      </c>
      <c r="BP18">
        <v>97.764107282052606</v>
      </c>
      <c r="BQ18">
        <v>97.82152446282926</v>
      </c>
      <c r="BR18">
        <v>97.879586687718231</v>
      </c>
      <c r="BS18">
        <v>97.929851700901196</v>
      </c>
      <c r="BT18">
        <v>97.983146542133582</v>
      </c>
      <c r="BU18">
        <v>98.041791196042155</v>
      </c>
      <c r="BV18">
        <v>98.088974636091237</v>
      </c>
      <c r="BW18">
        <v>98.134891660139118</v>
      </c>
      <c r="BX18">
        <v>98.193623192928939</v>
      </c>
      <c r="BY18">
        <v>98.253522257712817</v>
      </c>
      <c r="BZ18">
        <v>98.306983656860524</v>
      </c>
      <c r="CA18">
        <v>98.367137567407383</v>
      </c>
      <c r="CB18">
        <v>98.424395734384703</v>
      </c>
      <c r="CC18">
        <v>98.474371203314305</v>
      </c>
      <c r="CD18">
        <v>98.520169549235561</v>
      </c>
      <c r="CE18">
        <v>98.565863781695157</v>
      </c>
      <c r="CF18">
        <v>98.61406881864427</v>
      </c>
      <c r="CG18">
        <v>98.668521437321147</v>
      </c>
      <c r="CH18">
        <v>98.732359506829724</v>
      </c>
      <c r="CI18">
        <v>98.791230930636303</v>
      </c>
      <c r="CJ18">
        <v>98.843239759153875</v>
      </c>
      <c r="CK18">
        <v>98.911676033227494</v>
      </c>
      <c r="CL18">
        <v>98.960273867177193</v>
      </c>
      <c r="CM18">
        <v>99.014199189484785</v>
      </c>
      <c r="CN18">
        <v>99.060986160127655</v>
      </c>
      <c r="CO18">
        <v>99.110083588697634</v>
      </c>
      <c r="CP18">
        <v>99.168244110490107</v>
      </c>
      <c r="CQ18">
        <v>99.219291090835156</v>
      </c>
      <c r="CR18">
        <v>99.287289679165681</v>
      </c>
      <c r="CS18">
        <v>99.347421582798006</v>
      </c>
      <c r="CT18">
        <v>99.40117591842926</v>
      </c>
      <c r="CU18">
        <v>99.45618296789074</v>
      </c>
      <c r="CV18">
        <v>99.518101476151244</v>
      </c>
      <c r="CW18">
        <v>99.573804953709683</v>
      </c>
      <c r="CX18">
        <v>99.624094473804192</v>
      </c>
      <c r="CY18">
        <v>99.671074396593667</v>
      </c>
      <c r="CZ18">
        <v>99.732654591570167</v>
      </c>
      <c r="DA18">
        <v>99.797451785495625</v>
      </c>
      <c r="DB18">
        <v>99.855196223925063</v>
      </c>
      <c r="DC18">
        <v>99.935612973932081</v>
      </c>
      <c r="DD18">
        <v>100.00052182176206</v>
      </c>
      <c r="DE18">
        <v>100.05769893263124</v>
      </c>
      <c r="DF18">
        <v>100.10046522975389</v>
      </c>
      <c r="DG18">
        <v>100.16203936032574</v>
      </c>
      <c r="DH18">
        <v>100.22316745060994</v>
      </c>
      <c r="DI18">
        <v>100.29145268829828</v>
      </c>
      <c r="DJ18">
        <v>100.3440113016626</v>
      </c>
      <c r="DK18">
        <v>100.42217378638684</v>
      </c>
      <c r="DL18">
        <v>100.48772774970682</v>
      </c>
      <c r="DM18">
        <v>100.54931953294788</v>
      </c>
      <c r="DN18">
        <v>100.61694722912547</v>
      </c>
      <c r="DO18">
        <v>100.71421604840071</v>
      </c>
      <c r="DP18">
        <v>100.76740429455029</v>
      </c>
      <c r="DQ18">
        <v>100.8229844388032</v>
      </c>
      <c r="DR18">
        <v>100.87913639621677</v>
      </c>
      <c r="DS18">
        <v>100.97323330449765</v>
      </c>
      <c r="DT18">
        <v>101.04400786115967</v>
      </c>
      <c r="DU18">
        <v>101.09433493019121</v>
      </c>
      <c r="DV18">
        <v>101.14580277638356</v>
      </c>
      <c r="DW18">
        <v>101.21588375096829</v>
      </c>
      <c r="DX18">
        <v>101.29128069554355</v>
      </c>
      <c r="DY18">
        <v>101.35374516039461</v>
      </c>
      <c r="DZ18">
        <v>101.42191191861248</v>
      </c>
      <c r="EA18">
        <v>101.47736527312701</v>
      </c>
      <c r="EB18">
        <v>101.5444703147821</v>
      </c>
      <c r="EC18">
        <v>101.60266916228032</v>
      </c>
      <c r="ED18">
        <v>101.67729311278643</v>
      </c>
      <c r="EE18">
        <v>101.78740262514694</v>
      </c>
      <c r="EF18">
        <v>101.88221955764098</v>
      </c>
      <c r="EG18">
        <v>101.95798527664475</v>
      </c>
      <c r="EH18">
        <v>102.0364693461626</v>
      </c>
      <c r="EI18">
        <v>102.11327763803465</v>
      </c>
      <c r="EJ18">
        <v>102.17737927496616</v>
      </c>
      <c r="EK18">
        <v>102.27344164761648</v>
      </c>
      <c r="EL18">
        <v>102.34909217596976</v>
      </c>
      <c r="EM18">
        <v>102.43055864158858</v>
      </c>
      <c r="EN18">
        <v>102.52949641203689</v>
      </c>
      <c r="EO18">
        <v>102.6090694899072</v>
      </c>
      <c r="EP18">
        <v>102.72322935720986</v>
      </c>
      <c r="EQ18">
        <v>102.82865926829538</v>
      </c>
      <c r="ER18">
        <v>102.94188642226263</v>
      </c>
      <c r="ES18">
        <v>103.04292433740542</v>
      </c>
      <c r="ET18">
        <v>103.13507239230617</v>
      </c>
      <c r="EU18">
        <v>103.22572252455356</v>
      </c>
      <c r="EV18">
        <v>103.30623075362153</v>
      </c>
      <c r="EW18">
        <v>103.42357839844092</v>
      </c>
      <c r="EX18">
        <v>103.49085848966136</v>
      </c>
      <c r="EY18">
        <v>103.58266667329322</v>
      </c>
      <c r="EZ18">
        <v>103.6698381878856</v>
      </c>
      <c r="FA18">
        <v>103.76307501498466</v>
      </c>
      <c r="FB18">
        <v>103.86837814883054</v>
      </c>
      <c r="FC18">
        <v>103.98211139074903</v>
      </c>
      <c r="FD18">
        <v>104.06952463044675</v>
      </c>
      <c r="FE18">
        <v>104.19523467369105</v>
      </c>
      <c r="FF18">
        <v>104.3330724387271</v>
      </c>
      <c r="FG18">
        <v>104.4268392015652</v>
      </c>
      <c r="FH18">
        <v>104.52954600207656</v>
      </c>
      <c r="FI18">
        <v>104.64614164348774</v>
      </c>
      <c r="FJ18">
        <v>104.77046286174384</v>
      </c>
      <c r="FK18">
        <v>104.91825605991809</v>
      </c>
      <c r="FL18">
        <v>105.03688396752538</v>
      </c>
      <c r="FM18">
        <v>105.18247878775757</v>
      </c>
      <c r="FN18">
        <v>105.31073393842904</v>
      </c>
      <c r="FO18">
        <v>105.49971304552076</v>
      </c>
      <c r="FP18">
        <v>105.64214458633089</v>
      </c>
      <c r="FQ18">
        <v>105.78694551174313</v>
      </c>
      <c r="FR18">
        <v>105.96225164322897</v>
      </c>
      <c r="FS18">
        <v>106.12621449776971</v>
      </c>
      <c r="FT18">
        <v>106.31102564881935</v>
      </c>
      <c r="FU18">
        <v>106.4656401428863</v>
      </c>
      <c r="FV18">
        <v>106.67579133729062</v>
      </c>
      <c r="FW18">
        <v>106.85271774297878</v>
      </c>
      <c r="FX18">
        <v>107.04053611568165</v>
      </c>
      <c r="FY18">
        <v>107.26781511216747</v>
      </c>
      <c r="FZ18">
        <v>107.50425168751454</v>
      </c>
      <c r="GA18">
        <v>107.70622279323761</v>
      </c>
      <c r="GB18">
        <v>107.96171664726538</v>
      </c>
      <c r="GC18">
        <v>108.25303217801134</v>
      </c>
      <c r="GD18">
        <v>108.52928897115089</v>
      </c>
      <c r="GE18">
        <v>108.84962865563411</v>
      </c>
      <c r="GF18">
        <v>109.13242382398587</v>
      </c>
      <c r="GG18">
        <v>109.46370633771598</v>
      </c>
      <c r="GH18">
        <v>109.86516410045002</v>
      </c>
      <c r="GI18">
        <v>110.30485894729621</v>
      </c>
      <c r="GJ18">
        <v>110.7447103147188</v>
      </c>
      <c r="GK18">
        <v>111.30081279864552</v>
      </c>
      <c r="GL18">
        <v>111.88367384641575</v>
      </c>
      <c r="GM18">
        <v>112.54441994470866</v>
      </c>
      <c r="GN18">
        <v>113.30978807235577</v>
      </c>
      <c r="GO18">
        <v>114.55688873497314</v>
      </c>
      <c r="GP18">
        <v>116.40630381191089</v>
      </c>
      <c r="GQ18">
        <v>118.88409066307537</v>
      </c>
      <c r="GR18">
        <v>100.44816475225859</v>
      </c>
      <c r="GT18" s="8">
        <v>45316</v>
      </c>
      <c r="GU18">
        <v>103.46325899999999</v>
      </c>
    </row>
    <row r="19" spans="1:203" x14ac:dyDescent="0.45">
      <c r="A19">
        <v>91.698351994090473</v>
      </c>
      <c r="B19">
        <v>92.30330484640676</v>
      </c>
      <c r="C19">
        <v>92.751581779713604</v>
      </c>
      <c r="D19">
        <v>93.023550916698312</v>
      </c>
      <c r="E19">
        <v>93.265982909069621</v>
      </c>
      <c r="F19">
        <v>93.428305434050841</v>
      </c>
      <c r="G19">
        <v>93.592632912063692</v>
      </c>
      <c r="H19">
        <v>93.717848805850963</v>
      </c>
      <c r="I19">
        <v>93.893770266140265</v>
      </c>
      <c r="J19">
        <v>94.028871590913724</v>
      </c>
      <c r="K19">
        <v>94.146421311961177</v>
      </c>
      <c r="L19">
        <v>94.270463818504354</v>
      </c>
      <c r="M19">
        <v>94.359558352460525</v>
      </c>
      <c r="N19">
        <v>94.442770159801569</v>
      </c>
      <c r="O19">
        <v>94.527313091831147</v>
      </c>
      <c r="P19">
        <v>94.641170099241762</v>
      </c>
      <c r="Q19">
        <v>94.727109299062761</v>
      </c>
      <c r="R19">
        <v>94.82278247971783</v>
      </c>
      <c r="S19">
        <v>94.910632743292254</v>
      </c>
      <c r="T19">
        <v>94.97571593606375</v>
      </c>
      <c r="U19">
        <v>95.055269346185952</v>
      </c>
      <c r="V19">
        <v>95.133539631427851</v>
      </c>
      <c r="W19">
        <v>95.20724174676451</v>
      </c>
      <c r="X19">
        <v>95.277194612914073</v>
      </c>
      <c r="Y19">
        <v>95.352917929526157</v>
      </c>
      <c r="Z19">
        <v>95.420911391092844</v>
      </c>
      <c r="AA19">
        <v>95.486560807379547</v>
      </c>
      <c r="AB19">
        <v>95.550689102344705</v>
      </c>
      <c r="AC19">
        <v>95.599619342300372</v>
      </c>
      <c r="AD19">
        <v>95.665551159579763</v>
      </c>
      <c r="AE19">
        <v>95.72949911524627</v>
      </c>
      <c r="AF19">
        <v>95.796838618502534</v>
      </c>
      <c r="AG19">
        <v>95.853582606689443</v>
      </c>
      <c r="AH19">
        <v>95.898072477964249</v>
      </c>
      <c r="AI19">
        <v>95.971396774519448</v>
      </c>
      <c r="AJ19">
        <v>96.022452946678087</v>
      </c>
      <c r="AK19">
        <v>96.077646033630188</v>
      </c>
      <c r="AL19">
        <v>96.137301358561558</v>
      </c>
      <c r="AM19">
        <v>96.189380540691644</v>
      </c>
      <c r="AN19">
        <v>96.231748826645116</v>
      </c>
      <c r="AO19">
        <v>96.292626477825323</v>
      </c>
      <c r="AP19">
        <v>96.351062053724689</v>
      </c>
      <c r="AQ19">
        <v>96.397125568168505</v>
      </c>
      <c r="AR19">
        <v>96.455418352214295</v>
      </c>
      <c r="AS19">
        <v>96.524846813816055</v>
      </c>
      <c r="AT19">
        <v>96.578759910845278</v>
      </c>
      <c r="AU19">
        <v>96.630616622972298</v>
      </c>
      <c r="AV19">
        <v>96.690622901612528</v>
      </c>
      <c r="AW19">
        <v>96.738204877626657</v>
      </c>
      <c r="AX19">
        <v>96.79572638750966</v>
      </c>
      <c r="AY19">
        <v>96.86189283675813</v>
      </c>
      <c r="AZ19">
        <v>96.915461531885114</v>
      </c>
      <c r="BA19">
        <v>96.974376887786846</v>
      </c>
      <c r="BB19">
        <v>97.016955957829452</v>
      </c>
      <c r="BC19">
        <v>97.06703273905903</v>
      </c>
      <c r="BD19">
        <v>97.111753468719542</v>
      </c>
      <c r="BE19">
        <v>97.153560626462451</v>
      </c>
      <c r="BF19">
        <v>97.208776406914026</v>
      </c>
      <c r="BG19">
        <v>97.247663928901233</v>
      </c>
      <c r="BH19">
        <v>97.295386677907828</v>
      </c>
      <c r="BI19">
        <v>97.346080547649379</v>
      </c>
      <c r="BJ19">
        <v>97.406940108484505</v>
      </c>
      <c r="BK19">
        <v>97.459498048826703</v>
      </c>
      <c r="BL19">
        <v>97.519041072109559</v>
      </c>
      <c r="BM19">
        <v>97.572338480115604</v>
      </c>
      <c r="BN19">
        <v>97.624235762804943</v>
      </c>
      <c r="BO19">
        <v>97.680555293036605</v>
      </c>
      <c r="BP19">
        <v>97.727550537264932</v>
      </c>
      <c r="BQ19">
        <v>97.791319836525332</v>
      </c>
      <c r="BR19">
        <v>97.843749877286768</v>
      </c>
      <c r="BS19">
        <v>97.894868575269626</v>
      </c>
      <c r="BT19">
        <v>97.951144448282108</v>
      </c>
      <c r="BU19">
        <v>97.997987843878406</v>
      </c>
      <c r="BV19">
        <v>98.053006495716602</v>
      </c>
      <c r="BW19">
        <v>98.10696727978393</v>
      </c>
      <c r="BX19">
        <v>98.157995750090009</v>
      </c>
      <c r="BY19">
        <v>98.20853237240911</v>
      </c>
      <c r="BZ19">
        <v>98.258971675808397</v>
      </c>
      <c r="CA19">
        <v>98.317573079385326</v>
      </c>
      <c r="CB19">
        <v>98.366133513625897</v>
      </c>
      <c r="CC19">
        <v>98.416570788755209</v>
      </c>
      <c r="CD19">
        <v>98.478728157955928</v>
      </c>
      <c r="CE19">
        <v>98.52359164824756</v>
      </c>
      <c r="CF19">
        <v>98.593720628360003</v>
      </c>
      <c r="CG19">
        <v>98.64108876510052</v>
      </c>
      <c r="CH19">
        <v>98.685052118433831</v>
      </c>
      <c r="CI19">
        <v>98.747090340684878</v>
      </c>
      <c r="CJ19">
        <v>98.809091455035443</v>
      </c>
      <c r="CK19">
        <v>98.857479465548309</v>
      </c>
      <c r="CL19">
        <v>98.902166158379771</v>
      </c>
      <c r="CM19">
        <v>98.953594234040708</v>
      </c>
      <c r="CN19">
        <v>99.015518969984996</v>
      </c>
      <c r="CO19">
        <v>99.067967395721183</v>
      </c>
      <c r="CP19">
        <v>99.130103171852241</v>
      </c>
      <c r="CQ19">
        <v>99.184507063371086</v>
      </c>
      <c r="CR19">
        <v>99.244757493012784</v>
      </c>
      <c r="CS19">
        <v>99.295210509903583</v>
      </c>
      <c r="CT19">
        <v>99.346931764041699</v>
      </c>
      <c r="CU19">
        <v>99.406161294441091</v>
      </c>
      <c r="CV19">
        <v>99.447696431666685</v>
      </c>
      <c r="CW19">
        <v>99.49984399672546</v>
      </c>
      <c r="CX19">
        <v>99.567493585887689</v>
      </c>
      <c r="CY19">
        <v>99.61685187795085</v>
      </c>
      <c r="CZ19">
        <v>99.687015226702215</v>
      </c>
      <c r="DA19">
        <v>99.741405907471062</v>
      </c>
      <c r="DB19">
        <v>99.813311070148671</v>
      </c>
      <c r="DC19">
        <v>99.873757492574228</v>
      </c>
      <c r="DD19">
        <v>99.953332675443718</v>
      </c>
      <c r="DE19">
        <v>100.00962095876353</v>
      </c>
      <c r="DF19">
        <v>100.06302508659881</v>
      </c>
      <c r="DG19">
        <v>100.11732316568316</v>
      </c>
      <c r="DH19">
        <v>100.18363579968089</v>
      </c>
      <c r="DI19">
        <v>100.24930357214711</v>
      </c>
      <c r="DJ19">
        <v>100.31634802619504</v>
      </c>
      <c r="DK19">
        <v>100.36917645468536</v>
      </c>
      <c r="DL19">
        <v>100.46146992808737</v>
      </c>
      <c r="DM19">
        <v>100.54417222356651</v>
      </c>
      <c r="DN19">
        <v>100.6140511149497</v>
      </c>
      <c r="DO19">
        <v>100.69274162342535</v>
      </c>
      <c r="DP19">
        <v>100.76313278949938</v>
      </c>
      <c r="DQ19">
        <v>100.84287399139959</v>
      </c>
      <c r="DR19">
        <v>100.89986327801469</v>
      </c>
      <c r="DS19">
        <v>100.96169934729427</v>
      </c>
      <c r="DT19">
        <v>101.04073408956283</v>
      </c>
      <c r="DU19">
        <v>101.11029559912578</v>
      </c>
      <c r="DV19">
        <v>101.19496246309177</v>
      </c>
      <c r="DW19">
        <v>101.25189295162649</v>
      </c>
      <c r="DX19">
        <v>101.31468006729033</v>
      </c>
      <c r="DY19">
        <v>101.38084149474105</v>
      </c>
      <c r="DZ19">
        <v>101.45100056655787</v>
      </c>
      <c r="EA19">
        <v>101.51330805446715</v>
      </c>
      <c r="EB19">
        <v>101.59128589315438</v>
      </c>
      <c r="EC19">
        <v>101.6500326449805</v>
      </c>
      <c r="ED19">
        <v>101.73231960627487</v>
      </c>
      <c r="EE19">
        <v>101.8148573810446</v>
      </c>
      <c r="EF19">
        <v>101.88156661004254</v>
      </c>
      <c r="EG19">
        <v>101.9750606435131</v>
      </c>
      <c r="EH19">
        <v>102.05310639248999</v>
      </c>
      <c r="EI19">
        <v>102.13004280350643</v>
      </c>
      <c r="EJ19">
        <v>102.22077929123526</v>
      </c>
      <c r="EK19">
        <v>102.29379506345299</v>
      </c>
      <c r="EL19">
        <v>102.38692987591976</v>
      </c>
      <c r="EM19">
        <v>102.4674047379612</v>
      </c>
      <c r="EN19">
        <v>102.54222363513439</v>
      </c>
      <c r="EO19">
        <v>102.63209963317821</v>
      </c>
      <c r="EP19">
        <v>102.74210152105944</v>
      </c>
      <c r="EQ19">
        <v>102.83141009219941</v>
      </c>
      <c r="ER19">
        <v>102.93021535243901</v>
      </c>
      <c r="ES19">
        <v>103.0532045683827</v>
      </c>
      <c r="ET19">
        <v>103.14547933136805</v>
      </c>
      <c r="EU19">
        <v>103.2349565786694</v>
      </c>
      <c r="EV19">
        <v>103.3630125262213</v>
      </c>
      <c r="EW19">
        <v>103.46749415368782</v>
      </c>
      <c r="EX19">
        <v>103.58635194994507</v>
      </c>
      <c r="EY19">
        <v>103.69228993932644</v>
      </c>
      <c r="EZ19">
        <v>103.79066482757449</v>
      </c>
      <c r="FA19">
        <v>103.91520535629377</v>
      </c>
      <c r="FB19">
        <v>104.03560540596543</v>
      </c>
      <c r="FC19">
        <v>104.15613767426852</v>
      </c>
      <c r="FD19">
        <v>104.23506878308763</v>
      </c>
      <c r="FE19">
        <v>104.36356842954531</v>
      </c>
      <c r="FF19">
        <v>104.4765837656569</v>
      </c>
      <c r="FG19">
        <v>104.59810549222921</v>
      </c>
      <c r="FH19">
        <v>104.7020886797042</v>
      </c>
      <c r="FI19">
        <v>104.8450082558311</v>
      </c>
      <c r="FJ19">
        <v>104.97095994162449</v>
      </c>
      <c r="FK19">
        <v>105.1181161830222</v>
      </c>
      <c r="FL19">
        <v>105.24729799849395</v>
      </c>
      <c r="FM19">
        <v>105.38156971723653</v>
      </c>
      <c r="FN19">
        <v>105.49223007003238</v>
      </c>
      <c r="FO19">
        <v>105.64599654283511</v>
      </c>
      <c r="FP19">
        <v>105.7955808084433</v>
      </c>
      <c r="FQ19">
        <v>105.95112460949996</v>
      </c>
      <c r="FR19">
        <v>106.1250983228539</v>
      </c>
      <c r="FS19">
        <v>106.31264585112636</v>
      </c>
      <c r="FT19">
        <v>106.4947773396273</v>
      </c>
      <c r="FU19">
        <v>106.70850970091425</v>
      </c>
      <c r="FV19">
        <v>106.85455176350936</v>
      </c>
      <c r="FW19">
        <v>107.05250146325888</v>
      </c>
      <c r="FX19">
        <v>107.23882374095732</v>
      </c>
      <c r="FY19">
        <v>107.47266152500525</v>
      </c>
      <c r="FZ19">
        <v>107.73720684340066</v>
      </c>
      <c r="GA19">
        <v>107.9500903335787</v>
      </c>
      <c r="GB19">
        <v>108.27483993059161</v>
      </c>
      <c r="GC19">
        <v>108.50164252359166</v>
      </c>
      <c r="GD19">
        <v>108.82778217162807</v>
      </c>
      <c r="GE19">
        <v>109.13102460142987</v>
      </c>
      <c r="GF19">
        <v>109.46181292295934</v>
      </c>
      <c r="GG19">
        <v>109.85861565452984</v>
      </c>
      <c r="GH19">
        <v>110.39713973203607</v>
      </c>
      <c r="GI19">
        <v>110.90100587482826</v>
      </c>
      <c r="GJ19">
        <v>111.28868087996585</v>
      </c>
      <c r="GK19">
        <v>111.79352615810036</v>
      </c>
      <c r="GL19">
        <v>112.37532359539705</v>
      </c>
      <c r="GM19">
        <v>113.18799371580127</v>
      </c>
      <c r="GN19">
        <v>114.11452896204591</v>
      </c>
      <c r="GO19">
        <v>115.25872271240364</v>
      </c>
      <c r="GP19">
        <v>116.86329941749102</v>
      </c>
      <c r="GQ19">
        <v>119.65756995353084</v>
      </c>
      <c r="GR19">
        <v>100.47819591778013</v>
      </c>
      <c r="GT19" s="8">
        <v>45317</v>
      </c>
      <c r="GU19">
        <v>104.46659699999999</v>
      </c>
    </row>
    <row r="20" spans="1:203" x14ac:dyDescent="0.45">
      <c r="A20">
        <v>91.556813881690957</v>
      </c>
      <c r="B20">
        <v>92.14672949371186</v>
      </c>
      <c r="C20">
        <v>92.474401413348431</v>
      </c>
      <c r="D20">
        <v>92.851940936317945</v>
      </c>
      <c r="E20">
        <v>93.069096132724709</v>
      </c>
      <c r="F20">
        <v>93.280021780934035</v>
      </c>
      <c r="G20">
        <v>93.480090128963354</v>
      </c>
      <c r="H20">
        <v>93.63310124329854</v>
      </c>
      <c r="I20">
        <v>93.773431231707733</v>
      </c>
      <c r="J20">
        <v>93.915727653127718</v>
      </c>
      <c r="K20">
        <v>94.042730122915643</v>
      </c>
      <c r="L20">
        <v>94.167112456937687</v>
      </c>
      <c r="M20">
        <v>94.29134498443031</v>
      </c>
      <c r="N20">
        <v>94.396521595721111</v>
      </c>
      <c r="O20">
        <v>94.507396001445102</v>
      </c>
      <c r="P20">
        <v>94.598115635673778</v>
      </c>
      <c r="Q20">
        <v>94.667032329682698</v>
      </c>
      <c r="R20">
        <v>94.732849531969777</v>
      </c>
      <c r="S20">
        <v>94.822319899909701</v>
      </c>
      <c r="T20">
        <v>94.899343670237513</v>
      </c>
      <c r="U20">
        <v>94.969231948357518</v>
      </c>
      <c r="V20">
        <v>95.031778724974657</v>
      </c>
      <c r="W20">
        <v>95.103923604072889</v>
      </c>
      <c r="X20">
        <v>95.168150698721178</v>
      </c>
      <c r="Y20">
        <v>95.215475066595772</v>
      </c>
      <c r="Z20">
        <v>95.309489898588183</v>
      </c>
      <c r="AA20">
        <v>95.392099980969292</v>
      </c>
      <c r="AB20">
        <v>95.434535065386214</v>
      </c>
      <c r="AC20">
        <v>95.511421383875032</v>
      </c>
      <c r="AD20">
        <v>95.5688741758091</v>
      </c>
      <c r="AE20">
        <v>95.626670677960846</v>
      </c>
      <c r="AF20">
        <v>95.691957076343968</v>
      </c>
      <c r="AG20">
        <v>95.76218860212802</v>
      </c>
      <c r="AH20">
        <v>95.819107941215748</v>
      </c>
      <c r="AI20">
        <v>95.872690639732326</v>
      </c>
      <c r="AJ20">
        <v>95.940522527040685</v>
      </c>
      <c r="AK20">
        <v>96.001247578443113</v>
      </c>
      <c r="AL20">
        <v>96.051972385052977</v>
      </c>
      <c r="AM20">
        <v>96.119635906432578</v>
      </c>
      <c r="AN20">
        <v>96.174805236260056</v>
      </c>
      <c r="AO20">
        <v>96.252410984324939</v>
      </c>
      <c r="AP20">
        <v>96.313140447542366</v>
      </c>
      <c r="AQ20">
        <v>96.375584441509616</v>
      </c>
      <c r="AR20">
        <v>96.430400501166119</v>
      </c>
      <c r="AS20">
        <v>96.486338673197622</v>
      </c>
      <c r="AT20">
        <v>96.534739586139253</v>
      </c>
      <c r="AU20">
        <v>96.578499793798869</v>
      </c>
      <c r="AV20">
        <v>96.639343637324274</v>
      </c>
      <c r="AW20">
        <v>96.69312753350097</v>
      </c>
      <c r="AX20">
        <v>96.747823202035235</v>
      </c>
      <c r="AY20">
        <v>96.813387214348211</v>
      </c>
      <c r="AZ20">
        <v>96.867255595317559</v>
      </c>
      <c r="BA20">
        <v>96.911524122318866</v>
      </c>
      <c r="BB20">
        <v>96.966099105705098</v>
      </c>
      <c r="BC20">
        <v>97.019600744239781</v>
      </c>
      <c r="BD20">
        <v>97.061068347106612</v>
      </c>
      <c r="BE20">
        <v>97.121551970989657</v>
      </c>
      <c r="BF20">
        <v>97.171793688193958</v>
      </c>
      <c r="BG20">
        <v>97.217370196532158</v>
      </c>
      <c r="BH20">
        <v>97.277508092137396</v>
      </c>
      <c r="BI20">
        <v>97.325555385241358</v>
      </c>
      <c r="BJ20">
        <v>97.377317089237465</v>
      </c>
      <c r="BK20">
        <v>97.430994521313366</v>
      </c>
      <c r="BL20">
        <v>97.486863527375348</v>
      </c>
      <c r="BM20">
        <v>97.547700025723557</v>
      </c>
      <c r="BN20">
        <v>97.603477408442743</v>
      </c>
      <c r="BO20">
        <v>97.655736833359413</v>
      </c>
      <c r="BP20">
        <v>97.699815414237946</v>
      </c>
      <c r="BQ20">
        <v>97.753902103569231</v>
      </c>
      <c r="BR20">
        <v>97.803070524197665</v>
      </c>
      <c r="BS20">
        <v>97.850693256188649</v>
      </c>
      <c r="BT20">
        <v>97.900900836285246</v>
      </c>
      <c r="BU20">
        <v>97.953723704440364</v>
      </c>
      <c r="BV20">
        <v>97.99928561324991</v>
      </c>
      <c r="BW20">
        <v>98.050581672223558</v>
      </c>
      <c r="BX20">
        <v>98.099563755738018</v>
      </c>
      <c r="BY20">
        <v>98.151219838294608</v>
      </c>
      <c r="BZ20">
        <v>98.199208123372728</v>
      </c>
      <c r="CA20">
        <v>98.246192381743626</v>
      </c>
      <c r="CB20">
        <v>98.308682645413086</v>
      </c>
      <c r="CC20">
        <v>98.366662232340303</v>
      </c>
      <c r="CD20">
        <v>98.417503211780911</v>
      </c>
      <c r="CE20">
        <v>98.46023906079941</v>
      </c>
      <c r="CF20">
        <v>98.514211983865394</v>
      </c>
      <c r="CG20">
        <v>98.563017109858279</v>
      </c>
      <c r="CH20">
        <v>98.62627486356655</v>
      </c>
      <c r="CI20">
        <v>98.678260390663411</v>
      </c>
      <c r="CJ20">
        <v>98.733361738654736</v>
      </c>
      <c r="CK20">
        <v>98.78644536775019</v>
      </c>
      <c r="CL20">
        <v>98.852097265428242</v>
      </c>
      <c r="CM20">
        <v>98.899518385353502</v>
      </c>
      <c r="CN20">
        <v>98.952597700995042</v>
      </c>
      <c r="CO20">
        <v>99.010062895695839</v>
      </c>
      <c r="CP20">
        <v>99.061052135264219</v>
      </c>
      <c r="CQ20">
        <v>99.121313417170356</v>
      </c>
      <c r="CR20">
        <v>99.178902260095455</v>
      </c>
      <c r="CS20">
        <v>99.247449326838492</v>
      </c>
      <c r="CT20">
        <v>99.292820479583966</v>
      </c>
      <c r="CU20">
        <v>99.345208321715376</v>
      </c>
      <c r="CV20">
        <v>99.418548596499576</v>
      </c>
      <c r="CW20">
        <v>99.480537529361087</v>
      </c>
      <c r="CX20">
        <v>99.541368839043599</v>
      </c>
      <c r="CY20">
        <v>99.603777396777872</v>
      </c>
      <c r="CZ20">
        <v>99.667868106365972</v>
      </c>
      <c r="DA20">
        <v>99.717450316499338</v>
      </c>
      <c r="DB20">
        <v>99.786923981024245</v>
      </c>
      <c r="DC20">
        <v>99.843136652872644</v>
      </c>
      <c r="DD20">
        <v>99.915418695808853</v>
      </c>
      <c r="DE20">
        <v>99.968176390382126</v>
      </c>
      <c r="DF20">
        <v>100.02742705390874</v>
      </c>
      <c r="DG20">
        <v>100.08698625271865</v>
      </c>
      <c r="DH20">
        <v>100.14881882528825</v>
      </c>
      <c r="DI20">
        <v>100.21786628474445</v>
      </c>
      <c r="DJ20">
        <v>100.27357995783532</v>
      </c>
      <c r="DK20">
        <v>100.33694188272656</v>
      </c>
      <c r="DL20">
        <v>100.40463122043528</v>
      </c>
      <c r="DM20">
        <v>100.46941881269001</v>
      </c>
      <c r="DN20">
        <v>100.53432488261238</v>
      </c>
      <c r="DO20">
        <v>100.59026322743416</v>
      </c>
      <c r="DP20">
        <v>100.65928465138963</v>
      </c>
      <c r="DQ20">
        <v>100.71099961813509</v>
      </c>
      <c r="DR20">
        <v>100.81836547286679</v>
      </c>
      <c r="DS20">
        <v>100.89677304375519</v>
      </c>
      <c r="DT20">
        <v>100.97791075577797</v>
      </c>
      <c r="DU20">
        <v>101.06573414474009</v>
      </c>
      <c r="DV20">
        <v>101.14594195644737</v>
      </c>
      <c r="DW20">
        <v>101.23182280046406</v>
      </c>
      <c r="DX20">
        <v>101.32102202232839</v>
      </c>
      <c r="DY20">
        <v>101.40149669322291</v>
      </c>
      <c r="DZ20">
        <v>101.45845933637915</v>
      </c>
      <c r="EA20">
        <v>101.53419502055958</v>
      </c>
      <c r="EB20">
        <v>101.61857995841248</v>
      </c>
      <c r="EC20">
        <v>101.68678472114263</v>
      </c>
      <c r="ED20">
        <v>101.75746089065365</v>
      </c>
      <c r="EE20">
        <v>101.84506590309816</v>
      </c>
      <c r="EF20">
        <v>101.93298045851718</v>
      </c>
      <c r="EG20">
        <v>102.02474560471157</v>
      </c>
      <c r="EH20">
        <v>102.12452479567614</v>
      </c>
      <c r="EI20">
        <v>102.20544723039322</v>
      </c>
      <c r="EJ20">
        <v>102.30036931190793</v>
      </c>
      <c r="EK20">
        <v>102.40888436013299</v>
      </c>
      <c r="EL20">
        <v>102.47372763802872</v>
      </c>
      <c r="EM20">
        <v>102.58140788157738</v>
      </c>
      <c r="EN20">
        <v>102.66163060835214</v>
      </c>
      <c r="EO20">
        <v>102.75978961466942</v>
      </c>
      <c r="EP20">
        <v>102.8533303108815</v>
      </c>
      <c r="EQ20">
        <v>102.95345094489377</v>
      </c>
      <c r="ER20">
        <v>103.0478531270827</v>
      </c>
      <c r="ES20">
        <v>103.13364530646292</v>
      </c>
      <c r="ET20">
        <v>103.23453181586683</v>
      </c>
      <c r="EU20">
        <v>103.35702367788896</v>
      </c>
      <c r="EV20">
        <v>103.44306198299046</v>
      </c>
      <c r="EW20">
        <v>103.52063214268841</v>
      </c>
      <c r="EX20">
        <v>103.60881671106033</v>
      </c>
      <c r="EY20">
        <v>103.70402847312937</v>
      </c>
      <c r="EZ20">
        <v>103.8309048700233</v>
      </c>
      <c r="FA20">
        <v>103.93582056627339</v>
      </c>
      <c r="FB20">
        <v>104.06552093072905</v>
      </c>
      <c r="FC20">
        <v>104.20173149200834</v>
      </c>
      <c r="FD20">
        <v>104.32383287605759</v>
      </c>
      <c r="FE20">
        <v>104.42343369994084</v>
      </c>
      <c r="FF20">
        <v>104.56505812482976</v>
      </c>
      <c r="FG20">
        <v>104.70849265895677</v>
      </c>
      <c r="FH20">
        <v>104.82877184367814</v>
      </c>
      <c r="FI20">
        <v>104.9651004778096</v>
      </c>
      <c r="FJ20">
        <v>105.09941037314701</v>
      </c>
      <c r="FK20">
        <v>105.23715541774193</v>
      </c>
      <c r="FL20">
        <v>105.38385069296278</v>
      </c>
      <c r="FM20">
        <v>105.52622989520843</v>
      </c>
      <c r="FN20">
        <v>105.67055988824384</v>
      </c>
      <c r="FO20">
        <v>105.79975302698602</v>
      </c>
      <c r="FP20">
        <v>105.9748653761622</v>
      </c>
      <c r="FQ20">
        <v>106.17051044525317</v>
      </c>
      <c r="FR20">
        <v>106.36586115716553</v>
      </c>
      <c r="FS20">
        <v>106.5512426256679</v>
      </c>
      <c r="FT20">
        <v>106.7447103008118</v>
      </c>
      <c r="FU20">
        <v>106.90666968865189</v>
      </c>
      <c r="FV20">
        <v>107.10038009883745</v>
      </c>
      <c r="FW20">
        <v>107.28872892808415</v>
      </c>
      <c r="FX20">
        <v>107.48310218461584</v>
      </c>
      <c r="FY20">
        <v>107.68280267092337</v>
      </c>
      <c r="FZ20">
        <v>107.93827976987502</v>
      </c>
      <c r="GA20">
        <v>108.15732604623162</v>
      </c>
      <c r="GB20">
        <v>108.43853833276761</v>
      </c>
      <c r="GC20">
        <v>108.74374404418189</v>
      </c>
      <c r="GD20">
        <v>109.01666703814197</v>
      </c>
      <c r="GE20">
        <v>109.30986937875097</v>
      </c>
      <c r="GF20">
        <v>109.6360913960162</v>
      </c>
      <c r="GG20">
        <v>110.08936326349031</v>
      </c>
      <c r="GH20">
        <v>110.57716715312401</v>
      </c>
      <c r="GI20">
        <v>111.053231009562</v>
      </c>
      <c r="GJ20">
        <v>111.54968811327834</v>
      </c>
      <c r="GK20">
        <v>112.16896614772877</v>
      </c>
      <c r="GL20">
        <v>112.67894772031725</v>
      </c>
      <c r="GM20">
        <v>113.45182588462083</v>
      </c>
      <c r="GN20">
        <v>114.55095702246012</v>
      </c>
      <c r="GO20">
        <v>115.57014358019202</v>
      </c>
      <c r="GP20">
        <v>116.95243855635873</v>
      </c>
      <c r="GQ20">
        <v>120.46226883040261</v>
      </c>
      <c r="GR20">
        <v>100.48833069325889</v>
      </c>
      <c r="GT20" s="8">
        <v>45320</v>
      </c>
      <c r="GU20">
        <v>104.39493</v>
      </c>
    </row>
    <row r="21" spans="1:203" x14ac:dyDescent="0.45">
      <c r="A21">
        <v>91.395667663309027</v>
      </c>
      <c r="B21">
        <v>91.92242120286096</v>
      </c>
      <c r="C21">
        <v>92.315732533460164</v>
      </c>
      <c r="D21">
        <v>92.646498499760725</v>
      </c>
      <c r="E21">
        <v>92.917926448301571</v>
      </c>
      <c r="F21">
        <v>93.10137848501229</v>
      </c>
      <c r="G21">
        <v>93.277938548419399</v>
      </c>
      <c r="H21">
        <v>93.528386745389525</v>
      </c>
      <c r="I21">
        <v>93.673729802985392</v>
      </c>
      <c r="J21">
        <v>93.792515357490529</v>
      </c>
      <c r="K21">
        <v>93.956907196252388</v>
      </c>
      <c r="L21">
        <v>94.079254529357698</v>
      </c>
      <c r="M21">
        <v>94.1779773033346</v>
      </c>
      <c r="N21">
        <v>94.274449746951731</v>
      </c>
      <c r="O21">
        <v>94.364404899010253</v>
      </c>
      <c r="P21">
        <v>94.440317564015217</v>
      </c>
      <c r="Q21">
        <v>94.513651758773207</v>
      </c>
      <c r="R21">
        <v>94.620620494046491</v>
      </c>
      <c r="S21">
        <v>94.706694475137482</v>
      </c>
      <c r="T21">
        <v>94.799210316788006</v>
      </c>
      <c r="U21">
        <v>94.872874022035717</v>
      </c>
      <c r="V21">
        <v>94.949570350792101</v>
      </c>
      <c r="W21">
        <v>95.032810690745691</v>
      </c>
      <c r="X21">
        <v>95.100207734594903</v>
      </c>
      <c r="Y21">
        <v>95.18544758488872</v>
      </c>
      <c r="Z21">
        <v>95.245484755759875</v>
      </c>
      <c r="AA21">
        <v>95.31334633300861</v>
      </c>
      <c r="AB21">
        <v>95.372764962724645</v>
      </c>
      <c r="AC21">
        <v>95.440967376263544</v>
      </c>
      <c r="AD21">
        <v>95.501821994264105</v>
      </c>
      <c r="AE21">
        <v>95.568500572604336</v>
      </c>
      <c r="AF21">
        <v>95.620516401423373</v>
      </c>
      <c r="AG21">
        <v>95.679386798782289</v>
      </c>
      <c r="AH21">
        <v>95.734094160158435</v>
      </c>
      <c r="AI21">
        <v>95.790686825159568</v>
      </c>
      <c r="AJ21">
        <v>95.848144027493191</v>
      </c>
      <c r="AK21">
        <v>95.909826427085378</v>
      </c>
      <c r="AL21">
        <v>95.97232041400872</v>
      </c>
      <c r="AM21">
        <v>96.020408071071401</v>
      </c>
      <c r="AN21">
        <v>96.079502445582207</v>
      </c>
      <c r="AO21">
        <v>96.120103612853882</v>
      </c>
      <c r="AP21">
        <v>96.168552414791236</v>
      </c>
      <c r="AQ21">
        <v>96.230389436114791</v>
      </c>
      <c r="AR21">
        <v>96.287500722062191</v>
      </c>
      <c r="AS21">
        <v>96.342020613605342</v>
      </c>
      <c r="AT21">
        <v>96.396048206612505</v>
      </c>
      <c r="AU21">
        <v>96.450880916578328</v>
      </c>
      <c r="AV21">
        <v>96.495935379259251</v>
      </c>
      <c r="AW21">
        <v>96.543720276442386</v>
      </c>
      <c r="AX21">
        <v>96.596783752289411</v>
      </c>
      <c r="AY21">
        <v>96.663052563426405</v>
      </c>
      <c r="AZ21">
        <v>96.717816401861697</v>
      </c>
      <c r="BA21">
        <v>96.765347972246488</v>
      </c>
      <c r="BB21">
        <v>96.820425039596614</v>
      </c>
      <c r="BC21">
        <v>96.870384160744095</v>
      </c>
      <c r="BD21">
        <v>96.930297596766451</v>
      </c>
      <c r="BE21">
        <v>96.998387476071386</v>
      </c>
      <c r="BF21">
        <v>97.061183255542403</v>
      </c>
      <c r="BG21">
        <v>97.105170793672315</v>
      </c>
      <c r="BH21">
        <v>97.164663050070487</v>
      </c>
      <c r="BI21">
        <v>97.216391913393068</v>
      </c>
      <c r="BJ21">
        <v>97.264569698300363</v>
      </c>
      <c r="BK21">
        <v>97.309657907118122</v>
      </c>
      <c r="BL21">
        <v>97.356326131636123</v>
      </c>
      <c r="BM21">
        <v>97.417937154035641</v>
      </c>
      <c r="BN21">
        <v>97.474091108245986</v>
      </c>
      <c r="BO21">
        <v>97.520368414340282</v>
      </c>
      <c r="BP21">
        <v>97.56260844543506</v>
      </c>
      <c r="BQ21">
        <v>97.631181932475741</v>
      </c>
      <c r="BR21">
        <v>97.680727804391992</v>
      </c>
      <c r="BS21">
        <v>97.725467756005941</v>
      </c>
      <c r="BT21">
        <v>97.789581244211249</v>
      </c>
      <c r="BU21">
        <v>97.847871703880742</v>
      </c>
      <c r="BV21">
        <v>97.898851719355093</v>
      </c>
      <c r="BW21">
        <v>97.950279146754056</v>
      </c>
      <c r="BX21">
        <v>97.999947337092877</v>
      </c>
      <c r="BY21">
        <v>98.041170099149667</v>
      </c>
      <c r="BZ21">
        <v>98.090649472864783</v>
      </c>
      <c r="CA21">
        <v>98.154307262465579</v>
      </c>
      <c r="CB21">
        <v>98.212564642462056</v>
      </c>
      <c r="CC21">
        <v>98.271648573469491</v>
      </c>
      <c r="CD21">
        <v>98.327779212965368</v>
      </c>
      <c r="CE21">
        <v>98.377680029623889</v>
      </c>
      <c r="CF21">
        <v>98.445819118735258</v>
      </c>
      <c r="CG21">
        <v>98.500917627225618</v>
      </c>
      <c r="CH21">
        <v>98.556962968684175</v>
      </c>
      <c r="CI21">
        <v>98.598857272799492</v>
      </c>
      <c r="CJ21">
        <v>98.655053679179957</v>
      </c>
      <c r="CK21">
        <v>98.706437445576626</v>
      </c>
      <c r="CL21">
        <v>98.75848467339452</v>
      </c>
      <c r="CM21">
        <v>98.812894876454152</v>
      </c>
      <c r="CN21">
        <v>98.886573643397398</v>
      </c>
      <c r="CO21">
        <v>98.947820513353477</v>
      </c>
      <c r="CP21">
        <v>99.005415670839554</v>
      </c>
      <c r="CQ21">
        <v>99.054584900696909</v>
      </c>
      <c r="CR21">
        <v>99.129493548642927</v>
      </c>
      <c r="CS21">
        <v>99.186692862150906</v>
      </c>
      <c r="CT21">
        <v>99.238856690409321</v>
      </c>
      <c r="CU21">
        <v>99.288969674802516</v>
      </c>
      <c r="CV21">
        <v>99.357016394784679</v>
      </c>
      <c r="CW21">
        <v>99.421601727513291</v>
      </c>
      <c r="CX21">
        <v>99.490880192722869</v>
      </c>
      <c r="CY21">
        <v>99.558995855837864</v>
      </c>
      <c r="CZ21">
        <v>99.621494682102764</v>
      </c>
      <c r="DA21">
        <v>99.675763454112811</v>
      </c>
      <c r="DB21">
        <v>99.738773735259954</v>
      </c>
      <c r="DC21">
        <v>99.789735014093353</v>
      </c>
      <c r="DD21">
        <v>99.855195096464385</v>
      </c>
      <c r="DE21">
        <v>99.901855497275051</v>
      </c>
      <c r="DF21">
        <v>99.980781951226078</v>
      </c>
      <c r="DG21">
        <v>100.04969595170429</v>
      </c>
      <c r="DH21">
        <v>100.11314205968313</v>
      </c>
      <c r="DI21">
        <v>100.18824964822102</v>
      </c>
      <c r="DJ21">
        <v>100.25640472605902</v>
      </c>
      <c r="DK21">
        <v>100.35533258560567</v>
      </c>
      <c r="DL21">
        <v>100.43179489848752</v>
      </c>
      <c r="DM21">
        <v>100.50064265539419</v>
      </c>
      <c r="DN21">
        <v>100.57252723780441</v>
      </c>
      <c r="DO21">
        <v>100.65388110861626</v>
      </c>
      <c r="DP21">
        <v>100.72153828460638</v>
      </c>
      <c r="DQ21">
        <v>100.79224306422923</v>
      </c>
      <c r="DR21">
        <v>100.87715062021731</v>
      </c>
      <c r="DS21">
        <v>100.93764914681897</v>
      </c>
      <c r="DT21">
        <v>101.00761107508232</v>
      </c>
      <c r="DU21">
        <v>101.07323591406048</v>
      </c>
      <c r="DV21">
        <v>101.15253162784174</v>
      </c>
      <c r="DW21">
        <v>101.21353146911089</v>
      </c>
      <c r="DX21">
        <v>101.29962889767813</v>
      </c>
      <c r="DY21">
        <v>101.39707021506656</v>
      </c>
      <c r="DZ21">
        <v>101.48413348604288</v>
      </c>
      <c r="EA21">
        <v>101.54038178557869</v>
      </c>
      <c r="EB21">
        <v>101.61215989319298</v>
      </c>
      <c r="EC21">
        <v>101.7232291063424</v>
      </c>
      <c r="ED21">
        <v>101.79769247429718</v>
      </c>
      <c r="EE21">
        <v>101.88344090473775</v>
      </c>
      <c r="EF21">
        <v>101.98892693020898</v>
      </c>
      <c r="EG21">
        <v>102.08504069244837</v>
      </c>
      <c r="EH21">
        <v>102.16144362356494</v>
      </c>
      <c r="EI21">
        <v>102.24018266450946</v>
      </c>
      <c r="EJ21">
        <v>102.32728933306785</v>
      </c>
      <c r="EK21">
        <v>102.4137080049436</v>
      </c>
      <c r="EL21">
        <v>102.50378452832521</v>
      </c>
      <c r="EM21">
        <v>102.61569068781951</v>
      </c>
      <c r="EN21">
        <v>102.71648126657421</v>
      </c>
      <c r="EO21">
        <v>102.81389053415738</v>
      </c>
      <c r="EP21">
        <v>102.91364812339577</v>
      </c>
      <c r="EQ21">
        <v>103.00101327239486</v>
      </c>
      <c r="ER21">
        <v>103.11492610957049</v>
      </c>
      <c r="ES21">
        <v>103.21588238662369</v>
      </c>
      <c r="ET21">
        <v>103.31097076307056</v>
      </c>
      <c r="EU21">
        <v>103.41096312596412</v>
      </c>
      <c r="EV21">
        <v>103.50145442106361</v>
      </c>
      <c r="EW21">
        <v>103.5764983347208</v>
      </c>
      <c r="EX21">
        <v>103.68807536887104</v>
      </c>
      <c r="EY21">
        <v>103.79748043828576</v>
      </c>
      <c r="EZ21">
        <v>103.89267057912684</v>
      </c>
      <c r="FA21">
        <v>104.02437459197807</v>
      </c>
      <c r="FB21">
        <v>104.18543916285451</v>
      </c>
      <c r="FC21">
        <v>104.32129438087091</v>
      </c>
      <c r="FD21">
        <v>104.43456532503001</v>
      </c>
      <c r="FE21">
        <v>104.56254603640518</v>
      </c>
      <c r="FF21">
        <v>104.68546893683637</v>
      </c>
      <c r="FG21">
        <v>104.82697534223608</v>
      </c>
      <c r="FH21">
        <v>104.94004884079212</v>
      </c>
      <c r="FI21">
        <v>105.05894732752847</v>
      </c>
      <c r="FJ21">
        <v>105.1929424509372</v>
      </c>
      <c r="FK21">
        <v>105.33581347884346</v>
      </c>
      <c r="FL21">
        <v>105.49032166035647</v>
      </c>
      <c r="FM21">
        <v>105.69641843890122</v>
      </c>
      <c r="FN21">
        <v>105.86898359613073</v>
      </c>
      <c r="FO21">
        <v>105.99485544379895</v>
      </c>
      <c r="FP21">
        <v>106.17287240296554</v>
      </c>
      <c r="FQ21">
        <v>106.32291964544062</v>
      </c>
      <c r="FR21">
        <v>106.49975983910022</v>
      </c>
      <c r="FS21">
        <v>106.7036308884354</v>
      </c>
      <c r="FT21">
        <v>106.89524513999594</v>
      </c>
      <c r="FU21">
        <v>107.06511706985097</v>
      </c>
      <c r="FV21">
        <v>107.2739139498149</v>
      </c>
      <c r="FW21">
        <v>107.55268200157107</v>
      </c>
      <c r="FX21">
        <v>107.76287480522878</v>
      </c>
      <c r="FY21">
        <v>107.9895478417845</v>
      </c>
      <c r="FZ21">
        <v>108.21028959098238</v>
      </c>
      <c r="GA21">
        <v>108.43573578198999</v>
      </c>
      <c r="GB21">
        <v>108.71441795024511</v>
      </c>
      <c r="GC21">
        <v>108.95008998991993</v>
      </c>
      <c r="GD21">
        <v>109.26786553787672</v>
      </c>
      <c r="GE21">
        <v>109.58408113863018</v>
      </c>
      <c r="GF21">
        <v>109.94460469332621</v>
      </c>
      <c r="GG21">
        <v>110.34564839758011</v>
      </c>
      <c r="GH21">
        <v>110.82434693711497</v>
      </c>
      <c r="GI21">
        <v>111.22312255146286</v>
      </c>
      <c r="GJ21">
        <v>111.65194291179822</v>
      </c>
      <c r="GK21">
        <v>112.40782908428827</v>
      </c>
      <c r="GL21">
        <v>113.0624823052691</v>
      </c>
      <c r="GM21">
        <v>113.99562925440546</v>
      </c>
      <c r="GN21">
        <v>115.00803053222518</v>
      </c>
      <c r="GO21">
        <v>116.04169016599764</v>
      </c>
      <c r="GP21">
        <v>117.80097095182794</v>
      </c>
      <c r="GQ21">
        <v>121.13505625006557</v>
      </c>
      <c r="GR21">
        <v>100.4948121099324</v>
      </c>
      <c r="GT21" s="8">
        <v>45321</v>
      </c>
      <c r="GU21">
        <v>106.648459</v>
      </c>
    </row>
    <row r="22" spans="1:203" x14ac:dyDescent="0.45">
      <c r="A22">
        <v>91.117719131106</v>
      </c>
      <c r="B22">
        <v>91.783760401101574</v>
      </c>
      <c r="C22">
        <v>92.155220426330473</v>
      </c>
      <c r="D22">
        <v>92.498448628935449</v>
      </c>
      <c r="E22">
        <v>92.706809140351979</v>
      </c>
      <c r="F22">
        <v>92.933361147998468</v>
      </c>
      <c r="G22">
        <v>93.126473803080302</v>
      </c>
      <c r="H22">
        <v>93.331289031183076</v>
      </c>
      <c r="I22">
        <v>93.486689267019074</v>
      </c>
      <c r="J22">
        <v>93.679571613306734</v>
      </c>
      <c r="K22">
        <v>93.811546887184321</v>
      </c>
      <c r="L22">
        <v>93.964095798278464</v>
      </c>
      <c r="M22">
        <v>94.071413838319572</v>
      </c>
      <c r="N22">
        <v>94.201660325386399</v>
      </c>
      <c r="O22">
        <v>94.304301937330266</v>
      </c>
      <c r="P22">
        <v>94.371151658682194</v>
      </c>
      <c r="Q22">
        <v>94.435746702940421</v>
      </c>
      <c r="R22">
        <v>94.51629791827142</v>
      </c>
      <c r="S22">
        <v>94.602957661399685</v>
      </c>
      <c r="T22">
        <v>94.689272160389194</v>
      </c>
      <c r="U22">
        <v>94.758288766077214</v>
      </c>
      <c r="V22">
        <v>94.846585670495514</v>
      </c>
      <c r="W22">
        <v>94.928940330964039</v>
      </c>
      <c r="X22">
        <v>95.000402465634423</v>
      </c>
      <c r="Y22">
        <v>95.060320455097298</v>
      </c>
      <c r="Z22">
        <v>95.113303417097256</v>
      </c>
      <c r="AA22">
        <v>95.181118212686926</v>
      </c>
      <c r="AB22">
        <v>95.240788147782681</v>
      </c>
      <c r="AC22">
        <v>95.30377554621694</v>
      </c>
      <c r="AD22">
        <v>95.372156154275842</v>
      </c>
      <c r="AE22">
        <v>95.425283951785872</v>
      </c>
      <c r="AF22">
        <v>95.488412869103144</v>
      </c>
      <c r="AG22">
        <v>95.550442512490832</v>
      </c>
      <c r="AH22">
        <v>95.606607315920627</v>
      </c>
      <c r="AI22">
        <v>95.666056331603045</v>
      </c>
      <c r="AJ22">
        <v>95.725909212583943</v>
      </c>
      <c r="AK22">
        <v>95.795391476294071</v>
      </c>
      <c r="AL22">
        <v>95.859626892115585</v>
      </c>
      <c r="AM22">
        <v>95.916120583797294</v>
      </c>
      <c r="AN22">
        <v>95.95802970055108</v>
      </c>
      <c r="AO22">
        <v>96.01088323550394</v>
      </c>
      <c r="AP22">
        <v>96.07262053908191</v>
      </c>
      <c r="AQ22">
        <v>96.122314996498858</v>
      </c>
      <c r="AR22">
        <v>96.176348774282332</v>
      </c>
      <c r="AS22">
        <v>96.238060360403281</v>
      </c>
      <c r="AT22">
        <v>96.288579218029071</v>
      </c>
      <c r="AU22">
        <v>96.348242980889353</v>
      </c>
      <c r="AV22">
        <v>96.420650436550929</v>
      </c>
      <c r="AW22">
        <v>96.473705633171377</v>
      </c>
      <c r="AX22">
        <v>96.525778164498306</v>
      </c>
      <c r="AY22">
        <v>96.58806526456523</v>
      </c>
      <c r="AZ22">
        <v>96.637168159274168</v>
      </c>
      <c r="BA22">
        <v>96.687805879545223</v>
      </c>
      <c r="BB22">
        <v>96.742674323303675</v>
      </c>
      <c r="BC22">
        <v>96.809133111635873</v>
      </c>
      <c r="BD22">
        <v>96.845895730615013</v>
      </c>
      <c r="BE22">
        <v>96.900534541677203</v>
      </c>
      <c r="BF22">
        <v>96.95671673833418</v>
      </c>
      <c r="BG22">
        <v>97.005605094890626</v>
      </c>
      <c r="BH22">
        <v>97.076067438711959</v>
      </c>
      <c r="BI22">
        <v>97.135462675570821</v>
      </c>
      <c r="BJ22">
        <v>97.18216567624107</v>
      </c>
      <c r="BK22">
        <v>97.232299562677341</v>
      </c>
      <c r="BL22">
        <v>97.289086962316176</v>
      </c>
      <c r="BM22">
        <v>97.3442764540751</v>
      </c>
      <c r="BN22">
        <v>97.399278103372765</v>
      </c>
      <c r="BO22">
        <v>97.447504906676812</v>
      </c>
      <c r="BP22">
        <v>97.498469815411099</v>
      </c>
      <c r="BQ22">
        <v>97.555249998248883</v>
      </c>
      <c r="BR22">
        <v>97.612282916721867</v>
      </c>
      <c r="BS22">
        <v>97.659009462164377</v>
      </c>
      <c r="BT22">
        <v>97.705533827926345</v>
      </c>
      <c r="BU22">
        <v>97.766826604660068</v>
      </c>
      <c r="BV22">
        <v>97.820668051170188</v>
      </c>
      <c r="BW22">
        <v>97.872752832085169</v>
      </c>
      <c r="BX22">
        <v>97.930054688904207</v>
      </c>
      <c r="BY22">
        <v>97.982340656426217</v>
      </c>
      <c r="BZ22">
        <v>98.04090017429435</v>
      </c>
      <c r="CA22">
        <v>98.099019658238404</v>
      </c>
      <c r="CB22">
        <v>98.156447810113349</v>
      </c>
      <c r="CC22">
        <v>98.208287352193651</v>
      </c>
      <c r="CD22">
        <v>98.26159153224657</v>
      </c>
      <c r="CE22">
        <v>98.318908386677819</v>
      </c>
      <c r="CF22">
        <v>98.367409155098414</v>
      </c>
      <c r="CG22">
        <v>98.424632397533827</v>
      </c>
      <c r="CH22">
        <v>98.472741744576965</v>
      </c>
      <c r="CI22">
        <v>98.52706695338739</v>
      </c>
      <c r="CJ22">
        <v>98.605082834055537</v>
      </c>
      <c r="CK22">
        <v>98.654365436295421</v>
      </c>
      <c r="CL22">
        <v>98.707857178756839</v>
      </c>
      <c r="CM22">
        <v>98.758695169311409</v>
      </c>
      <c r="CN22">
        <v>98.8242588345271</v>
      </c>
      <c r="CO22">
        <v>98.898912340330199</v>
      </c>
      <c r="CP22">
        <v>98.946531377221277</v>
      </c>
      <c r="CQ22">
        <v>99.01197916596891</v>
      </c>
      <c r="CR22">
        <v>99.081221383153903</v>
      </c>
      <c r="CS22">
        <v>99.13862502848319</v>
      </c>
      <c r="CT22">
        <v>99.190074803492749</v>
      </c>
      <c r="CU22">
        <v>99.25272380235576</v>
      </c>
      <c r="CV22">
        <v>99.318336268152791</v>
      </c>
      <c r="CW22">
        <v>99.377427106186971</v>
      </c>
      <c r="CX22">
        <v>99.427212541718632</v>
      </c>
      <c r="CY22">
        <v>99.491649964474277</v>
      </c>
      <c r="CZ22">
        <v>99.560472140034349</v>
      </c>
      <c r="DA22">
        <v>99.638839082694545</v>
      </c>
      <c r="DB22">
        <v>99.698823509342446</v>
      </c>
      <c r="DC22">
        <v>99.769610922149695</v>
      </c>
      <c r="DD22">
        <v>99.82207972209666</v>
      </c>
      <c r="DE22">
        <v>99.889250417600209</v>
      </c>
      <c r="DF22">
        <v>99.956435818067334</v>
      </c>
      <c r="DG22">
        <v>100.01766610083274</v>
      </c>
      <c r="DH22">
        <v>100.07289715980799</v>
      </c>
      <c r="DI22">
        <v>100.13258155944646</v>
      </c>
      <c r="DJ22">
        <v>100.19424478484963</v>
      </c>
      <c r="DK22">
        <v>100.26775181575857</v>
      </c>
      <c r="DL22">
        <v>100.34050520390974</v>
      </c>
      <c r="DM22">
        <v>100.41391686476662</v>
      </c>
      <c r="DN22">
        <v>100.48666500035226</v>
      </c>
      <c r="DO22">
        <v>100.57988360121763</v>
      </c>
      <c r="DP22">
        <v>100.64668812582494</v>
      </c>
      <c r="DQ22">
        <v>100.73205329628207</v>
      </c>
      <c r="DR22">
        <v>100.80934628143496</v>
      </c>
      <c r="DS22">
        <v>100.88632586878914</v>
      </c>
      <c r="DT22">
        <v>100.96005491331461</v>
      </c>
      <c r="DU22">
        <v>101.03981883959703</v>
      </c>
      <c r="DV22">
        <v>101.13294184127287</v>
      </c>
      <c r="DW22">
        <v>101.2108641618325</v>
      </c>
      <c r="DX22">
        <v>101.28620822597256</v>
      </c>
      <c r="DY22">
        <v>101.37096233227777</v>
      </c>
      <c r="DZ22">
        <v>101.4491855618903</v>
      </c>
      <c r="EA22">
        <v>101.52397607837227</v>
      </c>
      <c r="EB22">
        <v>101.60316686378852</v>
      </c>
      <c r="EC22">
        <v>101.68317537325967</v>
      </c>
      <c r="ED22">
        <v>101.76213076996153</v>
      </c>
      <c r="EE22">
        <v>101.8569944092916</v>
      </c>
      <c r="EF22">
        <v>101.94219381069281</v>
      </c>
      <c r="EG22">
        <v>102.02337273967893</v>
      </c>
      <c r="EH22">
        <v>102.09528469858533</v>
      </c>
      <c r="EI22">
        <v>102.19457392270509</v>
      </c>
      <c r="EJ22">
        <v>102.30357884675342</v>
      </c>
      <c r="EK22">
        <v>102.40570432267013</v>
      </c>
      <c r="EL22">
        <v>102.51635114024228</v>
      </c>
      <c r="EM22">
        <v>102.62415594464184</v>
      </c>
      <c r="EN22">
        <v>102.69851468608296</v>
      </c>
      <c r="EO22">
        <v>102.7951583960056</v>
      </c>
      <c r="EP22">
        <v>102.93894931701359</v>
      </c>
      <c r="EQ22">
        <v>103.08036297225189</v>
      </c>
      <c r="ER22">
        <v>103.16814018619985</v>
      </c>
      <c r="ES22">
        <v>103.2616265264937</v>
      </c>
      <c r="ET22">
        <v>103.37080960538309</v>
      </c>
      <c r="EU22">
        <v>103.47854693764836</v>
      </c>
      <c r="EV22">
        <v>103.58422913780038</v>
      </c>
      <c r="EW22">
        <v>103.6754702988689</v>
      </c>
      <c r="EX22">
        <v>103.78372115331373</v>
      </c>
      <c r="EY22">
        <v>103.88610641053378</v>
      </c>
      <c r="EZ22">
        <v>104.0308724884201</v>
      </c>
      <c r="FA22">
        <v>104.15140866100269</v>
      </c>
      <c r="FB22">
        <v>104.23335015123291</v>
      </c>
      <c r="FC22">
        <v>104.34401344428778</v>
      </c>
      <c r="FD22">
        <v>104.47221201520858</v>
      </c>
      <c r="FE22">
        <v>104.59650993568762</v>
      </c>
      <c r="FF22">
        <v>104.71609264113467</v>
      </c>
      <c r="FG22">
        <v>104.84259864170758</v>
      </c>
      <c r="FH22">
        <v>104.97091977205197</v>
      </c>
      <c r="FI22">
        <v>105.11103272220647</v>
      </c>
      <c r="FJ22">
        <v>105.27281562336547</v>
      </c>
      <c r="FK22">
        <v>105.42640660385527</v>
      </c>
      <c r="FL22">
        <v>105.59259058414348</v>
      </c>
      <c r="FM22">
        <v>105.76978836084947</v>
      </c>
      <c r="FN22">
        <v>105.90212047131689</v>
      </c>
      <c r="FO22">
        <v>106.06483208686335</v>
      </c>
      <c r="FP22">
        <v>106.22537153136706</v>
      </c>
      <c r="FQ22">
        <v>106.43709181714249</v>
      </c>
      <c r="FR22">
        <v>106.63894351256857</v>
      </c>
      <c r="FS22">
        <v>106.86151596953698</v>
      </c>
      <c r="FT22">
        <v>107.06816934361318</v>
      </c>
      <c r="FU22">
        <v>107.23646529987849</v>
      </c>
      <c r="FV22">
        <v>107.44243486097869</v>
      </c>
      <c r="FW22">
        <v>107.63000442782884</v>
      </c>
      <c r="FX22">
        <v>107.84478494698845</v>
      </c>
      <c r="FY22">
        <v>108.03462852867203</v>
      </c>
      <c r="FZ22">
        <v>108.27462072571647</v>
      </c>
      <c r="GA22">
        <v>108.5563058851518</v>
      </c>
      <c r="GB22">
        <v>108.84359562239688</v>
      </c>
      <c r="GC22">
        <v>109.18598713024608</v>
      </c>
      <c r="GD22">
        <v>109.4988410080708</v>
      </c>
      <c r="GE22">
        <v>109.84131898471782</v>
      </c>
      <c r="GF22">
        <v>110.17614559220286</v>
      </c>
      <c r="GG22">
        <v>110.55390173149387</v>
      </c>
      <c r="GH22">
        <v>111.07054301279291</v>
      </c>
      <c r="GI22">
        <v>111.64809174052641</v>
      </c>
      <c r="GJ22">
        <v>112.26933668190782</v>
      </c>
      <c r="GK22">
        <v>112.82776718545566</v>
      </c>
      <c r="GL22">
        <v>113.44873525804338</v>
      </c>
      <c r="GM22">
        <v>114.49308974964886</v>
      </c>
      <c r="GN22">
        <v>115.43994733724456</v>
      </c>
      <c r="GO22">
        <v>116.53677076543643</v>
      </c>
      <c r="GP22">
        <v>118.55116022946038</v>
      </c>
      <c r="GQ22">
        <v>121.56300404076981</v>
      </c>
      <c r="GR22">
        <v>100.48393957618552</v>
      </c>
      <c r="GT22" s="8">
        <v>45322</v>
      </c>
      <c r="GU22">
        <v>105.446046</v>
      </c>
    </row>
    <row r="23" spans="1:203" x14ac:dyDescent="0.45">
      <c r="A23">
        <v>90.915822499656684</v>
      </c>
      <c r="B23">
        <v>91.710320589139954</v>
      </c>
      <c r="C23">
        <v>92.032369649066098</v>
      </c>
      <c r="D23">
        <v>92.335637515085665</v>
      </c>
      <c r="E23">
        <v>92.588208466998239</v>
      </c>
      <c r="F23">
        <v>92.791381579123041</v>
      </c>
      <c r="G23">
        <v>93.033367908974654</v>
      </c>
      <c r="H23">
        <v>93.214550508441548</v>
      </c>
      <c r="I23">
        <v>93.359254728016523</v>
      </c>
      <c r="J23">
        <v>93.500362468667106</v>
      </c>
      <c r="K23">
        <v>93.625480794686041</v>
      </c>
      <c r="L23">
        <v>93.753678471583811</v>
      </c>
      <c r="M23">
        <v>93.896608456412977</v>
      </c>
      <c r="N23">
        <v>94.011842897801287</v>
      </c>
      <c r="O23">
        <v>94.114296717669973</v>
      </c>
      <c r="P23">
        <v>94.225091474548705</v>
      </c>
      <c r="Q23">
        <v>94.334958553741231</v>
      </c>
      <c r="R23">
        <v>94.414408205129618</v>
      </c>
      <c r="S23">
        <v>94.498322226563815</v>
      </c>
      <c r="T23">
        <v>94.567735761091726</v>
      </c>
      <c r="U23">
        <v>94.632088412401515</v>
      </c>
      <c r="V23">
        <v>94.725394879372359</v>
      </c>
      <c r="W23">
        <v>94.809455210058971</v>
      </c>
      <c r="X23">
        <v>94.885843836368366</v>
      </c>
      <c r="Y23">
        <v>94.954240756573597</v>
      </c>
      <c r="Z23">
        <v>95.009399847840157</v>
      </c>
      <c r="AA23">
        <v>95.080684808040189</v>
      </c>
      <c r="AB23">
        <v>95.143197305901495</v>
      </c>
      <c r="AC23">
        <v>95.207793846310636</v>
      </c>
      <c r="AD23">
        <v>95.269885629710359</v>
      </c>
      <c r="AE23">
        <v>95.325912024487749</v>
      </c>
      <c r="AF23">
        <v>95.395326991001411</v>
      </c>
      <c r="AG23">
        <v>95.45016142085332</v>
      </c>
      <c r="AH23">
        <v>95.507354074935108</v>
      </c>
      <c r="AI23">
        <v>95.565885187260051</v>
      </c>
      <c r="AJ23">
        <v>95.615655768232969</v>
      </c>
      <c r="AK23">
        <v>95.661533230813021</v>
      </c>
      <c r="AL23">
        <v>95.717283475130898</v>
      </c>
      <c r="AM23">
        <v>95.791176545444671</v>
      </c>
      <c r="AN23">
        <v>95.854458050440755</v>
      </c>
      <c r="AO23">
        <v>95.917734658707431</v>
      </c>
      <c r="AP23">
        <v>95.997667170538392</v>
      </c>
      <c r="AQ23">
        <v>96.050013215923684</v>
      </c>
      <c r="AR23">
        <v>96.116350141401071</v>
      </c>
      <c r="AS23">
        <v>96.183742943698633</v>
      </c>
      <c r="AT23">
        <v>96.227805494234246</v>
      </c>
      <c r="AU23">
        <v>96.27944785663982</v>
      </c>
      <c r="AV23">
        <v>96.351809960112192</v>
      </c>
      <c r="AW23">
        <v>96.408518439377403</v>
      </c>
      <c r="AX23">
        <v>96.474947343729298</v>
      </c>
      <c r="AY23">
        <v>96.522441137397223</v>
      </c>
      <c r="AZ23">
        <v>96.570857709293676</v>
      </c>
      <c r="BA23">
        <v>96.61984451810099</v>
      </c>
      <c r="BB23">
        <v>96.672167259873291</v>
      </c>
      <c r="BC23">
        <v>96.723338673462891</v>
      </c>
      <c r="BD23">
        <v>96.77448392925541</v>
      </c>
      <c r="BE23">
        <v>96.836989332978717</v>
      </c>
      <c r="BF23">
        <v>96.90153373007378</v>
      </c>
      <c r="BG23">
        <v>96.95521786424176</v>
      </c>
      <c r="BH23">
        <v>97.013170895412131</v>
      </c>
      <c r="BI23">
        <v>97.072736174823149</v>
      </c>
      <c r="BJ23">
        <v>97.128293410588483</v>
      </c>
      <c r="BK23">
        <v>97.187236640802581</v>
      </c>
      <c r="BL23">
        <v>97.241466441380183</v>
      </c>
      <c r="BM23">
        <v>97.291539621224118</v>
      </c>
      <c r="BN23">
        <v>97.354722542696152</v>
      </c>
      <c r="BO23">
        <v>97.401605405441131</v>
      </c>
      <c r="BP23">
        <v>97.443296182222795</v>
      </c>
      <c r="BQ23">
        <v>97.513116018949987</v>
      </c>
      <c r="BR23">
        <v>97.568963512093234</v>
      </c>
      <c r="BS23">
        <v>97.62680874708542</v>
      </c>
      <c r="BT23">
        <v>97.686607264247115</v>
      </c>
      <c r="BU23">
        <v>97.743528833301298</v>
      </c>
      <c r="BV23">
        <v>97.799430514464632</v>
      </c>
      <c r="BW23">
        <v>97.850032906748879</v>
      </c>
      <c r="BX23">
        <v>97.907263842319921</v>
      </c>
      <c r="BY23">
        <v>97.968806007494379</v>
      </c>
      <c r="BZ23">
        <v>98.022651764219916</v>
      </c>
      <c r="CA23">
        <v>98.068085791911543</v>
      </c>
      <c r="CB23">
        <v>98.119913444023013</v>
      </c>
      <c r="CC23">
        <v>98.186697718522311</v>
      </c>
      <c r="CD23">
        <v>98.244075969882402</v>
      </c>
      <c r="CE23">
        <v>98.292687515370218</v>
      </c>
      <c r="CF23">
        <v>98.342274972553781</v>
      </c>
      <c r="CG23">
        <v>98.391092431076984</v>
      </c>
      <c r="CH23">
        <v>98.443113187847516</v>
      </c>
      <c r="CI23">
        <v>98.503253794633011</v>
      </c>
      <c r="CJ23">
        <v>98.564500930096798</v>
      </c>
      <c r="CK23">
        <v>98.617203276943982</v>
      </c>
      <c r="CL23">
        <v>98.668710298834995</v>
      </c>
      <c r="CM23">
        <v>98.730861684717553</v>
      </c>
      <c r="CN23">
        <v>98.798960589599133</v>
      </c>
      <c r="CO23">
        <v>98.868078526246592</v>
      </c>
      <c r="CP23">
        <v>98.926873438561287</v>
      </c>
      <c r="CQ23">
        <v>98.985785117223656</v>
      </c>
      <c r="CR23">
        <v>99.050228105818704</v>
      </c>
      <c r="CS23">
        <v>99.109874632287443</v>
      </c>
      <c r="CT23">
        <v>99.162914872250141</v>
      </c>
      <c r="CU23">
        <v>99.216009556768682</v>
      </c>
      <c r="CV23">
        <v>99.288418501291133</v>
      </c>
      <c r="CW23">
        <v>99.348761274307975</v>
      </c>
      <c r="CX23">
        <v>99.409845903154221</v>
      </c>
      <c r="CY23">
        <v>99.481496093492112</v>
      </c>
      <c r="CZ23">
        <v>99.534567783369823</v>
      </c>
      <c r="DA23">
        <v>99.610936484336264</v>
      </c>
      <c r="DB23">
        <v>99.672137978527687</v>
      </c>
      <c r="DC23">
        <v>99.735135316430387</v>
      </c>
      <c r="DD23">
        <v>99.820710919857106</v>
      </c>
      <c r="DE23">
        <v>99.883382593942898</v>
      </c>
      <c r="DF23">
        <v>99.957513596962116</v>
      </c>
      <c r="DG23">
        <v>100.03534639207297</v>
      </c>
      <c r="DH23">
        <v>100.09671958091697</v>
      </c>
      <c r="DI23">
        <v>100.17917457684239</v>
      </c>
      <c r="DJ23">
        <v>100.25786072086898</v>
      </c>
      <c r="DK23">
        <v>100.32821035845697</v>
      </c>
      <c r="DL23">
        <v>100.38317471317963</v>
      </c>
      <c r="DM23">
        <v>100.46707406511204</v>
      </c>
      <c r="DN23">
        <v>100.5332544735018</v>
      </c>
      <c r="DO23">
        <v>100.5964057952266</v>
      </c>
      <c r="DP23">
        <v>100.66974961050452</v>
      </c>
      <c r="DQ23">
        <v>100.74307229026527</v>
      </c>
      <c r="DR23">
        <v>100.81725722978965</v>
      </c>
      <c r="DS23">
        <v>100.90215921408439</v>
      </c>
      <c r="DT23">
        <v>100.97262248856427</v>
      </c>
      <c r="DU23">
        <v>101.05221562801404</v>
      </c>
      <c r="DV23">
        <v>101.11694838300464</v>
      </c>
      <c r="DW23">
        <v>101.18996862861572</v>
      </c>
      <c r="DX23">
        <v>101.26862559617629</v>
      </c>
      <c r="DY23">
        <v>101.36795787671804</v>
      </c>
      <c r="DZ23">
        <v>101.45641546362593</v>
      </c>
      <c r="EA23">
        <v>101.53783250511422</v>
      </c>
      <c r="EB23">
        <v>101.61891440163889</v>
      </c>
      <c r="EC23">
        <v>101.71953070474254</v>
      </c>
      <c r="ED23">
        <v>101.82098925236774</v>
      </c>
      <c r="EE23">
        <v>101.90094870678342</v>
      </c>
      <c r="EF23">
        <v>101.98664823554658</v>
      </c>
      <c r="EG23">
        <v>102.06464797201259</v>
      </c>
      <c r="EH23">
        <v>102.16812010139549</v>
      </c>
      <c r="EI23">
        <v>102.24925506614109</v>
      </c>
      <c r="EJ23">
        <v>102.33236231169165</v>
      </c>
      <c r="EK23">
        <v>102.4657897918471</v>
      </c>
      <c r="EL23">
        <v>102.56823168126922</v>
      </c>
      <c r="EM23">
        <v>102.65034538338824</v>
      </c>
      <c r="EN23">
        <v>102.76101296760469</v>
      </c>
      <c r="EO23">
        <v>102.85260921524875</v>
      </c>
      <c r="EP23">
        <v>102.94658443592829</v>
      </c>
      <c r="EQ23">
        <v>103.03908566129658</v>
      </c>
      <c r="ER23">
        <v>103.16637687295649</v>
      </c>
      <c r="ES23">
        <v>103.24162355623899</v>
      </c>
      <c r="ET23">
        <v>103.34256326408712</v>
      </c>
      <c r="EU23">
        <v>103.43272501780854</v>
      </c>
      <c r="EV23">
        <v>103.54566382808123</v>
      </c>
      <c r="EW23">
        <v>103.64859849097849</v>
      </c>
      <c r="EX23">
        <v>103.76608266038251</v>
      </c>
      <c r="EY23">
        <v>103.90544819698439</v>
      </c>
      <c r="EZ23">
        <v>104.04738616865967</v>
      </c>
      <c r="FA23">
        <v>104.15071756005864</v>
      </c>
      <c r="FB23">
        <v>104.30689159215326</v>
      </c>
      <c r="FC23">
        <v>104.41678369151107</v>
      </c>
      <c r="FD23">
        <v>104.51689393023464</v>
      </c>
      <c r="FE23">
        <v>104.66494029772295</v>
      </c>
      <c r="FF23">
        <v>104.79455231146578</v>
      </c>
      <c r="FG23">
        <v>104.92845430392417</v>
      </c>
      <c r="FH23">
        <v>105.09196592796009</v>
      </c>
      <c r="FI23">
        <v>105.2544773108314</v>
      </c>
      <c r="FJ23">
        <v>105.40406851308977</v>
      </c>
      <c r="FK23">
        <v>105.56402858165174</v>
      </c>
      <c r="FL23">
        <v>105.69702430837141</v>
      </c>
      <c r="FM23">
        <v>105.83788428374072</v>
      </c>
      <c r="FN23">
        <v>106.01771886940628</v>
      </c>
      <c r="FO23">
        <v>106.17041784544995</v>
      </c>
      <c r="FP23">
        <v>106.36584989013484</v>
      </c>
      <c r="FQ23">
        <v>106.56279701880905</v>
      </c>
      <c r="FR23">
        <v>106.75910782712249</v>
      </c>
      <c r="FS23">
        <v>106.98176971924593</v>
      </c>
      <c r="FT23">
        <v>107.22047267249293</v>
      </c>
      <c r="FU23">
        <v>107.41205999121163</v>
      </c>
      <c r="FV23">
        <v>107.64875155177911</v>
      </c>
      <c r="FW23">
        <v>107.83962310598312</v>
      </c>
      <c r="FX23">
        <v>108.03007850244592</v>
      </c>
      <c r="FY23">
        <v>108.24517832398301</v>
      </c>
      <c r="FZ23">
        <v>108.52861358097515</v>
      </c>
      <c r="GA23">
        <v>108.87333200733887</v>
      </c>
      <c r="GB23">
        <v>109.16900533369684</v>
      </c>
      <c r="GC23">
        <v>109.50250668428204</v>
      </c>
      <c r="GD23">
        <v>109.78098148833155</v>
      </c>
      <c r="GE23">
        <v>110.17178008407535</v>
      </c>
      <c r="GF23">
        <v>110.59182252751233</v>
      </c>
      <c r="GG23">
        <v>111.0009453914129</v>
      </c>
      <c r="GH23">
        <v>111.50957305472757</v>
      </c>
      <c r="GI23">
        <v>112.01132526992174</v>
      </c>
      <c r="GJ23">
        <v>112.54938188998166</v>
      </c>
      <c r="GK23">
        <v>113.14405268516215</v>
      </c>
      <c r="GL23">
        <v>113.79946542750356</v>
      </c>
      <c r="GM23">
        <v>114.82438360910923</v>
      </c>
      <c r="GN23">
        <v>116.03696516564248</v>
      </c>
      <c r="GO23">
        <v>117.51012586846281</v>
      </c>
      <c r="GP23">
        <v>119.01261892508215</v>
      </c>
      <c r="GQ23">
        <v>122.53093705812373</v>
      </c>
      <c r="GR23">
        <v>100.50476072541871</v>
      </c>
      <c r="GT23" s="8">
        <v>45323</v>
      </c>
      <c r="GU23">
        <v>107.826983</v>
      </c>
    </row>
    <row r="24" spans="1:203" x14ac:dyDescent="0.45">
      <c r="A24">
        <v>90.833702100126331</v>
      </c>
      <c r="B24">
        <v>91.552323732411111</v>
      </c>
      <c r="C24">
        <v>91.914429430194858</v>
      </c>
      <c r="D24">
        <v>92.216341605266564</v>
      </c>
      <c r="E24">
        <v>92.430206720429098</v>
      </c>
      <c r="F24">
        <v>92.707782024704954</v>
      </c>
      <c r="G24">
        <v>92.888936683503402</v>
      </c>
      <c r="H24">
        <v>93.061724317324433</v>
      </c>
      <c r="I24">
        <v>93.244173780000224</v>
      </c>
      <c r="J24">
        <v>93.400402058724552</v>
      </c>
      <c r="K24">
        <v>93.56935205710127</v>
      </c>
      <c r="L24">
        <v>93.677635296103475</v>
      </c>
      <c r="M24">
        <v>93.789759132520118</v>
      </c>
      <c r="N24">
        <v>93.90947623490429</v>
      </c>
      <c r="O24">
        <v>94.022539872969688</v>
      </c>
      <c r="P24">
        <v>94.11822272222129</v>
      </c>
      <c r="Q24">
        <v>94.212255700352756</v>
      </c>
      <c r="R24">
        <v>94.306478718648719</v>
      </c>
      <c r="S24">
        <v>94.389013004340782</v>
      </c>
      <c r="T24">
        <v>94.477794150290023</v>
      </c>
      <c r="U24">
        <v>94.551018148850588</v>
      </c>
      <c r="V24">
        <v>94.623883133373042</v>
      </c>
      <c r="W24">
        <v>94.699975980811828</v>
      </c>
      <c r="X24">
        <v>94.784889864450207</v>
      </c>
      <c r="Y24">
        <v>94.860329154502736</v>
      </c>
      <c r="Z24">
        <v>94.934145503371909</v>
      </c>
      <c r="AA24">
        <v>95.023276736262233</v>
      </c>
      <c r="AB24">
        <v>95.08114080059282</v>
      </c>
      <c r="AC24">
        <v>95.141228929586589</v>
      </c>
      <c r="AD24">
        <v>95.211352627835097</v>
      </c>
      <c r="AE24">
        <v>95.275165620519658</v>
      </c>
      <c r="AF24">
        <v>95.333294778513576</v>
      </c>
      <c r="AG24">
        <v>95.384530020057667</v>
      </c>
      <c r="AH24">
        <v>95.442301813325528</v>
      </c>
      <c r="AI24">
        <v>95.493054860710131</v>
      </c>
      <c r="AJ24">
        <v>95.553908502167673</v>
      </c>
      <c r="AK24">
        <v>95.621524092473294</v>
      </c>
      <c r="AL24">
        <v>95.681376348138613</v>
      </c>
      <c r="AM24">
        <v>95.735617935160263</v>
      </c>
      <c r="AN24">
        <v>95.804704352311873</v>
      </c>
      <c r="AO24">
        <v>95.85835629541026</v>
      </c>
      <c r="AP24">
        <v>95.932260195442637</v>
      </c>
      <c r="AQ24">
        <v>95.986483837893005</v>
      </c>
      <c r="AR24">
        <v>96.036812525733509</v>
      </c>
      <c r="AS24">
        <v>96.108013144702397</v>
      </c>
      <c r="AT24">
        <v>96.165589950745414</v>
      </c>
      <c r="AU24">
        <v>96.233136274584282</v>
      </c>
      <c r="AV24">
        <v>96.287678078287485</v>
      </c>
      <c r="AW24">
        <v>96.345487882680303</v>
      </c>
      <c r="AX24">
        <v>96.400014206751521</v>
      </c>
      <c r="AY24">
        <v>96.451050018683446</v>
      </c>
      <c r="AZ24">
        <v>96.501456851194845</v>
      </c>
      <c r="BA24">
        <v>96.560369207135452</v>
      </c>
      <c r="BB24">
        <v>96.620016820187047</v>
      </c>
      <c r="BC24">
        <v>96.670717232937434</v>
      </c>
      <c r="BD24">
        <v>96.723007313462503</v>
      </c>
      <c r="BE24">
        <v>96.76787383306575</v>
      </c>
      <c r="BF24">
        <v>96.828454087719095</v>
      </c>
      <c r="BG24">
        <v>96.878113645012334</v>
      </c>
      <c r="BH24">
        <v>96.937872540265431</v>
      </c>
      <c r="BI24">
        <v>96.974107482870778</v>
      </c>
      <c r="BJ24">
        <v>97.040844874176585</v>
      </c>
      <c r="BK24">
        <v>97.101470282166574</v>
      </c>
      <c r="BL24">
        <v>97.150502402036551</v>
      </c>
      <c r="BM24">
        <v>97.2117676458641</v>
      </c>
      <c r="BN24">
        <v>97.267968425444323</v>
      </c>
      <c r="BO24">
        <v>97.329688363442386</v>
      </c>
      <c r="BP24">
        <v>97.393909297006786</v>
      </c>
      <c r="BQ24">
        <v>97.444655793340885</v>
      </c>
      <c r="BR24">
        <v>97.496758199253094</v>
      </c>
      <c r="BS24">
        <v>97.550513986548097</v>
      </c>
      <c r="BT24">
        <v>97.597336571489791</v>
      </c>
      <c r="BU24">
        <v>97.646809297881745</v>
      </c>
      <c r="BV24">
        <v>97.697480892820536</v>
      </c>
      <c r="BW24">
        <v>97.760506682372963</v>
      </c>
      <c r="BX24">
        <v>97.810006066241669</v>
      </c>
      <c r="BY24">
        <v>97.859812525248159</v>
      </c>
      <c r="BZ24">
        <v>97.908803896248855</v>
      </c>
      <c r="CA24">
        <v>97.957331329074719</v>
      </c>
      <c r="CB24">
        <v>98.011350521640878</v>
      </c>
      <c r="CC24">
        <v>98.063187325851857</v>
      </c>
      <c r="CD24">
        <v>98.111934506949524</v>
      </c>
      <c r="CE24">
        <v>98.1684585331178</v>
      </c>
      <c r="CF24">
        <v>98.230454423949169</v>
      </c>
      <c r="CG24">
        <v>98.295434219893124</v>
      </c>
      <c r="CH24">
        <v>98.346237051684284</v>
      </c>
      <c r="CI24">
        <v>98.404451440482632</v>
      </c>
      <c r="CJ24">
        <v>98.4571511655829</v>
      </c>
      <c r="CK24">
        <v>98.521267196171394</v>
      </c>
      <c r="CL24">
        <v>98.580115915003759</v>
      </c>
      <c r="CM24">
        <v>98.644421061110108</v>
      </c>
      <c r="CN24">
        <v>98.69700764715968</v>
      </c>
      <c r="CO24">
        <v>98.78334781761329</v>
      </c>
      <c r="CP24">
        <v>98.836923639044173</v>
      </c>
      <c r="CQ24">
        <v>98.888940715281151</v>
      </c>
      <c r="CR24">
        <v>98.94856392290896</v>
      </c>
      <c r="CS24">
        <v>99.027496760050568</v>
      </c>
      <c r="CT24">
        <v>99.092416683775511</v>
      </c>
      <c r="CU24">
        <v>99.165550409739154</v>
      </c>
      <c r="CV24">
        <v>99.247817210902241</v>
      </c>
      <c r="CW24">
        <v>99.321602979212173</v>
      </c>
      <c r="CX24">
        <v>99.385825170784216</v>
      </c>
      <c r="CY24">
        <v>99.449769988328526</v>
      </c>
      <c r="CZ24">
        <v>99.521601773367578</v>
      </c>
      <c r="DA24">
        <v>99.589587907125704</v>
      </c>
      <c r="DB24">
        <v>99.650568223416641</v>
      </c>
      <c r="DC24">
        <v>99.725451821562615</v>
      </c>
      <c r="DD24">
        <v>99.796486378041322</v>
      </c>
      <c r="DE24">
        <v>99.873324972490977</v>
      </c>
      <c r="DF24">
        <v>99.938559460802182</v>
      </c>
      <c r="DG24">
        <v>100.00655155555542</v>
      </c>
      <c r="DH24">
        <v>100.06821619867135</v>
      </c>
      <c r="DI24">
        <v>100.15331804602224</v>
      </c>
      <c r="DJ24">
        <v>100.22579498654267</v>
      </c>
      <c r="DK24">
        <v>100.29459730856691</v>
      </c>
      <c r="DL24">
        <v>100.36560370276651</v>
      </c>
      <c r="DM24">
        <v>100.43623622942792</v>
      </c>
      <c r="DN24">
        <v>100.53270879993001</v>
      </c>
      <c r="DO24">
        <v>100.6070573134986</v>
      </c>
      <c r="DP24">
        <v>100.69653940444221</v>
      </c>
      <c r="DQ24">
        <v>100.77087773978971</v>
      </c>
      <c r="DR24">
        <v>100.84202129086033</v>
      </c>
      <c r="DS24">
        <v>100.91516243951861</v>
      </c>
      <c r="DT24">
        <v>100.97956064317047</v>
      </c>
      <c r="DU24">
        <v>101.04416545486602</v>
      </c>
      <c r="DV24">
        <v>101.13356749632844</v>
      </c>
      <c r="DW24">
        <v>101.21100753861595</v>
      </c>
      <c r="DX24">
        <v>101.30276002220714</v>
      </c>
      <c r="DY24">
        <v>101.37940452952076</v>
      </c>
      <c r="DZ24">
        <v>101.47321603546835</v>
      </c>
      <c r="EA24">
        <v>101.54859014909927</v>
      </c>
      <c r="EB24">
        <v>101.64325620726768</v>
      </c>
      <c r="EC24">
        <v>101.74994932294183</v>
      </c>
      <c r="ED24">
        <v>101.83062750357307</v>
      </c>
      <c r="EE24">
        <v>101.94838569768629</v>
      </c>
      <c r="EF24">
        <v>102.01564056998774</v>
      </c>
      <c r="EG24">
        <v>102.10109313201744</v>
      </c>
      <c r="EH24">
        <v>102.17576667354729</v>
      </c>
      <c r="EI24">
        <v>102.27286463971694</v>
      </c>
      <c r="EJ24">
        <v>102.37116152716062</v>
      </c>
      <c r="EK24">
        <v>102.4653836768141</v>
      </c>
      <c r="EL24">
        <v>102.55326714636851</v>
      </c>
      <c r="EM24">
        <v>102.65293134821806</v>
      </c>
      <c r="EN24">
        <v>102.75685125614093</v>
      </c>
      <c r="EO24">
        <v>102.84644298929881</v>
      </c>
      <c r="EP24">
        <v>102.97095294652533</v>
      </c>
      <c r="EQ24">
        <v>103.07546654522551</v>
      </c>
      <c r="ER24">
        <v>103.1734618156235</v>
      </c>
      <c r="ES24">
        <v>103.2640661464508</v>
      </c>
      <c r="ET24">
        <v>103.36849035943682</v>
      </c>
      <c r="EU24">
        <v>103.48159297418115</v>
      </c>
      <c r="EV24">
        <v>103.60681968505359</v>
      </c>
      <c r="EW24">
        <v>103.70712348222455</v>
      </c>
      <c r="EX24">
        <v>103.8281918041159</v>
      </c>
      <c r="EY24">
        <v>103.95685084397618</v>
      </c>
      <c r="EZ24">
        <v>104.06549528430209</v>
      </c>
      <c r="FA24">
        <v>104.15251258892152</v>
      </c>
      <c r="FB24">
        <v>104.28580021311835</v>
      </c>
      <c r="FC24">
        <v>104.40684191263492</v>
      </c>
      <c r="FD24">
        <v>104.53555464417084</v>
      </c>
      <c r="FE24">
        <v>104.67317996437085</v>
      </c>
      <c r="FF24">
        <v>104.80788139856611</v>
      </c>
      <c r="FG24">
        <v>104.95345289560123</v>
      </c>
      <c r="FH24">
        <v>105.09935594755204</v>
      </c>
      <c r="FI24">
        <v>105.28275910548886</v>
      </c>
      <c r="FJ24">
        <v>105.47214709423329</v>
      </c>
      <c r="FK24">
        <v>105.58453587770919</v>
      </c>
      <c r="FL24">
        <v>105.75799579053758</v>
      </c>
      <c r="FM24">
        <v>105.94508929063637</v>
      </c>
      <c r="FN24">
        <v>106.12201848405424</v>
      </c>
      <c r="FO24">
        <v>106.29715054757098</v>
      </c>
      <c r="FP24">
        <v>106.53317198056756</v>
      </c>
      <c r="FQ24">
        <v>106.67401328858108</v>
      </c>
      <c r="FR24">
        <v>106.84473683998587</v>
      </c>
      <c r="FS24">
        <v>107.08364708575927</v>
      </c>
      <c r="FT24">
        <v>107.28504307090843</v>
      </c>
      <c r="FU24">
        <v>107.4624558676277</v>
      </c>
      <c r="FV24">
        <v>107.76607186827874</v>
      </c>
      <c r="FW24">
        <v>108.02958320688576</v>
      </c>
      <c r="FX24">
        <v>108.30698578431777</v>
      </c>
      <c r="FY24">
        <v>108.5991534173335</v>
      </c>
      <c r="FZ24">
        <v>108.85654933642554</v>
      </c>
      <c r="GA24">
        <v>109.11793330284515</v>
      </c>
      <c r="GB24">
        <v>109.47231903990492</v>
      </c>
      <c r="GC24">
        <v>109.78518382193514</v>
      </c>
      <c r="GD24">
        <v>110.02596756656473</v>
      </c>
      <c r="GE24">
        <v>110.40574495039957</v>
      </c>
      <c r="GF24">
        <v>110.80169065912257</v>
      </c>
      <c r="GG24">
        <v>111.28545185065441</v>
      </c>
      <c r="GH24">
        <v>111.78627830059135</v>
      </c>
      <c r="GI24">
        <v>112.29402342165733</v>
      </c>
      <c r="GJ24">
        <v>112.95448267353048</v>
      </c>
      <c r="GK24">
        <v>113.47769040119323</v>
      </c>
      <c r="GL24">
        <v>114.28901853435238</v>
      </c>
      <c r="GM24">
        <v>115.10154890190606</v>
      </c>
      <c r="GN24">
        <v>116.37706589167884</v>
      </c>
      <c r="GO24">
        <v>117.94444014884866</v>
      </c>
      <c r="GP24">
        <v>120.47899376707024</v>
      </c>
      <c r="GQ24">
        <v>123.67424257533595</v>
      </c>
      <c r="GR24">
        <v>100.51237868830881</v>
      </c>
      <c r="GT24" s="8">
        <v>45324</v>
      </c>
      <c r="GU24">
        <v>108.72680200000001</v>
      </c>
    </row>
    <row r="25" spans="1:203" x14ac:dyDescent="0.45">
      <c r="A25">
        <v>90.750845315150301</v>
      </c>
      <c r="B25">
        <v>91.345001982384218</v>
      </c>
      <c r="C25">
        <v>91.753519087840274</v>
      </c>
      <c r="D25">
        <v>92.102452375234435</v>
      </c>
      <c r="E25">
        <v>92.358735289519416</v>
      </c>
      <c r="F25">
        <v>92.607209875333979</v>
      </c>
      <c r="G25">
        <v>92.82483292714123</v>
      </c>
      <c r="H25">
        <v>93.006995650441894</v>
      </c>
      <c r="I25">
        <v>93.150383415304134</v>
      </c>
      <c r="J25">
        <v>93.317870120718624</v>
      </c>
      <c r="K25">
        <v>93.460743008509453</v>
      </c>
      <c r="L25">
        <v>93.582082006815369</v>
      </c>
      <c r="M25">
        <v>93.715770855289534</v>
      </c>
      <c r="N25">
        <v>93.848731506258915</v>
      </c>
      <c r="O25">
        <v>93.955471754468149</v>
      </c>
      <c r="P25">
        <v>94.035664897157488</v>
      </c>
      <c r="Q25">
        <v>94.12510911039449</v>
      </c>
      <c r="R25">
        <v>94.212933583191841</v>
      </c>
      <c r="S25">
        <v>94.303839983257234</v>
      </c>
      <c r="T25">
        <v>94.392012067920973</v>
      </c>
      <c r="U25">
        <v>94.477334714492798</v>
      </c>
      <c r="V25">
        <v>94.556574362701227</v>
      </c>
      <c r="W25">
        <v>94.632525520073955</v>
      </c>
      <c r="X25">
        <v>94.709143477786213</v>
      </c>
      <c r="Y25">
        <v>94.781166308325595</v>
      </c>
      <c r="Z25">
        <v>94.843164488326579</v>
      </c>
      <c r="AA25">
        <v>94.911080687368013</v>
      </c>
      <c r="AB25">
        <v>94.984619448023963</v>
      </c>
      <c r="AC25">
        <v>95.06217962873572</v>
      </c>
      <c r="AD25">
        <v>95.140107372777109</v>
      </c>
      <c r="AE25">
        <v>95.19801649620166</v>
      </c>
      <c r="AF25">
        <v>95.259435063152736</v>
      </c>
      <c r="AG25">
        <v>95.323155144483835</v>
      </c>
      <c r="AH25">
        <v>95.378853693892168</v>
      </c>
      <c r="AI25">
        <v>95.431279375213308</v>
      </c>
      <c r="AJ25">
        <v>95.500596272421276</v>
      </c>
      <c r="AK25">
        <v>95.5677410770992</v>
      </c>
      <c r="AL25">
        <v>95.624817657241593</v>
      </c>
      <c r="AM25">
        <v>95.68066034171018</v>
      </c>
      <c r="AN25">
        <v>95.740967239971411</v>
      </c>
      <c r="AO25">
        <v>95.7914177630864</v>
      </c>
      <c r="AP25">
        <v>95.854812578070437</v>
      </c>
      <c r="AQ25">
        <v>95.905858560417187</v>
      </c>
      <c r="AR25">
        <v>95.963517929327821</v>
      </c>
      <c r="AS25">
        <v>96.022275814137217</v>
      </c>
      <c r="AT25">
        <v>96.08085960641975</v>
      </c>
      <c r="AU25">
        <v>96.131772257073763</v>
      </c>
      <c r="AV25">
        <v>96.197870105791608</v>
      </c>
      <c r="AW25">
        <v>96.257149815703201</v>
      </c>
      <c r="AX25">
        <v>96.314616127583975</v>
      </c>
      <c r="AY25">
        <v>96.365820982187813</v>
      </c>
      <c r="AZ25">
        <v>96.416711433931837</v>
      </c>
      <c r="BA25">
        <v>96.465174910918094</v>
      </c>
      <c r="BB25">
        <v>96.526471889027889</v>
      </c>
      <c r="BC25">
        <v>96.578583274116966</v>
      </c>
      <c r="BD25">
        <v>96.639609467860438</v>
      </c>
      <c r="BE25">
        <v>96.676593265855644</v>
      </c>
      <c r="BF25">
        <v>96.731245044144401</v>
      </c>
      <c r="BG25">
        <v>96.805687317756039</v>
      </c>
      <c r="BH25">
        <v>96.868980036071349</v>
      </c>
      <c r="BI25">
        <v>96.913660946811873</v>
      </c>
      <c r="BJ25">
        <v>96.970552714965336</v>
      </c>
      <c r="BK25">
        <v>97.024357794013468</v>
      </c>
      <c r="BL25">
        <v>97.071762703417789</v>
      </c>
      <c r="BM25">
        <v>97.119644413475271</v>
      </c>
      <c r="BN25">
        <v>97.176587194621931</v>
      </c>
      <c r="BO25">
        <v>97.240411472326073</v>
      </c>
      <c r="BP25">
        <v>97.30662183494384</v>
      </c>
      <c r="BQ25">
        <v>97.355830940027374</v>
      </c>
      <c r="BR25">
        <v>97.402743652313575</v>
      </c>
      <c r="BS25">
        <v>97.459930475488918</v>
      </c>
      <c r="BT25">
        <v>97.526983421862042</v>
      </c>
      <c r="BU25">
        <v>97.577141835670176</v>
      </c>
      <c r="BV25">
        <v>97.630346830567419</v>
      </c>
      <c r="BW25">
        <v>97.691161948514647</v>
      </c>
      <c r="BX25">
        <v>97.745862267063686</v>
      </c>
      <c r="BY25">
        <v>97.79636865781913</v>
      </c>
      <c r="BZ25">
        <v>97.847829457891777</v>
      </c>
      <c r="CA25">
        <v>97.910057870750521</v>
      </c>
      <c r="CB25">
        <v>97.959642339786029</v>
      </c>
      <c r="CC25">
        <v>98.008238697682273</v>
      </c>
      <c r="CD25">
        <v>98.077998080017309</v>
      </c>
      <c r="CE25">
        <v>98.141488467216334</v>
      </c>
      <c r="CF25">
        <v>98.204750512319137</v>
      </c>
      <c r="CG25">
        <v>98.265267650451733</v>
      </c>
      <c r="CH25">
        <v>98.313265261200598</v>
      </c>
      <c r="CI25">
        <v>98.368625884308855</v>
      </c>
      <c r="CJ25">
        <v>98.421416956908402</v>
      </c>
      <c r="CK25">
        <v>98.483564140582686</v>
      </c>
      <c r="CL25">
        <v>98.539171005934634</v>
      </c>
      <c r="CM25">
        <v>98.615700594130317</v>
      </c>
      <c r="CN25">
        <v>98.675968959012351</v>
      </c>
      <c r="CO25">
        <v>98.732920310054496</v>
      </c>
      <c r="CP25">
        <v>98.798872932886411</v>
      </c>
      <c r="CQ25">
        <v>98.852382132052583</v>
      </c>
      <c r="CR25">
        <v>98.927544365870247</v>
      </c>
      <c r="CS25">
        <v>98.979470062364982</v>
      </c>
      <c r="CT25">
        <v>99.035919167367624</v>
      </c>
      <c r="CU25">
        <v>99.105326648091506</v>
      </c>
      <c r="CV25">
        <v>99.15824658306019</v>
      </c>
      <c r="CW25">
        <v>99.222313990347843</v>
      </c>
      <c r="CX25">
        <v>99.286233317504099</v>
      </c>
      <c r="CY25">
        <v>99.349612489765036</v>
      </c>
      <c r="CZ25">
        <v>99.403231318028702</v>
      </c>
      <c r="DA25">
        <v>99.475189778723021</v>
      </c>
      <c r="DB25">
        <v>99.555685180984213</v>
      </c>
      <c r="DC25">
        <v>99.617339456682529</v>
      </c>
      <c r="DD25">
        <v>99.688037194736296</v>
      </c>
      <c r="DE25">
        <v>99.763829881672066</v>
      </c>
      <c r="DF25">
        <v>99.83589998439605</v>
      </c>
      <c r="DG25">
        <v>99.920699338066242</v>
      </c>
      <c r="DH25">
        <v>99.988336291365187</v>
      </c>
      <c r="DI25">
        <v>100.0678187492599</v>
      </c>
      <c r="DJ25">
        <v>100.15194464858753</v>
      </c>
      <c r="DK25">
        <v>100.24713305827922</v>
      </c>
      <c r="DL25">
        <v>100.33229202479552</v>
      </c>
      <c r="DM25">
        <v>100.40176429026485</v>
      </c>
      <c r="DN25">
        <v>100.46863597724179</v>
      </c>
      <c r="DO25">
        <v>100.54156442977218</v>
      </c>
      <c r="DP25">
        <v>100.60917257347681</v>
      </c>
      <c r="DQ25">
        <v>100.68894262207814</v>
      </c>
      <c r="DR25">
        <v>100.76160509847607</v>
      </c>
      <c r="DS25">
        <v>100.8249051507896</v>
      </c>
      <c r="DT25">
        <v>100.91764405706466</v>
      </c>
      <c r="DU25">
        <v>101.00785562921654</v>
      </c>
      <c r="DV25">
        <v>101.08510756799031</v>
      </c>
      <c r="DW25">
        <v>101.1766918710956</v>
      </c>
      <c r="DX25">
        <v>101.26938913057874</v>
      </c>
      <c r="DY25">
        <v>101.3661156005589</v>
      </c>
      <c r="DZ25">
        <v>101.47541674707745</v>
      </c>
      <c r="EA25">
        <v>101.57960679543721</v>
      </c>
      <c r="EB25">
        <v>101.67323342577939</v>
      </c>
      <c r="EC25">
        <v>101.75415947961677</v>
      </c>
      <c r="ED25">
        <v>101.853224428682</v>
      </c>
      <c r="EE25">
        <v>101.95484113456097</v>
      </c>
      <c r="EF25">
        <v>102.0582116377435</v>
      </c>
      <c r="EG25">
        <v>102.13972206146907</v>
      </c>
      <c r="EH25">
        <v>102.2395999748863</v>
      </c>
      <c r="EI25">
        <v>102.34333844075704</v>
      </c>
      <c r="EJ25">
        <v>102.43009469939392</v>
      </c>
      <c r="EK25">
        <v>102.52791741894177</v>
      </c>
      <c r="EL25">
        <v>102.61971526045713</v>
      </c>
      <c r="EM25">
        <v>102.71743780850321</v>
      </c>
      <c r="EN25">
        <v>102.84637305468711</v>
      </c>
      <c r="EO25">
        <v>102.93374951103289</v>
      </c>
      <c r="EP25">
        <v>103.04290468753044</v>
      </c>
      <c r="EQ25">
        <v>103.1765613950264</v>
      </c>
      <c r="ER25">
        <v>103.28457948191682</v>
      </c>
      <c r="ES25">
        <v>103.39717041183131</v>
      </c>
      <c r="ET25">
        <v>103.4868082742131</v>
      </c>
      <c r="EU25">
        <v>103.59012128034045</v>
      </c>
      <c r="EV25">
        <v>103.68626118371456</v>
      </c>
      <c r="EW25">
        <v>103.80648801669837</v>
      </c>
      <c r="EX25">
        <v>103.92547354719686</v>
      </c>
      <c r="EY25">
        <v>104.05909851590337</v>
      </c>
      <c r="EZ25">
        <v>104.15418207139348</v>
      </c>
      <c r="FA25">
        <v>104.27976524236895</v>
      </c>
      <c r="FB25">
        <v>104.41202927792445</v>
      </c>
      <c r="FC25">
        <v>104.54613421204077</v>
      </c>
      <c r="FD25">
        <v>104.66898854429955</v>
      </c>
      <c r="FE25">
        <v>104.81770805756447</v>
      </c>
      <c r="FF25">
        <v>104.9581530505766</v>
      </c>
      <c r="FG25">
        <v>105.11485743880135</v>
      </c>
      <c r="FH25">
        <v>105.31542737357395</v>
      </c>
      <c r="FI25">
        <v>105.48371076271444</v>
      </c>
      <c r="FJ25">
        <v>105.60859983961844</v>
      </c>
      <c r="FK25">
        <v>105.76927977829152</v>
      </c>
      <c r="FL25">
        <v>105.96020697162277</v>
      </c>
      <c r="FM25">
        <v>106.11670169266836</v>
      </c>
      <c r="FN25">
        <v>106.28034746315235</v>
      </c>
      <c r="FO25">
        <v>106.48203429841344</v>
      </c>
      <c r="FP25">
        <v>106.67827887853122</v>
      </c>
      <c r="FQ25">
        <v>106.82523909140778</v>
      </c>
      <c r="FR25">
        <v>107.0377823187015</v>
      </c>
      <c r="FS25">
        <v>107.29814821236397</v>
      </c>
      <c r="FT25">
        <v>107.50750749147879</v>
      </c>
      <c r="FU25">
        <v>107.77836339304324</v>
      </c>
      <c r="FV25">
        <v>107.99963314685121</v>
      </c>
      <c r="FW25">
        <v>108.21821935388849</v>
      </c>
      <c r="FX25">
        <v>108.47374089744531</v>
      </c>
      <c r="FY25">
        <v>108.78721821080445</v>
      </c>
      <c r="FZ25">
        <v>109.00731739135546</v>
      </c>
      <c r="GA25">
        <v>109.28807695547761</v>
      </c>
      <c r="GB25">
        <v>109.62070120671036</v>
      </c>
      <c r="GC25">
        <v>109.97388547017539</v>
      </c>
      <c r="GD25">
        <v>110.35515904478477</v>
      </c>
      <c r="GE25">
        <v>110.70508652021937</v>
      </c>
      <c r="GF25">
        <v>111.20216437371387</v>
      </c>
      <c r="GG25">
        <v>111.57515861164248</v>
      </c>
      <c r="GH25">
        <v>112.10767599212907</v>
      </c>
      <c r="GI25">
        <v>112.63305619276373</v>
      </c>
      <c r="GJ25">
        <v>113.28220949181231</v>
      </c>
      <c r="GK25">
        <v>114.043666725553</v>
      </c>
      <c r="GL25">
        <v>114.8326666101007</v>
      </c>
      <c r="GM25">
        <v>115.9227263122948</v>
      </c>
      <c r="GN25">
        <v>116.93718664604565</v>
      </c>
      <c r="GO25">
        <v>118.61190840233326</v>
      </c>
      <c r="GP25">
        <v>120.52679154945469</v>
      </c>
      <c r="GQ25">
        <v>125.06486827335982</v>
      </c>
      <c r="GR25">
        <v>100.53834558977842</v>
      </c>
      <c r="GT25" s="8">
        <v>45327</v>
      </c>
      <c r="GU25">
        <v>109.658473</v>
      </c>
    </row>
    <row r="26" spans="1:203" x14ac:dyDescent="0.45">
      <c r="A26">
        <v>90.513437572226209</v>
      </c>
      <c r="B26">
        <v>91.226772231605906</v>
      </c>
      <c r="C26">
        <v>91.609031927821675</v>
      </c>
      <c r="D26">
        <v>91.900191555741912</v>
      </c>
      <c r="E26">
        <v>92.211978740387877</v>
      </c>
      <c r="F26">
        <v>92.480990645998176</v>
      </c>
      <c r="G26">
        <v>92.677821739279821</v>
      </c>
      <c r="H26">
        <v>92.887290288136739</v>
      </c>
      <c r="I26">
        <v>93.074887377326121</v>
      </c>
      <c r="J26">
        <v>93.234741230504184</v>
      </c>
      <c r="K26">
        <v>93.368844806493925</v>
      </c>
      <c r="L26">
        <v>93.485315378759154</v>
      </c>
      <c r="M26">
        <v>93.648380826154238</v>
      </c>
      <c r="N26">
        <v>93.731745919762801</v>
      </c>
      <c r="O26">
        <v>93.826582740982658</v>
      </c>
      <c r="P26">
        <v>93.902909527605146</v>
      </c>
      <c r="Q26">
        <v>94.010027795482969</v>
      </c>
      <c r="R26">
        <v>94.094313693642647</v>
      </c>
      <c r="S26">
        <v>94.184682548677202</v>
      </c>
      <c r="T26">
        <v>94.274246128440296</v>
      </c>
      <c r="U26">
        <v>94.368686046102653</v>
      </c>
      <c r="V26">
        <v>94.461144214685021</v>
      </c>
      <c r="W26">
        <v>94.534392246660531</v>
      </c>
      <c r="X26">
        <v>94.626751583376176</v>
      </c>
      <c r="Y26">
        <v>94.706714809179232</v>
      </c>
      <c r="Z26">
        <v>94.773209083982195</v>
      </c>
      <c r="AA26">
        <v>94.842956389605447</v>
      </c>
      <c r="AB26">
        <v>94.921958932788655</v>
      </c>
      <c r="AC26">
        <v>94.997208452768703</v>
      </c>
      <c r="AD26">
        <v>95.058701691697038</v>
      </c>
      <c r="AE26">
        <v>95.11622025968984</v>
      </c>
      <c r="AF26">
        <v>95.179886122378335</v>
      </c>
      <c r="AG26">
        <v>95.254236050083051</v>
      </c>
      <c r="AH26">
        <v>95.318388519804031</v>
      </c>
      <c r="AI26">
        <v>95.376686724739727</v>
      </c>
      <c r="AJ26">
        <v>95.432896411445043</v>
      </c>
      <c r="AK26">
        <v>95.485815696108617</v>
      </c>
      <c r="AL26">
        <v>95.543209076045358</v>
      </c>
      <c r="AM26">
        <v>95.602402624952305</v>
      </c>
      <c r="AN26">
        <v>95.656025671836474</v>
      </c>
      <c r="AO26">
        <v>95.715031614727096</v>
      </c>
      <c r="AP26">
        <v>95.771719976763976</v>
      </c>
      <c r="AQ26">
        <v>95.822899384522486</v>
      </c>
      <c r="AR26">
        <v>95.88147087921638</v>
      </c>
      <c r="AS26">
        <v>95.938230751493634</v>
      </c>
      <c r="AT26">
        <v>95.988044346385607</v>
      </c>
      <c r="AU26">
        <v>96.055583322808246</v>
      </c>
      <c r="AV26">
        <v>96.111287311665862</v>
      </c>
      <c r="AW26">
        <v>96.156086543818162</v>
      </c>
      <c r="AX26">
        <v>96.208397486539141</v>
      </c>
      <c r="AY26">
        <v>96.256700334886162</v>
      </c>
      <c r="AZ26">
        <v>96.321202396970719</v>
      </c>
      <c r="BA26">
        <v>96.370835368703325</v>
      </c>
      <c r="BB26">
        <v>96.449826769663858</v>
      </c>
      <c r="BC26">
        <v>96.516472247126728</v>
      </c>
      <c r="BD26">
        <v>96.57596769980168</v>
      </c>
      <c r="BE26">
        <v>96.629625421656613</v>
      </c>
      <c r="BF26">
        <v>96.678102139135461</v>
      </c>
      <c r="BG26">
        <v>96.725639367511178</v>
      </c>
      <c r="BH26">
        <v>96.780679137964924</v>
      </c>
      <c r="BI26">
        <v>96.831399354386562</v>
      </c>
      <c r="BJ26">
        <v>96.895591617959099</v>
      </c>
      <c r="BK26">
        <v>96.944542522405229</v>
      </c>
      <c r="BL26">
        <v>96.986379570839759</v>
      </c>
      <c r="BM26">
        <v>97.045081799801864</v>
      </c>
      <c r="BN26">
        <v>97.094044096277614</v>
      </c>
      <c r="BO26">
        <v>97.148681609494233</v>
      </c>
      <c r="BP26">
        <v>97.200558757992965</v>
      </c>
      <c r="BQ26">
        <v>97.255128236030956</v>
      </c>
      <c r="BR26">
        <v>97.323169526332393</v>
      </c>
      <c r="BS26">
        <v>97.379412651379738</v>
      </c>
      <c r="BT26">
        <v>97.431458177915417</v>
      </c>
      <c r="BU26">
        <v>97.477568232113597</v>
      </c>
      <c r="BV26">
        <v>97.536149750512067</v>
      </c>
      <c r="BW26">
        <v>97.596392413511936</v>
      </c>
      <c r="BX26">
        <v>97.67582699660818</v>
      </c>
      <c r="BY26">
        <v>97.732475273389255</v>
      </c>
      <c r="BZ26">
        <v>97.784675018362691</v>
      </c>
      <c r="CA26">
        <v>97.857238076756175</v>
      </c>
      <c r="CB26">
        <v>97.919015859424078</v>
      </c>
      <c r="CC26">
        <v>97.987710204207843</v>
      </c>
      <c r="CD26">
        <v>98.063777963777227</v>
      </c>
      <c r="CE26">
        <v>98.116073902158703</v>
      </c>
      <c r="CF26">
        <v>98.176898871544196</v>
      </c>
      <c r="CG26">
        <v>98.227299927402754</v>
      </c>
      <c r="CH26">
        <v>98.285243677145417</v>
      </c>
      <c r="CI26">
        <v>98.344771278569866</v>
      </c>
      <c r="CJ26">
        <v>98.395311344303479</v>
      </c>
      <c r="CK26">
        <v>98.453813971258583</v>
      </c>
      <c r="CL26">
        <v>98.513951802522129</v>
      </c>
      <c r="CM26">
        <v>98.581609988935412</v>
      </c>
      <c r="CN26">
        <v>98.652379108987532</v>
      </c>
      <c r="CO26">
        <v>98.693774108058165</v>
      </c>
      <c r="CP26">
        <v>98.763741872416077</v>
      </c>
      <c r="CQ26">
        <v>98.83778788924306</v>
      </c>
      <c r="CR26">
        <v>98.893747354525289</v>
      </c>
      <c r="CS26">
        <v>98.948677394979143</v>
      </c>
      <c r="CT26">
        <v>99.020012467913119</v>
      </c>
      <c r="CU26">
        <v>99.084583287134677</v>
      </c>
      <c r="CV26">
        <v>99.142775440345616</v>
      </c>
      <c r="CW26">
        <v>99.204654916086639</v>
      </c>
      <c r="CX26">
        <v>99.260254397740084</v>
      </c>
      <c r="CY26">
        <v>99.335717947461063</v>
      </c>
      <c r="CZ26">
        <v>99.406318068746842</v>
      </c>
      <c r="DA26">
        <v>99.488687156044051</v>
      </c>
      <c r="DB26">
        <v>99.555856381578295</v>
      </c>
      <c r="DC26">
        <v>99.619173238015378</v>
      </c>
      <c r="DD26">
        <v>99.688046375317185</v>
      </c>
      <c r="DE26">
        <v>99.756674671638905</v>
      </c>
      <c r="DF26">
        <v>99.832916873440183</v>
      </c>
      <c r="DG26">
        <v>99.893363094654759</v>
      </c>
      <c r="DH26">
        <v>99.952437358527632</v>
      </c>
      <c r="DI26">
        <v>100.03186008079255</v>
      </c>
      <c r="DJ26">
        <v>100.09512498777254</v>
      </c>
      <c r="DK26">
        <v>100.16322931041533</v>
      </c>
      <c r="DL26">
        <v>100.26328922381747</v>
      </c>
      <c r="DM26">
        <v>100.34017222233022</v>
      </c>
      <c r="DN26">
        <v>100.40692685143532</v>
      </c>
      <c r="DO26">
        <v>100.46900822709861</v>
      </c>
      <c r="DP26">
        <v>100.56239976538953</v>
      </c>
      <c r="DQ26">
        <v>100.62743654034755</v>
      </c>
      <c r="DR26">
        <v>100.72633038086272</v>
      </c>
      <c r="DS26">
        <v>100.82664571948384</v>
      </c>
      <c r="DT26">
        <v>100.90460460840842</v>
      </c>
      <c r="DU26">
        <v>100.98263513916011</v>
      </c>
      <c r="DV26">
        <v>101.09250877051171</v>
      </c>
      <c r="DW26">
        <v>101.19744238281578</v>
      </c>
      <c r="DX26">
        <v>101.29080006001237</v>
      </c>
      <c r="DY26">
        <v>101.37909539359116</v>
      </c>
      <c r="DZ26">
        <v>101.46691246293429</v>
      </c>
      <c r="EA26">
        <v>101.56582327177567</v>
      </c>
      <c r="EB26">
        <v>101.6575641847607</v>
      </c>
      <c r="EC26">
        <v>101.74151359252731</v>
      </c>
      <c r="ED26">
        <v>101.83460764112121</v>
      </c>
      <c r="EE26">
        <v>101.91964669376618</v>
      </c>
      <c r="EF26">
        <v>102.0396192710334</v>
      </c>
      <c r="EG26">
        <v>102.13207176661463</v>
      </c>
      <c r="EH26">
        <v>102.22411104018592</v>
      </c>
      <c r="EI26">
        <v>102.31120256610161</v>
      </c>
      <c r="EJ26">
        <v>102.39570917488034</v>
      </c>
      <c r="EK26">
        <v>102.49741119436837</v>
      </c>
      <c r="EL26">
        <v>102.59402857293793</v>
      </c>
      <c r="EM26">
        <v>102.70745196856943</v>
      </c>
      <c r="EN26">
        <v>102.82902380010188</v>
      </c>
      <c r="EO26">
        <v>102.94444910824434</v>
      </c>
      <c r="EP26">
        <v>103.0513667185292</v>
      </c>
      <c r="EQ26">
        <v>103.145955747443</v>
      </c>
      <c r="ER26">
        <v>103.24317127593794</v>
      </c>
      <c r="ES26">
        <v>103.35547017946884</v>
      </c>
      <c r="ET26">
        <v>103.47654804534608</v>
      </c>
      <c r="EU26">
        <v>103.59427448989801</v>
      </c>
      <c r="EV26">
        <v>103.69869614234332</v>
      </c>
      <c r="EW26">
        <v>103.80202057074665</v>
      </c>
      <c r="EX26">
        <v>103.94219147222373</v>
      </c>
      <c r="EY26">
        <v>104.08076032666332</v>
      </c>
      <c r="EZ26">
        <v>104.18682898264153</v>
      </c>
      <c r="FA26">
        <v>104.33784417381433</v>
      </c>
      <c r="FB26">
        <v>104.47907353546248</v>
      </c>
      <c r="FC26">
        <v>104.61671860496409</v>
      </c>
      <c r="FD26">
        <v>104.78174708952589</v>
      </c>
      <c r="FE26">
        <v>104.91053640591733</v>
      </c>
      <c r="FF26">
        <v>105.09913942279637</v>
      </c>
      <c r="FG26">
        <v>105.25262735041146</v>
      </c>
      <c r="FH26">
        <v>105.42526689447213</v>
      </c>
      <c r="FI26">
        <v>105.60534077259224</v>
      </c>
      <c r="FJ26">
        <v>105.7426988837824</v>
      </c>
      <c r="FK26">
        <v>105.91740370667776</v>
      </c>
      <c r="FL26">
        <v>106.10845562366572</v>
      </c>
      <c r="FM26">
        <v>106.27234594711976</v>
      </c>
      <c r="FN26">
        <v>106.42499989070819</v>
      </c>
      <c r="FO26">
        <v>106.62453867268431</v>
      </c>
      <c r="FP26">
        <v>106.79235439627121</v>
      </c>
      <c r="FQ26">
        <v>107.00488734169504</v>
      </c>
      <c r="FR26">
        <v>107.23695820060146</v>
      </c>
      <c r="FS26">
        <v>107.4170572319773</v>
      </c>
      <c r="FT26">
        <v>107.6540284911873</v>
      </c>
      <c r="FU26">
        <v>107.85705646027614</v>
      </c>
      <c r="FV26">
        <v>108.05782620579247</v>
      </c>
      <c r="FW26">
        <v>108.33726094059647</v>
      </c>
      <c r="FX26">
        <v>108.58955826763763</v>
      </c>
      <c r="FY26">
        <v>108.824100278199</v>
      </c>
      <c r="FZ26">
        <v>109.09581721632665</v>
      </c>
      <c r="GA26">
        <v>109.50062090852514</v>
      </c>
      <c r="GB26">
        <v>109.8400312295025</v>
      </c>
      <c r="GC26">
        <v>110.19452535821247</v>
      </c>
      <c r="GD26">
        <v>110.57910350046271</v>
      </c>
      <c r="GE26">
        <v>111.00289905368227</v>
      </c>
      <c r="GF26">
        <v>111.46391260929961</v>
      </c>
      <c r="GG26">
        <v>111.96158681307709</v>
      </c>
      <c r="GH26">
        <v>112.4425096320908</v>
      </c>
      <c r="GI26">
        <v>113.01488718276957</v>
      </c>
      <c r="GJ26">
        <v>113.70174737312335</v>
      </c>
      <c r="GK26">
        <v>114.51377581218526</v>
      </c>
      <c r="GL26">
        <v>115.50594466608138</v>
      </c>
      <c r="GM26">
        <v>116.56465246358498</v>
      </c>
      <c r="GN26">
        <v>117.67344534784093</v>
      </c>
      <c r="GO26">
        <v>119.28900307743511</v>
      </c>
      <c r="GP26">
        <v>121.49283399272419</v>
      </c>
      <c r="GQ26">
        <v>125.51156419895425</v>
      </c>
      <c r="GR26">
        <v>100.54908409492208</v>
      </c>
      <c r="GT26" s="8">
        <v>45328</v>
      </c>
      <c r="GU26">
        <v>109.554954</v>
      </c>
    </row>
    <row r="27" spans="1:203" x14ac:dyDescent="0.45">
      <c r="A27">
        <v>90.269419768490138</v>
      </c>
      <c r="B27">
        <v>91.116696085132006</v>
      </c>
      <c r="C27">
        <v>91.51641215422508</v>
      </c>
      <c r="D27">
        <v>91.89374227124074</v>
      </c>
      <c r="E27">
        <v>92.129733824376501</v>
      </c>
      <c r="F27">
        <v>92.28752117052791</v>
      </c>
      <c r="G27">
        <v>92.500549263736914</v>
      </c>
      <c r="H27">
        <v>92.718076427007574</v>
      </c>
      <c r="I27">
        <v>92.890547820134827</v>
      </c>
      <c r="J27">
        <v>93.103478059607681</v>
      </c>
      <c r="K27">
        <v>93.22903236498793</v>
      </c>
      <c r="L27">
        <v>93.382831574724179</v>
      </c>
      <c r="M27">
        <v>93.498089301741231</v>
      </c>
      <c r="N27">
        <v>93.627448720778602</v>
      </c>
      <c r="O27">
        <v>93.732358403380218</v>
      </c>
      <c r="P27">
        <v>93.838058457743699</v>
      </c>
      <c r="Q27">
        <v>93.941361235219077</v>
      </c>
      <c r="R27">
        <v>94.019336174634674</v>
      </c>
      <c r="S27">
        <v>94.105031701895172</v>
      </c>
      <c r="T27">
        <v>94.199065049680925</v>
      </c>
      <c r="U27">
        <v>94.284465650574901</v>
      </c>
      <c r="V27">
        <v>94.369000693561674</v>
      </c>
      <c r="W27">
        <v>94.455517997747464</v>
      </c>
      <c r="X27">
        <v>94.53440778038528</v>
      </c>
      <c r="Y27">
        <v>94.602842288636239</v>
      </c>
      <c r="Z27">
        <v>94.687619365465451</v>
      </c>
      <c r="AA27">
        <v>94.760848104430821</v>
      </c>
      <c r="AB27">
        <v>94.840121615640996</v>
      </c>
      <c r="AC27">
        <v>94.907589353804923</v>
      </c>
      <c r="AD27">
        <v>94.958012969512609</v>
      </c>
      <c r="AE27">
        <v>95.034425638647889</v>
      </c>
      <c r="AF27">
        <v>95.093391831217389</v>
      </c>
      <c r="AG27">
        <v>95.14194882280222</v>
      </c>
      <c r="AH27">
        <v>95.198192572131759</v>
      </c>
      <c r="AI27">
        <v>95.263280910858697</v>
      </c>
      <c r="AJ27">
        <v>95.326931468633404</v>
      </c>
      <c r="AK27">
        <v>95.375010833927874</v>
      </c>
      <c r="AL27">
        <v>95.43010909193265</v>
      </c>
      <c r="AM27">
        <v>95.482277877350569</v>
      </c>
      <c r="AN27">
        <v>95.556718103535061</v>
      </c>
      <c r="AO27">
        <v>95.616247825484038</v>
      </c>
      <c r="AP27">
        <v>95.689818133950865</v>
      </c>
      <c r="AQ27">
        <v>95.738116022454093</v>
      </c>
      <c r="AR27">
        <v>95.79282356288131</v>
      </c>
      <c r="AS27">
        <v>95.846378537238138</v>
      </c>
      <c r="AT27">
        <v>95.909015621340387</v>
      </c>
      <c r="AU27">
        <v>95.977424615051518</v>
      </c>
      <c r="AV27">
        <v>96.025285231492262</v>
      </c>
      <c r="AW27">
        <v>96.089421804046879</v>
      </c>
      <c r="AX27">
        <v>96.13674091836539</v>
      </c>
      <c r="AY27">
        <v>96.189113735839214</v>
      </c>
      <c r="AZ27">
        <v>96.251486712334611</v>
      </c>
      <c r="BA27">
        <v>96.30430001164558</v>
      </c>
      <c r="BB27">
        <v>96.363052023753085</v>
      </c>
      <c r="BC27">
        <v>96.412630519821633</v>
      </c>
      <c r="BD27">
        <v>96.472465539301851</v>
      </c>
      <c r="BE27">
        <v>96.542000539863267</v>
      </c>
      <c r="BF27">
        <v>96.60128047512363</v>
      </c>
      <c r="BG27">
        <v>96.65884782797032</v>
      </c>
      <c r="BH27">
        <v>96.713565379298913</v>
      </c>
      <c r="BI27">
        <v>96.760396557930861</v>
      </c>
      <c r="BJ27">
        <v>96.816242434401275</v>
      </c>
      <c r="BK27">
        <v>96.87944803102036</v>
      </c>
      <c r="BL27">
        <v>96.938105198490362</v>
      </c>
      <c r="BM27">
        <v>96.98527689183372</v>
      </c>
      <c r="BN27">
        <v>97.045487463460447</v>
      </c>
      <c r="BO27">
        <v>97.093394665109528</v>
      </c>
      <c r="BP27">
        <v>97.149824763151472</v>
      </c>
      <c r="BQ27">
        <v>97.189014466952074</v>
      </c>
      <c r="BR27">
        <v>97.237879549849069</v>
      </c>
      <c r="BS27">
        <v>97.300912182331814</v>
      </c>
      <c r="BT27">
        <v>97.35798626936284</v>
      </c>
      <c r="BU27">
        <v>97.424795145799266</v>
      </c>
      <c r="BV27">
        <v>97.476648419917069</v>
      </c>
      <c r="BW27">
        <v>97.531343407682883</v>
      </c>
      <c r="BX27">
        <v>97.586213083981107</v>
      </c>
      <c r="BY27">
        <v>97.649926989088073</v>
      </c>
      <c r="BZ27">
        <v>97.698101953496703</v>
      </c>
      <c r="CA27">
        <v>97.752098817006612</v>
      </c>
      <c r="CB27">
        <v>97.819661504925847</v>
      </c>
      <c r="CC27">
        <v>97.888460922760927</v>
      </c>
      <c r="CD27">
        <v>97.93350485170248</v>
      </c>
      <c r="CE27">
        <v>97.992847617743053</v>
      </c>
      <c r="CF27">
        <v>98.055002537877357</v>
      </c>
      <c r="CG27">
        <v>98.110768723776403</v>
      </c>
      <c r="CH27">
        <v>98.183351801572783</v>
      </c>
      <c r="CI27">
        <v>98.227503182441978</v>
      </c>
      <c r="CJ27">
        <v>98.290442073892351</v>
      </c>
      <c r="CK27">
        <v>98.373750062505692</v>
      </c>
      <c r="CL27">
        <v>98.437422830158965</v>
      </c>
      <c r="CM27">
        <v>98.510775225250129</v>
      </c>
      <c r="CN27">
        <v>98.581504558486202</v>
      </c>
      <c r="CO27">
        <v>98.649139636106113</v>
      </c>
      <c r="CP27">
        <v>98.706578079804203</v>
      </c>
      <c r="CQ27">
        <v>98.762659687287467</v>
      </c>
      <c r="CR27">
        <v>98.839972106939072</v>
      </c>
      <c r="CS27">
        <v>98.916184803791381</v>
      </c>
      <c r="CT27">
        <v>98.983661518211974</v>
      </c>
      <c r="CU27">
        <v>99.045331060539269</v>
      </c>
      <c r="CV27">
        <v>99.102880864036933</v>
      </c>
      <c r="CW27">
        <v>99.176310161476991</v>
      </c>
      <c r="CX27">
        <v>99.251880565808307</v>
      </c>
      <c r="CY27">
        <v>99.331133850320853</v>
      </c>
      <c r="CZ27">
        <v>99.418876967301387</v>
      </c>
      <c r="DA27">
        <v>99.498139681312296</v>
      </c>
      <c r="DB27">
        <v>99.564628286534116</v>
      </c>
      <c r="DC27">
        <v>99.623014257648151</v>
      </c>
      <c r="DD27">
        <v>99.718263355291199</v>
      </c>
      <c r="DE27">
        <v>99.78912739578746</v>
      </c>
      <c r="DF27">
        <v>99.867779815617965</v>
      </c>
      <c r="DG27">
        <v>99.957301767144784</v>
      </c>
      <c r="DH27">
        <v>100.01954124095788</v>
      </c>
      <c r="DI27">
        <v>100.08965629682925</v>
      </c>
      <c r="DJ27">
        <v>100.15857649076973</v>
      </c>
      <c r="DK27">
        <v>100.23642986685581</v>
      </c>
      <c r="DL27">
        <v>100.32541654927633</v>
      </c>
      <c r="DM27">
        <v>100.42002107256214</v>
      </c>
      <c r="DN27">
        <v>100.49644561118399</v>
      </c>
      <c r="DO27">
        <v>100.57814620179846</v>
      </c>
      <c r="DP27">
        <v>100.65148030674409</v>
      </c>
      <c r="DQ27">
        <v>100.7346331041137</v>
      </c>
      <c r="DR27">
        <v>100.83534545440224</v>
      </c>
      <c r="DS27">
        <v>100.91995368770552</v>
      </c>
      <c r="DT27">
        <v>100.98708008260519</v>
      </c>
      <c r="DU27">
        <v>101.06586205829186</v>
      </c>
      <c r="DV27">
        <v>101.13786787100092</v>
      </c>
      <c r="DW27">
        <v>101.2231095022525</v>
      </c>
      <c r="DX27">
        <v>101.28948995500365</v>
      </c>
      <c r="DY27">
        <v>101.39566268027816</v>
      </c>
      <c r="DZ27">
        <v>101.48577448787626</v>
      </c>
      <c r="EA27">
        <v>101.5752151060456</v>
      </c>
      <c r="EB27">
        <v>101.67450305724709</v>
      </c>
      <c r="EC27">
        <v>101.76585981602636</v>
      </c>
      <c r="ED27">
        <v>101.86928057544021</v>
      </c>
      <c r="EE27">
        <v>101.98277334192632</v>
      </c>
      <c r="EF27">
        <v>102.07242302943619</v>
      </c>
      <c r="EG27">
        <v>102.14060460063884</v>
      </c>
      <c r="EH27">
        <v>102.25313310523607</v>
      </c>
      <c r="EI27">
        <v>102.35360009689474</v>
      </c>
      <c r="EJ27">
        <v>102.44912897229956</v>
      </c>
      <c r="EK27">
        <v>102.54908487115664</v>
      </c>
      <c r="EL27">
        <v>102.63149909832113</v>
      </c>
      <c r="EM27">
        <v>102.75579307370306</v>
      </c>
      <c r="EN27">
        <v>102.86391442887648</v>
      </c>
      <c r="EO27">
        <v>102.95640488923323</v>
      </c>
      <c r="EP27">
        <v>103.05518119947264</v>
      </c>
      <c r="EQ27">
        <v>103.16621869419831</v>
      </c>
      <c r="ER27">
        <v>103.29464064143085</v>
      </c>
      <c r="ES27">
        <v>103.42629760154688</v>
      </c>
      <c r="ET27">
        <v>103.54578438155141</v>
      </c>
      <c r="EU27">
        <v>103.68866657606837</v>
      </c>
      <c r="EV27">
        <v>103.81789311309966</v>
      </c>
      <c r="EW27">
        <v>103.92982901427385</v>
      </c>
      <c r="EX27">
        <v>104.02917199367414</v>
      </c>
      <c r="EY27">
        <v>104.16241548407335</v>
      </c>
      <c r="EZ27">
        <v>104.28608506517097</v>
      </c>
      <c r="FA27">
        <v>104.43912946792665</v>
      </c>
      <c r="FB27">
        <v>104.55678819207533</v>
      </c>
      <c r="FC27">
        <v>104.71024606793954</v>
      </c>
      <c r="FD27">
        <v>104.86811613738713</v>
      </c>
      <c r="FE27">
        <v>105.07944489477259</v>
      </c>
      <c r="FF27">
        <v>105.23691402064634</v>
      </c>
      <c r="FG27">
        <v>105.36659702003207</v>
      </c>
      <c r="FH27">
        <v>105.50070266667124</v>
      </c>
      <c r="FI27">
        <v>105.6564574343185</v>
      </c>
      <c r="FJ27">
        <v>105.84021393635369</v>
      </c>
      <c r="FK27">
        <v>105.97715784983775</v>
      </c>
      <c r="FL27">
        <v>106.14176755160669</v>
      </c>
      <c r="FM27">
        <v>106.30035740161888</v>
      </c>
      <c r="FN27">
        <v>106.505043403122</v>
      </c>
      <c r="FO27">
        <v>106.70486768837375</v>
      </c>
      <c r="FP27">
        <v>106.87158495130257</v>
      </c>
      <c r="FQ27">
        <v>107.08077999266806</v>
      </c>
      <c r="FR27">
        <v>107.28773928076075</v>
      </c>
      <c r="FS27">
        <v>107.58211183568224</v>
      </c>
      <c r="FT27">
        <v>107.75302207119481</v>
      </c>
      <c r="FU27">
        <v>108.0153106157461</v>
      </c>
      <c r="FV27">
        <v>108.28358443494281</v>
      </c>
      <c r="FW27">
        <v>108.53061718494301</v>
      </c>
      <c r="FX27">
        <v>108.80729138364926</v>
      </c>
      <c r="FY27">
        <v>109.14030758713568</v>
      </c>
      <c r="FZ27">
        <v>109.41545047364008</v>
      </c>
      <c r="GA27">
        <v>109.76814752749823</v>
      </c>
      <c r="GB27">
        <v>110.11663365997092</v>
      </c>
      <c r="GC27">
        <v>110.51094036682247</v>
      </c>
      <c r="GD27">
        <v>111.04034152865596</v>
      </c>
      <c r="GE27">
        <v>111.45428188477268</v>
      </c>
      <c r="GF27">
        <v>111.98559661295049</v>
      </c>
      <c r="GG27">
        <v>112.39376434355448</v>
      </c>
      <c r="GH27">
        <v>112.86308608605225</v>
      </c>
      <c r="GI27">
        <v>113.21965120516137</v>
      </c>
      <c r="GJ27">
        <v>113.81183038076513</v>
      </c>
      <c r="GK27">
        <v>114.66449761796375</v>
      </c>
      <c r="GL27">
        <v>115.60741366453225</v>
      </c>
      <c r="GM27">
        <v>116.66813342681399</v>
      </c>
      <c r="GN27">
        <v>118.07881714565414</v>
      </c>
      <c r="GO27">
        <v>120.01342797827402</v>
      </c>
      <c r="GP27">
        <v>122.24232475085267</v>
      </c>
      <c r="GQ27">
        <v>126.89579443424839</v>
      </c>
      <c r="GR27">
        <v>100.56946171299033</v>
      </c>
      <c r="GT27" s="8">
        <v>45329</v>
      </c>
      <c r="GU27">
        <v>110.28755</v>
      </c>
    </row>
    <row r="28" spans="1:203" x14ac:dyDescent="0.45">
      <c r="A28">
        <v>89.938418713555748</v>
      </c>
      <c r="B28">
        <v>90.815527703843372</v>
      </c>
      <c r="C28">
        <v>91.399741548521277</v>
      </c>
      <c r="D28">
        <v>91.707948886606601</v>
      </c>
      <c r="E28">
        <v>92.002397325901356</v>
      </c>
      <c r="F28">
        <v>92.229624319572594</v>
      </c>
      <c r="G28">
        <v>92.401259125562191</v>
      </c>
      <c r="H28">
        <v>92.637213061751851</v>
      </c>
      <c r="I28">
        <v>92.827831725718084</v>
      </c>
      <c r="J28">
        <v>92.985370516550319</v>
      </c>
      <c r="K28">
        <v>93.13225225379017</v>
      </c>
      <c r="L28">
        <v>93.242587451766852</v>
      </c>
      <c r="M28">
        <v>93.37407272217591</v>
      </c>
      <c r="N28">
        <v>93.49234354862493</v>
      </c>
      <c r="O28">
        <v>93.606545866760897</v>
      </c>
      <c r="P28">
        <v>93.72201524495901</v>
      </c>
      <c r="Q28">
        <v>93.809876641184786</v>
      </c>
      <c r="R28">
        <v>93.9036276077358</v>
      </c>
      <c r="S28">
        <v>93.999283574443851</v>
      </c>
      <c r="T28">
        <v>94.07792363642109</v>
      </c>
      <c r="U28">
        <v>94.195719525765881</v>
      </c>
      <c r="V28">
        <v>94.283878203808314</v>
      </c>
      <c r="W28">
        <v>94.353181482035424</v>
      </c>
      <c r="X28">
        <v>94.437998280086276</v>
      </c>
      <c r="Y28">
        <v>94.506068079961508</v>
      </c>
      <c r="Z28">
        <v>94.56593293580427</v>
      </c>
      <c r="AA28">
        <v>94.639001595392671</v>
      </c>
      <c r="AB28">
        <v>94.709718402396447</v>
      </c>
      <c r="AC28">
        <v>94.791471030502706</v>
      </c>
      <c r="AD28">
        <v>94.855673275113318</v>
      </c>
      <c r="AE28">
        <v>94.910231667973093</v>
      </c>
      <c r="AF28">
        <v>94.972320216068582</v>
      </c>
      <c r="AG28">
        <v>95.037369154920967</v>
      </c>
      <c r="AH28">
        <v>95.106654263648309</v>
      </c>
      <c r="AI28">
        <v>95.176986743306088</v>
      </c>
      <c r="AJ28">
        <v>95.241683756411874</v>
      </c>
      <c r="AK28">
        <v>95.292800404101556</v>
      </c>
      <c r="AL28">
        <v>95.372705678553146</v>
      </c>
      <c r="AM28">
        <v>95.414470793318642</v>
      </c>
      <c r="AN28">
        <v>95.473068028615913</v>
      </c>
      <c r="AO28">
        <v>95.548995060888529</v>
      </c>
      <c r="AP28">
        <v>95.612997179233176</v>
      </c>
      <c r="AQ28">
        <v>95.680347076010875</v>
      </c>
      <c r="AR28">
        <v>95.749379083593894</v>
      </c>
      <c r="AS28">
        <v>95.797657937767397</v>
      </c>
      <c r="AT28">
        <v>95.853128989311145</v>
      </c>
      <c r="AU28">
        <v>95.91824650323413</v>
      </c>
      <c r="AV28">
        <v>95.97803040902501</v>
      </c>
      <c r="AW28">
        <v>96.03946231958615</v>
      </c>
      <c r="AX28">
        <v>96.083443428763715</v>
      </c>
      <c r="AY28">
        <v>96.14221749512032</v>
      </c>
      <c r="AZ28">
        <v>96.202215570835435</v>
      </c>
      <c r="BA28">
        <v>96.251892485076723</v>
      </c>
      <c r="BB28">
        <v>96.31442219573519</v>
      </c>
      <c r="BC28">
        <v>96.382213665653424</v>
      </c>
      <c r="BD28">
        <v>96.43189607011476</v>
      </c>
      <c r="BE28">
        <v>96.480122984851221</v>
      </c>
      <c r="BF28">
        <v>96.526157042988871</v>
      </c>
      <c r="BG28">
        <v>96.595843662410914</v>
      </c>
      <c r="BH28">
        <v>96.660874999504998</v>
      </c>
      <c r="BI28">
        <v>96.719823320156465</v>
      </c>
      <c r="BJ28">
        <v>96.762841665248899</v>
      </c>
      <c r="BK28">
        <v>96.822605595166181</v>
      </c>
      <c r="BL28">
        <v>96.866691728227053</v>
      </c>
      <c r="BM28">
        <v>96.924484895545078</v>
      </c>
      <c r="BN28">
        <v>96.991304054980006</v>
      </c>
      <c r="BO28">
        <v>97.060253205460882</v>
      </c>
      <c r="BP28">
        <v>97.12304514382808</v>
      </c>
      <c r="BQ28">
        <v>97.169312078773828</v>
      </c>
      <c r="BR28">
        <v>97.221320065747605</v>
      </c>
      <c r="BS28">
        <v>97.262472853836428</v>
      </c>
      <c r="BT28">
        <v>97.315051022631479</v>
      </c>
      <c r="BU28">
        <v>97.36594025113132</v>
      </c>
      <c r="BV28">
        <v>97.430038424055326</v>
      </c>
      <c r="BW28">
        <v>97.495968019629387</v>
      </c>
      <c r="BX28">
        <v>97.561634848718924</v>
      </c>
      <c r="BY28">
        <v>97.617872542814951</v>
      </c>
      <c r="BZ28">
        <v>97.669448371912608</v>
      </c>
      <c r="CA28">
        <v>97.719585109229214</v>
      </c>
      <c r="CB28">
        <v>97.775052687031788</v>
      </c>
      <c r="CC28">
        <v>97.845845326294409</v>
      </c>
      <c r="CD28">
        <v>97.901336049821836</v>
      </c>
      <c r="CE28">
        <v>97.970280736722472</v>
      </c>
      <c r="CF28">
        <v>98.025083351024648</v>
      </c>
      <c r="CG28">
        <v>98.078753507491157</v>
      </c>
      <c r="CH28">
        <v>98.145793794340463</v>
      </c>
      <c r="CI28">
        <v>98.208807340205666</v>
      </c>
      <c r="CJ28">
        <v>98.258293502808357</v>
      </c>
      <c r="CK28">
        <v>98.323628926304039</v>
      </c>
      <c r="CL28">
        <v>98.38283975760568</v>
      </c>
      <c r="CM28">
        <v>98.440806490120039</v>
      </c>
      <c r="CN28">
        <v>98.509883059907693</v>
      </c>
      <c r="CO28">
        <v>98.569634587114024</v>
      </c>
      <c r="CP28">
        <v>98.639156358237528</v>
      </c>
      <c r="CQ28">
        <v>98.715747883930391</v>
      </c>
      <c r="CR28">
        <v>98.804924666187461</v>
      </c>
      <c r="CS28">
        <v>98.877526011634558</v>
      </c>
      <c r="CT28">
        <v>98.939737582472318</v>
      </c>
      <c r="CU28">
        <v>99.024246960672357</v>
      </c>
      <c r="CV28">
        <v>99.083639222833398</v>
      </c>
      <c r="CW28">
        <v>99.137880929942327</v>
      </c>
      <c r="CX28">
        <v>99.202323564744916</v>
      </c>
      <c r="CY28">
        <v>99.27757955640952</v>
      </c>
      <c r="CZ28">
        <v>99.346089572528115</v>
      </c>
      <c r="DA28">
        <v>99.408817108672906</v>
      </c>
      <c r="DB28">
        <v>99.483297679492637</v>
      </c>
      <c r="DC28">
        <v>99.540397555762567</v>
      </c>
      <c r="DD28">
        <v>99.607008306727309</v>
      </c>
      <c r="DE28">
        <v>99.682358709446419</v>
      </c>
      <c r="DF28">
        <v>99.759605918134355</v>
      </c>
      <c r="DG28">
        <v>99.821559923347692</v>
      </c>
      <c r="DH28">
        <v>99.895857210381919</v>
      </c>
      <c r="DI28">
        <v>99.987445321390524</v>
      </c>
      <c r="DJ28">
        <v>100.07600125902064</v>
      </c>
      <c r="DK28">
        <v>100.15420534942443</v>
      </c>
      <c r="DL28">
        <v>100.26556580881896</v>
      </c>
      <c r="DM28">
        <v>100.35050645611204</v>
      </c>
      <c r="DN28">
        <v>100.43193746803497</v>
      </c>
      <c r="DO28">
        <v>100.51307689510232</v>
      </c>
      <c r="DP28">
        <v>100.58649638570148</v>
      </c>
      <c r="DQ28">
        <v>100.6566544482521</v>
      </c>
      <c r="DR28">
        <v>100.7453321288252</v>
      </c>
      <c r="DS28">
        <v>100.8171184422601</v>
      </c>
      <c r="DT28">
        <v>100.91287974972589</v>
      </c>
      <c r="DU28">
        <v>101.0300280327594</v>
      </c>
      <c r="DV28">
        <v>101.13109744637893</v>
      </c>
      <c r="DW28">
        <v>101.21288849943629</v>
      </c>
      <c r="DX28">
        <v>101.29011427161828</v>
      </c>
      <c r="DY28">
        <v>101.38640265431344</v>
      </c>
      <c r="DZ28">
        <v>101.46930303310302</v>
      </c>
      <c r="EA28">
        <v>101.56377480006702</v>
      </c>
      <c r="EB28">
        <v>101.67750538092204</v>
      </c>
      <c r="EC28">
        <v>101.75855795086667</v>
      </c>
      <c r="ED28">
        <v>101.81651445351234</v>
      </c>
      <c r="EE28">
        <v>101.90780732757541</v>
      </c>
      <c r="EF28">
        <v>102.02425329913055</v>
      </c>
      <c r="EG28">
        <v>102.11759166887843</v>
      </c>
      <c r="EH28">
        <v>102.23987529266962</v>
      </c>
      <c r="EI28">
        <v>102.32678021667135</v>
      </c>
      <c r="EJ28">
        <v>102.43040562040659</v>
      </c>
      <c r="EK28">
        <v>102.55597562198174</v>
      </c>
      <c r="EL28">
        <v>102.6736610240106</v>
      </c>
      <c r="EM28">
        <v>102.78085509024342</v>
      </c>
      <c r="EN28">
        <v>102.88382967122288</v>
      </c>
      <c r="EO28">
        <v>102.9889862205672</v>
      </c>
      <c r="EP28">
        <v>103.10000533796254</v>
      </c>
      <c r="EQ28">
        <v>103.20325028237059</v>
      </c>
      <c r="ER28">
        <v>103.34869399650184</v>
      </c>
      <c r="ES28">
        <v>103.50456580320406</v>
      </c>
      <c r="ET28">
        <v>103.62766533633086</v>
      </c>
      <c r="EU28">
        <v>103.72893573333486</v>
      </c>
      <c r="EV28">
        <v>103.84127280194981</v>
      </c>
      <c r="EW28">
        <v>103.980561455795</v>
      </c>
      <c r="EX28">
        <v>104.13097637598219</v>
      </c>
      <c r="EY28">
        <v>104.25422010862576</v>
      </c>
      <c r="EZ28">
        <v>104.37322321114841</v>
      </c>
      <c r="FA28">
        <v>104.50282278134527</v>
      </c>
      <c r="FB28">
        <v>104.66242572787867</v>
      </c>
      <c r="FC28">
        <v>104.84032132209609</v>
      </c>
      <c r="FD28">
        <v>104.97590970723824</v>
      </c>
      <c r="FE28">
        <v>105.12097029266171</v>
      </c>
      <c r="FF28">
        <v>105.27042789814124</v>
      </c>
      <c r="FG28">
        <v>105.43017435402565</v>
      </c>
      <c r="FH28">
        <v>105.60730134598536</v>
      </c>
      <c r="FI28">
        <v>105.75677031487845</v>
      </c>
      <c r="FJ28">
        <v>105.91854108742679</v>
      </c>
      <c r="FK28">
        <v>106.07095393723679</v>
      </c>
      <c r="FL28">
        <v>106.22142615563961</v>
      </c>
      <c r="FM28">
        <v>106.37543385531926</v>
      </c>
      <c r="FN28">
        <v>106.54049569347148</v>
      </c>
      <c r="FO28">
        <v>106.77322724736155</v>
      </c>
      <c r="FP28">
        <v>107.0386788840561</v>
      </c>
      <c r="FQ28">
        <v>107.23491420365313</v>
      </c>
      <c r="FR28">
        <v>107.43872712546847</v>
      </c>
      <c r="FS28">
        <v>107.65555149786466</v>
      </c>
      <c r="FT28">
        <v>107.89111858242838</v>
      </c>
      <c r="FU28">
        <v>108.10040575048248</v>
      </c>
      <c r="FV28">
        <v>108.38215644923488</v>
      </c>
      <c r="FW28">
        <v>108.6028226068476</v>
      </c>
      <c r="FX28">
        <v>108.90153178623567</v>
      </c>
      <c r="FY28">
        <v>109.24276366706195</v>
      </c>
      <c r="FZ28">
        <v>109.64354408632732</v>
      </c>
      <c r="GA28">
        <v>110.03062243393147</v>
      </c>
      <c r="GB28">
        <v>110.3720830914661</v>
      </c>
      <c r="GC28">
        <v>110.75985588010072</v>
      </c>
      <c r="GD28">
        <v>111.13930217452453</v>
      </c>
      <c r="GE28">
        <v>111.53799233544221</v>
      </c>
      <c r="GF28">
        <v>112.05240118934022</v>
      </c>
      <c r="GG28">
        <v>112.59169942450372</v>
      </c>
      <c r="GH28">
        <v>113.06991732471373</v>
      </c>
      <c r="GI28">
        <v>113.84171608761012</v>
      </c>
      <c r="GJ28">
        <v>114.41097168515817</v>
      </c>
      <c r="GK28">
        <v>115.20293915175243</v>
      </c>
      <c r="GL28">
        <v>116.12417362541544</v>
      </c>
      <c r="GM28">
        <v>117.20911425501446</v>
      </c>
      <c r="GN28">
        <v>118.49842262012309</v>
      </c>
      <c r="GO28">
        <v>120.34616429743467</v>
      </c>
      <c r="GP28">
        <v>123.23783699666855</v>
      </c>
      <c r="GQ28">
        <v>126.79531837203878</v>
      </c>
      <c r="GR28">
        <v>100.57155343167227</v>
      </c>
      <c r="GT28" s="8">
        <v>45330</v>
      </c>
      <c r="GU28">
        <v>110.725515</v>
      </c>
    </row>
    <row r="29" spans="1:203" x14ac:dyDescent="0.45">
      <c r="A29">
        <v>89.853333924982721</v>
      </c>
      <c r="B29">
        <v>90.73676354047609</v>
      </c>
      <c r="C29">
        <v>91.213720026907581</v>
      </c>
      <c r="D29">
        <v>91.591312596158033</v>
      </c>
      <c r="E29">
        <v>91.882335177517149</v>
      </c>
      <c r="F29">
        <v>92.112069432706122</v>
      </c>
      <c r="G29">
        <v>92.330416066616621</v>
      </c>
      <c r="H29">
        <v>92.517136585048121</v>
      </c>
      <c r="I29">
        <v>92.720498595731215</v>
      </c>
      <c r="J29">
        <v>92.857249030837863</v>
      </c>
      <c r="K29">
        <v>92.967500678632987</v>
      </c>
      <c r="L29">
        <v>93.107964694516355</v>
      </c>
      <c r="M29">
        <v>93.259424317764584</v>
      </c>
      <c r="N29">
        <v>93.392828374516469</v>
      </c>
      <c r="O29">
        <v>93.509386852806387</v>
      </c>
      <c r="P29">
        <v>93.608609239469956</v>
      </c>
      <c r="Q29">
        <v>93.697613320187088</v>
      </c>
      <c r="R29">
        <v>93.804535743986193</v>
      </c>
      <c r="S29">
        <v>93.909730775990013</v>
      </c>
      <c r="T29">
        <v>93.995688859702355</v>
      </c>
      <c r="U29">
        <v>94.088790042986972</v>
      </c>
      <c r="V29">
        <v>94.169129545275396</v>
      </c>
      <c r="W29">
        <v>94.25425693656473</v>
      </c>
      <c r="X29">
        <v>94.335223348242977</v>
      </c>
      <c r="Y29">
        <v>94.428648781459799</v>
      </c>
      <c r="Z29">
        <v>94.50120422509697</v>
      </c>
      <c r="AA29">
        <v>94.597087649680944</v>
      </c>
      <c r="AB29">
        <v>94.660217662861854</v>
      </c>
      <c r="AC29">
        <v>94.730260465495732</v>
      </c>
      <c r="AD29">
        <v>94.806330122620707</v>
      </c>
      <c r="AE29">
        <v>94.88227528457648</v>
      </c>
      <c r="AF29">
        <v>94.939436632075868</v>
      </c>
      <c r="AG29">
        <v>94.997334408656442</v>
      </c>
      <c r="AH29">
        <v>95.059403005164739</v>
      </c>
      <c r="AI29">
        <v>95.118842097045317</v>
      </c>
      <c r="AJ29">
        <v>95.190461887850589</v>
      </c>
      <c r="AK29">
        <v>95.229868678440738</v>
      </c>
      <c r="AL29">
        <v>95.309592811446279</v>
      </c>
      <c r="AM29">
        <v>95.371603895471921</v>
      </c>
      <c r="AN29">
        <v>95.422118739246315</v>
      </c>
      <c r="AO29">
        <v>95.484755558540058</v>
      </c>
      <c r="AP29">
        <v>95.548782867231949</v>
      </c>
      <c r="AQ29">
        <v>95.610633263406513</v>
      </c>
      <c r="AR29">
        <v>95.666756651767002</v>
      </c>
      <c r="AS29">
        <v>95.720350578488137</v>
      </c>
      <c r="AT29">
        <v>95.785696545688239</v>
      </c>
      <c r="AU29">
        <v>95.839961489959194</v>
      </c>
      <c r="AV29">
        <v>95.908841621743449</v>
      </c>
      <c r="AW29">
        <v>95.969271031094024</v>
      </c>
      <c r="AX29">
        <v>96.020611693206291</v>
      </c>
      <c r="AY29">
        <v>96.072006083391813</v>
      </c>
      <c r="AZ29">
        <v>96.126673730536993</v>
      </c>
      <c r="BA29">
        <v>96.182713723008376</v>
      </c>
      <c r="BB29">
        <v>96.23080482423731</v>
      </c>
      <c r="BC29">
        <v>96.295946631195505</v>
      </c>
      <c r="BD29">
        <v>96.354321000674119</v>
      </c>
      <c r="BE29">
        <v>96.415989115718872</v>
      </c>
      <c r="BF29">
        <v>96.470973944151822</v>
      </c>
      <c r="BG29">
        <v>96.521534529566253</v>
      </c>
      <c r="BH29">
        <v>96.57817997608673</v>
      </c>
      <c r="BI29">
        <v>96.642873278315406</v>
      </c>
      <c r="BJ29">
        <v>96.696632456201158</v>
      </c>
      <c r="BK29">
        <v>96.747009415929597</v>
      </c>
      <c r="BL29">
        <v>96.818532738076257</v>
      </c>
      <c r="BM29">
        <v>96.883992199046503</v>
      </c>
      <c r="BN29">
        <v>96.939475965422574</v>
      </c>
      <c r="BO29">
        <v>97.004101803133906</v>
      </c>
      <c r="BP29">
        <v>97.055513248437364</v>
      </c>
      <c r="BQ29">
        <v>97.096172048260286</v>
      </c>
      <c r="BR29">
        <v>97.154926033436851</v>
      </c>
      <c r="BS29">
        <v>97.223600109452491</v>
      </c>
      <c r="BT29">
        <v>97.275096534906581</v>
      </c>
      <c r="BU29">
        <v>97.345366979634008</v>
      </c>
      <c r="BV29">
        <v>97.396485649468815</v>
      </c>
      <c r="BW29">
        <v>97.439507219998603</v>
      </c>
      <c r="BX29">
        <v>97.490076991934174</v>
      </c>
      <c r="BY29">
        <v>97.541486196803405</v>
      </c>
      <c r="BZ29">
        <v>97.616004889547085</v>
      </c>
      <c r="CA29">
        <v>97.673375839036311</v>
      </c>
      <c r="CB29">
        <v>97.715161600038428</v>
      </c>
      <c r="CC29">
        <v>97.789302866630806</v>
      </c>
      <c r="CD29">
        <v>97.84515898398341</v>
      </c>
      <c r="CE29">
        <v>97.910901865818971</v>
      </c>
      <c r="CF29">
        <v>97.977396952382122</v>
      </c>
      <c r="CG29">
        <v>98.030998475906088</v>
      </c>
      <c r="CH29">
        <v>98.093622941069782</v>
      </c>
      <c r="CI29">
        <v>98.154358236165933</v>
      </c>
      <c r="CJ29">
        <v>98.222273056209232</v>
      </c>
      <c r="CK29">
        <v>98.285750532646375</v>
      </c>
      <c r="CL29">
        <v>98.349346226427912</v>
      </c>
      <c r="CM29">
        <v>98.416520833615706</v>
      </c>
      <c r="CN29">
        <v>98.485030727041647</v>
      </c>
      <c r="CO29">
        <v>98.545260470884855</v>
      </c>
      <c r="CP29">
        <v>98.606379755151679</v>
      </c>
      <c r="CQ29">
        <v>98.668457717939205</v>
      </c>
      <c r="CR29">
        <v>98.729159761511127</v>
      </c>
      <c r="CS29">
        <v>98.79612562710436</v>
      </c>
      <c r="CT29">
        <v>98.887088630138237</v>
      </c>
      <c r="CU29">
        <v>98.964767768546025</v>
      </c>
      <c r="CV29">
        <v>99.043001630120514</v>
      </c>
      <c r="CW29">
        <v>99.111215212118253</v>
      </c>
      <c r="CX29">
        <v>99.187816147240454</v>
      </c>
      <c r="CY29">
        <v>99.269871857913046</v>
      </c>
      <c r="CZ29">
        <v>99.348061109733763</v>
      </c>
      <c r="DA29">
        <v>99.416028369164721</v>
      </c>
      <c r="DB29">
        <v>99.495427509151568</v>
      </c>
      <c r="DC29">
        <v>99.580950383205931</v>
      </c>
      <c r="DD29">
        <v>99.654598727572221</v>
      </c>
      <c r="DE29">
        <v>99.72475784640811</v>
      </c>
      <c r="DF29">
        <v>99.784825214918442</v>
      </c>
      <c r="DG29">
        <v>99.875825898337922</v>
      </c>
      <c r="DH29">
        <v>99.968473631055915</v>
      </c>
      <c r="DI29">
        <v>100.05221697319205</v>
      </c>
      <c r="DJ29">
        <v>100.118897172891</v>
      </c>
      <c r="DK29">
        <v>100.19127037073112</v>
      </c>
      <c r="DL29">
        <v>100.26241334920046</v>
      </c>
      <c r="DM29">
        <v>100.36516564930197</v>
      </c>
      <c r="DN29">
        <v>100.43589907871568</v>
      </c>
      <c r="DO29">
        <v>100.51465331937324</v>
      </c>
      <c r="DP29">
        <v>100.58768708072911</v>
      </c>
      <c r="DQ29">
        <v>100.6559041362413</v>
      </c>
      <c r="DR29">
        <v>100.75943269670235</v>
      </c>
      <c r="DS29">
        <v>100.83217443297443</v>
      </c>
      <c r="DT29">
        <v>100.92637764541105</v>
      </c>
      <c r="DU29">
        <v>101.02109231243168</v>
      </c>
      <c r="DV29">
        <v>101.10963960928537</v>
      </c>
      <c r="DW29">
        <v>101.18982339050066</v>
      </c>
      <c r="DX29">
        <v>101.27447467977912</v>
      </c>
      <c r="DY29">
        <v>101.36979138069947</v>
      </c>
      <c r="DZ29">
        <v>101.46650327118715</v>
      </c>
      <c r="EA29">
        <v>101.56396605663572</v>
      </c>
      <c r="EB29">
        <v>101.65348163963908</v>
      </c>
      <c r="EC29">
        <v>101.75567560823573</v>
      </c>
      <c r="ED29">
        <v>101.87684263416541</v>
      </c>
      <c r="EE29">
        <v>101.99442118884942</v>
      </c>
      <c r="EF29">
        <v>102.08398567586576</v>
      </c>
      <c r="EG29">
        <v>102.17314630980877</v>
      </c>
      <c r="EH29">
        <v>102.24858394422971</v>
      </c>
      <c r="EI29">
        <v>102.35116748111137</v>
      </c>
      <c r="EJ29">
        <v>102.45304591494831</v>
      </c>
      <c r="EK29">
        <v>102.54271874231411</v>
      </c>
      <c r="EL29">
        <v>102.6535112031758</v>
      </c>
      <c r="EM29">
        <v>102.7671818359742</v>
      </c>
      <c r="EN29">
        <v>102.89211844273309</v>
      </c>
      <c r="EO29">
        <v>103.0056698050029</v>
      </c>
      <c r="EP29">
        <v>103.1329843195667</v>
      </c>
      <c r="EQ29">
        <v>103.24606370072544</v>
      </c>
      <c r="ER29">
        <v>103.36477855321266</v>
      </c>
      <c r="ES29">
        <v>103.49980701541712</v>
      </c>
      <c r="ET29">
        <v>103.66666360369113</v>
      </c>
      <c r="EU29">
        <v>103.79589081208825</v>
      </c>
      <c r="EV29">
        <v>103.93010034498494</v>
      </c>
      <c r="EW29">
        <v>104.07465184589236</v>
      </c>
      <c r="EX29">
        <v>104.19665215266292</v>
      </c>
      <c r="EY29">
        <v>104.36783791258128</v>
      </c>
      <c r="EZ29">
        <v>104.52388545984819</v>
      </c>
      <c r="FA29">
        <v>104.67192636892489</v>
      </c>
      <c r="FB29">
        <v>104.78896915630156</v>
      </c>
      <c r="FC29">
        <v>104.9118213901596</v>
      </c>
      <c r="FD29">
        <v>105.06544459108055</v>
      </c>
      <c r="FE29">
        <v>105.2808573038146</v>
      </c>
      <c r="FF29">
        <v>105.44119579626314</v>
      </c>
      <c r="FG29">
        <v>105.6000885829107</v>
      </c>
      <c r="FH29">
        <v>105.76169195250586</v>
      </c>
      <c r="FI29">
        <v>105.92701551271342</v>
      </c>
      <c r="FJ29">
        <v>106.08494100649732</v>
      </c>
      <c r="FK29">
        <v>106.23730512715068</v>
      </c>
      <c r="FL29">
        <v>106.43725762931177</v>
      </c>
      <c r="FM29">
        <v>106.59709178077047</v>
      </c>
      <c r="FN29">
        <v>106.73707411882405</v>
      </c>
      <c r="FO29">
        <v>106.95964292828245</v>
      </c>
      <c r="FP29">
        <v>107.1846265156038</v>
      </c>
      <c r="FQ29">
        <v>107.41116350243522</v>
      </c>
      <c r="FR29">
        <v>107.67133792344981</v>
      </c>
      <c r="FS29">
        <v>107.87773532374321</v>
      </c>
      <c r="FT29">
        <v>108.15569472093723</v>
      </c>
      <c r="FU29">
        <v>108.36683810585114</v>
      </c>
      <c r="FV29">
        <v>108.64594280678163</v>
      </c>
      <c r="FW29">
        <v>108.91876786587108</v>
      </c>
      <c r="FX29">
        <v>109.29958375278814</v>
      </c>
      <c r="FY29">
        <v>109.55797663528801</v>
      </c>
      <c r="FZ29">
        <v>109.89359697952231</v>
      </c>
      <c r="GA29">
        <v>110.1536131929545</v>
      </c>
      <c r="GB29">
        <v>110.63758366305274</v>
      </c>
      <c r="GC29">
        <v>111.02723812711389</v>
      </c>
      <c r="GD29">
        <v>111.37860131336413</v>
      </c>
      <c r="GE29">
        <v>111.8789678297331</v>
      </c>
      <c r="GF29">
        <v>112.2862419935734</v>
      </c>
      <c r="GG29">
        <v>112.86035760942438</v>
      </c>
      <c r="GH29">
        <v>113.48109201278582</v>
      </c>
      <c r="GI29">
        <v>114.12927298515008</v>
      </c>
      <c r="GJ29">
        <v>114.91762909006152</v>
      </c>
      <c r="GK29">
        <v>115.65454545557789</v>
      </c>
      <c r="GL29">
        <v>116.53556510644675</v>
      </c>
      <c r="GM29">
        <v>117.26561051159148</v>
      </c>
      <c r="GN29">
        <v>119.12454979353444</v>
      </c>
      <c r="GO29">
        <v>120.63834760942113</v>
      </c>
      <c r="GP29">
        <v>123.27066112990488</v>
      </c>
      <c r="GQ29">
        <v>127.37823387172547</v>
      </c>
      <c r="GR29">
        <v>100.60085165946951</v>
      </c>
      <c r="GT29" s="8">
        <v>45331</v>
      </c>
      <c r="GU29">
        <v>110.908664</v>
      </c>
    </row>
    <row r="30" spans="1:203" x14ac:dyDescent="0.45">
      <c r="A30">
        <v>89.717155188188173</v>
      </c>
      <c r="B30">
        <v>90.588861488223898</v>
      </c>
      <c r="C30">
        <v>91.041653621294287</v>
      </c>
      <c r="D30">
        <v>91.491407679960304</v>
      </c>
      <c r="E30">
        <v>91.769307182672961</v>
      </c>
      <c r="F30">
        <v>92.019715559939698</v>
      </c>
      <c r="G30">
        <v>92.220439617207063</v>
      </c>
      <c r="H30">
        <v>92.40153583180556</v>
      </c>
      <c r="I30">
        <v>92.529768042488143</v>
      </c>
      <c r="J30">
        <v>92.745912275719789</v>
      </c>
      <c r="K30">
        <v>92.914111461026749</v>
      </c>
      <c r="L30">
        <v>93.017831801108741</v>
      </c>
      <c r="M30">
        <v>93.124559163238544</v>
      </c>
      <c r="N30">
        <v>93.279738649972643</v>
      </c>
      <c r="O30">
        <v>93.382719365460503</v>
      </c>
      <c r="P30">
        <v>93.502005674122856</v>
      </c>
      <c r="Q30">
        <v>93.616933281431344</v>
      </c>
      <c r="R30">
        <v>93.729822749875609</v>
      </c>
      <c r="S30">
        <v>93.806397150469891</v>
      </c>
      <c r="T30">
        <v>93.890388940352068</v>
      </c>
      <c r="U30">
        <v>93.985599930067565</v>
      </c>
      <c r="V30">
        <v>94.077157859440845</v>
      </c>
      <c r="W30">
        <v>94.17677106265684</v>
      </c>
      <c r="X30">
        <v>94.253555254112953</v>
      </c>
      <c r="Y30">
        <v>94.324949433016229</v>
      </c>
      <c r="Z30">
        <v>94.408177083067386</v>
      </c>
      <c r="AA30">
        <v>94.491283374774341</v>
      </c>
      <c r="AB30">
        <v>94.565181199471013</v>
      </c>
      <c r="AC30">
        <v>94.637062512231253</v>
      </c>
      <c r="AD30">
        <v>94.703679281714685</v>
      </c>
      <c r="AE30">
        <v>94.777889068412009</v>
      </c>
      <c r="AF30">
        <v>94.850050652048864</v>
      </c>
      <c r="AG30">
        <v>94.918041542689963</v>
      </c>
      <c r="AH30">
        <v>94.988046224236484</v>
      </c>
      <c r="AI30">
        <v>95.050938617841069</v>
      </c>
      <c r="AJ30">
        <v>95.128965472733569</v>
      </c>
      <c r="AK30">
        <v>95.191941565600544</v>
      </c>
      <c r="AL30">
        <v>95.262309577161616</v>
      </c>
      <c r="AM30">
        <v>95.312767276639732</v>
      </c>
      <c r="AN30">
        <v>95.374777849646748</v>
      </c>
      <c r="AO30">
        <v>95.430904967004579</v>
      </c>
      <c r="AP30">
        <v>95.489464807548899</v>
      </c>
      <c r="AQ30">
        <v>95.554084545542054</v>
      </c>
      <c r="AR30">
        <v>95.607024274522658</v>
      </c>
      <c r="AS30">
        <v>95.672731007047929</v>
      </c>
      <c r="AT30">
        <v>95.7355527104598</v>
      </c>
      <c r="AU30">
        <v>95.79939809839243</v>
      </c>
      <c r="AV30">
        <v>95.843294323902825</v>
      </c>
      <c r="AW30">
        <v>95.894716285716513</v>
      </c>
      <c r="AX30">
        <v>95.95619497320061</v>
      </c>
      <c r="AY30">
        <v>96.007696738969784</v>
      </c>
      <c r="AZ30">
        <v>96.059512122783246</v>
      </c>
      <c r="BA30">
        <v>96.120327783948142</v>
      </c>
      <c r="BB30">
        <v>96.193818562589726</v>
      </c>
      <c r="BC30">
        <v>96.265035101326632</v>
      </c>
      <c r="BD30">
        <v>96.321601944357624</v>
      </c>
      <c r="BE30">
        <v>96.382042120301861</v>
      </c>
      <c r="BF30">
        <v>96.429822037363508</v>
      </c>
      <c r="BG30">
        <v>96.483308900186373</v>
      </c>
      <c r="BH30">
        <v>96.54832292298417</v>
      </c>
      <c r="BI30">
        <v>96.603454309934264</v>
      </c>
      <c r="BJ30">
        <v>96.657556238398044</v>
      </c>
      <c r="BK30">
        <v>96.728334316859602</v>
      </c>
      <c r="BL30">
        <v>96.790485024841203</v>
      </c>
      <c r="BM30">
        <v>96.843160849708212</v>
      </c>
      <c r="BN30">
        <v>96.904948172206986</v>
      </c>
      <c r="BO30">
        <v>96.963928083543749</v>
      </c>
      <c r="BP30">
        <v>97.014043189985628</v>
      </c>
      <c r="BQ30">
        <v>97.077107619833967</v>
      </c>
      <c r="BR30">
        <v>97.141372972891816</v>
      </c>
      <c r="BS30">
        <v>97.210293330514176</v>
      </c>
      <c r="BT30">
        <v>97.258075028270895</v>
      </c>
      <c r="BU30">
        <v>97.312361697290925</v>
      </c>
      <c r="BV30">
        <v>97.369611214042223</v>
      </c>
      <c r="BW30">
        <v>97.410499149291425</v>
      </c>
      <c r="BX30">
        <v>97.460773106981293</v>
      </c>
      <c r="BY30">
        <v>97.521988526358115</v>
      </c>
      <c r="BZ30">
        <v>97.57977966975831</v>
      </c>
      <c r="CA30">
        <v>97.64019816487739</v>
      </c>
      <c r="CB30">
        <v>97.714516862670152</v>
      </c>
      <c r="CC30">
        <v>97.764251078718971</v>
      </c>
      <c r="CD30">
        <v>97.826307063540497</v>
      </c>
      <c r="CE30">
        <v>97.890156179311944</v>
      </c>
      <c r="CF30">
        <v>97.951855086656536</v>
      </c>
      <c r="CG30">
        <v>98.029197372108342</v>
      </c>
      <c r="CH30">
        <v>98.102149307238932</v>
      </c>
      <c r="CI30">
        <v>98.151998037425415</v>
      </c>
      <c r="CJ30">
        <v>98.21640451986454</v>
      </c>
      <c r="CK30">
        <v>98.28164300759353</v>
      </c>
      <c r="CL30">
        <v>98.344181115792239</v>
      </c>
      <c r="CM30">
        <v>98.399789515410049</v>
      </c>
      <c r="CN30">
        <v>98.468856701743505</v>
      </c>
      <c r="CO30">
        <v>98.525510845764202</v>
      </c>
      <c r="CP30">
        <v>98.606542364307074</v>
      </c>
      <c r="CQ30">
        <v>98.687632604052027</v>
      </c>
      <c r="CR30">
        <v>98.751053922073552</v>
      </c>
      <c r="CS30">
        <v>98.817037644151313</v>
      </c>
      <c r="CT30">
        <v>98.888483594956369</v>
      </c>
      <c r="CU30">
        <v>98.961799412636509</v>
      </c>
      <c r="CV30">
        <v>99.015212182488298</v>
      </c>
      <c r="CW30">
        <v>99.082080363720465</v>
      </c>
      <c r="CX30">
        <v>99.158670657848106</v>
      </c>
      <c r="CY30">
        <v>99.204520831465757</v>
      </c>
      <c r="CZ30">
        <v>99.264183324656244</v>
      </c>
      <c r="DA30">
        <v>99.33670621361081</v>
      </c>
      <c r="DB30">
        <v>99.398151886991258</v>
      </c>
      <c r="DC30">
        <v>99.481001412357941</v>
      </c>
      <c r="DD30">
        <v>99.57938018528759</v>
      </c>
      <c r="DE30">
        <v>99.652853477212403</v>
      </c>
      <c r="DF30">
        <v>99.715331852838034</v>
      </c>
      <c r="DG30">
        <v>99.80123114418808</v>
      </c>
      <c r="DH30">
        <v>99.874608562662374</v>
      </c>
      <c r="DI30">
        <v>99.943688386230363</v>
      </c>
      <c r="DJ30">
        <v>100.02712864619183</v>
      </c>
      <c r="DK30">
        <v>100.10738119657368</v>
      </c>
      <c r="DL30">
        <v>100.20285386846429</v>
      </c>
      <c r="DM30">
        <v>100.30149122183006</v>
      </c>
      <c r="DN30">
        <v>100.39434592616816</v>
      </c>
      <c r="DO30">
        <v>100.52854469594982</v>
      </c>
      <c r="DP30">
        <v>100.59846967795193</v>
      </c>
      <c r="DQ30">
        <v>100.67734074950442</v>
      </c>
      <c r="DR30">
        <v>100.75546170741379</v>
      </c>
      <c r="DS30">
        <v>100.85981531846839</v>
      </c>
      <c r="DT30">
        <v>100.93249263332127</v>
      </c>
      <c r="DU30">
        <v>101.03414704046173</v>
      </c>
      <c r="DV30">
        <v>101.12787043987709</v>
      </c>
      <c r="DW30">
        <v>101.21648386614036</v>
      </c>
      <c r="DX30">
        <v>101.3231810893714</v>
      </c>
      <c r="DY30">
        <v>101.40994246962408</v>
      </c>
      <c r="DZ30">
        <v>101.49250227193077</v>
      </c>
      <c r="EA30">
        <v>101.58417226120746</v>
      </c>
      <c r="EB30">
        <v>101.67641068573973</v>
      </c>
      <c r="EC30">
        <v>101.7925176484364</v>
      </c>
      <c r="ED30">
        <v>101.88441927667867</v>
      </c>
      <c r="EE30">
        <v>101.96553045918871</v>
      </c>
      <c r="EF30">
        <v>102.06005015565974</v>
      </c>
      <c r="EG30">
        <v>102.17821236978578</v>
      </c>
      <c r="EH30">
        <v>102.26553241696021</v>
      </c>
      <c r="EI30">
        <v>102.36485526419115</v>
      </c>
      <c r="EJ30">
        <v>102.45360506107551</v>
      </c>
      <c r="EK30">
        <v>102.57148292306276</v>
      </c>
      <c r="EL30">
        <v>102.69739133678659</v>
      </c>
      <c r="EM30">
        <v>102.81726264812322</v>
      </c>
      <c r="EN30">
        <v>102.91399827991324</v>
      </c>
      <c r="EO30">
        <v>103.01155643575935</v>
      </c>
      <c r="EP30">
        <v>103.13232101762529</v>
      </c>
      <c r="EQ30">
        <v>103.28646501569413</v>
      </c>
      <c r="ER30">
        <v>103.4359453882271</v>
      </c>
      <c r="ES30">
        <v>103.57923309530626</v>
      </c>
      <c r="ET30">
        <v>103.69772928009033</v>
      </c>
      <c r="EU30">
        <v>103.81568774029999</v>
      </c>
      <c r="EV30">
        <v>103.91420796063048</v>
      </c>
      <c r="EW30">
        <v>104.10391706772954</v>
      </c>
      <c r="EX30">
        <v>104.2292519567544</v>
      </c>
      <c r="EY30">
        <v>104.374486498262</v>
      </c>
      <c r="EZ30">
        <v>104.5335164529741</v>
      </c>
      <c r="FA30">
        <v>104.71445812648949</v>
      </c>
      <c r="FB30">
        <v>104.84504529640672</v>
      </c>
      <c r="FC30">
        <v>105.00733568407249</v>
      </c>
      <c r="FD30">
        <v>105.14511866772069</v>
      </c>
      <c r="FE30">
        <v>105.34386907299863</v>
      </c>
      <c r="FF30">
        <v>105.4904543370215</v>
      </c>
      <c r="FG30">
        <v>105.65401162056628</v>
      </c>
      <c r="FH30">
        <v>105.78756855045988</v>
      </c>
      <c r="FI30">
        <v>105.98213635277249</v>
      </c>
      <c r="FJ30">
        <v>106.107158799761</v>
      </c>
      <c r="FK30">
        <v>106.29112258068527</v>
      </c>
      <c r="FL30">
        <v>106.4648840222258</v>
      </c>
      <c r="FM30">
        <v>106.6504240872441</v>
      </c>
      <c r="FN30">
        <v>106.89516204111291</v>
      </c>
      <c r="FO30">
        <v>107.08173944419191</v>
      </c>
      <c r="FP30">
        <v>107.33397437300157</v>
      </c>
      <c r="FQ30">
        <v>107.53407746704288</v>
      </c>
      <c r="FR30">
        <v>107.77210289740825</v>
      </c>
      <c r="FS30">
        <v>108.04295084341629</v>
      </c>
      <c r="FT30">
        <v>108.33906285296344</v>
      </c>
      <c r="FU30">
        <v>108.52133096227519</v>
      </c>
      <c r="FV30">
        <v>108.77762971010532</v>
      </c>
      <c r="FW30">
        <v>109.0272828634378</v>
      </c>
      <c r="FX30">
        <v>109.38711599995892</v>
      </c>
      <c r="FY30">
        <v>109.76387229189169</v>
      </c>
      <c r="FZ30">
        <v>110.07555384759374</v>
      </c>
      <c r="GA30">
        <v>110.39374338153944</v>
      </c>
      <c r="GB30">
        <v>110.75917527085252</v>
      </c>
      <c r="GC30">
        <v>111.18599529539711</v>
      </c>
      <c r="GD30">
        <v>111.6943285450868</v>
      </c>
      <c r="GE30">
        <v>112.22083368008639</v>
      </c>
      <c r="GF30">
        <v>112.71291107265559</v>
      </c>
      <c r="GG30">
        <v>113.2727501473984</v>
      </c>
      <c r="GH30">
        <v>113.75196344343821</v>
      </c>
      <c r="GI30">
        <v>114.38432192406434</v>
      </c>
      <c r="GJ30">
        <v>115.14846556030369</v>
      </c>
      <c r="GK30">
        <v>115.94380477388322</v>
      </c>
      <c r="GL30">
        <v>116.80317811676368</v>
      </c>
      <c r="GM30">
        <v>117.92329743748982</v>
      </c>
      <c r="GN30">
        <v>118.97584141429999</v>
      </c>
      <c r="GO30">
        <v>120.91916291582336</v>
      </c>
      <c r="GP30">
        <v>124.25065307403086</v>
      </c>
      <c r="GQ30">
        <v>128.53271961910991</v>
      </c>
      <c r="GR30">
        <v>100.61441910829743</v>
      </c>
      <c r="GT30" s="8">
        <v>45334</v>
      </c>
      <c r="GU30">
        <v>111.61737100000001</v>
      </c>
    </row>
    <row r="31" spans="1:203" x14ac:dyDescent="0.45">
      <c r="A31">
        <v>89.65434424159757</v>
      </c>
      <c r="B31">
        <v>90.412205531469453</v>
      </c>
      <c r="C31">
        <v>90.885324593788269</v>
      </c>
      <c r="D31">
        <v>91.333691452985605</v>
      </c>
      <c r="E31">
        <v>91.660597315597016</v>
      </c>
      <c r="F31">
        <v>91.941476403478077</v>
      </c>
      <c r="G31">
        <v>92.100766602845098</v>
      </c>
      <c r="H31">
        <v>92.282859103396305</v>
      </c>
      <c r="I31">
        <v>92.49351879507914</v>
      </c>
      <c r="J31">
        <v>92.633216363431416</v>
      </c>
      <c r="K31">
        <v>92.770002976644776</v>
      </c>
      <c r="L31">
        <v>92.902224982247461</v>
      </c>
      <c r="M31">
        <v>93.027051454676524</v>
      </c>
      <c r="N31">
        <v>93.167293814510955</v>
      </c>
      <c r="O31">
        <v>93.286856509012537</v>
      </c>
      <c r="P31">
        <v>93.426665294415045</v>
      </c>
      <c r="Q31">
        <v>93.529463305198192</v>
      </c>
      <c r="R31">
        <v>93.611626685100362</v>
      </c>
      <c r="S31">
        <v>93.70134981699259</v>
      </c>
      <c r="T31">
        <v>93.789752915213754</v>
      </c>
      <c r="U31">
        <v>93.877546808644496</v>
      </c>
      <c r="V31">
        <v>93.970884900179385</v>
      </c>
      <c r="W31">
        <v>94.074603794020632</v>
      </c>
      <c r="X31">
        <v>94.166433314144655</v>
      </c>
      <c r="Y31">
        <v>94.22988482718425</v>
      </c>
      <c r="Z31">
        <v>94.342546185234553</v>
      </c>
      <c r="AA31">
        <v>94.410142289507448</v>
      </c>
      <c r="AB31">
        <v>94.500470967118375</v>
      </c>
      <c r="AC31">
        <v>94.571467466322531</v>
      </c>
      <c r="AD31">
        <v>94.646034965946782</v>
      </c>
      <c r="AE31">
        <v>94.705549219849445</v>
      </c>
      <c r="AF31">
        <v>94.796139383023601</v>
      </c>
      <c r="AG31">
        <v>94.859602678018376</v>
      </c>
      <c r="AH31">
        <v>94.937190594410879</v>
      </c>
      <c r="AI31">
        <v>94.992113395818834</v>
      </c>
      <c r="AJ31">
        <v>95.074886619274508</v>
      </c>
      <c r="AK31">
        <v>95.139449362102297</v>
      </c>
      <c r="AL31">
        <v>95.198405907534351</v>
      </c>
      <c r="AM31">
        <v>95.261581965021549</v>
      </c>
      <c r="AN31">
        <v>95.327318637259737</v>
      </c>
      <c r="AO31">
        <v>95.388315365696727</v>
      </c>
      <c r="AP31">
        <v>95.439627052640944</v>
      </c>
      <c r="AQ31">
        <v>95.500456085774019</v>
      </c>
      <c r="AR31">
        <v>95.569761374513178</v>
      </c>
      <c r="AS31">
        <v>95.613322640574339</v>
      </c>
      <c r="AT31">
        <v>95.668369169154289</v>
      </c>
      <c r="AU31">
        <v>95.720128849399245</v>
      </c>
      <c r="AV31">
        <v>95.777857523764979</v>
      </c>
      <c r="AW31">
        <v>95.82481091992446</v>
      </c>
      <c r="AX31">
        <v>95.871828578527669</v>
      </c>
      <c r="AY31">
        <v>95.923452227455797</v>
      </c>
      <c r="AZ31">
        <v>95.993294563561008</v>
      </c>
      <c r="BA31">
        <v>96.056777240183962</v>
      </c>
      <c r="BB31">
        <v>96.126710312877449</v>
      </c>
      <c r="BC31">
        <v>96.181839307258556</v>
      </c>
      <c r="BD31">
        <v>96.242465963038256</v>
      </c>
      <c r="BE31">
        <v>96.300513900668662</v>
      </c>
      <c r="BF31">
        <v>96.355525786220198</v>
      </c>
      <c r="BG31">
        <v>96.409816731201161</v>
      </c>
      <c r="BH31">
        <v>96.478172321701081</v>
      </c>
      <c r="BI31">
        <v>96.538644457842139</v>
      </c>
      <c r="BJ31">
        <v>96.612108160317618</v>
      </c>
      <c r="BK31">
        <v>96.661593884083473</v>
      </c>
      <c r="BL31">
        <v>96.71749110928387</v>
      </c>
      <c r="BM31">
        <v>96.768485647467415</v>
      </c>
      <c r="BN31">
        <v>96.832143623069982</v>
      </c>
      <c r="BO31">
        <v>96.901770641197828</v>
      </c>
      <c r="BP31">
        <v>96.973213187088163</v>
      </c>
      <c r="BQ31">
        <v>97.034472902343211</v>
      </c>
      <c r="BR31">
        <v>97.076580943405133</v>
      </c>
      <c r="BS31">
        <v>97.144483436427791</v>
      </c>
      <c r="BT31">
        <v>97.198918880165692</v>
      </c>
      <c r="BU31">
        <v>97.256092667085966</v>
      </c>
      <c r="BV31">
        <v>97.311625056295242</v>
      </c>
      <c r="BW31">
        <v>97.365841357152462</v>
      </c>
      <c r="BX31">
        <v>97.435472525800165</v>
      </c>
      <c r="BY31">
        <v>97.49054224816939</v>
      </c>
      <c r="BZ31">
        <v>97.545725483716183</v>
      </c>
      <c r="CA31">
        <v>97.611154461848571</v>
      </c>
      <c r="CB31">
        <v>97.673486385645717</v>
      </c>
      <c r="CC31">
        <v>97.730783545134059</v>
      </c>
      <c r="CD31">
        <v>97.788473723361108</v>
      </c>
      <c r="CE31">
        <v>97.848468641473744</v>
      </c>
      <c r="CF31">
        <v>97.917253976189301</v>
      </c>
      <c r="CG31">
        <v>97.975172501904424</v>
      </c>
      <c r="CH31">
        <v>98.04173295811961</v>
      </c>
      <c r="CI31">
        <v>98.085377043756978</v>
      </c>
      <c r="CJ31">
        <v>98.146259447439803</v>
      </c>
      <c r="CK31">
        <v>98.223173095099867</v>
      </c>
      <c r="CL31">
        <v>98.272841900603865</v>
      </c>
      <c r="CM31">
        <v>98.349207612240164</v>
      </c>
      <c r="CN31">
        <v>98.402849708438637</v>
      </c>
      <c r="CO31">
        <v>98.475770063454135</v>
      </c>
      <c r="CP31">
        <v>98.556124024678596</v>
      </c>
      <c r="CQ31">
        <v>98.628086760895201</v>
      </c>
      <c r="CR31">
        <v>98.699674064914845</v>
      </c>
      <c r="CS31">
        <v>98.771033683202845</v>
      </c>
      <c r="CT31">
        <v>98.827887707011783</v>
      </c>
      <c r="CU31">
        <v>98.904847517327951</v>
      </c>
      <c r="CV31">
        <v>98.963559867078772</v>
      </c>
      <c r="CW31">
        <v>99.023141770830094</v>
      </c>
      <c r="CX31">
        <v>99.090608167179809</v>
      </c>
      <c r="CY31">
        <v>99.140456747388313</v>
      </c>
      <c r="CZ31">
        <v>99.210931031942081</v>
      </c>
      <c r="DA31">
        <v>99.297737250535718</v>
      </c>
      <c r="DB31">
        <v>99.371390130079945</v>
      </c>
      <c r="DC31">
        <v>99.451399226838703</v>
      </c>
      <c r="DD31">
        <v>99.536657099011038</v>
      </c>
      <c r="DE31">
        <v>99.619184839655219</v>
      </c>
      <c r="DF31">
        <v>99.713622617122894</v>
      </c>
      <c r="DG31">
        <v>99.807469564180764</v>
      </c>
      <c r="DH31">
        <v>99.903805838566129</v>
      </c>
      <c r="DI31">
        <v>99.988644743195607</v>
      </c>
      <c r="DJ31">
        <v>100.05613346876095</v>
      </c>
      <c r="DK31">
        <v>100.15121713092097</v>
      </c>
      <c r="DL31">
        <v>100.23766888367707</v>
      </c>
      <c r="DM31">
        <v>100.29882362865443</v>
      </c>
      <c r="DN31">
        <v>100.39043128301805</v>
      </c>
      <c r="DO31">
        <v>100.4746949726643</v>
      </c>
      <c r="DP31">
        <v>100.55166002797456</v>
      </c>
      <c r="DQ31">
        <v>100.62558303856504</v>
      </c>
      <c r="DR31">
        <v>100.70333812738762</v>
      </c>
      <c r="DS31">
        <v>100.78227769528915</v>
      </c>
      <c r="DT31">
        <v>100.85766384510966</v>
      </c>
      <c r="DU31">
        <v>100.93840454202433</v>
      </c>
      <c r="DV31">
        <v>101.02712216435424</v>
      </c>
      <c r="DW31">
        <v>101.10298692469355</v>
      </c>
      <c r="DX31">
        <v>101.19472750941394</v>
      </c>
      <c r="DY31">
        <v>101.27385286142137</v>
      </c>
      <c r="DZ31">
        <v>101.37978611281915</v>
      </c>
      <c r="EA31">
        <v>101.47436253249226</v>
      </c>
      <c r="EB31">
        <v>101.60437913114994</v>
      </c>
      <c r="EC31">
        <v>101.70432022200757</v>
      </c>
      <c r="ED31">
        <v>101.81142061657738</v>
      </c>
      <c r="EE31">
        <v>101.92870816501092</v>
      </c>
      <c r="EF31">
        <v>102.03590529681968</v>
      </c>
      <c r="EG31">
        <v>102.15228198423748</v>
      </c>
      <c r="EH31">
        <v>102.2420473751306</v>
      </c>
      <c r="EI31">
        <v>102.32875040645705</v>
      </c>
      <c r="EJ31">
        <v>102.44899646715552</v>
      </c>
      <c r="EK31">
        <v>102.53099673588953</v>
      </c>
      <c r="EL31">
        <v>102.63389265370182</v>
      </c>
      <c r="EM31">
        <v>102.77184345444793</v>
      </c>
      <c r="EN31">
        <v>102.87450095078646</v>
      </c>
      <c r="EO31">
        <v>102.98827107454443</v>
      </c>
      <c r="EP31">
        <v>103.09346733148044</v>
      </c>
      <c r="EQ31">
        <v>103.22578298995727</v>
      </c>
      <c r="ER31">
        <v>103.37494619206214</v>
      </c>
      <c r="ES31">
        <v>103.52635059678818</v>
      </c>
      <c r="ET31">
        <v>103.64779531111441</v>
      </c>
      <c r="EU31">
        <v>103.78544994150074</v>
      </c>
      <c r="EV31">
        <v>103.93106382520624</v>
      </c>
      <c r="EW31">
        <v>104.07199419926626</v>
      </c>
      <c r="EX31">
        <v>104.24436969104946</v>
      </c>
      <c r="EY31">
        <v>104.40391185235536</v>
      </c>
      <c r="EZ31">
        <v>104.54036172436409</v>
      </c>
      <c r="FA31">
        <v>104.68940009790583</v>
      </c>
      <c r="FB31">
        <v>104.83014271580929</v>
      </c>
      <c r="FC31">
        <v>105.00610453011353</v>
      </c>
      <c r="FD31">
        <v>105.17119376821323</v>
      </c>
      <c r="FE31">
        <v>105.353286604248</v>
      </c>
      <c r="FF31">
        <v>105.4924370425457</v>
      </c>
      <c r="FG31">
        <v>105.67291512244138</v>
      </c>
      <c r="FH31">
        <v>105.81680277699735</v>
      </c>
      <c r="FI31">
        <v>106.03562163381564</v>
      </c>
      <c r="FJ31">
        <v>106.18176477801553</v>
      </c>
      <c r="FK31">
        <v>106.4332186400367</v>
      </c>
      <c r="FL31">
        <v>106.60647680491294</v>
      </c>
      <c r="FM31">
        <v>106.7642151822634</v>
      </c>
      <c r="FN31">
        <v>106.94367548248822</v>
      </c>
      <c r="FO31">
        <v>107.12352919220029</v>
      </c>
      <c r="FP31">
        <v>107.41143485098348</v>
      </c>
      <c r="FQ31">
        <v>107.59591072103966</v>
      </c>
      <c r="FR31">
        <v>107.84634634047522</v>
      </c>
      <c r="FS31">
        <v>108.0387139030842</v>
      </c>
      <c r="FT31">
        <v>108.27996873407136</v>
      </c>
      <c r="FU31">
        <v>108.51397709537791</v>
      </c>
      <c r="FV31">
        <v>108.78993892397753</v>
      </c>
      <c r="FW31">
        <v>109.19248906118789</v>
      </c>
      <c r="FX31">
        <v>109.50138151352803</v>
      </c>
      <c r="FY31">
        <v>109.80316028121506</v>
      </c>
      <c r="FZ31">
        <v>110.16109228278384</v>
      </c>
      <c r="GA31">
        <v>110.52622301822056</v>
      </c>
      <c r="GB31">
        <v>110.92576310629443</v>
      </c>
      <c r="GC31">
        <v>111.39695940026679</v>
      </c>
      <c r="GD31">
        <v>111.81573912496761</v>
      </c>
      <c r="GE31">
        <v>112.31441073456163</v>
      </c>
      <c r="GF31">
        <v>112.90317249599052</v>
      </c>
      <c r="GG31">
        <v>113.46244018885419</v>
      </c>
      <c r="GH31">
        <v>114.03795900646109</v>
      </c>
      <c r="GI31">
        <v>114.76388144709954</v>
      </c>
      <c r="GJ31">
        <v>115.31086602773877</v>
      </c>
      <c r="GK31">
        <v>116.28212170063236</v>
      </c>
      <c r="GL31">
        <v>117.05750346930235</v>
      </c>
      <c r="GM31">
        <v>118.18248689543886</v>
      </c>
      <c r="GN31">
        <v>119.51787392029208</v>
      </c>
      <c r="GO31">
        <v>121.7042291953626</v>
      </c>
      <c r="GP31">
        <v>124.9020007020458</v>
      </c>
      <c r="GQ31">
        <v>129.1875746057174</v>
      </c>
      <c r="GR31">
        <v>100.6049322640892</v>
      </c>
      <c r="GT31" s="8">
        <v>45335</v>
      </c>
      <c r="GU31">
        <v>112.891451</v>
      </c>
    </row>
    <row r="32" spans="1:203" x14ac:dyDescent="0.45">
      <c r="A32">
        <v>89.598785721756826</v>
      </c>
      <c r="B32">
        <v>90.268002341758901</v>
      </c>
      <c r="C32">
        <v>90.71051783497235</v>
      </c>
      <c r="D32">
        <v>91.140586394259643</v>
      </c>
      <c r="E32">
        <v>91.519071762540619</v>
      </c>
      <c r="F32">
        <v>91.751341190813719</v>
      </c>
      <c r="G32">
        <v>91.979204844841149</v>
      </c>
      <c r="H32">
        <v>92.135093718823427</v>
      </c>
      <c r="I32">
        <v>92.371168454430943</v>
      </c>
      <c r="J32">
        <v>92.524734847436306</v>
      </c>
      <c r="K32">
        <v>92.695037293697382</v>
      </c>
      <c r="L32">
        <v>92.856798233955232</v>
      </c>
      <c r="M32">
        <v>92.982208791377317</v>
      </c>
      <c r="N32">
        <v>93.109116315495626</v>
      </c>
      <c r="O32">
        <v>93.243515824315764</v>
      </c>
      <c r="P32">
        <v>93.354157105191007</v>
      </c>
      <c r="Q32">
        <v>93.462106520929026</v>
      </c>
      <c r="R32">
        <v>93.564884211420022</v>
      </c>
      <c r="S32">
        <v>93.664046250475423</v>
      </c>
      <c r="T32">
        <v>93.767688440673382</v>
      </c>
      <c r="U32">
        <v>93.865297084641739</v>
      </c>
      <c r="V32">
        <v>93.955881111486178</v>
      </c>
      <c r="W32">
        <v>94.044808325968589</v>
      </c>
      <c r="X32">
        <v>94.11246228515104</v>
      </c>
      <c r="Y32">
        <v>94.175692617619404</v>
      </c>
      <c r="Z32">
        <v>94.250618043973532</v>
      </c>
      <c r="AA32">
        <v>94.322727301106539</v>
      </c>
      <c r="AB32">
        <v>94.401030491357773</v>
      </c>
      <c r="AC32">
        <v>94.482315773213543</v>
      </c>
      <c r="AD32">
        <v>94.560481323701694</v>
      </c>
      <c r="AE32">
        <v>94.62513323443811</v>
      </c>
      <c r="AF32">
        <v>94.690709203489448</v>
      </c>
      <c r="AG32">
        <v>94.761378482895125</v>
      </c>
      <c r="AH32">
        <v>94.842747660510852</v>
      </c>
      <c r="AI32">
        <v>94.897519474211975</v>
      </c>
      <c r="AJ32">
        <v>94.964226213790283</v>
      </c>
      <c r="AK32">
        <v>95.0202100752078</v>
      </c>
      <c r="AL32">
        <v>95.094361654465004</v>
      </c>
      <c r="AM32">
        <v>95.16301687689004</v>
      </c>
      <c r="AN32">
        <v>95.216565868425221</v>
      </c>
      <c r="AO32">
        <v>95.284631087998378</v>
      </c>
      <c r="AP32">
        <v>95.337935644038737</v>
      </c>
      <c r="AQ32">
        <v>95.397588378608347</v>
      </c>
      <c r="AR32">
        <v>95.453531949407974</v>
      </c>
      <c r="AS32">
        <v>95.509759337413357</v>
      </c>
      <c r="AT32">
        <v>95.572015217216133</v>
      </c>
      <c r="AU32">
        <v>95.627682819218535</v>
      </c>
      <c r="AV32">
        <v>95.688527492350957</v>
      </c>
      <c r="AW32">
        <v>95.75223747709822</v>
      </c>
      <c r="AX32">
        <v>95.815150685755796</v>
      </c>
      <c r="AY32">
        <v>95.882893457743748</v>
      </c>
      <c r="AZ32">
        <v>95.924242807374071</v>
      </c>
      <c r="BA32">
        <v>95.979494816257329</v>
      </c>
      <c r="BB32">
        <v>96.041398713115285</v>
      </c>
      <c r="BC32">
        <v>96.10013461215236</v>
      </c>
      <c r="BD32">
        <v>96.159112919601355</v>
      </c>
      <c r="BE32">
        <v>96.247866822094721</v>
      </c>
      <c r="BF32">
        <v>96.31161588439069</v>
      </c>
      <c r="BG32">
        <v>96.37470706605059</v>
      </c>
      <c r="BH32">
        <v>96.425347451491561</v>
      </c>
      <c r="BI32">
        <v>96.487924308143846</v>
      </c>
      <c r="BJ32">
        <v>96.539246438505572</v>
      </c>
      <c r="BK32">
        <v>96.595975781796909</v>
      </c>
      <c r="BL32">
        <v>96.650054425653792</v>
      </c>
      <c r="BM32">
        <v>96.70959808301285</v>
      </c>
      <c r="BN32">
        <v>96.768772705897661</v>
      </c>
      <c r="BO32">
        <v>96.831606949999028</v>
      </c>
      <c r="BP32">
        <v>96.896436920357488</v>
      </c>
      <c r="BQ32">
        <v>96.947346839480687</v>
      </c>
      <c r="BR32">
        <v>97.006117105939595</v>
      </c>
      <c r="BS32">
        <v>97.053367549037475</v>
      </c>
      <c r="BT32">
        <v>97.104334576023916</v>
      </c>
      <c r="BU32">
        <v>97.18498304613</v>
      </c>
      <c r="BV32">
        <v>97.262400919055239</v>
      </c>
      <c r="BW32">
        <v>97.321083343542625</v>
      </c>
      <c r="BX32">
        <v>97.37791445058113</v>
      </c>
      <c r="BY32">
        <v>97.443739617863528</v>
      </c>
      <c r="BZ32">
        <v>97.497652434592553</v>
      </c>
      <c r="CA32">
        <v>97.556321884424463</v>
      </c>
      <c r="CB32">
        <v>97.617429712947072</v>
      </c>
      <c r="CC32">
        <v>97.680833270660884</v>
      </c>
      <c r="CD32">
        <v>97.747913509437055</v>
      </c>
      <c r="CE32">
        <v>97.813452234497348</v>
      </c>
      <c r="CF32">
        <v>97.872934627648263</v>
      </c>
      <c r="CG32">
        <v>97.940175581081931</v>
      </c>
      <c r="CH32">
        <v>97.997716447528148</v>
      </c>
      <c r="CI32">
        <v>98.067616804564508</v>
      </c>
      <c r="CJ32">
        <v>98.129488018155243</v>
      </c>
      <c r="CK32">
        <v>98.183792099974113</v>
      </c>
      <c r="CL32">
        <v>98.242880058426138</v>
      </c>
      <c r="CM32">
        <v>98.314085959794568</v>
      </c>
      <c r="CN32">
        <v>98.38240040662393</v>
      </c>
      <c r="CO32">
        <v>98.456455908775183</v>
      </c>
      <c r="CP32">
        <v>98.516523418649896</v>
      </c>
      <c r="CQ32">
        <v>98.595244576163182</v>
      </c>
      <c r="CR32">
        <v>98.668804402582126</v>
      </c>
      <c r="CS32">
        <v>98.745047326755</v>
      </c>
      <c r="CT32">
        <v>98.812831517743646</v>
      </c>
      <c r="CU32">
        <v>98.869292035426582</v>
      </c>
      <c r="CV32">
        <v>98.953067605920097</v>
      </c>
      <c r="CW32">
        <v>99.021144686676308</v>
      </c>
      <c r="CX32">
        <v>99.101167568922875</v>
      </c>
      <c r="CY32">
        <v>99.163825544764919</v>
      </c>
      <c r="CZ32">
        <v>99.228715652467869</v>
      </c>
      <c r="DA32">
        <v>99.297953088983178</v>
      </c>
      <c r="DB32">
        <v>99.368092601759372</v>
      </c>
      <c r="DC32">
        <v>99.4395316525856</v>
      </c>
      <c r="DD32">
        <v>99.530617514995228</v>
      </c>
      <c r="DE32">
        <v>99.609821394568343</v>
      </c>
      <c r="DF32">
        <v>99.698502779016067</v>
      </c>
      <c r="DG32">
        <v>99.774491233083694</v>
      </c>
      <c r="DH32">
        <v>99.848294908314116</v>
      </c>
      <c r="DI32">
        <v>99.950392029694228</v>
      </c>
      <c r="DJ32">
        <v>100.0487640923254</v>
      </c>
      <c r="DK32">
        <v>100.13438128145155</v>
      </c>
      <c r="DL32">
        <v>100.20935379617855</v>
      </c>
      <c r="DM32">
        <v>100.28261451790428</v>
      </c>
      <c r="DN32">
        <v>100.37212511756181</v>
      </c>
      <c r="DO32">
        <v>100.4478853958211</v>
      </c>
      <c r="DP32">
        <v>100.50877294493439</v>
      </c>
      <c r="DQ32">
        <v>100.61218153764322</v>
      </c>
      <c r="DR32">
        <v>100.6859129604567</v>
      </c>
      <c r="DS32">
        <v>100.78482830138991</v>
      </c>
      <c r="DT32">
        <v>100.88294474758111</v>
      </c>
      <c r="DU32">
        <v>100.97204306785233</v>
      </c>
      <c r="DV32">
        <v>101.05328537445473</v>
      </c>
      <c r="DW32">
        <v>101.13714319299447</v>
      </c>
      <c r="DX32">
        <v>101.20612815334488</v>
      </c>
      <c r="DY32">
        <v>101.30825676173767</v>
      </c>
      <c r="DZ32">
        <v>101.41690691132732</v>
      </c>
      <c r="EA32">
        <v>101.51386622605415</v>
      </c>
      <c r="EB32">
        <v>101.62194994090568</v>
      </c>
      <c r="EC32">
        <v>101.72794008063504</v>
      </c>
      <c r="ED32">
        <v>101.84113099118335</v>
      </c>
      <c r="EE32">
        <v>101.95428552652669</v>
      </c>
      <c r="EF32">
        <v>102.05003490145212</v>
      </c>
      <c r="EG32">
        <v>102.14228938577759</v>
      </c>
      <c r="EH32">
        <v>102.2363996262728</v>
      </c>
      <c r="EI32">
        <v>102.33877023907559</v>
      </c>
      <c r="EJ32">
        <v>102.45502617568697</v>
      </c>
      <c r="EK32">
        <v>102.56743809853891</v>
      </c>
      <c r="EL32">
        <v>102.69105149735415</v>
      </c>
      <c r="EM32">
        <v>102.80247871015403</v>
      </c>
      <c r="EN32">
        <v>102.94284873443559</v>
      </c>
      <c r="EO32">
        <v>103.06557252132265</v>
      </c>
      <c r="EP32">
        <v>103.19296296790463</v>
      </c>
      <c r="EQ32">
        <v>103.30708987300352</v>
      </c>
      <c r="ER32">
        <v>103.42115985366461</v>
      </c>
      <c r="ES32">
        <v>103.54799123421736</v>
      </c>
      <c r="ET32">
        <v>103.67569774719398</v>
      </c>
      <c r="EU32">
        <v>103.8366155345267</v>
      </c>
      <c r="EV32">
        <v>103.94882103971305</v>
      </c>
      <c r="EW32">
        <v>104.12153583928801</v>
      </c>
      <c r="EX32">
        <v>104.23721572277873</v>
      </c>
      <c r="EY32">
        <v>104.36514601247369</v>
      </c>
      <c r="EZ32">
        <v>104.54861721372288</v>
      </c>
      <c r="FA32">
        <v>104.73534303326564</v>
      </c>
      <c r="FB32">
        <v>104.88228898279409</v>
      </c>
      <c r="FC32">
        <v>105.04460907940714</v>
      </c>
      <c r="FD32">
        <v>105.21136450677437</v>
      </c>
      <c r="FE32">
        <v>105.36138040403442</v>
      </c>
      <c r="FF32">
        <v>105.52043029439125</v>
      </c>
      <c r="FG32">
        <v>105.68654285277991</v>
      </c>
      <c r="FH32">
        <v>105.89840636308108</v>
      </c>
      <c r="FI32">
        <v>106.05568412674729</v>
      </c>
      <c r="FJ32">
        <v>106.20852461431845</v>
      </c>
      <c r="FK32">
        <v>106.35539883768344</v>
      </c>
      <c r="FL32">
        <v>106.55095793523806</v>
      </c>
      <c r="FM32">
        <v>106.74655391071119</v>
      </c>
      <c r="FN32">
        <v>106.99626805908494</v>
      </c>
      <c r="FO32">
        <v>107.26793491048559</v>
      </c>
      <c r="FP32">
        <v>107.48257053558122</v>
      </c>
      <c r="FQ32">
        <v>107.70650798277687</v>
      </c>
      <c r="FR32">
        <v>107.98858053587657</v>
      </c>
      <c r="FS32">
        <v>108.22252571065296</v>
      </c>
      <c r="FT32">
        <v>108.4548773301417</v>
      </c>
      <c r="FU32">
        <v>108.6804420245805</v>
      </c>
      <c r="FV32">
        <v>108.99066747183522</v>
      </c>
      <c r="FW32">
        <v>109.27417006126007</v>
      </c>
      <c r="FX32">
        <v>109.554801495676</v>
      </c>
      <c r="FY32">
        <v>109.92813938966361</v>
      </c>
      <c r="FZ32">
        <v>110.22125935144327</v>
      </c>
      <c r="GA32">
        <v>110.57876387765282</v>
      </c>
      <c r="GB32">
        <v>111.08653470459812</v>
      </c>
      <c r="GC32">
        <v>111.40127869245569</v>
      </c>
      <c r="GD32">
        <v>111.81759604813988</v>
      </c>
      <c r="GE32">
        <v>112.3675023629943</v>
      </c>
      <c r="GF32">
        <v>112.97180100689411</v>
      </c>
      <c r="GG32">
        <v>113.46153293149254</v>
      </c>
      <c r="GH32">
        <v>114.10802020872259</v>
      </c>
      <c r="GI32">
        <v>114.84732371839515</v>
      </c>
      <c r="GJ32">
        <v>115.58161120307611</v>
      </c>
      <c r="GK32">
        <v>116.4574752303739</v>
      </c>
      <c r="GL32">
        <v>117.65274915487407</v>
      </c>
      <c r="GM32">
        <v>118.71837212348149</v>
      </c>
      <c r="GN32">
        <v>119.9050147449945</v>
      </c>
      <c r="GO32">
        <v>122.07113416940005</v>
      </c>
      <c r="GP32">
        <v>124.86800618032474</v>
      </c>
      <c r="GQ32">
        <v>129.35397815294422</v>
      </c>
      <c r="GR32">
        <v>100.59964265776087</v>
      </c>
      <c r="GT32" s="8">
        <v>45336</v>
      </c>
      <c r="GU32">
        <v>116.65795</v>
      </c>
    </row>
    <row r="33" spans="1:203" x14ac:dyDescent="0.45">
      <c r="A33">
        <v>89.457537492844537</v>
      </c>
      <c r="B33">
        <v>90.159648125521443</v>
      </c>
      <c r="C33">
        <v>90.637799631674369</v>
      </c>
      <c r="D33">
        <v>91.050181786033349</v>
      </c>
      <c r="E33">
        <v>91.365665760614462</v>
      </c>
      <c r="F33">
        <v>91.674811830886213</v>
      </c>
      <c r="G33">
        <v>91.878567666938508</v>
      </c>
      <c r="H33">
        <v>92.069862146794136</v>
      </c>
      <c r="I33">
        <v>92.258319206497305</v>
      </c>
      <c r="J33">
        <v>92.427434424521792</v>
      </c>
      <c r="K33">
        <v>92.61356865642972</v>
      </c>
      <c r="L33">
        <v>92.792008081933915</v>
      </c>
      <c r="M33">
        <v>92.934510941066819</v>
      </c>
      <c r="N33">
        <v>93.045266183378473</v>
      </c>
      <c r="O33">
        <v>93.156414486190698</v>
      </c>
      <c r="P33">
        <v>93.289622426702238</v>
      </c>
      <c r="Q33">
        <v>93.379078757802048</v>
      </c>
      <c r="R33">
        <v>93.490357025062735</v>
      </c>
      <c r="S33">
        <v>93.59626107111545</v>
      </c>
      <c r="T33">
        <v>93.68070548025868</v>
      </c>
      <c r="U33">
        <v>93.767800232254459</v>
      </c>
      <c r="V33">
        <v>93.843612347002292</v>
      </c>
      <c r="W33">
        <v>93.913060745269433</v>
      </c>
      <c r="X33">
        <v>93.990631092035855</v>
      </c>
      <c r="Y33">
        <v>94.089753478376821</v>
      </c>
      <c r="Z33">
        <v>94.165365713430248</v>
      </c>
      <c r="AA33">
        <v>94.232444570585315</v>
      </c>
      <c r="AB33">
        <v>94.297993039850283</v>
      </c>
      <c r="AC33">
        <v>94.382630698214257</v>
      </c>
      <c r="AD33">
        <v>94.450980916651048</v>
      </c>
      <c r="AE33">
        <v>94.541705057073841</v>
      </c>
      <c r="AF33">
        <v>94.622932458716065</v>
      </c>
      <c r="AG33">
        <v>94.673168406175449</v>
      </c>
      <c r="AH33">
        <v>94.772372917149795</v>
      </c>
      <c r="AI33">
        <v>94.872757064354403</v>
      </c>
      <c r="AJ33">
        <v>94.93816396585477</v>
      </c>
      <c r="AK33">
        <v>94.992981294130971</v>
      </c>
      <c r="AL33">
        <v>95.052694926408989</v>
      </c>
      <c r="AM33">
        <v>95.098523236456472</v>
      </c>
      <c r="AN33">
        <v>95.174784299731357</v>
      </c>
      <c r="AO33">
        <v>95.236701524508888</v>
      </c>
      <c r="AP33">
        <v>95.296498185770645</v>
      </c>
      <c r="AQ33">
        <v>95.356460543393865</v>
      </c>
      <c r="AR33">
        <v>95.405693178872724</v>
      </c>
      <c r="AS33">
        <v>95.464548350624241</v>
      </c>
      <c r="AT33">
        <v>95.54183655100735</v>
      </c>
      <c r="AU33">
        <v>95.597152540481758</v>
      </c>
      <c r="AV33">
        <v>95.659815643343947</v>
      </c>
      <c r="AW33">
        <v>95.726668625359451</v>
      </c>
      <c r="AX33">
        <v>95.777787564350703</v>
      </c>
      <c r="AY33">
        <v>95.833492977545475</v>
      </c>
      <c r="AZ33">
        <v>95.891605865728778</v>
      </c>
      <c r="BA33">
        <v>95.942235069623635</v>
      </c>
      <c r="BB33">
        <v>96.005553096076767</v>
      </c>
      <c r="BC33">
        <v>96.073288022632823</v>
      </c>
      <c r="BD33">
        <v>96.116855255914203</v>
      </c>
      <c r="BE33">
        <v>96.189449785154622</v>
      </c>
      <c r="BF33">
        <v>96.239787529199873</v>
      </c>
      <c r="BG33">
        <v>96.300654229532924</v>
      </c>
      <c r="BH33">
        <v>96.35561612783026</v>
      </c>
      <c r="BI33">
        <v>96.420693536896351</v>
      </c>
      <c r="BJ33">
        <v>96.475890943880088</v>
      </c>
      <c r="BK33">
        <v>96.543585681294985</v>
      </c>
      <c r="BL33">
        <v>96.597981198231551</v>
      </c>
      <c r="BM33">
        <v>96.661318342136667</v>
      </c>
      <c r="BN33">
        <v>96.722985140945823</v>
      </c>
      <c r="BO33">
        <v>96.777605063984097</v>
      </c>
      <c r="BP33">
        <v>96.833480644032207</v>
      </c>
      <c r="BQ33">
        <v>96.888793896454146</v>
      </c>
      <c r="BR33">
        <v>96.939429509590781</v>
      </c>
      <c r="BS33">
        <v>96.997773493170271</v>
      </c>
      <c r="BT33">
        <v>97.074201001354496</v>
      </c>
      <c r="BU33">
        <v>97.129355302098574</v>
      </c>
      <c r="BV33">
        <v>97.201769656202359</v>
      </c>
      <c r="BW33">
        <v>97.255600155153132</v>
      </c>
      <c r="BX33">
        <v>97.308535021713908</v>
      </c>
      <c r="BY33">
        <v>97.377710593972324</v>
      </c>
      <c r="BZ33">
        <v>97.446975418201816</v>
      </c>
      <c r="CA33">
        <v>97.514171492380655</v>
      </c>
      <c r="CB33">
        <v>97.573351921714348</v>
      </c>
      <c r="CC33">
        <v>97.621748854133514</v>
      </c>
      <c r="CD33">
        <v>97.681923450613539</v>
      </c>
      <c r="CE33">
        <v>97.771923537061369</v>
      </c>
      <c r="CF33">
        <v>97.858591327556653</v>
      </c>
      <c r="CG33">
        <v>97.913490042638998</v>
      </c>
      <c r="CH33">
        <v>97.970963218267713</v>
      </c>
      <c r="CI33">
        <v>98.042607648143175</v>
      </c>
      <c r="CJ33">
        <v>98.101918702185301</v>
      </c>
      <c r="CK33">
        <v>98.166721406246069</v>
      </c>
      <c r="CL33">
        <v>98.223304295593152</v>
      </c>
      <c r="CM33">
        <v>98.298651881821186</v>
      </c>
      <c r="CN33">
        <v>98.377078620412291</v>
      </c>
      <c r="CO33">
        <v>98.456700558602947</v>
      </c>
      <c r="CP33">
        <v>98.523786756232496</v>
      </c>
      <c r="CQ33">
        <v>98.601178954651317</v>
      </c>
      <c r="CR33">
        <v>98.676725715551143</v>
      </c>
      <c r="CS33">
        <v>98.736758124989919</v>
      </c>
      <c r="CT33">
        <v>98.798804009318602</v>
      </c>
      <c r="CU33">
        <v>98.861997551686272</v>
      </c>
      <c r="CV33">
        <v>98.940367947393014</v>
      </c>
      <c r="CW33">
        <v>98.997733421010011</v>
      </c>
      <c r="CX33">
        <v>99.061254935405216</v>
      </c>
      <c r="CY33">
        <v>99.129831367868277</v>
      </c>
      <c r="CZ33">
        <v>99.187929760375823</v>
      </c>
      <c r="DA33">
        <v>99.250904257271131</v>
      </c>
      <c r="DB33">
        <v>99.326213434289059</v>
      </c>
      <c r="DC33">
        <v>99.395387658894975</v>
      </c>
      <c r="DD33">
        <v>99.47932656497315</v>
      </c>
      <c r="DE33">
        <v>99.570673400619569</v>
      </c>
      <c r="DF33">
        <v>99.653090023720821</v>
      </c>
      <c r="DG33">
        <v>99.725117812600558</v>
      </c>
      <c r="DH33">
        <v>99.813496854376723</v>
      </c>
      <c r="DI33">
        <v>99.898509662606102</v>
      </c>
      <c r="DJ33">
        <v>99.976011753588196</v>
      </c>
      <c r="DK33">
        <v>100.03929648486751</v>
      </c>
      <c r="DL33">
        <v>100.1339387883624</v>
      </c>
      <c r="DM33">
        <v>100.20153553509975</v>
      </c>
      <c r="DN33">
        <v>100.30725191333097</v>
      </c>
      <c r="DO33">
        <v>100.39031771354679</v>
      </c>
      <c r="DP33">
        <v>100.49643721314332</v>
      </c>
      <c r="DQ33">
        <v>100.56761090931289</v>
      </c>
      <c r="DR33">
        <v>100.63250675796185</v>
      </c>
      <c r="DS33">
        <v>100.71443091795948</v>
      </c>
      <c r="DT33">
        <v>100.82420888562267</v>
      </c>
      <c r="DU33">
        <v>100.92051654352406</v>
      </c>
      <c r="DV33">
        <v>101.01138100830298</v>
      </c>
      <c r="DW33">
        <v>101.1236605428566</v>
      </c>
      <c r="DX33">
        <v>101.22178530264173</v>
      </c>
      <c r="DY33">
        <v>101.30447534362766</v>
      </c>
      <c r="DZ33">
        <v>101.39048570903529</v>
      </c>
      <c r="EA33">
        <v>101.49285658404995</v>
      </c>
      <c r="EB33">
        <v>101.58325803020925</v>
      </c>
      <c r="EC33">
        <v>101.69220117366211</v>
      </c>
      <c r="ED33">
        <v>101.78825104016178</v>
      </c>
      <c r="EE33">
        <v>101.90306684571162</v>
      </c>
      <c r="EF33">
        <v>102.01320987604218</v>
      </c>
      <c r="EG33">
        <v>102.12253270701717</v>
      </c>
      <c r="EH33">
        <v>102.25662426225308</v>
      </c>
      <c r="EI33">
        <v>102.38210791014536</v>
      </c>
      <c r="EJ33">
        <v>102.47654853694553</v>
      </c>
      <c r="EK33">
        <v>102.58500082344615</v>
      </c>
      <c r="EL33">
        <v>102.71988706228011</v>
      </c>
      <c r="EM33">
        <v>102.83534058799279</v>
      </c>
      <c r="EN33">
        <v>102.9484186893135</v>
      </c>
      <c r="EO33">
        <v>103.09786831455295</v>
      </c>
      <c r="EP33">
        <v>103.19702619245486</v>
      </c>
      <c r="EQ33">
        <v>103.32703554488451</v>
      </c>
      <c r="ER33">
        <v>103.45316007368827</v>
      </c>
      <c r="ES33">
        <v>103.60554542577916</v>
      </c>
      <c r="ET33">
        <v>103.73428377131324</v>
      </c>
      <c r="EU33">
        <v>103.89533640739886</v>
      </c>
      <c r="EV33">
        <v>104.00506615150812</v>
      </c>
      <c r="EW33">
        <v>104.15662038864546</v>
      </c>
      <c r="EX33">
        <v>104.26966928332435</v>
      </c>
      <c r="EY33">
        <v>104.43088351521891</v>
      </c>
      <c r="EZ33">
        <v>104.60166450459013</v>
      </c>
      <c r="FA33">
        <v>104.76855322684035</v>
      </c>
      <c r="FB33">
        <v>104.89866106840118</v>
      </c>
      <c r="FC33">
        <v>105.05626503863542</v>
      </c>
      <c r="FD33">
        <v>105.21624090750412</v>
      </c>
      <c r="FE33">
        <v>105.41152625958399</v>
      </c>
      <c r="FF33">
        <v>105.60065787988552</v>
      </c>
      <c r="FG33">
        <v>105.81522141793722</v>
      </c>
      <c r="FH33">
        <v>105.97001189122459</v>
      </c>
      <c r="FI33">
        <v>106.15122833675925</v>
      </c>
      <c r="FJ33">
        <v>106.36744018890303</v>
      </c>
      <c r="FK33">
        <v>106.56228636157202</v>
      </c>
      <c r="FL33">
        <v>106.72799599827565</v>
      </c>
      <c r="FM33">
        <v>106.92286510907651</v>
      </c>
      <c r="FN33">
        <v>107.10827645050217</v>
      </c>
      <c r="FO33">
        <v>107.35644232047822</v>
      </c>
      <c r="FP33">
        <v>107.55702240509443</v>
      </c>
      <c r="FQ33">
        <v>107.7963778412922</v>
      </c>
      <c r="FR33">
        <v>108.05799567397544</v>
      </c>
      <c r="FS33">
        <v>108.38793511782552</v>
      </c>
      <c r="FT33">
        <v>108.61317898498531</v>
      </c>
      <c r="FU33">
        <v>108.87769176357685</v>
      </c>
      <c r="FV33">
        <v>109.19463212737223</v>
      </c>
      <c r="FW33">
        <v>109.48112812570375</v>
      </c>
      <c r="FX33">
        <v>109.90480262024076</v>
      </c>
      <c r="FY33">
        <v>110.19011057323948</v>
      </c>
      <c r="FZ33">
        <v>110.57461145076147</v>
      </c>
      <c r="GA33">
        <v>110.94272074076767</v>
      </c>
      <c r="GB33">
        <v>111.28706506935156</v>
      </c>
      <c r="GC33">
        <v>111.74106562763608</v>
      </c>
      <c r="GD33">
        <v>112.18680867215427</v>
      </c>
      <c r="GE33">
        <v>112.63187034006454</v>
      </c>
      <c r="GF33">
        <v>113.15842848963266</v>
      </c>
      <c r="GG33">
        <v>113.72678982685589</v>
      </c>
      <c r="GH33">
        <v>114.32489902330181</v>
      </c>
      <c r="GI33">
        <v>115.04565803785478</v>
      </c>
      <c r="GJ33">
        <v>115.80795147491716</v>
      </c>
      <c r="GK33">
        <v>116.8944585655475</v>
      </c>
      <c r="GL33">
        <v>117.97265657341283</v>
      </c>
      <c r="GM33">
        <v>119.33460674628228</v>
      </c>
      <c r="GN33">
        <v>120.59624527361999</v>
      </c>
      <c r="GO33">
        <v>122.47170692606463</v>
      </c>
      <c r="GP33">
        <v>125.06247808771882</v>
      </c>
      <c r="GQ33">
        <v>129.45765659775853</v>
      </c>
      <c r="GR33">
        <v>100.61525280387889</v>
      </c>
      <c r="GT33" s="8">
        <v>45337</v>
      </c>
      <c r="GU33">
        <v>118.147031</v>
      </c>
    </row>
    <row r="34" spans="1:203" x14ac:dyDescent="0.45">
      <c r="A34">
        <v>89.214481726535851</v>
      </c>
      <c r="B34">
        <v>90.001332221061517</v>
      </c>
      <c r="C34">
        <v>90.51134219394018</v>
      </c>
      <c r="D34">
        <v>90.953757498628576</v>
      </c>
      <c r="E34">
        <v>91.245046687388637</v>
      </c>
      <c r="F34">
        <v>91.502217027459963</v>
      </c>
      <c r="G34">
        <v>91.760991155858477</v>
      </c>
      <c r="H34">
        <v>92.0169003942285</v>
      </c>
      <c r="I34">
        <v>92.158690751196303</v>
      </c>
      <c r="J34">
        <v>92.331136023317399</v>
      </c>
      <c r="K34">
        <v>92.518273438542451</v>
      </c>
      <c r="L34">
        <v>92.64218662005652</v>
      </c>
      <c r="M34">
        <v>92.762336922179003</v>
      </c>
      <c r="N34">
        <v>92.860655172773818</v>
      </c>
      <c r="O34">
        <v>92.98077171807131</v>
      </c>
      <c r="P34">
        <v>93.120662150162303</v>
      </c>
      <c r="Q34">
        <v>93.24033726905229</v>
      </c>
      <c r="R34">
        <v>93.370570848326139</v>
      </c>
      <c r="S34">
        <v>93.512216637332102</v>
      </c>
      <c r="T34">
        <v>93.584629286778195</v>
      </c>
      <c r="U34">
        <v>93.677311754255825</v>
      </c>
      <c r="V34">
        <v>93.77455837721952</v>
      </c>
      <c r="W34">
        <v>93.879929207894918</v>
      </c>
      <c r="X34">
        <v>93.942598618548615</v>
      </c>
      <c r="Y34">
        <v>94.049482889813945</v>
      </c>
      <c r="Z34">
        <v>94.120765477262736</v>
      </c>
      <c r="AA34">
        <v>94.189530428511219</v>
      </c>
      <c r="AB34">
        <v>94.24778001991686</v>
      </c>
      <c r="AC34">
        <v>94.326839151152726</v>
      </c>
      <c r="AD34">
        <v>94.40030240776629</v>
      </c>
      <c r="AE34">
        <v>94.47879722242952</v>
      </c>
      <c r="AF34">
        <v>94.545947551658301</v>
      </c>
      <c r="AG34">
        <v>94.623421293245684</v>
      </c>
      <c r="AH34">
        <v>94.689916234954708</v>
      </c>
      <c r="AI34">
        <v>94.751685160518349</v>
      </c>
      <c r="AJ34">
        <v>94.81172492314478</v>
      </c>
      <c r="AK34">
        <v>94.871629375040257</v>
      </c>
      <c r="AL34">
        <v>94.950645186457081</v>
      </c>
      <c r="AM34">
        <v>95.032144285334184</v>
      </c>
      <c r="AN34">
        <v>95.093782085325017</v>
      </c>
      <c r="AO34">
        <v>95.163791322456817</v>
      </c>
      <c r="AP34">
        <v>95.227516911985234</v>
      </c>
      <c r="AQ34">
        <v>95.287866850270007</v>
      </c>
      <c r="AR34">
        <v>95.34597590146862</v>
      </c>
      <c r="AS34">
        <v>95.410527133700668</v>
      </c>
      <c r="AT34">
        <v>95.47598413450784</v>
      </c>
      <c r="AU34">
        <v>95.535220100916121</v>
      </c>
      <c r="AV34">
        <v>95.588700992442682</v>
      </c>
      <c r="AW34">
        <v>95.649922358815573</v>
      </c>
      <c r="AX34">
        <v>95.7071417345811</v>
      </c>
      <c r="AY34">
        <v>95.756857641505945</v>
      </c>
      <c r="AZ34">
        <v>95.817612412657155</v>
      </c>
      <c r="BA34">
        <v>95.887277910183329</v>
      </c>
      <c r="BB34">
        <v>95.940368346699771</v>
      </c>
      <c r="BC34">
        <v>96.015299284614372</v>
      </c>
      <c r="BD34">
        <v>96.079064538594906</v>
      </c>
      <c r="BE34">
        <v>96.138313182594885</v>
      </c>
      <c r="BF34">
        <v>96.185456482209617</v>
      </c>
      <c r="BG34">
        <v>96.23585232251628</v>
      </c>
      <c r="BH34">
        <v>96.297372573346294</v>
      </c>
      <c r="BI34">
        <v>96.349842201599159</v>
      </c>
      <c r="BJ34">
        <v>96.404896374318966</v>
      </c>
      <c r="BK34">
        <v>96.463003810489084</v>
      </c>
      <c r="BL34">
        <v>96.524156415400597</v>
      </c>
      <c r="BM34">
        <v>96.572632277955435</v>
      </c>
      <c r="BN34">
        <v>96.631831310883328</v>
      </c>
      <c r="BO34">
        <v>96.701114420142673</v>
      </c>
      <c r="BP34">
        <v>96.757147390523926</v>
      </c>
      <c r="BQ34">
        <v>96.813487404488868</v>
      </c>
      <c r="BR34">
        <v>96.869331595234485</v>
      </c>
      <c r="BS34">
        <v>96.92843736317954</v>
      </c>
      <c r="BT34">
        <v>97.008734705274648</v>
      </c>
      <c r="BU34">
        <v>97.07527659129687</v>
      </c>
      <c r="BV34">
        <v>97.14066964759914</v>
      </c>
      <c r="BW34">
        <v>97.205004159769743</v>
      </c>
      <c r="BX34">
        <v>97.270216778561789</v>
      </c>
      <c r="BY34">
        <v>97.323151168600589</v>
      </c>
      <c r="BZ34">
        <v>97.390991942459664</v>
      </c>
      <c r="CA34">
        <v>97.454874395738628</v>
      </c>
      <c r="CB34">
        <v>97.521163003370333</v>
      </c>
      <c r="CC34">
        <v>97.584021528890005</v>
      </c>
      <c r="CD34">
        <v>97.668994294886488</v>
      </c>
      <c r="CE34">
        <v>97.745542874064427</v>
      </c>
      <c r="CF34">
        <v>97.812410617376415</v>
      </c>
      <c r="CG34">
        <v>97.891856042998342</v>
      </c>
      <c r="CH34">
        <v>97.954481249817675</v>
      </c>
      <c r="CI34">
        <v>98.016669691148422</v>
      </c>
      <c r="CJ34">
        <v>98.069794175723004</v>
      </c>
      <c r="CK34">
        <v>98.134946661732926</v>
      </c>
      <c r="CL34">
        <v>98.221482928232732</v>
      </c>
      <c r="CM34">
        <v>98.283090315869316</v>
      </c>
      <c r="CN34">
        <v>98.366083233756839</v>
      </c>
      <c r="CO34">
        <v>98.43039850938473</v>
      </c>
      <c r="CP34">
        <v>98.515596380100803</v>
      </c>
      <c r="CQ34">
        <v>98.577152429843366</v>
      </c>
      <c r="CR34">
        <v>98.648736096579427</v>
      </c>
      <c r="CS34">
        <v>98.724045734526413</v>
      </c>
      <c r="CT34">
        <v>98.795974969788304</v>
      </c>
      <c r="CU34">
        <v>98.880116061375432</v>
      </c>
      <c r="CV34">
        <v>98.931972050015858</v>
      </c>
      <c r="CW34">
        <v>98.990048422838825</v>
      </c>
      <c r="CX34">
        <v>99.074322568681652</v>
      </c>
      <c r="CY34">
        <v>99.143458019509836</v>
      </c>
      <c r="CZ34">
        <v>99.220035680825774</v>
      </c>
      <c r="DA34">
        <v>99.2844210521788</v>
      </c>
      <c r="DB34">
        <v>99.353649392153343</v>
      </c>
      <c r="DC34">
        <v>99.438329769692999</v>
      </c>
      <c r="DD34">
        <v>99.511395481438512</v>
      </c>
      <c r="DE34">
        <v>99.593380400593972</v>
      </c>
      <c r="DF34">
        <v>99.669270145239821</v>
      </c>
      <c r="DG34">
        <v>99.729068856137573</v>
      </c>
      <c r="DH34">
        <v>99.810998979778034</v>
      </c>
      <c r="DI34">
        <v>99.896365743279389</v>
      </c>
      <c r="DJ34">
        <v>99.990443758541218</v>
      </c>
      <c r="DK34">
        <v>100.07480405732389</v>
      </c>
      <c r="DL34">
        <v>100.17295486111666</v>
      </c>
      <c r="DM34">
        <v>100.25374993267467</v>
      </c>
      <c r="DN34">
        <v>100.34146063321332</v>
      </c>
      <c r="DO34">
        <v>100.42267541419575</v>
      </c>
      <c r="DP34">
        <v>100.5294223238096</v>
      </c>
      <c r="DQ34">
        <v>100.59868563917057</v>
      </c>
      <c r="DR34">
        <v>100.67377144271563</v>
      </c>
      <c r="DS34">
        <v>100.74508050215078</v>
      </c>
      <c r="DT34">
        <v>100.83261328807238</v>
      </c>
      <c r="DU34">
        <v>100.93609725712601</v>
      </c>
      <c r="DV34">
        <v>101.04947554681974</v>
      </c>
      <c r="DW34">
        <v>101.1154792668783</v>
      </c>
      <c r="DX34">
        <v>101.22553757165841</v>
      </c>
      <c r="DY34">
        <v>101.29859945088988</v>
      </c>
      <c r="DZ34">
        <v>101.40719413109029</v>
      </c>
      <c r="EA34">
        <v>101.49198941400714</v>
      </c>
      <c r="EB34">
        <v>101.58488835034836</v>
      </c>
      <c r="EC34">
        <v>101.68082364233399</v>
      </c>
      <c r="ED34">
        <v>101.81148189376323</v>
      </c>
      <c r="EE34">
        <v>101.91472589258915</v>
      </c>
      <c r="EF34">
        <v>102.02468026029425</v>
      </c>
      <c r="EG34">
        <v>102.14362197474759</v>
      </c>
      <c r="EH34">
        <v>102.26861878733783</v>
      </c>
      <c r="EI34">
        <v>102.36081067396566</v>
      </c>
      <c r="EJ34">
        <v>102.45968398042143</v>
      </c>
      <c r="EK34">
        <v>102.57422048809939</v>
      </c>
      <c r="EL34">
        <v>102.67994675885882</v>
      </c>
      <c r="EM34">
        <v>102.80803834698463</v>
      </c>
      <c r="EN34">
        <v>102.97089363084791</v>
      </c>
      <c r="EO34">
        <v>103.06520988682556</v>
      </c>
      <c r="EP34">
        <v>103.22662504156045</v>
      </c>
      <c r="EQ34">
        <v>103.35056546835183</v>
      </c>
      <c r="ER34">
        <v>103.4748506321029</v>
      </c>
      <c r="ES34">
        <v>103.59578422081374</v>
      </c>
      <c r="ET34">
        <v>103.74427103406583</v>
      </c>
      <c r="EU34">
        <v>103.90696292148003</v>
      </c>
      <c r="EV34">
        <v>104.027945843699</v>
      </c>
      <c r="EW34">
        <v>104.18136010789985</v>
      </c>
      <c r="EX34">
        <v>104.35063260077172</v>
      </c>
      <c r="EY34">
        <v>104.53035141598133</v>
      </c>
      <c r="EZ34">
        <v>104.6667209403856</v>
      </c>
      <c r="FA34">
        <v>104.83254716882622</v>
      </c>
      <c r="FB34">
        <v>105.00832809499784</v>
      </c>
      <c r="FC34">
        <v>105.15607975074516</v>
      </c>
      <c r="FD34">
        <v>105.32402128084178</v>
      </c>
      <c r="FE34">
        <v>105.45515808337902</v>
      </c>
      <c r="FF34">
        <v>105.649379886012</v>
      </c>
      <c r="FG34">
        <v>105.78037059765998</v>
      </c>
      <c r="FH34">
        <v>106.01532447722518</v>
      </c>
      <c r="FI34">
        <v>106.20733694062633</v>
      </c>
      <c r="FJ34">
        <v>106.42867580878449</v>
      </c>
      <c r="FK34">
        <v>106.67596544818886</v>
      </c>
      <c r="FL34">
        <v>106.9133371636992</v>
      </c>
      <c r="FM34">
        <v>107.10827407066947</v>
      </c>
      <c r="FN34">
        <v>107.32453130269893</v>
      </c>
      <c r="FO34">
        <v>107.5949849037596</v>
      </c>
      <c r="FP34">
        <v>107.91232468246076</v>
      </c>
      <c r="FQ34">
        <v>108.17924144126593</v>
      </c>
      <c r="FR34">
        <v>108.45324485031026</v>
      </c>
      <c r="FS34">
        <v>108.70149133800109</v>
      </c>
      <c r="FT34">
        <v>108.93572255055798</v>
      </c>
      <c r="FU34">
        <v>109.26789953505025</v>
      </c>
      <c r="FV34">
        <v>109.56979486914895</v>
      </c>
      <c r="FW34">
        <v>109.77777817336916</v>
      </c>
      <c r="FX34">
        <v>110.08821392949494</v>
      </c>
      <c r="FY34">
        <v>110.40110260653096</v>
      </c>
      <c r="FZ34">
        <v>110.78596936001597</v>
      </c>
      <c r="GA34">
        <v>111.15037965639004</v>
      </c>
      <c r="GB34">
        <v>111.54971111732667</v>
      </c>
      <c r="GC34">
        <v>112.10333572316482</v>
      </c>
      <c r="GD34">
        <v>112.62672234751753</v>
      </c>
      <c r="GE34">
        <v>113.11092491581032</v>
      </c>
      <c r="GF34">
        <v>113.5202794899247</v>
      </c>
      <c r="GG34">
        <v>113.98240386236893</v>
      </c>
      <c r="GH34">
        <v>114.69561879985444</v>
      </c>
      <c r="GI34">
        <v>115.5846765569388</v>
      </c>
      <c r="GJ34">
        <v>116.3900383077689</v>
      </c>
      <c r="GK34">
        <v>117.31089244969638</v>
      </c>
      <c r="GL34">
        <v>118.3081178068072</v>
      </c>
      <c r="GM34">
        <v>119.8116267316435</v>
      </c>
      <c r="GN34">
        <v>121.36021325888444</v>
      </c>
      <c r="GO34">
        <v>123.16654711497057</v>
      </c>
      <c r="GP34">
        <v>125.72728030380731</v>
      </c>
      <c r="GQ34">
        <v>130.20201973215401</v>
      </c>
      <c r="GR34">
        <v>100.65015705992218</v>
      </c>
      <c r="GT34" s="8">
        <v>45338</v>
      </c>
      <c r="GU34">
        <v>118.77610799999999</v>
      </c>
    </row>
    <row r="35" spans="1:203" x14ac:dyDescent="0.45">
      <c r="A35">
        <v>88.998153556402713</v>
      </c>
      <c r="B35">
        <v>89.851424241678671</v>
      </c>
      <c r="C35">
        <v>90.355141919670913</v>
      </c>
      <c r="D35">
        <v>90.708542282591424</v>
      </c>
      <c r="E35">
        <v>91.112841799896941</v>
      </c>
      <c r="F35">
        <v>91.386634658590268</v>
      </c>
      <c r="G35">
        <v>91.67039712361364</v>
      </c>
      <c r="H35">
        <v>91.83880368084057</v>
      </c>
      <c r="I35">
        <v>92.026540552453582</v>
      </c>
      <c r="J35">
        <v>92.180039065317828</v>
      </c>
      <c r="K35">
        <v>92.378620299515916</v>
      </c>
      <c r="L35">
        <v>92.536969997080362</v>
      </c>
      <c r="M35">
        <v>92.645869338973924</v>
      </c>
      <c r="N35">
        <v>92.781739396498082</v>
      </c>
      <c r="O35">
        <v>92.895920526538603</v>
      </c>
      <c r="P35">
        <v>93.016703640466062</v>
      </c>
      <c r="Q35">
        <v>93.135855749907222</v>
      </c>
      <c r="R35">
        <v>93.240160801374614</v>
      </c>
      <c r="S35">
        <v>93.354925901765924</v>
      </c>
      <c r="T35">
        <v>93.480729580336742</v>
      </c>
      <c r="U35">
        <v>93.564129734685324</v>
      </c>
      <c r="V35">
        <v>93.645962329837062</v>
      </c>
      <c r="W35">
        <v>93.735739335258529</v>
      </c>
      <c r="X35">
        <v>93.826848925446782</v>
      </c>
      <c r="Y35">
        <v>93.917634990281357</v>
      </c>
      <c r="Z35">
        <v>94.009311250436824</v>
      </c>
      <c r="AA35">
        <v>94.110592730192025</v>
      </c>
      <c r="AB35">
        <v>94.182587548480399</v>
      </c>
      <c r="AC35">
        <v>94.267884358757044</v>
      </c>
      <c r="AD35">
        <v>94.338064336811627</v>
      </c>
      <c r="AE35">
        <v>94.420543119503819</v>
      </c>
      <c r="AF35">
        <v>94.502347289114681</v>
      </c>
      <c r="AG35">
        <v>94.567608424250139</v>
      </c>
      <c r="AH35">
        <v>94.652410165715253</v>
      </c>
      <c r="AI35">
        <v>94.71893851222741</v>
      </c>
      <c r="AJ35">
        <v>94.769725396063862</v>
      </c>
      <c r="AK35">
        <v>94.858988243232162</v>
      </c>
      <c r="AL35">
        <v>94.913359833389393</v>
      </c>
      <c r="AM35">
        <v>94.98495588554006</v>
      </c>
      <c r="AN35">
        <v>95.034334514279081</v>
      </c>
      <c r="AO35">
        <v>95.103866573002037</v>
      </c>
      <c r="AP35">
        <v>95.167600718151149</v>
      </c>
      <c r="AQ35">
        <v>95.234730095441378</v>
      </c>
      <c r="AR35">
        <v>95.315796984217329</v>
      </c>
      <c r="AS35">
        <v>95.369933520520632</v>
      </c>
      <c r="AT35">
        <v>95.436597846373729</v>
      </c>
      <c r="AU35">
        <v>95.506447999352474</v>
      </c>
      <c r="AV35">
        <v>95.562856076368647</v>
      </c>
      <c r="AW35">
        <v>95.616979462835133</v>
      </c>
      <c r="AX35">
        <v>95.669975451334025</v>
      </c>
      <c r="AY35">
        <v>95.728844258680724</v>
      </c>
      <c r="AZ35">
        <v>95.805503308657009</v>
      </c>
      <c r="BA35">
        <v>95.872859139723715</v>
      </c>
      <c r="BB35">
        <v>95.921658815714395</v>
      </c>
      <c r="BC35">
        <v>95.980834017489201</v>
      </c>
      <c r="BD35">
        <v>96.058535118445505</v>
      </c>
      <c r="BE35">
        <v>96.115232304082596</v>
      </c>
      <c r="BF35">
        <v>96.173764015581909</v>
      </c>
      <c r="BG35">
        <v>96.226443789049455</v>
      </c>
      <c r="BH35">
        <v>96.285629810765641</v>
      </c>
      <c r="BI35">
        <v>96.354953789592557</v>
      </c>
      <c r="BJ35">
        <v>96.414317439037617</v>
      </c>
      <c r="BK35">
        <v>96.478647171278013</v>
      </c>
      <c r="BL35">
        <v>96.543222904311691</v>
      </c>
      <c r="BM35">
        <v>96.583329678217879</v>
      </c>
      <c r="BN35">
        <v>96.630891149263931</v>
      </c>
      <c r="BO35">
        <v>96.695662991197011</v>
      </c>
      <c r="BP35">
        <v>96.753273446500145</v>
      </c>
      <c r="BQ35">
        <v>96.813938165148386</v>
      </c>
      <c r="BR35">
        <v>96.866478858491149</v>
      </c>
      <c r="BS35">
        <v>96.931990415001735</v>
      </c>
      <c r="BT35">
        <v>96.99139269546545</v>
      </c>
      <c r="BU35">
        <v>97.06370066493308</v>
      </c>
      <c r="BV35">
        <v>97.13401151370249</v>
      </c>
      <c r="BW35">
        <v>97.194589130563742</v>
      </c>
      <c r="BX35">
        <v>97.258694100221078</v>
      </c>
      <c r="BY35">
        <v>97.313377092113612</v>
      </c>
      <c r="BZ35">
        <v>97.39979696641727</v>
      </c>
      <c r="CA35">
        <v>97.456789586575553</v>
      </c>
      <c r="CB35">
        <v>97.510587223984203</v>
      </c>
      <c r="CC35">
        <v>97.57466224826473</v>
      </c>
      <c r="CD35">
        <v>97.634831020388617</v>
      </c>
      <c r="CE35">
        <v>97.696266052318236</v>
      </c>
      <c r="CF35">
        <v>97.761235568830415</v>
      </c>
      <c r="CG35">
        <v>97.832955171308768</v>
      </c>
      <c r="CH35">
        <v>97.904282369591172</v>
      </c>
      <c r="CI35">
        <v>97.972558385159488</v>
      </c>
      <c r="CJ35">
        <v>98.018992396798566</v>
      </c>
      <c r="CK35">
        <v>98.101624876139482</v>
      </c>
      <c r="CL35">
        <v>98.165433640224876</v>
      </c>
      <c r="CM35">
        <v>98.24556475444615</v>
      </c>
      <c r="CN35">
        <v>98.316427887562412</v>
      </c>
      <c r="CO35">
        <v>98.386032945961659</v>
      </c>
      <c r="CP35">
        <v>98.456735063909321</v>
      </c>
      <c r="CQ35">
        <v>98.532642753011899</v>
      </c>
      <c r="CR35">
        <v>98.604516990323944</v>
      </c>
      <c r="CS35">
        <v>98.685456983471639</v>
      </c>
      <c r="CT35">
        <v>98.748198407370978</v>
      </c>
      <c r="CU35">
        <v>98.819603865836754</v>
      </c>
      <c r="CV35">
        <v>98.897511313881722</v>
      </c>
      <c r="CW35">
        <v>98.965719551006728</v>
      </c>
      <c r="CX35">
        <v>99.031024331776791</v>
      </c>
      <c r="CY35">
        <v>99.102145664984761</v>
      </c>
      <c r="CZ35">
        <v>99.169726358983738</v>
      </c>
      <c r="DA35">
        <v>99.240542097651371</v>
      </c>
      <c r="DB35">
        <v>99.334028147050034</v>
      </c>
      <c r="DC35">
        <v>99.400101724976267</v>
      </c>
      <c r="DD35">
        <v>99.476991400813191</v>
      </c>
      <c r="DE35">
        <v>99.560739584235051</v>
      </c>
      <c r="DF35">
        <v>99.646704934138128</v>
      </c>
      <c r="DG35">
        <v>99.740571782590408</v>
      </c>
      <c r="DH35">
        <v>99.83212805768845</v>
      </c>
      <c r="DI35">
        <v>99.924348768492564</v>
      </c>
      <c r="DJ35">
        <v>99.992026970132144</v>
      </c>
      <c r="DK35">
        <v>100.08214118610762</v>
      </c>
      <c r="DL35">
        <v>100.16918980186151</v>
      </c>
      <c r="DM35">
        <v>100.25706320238963</v>
      </c>
      <c r="DN35">
        <v>100.35064972511356</v>
      </c>
      <c r="DO35">
        <v>100.44718228057457</v>
      </c>
      <c r="DP35">
        <v>100.52031877585344</v>
      </c>
      <c r="DQ35">
        <v>100.61451000091948</v>
      </c>
      <c r="DR35">
        <v>100.70500870014355</v>
      </c>
      <c r="DS35">
        <v>100.79757038673267</v>
      </c>
      <c r="DT35">
        <v>100.89381516640796</v>
      </c>
      <c r="DU35">
        <v>101.00056843509878</v>
      </c>
      <c r="DV35">
        <v>101.09396345140898</v>
      </c>
      <c r="DW35">
        <v>101.18461779617685</v>
      </c>
      <c r="DX35">
        <v>101.29854945018329</v>
      </c>
      <c r="DY35">
        <v>101.39233062636391</v>
      </c>
      <c r="DZ35">
        <v>101.50872020594045</v>
      </c>
      <c r="EA35">
        <v>101.63854226444326</v>
      </c>
      <c r="EB35">
        <v>101.71769806707978</v>
      </c>
      <c r="EC35">
        <v>101.80438381803654</v>
      </c>
      <c r="ED35">
        <v>101.89180989854167</v>
      </c>
      <c r="EE35">
        <v>101.99499647763125</v>
      </c>
      <c r="EF35">
        <v>102.12342412242191</v>
      </c>
      <c r="EG35">
        <v>102.24140043196155</v>
      </c>
      <c r="EH35">
        <v>102.35535417602287</v>
      </c>
      <c r="EI35">
        <v>102.46258658899748</v>
      </c>
      <c r="EJ35">
        <v>102.55766769802085</v>
      </c>
      <c r="EK35">
        <v>102.67045431495092</v>
      </c>
      <c r="EL35">
        <v>102.78552599157703</v>
      </c>
      <c r="EM35">
        <v>102.88613114045236</v>
      </c>
      <c r="EN35">
        <v>103.02419530965285</v>
      </c>
      <c r="EO35">
        <v>103.15715587756804</v>
      </c>
      <c r="EP35">
        <v>103.28412036274877</v>
      </c>
      <c r="EQ35">
        <v>103.44284007427167</v>
      </c>
      <c r="ER35">
        <v>103.57615734956799</v>
      </c>
      <c r="ES35">
        <v>103.69750379449685</v>
      </c>
      <c r="ET35">
        <v>103.82793970365297</v>
      </c>
      <c r="EU35">
        <v>103.95494324910848</v>
      </c>
      <c r="EV35">
        <v>104.08233157117708</v>
      </c>
      <c r="EW35">
        <v>104.20651558111609</v>
      </c>
      <c r="EX35">
        <v>104.37344853143678</v>
      </c>
      <c r="EY35">
        <v>104.52722676207142</v>
      </c>
      <c r="EZ35">
        <v>104.70770594773884</v>
      </c>
      <c r="FA35">
        <v>104.86328842735394</v>
      </c>
      <c r="FB35">
        <v>105.02080522968139</v>
      </c>
      <c r="FC35">
        <v>105.16883794563157</v>
      </c>
      <c r="FD35">
        <v>105.33952743812091</v>
      </c>
      <c r="FE35">
        <v>105.53526965835719</v>
      </c>
      <c r="FF35">
        <v>105.70702620246377</v>
      </c>
      <c r="FG35">
        <v>105.92454315474929</v>
      </c>
      <c r="FH35">
        <v>106.14133568085413</v>
      </c>
      <c r="FI35">
        <v>106.38859296891488</v>
      </c>
      <c r="FJ35">
        <v>106.55610222117132</v>
      </c>
      <c r="FK35">
        <v>106.78748306436988</v>
      </c>
      <c r="FL35">
        <v>107.00105123086004</v>
      </c>
      <c r="FM35">
        <v>107.2344321035427</v>
      </c>
      <c r="FN35">
        <v>107.44935506855792</v>
      </c>
      <c r="FO35">
        <v>107.71558563088735</v>
      </c>
      <c r="FP35">
        <v>107.97874655991313</v>
      </c>
      <c r="FQ35">
        <v>108.14847209599361</v>
      </c>
      <c r="FR35">
        <v>108.44217398950876</v>
      </c>
      <c r="FS35">
        <v>108.7026137305072</v>
      </c>
      <c r="FT35">
        <v>108.98433290001572</v>
      </c>
      <c r="FU35">
        <v>109.24135180075244</v>
      </c>
      <c r="FV35">
        <v>109.55413396384648</v>
      </c>
      <c r="FW35">
        <v>109.90869221853544</v>
      </c>
      <c r="FX35">
        <v>110.19897783771135</v>
      </c>
      <c r="FY35">
        <v>110.5634672230923</v>
      </c>
      <c r="FZ35">
        <v>110.96496766514534</v>
      </c>
      <c r="GA35">
        <v>111.34817713669581</v>
      </c>
      <c r="GB35">
        <v>111.73706314679858</v>
      </c>
      <c r="GC35">
        <v>112.22839012511899</v>
      </c>
      <c r="GD35">
        <v>112.66270434321414</v>
      </c>
      <c r="GE35">
        <v>113.19101954520184</v>
      </c>
      <c r="GF35">
        <v>113.7587724754972</v>
      </c>
      <c r="GG35">
        <v>114.41176464249351</v>
      </c>
      <c r="GH35">
        <v>115.06567334937766</v>
      </c>
      <c r="GI35">
        <v>115.83562841124076</v>
      </c>
      <c r="GJ35">
        <v>116.67893662116269</v>
      </c>
      <c r="GK35">
        <v>117.51033169929246</v>
      </c>
      <c r="GL35">
        <v>118.61049727420935</v>
      </c>
      <c r="GM35">
        <v>119.90654042288151</v>
      </c>
      <c r="GN35">
        <v>121.71601582290653</v>
      </c>
      <c r="GO35">
        <v>123.30156181356659</v>
      </c>
      <c r="GP35">
        <v>126.60571088235257</v>
      </c>
      <c r="GQ35">
        <v>131.7465175968955</v>
      </c>
      <c r="GR35">
        <v>100.6675572358221</v>
      </c>
      <c r="GT35" s="8">
        <v>45342</v>
      </c>
      <c r="GU35">
        <v>118.34610600000001</v>
      </c>
    </row>
    <row r="36" spans="1:203" x14ac:dyDescent="0.45">
      <c r="A36">
        <v>88.892805113155092</v>
      </c>
      <c r="B36">
        <v>89.740303486332266</v>
      </c>
      <c r="C36">
        <v>90.26858805873259</v>
      </c>
      <c r="D36">
        <v>90.60792935424594</v>
      </c>
      <c r="E36">
        <v>90.929580365529617</v>
      </c>
      <c r="F36">
        <v>91.21753620173628</v>
      </c>
      <c r="G36">
        <v>91.496756332940606</v>
      </c>
      <c r="H36">
        <v>91.738527329221867</v>
      </c>
      <c r="I36">
        <v>91.919532208781831</v>
      </c>
      <c r="J36">
        <v>92.146381192752443</v>
      </c>
      <c r="K36">
        <v>92.297549532477547</v>
      </c>
      <c r="L36">
        <v>92.438844264885816</v>
      </c>
      <c r="M36">
        <v>92.589827181432838</v>
      </c>
      <c r="N36">
        <v>92.706145401243248</v>
      </c>
      <c r="O36">
        <v>92.829943920594673</v>
      </c>
      <c r="P36">
        <v>92.950772404527882</v>
      </c>
      <c r="Q36">
        <v>93.068342145041058</v>
      </c>
      <c r="R36">
        <v>93.170823595484279</v>
      </c>
      <c r="S36">
        <v>93.277313011588376</v>
      </c>
      <c r="T36">
        <v>93.397149915829345</v>
      </c>
      <c r="U36">
        <v>93.498680727169514</v>
      </c>
      <c r="V36">
        <v>93.59046420292394</v>
      </c>
      <c r="W36">
        <v>93.700014837078058</v>
      </c>
      <c r="X36">
        <v>93.813963919706879</v>
      </c>
      <c r="Y36">
        <v>93.882105785578716</v>
      </c>
      <c r="Z36">
        <v>93.962603474426487</v>
      </c>
      <c r="AA36">
        <v>94.041693419112036</v>
      </c>
      <c r="AB36">
        <v>94.125331098682523</v>
      </c>
      <c r="AC36">
        <v>94.195599988545936</v>
      </c>
      <c r="AD36">
        <v>94.260808296260834</v>
      </c>
      <c r="AE36">
        <v>94.316925829232034</v>
      </c>
      <c r="AF36">
        <v>94.411606931110541</v>
      </c>
      <c r="AG36">
        <v>94.477270881302232</v>
      </c>
      <c r="AH36">
        <v>94.574124721961198</v>
      </c>
      <c r="AI36">
        <v>94.629961988477916</v>
      </c>
      <c r="AJ36">
        <v>94.6980136668966</v>
      </c>
      <c r="AK36">
        <v>94.755519812428687</v>
      </c>
      <c r="AL36">
        <v>94.821727226386628</v>
      </c>
      <c r="AM36">
        <v>94.884366954490616</v>
      </c>
      <c r="AN36">
        <v>94.935078341511698</v>
      </c>
      <c r="AO36">
        <v>95.013563257432267</v>
      </c>
      <c r="AP36">
        <v>95.081918115477478</v>
      </c>
      <c r="AQ36">
        <v>95.155469827527156</v>
      </c>
      <c r="AR36">
        <v>95.2187436302452</v>
      </c>
      <c r="AS36">
        <v>95.284380514249094</v>
      </c>
      <c r="AT36">
        <v>95.370348946118412</v>
      </c>
      <c r="AU36">
        <v>95.43215700352097</v>
      </c>
      <c r="AV36">
        <v>95.493043855997399</v>
      </c>
      <c r="AW36">
        <v>95.559797520059888</v>
      </c>
      <c r="AX36">
        <v>95.618990713627213</v>
      </c>
      <c r="AY36">
        <v>95.687279289289037</v>
      </c>
      <c r="AZ36">
        <v>95.739469505193682</v>
      </c>
      <c r="BA36">
        <v>95.811806474967469</v>
      </c>
      <c r="BB36">
        <v>95.873872430600599</v>
      </c>
      <c r="BC36">
        <v>95.945689687814593</v>
      </c>
      <c r="BD36">
        <v>96.015978425427221</v>
      </c>
      <c r="BE36">
        <v>96.075772532614238</v>
      </c>
      <c r="BF36">
        <v>96.133283966898887</v>
      </c>
      <c r="BG36">
        <v>96.191196010257599</v>
      </c>
      <c r="BH36">
        <v>96.257989618687759</v>
      </c>
      <c r="BI36">
        <v>96.305885718874606</v>
      </c>
      <c r="BJ36">
        <v>96.372245168051251</v>
      </c>
      <c r="BK36">
        <v>96.426876005055249</v>
      </c>
      <c r="BL36">
        <v>96.484212867592532</v>
      </c>
      <c r="BM36">
        <v>96.551131560451296</v>
      </c>
      <c r="BN36">
        <v>96.623279553897547</v>
      </c>
      <c r="BO36">
        <v>96.682015653014943</v>
      </c>
      <c r="BP36">
        <v>96.735835146631814</v>
      </c>
      <c r="BQ36">
        <v>96.806279371857315</v>
      </c>
      <c r="BR36">
        <v>96.877246499101204</v>
      </c>
      <c r="BS36">
        <v>96.937615956305507</v>
      </c>
      <c r="BT36">
        <v>96.983769183690271</v>
      </c>
      <c r="BU36">
        <v>97.042838540386057</v>
      </c>
      <c r="BV36">
        <v>97.098891357880518</v>
      </c>
      <c r="BW36">
        <v>97.16553941131626</v>
      </c>
      <c r="BX36">
        <v>97.237737345364437</v>
      </c>
      <c r="BY36">
        <v>97.294794830864646</v>
      </c>
      <c r="BZ36">
        <v>97.345362165027097</v>
      </c>
      <c r="CA36">
        <v>97.404133965300971</v>
      </c>
      <c r="CB36">
        <v>97.47186406208121</v>
      </c>
      <c r="CC36">
        <v>97.525044762081279</v>
      </c>
      <c r="CD36">
        <v>97.586456650179628</v>
      </c>
      <c r="CE36">
        <v>97.662613983383864</v>
      </c>
      <c r="CF36">
        <v>97.739822619716662</v>
      </c>
      <c r="CG36">
        <v>97.806305266691865</v>
      </c>
      <c r="CH36">
        <v>97.865345630354199</v>
      </c>
      <c r="CI36">
        <v>97.928180401743631</v>
      </c>
      <c r="CJ36">
        <v>98.005302622502271</v>
      </c>
      <c r="CK36">
        <v>98.065654442945458</v>
      </c>
      <c r="CL36">
        <v>98.146158508354915</v>
      </c>
      <c r="CM36">
        <v>98.218614528870603</v>
      </c>
      <c r="CN36">
        <v>98.289145082872295</v>
      </c>
      <c r="CO36">
        <v>98.353877779855168</v>
      </c>
      <c r="CP36">
        <v>98.437244883827262</v>
      </c>
      <c r="CQ36">
        <v>98.50319376003263</v>
      </c>
      <c r="CR36">
        <v>98.577301876635644</v>
      </c>
      <c r="CS36">
        <v>98.643328663780864</v>
      </c>
      <c r="CT36">
        <v>98.7154213414087</v>
      </c>
      <c r="CU36">
        <v>98.801135139475292</v>
      </c>
      <c r="CV36">
        <v>98.872200058638512</v>
      </c>
      <c r="CW36">
        <v>98.937507499583731</v>
      </c>
      <c r="CX36">
        <v>98.993123314329935</v>
      </c>
      <c r="CY36">
        <v>99.078329116656946</v>
      </c>
      <c r="CZ36">
        <v>99.136681494048787</v>
      </c>
      <c r="DA36">
        <v>99.214165279098836</v>
      </c>
      <c r="DB36">
        <v>99.297844916880507</v>
      </c>
      <c r="DC36">
        <v>99.365554264452868</v>
      </c>
      <c r="DD36">
        <v>99.437232503721518</v>
      </c>
      <c r="DE36">
        <v>99.520784649921595</v>
      </c>
      <c r="DF36">
        <v>99.606729791118923</v>
      </c>
      <c r="DG36">
        <v>99.70385169569991</v>
      </c>
      <c r="DH36">
        <v>99.778802818910805</v>
      </c>
      <c r="DI36">
        <v>99.863346228884936</v>
      </c>
      <c r="DJ36">
        <v>99.956806607723507</v>
      </c>
      <c r="DK36">
        <v>100.04459252033924</v>
      </c>
      <c r="DL36">
        <v>100.13347593780097</v>
      </c>
      <c r="DM36">
        <v>100.20456777073036</v>
      </c>
      <c r="DN36">
        <v>100.28841319457902</v>
      </c>
      <c r="DO36">
        <v>100.37814713764062</v>
      </c>
      <c r="DP36">
        <v>100.47211160348849</v>
      </c>
      <c r="DQ36">
        <v>100.59435704810433</v>
      </c>
      <c r="DR36">
        <v>100.70227715645542</v>
      </c>
      <c r="DS36">
        <v>100.7807764985431</v>
      </c>
      <c r="DT36">
        <v>100.87107191672986</v>
      </c>
      <c r="DU36">
        <v>100.96890536738201</v>
      </c>
      <c r="DV36">
        <v>101.05330635298016</v>
      </c>
      <c r="DW36">
        <v>101.1458851368951</v>
      </c>
      <c r="DX36">
        <v>101.23943887407854</v>
      </c>
      <c r="DY36">
        <v>101.3582308365018</v>
      </c>
      <c r="DZ36">
        <v>101.46157556605363</v>
      </c>
      <c r="EA36">
        <v>101.5801262368194</v>
      </c>
      <c r="EB36">
        <v>101.64688687020229</v>
      </c>
      <c r="EC36">
        <v>101.75255782216998</v>
      </c>
      <c r="ED36">
        <v>101.86851103313384</v>
      </c>
      <c r="EE36">
        <v>101.97380030794734</v>
      </c>
      <c r="EF36">
        <v>102.10799767593272</v>
      </c>
      <c r="EG36">
        <v>102.20027071129682</v>
      </c>
      <c r="EH36">
        <v>102.30960474344459</v>
      </c>
      <c r="EI36">
        <v>102.43939265660863</v>
      </c>
      <c r="EJ36">
        <v>102.59386533352492</v>
      </c>
      <c r="EK36">
        <v>102.7006260631302</v>
      </c>
      <c r="EL36">
        <v>102.85197605625473</v>
      </c>
      <c r="EM36">
        <v>103.00530827147001</v>
      </c>
      <c r="EN36">
        <v>103.1612003244382</v>
      </c>
      <c r="EO36">
        <v>103.27785709327584</v>
      </c>
      <c r="EP36">
        <v>103.40023412329809</v>
      </c>
      <c r="EQ36">
        <v>103.49147957167888</v>
      </c>
      <c r="ER36">
        <v>103.63683456662332</v>
      </c>
      <c r="ES36">
        <v>103.76771590157998</v>
      </c>
      <c r="ET36">
        <v>103.90854509102513</v>
      </c>
      <c r="EU36">
        <v>104.05227069290707</v>
      </c>
      <c r="EV36">
        <v>104.19295958396449</v>
      </c>
      <c r="EW36">
        <v>104.3823448251037</v>
      </c>
      <c r="EX36">
        <v>104.49135256486728</v>
      </c>
      <c r="EY36">
        <v>104.64127549629163</v>
      </c>
      <c r="EZ36">
        <v>104.78229541417794</v>
      </c>
      <c r="FA36">
        <v>104.93731693639855</v>
      </c>
      <c r="FB36">
        <v>105.12382649293033</v>
      </c>
      <c r="FC36">
        <v>105.25045134744937</v>
      </c>
      <c r="FD36">
        <v>105.42997441980006</v>
      </c>
      <c r="FE36">
        <v>105.62315472593231</v>
      </c>
      <c r="FF36">
        <v>105.78587895875637</v>
      </c>
      <c r="FG36">
        <v>105.99184430539279</v>
      </c>
      <c r="FH36">
        <v>106.21022437518239</v>
      </c>
      <c r="FI36">
        <v>106.39515357833253</v>
      </c>
      <c r="FJ36">
        <v>106.5742376534604</v>
      </c>
      <c r="FK36">
        <v>106.83723354903204</v>
      </c>
      <c r="FL36">
        <v>107.08422114139597</v>
      </c>
      <c r="FM36">
        <v>107.3620529368672</v>
      </c>
      <c r="FN36">
        <v>107.60755508029112</v>
      </c>
      <c r="FO36">
        <v>107.8115470678449</v>
      </c>
      <c r="FP36">
        <v>108.12198556433727</v>
      </c>
      <c r="FQ36">
        <v>108.34619698603915</v>
      </c>
      <c r="FR36">
        <v>108.66102823464543</v>
      </c>
      <c r="FS36">
        <v>108.94077542312081</v>
      </c>
      <c r="FT36">
        <v>109.18567595888578</v>
      </c>
      <c r="FU36">
        <v>109.4625589387835</v>
      </c>
      <c r="FV36">
        <v>109.83207400057564</v>
      </c>
      <c r="FW36">
        <v>110.20676301265175</v>
      </c>
      <c r="FX36">
        <v>110.60472163621752</v>
      </c>
      <c r="FY36">
        <v>111.00511171768883</v>
      </c>
      <c r="FZ36">
        <v>111.39800747938143</v>
      </c>
      <c r="GA36">
        <v>111.76395574862498</v>
      </c>
      <c r="GB36">
        <v>112.21655428408172</v>
      </c>
      <c r="GC36">
        <v>112.53236216051819</v>
      </c>
      <c r="GD36">
        <v>113.01145252257129</v>
      </c>
      <c r="GE36">
        <v>113.45149065252528</v>
      </c>
      <c r="GF36">
        <v>114.0323241428121</v>
      </c>
      <c r="GG36">
        <v>114.63455556905238</v>
      </c>
      <c r="GH36">
        <v>115.37772352097895</v>
      </c>
      <c r="GI36">
        <v>116.18220481941644</v>
      </c>
      <c r="GJ36">
        <v>116.90105069227955</v>
      </c>
      <c r="GK36">
        <v>118.07042194092992</v>
      </c>
      <c r="GL36">
        <v>118.93676977383276</v>
      </c>
      <c r="GM36">
        <v>120.17741874764262</v>
      </c>
      <c r="GN36">
        <v>121.66847985158678</v>
      </c>
      <c r="GO36">
        <v>123.76458333709705</v>
      </c>
      <c r="GP36">
        <v>127.20285509726473</v>
      </c>
      <c r="GQ36">
        <v>133.99221730847643</v>
      </c>
      <c r="GR36">
        <v>100.70157376368928</v>
      </c>
      <c r="GT36" s="8">
        <v>45343</v>
      </c>
      <c r="GU36">
        <v>118.704441</v>
      </c>
    </row>
    <row r="37" spans="1:203" x14ac:dyDescent="0.45">
      <c r="A37">
        <v>88.626224359670431</v>
      </c>
      <c r="B37">
        <v>89.597995258643067</v>
      </c>
      <c r="C37">
        <v>90.146604628762333</v>
      </c>
      <c r="D37">
        <v>90.532273127024183</v>
      </c>
      <c r="E37">
        <v>90.910054107122221</v>
      </c>
      <c r="F37">
        <v>91.167883383631803</v>
      </c>
      <c r="G37">
        <v>91.434965294481373</v>
      </c>
      <c r="H37">
        <v>91.654881820328271</v>
      </c>
      <c r="I37">
        <v>91.877423305914832</v>
      </c>
      <c r="J37">
        <v>92.047810760371362</v>
      </c>
      <c r="K37">
        <v>92.248235941180226</v>
      </c>
      <c r="L37">
        <v>92.40367310500605</v>
      </c>
      <c r="M37">
        <v>92.548175248475275</v>
      </c>
      <c r="N37">
        <v>92.661217533106992</v>
      </c>
      <c r="O37">
        <v>92.783443848393318</v>
      </c>
      <c r="P37">
        <v>92.889058929027556</v>
      </c>
      <c r="Q37">
        <v>93.021917494733117</v>
      </c>
      <c r="R37">
        <v>93.147943901917358</v>
      </c>
      <c r="S37">
        <v>93.259129571276475</v>
      </c>
      <c r="T37">
        <v>93.364270225337322</v>
      </c>
      <c r="U37">
        <v>93.465866408255991</v>
      </c>
      <c r="V37">
        <v>93.568229021342617</v>
      </c>
      <c r="W37">
        <v>93.663465376304984</v>
      </c>
      <c r="X37">
        <v>93.764532586780632</v>
      </c>
      <c r="Y37">
        <v>93.856198704061526</v>
      </c>
      <c r="Z37">
        <v>93.930855914501876</v>
      </c>
      <c r="AA37">
        <v>93.994440534744243</v>
      </c>
      <c r="AB37">
        <v>94.056152845455998</v>
      </c>
      <c r="AC37">
        <v>94.132254488437681</v>
      </c>
      <c r="AD37">
        <v>94.198150000936749</v>
      </c>
      <c r="AE37">
        <v>94.281654664281376</v>
      </c>
      <c r="AF37">
        <v>94.360771174345743</v>
      </c>
      <c r="AG37">
        <v>94.444760482172327</v>
      </c>
      <c r="AH37">
        <v>94.52824304171655</v>
      </c>
      <c r="AI37">
        <v>94.603811331020538</v>
      </c>
      <c r="AJ37">
        <v>94.697027358066151</v>
      </c>
      <c r="AK37">
        <v>94.764687486984386</v>
      </c>
      <c r="AL37">
        <v>94.831744068432229</v>
      </c>
      <c r="AM37">
        <v>94.899780096923934</v>
      </c>
      <c r="AN37">
        <v>94.949444196666263</v>
      </c>
      <c r="AO37">
        <v>95.013909679747499</v>
      </c>
      <c r="AP37">
        <v>95.062788704959459</v>
      </c>
      <c r="AQ37">
        <v>95.129384634712807</v>
      </c>
      <c r="AR37">
        <v>95.181049957876709</v>
      </c>
      <c r="AS37">
        <v>95.260358761155317</v>
      </c>
      <c r="AT37">
        <v>95.315839828142927</v>
      </c>
      <c r="AU37">
        <v>95.367974052427797</v>
      </c>
      <c r="AV37">
        <v>95.432857563236723</v>
      </c>
      <c r="AW37">
        <v>95.48945451986458</v>
      </c>
      <c r="AX37">
        <v>95.541930569453328</v>
      </c>
      <c r="AY37">
        <v>95.590194225258529</v>
      </c>
      <c r="AZ37">
        <v>95.655283284357296</v>
      </c>
      <c r="BA37">
        <v>95.732070251572893</v>
      </c>
      <c r="BB37">
        <v>95.795639679855938</v>
      </c>
      <c r="BC37">
        <v>95.853575797429528</v>
      </c>
      <c r="BD37">
        <v>95.913315616224878</v>
      </c>
      <c r="BE37">
        <v>95.963009269484829</v>
      </c>
      <c r="BF37">
        <v>96.028283879059032</v>
      </c>
      <c r="BG37">
        <v>96.092980622493343</v>
      </c>
      <c r="BH37">
        <v>96.165539397393061</v>
      </c>
      <c r="BI37">
        <v>96.22896454521306</v>
      </c>
      <c r="BJ37">
        <v>96.287673537514536</v>
      </c>
      <c r="BK37">
        <v>96.360431594678033</v>
      </c>
      <c r="BL37">
        <v>96.422589128852721</v>
      </c>
      <c r="BM37">
        <v>96.496472476197923</v>
      </c>
      <c r="BN37">
        <v>96.553305488147089</v>
      </c>
      <c r="BO37">
        <v>96.622400410333128</v>
      </c>
      <c r="BP37">
        <v>96.687844199765706</v>
      </c>
      <c r="BQ37">
        <v>96.753534082886787</v>
      </c>
      <c r="BR37">
        <v>96.814957945052058</v>
      </c>
      <c r="BS37">
        <v>96.864120609617686</v>
      </c>
      <c r="BT37">
        <v>96.948985151293428</v>
      </c>
      <c r="BU37">
        <v>96.998747381550814</v>
      </c>
      <c r="BV37">
        <v>97.052759216281359</v>
      </c>
      <c r="BW37">
        <v>97.099042381848932</v>
      </c>
      <c r="BX37">
        <v>97.159910898561449</v>
      </c>
      <c r="BY37">
        <v>97.224978828958797</v>
      </c>
      <c r="BZ37">
        <v>97.291429489159555</v>
      </c>
      <c r="CA37">
        <v>97.345451001352217</v>
      </c>
      <c r="CB37">
        <v>97.410327960523801</v>
      </c>
      <c r="CC37">
        <v>97.475277385922851</v>
      </c>
      <c r="CD37">
        <v>97.54565534057042</v>
      </c>
      <c r="CE37">
        <v>97.624577357337586</v>
      </c>
      <c r="CF37">
        <v>97.698603822247961</v>
      </c>
      <c r="CG37">
        <v>97.762631530673531</v>
      </c>
      <c r="CH37">
        <v>97.820836838405754</v>
      </c>
      <c r="CI37">
        <v>97.89834587922779</v>
      </c>
      <c r="CJ37">
        <v>97.979115731660144</v>
      </c>
      <c r="CK37">
        <v>98.053089634344019</v>
      </c>
      <c r="CL37">
        <v>98.11718664664177</v>
      </c>
      <c r="CM37">
        <v>98.19684785754599</v>
      </c>
      <c r="CN37">
        <v>98.279101798572853</v>
      </c>
      <c r="CO37">
        <v>98.361788403116094</v>
      </c>
      <c r="CP37">
        <v>98.418427763725632</v>
      </c>
      <c r="CQ37">
        <v>98.492536019936622</v>
      </c>
      <c r="CR37">
        <v>98.562986561316805</v>
      </c>
      <c r="CS37">
        <v>98.614150249846958</v>
      </c>
      <c r="CT37">
        <v>98.712032130660987</v>
      </c>
      <c r="CU37">
        <v>98.782279120742075</v>
      </c>
      <c r="CV37">
        <v>98.860506477752196</v>
      </c>
      <c r="CW37">
        <v>98.953683568122045</v>
      </c>
      <c r="CX37">
        <v>99.030886790207347</v>
      </c>
      <c r="CY37">
        <v>99.106604456680785</v>
      </c>
      <c r="CZ37">
        <v>99.193636957181937</v>
      </c>
      <c r="DA37">
        <v>99.259466902764686</v>
      </c>
      <c r="DB37">
        <v>99.325714927806345</v>
      </c>
      <c r="DC37">
        <v>99.396789069609611</v>
      </c>
      <c r="DD37">
        <v>99.491885038684345</v>
      </c>
      <c r="DE37">
        <v>99.580945905813721</v>
      </c>
      <c r="DF37">
        <v>99.684101752206658</v>
      </c>
      <c r="DG37">
        <v>99.776050717135149</v>
      </c>
      <c r="DH37">
        <v>99.838617454311603</v>
      </c>
      <c r="DI37">
        <v>99.906458280867071</v>
      </c>
      <c r="DJ37">
        <v>99.986444405239112</v>
      </c>
      <c r="DK37">
        <v>100.06963991669262</v>
      </c>
      <c r="DL37">
        <v>100.15409674656213</v>
      </c>
      <c r="DM37">
        <v>100.24846074912701</v>
      </c>
      <c r="DN37">
        <v>100.33779308279631</v>
      </c>
      <c r="DO37">
        <v>100.42199167293539</v>
      </c>
      <c r="DP37">
        <v>100.49200356514434</v>
      </c>
      <c r="DQ37">
        <v>100.59854119714581</v>
      </c>
      <c r="DR37">
        <v>100.67085287376992</v>
      </c>
      <c r="DS37">
        <v>100.76926912747169</v>
      </c>
      <c r="DT37">
        <v>100.85519506411718</v>
      </c>
      <c r="DU37">
        <v>100.97881609824903</v>
      </c>
      <c r="DV37">
        <v>101.06390321600809</v>
      </c>
      <c r="DW37">
        <v>101.17156436830639</v>
      </c>
      <c r="DX37">
        <v>101.27796163471837</v>
      </c>
      <c r="DY37">
        <v>101.36212731768437</v>
      </c>
      <c r="DZ37">
        <v>101.46255030099235</v>
      </c>
      <c r="EA37">
        <v>101.5834245699257</v>
      </c>
      <c r="EB37">
        <v>101.70876177055048</v>
      </c>
      <c r="EC37">
        <v>101.82314403761301</v>
      </c>
      <c r="ED37">
        <v>101.94044314497171</v>
      </c>
      <c r="EE37">
        <v>102.05305892675936</v>
      </c>
      <c r="EF37">
        <v>102.13954065637098</v>
      </c>
      <c r="EG37">
        <v>102.28944963042525</v>
      </c>
      <c r="EH37">
        <v>102.36754746757082</v>
      </c>
      <c r="EI37">
        <v>102.48302389706147</v>
      </c>
      <c r="EJ37">
        <v>102.61490039571885</v>
      </c>
      <c r="EK37">
        <v>102.74296082193777</v>
      </c>
      <c r="EL37">
        <v>102.86948628627422</v>
      </c>
      <c r="EM37">
        <v>103.02719064541563</v>
      </c>
      <c r="EN37">
        <v>103.15566329379874</v>
      </c>
      <c r="EO37">
        <v>103.29440326090052</v>
      </c>
      <c r="EP37">
        <v>103.40991980158209</v>
      </c>
      <c r="EQ37">
        <v>103.54756827766504</v>
      </c>
      <c r="ER37">
        <v>103.70470311514529</v>
      </c>
      <c r="ES37">
        <v>103.85175890537749</v>
      </c>
      <c r="ET37">
        <v>104.00242220457484</v>
      </c>
      <c r="EU37">
        <v>104.13260649450503</v>
      </c>
      <c r="EV37">
        <v>104.29411844125352</v>
      </c>
      <c r="EW37">
        <v>104.44507750920235</v>
      </c>
      <c r="EX37">
        <v>104.59508230711027</v>
      </c>
      <c r="EY37">
        <v>104.75743938420408</v>
      </c>
      <c r="EZ37">
        <v>104.89925138180988</v>
      </c>
      <c r="FA37">
        <v>105.06584537829478</v>
      </c>
      <c r="FB37">
        <v>105.23373912739699</v>
      </c>
      <c r="FC37">
        <v>105.38378963827167</v>
      </c>
      <c r="FD37">
        <v>105.49328567563124</v>
      </c>
      <c r="FE37">
        <v>105.71531743127812</v>
      </c>
      <c r="FF37">
        <v>105.92911011466894</v>
      </c>
      <c r="FG37">
        <v>106.11365030118932</v>
      </c>
      <c r="FH37">
        <v>106.27947250255144</v>
      </c>
      <c r="FI37">
        <v>106.44401543166632</v>
      </c>
      <c r="FJ37">
        <v>106.66586045871009</v>
      </c>
      <c r="FK37">
        <v>106.91543033406207</v>
      </c>
      <c r="FL37">
        <v>107.14865748547601</v>
      </c>
      <c r="FM37">
        <v>107.32916597190572</v>
      </c>
      <c r="FN37">
        <v>107.56170517922601</v>
      </c>
      <c r="FO37">
        <v>107.81815091711059</v>
      </c>
      <c r="FP37">
        <v>108.06892638966265</v>
      </c>
      <c r="FQ37">
        <v>108.36206941973485</v>
      </c>
      <c r="FR37">
        <v>108.65402672206397</v>
      </c>
      <c r="FS37">
        <v>109.00735146854241</v>
      </c>
      <c r="FT37">
        <v>109.28584602776036</v>
      </c>
      <c r="FU37">
        <v>109.6744977954209</v>
      </c>
      <c r="FV37">
        <v>109.93409265642079</v>
      </c>
      <c r="FW37">
        <v>110.20492407212622</v>
      </c>
      <c r="FX37">
        <v>110.55343084305689</v>
      </c>
      <c r="FY37">
        <v>110.94895713300653</v>
      </c>
      <c r="FZ37">
        <v>111.31020033387438</v>
      </c>
      <c r="GA37">
        <v>111.79764981553724</v>
      </c>
      <c r="GB37">
        <v>112.2261395223442</v>
      </c>
      <c r="GC37">
        <v>112.64059324047018</v>
      </c>
      <c r="GD37">
        <v>113.06066269494757</v>
      </c>
      <c r="GE37">
        <v>113.61144173096589</v>
      </c>
      <c r="GF37">
        <v>114.29768728010039</v>
      </c>
      <c r="GG37">
        <v>114.94150722536452</v>
      </c>
      <c r="GH37">
        <v>115.53128069451215</v>
      </c>
      <c r="GI37">
        <v>116.236511999096</v>
      </c>
      <c r="GJ37">
        <v>117.08800471522828</v>
      </c>
      <c r="GK37">
        <v>118.13127861977647</v>
      </c>
      <c r="GL37">
        <v>119.44747801935938</v>
      </c>
      <c r="GM37">
        <v>120.66339658115389</v>
      </c>
      <c r="GN37">
        <v>122.50523329181581</v>
      </c>
      <c r="GO37">
        <v>124.31575212812359</v>
      </c>
      <c r="GP37">
        <v>127.80834105982593</v>
      </c>
      <c r="GQ37">
        <v>133.68250086816425</v>
      </c>
      <c r="GR37">
        <v>100.71777526102385</v>
      </c>
      <c r="GT37" s="8">
        <v>45344</v>
      </c>
      <c r="GU37">
        <v>120.774821</v>
      </c>
    </row>
    <row r="38" spans="1:203" x14ac:dyDescent="0.45">
      <c r="A38">
        <v>88.601403571117501</v>
      </c>
      <c r="B38">
        <v>89.49382016510279</v>
      </c>
      <c r="C38">
        <v>90.044458917680529</v>
      </c>
      <c r="D38">
        <v>90.41750724948642</v>
      </c>
      <c r="E38">
        <v>90.784113307838453</v>
      </c>
      <c r="F38">
        <v>91.082858159398896</v>
      </c>
      <c r="G38">
        <v>91.307015132420716</v>
      </c>
      <c r="H38">
        <v>91.606367479438148</v>
      </c>
      <c r="I38">
        <v>91.789745179441141</v>
      </c>
      <c r="J38">
        <v>91.957978296411397</v>
      </c>
      <c r="K38">
        <v>92.118475911551585</v>
      </c>
      <c r="L38">
        <v>92.249952394174798</v>
      </c>
      <c r="M38">
        <v>92.399678869022523</v>
      </c>
      <c r="N38">
        <v>92.559384735024381</v>
      </c>
      <c r="O38">
        <v>92.688885354709782</v>
      </c>
      <c r="P38">
        <v>92.813777137935631</v>
      </c>
      <c r="Q38">
        <v>92.922950140761259</v>
      </c>
      <c r="R38">
        <v>93.030500268614233</v>
      </c>
      <c r="S38">
        <v>93.148656466628665</v>
      </c>
      <c r="T38">
        <v>93.249828455095439</v>
      </c>
      <c r="U38">
        <v>93.386313795223757</v>
      </c>
      <c r="V38">
        <v>93.49469905831458</v>
      </c>
      <c r="W38">
        <v>93.585968391214621</v>
      </c>
      <c r="X38">
        <v>93.662117521911398</v>
      </c>
      <c r="Y38">
        <v>93.757979399167709</v>
      </c>
      <c r="Z38">
        <v>93.820064659367077</v>
      </c>
      <c r="AA38">
        <v>93.906148276001659</v>
      </c>
      <c r="AB38">
        <v>94.010279703848468</v>
      </c>
      <c r="AC38">
        <v>94.083913146119158</v>
      </c>
      <c r="AD38">
        <v>94.158699141864716</v>
      </c>
      <c r="AE38">
        <v>94.229109343397184</v>
      </c>
      <c r="AF38">
        <v>94.313739260657769</v>
      </c>
      <c r="AG38">
        <v>94.422281797230795</v>
      </c>
      <c r="AH38">
        <v>94.499631362157359</v>
      </c>
      <c r="AI38">
        <v>94.560664646776445</v>
      </c>
      <c r="AJ38">
        <v>94.634415945007191</v>
      </c>
      <c r="AK38">
        <v>94.710397598387672</v>
      </c>
      <c r="AL38">
        <v>94.786166993609982</v>
      </c>
      <c r="AM38">
        <v>94.840235435158888</v>
      </c>
      <c r="AN38">
        <v>94.895446269690638</v>
      </c>
      <c r="AO38">
        <v>94.953540247951267</v>
      </c>
      <c r="AP38">
        <v>95.017875256853557</v>
      </c>
      <c r="AQ38">
        <v>95.068594370042973</v>
      </c>
      <c r="AR38">
        <v>95.135599068686588</v>
      </c>
      <c r="AS38">
        <v>95.196717728909221</v>
      </c>
      <c r="AT38">
        <v>95.251834061110927</v>
      </c>
      <c r="AU38">
        <v>95.309413234153098</v>
      </c>
      <c r="AV38">
        <v>95.370235671474518</v>
      </c>
      <c r="AW38">
        <v>95.420965326436558</v>
      </c>
      <c r="AX38">
        <v>95.489282175511548</v>
      </c>
      <c r="AY38">
        <v>95.551159228441421</v>
      </c>
      <c r="AZ38">
        <v>95.608327447711289</v>
      </c>
      <c r="BA38">
        <v>95.674954539942192</v>
      </c>
      <c r="BB38">
        <v>95.736299057529408</v>
      </c>
      <c r="BC38">
        <v>95.807075151058314</v>
      </c>
      <c r="BD38">
        <v>95.868163382442091</v>
      </c>
      <c r="BE38">
        <v>95.933977044491471</v>
      </c>
      <c r="BF38">
        <v>96.008944046467661</v>
      </c>
      <c r="BG38">
        <v>96.072923657295348</v>
      </c>
      <c r="BH38">
        <v>96.147483687900007</v>
      </c>
      <c r="BI38">
        <v>96.222315953081491</v>
      </c>
      <c r="BJ38">
        <v>96.276696356809623</v>
      </c>
      <c r="BK38">
        <v>96.348679442521075</v>
      </c>
      <c r="BL38">
        <v>96.420789912510799</v>
      </c>
      <c r="BM38">
        <v>96.493358635424897</v>
      </c>
      <c r="BN38">
        <v>96.541356326781298</v>
      </c>
      <c r="BO38">
        <v>96.604986129138865</v>
      </c>
      <c r="BP38">
        <v>96.662446114798357</v>
      </c>
      <c r="BQ38">
        <v>96.718702790739727</v>
      </c>
      <c r="BR38">
        <v>96.772100175923555</v>
      </c>
      <c r="BS38">
        <v>96.832275692327968</v>
      </c>
      <c r="BT38">
        <v>96.903073589177168</v>
      </c>
      <c r="BU38">
        <v>96.965495819658727</v>
      </c>
      <c r="BV38">
        <v>97.035278321115342</v>
      </c>
      <c r="BW38">
        <v>97.108627923566431</v>
      </c>
      <c r="BX38">
        <v>97.175004218756683</v>
      </c>
      <c r="BY38">
        <v>97.228981158301991</v>
      </c>
      <c r="BZ38">
        <v>97.294347650533808</v>
      </c>
      <c r="CA38">
        <v>97.352733730644545</v>
      </c>
      <c r="CB38">
        <v>97.413034868235698</v>
      </c>
      <c r="CC38">
        <v>97.485725773430815</v>
      </c>
      <c r="CD38">
        <v>97.549277890232375</v>
      </c>
      <c r="CE38">
        <v>97.613384673986587</v>
      </c>
      <c r="CF38">
        <v>97.67465511973208</v>
      </c>
      <c r="CG38">
        <v>97.745159235340182</v>
      </c>
      <c r="CH38">
        <v>97.828759245661232</v>
      </c>
      <c r="CI38">
        <v>97.890061962370197</v>
      </c>
      <c r="CJ38">
        <v>97.95860323612672</v>
      </c>
      <c r="CK38">
        <v>98.047992003813675</v>
      </c>
      <c r="CL38">
        <v>98.108331367627798</v>
      </c>
      <c r="CM38">
        <v>98.183622608074657</v>
      </c>
      <c r="CN38">
        <v>98.258611182715342</v>
      </c>
      <c r="CO38">
        <v>98.321598110439112</v>
      </c>
      <c r="CP38">
        <v>98.391700037947743</v>
      </c>
      <c r="CQ38">
        <v>98.453869501036209</v>
      </c>
      <c r="CR38">
        <v>98.517931992082708</v>
      </c>
      <c r="CS38">
        <v>98.575762104995349</v>
      </c>
      <c r="CT38">
        <v>98.644667554246183</v>
      </c>
      <c r="CU38">
        <v>98.717115535307059</v>
      </c>
      <c r="CV38">
        <v>98.804844185508514</v>
      </c>
      <c r="CW38">
        <v>98.888046003220694</v>
      </c>
      <c r="CX38">
        <v>98.940130857510766</v>
      </c>
      <c r="CY38">
        <v>99.036456402026545</v>
      </c>
      <c r="CZ38">
        <v>99.116417630837844</v>
      </c>
      <c r="DA38">
        <v>99.228358384692569</v>
      </c>
      <c r="DB38">
        <v>99.314790109955396</v>
      </c>
      <c r="DC38">
        <v>99.391437218124096</v>
      </c>
      <c r="DD38">
        <v>99.473049567082739</v>
      </c>
      <c r="DE38">
        <v>99.556078601054011</v>
      </c>
      <c r="DF38">
        <v>99.638599315865704</v>
      </c>
      <c r="DG38">
        <v>99.730693758409771</v>
      </c>
      <c r="DH38">
        <v>99.796915122696205</v>
      </c>
      <c r="DI38">
        <v>99.882656160826841</v>
      </c>
      <c r="DJ38">
        <v>99.97357794866565</v>
      </c>
      <c r="DK38">
        <v>100.06372274078808</v>
      </c>
      <c r="DL38">
        <v>100.13516527963453</v>
      </c>
      <c r="DM38">
        <v>100.22988538484213</v>
      </c>
      <c r="DN38">
        <v>100.32545881614888</v>
      </c>
      <c r="DO38">
        <v>100.39994680207496</v>
      </c>
      <c r="DP38">
        <v>100.47530767088824</v>
      </c>
      <c r="DQ38">
        <v>100.60393279578641</v>
      </c>
      <c r="DR38">
        <v>100.68694065018059</v>
      </c>
      <c r="DS38">
        <v>100.76201331359925</v>
      </c>
      <c r="DT38">
        <v>100.85661792383544</v>
      </c>
      <c r="DU38">
        <v>100.92064916676107</v>
      </c>
      <c r="DV38">
        <v>101.01247911797954</v>
      </c>
      <c r="DW38">
        <v>101.10574996893121</v>
      </c>
      <c r="DX38">
        <v>101.2230685895337</v>
      </c>
      <c r="DY38">
        <v>101.35650157130034</v>
      </c>
      <c r="DZ38">
        <v>101.47692348459755</v>
      </c>
      <c r="EA38">
        <v>101.57849638336953</v>
      </c>
      <c r="EB38">
        <v>101.67820618123996</v>
      </c>
      <c r="EC38">
        <v>101.81023499352291</v>
      </c>
      <c r="ED38">
        <v>101.93166859147182</v>
      </c>
      <c r="EE38">
        <v>102.04119740336017</v>
      </c>
      <c r="EF38">
        <v>102.13294500069317</v>
      </c>
      <c r="EG38">
        <v>102.2335650866587</v>
      </c>
      <c r="EH38">
        <v>102.33447530966828</v>
      </c>
      <c r="EI38">
        <v>102.45370281847701</v>
      </c>
      <c r="EJ38">
        <v>102.56083182993078</v>
      </c>
      <c r="EK38">
        <v>102.67773125143495</v>
      </c>
      <c r="EL38">
        <v>102.8043233735599</v>
      </c>
      <c r="EM38">
        <v>102.92589511161998</v>
      </c>
      <c r="EN38">
        <v>103.08587239847067</v>
      </c>
      <c r="EO38">
        <v>103.22796503262703</v>
      </c>
      <c r="EP38">
        <v>103.36171431782221</v>
      </c>
      <c r="EQ38">
        <v>103.5193570183677</v>
      </c>
      <c r="ER38">
        <v>103.63510802024858</v>
      </c>
      <c r="ES38">
        <v>103.77370419502618</v>
      </c>
      <c r="ET38">
        <v>103.90045665522396</v>
      </c>
      <c r="EU38">
        <v>104.09113728432449</v>
      </c>
      <c r="EV38">
        <v>104.26198158156704</v>
      </c>
      <c r="EW38">
        <v>104.41594572787436</v>
      </c>
      <c r="EX38">
        <v>104.57068883287536</v>
      </c>
      <c r="EY38">
        <v>104.73917119837114</v>
      </c>
      <c r="EZ38">
        <v>104.90852327845188</v>
      </c>
      <c r="FA38">
        <v>105.05435459238116</v>
      </c>
      <c r="FB38">
        <v>105.2870119788839</v>
      </c>
      <c r="FC38">
        <v>105.46001286409826</v>
      </c>
      <c r="FD38">
        <v>105.61806373648515</v>
      </c>
      <c r="FE38">
        <v>105.79404742217015</v>
      </c>
      <c r="FF38">
        <v>105.93744212521617</v>
      </c>
      <c r="FG38">
        <v>106.16294611182319</v>
      </c>
      <c r="FH38">
        <v>106.35222295100378</v>
      </c>
      <c r="FI38">
        <v>106.56768441673881</v>
      </c>
      <c r="FJ38">
        <v>106.77641800999432</v>
      </c>
      <c r="FK38">
        <v>107.00980615879489</v>
      </c>
      <c r="FL38">
        <v>107.18965188113567</v>
      </c>
      <c r="FM38">
        <v>107.41435005201475</v>
      </c>
      <c r="FN38">
        <v>107.6892392771598</v>
      </c>
      <c r="FO38">
        <v>107.93899943157952</v>
      </c>
      <c r="FP38">
        <v>108.25318536331316</v>
      </c>
      <c r="FQ38">
        <v>108.53925090778404</v>
      </c>
      <c r="FR38">
        <v>108.81526127373584</v>
      </c>
      <c r="FS38">
        <v>109.15632662175416</v>
      </c>
      <c r="FT38">
        <v>109.42278204377611</v>
      </c>
      <c r="FU38">
        <v>109.779947063921</v>
      </c>
      <c r="FV38">
        <v>110.03477349257371</v>
      </c>
      <c r="FW38">
        <v>110.38938381603627</v>
      </c>
      <c r="FX38">
        <v>110.80761947644625</v>
      </c>
      <c r="FY38">
        <v>111.22164715752524</v>
      </c>
      <c r="FZ38">
        <v>111.65899509950606</v>
      </c>
      <c r="GA38">
        <v>112.02716204500059</v>
      </c>
      <c r="GB38">
        <v>112.50276737697685</v>
      </c>
      <c r="GC38">
        <v>112.90855698296333</v>
      </c>
      <c r="GD38">
        <v>113.3546068916888</v>
      </c>
      <c r="GE38">
        <v>113.85929629517722</v>
      </c>
      <c r="GF38">
        <v>114.48455807630916</v>
      </c>
      <c r="GG38">
        <v>115.08049837753653</v>
      </c>
      <c r="GH38">
        <v>115.80315795355905</v>
      </c>
      <c r="GI38">
        <v>116.3860237072773</v>
      </c>
      <c r="GJ38">
        <v>117.27276245048319</v>
      </c>
      <c r="GK38">
        <v>118.27718196814646</v>
      </c>
      <c r="GL38">
        <v>119.64549253867237</v>
      </c>
      <c r="GM38">
        <v>121.0149169843947</v>
      </c>
      <c r="GN38">
        <v>122.74252953570452</v>
      </c>
      <c r="GO38">
        <v>124.70196424478635</v>
      </c>
      <c r="GP38">
        <v>127.67703938089713</v>
      </c>
      <c r="GQ38">
        <v>134.41337930486307</v>
      </c>
      <c r="GR38">
        <v>100.72345402859231</v>
      </c>
      <c r="GT38" s="8">
        <v>45345</v>
      </c>
      <c r="GU38">
        <v>122.09667899999999</v>
      </c>
    </row>
    <row r="39" spans="1:203" x14ac:dyDescent="0.45">
      <c r="A39">
        <v>88.437111929109335</v>
      </c>
      <c r="B39">
        <v>89.42580755472774</v>
      </c>
      <c r="C39">
        <v>89.961711658575823</v>
      </c>
      <c r="D39">
        <v>90.324730027370805</v>
      </c>
      <c r="E39">
        <v>90.702790320825741</v>
      </c>
      <c r="F39">
        <v>90.999885468695567</v>
      </c>
      <c r="G39">
        <v>91.231915897646559</v>
      </c>
      <c r="H39">
        <v>91.478832916452191</v>
      </c>
      <c r="I39">
        <v>91.717889673428743</v>
      </c>
      <c r="J39">
        <v>91.895669801989783</v>
      </c>
      <c r="K39">
        <v>92.061224052159417</v>
      </c>
      <c r="L39">
        <v>92.192249841961043</v>
      </c>
      <c r="M39">
        <v>92.374570755235894</v>
      </c>
      <c r="N39">
        <v>92.507772182876579</v>
      </c>
      <c r="O39">
        <v>92.646761433565615</v>
      </c>
      <c r="P39">
        <v>92.784860627235375</v>
      </c>
      <c r="Q39">
        <v>92.888307684013412</v>
      </c>
      <c r="R39">
        <v>92.996198211860019</v>
      </c>
      <c r="S39">
        <v>93.105180936053259</v>
      </c>
      <c r="T39">
        <v>93.189481278053051</v>
      </c>
      <c r="U39">
        <v>93.3206718459233</v>
      </c>
      <c r="V39">
        <v>93.412580787970413</v>
      </c>
      <c r="W39">
        <v>93.491004096304252</v>
      </c>
      <c r="X39">
        <v>93.590530625701305</v>
      </c>
      <c r="Y39">
        <v>93.678356333631157</v>
      </c>
      <c r="Z39">
        <v>93.773404374184707</v>
      </c>
      <c r="AA39">
        <v>93.85677463768647</v>
      </c>
      <c r="AB39">
        <v>93.945270915413701</v>
      </c>
      <c r="AC39">
        <v>94.030784977021852</v>
      </c>
      <c r="AD39">
        <v>94.116105433218237</v>
      </c>
      <c r="AE39">
        <v>94.196870446910026</v>
      </c>
      <c r="AF39">
        <v>94.265627664267086</v>
      </c>
      <c r="AG39">
        <v>94.324806506345027</v>
      </c>
      <c r="AH39">
        <v>94.403249803038449</v>
      </c>
      <c r="AI39">
        <v>94.484513836483842</v>
      </c>
      <c r="AJ39">
        <v>94.562413478400387</v>
      </c>
      <c r="AK39">
        <v>94.62830929981304</v>
      </c>
      <c r="AL39">
        <v>94.693247193903005</v>
      </c>
      <c r="AM39">
        <v>94.77145308547918</v>
      </c>
      <c r="AN39">
        <v>94.838324723264762</v>
      </c>
      <c r="AO39">
        <v>94.916679769381432</v>
      </c>
      <c r="AP39">
        <v>94.977021568004091</v>
      </c>
      <c r="AQ39">
        <v>95.033171897093482</v>
      </c>
      <c r="AR39">
        <v>95.095455792615439</v>
      </c>
      <c r="AS39">
        <v>95.159075427681501</v>
      </c>
      <c r="AT39">
        <v>95.214082971463839</v>
      </c>
      <c r="AU39">
        <v>95.266429580041816</v>
      </c>
      <c r="AV39">
        <v>95.323550547191076</v>
      </c>
      <c r="AW39">
        <v>95.375829464022402</v>
      </c>
      <c r="AX39">
        <v>95.443891024111096</v>
      </c>
      <c r="AY39">
        <v>95.509608343123602</v>
      </c>
      <c r="AZ39">
        <v>95.556791708538384</v>
      </c>
      <c r="BA39">
        <v>95.612814549120145</v>
      </c>
      <c r="BB39">
        <v>95.681813049072815</v>
      </c>
      <c r="BC39">
        <v>95.755169506340607</v>
      </c>
      <c r="BD39">
        <v>95.821767467533505</v>
      </c>
      <c r="BE39">
        <v>95.879199847129911</v>
      </c>
      <c r="BF39">
        <v>95.952043409432179</v>
      </c>
      <c r="BG39">
        <v>96.020311705245675</v>
      </c>
      <c r="BH39">
        <v>96.081642509925402</v>
      </c>
      <c r="BI39">
        <v>96.157888833095313</v>
      </c>
      <c r="BJ39">
        <v>96.219534417683974</v>
      </c>
      <c r="BK39">
        <v>96.279766026450275</v>
      </c>
      <c r="BL39">
        <v>96.338532936443372</v>
      </c>
      <c r="BM39">
        <v>96.429721713100804</v>
      </c>
      <c r="BN39">
        <v>96.494390916898411</v>
      </c>
      <c r="BO39">
        <v>96.557958894437931</v>
      </c>
      <c r="BP39">
        <v>96.62835719115337</v>
      </c>
      <c r="BQ39">
        <v>96.69905262247714</v>
      </c>
      <c r="BR39">
        <v>96.768037151958495</v>
      </c>
      <c r="BS39">
        <v>96.830294775729371</v>
      </c>
      <c r="BT39">
        <v>96.884513641826985</v>
      </c>
      <c r="BU39">
        <v>96.951000628250895</v>
      </c>
      <c r="BV39">
        <v>97.010345559284559</v>
      </c>
      <c r="BW39">
        <v>97.077579726926274</v>
      </c>
      <c r="BX39">
        <v>97.152194910129097</v>
      </c>
      <c r="BY39">
        <v>97.216295653035019</v>
      </c>
      <c r="BZ39">
        <v>97.277749352397905</v>
      </c>
      <c r="CA39">
        <v>97.351911296026998</v>
      </c>
      <c r="CB39">
        <v>97.400408168776494</v>
      </c>
      <c r="CC39">
        <v>97.461186769113198</v>
      </c>
      <c r="CD39">
        <v>97.516414257972144</v>
      </c>
      <c r="CE39">
        <v>97.596607486622233</v>
      </c>
      <c r="CF39">
        <v>97.682363995166213</v>
      </c>
      <c r="CG39">
        <v>97.733014997872218</v>
      </c>
      <c r="CH39">
        <v>97.801153752506977</v>
      </c>
      <c r="CI39">
        <v>97.863444372079258</v>
      </c>
      <c r="CJ39">
        <v>97.93955596169701</v>
      </c>
      <c r="CK39">
        <v>98.016156784283496</v>
      </c>
      <c r="CL39">
        <v>98.07447251050975</v>
      </c>
      <c r="CM39">
        <v>98.164315391849257</v>
      </c>
      <c r="CN39">
        <v>98.237400142815446</v>
      </c>
      <c r="CO39">
        <v>98.302861980942964</v>
      </c>
      <c r="CP39">
        <v>98.369948320040876</v>
      </c>
      <c r="CQ39">
        <v>98.441046074285964</v>
      </c>
      <c r="CR39">
        <v>98.499720429942101</v>
      </c>
      <c r="CS39">
        <v>98.566787373979054</v>
      </c>
      <c r="CT39">
        <v>98.652586318704536</v>
      </c>
      <c r="CU39">
        <v>98.731485940351845</v>
      </c>
      <c r="CV39">
        <v>98.804151290591619</v>
      </c>
      <c r="CW39">
        <v>98.894798111479446</v>
      </c>
      <c r="CX39">
        <v>98.960677341073037</v>
      </c>
      <c r="CY39">
        <v>99.052098569214181</v>
      </c>
      <c r="CZ39">
        <v>99.112411052323367</v>
      </c>
      <c r="DA39">
        <v>99.191452468605291</v>
      </c>
      <c r="DB39">
        <v>99.277481583840498</v>
      </c>
      <c r="DC39">
        <v>99.365241707276638</v>
      </c>
      <c r="DD39">
        <v>99.438319781653547</v>
      </c>
      <c r="DE39">
        <v>99.510910417999298</v>
      </c>
      <c r="DF39">
        <v>99.608182321102348</v>
      </c>
      <c r="DG39">
        <v>99.68977640230014</v>
      </c>
      <c r="DH39">
        <v>99.761528157406161</v>
      </c>
      <c r="DI39">
        <v>99.849192378677643</v>
      </c>
      <c r="DJ39">
        <v>99.950166108012652</v>
      </c>
      <c r="DK39">
        <v>100.04285588798048</v>
      </c>
      <c r="DL39">
        <v>100.12975417095244</v>
      </c>
      <c r="DM39">
        <v>100.21681670567172</v>
      </c>
      <c r="DN39">
        <v>100.29903882263133</v>
      </c>
      <c r="DO39">
        <v>100.40114970287847</v>
      </c>
      <c r="DP39">
        <v>100.50060629678288</v>
      </c>
      <c r="DQ39">
        <v>100.58333211350467</v>
      </c>
      <c r="DR39">
        <v>100.67219209316167</v>
      </c>
      <c r="DS39">
        <v>100.74943592365946</v>
      </c>
      <c r="DT39">
        <v>100.85528181860306</v>
      </c>
      <c r="DU39">
        <v>100.96238791002649</v>
      </c>
      <c r="DV39">
        <v>101.07771157796805</v>
      </c>
      <c r="DW39">
        <v>101.1908807244273</v>
      </c>
      <c r="DX39">
        <v>101.29043197936574</v>
      </c>
      <c r="DY39">
        <v>101.39180293980829</v>
      </c>
      <c r="DZ39">
        <v>101.50961006520748</v>
      </c>
      <c r="EA39">
        <v>101.60532215542254</v>
      </c>
      <c r="EB39">
        <v>101.74800334854433</v>
      </c>
      <c r="EC39">
        <v>101.8545603852188</v>
      </c>
      <c r="ED39">
        <v>101.95599458169056</v>
      </c>
      <c r="EE39">
        <v>102.05585045402091</v>
      </c>
      <c r="EF39">
        <v>102.16918296538427</v>
      </c>
      <c r="EG39">
        <v>102.30763150528286</v>
      </c>
      <c r="EH39">
        <v>102.41044464070967</v>
      </c>
      <c r="EI39">
        <v>102.50048895875004</v>
      </c>
      <c r="EJ39">
        <v>102.6134660590337</v>
      </c>
      <c r="EK39">
        <v>102.75258307112804</v>
      </c>
      <c r="EL39">
        <v>102.90373989851022</v>
      </c>
      <c r="EM39">
        <v>103.03237131175564</v>
      </c>
      <c r="EN39">
        <v>103.14657923479153</v>
      </c>
      <c r="EO39">
        <v>103.27614179886342</v>
      </c>
      <c r="EP39">
        <v>103.42148262851113</v>
      </c>
      <c r="EQ39">
        <v>103.5795007283897</v>
      </c>
      <c r="ER39">
        <v>103.74528620332295</v>
      </c>
      <c r="ES39">
        <v>103.86060884472526</v>
      </c>
      <c r="ET39">
        <v>103.98549393440058</v>
      </c>
      <c r="EU39">
        <v>104.12446764514679</v>
      </c>
      <c r="EV39">
        <v>104.27290658163251</v>
      </c>
      <c r="EW39">
        <v>104.42948951968039</v>
      </c>
      <c r="EX39">
        <v>104.58083701645114</v>
      </c>
      <c r="EY39">
        <v>104.73978883392037</v>
      </c>
      <c r="EZ39">
        <v>104.8958184395978</v>
      </c>
      <c r="FA39">
        <v>105.11583557725695</v>
      </c>
      <c r="FB39">
        <v>105.30367307438121</v>
      </c>
      <c r="FC39">
        <v>105.50730902905354</v>
      </c>
      <c r="FD39">
        <v>105.7261474277532</v>
      </c>
      <c r="FE39">
        <v>105.88628072362094</v>
      </c>
      <c r="FF39">
        <v>106.07296854169304</v>
      </c>
      <c r="FG39">
        <v>106.26944314914607</v>
      </c>
      <c r="FH39">
        <v>106.44722080225135</v>
      </c>
      <c r="FI39">
        <v>106.69328926954167</v>
      </c>
      <c r="FJ39">
        <v>106.83586822027705</v>
      </c>
      <c r="FK39">
        <v>107.05039960806421</v>
      </c>
      <c r="FL39">
        <v>107.2798591405536</v>
      </c>
      <c r="FM39">
        <v>107.52417701444209</v>
      </c>
      <c r="FN39">
        <v>107.78160777260906</v>
      </c>
      <c r="FO39">
        <v>108.03794890916328</v>
      </c>
      <c r="FP39">
        <v>108.28916492056874</v>
      </c>
      <c r="FQ39">
        <v>108.60602294299773</v>
      </c>
      <c r="FR39">
        <v>108.86966883299257</v>
      </c>
      <c r="FS39">
        <v>109.14200619554302</v>
      </c>
      <c r="FT39">
        <v>109.44674956078497</v>
      </c>
      <c r="FU39">
        <v>109.85108833708095</v>
      </c>
      <c r="FV39">
        <v>110.18862404260139</v>
      </c>
      <c r="FW39">
        <v>110.49524713771794</v>
      </c>
      <c r="FX39">
        <v>110.903326613137</v>
      </c>
      <c r="FY39">
        <v>111.26602077139289</v>
      </c>
      <c r="FZ39">
        <v>111.70437806940977</v>
      </c>
      <c r="GA39">
        <v>112.01689573798575</v>
      </c>
      <c r="GB39">
        <v>112.51012316346997</v>
      </c>
      <c r="GC39">
        <v>112.94209312137293</v>
      </c>
      <c r="GD39">
        <v>113.39622022565672</v>
      </c>
      <c r="GE39">
        <v>113.94602718528746</v>
      </c>
      <c r="GF39">
        <v>114.68460876228581</v>
      </c>
      <c r="GG39">
        <v>115.31361646518461</v>
      </c>
      <c r="GH39">
        <v>115.86880631713144</v>
      </c>
      <c r="GI39">
        <v>116.75985263628425</v>
      </c>
      <c r="GJ39">
        <v>117.60429598762599</v>
      </c>
      <c r="GK39">
        <v>119.07809533172613</v>
      </c>
      <c r="GL39">
        <v>120.23272837766753</v>
      </c>
      <c r="GM39">
        <v>121.46178391104839</v>
      </c>
      <c r="GN39">
        <v>123.04192763688481</v>
      </c>
      <c r="GO39">
        <v>125.22583441244731</v>
      </c>
      <c r="GP39">
        <v>128.74378987416745</v>
      </c>
      <c r="GQ39">
        <v>135.05687305921518</v>
      </c>
      <c r="GR39">
        <v>100.7478094486134</v>
      </c>
      <c r="GT39" s="8">
        <v>45348</v>
      </c>
      <c r="GU39">
        <v>123.243351</v>
      </c>
    </row>
    <row r="40" spans="1:203" x14ac:dyDescent="0.45">
      <c r="A40">
        <v>88.363041162130955</v>
      </c>
      <c r="B40">
        <v>89.312517493956491</v>
      </c>
      <c r="C40">
        <v>89.909818949715401</v>
      </c>
      <c r="D40">
        <v>90.178077347594652</v>
      </c>
      <c r="E40">
        <v>90.506939763282091</v>
      </c>
      <c r="F40">
        <v>90.893199201080662</v>
      </c>
      <c r="G40">
        <v>91.14157054286504</v>
      </c>
      <c r="H40">
        <v>91.392681618060777</v>
      </c>
      <c r="I40">
        <v>91.589025030079313</v>
      </c>
      <c r="J40">
        <v>91.788651789256676</v>
      </c>
      <c r="K40">
        <v>91.971168052871022</v>
      </c>
      <c r="L40">
        <v>92.106543469533591</v>
      </c>
      <c r="M40">
        <v>92.284347025497041</v>
      </c>
      <c r="N40">
        <v>92.433002649805118</v>
      </c>
      <c r="O40">
        <v>92.550379548736402</v>
      </c>
      <c r="P40">
        <v>92.663089037709796</v>
      </c>
      <c r="Q40">
        <v>92.781335592149262</v>
      </c>
      <c r="R40">
        <v>92.886512675873959</v>
      </c>
      <c r="S40">
        <v>92.996259762940326</v>
      </c>
      <c r="T40">
        <v>93.121458815252694</v>
      </c>
      <c r="U40">
        <v>93.246949188046216</v>
      </c>
      <c r="V40">
        <v>93.348175878787941</v>
      </c>
      <c r="W40">
        <v>93.417515679120044</v>
      </c>
      <c r="X40">
        <v>93.514779648441504</v>
      </c>
      <c r="Y40">
        <v>93.599265823571216</v>
      </c>
      <c r="Z40">
        <v>93.695307345993058</v>
      </c>
      <c r="AA40">
        <v>93.770831811709144</v>
      </c>
      <c r="AB40">
        <v>93.852941643715809</v>
      </c>
      <c r="AC40">
        <v>93.938678633728074</v>
      </c>
      <c r="AD40">
        <v>94.028795262288412</v>
      </c>
      <c r="AE40">
        <v>94.109738001817206</v>
      </c>
      <c r="AF40">
        <v>94.174875679775255</v>
      </c>
      <c r="AG40">
        <v>94.252022413398706</v>
      </c>
      <c r="AH40">
        <v>94.31352178710506</v>
      </c>
      <c r="AI40">
        <v>94.392492702431923</v>
      </c>
      <c r="AJ40">
        <v>94.452104010724454</v>
      </c>
      <c r="AK40">
        <v>94.553403592238965</v>
      </c>
      <c r="AL40">
        <v>94.623354291602183</v>
      </c>
      <c r="AM40">
        <v>94.692550521434072</v>
      </c>
      <c r="AN40">
        <v>94.749828317708094</v>
      </c>
      <c r="AO40">
        <v>94.817646428198032</v>
      </c>
      <c r="AP40">
        <v>94.884226321740087</v>
      </c>
      <c r="AQ40">
        <v>94.952618462045379</v>
      </c>
      <c r="AR40">
        <v>95.01398513723521</v>
      </c>
      <c r="AS40">
        <v>95.080220326924504</v>
      </c>
      <c r="AT40">
        <v>95.159315486465459</v>
      </c>
      <c r="AU40">
        <v>95.218127792789176</v>
      </c>
      <c r="AV40">
        <v>95.273328081505525</v>
      </c>
      <c r="AW40">
        <v>95.347053922007774</v>
      </c>
      <c r="AX40">
        <v>95.404744401198755</v>
      </c>
      <c r="AY40">
        <v>95.475037663645409</v>
      </c>
      <c r="AZ40">
        <v>95.552648073450527</v>
      </c>
      <c r="BA40">
        <v>95.623850793147994</v>
      </c>
      <c r="BB40">
        <v>95.682806959999681</v>
      </c>
      <c r="BC40">
        <v>95.758793261360566</v>
      </c>
      <c r="BD40">
        <v>95.816951824787694</v>
      </c>
      <c r="BE40">
        <v>95.867588992283544</v>
      </c>
      <c r="BF40">
        <v>95.941528793756945</v>
      </c>
      <c r="BG40">
        <v>96.014406404528657</v>
      </c>
      <c r="BH40">
        <v>96.064036108139021</v>
      </c>
      <c r="BI40">
        <v>96.141782254526618</v>
      </c>
      <c r="BJ40">
        <v>96.211246605061348</v>
      </c>
      <c r="BK40">
        <v>96.274724054502201</v>
      </c>
      <c r="BL40">
        <v>96.328208677246749</v>
      </c>
      <c r="BM40">
        <v>96.384799895093622</v>
      </c>
      <c r="BN40">
        <v>96.440346353740907</v>
      </c>
      <c r="BO40">
        <v>96.490440790667094</v>
      </c>
      <c r="BP40">
        <v>96.529645718970556</v>
      </c>
      <c r="BQ40">
        <v>96.578180376919448</v>
      </c>
      <c r="BR40">
        <v>96.656065011496594</v>
      </c>
      <c r="BS40">
        <v>96.709704106118721</v>
      </c>
      <c r="BT40">
        <v>96.787490850664227</v>
      </c>
      <c r="BU40">
        <v>96.849410382256337</v>
      </c>
      <c r="BV40">
        <v>96.919861928414761</v>
      </c>
      <c r="BW40">
        <v>96.985698905278468</v>
      </c>
      <c r="BX40">
        <v>97.062543451169518</v>
      </c>
      <c r="BY40">
        <v>97.140479351090391</v>
      </c>
      <c r="BZ40">
        <v>97.202730672101978</v>
      </c>
      <c r="CA40">
        <v>97.263334368030911</v>
      </c>
      <c r="CB40">
        <v>97.356788338157585</v>
      </c>
      <c r="CC40">
        <v>97.438525720837731</v>
      </c>
      <c r="CD40">
        <v>97.502555802564942</v>
      </c>
      <c r="CE40">
        <v>97.563229427515267</v>
      </c>
      <c r="CF40">
        <v>97.642477902755076</v>
      </c>
      <c r="CG40">
        <v>97.712783508028593</v>
      </c>
      <c r="CH40">
        <v>97.792295156308157</v>
      </c>
      <c r="CI40">
        <v>97.860433432910142</v>
      </c>
      <c r="CJ40">
        <v>97.920129489061765</v>
      </c>
      <c r="CK40">
        <v>97.985185603760357</v>
      </c>
      <c r="CL40">
        <v>98.063141002849548</v>
      </c>
      <c r="CM40">
        <v>98.134866646715963</v>
      </c>
      <c r="CN40">
        <v>98.196733976939939</v>
      </c>
      <c r="CO40">
        <v>98.267289903303933</v>
      </c>
      <c r="CP40">
        <v>98.339318917786983</v>
      </c>
      <c r="CQ40">
        <v>98.411623118110867</v>
      </c>
      <c r="CR40">
        <v>98.49705260387185</v>
      </c>
      <c r="CS40">
        <v>98.573847821578596</v>
      </c>
      <c r="CT40">
        <v>98.652791778850059</v>
      </c>
      <c r="CU40">
        <v>98.73449974784711</v>
      </c>
      <c r="CV40">
        <v>98.815852288562169</v>
      </c>
      <c r="CW40">
        <v>98.884454151760139</v>
      </c>
      <c r="CX40">
        <v>98.957395459759141</v>
      </c>
      <c r="CY40">
        <v>99.034493305507041</v>
      </c>
      <c r="CZ40">
        <v>99.116652495372904</v>
      </c>
      <c r="DA40">
        <v>99.227689357589995</v>
      </c>
      <c r="DB40">
        <v>99.305505132817245</v>
      </c>
      <c r="DC40">
        <v>99.372448198891149</v>
      </c>
      <c r="DD40">
        <v>99.433150316251286</v>
      </c>
      <c r="DE40">
        <v>99.521479274492435</v>
      </c>
      <c r="DF40">
        <v>99.613496305638435</v>
      </c>
      <c r="DG40">
        <v>99.701374919280184</v>
      </c>
      <c r="DH40">
        <v>99.785522008205831</v>
      </c>
      <c r="DI40">
        <v>99.847872338080492</v>
      </c>
      <c r="DJ40">
        <v>99.950739087424552</v>
      </c>
      <c r="DK40">
        <v>100.04399960817013</v>
      </c>
      <c r="DL40">
        <v>100.12258996981829</v>
      </c>
      <c r="DM40">
        <v>100.18862766899993</v>
      </c>
      <c r="DN40">
        <v>100.26977889865969</v>
      </c>
      <c r="DO40">
        <v>100.36052231300532</v>
      </c>
      <c r="DP40">
        <v>100.46187783181958</v>
      </c>
      <c r="DQ40">
        <v>100.57958435358557</v>
      </c>
      <c r="DR40">
        <v>100.66843983578468</v>
      </c>
      <c r="DS40">
        <v>100.76574460299639</v>
      </c>
      <c r="DT40">
        <v>100.86814790205071</v>
      </c>
      <c r="DU40">
        <v>100.9591561902851</v>
      </c>
      <c r="DV40">
        <v>101.04781361747612</v>
      </c>
      <c r="DW40">
        <v>101.15017601698091</v>
      </c>
      <c r="DX40">
        <v>101.28657739082473</v>
      </c>
      <c r="DY40">
        <v>101.3921524271055</v>
      </c>
      <c r="DZ40">
        <v>101.49001620692279</v>
      </c>
      <c r="EA40">
        <v>101.58934757145242</v>
      </c>
      <c r="EB40">
        <v>101.70579679537502</v>
      </c>
      <c r="EC40">
        <v>101.83915630688158</v>
      </c>
      <c r="ED40">
        <v>101.95628466253095</v>
      </c>
      <c r="EE40">
        <v>102.08289463678265</v>
      </c>
      <c r="EF40">
        <v>102.19542923313338</v>
      </c>
      <c r="EG40">
        <v>102.31932898225847</v>
      </c>
      <c r="EH40">
        <v>102.42656493151935</v>
      </c>
      <c r="EI40">
        <v>102.55979374329922</v>
      </c>
      <c r="EJ40">
        <v>102.7008382595813</v>
      </c>
      <c r="EK40">
        <v>102.81131038244332</v>
      </c>
      <c r="EL40">
        <v>102.94018869579492</v>
      </c>
      <c r="EM40">
        <v>103.07745626800819</v>
      </c>
      <c r="EN40">
        <v>103.22276724506635</v>
      </c>
      <c r="EO40">
        <v>103.35366279021943</v>
      </c>
      <c r="EP40">
        <v>103.48774161384101</v>
      </c>
      <c r="EQ40">
        <v>103.63344784321323</v>
      </c>
      <c r="ER40">
        <v>103.77850567688616</v>
      </c>
      <c r="ES40">
        <v>103.93697723921835</v>
      </c>
      <c r="ET40">
        <v>104.08446426494763</v>
      </c>
      <c r="EU40">
        <v>104.21523334136448</v>
      </c>
      <c r="EV40">
        <v>104.33957744552117</v>
      </c>
      <c r="EW40">
        <v>104.51115403238005</v>
      </c>
      <c r="EX40">
        <v>104.66752785749608</v>
      </c>
      <c r="EY40">
        <v>104.82520790068193</v>
      </c>
      <c r="EZ40">
        <v>105.02547758782845</v>
      </c>
      <c r="FA40">
        <v>105.19539939198437</v>
      </c>
      <c r="FB40">
        <v>105.35964606543257</v>
      </c>
      <c r="FC40">
        <v>105.58492915739275</v>
      </c>
      <c r="FD40">
        <v>105.74943400260744</v>
      </c>
      <c r="FE40">
        <v>105.94840150049227</v>
      </c>
      <c r="FF40">
        <v>106.08913556125054</v>
      </c>
      <c r="FG40">
        <v>106.31137606600863</v>
      </c>
      <c r="FH40">
        <v>106.50817347678461</v>
      </c>
      <c r="FI40">
        <v>106.74666344515207</v>
      </c>
      <c r="FJ40">
        <v>106.97467278019938</v>
      </c>
      <c r="FK40">
        <v>107.12731366173155</v>
      </c>
      <c r="FL40">
        <v>107.34666953280079</v>
      </c>
      <c r="FM40">
        <v>107.61587067027938</v>
      </c>
      <c r="FN40">
        <v>107.86816898818961</v>
      </c>
      <c r="FO40">
        <v>108.12110936674469</v>
      </c>
      <c r="FP40">
        <v>108.38212450147384</v>
      </c>
      <c r="FQ40">
        <v>108.71117314057445</v>
      </c>
      <c r="FR40">
        <v>109.03155105759051</v>
      </c>
      <c r="FS40">
        <v>109.35928702126353</v>
      </c>
      <c r="FT40">
        <v>109.69451365425282</v>
      </c>
      <c r="FU40">
        <v>109.96922708142331</v>
      </c>
      <c r="FV40">
        <v>110.29046728176878</v>
      </c>
      <c r="FW40">
        <v>110.7124211258965</v>
      </c>
      <c r="FX40">
        <v>110.98589438186573</v>
      </c>
      <c r="FY40">
        <v>111.28070820715364</v>
      </c>
      <c r="FZ40">
        <v>111.66709261532189</v>
      </c>
      <c r="GA40">
        <v>112.15118175638126</v>
      </c>
      <c r="GB40">
        <v>112.52055087623542</v>
      </c>
      <c r="GC40">
        <v>112.9638205095857</v>
      </c>
      <c r="GD40">
        <v>113.56876645118111</v>
      </c>
      <c r="GE40">
        <v>114.17642499563939</v>
      </c>
      <c r="GF40">
        <v>114.81779845847338</v>
      </c>
      <c r="GG40">
        <v>115.44559001819964</v>
      </c>
      <c r="GH40">
        <v>116.23000981445217</v>
      </c>
      <c r="GI40">
        <v>116.92811838245028</v>
      </c>
      <c r="GJ40">
        <v>117.89083360739021</v>
      </c>
      <c r="GK40">
        <v>119.03497525171478</v>
      </c>
      <c r="GL40">
        <v>120.29815249673348</v>
      </c>
      <c r="GM40">
        <v>121.55694350475261</v>
      </c>
      <c r="GN40">
        <v>123.23708093432643</v>
      </c>
      <c r="GO40">
        <v>125.41644564248296</v>
      </c>
      <c r="GP40">
        <v>129.07812500914207</v>
      </c>
      <c r="GQ40">
        <v>135.46246270918994</v>
      </c>
      <c r="GR40">
        <v>100.75045848151153</v>
      </c>
      <c r="GT40" s="8">
        <v>45349</v>
      </c>
      <c r="GU40">
        <v>122.622237</v>
      </c>
    </row>
    <row r="41" spans="1:203" x14ac:dyDescent="0.45">
      <c r="A41">
        <v>88.091143696655251</v>
      </c>
      <c r="B41">
        <v>89.232113253448929</v>
      </c>
      <c r="C41">
        <v>89.846198344086858</v>
      </c>
      <c r="D41">
        <v>90.183161196587236</v>
      </c>
      <c r="E41">
        <v>90.518281975418489</v>
      </c>
      <c r="F41">
        <v>90.786658906279243</v>
      </c>
      <c r="G41">
        <v>91.096935781983831</v>
      </c>
      <c r="H41">
        <v>91.29777437471148</v>
      </c>
      <c r="I41">
        <v>91.519726784711651</v>
      </c>
      <c r="J41">
        <v>91.713113930768117</v>
      </c>
      <c r="K41">
        <v>91.913585021698239</v>
      </c>
      <c r="L41">
        <v>92.062523387830041</v>
      </c>
      <c r="M41">
        <v>92.243504133376788</v>
      </c>
      <c r="N41">
        <v>92.337701741435126</v>
      </c>
      <c r="O41">
        <v>92.502026050109421</v>
      </c>
      <c r="P41">
        <v>92.652855448642612</v>
      </c>
      <c r="Q41">
        <v>92.75826365012297</v>
      </c>
      <c r="R41">
        <v>92.852482471039806</v>
      </c>
      <c r="S41">
        <v>92.944441102968369</v>
      </c>
      <c r="T41">
        <v>93.050184888263232</v>
      </c>
      <c r="U41">
        <v>93.1785833547614</v>
      </c>
      <c r="V41">
        <v>93.277095289139353</v>
      </c>
      <c r="W41">
        <v>93.362208985344409</v>
      </c>
      <c r="X41">
        <v>93.458080363386458</v>
      </c>
      <c r="Y41">
        <v>93.550418413564188</v>
      </c>
      <c r="Z41">
        <v>93.642940209908829</v>
      </c>
      <c r="AA41">
        <v>93.720917252008263</v>
      </c>
      <c r="AB41">
        <v>93.796207914702194</v>
      </c>
      <c r="AC41">
        <v>93.881611432343448</v>
      </c>
      <c r="AD41">
        <v>93.966414190470502</v>
      </c>
      <c r="AE41">
        <v>94.043301385743007</v>
      </c>
      <c r="AF41">
        <v>94.118528355014703</v>
      </c>
      <c r="AG41">
        <v>94.186812763801797</v>
      </c>
      <c r="AH41">
        <v>94.27212986210948</v>
      </c>
      <c r="AI41">
        <v>94.315657394125367</v>
      </c>
      <c r="AJ41">
        <v>94.402141017978394</v>
      </c>
      <c r="AK41">
        <v>94.476051357467313</v>
      </c>
      <c r="AL41">
        <v>94.54854024865493</v>
      </c>
      <c r="AM41">
        <v>94.627635721020596</v>
      </c>
      <c r="AN41">
        <v>94.701758710816407</v>
      </c>
      <c r="AO41">
        <v>94.768594190793635</v>
      </c>
      <c r="AP41">
        <v>94.834746169944097</v>
      </c>
      <c r="AQ41">
        <v>94.898416880985494</v>
      </c>
      <c r="AR41">
        <v>94.975183460623484</v>
      </c>
      <c r="AS41">
        <v>95.048840907523058</v>
      </c>
      <c r="AT41">
        <v>95.105721695944311</v>
      </c>
      <c r="AU41">
        <v>95.18100150854076</v>
      </c>
      <c r="AV41">
        <v>95.258258402064882</v>
      </c>
      <c r="AW41">
        <v>95.30171738288972</v>
      </c>
      <c r="AX41">
        <v>95.358103027851939</v>
      </c>
      <c r="AY41">
        <v>95.423923275526988</v>
      </c>
      <c r="AZ41">
        <v>95.491268325539565</v>
      </c>
      <c r="BA41">
        <v>95.558770964877667</v>
      </c>
      <c r="BB41">
        <v>95.617847298495519</v>
      </c>
      <c r="BC41">
        <v>95.670931116983922</v>
      </c>
      <c r="BD41">
        <v>95.744811869706169</v>
      </c>
      <c r="BE41">
        <v>95.810613593714322</v>
      </c>
      <c r="BF41">
        <v>95.889591092566789</v>
      </c>
      <c r="BG41">
        <v>95.950470740262475</v>
      </c>
      <c r="BH41">
        <v>96.023174115137209</v>
      </c>
      <c r="BI41">
        <v>96.093333910827809</v>
      </c>
      <c r="BJ41">
        <v>96.157180500977802</v>
      </c>
      <c r="BK41">
        <v>96.233644966103995</v>
      </c>
      <c r="BL41">
        <v>96.292582145410108</v>
      </c>
      <c r="BM41">
        <v>96.355104045993144</v>
      </c>
      <c r="BN41">
        <v>96.419721652865888</v>
      </c>
      <c r="BO41">
        <v>96.472966865138815</v>
      </c>
      <c r="BP41">
        <v>96.531041917870112</v>
      </c>
      <c r="BQ41">
        <v>96.605198440204589</v>
      </c>
      <c r="BR41">
        <v>96.669763400612553</v>
      </c>
      <c r="BS41">
        <v>96.733694778750888</v>
      </c>
      <c r="BT41">
        <v>96.796579082306124</v>
      </c>
      <c r="BU41">
        <v>96.862566457849624</v>
      </c>
      <c r="BV41">
        <v>96.932926807627624</v>
      </c>
      <c r="BW41">
        <v>96.990576842243115</v>
      </c>
      <c r="BX41">
        <v>97.049387362351723</v>
      </c>
      <c r="BY41">
        <v>97.117704023729758</v>
      </c>
      <c r="BZ41">
        <v>97.168016482525118</v>
      </c>
      <c r="CA41">
        <v>97.235441019432628</v>
      </c>
      <c r="CB41">
        <v>97.309716911605392</v>
      </c>
      <c r="CC41">
        <v>97.39381394444392</v>
      </c>
      <c r="CD41">
        <v>97.451969241548213</v>
      </c>
      <c r="CE41">
        <v>97.515820231591789</v>
      </c>
      <c r="CF41">
        <v>97.582501973755825</v>
      </c>
      <c r="CG41">
        <v>97.647967593446737</v>
      </c>
      <c r="CH41">
        <v>97.737078427674291</v>
      </c>
      <c r="CI41">
        <v>97.807785257836642</v>
      </c>
      <c r="CJ41">
        <v>97.886289291873112</v>
      </c>
      <c r="CK41">
        <v>97.964091850764277</v>
      </c>
      <c r="CL41">
        <v>98.049416101698753</v>
      </c>
      <c r="CM41">
        <v>98.131763627358012</v>
      </c>
      <c r="CN41">
        <v>98.209654945347779</v>
      </c>
      <c r="CO41">
        <v>98.295914920752892</v>
      </c>
      <c r="CP41">
        <v>98.366597016319432</v>
      </c>
      <c r="CQ41">
        <v>98.435863737822103</v>
      </c>
      <c r="CR41">
        <v>98.506513299637419</v>
      </c>
      <c r="CS41">
        <v>98.571664814351834</v>
      </c>
      <c r="CT41">
        <v>98.654983754965059</v>
      </c>
      <c r="CU41">
        <v>98.742703494063036</v>
      </c>
      <c r="CV41">
        <v>98.825782181167824</v>
      </c>
      <c r="CW41">
        <v>98.894281779809603</v>
      </c>
      <c r="CX41">
        <v>98.975212716245267</v>
      </c>
      <c r="CY41">
        <v>99.05835302320493</v>
      </c>
      <c r="CZ41">
        <v>99.134154875417011</v>
      </c>
      <c r="DA41">
        <v>99.201861624456001</v>
      </c>
      <c r="DB41">
        <v>99.287875209071174</v>
      </c>
      <c r="DC41">
        <v>99.373316611387182</v>
      </c>
      <c r="DD41">
        <v>99.463102921722353</v>
      </c>
      <c r="DE41">
        <v>99.533914334005871</v>
      </c>
      <c r="DF41">
        <v>99.622514364131234</v>
      </c>
      <c r="DG41">
        <v>99.705800993154014</v>
      </c>
      <c r="DH41">
        <v>99.772415177993366</v>
      </c>
      <c r="DI41">
        <v>99.842610730380031</v>
      </c>
      <c r="DJ41">
        <v>99.924677443480761</v>
      </c>
      <c r="DK41">
        <v>99.997596715647191</v>
      </c>
      <c r="DL41">
        <v>100.10777827790628</v>
      </c>
      <c r="DM41">
        <v>100.2130077221305</v>
      </c>
      <c r="DN41">
        <v>100.30968949804931</v>
      </c>
      <c r="DO41">
        <v>100.40210205998085</v>
      </c>
      <c r="DP41">
        <v>100.49742717280699</v>
      </c>
      <c r="DQ41">
        <v>100.60231183903768</v>
      </c>
      <c r="DR41">
        <v>100.69780105761218</v>
      </c>
      <c r="DS41">
        <v>100.78963461069033</v>
      </c>
      <c r="DT41">
        <v>100.88714211926933</v>
      </c>
      <c r="DU41">
        <v>101.00385984544839</v>
      </c>
      <c r="DV41">
        <v>101.15029685929761</v>
      </c>
      <c r="DW41">
        <v>101.24900717836483</v>
      </c>
      <c r="DX41">
        <v>101.34939313955945</v>
      </c>
      <c r="DY41">
        <v>101.46172725438059</v>
      </c>
      <c r="DZ41">
        <v>101.57927335712267</v>
      </c>
      <c r="EA41">
        <v>101.72033139863706</v>
      </c>
      <c r="EB41">
        <v>101.84764357702493</v>
      </c>
      <c r="EC41">
        <v>101.96564467725901</v>
      </c>
      <c r="ED41">
        <v>102.04599766873378</v>
      </c>
      <c r="EE41">
        <v>102.1614438417276</v>
      </c>
      <c r="EF41">
        <v>102.30234983843346</v>
      </c>
      <c r="EG41">
        <v>102.437571943964</v>
      </c>
      <c r="EH41">
        <v>102.53911853071361</v>
      </c>
      <c r="EI41">
        <v>102.65547030861158</v>
      </c>
      <c r="EJ41">
        <v>102.77207515315702</v>
      </c>
      <c r="EK41">
        <v>102.90425593648864</v>
      </c>
      <c r="EL41">
        <v>103.01818090853067</v>
      </c>
      <c r="EM41">
        <v>103.14930398598878</v>
      </c>
      <c r="EN41">
        <v>103.26964268855349</v>
      </c>
      <c r="EO41">
        <v>103.39019676209035</v>
      </c>
      <c r="EP41">
        <v>103.50327351610895</v>
      </c>
      <c r="EQ41">
        <v>103.63013780085758</v>
      </c>
      <c r="ER41">
        <v>103.79185322392617</v>
      </c>
      <c r="ES41">
        <v>103.95188887848938</v>
      </c>
      <c r="ET41">
        <v>104.10578329139095</v>
      </c>
      <c r="EU41">
        <v>104.25840269388613</v>
      </c>
      <c r="EV41">
        <v>104.46214407507134</v>
      </c>
      <c r="EW41">
        <v>104.60549354795081</v>
      </c>
      <c r="EX41">
        <v>104.7780198723335</v>
      </c>
      <c r="EY41">
        <v>104.93062980622996</v>
      </c>
      <c r="EZ41">
        <v>105.09156367340493</v>
      </c>
      <c r="FA41">
        <v>105.30827317921417</v>
      </c>
      <c r="FB41">
        <v>105.50931899717889</v>
      </c>
      <c r="FC41">
        <v>105.70038895344487</v>
      </c>
      <c r="FD41">
        <v>105.89699139921163</v>
      </c>
      <c r="FE41">
        <v>106.08551993139803</v>
      </c>
      <c r="FF41">
        <v>106.2836131893843</v>
      </c>
      <c r="FG41">
        <v>106.46952012113152</v>
      </c>
      <c r="FH41">
        <v>106.64969770185972</v>
      </c>
      <c r="FI41">
        <v>106.87091540259037</v>
      </c>
      <c r="FJ41">
        <v>107.11451869056928</v>
      </c>
      <c r="FK41">
        <v>107.32045176431436</v>
      </c>
      <c r="FL41">
        <v>107.54406523438364</v>
      </c>
      <c r="FM41">
        <v>107.79080574040552</v>
      </c>
      <c r="FN41">
        <v>108.0450178052733</v>
      </c>
      <c r="FO41">
        <v>108.27960780224592</v>
      </c>
      <c r="FP41">
        <v>108.5239935810813</v>
      </c>
      <c r="FQ41">
        <v>108.81061839510214</v>
      </c>
      <c r="FR41">
        <v>109.07907830709549</v>
      </c>
      <c r="FS41">
        <v>109.38332114050148</v>
      </c>
      <c r="FT41">
        <v>109.66545728623964</v>
      </c>
      <c r="FU41">
        <v>110.14958600816429</v>
      </c>
      <c r="FV41">
        <v>110.47096203172109</v>
      </c>
      <c r="FW41">
        <v>110.85359388775827</v>
      </c>
      <c r="FX41">
        <v>111.08157336929968</v>
      </c>
      <c r="FY41">
        <v>111.56056052223644</v>
      </c>
      <c r="FZ41">
        <v>111.85288954434533</v>
      </c>
      <c r="GA41">
        <v>112.30729903330847</v>
      </c>
      <c r="GB41">
        <v>112.7976547743654</v>
      </c>
      <c r="GC41">
        <v>113.19308550909506</v>
      </c>
      <c r="GD41">
        <v>113.7020572473177</v>
      </c>
      <c r="GE41">
        <v>114.37748122164574</v>
      </c>
      <c r="GF41">
        <v>114.99545243237486</v>
      </c>
      <c r="GG41">
        <v>115.68205748975562</v>
      </c>
      <c r="GH41">
        <v>116.40794775116905</v>
      </c>
      <c r="GI41">
        <v>117.42438913191739</v>
      </c>
      <c r="GJ41">
        <v>118.4454512645448</v>
      </c>
      <c r="GK41">
        <v>119.38517557896503</v>
      </c>
      <c r="GL41">
        <v>120.65879095998562</v>
      </c>
      <c r="GM41">
        <v>122.12131908342072</v>
      </c>
      <c r="GN41">
        <v>123.81873894145812</v>
      </c>
      <c r="GO41">
        <v>125.97603191629516</v>
      </c>
      <c r="GP41">
        <v>129.61652594545893</v>
      </c>
      <c r="GQ41">
        <v>135.44387391460714</v>
      </c>
      <c r="GR41">
        <v>100.8001621817937</v>
      </c>
      <c r="GT41" s="8">
        <v>45350</v>
      </c>
      <c r="GU41">
        <v>123.912243</v>
      </c>
    </row>
    <row r="42" spans="1:203" x14ac:dyDescent="0.45">
      <c r="A42">
        <v>87.730355381586591</v>
      </c>
      <c r="B42">
        <v>89.010331873799288</v>
      </c>
      <c r="C42">
        <v>89.742386967126862</v>
      </c>
      <c r="D42">
        <v>90.044306913990482</v>
      </c>
      <c r="E42">
        <v>90.382676666235113</v>
      </c>
      <c r="F42">
        <v>90.673510126383093</v>
      </c>
      <c r="G42">
        <v>90.920110252199564</v>
      </c>
      <c r="H42">
        <v>91.175537639476815</v>
      </c>
      <c r="I42">
        <v>91.384769592646776</v>
      </c>
      <c r="J42">
        <v>91.619335248582289</v>
      </c>
      <c r="K42">
        <v>91.818698537227462</v>
      </c>
      <c r="L42">
        <v>91.983469678096625</v>
      </c>
      <c r="M42">
        <v>92.107750011502375</v>
      </c>
      <c r="N42">
        <v>92.241061643008351</v>
      </c>
      <c r="O42">
        <v>92.375169708913759</v>
      </c>
      <c r="P42">
        <v>92.502941652490435</v>
      </c>
      <c r="Q42">
        <v>92.628062351710241</v>
      </c>
      <c r="R42">
        <v>92.783872154238864</v>
      </c>
      <c r="S42">
        <v>92.886967453371255</v>
      </c>
      <c r="T42">
        <v>93.003622037463046</v>
      </c>
      <c r="U42">
        <v>93.104685415590595</v>
      </c>
      <c r="V42">
        <v>93.192741712821046</v>
      </c>
      <c r="W42">
        <v>93.310085348859744</v>
      </c>
      <c r="X42">
        <v>93.383516775476593</v>
      </c>
      <c r="Y42">
        <v>93.471436187734142</v>
      </c>
      <c r="Z42">
        <v>93.5638031867866</v>
      </c>
      <c r="AA42">
        <v>93.634487517413746</v>
      </c>
      <c r="AB42">
        <v>93.739095485365723</v>
      </c>
      <c r="AC42">
        <v>93.8245122331586</v>
      </c>
      <c r="AD42">
        <v>93.913822270165724</v>
      </c>
      <c r="AE42">
        <v>93.983227190931729</v>
      </c>
      <c r="AF42">
        <v>94.051429458536319</v>
      </c>
      <c r="AG42">
        <v>94.118782986861746</v>
      </c>
      <c r="AH42">
        <v>94.17941844467255</v>
      </c>
      <c r="AI42">
        <v>94.264798297635394</v>
      </c>
      <c r="AJ42">
        <v>94.343659657325091</v>
      </c>
      <c r="AK42">
        <v>94.421055762396918</v>
      </c>
      <c r="AL42">
        <v>94.482588481770563</v>
      </c>
      <c r="AM42">
        <v>94.573043844712387</v>
      </c>
      <c r="AN42">
        <v>94.659892653306471</v>
      </c>
      <c r="AO42">
        <v>94.7135271540063</v>
      </c>
      <c r="AP42">
        <v>94.781671005110169</v>
      </c>
      <c r="AQ42">
        <v>94.843185938170421</v>
      </c>
      <c r="AR42">
        <v>94.914123677012583</v>
      </c>
      <c r="AS42">
        <v>94.986740239833878</v>
      </c>
      <c r="AT42">
        <v>95.058782728873638</v>
      </c>
      <c r="AU42">
        <v>95.125196404854606</v>
      </c>
      <c r="AV42">
        <v>95.193265633543376</v>
      </c>
      <c r="AW42">
        <v>95.246382898211692</v>
      </c>
      <c r="AX42">
        <v>95.316861964902657</v>
      </c>
      <c r="AY42">
        <v>95.380592050034679</v>
      </c>
      <c r="AZ42">
        <v>95.463882441011975</v>
      </c>
      <c r="BA42">
        <v>95.515884662398335</v>
      </c>
      <c r="BB42">
        <v>95.569275364963303</v>
      </c>
      <c r="BC42">
        <v>95.63480147067331</v>
      </c>
      <c r="BD42">
        <v>95.70213007571553</v>
      </c>
      <c r="BE42">
        <v>95.766584423889867</v>
      </c>
      <c r="BF42">
        <v>95.829074212404592</v>
      </c>
      <c r="BG42">
        <v>95.907004401306793</v>
      </c>
      <c r="BH42">
        <v>95.96011771753119</v>
      </c>
      <c r="BI42">
        <v>96.021172872585268</v>
      </c>
      <c r="BJ42">
        <v>96.085083053768841</v>
      </c>
      <c r="BK42">
        <v>96.164052656622232</v>
      </c>
      <c r="BL42">
        <v>96.224358165455513</v>
      </c>
      <c r="BM42">
        <v>96.294908693285521</v>
      </c>
      <c r="BN42">
        <v>96.343221218507651</v>
      </c>
      <c r="BO42">
        <v>96.405990921390952</v>
      </c>
      <c r="BP42">
        <v>96.474376976398005</v>
      </c>
      <c r="BQ42">
        <v>96.537064325159903</v>
      </c>
      <c r="BR42">
        <v>96.609568279321451</v>
      </c>
      <c r="BS42">
        <v>96.674454398626054</v>
      </c>
      <c r="BT42">
        <v>96.747904186456935</v>
      </c>
      <c r="BU42">
        <v>96.806539114437058</v>
      </c>
      <c r="BV42">
        <v>96.875177161458069</v>
      </c>
      <c r="BW42">
        <v>96.941902656198991</v>
      </c>
      <c r="BX42">
        <v>96.990296694269006</v>
      </c>
      <c r="BY42">
        <v>97.06474648846131</v>
      </c>
      <c r="BZ42">
        <v>97.120560744454806</v>
      </c>
      <c r="CA42">
        <v>97.177292014115679</v>
      </c>
      <c r="CB42">
        <v>97.25983635495173</v>
      </c>
      <c r="CC42">
        <v>97.343449857352297</v>
      </c>
      <c r="CD42">
        <v>97.408552727580442</v>
      </c>
      <c r="CE42">
        <v>97.480813633472238</v>
      </c>
      <c r="CF42">
        <v>97.552275997717715</v>
      </c>
      <c r="CG42">
        <v>97.618493659642581</v>
      </c>
      <c r="CH42">
        <v>97.693815645384589</v>
      </c>
      <c r="CI42">
        <v>97.769576518516189</v>
      </c>
      <c r="CJ42">
        <v>97.842545859022721</v>
      </c>
      <c r="CK42">
        <v>97.913451319657185</v>
      </c>
      <c r="CL42">
        <v>97.995990129025444</v>
      </c>
      <c r="CM42">
        <v>98.069961315832941</v>
      </c>
      <c r="CN42">
        <v>98.131705675724447</v>
      </c>
      <c r="CO42">
        <v>98.205821288255336</v>
      </c>
      <c r="CP42">
        <v>98.2959414463581</v>
      </c>
      <c r="CQ42">
        <v>98.361347813962155</v>
      </c>
      <c r="CR42">
        <v>98.444164950104792</v>
      </c>
      <c r="CS42">
        <v>98.512718732162213</v>
      </c>
      <c r="CT42">
        <v>98.594682706621924</v>
      </c>
      <c r="CU42">
        <v>98.67643240382516</v>
      </c>
      <c r="CV42">
        <v>98.753735797893384</v>
      </c>
      <c r="CW42">
        <v>98.814491509319978</v>
      </c>
      <c r="CX42">
        <v>98.893431488167238</v>
      </c>
      <c r="CY42">
        <v>98.965737257712632</v>
      </c>
      <c r="CZ42">
        <v>99.044689462204943</v>
      </c>
      <c r="DA42">
        <v>99.121656403421525</v>
      </c>
      <c r="DB42">
        <v>99.197147151261774</v>
      </c>
      <c r="DC42">
        <v>99.29112666125441</v>
      </c>
      <c r="DD42">
        <v>99.364454320429147</v>
      </c>
      <c r="DE42">
        <v>99.466252421193246</v>
      </c>
      <c r="DF42">
        <v>99.562648891849165</v>
      </c>
      <c r="DG42">
        <v>99.674040226176089</v>
      </c>
      <c r="DH42">
        <v>99.76988409341088</v>
      </c>
      <c r="DI42">
        <v>99.85114122764503</v>
      </c>
      <c r="DJ42">
        <v>99.940577051845892</v>
      </c>
      <c r="DK42">
        <v>100.04240416397671</v>
      </c>
      <c r="DL42">
        <v>100.14707152847984</v>
      </c>
      <c r="DM42">
        <v>100.23058979750675</v>
      </c>
      <c r="DN42">
        <v>100.32756189595639</v>
      </c>
      <c r="DO42">
        <v>100.41490708784796</v>
      </c>
      <c r="DP42">
        <v>100.5031517293977</v>
      </c>
      <c r="DQ42">
        <v>100.58304664915718</v>
      </c>
      <c r="DR42">
        <v>100.69326154278853</v>
      </c>
      <c r="DS42">
        <v>100.78993398551204</v>
      </c>
      <c r="DT42">
        <v>100.8922270780443</v>
      </c>
      <c r="DU42">
        <v>101.00663369976695</v>
      </c>
      <c r="DV42">
        <v>101.12503905489152</v>
      </c>
      <c r="DW42">
        <v>101.21595437427715</v>
      </c>
      <c r="DX42">
        <v>101.35104452757442</v>
      </c>
      <c r="DY42">
        <v>101.44709793919328</v>
      </c>
      <c r="DZ42">
        <v>101.55123092548166</v>
      </c>
      <c r="EA42">
        <v>101.66544526909418</v>
      </c>
      <c r="EB42">
        <v>101.79838818544145</v>
      </c>
      <c r="EC42">
        <v>101.92112902924043</v>
      </c>
      <c r="ED42">
        <v>102.04902890673063</v>
      </c>
      <c r="EE42">
        <v>102.16873507704854</v>
      </c>
      <c r="EF42">
        <v>102.29702630373423</v>
      </c>
      <c r="EG42">
        <v>102.42959234975027</v>
      </c>
      <c r="EH42">
        <v>102.54953653595494</v>
      </c>
      <c r="EI42">
        <v>102.66305256100526</v>
      </c>
      <c r="EJ42">
        <v>102.79000665118252</v>
      </c>
      <c r="EK42">
        <v>102.91111599728727</v>
      </c>
      <c r="EL42">
        <v>103.03220190288494</v>
      </c>
      <c r="EM42">
        <v>103.17636062346277</v>
      </c>
      <c r="EN42">
        <v>103.2923568801467</v>
      </c>
      <c r="EO42">
        <v>103.42541062977369</v>
      </c>
      <c r="EP42">
        <v>103.55701818918239</v>
      </c>
      <c r="EQ42">
        <v>103.72203930532167</v>
      </c>
      <c r="ER42">
        <v>103.86866727939721</v>
      </c>
      <c r="ES42">
        <v>104.00568196011439</v>
      </c>
      <c r="ET42">
        <v>104.14989116908066</v>
      </c>
      <c r="EU42">
        <v>104.32009636867424</v>
      </c>
      <c r="EV42">
        <v>104.4751454644104</v>
      </c>
      <c r="EW42">
        <v>104.65760897131121</v>
      </c>
      <c r="EX42">
        <v>104.83458864438512</v>
      </c>
      <c r="EY42">
        <v>104.98724681581102</v>
      </c>
      <c r="EZ42">
        <v>105.17775405867459</v>
      </c>
      <c r="FA42">
        <v>105.37771221674861</v>
      </c>
      <c r="FB42">
        <v>105.58312036802266</v>
      </c>
      <c r="FC42">
        <v>105.76621569240939</v>
      </c>
      <c r="FD42">
        <v>105.9418313072058</v>
      </c>
      <c r="FE42">
        <v>106.13232270415129</v>
      </c>
      <c r="FF42">
        <v>106.31619191432979</v>
      </c>
      <c r="FG42">
        <v>106.52694894113849</v>
      </c>
      <c r="FH42">
        <v>106.74285706860832</v>
      </c>
      <c r="FI42">
        <v>106.91935123766599</v>
      </c>
      <c r="FJ42">
        <v>107.1594088117247</v>
      </c>
      <c r="FK42">
        <v>107.35734860904721</v>
      </c>
      <c r="FL42">
        <v>107.56340911265555</v>
      </c>
      <c r="FM42">
        <v>107.80672226015034</v>
      </c>
      <c r="FN42">
        <v>108.13626089271129</v>
      </c>
      <c r="FO42">
        <v>108.36187467354682</v>
      </c>
      <c r="FP42">
        <v>108.60104731166703</v>
      </c>
      <c r="FQ42">
        <v>108.8275840084534</v>
      </c>
      <c r="FR42">
        <v>109.19869714094114</v>
      </c>
      <c r="FS42">
        <v>109.52339169272285</v>
      </c>
      <c r="FT42">
        <v>109.83207561586042</v>
      </c>
      <c r="FU42">
        <v>110.15593484855926</v>
      </c>
      <c r="FV42">
        <v>110.43413954178696</v>
      </c>
      <c r="FW42">
        <v>110.73328820666269</v>
      </c>
      <c r="FX42">
        <v>111.14947717758055</v>
      </c>
      <c r="FY42">
        <v>111.50179555177208</v>
      </c>
      <c r="FZ42">
        <v>111.90922337563784</v>
      </c>
      <c r="GA42">
        <v>112.38261297073164</v>
      </c>
      <c r="GB42">
        <v>112.89185294724297</v>
      </c>
      <c r="GC42">
        <v>113.50979486175137</v>
      </c>
      <c r="GD42">
        <v>114.0628837178442</v>
      </c>
      <c r="GE42">
        <v>114.62152048408714</v>
      </c>
      <c r="GF42">
        <v>115.25429627192882</v>
      </c>
      <c r="GG42">
        <v>116.0381861441149</v>
      </c>
      <c r="GH42">
        <v>116.77804843877944</v>
      </c>
      <c r="GI42">
        <v>117.50462096174492</v>
      </c>
      <c r="GJ42">
        <v>118.57407699095666</v>
      </c>
      <c r="GK42">
        <v>119.75049072474569</v>
      </c>
      <c r="GL42">
        <v>121.06212776802313</v>
      </c>
      <c r="GM42">
        <v>122.40209112790087</v>
      </c>
      <c r="GN42">
        <v>124.28420544054221</v>
      </c>
      <c r="GO42">
        <v>126.49949044285864</v>
      </c>
      <c r="GP42">
        <v>129.81859290324437</v>
      </c>
      <c r="GQ42">
        <v>137.37933589828995</v>
      </c>
      <c r="GR42">
        <v>100.79349754918935</v>
      </c>
      <c r="GT42" s="8">
        <v>45351</v>
      </c>
      <c r="GU42">
        <v>124.931507</v>
      </c>
    </row>
    <row r="43" spans="1:203" x14ac:dyDescent="0.45">
      <c r="A43">
        <v>87.752732078602136</v>
      </c>
      <c r="B43">
        <v>88.890332266381392</v>
      </c>
      <c r="C43">
        <v>89.479741827635394</v>
      </c>
      <c r="D43">
        <v>89.892627467753158</v>
      </c>
      <c r="E43">
        <v>90.253479148752902</v>
      </c>
      <c r="F43">
        <v>90.578411427250785</v>
      </c>
      <c r="G43">
        <v>90.800401870875874</v>
      </c>
      <c r="H43">
        <v>91.051038142277548</v>
      </c>
      <c r="I43">
        <v>91.302807549276451</v>
      </c>
      <c r="J43">
        <v>91.50104877894772</v>
      </c>
      <c r="K43">
        <v>91.679181235554182</v>
      </c>
      <c r="L43">
        <v>91.892186458612329</v>
      </c>
      <c r="M43">
        <v>92.027869475244472</v>
      </c>
      <c r="N43">
        <v>92.199976351198856</v>
      </c>
      <c r="O43">
        <v>92.308057422562953</v>
      </c>
      <c r="P43">
        <v>92.435496822706014</v>
      </c>
      <c r="Q43">
        <v>92.590143410744815</v>
      </c>
      <c r="R43">
        <v>92.717860465603664</v>
      </c>
      <c r="S43">
        <v>92.823718393103704</v>
      </c>
      <c r="T43">
        <v>92.938230608130297</v>
      </c>
      <c r="U43">
        <v>93.038669615490903</v>
      </c>
      <c r="V43">
        <v>93.147919539451195</v>
      </c>
      <c r="W43">
        <v>93.259188987949429</v>
      </c>
      <c r="X43">
        <v>93.346085719900316</v>
      </c>
      <c r="Y43">
        <v>93.415800248685201</v>
      </c>
      <c r="Z43">
        <v>93.487242587278033</v>
      </c>
      <c r="AA43">
        <v>93.583282189164024</v>
      </c>
      <c r="AB43">
        <v>93.670774713898211</v>
      </c>
      <c r="AC43">
        <v>93.754238115311452</v>
      </c>
      <c r="AD43">
        <v>93.82487796561891</v>
      </c>
      <c r="AE43">
        <v>93.908270022038849</v>
      </c>
      <c r="AF43">
        <v>93.995718566832053</v>
      </c>
      <c r="AG43">
        <v>94.063082451761517</v>
      </c>
      <c r="AH43">
        <v>94.14187272200877</v>
      </c>
      <c r="AI43">
        <v>94.222111726836886</v>
      </c>
      <c r="AJ43">
        <v>94.299094510762217</v>
      </c>
      <c r="AK43">
        <v>94.360354727720534</v>
      </c>
      <c r="AL43">
        <v>94.417462229482084</v>
      </c>
      <c r="AM43">
        <v>94.495883052238042</v>
      </c>
      <c r="AN43">
        <v>94.564247562487253</v>
      </c>
      <c r="AO43">
        <v>94.640040808511714</v>
      </c>
      <c r="AP43">
        <v>94.711920812761022</v>
      </c>
      <c r="AQ43">
        <v>94.796746185758934</v>
      </c>
      <c r="AR43">
        <v>94.848287609269335</v>
      </c>
      <c r="AS43">
        <v>94.920735247179124</v>
      </c>
      <c r="AT43">
        <v>94.987910460594037</v>
      </c>
      <c r="AU43">
        <v>95.063533861405787</v>
      </c>
      <c r="AV43">
        <v>95.13709743816564</v>
      </c>
      <c r="AW43">
        <v>95.196842875805103</v>
      </c>
      <c r="AX43">
        <v>95.260675124003797</v>
      </c>
      <c r="AY43">
        <v>95.321408690904249</v>
      </c>
      <c r="AZ43">
        <v>95.379410914358999</v>
      </c>
      <c r="BA43">
        <v>95.44812546718758</v>
      </c>
      <c r="BB43">
        <v>95.523810044435308</v>
      </c>
      <c r="BC43">
        <v>95.583462639576467</v>
      </c>
      <c r="BD43">
        <v>95.644276703709721</v>
      </c>
      <c r="BE43">
        <v>95.702302423555224</v>
      </c>
      <c r="BF43">
        <v>95.764363520587864</v>
      </c>
      <c r="BG43">
        <v>95.829216378188931</v>
      </c>
      <c r="BH43">
        <v>95.877156450013942</v>
      </c>
      <c r="BI43">
        <v>95.938084848250796</v>
      </c>
      <c r="BJ43">
        <v>96.009775755965038</v>
      </c>
      <c r="BK43">
        <v>96.085517249329683</v>
      </c>
      <c r="BL43">
        <v>96.150135647517516</v>
      </c>
      <c r="BM43">
        <v>96.2137840361424</v>
      </c>
      <c r="BN43">
        <v>96.279126982931146</v>
      </c>
      <c r="BO43">
        <v>96.340665395285043</v>
      </c>
      <c r="BP43">
        <v>96.413358634070775</v>
      </c>
      <c r="BQ43">
        <v>96.481310043752302</v>
      </c>
      <c r="BR43">
        <v>96.541587480013433</v>
      </c>
      <c r="BS43">
        <v>96.62675483018775</v>
      </c>
      <c r="BT43">
        <v>96.702706627289999</v>
      </c>
      <c r="BU43">
        <v>96.758828944251178</v>
      </c>
      <c r="BV43">
        <v>96.815523054094143</v>
      </c>
      <c r="BW43">
        <v>96.893589275548806</v>
      </c>
      <c r="BX43">
        <v>96.958077346624322</v>
      </c>
      <c r="BY43">
        <v>97.02055446556129</v>
      </c>
      <c r="BZ43">
        <v>97.094776616362665</v>
      </c>
      <c r="CA43">
        <v>97.171912581175789</v>
      </c>
      <c r="CB43">
        <v>97.244494951465001</v>
      </c>
      <c r="CC43">
        <v>97.308368020394084</v>
      </c>
      <c r="CD43">
        <v>97.366744332363083</v>
      </c>
      <c r="CE43">
        <v>97.431913269312815</v>
      </c>
      <c r="CF43">
        <v>97.503826948015003</v>
      </c>
      <c r="CG43">
        <v>97.566125004579177</v>
      </c>
      <c r="CH43">
        <v>97.652730431544086</v>
      </c>
      <c r="CI43">
        <v>97.726685668808145</v>
      </c>
      <c r="CJ43">
        <v>97.793806553291319</v>
      </c>
      <c r="CK43">
        <v>97.863763414494144</v>
      </c>
      <c r="CL43">
        <v>97.948668915206838</v>
      </c>
      <c r="CM43">
        <v>98.026668891933397</v>
      </c>
      <c r="CN43">
        <v>98.102990390743258</v>
      </c>
      <c r="CO43">
        <v>98.175401570049232</v>
      </c>
      <c r="CP43">
        <v>98.235030558852969</v>
      </c>
      <c r="CQ43">
        <v>98.333205229327831</v>
      </c>
      <c r="CR43">
        <v>98.412970758268543</v>
      </c>
      <c r="CS43">
        <v>98.498763763187853</v>
      </c>
      <c r="CT43">
        <v>98.573021886415688</v>
      </c>
      <c r="CU43">
        <v>98.652854510553269</v>
      </c>
      <c r="CV43">
        <v>98.745950639008356</v>
      </c>
      <c r="CW43">
        <v>98.819403066529432</v>
      </c>
      <c r="CX43">
        <v>98.892068960354138</v>
      </c>
      <c r="CY43">
        <v>98.977776240389275</v>
      </c>
      <c r="CZ43">
        <v>99.055701878062536</v>
      </c>
      <c r="DA43">
        <v>99.147119887617094</v>
      </c>
      <c r="DB43">
        <v>99.222962734515392</v>
      </c>
      <c r="DC43">
        <v>99.293450669032111</v>
      </c>
      <c r="DD43">
        <v>99.376291059215887</v>
      </c>
      <c r="DE43">
        <v>99.463853344409713</v>
      </c>
      <c r="DF43">
        <v>99.556536226279064</v>
      </c>
      <c r="DG43">
        <v>99.665594431449534</v>
      </c>
      <c r="DH43">
        <v>99.752802726230854</v>
      </c>
      <c r="DI43">
        <v>99.846950685848043</v>
      </c>
      <c r="DJ43">
        <v>99.938601141997509</v>
      </c>
      <c r="DK43">
        <v>100.01409450076213</v>
      </c>
      <c r="DL43">
        <v>100.10670827948637</v>
      </c>
      <c r="DM43">
        <v>100.18773954914562</v>
      </c>
      <c r="DN43">
        <v>100.30517553320743</v>
      </c>
      <c r="DO43">
        <v>100.40635324594459</v>
      </c>
      <c r="DP43">
        <v>100.48382389013777</v>
      </c>
      <c r="DQ43">
        <v>100.58236084082253</v>
      </c>
      <c r="DR43">
        <v>100.67701143304826</v>
      </c>
      <c r="DS43">
        <v>100.78694837452559</v>
      </c>
      <c r="DT43">
        <v>100.90248832655239</v>
      </c>
      <c r="DU43">
        <v>101.00066945309233</v>
      </c>
      <c r="DV43">
        <v>101.09369098639061</v>
      </c>
      <c r="DW43">
        <v>101.18724385565064</v>
      </c>
      <c r="DX43">
        <v>101.28915767536621</v>
      </c>
      <c r="DY43">
        <v>101.40860643887166</v>
      </c>
      <c r="DZ43">
        <v>101.51531534524807</v>
      </c>
      <c r="EA43">
        <v>101.60843866865886</v>
      </c>
      <c r="EB43">
        <v>101.72141618763763</v>
      </c>
      <c r="EC43">
        <v>101.8713156912344</v>
      </c>
      <c r="ED43">
        <v>101.99078734072054</v>
      </c>
      <c r="EE43">
        <v>102.1359255367317</v>
      </c>
      <c r="EF43">
        <v>102.31524587921736</v>
      </c>
      <c r="EG43">
        <v>102.43683060267591</v>
      </c>
      <c r="EH43">
        <v>102.57091399855187</v>
      </c>
      <c r="EI43">
        <v>102.6758358398866</v>
      </c>
      <c r="EJ43">
        <v>102.83823587801984</v>
      </c>
      <c r="EK43">
        <v>102.9577494875542</v>
      </c>
      <c r="EL43">
        <v>103.08247136191019</v>
      </c>
      <c r="EM43">
        <v>103.22028774314417</v>
      </c>
      <c r="EN43">
        <v>103.3637353408937</v>
      </c>
      <c r="EO43">
        <v>103.49507983466476</v>
      </c>
      <c r="EP43">
        <v>103.6511722064113</v>
      </c>
      <c r="EQ43">
        <v>103.8018439834788</v>
      </c>
      <c r="ER43">
        <v>103.97618397620805</v>
      </c>
      <c r="ES43">
        <v>104.12063844980467</v>
      </c>
      <c r="ET43">
        <v>104.25525822696162</v>
      </c>
      <c r="EU43">
        <v>104.45130522669804</v>
      </c>
      <c r="EV43">
        <v>104.56677512555673</v>
      </c>
      <c r="EW43">
        <v>104.69899967207415</v>
      </c>
      <c r="EX43">
        <v>104.90973807760733</v>
      </c>
      <c r="EY43">
        <v>105.05280787854167</v>
      </c>
      <c r="EZ43">
        <v>105.23410363380624</v>
      </c>
      <c r="FA43">
        <v>105.41929431319207</v>
      </c>
      <c r="FB43">
        <v>105.58648083680787</v>
      </c>
      <c r="FC43">
        <v>105.75129699544385</v>
      </c>
      <c r="FD43">
        <v>105.9537899157431</v>
      </c>
      <c r="FE43">
        <v>106.16867588050918</v>
      </c>
      <c r="FF43">
        <v>106.3584904644546</v>
      </c>
      <c r="FG43">
        <v>106.53586607883322</v>
      </c>
      <c r="FH43">
        <v>106.74675067642332</v>
      </c>
      <c r="FI43">
        <v>106.96779164278246</v>
      </c>
      <c r="FJ43">
        <v>107.19373555216569</v>
      </c>
      <c r="FK43">
        <v>107.42808519377772</v>
      </c>
      <c r="FL43">
        <v>107.69140352778408</v>
      </c>
      <c r="FM43">
        <v>107.94442921146145</v>
      </c>
      <c r="FN43">
        <v>108.21951392122801</v>
      </c>
      <c r="FO43">
        <v>108.52583043195622</v>
      </c>
      <c r="FP43">
        <v>108.82413675729482</v>
      </c>
      <c r="FQ43">
        <v>109.05716874653974</v>
      </c>
      <c r="FR43">
        <v>109.35049773727646</v>
      </c>
      <c r="FS43">
        <v>109.62511433465568</v>
      </c>
      <c r="FT43">
        <v>109.87725407996729</v>
      </c>
      <c r="FU43">
        <v>110.19874802457359</v>
      </c>
      <c r="FV43">
        <v>110.53159105798926</v>
      </c>
      <c r="FW43">
        <v>110.92270572546536</v>
      </c>
      <c r="FX43">
        <v>111.37373498818967</v>
      </c>
      <c r="FY43">
        <v>111.71229874851082</v>
      </c>
      <c r="FZ43">
        <v>112.05847588285118</v>
      </c>
      <c r="GA43">
        <v>112.48243598264662</v>
      </c>
      <c r="GB43">
        <v>112.83434992921362</v>
      </c>
      <c r="GC43">
        <v>113.39320910037432</v>
      </c>
      <c r="GD43">
        <v>114.07526795344643</v>
      </c>
      <c r="GE43">
        <v>114.80639553744527</v>
      </c>
      <c r="GF43">
        <v>115.55393690101545</v>
      </c>
      <c r="GG43">
        <v>116.25767419258301</v>
      </c>
      <c r="GH43">
        <v>116.96408640458799</v>
      </c>
      <c r="GI43">
        <v>117.68730723648738</v>
      </c>
      <c r="GJ43">
        <v>118.54955141535721</v>
      </c>
      <c r="GK43">
        <v>119.57751083862846</v>
      </c>
      <c r="GL43">
        <v>121.21727106373392</v>
      </c>
      <c r="GM43">
        <v>122.98761554664286</v>
      </c>
      <c r="GN43">
        <v>125.05640229536235</v>
      </c>
      <c r="GO43">
        <v>127.24202449060232</v>
      </c>
      <c r="GP43">
        <v>130.6746823216516</v>
      </c>
      <c r="GQ43">
        <v>138.06480092062699</v>
      </c>
      <c r="GR43">
        <v>100.81030561331626</v>
      </c>
      <c r="GT43" s="8">
        <v>45352</v>
      </c>
      <c r="GU43">
        <v>126.332995</v>
      </c>
    </row>
    <row r="44" spans="1:203" x14ac:dyDescent="0.45">
      <c r="A44">
        <v>87.538259038571383</v>
      </c>
      <c r="B44">
        <v>88.8060056364031</v>
      </c>
      <c r="C44">
        <v>89.335043736566575</v>
      </c>
      <c r="D44">
        <v>89.773370089221061</v>
      </c>
      <c r="E44">
        <v>90.146535750615314</v>
      </c>
      <c r="F44">
        <v>90.435393290239844</v>
      </c>
      <c r="G44">
        <v>90.749603608978219</v>
      </c>
      <c r="H44">
        <v>90.979717571765093</v>
      </c>
      <c r="I44">
        <v>91.223598812036897</v>
      </c>
      <c r="J44">
        <v>91.42647453218531</v>
      </c>
      <c r="K44">
        <v>91.624934942525982</v>
      </c>
      <c r="L44">
        <v>91.795878663815259</v>
      </c>
      <c r="M44">
        <v>91.954251712424849</v>
      </c>
      <c r="N44">
        <v>92.096023492701036</v>
      </c>
      <c r="O44">
        <v>92.211439236316593</v>
      </c>
      <c r="P44">
        <v>92.349203306571695</v>
      </c>
      <c r="Q44">
        <v>92.489558927916434</v>
      </c>
      <c r="R44">
        <v>92.601731131162239</v>
      </c>
      <c r="S44">
        <v>92.733363394320023</v>
      </c>
      <c r="T44">
        <v>92.844915746187993</v>
      </c>
      <c r="U44">
        <v>92.957347487141121</v>
      </c>
      <c r="V44">
        <v>93.061105969502364</v>
      </c>
      <c r="W44">
        <v>93.168844900214168</v>
      </c>
      <c r="X44">
        <v>93.28605296037216</v>
      </c>
      <c r="Y44">
        <v>93.402414435345918</v>
      </c>
      <c r="Z44">
        <v>93.482517623521389</v>
      </c>
      <c r="AA44">
        <v>93.543622002030816</v>
      </c>
      <c r="AB44">
        <v>93.628254263249048</v>
      </c>
      <c r="AC44">
        <v>93.701990389219887</v>
      </c>
      <c r="AD44">
        <v>93.773809993199848</v>
      </c>
      <c r="AE44">
        <v>93.852102693316468</v>
      </c>
      <c r="AF44">
        <v>93.914934934153109</v>
      </c>
      <c r="AG44">
        <v>93.99472043130875</v>
      </c>
      <c r="AH44">
        <v>94.062671152850001</v>
      </c>
      <c r="AI44">
        <v>94.127769273832229</v>
      </c>
      <c r="AJ44">
        <v>94.212274028856072</v>
      </c>
      <c r="AK44">
        <v>94.302278033380205</v>
      </c>
      <c r="AL44">
        <v>94.368490029385896</v>
      </c>
      <c r="AM44">
        <v>94.436618749692187</v>
      </c>
      <c r="AN44">
        <v>94.512846072746726</v>
      </c>
      <c r="AO44">
        <v>94.585955772926368</v>
      </c>
      <c r="AP44">
        <v>94.647124807685117</v>
      </c>
      <c r="AQ44">
        <v>94.708424410386414</v>
      </c>
      <c r="AR44">
        <v>94.7739204652231</v>
      </c>
      <c r="AS44">
        <v>94.836876867658873</v>
      </c>
      <c r="AT44">
        <v>94.899190034321535</v>
      </c>
      <c r="AU44">
        <v>94.973182980888126</v>
      </c>
      <c r="AV44">
        <v>95.048848171743103</v>
      </c>
      <c r="AW44">
        <v>95.106838334675388</v>
      </c>
      <c r="AX44">
        <v>95.18189738955418</v>
      </c>
      <c r="AY44">
        <v>95.252939397102722</v>
      </c>
      <c r="AZ44">
        <v>95.316770382863879</v>
      </c>
      <c r="BA44">
        <v>95.385463735155369</v>
      </c>
      <c r="BB44">
        <v>95.450922730664331</v>
      </c>
      <c r="BC44">
        <v>95.510527279155852</v>
      </c>
      <c r="BD44">
        <v>95.574553196007159</v>
      </c>
      <c r="BE44">
        <v>95.635639302026561</v>
      </c>
      <c r="BF44">
        <v>95.701511081484668</v>
      </c>
      <c r="BG44">
        <v>95.767035574146647</v>
      </c>
      <c r="BH44">
        <v>95.84181168232314</v>
      </c>
      <c r="BI44">
        <v>95.9072425453367</v>
      </c>
      <c r="BJ44">
        <v>95.990124136636325</v>
      </c>
      <c r="BK44">
        <v>96.052657444086591</v>
      </c>
      <c r="BL44">
        <v>96.096187012297818</v>
      </c>
      <c r="BM44">
        <v>96.165207003522667</v>
      </c>
      <c r="BN44">
        <v>96.221613195069239</v>
      </c>
      <c r="BO44">
        <v>96.291214128685866</v>
      </c>
      <c r="BP44">
        <v>96.36384865356699</v>
      </c>
      <c r="BQ44">
        <v>96.433571702369477</v>
      </c>
      <c r="BR44">
        <v>96.498868998830631</v>
      </c>
      <c r="BS44">
        <v>96.588193421987867</v>
      </c>
      <c r="BT44">
        <v>96.662705928974148</v>
      </c>
      <c r="BU44">
        <v>96.726849233020928</v>
      </c>
      <c r="BV44">
        <v>96.807146392944105</v>
      </c>
      <c r="BW44">
        <v>96.867293461663067</v>
      </c>
      <c r="BX44">
        <v>96.935179750013589</v>
      </c>
      <c r="BY44">
        <v>97.007925196815663</v>
      </c>
      <c r="BZ44">
        <v>97.061102841476554</v>
      </c>
      <c r="CA44">
        <v>97.121350594364699</v>
      </c>
      <c r="CB44">
        <v>97.197394596847516</v>
      </c>
      <c r="CC44">
        <v>97.256387766344716</v>
      </c>
      <c r="CD44">
        <v>97.330228086530809</v>
      </c>
      <c r="CE44">
        <v>97.416667957198683</v>
      </c>
      <c r="CF44">
        <v>97.517712640835995</v>
      </c>
      <c r="CG44">
        <v>97.5742191056152</v>
      </c>
      <c r="CH44">
        <v>97.642617685172155</v>
      </c>
      <c r="CI44">
        <v>97.716274765022092</v>
      </c>
      <c r="CJ44">
        <v>97.802916585314009</v>
      </c>
      <c r="CK44">
        <v>97.886750324977825</v>
      </c>
      <c r="CL44">
        <v>97.953435082381262</v>
      </c>
      <c r="CM44">
        <v>98.027954403436908</v>
      </c>
      <c r="CN44">
        <v>98.096376202103272</v>
      </c>
      <c r="CO44">
        <v>98.178012451770144</v>
      </c>
      <c r="CP44">
        <v>98.24796684215579</v>
      </c>
      <c r="CQ44">
        <v>98.32536108980122</v>
      </c>
      <c r="CR44">
        <v>98.389656849324439</v>
      </c>
      <c r="CS44">
        <v>98.48278124007598</v>
      </c>
      <c r="CT44">
        <v>98.552169921691217</v>
      </c>
      <c r="CU44">
        <v>98.63053159828641</v>
      </c>
      <c r="CV44">
        <v>98.715874018942785</v>
      </c>
      <c r="CW44">
        <v>98.797773780459437</v>
      </c>
      <c r="CX44">
        <v>98.871883231190765</v>
      </c>
      <c r="CY44">
        <v>98.932642939956722</v>
      </c>
      <c r="CZ44">
        <v>99.00956687799281</v>
      </c>
      <c r="DA44">
        <v>99.076560195647858</v>
      </c>
      <c r="DB44">
        <v>99.164543713776197</v>
      </c>
      <c r="DC44">
        <v>99.260744723345709</v>
      </c>
      <c r="DD44">
        <v>99.335026898149223</v>
      </c>
      <c r="DE44">
        <v>99.418370002299781</v>
      </c>
      <c r="DF44">
        <v>99.518371921333483</v>
      </c>
      <c r="DG44">
        <v>99.604927361468611</v>
      </c>
      <c r="DH44">
        <v>99.713353710887361</v>
      </c>
      <c r="DI44">
        <v>99.823052463169134</v>
      </c>
      <c r="DJ44">
        <v>99.912941772774587</v>
      </c>
      <c r="DK44">
        <v>100.0020335804054</v>
      </c>
      <c r="DL44">
        <v>100.15088041579361</v>
      </c>
      <c r="DM44">
        <v>100.2463706671933</v>
      </c>
      <c r="DN44">
        <v>100.34073448523095</v>
      </c>
      <c r="DO44">
        <v>100.42529571342043</v>
      </c>
      <c r="DP44">
        <v>100.52848479149283</v>
      </c>
      <c r="DQ44">
        <v>100.59727427368544</v>
      </c>
      <c r="DR44">
        <v>100.70305101200195</v>
      </c>
      <c r="DS44">
        <v>100.82234490868017</v>
      </c>
      <c r="DT44">
        <v>100.9163858059532</v>
      </c>
      <c r="DU44">
        <v>101.02703763550113</v>
      </c>
      <c r="DV44">
        <v>101.11281869431122</v>
      </c>
      <c r="DW44">
        <v>101.25101088980996</v>
      </c>
      <c r="DX44">
        <v>101.35883622492526</v>
      </c>
      <c r="DY44">
        <v>101.46975952242191</v>
      </c>
      <c r="DZ44">
        <v>101.57686268433088</v>
      </c>
      <c r="EA44">
        <v>101.69448535181789</v>
      </c>
      <c r="EB44">
        <v>101.79514111863472</v>
      </c>
      <c r="EC44">
        <v>101.89245085211039</v>
      </c>
      <c r="ED44">
        <v>102.01184272218011</v>
      </c>
      <c r="EE44">
        <v>102.15845900867696</v>
      </c>
      <c r="EF44">
        <v>102.31956551377222</v>
      </c>
      <c r="EG44">
        <v>102.45157179980099</v>
      </c>
      <c r="EH44">
        <v>102.58617259979569</v>
      </c>
      <c r="EI44">
        <v>102.7073398664098</v>
      </c>
      <c r="EJ44">
        <v>102.83101769253467</v>
      </c>
      <c r="EK44">
        <v>102.9662139302003</v>
      </c>
      <c r="EL44">
        <v>103.09664393324225</v>
      </c>
      <c r="EM44">
        <v>103.22408740971575</v>
      </c>
      <c r="EN44">
        <v>103.37169165663079</v>
      </c>
      <c r="EO44">
        <v>103.51500639416683</v>
      </c>
      <c r="EP44">
        <v>103.67402707062712</v>
      </c>
      <c r="EQ44">
        <v>103.81245945197526</v>
      </c>
      <c r="ER44">
        <v>103.97539042353505</v>
      </c>
      <c r="ES44">
        <v>104.12947530503402</v>
      </c>
      <c r="ET44">
        <v>104.31570999105894</v>
      </c>
      <c r="EU44">
        <v>104.47776391329464</v>
      </c>
      <c r="EV44">
        <v>104.635810931124</v>
      </c>
      <c r="EW44">
        <v>104.77884042271423</v>
      </c>
      <c r="EX44">
        <v>104.94137136696155</v>
      </c>
      <c r="EY44">
        <v>105.1041726525696</v>
      </c>
      <c r="EZ44">
        <v>105.30123322313487</v>
      </c>
      <c r="FA44">
        <v>105.50305004579144</v>
      </c>
      <c r="FB44">
        <v>105.71292029544099</v>
      </c>
      <c r="FC44">
        <v>105.92548938868615</v>
      </c>
      <c r="FD44">
        <v>106.12051664638724</v>
      </c>
      <c r="FE44">
        <v>106.34029408513004</v>
      </c>
      <c r="FF44">
        <v>106.56187958155911</v>
      </c>
      <c r="FG44">
        <v>106.77868326236178</v>
      </c>
      <c r="FH44">
        <v>106.98856139207022</v>
      </c>
      <c r="FI44">
        <v>107.24070893552899</v>
      </c>
      <c r="FJ44">
        <v>107.46103547650689</v>
      </c>
      <c r="FK44">
        <v>107.69265982308718</v>
      </c>
      <c r="FL44">
        <v>107.88495624516887</v>
      </c>
      <c r="FM44">
        <v>108.19625648974149</v>
      </c>
      <c r="FN44">
        <v>108.40137113364922</v>
      </c>
      <c r="FO44">
        <v>108.62006606219508</v>
      </c>
      <c r="FP44">
        <v>108.85561397496872</v>
      </c>
      <c r="FQ44">
        <v>109.16008739964232</v>
      </c>
      <c r="FR44">
        <v>109.44877788085442</v>
      </c>
      <c r="FS44">
        <v>109.7356743150698</v>
      </c>
      <c r="FT44">
        <v>110.08178013871154</v>
      </c>
      <c r="FU44">
        <v>110.39482283012778</v>
      </c>
      <c r="FV44">
        <v>110.80136642142622</v>
      </c>
      <c r="FW44">
        <v>111.18097896052537</v>
      </c>
      <c r="FX44">
        <v>111.53974869478719</v>
      </c>
      <c r="FY44">
        <v>111.95364772779249</v>
      </c>
      <c r="FZ44">
        <v>112.35123206146652</v>
      </c>
      <c r="GA44">
        <v>112.78661422575766</v>
      </c>
      <c r="GB44">
        <v>113.27575186396324</v>
      </c>
      <c r="GC44">
        <v>113.75367022393803</v>
      </c>
      <c r="GD44">
        <v>114.49277005787189</v>
      </c>
      <c r="GE44">
        <v>115.16993873181718</v>
      </c>
      <c r="GF44">
        <v>115.87430448928237</v>
      </c>
      <c r="GG44">
        <v>116.53355785365365</v>
      </c>
      <c r="GH44">
        <v>117.30403205195093</v>
      </c>
      <c r="GI44">
        <v>118.19330046635024</v>
      </c>
      <c r="GJ44">
        <v>119.13889797542699</v>
      </c>
      <c r="GK44">
        <v>120.49154907246914</v>
      </c>
      <c r="GL44">
        <v>121.93617522302124</v>
      </c>
      <c r="GM44">
        <v>123.40028860693936</v>
      </c>
      <c r="GN44">
        <v>125.45036642121192</v>
      </c>
      <c r="GO44">
        <v>127.77190586868733</v>
      </c>
      <c r="GP44">
        <v>131.51309031384369</v>
      </c>
      <c r="GQ44">
        <v>138.57218645737012</v>
      </c>
      <c r="GR44">
        <v>100.85495399632624</v>
      </c>
      <c r="GT44" s="8">
        <v>45355</v>
      </c>
      <c r="GU44">
        <v>128.21226300000001</v>
      </c>
    </row>
    <row r="45" spans="1:203" x14ac:dyDescent="0.45">
      <c r="A45">
        <v>87.645133858513731</v>
      </c>
      <c r="B45">
        <v>88.683605629213361</v>
      </c>
      <c r="C45">
        <v>89.252423809078877</v>
      </c>
      <c r="D45">
        <v>89.613502961576117</v>
      </c>
      <c r="E45">
        <v>90.084915380303769</v>
      </c>
      <c r="F45">
        <v>90.311788780463175</v>
      </c>
      <c r="G45">
        <v>90.640177325729411</v>
      </c>
      <c r="H45">
        <v>90.90211968754349</v>
      </c>
      <c r="I45">
        <v>91.109297431372582</v>
      </c>
      <c r="J45">
        <v>91.301508864318308</v>
      </c>
      <c r="K45">
        <v>91.506837548733571</v>
      </c>
      <c r="L45">
        <v>91.731224896765141</v>
      </c>
      <c r="M45">
        <v>91.889857884957223</v>
      </c>
      <c r="N45">
        <v>92.03646586201063</v>
      </c>
      <c r="O45">
        <v>92.171083402455366</v>
      </c>
      <c r="P45">
        <v>92.317389159108188</v>
      </c>
      <c r="Q45">
        <v>92.440780329513814</v>
      </c>
      <c r="R45">
        <v>92.548736076105627</v>
      </c>
      <c r="S45">
        <v>92.674159317061651</v>
      </c>
      <c r="T45">
        <v>92.79457104819609</v>
      </c>
      <c r="U45">
        <v>92.919672752563784</v>
      </c>
      <c r="V45">
        <v>93.034065726684872</v>
      </c>
      <c r="W45">
        <v>93.156064351627535</v>
      </c>
      <c r="X45">
        <v>93.249335648491893</v>
      </c>
      <c r="Y45">
        <v>93.341329043722411</v>
      </c>
      <c r="Z45">
        <v>93.435600877793647</v>
      </c>
      <c r="AA45">
        <v>93.501247007336147</v>
      </c>
      <c r="AB45">
        <v>93.593082652628866</v>
      </c>
      <c r="AC45">
        <v>93.665339486766271</v>
      </c>
      <c r="AD45">
        <v>93.730650118483126</v>
      </c>
      <c r="AE45">
        <v>93.805930377778182</v>
      </c>
      <c r="AF45">
        <v>93.868528755246942</v>
      </c>
      <c r="AG45">
        <v>93.945141368039472</v>
      </c>
      <c r="AH45">
        <v>94.016490356901784</v>
      </c>
      <c r="AI45">
        <v>94.105393824892886</v>
      </c>
      <c r="AJ45">
        <v>94.17429423595442</v>
      </c>
      <c r="AK45">
        <v>94.252233061362716</v>
      </c>
      <c r="AL45">
        <v>94.328585619348829</v>
      </c>
      <c r="AM45">
        <v>94.394364009404839</v>
      </c>
      <c r="AN45">
        <v>94.473180637135656</v>
      </c>
      <c r="AO45">
        <v>94.542695424571534</v>
      </c>
      <c r="AP45">
        <v>94.596351047178217</v>
      </c>
      <c r="AQ45">
        <v>94.663026449964775</v>
      </c>
      <c r="AR45">
        <v>94.749216383835574</v>
      </c>
      <c r="AS45">
        <v>94.816816339365573</v>
      </c>
      <c r="AT45">
        <v>94.873438902201215</v>
      </c>
      <c r="AU45">
        <v>94.954779144604174</v>
      </c>
      <c r="AV45">
        <v>95.026251341583034</v>
      </c>
      <c r="AW45">
        <v>95.075638614295599</v>
      </c>
      <c r="AX45">
        <v>95.140232010725256</v>
      </c>
      <c r="AY45">
        <v>95.216650502023938</v>
      </c>
      <c r="AZ45">
        <v>95.290156719160024</v>
      </c>
      <c r="BA45">
        <v>95.364363317863578</v>
      </c>
      <c r="BB45">
        <v>95.432775179794945</v>
      </c>
      <c r="BC45">
        <v>95.508694107842317</v>
      </c>
      <c r="BD45">
        <v>95.572318667818649</v>
      </c>
      <c r="BE45">
        <v>95.632980923405995</v>
      </c>
      <c r="BF45">
        <v>95.704353670589498</v>
      </c>
      <c r="BG45">
        <v>95.769831480380418</v>
      </c>
      <c r="BH45">
        <v>95.834952510815839</v>
      </c>
      <c r="BI45">
        <v>95.897948678072765</v>
      </c>
      <c r="BJ45">
        <v>95.967014228222467</v>
      </c>
      <c r="BK45">
        <v>96.033264251736469</v>
      </c>
      <c r="BL45">
        <v>96.087100557126206</v>
      </c>
      <c r="BM45">
        <v>96.155764388107954</v>
      </c>
      <c r="BN45">
        <v>96.209294771920085</v>
      </c>
      <c r="BO45">
        <v>96.26607456248027</v>
      </c>
      <c r="BP45">
        <v>96.328033624545199</v>
      </c>
      <c r="BQ45">
        <v>96.391052052994695</v>
      </c>
      <c r="BR45">
        <v>96.462727281740513</v>
      </c>
      <c r="BS45">
        <v>96.527605803550657</v>
      </c>
      <c r="BT45">
        <v>96.588261635503727</v>
      </c>
      <c r="BU45">
        <v>96.652322971823381</v>
      </c>
      <c r="BV45">
        <v>96.715734216502838</v>
      </c>
      <c r="BW45">
        <v>96.780251494752548</v>
      </c>
      <c r="BX45">
        <v>96.849315626422765</v>
      </c>
      <c r="BY45">
        <v>96.907082149663864</v>
      </c>
      <c r="BZ45">
        <v>96.974937953387851</v>
      </c>
      <c r="CA45">
        <v>97.045941260873875</v>
      </c>
      <c r="CB45">
        <v>97.123949514287602</v>
      </c>
      <c r="CC45">
        <v>97.19862305206486</v>
      </c>
      <c r="CD45">
        <v>97.257596488763895</v>
      </c>
      <c r="CE45">
        <v>97.324879258389458</v>
      </c>
      <c r="CF45">
        <v>97.387070299118676</v>
      </c>
      <c r="CG45">
        <v>97.466734296032769</v>
      </c>
      <c r="CH45">
        <v>97.546766049838368</v>
      </c>
      <c r="CI45">
        <v>97.625035666170973</v>
      </c>
      <c r="CJ45">
        <v>97.702913966814094</v>
      </c>
      <c r="CK45">
        <v>97.801073436328565</v>
      </c>
      <c r="CL45">
        <v>97.877424585823633</v>
      </c>
      <c r="CM45">
        <v>97.959167081847426</v>
      </c>
      <c r="CN45">
        <v>98.042788571719186</v>
      </c>
      <c r="CO45">
        <v>98.115760041857101</v>
      </c>
      <c r="CP45">
        <v>98.194521429609964</v>
      </c>
      <c r="CQ45">
        <v>98.273632307799645</v>
      </c>
      <c r="CR45">
        <v>98.354862786287669</v>
      </c>
      <c r="CS45">
        <v>98.432913301359008</v>
      </c>
      <c r="CT45">
        <v>98.516967589947242</v>
      </c>
      <c r="CU45">
        <v>98.600779618200946</v>
      </c>
      <c r="CV45">
        <v>98.687398957199079</v>
      </c>
      <c r="CW45">
        <v>98.76330518397684</v>
      </c>
      <c r="CX45">
        <v>98.839497412962217</v>
      </c>
      <c r="CY45">
        <v>98.904097801946065</v>
      </c>
      <c r="CZ45">
        <v>98.985897194631249</v>
      </c>
      <c r="DA45">
        <v>99.087342870735654</v>
      </c>
      <c r="DB45">
        <v>99.174869807416783</v>
      </c>
      <c r="DC45">
        <v>99.263874699147664</v>
      </c>
      <c r="DD45">
        <v>99.360115571668729</v>
      </c>
      <c r="DE45">
        <v>99.447386895003064</v>
      </c>
      <c r="DF45">
        <v>99.532600381620881</v>
      </c>
      <c r="DG45">
        <v>99.63812151192127</v>
      </c>
      <c r="DH45">
        <v>99.718293109224405</v>
      </c>
      <c r="DI45">
        <v>99.796429803011733</v>
      </c>
      <c r="DJ45">
        <v>99.900013724944145</v>
      </c>
      <c r="DK45">
        <v>99.997636817627978</v>
      </c>
      <c r="DL45">
        <v>100.09591922063341</v>
      </c>
      <c r="DM45">
        <v>100.19826338488288</v>
      </c>
      <c r="DN45">
        <v>100.30208957359778</v>
      </c>
      <c r="DO45">
        <v>100.37749562282833</v>
      </c>
      <c r="DP45">
        <v>100.4829981358305</v>
      </c>
      <c r="DQ45">
        <v>100.57909476736013</v>
      </c>
      <c r="DR45">
        <v>100.68999877765475</v>
      </c>
      <c r="DS45">
        <v>100.79536955591891</v>
      </c>
      <c r="DT45">
        <v>100.90669964682469</v>
      </c>
      <c r="DU45">
        <v>101.02698468319532</v>
      </c>
      <c r="DV45">
        <v>101.1135399476603</v>
      </c>
      <c r="DW45">
        <v>101.22549279259961</v>
      </c>
      <c r="DX45">
        <v>101.33889209103008</v>
      </c>
      <c r="DY45">
        <v>101.4877464325471</v>
      </c>
      <c r="DZ45">
        <v>101.59204370679122</v>
      </c>
      <c r="EA45">
        <v>101.75027054366012</v>
      </c>
      <c r="EB45">
        <v>101.86535143674149</v>
      </c>
      <c r="EC45">
        <v>101.99671318345625</v>
      </c>
      <c r="ED45">
        <v>102.12009626795151</v>
      </c>
      <c r="EE45">
        <v>102.27021837853425</v>
      </c>
      <c r="EF45">
        <v>102.39528571974532</v>
      </c>
      <c r="EG45">
        <v>102.51812721152119</v>
      </c>
      <c r="EH45">
        <v>102.64342606841801</v>
      </c>
      <c r="EI45">
        <v>102.7522406247508</v>
      </c>
      <c r="EJ45">
        <v>102.90754125205343</v>
      </c>
      <c r="EK45">
        <v>103.00263004700638</v>
      </c>
      <c r="EL45">
        <v>103.13182575010944</v>
      </c>
      <c r="EM45">
        <v>103.27475930787683</v>
      </c>
      <c r="EN45">
        <v>103.41959436479523</v>
      </c>
      <c r="EO45">
        <v>103.56853922714289</v>
      </c>
      <c r="EP45">
        <v>103.7397433570988</v>
      </c>
      <c r="EQ45">
        <v>103.87832538318091</v>
      </c>
      <c r="ER45">
        <v>104.01808045494367</v>
      </c>
      <c r="ES45">
        <v>104.18711458956777</v>
      </c>
      <c r="ET45">
        <v>104.34386573913672</v>
      </c>
      <c r="EU45">
        <v>104.53076280865321</v>
      </c>
      <c r="EV45">
        <v>104.67631376680288</v>
      </c>
      <c r="EW45">
        <v>104.81449249559533</v>
      </c>
      <c r="EX45">
        <v>104.98576610410238</v>
      </c>
      <c r="EY45">
        <v>105.16127809567372</v>
      </c>
      <c r="EZ45">
        <v>105.35187082316969</v>
      </c>
      <c r="FA45">
        <v>105.53387246047224</v>
      </c>
      <c r="FB45">
        <v>105.71978855040018</v>
      </c>
      <c r="FC45">
        <v>105.93754169819167</v>
      </c>
      <c r="FD45">
        <v>106.13358888294749</v>
      </c>
      <c r="FE45">
        <v>106.39637674148332</v>
      </c>
      <c r="FF45">
        <v>106.61872219905946</v>
      </c>
      <c r="FG45">
        <v>106.84654146333565</v>
      </c>
      <c r="FH45">
        <v>107.04604938780825</v>
      </c>
      <c r="FI45">
        <v>107.29210322948845</v>
      </c>
      <c r="FJ45">
        <v>107.50693386667768</v>
      </c>
      <c r="FK45">
        <v>107.72207653208471</v>
      </c>
      <c r="FL45">
        <v>107.98132725385997</v>
      </c>
      <c r="FM45">
        <v>108.15446187661728</v>
      </c>
      <c r="FN45">
        <v>108.4068558233445</v>
      </c>
      <c r="FO45">
        <v>108.66159181323282</v>
      </c>
      <c r="FP45">
        <v>108.92007848283653</v>
      </c>
      <c r="FQ45">
        <v>109.21251194275004</v>
      </c>
      <c r="FR45">
        <v>109.56480651421938</v>
      </c>
      <c r="FS45">
        <v>109.88431028271897</v>
      </c>
      <c r="FT45">
        <v>110.27095230202265</v>
      </c>
      <c r="FU45">
        <v>110.61738284900918</v>
      </c>
      <c r="FV45">
        <v>110.98252792048268</v>
      </c>
      <c r="FW45">
        <v>111.41485058045934</v>
      </c>
      <c r="FX45">
        <v>111.84688828027038</v>
      </c>
      <c r="FY45">
        <v>112.19191236137122</v>
      </c>
      <c r="FZ45">
        <v>112.51987016363155</v>
      </c>
      <c r="GA45">
        <v>112.8704473381778</v>
      </c>
      <c r="GB45">
        <v>113.38761676226554</v>
      </c>
      <c r="GC45">
        <v>113.85864606521105</v>
      </c>
      <c r="GD45">
        <v>114.41953512180854</v>
      </c>
      <c r="GE45">
        <v>115.1199720673234</v>
      </c>
      <c r="GF45">
        <v>115.75483711967466</v>
      </c>
      <c r="GG45">
        <v>116.46932930973342</v>
      </c>
      <c r="GH45">
        <v>117.39372778993284</v>
      </c>
      <c r="GI45">
        <v>118.38737823837761</v>
      </c>
      <c r="GJ45">
        <v>119.29279190217655</v>
      </c>
      <c r="GK45">
        <v>120.48962326154597</v>
      </c>
      <c r="GL45">
        <v>121.93068022599414</v>
      </c>
      <c r="GM45">
        <v>123.59244025355292</v>
      </c>
      <c r="GN45">
        <v>125.63167971644313</v>
      </c>
      <c r="GO45">
        <v>128.17808198912948</v>
      </c>
      <c r="GP45">
        <v>132.12649909256373</v>
      </c>
      <c r="GQ45">
        <v>139.73075334223731</v>
      </c>
      <c r="GR45">
        <v>100.86112229360727</v>
      </c>
      <c r="GT45" s="8">
        <v>45356</v>
      </c>
      <c r="GU45">
        <v>125.703918</v>
      </c>
    </row>
    <row r="46" spans="1:203" x14ac:dyDescent="0.45">
      <c r="A46">
        <v>87.423655952531988</v>
      </c>
      <c r="B46">
        <v>88.49574169301367</v>
      </c>
      <c r="C46">
        <v>89.137316116063545</v>
      </c>
      <c r="D46">
        <v>89.560189316276606</v>
      </c>
      <c r="E46">
        <v>89.88226481298787</v>
      </c>
      <c r="F46">
        <v>90.264643271877418</v>
      </c>
      <c r="G46">
        <v>90.59506398477329</v>
      </c>
      <c r="H46">
        <v>90.802967443259021</v>
      </c>
      <c r="I46">
        <v>91.025072325384443</v>
      </c>
      <c r="J46">
        <v>91.249961250286177</v>
      </c>
      <c r="K46">
        <v>91.441640046678998</v>
      </c>
      <c r="L46">
        <v>91.649329268756816</v>
      </c>
      <c r="M46">
        <v>91.809563078268553</v>
      </c>
      <c r="N46">
        <v>91.927322455823187</v>
      </c>
      <c r="O46">
        <v>92.060740604825128</v>
      </c>
      <c r="P46">
        <v>92.193769998345275</v>
      </c>
      <c r="Q46">
        <v>92.360741572064569</v>
      </c>
      <c r="R46">
        <v>92.517806264822951</v>
      </c>
      <c r="S46">
        <v>92.621270628494898</v>
      </c>
      <c r="T46">
        <v>92.743687341987069</v>
      </c>
      <c r="U46">
        <v>92.86618134532803</v>
      </c>
      <c r="V46">
        <v>92.959578416572967</v>
      </c>
      <c r="W46">
        <v>93.043290627291825</v>
      </c>
      <c r="X46">
        <v>93.14901922554823</v>
      </c>
      <c r="Y46">
        <v>93.250879498338961</v>
      </c>
      <c r="Z46">
        <v>93.357550184446296</v>
      </c>
      <c r="AA46">
        <v>93.436329501390929</v>
      </c>
      <c r="AB46">
        <v>93.51949859073882</v>
      </c>
      <c r="AC46">
        <v>93.598770412527273</v>
      </c>
      <c r="AD46">
        <v>93.687478845816187</v>
      </c>
      <c r="AE46">
        <v>93.765138092550728</v>
      </c>
      <c r="AF46">
        <v>93.848217348902779</v>
      </c>
      <c r="AG46">
        <v>93.919713717932439</v>
      </c>
      <c r="AH46">
        <v>93.996655450095773</v>
      </c>
      <c r="AI46">
        <v>94.063492887064513</v>
      </c>
      <c r="AJ46">
        <v>94.13489808767973</v>
      </c>
      <c r="AK46">
        <v>94.199705167162776</v>
      </c>
      <c r="AL46">
        <v>94.267181634794781</v>
      </c>
      <c r="AM46">
        <v>94.341084703219522</v>
      </c>
      <c r="AN46">
        <v>94.408671742945671</v>
      </c>
      <c r="AO46">
        <v>94.486064372161351</v>
      </c>
      <c r="AP46">
        <v>94.560826746906812</v>
      </c>
      <c r="AQ46">
        <v>94.646977724808906</v>
      </c>
      <c r="AR46">
        <v>94.72335399026241</v>
      </c>
      <c r="AS46">
        <v>94.804152975294798</v>
      </c>
      <c r="AT46">
        <v>94.86547116972865</v>
      </c>
      <c r="AU46">
        <v>94.923086649152111</v>
      </c>
      <c r="AV46">
        <v>94.990329217452228</v>
      </c>
      <c r="AW46">
        <v>95.061466149767739</v>
      </c>
      <c r="AX46">
        <v>95.11473563388877</v>
      </c>
      <c r="AY46">
        <v>95.172960436418634</v>
      </c>
      <c r="AZ46">
        <v>95.238293879281699</v>
      </c>
      <c r="BA46">
        <v>95.302966533874226</v>
      </c>
      <c r="BB46">
        <v>95.351296675711694</v>
      </c>
      <c r="BC46">
        <v>95.422631002602586</v>
      </c>
      <c r="BD46">
        <v>95.503575127948693</v>
      </c>
      <c r="BE46">
        <v>95.589781314960987</v>
      </c>
      <c r="BF46">
        <v>95.64301576953639</v>
      </c>
      <c r="BG46">
        <v>95.706341529848771</v>
      </c>
      <c r="BH46">
        <v>95.776717568161217</v>
      </c>
      <c r="BI46">
        <v>95.829123803921647</v>
      </c>
      <c r="BJ46">
        <v>95.899160250428793</v>
      </c>
      <c r="BK46">
        <v>95.960248567741417</v>
      </c>
      <c r="BL46">
        <v>96.024014385095427</v>
      </c>
      <c r="BM46">
        <v>96.085790892151621</v>
      </c>
      <c r="BN46">
        <v>96.146630895696418</v>
      </c>
      <c r="BO46">
        <v>96.217151612460569</v>
      </c>
      <c r="BP46">
        <v>96.275611256574933</v>
      </c>
      <c r="BQ46">
        <v>96.353147257827985</v>
      </c>
      <c r="BR46">
        <v>96.410184553649486</v>
      </c>
      <c r="BS46">
        <v>96.476809977486155</v>
      </c>
      <c r="BT46">
        <v>96.551270980832129</v>
      </c>
      <c r="BU46">
        <v>96.614079658112942</v>
      </c>
      <c r="BV46">
        <v>96.673123903363404</v>
      </c>
      <c r="BW46">
        <v>96.744228278698117</v>
      </c>
      <c r="BX46">
        <v>96.812106030336551</v>
      </c>
      <c r="BY46">
        <v>96.885435396640204</v>
      </c>
      <c r="BZ46">
        <v>96.94623726988263</v>
      </c>
      <c r="CA46">
        <v>97.00739559543679</v>
      </c>
      <c r="CB46">
        <v>97.085176569229986</v>
      </c>
      <c r="CC46">
        <v>97.158765979397032</v>
      </c>
      <c r="CD46">
        <v>97.24403927314593</v>
      </c>
      <c r="CE46">
        <v>97.31108370874162</v>
      </c>
      <c r="CF46">
        <v>97.387879189586172</v>
      </c>
      <c r="CG46">
        <v>97.456701627304554</v>
      </c>
      <c r="CH46">
        <v>97.553849071552278</v>
      </c>
      <c r="CI46">
        <v>97.6219062602717</v>
      </c>
      <c r="CJ46">
        <v>97.704737798043638</v>
      </c>
      <c r="CK46">
        <v>97.780204120235013</v>
      </c>
      <c r="CL46">
        <v>97.868498691890423</v>
      </c>
      <c r="CM46">
        <v>97.939749936471998</v>
      </c>
      <c r="CN46">
        <v>98.023885774683279</v>
      </c>
      <c r="CO46">
        <v>98.088995203799158</v>
      </c>
      <c r="CP46">
        <v>98.156163550368177</v>
      </c>
      <c r="CQ46">
        <v>98.248919795657514</v>
      </c>
      <c r="CR46">
        <v>98.325688233416983</v>
      </c>
      <c r="CS46">
        <v>98.391822450292835</v>
      </c>
      <c r="CT46">
        <v>98.486569204613858</v>
      </c>
      <c r="CU46">
        <v>98.560534611529192</v>
      </c>
      <c r="CV46">
        <v>98.647084714307127</v>
      </c>
      <c r="CW46">
        <v>98.727580108189542</v>
      </c>
      <c r="CX46">
        <v>98.802851557489163</v>
      </c>
      <c r="CY46">
        <v>98.887985572055285</v>
      </c>
      <c r="CZ46">
        <v>98.975715004140255</v>
      </c>
      <c r="DA46">
        <v>99.055768012270264</v>
      </c>
      <c r="DB46">
        <v>99.181989570208074</v>
      </c>
      <c r="DC46">
        <v>99.263066402950216</v>
      </c>
      <c r="DD46">
        <v>99.344167609795917</v>
      </c>
      <c r="DE46">
        <v>99.454713333000171</v>
      </c>
      <c r="DF46">
        <v>99.546813413320493</v>
      </c>
      <c r="DG46">
        <v>99.643876063452765</v>
      </c>
      <c r="DH46">
        <v>99.743872227306781</v>
      </c>
      <c r="DI46">
        <v>99.849197506599921</v>
      </c>
      <c r="DJ46">
        <v>99.97579208824493</v>
      </c>
      <c r="DK46">
        <v>100.0642343084441</v>
      </c>
      <c r="DL46">
        <v>100.15974085631974</v>
      </c>
      <c r="DM46">
        <v>100.25974718308754</v>
      </c>
      <c r="DN46">
        <v>100.348819432574</v>
      </c>
      <c r="DO46">
        <v>100.42877778907727</v>
      </c>
      <c r="DP46">
        <v>100.5232989650641</v>
      </c>
      <c r="DQ46">
        <v>100.62315278906424</v>
      </c>
      <c r="DR46">
        <v>100.70846145163776</v>
      </c>
      <c r="DS46">
        <v>100.8353513290856</v>
      </c>
      <c r="DT46">
        <v>100.92284431908185</v>
      </c>
      <c r="DU46">
        <v>101.03705943054042</v>
      </c>
      <c r="DV46">
        <v>101.11245662725111</v>
      </c>
      <c r="DW46">
        <v>101.20913555370512</v>
      </c>
      <c r="DX46">
        <v>101.32176684048366</v>
      </c>
      <c r="DY46">
        <v>101.47222885748631</v>
      </c>
      <c r="DZ46">
        <v>101.57635688105341</v>
      </c>
      <c r="EA46">
        <v>101.686817517812</v>
      </c>
      <c r="EB46">
        <v>101.83303755426473</v>
      </c>
      <c r="EC46">
        <v>101.95486625473042</v>
      </c>
      <c r="ED46">
        <v>102.12041152017804</v>
      </c>
      <c r="EE46">
        <v>102.2343864850438</v>
      </c>
      <c r="EF46">
        <v>102.3589028055075</v>
      </c>
      <c r="EG46">
        <v>102.49398207494404</v>
      </c>
      <c r="EH46">
        <v>102.60750231007806</v>
      </c>
      <c r="EI46">
        <v>102.71842706197964</v>
      </c>
      <c r="EJ46">
        <v>102.84645308318167</v>
      </c>
      <c r="EK46">
        <v>102.97288062625957</v>
      </c>
      <c r="EL46">
        <v>103.12090937692822</v>
      </c>
      <c r="EM46">
        <v>103.25616249433986</v>
      </c>
      <c r="EN46">
        <v>103.37111316511776</v>
      </c>
      <c r="EO46">
        <v>103.55485582978395</v>
      </c>
      <c r="EP46">
        <v>103.6920447205096</v>
      </c>
      <c r="EQ46">
        <v>103.84398856266485</v>
      </c>
      <c r="ER46">
        <v>104.04310730367068</v>
      </c>
      <c r="ES46">
        <v>104.19075461729476</v>
      </c>
      <c r="ET46">
        <v>104.36239920943282</v>
      </c>
      <c r="EU46">
        <v>104.5801509187441</v>
      </c>
      <c r="EV46">
        <v>104.75174228059201</v>
      </c>
      <c r="EW46">
        <v>104.89557676105059</v>
      </c>
      <c r="EX46">
        <v>105.07633521104263</v>
      </c>
      <c r="EY46">
        <v>105.27168765799597</v>
      </c>
      <c r="EZ46">
        <v>105.47133923405551</v>
      </c>
      <c r="FA46">
        <v>105.67147443581148</v>
      </c>
      <c r="FB46">
        <v>105.86968503049323</v>
      </c>
      <c r="FC46">
        <v>106.06017328251716</v>
      </c>
      <c r="FD46">
        <v>106.25678570169927</v>
      </c>
      <c r="FE46">
        <v>106.49735272202339</v>
      </c>
      <c r="FF46">
        <v>106.6854720383061</v>
      </c>
      <c r="FG46">
        <v>106.96490842475309</v>
      </c>
      <c r="FH46">
        <v>107.18790141381072</v>
      </c>
      <c r="FI46">
        <v>107.38863921094253</v>
      </c>
      <c r="FJ46">
        <v>107.61514695476663</v>
      </c>
      <c r="FK46">
        <v>107.78008963591121</v>
      </c>
      <c r="FL46">
        <v>108.05393870020828</v>
      </c>
      <c r="FM46">
        <v>108.29354740094136</v>
      </c>
      <c r="FN46">
        <v>108.55498973165234</v>
      </c>
      <c r="FO46">
        <v>108.89581118706548</v>
      </c>
      <c r="FP46">
        <v>109.16720633001643</v>
      </c>
      <c r="FQ46">
        <v>109.46105621011523</v>
      </c>
      <c r="FR46">
        <v>109.7562434686745</v>
      </c>
      <c r="FS46">
        <v>110.02841894822478</v>
      </c>
      <c r="FT46">
        <v>110.38527174643744</v>
      </c>
      <c r="FU46">
        <v>110.76048891784968</v>
      </c>
      <c r="FV46">
        <v>111.06312527035644</v>
      </c>
      <c r="FW46">
        <v>111.47962831776306</v>
      </c>
      <c r="FX46">
        <v>111.81062947376874</v>
      </c>
      <c r="FY46">
        <v>112.18527840255911</v>
      </c>
      <c r="FZ46">
        <v>112.60726376501381</v>
      </c>
      <c r="GA46">
        <v>113.14498549513833</v>
      </c>
      <c r="GB46">
        <v>113.56303205398586</v>
      </c>
      <c r="GC46">
        <v>114.19631352719742</v>
      </c>
      <c r="GD46">
        <v>114.66024929094269</v>
      </c>
      <c r="GE46">
        <v>115.14034495196321</v>
      </c>
      <c r="GF46">
        <v>116.02981038910073</v>
      </c>
      <c r="GG46">
        <v>116.74181774051307</v>
      </c>
      <c r="GH46">
        <v>117.69378094476892</v>
      </c>
      <c r="GI46">
        <v>118.60119449373491</v>
      </c>
      <c r="GJ46">
        <v>119.67694951929714</v>
      </c>
      <c r="GK46">
        <v>120.77808798827259</v>
      </c>
      <c r="GL46">
        <v>122.32125723558369</v>
      </c>
      <c r="GM46">
        <v>123.89472700756487</v>
      </c>
      <c r="GN46">
        <v>126.30790445435139</v>
      </c>
      <c r="GO46">
        <v>129.26690993745063</v>
      </c>
      <c r="GP46">
        <v>132.62268942482055</v>
      </c>
      <c r="GQ46">
        <v>140.40066622326447</v>
      </c>
      <c r="GR46">
        <v>100.88494729107278</v>
      </c>
      <c r="GT46" s="8">
        <v>45357</v>
      </c>
      <c r="GU46">
        <v>127.00985</v>
      </c>
    </row>
    <row r="47" spans="1:203" x14ac:dyDescent="0.45">
      <c r="A47">
        <v>87.472925505130448</v>
      </c>
      <c r="B47">
        <v>88.447518396086053</v>
      </c>
      <c r="C47">
        <v>89.133152627852638</v>
      </c>
      <c r="D47">
        <v>89.571741527138286</v>
      </c>
      <c r="E47">
        <v>89.960572534261971</v>
      </c>
      <c r="F47">
        <v>90.24079509937701</v>
      </c>
      <c r="G47">
        <v>90.526844904612688</v>
      </c>
      <c r="H47">
        <v>90.775376577804536</v>
      </c>
      <c r="I47">
        <v>90.951557301977644</v>
      </c>
      <c r="J47">
        <v>91.175818463145475</v>
      </c>
      <c r="K47">
        <v>91.345519276415359</v>
      </c>
      <c r="L47">
        <v>91.524945506276538</v>
      </c>
      <c r="M47">
        <v>91.679114034495129</v>
      </c>
      <c r="N47">
        <v>91.866081405564856</v>
      </c>
      <c r="O47">
        <v>92.030353479424377</v>
      </c>
      <c r="P47">
        <v>92.139068001284357</v>
      </c>
      <c r="Q47">
        <v>92.241025899774058</v>
      </c>
      <c r="R47">
        <v>92.356956573797788</v>
      </c>
      <c r="S47">
        <v>92.515710467606056</v>
      </c>
      <c r="T47">
        <v>92.667774274869501</v>
      </c>
      <c r="U47">
        <v>92.783427685284181</v>
      </c>
      <c r="V47">
        <v>92.88518998490666</v>
      </c>
      <c r="W47">
        <v>92.977338179654936</v>
      </c>
      <c r="X47">
        <v>93.104123351416092</v>
      </c>
      <c r="Y47">
        <v>93.191873139824182</v>
      </c>
      <c r="Z47">
        <v>93.273557613877998</v>
      </c>
      <c r="AA47">
        <v>93.363750399435006</v>
      </c>
      <c r="AB47">
        <v>93.446653442742175</v>
      </c>
      <c r="AC47">
        <v>93.538653288934185</v>
      </c>
      <c r="AD47">
        <v>93.629645284243878</v>
      </c>
      <c r="AE47">
        <v>93.702459758052171</v>
      </c>
      <c r="AF47">
        <v>93.785742177210793</v>
      </c>
      <c r="AG47">
        <v>93.860828804702763</v>
      </c>
      <c r="AH47">
        <v>93.93813452781238</v>
      </c>
      <c r="AI47">
        <v>94.004587770713044</v>
      </c>
      <c r="AJ47">
        <v>94.076022461317194</v>
      </c>
      <c r="AK47">
        <v>94.160845564727083</v>
      </c>
      <c r="AL47">
        <v>94.231724423275594</v>
      </c>
      <c r="AM47">
        <v>94.305930733682828</v>
      </c>
      <c r="AN47">
        <v>94.383312221863235</v>
      </c>
      <c r="AO47">
        <v>94.452612696822484</v>
      </c>
      <c r="AP47">
        <v>94.515649711815158</v>
      </c>
      <c r="AQ47">
        <v>94.591826233600756</v>
      </c>
      <c r="AR47">
        <v>94.656145979692766</v>
      </c>
      <c r="AS47">
        <v>94.712616166703199</v>
      </c>
      <c r="AT47">
        <v>94.777801976897493</v>
      </c>
      <c r="AU47">
        <v>94.831628080041284</v>
      </c>
      <c r="AV47">
        <v>94.901511554904616</v>
      </c>
      <c r="AW47">
        <v>94.960896546074977</v>
      </c>
      <c r="AX47">
        <v>95.035535929926894</v>
      </c>
      <c r="AY47">
        <v>95.10926852800543</v>
      </c>
      <c r="AZ47">
        <v>95.172090023459262</v>
      </c>
      <c r="BA47">
        <v>95.250590567101753</v>
      </c>
      <c r="BB47">
        <v>95.318704607724513</v>
      </c>
      <c r="BC47">
        <v>95.394070669440922</v>
      </c>
      <c r="BD47">
        <v>95.466758790307793</v>
      </c>
      <c r="BE47">
        <v>95.524906571155469</v>
      </c>
      <c r="BF47">
        <v>95.584597484623686</v>
      </c>
      <c r="BG47">
        <v>95.65540528277738</v>
      </c>
      <c r="BH47">
        <v>95.716678442524824</v>
      </c>
      <c r="BI47">
        <v>95.78825875453839</v>
      </c>
      <c r="BJ47">
        <v>95.83472727667548</v>
      </c>
      <c r="BK47">
        <v>95.887299930390228</v>
      </c>
      <c r="BL47">
        <v>95.961030889783927</v>
      </c>
      <c r="BM47">
        <v>96.037835888235989</v>
      </c>
      <c r="BN47">
        <v>96.100233945640369</v>
      </c>
      <c r="BO47">
        <v>96.187010926174906</v>
      </c>
      <c r="BP47">
        <v>96.244006917752003</v>
      </c>
      <c r="BQ47">
        <v>96.301234708753313</v>
      </c>
      <c r="BR47">
        <v>96.370223376796346</v>
      </c>
      <c r="BS47">
        <v>96.427500992605914</v>
      </c>
      <c r="BT47">
        <v>96.485516273379275</v>
      </c>
      <c r="BU47">
        <v>96.536061874111141</v>
      </c>
      <c r="BV47">
        <v>96.61391425484409</v>
      </c>
      <c r="BW47">
        <v>96.707524110685782</v>
      </c>
      <c r="BX47">
        <v>96.778283053949679</v>
      </c>
      <c r="BY47">
        <v>96.856154253657607</v>
      </c>
      <c r="BZ47">
        <v>96.923945273191947</v>
      </c>
      <c r="CA47">
        <v>96.993836727802858</v>
      </c>
      <c r="CB47">
        <v>97.076729271073404</v>
      </c>
      <c r="CC47">
        <v>97.152510215554543</v>
      </c>
      <c r="CD47">
        <v>97.218416175189844</v>
      </c>
      <c r="CE47">
        <v>97.274443844391001</v>
      </c>
      <c r="CF47">
        <v>97.326799721946642</v>
      </c>
      <c r="CG47">
        <v>97.409236522126903</v>
      </c>
      <c r="CH47">
        <v>97.509794682838262</v>
      </c>
      <c r="CI47">
        <v>97.576560319059141</v>
      </c>
      <c r="CJ47">
        <v>97.652426212009644</v>
      </c>
      <c r="CK47">
        <v>97.718927712124454</v>
      </c>
      <c r="CL47">
        <v>97.783542134161564</v>
      </c>
      <c r="CM47">
        <v>97.875927396606542</v>
      </c>
      <c r="CN47">
        <v>97.937971172476495</v>
      </c>
      <c r="CO47">
        <v>98.025435738327957</v>
      </c>
      <c r="CP47">
        <v>98.084383499392302</v>
      </c>
      <c r="CQ47">
        <v>98.15878899570744</v>
      </c>
      <c r="CR47">
        <v>98.260354574046531</v>
      </c>
      <c r="CS47">
        <v>98.335043137094431</v>
      </c>
      <c r="CT47">
        <v>98.401572661171684</v>
      </c>
      <c r="CU47">
        <v>98.507579353011707</v>
      </c>
      <c r="CV47">
        <v>98.59745902018652</v>
      </c>
      <c r="CW47">
        <v>98.705122933774419</v>
      </c>
      <c r="CX47">
        <v>98.795646538747988</v>
      </c>
      <c r="CY47">
        <v>98.896106070341972</v>
      </c>
      <c r="CZ47">
        <v>98.987282646547698</v>
      </c>
      <c r="DA47">
        <v>99.093021234108775</v>
      </c>
      <c r="DB47">
        <v>99.186896809773827</v>
      </c>
      <c r="DC47">
        <v>99.27679294528015</v>
      </c>
      <c r="DD47">
        <v>99.361535255378726</v>
      </c>
      <c r="DE47">
        <v>99.460767864723579</v>
      </c>
      <c r="DF47">
        <v>99.536922931352748</v>
      </c>
      <c r="DG47">
        <v>99.649567456260201</v>
      </c>
      <c r="DH47">
        <v>99.734900184128676</v>
      </c>
      <c r="DI47">
        <v>99.827990157397593</v>
      </c>
      <c r="DJ47">
        <v>99.925012197794771</v>
      </c>
      <c r="DK47">
        <v>100.01518228323505</v>
      </c>
      <c r="DL47">
        <v>100.10978974487847</v>
      </c>
      <c r="DM47">
        <v>100.20542589735051</v>
      </c>
      <c r="DN47">
        <v>100.32346127129206</v>
      </c>
      <c r="DO47">
        <v>100.43823468311145</v>
      </c>
      <c r="DP47">
        <v>100.5430749782151</v>
      </c>
      <c r="DQ47">
        <v>100.6560509104076</v>
      </c>
      <c r="DR47">
        <v>100.74906133190082</v>
      </c>
      <c r="DS47">
        <v>100.84385167081801</v>
      </c>
      <c r="DT47">
        <v>100.94738360892474</v>
      </c>
      <c r="DU47">
        <v>101.05481082986024</v>
      </c>
      <c r="DV47">
        <v>101.15306607529506</v>
      </c>
      <c r="DW47">
        <v>101.26405983596136</v>
      </c>
      <c r="DX47">
        <v>101.38026115707699</v>
      </c>
      <c r="DY47">
        <v>101.49773172497896</v>
      </c>
      <c r="DZ47">
        <v>101.64053338361545</v>
      </c>
      <c r="EA47">
        <v>101.74019695303419</v>
      </c>
      <c r="EB47">
        <v>101.84609346941232</v>
      </c>
      <c r="EC47">
        <v>101.9708025628814</v>
      </c>
      <c r="ED47">
        <v>102.13464433191035</v>
      </c>
      <c r="EE47">
        <v>102.26147521826276</v>
      </c>
      <c r="EF47">
        <v>102.37361672847432</v>
      </c>
      <c r="EG47">
        <v>102.51724376666986</v>
      </c>
      <c r="EH47">
        <v>102.65576162503802</v>
      </c>
      <c r="EI47">
        <v>102.78763287497327</v>
      </c>
      <c r="EJ47">
        <v>102.9369584791647</v>
      </c>
      <c r="EK47">
        <v>103.07076744667472</v>
      </c>
      <c r="EL47">
        <v>103.19871801391294</v>
      </c>
      <c r="EM47">
        <v>103.31487437517377</v>
      </c>
      <c r="EN47">
        <v>103.44966843116855</v>
      </c>
      <c r="EO47">
        <v>103.58868563877216</v>
      </c>
      <c r="EP47">
        <v>103.74386846090566</v>
      </c>
      <c r="EQ47">
        <v>103.89678209028938</v>
      </c>
      <c r="ER47">
        <v>104.03888401108479</v>
      </c>
      <c r="ES47">
        <v>104.2182054903207</v>
      </c>
      <c r="ET47">
        <v>104.4167455733986</v>
      </c>
      <c r="EU47">
        <v>104.60901930799746</v>
      </c>
      <c r="EV47">
        <v>104.78826177454764</v>
      </c>
      <c r="EW47">
        <v>104.97944420651473</v>
      </c>
      <c r="EX47">
        <v>105.11864125931811</v>
      </c>
      <c r="EY47">
        <v>105.30174258883174</v>
      </c>
      <c r="EZ47">
        <v>105.50097604664039</v>
      </c>
      <c r="FA47">
        <v>105.70851685678868</v>
      </c>
      <c r="FB47">
        <v>105.93884943146031</v>
      </c>
      <c r="FC47">
        <v>106.14796495962013</v>
      </c>
      <c r="FD47">
        <v>106.35554615157872</v>
      </c>
      <c r="FE47">
        <v>106.54371421385092</v>
      </c>
      <c r="FF47">
        <v>106.74431948933598</v>
      </c>
      <c r="FG47">
        <v>106.97625746333946</v>
      </c>
      <c r="FH47">
        <v>107.22314964615005</v>
      </c>
      <c r="FI47">
        <v>107.48519991237713</v>
      </c>
      <c r="FJ47">
        <v>107.65350697571745</v>
      </c>
      <c r="FK47">
        <v>107.86829807147058</v>
      </c>
      <c r="FL47">
        <v>108.06897231481442</v>
      </c>
      <c r="FM47">
        <v>108.37573182529401</v>
      </c>
      <c r="FN47">
        <v>108.64809003507922</v>
      </c>
      <c r="FO47">
        <v>108.94924470423821</v>
      </c>
      <c r="FP47">
        <v>109.19655877685108</v>
      </c>
      <c r="FQ47">
        <v>109.49917961002406</v>
      </c>
      <c r="FR47">
        <v>109.79570466412841</v>
      </c>
      <c r="FS47">
        <v>110.12567709702549</v>
      </c>
      <c r="FT47">
        <v>110.46398306925843</v>
      </c>
      <c r="FU47">
        <v>110.75801273380957</v>
      </c>
      <c r="FV47">
        <v>111.04627965488031</v>
      </c>
      <c r="FW47">
        <v>111.3899471726979</v>
      </c>
      <c r="FX47">
        <v>111.7589379715894</v>
      </c>
      <c r="FY47">
        <v>112.22364095766844</v>
      </c>
      <c r="FZ47">
        <v>112.62504981656103</v>
      </c>
      <c r="GA47">
        <v>113.14555199130557</v>
      </c>
      <c r="GB47">
        <v>113.69905467026823</v>
      </c>
      <c r="GC47">
        <v>114.29079742613462</v>
      </c>
      <c r="GD47">
        <v>114.92766478375233</v>
      </c>
      <c r="GE47">
        <v>115.43573873135503</v>
      </c>
      <c r="GF47">
        <v>116.11365058220503</v>
      </c>
      <c r="GG47">
        <v>116.90843427012175</v>
      </c>
      <c r="GH47">
        <v>117.82262204308113</v>
      </c>
      <c r="GI47">
        <v>118.67059747892799</v>
      </c>
      <c r="GJ47">
        <v>119.8132510730638</v>
      </c>
      <c r="GK47">
        <v>120.99960711085956</v>
      </c>
      <c r="GL47">
        <v>122.40712670151386</v>
      </c>
      <c r="GM47">
        <v>123.98191838991909</v>
      </c>
      <c r="GN47">
        <v>126.21507874272027</v>
      </c>
      <c r="GO47">
        <v>129.11428057733468</v>
      </c>
      <c r="GP47">
        <v>132.9085880896186</v>
      </c>
      <c r="GQ47">
        <v>141.11892886291884</v>
      </c>
      <c r="GR47">
        <v>100.88499271113137</v>
      </c>
      <c r="GT47" s="8">
        <v>45358</v>
      </c>
      <c r="GU47">
        <v>132.58394999999999</v>
      </c>
    </row>
    <row r="48" spans="1:203" x14ac:dyDescent="0.45">
      <c r="A48">
        <v>87.408515118161432</v>
      </c>
      <c r="B48">
        <v>88.277462730656168</v>
      </c>
      <c r="C48">
        <v>88.994584807181283</v>
      </c>
      <c r="D48">
        <v>89.487820966385414</v>
      </c>
      <c r="E48">
        <v>89.892932117050961</v>
      </c>
      <c r="F48">
        <v>90.167247635129954</v>
      </c>
      <c r="G48">
        <v>90.381927155304552</v>
      </c>
      <c r="H48">
        <v>90.639575919052049</v>
      </c>
      <c r="I48">
        <v>90.86873513057094</v>
      </c>
      <c r="J48">
        <v>91.069857787547107</v>
      </c>
      <c r="K48">
        <v>91.301939246131411</v>
      </c>
      <c r="L48">
        <v>91.476518083446791</v>
      </c>
      <c r="M48">
        <v>91.620323966242623</v>
      </c>
      <c r="N48">
        <v>91.767438548247526</v>
      </c>
      <c r="O48">
        <v>91.901731109724722</v>
      </c>
      <c r="P48">
        <v>92.036761249433425</v>
      </c>
      <c r="Q48">
        <v>92.179818149617972</v>
      </c>
      <c r="R48">
        <v>92.312583874551237</v>
      </c>
      <c r="S48">
        <v>92.41453219841479</v>
      </c>
      <c r="T48">
        <v>92.533421856445528</v>
      </c>
      <c r="U48">
        <v>92.639211838013111</v>
      </c>
      <c r="V48">
        <v>92.750360402074378</v>
      </c>
      <c r="W48">
        <v>92.854221622731117</v>
      </c>
      <c r="X48">
        <v>92.956913546952023</v>
      </c>
      <c r="Y48">
        <v>93.064562729826392</v>
      </c>
      <c r="Z48">
        <v>93.162205707186331</v>
      </c>
      <c r="AA48">
        <v>93.266420300042697</v>
      </c>
      <c r="AB48">
        <v>93.366271432850994</v>
      </c>
      <c r="AC48">
        <v>93.44798441289926</v>
      </c>
      <c r="AD48">
        <v>93.533705919219528</v>
      </c>
      <c r="AE48">
        <v>93.618312826489813</v>
      </c>
      <c r="AF48">
        <v>93.679016272245647</v>
      </c>
      <c r="AG48">
        <v>93.752604394733424</v>
      </c>
      <c r="AH48">
        <v>93.838515388769181</v>
      </c>
      <c r="AI48">
        <v>93.921153285290927</v>
      </c>
      <c r="AJ48">
        <v>93.981410805606643</v>
      </c>
      <c r="AK48">
        <v>94.059955046189884</v>
      </c>
      <c r="AL48">
        <v>94.131944272416192</v>
      </c>
      <c r="AM48">
        <v>94.194602790642591</v>
      </c>
      <c r="AN48">
        <v>94.270068380195283</v>
      </c>
      <c r="AO48">
        <v>94.349384116018484</v>
      </c>
      <c r="AP48">
        <v>94.419156204434898</v>
      </c>
      <c r="AQ48">
        <v>94.495349604916754</v>
      </c>
      <c r="AR48">
        <v>94.558525519862258</v>
      </c>
      <c r="AS48">
        <v>94.626742518292886</v>
      </c>
      <c r="AT48">
        <v>94.704527805508292</v>
      </c>
      <c r="AU48">
        <v>94.770327001688742</v>
      </c>
      <c r="AV48">
        <v>94.83186405280226</v>
      </c>
      <c r="AW48">
        <v>94.926905862305688</v>
      </c>
      <c r="AX48">
        <v>94.982717731416642</v>
      </c>
      <c r="AY48">
        <v>95.046905930317905</v>
      </c>
      <c r="AZ48">
        <v>95.108024478149204</v>
      </c>
      <c r="BA48">
        <v>95.167817317315823</v>
      </c>
      <c r="BB48">
        <v>95.235174441890123</v>
      </c>
      <c r="BC48">
        <v>95.311892472216769</v>
      </c>
      <c r="BD48">
        <v>95.371214201060909</v>
      </c>
      <c r="BE48">
        <v>95.449427589324358</v>
      </c>
      <c r="BF48">
        <v>95.55213169156282</v>
      </c>
      <c r="BG48">
        <v>95.639279743455361</v>
      </c>
      <c r="BH48">
        <v>95.707552056726456</v>
      </c>
      <c r="BI48">
        <v>95.760760400093616</v>
      </c>
      <c r="BJ48">
        <v>95.818325034660916</v>
      </c>
      <c r="BK48">
        <v>95.877041228182762</v>
      </c>
      <c r="BL48">
        <v>95.946579325275181</v>
      </c>
      <c r="BM48">
        <v>96.013019542671543</v>
      </c>
      <c r="BN48">
        <v>96.078658589796447</v>
      </c>
      <c r="BO48">
        <v>96.142721560881114</v>
      </c>
      <c r="BP48">
        <v>96.196959156062348</v>
      </c>
      <c r="BQ48">
        <v>96.25837599365407</v>
      </c>
      <c r="BR48">
        <v>96.33819240356631</v>
      </c>
      <c r="BS48">
        <v>96.413228557826301</v>
      </c>
      <c r="BT48">
        <v>96.4710395608992</v>
      </c>
      <c r="BU48">
        <v>96.549675256828763</v>
      </c>
      <c r="BV48">
        <v>96.625074626065569</v>
      </c>
      <c r="BW48">
        <v>96.690149838412665</v>
      </c>
      <c r="BX48">
        <v>96.770972339015998</v>
      </c>
      <c r="BY48">
        <v>96.83629057322446</v>
      </c>
      <c r="BZ48">
        <v>96.898558188884309</v>
      </c>
      <c r="CA48">
        <v>96.958728275187283</v>
      </c>
      <c r="CB48">
        <v>97.040948498157647</v>
      </c>
      <c r="CC48">
        <v>97.116156632674304</v>
      </c>
      <c r="CD48">
        <v>97.188544527300849</v>
      </c>
      <c r="CE48">
        <v>97.253997751959858</v>
      </c>
      <c r="CF48">
        <v>97.31606875631131</v>
      </c>
      <c r="CG48">
        <v>97.398216340095715</v>
      </c>
      <c r="CH48">
        <v>97.475857651272548</v>
      </c>
      <c r="CI48">
        <v>97.551833218053915</v>
      </c>
      <c r="CJ48">
        <v>97.627129933358475</v>
      </c>
      <c r="CK48">
        <v>97.692586032308</v>
      </c>
      <c r="CL48">
        <v>97.750688095456781</v>
      </c>
      <c r="CM48">
        <v>97.844735573777072</v>
      </c>
      <c r="CN48">
        <v>97.933094260825158</v>
      </c>
      <c r="CO48">
        <v>98.004646548960864</v>
      </c>
      <c r="CP48">
        <v>98.057556195103714</v>
      </c>
      <c r="CQ48">
        <v>98.14429431264125</v>
      </c>
      <c r="CR48">
        <v>98.232190981706907</v>
      </c>
      <c r="CS48">
        <v>98.306245377523581</v>
      </c>
      <c r="CT48">
        <v>98.385476528572781</v>
      </c>
      <c r="CU48">
        <v>98.464118333999465</v>
      </c>
      <c r="CV48">
        <v>98.563151077206925</v>
      </c>
      <c r="CW48">
        <v>98.653974557021982</v>
      </c>
      <c r="CX48">
        <v>98.735967412602719</v>
      </c>
      <c r="CY48">
        <v>98.807078590940691</v>
      </c>
      <c r="CZ48">
        <v>98.882258770439833</v>
      </c>
      <c r="DA48">
        <v>99.000351520882063</v>
      </c>
      <c r="DB48">
        <v>99.104932988487064</v>
      </c>
      <c r="DC48">
        <v>99.221249154450589</v>
      </c>
      <c r="DD48">
        <v>99.310391443733721</v>
      </c>
      <c r="DE48">
        <v>99.397969009333465</v>
      </c>
      <c r="DF48">
        <v>99.504046379721331</v>
      </c>
      <c r="DG48">
        <v>99.637534935772607</v>
      </c>
      <c r="DH48">
        <v>99.765447733431003</v>
      </c>
      <c r="DI48">
        <v>99.844396745865225</v>
      </c>
      <c r="DJ48">
        <v>99.93105644002847</v>
      </c>
      <c r="DK48">
        <v>100.03107704016138</v>
      </c>
      <c r="DL48">
        <v>100.14256891035974</v>
      </c>
      <c r="DM48">
        <v>100.21702811627735</v>
      </c>
      <c r="DN48">
        <v>100.30103835482888</v>
      </c>
      <c r="DO48">
        <v>100.44596846515741</v>
      </c>
      <c r="DP48">
        <v>100.5404505055284</v>
      </c>
      <c r="DQ48">
        <v>100.66365261468566</v>
      </c>
      <c r="DR48">
        <v>100.76691860459913</v>
      </c>
      <c r="DS48">
        <v>100.86646528903906</v>
      </c>
      <c r="DT48">
        <v>100.99588164128254</v>
      </c>
      <c r="DU48">
        <v>101.10319046123455</v>
      </c>
      <c r="DV48">
        <v>101.21740048118345</v>
      </c>
      <c r="DW48">
        <v>101.33133153346735</v>
      </c>
      <c r="DX48">
        <v>101.45001606715482</v>
      </c>
      <c r="DY48">
        <v>101.57065381826334</v>
      </c>
      <c r="DZ48">
        <v>101.71839798413154</v>
      </c>
      <c r="EA48">
        <v>101.83345819438313</v>
      </c>
      <c r="EB48">
        <v>101.98211141812698</v>
      </c>
      <c r="EC48">
        <v>102.07536897482161</v>
      </c>
      <c r="ED48">
        <v>102.19760657862886</v>
      </c>
      <c r="EE48">
        <v>102.33959089277565</v>
      </c>
      <c r="EF48">
        <v>102.46462201763225</v>
      </c>
      <c r="EG48">
        <v>102.58678721922273</v>
      </c>
      <c r="EH48">
        <v>102.72559585088942</v>
      </c>
      <c r="EI48">
        <v>102.86362593205905</v>
      </c>
      <c r="EJ48">
        <v>103.0196328727293</v>
      </c>
      <c r="EK48">
        <v>103.1569986163899</v>
      </c>
      <c r="EL48">
        <v>103.24352270960851</v>
      </c>
      <c r="EM48">
        <v>103.35621323204735</v>
      </c>
      <c r="EN48">
        <v>103.48465662345104</v>
      </c>
      <c r="EO48">
        <v>103.64165427993227</v>
      </c>
      <c r="EP48">
        <v>103.78204892712918</v>
      </c>
      <c r="EQ48">
        <v>103.94072702152431</v>
      </c>
      <c r="ER48">
        <v>104.15041531672873</v>
      </c>
      <c r="ES48">
        <v>104.30246751289151</v>
      </c>
      <c r="ET48">
        <v>104.49468552788447</v>
      </c>
      <c r="EU48">
        <v>104.6686751745418</v>
      </c>
      <c r="EV48">
        <v>104.84549344696107</v>
      </c>
      <c r="EW48">
        <v>104.99769233558506</v>
      </c>
      <c r="EX48">
        <v>105.17443842650428</v>
      </c>
      <c r="EY48">
        <v>105.32527306713736</v>
      </c>
      <c r="EZ48">
        <v>105.56834402544611</v>
      </c>
      <c r="FA48">
        <v>105.74831731323727</v>
      </c>
      <c r="FB48">
        <v>105.96032437114313</v>
      </c>
      <c r="FC48">
        <v>106.14639522116165</v>
      </c>
      <c r="FD48">
        <v>106.35023157848893</v>
      </c>
      <c r="FE48">
        <v>106.53221403438229</v>
      </c>
      <c r="FF48">
        <v>106.7747483530697</v>
      </c>
      <c r="FG48">
        <v>107.04315178291478</v>
      </c>
      <c r="FH48">
        <v>107.26789104593207</v>
      </c>
      <c r="FI48">
        <v>107.46554733817258</v>
      </c>
      <c r="FJ48">
        <v>107.69504653242741</v>
      </c>
      <c r="FK48">
        <v>107.92246045581014</v>
      </c>
      <c r="FL48">
        <v>108.17159696761296</v>
      </c>
      <c r="FM48">
        <v>108.46492541812312</v>
      </c>
      <c r="FN48">
        <v>108.68642602042182</v>
      </c>
      <c r="FO48">
        <v>108.99836083291694</v>
      </c>
      <c r="FP48">
        <v>109.29820306287618</v>
      </c>
      <c r="FQ48">
        <v>109.58612660199286</v>
      </c>
      <c r="FR48">
        <v>109.90764118353127</v>
      </c>
      <c r="FS48">
        <v>110.19509730976196</v>
      </c>
      <c r="FT48">
        <v>110.49964453780976</v>
      </c>
      <c r="FU48">
        <v>110.82590614184909</v>
      </c>
      <c r="FV48">
        <v>111.23138953768597</v>
      </c>
      <c r="FW48">
        <v>111.6689180781629</v>
      </c>
      <c r="FX48">
        <v>112.04475713618564</v>
      </c>
      <c r="FY48">
        <v>112.4625272745201</v>
      </c>
      <c r="FZ48">
        <v>113.01773991240275</v>
      </c>
      <c r="GA48">
        <v>113.46408385885512</v>
      </c>
      <c r="GB48">
        <v>113.88653767592329</v>
      </c>
      <c r="GC48">
        <v>114.35574037861979</v>
      </c>
      <c r="GD48">
        <v>114.88534397289999</v>
      </c>
      <c r="GE48">
        <v>115.50829111289357</v>
      </c>
      <c r="GF48">
        <v>116.11877904149974</v>
      </c>
      <c r="GG48">
        <v>116.95306981366252</v>
      </c>
      <c r="GH48">
        <v>117.94730190142097</v>
      </c>
      <c r="GI48">
        <v>119.00184471070121</v>
      </c>
      <c r="GJ48">
        <v>119.98873348208377</v>
      </c>
      <c r="GK48">
        <v>121.38629831478538</v>
      </c>
      <c r="GL48">
        <v>122.84237241659871</v>
      </c>
      <c r="GM48">
        <v>124.43291455227296</v>
      </c>
      <c r="GN48">
        <v>126.52410641311864</v>
      </c>
      <c r="GO48">
        <v>129.5983055545457</v>
      </c>
      <c r="GP48">
        <v>133.75884693958145</v>
      </c>
      <c r="GQ48">
        <v>141.50852836459362</v>
      </c>
      <c r="GR48">
        <v>100.90175924148441</v>
      </c>
      <c r="GT48" s="8">
        <v>45359</v>
      </c>
      <c r="GU48">
        <v>133.74654799999999</v>
      </c>
    </row>
    <row r="49" spans="1:203" x14ac:dyDescent="0.45">
      <c r="A49">
        <v>87.265622176140795</v>
      </c>
      <c r="B49">
        <v>88.300211450425294</v>
      </c>
      <c r="C49">
        <v>88.951572694958813</v>
      </c>
      <c r="D49">
        <v>89.431999326075427</v>
      </c>
      <c r="E49">
        <v>89.726708672098127</v>
      </c>
      <c r="F49">
        <v>90.031542285631929</v>
      </c>
      <c r="G49">
        <v>90.294470528132223</v>
      </c>
      <c r="H49">
        <v>90.588634721683547</v>
      </c>
      <c r="I49">
        <v>90.809298201994366</v>
      </c>
      <c r="J49">
        <v>90.989082708289473</v>
      </c>
      <c r="K49">
        <v>91.233024339352994</v>
      </c>
      <c r="L49">
        <v>91.462542191064756</v>
      </c>
      <c r="M49">
        <v>91.604767203595586</v>
      </c>
      <c r="N49">
        <v>91.757384536037861</v>
      </c>
      <c r="O49">
        <v>91.926942259467197</v>
      </c>
      <c r="P49">
        <v>92.052815329774177</v>
      </c>
      <c r="Q49">
        <v>92.184314389631623</v>
      </c>
      <c r="R49">
        <v>92.292521425457721</v>
      </c>
      <c r="S49">
        <v>92.399397760902318</v>
      </c>
      <c r="T49">
        <v>92.507837344974007</v>
      </c>
      <c r="U49">
        <v>92.603077746362601</v>
      </c>
      <c r="V49">
        <v>92.724750298489738</v>
      </c>
      <c r="W49">
        <v>92.832482604223856</v>
      </c>
      <c r="X49">
        <v>92.94714371899866</v>
      </c>
      <c r="Y49">
        <v>93.045483388263406</v>
      </c>
      <c r="Z49">
        <v>93.135611342476736</v>
      </c>
      <c r="AA49">
        <v>93.231188483833066</v>
      </c>
      <c r="AB49">
        <v>93.32064132552631</v>
      </c>
      <c r="AC49">
        <v>93.40958389264452</v>
      </c>
      <c r="AD49">
        <v>93.5032572619875</v>
      </c>
      <c r="AE49">
        <v>93.585533134114073</v>
      </c>
      <c r="AF49">
        <v>93.660456487091366</v>
      </c>
      <c r="AG49">
        <v>93.729097069017328</v>
      </c>
      <c r="AH49">
        <v>93.815653190659859</v>
      </c>
      <c r="AI49">
        <v>93.883298820516842</v>
      </c>
      <c r="AJ49">
        <v>93.957252996034612</v>
      </c>
      <c r="AK49">
        <v>94.043667648983671</v>
      </c>
      <c r="AL49">
        <v>94.11050903517102</v>
      </c>
      <c r="AM49">
        <v>94.180636251521477</v>
      </c>
      <c r="AN49">
        <v>94.230541046044294</v>
      </c>
      <c r="AO49">
        <v>94.31436852682657</v>
      </c>
      <c r="AP49">
        <v>94.369854720340399</v>
      </c>
      <c r="AQ49">
        <v>94.44941854439648</v>
      </c>
      <c r="AR49">
        <v>94.511278076262101</v>
      </c>
      <c r="AS49">
        <v>94.563050034610143</v>
      </c>
      <c r="AT49">
        <v>94.631151050918447</v>
      </c>
      <c r="AU49">
        <v>94.701945710933316</v>
      </c>
      <c r="AV49">
        <v>94.762677337093578</v>
      </c>
      <c r="AW49">
        <v>94.833364960081099</v>
      </c>
      <c r="AX49">
        <v>94.900765013050844</v>
      </c>
      <c r="AY49">
        <v>94.970949205616861</v>
      </c>
      <c r="AZ49">
        <v>95.0540394328834</v>
      </c>
      <c r="BA49">
        <v>95.116375023801638</v>
      </c>
      <c r="BB49">
        <v>95.201106921569135</v>
      </c>
      <c r="BC49">
        <v>95.273417887546231</v>
      </c>
      <c r="BD49">
        <v>95.34723339722774</v>
      </c>
      <c r="BE49">
        <v>95.416489865709764</v>
      </c>
      <c r="BF49">
        <v>95.481674895281685</v>
      </c>
      <c r="BG49">
        <v>95.539888618306776</v>
      </c>
      <c r="BH49">
        <v>95.597600692879553</v>
      </c>
      <c r="BI49">
        <v>95.669586542489284</v>
      </c>
      <c r="BJ49">
        <v>95.753253569788626</v>
      </c>
      <c r="BK49">
        <v>95.822157796234706</v>
      </c>
      <c r="BL49">
        <v>95.900202659485942</v>
      </c>
      <c r="BM49">
        <v>95.97927053081483</v>
      </c>
      <c r="BN49">
        <v>96.053895993573121</v>
      </c>
      <c r="BO49">
        <v>96.140196059751403</v>
      </c>
      <c r="BP49">
        <v>96.21153641618146</v>
      </c>
      <c r="BQ49">
        <v>96.27575946968372</v>
      </c>
      <c r="BR49">
        <v>96.33250339923427</v>
      </c>
      <c r="BS49">
        <v>96.407637136097307</v>
      </c>
      <c r="BT49">
        <v>96.466731993057721</v>
      </c>
      <c r="BU49">
        <v>96.55171302324986</v>
      </c>
      <c r="BV49">
        <v>96.616352786977146</v>
      </c>
      <c r="BW49">
        <v>96.676072847061846</v>
      </c>
      <c r="BX49">
        <v>96.750512594662851</v>
      </c>
      <c r="BY49">
        <v>96.823368384751234</v>
      </c>
      <c r="BZ49">
        <v>96.875693431937336</v>
      </c>
      <c r="CA49">
        <v>96.967791138318532</v>
      </c>
      <c r="CB49">
        <v>97.020936475455798</v>
      </c>
      <c r="CC49">
        <v>97.080447361908284</v>
      </c>
      <c r="CD49">
        <v>97.146523114687753</v>
      </c>
      <c r="CE49">
        <v>97.229392963773449</v>
      </c>
      <c r="CF49">
        <v>97.306671870078048</v>
      </c>
      <c r="CG49">
        <v>97.383142409347229</v>
      </c>
      <c r="CH49">
        <v>97.451058960761202</v>
      </c>
      <c r="CI49">
        <v>97.535429928404014</v>
      </c>
      <c r="CJ49">
        <v>97.631766782889073</v>
      </c>
      <c r="CK49">
        <v>97.701414839384256</v>
      </c>
      <c r="CL49">
        <v>97.774578822057066</v>
      </c>
      <c r="CM49">
        <v>97.850693562218538</v>
      </c>
      <c r="CN49">
        <v>97.938608640343389</v>
      </c>
      <c r="CO49">
        <v>98.016300315029369</v>
      </c>
      <c r="CP49">
        <v>98.10003302838652</v>
      </c>
      <c r="CQ49">
        <v>98.189896153152802</v>
      </c>
      <c r="CR49">
        <v>98.255858535270448</v>
      </c>
      <c r="CS49">
        <v>98.342999683316975</v>
      </c>
      <c r="CT49">
        <v>98.402774770810225</v>
      </c>
      <c r="CU49">
        <v>98.463420511376199</v>
      </c>
      <c r="CV49">
        <v>98.546841430534954</v>
      </c>
      <c r="CW49">
        <v>98.659826043489076</v>
      </c>
      <c r="CX49">
        <v>98.756026596256518</v>
      </c>
      <c r="CY49">
        <v>98.834168547055455</v>
      </c>
      <c r="CZ49">
        <v>98.925406757309773</v>
      </c>
      <c r="DA49">
        <v>99.016682971178838</v>
      </c>
      <c r="DB49">
        <v>99.124739772153674</v>
      </c>
      <c r="DC49">
        <v>99.22763067204157</v>
      </c>
      <c r="DD49">
        <v>99.305791468507607</v>
      </c>
      <c r="DE49">
        <v>99.425146840032752</v>
      </c>
      <c r="DF49">
        <v>99.533933305217545</v>
      </c>
      <c r="DG49">
        <v>99.641859020948033</v>
      </c>
      <c r="DH49">
        <v>99.759533360678319</v>
      </c>
      <c r="DI49">
        <v>99.856828117056111</v>
      </c>
      <c r="DJ49">
        <v>99.955756867186267</v>
      </c>
      <c r="DK49">
        <v>100.0526987002805</v>
      </c>
      <c r="DL49">
        <v>100.14936810333877</v>
      </c>
      <c r="DM49">
        <v>100.25337371907777</v>
      </c>
      <c r="DN49">
        <v>100.35011663112547</v>
      </c>
      <c r="DO49">
        <v>100.45621341940172</v>
      </c>
      <c r="DP49">
        <v>100.55385220979623</v>
      </c>
      <c r="DQ49">
        <v>100.617420888645</v>
      </c>
      <c r="DR49">
        <v>100.73111307470148</v>
      </c>
      <c r="DS49">
        <v>100.8466698026471</v>
      </c>
      <c r="DT49">
        <v>100.94409685265842</v>
      </c>
      <c r="DU49">
        <v>101.05436647690721</v>
      </c>
      <c r="DV49">
        <v>101.15247748875574</v>
      </c>
      <c r="DW49">
        <v>101.25814435347958</v>
      </c>
      <c r="DX49">
        <v>101.37011012867447</v>
      </c>
      <c r="DY49">
        <v>101.45795658184014</v>
      </c>
      <c r="DZ49">
        <v>101.61027828498003</v>
      </c>
      <c r="EA49">
        <v>101.70889077971674</v>
      </c>
      <c r="EB49">
        <v>101.87857553797258</v>
      </c>
      <c r="EC49">
        <v>102.02037311026436</v>
      </c>
      <c r="ED49">
        <v>102.16257420636121</v>
      </c>
      <c r="EE49">
        <v>102.28889392564921</v>
      </c>
      <c r="EF49">
        <v>102.40388590575375</v>
      </c>
      <c r="EG49">
        <v>102.54863444219549</v>
      </c>
      <c r="EH49">
        <v>102.66303136872929</v>
      </c>
      <c r="EI49">
        <v>102.77743794367815</v>
      </c>
      <c r="EJ49">
        <v>102.91804592957588</v>
      </c>
      <c r="EK49">
        <v>103.06686226241661</v>
      </c>
      <c r="EL49">
        <v>103.20618312724251</v>
      </c>
      <c r="EM49">
        <v>103.40245884261491</v>
      </c>
      <c r="EN49">
        <v>103.57539054061382</v>
      </c>
      <c r="EO49">
        <v>103.72684854494165</v>
      </c>
      <c r="EP49">
        <v>103.90769938691032</v>
      </c>
      <c r="EQ49">
        <v>104.07091622789331</v>
      </c>
      <c r="ER49">
        <v>104.21211036681568</v>
      </c>
      <c r="ES49">
        <v>104.34246853086401</v>
      </c>
      <c r="ET49">
        <v>104.51545594712097</v>
      </c>
      <c r="EU49">
        <v>104.68721637934122</v>
      </c>
      <c r="EV49">
        <v>104.86376769316999</v>
      </c>
      <c r="EW49">
        <v>105.03638043228695</v>
      </c>
      <c r="EX49">
        <v>105.19382343246048</v>
      </c>
      <c r="EY49">
        <v>105.35598000306283</v>
      </c>
      <c r="EZ49">
        <v>105.58946777669723</v>
      </c>
      <c r="FA49">
        <v>105.78502117052805</v>
      </c>
      <c r="FB49">
        <v>105.97981306016844</v>
      </c>
      <c r="FC49">
        <v>106.18107862027274</v>
      </c>
      <c r="FD49">
        <v>106.43036405693917</v>
      </c>
      <c r="FE49">
        <v>106.59119007811363</v>
      </c>
      <c r="FF49">
        <v>106.77618377610611</v>
      </c>
      <c r="FG49">
        <v>107.0257240758436</v>
      </c>
      <c r="FH49">
        <v>107.20733281031161</v>
      </c>
      <c r="FI49">
        <v>107.42217813848538</v>
      </c>
      <c r="FJ49">
        <v>107.71744493361037</v>
      </c>
      <c r="FK49">
        <v>107.95586771011531</v>
      </c>
      <c r="FL49">
        <v>108.2266531613966</v>
      </c>
      <c r="FM49">
        <v>108.49599624151421</v>
      </c>
      <c r="FN49">
        <v>108.84732158802142</v>
      </c>
      <c r="FO49">
        <v>109.09463132516611</v>
      </c>
      <c r="FP49">
        <v>109.36051640288611</v>
      </c>
      <c r="FQ49">
        <v>109.64703754248515</v>
      </c>
      <c r="FR49">
        <v>109.91009588268435</v>
      </c>
      <c r="FS49">
        <v>110.2146887368273</v>
      </c>
      <c r="FT49">
        <v>110.65438697044121</v>
      </c>
      <c r="FU49">
        <v>111.06235861580141</v>
      </c>
      <c r="FV49">
        <v>111.35039081917282</v>
      </c>
      <c r="FW49">
        <v>111.6556724358916</v>
      </c>
      <c r="FX49">
        <v>111.98873174965556</v>
      </c>
      <c r="FY49">
        <v>112.35477001420914</v>
      </c>
      <c r="FZ49">
        <v>112.76997085606526</v>
      </c>
      <c r="GA49">
        <v>113.27985087172161</v>
      </c>
      <c r="GB49">
        <v>113.78169088150798</v>
      </c>
      <c r="GC49">
        <v>114.38782969963835</v>
      </c>
      <c r="GD49">
        <v>115.24219037284766</v>
      </c>
      <c r="GE49">
        <v>115.93837659463033</v>
      </c>
      <c r="GF49">
        <v>116.66342340995831</v>
      </c>
      <c r="GG49">
        <v>117.39411315644797</v>
      </c>
      <c r="GH49">
        <v>118.21087015872814</v>
      </c>
      <c r="GI49">
        <v>119.09498453972579</v>
      </c>
      <c r="GJ49">
        <v>120.16861346633027</v>
      </c>
      <c r="GK49">
        <v>121.45585590776125</v>
      </c>
      <c r="GL49">
        <v>122.88178739620334</v>
      </c>
      <c r="GM49">
        <v>124.52353664205805</v>
      </c>
      <c r="GN49">
        <v>126.80443308291133</v>
      </c>
      <c r="GO49">
        <v>130.03621609000655</v>
      </c>
      <c r="GP49">
        <v>134.16034222206645</v>
      </c>
      <c r="GQ49">
        <v>142.03805960263131</v>
      </c>
      <c r="GR49">
        <v>100.91191714442333</v>
      </c>
      <c r="GT49" s="8">
        <v>45362</v>
      </c>
      <c r="GU49">
        <v>132.63172800000001</v>
      </c>
    </row>
    <row r="50" spans="1:203" x14ac:dyDescent="0.45">
      <c r="A50">
        <v>87.179037588794344</v>
      </c>
      <c r="B50">
        <v>88.112190845108742</v>
      </c>
      <c r="C50">
        <v>88.826835576284253</v>
      </c>
      <c r="D50">
        <v>89.370251192218362</v>
      </c>
      <c r="E50">
        <v>89.724380824152348</v>
      </c>
      <c r="F50">
        <v>89.984479403820572</v>
      </c>
      <c r="G50">
        <v>90.241424256208987</v>
      </c>
      <c r="H50">
        <v>90.486536559594526</v>
      </c>
      <c r="I50">
        <v>90.742066733114655</v>
      </c>
      <c r="J50">
        <v>90.982853895621957</v>
      </c>
      <c r="K50">
        <v>91.182245419654038</v>
      </c>
      <c r="L50">
        <v>91.380556095910364</v>
      </c>
      <c r="M50">
        <v>91.545450814367896</v>
      </c>
      <c r="N50">
        <v>91.708917301725847</v>
      </c>
      <c r="O50">
        <v>91.851258579974271</v>
      </c>
      <c r="P50">
        <v>91.99678749933534</v>
      </c>
      <c r="Q50">
        <v>92.130156922198481</v>
      </c>
      <c r="R50">
        <v>92.215069880833539</v>
      </c>
      <c r="S50">
        <v>92.335492773291577</v>
      </c>
      <c r="T50">
        <v>92.450513354955817</v>
      </c>
      <c r="U50">
        <v>92.572491649430333</v>
      </c>
      <c r="V50">
        <v>92.677264719516231</v>
      </c>
      <c r="W50">
        <v>92.767960093364167</v>
      </c>
      <c r="X50">
        <v>92.886365376486026</v>
      </c>
      <c r="Y50">
        <v>92.998084995688117</v>
      </c>
      <c r="Z50">
        <v>93.088534228349147</v>
      </c>
      <c r="AA50">
        <v>93.184349339526747</v>
      </c>
      <c r="AB50">
        <v>93.257518444891033</v>
      </c>
      <c r="AC50">
        <v>93.345288384297248</v>
      </c>
      <c r="AD50">
        <v>93.413105007256959</v>
      </c>
      <c r="AE50">
        <v>93.497913058916382</v>
      </c>
      <c r="AF50">
        <v>93.584928284173429</v>
      </c>
      <c r="AG50">
        <v>93.653454534928812</v>
      </c>
      <c r="AH50">
        <v>93.715133442850501</v>
      </c>
      <c r="AI50">
        <v>93.803334666621552</v>
      </c>
      <c r="AJ50">
        <v>93.881433899049711</v>
      </c>
      <c r="AK50">
        <v>93.954485188205027</v>
      </c>
      <c r="AL50">
        <v>94.030396081980143</v>
      </c>
      <c r="AM50">
        <v>94.115021081207317</v>
      </c>
      <c r="AN50">
        <v>94.183764561185754</v>
      </c>
      <c r="AO50">
        <v>94.250207133441805</v>
      </c>
      <c r="AP50">
        <v>94.337712951802217</v>
      </c>
      <c r="AQ50">
        <v>94.395357548956937</v>
      </c>
      <c r="AR50">
        <v>94.45562968283312</v>
      </c>
      <c r="AS50">
        <v>94.521274667236199</v>
      </c>
      <c r="AT50">
        <v>94.603246506686929</v>
      </c>
      <c r="AU50">
        <v>94.67339088182537</v>
      </c>
      <c r="AV50">
        <v>94.740721133437404</v>
      </c>
      <c r="AW50">
        <v>94.821860391571505</v>
      </c>
      <c r="AX50">
        <v>94.893319794969855</v>
      </c>
      <c r="AY50">
        <v>94.960979581564814</v>
      </c>
      <c r="AZ50">
        <v>95.023837221748437</v>
      </c>
      <c r="BA50">
        <v>95.092657106985115</v>
      </c>
      <c r="BB50">
        <v>95.153585818970896</v>
      </c>
      <c r="BC50">
        <v>95.225844441007695</v>
      </c>
      <c r="BD50">
        <v>95.307126855021892</v>
      </c>
      <c r="BE50">
        <v>95.37087578658857</v>
      </c>
      <c r="BF50">
        <v>95.439505907684648</v>
      </c>
      <c r="BG50">
        <v>95.508695470987249</v>
      </c>
      <c r="BH50">
        <v>95.585085389636177</v>
      </c>
      <c r="BI50">
        <v>95.650338028159666</v>
      </c>
      <c r="BJ50">
        <v>95.706248581874533</v>
      </c>
      <c r="BK50">
        <v>95.758010059794003</v>
      </c>
      <c r="BL50">
        <v>95.82534627817725</v>
      </c>
      <c r="BM50">
        <v>95.894177619511922</v>
      </c>
      <c r="BN50">
        <v>95.956122504461902</v>
      </c>
      <c r="BO50">
        <v>96.042664111472163</v>
      </c>
      <c r="BP50">
        <v>96.119044010869445</v>
      </c>
      <c r="BQ50">
        <v>96.20531921086922</v>
      </c>
      <c r="BR50">
        <v>96.272300440730632</v>
      </c>
      <c r="BS50">
        <v>96.367301354752399</v>
      </c>
      <c r="BT50">
        <v>96.43555907432571</v>
      </c>
      <c r="BU50">
        <v>96.499511055559751</v>
      </c>
      <c r="BV50">
        <v>96.558920454750691</v>
      </c>
      <c r="BW50">
        <v>96.622764928100239</v>
      </c>
      <c r="BX50">
        <v>96.679488204050102</v>
      </c>
      <c r="BY50">
        <v>96.757230072230158</v>
      </c>
      <c r="BZ50">
        <v>96.836264660990665</v>
      </c>
      <c r="CA50">
        <v>96.898349842805658</v>
      </c>
      <c r="CB50">
        <v>96.974963915662727</v>
      </c>
      <c r="CC50">
        <v>97.029824245958281</v>
      </c>
      <c r="CD50">
        <v>97.117082369068157</v>
      </c>
      <c r="CE50">
        <v>97.198741980294926</v>
      </c>
      <c r="CF50">
        <v>97.278120644185762</v>
      </c>
      <c r="CG50">
        <v>97.359058045818415</v>
      </c>
      <c r="CH50">
        <v>97.431327619393798</v>
      </c>
      <c r="CI50">
        <v>97.504808628930832</v>
      </c>
      <c r="CJ50">
        <v>97.574014417934706</v>
      </c>
      <c r="CK50">
        <v>97.666362698256307</v>
      </c>
      <c r="CL50">
        <v>97.748859948947171</v>
      </c>
      <c r="CM50">
        <v>97.841754487685506</v>
      </c>
      <c r="CN50">
        <v>97.912688285999707</v>
      </c>
      <c r="CO50">
        <v>97.993522368958409</v>
      </c>
      <c r="CP50">
        <v>98.087502426785335</v>
      </c>
      <c r="CQ50">
        <v>98.171164446186964</v>
      </c>
      <c r="CR50">
        <v>98.24831637229606</v>
      </c>
      <c r="CS50">
        <v>98.341687882062516</v>
      </c>
      <c r="CT50">
        <v>98.430837125169845</v>
      </c>
      <c r="CU50">
        <v>98.518362880692408</v>
      </c>
      <c r="CV50">
        <v>98.588631237153734</v>
      </c>
      <c r="CW50">
        <v>98.68249340917292</v>
      </c>
      <c r="CX50">
        <v>98.771118654170564</v>
      </c>
      <c r="CY50">
        <v>98.856858567030244</v>
      </c>
      <c r="CZ50">
        <v>98.959582083305847</v>
      </c>
      <c r="DA50">
        <v>99.048631589323804</v>
      </c>
      <c r="DB50">
        <v>99.136880863389166</v>
      </c>
      <c r="DC50">
        <v>99.223969855876888</v>
      </c>
      <c r="DD50">
        <v>99.318792875766889</v>
      </c>
      <c r="DE50">
        <v>99.422909305892929</v>
      </c>
      <c r="DF50">
        <v>99.517614321268894</v>
      </c>
      <c r="DG50">
        <v>99.590430248840022</v>
      </c>
      <c r="DH50">
        <v>99.694456723449946</v>
      </c>
      <c r="DI50">
        <v>99.794662430338022</v>
      </c>
      <c r="DJ50">
        <v>99.890719429610684</v>
      </c>
      <c r="DK50">
        <v>100.01314957537821</v>
      </c>
      <c r="DL50">
        <v>100.10402961852195</v>
      </c>
      <c r="DM50">
        <v>100.21664164992032</v>
      </c>
      <c r="DN50">
        <v>100.32218142146137</v>
      </c>
      <c r="DO50">
        <v>100.38661457648801</v>
      </c>
      <c r="DP50">
        <v>100.48372320255061</v>
      </c>
      <c r="DQ50">
        <v>100.57309475896817</v>
      </c>
      <c r="DR50">
        <v>100.68546917139064</v>
      </c>
      <c r="DS50">
        <v>100.76852126350327</v>
      </c>
      <c r="DT50">
        <v>100.88120510522114</v>
      </c>
      <c r="DU50">
        <v>100.97759830800335</v>
      </c>
      <c r="DV50">
        <v>101.10706254803577</v>
      </c>
      <c r="DW50">
        <v>101.23699058134082</v>
      </c>
      <c r="DX50">
        <v>101.36540045347984</v>
      </c>
      <c r="DY50">
        <v>101.48513196025785</v>
      </c>
      <c r="DZ50">
        <v>101.62208327704414</v>
      </c>
      <c r="EA50">
        <v>101.73956524401356</v>
      </c>
      <c r="EB50">
        <v>101.86238645061354</v>
      </c>
      <c r="EC50">
        <v>101.99940718922412</v>
      </c>
      <c r="ED50">
        <v>102.12505122259542</v>
      </c>
      <c r="EE50">
        <v>102.27337720930416</v>
      </c>
      <c r="EF50">
        <v>102.40973277739857</v>
      </c>
      <c r="EG50">
        <v>102.5339264198426</v>
      </c>
      <c r="EH50">
        <v>102.67336513594918</v>
      </c>
      <c r="EI50">
        <v>102.82961531821223</v>
      </c>
      <c r="EJ50">
        <v>102.98556389568705</v>
      </c>
      <c r="EK50">
        <v>103.15013421215414</v>
      </c>
      <c r="EL50">
        <v>103.32146376419823</v>
      </c>
      <c r="EM50">
        <v>103.50866277324722</v>
      </c>
      <c r="EN50">
        <v>103.63545437070674</v>
      </c>
      <c r="EO50">
        <v>103.80663724787975</v>
      </c>
      <c r="EP50">
        <v>103.95534033802434</v>
      </c>
      <c r="EQ50">
        <v>104.09599308796118</v>
      </c>
      <c r="ER50">
        <v>104.27875465888661</v>
      </c>
      <c r="ES50">
        <v>104.43320494881932</v>
      </c>
      <c r="ET50">
        <v>104.5904841729572</v>
      </c>
      <c r="EU50">
        <v>104.76711360747585</v>
      </c>
      <c r="EV50">
        <v>104.94251577087201</v>
      </c>
      <c r="EW50">
        <v>105.11151846342013</v>
      </c>
      <c r="EX50">
        <v>105.28112996202159</v>
      </c>
      <c r="EY50">
        <v>105.5021998071896</v>
      </c>
      <c r="EZ50">
        <v>105.70630779145429</v>
      </c>
      <c r="FA50">
        <v>105.90755148707915</v>
      </c>
      <c r="FB50">
        <v>106.07574407179904</v>
      </c>
      <c r="FC50">
        <v>106.28328760441688</v>
      </c>
      <c r="FD50">
        <v>106.45819046782957</v>
      </c>
      <c r="FE50">
        <v>106.69912885059932</v>
      </c>
      <c r="FF50">
        <v>106.93365098953124</v>
      </c>
      <c r="FG50">
        <v>107.14146247872689</v>
      </c>
      <c r="FH50">
        <v>107.32432457505676</v>
      </c>
      <c r="FI50">
        <v>107.60464376546726</v>
      </c>
      <c r="FJ50">
        <v>107.86566844600696</v>
      </c>
      <c r="FK50">
        <v>108.16285042028997</v>
      </c>
      <c r="FL50">
        <v>108.40005319005736</v>
      </c>
      <c r="FM50">
        <v>108.71711886190722</v>
      </c>
      <c r="FN50">
        <v>108.96725976018</v>
      </c>
      <c r="FO50">
        <v>109.19059512666323</v>
      </c>
      <c r="FP50">
        <v>109.43716992753278</v>
      </c>
      <c r="FQ50">
        <v>109.70877081503653</v>
      </c>
      <c r="FR50">
        <v>110.08537008854314</v>
      </c>
      <c r="FS50">
        <v>110.41788382252291</v>
      </c>
      <c r="FT50">
        <v>110.75089517499352</v>
      </c>
      <c r="FU50">
        <v>111.07828273839843</v>
      </c>
      <c r="FV50">
        <v>111.36916367812536</v>
      </c>
      <c r="FW50">
        <v>111.78044881226339</v>
      </c>
      <c r="FX50">
        <v>112.17141619299008</v>
      </c>
      <c r="FY50">
        <v>112.59149793454144</v>
      </c>
      <c r="FZ50">
        <v>113.0749353934624</v>
      </c>
      <c r="GA50">
        <v>113.48404817058869</v>
      </c>
      <c r="GB50">
        <v>113.93276707453684</v>
      </c>
      <c r="GC50">
        <v>114.59987929365627</v>
      </c>
      <c r="GD50">
        <v>115.17651971471773</v>
      </c>
      <c r="GE50">
        <v>115.87164082944852</v>
      </c>
      <c r="GF50">
        <v>116.60146333115431</v>
      </c>
      <c r="GG50">
        <v>117.47325628074837</v>
      </c>
      <c r="GH50">
        <v>118.41023532852697</v>
      </c>
      <c r="GI50">
        <v>119.3511844779752</v>
      </c>
      <c r="GJ50">
        <v>120.25016776344108</v>
      </c>
      <c r="GK50">
        <v>121.49923908004665</v>
      </c>
      <c r="GL50">
        <v>122.94843698322002</v>
      </c>
      <c r="GM50">
        <v>124.35095286884113</v>
      </c>
      <c r="GN50">
        <v>127.13426728153533</v>
      </c>
      <c r="GO50">
        <v>130.26350742497985</v>
      </c>
      <c r="GP50">
        <v>134.69922875135458</v>
      </c>
      <c r="GQ50">
        <v>141.51727894938318</v>
      </c>
      <c r="GR50">
        <v>100.91910467239894</v>
      </c>
      <c r="GT50" s="8">
        <v>45363</v>
      </c>
      <c r="GU50">
        <v>133.348398</v>
      </c>
    </row>
    <row r="51" spans="1:203" x14ac:dyDescent="0.45">
      <c r="A51">
        <v>86.862337688936961</v>
      </c>
      <c r="B51">
        <v>88.124306623917349</v>
      </c>
      <c r="C51">
        <v>88.823102573249486</v>
      </c>
      <c r="D51">
        <v>89.331380146234238</v>
      </c>
      <c r="E51">
        <v>89.640194608610798</v>
      </c>
      <c r="F51">
        <v>89.964205789537232</v>
      </c>
      <c r="G51">
        <v>90.216565287741957</v>
      </c>
      <c r="H51">
        <v>90.445106192666159</v>
      </c>
      <c r="I51">
        <v>90.701223051107476</v>
      </c>
      <c r="J51">
        <v>90.90965318296432</v>
      </c>
      <c r="K51">
        <v>91.132310314204446</v>
      </c>
      <c r="L51">
        <v>91.31538207763343</v>
      </c>
      <c r="M51">
        <v>91.495389457760652</v>
      </c>
      <c r="N51">
        <v>91.616458277694562</v>
      </c>
      <c r="O51">
        <v>91.740103917311444</v>
      </c>
      <c r="P51">
        <v>91.900168654493314</v>
      </c>
      <c r="Q51">
        <v>92.026648713363187</v>
      </c>
      <c r="R51">
        <v>92.140739210776943</v>
      </c>
      <c r="S51">
        <v>92.257939445446212</v>
      </c>
      <c r="T51">
        <v>92.35753700290141</v>
      </c>
      <c r="U51">
        <v>92.474746887258902</v>
      </c>
      <c r="V51">
        <v>92.574843405363822</v>
      </c>
      <c r="W51">
        <v>92.715697317017856</v>
      </c>
      <c r="X51">
        <v>92.813890295188031</v>
      </c>
      <c r="Y51">
        <v>92.929747730376931</v>
      </c>
      <c r="Z51">
        <v>93.023088472950377</v>
      </c>
      <c r="AA51">
        <v>93.092500277186915</v>
      </c>
      <c r="AB51">
        <v>93.179716837304952</v>
      </c>
      <c r="AC51">
        <v>93.304106078092943</v>
      </c>
      <c r="AD51">
        <v>93.380468738660213</v>
      </c>
      <c r="AE51">
        <v>93.463086282842298</v>
      </c>
      <c r="AF51">
        <v>93.552830856632411</v>
      </c>
      <c r="AG51">
        <v>93.643758242816574</v>
      </c>
      <c r="AH51">
        <v>93.713028941902493</v>
      </c>
      <c r="AI51">
        <v>93.801430329068793</v>
      </c>
      <c r="AJ51">
        <v>93.862876060573385</v>
      </c>
      <c r="AK51">
        <v>93.933197844916222</v>
      </c>
      <c r="AL51">
        <v>94.003989479442964</v>
      </c>
      <c r="AM51">
        <v>94.080092289980072</v>
      </c>
      <c r="AN51">
        <v>94.153678937223702</v>
      </c>
      <c r="AO51">
        <v>94.227495135709162</v>
      </c>
      <c r="AP51">
        <v>94.295602655836589</v>
      </c>
      <c r="AQ51">
        <v>94.357456506940636</v>
      </c>
      <c r="AR51">
        <v>94.430907151675328</v>
      </c>
      <c r="AS51">
        <v>94.524498416624994</v>
      </c>
      <c r="AT51">
        <v>94.589964571539383</v>
      </c>
      <c r="AU51">
        <v>94.66257772519684</v>
      </c>
      <c r="AV51">
        <v>94.736012038723601</v>
      </c>
      <c r="AW51">
        <v>94.79569339126391</v>
      </c>
      <c r="AX51">
        <v>94.859285881765828</v>
      </c>
      <c r="AY51">
        <v>94.916389646141511</v>
      </c>
      <c r="AZ51">
        <v>94.982861513394269</v>
      </c>
      <c r="BA51">
        <v>95.054043958758569</v>
      </c>
      <c r="BB51">
        <v>95.121039623668111</v>
      </c>
      <c r="BC51">
        <v>95.174427118678565</v>
      </c>
      <c r="BD51">
        <v>95.24967383871865</v>
      </c>
      <c r="BE51">
        <v>95.300963958674913</v>
      </c>
      <c r="BF51">
        <v>95.377183937913188</v>
      </c>
      <c r="BG51">
        <v>95.449968898021893</v>
      </c>
      <c r="BH51">
        <v>95.516602931380874</v>
      </c>
      <c r="BI51">
        <v>95.579926611678871</v>
      </c>
      <c r="BJ51">
        <v>95.648227203119077</v>
      </c>
      <c r="BK51">
        <v>95.711733498799859</v>
      </c>
      <c r="BL51">
        <v>95.77953508613011</v>
      </c>
      <c r="BM51">
        <v>95.845699730141149</v>
      </c>
      <c r="BN51">
        <v>95.917310249159044</v>
      </c>
      <c r="BO51">
        <v>95.992298220096217</v>
      </c>
      <c r="BP51">
        <v>96.061206986758066</v>
      </c>
      <c r="BQ51">
        <v>96.151489091588331</v>
      </c>
      <c r="BR51">
        <v>96.228684156468958</v>
      </c>
      <c r="BS51">
        <v>96.292716476580821</v>
      </c>
      <c r="BT51">
        <v>96.372177694141598</v>
      </c>
      <c r="BU51">
        <v>96.439657754250064</v>
      </c>
      <c r="BV51">
        <v>96.518378202769696</v>
      </c>
      <c r="BW51">
        <v>96.593393040985589</v>
      </c>
      <c r="BX51">
        <v>96.669506268452949</v>
      </c>
      <c r="BY51">
        <v>96.728678366455739</v>
      </c>
      <c r="BZ51">
        <v>96.80627037753959</v>
      </c>
      <c r="CA51">
        <v>96.885261589595373</v>
      </c>
      <c r="CB51">
        <v>96.966480425980563</v>
      </c>
      <c r="CC51">
        <v>97.037950069798939</v>
      </c>
      <c r="CD51">
        <v>97.119616893041268</v>
      </c>
      <c r="CE51">
        <v>97.201085686284031</v>
      </c>
      <c r="CF51">
        <v>97.26876562326936</v>
      </c>
      <c r="CG51">
        <v>97.358827275227313</v>
      </c>
      <c r="CH51">
        <v>97.443244708468015</v>
      </c>
      <c r="CI51">
        <v>97.529702196276332</v>
      </c>
      <c r="CJ51">
        <v>97.604369275306709</v>
      </c>
      <c r="CK51">
        <v>97.687590186047473</v>
      </c>
      <c r="CL51">
        <v>97.765084503231492</v>
      </c>
      <c r="CM51">
        <v>97.834899404781524</v>
      </c>
      <c r="CN51">
        <v>97.911388638525708</v>
      </c>
      <c r="CO51">
        <v>97.986317102544632</v>
      </c>
      <c r="CP51">
        <v>98.061843942078227</v>
      </c>
      <c r="CQ51">
        <v>98.169256343798324</v>
      </c>
      <c r="CR51">
        <v>98.246919024820599</v>
      </c>
      <c r="CS51">
        <v>98.338207331378342</v>
      </c>
      <c r="CT51">
        <v>98.430125912341495</v>
      </c>
      <c r="CU51">
        <v>98.51082398887668</v>
      </c>
      <c r="CV51">
        <v>98.595177490094031</v>
      </c>
      <c r="CW51">
        <v>98.671482055494309</v>
      </c>
      <c r="CX51">
        <v>98.760150634855677</v>
      </c>
      <c r="CY51">
        <v>98.834596260669201</v>
      </c>
      <c r="CZ51">
        <v>98.950268706734491</v>
      </c>
      <c r="DA51">
        <v>99.041034741162079</v>
      </c>
      <c r="DB51">
        <v>99.139456801158119</v>
      </c>
      <c r="DC51">
        <v>99.22881759254274</v>
      </c>
      <c r="DD51">
        <v>99.338552134517414</v>
      </c>
      <c r="DE51">
        <v>99.421709316306959</v>
      </c>
      <c r="DF51">
        <v>99.556122148234437</v>
      </c>
      <c r="DG51">
        <v>99.643184909894444</v>
      </c>
      <c r="DH51">
        <v>99.757898674426357</v>
      </c>
      <c r="DI51">
        <v>99.848715642608468</v>
      </c>
      <c r="DJ51">
        <v>99.92974882122482</v>
      </c>
      <c r="DK51">
        <v>100.02935609890433</v>
      </c>
      <c r="DL51">
        <v>100.14261203573606</v>
      </c>
      <c r="DM51">
        <v>100.235535357955</v>
      </c>
      <c r="DN51">
        <v>100.3185483182897</v>
      </c>
      <c r="DO51">
        <v>100.4037390985435</v>
      </c>
      <c r="DP51">
        <v>100.49548606650151</v>
      </c>
      <c r="DQ51">
        <v>100.5845919644693</v>
      </c>
      <c r="DR51">
        <v>100.69762659170455</v>
      </c>
      <c r="DS51">
        <v>100.82547771323672</v>
      </c>
      <c r="DT51">
        <v>100.92664261151144</v>
      </c>
      <c r="DU51">
        <v>101.00537932758711</v>
      </c>
      <c r="DV51">
        <v>101.09445416642657</v>
      </c>
      <c r="DW51">
        <v>101.19382943405583</v>
      </c>
      <c r="DX51">
        <v>101.31239018018867</v>
      </c>
      <c r="DY51">
        <v>101.45300732088661</v>
      </c>
      <c r="DZ51">
        <v>101.56206503891299</v>
      </c>
      <c r="EA51">
        <v>101.69234966991571</v>
      </c>
      <c r="EB51">
        <v>101.83167186213075</v>
      </c>
      <c r="EC51">
        <v>101.96324175290209</v>
      </c>
      <c r="ED51">
        <v>102.13392192001731</v>
      </c>
      <c r="EE51">
        <v>102.25102290392073</v>
      </c>
      <c r="EF51">
        <v>102.39172513345534</v>
      </c>
      <c r="EG51">
        <v>102.54963081715678</v>
      </c>
      <c r="EH51">
        <v>102.66420091195518</v>
      </c>
      <c r="EI51">
        <v>102.8264028864199</v>
      </c>
      <c r="EJ51">
        <v>102.96491840625572</v>
      </c>
      <c r="EK51">
        <v>103.13037273726711</v>
      </c>
      <c r="EL51">
        <v>103.27830584473776</v>
      </c>
      <c r="EM51">
        <v>103.44661353518435</v>
      </c>
      <c r="EN51">
        <v>103.58945896833816</v>
      </c>
      <c r="EO51">
        <v>103.76302161566511</v>
      </c>
      <c r="EP51">
        <v>103.88963092057286</v>
      </c>
      <c r="EQ51">
        <v>104.04437477085052</v>
      </c>
      <c r="ER51">
        <v>104.19899313616382</v>
      </c>
      <c r="ES51">
        <v>104.39663444767611</v>
      </c>
      <c r="ET51">
        <v>104.62972304681408</v>
      </c>
      <c r="EU51">
        <v>104.77692962897699</v>
      </c>
      <c r="EV51">
        <v>104.97280949851518</v>
      </c>
      <c r="EW51">
        <v>105.15771665812574</v>
      </c>
      <c r="EX51">
        <v>105.31749056813801</v>
      </c>
      <c r="EY51">
        <v>105.49081626117224</v>
      </c>
      <c r="EZ51">
        <v>105.71430978400001</v>
      </c>
      <c r="FA51">
        <v>105.94455259453474</v>
      </c>
      <c r="FB51">
        <v>106.14894237293511</v>
      </c>
      <c r="FC51">
        <v>106.41282610992918</v>
      </c>
      <c r="FD51">
        <v>106.61045034757075</v>
      </c>
      <c r="FE51">
        <v>106.83282857135194</v>
      </c>
      <c r="FF51">
        <v>107.10050384821189</v>
      </c>
      <c r="FG51">
        <v>107.35117033579738</v>
      </c>
      <c r="FH51">
        <v>107.62002575366267</v>
      </c>
      <c r="FI51">
        <v>107.91692368345723</v>
      </c>
      <c r="FJ51">
        <v>108.19000505447364</v>
      </c>
      <c r="FK51">
        <v>108.38416988773737</v>
      </c>
      <c r="FL51">
        <v>108.6112880507694</v>
      </c>
      <c r="FM51">
        <v>108.83174875237088</v>
      </c>
      <c r="FN51">
        <v>109.04941778593805</v>
      </c>
      <c r="FO51">
        <v>109.31414214074283</v>
      </c>
      <c r="FP51">
        <v>109.65374719525374</v>
      </c>
      <c r="FQ51">
        <v>109.93367386117772</v>
      </c>
      <c r="FR51">
        <v>110.2723124578157</v>
      </c>
      <c r="FS51">
        <v>110.59930111541365</v>
      </c>
      <c r="FT51">
        <v>110.95371296177608</v>
      </c>
      <c r="FU51">
        <v>111.30990060260636</v>
      </c>
      <c r="FV51">
        <v>111.68723557269995</v>
      </c>
      <c r="FW51">
        <v>112.05626071985408</v>
      </c>
      <c r="FX51">
        <v>112.48403168635137</v>
      </c>
      <c r="FY51">
        <v>112.82432628264471</v>
      </c>
      <c r="FZ51">
        <v>113.19228046532726</v>
      </c>
      <c r="GA51">
        <v>113.64859486553098</v>
      </c>
      <c r="GB51">
        <v>114.13184284567235</v>
      </c>
      <c r="GC51">
        <v>114.68042429679454</v>
      </c>
      <c r="GD51">
        <v>115.53549896411987</v>
      </c>
      <c r="GE51">
        <v>116.25996721413689</v>
      </c>
      <c r="GF51">
        <v>117.02171359636465</v>
      </c>
      <c r="GG51">
        <v>117.68359061674357</v>
      </c>
      <c r="GH51">
        <v>118.55377429861552</v>
      </c>
      <c r="GI51">
        <v>119.41280931814795</v>
      </c>
      <c r="GJ51">
        <v>120.33646930709017</v>
      </c>
      <c r="GK51">
        <v>121.63812372409501</v>
      </c>
      <c r="GL51">
        <v>123.29312347972481</v>
      </c>
      <c r="GM51">
        <v>124.76933004468643</v>
      </c>
      <c r="GN51">
        <v>127.0526069848725</v>
      </c>
      <c r="GO51">
        <v>130.26563297428365</v>
      </c>
      <c r="GP51">
        <v>135.04433518941758</v>
      </c>
      <c r="GQ51">
        <v>143.15302603939432</v>
      </c>
      <c r="GR51">
        <v>100.94350893408142</v>
      </c>
      <c r="GT51" s="8">
        <v>45364</v>
      </c>
      <c r="GU51">
        <v>135.49840800000001</v>
      </c>
    </row>
    <row r="52" spans="1:203" x14ac:dyDescent="0.45">
      <c r="A52">
        <v>86.716967593785853</v>
      </c>
      <c r="B52">
        <v>88.034944096318057</v>
      </c>
      <c r="C52">
        <v>88.731185605129099</v>
      </c>
      <c r="D52">
        <v>89.277737810372273</v>
      </c>
      <c r="E52">
        <v>89.617878891735387</v>
      </c>
      <c r="F52">
        <v>89.927289198915503</v>
      </c>
      <c r="G52">
        <v>90.147340994018307</v>
      </c>
      <c r="H52">
        <v>90.434527104443973</v>
      </c>
      <c r="I52">
        <v>90.668472269757132</v>
      </c>
      <c r="J52">
        <v>90.894411258997081</v>
      </c>
      <c r="K52">
        <v>91.073688676918721</v>
      </c>
      <c r="L52">
        <v>91.266775273028713</v>
      </c>
      <c r="M52">
        <v>91.401044366350362</v>
      </c>
      <c r="N52">
        <v>91.543644682554998</v>
      </c>
      <c r="O52">
        <v>91.706706675688253</v>
      </c>
      <c r="P52">
        <v>91.814556699540134</v>
      </c>
      <c r="Q52">
        <v>91.982786970506794</v>
      </c>
      <c r="R52">
        <v>92.108270265919316</v>
      </c>
      <c r="S52">
        <v>92.206076886473667</v>
      </c>
      <c r="T52">
        <v>92.300352998300994</v>
      </c>
      <c r="U52">
        <v>92.446626061832703</v>
      </c>
      <c r="V52">
        <v>92.547699959845616</v>
      </c>
      <c r="W52">
        <v>92.643592214733232</v>
      </c>
      <c r="X52">
        <v>92.753845368515371</v>
      </c>
      <c r="Y52">
        <v>92.864539378017639</v>
      </c>
      <c r="Z52">
        <v>92.950382180727999</v>
      </c>
      <c r="AA52">
        <v>93.058492349873674</v>
      </c>
      <c r="AB52">
        <v>93.133797556531732</v>
      </c>
      <c r="AC52">
        <v>93.214153290249172</v>
      </c>
      <c r="AD52">
        <v>93.294238365142988</v>
      </c>
      <c r="AE52">
        <v>93.38906855769504</v>
      </c>
      <c r="AF52">
        <v>93.489321552381938</v>
      </c>
      <c r="AG52">
        <v>93.585690462732103</v>
      </c>
      <c r="AH52">
        <v>93.642692112104854</v>
      </c>
      <c r="AI52">
        <v>93.718394512875477</v>
      </c>
      <c r="AJ52">
        <v>93.790482028258609</v>
      </c>
      <c r="AK52">
        <v>93.870847360127854</v>
      </c>
      <c r="AL52">
        <v>93.943045504378091</v>
      </c>
      <c r="AM52">
        <v>94.008504078718445</v>
      </c>
      <c r="AN52">
        <v>94.085508816428188</v>
      </c>
      <c r="AO52">
        <v>94.159668210524998</v>
      </c>
      <c r="AP52">
        <v>94.250584893145032</v>
      </c>
      <c r="AQ52">
        <v>94.319583997574199</v>
      </c>
      <c r="AR52">
        <v>94.404586193013344</v>
      </c>
      <c r="AS52">
        <v>94.48801594457791</v>
      </c>
      <c r="AT52">
        <v>94.544848099286057</v>
      </c>
      <c r="AU52">
        <v>94.631212863794048</v>
      </c>
      <c r="AV52">
        <v>94.69773347025766</v>
      </c>
      <c r="AW52">
        <v>94.76510953772177</v>
      </c>
      <c r="AX52">
        <v>94.841440378327448</v>
      </c>
      <c r="AY52">
        <v>94.911201089665767</v>
      </c>
      <c r="AZ52">
        <v>94.972674864789013</v>
      </c>
      <c r="BA52">
        <v>95.038641691200468</v>
      </c>
      <c r="BB52">
        <v>95.116179827544869</v>
      </c>
      <c r="BC52">
        <v>95.176934023046655</v>
      </c>
      <c r="BD52">
        <v>95.248080078529398</v>
      </c>
      <c r="BE52">
        <v>95.317108945216589</v>
      </c>
      <c r="BF52">
        <v>95.38518167755123</v>
      </c>
      <c r="BG52">
        <v>95.437129852801434</v>
      </c>
      <c r="BH52">
        <v>95.528508129531943</v>
      </c>
      <c r="BI52">
        <v>95.583983737709261</v>
      </c>
      <c r="BJ52">
        <v>95.668121196817324</v>
      </c>
      <c r="BK52">
        <v>95.744715741802409</v>
      </c>
      <c r="BL52">
        <v>95.804965517552105</v>
      </c>
      <c r="BM52">
        <v>95.867154404481482</v>
      </c>
      <c r="BN52">
        <v>95.9389485492528</v>
      </c>
      <c r="BO52">
        <v>95.996011310865313</v>
      </c>
      <c r="BP52">
        <v>96.065163977256049</v>
      </c>
      <c r="BQ52">
        <v>96.13430785835078</v>
      </c>
      <c r="BR52">
        <v>96.215244623837691</v>
      </c>
      <c r="BS52">
        <v>96.281946447889254</v>
      </c>
      <c r="BT52">
        <v>96.351072190140314</v>
      </c>
      <c r="BU52">
        <v>96.419349593850285</v>
      </c>
      <c r="BV52">
        <v>96.478503378311757</v>
      </c>
      <c r="BW52">
        <v>96.540761689165222</v>
      </c>
      <c r="BX52">
        <v>96.625686116543449</v>
      </c>
      <c r="BY52">
        <v>96.705395942671359</v>
      </c>
      <c r="BZ52">
        <v>96.793545165061673</v>
      </c>
      <c r="CA52">
        <v>96.858310389157552</v>
      </c>
      <c r="CB52">
        <v>96.956627207919141</v>
      </c>
      <c r="CC52">
        <v>97.016225104302805</v>
      </c>
      <c r="CD52">
        <v>97.085338018292148</v>
      </c>
      <c r="CE52">
        <v>97.149737583614538</v>
      </c>
      <c r="CF52">
        <v>97.223956501654897</v>
      </c>
      <c r="CG52">
        <v>97.329159919929154</v>
      </c>
      <c r="CH52">
        <v>97.412888833899316</v>
      </c>
      <c r="CI52">
        <v>97.489062882810714</v>
      </c>
      <c r="CJ52">
        <v>97.570426646225201</v>
      </c>
      <c r="CK52">
        <v>97.652725715107024</v>
      </c>
      <c r="CL52">
        <v>97.738548942219026</v>
      </c>
      <c r="CM52">
        <v>97.793944833002229</v>
      </c>
      <c r="CN52">
        <v>97.883585903867271</v>
      </c>
      <c r="CO52">
        <v>97.964597634570637</v>
      </c>
      <c r="CP52">
        <v>98.049233937186401</v>
      </c>
      <c r="CQ52">
        <v>98.129198400063657</v>
      </c>
      <c r="CR52">
        <v>98.205841120886703</v>
      </c>
      <c r="CS52">
        <v>98.293973391216909</v>
      </c>
      <c r="CT52">
        <v>98.376069545020201</v>
      </c>
      <c r="CU52">
        <v>98.472075314832537</v>
      </c>
      <c r="CV52">
        <v>98.563203177178693</v>
      </c>
      <c r="CW52">
        <v>98.635420720795651</v>
      </c>
      <c r="CX52">
        <v>98.709615282656841</v>
      </c>
      <c r="CY52">
        <v>98.812059698714364</v>
      </c>
      <c r="CZ52">
        <v>98.916346726526626</v>
      </c>
      <c r="DA52">
        <v>99.021718429823508</v>
      </c>
      <c r="DB52">
        <v>99.135145174018334</v>
      </c>
      <c r="DC52">
        <v>99.23432261931471</v>
      </c>
      <c r="DD52">
        <v>99.326491696060856</v>
      </c>
      <c r="DE52">
        <v>99.417281168789614</v>
      </c>
      <c r="DF52">
        <v>99.51415713426087</v>
      </c>
      <c r="DG52">
        <v>99.610990436793017</v>
      </c>
      <c r="DH52">
        <v>99.712407439217998</v>
      </c>
      <c r="DI52">
        <v>99.839883018791312</v>
      </c>
      <c r="DJ52">
        <v>99.929909192109591</v>
      </c>
      <c r="DK52">
        <v>100.05438391639076</v>
      </c>
      <c r="DL52">
        <v>100.17301806482777</v>
      </c>
      <c r="DM52">
        <v>100.25921784418428</v>
      </c>
      <c r="DN52">
        <v>100.36430909277641</v>
      </c>
      <c r="DO52">
        <v>100.46993053359991</v>
      </c>
      <c r="DP52">
        <v>100.56674731308696</v>
      </c>
      <c r="DQ52">
        <v>100.68710381531692</v>
      </c>
      <c r="DR52">
        <v>100.78318517979753</v>
      </c>
      <c r="DS52">
        <v>100.89488863046552</v>
      </c>
      <c r="DT52">
        <v>100.97858265766999</v>
      </c>
      <c r="DU52">
        <v>101.08659311816321</v>
      </c>
      <c r="DV52">
        <v>101.18454294830727</v>
      </c>
      <c r="DW52">
        <v>101.29347068221846</v>
      </c>
      <c r="DX52">
        <v>101.36803009027444</v>
      </c>
      <c r="DY52">
        <v>101.51501131220826</v>
      </c>
      <c r="DZ52">
        <v>101.62396759192123</v>
      </c>
      <c r="EA52">
        <v>101.72945033701502</v>
      </c>
      <c r="EB52">
        <v>101.88328224736382</v>
      </c>
      <c r="EC52">
        <v>102.01649556877648</v>
      </c>
      <c r="ED52">
        <v>102.14511883073116</v>
      </c>
      <c r="EE52">
        <v>102.2695472687667</v>
      </c>
      <c r="EF52">
        <v>102.38639502537822</v>
      </c>
      <c r="EG52">
        <v>102.51632044170005</v>
      </c>
      <c r="EH52">
        <v>102.65131637131083</v>
      </c>
      <c r="EI52">
        <v>102.80043453608978</v>
      </c>
      <c r="EJ52">
        <v>102.9435173840757</v>
      </c>
      <c r="EK52">
        <v>103.11004265309221</v>
      </c>
      <c r="EL52">
        <v>103.25135094591315</v>
      </c>
      <c r="EM52">
        <v>103.40582916614019</v>
      </c>
      <c r="EN52">
        <v>103.5384732487468</v>
      </c>
      <c r="EO52">
        <v>103.68750793335569</v>
      </c>
      <c r="EP52">
        <v>103.84006621523847</v>
      </c>
      <c r="EQ52">
        <v>104.03785249627431</v>
      </c>
      <c r="ER52">
        <v>104.21778142444849</v>
      </c>
      <c r="ES52">
        <v>104.40445586939585</v>
      </c>
      <c r="ET52">
        <v>104.59692867602318</v>
      </c>
      <c r="EU52">
        <v>104.74231552658762</v>
      </c>
      <c r="EV52">
        <v>104.95902987225264</v>
      </c>
      <c r="EW52">
        <v>105.166596072562</v>
      </c>
      <c r="EX52">
        <v>105.42189369238503</v>
      </c>
      <c r="EY52">
        <v>105.60441906103938</v>
      </c>
      <c r="EZ52">
        <v>105.82353563581997</v>
      </c>
      <c r="FA52">
        <v>105.99784573724389</v>
      </c>
      <c r="FB52">
        <v>106.19251699465259</v>
      </c>
      <c r="FC52">
        <v>106.41234040067891</v>
      </c>
      <c r="FD52">
        <v>106.64165237502164</v>
      </c>
      <c r="FE52">
        <v>106.92180313843929</v>
      </c>
      <c r="FF52">
        <v>107.12917268281372</v>
      </c>
      <c r="FG52">
        <v>107.37898682813658</v>
      </c>
      <c r="FH52">
        <v>107.66918263703262</v>
      </c>
      <c r="FI52">
        <v>107.90483186879719</v>
      </c>
      <c r="FJ52">
        <v>108.19372622690965</v>
      </c>
      <c r="FK52">
        <v>108.37028924888295</v>
      </c>
      <c r="FL52">
        <v>108.69446245509376</v>
      </c>
      <c r="FM52">
        <v>108.95176813973289</v>
      </c>
      <c r="FN52">
        <v>109.32815952485136</v>
      </c>
      <c r="FO52">
        <v>109.61202627091815</v>
      </c>
      <c r="FP52">
        <v>109.81769934532342</v>
      </c>
      <c r="FQ52">
        <v>110.08633390589986</v>
      </c>
      <c r="FR52">
        <v>110.36783382403615</v>
      </c>
      <c r="FS52">
        <v>110.63888556321211</v>
      </c>
      <c r="FT52">
        <v>110.99121678583731</v>
      </c>
      <c r="FU52">
        <v>111.31051370549342</v>
      </c>
      <c r="FV52">
        <v>111.70261277376467</v>
      </c>
      <c r="FW52">
        <v>112.15228727995817</v>
      </c>
      <c r="FX52">
        <v>112.47950690203666</v>
      </c>
      <c r="FY52">
        <v>112.92537888681727</v>
      </c>
      <c r="FZ52">
        <v>113.25283007423138</v>
      </c>
      <c r="GA52">
        <v>113.72195948902554</v>
      </c>
      <c r="GB52">
        <v>114.23774884912154</v>
      </c>
      <c r="GC52">
        <v>114.75477056999614</v>
      </c>
      <c r="GD52">
        <v>115.41051927106081</v>
      </c>
      <c r="GE52">
        <v>116.45521363355067</v>
      </c>
      <c r="GF52">
        <v>116.98839083584269</v>
      </c>
      <c r="GG52">
        <v>117.55452395407559</v>
      </c>
      <c r="GH52">
        <v>118.67189039826955</v>
      </c>
      <c r="GI52">
        <v>119.74300806598848</v>
      </c>
      <c r="GJ52">
        <v>120.64067017002959</v>
      </c>
      <c r="GK52">
        <v>122.09450491651016</v>
      </c>
      <c r="GL52">
        <v>123.34840935432997</v>
      </c>
      <c r="GM52">
        <v>125.16913515021594</v>
      </c>
      <c r="GN52">
        <v>127.53882248748458</v>
      </c>
      <c r="GO52">
        <v>130.96467256842132</v>
      </c>
      <c r="GP52">
        <v>136.24852510638095</v>
      </c>
      <c r="GQ52">
        <v>143.38896579202341</v>
      </c>
      <c r="GR52">
        <v>100.96420213430665</v>
      </c>
      <c r="GT52" s="8">
        <v>45365</v>
      </c>
      <c r="GU52">
        <v>132.78302500000001</v>
      </c>
    </row>
    <row r="53" spans="1:203" x14ac:dyDescent="0.45">
      <c r="A53">
        <v>86.640335901981885</v>
      </c>
      <c r="B53">
        <v>87.895717616944026</v>
      </c>
      <c r="C53">
        <v>88.567616767192149</v>
      </c>
      <c r="D53">
        <v>89.160872419250367</v>
      </c>
      <c r="E53">
        <v>89.552517450195182</v>
      </c>
      <c r="F53">
        <v>89.874954001411808</v>
      </c>
      <c r="G53">
        <v>90.09018785928788</v>
      </c>
      <c r="H53">
        <v>90.289772970641195</v>
      </c>
      <c r="I53">
        <v>90.529865886192468</v>
      </c>
      <c r="J53">
        <v>90.748274599194843</v>
      </c>
      <c r="K53">
        <v>90.96456453907399</v>
      </c>
      <c r="L53">
        <v>91.121126129880096</v>
      </c>
      <c r="M53">
        <v>91.311936819470148</v>
      </c>
      <c r="N53">
        <v>91.486617164642439</v>
      </c>
      <c r="O53">
        <v>91.635878705874575</v>
      </c>
      <c r="P53">
        <v>91.762425315625478</v>
      </c>
      <c r="Q53">
        <v>91.871568342599119</v>
      </c>
      <c r="R53">
        <v>92.014505572571323</v>
      </c>
      <c r="S53">
        <v>92.165346358642878</v>
      </c>
      <c r="T53">
        <v>92.298263574999751</v>
      </c>
      <c r="U53">
        <v>92.407274923664346</v>
      </c>
      <c r="V53">
        <v>92.52061655379427</v>
      </c>
      <c r="W53">
        <v>92.600586578378341</v>
      </c>
      <c r="X53">
        <v>92.690857933306276</v>
      </c>
      <c r="Y53">
        <v>92.794445901591828</v>
      </c>
      <c r="Z53">
        <v>92.913796957743628</v>
      </c>
      <c r="AA53">
        <v>93.037058451962096</v>
      </c>
      <c r="AB53">
        <v>93.126186239978793</v>
      </c>
      <c r="AC53">
        <v>93.221707732920123</v>
      </c>
      <c r="AD53">
        <v>93.307229900033349</v>
      </c>
      <c r="AE53">
        <v>93.391688914991221</v>
      </c>
      <c r="AF53">
        <v>93.484223157016132</v>
      </c>
      <c r="AG53">
        <v>93.556547259142988</v>
      </c>
      <c r="AH53">
        <v>93.636922723508803</v>
      </c>
      <c r="AI53">
        <v>93.715562950155672</v>
      </c>
      <c r="AJ53">
        <v>93.782375276227327</v>
      </c>
      <c r="AK53">
        <v>93.854917912381254</v>
      </c>
      <c r="AL53">
        <v>93.930458380843476</v>
      </c>
      <c r="AM53">
        <v>93.994401560586752</v>
      </c>
      <c r="AN53">
        <v>94.063219896958984</v>
      </c>
      <c r="AO53">
        <v>94.14280789960246</v>
      </c>
      <c r="AP53">
        <v>94.21134708583493</v>
      </c>
      <c r="AQ53">
        <v>94.285076647117037</v>
      </c>
      <c r="AR53">
        <v>94.353678073859214</v>
      </c>
      <c r="AS53">
        <v>94.429827648135344</v>
      </c>
      <c r="AT53">
        <v>94.508619128049261</v>
      </c>
      <c r="AU53">
        <v>94.581079225381615</v>
      </c>
      <c r="AV53">
        <v>94.648427103468507</v>
      </c>
      <c r="AW53">
        <v>94.724880526016264</v>
      </c>
      <c r="AX53">
        <v>94.785485072136737</v>
      </c>
      <c r="AY53">
        <v>94.862937869551132</v>
      </c>
      <c r="AZ53">
        <v>94.930996212184539</v>
      </c>
      <c r="BA53">
        <v>94.999430285707234</v>
      </c>
      <c r="BB53">
        <v>95.061827295921134</v>
      </c>
      <c r="BC53">
        <v>95.120692674942873</v>
      </c>
      <c r="BD53">
        <v>95.184381481483427</v>
      </c>
      <c r="BE53">
        <v>95.259778439429766</v>
      </c>
      <c r="BF53">
        <v>95.342593619290469</v>
      </c>
      <c r="BG53">
        <v>95.401209947245789</v>
      </c>
      <c r="BH53">
        <v>95.479635021324242</v>
      </c>
      <c r="BI53">
        <v>95.545486446174408</v>
      </c>
      <c r="BJ53">
        <v>95.61645034985979</v>
      </c>
      <c r="BK53">
        <v>95.679371159283974</v>
      </c>
      <c r="BL53">
        <v>95.745036142901967</v>
      </c>
      <c r="BM53">
        <v>95.813398758539392</v>
      </c>
      <c r="BN53">
        <v>95.883149230206627</v>
      </c>
      <c r="BO53">
        <v>95.954857925871551</v>
      </c>
      <c r="BP53">
        <v>96.034739523855876</v>
      </c>
      <c r="BQ53">
        <v>96.091467167345982</v>
      </c>
      <c r="BR53">
        <v>96.160388449061699</v>
      </c>
      <c r="BS53">
        <v>96.229535873279801</v>
      </c>
      <c r="BT53">
        <v>96.302803047460316</v>
      </c>
      <c r="BU53">
        <v>96.388484417685959</v>
      </c>
      <c r="BV53">
        <v>96.443270514613857</v>
      </c>
      <c r="BW53">
        <v>96.515191665605116</v>
      </c>
      <c r="BX53">
        <v>96.571503591515622</v>
      </c>
      <c r="BY53">
        <v>96.65578994548747</v>
      </c>
      <c r="BZ53">
        <v>96.726268522820774</v>
      </c>
      <c r="CA53">
        <v>96.815154728326988</v>
      </c>
      <c r="CB53">
        <v>96.889627071418403</v>
      </c>
      <c r="CC53">
        <v>96.977102272809674</v>
      </c>
      <c r="CD53">
        <v>97.040480370703577</v>
      </c>
      <c r="CE53">
        <v>97.123971257474807</v>
      </c>
      <c r="CF53">
        <v>97.222413854880557</v>
      </c>
      <c r="CG53">
        <v>97.308260556102439</v>
      </c>
      <c r="CH53">
        <v>97.392433485868096</v>
      </c>
      <c r="CI53">
        <v>97.462867087417905</v>
      </c>
      <c r="CJ53">
        <v>97.544137576551492</v>
      </c>
      <c r="CK53">
        <v>97.616800704655404</v>
      </c>
      <c r="CL53">
        <v>97.693124767291991</v>
      </c>
      <c r="CM53">
        <v>97.780529516657111</v>
      </c>
      <c r="CN53">
        <v>97.849659893172642</v>
      </c>
      <c r="CO53">
        <v>97.941636738028237</v>
      </c>
      <c r="CP53">
        <v>98.028479424953929</v>
      </c>
      <c r="CQ53">
        <v>98.113238938150786</v>
      </c>
      <c r="CR53">
        <v>98.186215899182599</v>
      </c>
      <c r="CS53">
        <v>98.258782310233428</v>
      </c>
      <c r="CT53">
        <v>98.328800809813103</v>
      </c>
      <c r="CU53">
        <v>98.404160125902223</v>
      </c>
      <c r="CV53">
        <v>98.479867508504867</v>
      </c>
      <c r="CW53">
        <v>98.556189064725075</v>
      </c>
      <c r="CX53">
        <v>98.665262788711431</v>
      </c>
      <c r="CY53">
        <v>98.747090098746142</v>
      </c>
      <c r="CZ53">
        <v>98.835325237591078</v>
      </c>
      <c r="DA53">
        <v>98.943166722674547</v>
      </c>
      <c r="DB53">
        <v>99.052028939771446</v>
      </c>
      <c r="DC53">
        <v>99.169001402137624</v>
      </c>
      <c r="DD53">
        <v>99.26175535877023</v>
      </c>
      <c r="DE53">
        <v>99.389819387978918</v>
      </c>
      <c r="DF53">
        <v>99.465593573286824</v>
      </c>
      <c r="DG53">
        <v>99.587956696663923</v>
      </c>
      <c r="DH53">
        <v>99.701835314764395</v>
      </c>
      <c r="DI53">
        <v>99.805552925389819</v>
      </c>
      <c r="DJ53">
        <v>99.915896894343859</v>
      </c>
      <c r="DK53">
        <v>100.0306504811618</v>
      </c>
      <c r="DL53">
        <v>100.13711384566433</v>
      </c>
      <c r="DM53">
        <v>100.2616723725635</v>
      </c>
      <c r="DN53">
        <v>100.35107880125702</v>
      </c>
      <c r="DO53">
        <v>100.43819547648452</v>
      </c>
      <c r="DP53">
        <v>100.52862101769607</v>
      </c>
      <c r="DQ53">
        <v>100.63515117534453</v>
      </c>
      <c r="DR53">
        <v>100.76936596107126</v>
      </c>
      <c r="DS53">
        <v>100.87008827123171</v>
      </c>
      <c r="DT53">
        <v>101.00392584002942</v>
      </c>
      <c r="DU53">
        <v>101.13370271311391</v>
      </c>
      <c r="DV53">
        <v>101.26565021145932</v>
      </c>
      <c r="DW53">
        <v>101.36555108132181</v>
      </c>
      <c r="DX53">
        <v>101.4701810011591</v>
      </c>
      <c r="DY53">
        <v>101.59523785486029</v>
      </c>
      <c r="DZ53">
        <v>101.69843599934929</v>
      </c>
      <c r="EA53">
        <v>101.83310899276327</v>
      </c>
      <c r="EB53">
        <v>101.92286361772733</v>
      </c>
      <c r="EC53">
        <v>102.05544961680532</v>
      </c>
      <c r="ED53">
        <v>102.18420544603049</v>
      </c>
      <c r="EE53">
        <v>102.3329066034886</v>
      </c>
      <c r="EF53">
        <v>102.50350966550685</v>
      </c>
      <c r="EG53">
        <v>102.62036885578114</v>
      </c>
      <c r="EH53">
        <v>102.72836372677791</v>
      </c>
      <c r="EI53">
        <v>102.88276235329681</v>
      </c>
      <c r="EJ53">
        <v>103.03976291586443</v>
      </c>
      <c r="EK53">
        <v>103.18841201010304</v>
      </c>
      <c r="EL53">
        <v>103.3074798163841</v>
      </c>
      <c r="EM53">
        <v>103.46472065768434</v>
      </c>
      <c r="EN53">
        <v>103.6366750912226</v>
      </c>
      <c r="EO53">
        <v>103.80921657305639</v>
      </c>
      <c r="EP53">
        <v>103.99554683656389</v>
      </c>
      <c r="EQ53">
        <v>104.18863030596349</v>
      </c>
      <c r="ER53">
        <v>104.36674732880509</v>
      </c>
      <c r="ES53">
        <v>104.51779649601399</v>
      </c>
      <c r="ET53">
        <v>104.6706947710898</v>
      </c>
      <c r="EU53">
        <v>104.85664473580066</v>
      </c>
      <c r="EV53">
        <v>105.02795729778309</v>
      </c>
      <c r="EW53">
        <v>105.23732569601422</v>
      </c>
      <c r="EX53">
        <v>105.43923164518657</v>
      </c>
      <c r="EY53">
        <v>105.64379022097773</v>
      </c>
      <c r="EZ53">
        <v>105.86091064039576</v>
      </c>
      <c r="FA53">
        <v>106.07794428930673</v>
      </c>
      <c r="FB53">
        <v>106.27521248130097</v>
      </c>
      <c r="FC53">
        <v>106.4621642594705</v>
      </c>
      <c r="FD53">
        <v>106.69057535839002</v>
      </c>
      <c r="FE53">
        <v>106.92511676448771</v>
      </c>
      <c r="FF53">
        <v>107.12354342008852</v>
      </c>
      <c r="FG53">
        <v>107.43582412721432</v>
      </c>
      <c r="FH53">
        <v>107.67415318541505</v>
      </c>
      <c r="FI53">
        <v>107.84261986920211</v>
      </c>
      <c r="FJ53">
        <v>108.11662766443034</v>
      </c>
      <c r="FK53">
        <v>108.37945969938906</v>
      </c>
      <c r="FL53">
        <v>108.60606674061873</v>
      </c>
      <c r="FM53">
        <v>108.88618049093486</v>
      </c>
      <c r="FN53">
        <v>109.13188872501669</v>
      </c>
      <c r="FO53">
        <v>109.42501260978209</v>
      </c>
      <c r="FP53">
        <v>109.74848911960861</v>
      </c>
      <c r="FQ53">
        <v>110.04992147564613</v>
      </c>
      <c r="FR53">
        <v>110.34085177085529</v>
      </c>
      <c r="FS53">
        <v>110.65417068283423</v>
      </c>
      <c r="FT53">
        <v>111.01439644088752</v>
      </c>
      <c r="FU53">
        <v>111.46868058689498</v>
      </c>
      <c r="FV53">
        <v>111.90397581285677</v>
      </c>
      <c r="FW53">
        <v>112.24556460092181</v>
      </c>
      <c r="FX53">
        <v>112.74133955475882</v>
      </c>
      <c r="FY53">
        <v>113.17994112860373</v>
      </c>
      <c r="FZ53">
        <v>113.76165535870597</v>
      </c>
      <c r="GA53">
        <v>114.20765428177556</v>
      </c>
      <c r="GB53">
        <v>114.82234405164628</v>
      </c>
      <c r="GC53">
        <v>115.4816197984977</v>
      </c>
      <c r="GD53">
        <v>115.966231238194</v>
      </c>
      <c r="GE53">
        <v>116.66995397474744</v>
      </c>
      <c r="GF53">
        <v>117.31040676539749</v>
      </c>
      <c r="GG53">
        <v>117.99091316897632</v>
      </c>
      <c r="GH53">
        <v>118.95616955576951</v>
      </c>
      <c r="GI53">
        <v>119.92463589150584</v>
      </c>
      <c r="GJ53">
        <v>121.02085375717782</v>
      </c>
      <c r="GK53">
        <v>122.39497995977034</v>
      </c>
      <c r="GL53">
        <v>123.65124437837893</v>
      </c>
      <c r="GM53">
        <v>125.7725993847108</v>
      </c>
      <c r="GN53">
        <v>128.44663843880846</v>
      </c>
      <c r="GO53">
        <v>131.17765262810573</v>
      </c>
      <c r="GP53">
        <v>136.08457235309154</v>
      </c>
      <c r="GQ53">
        <v>143.21621226679915</v>
      </c>
      <c r="GR53">
        <v>100.99458431498493</v>
      </c>
      <c r="GT53" s="8">
        <v>45366</v>
      </c>
      <c r="GU53">
        <v>134.48710700000001</v>
      </c>
    </row>
    <row r="54" spans="1:203" x14ac:dyDescent="0.45">
      <c r="A54">
        <v>86.71313632943108</v>
      </c>
      <c r="B54">
        <v>87.794738045099038</v>
      </c>
      <c r="C54">
        <v>88.414739883025362</v>
      </c>
      <c r="D54">
        <v>88.912696103250056</v>
      </c>
      <c r="E54">
        <v>89.443744117851281</v>
      </c>
      <c r="F54">
        <v>89.778265541920121</v>
      </c>
      <c r="G54">
        <v>90.000204267325174</v>
      </c>
      <c r="H54">
        <v>90.223308426858324</v>
      </c>
      <c r="I54">
        <v>90.427140573112482</v>
      </c>
      <c r="J54">
        <v>90.620153760221484</v>
      </c>
      <c r="K54">
        <v>90.838489112771541</v>
      </c>
      <c r="L54">
        <v>91.011007851147639</v>
      </c>
      <c r="M54">
        <v>91.194343585840301</v>
      </c>
      <c r="N54">
        <v>91.360109550197407</v>
      </c>
      <c r="O54">
        <v>91.498969543384788</v>
      </c>
      <c r="P54">
        <v>91.65820322027966</v>
      </c>
      <c r="Q54">
        <v>91.787464127712624</v>
      </c>
      <c r="R54">
        <v>91.946832623585991</v>
      </c>
      <c r="S54">
        <v>92.068871058316972</v>
      </c>
      <c r="T54">
        <v>92.215149993359432</v>
      </c>
      <c r="U54">
        <v>92.313000028079074</v>
      </c>
      <c r="V54">
        <v>92.404243140810962</v>
      </c>
      <c r="W54">
        <v>92.510194504481902</v>
      </c>
      <c r="X54">
        <v>92.605664110280713</v>
      </c>
      <c r="Y54">
        <v>92.698755060994102</v>
      </c>
      <c r="Z54">
        <v>92.836391092626059</v>
      </c>
      <c r="AA54">
        <v>92.944848963703933</v>
      </c>
      <c r="AB54">
        <v>93.031280934384299</v>
      </c>
      <c r="AC54">
        <v>93.139670213855084</v>
      </c>
      <c r="AD54">
        <v>93.225232284123337</v>
      </c>
      <c r="AE54">
        <v>93.31251125617041</v>
      </c>
      <c r="AF54">
        <v>93.4130564164861</v>
      </c>
      <c r="AG54">
        <v>93.477695146577616</v>
      </c>
      <c r="AH54">
        <v>93.563794977101367</v>
      </c>
      <c r="AI54">
        <v>93.64296065212649</v>
      </c>
      <c r="AJ54">
        <v>93.715937119069395</v>
      </c>
      <c r="AK54">
        <v>93.792302699886733</v>
      </c>
      <c r="AL54">
        <v>93.866566801029094</v>
      </c>
      <c r="AM54">
        <v>93.954170647070086</v>
      </c>
      <c r="AN54">
        <v>94.012073804286814</v>
      </c>
      <c r="AO54">
        <v>94.068626261640475</v>
      </c>
      <c r="AP54">
        <v>94.137400677124759</v>
      </c>
      <c r="AQ54">
        <v>94.201637137917587</v>
      </c>
      <c r="AR54">
        <v>94.282047424970713</v>
      </c>
      <c r="AS54">
        <v>94.341998488964634</v>
      </c>
      <c r="AT54">
        <v>94.429250998625534</v>
      </c>
      <c r="AU54">
        <v>94.510371018647803</v>
      </c>
      <c r="AV54">
        <v>94.589393339783513</v>
      </c>
      <c r="AW54">
        <v>94.660880223643233</v>
      </c>
      <c r="AX54">
        <v>94.730303729288408</v>
      </c>
      <c r="AY54">
        <v>94.821626364481858</v>
      </c>
      <c r="AZ54">
        <v>94.880382063976157</v>
      </c>
      <c r="BA54">
        <v>94.94228267576419</v>
      </c>
      <c r="BB54">
        <v>95.015110560722292</v>
      </c>
      <c r="BC54">
        <v>95.087925744178762</v>
      </c>
      <c r="BD54">
        <v>95.148164174212795</v>
      </c>
      <c r="BE54">
        <v>95.211295158416718</v>
      </c>
      <c r="BF54">
        <v>95.27997032014126</v>
      </c>
      <c r="BG54">
        <v>95.345888395723549</v>
      </c>
      <c r="BH54">
        <v>95.412771002844067</v>
      </c>
      <c r="BI54">
        <v>95.485096276512834</v>
      </c>
      <c r="BJ54">
        <v>95.545232104152532</v>
      </c>
      <c r="BK54">
        <v>95.618920271675606</v>
      </c>
      <c r="BL54">
        <v>95.699131878483016</v>
      </c>
      <c r="BM54">
        <v>95.781966417668656</v>
      </c>
      <c r="BN54">
        <v>95.838887286092657</v>
      </c>
      <c r="BO54">
        <v>95.917648985700396</v>
      </c>
      <c r="BP54">
        <v>95.981935311727156</v>
      </c>
      <c r="BQ54">
        <v>96.047759853985724</v>
      </c>
      <c r="BR54">
        <v>96.116166057106483</v>
      </c>
      <c r="BS54">
        <v>96.201829009371394</v>
      </c>
      <c r="BT54">
        <v>96.264545349890128</v>
      </c>
      <c r="BU54">
        <v>96.349892683751946</v>
      </c>
      <c r="BV54">
        <v>96.423521864890972</v>
      </c>
      <c r="BW54">
        <v>96.484859205408128</v>
      </c>
      <c r="BX54">
        <v>96.546113510696841</v>
      </c>
      <c r="BY54">
        <v>96.62270629477797</v>
      </c>
      <c r="BZ54">
        <v>96.70408080897046</v>
      </c>
      <c r="CA54">
        <v>96.768355733568711</v>
      </c>
      <c r="CB54">
        <v>96.854331139501852</v>
      </c>
      <c r="CC54">
        <v>96.937296573673692</v>
      </c>
      <c r="CD54">
        <v>97.012515543860943</v>
      </c>
      <c r="CE54">
        <v>97.088381429475788</v>
      </c>
      <c r="CF54">
        <v>97.174292377003113</v>
      </c>
      <c r="CG54">
        <v>97.270196567685971</v>
      </c>
      <c r="CH54">
        <v>97.339394521159022</v>
      </c>
      <c r="CI54">
        <v>97.407813229679533</v>
      </c>
      <c r="CJ54">
        <v>97.490516683309693</v>
      </c>
      <c r="CK54">
        <v>97.589105872841373</v>
      </c>
      <c r="CL54">
        <v>97.668213806587758</v>
      </c>
      <c r="CM54">
        <v>97.773315318605768</v>
      </c>
      <c r="CN54">
        <v>97.849737847205645</v>
      </c>
      <c r="CO54">
        <v>97.925994405066405</v>
      </c>
      <c r="CP54">
        <v>98.021086376365972</v>
      </c>
      <c r="CQ54">
        <v>98.088546179336902</v>
      </c>
      <c r="CR54">
        <v>98.174631029003848</v>
      </c>
      <c r="CS54">
        <v>98.266129965754629</v>
      </c>
      <c r="CT54">
        <v>98.356817687097177</v>
      </c>
      <c r="CU54">
        <v>98.444807652925093</v>
      </c>
      <c r="CV54">
        <v>98.517691876328229</v>
      </c>
      <c r="CW54">
        <v>98.59300288675658</v>
      </c>
      <c r="CX54">
        <v>98.683631322797581</v>
      </c>
      <c r="CY54">
        <v>98.795336815995014</v>
      </c>
      <c r="CZ54">
        <v>98.889270680084479</v>
      </c>
      <c r="DA54">
        <v>98.987707944986482</v>
      </c>
      <c r="DB54">
        <v>99.076616121073911</v>
      </c>
      <c r="DC54">
        <v>99.148679186240827</v>
      </c>
      <c r="DD54">
        <v>99.248730049259919</v>
      </c>
      <c r="DE54">
        <v>99.363898643884411</v>
      </c>
      <c r="DF54">
        <v>99.469604312468704</v>
      </c>
      <c r="DG54">
        <v>99.566099811739491</v>
      </c>
      <c r="DH54">
        <v>99.654040424151177</v>
      </c>
      <c r="DI54">
        <v>99.760391431733623</v>
      </c>
      <c r="DJ54">
        <v>99.872554847698723</v>
      </c>
      <c r="DK54">
        <v>99.994614438701362</v>
      </c>
      <c r="DL54">
        <v>100.13698162157945</v>
      </c>
      <c r="DM54">
        <v>100.24785713172267</v>
      </c>
      <c r="DN54">
        <v>100.33221665449308</v>
      </c>
      <c r="DO54">
        <v>100.42733072864731</v>
      </c>
      <c r="DP54">
        <v>100.55533963052955</v>
      </c>
      <c r="DQ54">
        <v>100.65368709333123</v>
      </c>
      <c r="DR54">
        <v>100.76677320273005</v>
      </c>
      <c r="DS54">
        <v>100.87671087742994</v>
      </c>
      <c r="DT54">
        <v>100.99122154184528</v>
      </c>
      <c r="DU54">
        <v>101.1155565136134</v>
      </c>
      <c r="DV54">
        <v>101.2361379492731</v>
      </c>
      <c r="DW54">
        <v>101.35540713872356</v>
      </c>
      <c r="DX54">
        <v>101.44420662156143</v>
      </c>
      <c r="DY54">
        <v>101.56310501303396</v>
      </c>
      <c r="DZ54">
        <v>101.65506203264478</v>
      </c>
      <c r="EA54">
        <v>101.76120026980793</v>
      </c>
      <c r="EB54">
        <v>101.88661214761927</v>
      </c>
      <c r="EC54">
        <v>102.00190515783868</v>
      </c>
      <c r="ED54">
        <v>102.1515767125687</v>
      </c>
      <c r="EE54">
        <v>102.29046473843326</v>
      </c>
      <c r="EF54">
        <v>102.42842871585287</v>
      </c>
      <c r="EG54">
        <v>102.55858112041921</v>
      </c>
      <c r="EH54">
        <v>102.67804734757556</v>
      </c>
      <c r="EI54">
        <v>102.81122285687717</v>
      </c>
      <c r="EJ54">
        <v>102.95086876596261</v>
      </c>
      <c r="EK54">
        <v>103.15969541591068</v>
      </c>
      <c r="EL54">
        <v>103.36812171474203</v>
      </c>
      <c r="EM54">
        <v>103.51108232513805</v>
      </c>
      <c r="EN54">
        <v>103.67939662692872</v>
      </c>
      <c r="EO54">
        <v>103.80038681407481</v>
      </c>
      <c r="EP54">
        <v>103.9851724783373</v>
      </c>
      <c r="EQ54">
        <v>104.15932585125942</v>
      </c>
      <c r="ER54">
        <v>104.34110904954052</v>
      </c>
      <c r="ES54">
        <v>104.50507112113198</v>
      </c>
      <c r="ET54">
        <v>104.70108306844942</v>
      </c>
      <c r="EU54">
        <v>104.85395228073142</v>
      </c>
      <c r="EV54">
        <v>105.0671005315902</v>
      </c>
      <c r="EW54">
        <v>105.23422218826106</v>
      </c>
      <c r="EX54">
        <v>105.43749041172575</v>
      </c>
      <c r="EY54">
        <v>105.64321097943522</v>
      </c>
      <c r="EZ54">
        <v>105.82108698657106</v>
      </c>
      <c r="FA54">
        <v>106.03789473936243</v>
      </c>
      <c r="FB54">
        <v>106.22905547759633</v>
      </c>
      <c r="FC54">
        <v>106.41257865862016</v>
      </c>
      <c r="FD54">
        <v>106.69134732268664</v>
      </c>
      <c r="FE54">
        <v>106.90274486878248</v>
      </c>
      <c r="FF54">
        <v>107.14910704535325</v>
      </c>
      <c r="FG54">
        <v>107.39703434033009</v>
      </c>
      <c r="FH54">
        <v>107.63138856288242</v>
      </c>
      <c r="FI54">
        <v>107.90242833639915</v>
      </c>
      <c r="FJ54">
        <v>108.14122820445336</v>
      </c>
      <c r="FK54">
        <v>108.41416019049161</v>
      </c>
      <c r="FL54">
        <v>108.75802440509342</v>
      </c>
      <c r="FM54">
        <v>108.96878763124658</v>
      </c>
      <c r="FN54">
        <v>109.34787276428617</v>
      </c>
      <c r="FO54">
        <v>109.62547270350321</v>
      </c>
      <c r="FP54">
        <v>109.90142132750385</v>
      </c>
      <c r="FQ54">
        <v>110.18048801529483</v>
      </c>
      <c r="FR54">
        <v>110.47492978020688</v>
      </c>
      <c r="FS54">
        <v>110.88430715854349</v>
      </c>
      <c r="FT54">
        <v>111.28569792613945</v>
      </c>
      <c r="FU54">
        <v>111.70110082184466</v>
      </c>
      <c r="FV54">
        <v>112.10656394416128</v>
      </c>
      <c r="FW54">
        <v>112.58997899573184</v>
      </c>
      <c r="FX54">
        <v>113.09343110146054</v>
      </c>
      <c r="FY54">
        <v>113.54221162094338</v>
      </c>
      <c r="FZ54">
        <v>114.0523852154401</v>
      </c>
      <c r="GA54">
        <v>114.52357089273247</v>
      </c>
      <c r="GB54">
        <v>114.97150104378994</v>
      </c>
      <c r="GC54">
        <v>115.53457530270325</v>
      </c>
      <c r="GD54">
        <v>116.0881457508837</v>
      </c>
      <c r="GE54">
        <v>116.85164072123688</v>
      </c>
      <c r="GF54">
        <v>117.60774021287445</v>
      </c>
      <c r="GG54">
        <v>118.48722739215209</v>
      </c>
      <c r="GH54">
        <v>119.33662272155217</v>
      </c>
      <c r="GI54">
        <v>120.51895647640173</v>
      </c>
      <c r="GJ54">
        <v>121.6079870308006</v>
      </c>
      <c r="GK54">
        <v>122.96448466835501</v>
      </c>
      <c r="GL54">
        <v>124.17807068371086</v>
      </c>
      <c r="GM54">
        <v>126.31572586511692</v>
      </c>
      <c r="GN54">
        <v>129.02415198757927</v>
      </c>
      <c r="GO54">
        <v>131.71075145369343</v>
      </c>
      <c r="GP54">
        <v>135.94224758776235</v>
      </c>
      <c r="GQ54">
        <v>144.00227415053396</v>
      </c>
      <c r="GR54">
        <v>101.01237646311456</v>
      </c>
      <c r="GT54" s="8">
        <v>45369</v>
      </c>
      <c r="GU54">
        <v>135.29933299999999</v>
      </c>
    </row>
    <row r="55" spans="1:203" x14ac:dyDescent="0.45">
      <c r="A55">
        <v>86.594790718485783</v>
      </c>
      <c r="B55">
        <v>87.655685663364849</v>
      </c>
      <c r="C55">
        <v>88.403889648026293</v>
      </c>
      <c r="D55">
        <v>88.946581545338546</v>
      </c>
      <c r="E55">
        <v>89.395095711702567</v>
      </c>
      <c r="F55">
        <v>89.72910119497412</v>
      </c>
      <c r="G55">
        <v>89.976801978430416</v>
      </c>
      <c r="H55">
        <v>90.21443243348395</v>
      </c>
      <c r="I55">
        <v>90.4302349130446</v>
      </c>
      <c r="J55">
        <v>90.685909402903718</v>
      </c>
      <c r="K55">
        <v>90.849799465557396</v>
      </c>
      <c r="L55">
        <v>90.997648389009498</v>
      </c>
      <c r="M55">
        <v>91.166813077741665</v>
      </c>
      <c r="N55">
        <v>91.312891635582943</v>
      </c>
      <c r="O55">
        <v>91.457970760294003</v>
      </c>
      <c r="P55">
        <v>91.598038122907667</v>
      </c>
      <c r="Q55">
        <v>91.745877244688046</v>
      </c>
      <c r="R55">
        <v>91.886819003957555</v>
      </c>
      <c r="S55">
        <v>91.979134308924884</v>
      </c>
      <c r="T55">
        <v>92.09179477523854</v>
      </c>
      <c r="U55">
        <v>92.195950674959263</v>
      </c>
      <c r="V55">
        <v>92.314649983993604</v>
      </c>
      <c r="W55">
        <v>92.416591777167255</v>
      </c>
      <c r="X55">
        <v>92.519987274847253</v>
      </c>
      <c r="Y55">
        <v>92.621339569521581</v>
      </c>
      <c r="Z55">
        <v>92.727516778527615</v>
      </c>
      <c r="AA55">
        <v>92.835956127996198</v>
      </c>
      <c r="AB55">
        <v>92.932942556743654</v>
      </c>
      <c r="AC55">
        <v>93.027261025899719</v>
      </c>
      <c r="AD55">
        <v>93.125100345198078</v>
      </c>
      <c r="AE55">
        <v>93.215875508659053</v>
      </c>
      <c r="AF55">
        <v>93.307448892706034</v>
      </c>
      <c r="AG55">
        <v>93.418226050557834</v>
      </c>
      <c r="AH55">
        <v>93.498806470246578</v>
      </c>
      <c r="AI55">
        <v>93.577916196184518</v>
      </c>
      <c r="AJ55">
        <v>93.655277427289732</v>
      </c>
      <c r="AK55">
        <v>93.751392340793444</v>
      </c>
      <c r="AL55">
        <v>93.817003990469217</v>
      </c>
      <c r="AM55">
        <v>93.901841131529849</v>
      </c>
      <c r="AN55">
        <v>93.970637335613191</v>
      </c>
      <c r="AO55">
        <v>94.030793414158097</v>
      </c>
      <c r="AP55">
        <v>94.097057194353425</v>
      </c>
      <c r="AQ55">
        <v>94.176288378454927</v>
      </c>
      <c r="AR55">
        <v>94.255084152933421</v>
      </c>
      <c r="AS55">
        <v>94.318897181053657</v>
      </c>
      <c r="AT55">
        <v>94.380737720944992</v>
      </c>
      <c r="AU55">
        <v>94.467303535628687</v>
      </c>
      <c r="AV55">
        <v>94.527351213880692</v>
      </c>
      <c r="AW55">
        <v>94.613255183358675</v>
      </c>
      <c r="AX55">
        <v>94.689701391492733</v>
      </c>
      <c r="AY55">
        <v>94.771317762928177</v>
      </c>
      <c r="AZ55">
        <v>94.844644247459584</v>
      </c>
      <c r="BA55">
        <v>94.923259227349305</v>
      </c>
      <c r="BB55">
        <v>94.997258141292107</v>
      </c>
      <c r="BC55">
        <v>95.05941080772989</v>
      </c>
      <c r="BD55">
        <v>95.113850100688566</v>
      </c>
      <c r="BE55">
        <v>95.189854430272504</v>
      </c>
      <c r="BF55">
        <v>95.260165996107418</v>
      </c>
      <c r="BG55">
        <v>95.325867925283106</v>
      </c>
      <c r="BH55">
        <v>95.392283519341461</v>
      </c>
      <c r="BI55">
        <v>95.476902238412748</v>
      </c>
      <c r="BJ55">
        <v>95.543460867797663</v>
      </c>
      <c r="BK55">
        <v>95.61158965077135</v>
      </c>
      <c r="BL55">
        <v>95.678847221085491</v>
      </c>
      <c r="BM55">
        <v>95.741925722244432</v>
      </c>
      <c r="BN55">
        <v>95.826190306087483</v>
      </c>
      <c r="BO55">
        <v>95.908813394047172</v>
      </c>
      <c r="BP55">
        <v>95.983979783157366</v>
      </c>
      <c r="BQ55">
        <v>96.065342719555574</v>
      </c>
      <c r="BR55">
        <v>96.147735994159987</v>
      </c>
      <c r="BS55">
        <v>96.215584213037161</v>
      </c>
      <c r="BT55">
        <v>96.282732955112081</v>
      </c>
      <c r="BU55">
        <v>96.351612333206972</v>
      </c>
      <c r="BV55">
        <v>96.429103027947065</v>
      </c>
      <c r="BW55">
        <v>96.484821332696924</v>
      </c>
      <c r="BX55">
        <v>96.550284846742144</v>
      </c>
      <c r="BY55">
        <v>96.60761955370026</v>
      </c>
      <c r="BZ55">
        <v>96.692836813080334</v>
      </c>
      <c r="CA55">
        <v>96.769418090324663</v>
      </c>
      <c r="CB55">
        <v>96.844119580146</v>
      </c>
      <c r="CC55">
        <v>96.920004593129931</v>
      </c>
      <c r="CD55">
        <v>97.011758944215472</v>
      </c>
      <c r="CE55">
        <v>97.083787388958399</v>
      </c>
      <c r="CF55">
        <v>97.177340807261913</v>
      </c>
      <c r="CG55">
        <v>97.267535307968089</v>
      </c>
      <c r="CH55">
        <v>97.354738149098011</v>
      </c>
      <c r="CI55">
        <v>97.436936656870017</v>
      </c>
      <c r="CJ55">
        <v>97.522138503341708</v>
      </c>
      <c r="CK55">
        <v>97.59988748055865</v>
      </c>
      <c r="CL55">
        <v>97.684517742457317</v>
      </c>
      <c r="CM55">
        <v>97.75368595967339</v>
      </c>
      <c r="CN55">
        <v>97.844938892206045</v>
      </c>
      <c r="CO55">
        <v>97.930425951087599</v>
      </c>
      <c r="CP55">
        <v>97.998747485322781</v>
      </c>
      <c r="CQ55">
        <v>98.076318620364376</v>
      </c>
      <c r="CR55">
        <v>98.162725436916645</v>
      </c>
      <c r="CS55">
        <v>98.252145516768039</v>
      </c>
      <c r="CT55">
        <v>98.320721818647371</v>
      </c>
      <c r="CU55">
        <v>98.399960338654481</v>
      </c>
      <c r="CV55">
        <v>98.483970140084125</v>
      </c>
      <c r="CW55">
        <v>98.556811503730046</v>
      </c>
      <c r="CX55">
        <v>98.641899494589609</v>
      </c>
      <c r="CY55">
        <v>98.721639266411159</v>
      </c>
      <c r="CZ55">
        <v>98.807893197580228</v>
      </c>
      <c r="DA55">
        <v>98.909123060350055</v>
      </c>
      <c r="DB55">
        <v>99.026332682438493</v>
      </c>
      <c r="DC55">
        <v>99.140413975465393</v>
      </c>
      <c r="DD55">
        <v>99.259052499454739</v>
      </c>
      <c r="DE55">
        <v>99.351193565582349</v>
      </c>
      <c r="DF55">
        <v>99.433806203676752</v>
      </c>
      <c r="DG55">
        <v>99.530598599010816</v>
      </c>
      <c r="DH55">
        <v>99.634977860798088</v>
      </c>
      <c r="DI55">
        <v>99.753085124243171</v>
      </c>
      <c r="DJ55">
        <v>99.852728509512161</v>
      </c>
      <c r="DK55">
        <v>99.983327105805699</v>
      </c>
      <c r="DL55">
        <v>100.10638069948726</v>
      </c>
      <c r="DM55">
        <v>100.23195766973964</v>
      </c>
      <c r="DN55">
        <v>100.33132965672661</v>
      </c>
      <c r="DO55">
        <v>100.43621477620674</v>
      </c>
      <c r="DP55">
        <v>100.51474629389072</v>
      </c>
      <c r="DQ55">
        <v>100.64184027443608</v>
      </c>
      <c r="DR55">
        <v>100.7413358880233</v>
      </c>
      <c r="DS55">
        <v>100.85183170240619</v>
      </c>
      <c r="DT55">
        <v>100.9507077749913</v>
      </c>
      <c r="DU55">
        <v>101.07338123011941</v>
      </c>
      <c r="DV55">
        <v>101.16888597217508</v>
      </c>
      <c r="DW55">
        <v>101.29305164382076</v>
      </c>
      <c r="DX55">
        <v>101.42182544399196</v>
      </c>
      <c r="DY55">
        <v>101.52422430871158</v>
      </c>
      <c r="DZ55">
        <v>101.62791181890643</v>
      </c>
      <c r="EA55">
        <v>101.7510388753454</v>
      </c>
      <c r="EB55">
        <v>101.91376019837192</v>
      </c>
      <c r="EC55">
        <v>102.0611689550683</v>
      </c>
      <c r="ED55">
        <v>102.1739426455912</v>
      </c>
      <c r="EE55">
        <v>102.29142904023422</v>
      </c>
      <c r="EF55">
        <v>102.42600152208129</v>
      </c>
      <c r="EG55">
        <v>102.53882606017824</v>
      </c>
      <c r="EH55">
        <v>102.68927633044511</v>
      </c>
      <c r="EI55">
        <v>102.81390409594199</v>
      </c>
      <c r="EJ55">
        <v>102.98527623230248</v>
      </c>
      <c r="EK55">
        <v>103.15662659517751</v>
      </c>
      <c r="EL55">
        <v>103.3347661137781</v>
      </c>
      <c r="EM55">
        <v>103.48482258246672</v>
      </c>
      <c r="EN55">
        <v>103.6913591991068</v>
      </c>
      <c r="EO55">
        <v>103.88329787070472</v>
      </c>
      <c r="EP55">
        <v>104.04126863594172</v>
      </c>
      <c r="EQ55">
        <v>104.17039273449433</v>
      </c>
      <c r="ER55">
        <v>104.36543164784325</v>
      </c>
      <c r="ES55">
        <v>104.53210116282973</v>
      </c>
      <c r="ET55">
        <v>104.71292150388723</v>
      </c>
      <c r="EU55">
        <v>104.90124059296949</v>
      </c>
      <c r="EV55">
        <v>105.06352870792051</v>
      </c>
      <c r="EW55">
        <v>105.24437443241756</v>
      </c>
      <c r="EX55">
        <v>105.49468850130906</v>
      </c>
      <c r="EY55">
        <v>105.68265156206185</v>
      </c>
      <c r="EZ55">
        <v>105.88582762002902</v>
      </c>
      <c r="FA55">
        <v>106.08218938109033</v>
      </c>
      <c r="FB55">
        <v>106.28715050355306</v>
      </c>
      <c r="FC55">
        <v>106.50127967460283</v>
      </c>
      <c r="FD55">
        <v>106.80158378053763</v>
      </c>
      <c r="FE55">
        <v>107.02888527754051</v>
      </c>
      <c r="FF55">
        <v>107.26058635505646</v>
      </c>
      <c r="FG55">
        <v>107.50270343879795</v>
      </c>
      <c r="FH55">
        <v>107.76055995425499</v>
      </c>
      <c r="FI55">
        <v>108.12198870049949</v>
      </c>
      <c r="FJ55">
        <v>108.36803417486517</v>
      </c>
      <c r="FK55">
        <v>108.64371193581766</v>
      </c>
      <c r="FL55">
        <v>108.84205177517408</v>
      </c>
      <c r="FM55">
        <v>109.07861406638759</v>
      </c>
      <c r="FN55">
        <v>109.34630305699238</v>
      </c>
      <c r="FO55">
        <v>109.64713529384782</v>
      </c>
      <c r="FP55">
        <v>109.90542086999081</v>
      </c>
      <c r="FQ55">
        <v>110.21514219415258</v>
      </c>
      <c r="FR55">
        <v>110.56067043584812</v>
      </c>
      <c r="FS55">
        <v>110.92277546430822</v>
      </c>
      <c r="FT55">
        <v>111.39283798953561</v>
      </c>
      <c r="FU55">
        <v>111.80146069128725</v>
      </c>
      <c r="FV55">
        <v>112.25278404376725</v>
      </c>
      <c r="FW55">
        <v>112.65252968912385</v>
      </c>
      <c r="FX55">
        <v>113.18928994155526</v>
      </c>
      <c r="FY55">
        <v>113.70885262999663</v>
      </c>
      <c r="FZ55">
        <v>114.09280800913048</v>
      </c>
      <c r="GA55">
        <v>114.70764649080387</v>
      </c>
      <c r="GB55">
        <v>115.17654118881489</v>
      </c>
      <c r="GC55">
        <v>115.86984711962276</v>
      </c>
      <c r="GD55">
        <v>116.50479397129818</v>
      </c>
      <c r="GE55">
        <v>117.25753310812782</v>
      </c>
      <c r="GF55">
        <v>117.954337332386</v>
      </c>
      <c r="GG55">
        <v>118.62805926667264</v>
      </c>
      <c r="GH55">
        <v>119.68305391010632</v>
      </c>
      <c r="GI55">
        <v>120.77270785556607</v>
      </c>
      <c r="GJ55">
        <v>122.00155765669683</v>
      </c>
      <c r="GK55">
        <v>123.13898420088978</v>
      </c>
      <c r="GL55">
        <v>124.49621836478354</v>
      </c>
      <c r="GM55">
        <v>126.58528555832969</v>
      </c>
      <c r="GN55">
        <v>128.93807538603838</v>
      </c>
      <c r="GO55">
        <v>131.95917683501312</v>
      </c>
      <c r="GP55">
        <v>137.12684361312932</v>
      </c>
      <c r="GQ55">
        <v>144.03345672713289</v>
      </c>
      <c r="GR55">
        <v>101.03639706650132</v>
      </c>
      <c r="GT55" s="8">
        <v>45370</v>
      </c>
      <c r="GU55">
        <v>138.12619799999999</v>
      </c>
    </row>
    <row r="56" spans="1:203" x14ac:dyDescent="0.45">
      <c r="A56">
        <v>86.415426697293057</v>
      </c>
      <c r="B56">
        <v>87.434533206884467</v>
      </c>
      <c r="C56">
        <v>88.17719725393394</v>
      </c>
      <c r="D56">
        <v>88.796742582330651</v>
      </c>
      <c r="E56">
        <v>89.320882933948553</v>
      </c>
      <c r="F56">
        <v>89.625150154730605</v>
      </c>
      <c r="G56">
        <v>89.884184124167135</v>
      </c>
      <c r="H56">
        <v>90.10359777296523</v>
      </c>
      <c r="I56">
        <v>90.345472259579523</v>
      </c>
      <c r="J56">
        <v>90.577899254791902</v>
      </c>
      <c r="K56">
        <v>90.739670296469953</v>
      </c>
      <c r="L56">
        <v>90.902644412985467</v>
      </c>
      <c r="M56">
        <v>91.039595675090936</v>
      </c>
      <c r="N56">
        <v>91.191271028222602</v>
      </c>
      <c r="O56">
        <v>91.354476126714189</v>
      </c>
      <c r="P56">
        <v>91.491033418884427</v>
      </c>
      <c r="Q56">
        <v>91.623892859419982</v>
      </c>
      <c r="R56">
        <v>91.769738808982581</v>
      </c>
      <c r="S56">
        <v>91.878795165710926</v>
      </c>
      <c r="T56">
        <v>92.021131235382271</v>
      </c>
      <c r="U56">
        <v>92.124021186526647</v>
      </c>
      <c r="V56">
        <v>92.230675688142995</v>
      </c>
      <c r="W56">
        <v>92.345288878240652</v>
      </c>
      <c r="X56">
        <v>92.449512721312146</v>
      </c>
      <c r="Y56">
        <v>92.569539576099842</v>
      </c>
      <c r="Z56">
        <v>92.690852030336004</v>
      </c>
      <c r="AA56">
        <v>92.784579010860227</v>
      </c>
      <c r="AB56">
        <v>92.898166318210556</v>
      </c>
      <c r="AC56">
        <v>92.978695363502197</v>
      </c>
      <c r="AD56">
        <v>93.066290568448451</v>
      </c>
      <c r="AE56">
        <v>93.164985580751519</v>
      </c>
      <c r="AF56">
        <v>93.291333368813</v>
      </c>
      <c r="AG56">
        <v>93.357910138905922</v>
      </c>
      <c r="AH56">
        <v>93.42131326248483</v>
      </c>
      <c r="AI56">
        <v>93.516427693819935</v>
      </c>
      <c r="AJ56">
        <v>93.584634119363457</v>
      </c>
      <c r="AK56">
        <v>93.655192047919485</v>
      </c>
      <c r="AL56">
        <v>93.734933326366033</v>
      </c>
      <c r="AM56">
        <v>93.811851674231193</v>
      </c>
      <c r="AN56">
        <v>93.893271743426638</v>
      </c>
      <c r="AO56">
        <v>93.990408958925784</v>
      </c>
      <c r="AP56">
        <v>94.068115800346973</v>
      </c>
      <c r="AQ56">
        <v>94.128908144244207</v>
      </c>
      <c r="AR56">
        <v>94.200335155357237</v>
      </c>
      <c r="AS56">
        <v>94.272032561031764</v>
      </c>
      <c r="AT56">
        <v>94.343665804114565</v>
      </c>
      <c r="AU56">
        <v>94.426558004576208</v>
      </c>
      <c r="AV56">
        <v>94.503898431274905</v>
      </c>
      <c r="AW56">
        <v>94.575385739249896</v>
      </c>
      <c r="AX56">
        <v>94.659201249223329</v>
      </c>
      <c r="AY56">
        <v>94.731913241085934</v>
      </c>
      <c r="AZ56">
        <v>94.816947787824191</v>
      </c>
      <c r="BA56">
        <v>94.886643015852613</v>
      </c>
      <c r="BB56">
        <v>94.954584921986324</v>
      </c>
      <c r="BC56">
        <v>95.032266500246536</v>
      </c>
      <c r="BD56">
        <v>95.118378211079659</v>
      </c>
      <c r="BE56">
        <v>95.187040029205619</v>
      </c>
      <c r="BF56">
        <v>95.250004358974579</v>
      </c>
      <c r="BG56">
        <v>95.314141425434642</v>
      </c>
      <c r="BH56">
        <v>95.392585165526654</v>
      </c>
      <c r="BI56">
        <v>95.465604146987502</v>
      </c>
      <c r="BJ56">
        <v>95.54237800343887</v>
      </c>
      <c r="BK56">
        <v>95.608240851464203</v>
      </c>
      <c r="BL56">
        <v>95.693127725903949</v>
      </c>
      <c r="BM56">
        <v>95.76629469339035</v>
      </c>
      <c r="BN56">
        <v>95.845031110450307</v>
      </c>
      <c r="BO56">
        <v>95.893758199409575</v>
      </c>
      <c r="BP56">
        <v>95.964152933106206</v>
      </c>
      <c r="BQ56">
        <v>96.038631257805861</v>
      </c>
      <c r="BR56">
        <v>96.109115850390651</v>
      </c>
      <c r="BS56">
        <v>96.191001457520997</v>
      </c>
      <c r="BT56">
        <v>96.257430031454049</v>
      </c>
      <c r="BU56">
        <v>96.343114010192267</v>
      </c>
      <c r="BV56">
        <v>96.40819850692084</v>
      </c>
      <c r="BW56">
        <v>96.486765116195087</v>
      </c>
      <c r="BX56">
        <v>96.553944547732044</v>
      </c>
      <c r="BY56">
        <v>96.620757590426848</v>
      </c>
      <c r="BZ56">
        <v>96.697909346692626</v>
      </c>
      <c r="CA56">
        <v>96.767620277261827</v>
      </c>
      <c r="CB56">
        <v>96.855130293277767</v>
      </c>
      <c r="CC56">
        <v>96.94501460407038</v>
      </c>
      <c r="CD56">
        <v>97.012127612223424</v>
      </c>
      <c r="CE56">
        <v>97.099775006685363</v>
      </c>
      <c r="CF56">
        <v>97.163075291025791</v>
      </c>
      <c r="CG56">
        <v>97.242810031731921</v>
      </c>
      <c r="CH56">
        <v>97.312610381522759</v>
      </c>
      <c r="CI56">
        <v>97.382619056796543</v>
      </c>
      <c r="CJ56">
        <v>97.460736655097548</v>
      </c>
      <c r="CK56">
        <v>97.555342377211886</v>
      </c>
      <c r="CL56">
        <v>97.645222268220763</v>
      </c>
      <c r="CM56">
        <v>97.712616999171715</v>
      </c>
      <c r="CN56">
        <v>97.788034214383501</v>
      </c>
      <c r="CO56">
        <v>97.857106594037063</v>
      </c>
      <c r="CP56">
        <v>97.946968509781968</v>
      </c>
      <c r="CQ56">
        <v>98.043808996143767</v>
      </c>
      <c r="CR56">
        <v>98.119102921305242</v>
      </c>
      <c r="CS56">
        <v>98.199872174349693</v>
      </c>
      <c r="CT56">
        <v>98.291496448422123</v>
      </c>
      <c r="CU56">
        <v>98.377945753385745</v>
      </c>
      <c r="CV56">
        <v>98.471896698703048</v>
      </c>
      <c r="CW56">
        <v>98.543086170820132</v>
      </c>
      <c r="CX56">
        <v>98.631048716906733</v>
      </c>
      <c r="CY56">
        <v>98.754592979558353</v>
      </c>
      <c r="CZ56">
        <v>98.866576750611358</v>
      </c>
      <c r="DA56">
        <v>98.959790796177984</v>
      </c>
      <c r="DB56">
        <v>99.04714158494896</v>
      </c>
      <c r="DC56">
        <v>99.14655403167886</v>
      </c>
      <c r="DD56">
        <v>99.24539497303607</v>
      </c>
      <c r="DE56">
        <v>99.348729255733048</v>
      </c>
      <c r="DF56">
        <v>99.450760735403719</v>
      </c>
      <c r="DG56">
        <v>99.592393511896333</v>
      </c>
      <c r="DH56">
        <v>99.682952248379536</v>
      </c>
      <c r="DI56">
        <v>99.785812782359784</v>
      </c>
      <c r="DJ56">
        <v>99.892934812398892</v>
      </c>
      <c r="DK56">
        <v>99.99336775087329</v>
      </c>
      <c r="DL56">
        <v>100.09300882599095</v>
      </c>
      <c r="DM56">
        <v>100.19770771436592</v>
      </c>
      <c r="DN56">
        <v>100.29341985081037</v>
      </c>
      <c r="DO56">
        <v>100.41762464281237</v>
      </c>
      <c r="DP56">
        <v>100.50868777156916</v>
      </c>
      <c r="DQ56">
        <v>100.63325128631618</v>
      </c>
      <c r="DR56">
        <v>100.73651171228296</v>
      </c>
      <c r="DS56">
        <v>100.82163347651951</v>
      </c>
      <c r="DT56">
        <v>100.932744924803</v>
      </c>
      <c r="DU56">
        <v>101.05733579543399</v>
      </c>
      <c r="DV56">
        <v>101.18170579052106</v>
      </c>
      <c r="DW56">
        <v>101.28632156411369</v>
      </c>
      <c r="DX56">
        <v>101.40110275039451</v>
      </c>
      <c r="DY56">
        <v>101.51944475172608</v>
      </c>
      <c r="DZ56">
        <v>101.62923611929402</v>
      </c>
      <c r="EA56">
        <v>101.77140092862847</v>
      </c>
      <c r="EB56">
        <v>101.86333452481472</v>
      </c>
      <c r="EC56">
        <v>102.00573386007716</v>
      </c>
      <c r="ED56">
        <v>102.15216748565354</v>
      </c>
      <c r="EE56">
        <v>102.27433901837065</v>
      </c>
      <c r="EF56">
        <v>102.40484553106485</v>
      </c>
      <c r="EG56">
        <v>102.56805525178125</v>
      </c>
      <c r="EH56">
        <v>102.71720664238165</v>
      </c>
      <c r="EI56">
        <v>102.84178257283523</v>
      </c>
      <c r="EJ56">
        <v>103.00322989758837</v>
      </c>
      <c r="EK56">
        <v>103.140999824723</v>
      </c>
      <c r="EL56">
        <v>103.30288883645706</v>
      </c>
      <c r="EM56">
        <v>103.44959909999295</v>
      </c>
      <c r="EN56">
        <v>103.63312201800038</v>
      </c>
      <c r="EO56">
        <v>103.80696143277287</v>
      </c>
      <c r="EP56">
        <v>104.01001396714855</v>
      </c>
      <c r="EQ56">
        <v>104.16773954151076</v>
      </c>
      <c r="ER56">
        <v>104.33268920044307</v>
      </c>
      <c r="ES56">
        <v>104.50156832933273</v>
      </c>
      <c r="ET56">
        <v>104.69132630676576</v>
      </c>
      <c r="EU56">
        <v>104.89329646680983</v>
      </c>
      <c r="EV56">
        <v>105.12710452220544</v>
      </c>
      <c r="EW56">
        <v>105.27856839641208</v>
      </c>
      <c r="EX56">
        <v>105.47602736238528</v>
      </c>
      <c r="EY56">
        <v>105.6474011221063</v>
      </c>
      <c r="EZ56">
        <v>105.86255682970588</v>
      </c>
      <c r="FA56">
        <v>106.11925069970543</v>
      </c>
      <c r="FB56">
        <v>106.33891426719758</v>
      </c>
      <c r="FC56">
        <v>106.56034332270347</v>
      </c>
      <c r="FD56">
        <v>106.75939665794701</v>
      </c>
      <c r="FE56">
        <v>106.98203461802046</v>
      </c>
      <c r="FF56">
        <v>107.25575707385033</v>
      </c>
      <c r="FG56">
        <v>107.55563813009438</v>
      </c>
      <c r="FH56">
        <v>107.81284109509733</v>
      </c>
      <c r="FI56">
        <v>108.01481532417073</v>
      </c>
      <c r="FJ56">
        <v>108.24339293885838</v>
      </c>
      <c r="FK56">
        <v>108.52960824704344</v>
      </c>
      <c r="FL56">
        <v>108.83835836467841</v>
      </c>
      <c r="FM56">
        <v>109.13105065959465</v>
      </c>
      <c r="FN56">
        <v>109.44298960271581</v>
      </c>
      <c r="FO56">
        <v>109.69362183242276</v>
      </c>
      <c r="FP56">
        <v>110.00506191146361</v>
      </c>
      <c r="FQ56">
        <v>110.37880231413453</v>
      </c>
      <c r="FR56">
        <v>110.8335217379921</v>
      </c>
      <c r="FS56">
        <v>111.18223320581062</v>
      </c>
      <c r="FT56">
        <v>111.58051102294574</v>
      </c>
      <c r="FU56">
        <v>111.96819787986676</v>
      </c>
      <c r="FV56">
        <v>112.35310475510968</v>
      </c>
      <c r="FW56">
        <v>112.74935101921054</v>
      </c>
      <c r="FX56">
        <v>113.26708002812764</v>
      </c>
      <c r="FY56">
        <v>113.76149652557167</v>
      </c>
      <c r="FZ56">
        <v>114.34078361328474</v>
      </c>
      <c r="GA56">
        <v>114.87001203448875</v>
      </c>
      <c r="GB56">
        <v>115.49798803073315</v>
      </c>
      <c r="GC56">
        <v>116.27139517865157</v>
      </c>
      <c r="GD56">
        <v>116.9040965602814</v>
      </c>
      <c r="GE56">
        <v>117.5825084540422</v>
      </c>
      <c r="GF56">
        <v>118.38872821750019</v>
      </c>
      <c r="GG56">
        <v>119.11826394153442</v>
      </c>
      <c r="GH56">
        <v>120.08909795306738</v>
      </c>
      <c r="GI56">
        <v>121.01191791028752</v>
      </c>
      <c r="GJ56">
        <v>122.07901814631165</v>
      </c>
      <c r="GK56">
        <v>123.31744645033415</v>
      </c>
      <c r="GL56">
        <v>124.70678203125203</v>
      </c>
      <c r="GM56">
        <v>126.57185693419031</v>
      </c>
      <c r="GN56">
        <v>129.35419402528092</v>
      </c>
      <c r="GO56">
        <v>132.34572604482466</v>
      </c>
      <c r="GP56">
        <v>136.72779232586373</v>
      </c>
      <c r="GQ56">
        <v>145.46310965517139</v>
      </c>
      <c r="GR56">
        <v>101.041546376062</v>
      </c>
      <c r="GT56" s="8">
        <v>45371</v>
      </c>
      <c r="GU56">
        <v>138.50045900000001</v>
      </c>
    </row>
    <row r="57" spans="1:203" x14ac:dyDescent="0.45">
      <c r="A57">
        <v>86.411543548220152</v>
      </c>
      <c r="B57">
        <v>87.385187896649924</v>
      </c>
      <c r="C57">
        <v>88.095900283988954</v>
      </c>
      <c r="D57">
        <v>88.697657054201187</v>
      </c>
      <c r="E57">
        <v>89.23569298311098</v>
      </c>
      <c r="F57">
        <v>89.620008804605334</v>
      </c>
      <c r="G57">
        <v>89.851292349061197</v>
      </c>
      <c r="H57">
        <v>90.091706915331841</v>
      </c>
      <c r="I57">
        <v>90.286649921154137</v>
      </c>
      <c r="J57">
        <v>90.508024254615421</v>
      </c>
      <c r="K57">
        <v>90.717123144438744</v>
      </c>
      <c r="L57">
        <v>90.886083337242482</v>
      </c>
      <c r="M57">
        <v>91.011286351138665</v>
      </c>
      <c r="N57">
        <v>91.174305813744851</v>
      </c>
      <c r="O57">
        <v>91.323476664158164</v>
      </c>
      <c r="P57">
        <v>91.481733511361412</v>
      </c>
      <c r="Q57">
        <v>91.616778982321733</v>
      </c>
      <c r="R57">
        <v>91.76684624099552</v>
      </c>
      <c r="S57">
        <v>91.881290880983698</v>
      </c>
      <c r="T57">
        <v>91.960320395776876</v>
      </c>
      <c r="U57">
        <v>92.066689157210533</v>
      </c>
      <c r="V57">
        <v>92.159558619019847</v>
      </c>
      <c r="W57">
        <v>92.257715827665137</v>
      </c>
      <c r="X57">
        <v>92.395274577354485</v>
      </c>
      <c r="Y57">
        <v>92.506583152425307</v>
      </c>
      <c r="Z57">
        <v>92.592909871553729</v>
      </c>
      <c r="AA57">
        <v>92.695630515444165</v>
      </c>
      <c r="AB57">
        <v>92.784008878351713</v>
      </c>
      <c r="AC57">
        <v>92.883884278029669</v>
      </c>
      <c r="AD57">
        <v>92.971279713772248</v>
      </c>
      <c r="AE57">
        <v>93.091779115269631</v>
      </c>
      <c r="AF57">
        <v>93.195536725410477</v>
      </c>
      <c r="AG57">
        <v>93.273991430327243</v>
      </c>
      <c r="AH57">
        <v>93.358453732284559</v>
      </c>
      <c r="AI57">
        <v>93.448944515897821</v>
      </c>
      <c r="AJ57">
        <v>93.534129132325688</v>
      </c>
      <c r="AK57">
        <v>93.628408924896775</v>
      </c>
      <c r="AL57">
        <v>93.69554711119018</v>
      </c>
      <c r="AM57">
        <v>93.792511551375142</v>
      </c>
      <c r="AN57">
        <v>93.862907842944082</v>
      </c>
      <c r="AO57">
        <v>93.931677655149244</v>
      </c>
      <c r="AP57">
        <v>94.002161557182831</v>
      </c>
      <c r="AQ57">
        <v>94.087938885329919</v>
      </c>
      <c r="AR57">
        <v>94.160220229510941</v>
      </c>
      <c r="AS57">
        <v>94.238191535855989</v>
      </c>
      <c r="AT57">
        <v>94.29795956200995</v>
      </c>
      <c r="AU57">
        <v>94.374797415952216</v>
      </c>
      <c r="AV57">
        <v>94.452974744811215</v>
      </c>
      <c r="AW57">
        <v>94.522793706647477</v>
      </c>
      <c r="AX57">
        <v>94.5943086328666</v>
      </c>
      <c r="AY57">
        <v>94.659416702964222</v>
      </c>
      <c r="AZ57">
        <v>94.743894158281236</v>
      </c>
      <c r="BA57">
        <v>94.814260528859847</v>
      </c>
      <c r="BB57">
        <v>94.902738271491231</v>
      </c>
      <c r="BC57">
        <v>94.977114922235458</v>
      </c>
      <c r="BD57">
        <v>95.06698086375026</v>
      </c>
      <c r="BE57">
        <v>95.134118768883297</v>
      </c>
      <c r="BF57">
        <v>95.215622734796341</v>
      </c>
      <c r="BG57">
        <v>95.296022564854454</v>
      </c>
      <c r="BH57">
        <v>95.360566399786066</v>
      </c>
      <c r="BI57">
        <v>95.451947217326207</v>
      </c>
      <c r="BJ57">
        <v>95.539684208939093</v>
      </c>
      <c r="BK57">
        <v>95.600653716150688</v>
      </c>
      <c r="BL57">
        <v>95.662035297249005</v>
      </c>
      <c r="BM57">
        <v>95.744503265967452</v>
      </c>
      <c r="BN57">
        <v>95.826717699988279</v>
      </c>
      <c r="BO57">
        <v>95.906054031843482</v>
      </c>
      <c r="BP57">
        <v>95.966611858001386</v>
      </c>
      <c r="BQ57">
        <v>96.028647800417559</v>
      </c>
      <c r="BR57">
        <v>96.091803323248371</v>
      </c>
      <c r="BS57">
        <v>96.145630492497887</v>
      </c>
      <c r="BT57">
        <v>96.225562737129394</v>
      </c>
      <c r="BU57">
        <v>96.293249498469791</v>
      </c>
      <c r="BV57">
        <v>96.37008509365117</v>
      </c>
      <c r="BW57">
        <v>96.437835225910817</v>
      </c>
      <c r="BX57">
        <v>96.511339967571345</v>
      </c>
      <c r="BY57">
        <v>96.580870850890904</v>
      </c>
      <c r="BZ57">
        <v>96.675735087941746</v>
      </c>
      <c r="CA57">
        <v>96.749461356306824</v>
      </c>
      <c r="CB57">
        <v>96.836058555398353</v>
      </c>
      <c r="CC57">
        <v>96.918001474288147</v>
      </c>
      <c r="CD57">
        <v>97.005451156620111</v>
      </c>
      <c r="CE57">
        <v>97.09814994457804</v>
      </c>
      <c r="CF57">
        <v>97.153985632632498</v>
      </c>
      <c r="CG57">
        <v>97.223831071245428</v>
      </c>
      <c r="CH57">
        <v>97.301170612472973</v>
      </c>
      <c r="CI57">
        <v>97.375550614572106</v>
      </c>
      <c r="CJ57">
        <v>97.451388821195792</v>
      </c>
      <c r="CK57">
        <v>97.532675423883404</v>
      </c>
      <c r="CL57">
        <v>97.616417546633159</v>
      </c>
      <c r="CM57">
        <v>97.696213355411885</v>
      </c>
      <c r="CN57">
        <v>97.765452623030427</v>
      </c>
      <c r="CO57">
        <v>97.846056080327074</v>
      </c>
      <c r="CP57">
        <v>97.928742841021759</v>
      </c>
      <c r="CQ57">
        <v>98.052012813291043</v>
      </c>
      <c r="CR57">
        <v>98.146947592195161</v>
      </c>
      <c r="CS57">
        <v>98.239313131248963</v>
      </c>
      <c r="CT57">
        <v>98.318431590755978</v>
      </c>
      <c r="CU57">
        <v>98.409067685362061</v>
      </c>
      <c r="CV57">
        <v>98.527815811969077</v>
      </c>
      <c r="CW57">
        <v>98.618352531649222</v>
      </c>
      <c r="CX57">
        <v>98.711249534650207</v>
      </c>
      <c r="CY57">
        <v>98.803462148462941</v>
      </c>
      <c r="CZ57">
        <v>98.876008480189185</v>
      </c>
      <c r="DA57">
        <v>98.964271270596456</v>
      </c>
      <c r="DB57">
        <v>99.048299431618815</v>
      </c>
      <c r="DC57">
        <v>99.156085313140082</v>
      </c>
      <c r="DD57">
        <v>99.238212512043305</v>
      </c>
      <c r="DE57">
        <v>99.319085834936871</v>
      </c>
      <c r="DF57">
        <v>99.399816261011807</v>
      </c>
      <c r="DG57">
        <v>99.511770969289287</v>
      </c>
      <c r="DH57">
        <v>99.602975950775459</v>
      </c>
      <c r="DI57">
        <v>99.720102753861184</v>
      </c>
      <c r="DJ57">
        <v>99.807891500618581</v>
      </c>
      <c r="DK57">
        <v>99.898555836619735</v>
      </c>
      <c r="DL57">
        <v>100.02710859406228</v>
      </c>
      <c r="DM57">
        <v>100.14380452072169</v>
      </c>
      <c r="DN57">
        <v>100.25653653150773</v>
      </c>
      <c r="DO57">
        <v>100.37578835682942</v>
      </c>
      <c r="DP57">
        <v>100.47834827724954</v>
      </c>
      <c r="DQ57">
        <v>100.58994139278767</v>
      </c>
      <c r="DR57">
        <v>100.71695971123705</v>
      </c>
      <c r="DS57">
        <v>100.80659372870817</v>
      </c>
      <c r="DT57">
        <v>100.93109550942873</v>
      </c>
      <c r="DU57">
        <v>101.07246517830009</v>
      </c>
      <c r="DV57">
        <v>101.14219137310472</v>
      </c>
      <c r="DW57">
        <v>101.28007769814008</v>
      </c>
      <c r="DX57">
        <v>101.40489091849112</v>
      </c>
      <c r="DY57">
        <v>101.50411319214835</v>
      </c>
      <c r="DZ57">
        <v>101.60944219551492</v>
      </c>
      <c r="EA57">
        <v>101.75374881512209</v>
      </c>
      <c r="EB57">
        <v>101.88452402645659</v>
      </c>
      <c r="EC57">
        <v>102.0054602444832</v>
      </c>
      <c r="ED57">
        <v>102.1292018830005</v>
      </c>
      <c r="EE57">
        <v>102.27178808667645</v>
      </c>
      <c r="EF57">
        <v>102.43083563373699</v>
      </c>
      <c r="EG57">
        <v>102.59208619005615</v>
      </c>
      <c r="EH57">
        <v>102.75224523681173</v>
      </c>
      <c r="EI57">
        <v>102.91970314120523</v>
      </c>
      <c r="EJ57">
        <v>103.05328055383546</v>
      </c>
      <c r="EK57">
        <v>103.20885649235471</v>
      </c>
      <c r="EL57">
        <v>103.35694135952326</v>
      </c>
      <c r="EM57">
        <v>103.51939640674044</v>
      </c>
      <c r="EN57">
        <v>103.68759346086655</v>
      </c>
      <c r="EO57">
        <v>103.85238297453891</v>
      </c>
      <c r="EP57">
        <v>104.05317005128481</v>
      </c>
      <c r="EQ57">
        <v>104.19387255350976</v>
      </c>
      <c r="ER57">
        <v>104.3807496117896</v>
      </c>
      <c r="ES57">
        <v>104.55879015165945</v>
      </c>
      <c r="ET57">
        <v>104.71009739790522</v>
      </c>
      <c r="EU57">
        <v>104.88134374095726</v>
      </c>
      <c r="EV57">
        <v>105.10066717673092</v>
      </c>
      <c r="EW57">
        <v>105.303957385009</v>
      </c>
      <c r="EX57">
        <v>105.55980786794102</v>
      </c>
      <c r="EY57">
        <v>105.7427912264682</v>
      </c>
      <c r="EZ57">
        <v>105.97103988424837</v>
      </c>
      <c r="FA57">
        <v>106.23293817667778</v>
      </c>
      <c r="FB57">
        <v>106.46966826838647</v>
      </c>
      <c r="FC57">
        <v>106.64902322185893</v>
      </c>
      <c r="FD57">
        <v>106.89034737049562</v>
      </c>
      <c r="FE57">
        <v>107.15851711088963</v>
      </c>
      <c r="FF57">
        <v>107.40480303249943</v>
      </c>
      <c r="FG57">
        <v>107.66921470877932</v>
      </c>
      <c r="FH57">
        <v>107.90467767319109</v>
      </c>
      <c r="FI57">
        <v>108.11346306584807</v>
      </c>
      <c r="FJ57">
        <v>108.43835236059392</v>
      </c>
      <c r="FK57">
        <v>108.70439980831132</v>
      </c>
      <c r="FL57">
        <v>108.95858834387511</v>
      </c>
      <c r="FM57">
        <v>109.14915253780731</v>
      </c>
      <c r="FN57">
        <v>109.40690747136341</v>
      </c>
      <c r="FO57">
        <v>109.76655852055256</v>
      </c>
      <c r="FP57">
        <v>110.11325670856573</v>
      </c>
      <c r="FQ57">
        <v>110.45789457672429</v>
      </c>
      <c r="FR57">
        <v>110.8160489939706</v>
      </c>
      <c r="FS57">
        <v>111.19052714290368</v>
      </c>
      <c r="FT57">
        <v>111.76826768249522</v>
      </c>
      <c r="FU57">
        <v>112.2517247855787</v>
      </c>
      <c r="FV57">
        <v>112.60961970418882</v>
      </c>
      <c r="FW57">
        <v>113.08150001907816</v>
      </c>
      <c r="FX57">
        <v>113.48479980499144</v>
      </c>
      <c r="FY57">
        <v>114.07579055130432</v>
      </c>
      <c r="FZ57">
        <v>114.64438991571532</v>
      </c>
      <c r="GA57">
        <v>115.17438340302355</v>
      </c>
      <c r="GB57">
        <v>115.66704679317972</v>
      </c>
      <c r="GC57">
        <v>116.26952836557916</v>
      </c>
      <c r="GD57">
        <v>117.01143204951639</v>
      </c>
      <c r="GE57">
        <v>117.73976836851232</v>
      </c>
      <c r="GF57">
        <v>118.37122580846132</v>
      </c>
      <c r="GG57">
        <v>119.34735907104624</v>
      </c>
      <c r="GH57">
        <v>120.22249534734681</v>
      </c>
      <c r="GI57">
        <v>121.25212096104791</v>
      </c>
      <c r="GJ57">
        <v>122.56939758023</v>
      </c>
      <c r="GK57">
        <v>123.75480659287834</v>
      </c>
      <c r="GL57">
        <v>125.11556844062966</v>
      </c>
      <c r="GM57">
        <v>126.72954825775899</v>
      </c>
      <c r="GN57">
        <v>128.88775852681235</v>
      </c>
      <c r="GO57">
        <v>132.52636480793723</v>
      </c>
      <c r="GP57">
        <v>136.89736660683781</v>
      </c>
      <c r="GQ57">
        <v>145.15837973219283</v>
      </c>
      <c r="GR57">
        <v>101.0635115280203</v>
      </c>
      <c r="GT57" s="8">
        <v>45372</v>
      </c>
      <c r="GU57">
        <v>140.658432</v>
      </c>
    </row>
    <row r="58" spans="1:203" x14ac:dyDescent="0.45">
      <c r="A58">
        <v>86.304769038845009</v>
      </c>
      <c r="B58">
        <v>87.307760170122265</v>
      </c>
      <c r="C58">
        <v>87.979622936273643</v>
      </c>
      <c r="D58">
        <v>88.595399750176099</v>
      </c>
      <c r="E58">
        <v>89.075729681538803</v>
      </c>
      <c r="F58">
        <v>89.44733680987531</v>
      </c>
      <c r="G58">
        <v>89.675722889118646</v>
      </c>
      <c r="H58">
        <v>89.974273865105289</v>
      </c>
      <c r="I58">
        <v>90.150513174001844</v>
      </c>
      <c r="J58">
        <v>90.392375438969466</v>
      </c>
      <c r="K58">
        <v>90.62269854432769</v>
      </c>
      <c r="L58">
        <v>90.826152893268954</v>
      </c>
      <c r="M58">
        <v>90.944613597419632</v>
      </c>
      <c r="N58">
        <v>91.08230225213174</v>
      </c>
      <c r="O58">
        <v>91.239551734759175</v>
      </c>
      <c r="P58">
        <v>91.359457122603459</v>
      </c>
      <c r="Q58">
        <v>91.535350835854373</v>
      </c>
      <c r="R58">
        <v>91.666002985234613</v>
      </c>
      <c r="S58">
        <v>91.78522332591055</v>
      </c>
      <c r="T58">
        <v>91.908192975423901</v>
      </c>
      <c r="U58">
        <v>92.019492637183731</v>
      </c>
      <c r="V58">
        <v>92.131130233242587</v>
      </c>
      <c r="W58">
        <v>92.237438841368174</v>
      </c>
      <c r="X58">
        <v>92.320196275690449</v>
      </c>
      <c r="Y58">
        <v>92.439451900204261</v>
      </c>
      <c r="Z58">
        <v>92.525147093676168</v>
      </c>
      <c r="AA58">
        <v>92.653528259396452</v>
      </c>
      <c r="AB58">
        <v>92.766193947688635</v>
      </c>
      <c r="AC58">
        <v>92.861127502994876</v>
      </c>
      <c r="AD58">
        <v>92.971522000469577</v>
      </c>
      <c r="AE58">
        <v>93.061667539359377</v>
      </c>
      <c r="AF58">
        <v>93.167130044782652</v>
      </c>
      <c r="AG58">
        <v>93.23824329811643</v>
      </c>
      <c r="AH58">
        <v>93.341648760972575</v>
      </c>
      <c r="AI58">
        <v>93.434371707504965</v>
      </c>
      <c r="AJ58">
        <v>93.505537871239241</v>
      </c>
      <c r="AK58">
        <v>93.595091485681024</v>
      </c>
      <c r="AL58">
        <v>93.667352470004204</v>
      </c>
      <c r="AM58">
        <v>93.730513980942334</v>
      </c>
      <c r="AN58">
        <v>93.812781164187584</v>
      </c>
      <c r="AO58">
        <v>93.8750124120007</v>
      </c>
      <c r="AP58">
        <v>93.972618532023063</v>
      </c>
      <c r="AQ58">
        <v>94.047471360906471</v>
      </c>
      <c r="AR58">
        <v>94.1466781966827</v>
      </c>
      <c r="AS58">
        <v>94.233722890410931</v>
      </c>
      <c r="AT58">
        <v>94.295401957957509</v>
      </c>
      <c r="AU58">
        <v>94.377402218101025</v>
      </c>
      <c r="AV58">
        <v>94.442709837908879</v>
      </c>
      <c r="AW58">
        <v>94.511130109511512</v>
      </c>
      <c r="AX58">
        <v>94.580081572871279</v>
      </c>
      <c r="AY58">
        <v>94.658761958292089</v>
      </c>
      <c r="AZ58">
        <v>94.725709412012236</v>
      </c>
      <c r="BA58">
        <v>94.793974426145027</v>
      </c>
      <c r="BB58">
        <v>94.865195074290071</v>
      </c>
      <c r="BC58">
        <v>94.93098640620957</v>
      </c>
      <c r="BD58">
        <v>95.002938475504052</v>
      </c>
      <c r="BE58">
        <v>95.083407046392196</v>
      </c>
      <c r="BF58">
        <v>95.161795715833861</v>
      </c>
      <c r="BG58">
        <v>95.223189022765808</v>
      </c>
      <c r="BH58">
        <v>95.312893354754749</v>
      </c>
      <c r="BI58">
        <v>95.393640639354658</v>
      </c>
      <c r="BJ58">
        <v>95.456051990338608</v>
      </c>
      <c r="BK58">
        <v>95.537953564051591</v>
      </c>
      <c r="BL58">
        <v>95.615143157477704</v>
      </c>
      <c r="BM58">
        <v>95.693723433169296</v>
      </c>
      <c r="BN58">
        <v>95.754137904952898</v>
      </c>
      <c r="BO58">
        <v>95.826493224715094</v>
      </c>
      <c r="BP58">
        <v>95.883586442461748</v>
      </c>
      <c r="BQ58">
        <v>95.946524699822689</v>
      </c>
      <c r="BR58">
        <v>96.023883969798504</v>
      </c>
      <c r="BS58">
        <v>96.102874334334373</v>
      </c>
      <c r="BT58">
        <v>96.16609874396471</v>
      </c>
      <c r="BU58">
        <v>96.238545594494497</v>
      </c>
      <c r="BV58">
        <v>96.303960518895849</v>
      </c>
      <c r="BW58">
        <v>96.380844942851041</v>
      </c>
      <c r="BX58">
        <v>96.449389695579939</v>
      </c>
      <c r="BY58">
        <v>96.52049760763876</v>
      </c>
      <c r="BZ58">
        <v>96.588163766194484</v>
      </c>
      <c r="CA58">
        <v>96.656166980930635</v>
      </c>
      <c r="CB58">
        <v>96.733995252064446</v>
      </c>
      <c r="CC58">
        <v>96.82365172042536</v>
      </c>
      <c r="CD58">
        <v>96.919915246874154</v>
      </c>
      <c r="CE58">
        <v>97.005148785374061</v>
      </c>
      <c r="CF58">
        <v>97.081671123173066</v>
      </c>
      <c r="CG58">
        <v>97.158845403824031</v>
      </c>
      <c r="CH58">
        <v>97.242866975141851</v>
      </c>
      <c r="CI58">
        <v>97.319400795933021</v>
      </c>
      <c r="CJ58">
        <v>97.417463351604454</v>
      </c>
      <c r="CK58">
        <v>97.482171923523865</v>
      </c>
      <c r="CL58">
        <v>97.576064103899142</v>
      </c>
      <c r="CM58">
        <v>97.701376547381372</v>
      </c>
      <c r="CN58">
        <v>97.773736786624724</v>
      </c>
      <c r="CO58">
        <v>97.846043520514527</v>
      </c>
      <c r="CP58">
        <v>97.940177061561855</v>
      </c>
      <c r="CQ58">
        <v>98.031443720455954</v>
      </c>
      <c r="CR58">
        <v>98.110893479011821</v>
      </c>
      <c r="CS58">
        <v>98.198999967651872</v>
      </c>
      <c r="CT58">
        <v>98.276657228065147</v>
      </c>
      <c r="CU58">
        <v>98.376585800183946</v>
      </c>
      <c r="CV58">
        <v>98.492153649563988</v>
      </c>
      <c r="CW58">
        <v>98.570482408523091</v>
      </c>
      <c r="CX58">
        <v>98.659485677901003</v>
      </c>
      <c r="CY58">
        <v>98.742586232013508</v>
      </c>
      <c r="CZ58">
        <v>98.844943364842138</v>
      </c>
      <c r="DA58">
        <v>98.953937221917599</v>
      </c>
      <c r="DB58">
        <v>99.048599869998014</v>
      </c>
      <c r="DC58">
        <v>99.150038596205448</v>
      </c>
      <c r="DD58">
        <v>99.236083018796975</v>
      </c>
      <c r="DE58">
        <v>99.325411417655289</v>
      </c>
      <c r="DF58">
        <v>99.415753750108479</v>
      </c>
      <c r="DG58">
        <v>99.511731162048932</v>
      </c>
      <c r="DH58">
        <v>99.627053013906533</v>
      </c>
      <c r="DI58">
        <v>99.749252908676866</v>
      </c>
      <c r="DJ58">
        <v>99.856973986047151</v>
      </c>
      <c r="DK58">
        <v>99.959367421119239</v>
      </c>
      <c r="DL58">
        <v>100.05051607613946</v>
      </c>
      <c r="DM58">
        <v>100.14291232942705</v>
      </c>
      <c r="DN58">
        <v>100.25511224997533</v>
      </c>
      <c r="DO58">
        <v>100.34418528278667</v>
      </c>
      <c r="DP58">
        <v>100.45729039314863</v>
      </c>
      <c r="DQ58">
        <v>100.5655268391836</v>
      </c>
      <c r="DR58">
        <v>100.69308668487591</v>
      </c>
      <c r="DS58">
        <v>100.82509779072795</v>
      </c>
      <c r="DT58">
        <v>100.94059709076832</v>
      </c>
      <c r="DU58">
        <v>101.07531445478067</v>
      </c>
      <c r="DV58">
        <v>101.16519585716077</v>
      </c>
      <c r="DW58">
        <v>101.3073056431307</v>
      </c>
      <c r="DX58">
        <v>101.44026982105849</v>
      </c>
      <c r="DY58">
        <v>101.54552500836022</v>
      </c>
      <c r="DZ58">
        <v>101.68951880997787</v>
      </c>
      <c r="EA58">
        <v>101.82609807225344</v>
      </c>
      <c r="EB58">
        <v>101.95196016614767</v>
      </c>
      <c r="EC58">
        <v>102.10574366820302</v>
      </c>
      <c r="ED58">
        <v>102.24566600807172</v>
      </c>
      <c r="EE58">
        <v>102.39818524815715</v>
      </c>
      <c r="EF58">
        <v>102.54960512994451</v>
      </c>
      <c r="EG58">
        <v>102.69131572158351</v>
      </c>
      <c r="EH58">
        <v>102.85459548038929</v>
      </c>
      <c r="EI58">
        <v>102.97433959192112</v>
      </c>
      <c r="EJ58">
        <v>103.07638093532654</v>
      </c>
      <c r="EK58">
        <v>103.21252795699424</v>
      </c>
      <c r="EL58">
        <v>103.33538701692994</v>
      </c>
      <c r="EM58">
        <v>103.48490301042862</v>
      </c>
      <c r="EN58">
        <v>103.72116866130759</v>
      </c>
      <c r="EO58">
        <v>103.86004330814613</v>
      </c>
      <c r="EP58">
        <v>104.01106509336282</v>
      </c>
      <c r="EQ58">
        <v>104.21173403234752</v>
      </c>
      <c r="ER58">
        <v>104.37262633453196</v>
      </c>
      <c r="ES58">
        <v>104.55545721559348</v>
      </c>
      <c r="ET58">
        <v>104.7412910351145</v>
      </c>
      <c r="EU58">
        <v>104.94523370910666</v>
      </c>
      <c r="EV58">
        <v>105.13718525154104</v>
      </c>
      <c r="EW58">
        <v>105.31748031667257</v>
      </c>
      <c r="EX58">
        <v>105.53355473717355</v>
      </c>
      <c r="EY58">
        <v>105.74920676765376</v>
      </c>
      <c r="EZ58">
        <v>105.99644813226223</v>
      </c>
      <c r="FA58">
        <v>106.25728565535159</v>
      </c>
      <c r="FB58">
        <v>106.46987454445878</v>
      </c>
      <c r="FC58">
        <v>106.68298016108162</v>
      </c>
      <c r="FD58">
        <v>106.94600385236561</v>
      </c>
      <c r="FE58">
        <v>107.17886981002123</v>
      </c>
      <c r="FF58">
        <v>107.44258006957398</v>
      </c>
      <c r="FG58">
        <v>107.62457417292539</v>
      </c>
      <c r="FH58">
        <v>107.86192085085648</v>
      </c>
      <c r="FI58">
        <v>108.12599032132523</v>
      </c>
      <c r="FJ58">
        <v>108.39360134944245</v>
      </c>
      <c r="FK58">
        <v>108.61216653527769</v>
      </c>
      <c r="FL58">
        <v>108.94645045592756</v>
      </c>
      <c r="FM58">
        <v>109.29031239526937</v>
      </c>
      <c r="FN58">
        <v>109.54548562052102</v>
      </c>
      <c r="FO58">
        <v>109.84228668147823</v>
      </c>
      <c r="FP58">
        <v>110.20420399738784</v>
      </c>
      <c r="FQ58">
        <v>110.53292147647586</v>
      </c>
      <c r="FR58">
        <v>110.94032818770361</v>
      </c>
      <c r="FS58">
        <v>111.33437010741903</v>
      </c>
      <c r="FT58">
        <v>111.83904162841641</v>
      </c>
      <c r="FU58">
        <v>112.23207492193418</v>
      </c>
      <c r="FV58">
        <v>112.66440071079148</v>
      </c>
      <c r="FW58">
        <v>113.23135892410035</v>
      </c>
      <c r="FX58">
        <v>113.65201461695045</v>
      </c>
      <c r="FY58">
        <v>114.1524997532463</v>
      </c>
      <c r="FZ58">
        <v>114.60352797354147</v>
      </c>
      <c r="GA58">
        <v>115.25335837514956</v>
      </c>
      <c r="GB58">
        <v>115.78471480724671</v>
      </c>
      <c r="GC58">
        <v>116.31091195958234</v>
      </c>
      <c r="GD58">
        <v>116.99327232775785</v>
      </c>
      <c r="GE58">
        <v>117.82509798673294</v>
      </c>
      <c r="GF58">
        <v>118.59029047342639</v>
      </c>
      <c r="GG58">
        <v>119.32796473690323</v>
      </c>
      <c r="GH58">
        <v>120.34289928247728</v>
      </c>
      <c r="GI58">
        <v>121.22030370052481</v>
      </c>
      <c r="GJ58">
        <v>122.19884932797125</v>
      </c>
      <c r="GK58">
        <v>123.7064207331272</v>
      </c>
      <c r="GL58">
        <v>125.38932994392084</v>
      </c>
      <c r="GM58">
        <v>127.48788597524324</v>
      </c>
      <c r="GN58">
        <v>129.38425188263685</v>
      </c>
      <c r="GO58">
        <v>132.5003113615538</v>
      </c>
      <c r="GP58">
        <v>137.07099834167286</v>
      </c>
      <c r="GQ58">
        <v>145.08593271994783</v>
      </c>
      <c r="GR58">
        <v>101.05691110033092</v>
      </c>
      <c r="GT58" s="8">
        <v>45373</v>
      </c>
      <c r="GU58">
        <v>139.47194500000001</v>
      </c>
    </row>
    <row r="59" spans="1:203" x14ac:dyDescent="0.45">
      <c r="A59">
        <v>86.223362468134781</v>
      </c>
      <c r="B59">
        <v>87.307406967766838</v>
      </c>
      <c r="C59">
        <v>87.99320147364827</v>
      </c>
      <c r="D59">
        <v>88.509321013932734</v>
      </c>
      <c r="E59">
        <v>88.959834105953547</v>
      </c>
      <c r="F59">
        <v>89.316040180009551</v>
      </c>
      <c r="G59">
        <v>89.595621098360553</v>
      </c>
      <c r="H59">
        <v>89.825841928998827</v>
      </c>
      <c r="I59">
        <v>90.114629209000725</v>
      </c>
      <c r="J59">
        <v>90.336192138741168</v>
      </c>
      <c r="K59">
        <v>90.598513777082303</v>
      </c>
      <c r="L59">
        <v>90.771459345626596</v>
      </c>
      <c r="M59">
        <v>90.912422286538416</v>
      </c>
      <c r="N59">
        <v>91.058526914528812</v>
      </c>
      <c r="O59">
        <v>91.190109919920374</v>
      </c>
      <c r="P59">
        <v>91.33597069360394</v>
      </c>
      <c r="Q59">
        <v>91.472535734198914</v>
      </c>
      <c r="R59">
        <v>91.587781026444262</v>
      </c>
      <c r="S59">
        <v>91.719005552715416</v>
      </c>
      <c r="T59">
        <v>91.832755314317495</v>
      </c>
      <c r="U59">
        <v>91.934239599866928</v>
      </c>
      <c r="V59">
        <v>92.04527743738457</v>
      </c>
      <c r="W59">
        <v>92.16439104897357</v>
      </c>
      <c r="X59">
        <v>92.273909837516811</v>
      </c>
      <c r="Y59">
        <v>92.376044760228922</v>
      </c>
      <c r="Z59">
        <v>92.481158683030259</v>
      </c>
      <c r="AA59">
        <v>92.605902755975762</v>
      </c>
      <c r="AB59">
        <v>92.701321785219349</v>
      </c>
      <c r="AC59">
        <v>92.784090115747631</v>
      </c>
      <c r="AD59">
        <v>92.885011850835667</v>
      </c>
      <c r="AE59">
        <v>92.994437090604436</v>
      </c>
      <c r="AF59">
        <v>93.106920555897432</v>
      </c>
      <c r="AG59">
        <v>93.18113383401662</v>
      </c>
      <c r="AH59">
        <v>93.255816696678338</v>
      </c>
      <c r="AI59">
        <v>93.349064361700172</v>
      </c>
      <c r="AJ59">
        <v>93.432721761690914</v>
      </c>
      <c r="AK59">
        <v>93.517346852983181</v>
      </c>
      <c r="AL59">
        <v>93.598259615968459</v>
      </c>
      <c r="AM59">
        <v>93.665518757809068</v>
      </c>
      <c r="AN59">
        <v>93.74842722256335</v>
      </c>
      <c r="AO59">
        <v>93.82398656718</v>
      </c>
      <c r="AP59">
        <v>93.905996157168659</v>
      </c>
      <c r="AQ59">
        <v>93.993271224110032</v>
      </c>
      <c r="AR59">
        <v>94.066584277884303</v>
      </c>
      <c r="AS59">
        <v>94.133075060421618</v>
      </c>
      <c r="AT59">
        <v>94.210633899128879</v>
      </c>
      <c r="AU59">
        <v>94.290115374002042</v>
      </c>
      <c r="AV59">
        <v>94.381043917270304</v>
      </c>
      <c r="AW59">
        <v>94.455719102352589</v>
      </c>
      <c r="AX59">
        <v>94.537649377381115</v>
      </c>
      <c r="AY59">
        <v>94.614666000455259</v>
      </c>
      <c r="AZ59">
        <v>94.673588384742033</v>
      </c>
      <c r="BA59">
        <v>94.734914574195756</v>
      </c>
      <c r="BB59">
        <v>94.79620253740184</v>
      </c>
      <c r="BC59">
        <v>94.868850507452322</v>
      </c>
      <c r="BD59">
        <v>94.944246346825395</v>
      </c>
      <c r="BE59">
        <v>95.014419227460209</v>
      </c>
      <c r="BF59">
        <v>95.099678306661971</v>
      </c>
      <c r="BG59">
        <v>95.183217472532121</v>
      </c>
      <c r="BH59">
        <v>95.255537620230569</v>
      </c>
      <c r="BI59">
        <v>95.344019789111201</v>
      </c>
      <c r="BJ59">
        <v>95.414765265855266</v>
      </c>
      <c r="BK59">
        <v>95.486366373068861</v>
      </c>
      <c r="BL59">
        <v>95.559395644146704</v>
      </c>
      <c r="BM59">
        <v>95.644329368526328</v>
      </c>
      <c r="BN59">
        <v>95.725656844317555</v>
      </c>
      <c r="BO59">
        <v>95.78438322783029</v>
      </c>
      <c r="BP59">
        <v>95.856036498359757</v>
      </c>
      <c r="BQ59">
        <v>95.917233023619474</v>
      </c>
      <c r="BR59">
        <v>95.982592421040579</v>
      </c>
      <c r="BS59">
        <v>96.035625219677897</v>
      </c>
      <c r="BT59">
        <v>96.104014389962785</v>
      </c>
      <c r="BU59">
        <v>96.175712022926888</v>
      </c>
      <c r="BV59">
        <v>96.271972279157865</v>
      </c>
      <c r="BW59">
        <v>96.350327085453472</v>
      </c>
      <c r="BX59">
        <v>96.406203894475908</v>
      </c>
      <c r="BY59">
        <v>96.472618457012345</v>
      </c>
      <c r="BZ59">
        <v>96.556353357133546</v>
      </c>
      <c r="CA59">
        <v>96.63365249953992</v>
      </c>
      <c r="CB59">
        <v>96.713052568059382</v>
      </c>
      <c r="CC59">
        <v>96.806909457387988</v>
      </c>
      <c r="CD59">
        <v>96.896919428404445</v>
      </c>
      <c r="CE59">
        <v>96.982218625542458</v>
      </c>
      <c r="CF59">
        <v>97.060676341493775</v>
      </c>
      <c r="CG59">
        <v>97.138082125715371</v>
      </c>
      <c r="CH59">
        <v>97.210123514938942</v>
      </c>
      <c r="CI59">
        <v>97.285325389157961</v>
      </c>
      <c r="CJ59">
        <v>97.360809055688321</v>
      </c>
      <c r="CK59">
        <v>97.454135567515735</v>
      </c>
      <c r="CL59">
        <v>97.530535151214437</v>
      </c>
      <c r="CM59">
        <v>97.610302086222404</v>
      </c>
      <c r="CN59">
        <v>97.703584374320585</v>
      </c>
      <c r="CO59">
        <v>97.793191539455208</v>
      </c>
      <c r="CP59">
        <v>97.882026936157629</v>
      </c>
      <c r="CQ59">
        <v>97.971523582801623</v>
      </c>
      <c r="CR59">
        <v>98.067584477230952</v>
      </c>
      <c r="CS59">
        <v>98.1493875324756</v>
      </c>
      <c r="CT59">
        <v>98.245933376579387</v>
      </c>
      <c r="CU59">
        <v>98.336210275749892</v>
      </c>
      <c r="CV59">
        <v>98.450439910353069</v>
      </c>
      <c r="CW59">
        <v>98.537417175808045</v>
      </c>
      <c r="CX59">
        <v>98.622174496446419</v>
      </c>
      <c r="CY59">
        <v>98.706905953750351</v>
      </c>
      <c r="CZ59">
        <v>98.803250283748255</v>
      </c>
      <c r="DA59">
        <v>98.901149504425462</v>
      </c>
      <c r="DB59">
        <v>99.00949032138297</v>
      </c>
      <c r="DC59">
        <v>99.123200299305779</v>
      </c>
      <c r="DD59">
        <v>99.222501728749947</v>
      </c>
      <c r="DE59">
        <v>99.300628030951472</v>
      </c>
      <c r="DF59">
        <v>99.382732914063396</v>
      </c>
      <c r="DG59">
        <v>99.493134346666423</v>
      </c>
      <c r="DH59">
        <v>99.575715566449148</v>
      </c>
      <c r="DI59">
        <v>99.692985564455398</v>
      </c>
      <c r="DJ59">
        <v>99.787132865884985</v>
      </c>
      <c r="DK59">
        <v>99.88789659198865</v>
      </c>
      <c r="DL59">
        <v>99.980979424885248</v>
      </c>
      <c r="DM59">
        <v>100.0882551106546</v>
      </c>
      <c r="DN59">
        <v>100.16565845619495</v>
      </c>
      <c r="DO59">
        <v>100.27838282513441</v>
      </c>
      <c r="DP59">
        <v>100.40231011306571</v>
      </c>
      <c r="DQ59">
        <v>100.5238832932704</v>
      </c>
      <c r="DR59">
        <v>100.6452151641398</v>
      </c>
      <c r="DS59">
        <v>100.76702815708352</v>
      </c>
      <c r="DT59">
        <v>100.85553923181436</v>
      </c>
      <c r="DU59">
        <v>100.97394678288923</v>
      </c>
      <c r="DV59">
        <v>101.10208216188013</v>
      </c>
      <c r="DW59">
        <v>101.21640459271761</v>
      </c>
      <c r="DX59">
        <v>101.38019965750607</v>
      </c>
      <c r="DY59">
        <v>101.515608344161</v>
      </c>
      <c r="DZ59">
        <v>101.63388514493585</v>
      </c>
      <c r="EA59">
        <v>101.79504399107873</v>
      </c>
      <c r="EB59">
        <v>101.92205323964309</v>
      </c>
      <c r="EC59">
        <v>102.04384993472148</v>
      </c>
      <c r="ED59">
        <v>102.17125877602348</v>
      </c>
      <c r="EE59">
        <v>102.30341936353329</v>
      </c>
      <c r="EF59">
        <v>102.45701920806233</v>
      </c>
      <c r="EG59">
        <v>102.62172910797335</v>
      </c>
      <c r="EH59">
        <v>102.75901724013622</v>
      </c>
      <c r="EI59">
        <v>102.87611794912148</v>
      </c>
      <c r="EJ59">
        <v>103.00690478292489</v>
      </c>
      <c r="EK59">
        <v>103.18524313802602</v>
      </c>
      <c r="EL59">
        <v>103.35470443655903</v>
      </c>
      <c r="EM59">
        <v>103.50065068513446</v>
      </c>
      <c r="EN59">
        <v>103.70543335952361</v>
      </c>
      <c r="EO59">
        <v>103.88214912822016</v>
      </c>
      <c r="EP59">
        <v>104.06312275315342</v>
      </c>
      <c r="EQ59">
        <v>104.23542647538949</v>
      </c>
      <c r="ER59">
        <v>104.44331237933315</v>
      </c>
      <c r="ES59">
        <v>104.67550777893516</v>
      </c>
      <c r="ET59">
        <v>104.87327205385175</v>
      </c>
      <c r="EU59">
        <v>105.07695547090681</v>
      </c>
      <c r="EV59">
        <v>105.24109527120365</v>
      </c>
      <c r="EW59">
        <v>105.43941223152017</v>
      </c>
      <c r="EX59">
        <v>105.70530593572236</v>
      </c>
      <c r="EY59">
        <v>105.86211119257524</v>
      </c>
      <c r="EZ59">
        <v>106.12067382307703</v>
      </c>
      <c r="FA59">
        <v>106.36860996035027</v>
      </c>
      <c r="FB59">
        <v>106.57963562961486</v>
      </c>
      <c r="FC59">
        <v>106.76069357935998</v>
      </c>
      <c r="FD59">
        <v>107.01496164208278</v>
      </c>
      <c r="FE59">
        <v>107.27623293292784</v>
      </c>
      <c r="FF59">
        <v>107.56455708520882</v>
      </c>
      <c r="FG59">
        <v>107.77658899966441</v>
      </c>
      <c r="FH59">
        <v>108.02124740962462</v>
      </c>
      <c r="FI59">
        <v>108.32323223015383</v>
      </c>
      <c r="FJ59">
        <v>108.59232749083272</v>
      </c>
      <c r="FK59">
        <v>108.88981043944524</v>
      </c>
      <c r="FL59">
        <v>109.19722187074368</v>
      </c>
      <c r="FM59">
        <v>109.46520011743472</v>
      </c>
      <c r="FN59">
        <v>109.72972839787228</v>
      </c>
      <c r="FO59">
        <v>110.12702046688942</v>
      </c>
      <c r="FP59">
        <v>110.33546596862593</v>
      </c>
      <c r="FQ59">
        <v>110.67807835451725</v>
      </c>
      <c r="FR59">
        <v>111.05153560119027</v>
      </c>
      <c r="FS59">
        <v>111.42824034865022</v>
      </c>
      <c r="FT59">
        <v>111.86740219626198</v>
      </c>
      <c r="FU59">
        <v>112.33998332269074</v>
      </c>
      <c r="FV59">
        <v>112.80682274853083</v>
      </c>
      <c r="FW59">
        <v>113.25939500242596</v>
      </c>
      <c r="FX59">
        <v>113.81655402585041</v>
      </c>
      <c r="FY59">
        <v>114.24511533819235</v>
      </c>
      <c r="FZ59">
        <v>114.7446169116706</v>
      </c>
      <c r="GA59">
        <v>115.2625765376596</v>
      </c>
      <c r="GB59">
        <v>115.92486095202908</v>
      </c>
      <c r="GC59">
        <v>116.57529613946157</v>
      </c>
      <c r="GD59">
        <v>117.2292581779695</v>
      </c>
      <c r="GE59">
        <v>117.79969583942651</v>
      </c>
      <c r="GF59">
        <v>118.62574392366118</v>
      </c>
      <c r="GG59">
        <v>119.44319323998208</v>
      </c>
      <c r="GH59">
        <v>120.30723591212421</v>
      </c>
      <c r="GI59">
        <v>121.14089628895192</v>
      </c>
      <c r="GJ59">
        <v>122.47510907830812</v>
      </c>
      <c r="GK59">
        <v>123.7256575198778</v>
      </c>
      <c r="GL59">
        <v>125.51624882229201</v>
      </c>
      <c r="GM59">
        <v>127.54874108280744</v>
      </c>
      <c r="GN59">
        <v>129.86619176204394</v>
      </c>
      <c r="GO59">
        <v>132.73511802648775</v>
      </c>
      <c r="GP59">
        <v>137.66585690798581</v>
      </c>
      <c r="GQ59">
        <v>145.24310255122046</v>
      </c>
      <c r="GR59">
        <v>101.0564928540916</v>
      </c>
      <c r="GT59" s="8">
        <v>45376</v>
      </c>
      <c r="GU59">
        <v>138.15008700000001</v>
      </c>
    </row>
    <row r="60" spans="1:203" x14ac:dyDescent="0.45">
      <c r="A60">
        <v>86.173021087509582</v>
      </c>
      <c r="B60">
        <v>87.195028490028577</v>
      </c>
      <c r="C60">
        <v>87.963532491863148</v>
      </c>
      <c r="D60">
        <v>88.522711694944746</v>
      </c>
      <c r="E60">
        <v>88.975057797890472</v>
      </c>
      <c r="F60">
        <v>89.298181381388872</v>
      </c>
      <c r="G60">
        <v>89.544106136890107</v>
      </c>
      <c r="H60">
        <v>89.820641322647859</v>
      </c>
      <c r="I60">
        <v>90.097267723013985</v>
      </c>
      <c r="J60">
        <v>90.285142381819256</v>
      </c>
      <c r="K60">
        <v>90.459174512708202</v>
      </c>
      <c r="L60">
        <v>90.6495029046459</v>
      </c>
      <c r="M60">
        <v>90.808253733784753</v>
      </c>
      <c r="N60">
        <v>90.944487516348843</v>
      </c>
      <c r="O60">
        <v>91.119997786476091</v>
      </c>
      <c r="P60">
        <v>91.238802274623879</v>
      </c>
      <c r="Q60">
        <v>91.393743035469583</v>
      </c>
      <c r="R60">
        <v>91.506935960005748</v>
      </c>
      <c r="S60">
        <v>91.632383942409177</v>
      </c>
      <c r="T60">
        <v>91.738019207841191</v>
      </c>
      <c r="U60">
        <v>91.857376023623914</v>
      </c>
      <c r="V60">
        <v>91.976755177491356</v>
      </c>
      <c r="W60">
        <v>92.076811441234469</v>
      </c>
      <c r="X60">
        <v>92.19284391268063</v>
      </c>
      <c r="Y60">
        <v>92.295117606461744</v>
      </c>
      <c r="Z60">
        <v>92.409104159287139</v>
      </c>
      <c r="AA60">
        <v>92.527396199100096</v>
      </c>
      <c r="AB60">
        <v>92.607785766718308</v>
      </c>
      <c r="AC60">
        <v>92.733291728169945</v>
      </c>
      <c r="AD60">
        <v>92.843205075029474</v>
      </c>
      <c r="AE60">
        <v>92.94775647205158</v>
      </c>
      <c r="AF60">
        <v>93.065957163777625</v>
      </c>
      <c r="AG60">
        <v>93.164597397941847</v>
      </c>
      <c r="AH60">
        <v>93.239992324128551</v>
      </c>
      <c r="AI60">
        <v>93.299652498414389</v>
      </c>
      <c r="AJ60">
        <v>93.38071963905162</v>
      </c>
      <c r="AK60">
        <v>93.489113914420926</v>
      </c>
      <c r="AL60">
        <v>93.577401513035966</v>
      </c>
      <c r="AM60">
        <v>93.657120014933028</v>
      </c>
      <c r="AN60">
        <v>93.732552374368794</v>
      </c>
      <c r="AO60">
        <v>93.798174971620199</v>
      </c>
      <c r="AP60">
        <v>93.866486854215907</v>
      </c>
      <c r="AQ60">
        <v>93.937126175119488</v>
      </c>
      <c r="AR60">
        <v>94.009285926664361</v>
      </c>
      <c r="AS60">
        <v>94.077109462483676</v>
      </c>
      <c r="AT60">
        <v>94.141347005159361</v>
      </c>
      <c r="AU60">
        <v>94.222046050787895</v>
      </c>
      <c r="AV60">
        <v>94.280302433554681</v>
      </c>
      <c r="AW60">
        <v>94.365593424321816</v>
      </c>
      <c r="AX60">
        <v>94.441368215385594</v>
      </c>
      <c r="AY60">
        <v>94.518690279804929</v>
      </c>
      <c r="AZ60">
        <v>94.58100358969314</v>
      </c>
      <c r="BA60">
        <v>94.659403141972632</v>
      </c>
      <c r="BB60">
        <v>94.754466829401835</v>
      </c>
      <c r="BC60">
        <v>94.82385192440988</v>
      </c>
      <c r="BD60">
        <v>94.902148871137967</v>
      </c>
      <c r="BE60">
        <v>95.000672896041053</v>
      </c>
      <c r="BF60">
        <v>95.058088593004811</v>
      </c>
      <c r="BG60">
        <v>95.127471786127558</v>
      </c>
      <c r="BH60">
        <v>95.197040507105001</v>
      </c>
      <c r="BI60">
        <v>95.261683432908498</v>
      </c>
      <c r="BJ60">
        <v>95.353331377809297</v>
      </c>
      <c r="BK60">
        <v>95.44252375344027</v>
      </c>
      <c r="BL60">
        <v>95.503381827522247</v>
      </c>
      <c r="BM60">
        <v>95.560257432175447</v>
      </c>
      <c r="BN60">
        <v>95.637690617053522</v>
      </c>
      <c r="BO60">
        <v>95.713359385257561</v>
      </c>
      <c r="BP60">
        <v>95.798776269861918</v>
      </c>
      <c r="BQ60">
        <v>95.859651389323218</v>
      </c>
      <c r="BR60">
        <v>95.926485555694114</v>
      </c>
      <c r="BS60">
        <v>96.017182849554203</v>
      </c>
      <c r="BT60">
        <v>96.086528122548103</v>
      </c>
      <c r="BU60">
        <v>96.173676472661128</v>
      </c>
      <c r="BV60">
        <v>96.241207784575494</v>
      </c>
      <c r="BW60">
        <v>96.318500209710081</v>
      </c>
      <c r="BX60">
        <v>96.400065934193179</v>
      </c>
      <c r="BY60">
        <v>96.487156027216201</v>
      </c>
      <c r="BZ60">
        <v>96.577468064547389</v>
      </c>
      <c r="CA60">
        <v>96.646812658925057</v>
      </c>
      <c r="CB60">
        <v>96.717183568498896</v>
      </c>
      <c r="CC60">
        <v>96.799724728270576</v>
      </c>
      <c r="CD60">
        <v>96.8855032897808</v>
      </c>
      <c r="CE60">
        <v>96.973200542595634</v>
      </c>
      <c r="CF60">
        <v>97.076344323629499</v>
      </c>
      <c r="CG60">
        <v>97.162680185565989</v>
      </c>
      <c r="CH60">
        <v>97.235037477667944</v>
      </c>
      <c r="CI60">
        <v>97.318387234144538</v>
      </c>
      <c r="CJ60">
        <v>97.39141562668371</v>
      </c>
      <c r="CK60">
        <v>97.47849680072828</v>
      </c>
      <c r="CL60">
        <v>97.563332397748553</v>
      </c>
      <c r="CM60">
        <v>97.624800454846877</v>
      </c>
      <c r="CN60">
        <v>97.715466139035556</v>
      </c>
      <c r="CO60">
        <v>97.787221327986728</v>
      </c>
      <c r="CP60">
        <v>97.866409801692953</v>
      </c>
      <c r="CQ60">
        <v>97.958733747311328</v>
      </c>
      <c r="CR60">
        <v>98.039170737249336</v>
      </c>
      <c r="CS60">
        <v>98.125802940058122</v>
      </c>
      <c r="CT60">
        <v>98.208619927298301</v>
      </c>
      <c r="CU60">
        <v>98.301664084725644</v>
      </c>
      <c r="CV60">
        <v>98.373983042539649</v>
      </c>
      <c r="CW60">
        <v>98.455076376627105</v>
      </c>
      <c r="CX60">
        <v>98.570508947734965</v>
      </c>
      <c r="CY60">
        <v>98.65556876807868</v>
      </c>
      <c r="CZ60">
        <v>98.769263318838114</v>
      </c>
      <c r="DA60">
        <v>98.864292069189716</v>
      </c>
      <c r="DB60">
        <v>98.969719784355931</v>
      </c>
      <c r="DC60">
        <v>99.060634332924991</v>
      </c>
      <c r="DD60">
        <v>99.153443051907118</v>
      </c>
      <c r="DE60">
        <v>99.250772615970192</v>
      </c>
      <c r="DF60">
        <v>99.328683884521453</v>
      </c>
      <c r="DG60">
        <v>99.443644198209739</v>
      </c>
      <c r="DH60">
        <v>99.535878994311062</v>
      </c>
      <c r="DI60">
        <v>99.651024999697839</v>
      </c>
      <c r="DJ60">
        <v>99.742276527378124</v>
      </c>
      <c r="DK60">
        <v>99.849324410341552</v>
      </c>
      <c r="DL60">
        <v>99.971415305364104</v>
      </c>
      <c r="DM60">
        <v>100.08220376018207</v>
      </c>
      <c r="DN60">
        <v>100.19509017343266</v>
      </c>
      <c r="DO60">
        <v>100.32219383474799</v>
      </c>
      <c r="DP60">
        <v>100.42250848667099</v>
      </c>
      <c r="DQ60">
        <v>100.55135621107097</v>
      </c>
      <c r="DR60">
        <v>100.67204933211954</v>
      </c>
      <c r="DS60">
        <v>100.78306619075674</v>
      </c>
      <c r="DT60">
        <v>100.90314465717779</v>
      </c>
      <c r="DU60">
        <v>101.00093108996292</v>
      </c>
      <c r="DV60">
        <v>101.15801990226467</v>
      </c>
      <c r="DW60">
        <v>101.27952438857942</v>
      </c>
      <c r="DX60">
        <v>101.3863435685027</v>
      </c>
      <c r="DY60">
        <v>101.49640225295792</v>
      </c>
      <c r="DZ60">
        <v>101.63205854965052</v>
      </c>
      <c r="EA60">
        <v>101.74659347702861</v>
      </c>
      <c r="EB60">
        <v>101.87491283138134</v>
      </c>
      <c r="EC60">
        <v>102.07489220733807</v>
      </c>
      <c r="ED60">
        <v>102.22051177865951</v>
      </c>
      <c r="EE60">
        <v>102.35050647778732</v>
      </c>
      <c r="EF60">
        <v>102.5114728748385</v>
      </c>
      <c r="EG60">
        <v>102.70535276490151</v>
      </c>
      <c r="EH60">
        <v>102.88828411674224</v>
      </c>
      <c r="EI60">
        <v>103.039271683675</v>
      </c>
      <c r="EJ60">
        <v>103.19721047227395</v>
      </c>
      <c r="EK60">
        <v>103.36161557383546</v>
      </c>
      <c r="EL60">
        <v>103.4912151196686</v>
      </c>
      <c r="EM60">
        <v>103.6030846466947</v>
      </c>
      <c r="EN60">
        <v>103.76959689119622</v>
      </c>
      <c r="EO60">
        <v>103.97203121044981</v>
      </c>
      <c r="EP60">
        <v>104.15454312063763</v>
      </c>
      <c r="EQ60">
        <v>104.32078451771035</v>
      </c>
      <c r="ER60">
        <v>104.54610060709106</v>
      </c>
      <c r="ES60">
        <v>104.76313263012455</v>
      </c>
      <c r="ET60">
        <v>104.89705737103945</v>
      </c>
      <c r="EU60">
        <v>105.06777694358534</v>
      </c>
      <c r="EV60">
        <v>105.23302636527931</v>
      </c>
      <c r="EW60">
        <v>105.42336321265257</v>
      </c>
      <c r="EX60">
        <v>105.63349818594926</v>
      </c>
      <c r="EY60">
        <v>105.8295226820867</v>
      </c>
      <c r="EZ60">
        <v>106.03286458019244</v>
      </c>
      <c r="FA60">
        <v>106.41241800632855</v>
      </c>
      <c r="FB60">
        <v>106.67497521158916</v>
      </c>
      <c r="FC60">
        <v>106.8975807617214</v>
      </c>
      <c r="FD60">
        <v>107.17702232499367</v>
      </c>
      <c r="FE60">
        <v>107.42277140093988</v>
      </c>
      <c r="FF60">
        <v>107.61829749516028</v>
      </c>
      <c r="FG60">
        <v>107.83862500865524</v>
      </c>
      <c r="FH60">
        <v>108.12248515771819</v>
      </c>
      <c r="FI60">
        <v>108.34220035735427</v>
      </c>
      <c r="FJ60">
        <v>108.69989709789229</v>
      </c>
      <c r="FK60">
        <v>108.9909751134055</v>
      </c>
      <c r="FL60">
        <v>109.2622104949041</v>
      </c>
      <c r="FM60">
        <v>109.5159930813989</v>
      </c>
      <c r="FN60">
        <v>109.82594552791082</v>
      </c>
      <c r="FO60">
        <v>110.14093639375638</v>
      </c>
      <c r="FP60">
        <v>110.41362691359865</v>
      </c>
      <c r="FQ60">
        <v>110.7792759391472</v>
      </c>
      <c r="FR60">
        <v>111.14481880900706</v>
      </c>
      <c r="FS60">
        <v>111.47412219747507</v>
      </c>
      <c r="FT60">
        <v>111.89221578802754</v>
      </c>
      <c r="FU60">
        <v>112.30598667803135</v>
      </c>
      <c r="FV60">
        <v>112.79093499833228</v>
      </c>
      <c r="FW60">
        <v>113.26439554239705</v>
      </c>
      <c r="FX60">
        <v>113.81035345186318</v>
      </c>
      <c r="FY60">
        <v>114.25917559804272</v>
      </c>
      <c r="FZ60">
        <v>114.83580834751847</v>
      </c>
      <c r="GA60">
        <v>115.31412682420238</v>
      </c>
      <c r="GB60">
        <v>115.85983663358974</v>
      </c>
      <c r="GC60">
        <v>116.53909660607083</v>
      </c>
      <c r="GD60">
        <v>117.28553400631313</v>
      </c>
      <c r="GE60">
        <v>118.08819057600365</v>
      </c>
      <c r="GF60">
        <v>118.83265044510738</v>
      </c>
      <c r="GG60">
        <v>119.81396019116869</v>
      </c>
      <c r="GH60">
        <v>120.72933439539864</v>
      </c>
      <c r="GI60">
        <v>121.76254952560774</v>
      </c>
      <c r="GJ60">
        <v>122.96548839808892</v>
      </c>
      <c r="GK60">
        <v>124.26992091889707</v>
      </c>
      <c r="GL60">
        <v>125.66356669199122</v>
      </c>
      <c r="GM60">
        <v>128.09473089299388</v>
      </c>
      <c r="GN60">
        <v>130.31801390746477</v>
      </c>
      <c r="GO60">
        <v>133.6641377773565</v>
      </c>
      <c r="GP60">
        <v>138.10948284411555</v>
      </c>
      <c r="GQ60">
        <v>146.09384464904397</v>
      </c>
      <c r="GR60">
        <v>101.07868243290564</v>
      </c>
      <c r="GT60" s="8">
        <v>45377</v>
      </c>
      <c r="GU60">
        <v>138.19786500000001</v>
      </c>
    </row>
    <row r="61" spans="1:203" x14ac:dyDescent="0.45">
      <c r="A61">
        <v>85.985203413783097</v>
      </c>
      <c r="B61">
        <v>87.147484233497678</v>
      </c>
      <c r="C61">
        <v>87.846010350710017</v>
      </c>
      <c r="D61">
        <v>88.383708122627127</v>
      </c>
      <c r="E61">
        <v>88.892270231970912</v>
      </c>
      <c r="F61">
        <v>89.193006043852606</v>
      </c>
      <c r="G61">
        <v>89.469097627137728</v>
      </c>
      <c r="H61">
        <v>89.717795995972736</v>
      </c>
      <c r="I61">
        <v>89.945354560831348</v>
      </c>
      <c r="J61">
        <v>90.162944950217337</v>
      </c>
      <c r="K61">
        <v>90.378830170098624</v>
      </c>
      <c r="L61">
        <v>90.533507407226111</v>
      </c>
      <c r="M61">
        <v>90.705972839752178</v>
      </c>
      <c r="N61">
        <v>90.845457927282069</v>
      </c>
      <c r="O61">
        <v>91.034456713071378</v>
      </c>
      <c r="P61">
        <v>91.167835825089355</v>
      </c>
      <c r="Q61">
        <v>91.324070776448238</v>
      </c>
      <c r="R61">
        <v>91.46726140056137</v>
      </c>
      <c r="S61">
        <v>91.603140925953994</v>
      </c>
      <c r="T61">
        <v>91.727940180265861</v>
      </c>
      <c r="U61">
        <v>91.860972134136532</v>
      </c>
      <c r="V61">
        <v>91.985736054798039</v>
      </c>
      <c r="W61">
        <v>92.088091244596768</v>
      </c>
      <c r="X61">
        <v>92.204494592637843</v>
      </c>
      <c r="Y61">
        <v>92.315188053920991</v>
      </c>
      <c r="Z61">
        <v>92.40509186300325</v>
      </c>
      <c r="AA61">
        <v>92.507143249059837</v>
      </c>
      <c r="AB61">
        <v>92.609188205670648</v>
      </c>
      <c r="AC61">
        <v>92.710120876274289</v>
      </c>
      <c r="AD61">
        <v>92.798652460572427</v>
      </c>
      <c r="AE61">
        <v>92.902081647672418</v>
      </c>
      <c r="AF61">
        <v>92.989451907666819</v>
      </c>
      <c r="AG61">
        <v>93.095048760787009</v>
      </c>
      <c r="AH61">
        <v>93.177464232567502</v>
      </c>
      <c r="AI61">
        <v>93.258905651792517</v>
      </c>
      <c r="AJ61">
        <v>93.351704052873913</v>
      </c>
      <c r="AK61">
        <v>93.448087931814825</v>
      </c>
      <c r="AL61">
        <v>93.522208124805246</v>
      </c>
      <c r="AM61">
        <v>93.582145055808724</v>
      </c>
      <c r="AN61">
        <v>93.663802674921612</v>
      </c>
      <c r="AO61">
        <v>93.731875894425258</v>
      </c>
      <c r="AP61">
        <v>93.807458796886067</v>
      </c>
      <c r="AQ61">
        <v>93.886262388228673</v>
      </c>
      <c r="AR61">
        <v>93.9450657944044</v>
      </c>
      <c r="AS61">
        <v>94.040459588696592</v>
      </c>
      <c r="AT61">
        <v>94.128432288538008</v>
      </c>
      <c r="AU61">
        <v>94.210355254705249</v>
      </c>
      <c r="AV61">
        <v>94.275534543206163</v>
      </c>
      <c r="AW61">
        <v>94.33942461291646</v>
      </c>
      <c r="AX61">
        <v>94.395534857118093</v>
      </c>
      <c r="AY61">
        <v>94.456866825021208</v>
      </c>
      <c r="AZ61">
        <v>94.555709221366939</v>
      </c>
      <c r="BA61">
        <v>94.614138391827865</v>
      </c>
      <c r="BB61">
        <v>94.681260203787062</v>
      </c>
      <c r="BC61">
        <v>94.786156798320945</v>
      </c>
      <c r="BD61">
        <v>94.854711455600722</v>
      </c>
      <c r="BE61">
        <v>94.937580389284236</v>
      </c>
      <c r="BF61">
        <v>95.01688986454316</v>
      </c>
      <c r="BG61">
        <v>95.085449203286245</v>
      </c>
      <c r="BH61">
        <v>95.170097170311266</v>
      </c>
      <c r="BI61">
        <v>95.267194281330589</v>
      </c>
      <c r="BJ61">
        <v>95.332994237686805</v>
      </c>
      <c r="BK61">
        <v>95.401556570999645</v>
      </c>
      <c r="BL61">
        <v>95.485135516095596</v>
      </c>
      <c r="BM61">
        <v>95.572279038787499</v>
      </c>
      <c r="BN61">
        <v>95.627779272464863</v>
      </c>
      <c r="BO61">
        <v>95.695138977475864</v>
      </c>
      <c r="BP61">
        <v>95.764552166793777</v>
      </c>
      <c r="BQ61">
        <v>95.827536003072566</v>
      </c>
      <c r="BR61">
        <v>95.878158447007664</v>
      </c>
      <c r="BS61">
        <v>95.965100655514661</v>
      </c>
      <c r="BT61">
        <v>96.031925960258249</v>
      </c>
      <c r="BU61">
        <v>96.116830687702688</v>
      </c>
      <c r="BV61">
        <v>96.193031993818821</v>
      </c>
      <c r="BW61">
        <v>96.27069708022799</v>
      </c>
      <c r="BX61">
        <v>96.351779957082272</v>
      </c>
      <c r="BY61">
        <v>96.428376855764654</v>
      </c>
      <c r="BZ61">
        <v>96.511780297954417</v>
      </c>
      <c r="CA61">
        <v>96.571723430005648</v>
      </c>
      <c r="CB61">
        <v>96.643840906294272</v>
      </c>
      <c r="CC61">
        <v>96.722860908995841</v>
      </c>
      <c r="CD61">
        <v>96.82223443678626</v>
      </c>
      <c r="CE61">
        <v>96.902845182852161</v>
      </c>
      <c r="CF61">
        <v>96.989027005314711</v>
      </c>
      <c r="CG61">
        <v>97.071126129404661</v>
      </c>
      <c r="CH61">
        <v>97.144250883636616</v>
      </c>
      <c r="CI61">
        <v>97.230827877157779</v>
      </c>
      <c r="CJ61">
        <v>97.305953086819187</v>
      </c>
      <c r="CK61">
        <v>97.40329896674163</v>
      </c>
      <c r="CL61">
        <v>97.484039324056937</v>
      </c>
      <c r="CM61">
        <v>97.582302794679848</v>
      </c>
      <c r="CN61">
        <v>97.684864502591267</v>
      </c>
      <c r="CO61">
        <v>97.759048089188653</v>
      </c>
      <c r="CP61">
        <v>97.849298635666699</v>
      </c>
      <c r="CQ61">
        <v>97.925163575126135</v>
      </c>
      <c r="CR61">
        <v>98.024715321582079</v>
      </c>
      <c r="CS61">
        <v>98.133473207289768</v>
      </c>
      <c r="CT61">
        <v>98.221096316038071</v>
      </c>
      <c r="CU61">
        <v>98.309600980241882</v>
      </c>
      <c r="CV61">
        <v>98.40218639412727</v>
      </c>
      <c r="CW61">
        <v>98.480537031273627</v>
      </c>
      <c r="CX61">
        <v>98.572337325800291</v>
      </c>
      <c r="CY61">
        <v>98.674741593777838</v>
      </c>
      <c r="CZ61">
        <v>98.754050420197601</v>
      </c>
      <c r="DA61">
        <v>98.837866356052004</v>
      </c>
      <c r="DB61">
        <v>98.966396626943862</v>
      </c>
      <c r="DC61">
        <v>99.060792790687927</v>
      </c>
      <c r="DD61">
        <v>99.147721492571577</v>
      </c>
      <c r="DE61">
        <v>99.258072650996453</v>
      </c>
      <c r="DF61">
        <v>99.337505980919417</v>
      </c>
      <c r="DG61">
        <v>99.443749310257246</v>
      </c>
      <c r="DH61">
        <v>99.544554313973151</v>
      </c>
      <c r="DI61">
        <v>99.638214668301742</v>
      </c>
      <c r="DJ61">
        <v>99.725275447113617</v>
      </c>
      <c r="DK61">
        <v>99.835664115555005</v>
      </c>
      <c r="DL61">
        <v>99.950702914316537</v>
      </c>
      <c r="DM61">
        <v>100.07279694947007</v>
      </c>
      <c r="DN61">
        <v>100.18352704177704</v>
      </c>
      <c r="DO61">
        <v>100.30855216350645</v>
      </c>
      <c r="DP61">
        <v>100.40530138433937</v>
      </c>
      <c r="DQ61">
        <v>100.54946921918585</v>
      </c>
      <c r="DR61">
        <v>100.68090650362331</v>
      </c>
      <c r="DS61">
        <v>100.804364890976</v>
      </c>
      <c r="DT61">
        <v>100.9197953834618</v>
      </c>
      <c r="DU61">
        <v>101.00517910667288</v>
      </c>
      <c r="DV61">
        <v>101.14037903548954</v>
      </c>
      <c r="DW61">
        <v>101.24602895849505</v>
      </c>
      <c r="DX61">
        <v>101.3791700921816</v>
      </c>
      <c r="DY61">
        <v>101.53247667881291</v>
      </c>
      <c r="DZ61">
        <v>101.68444232201165</v>
      </c>
      <c r="EA61">
        <v>101.83572240490638</v>
      </c>
      <c r="EB61">
        <v>101.96846148542777</v>
      </c>
      <c r="EC61">
        <v>102.11336403807792</v>
      </c>
      <c r="ED61">
        <v>102.2244624105775</v>
      </c>
      <c r="EE61">
        <v>102.38466498383841</v>
      </c>
      <c r="EF61">
        <v>102.51234335172734</v>
      </c>
      <c r="EG61">
        <v>102.71394833907479</v>
      </c>
      <c r="EH61">
        <v>102.855515261457</v>
      </c>
      <c r="EI61">
        <v>102.98913848902929</v>
      </c>
      <c r="EJ61">
        <v>103.14328437273652</v>
      </c>
      <c r="EK61">
        <v>103.27951420819301</v>
      </c>
      <c r="EL61">
        <v>103.45521952760991</v>
      </c>
      <c r="EM61">
        <v>103.6278093892895</v>
      </c>
      <c r="EN61">
        <v>103.79457260740458</v>
      </c>
      <c r="EO61">
        <v>103.97558981244279</v>
      </c>
      <c r="EP61">
        <v>104.13787687618283</v>
      </c>
      <c r="EQ61">
        <v>104.29698586812029</v>
      </c>
      <c r="ER61">
        <v>104.44498065254156</v>
      </c>
      <c r="ES61">
        <v>104.68053281517217</v>
      </c>
      <c r="ET61">
        <v>104.88343942123113</v>
      </c>
      <c r="EU61">
        <v>105.125853536278</v>
      </c>
      <c r="EV61">
        <v>105.34689131071926</v>
      </c>
      <c r="EW61">
        <v>105.54993698340694</v>
      </c>
      <c r="EX61">
        <v>105.74058838928704</v>
      </c>
      <c r="EY61">
        <v>105.96541620161034</v>
      </c>
      <c r="EZ61">
        <v>106.17945132264042</v>
      </c>
      <c r="FA61">
        <v>106.36437985734177</v>
      </c>
      <c r="FB61">
        <v>106.55907343889213</v>
      </c>
      <c r="FC61">
        <v>106.80320136962561</v>
      </c>
      <c r="FD61">
        <v>107.03177389221607</v>
      </c>
      <c r="FE61">
        <v>107.29192809751122</v>
      </c>
      <c r="FF61">
        <v>107.54355459161991</v>
      </c>
      <c r="FG61">
        <v>107.84964750645094</v>
      </c>
      <c r="FH61">
        <v>108.09753135001516</v>
      </c>
      <c r="FI61">
        <v>108.30998462785428</v>
      </c>
      <c r="FJ61">
        <v>108.5718638657131</v>
      </c>
      <c r="FK61">
        <v>108.84152151198009</v>
      </c>
      <c r="FL61">
        <v>109.23752965101801</v>
      </c>
      <c r="FM61">
        <v>109.44699670496176</v>
      </c>
      <c r="FN61">
        <v>109.74146681465096</v>
      </c>
      <c r="FO61">
        <v>110.03356041071409</v>
      </c>
      <c r="FP61">
        <v>110.39367119984892</v>
      </c>
      <c r="FQ61">
        <v>110.82678362001185</v>
      </c>
      <c r="FR61">
        <v>111.18604338196154</v>
      </c>
      <c r="FS61">
        <v>111.66392512469118</v>
      </c>
      <c r="FT61">
        <v>112.01353823841148</v>
      </c>
      <c r="FU61">
        <v>112.37589990223802</v>
      </c>
      <c r="FV61">
        <v>112.87910209863522</v>
      </c>
      <c r="FW61">
        <v>113.29332637430258</v>
      </c>
      <c r="FX61">
        <v>113.73682516336726</v>
      </c>
      <c r="FY61">
        <v>114.2421079418198</v>
      </c>
      <c r="FZ61">
        <v>114.81258768749922</v>
      </c>
      <c r="GA61">
        <v>115.52913118466921</v>
      </c>
      <c r="GB61">
        <v>116.02484797364579</v>
      </c>
      <c r="GC61">
        <v>116.72715960525436</v>
      </c>
      <c r="GD61">
        <v>117.40918200596711</v>
      </c>
      <c r="GE61">
        <v>118.29952521542538</v>
      </c>
      <c r="GF61">
        <v>119.07950752638767</v>
      </c>
      <c r="GG61">
        <v>119.87746710751802</v>
      </c>
      <c r="GH61">
        <v>120.98204666918284</v>
      </c>
      <c r="GI61">
        <v>122.24845946569293</v>
      </c>
      <c r="GJ61">
        <v>123.45950968084844</v>
      </c>
      <c r="GK61">
        <v>124.6186220491025</v>
      </c>
      <c r="GL61">
        <v>126.24388175767045</v>
      </c>
      <c r="GM61">
        <v>128.15286824508968</v>
      </c>
      <c r="GN61">
        <v>130.89618309210823</v>
      </c>
      <c r="GO61">
        <v>134.03315630708548</v>
      </c>
      <c r="GP61">
        <v>138.48124940375465</v>
      </c>
      <c r="GQ61">
        <v>146.46137658081381</v>
      </c>
      <c r="GR61">
        <v>101.075199502362</v>
      </c>
      <c r="GT61" s="8">
        <v>45378</v>
      </c>
      <c r="GU61">
        <v>143.42955599999999</v>
      </c>
    </row>
    <row r="62" spans="1:203" x14ac:dyDescent="0.45">
      <c r="A62">
        <v>85.804629834710624</v>
      </c>
      <c r="B62">
        <v>87.043860052243261</v>
      </c>
      <c r="C62">
        <v>87.688407625845031</v>
      </c>
      <c r="D62">
        <v>88.181348555624538</v>
      </c>
      <c r="E62">
        <v>88.754876607804874</v>
      </c>
      <c r="F62">
        <v>89.053404502397086</v>
      </c>
      <c r="G62">
        <v>89.362582855856971</v>
      </c>
      <c r="H62">
        <v>89.582292310581991</v>
      </c>
      <c r="I62">
        <v>89.819630717983472</v>
      </c>
      <c r="J62">
        <v>90.02904871170368</v>
      </c>
      <c r="K62">
        <v>90.195479520601594</v>
      </c>
      <c r="L62">
        <v>90.415371678654466</v>
      </c>
      <c r="M62">
        <v>90.595570896412255</v>
      </c>
      <c r="N62">
        <v>90.724324159901755</v>
      </c>
      <c r="O62">
        <v>90.89938662124851</v>
      </c>
      <c r="P62">
        <v>91.063122299396056</v>
      </c>
      <c r="Q62">
        <v>91.194418369002037</v>
      </c>
      <c r="R62">
        <v>91.361240461072526</v>
      </c>
      <c r="S62">
        <v>91.555647649506298</v>
      </c>
      <c r="T62">
        <v>91.660793778041125</v>
      </c>
      <c r="U62">
        <v>91.795393009799312</v>
      </c>
      <c r="V62">
        <v>91.903970213973025</v>
      </c>
      <c r="W62">
        <v>92.013352486301343</v>
      </c>
      <c r="X62">
        <v>92.145930819461284</v>
      </c>
      <c r="Y62">
        <v>92.244045358321529</v>
      </c>
      <c r="Z62">
        <v>92.327607280775354</v>
      </c>
      <c r="AA62">
        <v>92.419167839572665</v>
      </c>
      <c r="AB62">
        <v>92.530736562071709</v>
      </c>
      <c r="AC62">
        <v>92.620356240369944</v>
      </c>
      <c r="AD62">
        <v>92.711729513138465</v>
      </c>
      <c r="AE62">
        <v>92.799622775128242</v>
      </c>
      <c r="AF62">
        <v>92.899814362264891</v>
      </c>
      <c r="AG62">
        <v>92.987144300874633</v>
      </c>
      <c r="AH62">
        <v>93.090120350597942</v>
      </c>
      <c r="AI62">
        <v>93.185200981801543</v>
      </c>
      <c r="AJ62">
        <v>93.26582945443846</v>
      </c>
      <c r="AK62">
        <v>93.347611474385531</v>
      </c>
      <c r="AL62">
        <v>93.437314584074883</v>
      </c>
      <c r="AM62">
        <v>93.532635154110821</v>
      </c>
      <c r="AN62">
        <v>93.606741664171309</v>
      </c>
      <c r="AO62">
        <v>93.686467292198941</v>
      </c>
      <c r="AP62">
        <v>93.77848173463093</v>
      </c>
      <c r="AQ62">
        <v>93.859625347575374</v>
      </c>
      <c r="AR62">
        <v>93.941973160458858</v>
      </c>
      <c r="AS62">
        <v>94.025146974890646</v>
      </c>
      <c r="AT62">
        <v>94.09465584842539</v>
      </c>
      <c r="AU62">
        <v>94.184285200518445</v>
      </c>
      <c r="AV62">
        <v>94.242809883051208</v>
      </c>
      <c r="AW62">
        <v>94.320451239809586</v>
      </c>
      <c r="AX62">
        <v>94.394685034014358</v>
      </c>
      <c r="AY62">
        <v>94.461999679065087</v>
      </c>
      <c r="AZ62">
        <v>94.513526880342738</v>
      </c>
      <c r="BA62">
        <v>94.585211083921891</v>
      </c>
      <c r="BB62">
        <v>94.665898522182232</v>
      </c>
      <c r="BC62">
        <v>94.739997977140263</v>
      </c>
      <c r="BD62">
        <v>94.813472541929528</v>
      </c>
      <c r="BE62">
        <v>94.897354011391528</v>
      </c>
      <c r="BF62">
        <v>94.979069879506412</v>
      </c>
      <c r="BG62">
        <v>95.061592600882378</v>
      </c>
      <c r="BH62">
        <v>95.142719568338606</v>
      </c>
      <c r="BI62">
        <v>95.226823685094217</v>
      </c>
      <c r="BJ62">
        <v>95.328704358979621</v>
      </c>
      <c r="BK62">
        <v>95.413483835765192</v>
      </c>
      <c r="BL62">
        <v>95.505312007889714</v>
      </c>
      <c r="BM62">
        <v>95.577253168653399</v>
      </c>
      <c r="BN62">
        <v>95.636009518225592</v>
      </c>
      <c r="BO62">
        <v>95.694450175726274</v>
      </c>
      <c r="BP62">
        <v>95.767231073275269</v>
      </c>
      <c r="BQ62">
        <v>95.837982078305558</v>
      </c>
      <c r="BR62">
        <v>95.907239782623478</v>
      </c>
      <c r="BS62">
        <v>96.000183148788096</v>
      </c>
      <c r="BT62">
        <v>96.085941730901581</v>
      </c>
      <c r="BU62">
        <v>96.1465048145932</v>
      </c>
      <c r="BV62">
        <v>96.235456179960593</v>
      </c>
      <c r="BW62">
        <v>96.32472037956569</v>
      </c>
      <c r="BX62">
        <v>96.391200392605469</v>
      </c>
      <c r="BY62">
        <v>96.467836395006756</v>
      </c>
      <c r="BZ62">
        <v>96.562914863421341</v>
      </c>
      <c r="CA62">
        <v>96.653170884081078</v>
      </c>
      <c r="CB62">
        <v>96.717603886527584</v>
      </c>
      <c r="CC62">
        <v>96.789621997879323</v>
      </c>
      <c r="CD62">
        <v>96.858054320677695</v>
      </c>
      <c r="CE62">
        <v>96.925824484960444</v>
      </c>
      <c r="CF62">
        <v>97.020190259674251</v>
      </c>
      <c r="CG62">
        <v>97.108749385320451</v>
      </c>
      <c r="CH62">
        <v>97.193399403583328</v>
      </c>
      <c r="CI62">
        <v>97.259255432612392</v>
      </c>
      <c r="CJ62">
        <v>97.339002786620952</v>
      </c>
      <c r="CK62">
        <v>97.424467524098972</v>
      </c>
      <c r="CL62">
        <v>97.509065321279365</v>
      </c>
      <c r="CM62">
        <v>97.597740426242041</v>
      </c>
      <c r="CN62">
        <v>97.700109492815116</v>
      </c>
      <c r="CO62">
        <v>97.768156591556249</v>
      </c>
      <c r="CP62">
        <v>97.851596124793545</v>
      </c>
      <c r="CQ62">
        <v>97.925716505376613</v>
      </c>
      <c r="CR62">
        <v>98.02302234743081</v>
      </c>
      <c r="CS62">
        <v>98.107037886178716</v>
      </c>
      <c r="CT62">
        <v>98.198904458952725</v>
      </c>
      <c r="CU62">
        <v>98.307243301678028</v>
      </c>
      <c r="CV62">
        <v>98.375394951188824</v>
      </c>
      <c r="CW62">
        <v>98.467792185218642</v>
      </c>
      <c r="CX62">
        <v>98.550196609151641</v>
      </c>
      <c r="CY62">
        <v>98.642448797209994</v>
      </c>
      <c r="CZ62">
        <v>98.732186494746898</v>
      </c>
      <c r="DA62">
        <v>98.825434091234968</v>
      </c>
      <c r="DB62">
        <v>98.925365110730112</v>
      </c>
      <c r="DC62">
        <v>99.005606536856575</v>
      </c>
      <c r="DD62">
        <v>99.126175492533207</v>
      </c>
      <c r="DE62">
        <v>99.224138787536447</v>
      </c>
      <c r="DF62">
        <v>99.317122288806331</v>
      </c>
      <c r="DG62">
        <v>99.414750085107002</v>
      </c>
      <c r="DH62">
        <v>99.534156836719262</v>
      </c>
      <c r="DI62">
        <v>99.652573959589802</v>
      </c>
      <c r="DJ62">
        <v>99.752392495325566</v>
      </c>
      <c r="DK62">
        <v>99.858360861936319</v>
      </c>
      <c r="DL62">
        <v>99.982511377113354</v>
      </c>
      <c r="DM62">
        <v>100.08838995753561</v>
      </c>
      <c r="DN62">
        <v>100.21114267319997</v>
      </c>
      <c r="DO62">
        <v>100.30741029275438</v>
      </c>
      <c r="DP62">
        <v>100.40796379971961</v>
      </c>
      <c r="DQ62">
        <v>100.53937313566873</v>
      </c>
      <c r="DR62">
        <v>100.67775228262479</v>
      </c>
      <c r="DS62">
        <v>100.78754238364905</v>
      </c>
      <c r="DT62">
        <v>100.91506202257692</v>
      </c>
      <c r="DU62">
        <v>101.06660352711509</v>
      </c>
      <c r="DV62">
        <v>101.20216251587375</v>
      </c>
      <c r="DW62">
        <v>101.28801861657458</v>
      </c>
      <c r="DX62">
        <v>101.39393659382701</v>
      </c>
      <c r="DY62">
        <v>101.53788393382254</v>
      </c>
      <c r="DZ62">
        <v>101.65601331108218</v>
      </c>
      <c r="EA62">
        <v>101.80044646134876</v>
      </c>
      <c r="EB62">
        <v>101.96578909086784</v>
      </c>
      <c r="EC62">
        <v>102.10617886970417</v>
      </c>
      <c r="ED62">
        <v>102.28262751931025</v>
      </c>
      <c r="EE62">
        <v>102.41937799384266</v>
      </c>
      <c r="EF62">
        <v>102.61209445029368</v>
      </c>
      <c r="EG62">
        <v>102.78153494705978</v>
      </c>
      <c r="EH62">
        <v>102.91507335661261</v>
      </c>
      <c r="EI62">
        <v>103.08008487517166</v>
      </c>
      <c r="EJ62">
        <v>103.21261587562667</v>
      </c>
      <c r="EK62">
        <v>103.35921316297764</v>
      </c>
      <c r="EL62">
        <v>103.55165265114633</v>
      </c>
      <c r="EM62">
        <v>103.73402831640041</v>
      </c>
      <c r="EN62">
        <v>103.89234430634238</v>
      </c>
      <c r="EO62">
        <v>104.07538932498393</v>
      </c>
      <c r="EP62">
        <v>104.18963868712279</v>
      </c>
      <c r="EQ62">
        <v>104.36267239191972</v>
      </c>
      <c r="ER62">
        <v>104.53352440032745</v>
      </c>
      <c r="ES62">
        <v>104.77505293361133</v>
      </c>
      <c r="ET62">
        <v>105.00994760596431</v>
      </c>
      <c r="EU62">
        <v>105.17885260066269</v>
      </c>
      <c r="EV62">
        <v>105.41409359459134</v>
      </c>
      <c r="EW62">
        <v>105.60528620792907</v>
      </c>
      <c r="EX62">
        <v>105.83326514298312</v>
      </c>
      <c r="EY62">
        <v>106.0419854197558</v>
      </c>
      <c r="EZ62">
        <v>106.23914594228351</v>
      </c>
      <c r="FA62">
        <v>106.46351522387324</v>
      </c>
      <c r="FB62">
        <v>106.65951185352658</v>
      </c>
      <c r="FC62">
        <v>106.88833947490491</v>
      </c>
      <c r="FD62">
        <v>107.17525906738133</v>
      </c>
      <c r="FE62">
        <v>107.47230670774458</v>
      </c>
      <c r="FF62">
        <v>107.7026393765111</v>
      </c>
      <c r="FG62">
        <v>107.9204086700238</v>
      </c>
      <c r="FH62">
        <v>108.14117489587096</v>
      </c>
      <c r="FI62">
        <v>108.33887226157283</v>
      </c>
      <c r="FJ62">
        <v>108.67883768342998</v>
      </c>
      <c r="FK62">
        <v>109.05058712363585</v>
      </c>
      <c r="FL62">
        <v>109.34168568059492</v>
      </c>
      <c r="FM62">
        <v>109.68552664911064</v>
      </c>
      <c r="FN62">
        <v>109.98707562576529</v>
      </c>
      <c r="FO62">
        <v>110.30770638018211</v>
      </c>
      <c r="FP62">
        <v>110.65910429025259</v>
      </c>
      <c r="FQ62">
        <v>111.01629483645979</v>
      </c>
      <c r="FR62">
        <v>111.33175040097579</v>
      </c>
      <c r="FS62">
        <v>111.67083047134544</v>
      </c>
      <c r="FT62">
        <v>112.07920722801991</v>
      </c>
      <c r="FU62">
        <v>112.43182910840126</v>
      </c>
      <c r="FV62">
        <v>112.85817192397393</v>
      </c>
      <c r="FW62">
        <v>113.26300848990485</v>
      </c>
      <c r="FX62">
        <v>113.75406797468206</v>
      </c>
      <c r="FY62">
        <v>114.32222363102477</v>
      </c>
      <c r="FZ62">
        <v>114.94482538533464</v>
      </c>
      <c r="GA62">
        <v>115.66454148269429</v>
      </c>
      <c r="GB62">
        <v>116.24008146440754</v>
      </c>
      <c r="GC62">
        <v>117.09122333645537</v>
      </c>
      <c r="GD62">
        <v>117.82582549309447</v>
      </c>
      <c r="GE62">
        <v>118.59369959400424</v>
      </c>
      <c r="GF62">
        <v>119.26061531663518</v>
      </c>
      <c r="GG62">
        <v>120.10499415925229</v>
      </c>
      <c r="GH62">
        <v>121.12844076196893</v>
      </c>
      <c r="GI62">
        <v>122.53594753368165</v>
      </c>
      <c r="GJ62">
        <v>123.86664457817467</v>
      </c>
      <c r="GK62">
        <v>124.97635678339019</v>
      </c>
      <c r="GL62">
        <v>126.44180247887213</v>
      </c>
      <c r="GM62">
        <v>128.94356838188546</v>
      </c>
      <c r="GN62">
        <v>131.46863249285934</v>
      </c>
      <c r="GO62">
        <v>134.86069015892923</v>
      </c>
      <c r="GP62">
        <v>138.75390498368293</v>
      </c>
      <c r="GQ62">
        <v>146.28039315647663</v>
      </c>
      <c r="GR62">
        <v>101.1099831651309</v>
      </c>
      <c r="GT62" s="8">
        <v>45379</v>
      </c>
      <c r="GU62">
        <v>139.774539</v>
      </c>
    </row>
    <row r="63" spans="1:203" x14ac:dyDescent="0.45">
      <c r="A63">
        <v>85.7697965954181</v>
      </c>
      <c r="B63">
        <v>87.032025412117989</v>
      </c>
      <c r="C63">
        <v>87.660643207693127</v>
      </c>
      <c r="D63">
        <v>88.153711804272973</v>
      </c>
      <c r="E63">
        <v>88.670113353906515</v>
      </c>
      <c r="F63">
        <v>89.012271302515472</v>
      </c>
      <c r="G63">
        <v>89.214527184516641</v>
      </c>
      <c r="H63">
        <v>89.483149346125728</v>
      </c>
      <c r="I63">
        <v>89.756284692409238</v>
      </c>
      <c r="J63">
        <v>89.932190490873694</v>
      </c>
      <c r="K63">
        <v>90.171819936581727</v>
      </c>
      <c r="L63">
        <v>90.37650733158705</v>
      </c>
      <c r="M63">
        <v>90.558842789939831</v>
      </c>
      <c r="N63">
        <v>90.701143961231026</v>
      </c>
      <c r="O63">
        <v>90.863675321337666</v>
      </c>
      <c r="P63">
        <v>91.005390563281708</v>
      </c>
      <c r="Q63">
        <v>91.152903578491859</v>
      </c>
      <c r="R63">
        <v>91.322375795467067</v>
      </c>
      <c r="S63">
        <v>91.466939016803792</v>
      </c>
      <c r="T63">
        <v>91.571038648368841</v>
      </c>
      <c r="U63">
        <v>91.715153567555319</v>
      </c>
      <c r="V63">
        <v>91.83221158594786</v>
      </c>
      <c r="W63">
        <v>91.937818376690615</v>
      </c>
      <c r="X63">
        <v>92.058527985333825</v>
      </c>
      <c r="Y63">
        <v>92.15523755821593</v>
      </c>
      <c r="Z63">
        <v>92.238678922390619</v>
      </c>
      <c r="AA63">
        <v>92.359572340113814</v>
      </c>
      <c r="AB63">
        <v>92.464794090398186</v>
      </c>
      <c r="AC63">
        <v>92.551042861323126</v>
      </c>
      <c r="AD63">
        <v>92.636303673273318</v>
      </c>
      <c r="AE63">
        <v>92.738244901259094</v>
      </c>
      <c r="AF63">
        <v>92.859377408782919</v>
      </c>
      <c r="AG63">
        <v>92.949627004277716</v>
      </c>
      <c r="AH63">
        <v>93.045235623952806</v>
      </c>
      <c r="AI63">
        <v>93.124438237271619</v>
      </c>
      <c r="AJ63">
        <v>93.226093589048844</v>
      </c>
      <c r="AK63">
        <v>93.319499935560529</v>
      </c>
      <c r="AL63">
        <v>93.390119959737916</v>
      </c>
      <c r="AM63">
        <v>93.488818849381573</v>
      </c>
      <c r="AN63">
        <v>93.566262695021393</v>
      </c>
      <c r="AO63">
        <v>93.66304709764448</v>
      </c>
      <c r="AP63">
        <v>93.75027423070965</v>
      </c>
      <c r="AQ63">
        <v>93.844711705940512</v>
      </c>
      <c r="AR63">
        <v>93.888166879107729</v>
      </c>
      <c r="AS63">
        <v>93.959286949118336</v>
      </c>
      <c r="AT63">
        <v>94.037591940486223</v>
      </c>
      <c r="AU63">
        <v>94.108238589529236</v>
      </c>
      <c r="AV63">
        <v>94.200471204986499</v>
      </c>
      <c r="AW63">
        <v>94.291528956731923</v>
      </c>
      <c r="AX63">
        <v>94.366751824190246</v>
      </c>
      <c r="AY63">
        <v>94.428341356172083</v>
      </c>
      <c r="AZ63">
        <v>94.504043832816208</v>
      </c>
      <c r="BA63">
        <v>94.563170883165824</v>
      </c>
      <c r="BB63">
        <v>94.638865422805821</v>
      </c>
      <c r="BC63">
        <v>94.719377140419439</v>
      </c>
      <c r="BD63">
        <v>94.80800552355845</v>
      </c>
      <c r="BE63">
        <v>94.863658556566918</v>
      </c>
      <c r="BF63">
        <v>94.943450281177633</v>
      </c>
      <c r="BG63">
        <v>95.009149415380662</v>
      </c>
      <c r="BH63">
        <v>95.072488673757235</v>
      </c>
      <c r="BI63">
        <v>95.178140103216748</v>
      </c>
      <c r="BJ63">
        <v>95.254888258360992</v>
      </c>
      <c r="BK63">
        <v>95.325956211383186</v>
      </c>
      <c r="BL63">
        <v>95.41710053422527</v>
      </c>
      <c r="BM63">
        <v>95.500089549862139</v>
      </c>
      <c r="BN63">
        <v>95.570605721252392</v>
      </c>
      <c r="BO63">
        <v>95.656926642880052</v>
      </c>
      <c r="BP63">
        <v>95.730436720664486</v>
      </c>
      <c r="BQ63">
        <v>95.814153630931116</v>
      </c>
      <c r="BR63">
        <v>95.891707073348556</v>
      </c>
      <c r="BS63">
        <v>95.981960083791549</v>
      </c>
      <c r="BT63">
        <v>96.032007765990215</v>
      </c>
      <c r="BU63">
        <v>96.095830734132804</v>
      </c>
      <c r="BV63">
        <v>96.174503760008363</v>
      </c>
      <c r="BW63">
        <v>96.248845118629731</v>
      </c>
      <c r="BX63">
        <v>96.324115470234233</v>
      </c>
      <c r="BY63">
        <v>96.423748232927267</v>
      </c>
      <c r="BZ63">
        <v>96.47402256190226</v>
      </c>
      <c r="CA63">
        <v>96.567551159079969</v>
      </c>
      <c r="CB63">
        <v>96.659745791571197</v>
      </c>
      <c r="CC63">
        <v>96.740900453746008</v>
      </c>
      <c r="CD63">
        <v>96.835063749394308</v>
      </c>
      <c r="CE63">
        <v>96.922164287149414</v>
      </c>
      <c r="CF63">
        <v>97.00656142969197</v>
      </c>
      <c r="CG63">
        <v>97.080853013656053</v>
      </c>
      <c r="CH63">
        <v>97.151433476405813</v>
      </c>
      <c r="CI63">
        <v>97.261171416576445</v>
      </c>
      <c r="CJ63">
        <v>97.35030420443961</v>
      </c>
      <c r="CK63">
        <v>97.455542676219224</v>
      </c>
      <c r="CL63">
        <v>97.523339137809614</v>
      </c>
      <c r="CM63">
        <v>97.604007994698918</v>
      </c>
      <c r="CN63">
        <v>97.684455460093233</v>
      </c>
      <c r="CO63">
        <v>97.769063875461967</v>
      </c>
      <c r="CP63">
        <v>97.856013024011588</v>
      </c>
      <c r="CQ63">
        <v>97.929235262683576</v>
      </c>
      <c r="CR63">
        <v>98.0154154637695</v>
      </c>
      <c r="CS63">
        <v>98.118558981278355</v>
      </c>
      <c r="CT63">
        <v>98.215404323888322</v>
      </c>
      <c r="CU63">
        <v>98.294326045146306</v>
      </c>
      <c r="CV63">
        <v>98.402160050180129</v>
      </c>
      <c r="CW63">
        <v>98.478612312596212</v>
      </c>
      <c r="CX63">
        <v>98.552633153359309</v>
      </c>
      <c r="CY63">
        <v>98.66121460384575</v>
      </c>
      <c r="CZ63">
        <v>98.755899628149905</v>
      </c>
      <c r="DA63">
        <v>98.837210813523413</v>
      </c>
      <c r="DB63">
        <v>98.943472508171808</v>
      </c>
      <c r="DC63">
        <v>99.02598544086338</v>
      </c>
      <c r="DD63">
        <v>99.12604951604645</v>
      </c>
      <c r="DE63">
        <v>99.228254730195303</v>
      </c>
      <c r="DF63">
        <v>99.330420373654732</v>
      </c>
      <c r="DG63">
        <v>99.425609087049352</v>
      </c>
      <c r="DH63">
        <v>99.541452520766498</v>
      </c>
      <c r="DI63">
        <v>99.643315087724019</v>
      </c>
      <c r="DJ63">
        <v>99.741971412200414</v>
      </c>
      <c r="DK63">
        <v>99.846683063558345</v>
      </c>
      <c r="DL63">
        <v>99.974720782278453</v>
      </c>
      <c r="DM63">
        <v>100.07933313099444</v>
      </c>
      <c r="DN63">
        <v>100.20907947746254</v>
      </c>
      <c r="DO63">
        <v>100.32263055201106</v>
      </c>
      <c r="DP63">
        <v>100.44407007633151</v>
      </c>
      <c r="DQ63">
        <v>100.54488117849677</v>
      </c>
      <c r="DR63">
        <v>100.69350550674011</v>
      </c>
      <c r="DS63">
        <v>100.77748648027685</v>
      </c>
      <c r="DT63">
        <v>100.90337412712577</v>
      </c>
      <c r="DU63">
        <v>101.02451452266914</v>
      </c>
      <c r="DV63">
        <v>101.13667671244134</v>
      </c>
      <c r="DW63">
        <v>101.24451572979228</v>
      </c>
      <c r="DX63">
        <v>101.35412187708043</v>
      </c>
      <c r="DY63">
        <v>101.50591010490611</v>
      </c>
      <c r="DZ63">
        <v>101.61798344280005</v>
      </c>
      <c r="EA63">
        <v>101.74063258619407</v>
      </c>
      <c r="EB63">
        <v>101.8934562214784</v>
      </c>
      <c r="EC63">
        <v>102.02656955519186</v>
      </c>
      <c r="ED63">
        <v>102.17238960604352</v>
      </c>
      <c r="EE63">
        <v>102.38185213128851</v>
      </c>
      <c r="EF63">
        <v>102.53611848989067</v>
      </c>
      <c r="EG63">
        <v>102.68980116124592</v>
      </c>
      <c r="EH63">
        <v>102.84100737382433</v>
      </c>
      <c r="EI63">
        <v>102.9967531872289</v>
      </c>
      <c r="EJ63">
        <v>103.13857867515367</v>
      </c>
      <c r="EK63">
        <v>103.29595153260803</v>
      </c>
      <c r="EL63">
        <v>103.46478244209308</v>
      </c>
      <c r="EM63">
        <v>103.60872436552876</v>
      </c>
      <c r="EN63">
        <v>103.87014088229283</v>
      </c>
      <c r="EO63">
        <v>104.0523274901724</v>
      </c>
      <c r="EP63">
        <v>104.26812467308085</v>
      </c>
      <c r="EQ63">
        <v>104.43229944515879</v>
      </c>
      <c r="ER63">
        <v>104.6334172190202</v>
      </c>
      <c r="ES63">
        <v>104.84081607686015</v>
      </c>
      <c r="ET63">
        <v>105.05156988251558</v>
      </c>
      <c r="EU63">
        <v>105.23608663148116</v>
      </c>
      <c r="EV63">
        <v>105.43509540705919</v>
      </c>
      <c r="EW63">
        <v>105.67752503885666</v>
      </c>
      <c r="EX63">
        <v>105.88265446203896</v>
      </c>
      <c r="EY63">
        <v>106.1181509341389</v>
      </c>
      <c r="EZ63">
        <v>106.35462903642019</v>
      </c>
      <c r="FA63">
        <v>106.57576402528937</v>
      </c>
      <c r="FB63">
        <v>106.80525424623353</v>
      </c>
      <c r="FC63">
        <v>107.02738046957924</v>
      </c>
      <c r="FD63">
        <v>107.31077184319111</v>
      </c>
      <c r="FE63">
        <v>107.52768166205192</v>
      </c>
      <c r="FF63">
        <v>107.78126975193254</v>
      </c>
      <c r="FG63">
        <v>108.05294745894174</v>
      </c>
      <c r="FH63">
        <v>108.27436967783224</v>
      </c>
      <c r="FI63">
        <v>108.57786500348941</v>
      </c>
      <c r="FJ63">
        <v>108.85134170927203</v>
      </c>
      <c r="FK63">
        <v>109.09253217227139</v>
      </c>
      <c r="FL63">
        <v>109.33113608617712</v>
      </c>
      <c r="FM63">
        <v>109.65943656523679</v>
      </c>
      <c r="FN63">
        <v>110.02210928149857</v>
      </c>
      <c r="FO63">
        <v>110.29346945498219</v>
      </c>
      <c r="FP63">
        <v>110.56243332885442</v>
      </c>
      <c r="FQ63">
        <v>110.96815228777319</v>
      </c>
      <c r="FR63">
        <v>111.33211187737898</v>
      </c>
      <c r="FS63">
        <v>111.70364161814705</v>
      </c>
      <c r="FT63">
        <v>112.0665488069716</v>
      </c>
      <c r="FU63">
        <v>112.67097611932664</v>
      </c>
      <c r="FV63">
        <v>113.10947356945675</v>
      </c>
      <c r="FW63">
        <v>113.52512712114583</v>
      </c>
      <c r="FX63">
        <v>113.89389546966399</v>
      </c>
      <c r="FY63">
        <v>114.35019827959069</v>
      </c>
      <c r="FZ63">
        <v>115.07689987609842</v>
      </c>
      <c r="GA63">
        <v>115.64176370865398</v>
      </c>
      <c r="GB63">
        <v>116.26601565078627</v>
      </c>
      <c r="GC63">
        <v>117.11393029324776</v>
      </c>
      <c r="GD63">
        <v>117.69010458821732</v>
      </c>
      <c r="GE63">
        <v>118.46070211387189</v>
      </c>
      <c r="GF63">
        <v>119.52108360982355</v>
      </c>
      <c r="GG63">
        <v>120.21707968469525</v>
      </c>
      <c r="GH63">
        <v>121.32861170084182</v>
      </c>
      <c r="GI63">
        <v>122.55953253050487</v>
      </c>
      <c r="GJ63">
        <v>123.68556376943705</v>
      </c>
      <c r="GK63">
        <v>125.07036138961031</v>
      </c>
      <c r="GL63">
        <v>126.68469606133165</v>
      </c>
      <c r="GM63">
        <v>129.37167144897876</v>
      </c>
      <c r="GN63">
        <v>131.85251646647603</v>
      </c>
      <c r="GO63">
        <v>135.15275390028808</v>
      </c>
      <c r="GP63">
        <v>139.24889154337552</v>
      </c>
      <c r="GQ63">
        <v>147.59322161541479</v>
      </c>
      <c r="GR63">
        <v>101.11362149137777</v>
      </c>
      <c r="GT63" s="8">
        <v>45383</v>
      </c>
      <c r="GU63">
        <v>139.63916800000001</v>
      </c>
    </row>
    <row r="64" spans="1:203" x14ac:dyDescent="0.45">
      <c r="A64">
        <v>85.646023914965824</v>
      </c>
      <c r="B64">
        <v>86.857843281076768</v>
      </c>
      <c r="C64">
        <v>87.511212224735857</v>
      </c>
      <c r="D64">
        <v>88.025778697664222</v>
      </c>
      <c r="E64">
        <v>88.511810645771149</v>
      </c>
      <c r="F64">
        <v>88.882941647803008</v>
      </c>
      <c r="G64">
        <v>89.177890752612285</v>
      </c>
      <c r="H64">
        <v>89.433430333975949</v>
      </c>
      <c r="I64">
        <v>89.670930428059137</v>
      </c>
      <c r="J64">
        <v>89.885473369842899</v>
      </c>
      <c r="K64">
        <v>90.107768551022914</v>
      </c>
      <c r="L64">
        <v>90.28881487655913</v>
      </c>
      <c r="M64">
        <v>90.476412846141045</v>
      </c>
      <c r="N64">
        <v>90.64505313433601</v>
      </c>
      <c r="O64">
        <v>90.83184162075419</v>
      </c>
      <c r="P64">
        <v>90.968898950983103</v>
      </c>
      <c r="Q64">
        <v>91.087147023245365</v>
      </c>
      <c r="R64">
        <v>91.230108753545395</v>
      </c>
      <c r="S64">
        <v>91.367127785592743</v>
      </c>
      <c r="T64">
        <v>91.503558711109477</v>
      </c>
      <c r="U64">
        <v>91.630192789074201</v>
      </c>
      <c r="V64">
        <v>91.763495103207575</v>
      </c>
      <c r="W64">
        <v>91.860014005558284</v>
      </c>
      <c r="X64">
        <v>91.992016558560195</v>
      </c>
      <c r="Y64">
        <v>92.075216882502104</v>
      </c>
      <c r="Z64">
        <v>92.169225336054652</v>
      </c>
      <c r="AA64">
        <v>92.271933396680154</v>
      </c>
      <c r="AB64">
        <v>92.357102050809928</v>
      </c>
      <c r="AC64">
        <v>92.455335329657331</v>
      </c>
      <c r="AD64">
        <v>92.543166757243256</v>
      </c>
      <c r="AE64">
        <v>92.628066471071108</v>
      </c>
      <c r="AF64">
        <v>92.72109520981121</v>
      </c>
      <c r="AG64">
        <v>92.816732806761522</v>
      </c>
      <c r="AH64">
        <v>92.917720598154915</v>
      </c>
      <c r="AI64">
        <v>93.016310971421774</v>
      </c>
      <c r="AJ64">
        <v>93.118811091902217</v>
      </c>
      <c r="AK64">
        <v>93.199669151862054</v>
      </c>
      <c r="AL64">
        <v>93.299301859207048</v>
      </c>
      <c r="AM64">
        <v>93.394776816749015</v>
      </c>
      <c r="AN64">
        <v>93.475972085219198</v>
      </c>
      <c r="AO64">
        <v>93.560879633396553</v>
      </c>
      <c r="AP64">
        <v>93.64821193811575</v>
      </c>
      <c r="AQ64">
        <v>93.733290345485926</v>
      </c>
      <c r="AR64">
        <v>93.798573748842401</v>
      </c>
      <c r="AS64">
        <v>93.878180854812129</v>
      </c>
      <c r="AT64">
        <v>93.962144011151182</v>
      </c>
      <c r="AU64">
        <v>94.044225165335277</v>
      </c>
      <c r="AV64">
        <v>94.123203614598211</v>
      </c>
      <c r="AW64">
        <v>94.197754158208667</v>
      </c>
      <c r="AX64">
        <v>94.288711929531857</v>
      </c>
      <c r="AY64">
        <v>94.379593763128881</v>
      </c>
      <c r="AZ64">
        <v>94.456254659567108</v>
      </c>
      <c r="BA64">
        <v>94.523648262061684</v>
      </c>
      <c r="BB64">
        <v>94.591083740511806</v>
      </c>
      <c r="BC64">
        <v>94.669396483648256</v>
      </c>
      <c r="BD64">
        <v>94.752417704874688</v>
      </c>
      <c r="BE64">
        <v>94.828149320717188</v>
      </c>
      <c r="BF64">
        <v>94.917505813743162</v>
      </c>
      <c r="BG64">
        <v>94.989093821365785</v>
      </c>
      <c r="BH64">
        <v>95.065082420752873</v>
      </c>
      <c r="BI64">
        <v>95.151878838665155</v>
      </c>
      <c r="BJ64">
        <v>95.22162828869817</v>
      </c>
      <c r="BK64">
        <v>95.315591741472488</v>
      </c>
      <c r="BL64">
        <v>95.386871027052024</v>
      </c>
      <c r="BM64">
        <v>95.47417181213676</v>
      </c>
      <c r="BN64">
        <v>95.543942158433012</v>
      </c>
      <c r="BO64">
        <v>95.632038897251121</v>
      </c>
      <c r="BP64">
        <v>95.707618015657189</v>
      </c>
      <c r="BQ64">
        <v>95.794559430489642</v>
      </c>
      <c r="BR64">
        <v>95.870207742987162</v>
      </c>
      <c r="BS64">
        <v>95.966785649122201</v>
      </c>
      <c r="BT64">
        <v>96.050659357246573</v>
      </c>
      <c r="BU64">
        <v>96.136818842735337</v>
      </c>
      <c r="BV64">
        <v>96.207213721330746</v>
      </c>
      <c r="BW64">
        <v>96.280812430592476</v>
      </c>
      <c r="BX64">
        <v>96.357717925185185</v>
      </c>
      <c r="BY64">
        <v>96.429016604568645</v>
      </c>
      <c r="BZ64">
        <v>96.509250585112298</v>
      </c>
      <c r="CA64">
        <v>96.60184766784441</v>
      </c>
      <c r="CB64">
        <v>96.666486313036074</v>
      </c>
      <c r="CC64">
        <v>96.730167428050535</v>
      </c>
      <c r="CD64">
        <v>96.809543237184016</v>
      </c>
      <c r="CE64">
        <v>96.881481118015259</v>
      </c>
      <c r="CF64">
        <v>96.95662703201053</v>
      </c>
      <c r="CG64">
        <v>97.043455936121148</v>
      </c>
      <c r="CH64">
        <v>97.138895022880391</v>
      </c>
      <c r="CI64">
        <v>97.226538162857366</v>
      </c>
      <c r="CJ64">
        <v>97.312196902115261</v>
      </c>
      <c r="CK64">
        <v>97.39630778239264</v>
      </c>
      <c r="CL64">
        <v>97.481371550172341</v>
      </c>
      <c r="CM64">
        <v>97.554146679113344</v>
      </c>
      <c r="CN64">
        <v>97.63166071768886</v>
      </c>
      <c r="CO64">
        <v>97.710743875172113</v>
      </c>
      <c r="CP64">
        <v>97.808538931157926</v>
      </c>
      <c r="CQ64">
        <v>97.910144896174245</v>
      </c>
      <c r="CR64">
        <v>97.980620136154812</v>
      </c>
      <c r="CS64">
        <v>98.069195509277336</v>
      </c>
      <c r="CT64">
        <v>98.152143327655693</v>
      </c>
      <c r="CU64">
        <v>98.258439948754813</v>
      </c>
      <c r="CV64">
        <v>98.335980453211349</v>
      </c>
      <c r="CW64">
        <v>98.439921507945741</v>
      </c>
      <c r="CX64">
        <v>98.535982136424408</v>
      </c>
      <c r="CY64">
        <v>98.631002989895748</v>
      </c>
      <c r="CZ64">
        <v>98.733484213554704</v>
      </c>
      <c r="DA64">
        <v>98.821003805703214</v>
      </c>
      <c r="DB64">
        <v>98.9145252882318</v>
      </c>
      <c r="DC64">
        <v>99.023900789045925</v>
      </c>
      <c r="DD64">
        <v>99.113464074069256</v>
      </c>
      <c r="DE64">
        <v>99.219251602873641</v>
      </c>
      <c r="DF64">
        <v>99.337936950637584</v>
      </c>
      <c r="DG64">
        <v>99.441807273509554</v>
      </c>
      <c r="DH64">
        <v>99.535643783823275</v>
      </c>
      <c r="DI64">
        <v>99.683630251221032</v>
      </c>
      <c r="DJ64">
        <v>99.791913811516153</v>
      </c>
      <c r="DK64">
        <v>99.89715224209526</v>
      </c>
      <c r="DL64">
        <v>100.00068258134785</v>
      </c>
      <c r="DM64">
        <v>100.11009129034314</v>
      </c>
      <c r="DN64">
        <v>100.22519019199238</v>
      </c>
      <c r="DO64">
        <v>100.33523539575474</v>
      </c>
      <c r="DP64">
        <v>100.4329382544518</v>
      </c>
      <c r="DQ64">
        <v>100.54740302748202</v>
      </c>
      <c r="DR64">
        <v>100.66032483311037</v>
      </c>
      <c r="DS64">
        <v>100.76276027127587</v>
      </c>
      <c r="DT64">
        <v>100.8951401591971</v>
      </c>
      <c r="DU64">
        <v>101.03357889367473</v>
      </c>
      <c r="DV64">
        <v>101.13504679342127</v>
      </c>
      <c r="DW64">
        <v>101.27818449047548</v>
      </c>
      <c r="DX64">
        <v>101.40941156689323</v>
      </c>
      <c r="DY64">
        <v>101.54269586422585</v>
      </c>
      <c r="DZ64">
        <v>101.67297759634103</v>
      </c>
      <c r="EA64">
        <v>101.78544519636206</v>
      </c>
      <c r="EB64">
        <v>101.93983895158021</v>
      </c>
      <c r="EC64">
        <v>102.10024806976068</v>
      </c>
      <c r="ED64">
        <v>102.24000394194864</v>
      </c>
      <c r="EE64">
        <v>102.3722335397124</v>
      </c>
      <c r="EF64">
        <v>102.52756358490136</v>
      </c>
      <c r="EG64">
        <v>102.70152677370753</v>
      </c>
      <c r="EH64">
        <v>102.85697735450182</v>
      </c>
      <c r="EI64">
        <v>102.98373736418546</v>
      </c>
      <c r="EJ64">
        <v>103.13944655426576</v>
      </c>
      <c r="EK64">
        <v>103.34690169326717</v>
      </c>
      <c r="EL64">
        <v>103.50754613887186</v>
      </c>
      <c r="EM64">
        <v>103.69708845560051</v>
      </c>
      <c r="EN64">
        <v>103.86750793050379</v>
      </c>
      <c r="EO64">
        <v>104.05558377162878</v>
      </c>
      <c r="EP64">
        <v>104.26288730826315</v>
      </c>
      <c r="EQ64">
        <v>104.49084747989997</v>
      </c>
      <c r="ER64">
        <v>104.67389897233377</v>
      </c>
      <c r="ES64">
        <v>104.85745828283078</v>
      </c>
      <c r="ET64">
        <v>105.07016904443282</v>
      </c>
      <c r="EU64">
        <v>105.22668539811103</v>
      </c>
      <c r="EV64">
        <v>105.42568955873482</v>
      </c>
      <c r="EW64">
        <v>105.59763587896261</v>
      </c>
      <c r="EX64">
        <v>105.80677304495806</v>
      </c>
      <c r="EY64">
        <v>106.01937363353279</v>
      </c>
      <c r="EZ64">
        <v>106.27692632428773</v>
      </c>
      <c r="FA64">
        <v>106.50247354665903</v>
      </c>
      <c r="FB64">
        <v>106.75027580421919</v>
      </c>
      <c r="FC64">
        <v>106.98587953443412</v>
      </c>
      <c r="FD64">
        <v>107.25792951908224</v>
      </c>
      <c r="FE64">
        <v>107.48501073381648</v>
      </c>
      <c r="FF64">
        <v>107.73062432728636</v>
      </c>
      <c r="FG64">
        <v>107.96805807037344</v>
      </c>
      <c r="FH64">
        <v>108.24002592311994</v>
      </c>
      <c r="FI64">
        <v>108.49767435585933</v>
      </c>
      <c r="FJ64">
        <v>108.79680795403181</v>
      </c>
      <c r="FK64">
        <v>109.04359277080354</v>
      </c>
      <c r="FL64">
        <v>109.33986484319871</v>
      </c>
      <c r="FM64">
        <v>109.6346072677603</v>
      </c>
      <c r="FN64">
        <v>109.95985079234504</v>
      </c>
      <c r="FO64">
        <v>110.30118078877864</v>
      </c>
      <c r="FP64">
        <v>110.59606525164466</v>
      </c>
      <c r="FQ64">
        <v>110.91626852372873</v>
      </c>
      <c r="FR64">
        <v>111.33634419091624</v>
      </c>
      <c r="FS64">
        <v>111.71437890358028</v>
      </c>
      <c r="FT64">
        <v>112.23415757865666</v>
      </c>
      <c r="FU64">
        <v>112.74700374667401</v>
      </c>
      <c r="FV64">
        <v>113.17247703439556</v>
      </c>
      <c r="FW64">
        <v>113.70688824000256</v>
      </c>
      <c r="FX64">
        <v>114.13906787392855</v>
      </c>
      <c r="FY64">
        <v>114.50416746386453</v>
      </c>
      <c r="FZ64">
        <v>115.15990723907338</v>
      </c>
      <c r="GA64">
        <v>115.86956120814051</v>
      </c>
      <c r="GB64">
        <v>116.52136474796572</v>
      </c>
      <c r="GC64">
        <v>117.2521141963155</v>
      </c>
      <c r="GD64">
        <v>118.01881142286922</v>
      </c>
      <c r="GE64">
        <v>118.89710397129456</v>
      </c>
      <c r="GF64">
        <v>119.5045627283268</v>
      </c>
      <c r="GG64">
        <v>120.41926059465821</v>
      </c>
      <c r="GH64">
        <v>121.37156488982885</v>
      </c>
      <c r="GI64">
        <v>122.32148077783877</v>
      </c>
      <c r="GJ64">
        <v>123.96226047058521</v>
      </c>
      <c r="GK64">
        <v>125.37143138812328</v>
      </c>
      <c r="GL64">
        <v>127.30203805319445</v>
      </c>
      <c r="GM64">
        <v>129.78541378208465</v>
      </c>
      <c r="GN64">
        <v>132.52003430131884</v>
      </c>
      <c r="GO64">
        <v>135.70387285151082</v>
      </c>
      <c r="GP64">
        <v>140.6963029818821</v>
      </c>
      <c r="GQ64">
        <v>148.01482808683565</v>
      </c>
      <c r="GR64">
        <v>101.11550661510445</v>
      </c>
      <c r="GT64" s="8">
        <v>45384</v>
      </c>
      <c r="GU64">
        <v>136.47</v>
      </c>
    </row>
    <row r="65" spans="1:203" x14ac:dyDescent="0.45">
      <c r="A65">
        <v>85.409272662635473</v>
      </c>
      <c r="B65">
        <v>86.725757661137081</v>
      </c>
      <c r="C65">
        <v>87.465038325636257</v>
      </c>
      <c r="D65">
        <v>88.064475064359357</v>
      </c>
      <c r="E65">
        <v>88.527488865335542</v>
      </c>
      <c r="F65">
        <v>88.830747578331668</v>
      </c>
      <c r="G65">
        <v>89.094873892005836</v>
      </c>
      <c r="H65">
        <v>89.385275451376842</v>
      </c>
      <c r="I65">
        <v>89.684406230557755</v>
      </c>
      <c r="J65">
        <v>89.875309298360065</v>
      </c>
      <c r="K65">
        <v>90.099090665024789</v>
      </c>
      <c r="L65">
        <v>90.268569432453063</v>
      </c>
      <c r="M65">
        <v>90.456166986469128</v>
      </c>
      <c r="N65">
        <v>90.58938545392121</v>
      </c>
      <c r="O65">
        <v>90.754123670762112</v>
      </c>
      <c r="P65">
        <v>90.912142993941799</v>
      </c>
      <c r="Q65">
        <v>91.045592849324407</v>
      </c>
      <c r="R65">
        <v>91.140428422650814</v>
      </c>
      <c r="S65">
        <v>91.286793104822507</v>
      </c>
      <c r="T65">
        <v>91.436228789144465</v>
      </c>
      <c r="U65">
        <v>91.556729127599311</v>
      </c>
      <c r="V65">
        <v>91.683251777787746</v>
      </c>
      <c r="W65">
        <v>91.792930711472522</v>
      </c>
      <c r="X65">
        <v>91.897080037846749</v>
      </c>
      <c r="Y65">
        <v>92.018688029005972</v>
      </c>
      <c r="Z65">
        <v>92.119933272932911</v>
      </c>
      <c r="AA65">
        <v>92.213071259055639</v>
      </c>
      <c r="AB65">
        <v>92.313709102269058</v>
      </c>
      <c r="AC65">
        <v>92.414426823518184</v>
      </c>
      <c r="AD65">
        <v>92.495288108383534</v>
      </c>
      <c r="AE65">
        <v>92.608693434250185</v>
      </c>
      <c r="AF65">
        <v>92.693445113109647</v>
      </c>
      <c r="AG65">
        <v>92.78493546031676</v>
      </c>
      <c r="AH65">
        <v>92.860097094970058</v>
      </c>
      <c r="AI65">
        <v>92.949465452739034</v>
      </c>
      <c r="AJ65">
        <v>93.054639645597547</v>
      </c>
      <c r="AK65">
        <v>93.147502966759973</v>
      </c>
      <c r="AL65">
        <v>93.251526103215383</v>
      </c>
      <c r="AM65">
        <v>93.331777269700893</v>
      </c>
      <c r="AN65">
        <v>93.436090015141517</v>
      </c>
      <c r="AO65">
        <v>93.530203848330075</v>
      </c>
      <c r="AP65">
        <v>93.59559652063119</v>
      </c>
      <c r="AQ65">
        <v>93.677529682567538</v>
      </c>
      <c r="AR65">
        <v>93.758093946380711</v>
      </c>
      <c r="AS65">
        <v>93.83379480444485</v>
      </c>
      <c r="AT65">
        <v>93.893324555581614</v>
      </c>
      <c r="AU65">
        <v>93.965504001544218</v>
      </c>
      <c r="AV65">
        <v>94.058968529352697</v>
      </c>
      <c r="AW65">
        <v>94.14577130166424</v>
      </c>
      <c r="AX65">
        <v>94.228542379658748</v>
      </c>
      <c r="AY65">
        <v>94.287299350446432</v>
      </c>
      <c r="AZ65">
        <v>94.385068296253621</v>
      </c>
      <c r="BA65">
        <v>94.466245928599946</v>
      </c>
      <c r="BB65">
        <v>94.536748469124362</v>
      </c>
      <c r="BC65">
        <v>94.615453507822394</v>
      </c>
      <c r="BD65">
        <v>94.7045719950804</v>
      </c>
      <c r="BE65">
        <v>94.795476677074333</v>
      </c>
      <c r="BF65">
        <v>94.876723971763212</v>
      </c>
      <c r="BG65">
        <v>94.97607380126216</v>
      </c>
      <c r="BH65">
        <v>95.055226886257245</v>
      </c>
      <c r="BI65">
        <v>95.149374904084567</v>
      </c>
      <c r="BJ65">
        <v>95.217689369790577</v>
      </c>
      <c r="BK65">
        <v>95.287822627152025</v>
      </c>
      <c r="BL65">
        <v>95.373206879127878</v>
      </c>
      <c r="BM65">
        <v>95.456592352985282</v>
      </c>
      <c r="BN65">
        <v>95.540280291114655</v>
      </c>
      <c r="BO65">
        <v>95.628865869751877</v>
      </c>
      <c r="BP65">
        <v>95.709138871126385</v>
      </c>
      <c r="BQ65">
        <v>95.770938704378224</v>
      </c>
      <c r="BR65">
        <v>95.868479201329407</v>
      </c>
      <c r="BS65">
        <v>95.946585939626885</v>
      </c>
      <c r="BT65">
        <v>96.026858916025049</v>
      </c>
      <c r="BU65">
        <v>96.103631084970473</v>
      </c>
      <c r="BV65">
        <v>96.169149925719708</v>
      </c>
      <c r="BW65">
        <v>96.255883491626079</v>
      </c>
      <c r="BX65">
        <v>96.328871037909437</v>
      </c>
      <c r="BY65">
        <v>96.397054641017789</v>
      </c>
      <c r="BZ65">
        <v>96.469772430724106</v>
      </c>
      <c r="CA65">
        <v>96.554718876150076</v>
      </c>
      <c r="CB65">
        <v>96.627089916646383</v>
      </c>
      <c r="CC65">
        <v>96.706992121936565</v>
      </c>
      <c r="CD65">
        <v>96.791881584467745</v>
      </c>
      <c r="CE65">
        <v>96.897373286204839</v>
      </c>
      <c r="CF65">
        <v>96.962874621826927</v>
      </c>
      <c r="CG65">
        <v>97.054994665468556</v>
      </c>
      <c r="CH65">
        <v>97.141135405678909</v>
      </c>
      <c r="CI65">
        <v>97.228021549794249</v>
      </c>
      <c r="CJ65">
        <v>97.297162739874565</v>
      </c>
      <c r="CK65">
        <v>97.402903591037997</v>
      </c>
      <c r="CL65">
        <v>97.483277630456044</v>
      </c>
      <c r="CM65">
        <v>97.561429506698985</v>
      </c>
      <c r="CN65">
        <v>97.632957897102884</v>
      </c>
      <c r="CO65">
        <v>97.715992039498175</v>
      </c>
      <c r="CP65">
        <v>97.793986913410123</v>
      </c>
      <c r="CQ65">
        <v>97.866645108905999</v>
      </c>
      <c r="CR65">
        <v>97.970373103112934</v>
      </c>
      <c r="CS65">
        <v>98.056449709302996</v>
      </c>
      <c r="CT65">
        <v>98.145390245692553</v>
      </c>
      <c r="CU65">
        <v>98.226105537921867</v>
      </c>
      <c r="CV65">
        <v>98.321638854688004</v>
      </c>
      <c r="CW65">
        <v>98.430786981726882</v>
      </c>
      <c r="CX65">
        <v>98.511896611994132</v>
      </c>
      <c r="CY65">
        <v>98.590601761272822</v>
      </c>
      <c r="CZ65">
        <v>98.678734704720767</v>
      </c>
      <c r="DA65">
        <v>98.773763460184142</v>
      </c>
      <c r="DB65">
        <v>98.862389201929943</v>
      </c>
      <c r="DC65">
        <v>98.944793512893369</v>
      </c>
      <c r="DD65">
        <v>99.04137033521539</v>
      </c>
      <c r="DE65">
        <v>99.17449117843536</v>
      </c>
      <c r="DF65">
        <v>99.285661121257405</v>
      </c>
      <c r="DG65">
        <v>99.412226868438481</v>
      </c>
      <c r="DH65">
        <v>99.490187192573728</v>
      </c>
      <c r="DI65">
        <v>99.596206746484867</v>
      </c>
      <c r="DJ65">
        <v>99.693192539109205</v>
      </c>
      <c r="DK65">
        <v>99.814744366001023</v>
      </c>
      <c r="DL65">
        <v>99.94471785398413</v>
      </c>
      <c r="DM65">
        <v>100.04936741030549</v>
      </c>
      <c r="DN65">
        <v>100.15628964325278</v>
      </c>
      <c r="DO65">
        <v>100.25291198311527</v>
      </c>
      <c r="DP65">
        <v>100.39295858183398</v>
      </c>
      <c r="DQ65">
        <v>100.52457251155634</v>
      </c>
      <c r="DR65">
        <v>100.64291710979482</v>
      </c>
      <c r="DS65">
        <v>100.76433484700468</v>
      </c>
      <c r="DT65">
        <v>100.88347543327656</v>
      </c>
      <c r="DU65">
        <v>100.99578831077984</v>
      </c>
      <c r="DV65">
        <v>101.14818071842851</v>
      </c>
      <c r="DW65">
        <v>101.26725183243749</v>
      </c>
      <c r="DX65">
        <v>101.38484641810811</v>
      </c>
      <c r="DY65">
        <v>101.50383370864753</v>
      </c>
      <c r="DZ65">
        <v>101.69393572154863</v>
      </c>
      <c r="EA65">
        <v>101.82611496483925</v>
      </c>
      <c r="EB65">
        <v>101.95989537838028</v>
      </c>
      <c r="EC65">
        <v>102.07298751604054</v>
      </c>
      <c r="ED65">
        <v>102.24886741445383</v>
      </c>
      <c r="EE65">
        <v>102.3809981948253</v>
      </c>
      <c r="EF65">
        <v>102.53814242878555</v>
      </c>
      <c r="EG65">
        <v>102.67320322460117</v>
      </c>
      <c r="EH65">
        <v>102.83273802217424</v>
      </c>
      <c r="EI65">
        <v>102.97167756386563</v>
      </c>
      <c r="EJ65">
        <v>103.12598858673607</v>
      </c>
      <c r="EK65">
        <v>103.29704845156753</v>
      </c>
      <c r="EL65">
        <v>103.46219447803959</v>
      </c>
      <c r="EM65">
        <v>103.65961691924994</v>
      </c>
      <c r="EN65">
        <v>103.87445312465407</v>
      </c>
      <c r="EO65">
        <v>104.09105212135067</v>
      </c>
      <c r="EP65">
        <v>104.30060620344133</v>
      </c>
      <c r="EQ65">
        <v>104.47209586829611</v>
      </c>
      <c r="ER65">
        <v>104.70233848427738</v>
      </c>
      <c r="ES65">
        <v>104.89246984531154</v>
      </c>
      <c r="ET65">
        <v>105.05804985960886</v>
      </c>
      <c r="EU65">
        <v>105.2263450989562</v>
      </c>
      <c r="EV65">
        <v>105.47111141019757</v>
      </c>
      <c r="EW65">
        <v>105.69210455409073</v>
      </c>
      <c r="EX65">
        <v>105.95295638089273</v>
      </c>
      <c r="EY65">
        <v>106.17310907292601</v>
      </c>
      <c r="EZ65">
        <v>106.34426322055484</v>
      </c>
      <c r="FA65">
        <v>106.53327575816118</v>
      </c>
      <c r="FB65">
        <v>106.73140666550465</v>
      </c>
      <c r="FC65">
        <v>106.98907996313135</v>
      </c>
      <c r="FD65">
        <v>107.27840057488055</v>
      </c>
      <c r="FE65">
        <v>107.52615132526594</v>
      </c>
      <c r="FF65">
        <v>107.79985758183396</v>
      </c>
      <c r="FG65">
        <v>108.05047890222849</v>
      </c>
      <c r="FH65">
        <v>108.26821322495114</v>
      </c>
      <c r="FI65">
        <v>108.5467160419782</v>
      </c>
      <c r="FJ65">
        <v>108.79881815963948</v>
      </c>
      <c r="FK65">
        <v>109.1181497918067</v>
      </c>
      <c r="FL65">
        <v>109.39894941205996</v>
      </c>
      <c r="FM65">
        <v>109.67817322014794</v>
      </c>
      <c r="FN65">
        <v>109.9941372298382</v>
      </c>
      <c r="FO65">
        <v>110.36298795732974</v>
      </c>
      <c r="FP65">
        <v>110.67067151947477</v>
      </c>
      <c r="FQ65">
        <v>111.00879338962504</v>
      </c>
      <c r="FR65">
        <v>111.40463505353223</v>
      </c>
      <c r="FS65">
        <v>111.80623640791593</v>
      </c>
      <c r="FT65">
        <v>112.24620865067037</v>
      </c>
      <c r="FU65">
        <v>112.68824489753962</v>
      </c>
      <c r="FV65">
        <v>113.17021048579456</v>
      </c>
      <c r="FW65">
        <v>113.71333182787956</v>
      </c>
      <c r="FX65">
        <v>114.25137580762068</v>
      </c>
      <c r="FY65">
        <v>114.80578282148375</v>
      </c>
      <c r="FZ65">
        <v>115.41970020517483</v>
      </c>
      <c r="GA65">
        <v>116.03510082958688</v>
      </c>
      <c r="GB65">
        <v>116.66363612281623</v>
      </c>
      <c r="GC65">
        <v>117.37462991157405</v>
      </c>
      <c r="GD65">
        <v>118.06890730204825</v>
      </c>
      <c r="GE65">
        <v>118.80132564548995</v>
      </c>
      <c r="GF65">
        <v>119.61881479436879</v>
      </c>
      <c r="GG65">
        <v>120.4485170298983</v>
      </c>
      <c r="GH65">
        <v>121.403309707932</v>
      </c>
      <c r="GI65">
        <v>122.39711180289319</v>
      </c>
      <c r="GJ65">
        <v>123.85356703762986</v>
      </c>
      <c r="GK65">
        <v>125.73946625494227</v>
      </c>
      <c r="GL65">
        <v>127.663754996837</v>
      </c>
      <c r="GM65">
        <v>129.68362554099136</v>
      </c>
      <c r="GN65">
        <v>132.73003724965812</v>
      </c>
      <c r="GO65">
        <v>135.77894257085737</v>
      </c>
      <c r="GP65">
        <v>140.07483270861442</v>
      </c>
      <c r="GQ65">
        <v>147.53447117706207</v>
      </c>
      <c r="GR65">
        <v>101.11188965506699</v>
      </c>
      <c r="GT65" s="8">
        <v>45385</v>
      </c>
      <c r="GU65">
        <v>145.62</v>
      </c>
    </row>
    <row r="66" spans="1:203" x14ac:dyDescent="0.45">
      <c r="A66">
        <v>85.509635636738636</v>
      </c>
      <c r="B66">
        <v>86.71617244656359</v>
      </c>
      <c r="C66">
        <v>87.515200540438272</v>
      </c>
      <c r="D66">
        <v>87.937831484004562</v>
      </c>
      <c r="E66">
        <v>88.375594748750018</v>
      </c>
      <c r="F66">
        <v>88.768768295438448</v>
      </c>
      <c r="G66">
        <v>89.043664725722451</v>
      </c>
      <c r="H66">
        <v>89.275105131435225</v>
      </c>
      <c r="I66">
        <v>89.562799355577297</v>
      </c>
      <c r="J66">
        <v>89.788347664962672</v>
      </c>
      <c r="K66">
        <v>90.001007408501678</v>
      </c>
      <c r="L66">
        <v>90.222153997939373</v>
      </c>
      <c r="M66">
        <v>90.370037737232948</v>
      </c>
      <c r="N66">
        <v>90.507604233979222</v>
      </c>
      <c r="O66">
        <v>90.664850740161981</v>
      </c>
      <c r="P66">
        <v>90.821399425716876</v>
      </c>
      <c r="Q66">
        <v>90.982273026404613</v>
      </c>
      <c r="R66">
        <v>91.105921400335589</v>
      </c>
      <c r="S66">
        <v>91.241291268459136</v>
      </c>
      <c r="T66">
        <v>91.363042745964577</v>
      </c>
      <c r="U66">
        <v>91.496620937702829</v>
      </c>
      <c r="V66">
        <v>91.612347475018012</v>
      </c>
      <c r="W66">
        <v>91.733292430289666</v>
      </c>
      <c r="X66">
        <v>91.851460955612069</v>
      </c>
      <c r="Y66">
        <v>91.975655145170421</v>
      </c>
      <c r="Z66">
        <v>92.067752020755179</v>
      </c>
      <c r="AA66">
        <v>92.157040759310064</v>
      </c>
      <c r="AB66">
        <v>92.27852770776849</v>
      </c>
      <c r="AC66">
        <v>92.359084017143971</v>
      </c>
      <c r="AD66">
        <v>92.464620462859216</v>
      </c>
      <c r="AE66">
        <v>92.567556114588271</v>
      </c>
      <c r="AF66">
        <v>92.643641564509423</v>
      </c>
      <c r="AG66">
        <v>92.750822006798245</v>
      </c>
      <c r="AH66">
        <v>92.831175989089033</v>
      </c>
      <c r="AI66">
        <v>92.903560579193282</v>
      </c>
      <c r="AJ66">
        <v>92.995234249203889</v>
      </c>
      <c r="AK66">
        <v>93.101731716909569</v>
      </c>
      <c r="AL66">
        <v>93.177519079645478</v>
      </c>
      <c r="AM66">
        <v>93.249099827613023</v>
      </c>
      <c r="AN66">
        <v>93.35434683455891</v>
      </c>
      <c r="AO66">
        <v>93.442232217091501</v>
      </c>
      <c r="AP66">
        <v>93.504105622009035</v>
      </c>
      <c r="AQ66">
        <v>93.582004975401901</v>
      </c>
      <c r="AR66">
        <v>93.678849511383319</v>
      </c>
      <c r="AS66">
        <v>93.747606586948621</v>
      </c>
      <c r="AT66">
        <v>93.820151031600162</v>
      </c>
      <c r="AU66">
        <v>93.90075860750639</v>
      </c>
      <c r="AV66">
        <v>93.992557574155029</v>
      </c>
      <c r="AW66">
        <v>94.063456960527645</v>
      </c>
      <c r="AX66">
        <v>94.154718354311768</v>
      </c>
      <c r="AY66">
        <v>94.235585117183163</v>
      </c>
      <c r="AZ66">
        <v>94.338544447748191</v>
      </c>
      <c r="BA66">
        <v>94.414809091310147</v>
      </c>
      <c r="BB66">
        <v>94.492254861070663</v>
      </c>
      <c r="BC66">
        <v>94.593740898131628</v>
      </c>
      <c r="BD66">
        <v>94.662388146003508</v>
      </c>
      <c r="BE66">
        <v>94.737687904165796</v>
      </c>
      <c r="BF66">
        <v>94.837514144414868</v>
      </c>
      <c r="BG66">
        <v>94.923148670465295</v>
      </c>
      <c r="BH66">
        <v>94.978912138203412</v>
      </c>
      <c r="BI66">
        <v>95.048631723348578</v>
      </c>
      <c r="BJ66">
        <v>95.134359441779935</v>
      </c>
      <c r="BK66">
        <v>95.218796900514022</v>
      </c>
      <c r="BL66">
        <v>95.306900341035359</v>
      </c>
      <c r="BM66">
        <v>95.383327571544626</v>
      </c>
      <c r="BN66">
        <v>95.464470466217662</v>
      </c>
      <c r="BO66">
        <v>95.550709806427619</v>
      </c>
      <c r="BP66">
        <v>95.637018804771984</v>
      </c>
      <c r="BQ66">
        <v>95.728771519546612</v>
      </c>
      <c r="BR66">
        <v>95.807623965919504</v>
      </c>
      <c r="BS66">
        <v>95.882880968664608</v>
      </c>
      <c r="BT66">
        <v>95.955262201433413</v>
      </c>
      <c r="BU66">
        <v>96.04844966001879</v>
      </c>
      <c r="BV66">
        <v>96.133163237137012</v>
      </c>
      <c r="BW66">
        <v>96.204275517285879</v>
      </c>
      <c r="BX66">
        <v>96.267244756755247</v>
      </c>
      <c r="BY66">
        <v>96.350221438042553</v>
      </c>
      <c r="BZ66">
        <v>96.41795425108225</v>
      </c>
      <c r="CA66">
        <v>96.50184052503559</v>
      </c>
      <c r="CB66">
        <v>96.575824351085259</v>
      </c>
      <c r="CC66">
        <v>96.653640812343809</v>
      </c>
      <c r="CD66">
        <v>96.731275923817435</v>
      </c>
      <c r="CE66">
        <v>96.805443978058932</v>
      </c>
      <c r="CF66">
        <v>96.906670127840172</v>
      </c>
      <c r="CG66">
        <v>96.991353344707107</v>
      </c>
      <c r="CH66">
        <v>97.093782452412</v>
      </c>
      <c r="CI66">
        <v>97.164873789698191</v>
      </c>
      <c r="CJ66">
        <v>97.240350251497716</v>
      </c>
      <c r="CK66">
        <v>97.330600885691254</v>
      </c>
      <c r="CL66">
        <v>97.413288508186696</v>
      </c>
      <c r="CM66">
        <v>97.491427552603923</v>
      </c>
      <c r="CN66">
        <v>97.57294691587191</v>
      </c>
      <c r="CO66">
        <v>97.65453369899177</v>
      </c>
      <c r="CP66">
        <v>97.748629081135306</v>
      </c>
      <c r="CQ66">
        <v>97.853018853366436</v>
      </c>
      <c r="CR66">
        <v>97.958222020039457</v>
      </c>
      <c r="CS66">
        <v>98.06381332307943</v>
      </c>
      <c r="CT66">
        <v>98.121469879101525</v>
      </c>
      <c r="CU66">
        <v>98.210340134792986</v>
      </c>
      <c r="CV66">
        <v>98.31650542495791</v>
      </c>
      <c r="CW66">
        <v>98.421388249280469</v>
      </c>
      <c r="CX66">
        <v>98.498730173541716</v>
      </c>
      <c r="CY66">
        <v>98.58186584557005</v>
      </c>
      <c r="CZ66">
        <v>98.683941920565346</v>
      </c>
      <c r="DA66">
        <v>98.766673425532076</v>
      </c>
      <c r="DB66">
        <v>98.859283330057238</v>
      </c>
      <c r="DC66">
        <v>98.955140612079589</v>
      </c>
      <c r="DD66">
        <v>99.07845236167708</v>
      </c>
      <c r="DE66">
        <v>99.187402514019979</v>
      </c>
      <c r="DF66">
        <v>99.284904462539984</v>
      </c>
      <c r="DG66">
        <v>99.367038478645142</v>
      </c>
      <c r="DH66">
        <v>99.466232099416956</v>
      </c>
      <c r="DI66">
        <v>99.586284968334994</v>
      </c>
      <c r="DJ66">
        <v>99.680965358608958</v>
      </c>
      <c r="DK66">
        <v>99.780102249381585</v>
      </c>
      <c r="DL66">
        <v>99.862478674347827</v>
      </c>
      <c r="DM66">
        <v>99.991024677345393</v>
      </c>
      <c r="DN66">
        <v>100.11341097230469</v>
      </c>
      <c r="DO66">
        <v>100.23410431805642</v>
      </c>
      <c r="DP66">
        <v>100.35279160722357</v>
      </c>
      <c r="DQ66">
        <v>100.49304653313364</v>
      </c>
      <c r="DR66">
        <v>100.61566613167604</v>
      </c>
      <c r="DS66">
        <v>100.76160768060608</v>
      </c>
      <c r="DT66">
        <v>100.91542452579316</v>
      </c>
      <c r="DU66">
        <v>101.05470587346534</v>
      </c>
      <c r="DV66">
        <v>101.17093439150324</v>
      </c>
      <c r="DW66">
        <v>101.30772116313021</v>
      </c>
      <c r="DX66">
        <v>101.41076980038989</v>
      </c>
      <c r="DY66">
        <v>101.54232321793128</v>
      </c>
      <c r="DZ66">
        <v>101.65988696719998</v>
      </c>
      <c r="EA66">
        <v>101.78958423133587</v>
      </c>
      <c r="EB66">
        <v>101.89675628633368</v>
      </c>
      <c r="EC66">
        <v>102.05856688398929</v>
      </c>
      <c r="ED66">
        <v>102.18605373269735</v>
      </c>
      <c r="EE66">
        <v>102.31879475206954</v>
      </c>
      <c r="EF66">
        <v>102.4967743263893</v>
      </c>
      <c r="EG66">
        <v>102.63838293753429</v>
      </c>
      <c r="EH66">
        <v>102.78682529952698</v>
      </c>
      <c r="EI66">
        <v>102.95002844672922</v>
      </c>
      <c r="EJ66">
        <v>103.11478575992039</v>
      </c>
      <c r="EK66">
        <v>103.27975010907332</v>
      </c>
      <c r="EL66">
        <v>103.47141605649546</v>
      </c>
      <c r="EM66">
        <v>103.63119114538635</v>
      </c>
      <c r="EN66">
        <v>103.91372903347241</v>
      </c>
      <c r="EO66">
        <v>104.09035956071003</v>
      </c>
      <c r="EP66">
        <v>104.27219542781668</v>
      </c>
      <c r="EQ66">
        <v>104.50330018856846</v>
      </c>
      <c r="ER66">
        <v>104.67108445629891</v>
      </c>
      <c r="ES66">
        <v>104.92376854784138</v>
      </c>
      <c r="ET66">
        <v>105.09888651755713</v>
      </c>
      <c r="EU66">
        <v>105.31861597116222</v>
      </c>
      <c r="EV66">
        <v>105.52833117961249</v>
      </c>
      <c r="EW66">
        <v>105.73654103910306</v>
      </c>
      <c r="EX66">
        <v>105.92458907908659</v>
      </c>
      <c r="EY66">
        <v>106.16976718717582</v>
      </c>
      <c r="EZ66">
        <v>106.39219343230282</v>
      </c>
      <c r="FA66">
        <v>106.60578812438527</v>
      </c>
      <c r="FB66">
        <v>106.82122624875257</v>
      </c>
      <c r="FC66">
        <v>107.05252372197992</v>
      </c>
      <c r="FD66">
        <v>107.28482851351127</v>
      </c>
      <c r="FE66">
        <v>107.5597079973126</v>
      </c>
      <c r="FF66">
        <v>107.84234481091229</v>
      </c>
      <c r="FG66">
        <v>108.11472714726239</v>
      </c>
      <c r="FH66">
        <v>108.31576959332386</v>
      </c>
      <c r="FI66">
        <v>108.65535627583341</v>
      </c>
      <c r="FJ66">
        <v>108.9121782768578</v>
      </c>
      <c r="FK66">
        <v>109.23505654009715</v>
      </c>
      <c r="FL66">
        <v>109.53882110555034</v>
      </c>
      <c r="FM66">
        <v>109.77668479516839</v>
      </c>
      <c r="FN66">
        <v>110.21671197924677</v>
      </c>
      <c r="FO66">
        <v>110.51630923946855</v>
      </c>
      <c r="FP66">
        <v>110.76144014316095</v>
      </c>
      <c r="FQ66">
        <v>111.06358759327415</v>
      </c>
      <c r="FR66">
        <v>111.47707921779516</v>
      </c>
      <c r="FS66">
        <v>111.93287342237927</v>
      </c>
      <c r="FT66">
        <v>112.31411561648116</v>
      </c>
      <c r="FU66">
        <v>112.79277654179798</v>
      </c>
      <c r="FV66">
        <v>113.26863034602417</v>
      </c>
      <c r="FW66">
        <v>113.99157654887638</v>
      </c>
      <c r="FX66">
        <v>114.56361039207472</v>
      </c>
      <c r="FY66">
        <v>115.03421976357453</v>
      </c>
      <c r="FZ66">
        <v>115.51697750166396</v>
      </c>
      <c r="GA66">
        <v>116.12479516550962</v>
      </c>
      <c r="GB66">
        <v>116.77574906163672</v>
      </c>
      <c r="GC66">
        <v>117.48741770902848</v>
      </c>
      <c r="GD66">
        <v>118.28096203547213</v>
      </c>
      <c r="GE66">
        <v>119.28324717817145</v>
      </c>
      <c r="GF66">
        <v>120.26963691246857</v>
      </c>
      <c r="GG66">
        <v>121.02764339158419</v>
      </c>
      <c r="GH66">
        <v>121.81730211328914</v>
      </c>
      <c r="GI66">
        <v>122.93313686490885</v>
      </c>
      <c r="GJ66">
        <v>124.40699774140805</v>
      </c>
      <c r="GK66">
        <v>126.15122902367372</v>
      </c>
      <c r="GL66">
        <v>128.23213787360459</v>
      </c>
      <c r="GM66">
        <v>129.96856968315822</v>
      </c>
      <c r="GN66">
        <v>132.41684551598024</v>
      </c>
      <c r="GO66">
        <v>135.8503080517257</v>
      </c>
      <c r="GP66">
        <v>140.5433202339469</v>
      </c>
      <c r="GQ66">
        <v>148.64500376655374</v>
      </c>
      <c r="GR66">
        <v>101.12376372539283</v>
      </c>
      <c r="GT66" s="8">
        <v>45386</v>
      </c>
      <c r="GU66">
        <v>147.38999999999999</v>
      </c>
    </row>
    <row r="67" spans="1:203" x14ac:dyDescent="0.45">
      <c r="A67">
        <v>85.458228207261499</v>
      </c>
      <c r="B67">
        <v>86.584155861333286</v>
      </c>
      <c r="C67">
        <v>87.420685582038246</v>
      </c>
      <c r="D67">
        <v>87.903345157621516</v>
      </c>
      <c r="E67">
        <v>88.313129281059773</v>
      </c>
      <c r="F67">
        <v>88.759611610668784</v>
      </c>
      <c r="G67">
        <v>89.01274676490516</v>
      </c>
      <c r="H67">
        <v>89.24251570474938</v>
      </c>
      <c r="I67">
        <v>89.495126380538622</v>
      </c>
      <c r="J67">
        <v>89.701323394667781</v>
      </c>
      <c r="K67">
        <v>89.896492523489073</v>
      </c>
      <c r="L67">
        <v>90.101791320398689</v>
      </c>
      <c r="M67">
        <v>90.263124720916665</v>
      </c>
      <c r="N67">
        <v>90.443752216043251</v>
      </c>
      <c r="O67">
        <v>90.602632987244576</v>
      </c>
      <c r="P67">
        <v>90.772572454263056</v>
      </c>
      <c r="Q67">
        <v>90.931422914212703</v>
      </c>
      <c r="R67">
        <v>91.059408947062664</v>
      </c>
      <c r="S67">
        <v>91.189978159156738</v>
      </c>
      <c r="T67">
        <v>91.308346492101506</v>
      </c>
      <c r="U67">
        <v>91.427804548361365</v>
      </c>
      <c r="V67">
        <v>91.551240668118396</v>
      </c>
      <c r="W67">
        <v>91.699326104718224</v>
      </c>
      <c r="X67">
        <v>91.799653913827029</v>
      </c>
      <c r="Y67">
        <v>91.906322854178597</v>
      </c>
      <c r="Z67">
        <v>92.023671437546227</v>
      </c>
      <c r="AA67">
        <v>92.111060837614289</v>
      </c>
      <c r="AB67">
        <v>92.227844184665457</v>
      </c>
      <c r="AC67">
        <v>92.339046535461137</v>
      </c>
      <c r="AD67">
        <v>92.457135424687152</v>
      </c>
      <c r="AE67">
        <v>92.553068521111669</v>
      </c>
      <c r="AF67">
        <v>92.644478027260618</v>
      </c>
      <c r="AG67">
        <v>92.728782946610522</v>
      </c>
      <c r="AH67">
        <v>92.830352765224433</v>
      </c>
      <c r="AI67">
        <v>92.91662570430006</v>
      </c>
      <c r="AJ67">
        <v>92.987682861261163</v>
      </c>
      <c r="AK67">
        <v>93.080062488415464</v>
      </c>
      <c r="AL67">
        <v>93.164169824997117</v>
      </c>
      <c r="AM67">
        <v>93.239760362411729</v>
      </c>
      <c r="AN67">
        <v>93.346701075788602</v>
      </c>
      <c r="AO67">
        <v>93.431358089117126</v>
      </c>
      <c r="AP67">
        <v>93.51187796860242</v>
      </c>
      <c r="AQ67">
        <v>93.589440282069333</v>
      </c>
      <c r="AR67">
        <v>93.666590161303176</v>
      </c>
      <c r="AS67">
        <v>93.75997263417193</v>
      </c>
      <c r="AT67">
        <v>93.833290204260635</v>
      </c>
      <c r="AU67">
        <v>93.902119533018393</v>
      </c>
      <c r="AV67">
        <v>93.975346255683164</v>
      </c>
      <c r="AW67">
        <v>94.048598762081625</v>
      </c>
      <c r="AX67">
        <v>94.136394132330267</v>
      </c>
      <c r="AY67">
        <v>94.237575949279162</v>
      </c>
      <c r="AZ67">
        <v>94.312419783124284</v>
      </c>
      <c r="BA67">
        <v>94.418707256517692</v>
      </c>
      <c r="BB67">
        <v>94.485122641209784</v>
      </c>
      <c r="BC67">
        <v>94.564706679541942</v>
      </c>
      <c r="BD67">
        <v>94.641610050441244</v>
      </c>
      <c r="BE67">
        <v>94.729255358481012</v>
      </c>
      <c r="BF67">
        <v>94.816270733278742</v>
      </c>
      <c r="BG67">
        <v>94.876936261587943</v>
      </c>
      <c r="BH67">
        <v>94.954649325188484</v>
      </c>
      <c r="BI67">
        <v>95.048257826829285</v>
      </c>
      <c r="BJ67">
        <v>95.121287182446963</v>
      </c>
      <c r="BK67">
        <v>95.212791256352745</v>
      </c>
      <c r="BL67">
        <v>95.292750515988317</v>
      </c>
      <c r="BM67">
        <v>95.376399315378308</v>
      </c>
      <c r="BN67">
        <v>95.456000495851441</v>
      </c>
      <c r="BO67">
        <v>95.529744021740825</v>
      </c>
      <c r="BP67">
        <v>95.602179224854311</v>
      </c>
      <c r="BQ67">
        <v>95.68146925618467</v>
      </c>
      <c r="BR67">
        <v>95.789816180072862</v>
      </c>
      <c r="BS67">
        <v>95.864291381021559</v>
      </c>
      <c r="BT67">
        <v>95.93620795192848</v>
      </c>
      <c r="BU67">
        <v>96.01578605227526</v>
      </c>
      <c r="BV67">
        <v>96.098128444648708</v>
      </c>
      <c r="BW67">
        <v>96.161478199494425</v>
      </c>
      <c r="BX67">
        <v>96.232717058623408</v>
      </c>
      <c r="BY67">
        <v>96.312793624514214</v>
      </c>
      <c r="BZ67">
        <v>96.387579133576168</v>
      </c>
      <c r="CA67">
        <v>96.473339048800085</v>
      </c>
      <c r="CB67">
        <v>96.554304015219941</v>
      </c>
      <c r="CC67">
        <v>96.622102090226463</v>
      </c>
      <c r="CD67">
        <v>96.699070017219569</v>
      </c>
      <c r="CE67">
        <v>96.794613454788831</v>
      </c>
      <c r="CF67">
        <v>96.906113894826646</v>
      </c>
      <c r="CG67">
        <v>96.97346509031857</v>
      </c>
      <c r="CH67">
        <v>97.044877831972741</v>
      </c>
      <c r="CI67">
        <v>97.125031888550183</v>
      </c>
      <c r="CJ67">
        <v>97.226131292515674</v>
      </c>
      <c r="CK67">
        <v>97.328141452946014</v>
      </c>
      <c r="CL67">
        <v>97.393119200115436</v>
      </c>
      <c r="CM67">
        <v>97.471664115896132</v>
      </c>
      <c r="CN67">
        <v>97.561127102193979</v>
      </c>
      <c r="CO67">
        <v>97.666914589151261</v>
      </c>
      <c r="CP67">
        <v>97.765341211059166</v>
      </c>
      <c r="CQ67">
        <v>97.874605836330076</v>
      </c>
      <c r="CR67">
        <v>97.977101224070367</v>
      </c>
      <c r="CS67">
        <v>98.079163156145583</v>
      </c>
      <c r="CT67">
        <v>98.155224342342905</v>
      </c>
      <c r="CU67">
        <v>98.238099984502739</v>
      </c>
      <c r="CV67">
        <v>98.338547976650204</v>
      </c>
      <c r="CW67">
        <v>98.426865750122076</v>
      </c>
      <c r="CX67">
        <v>98.500626183477323</v>
      </c>
      <c r="CY67">
        <v>98.608158246484919</v>
      </c>
      <c r="CZ67">
        <v>98.722723549147673</v>
      </c>
      <c r="DA67">
        <v>98.82170706869384</v>
      </c>
      <c r="DB67">
        <v>98.916308714087137</v>
      </c>
      <c r="DC67">
        <v>99.038167844627296</v>
      </c>
      <c r="DD67">
        <v>99.115629888070018</v>
      </c>
      <c r="DE67">
        <v>99.192222485309458</v>
      </c>
      <c r="DF67">
        <v>99.298722808635134</v>
      </c>
      <c r="DG67">
        <v>99.409628002616088</v>
      </c>
      <c r="DH67">
        <v>99.514327982242193</v>
      </c>
      <c r="DI67">
        <v>99.600794965769921</v>
      </c>
      <c r="DJ67">
        <v>99.697233137895807</v>
      </c>
      <c r="DK67">
        <v>99.813956988868853</v>
      </c>
      <c r="DL67">
        <v>99.945471165690734</v>
      </c>
      <c r="DM67">
        <v>100.04865769863773</v>
      </c>
      <c r="DN67">
        <v>100.17615870121895</v>
      </c>
      <c r="DO67">
        <v>100.26508930892822</v>
      </c>
      <c r="DP67">
        <v>100.38102178370764</v>
      </c>
      <c r="DQ67">
        <v>100.49420434133835</v>
      </c>
      <c r="DR67">
        <v>100.62101145781148</v>
      </c>
      <c r="DS67">
        <v>100.73485020565147</v>
      </c>
      <c r="DT67">
        <v>100.84143702384802</v>
      </c>
      <c r="DU67">
        <v>100.93791182606633</v>
      </c>
      <c r="DV67">
        <v>101.07556717184018</v>
      </c>
      <c r="DW67">
        <v>101.20513835263485</v>
      </c>
      <c r="DX67">
        <v>101.31765754584693</v>
      </c>
      <c r="DY67">
        <v>101.43289050522718</v>
      </c>
      <c r="DZ67">
        <v>101.58912597700753</v>
      </c>
      <c r="EA67">
        <v>101.76363755998865</v>
      </c>
      <c r="EB67">
        <v>101.90440280378328</v>
      </c>
      <c r="EC67">
        <v>102.04916752656587</v>
      </c>
      <c r="ED67">
        <v>102.21410068144395</v>
      </c>
      <c r="EE67">
        <v>102.38368056120009</v>
      </c>
      <c r="EF67">
        <v>102.54441273457375</v>
      </c>
      <c r="EG67">
        <v>102.72544279428031</v>
      </c>
      <c r="EH67">
        <v>102.87722977640858</v>
      </c>
      <c r="EI67">
        <v>103.05000693271232</v>
      </c>
      <c r="EJ67">
        <v>103.18598069848984</v>
      </c>
      <c r="EK67">
        <v>103.39398173387363</v>
      </c>
      <c r="EL67">
        <v>103.63887808452459</v>
      </c>
      <c r="EM67">
        <v>103.81902278299582</v>
      </c>
      <c r="EN67">
        <v>104.00174511454088</v>
      </c>
      <c r="EO67">
        <v>104.16933514815298</v>
      </c>
      <c r="EP67">
        <v>104.37913005177266</v>
      </c>
      <c r="EQ67">
        <v>104.62580605887089</v>
      </c>
      <c r="ER67">
        <v>104.80652258136219</v>
      </c>
      <c r="ES67">
        <v>105.04003375975812</v>
      </c>
      <c r="ET67">
        <v>105.18341281963522</v>
      </c>
      <c r="EU67">
        <v>105.36589647366922</v>
      </c>
      <c r="EV67">
        <v>105.59208504774183</v>
      </c>
      <c r="EW67">
        <v>105.78226293648204</v>
      </c>
      <c r="EX67">
        <v>105.98991991646538</v>
      </c>
      <c r="EY67">
        <v>106.20115478781746</v>
      </c>
      <c r="EZ67">
        <v>106.44391034049887</v>
      </c>
      <c r="FA67">
        <v>106.67386212877663</v>
      </c>
      <c r="FB67">
        <v>106.93388067089023</v>
      </c>
      <c r="FC67">
        <v>107.13574907982459</v>
      </c>
      <c r="FD67">
        <v>107.35652378384445</v>
      </c>
      <c r="FE67">
        <v>107.62107297727734</v>
      </c>
      <c r="FF67">
        <v>107.82327160653425</v>
      </c>
      <c r="FG67">
        <v>108.02644115808478</v>
      </c>
      <c r="FH67">
        <v>108.28038560492101</v>
      </c>
      <c r="FI67">
        <v>108.52553112802791</v>
      </c>
      <c r="FJ67">
        <v>108.78834296015567</v>
      </c>
      <c r="FK67">
        <v>109.08404161014344</v>
      </c>
      <c r="FL67">
        <v>109.40780569133268</v>
      </c>
      <c r="FM67">
        <v>109.85321798537964</v>
      </c>
      <c r="FN67">
        <v>110.19254989965589</v>
      </c>
      <c r="FO67">
        <v>110.53141805163749</v>
      </c>
      <c r="FP67">
        <v>110.86105202472116</v>
      </c>
      <c r="FQ67">
        <v>111.22001343671566</v>
      </c>
      <c r="FR67">
        <v>111.61465225305065</v>
      </c>
      <c r="FS67">
        <v>112.01973420755414</v>
      </c>
      <c r="FT67">
        <v>112.54527378482933</v>
      </c>
      <c r="FU67">
        <v>112.9140948346104</v>
      </c>
      <c r="FV67">
        <v>113.37439316090182</v>
      </c>
      <c r="FW67">
        <v>113.7983093934177</v>
      </c>
      <c r="FX67">
        <v>114.44781632477259</v>
      </c>
      <c r="FY67">
        <v>114.91801915366956</v>
      </c>
      <c r="FZ67">
        <v>115.5062579925961</v>
      </c>
      <c r="GA67">
        <v>116.27880763222014</v>
      </c>
      <c r="GB67">
        <v>117.016549081965</v>
      </c>
      <c r="GC67">
        <v>117.71575710715436</v>
      </c>
      <c r="GD67">
        <v>118.48165133847152</v>
      </c>
      <c r="GE67">
        <v>119.30063096781892</v>
      </c>
      <c r="GF67">
        <v>120.12419440403502</v>
      </c>
      <c r="GG67">
        <v>121.24201263707548</v>
      </c>
      <c r="GH67">
        <v>122.31695580899164</v>
      </c>
      <c r="GI67">
        <v>123.20360765722842</v>
      </c>
      <c r="GJ67">
        <v>124.51247523568355</v>
      </c>
      <c r="GK67">
        <v>126.08152586778253</v>
      </c>
      <c r="GL67">
        <v>127.83957651214962</v>
      </c>
      <c r="GM67">
        <v>130.5802105825305</v>
      </c>
      <c r="GN67">
        <v>132.79666475737318</v>
      </c>
      <c r="GO67">
        <v>136.528543836523</v>
      </c>
      <c r="GP67">
        <v>140.88400360839066</v>
      </c>
      <c r="GQ67">
        <v>149.83212704888774</v>
      </c>
      <c r="GR67">
        <v>101.14402050464442</v>
      </c>
      <c r="GT67" s="8">
        <v>45387</v>
      </c>
      <c r="GU67">
        <v>156.30000000000001</v>
      </c>
    </row>
    <row r="68" spans="1:203" x14ac:dyDescent="0.45">
      <c r="A68">
        <v>85.301088752520471</v>
      </c>
      <c r="B68">
        <v>86.658413683931599</v>
      </c>
      <c r="C68">
        <v>87.21259894442305</v>
      </c>
      <c r="D68">
        <v>87.829452721223234</v>
      </c>
      <c r="E68">
        <v>88.199449669774538</v>
      </c>
      <c r="F68">
        <v>88.556530517699315</v>
      </c>
      <c r="G68">
        <v>88.834110583491821</v>
      </c>
      <c r="H68">
        <v>89.094325933190632</v>
      </c>
      <c r="I68">
        <v>89.41539843713538</v>
      </c>
      <c r="J68">
        <v>89.626620979489829</v>
      </c>
      <c r="K68">
        <v>89.843768111076201</v>
      </c>
      <c r="L68">
        <v>90.050000351291985</v>
      </c>
      <c r="M68">
        <v>90.226809740584315</v>
      </c>
      <c r="N68">
        <v>90.387590815888601</v>
      </c>
      <c r="O68">
        <v>90.538872713611468</v>
      </c>
      <c r="P68">
        <v>90.699904778531391</v>
      </c>
      <c r="Q68">
        <v>90.885423081315636</v>
      </c>
      <c r="R68">
        <v>90.993030238708698</v>
      </c>
      <c r="S68">
        <v>91.123111974466269</v>
      </c>
      <c r="T68">
        <v>91.274461287411725</v>
      </c>
      <c r="U68">
        <v>91.40347669575182</v>
      </c>
      <c r="V68">
        <v>91.515593973892763</v>
      </c>
      <c r="W68">
        <v>91.625318937014868</v>
      </c>
      <c r="X68">
        <v>91.72288260937799</v>
      </c>
      <c r="Y68">
        <v>91.839809873638387</v>
      </c>
      <c r="Z68">
        <v>91.960508657767093</v>
      </c>
      <c r="AA68">
        <v>92.085794333509739</v>
      </c>
      <c r="AB68">
        <v>92.200084605043102</v>
      </c>
      <c r="AC68">
        <v>92.312214688819438</v>
      </c>
      <c r="AD68">
        <v>92.416031127258265</v>
      </c>
      <c r="AE68">
        <v>92.503941817536415</v>
      </c>
      <c r="AF68">
        <v>92.606188410866864</v>
      </c>
      <c r="AG68">
        <v>92.683002336840147</v>
      </c>
      <c r="AH68">
        <v>92.762515914134624</v>
      </c>
      <c r="AI68">
        <v>92.838569670493797</v>
      </c>
      <c r="AJ68">
        <v>92.919397745720488</v>
      </c>
      <c r="AK68">
        <v>93.030101263866399</v>
      </c>
      <c r="AL68">
        <v>93.131225215124317</v>
      </c>
      <c r="AM68">
        <v>93.214475642892793</v>
      </c>
      <c r="AN68">
        <v>93.299650542932426</v>
      </c>
      <c r="AO68">
        <v>93.387711349507839</v>
      </c>
      <c r="AP68">
        <v>93.477248974257449</v>
      </c>
      <c r="AQ68">
        <v>93.535163122081812</v>
      </c>
      <c r="AR68">
        <v>93.617766400104841</v>
      </c>
      <c r="AS68">
        <v>93.695599832074279</v>
      </c>
      <c r="AT68">
        <v>93.770731560584906</v>
      </c>
      <c r="AU68">
        <v>93.852726568766371</v>
      </c>
      <c r="AV68">
        <v>93.943429404893379</v>
      </c>
      <c r="AW68">
        <v>94.015853134127454</v>
      </c>
      <c r="AX68">
        <v>94.101505687567524</v>
      </c>
      <c r="AY68">
        <v>94.202444769252438</v>
      </c>
      <c r="AZ68">
        <v>94.270194207274145</v>
      </c>
      <c r="BA68">
        <v>94.343751814276331</v>
      </c>
      <c r="BB68">
        <v>94.434565689639186</v>
      </c>
      <c r="BC68">
        <v>94.535218358200822</v>
      </c>
      <c r="BD68">
        <v>94.618093536712706</v>
      </c>
      <c r="BE68">
        <v>94.694003488283329</v>
      </c>
      <c r="BF68">
        <v>94.777043553763818</v>
      </c>
      <c r="BG68">
        <v>94.853259280028624</v>
      </c>
      <c r="BH68">
        <v>94.938871905248888</v>
      </c>
      <c r="BI68">
        <v>95.036644761861751</v>
      </c>
      <c r="BJ68">
        <v>95.112285998712849</v>
      </c>
      <c r="BK68">
        <v>95.185777477005999</v>
      </c>
      <c r="BL68">
        <v>95.264968031574</v>
      </c>
      <c r="BM68">
        <v>95.344701628710894</v>
      </c>
      <c r="BN68">
        <v>95.439502131847959</v>
      </c>
      <c r="BO68">
        <v>95.511298511004767</v>
      </c>
      <c r="BP68">
        <v>95.596042976856282</v>
      </c>
      <c r="BQ68">
        <v>95.672447630478104</v>
      </c>
      <c r="BR68">
        <v>95.749841048864354</v>
      </c>
      <c r="BS68">
        <v>95.815339901089487</v>
      </c>
      <c r="BT68">
        <v>95.902302900603445</v>
      </c>
      <c r="BU68">
        <v>95.977428901245489</v>
      </c>
      <c r="BV68">
        <v>96.046586214013757</v>
      </c>
      <c r="BW68">
        <v>96.115414512390032</v>
      </c>
      <c r="BX68">
        <v>96.178638242250244</v>
      </c>
      <c r="BY68">
        <v>96.251684870691122</v>
      </c>
      <c r="BZ68">
        <v>96.356138888059505</v>
      </c>
      <c r="CA68">
        <v>96.442045571553436</v>
      </c>
      <c r="CB68">
        <v>96.53966722296758</v>
      </c>
      <c r="CC68">
        <v>96.587172547660941</v>
      </c>
      <c r="CD68">
        <v>96.661326182234433</v>
      </c>
      <c r="CE68">
        <v>96.740932189500654</v>
      </c>
      <c r="CF68">
        <v>96.8421645882771</v>
      </c>
      <c r="CG68">
        <v>96.911222813495826</v>
      </c>
      <c r="CH68">
        <v>97.01304482181466</v>
      </c>
      <c r="CI68">
        <v>97.101204611227416</v>
      </c>
      <c r="CJ68">
        <v>97.168826187788056</v>
      </c>
      <c r="CK68">
        <v>97.28222702620269</v>
      </c>
      <c r="CL68">
        <v>97.384824792290445</v>
      </c>
      <c r="CM68">
        <v>97.470125677205687</v>
      </c>
      <c r="CN68">
        <v>97.541732851875878</v>
      </c>
      <c r="CO68">
        <v>97.625105599639539</v>
      </c>
      <c r="CP68">
        <v>97.692008947996072</v>
      </c>
      <c r="CQ68">
        <v>97.794537872091126</v>
      </c>
      <c r="CR68">
        <v>97.890564786490486</v>
      </c>
      <c r="CS68">
        <v>97.95702070743404</v>
      </c>
      <c r="CT68">
        <v>98.052488944723052</v>
      </c>
      <c r="CU68">
        <v>98.148553667351322</v>
      </c>
      <c r="CV68">
        <v>98.246801511264906</v>
      </c>
      <c r="CW68">
        <v>98.361891287085129</v>
      </c>
      <c r="CX68">
        <v>98.457729588151111</v>
      </c>
      <c r="CY68">
        <v>98.571202242309468</v>
      </c>
      <c r="CZ68">
        <v>98.673635691342923</v>
      </c>
      <c r="DA68">
        <v>98.747249632429174</v>
      </c>
      <c r="DB68">
        <v>98.840977459276331</v>
      </c>
      <c r="DC68">
        <v>98.937249214149105</v>
      </c>
      <c r="DD68">
        <v>99.046227470562158</v>
      </c>
      <c r="DE68">
        <v>99.139192347717682</v>
      </c>
      <c r="DF68">
        <v>99.234625839932718</v>
      </c>
      <c r="DG68">
        <v>99.325971244092742</v>
      </c>
      <c r="DH68">
        <v>99.417416698386475</v>
      </c>
      <c r="DI68">
        <v>99.519745308625673</v>
      </c>
      <c r="DJ68">
        <v>99.650321257647477</v>
      </c>
      <c r="DK68">
        <v>99.76921368496788</v>
      </c>
      <c r="DL68">
        <v>99.880066666658536</v>
      </c>
      <c r="DM68">
        <v>100.00222231579752</v>
      </c>
      <c r="DN68">
        <v>100.12570492766297</v>
      </c>
      <c r="DO68">
        <v>100.24863976389992</v>
      </c>
      <c r="DP68">
        <v>100.37163229593439</v>
      </c>
      <c r="DQ68">
        <v>100.47538669575246</v>
      </c>
      <c r="DR68">
        <v>100.6140276162027</v>
      </c>
      <c r="DS68">
        <v>100.7283334164761</v>
      </c>
      <c r="DT68">
        <v>100.87296222941212</v>
      </c>
      <c r="DU68">
        <v>100.99180767529525</v>
      </c>
      <c r="DV68">
        <v>101.10446291940517</v>
      </c>
      <c r="DW68">
        <v>101.21270466511844</v>
      </c>
      <c r="DX68">
        <v>101.32521045036168</v>
      </c>
      <c r="DY68">
        <v>101.46131213602038</v>
      </c>
      <c r="DZ68">
        <v>101.61284343004388</v>
      </c>
      <c r="EA68">
        <v>101.76466664314239</v>
      </c>
      <c r="EB68">
        <v>101.92701722855678</v>
      </c>
      <c r="EC68">
        <v>102.07387421584414</v>
      </c>
      <c r="ED68">
        <v>102.22542196665653</v>
      </c>
      <c r="EE68">
        <v>102.37963610305196</v>
      </c>
      <c r="EF68">
        <v>102.55965230371</v>
      </c>
      <c r="EG68">
        <v>102.70092637002436</v>
      </c>
      <c r="EH68">
        <v>102.88659129449645</v>
      </c>
      <c r="EI68">
        <v>103.05673595300766</v>
      </c>
      <c r="EJ68">
        <v>103.23505461240283</v>
      </c>
      <c r="EK68">
        <v>103.41464369630664</v>
      </c>
      <c r="EL68">
        <v>103.62387628562792</v>
      </c>
      <c r="EM68">
        <v>103.8189378534358</v>
      </c>
      <c r="EN68">
        <v>104.01353462164367</v>
      </c>
      <c r="EO68">
        <v>104.19053617444231</v>
      </c>
      <c r="EP68">
        <v>104.40247373090895</v>
      </c>
      <c r="EQ68">
        <v>104.59752870081623</v>
      </c>
      <c r="ER68">
        <v>104.8037792205081</v>
      </c>
      <c r="ES68">
        <v>105.01175814148077</v>
      </c>
      <c r="ET68">
        <v>105.22049533261199</v>
      </c>
      <c r="EU68">
        <v>105.41926465236243</v>
      </c>
      <c r="EV68">
        <v>105.62890894053074</v>
      </c>
      <c r="EW68">
        <v>105.81810791453999</v>
      </c>
      <c r="EX68">
        <v>106.02626946875179</v>
      </c>
      <c r="EY68">
        <v>106.19165700514648</v>
      </c>
      <c r="EZ68">
        <v>106.38203318374352</v>
      </c>
      <c r="FA68">
        <v>106.61935180621212</v>
      </c>
      <c r="FB68">
        <v>106.78609199334402</v>
      </c>
      <c r="FC68">
        <v>107.03338218369015</v>
      </c>
      <c r="FD68">
        <v>107.28651898449992</v>
      </c>
      <c r="FE68">
        <v>107.50894881296432</v>
      </c>
      <c r="FF68">
        <v>107.75385893138319</v>
      </c>
      <c r="FG68">
        <v>108.00671764027977</v>
      </c>
      <c r="FH68">
        <v>108.26581318259825</v>
      </c>
      <c r="FI68">
        <v>108.57367359172125</v>
      </c>
      <c r="FJ68">
        <v>108.88442308865729</v>
      </c>
      <c r="FK68">
        <v>109.2335677704496</v>
      </c>
      <c r="FL68">
        <v>109.55004436781221</v>
      </c>
      <c r="FM68">
        <v>109.89420881576713</v>
      </c>
      <c r="FN68">
        <v>110.21093578152377</v>
      </c>
      <c r="FO68">
        <v>110.50924135672179</v>
      </c>
      <c r="FP68">
        <v>110.90528366746555</v>
      </c>
      <c r="FQ68">
        <v>111.28643625735805</v>
      </c>
      <c r="FR68">
        <v>111.69022300231744</v>
      </c>
      <c r="FS68">
        <v>112.00660328464565</v>
      </c>
      <c r="FT68">
        <v>112.43487238651227</v>
      </c>
      <c r="FU68">
        <v>112.85481272003477</v>
      </c>
      <c r="FV68">
        <v>113.37382354843773</v>
      </c>
      <c r="FW68">
        <v>114.03168473174283</v>
      </c>
      <c r="FX68">
        <v>114.49133489277349</v>
      </c>
      <c r="FY68">
        <v>115.11130885086665</v>
      </c>
      <c r="FZ68">
        <v>115.65938135248301</v>
      </c>
      <c r="GA68">
        <v>116.13454491868809</v>
      </c>
      <c r="GB68">
        <v>116.68933249253375</v>
      </c>
      <c r="GC68">
        <v>117.47397328555869</v>
      </c>
      <c r="GD68">
        <v>118.37477283943494</v>
      </c>
      <c r="GE68">
        <v>119.26942781146855</v>
      </c>
      <c r="GF68">
        <v>120.28322872380001</v>
      </c>
      <c r="GG68">
        <v>121.23386856994314</v>
      </c>
      <c r="GH68">
        <v>122.32149250723883</v>
      </c>
      <c r="GI68">
        <v>123.35810268407967</v>
      </c>
      <c r="GJ68">
        <v>124.79221923091545</v>
      </c>
      <c r="GK68">
        <v>126.27431095256478</v>
      </c>
      <c r="GL68">
        <v>128.07425178284277</v>
      </c>
      <c r="GM68">
        <v>130.1103116800783</v>
      </c>
      <c r="GN68">
        <v>133.14954393242641</v>
      </c>
      <c r="GO68">
        <v>137.07923205720093</v>
      </c>
      <c r="GP68">
        <v>141.44425393557802</v>
      </c>
      <c r="GQ68">
        <v>150.30535133720232</v>
      </c>
      <c r="GR68">
        <v>101.12242673082275</v>
      </c>
      <c r="GT68" s="8">
        <v>45390</v>
      </c>
      <c r="GU68">
        <v>156.52000000000001</v>
      </c>
    </row>
    <row r="69" spans="1:203" x14ac:dyDescent="0.45">
      <c r="A69">
        <v>85.198107673569936</v>
      </c>
      <c r="B69">
        <v>86.537108350548635</v>
      </c>
      <c r="C69">
        <v>87.330531156452025</v>
      </c>
      <c r="D69">
        <v>87.829205507091615</v>
      </c>
      <c r="E69">
        <v>88.195685426173185</v>
      </c>
      <c r="F69">
        <v>88.485531601866285</v>
      </c>
      <c r="G69">
        <v>88.764563214707067</v>
      </c>
      <c r="H69">
        <v>89.027711477798903</v>
      </c>
      <c r="I69">
        <v>89.338914069254727</v>
      </c>
      <c r="J69">
        <v>89.589259497669985</v>
      </c>
      <c r="K69">
        <v>89.811316394082269</v>
      </c>
      <c r="L69">
        <v>89.98806281521604</v>
      </c>
      <c r="M69">
        <v>90.169952204135328</v>
      </c>
      <c r="N69">
        <v>90.325473537006133</v>
      </c>
      <c r="O69">
        <v>90.486299838337629</v>
      </c>
      <c r="P69">
        <v>90.643541808003079</v>
      </c>
      <c r="Q69">
        <v>90.790184276855328</v>
      </c>
      <c r="R69">
        <v>90.928558589285032</v>
      </c>
      <c r="S69">
        <v>91.065173739783134</v>
      </c>
      <c r="T69">
        <v>91.218571141969349</v>
      </c>
      <c r="U69">
        <v>91.353822993917348</v>
      </c>
      <c r="V69">
        <v>91.481781113871733</v>
      </c>
      <c r="W69">
        <v>91.618263523827764</v>
      </c>
      <c r="X69">
        <v>91.715084930068741</v>
      </c>
      <c r="Y69">
        <v>91.819479093591781</v>
      </c>
      <c r="Z69">
        <v>91.908616928938756</v>
      </c>
      <c r="AA69">
        <v>91.998708479368773</v>
      </c>
      <c r="AB69">
        <v>92.118269910717075</v>
      </c>
      <c r="AC69">
        <v>92.236811272038267</v>
      </c>
      <c r="AD69">
        <v>92.345685168828552</v>
      </c>
      <c r="AE69">
        <v>92.439195575356905</v>
      </c>
      <c r="AF69">
        <v>92.52530156244184</v>
      </c>
      <c r="AG69">
        <v>92.601278015225489</v>
      </c>
      <c r="AH69">
        <v>92.70750731573375</v>
      </c>
      <c r="AI69">
        <v>92.809018488610533</v>
      </c>
      <c r="AJ69">
        <v>92.878844244255205</v>
      </c>
      <c r="AK69">
        <v>92.983251369734688</v>
      </c>
      <c r="AL69">
        <v>93.086403400885999</v>
      </c>
      <c r="AM69">
        <v>93.17771962497838</v>
      </c>
      <c r="AN69">
        <v>93.283731135684917</v>
      </c>
      <c r="AO69">
        <v>93.382686446095789</v>
      </c>
      <c r="AP69">
        <v>93.452101840148543</v>
      </c>
      <c r="AQ69">
        <v>93.543306751954574</v>
      </c>
      <c r="AR69">
        <v>93.624733688392141</v>
      </c>
      <c r="AS69">
        <v>93.715211941019206</v>
      </c>
      <c r="AT69">
        <v>93.802321356556916</v>
      </c>
      <c r="AU69">
        <v>93.885921836230622</v>
      </c>
      <c r="AV69">
        <v>93.953655045100732</v>
      </c>
      <c r="AW69">
        <v>94.028554772654999</v>
      </c>
      <c r="AX69">
        <v>94.10354592935137</v>
      </c>
      <c r="AY69">
        <v>94.202053533903808</v>
      </c>
      <c r="AZ69">
        <v>94.266410523586899</v>
      </c>
      <c r="BA69">
        <v>94.348292368275395</v>
      </c>
      <c r="BB69">
        <v>94.420176889464088</v>
      </c>
      <c r="BC69">
        <v>94.506686568993928</v>
      </c>
      <c r="BD69">
        <v>94.609345003801977</v>
      </c>
      <c r="BE69">
        <v>94.689036440072812</v>
      </c>
      <c r="BF69">
        <v>94.781856028286754</v>
      </c>
      <c r="BG69">
        <v>94.855403599898978</v>
      </c>
      <c r="BH69">
        <v>94.94010673172501</v>
      </c>
      <c r="BI69">
        <v>95.019228165604176</v>
      </c>
      <c r="BJ69">
        <v>95.105891192795951</v>
      </c>
      <c r="BK69">
        <v>95.179893952438348</v>
      </c>
      <c r="BL69">
        <v>95.263744945398969</v>
      </c>
      <c r="BM69">
        <v>95.344482264049532</v>
      </c>
      <c r="BN69">
        <v>95.446012568383068</v>
      </c>
      <c r="BO69">
        <v>95.514525101954447</v>
      </c>
      <c r="BP69">
        <v>95.591993720916932</v>
      </c>
      <c r="BQ69">
        <v>95.660207984122252</v>
      </c>
      <c r="BR69">
        <v>95.721930333555008</v>
      </c>
      <c r="BS69">
        <v>95.782658740613982</v>
      </c>
      <c r="BT69">
        <v>95.859679566768051</v>
      </c>
      <c r="BU69">
        <v>95.92796518896823</v>
      </c>
      <c r="BV69">
        <v>96.004687914164819</v>
      </c>
      <c r="BW69">
        <v>96.064664702436318</v>
      </c>
      <c r="BX69">
        <v>96.141446884633368</v>
      </c>
      <c r="BY69">
        <v>96.228664801529163</v>
      </c>
      <c r="BZ69">
        <v>96.308729706952377</v>
      </c>
      <c r="CA69">
        <v>96.40851272636371</v>
      </c>
      <c r="CB69">
        <v>96.490580018329808</v>
      </c>
      <c r="CC69">
        <v>96.581820896888686</v>
      </c>
      <c r="CD69">
        <v>96.674814064683744</v>
      </c>
      <c r="CE69">
        <v>96.757909878383529</v>
      </c>
      <c r="CF69">
        <v>96.850707923569232</v>
      </c>
      <c r="CG69">
        <v>96.93467579926002</v>
      </c>
      <c r="CH69">
        <v>97.01253781243976</v>
      </c>
      <c r="CI69">
        <v>97.072805912374733</v>
      </c>
      <c r="CJ69">
        <v>97.160793073047202</v>
      </c>
      <c r="CK69">
        <v>97.2414688089778</v>
      </c>
      <c r="CL69">
        <v>97.326546788577389</v>
      </c>
      <c r="CM69">
        <v>97.412900069297919</v>
      </c>
      <c r="CN69">
        <v>97.499645778713244</v>
      </c>
      <c r="CO69">
        <v>97.603074649092889</v>
      </c>
      <c r="CP69">
        <v>97.697540779656592</v>
      </c>
      <c r="CQ69">
        <v>97.786493637154138</v>
      </c>
      <c r="CR69">
        <v>97.876412168403675</v>
      </c>
      <c r="CS69">
        <v>97.974421498385979</v>
      </c>
      <c r="CT69">
        <v>98.073412040089991</v>
      </c>
      <c r="CU69">
        <v>98.185808647907393</v>
      </c>
      <c r="CV69">
        <v>98.269945273994466</v>
      </c>
      <c r="CW69">
        <v>98.364152839547785</v>
      </c>
      <c r="CX69">
        <v>98.472479447404027</v>
      </c>
      <c r="CY69">
        <v>98.562890796064409</v>
      </c>
      <c r="CZ69">
        <v>98.656433211235978</v>
      </c>
      <c r="DA69">
        <v>98.74340688559225</v>
      </c>
      <c r="DB69">
        <v>98.835508271305315</v>
      </c>
      <c r="DC69">
        <v>98.938005834320435</v>
      </c>
      <c r="DD69">
        <v>99.068523533036569</v>
      </c>
      <c r="DE69">
        <v>99.169209243508931</v>
      </c>
      <c r="DF69">
        <v>99.252149880615193</v>
      </c>
      <c r="DG69">
        <v>99.369166107983702</v>
      </c>
      <c r="DH69">
        <v>99.48781249864038</v>
      </c>
      <c r="DI69">
        <v>99.611460287348109</v>
      </c>
      <c r="DJ69">
        <v>99.714086441042994</v>
      </c>
      <c r="DK69">
        <v>99.831882799342409</v>
      </c>
      <c r="DL69">
        <v>99.924829031026803</v>
      </c>
      <c r="DM69">
        <v>100.02558161097713</v>
      </c>
      <c r="DN69">
        <v>100.12758499654115</v>
      </c>
      <c r="DO69">
        <v>100.23215378416592</v>
      </c>
      <c r="DP69">
        <v>100.35519741232324</v>
      </c>
      <c r="DQ69">
        <v>100.48054778242971</v>
      </c>
      <c r="DR69">
        <v>100.59720569053458</v>
      </c>
      <c r="DS69">
        <v>100.72934813056857</v>
      </c>
      <c r="DT69">
        <v>100.85231402520097</v>
      </c>
      <c r="DU69">
        <v>100.99994568622074</v>
      </c>
      <c r="DV69">
        <v>101.12413763497575</v>
      </c>
      <c r="DW69">
        <v>101.26339049282672</v>
      </c>
      <c r="DX69">
        <v>101.39667270903801</v>
      </c>
      <c r="DY69">
        <v>101.51509976268606</v>
      </c>
      <c r="DZ69">
        <v>101.66555801696492</v>
      </c>
      <c r="EA69">
        <v>101.8078530720838</v>
      </c>
      <c r="EB69">
        <v>101.91947069972207</v>
      </c>
      <c r="EC69">
        <v>102.08084433997973</v>
      </c>
      <c r="ED69">
        <v>102.22519191632506</v>
      </c>
      <c r="EE69">
        <v>102.43606928963695</v>
      </c>
      <c r="EF69">
        <v>102.59821057531627</v>
      </c>
      <c r="EG69">
        <v>102.74836430737663</v>
      </c>
      <c r="EH69">
        <v>102.90904426287548</v>
      </c>
      <c r="EI69">
        <v>103.09468475853508</v>
      </c>
      <c r="EJ69">
        <v>103.29263728951861</v>
      </c>
      <c r="EK69">
        <v>103.49408927447867</v>
      </c>
      <c r="EL69">
        <v>103.66029708981453</v>
      </c>
      <c r="EM69">
        <v>103.88009320895047</v>
      </c>
      <c r="EN69">
        <v>104.06289621995079</v>
      </c>
      <c r="EO69">
        <v>104.22144227655112</v>
      </c>
      <c r="EP69">
        <v>104.36992574698475</v>
      </c>
      <c r="EQ69">
        <v>104.58139379069874</v>
      </c>
      <c r="ER69">
        <v>104.78456519565832</v>
      </c>
      <c r="ES69">
        <v>104.96833827448137</v>
      </c>
      <c r="ET69">
        <v>105.20177960202351</v>
      </c>
      <c r="EU69">
        <v>105.40139745024649</v>
      </c>
      <c r="EV69">
        <v>105.57005816508503</v>
      </c>
      <c r="EW69">
        <v>105.83823124655082</v>
      </c>
      <c r="EX69">
        <v>106.0862234813863</v>
      </c>
      <c r="EY69">
        <v>106.26870046596933</v>
      </c>
      <c r="EZ69">
        <v>106.47578098207356</v>
      </c>
      <c r="FA69">
        <v>106.66990766473857</v>
      </c>
      <c r="FB69">
        <v>106.88902011910956</v>
      </c>
      <c r="FC69">
        <v>107.13740936558352</v>
      </c>
      <c r="FD69">
        <v>107.35364409745321</v>
      </c>
      <c r="FE69">
        <v>107.58785732597734</v>
      </c>
      <c r="FF69">
        <v>107.87006318197508</v>
      </c>
      <c r="FG69">
        <v>108.12580890810581</v>
      </c>
      <c r="FH69">
        <v>108.40992463673196</v>
      </c>
      <c r="FI69">
        <v>108.62947320420588</v>
      </c>
      <c r="FJ69">
        <v>109.02975933913611</v>
      </c>
      <c r="FK69">
        <v>109.35365587379161</v>
      </c>
      <c r="FL69">
        <v>109.65922622704478</v>
      </c>
      <c r="FM69">
        <v>109.90111710810054</v>
      </c>
      <c r="FN69">
        <v>110.18229600187561</v>
      </c>
      <c r="FO69">
        <v>110.53751535103873</v>
      </c>
      <c r="FP69">
        <v>110.9596505064038</v>
      </c>
      <c r="FQ69">
        <v>111.31242049713117</v>
      </c>
      <c r="FR69">
        <v>111.7367853985064</v>
      </c>
      <c r="FS69">
        <v>112.16176874564341</v>
      </c>
      <c r="FT69">
        <v>112.59008925012657</v>
      </c>
      <c r="FU69">
        <v>113.02110461654114</v>
      </c>
      <c r="FV69">
        <v>113.60714889383821</v>
      </c>
      <c r="FW69">
        <v>114.00447631231798</v>
      </c>
      <c r="FX69">
        <v>114.62046786091402</v>
      </c>
      <c r="FY69">
        <v>115.16021854794738</v>
      </c>
      <c r="FZ69">
        <v>115.68063199994397</v>
      </c>
      <c r="GA69">
        <v>116.34388343700921</v>
      </c>
      <c r="GB69">
        <v>116.84780852108806</v>
      </c>
      <c r="GC69">
        <v>117.55170131674458</v>
      </c>
      <c r="GD69">
        <v>118.23609491526375</v>
      </c>
      <c r="GE69">
        <v>119.23078520988551</v>
      </c>
      <c r="GF69">
        <v>120.05962360442518</v>
      </c>
      <c r="GG69">
        <v>121.03961605023007</v>
      </c>
      <c r="GH69">
        <v>122.39817860354979</v>
      </c>
      <c r="GI69">
        <v>123.65176267724077</v>
      </c>
      <c r="GJ69">
        <v>125.15570439327539</v>
      </c>
      <c r="GK69">
        <v>126.54150484499753</v>
      </c>
      <c r="GL69">
        <v>128.26686807114612</v>
      </c>
      <c r="GM69">
        <v>130.52460682474239</v>
      </c>
      <c r="GN69">
        <v>133.63887491518787</v>
      </c>
      <c r="GO69">
        <v>137.24546804364417</v>
      </c>
      <c r="GP69">
        <v>141.30746874171311</v>
      </c>
      <c r="GQ69">
        <v>151.45011411120387</v>
      </c>
      <c r="GR69">
        <v>101.14038708080018</v>
      </c>
      <c r="GT69" s="8">
        <v>45391</v>
      </c>
      <c r="GU69">
        <v>154.49</v>
      </c>
    </row>
    <row r="70" spans="1:203" x14ac:dyDescent="0.45">
      <c r="A70">
        <v>84.953975995111762</v>
      </c>
      <c r="B70">
        <v>86.473270440122377</v>
      </c>
      <c r="C70">
        <v>87.265715518127479</v>
      </c>
      <c r="D70">
        <v>87.767190627134383</v>
      </c>
      <c r="E70">
        <v>88.108267244732005</v>
      </c>
      <c r="F70">
        <v>88.489104862177413</v>
      </c>
      <c r="G70">
        <v>88.788845285554288</v>
      </c>
      <c r="H70">
        <v>89.032714946741891</v>
      </c>
      <c r="I70">
        <v>89.237142314360867</v>
      </c>
      <c r="J70">
        <v>89.438786629757331</v>
      </c>
      <c r="K70">
        <v>89.727235844035945</v>
      </c>
      <c r="L70">
        <v>89.922211355778103</v>
      </c>
      <c r="M70">
        <v>90.102437263123448</v>
      </c>
      <c r="N70">
        <v>90.277262280998855</v>
      </c>
      <c r="O70">
        <v>90.472404577864836</v>
      </c>
      <c r="P70">
        <v>90.618108202963526</v>
      </c>
      <c r="Q70">
        <v>90.795730810114506</v>
      </c>
      <c r="R70">
        <v>90.9411286416086</v>
      </c>
      <c r="S70">
        <v>91.072444623807243</v>
      </c>
      <c r="T70">
        <v>91.23277070078295</v>
      </c>
      <c r="U70">
        <v>91.382353594105794</v>
      </c>
      <c r="V70">
        <v>91.47771544423334</v>
      </c>
      <c r="W70">
        <v>91.584777830326587</v>
      </c>
      <c r="X70">
        <v>91.709363371153742</v>
      </c>
      <c r="Y70">
        <v>91.814060420007053</v>
      </c>
      <c r="Z70">
        <v>91.91427428491113</v>
      </c>
      <c r="AA70">
        <v>91.996656688363572</v>
      </c>
      <c r="AB70">
        <v>92.111453004259332</v>
      </c>
      <c r="AC70">
        <v>92.196120320001825</v>
      </c>
      <c r="AD70">
        <v>92.296692560639059</v>
      </c>
      <c r="AE70">
        <v>92.385479732408967</v>
      </c>
      <c r="AF70">
        <v>92.488116257476946</v>
      </c>
      <c r="AG70">
        <v>92.587536844956148</v>
      </c>
      <c r="AH70">
        <v>92.681264023906493</v>
      </c>
      <c r="AI70">
        <v>92.751508540638341</v>
      </c>
      <c r="AJ70">
        <v>92.859284758797287</v>
      </c>
      <c r="AK70">
        <v>92.955871781401385</v>
      </c>
      <c r="AL70">
        <v>93.051859697459534</v>
      </c>
      <c r="AM70">
        <v>93.125878823054379</v>
      </c>
      <c r="AN70">
        <v>93.21440100228142</v>
      </c>
      <c r="AO70">
        <v>93.301131291588774</v>
      </c>
      <c r="AP70">
        <v>93.400878001638745</v>
      </c>
      <c r="AQ70">
        <v>93.495605453649077</v>
      </c>
      <c r="AR70">
        <v>93.548923755648886</v>
      </c>
      <c r="AS70">
        <v>93.625101789675227</v>
      </c>
      <c r="AT70">
        <v>93.714647426231508</v>
      </c>
      <c r="AU70">
        <v>93.798819802136734</v>
      </c>
      <c r="AV70">
        <v>93.899203388431928</v>
      </c>
      <c r="AW70">
        <v>93.959054262777073</v>
      </c>
      <c r="AX70">
        <v>94.028256660414499</v>
      </c>
      <c r="AY70">
        <v>94.109225285028828</v>
      </c>
      <c r="AZ70">
        <v>94.218981770324604</v>
      </c>
      <c r="BA70">
        <v>94.29727240741154</v>
      </c>
      <c r="BB70">
        <v>94.36765071704545</v>
      </c>
      <c r="BC70">
        <v>94.453340871535175</v>
      </c>
      <c r="BD70">
        <v>94.542104635446208</v>
      </c>
      <c r="BE70">
        <v>94.612916288732393</v>
      </c>
      <c r="BF70">
        <v>94.687740615512013</v>
      </c>
      <c r="BG70">
        <v>94.786381757157613</v>
      </c>
      <c r="BH70">
        <v>94.868031173703542</v>
      </c>
      <c r="BI70">
        <v>94.962119421475322</v>
      </c>
      <c r="BJ70">
        <v>95.037250283338622</v>
      </c>
      <c r="BK70">
        <v>95.115817358240506</v>
      </c>
      <c r="BL70">
        <v>95.19507922078671</v>
      </c>
      <c r="BM70">
        <v>95.284609190424618</v>
      </c>
      <c r="BN70">
        <v>95.368799549703098</v>
      </c>
      <c r="BO70">
        <v>95.457225194190315</v>
      </c>
      <c r="BP70">
        <v>95.544606524148165</v>
      </c>
      <c r="BQ70">
        <v>95.635609829702318</v>
      </c>
      <c r="BR70">
        <v>95.687723274735447</v>
      </c>
      <c r="BS70">
        <v>95.770052027087786</v>
      </c>
      <c r="BT70">
        <v>95.84141424552071</v>
      </c>
      <c r="BU70">
        <v>95.924081794821305</v>
      </c>
      <c r="BV70">
        <v>95.979524388129775</v>
      </c>
      <c r="BW70">
        <v>96.044270385350075</v>
      </c>
      <c r="BX70">
        <v>96.130822523930703</v>
      </c>
      <c r="BY70">
        <v>96.206462971197951</v>
      </c>
      <c r="BZ70">
        <v>96.304428941561696</v>
      </c>
      <c r="CA70">
        <v>96.384057763009068</v>
      </c>
      <c r="CB70">
        <v>96.459423952337474</v>
      </c>
      <c r="CC70">
        <v>96.543075751571038</v>
      </c>
      <c r="CD70">
        <v>96.629127704007558</v>
      </c>
      <c r="CE70">
        <v>96.697080953009561</v>
      </c>
      <c r="CF70">
        <v>96.774016783590497</v>
      </c>
      <c r="CG70">
        <v>96.842577953800941</v>
      </c>
      <c r="CH70">
        <v>96.955719973565124</v>
      </c>
      <c r="CI70">
        <v>97.038173648429364</v>
      </c>
      <c r="CJ70">
        <v>97.124197513857496</v>
      </c>
      <c r="CK70">
        <v>97.201347945849633</v>
      </c>
      <c r="CL70">
        <v>97.296372268245818</v>
      </c>
      <c r="CM70">
        <v>97.399853948773284</v>
      </c>
      <c r="CN70">
        <v>97.48390590553015</v>
      </c>
      <c r="CO70">
        <v>97.571145196824631</v>
      </c>
      <c r="CP70">
        <v>97.688284861593303</v>
      </c>
      <c r="CQ70">
        <v>97.772074919131541</v>
      </c>
      <c r="CR70">
        <v>97.864847297603859</v>
      </c>
      <c r="CS70">
        <v>97.968820990553297</v>
      </c>
      <c r="CT70">
        <v>98.059460118470184</v>
      </c>
      <c r="CU70">
        <v>98.170768972361813</v>
      </c>
      <c r="CV70">
        <v>98.284541231881406</v>
      </c>
      <c r="CW70">
        <v>98.383703560604417</v>
      </c>
      <c r="CX70">
        <v>98.472269345936652</v>
      </c>
      <c r="CY70">
        <v>98.586158563475522</v>
      </c>
      <c r="CZ70">
        <v>98.704185724960993</v>
      </c>
      <c r="DA70">
        <v>98.811782457310244</v>
      </c>
      <c r="DB70">
        <v>98.926899172044671</v>
      </c>
      <c r="DC70">
        <v>98.99704108176266</v>
      </c>
      <c r="DD70">
        <v>99.111152456228794</v>
      </c>
      <c r="DE70">
        <v>99.211025329246553</v>
      </c>
      <c r="DF70">
        <v>99.327784129951141</v>
      </c>
      <c r="DG70">
        <v>99.438630154764837</v>
      </c>
      <c r="DH70">
        <v>99.556269485856149</v>
      </c>
      <c r="DI70">
        <v>99.674638006283132</v>
      </c>
      <c r="DJ70">
        <v>99.787282047564986</v>
      </c>
      <c r="DK70">
        <v>99.896109823939426</v>
      </c>
      <c r="DL70">
        <v>100.02247631581541</v>
      </c>
      <c r="DM70">
        <v>100.13498493254225</v>
      </c>
      <c r="DN70">
        <v>100.23059857827059</v>
      </c>
      <c r="DO70">
        <v>100.34077421477261</v>
      </c>
      <c r="DP70">
        <v>100.47449680097515</v>
      </c>
      <c r="DQ70">
        <v>100.57716984086247</v>
      </c>
      <c r="DR70">
        <v>100.68879756268376</v>
      </c>
      <c r="DS70">
        <v>100.82803122601923</v>
      </c>
      <c r="DT70">
        <v>100.95298218250392</v>
      </c>
      <c r="DU70">
        <v>101.08691837860616</v>
      </c>
      <c r="DV70">
        <v>101.22476428095486</v>
      </c>
      <c r="DW70">
        <v>101.38981369348988</v>
      </c>
      <c r="DX70">
        <v>101.54180480432878</v>
      </c>
      <c r="DY70">
        <v>101.67115238580513</v>
      </c>
      <c r="DZ70">
        <v>101.79888528878831</v>
      </c>
      <c r="EA70">
        <v>101.92087820813492</v>
      </c>
      <c r="EB70">
        <v>102.06884775964814</v>
      </c>
      <c r="EC70">
        <v>102.24889353474484</v>
      </c>
      <c r="ED70">
        <v>102.40117138960672</v>
      </c>
      <c r="EE70">
        <v>102.57129388145124</v>
      </c>
      <c r="EF70">
        <v>102.689391439361</v>
      </c>
      <c r="EG70">
        <v>102.84502102492755</v>
      </c>
      <c r="EH70">
        <v>103.00243230342051</v>
      </c>
      <c r="EI70">
        <v>103.18506044069257</v>
      </c>
      <c r="EJ70">
        <v>103.30154295514618</v>
      </c>
      <c r="EK70">
        <v>103.44519158264782</v>
      </c>
      <c r="EL70">
        <v>103.62699266616258</v>
      </c>
      <c r="EM70">
        <v>103.81322745748322</v>
      </c>
      <c r="EN70">
        <v>104.03523230635459</v>
      </c>
      <c r="EO70">
        <v>104.20344337330376</v>
      </c>
      <c r="EP70">
        <v>104.42667163303939</v>
      </c>
      <c r="EQ70">
        <v>104.61315886215549</v>
      </c>
      <c r="ER70">
        <v>104.81646037695465</v>
      </c>
      <c r="ES70">
        <v>105.01895467378102</v>
      </c>
      <c r="ET70">
        <v>105.24323310312668</v>
      </c>
      <c r="EU70">
        <v>105.47863499576361</v>
      </c>
      <c r="EV70">
        <v>105.67777380398825</v>
      </c>
      <c r="EW70">
        <v>105.87139235641393</v>
      </c>
      <c r="EX70">
        <v>106.09093043434581</v>
      </c>
      <c r="EY70">
        <v>106.31067464685228</v>
      </c>
      <c r="EZ70">
        <v>106.51297921588872</v>
      </c>
      <c r="FA70">
        <v>106.69815545506498</v>
      </c>
      <c r="FB70">
        <v>106.95461816276138</v>
      </c>
      <c r="FC70">
        <v>107.18158421266196</v>
      </c>
      <c r="FD70">
        <v>107.36012964771371</v>
      </c>
      <c r="FE70">
        <v>107.60606142484612</v>
      </c>
      <c r="FF70">
        <v>107.84712926279256</v>
      </c>
      <c r="FG70">
        <v>108.13100459572121</v>
      </c>
      <c r="FH70">
        <v>108.35317513132186</v>
      </c>
      <c r="FI70">
        <v>108.60737679048468</v>
      </c>
      <c r="FJ70">
        <v>108.87906553539371</v>
      </c>
      <c r="FK70">
        <v>109.18554125644587</v>
      </c>
      <c r="FL70">
        <v>109.43985324039963</v>
      </c>
      <c r="FM70">
        <v>109.83278743694525</v>
      </c>
      <c r="FN70">
        <v>110.25459189529877</v>
      </c>
      <c r="FO70">
        <v>110.64079182999144</v>
      </c>
      <c r="FP70">
        <v>110.98439376140264</v>
      </c>
      <c r="FQ70">
        <v>111.37012888838453</v>
      </c>
      <c r="FR70">
        <v>111.77160539159662</v>
      </c>
      <c r="FS70">
        <v>112.21954111546627</v>
      </c>
      <c r="FT70">
        <v>112.74998765329121</v>
      </c>
      <c r="FU70">
        <v>113.12327184140956</v>
      </c>
      <c r="FV70">
        <v>113.64996496998293</v>
      </c>
      <c r="FW70">
        <v>114.09476033112013</v>
      </c>
      <c r="FX70">
        <v>114.63461041919615</v>
      </c>
      <c r="FY70">
        <v>115.16369011299838</v>
      </c>
      <c r="FZ70">
        <v>115.70332573943294</v>
      </c>
      <c r="GA70">
        <v>116.40901512478497</v>
      </c>
      <c r="GB70">
        <v>117.10143432807558</v>
      </c>
      <c r="GC70">
        <v>117.72425596197832</v>
      </c>
      <c r="GD70">
        <v>118.41522732934811</v>
      </c>
      <c r="GE70">
        <v>119.30111028925043</v>
      </c>
      <c r="GF70">
        <v>120.32679431304113</v>
      </c>
      <c r="GG70">
        <v>121.18892889788792</v>
      </c>
      <c r="GH70">
        <v>122.24885118865559</v>
      </c>
      <c r="GI70">
        <v>124.01232322364143</v>
      </c>
      <c r="GJ70">
        <v>125.09553579427094</v>
      </c>
      <c r="GK70">
        <v>126.44182652937093</v>
      </c>
      <c r="GL70">
        <v>128.53198148374932</v>
      </c>
      <c r="GM70">
        <v>131.12473814311014</v>
      </c>
      <c r="GN70">
        <v>134.19472540038444</v>
      </c>
      <c r="GO70">
        <v>137.49535764876012</v>
      </c>
      <c r="GP70">
        <v>141.4658576292357</v>
      </c>
      <c r="GQ70">
        <v>150.79256917325506</v>
      </c>
      <c r="GR70">
        <v>101.15510267197442</v>
      </c>
      <c r="GT70" s="8">
        <v>45392</v>
      </c>
      <c r="GU70">
        <v>156.61000000000001</v>
      </c>
    </row>
    <row r="71" spans="1:203" x14ac:dyDescent="0.45">
      <c r="A71">
        <v>85.020820816950817</v>
      </c>
      <c r="B71">
        <v>86.451785874351955</v>
      </c>
      <c r="C71">
        <v>87.144035461630267</v>
      </c>
      <c r="D71">
        <v>87.669355181819853</v>
      </c>
      <c r="E71">
        <v>88.041273509356031</v>
      </c>
      <c r="F71">
        <v>88.348556973951105</v>
      </c>
      <c r="G71">
        <v>88.712388503972576</v>
      </c>
      <c r="H71">
        <v>89.013711101542739</v>
      </c>
      <c r="I71">
        <v>89.220110023871669</v>
      </c>
      <c r="J71">
        <v>89.464969822824514</v>
      </c>
      <c r="K71">
        <v>89.701278789333657</v>
      </c>
      <c r="L71">
        <v>89.921878184644385</v>
      </c>
      <c r="M71">
        <v>90.145242974172035</v>
      </c>
      <c r="N71">
        <v>90.285703429597248</v>
      </c>
      <c r="O71">
        <v>90.45906050705058</v>
      </c>
      <c r="P71">
        <v>90.633050975131127</v>
      </c>
      <c r="Q71">
        <v>90.761323343303914</v>
      </c>
      <c r="R71">
        <v>90.913107355656763</v>
      </c>
      <c r="S71">
        <v>91.043312223157329</v>
      </c>
      <c r="T71">
        <v>91.179144465175852</v>
      </c>
      <c r="U71">
        <v>91.288389497644204</v>
      </c>
      <c r="V71">
        <v>91.393879381882627</v>
      </c>
      <c r="W71">
        <v>91.499051810828391</v>
      </c>
      <c r="X71">
        <v>91.631997463849274</v>
      </c>
      <c r="Y71">
        <v>91.718548174891737</v>
      </c>
      <c r="Z71">
        <v>91.841313092884889</v>
      </c>
      <c r="AA71">
        <v>91.926876780581821</v>
      </c>
      <c r="AB71">
        <v>92.016206408973957</v>
      </c>
      <c r="AC71">
        <v>92.16122006666896</v>
      </c>
      <c r="AD71">
        <v>92.2637640491279</v>
      </c>
      <c r="AE71">
        <v>92.343148766347838</v>
      </c>
      <c r="AF71">
        <v>92.452573674209404</v>
      </c>
      <c r="AG71">
        <v>92.522575332540029</v>
      </c>
      <c r="AH71">
        <v>92.600704511832205</v>
      </c>
      <c r="AI71">
        <v>92.690526035494486</v>
      </c>
      <c r="AJ71">
        <v>92.795383561815001</v>
      </c>
      <c r="AK71">
        <v>92.891196081169369</v>
      </c>
      <c r="AL71">
        <v>92.986343538071097</v>
      </c>
      <c r="AM71">
        <v>93.077622344066341</v>
      </c>
      <c r="AN71">
        <v>93.181165879247487</v>
      </c>
      <c r="AO71">
        <v>93.267141863412746</v>
      </c>
      <c r="AP71">
        <v>93.352229385559994</v>
      </c>
      <c r="AQ71">
        <v>93.445046558140859</v>
      </c>
      <c r="AR71">
        <v>93.523776473387827</v>
      </c>
      <c r="AS71">
        <v>93.616257608633305</v>
      </c>
      <c r="AT71">
        <v>93.695783563318642</v>
      </c>
      <c r="AU71">
        <v>93.765624150468469</v>
      </c>
      <c r="AV71">
        <v>93.847476643795687</v>
      </c>
      <c r="AW71">
        <v>93.917878278833669</v>
      </c>
      <c r="AX71">
        <v>94.007493666468093</v>
      </c>
      <c r="AY71">
        <v>94.086577389629241</v>
      </c>
      <c r="AZ71">
        <v>94.159319092618318</v>
      </c>
      <c r="BA71">
        <v>94.229393596861101</v>
      </c>
      <c r="BB71">
        <v>94.316574896008021</v>
      </c>
      <c r="BC71">
        <v>94.41081366175203</v>
      </c>
      <c r="BD71">
        <v>94.497668990382024</v>
      </c>
      <c r="BE71">
        <v>94.586123690726041</v>
      </c>
      <c r="BF71">
        <v>94.680992987322412</v>
      </c>
      <c r="BG71">
        <v>94.761986870210023</v>
      </c>
      <c r="BH71">
        <v>94.832353784649982</v>
      </c>
      <c r="BI71">
        <v>94.906914152253492</v>
      </c>
      <c r="BJ71">
        <v>94.982944204825017</v>
      </c>
      <c r="BK71">
        <v>95.065710193870402</v>
      </c>
      <c r="BL71">
        <v>95.144422075500344</v>
      </c>
      <c r="BM71">
        <v>95.2380339750449</v>
      </c>
      <c r="BN71">
        <v>95.327846651285682</v>
      </c>
      <c r="BO71">
        <v>95.448650671310702</v>
      </c>
      <c r="BP71">
        <v>95.520246867524534</v>
      </c>
      <c r="BQ71">
        <v>95.609080472665184</v>
      </c>
      <c r="BR71">
        <v>95.675187741620405</v>
      </c>
      <c r="BS71">
        <v>95.741695693506728</v>
      </c>
      <c r="BT71">
        <v>95.806864788785589</v>
      </c>
      <c r="BU71">
        <v>95.888245002274857</v>
      </c>
      <c r="BV71">
        <v>95.955841810746733</v>
      </c>
      <c r="BW71">
        <v>96.025900899892264</v>
      </c>
      <c r="BX71">
        <v>96.095118398221231</v>
      </c>
      <c r="BY71">
        <v>96.186394277930376</v>
      </c>
      <c r="BZ71">
        <v>96.271304748374945</v>
      </c>
      <c r="CA71">
        <v>96.362667590233457</v>
      </c>
      <c r="CB71">
        <v>96.44781037675736</v>
      </c>
      <c r="CC71">
        <v>96.553758002999018</v>
      </c>
      <c r="CD71">
        <v>96.62686126303042</v>
      </c>
      <c r="CE71">
        <v>96.695596493022435</v>
      </c>
      <c r="CF71">
        <v>96.792273969941277</v>
      </c>
      <c r="CG71">
        <v>96.864488814460785</v>
      </c>
      <c r="CH71">
        <v>96.93176658450345</v>
      </c>
      <c r="CI71">
        <v>97.044100089821228</v>
      </c>
      <c r="CJ71">
        <v>97.126750219584324</v>
      </c>
      <c r="CK71">
        <v>97.202708787918937</v>
      </c>
      <c r="CL71">
        <v>97.301393824904338</v>
      </c>
      <c r="CM71">
        <v>97.397462235306463</v>
      </c>
      <c r="CN71">
        <v>97.493828681415209</v>
      </c>
      <c r="CO71">
        <v>97.582831200682918</v>
      </c>
      <c r="CP71">
        <v>97.693479487598935</v>
      </c>
      <c r="CQ71">
        <v>97.788415070306428</v>
      </c>
      <c r="CR71">
        <v>97.875297352899224</v>
      </c>
      <c r="CS71">
        <v>97.96755664005849</v>
      </c>
      <c r="CT71">
        <v>98.085400227635546</v>
      </c>
      <c r="CU71">
        <v>98.192405745398275</v>
      </c>
      <c r="CV71">
        <v>98.313494268433843</v>
      </c>
      <c r="CW71">
        <v>98.424430303220078</v>
      </c>
      <c r="CX71">
        <v>98.525335860733463</v>
      </c>
      <c r="CY71">
        <v>98.616434362194809</v>
      </c>
      <c r="CZ71">
        <v>98.699008870755776</v>
      </c>
      <c r="DA71">
        <v>98.78995420760107</v>
      </c>
      <c r="DB71">
        <v>98.902029727722592</v>
      </c>
      <c r="DC71">
        <v>99.014759643809512</v>
      </c>
      <c r="DD71">
        <v>99.13236548905526</v>
      </c>
      <c r="DE71">
        <v>99.255821280613688</v>
      </c>
      <c r="DF71">
        <v>99.387048067787987</v>
      </c>
      <c r="DG71">
        <v>99.478895163598992</v>
      </c>
      <c r="DH71">
        <v>99.585537468284613</v>
      </c>
      <c r="DI71">
        <v>99.686287751833063</v>
      </c>
      <c r="DJ71">
        <v>99.814432226015228</v>
      </c>
      <c r="DK71">
        <v>99.946011531506201</v>
      </c>
      <c r="DL71">
        <v>100.06448134049398</v>
      </c>
      <c r="DM71">
        <v>100.15558656628943</v>
      </c>
      <c r="DN71">
        <v>100.26238908699952</v>
      </c>
      <c r="DO71">
        <v>100.36906082097215</v>
      </c>
      <c r="DP71">
        <v>100.45781132163093</v>
      </c>
      <c r="DQ71">
        <v>100.57495377249933</v>
      </c>
      <c r="DR71">
        <v>100.70749815459564</v>
      </c>
      <c r="DS71">
        <v>100.83445126617461</v>
      </c>
      <c r="DT71">
        <v>100.97852144262548</v>
      </c>
      <c r="DU71">
        <v>101.10852955977447</v>
      </c>
      <c r="DV71">
        <v>101.25099004615562</v>
      </c>
      <c r="DW71">
        <v>101.41132282834917</v>
      </c>
      <c r="DX71">
        <v>101.54194789988082</v>
      </c>
      <c r="DY71">
        <v>101.66104667653001</v>
      </c>
      <c r="DZ71">
        <v>101.80291888393185</v>
      </c>
      <c r="EA71">
        <v>101.9328156063455</v>
      </c>
      <c r="EB71">
        <v>102.06516414251443</v>
      </c>
      <c r="EC71">
        <v>102.21724467016185</v>
      </c>
      <c r="ED71">
        <v>102.3753481790345</v>
      </c>
      <c r="EE71">
        <v>102.50917424256859</v>
      </c>
      <c r="EF71">
        <v>102.68323731956534</v>
      </c>
      <c r="EG71">
        <v>102.8166905436688</v>
      </c>
      <c r="EH71">
        <v>102.99558696643331</v>
      </c>
      <c r="EI71">
        <v>103.13181673208713</v>
      </c>
      <c r="EJ71">
        <v>103.30997807591251</v>
      </c>
      <c r="EK71">
        <v>103.48520301426595</v>
      </c>
      <c r="EL71">
        <v>103.6822952300556</v>
      </c>
      <c r="EM71">
        <v>103.87308976548671</v>
      </c>
      <c r="EN71">
        <v>104.08739919853791</v>
      </c>
      <c r="EO71">
        <v>104.29077144345506</v>
      </c>
      <c r="EP71">
        <v>104.44601296280861</v>
      </c>
      <c r="EQ71">
        <v>104.65194284962217</v>
      </c>
      <c r="ER71">
        <v>104.88594980680261</v>
      </c>
      <c r="ES71">
        <v>105.07116974277788</v>
      </c>
      <c r="ET71">
        <v>105.24771472806643</v>
      </c>
      <c r="EU71">
        <v>105.42772445553254</v>
      </c>
      <c r="EV71">
        <v>105.71129839763218</v>
      </c>
      <c r="EW71">
        <v>105.92757176305699</v>
      </c>
      <c r="EX71">
        <v>106.1455960744584</v>
      </c>
      <c r="EY71">
        <v>106.36504315551242</v>
      </c>
      <c r="EZ71">
        <v>106.60078894716642</v>
      </c>
      <c r="FA71">
        <v>106.80970934819848</v>
      </c>
      <c r="FB71">
        <v>107.01063599676644</v>
      </c>
      <c r="FC71">
        <v>107.31037305367705</v>
      </c>
      <c r="FD71">
        <v>107.50392428021486</v>
      </c>
      <c r="FE71">
        <v>107.82058246453073</v>
      </c>
      <c r="FF71">
        <v>108.04821991238389</v>
      </c>
      <c r="FG71">
        <v>108.25405788050487</v>
      </c>
      <c r="FH71">
        <v>108.53507304221046</v>
      </c>
      <c r="FI71">
        <v>108.80181147072418</v>
      </c>
      <c r="FJ71">
        <v>109.05478245716323</v>
      </c>
      <c r="FK71">
        <v>109.34459208095416</v>
      </c>
      <c r="FL71">
        <v>109.64472550671576</v>
      </c>
      <c r="FM71">
        <v>109.98873499037512</v>
      </c>
      <c r="FN71">
        <v>110.34443576991596</v>
      </c>
      <c r="FO71">
        <v>110.73746357778818</v>
      </c>
      <c r="FP71">
        <v>111.03597900189378</v>
      </c>
      <c r="FQ71">
        <v>111.36022301552674</v>
      </c>
      <c r="FR71">
        <v>111.80761952137586</v>
      </c>
      <c r="FS71">
        <v>112.16095499410831</v>
      </c>
      <c r="FT71">
        <v>112.64508510532278</v>
      </c>
      <c r="FU71">
        <v>113.15603107015147</v>
      </c>
      <c r="FV71">
        <v>113.5921082433893</v>
      </c>
      <c r="FW71">
        <v>114.15777116235212</v>
      </c>
      <c r="FX71">
        <v>114.59887451130088</v>
      </c>
      <c r="FY71">
        <v>115.14810593894502</v>
      </c>
      <c r="FZ71">
        <v>115.75027802501471</v>
      </c>
      <c r="GA71">
        <v>116.43776115789544</v>
      </c>
      <c r="GB71">
        <v>117.04971017834973</v>
      </c>
      <c r="GC71">
        <v>118.0038292750951</v>
      </c>
      <c r="GD71">
        <v>118.61846774172513</v>
      </c>
      <c r="GE71">
        <v>119.50117414497288</v>
      </c>
      <c r="GF71">
        <v>120.67828420089215</v>
      </c>
      <c r="GG71">
        <v>121.63900141278245</v>
      </c>
      <c r="GH71">
        <v>122.59539855712869</v>
      </c>
      <c r="GI71">
        <v>123.95279666493039</v>
      </c>
      <c r="GJ71">
        <v>125.24803217473371</v>
      </c>
      <c r="GK71">
        <v>126.86354882916838</v>
      </c>
      <c r="GL71">
        <v>129.26488096026139</v>
      </c>
      <c r="GM71">
        <v>131.70565707047899</v>
      </c>
      <c r="GN71">
        <v>134.18797276560397</v>
      </c>
      <c r="GO71">
        <v>136.92264010960682</v>
      </c>
      <c r="GP71">
        <v>142.26639583945828</v>
      </c>
      <c r="GQ71">
        <v>150.82421349996036</v>
      </c>
      <c r="GR71">
        <v>101.17743950001223</v>
      </c>
      <c r="GT71" s="8">
        <v>45393</v>
      </c>
      <c r="GU71">
        <v>157.68</v>
      </c>
    </row>
    <row r="72" spans="1:203" x14ac:dyDescent="0.45">
      <c r="A72">
        <v>85.142854819098901</v>
      </c>
      <c r="B72">
        <v>86.345798528499571</v>
      </c>
      <c r="C72">
        <v>87.108945064942063</v>
      </c>
      <c r="D72">
        <v>87.651441942456074</v>
      </c>
      <c r="E72">
        <v>88.130085752748144</v>
      </c>
      <c r="F72">
        <v>88.413670353660791</v>
      </c>
      <c r="G72">
        <v>88.687199456589553</v>
      </c>
      <c r="H72">
        <v>88.949124603277852</v>
      </c>
      <c r="I72">
        <v>89.148200518178172</v>
      </c>
      <c r="J72">
        <v>89.412652994325455</v>
      </c>
      <c r="K72">
        <v>89.66652426863341</v>
      </c>
      <c r="L72">
        <v>89.886663860818473</v>
      </c>
      <c r="M72">
        <v>90.079188437894885</v>
      </c>
      <c r="N72">
        <v>90.220508942261574</v>
      </c>
      <c r="O72">
        <v>90.383801065596799</v>
      </c>
      <c r="P72">
        <v>90.534632404222407</v>
      </c>
      <c r="Q72">
        <v>90.699962153021119</v>
      </c>
      <c r="R72">
        <v>90.863581004288108</v>
      </c>
      <c r="S72">
        <v>90.986060869374782</v>
      </c>
      <c r="T72">
        <v>91.11158821638756</v>
      </c>
      <c r="U72">
        <v>91.219879425878119</v>
      </c>
      <c r="V72">
        <v>91.353770833673494</v>
      </c>
      <c r="W72">
        <v>91.470859927947231</v>
      </c>
      <c r="X72">
        <v>91.586444212627782</v>
      </c>
      <c r="Y72">
        <v>91.688351120324171</v>
      </c>
      <c r="Z72">
        <v>91.799417423977232</v>
      </c>
      <c r="AA72">
        <v>91.894279617773748</v>
      </c>
      <c r="AB72">
        <v>91.986376687086675</v>
      </c>
      <c r="AC72">
        <v>92.089065198126448</v>
      </c>
      <c r="AD72">
        <v>92.195027589173932</v>
      </c>
      <c r="AE72">
        <v>92.293813827597333</v>
      </c>
      <c r="AF72">
        <v>92.376688568432627</v>
      </c>
      <c r="AG72">
        <v>92.470820958878562</v>
      </c>
      <c r="AH72">
        <v>92.561978633623156</v>
      </c>
      <c r="AI72">
        <v>92.646178870313364</v>
      </c>
      <c r="AJ72">
        <v>92.726672408449275</v>
      </c>
      <c r="AK72">
        <v>92.844286528234889</v>
      </c>
      <c r="AL72">
        <v>92.949367495064607</v>
      </c>
      <c r="AM72">
        <v>93.032542329121313</v>
      </c>
      <c r="AN72">
        <v>93.1152212537541</v>
      </c>
      <c r="AO72">
        <v>93.213674471474448</v>
      </c>
      <c r="AP72">
        <v>93.31519925005577</v>
      </c>
      <c r="AQ72">
        <v>93.403974606202709</v>
      </c>
      <c r="AR72">
        <v>93.483270478865649</v>
      </c>
      <c r="AS72">
        <v>93.604837385208981</v>
      </c>
      <c r="AT72">
        <v>93.669862832416413</v>
      </c>
      <c r="AU72">
        <v>93.765141290722738</v>
      </c>
      <c r="AV72">
        <v>93.849377203293741</v>
      </c>
      <c r="AW72">
        <v>93.931449095955898</v>
      </c>
      <c r="AX72">
        <v>94.011916457520684</v>
      </c>
      <c r="AY72">
        <v>94.105662387310517</v>
      </c>
      <c r="AZ72">
        <v>94.179182259794885</v>
      </c>
      <c r="BA72">
        <v>94.265455437413237</v>
      </c>
      <c r="BB72">
        <v>94.335612036415597</v>
      </c>
      <c r="BC72">
        <v>94.422031942871058</v>
      </c>
      <c r="BD72">
        <v>94.500586394265298</v>
      </c>
      <c r="BE72">
        <v>94.577057669027354</v>
      </c>
      <c r="BF72">
        <v>94.667250989590883</v>
      </c>
      <c r="BG72">
        <v>94.745799455583111</v>
      </c>
      <c r="BH72">
        <v>94.838732332450334</v>
      </c>
      <c r="BI72">
        <v>94.917300085152817</v>
      </c>
      <c r="BJ72">
        <v>94.987200383011228</v>
      </c>
      <c r="BK72">
        <v>95.048042843402314</v>
      </c>
      <c r="BL72">
        <v>95.142121598992858</v>
      </c>
      <c r="BM72">
        <v>95.220480136239033</v>
      </c>
      <c r="BN72">
        <v>95.301321147244238</v>
      </c>
      <c r="BO72">
        <v>95.390943809486288</v>
      </c>
      <c r="BP72">
        <v>95.488628933450769</v>
      </c>
      <c r="BQ72">
        <v>95.576884278206776</v>
      </c>
      <c r="BR72">
        <v>95.662525179801165</v>
      </c>
      <c r="BS72">
        <v>95.743140157675157</v>
      </c>
      <c r="BT72">
        <v>95.803986654067643</v>
      </c>
      <c r="BU72">
        <v>95.876355892724106</v>
      </c>
      <c r="BV72">
        <v>95.958761784303022</v>
      </c>
      <c r="BW72">
        <v>96.038740510047674</v>
      </c>
      <c r="BX72">
        <v>96.127569009910346</v>
      </c>
      <c r="BY72">
        <v>96.228229640844418</v>
      </c>
      <c r="BZ72">
        <v>96.31765807950147</v>
      </c>
      <c r="CA72">
        <v>96.39515282559141</v>
      </c>
      <c r="CB72">
        <v>96.477136222391465</v>
      </c>
      <c r="CC72">
        <v>96.561008477009239</v>
      </c>
      <c r="CD72">
        <v>96.63729825684544</v>
      </c>
      <c r="CE72">
        <v>96.706808327813917</v>
      </c>
      <c r="CF72">
        <v>96.79332353999142</v>
      </c>
      <c r="CG72">
        <v>96.86638183196365</v>
      </c>
      <c r="CH72">
        <v>96.926138227419216</v>
      </c>
      <c r="CI72">
        <v>97.019449887541583</v>
      </c>
      <c r="CJ72">
        <v>97.12443639754251</v>
      </c>
      <c r="CK72">
        <v>97.221991547567882</v>
      </c>
      <c r="CL72">
        <v>97.314215396668089</v>
      </c>
      <c r="CM72">
        <v>97.390331521930719</v>
      </c>
      <c r="CN72">
        <v>97.469821177721016</v>
      </c>
      <c r="CO72">
        <v>97.562397823678367</v>
      </c>
      <c r="CP72">
        <v>97.667535817338461</v>
      </c>
      <c r="CQ72">
        <v>97.772058634351993</v>
      </c>
      <c r="CR72">
        <v>97.880884447153221</v>
      </c>
      <c r="CS72">
        <v>97.981582805796705</v>
      </c>
      <c r="CT72">
        <v>98.07151692034239</v>
      </c>
      <c r="CU72">
        <v>98.171450174454762</v>
      </c>
      <c r="CV72">
        <v>98.26239547327755</v>
      </c>
      <c r="CW72">
        <v>98.349892678562497</v>
      </c>
      <c r="CX72">
        <v>98.448615487987894</v>
      </c>
      <c r="CY72">
        <v>98.545655576668594</v>
      </c>
      <c r="CZ72">
        <v>98.669975128985357</v>
      </c>
      <c r="DA72">
        <v>98.767638529631071</v>
      </c>
      <c r="DB72">
        <v>98.882726346936693</v>
      </c>
      <c r="DC72">
        <v>98.974446070843811</v>
      </c>
      <c r="DD72">
        <v>99.083230041115613</v>
      </c>
      <c r="DE72">
        <v>99.178641887113358</v>
      </c>
      <c r="DF72">
        <v>99.277987969814092</v>
      </c>
      <c r="DG72">
        <v>99.39378721504508</v>
      </c>
      <c r="DH72">
        <v>99.483517948247879</v>
      </c>
      <c r="DI72">
        <v>99.614870702253569</v>
      </c>
      <c r="DJ72">
        <v>99.754255552152415</v>
      </c>
      <c r="DK72">
        <v>99.866549210332622</v>
      </c>
      <c r="DL72">
        <v>99.986149084434217</v>
      </c>
      <c r="DM72">
        <v>100.09228231282056</v>
      </c>
      <c r="DN72">
        <v>100.22088868872093</v>
      </c>
      <c r="DO72">
        <v>100.3528806130187</v>
      </c>
      <c r="DP72">
        <v>100.46232873771967</v>
      </c>
      <c r="DQ72">
        <v>100.58117327276106</v>
      </c>
      <c r="DR72">
        <v>100.71534985476228</v>
      </c>
      <c r="DS72">
        <v>100.85680373065479</v>
      </c>
      <c r="DT72">
        <v>100.97392537503019</v>
      </c>
      <c r="DU72">
        <v>101.1039173369609</v>
      </c>
      <c r="DV72">
        <v>101.29277654386219</v>
      </c>
      <c r="DW72">
        <v>101.40195615432307</v>
      </c>
      <c r="DX72">
        <v>101.5131093181141</v>
      </c>
      <c r="DY72">
        <v>101.68113057489791</v>
      </c>
      <c r="DZ72">
        <v>101.80384704831178</v>
      </c>
      <c r="EA72">
        <v>101.93984177954965</v>
      </c>
      <c r="EB72">
        <v>102.09277510873868</v>
      </c>
      <c r="EC72">
        <v>102.22066066142683</v>
      </c>
      <c r="ED72">
        <v>102.37413877139903</v>
      </c>
      <c r="EE72">
        <v>102.53290921152994</v>
      </c>
      <c r="EF72">
        <v>102.66997096469423</v>
      </c>
      <c r="EG72">
        <v>102.83780788281132</v>
      </c>
      <c r="EH72">
        <v>103.01958384356531</v>
      </c>
      <c r="EI72">
        <v>103.16455380403801</v>
      </c>
      <c r="EJ72">
        <v>103.38912172877123</v>
      </c>
      <c r="EK72">
        <v>103.54840035774714</v>
      </c>
      <c r="EL72">
        <v>103.71719497291214</v>
      </c>
      <c r="EM72">
        <v>103.92119091698878</v>
      </c>
      <c r="EN72">
        <v>104.04354772103488</v>
      </c>
      <c r="EO72">
        <v>104.22427208596061</v>
      </c>
      <c r="EP72">
        <v>104.43578170249117</v>
      </c>
      <c r="EQ72">
        <v>104.65123974814958</v>
      </c>
      <c r="ER72">
        <v>104.82260872014747</v>
      </c>
      <c r="ES72">
        <v>105.06022844592292</v>
      </c>
      <c r="ET72">
        <v>105.27035081114501</v>
      </c>
      <c r="EU72">
        <v>105.47562751920721</v>
      </c>
      <c r="EV72">
        <v>105.70745298010908</v>
      </c>
      <c r="EW72">
        <v>105.89051941764454</v>
      </c>
      <c r="EX72">
        <v>106.10988082216451</v>
      </c>
      <c r="EY72">
        <v>106.25494815285234</v>
      </c>
      <c r="EZ72">
        <v>106.51176114062541</v>
      </c>
      <c r="FA72">
        <v>106.7275368306905</v>
      </c>
      <c r="FB72">
        <v>106.96299605741017</v>
      </c>
      <c r="FC72">
        <v>107.20952950812712</v>
      </c>
      <c r="FD72">
        <v>107.45018218258566</v>
      </c>
      <c r="FE72">
        <v>107.70452058116929</v>
      </c>
      <c r="FF72">
        <v>108.01668085484491</v>
      </c>
      <c r="FG72">
        <v>108.21509782398851</v>
      </c>
      <c r="FH72">
        <v>108.47332870990115</v>
      </c>
      <c r="FI72">
        <v>108.79056968049268</v>
      </c>
      <c r="FJ72">
        <v>109.06280004779654</v>
      </c>
      <c r="FK72">
        <v>109.50423066634549</v>
      </c>
      <c r="FL72">
        <v>109.83448192884849</v>
      </c>
      <c r="FM72">
        <v>110.16785434995072</v>
      </c>
      <c r="FN72">
        <v>110.53033758808037</v>
      </c>
      <c r="FO72">
        <v>110.84917198804864</v>
      </c>
      <c r="FP72">
        <v>111.21479601529855</v>
      </c>
      <c r="FQ72">
        <v>111.56369400865204</v>
      </c>
      <c r="FR72">
        <v>111.96705309287992</v>
      </c>
      <c r="FS72">
        <v>112.31462234048085</v>
      </c>
      <c r="FT72">
        <v>112.76920992269581</v>
      </c>
      <c r="FU72">
        <v>113.1382367959076</v>
      </c>
      <c r="FV72">
        <v>113.73836052043798</v>
      </c>
      <c r="FW72">
        <v>114.23674516394772</v>
      </c>
      <c r="FX72">
        <v>114.84250945595397</v>
      </c>
      <c r="FY72">
        <v>115.30433772114277</v>
      </c>
      <c r="FZ72">
        <v>115.92985064568011</v>
      </c>
      <c r="GA72">
        <v>116.70816398985509</v>
      </c>
      <c r="GB72">
        <v>117.39410806199805</v>
      </c>
      <c r="GC72">
        <v>117.93567486856965</v>
      </c>
      <c r="GD72">
        <v>118.62492142790542</v>
      </c>
      <c r="GE72">
        <v>119.50072518768179</v>
      </c>
      <c r="GF72">
        <v>120.58085936557542</v>
      </c>
      <c r="GG72">
        <v>121.66900566279568</v>
      </c>
      <c r="GH72">
        <v>122.94068916111794</v>
      </c>
      <c r="GI72">
        <v>124.19713798576971</v>
      </c>
      <c r="GJ72">
        <v>125.25682038033459</v>
      </c>
      <c r="GK72">
        <v>127.21872461351005</v>
      </c>
      <c r="GL72">
        <v>129.25409219171701</v>
      </c>
      <c r="GM72">
        <v>131.48297420282162</v>
      </c>
      <c r="GN72">
        <v>133.90585383709561</v>
      </c>
      <c r="GO72">
        <v>137.60579996753094</v>
      </c>
      <c r="GP72">
        <v>141.5400218097889</v>
      </c>
      <c r="GQ72">
        <v>150.95064325252562</v>
      </c>
      <c r="GR72">
        <v>101.18419689566704</v>
      </c>
      <c r="GT72" s="8">
        <v>45394</v>
      </c>
      <c r="GU72">
        <v>154.63</v>
      </c>
    </row>
    <row r="73" spans="1:203" x14ac:dyDescent="0.45">
      <c r="A73">
        <v>84.875537534990897</v>
      </c>
      <c r="B73">
        <v>86.291462808450376</v>
      </c>
      <c r="C73">
        <v>87.120338254244899</v>
      </c>
      <c r="D73">
        <v>87.571582076279427</v>
      </c>
      <c r="E73">
        <v>88.103848187096588</v>
      </c>
      <c r="F73">
        <v>88.407581043191527</v>
      </c>
      <c r="G73">
        <v>88.685715728843277</v>
      </c>
      <c r="H73">
        <v>88.920415352232197</v>
      </c>
      <c r="I73">
        <v>89.150833249034108</v>
      </c>
      <c r="J73">
        <v>89.367290680200298</v>
      </c>
      <c r="K73">
        <v>89.575182092437203</v>
      </c>
      <c r="L73">
        <v>89.761153295334353</v>
      </c>
      <c r="M73">
        <v>89.943714848760337</v>
      </c>
      <c r="N73">
        <v>90.159857065055803</v>
      </c>
      <c r="O73">
        <v>90.326107839302495</v>
      </c>
      <c r="P73">
        <v>90.464945059047167</v>
      </c>
      <c r="Q73">
        <v>90.629155257297754</v>
      </c>
      <c r="R73">
        <v>90.770267772870326</v>
      </c>
      <c r="S73">
        <v>90.892546288634463</v>
      </c>
      <c r="T73">
        <v>91.018705909575544</v>
      </c>
      <c r="U73">
        <v>91.144492092317918</v>
      </c>
      <c r="V73">
        <v>91.263779049881478</v>
      </c>
      <c r="W73">
        <v>91.390077252516477</v>
      </c>
      <c r="X73">
        <v>91.505708760063314</v>
      </c>
      <c r="Y73">
        <v>91.625768066582424</v>
      </c>
      <c r="Z73">
        <v>91.717121785753122</v>
      </c>
      <c r="AA73">
        <v>91.824272110485595</v>
      </c>
      <c r="AB73">
        <v>91.919844334333817</v>
      </c>
      <c r="AC73">
        <v>92.009684854178317</v>
      </c>
      <c r="AD73">
        <v>92.115559171145478</v>
      </c>
      <c r="AE73">
        <v>92.199478904640088</v>
      </c>
      <c r="AF73">
        <v>92.278928840438226</v>
      </c>
      <c r="AG73">
        <v>92.358943682428858</v>
      </c>
      <c r="AH73">
        <v>92.466759485145417</v>
      </c>
      <c r="AI73">
        <v>92.561641798064983</v>
      </c>
      <c r="AJ73">
        <v>92.684802209361905</v>
      </c>
      <c r="AK73">
        <v>92.762826330478717</v>
      </c>
      <c r="AL73">
        <v>92.858224652789033</v>
      </c>
      <c r="AM73">
        <v>92.949886470961999</v>
      </c>
      <c r="AN73">
        <v>93.024376153127193</v>
      </c>
      <c r="AO73">
        <v>93.119038374292657</v>
      </c>
      <c r="AP73">
        <v>93.202744058180016</v>
      </c>
      <c r="AQ73">
        <v>93.300213808962226</v>
      </c>
      <c r="AR73">
        <v>93.383079461014248</v>
      </c>
      <c r="AS73">
        <v>93.486857448687104</v>
      </c>
      <c r="AT73">
        <v>93.568018799664344</v>
      </c>
      <c r="AU73">
        <v>93.655015448791332</v>
      </c>
      <c r="AV73">
        <v>93.739971705101084</v>
      </c>
      <c r="AW73">
        <v>93.830733242506113</v>
      </c>
      <c r="AX73">
        <v>93.961730990954521</v>
      </c>
      <c r="AY73">
        <v>94.044795487364524</v>
      </c>
      <c r="AZ73">
        <v>94.128445881338678</v>
      </c>
      <c r="BA73">
        <v>94.23055049516698</v>
      </c>
      <c r="BB73">
        <v>94.312535966066747</v>
      </c>
      <c r="BC73">
        <v>94.398987662398042</v>
      </c>
      <c r="BD73">
        <v>94.479546290667287</v>
      </c>
      <c r="BE73">
        <v>94.56270308466577</v>
      </c>
      <c r="BF73">
        <v>94.638518460624653</v>
      </c>
      <c r="BG73">
        <v>94.712354438791778</v>
      </c>
      <c r="BH73">
        <v>94.797800839714895</v>
      </c>
      <c r="BI73">
        <v>94.89072431053205</v>
      </c>
      <c r="BJ73">
        <v>94.975169455398671</v>
      </c>
      <c r="BK73">
        <v>95.065385983331282</v>
      </c>
      <c r="BL73">
        <v>95.132950779905471</v>
      </c>
      <c r="BM73">
        <v>95.212772127665843</v>
      </c>
      <c r="BN73">
        <v>95.291492208547965</v>
      </c>
      <c r="BO73">
        <v>95.35199584446552</v>
      </c>
      <c r="BP73">
        <v>95.429355676604189</v>
      </c>
      <c r="BQ73">
        <v>95.525151785406379</v>
      </c>
      <c r="BR73">
        <v>95.601470389324945</v>
      </c>
      <c r="BS73">
        <v>95.697732901140839</v>
      </c>
      <c r="BT73">
        <v>95.786176163155048</v>
      </c>
      <c r="BU73">
        <v>95.869873598715884</v>
      </c>
      <c r="BV73">
        <v>95.949588001116965</v>
      </c>
      <c r="BW73">
        <v>96.00689765500006</v>
      </c>
      <c r="BX73">
        <v>96.06643296888582</v>
      </c>
      <c r="BY73">
        <v>96.149066855175604</v>
      </c>
      <c r="BZ73">
        <v>96.230679580648072</v>
      </c>
      <c r="CA73">
        <v>96.326541460630523</v>
      </c>
      <c r="CB73">
        <v>96.387725412036588</v>
      </c>
      <c r="CC73">
        <v>96.483316230981302</v>
      </c>
      <c r="CD73">
        <v>96.553467180230683</v>
      </c>
      <c r="CE73">
        <v>96.65414906352818</v>
      </c>
      <c r="CF73">
        <v>96.749075668053067</v>
      </c>
      <c r="CG73">
        <v>96.842769431578446</v>
      </c>
      <c r="CH73">
        <v>96.91967511058705</v>
      </c>
      <c r="CI73">
        <v>96.979927344723549</v>
      </c>
      <c r="CJ73">
        <v>97.072479972462844</v>
      </c>
      <c r="CK73">
        <v>97.170132588125952</v>
      </c>
      <c r="CL73">
        <v>97.24204457510956</v>
      </c>
      <c r="CM73">
        <v>97.337762167522868</v>
      </c>
      <c r="CN73">
        <v>97.438285474237645</v>
      </c>
      <c r="CO73">
        <v>97.524056993088493</v>
      </c>
      <c r="CP73">
        <v>97.592154578883893</v>
      </c>
      <c r="CQ73">
        <v>97.709952166906646</v>
      </c>
      <c r="CR73">
        <v>97.800744185007332</v>
      </c>
      <c r="CS73">
        <v>97.901751662257439</v>
      </c>
      <c r="CT73">
        <v>98.028075776175299</v>
      </c>
      <c r="CU73">
        <v>98.1235542359086</v>
      </c>
      <c r="CV73">
        <v>98.21826895503213</v>
      </c>
      <c r="CW73">
        <v>98.294162781441557</v>
      </c>
      <c r="CX73">
        <v>98.421032491697488</v>
      </c>
      <c r="CY73">
        <v>98.523188133116761</v>
      </c>
      <c r="CZ73">
        <v>98.611896461760523</v>
      </c>
      <c r="DA73">
        <v>98.740030338816467</v>
      </c>
      <c r="DB73">
        <v>98.828513898224628</v>
      </c>
      <c r="DC73">
        <v>98.950836113990647</v>
      </c>
      <c r="DD73">
        <v>99.086119691337373</v>
      </c>
      <c r="DE73">
        <v>99.201911798449302</v>
      </c>
      <c r="DF73">
        <v>99.318300992679013</v>
      </c>
      <c r="DG73">
        <v>99.413250113421512</v>
      </c>
      <c r="DH73">
        <v>99.521104081580418</v>
      </c>
      <c r="DI73">
        <v>99.672816661439654</v>
      </c>
      <c r="DJ73">
        <v>99.771894217203311</v>
      </c>
      <c r="DK73">
        <v>99.878113822245737</v>
      </c>
      <c r="DL73">
        <v>99.994143095494209</v>
      </c>
      <c r="DM73">
        <v>100.09540680516223</v>
      </c>
      <c r="DN73">
        <v>100.21162884701479</v>
      </c>
      <c r="DO73">
        <v>100.32579649656095</v>
      </c>
      <c r="DP73">
        <v>100.4716512430372</v>
      </c>
      <c r="DQ73">
        <v>100.58113242936835</v>
      </c>
      <c r="DR73">
        <v>100.71332764079506</v>
      </c>
      <c r="DS73">
        <v>100.86767489229037</v>
      </c>
      <c r="DT73">
        <v>100.9999222433833</v>
      </c>
      <c r="DU73">
        <v>101.1416950176299</v>
      </c>
      <c r="DV73">
        <v>101.2542272918198</v>
      </c>
      <c r="DW73">
        <v>101.38893173949182</v>
      </c>
      <c r="DX73">
        <v>101.51683796724228</v>
      </c>
      <c r="DY73">
        <v>101.61832077975481</v>
      </c>
      <c r="DZ73">
        <v>101.75117146810828</v>
      </c>
      <c r="EA73">
        <v>101.92746261404289</v>
      </c>
      <c r="EB73">
        <v>102.02111330728519</v>
      </c>
      <c r="EC73">
        <v>102.20556079485743</v>
      </c>
      <c r="ED73">
        <v>102.37848052378745</v>
      </c>
      <c r="EE73">
        <v>102.54791358364959</v>
      </c>
      <c r="EF73">
        <v>102.70189193361433</v>
      </c>
      <c r="EG73">
        <v>102.86209779386573</v>
      </c>
      <c r="EH73">
        <v>103.0192311377388</v>
      </c>
      <c r="EI73">
        <v>103.16664276088297</v>
      </c>
      <c r="EJ73">
        <v>103.357397276707</v>
      </c>
      <c r="EK73">
        <v>103.52781139694974</v>
      </c>
      <c r="EL73">
        <v>103.70968946700683</v>
      </c>
      <c r="EM73">
        <v>103.85122334749306</v>
      </c>
      <c r="EN73">
        <v>104.04071589882807</v>
      </c>
      <c r="EO73">
        <v>104.21519529104847</v>
      </c>
      <c r="EP73">
        <v>104.43263054936567</v>
      </c>
      <c r="EQ73">
        <v>104.67559659259676</v>
      </c>
      <c r="ER73">
        <v>104.91339865205551</v>
      </c>
      <c r="ES73">
        <v>105.14737653717583</v>
      </c>
      <c r="ET73">
        <v>105.32820530537106</v>
      </c>
      <c r="EU73">
        <v>105.52072177962414</v>
      </c>
      <c r="EV73">
        <v>105.6819611262251</v>
      </c>
      <c r="EW73">
        <v>105.89314432649658</v>
      </c>
      <c r="EX73">
        <v>106.16050761264559</v>
      </c>
      <c r="EY73">
        <v>106.40168113702528</v>
      </c>
      <c r="EZ73">
        <v>106.64657887315622</v>
      </c>
      <c r="FA73">
        <v>106.81822291861168</v>
      </c>
      <c r="FB73">
        <v>107.05945637837875</v>
      </c>
      <c r="FC73">
        <v>107.27946408072094</v>
      </c>
      <c r="FD73">
        <v>107.52545548783519</v>
      </c>
      <c r="FE73">
        <v>107.83555665933913</v>
      </c>
      <c r="FF73">
        <v>108.10681586969203</v>
      </c>
      <c r="FG73">
        <v>108.384588132698</v>
      </c>
      <c r="FH73">
        <v>108.62282341496918</v>
      </c>
      <c r="FI73">
        <v>108.88015148520449</v>
      </c>
      <c r="FJ73">
        <v>109.15324357296801</v>
      </c>
      <c r="FK73">
        <v>109.51163707585791</v>
      </c>
      <c r="FL73">
        <v>109.91209966990724</v>
      </c>
      <c r="FM73">
        <v>110.18875035224171</v>
      </c>
      <c r="FN73">
        <v>110.57719467268876</v>
      </c>
      <c r="FO73">
        <v>110.88763641455917</v>
      </c>
      <c r="FP73">
        <v>111.24656141153905</v>
      </c>
      <c r="FQ73">
        <v>111.6419705796133</v>
      </c>
      <c r="FR73">
        <v>112.04873255699388</v>
      </c>
      <c r="FS73">
        <v>112.40623288852377</v>
      </c>
      <c r="FT73">
        <v>112.73661407218928</v>
      </c>
      <c r="FU73">
        <v>113.17678958854447</v>
      </c>
      <c r="FV73">
        <v>113.65289077703628</v>
      </c>
      <c r="FW73">
        <v>114.05853755003132</v>
      </c>
      <c r="FX73">
        <v>114.82522493773448</v>
      </c>
      <c r="FY73">
        <v>115.45880660393975</v>
      </c>
      <c r="FZ73">
        <v>116.11680030259704</v>
      </c>
      <c r="GA73">
        <v>116.6005888520793</v>
      </c>
      <c r="GB73">
        <v>117.2230246986059</v>
      </c>
      <c r="GC73">
        <v>117.99850407673718</v>
      </c>
      <c r="GD73">
        <v>118.72695271729937</v>
      </c>
      <c r="GE73">
        <v>119.80267782260331</v>
      </c>
      <c r="GF73">
        <v>120.94907348922341</v>
      </c>
      <c r="GG73">
        <v>121.82761879203858</v>
      </c>
      <c r="GH73">
        <v>122.63494505246015</v>
      </c>
      <c r="GI73">
        <v>124.03316647770205</v>
      </c>
      <c r="GJ73">
        <v>125.69775529076074</v>
      </c>
      <c r="GK73">
        <v>127.35572976974395</v>
      </c>
      <c r="GL73">
        <v>129.17312579287164</v>
      </c>
      <c r="GM73">
        <v>131.46656349410424</v>
      </c>
      <c r="GN73">
        <v>133.66441503912796</v>
      </c>
      <c r="GO73">
        <v>137.84496634011398</v>
      </c>
      <c r="GP73">
        <v>143.33062626204966</v>
      </c>
      <c r="GQ73">
        <v>153.04214650644721</v>
      </c>
      <c r="GR73">
        <v>101.18336320597732</v>
      </c>
      <c r="GT73" s="8">
        <v>45397</v>
      </c>
      <c r="GU73">
        <v>153.69999999999999</v>
      </c>
    </row>
    <row r="74" spans="1:203" x14ac:dyDescent="0.45">
      <c r="A74">
        <v>84.702484937376283</v>
      </c>
      <c r="B74">
        <v>86.226758727326896</v>
      </c>
      <c r="C74">
        <v>86.952798529932338</v>
      </c>
      <c r="D74">
        <v>87.476937625086208</v>
      </c>
      <c r="E74">
        <v>87.903439446187363</v>
      </c>
      <c r="F74">
        <v>88.301872986173478</v>
      </c>
      <c r="G74">
        <v>88.559233163067162</v>
      </c>
      <c r="H74">
        <v>88.845519705736905</v>
      </c>
      <c r="I74">
        <v>89.086787157488587</v>
      </c>
      <c r="J74">
        <v>89.304556381027425</v>
      </c>
      <c r="K74">
        <v>89.490317924968338</v>
      </c>
      <c r="L74">
        <v>89.68663200370186</v>
      </c>
      <c r="M74">
        <v>89.877194129298815</v>
      </c>
      <c r="N74">
        <v>90.080847552567946</v>
      </c>
      <c r="O74">
        <v>90.262971505733461</v>
      </c>
      <c r="P74">
        <v>90.382712045620224</v>
      </c>
      <c r="Q74">
        <v>90.568282854741526</v>
      </c>
      <c r="R74">
        <v>90.681627207453118</v>
      </c>
      <c r="S74">
        <v>90.813795126714226</v>
      </c>
      <c r="T74">
        <v>90.964185110440866</v>
      </c>
      <c r="U74">
        <v>91.111490824459423</v>
      </c>
      <c r="V74">
        <v>91.233584476498038</v>
      </c>
      <c r="W74">
        <v>91.354417453782091</v>
      </c>
      <c r="X74">
        <v>91.49465838724096</v>
      </c>
      <c r="Y74">
        <v>91.593424685194776</v>
      </c>
      <c r="Z74">
        <v>91.687252566785247</v>
      </c>
      <c r="AA74">
        <v>91.791893528602088</v>
      </c>
      <c r="AB74">
        <v>91.885607817373639</v>
      </c>
      <c r="AC74">
        <v>91.975205270097021</v>
      </c>
      <c r="AD74">
        <v>92.086173717897339</v>
      </c>
      <c r="AE74">
        <v>92.17223320372598</v>
      </c>
      <c r="AF74">
        <v>92.237845651888307</v>
      </c>
      <c r="AG74">
        <v>92.337132485089924</v>
      </c>
      <c r="AH74">
        <v>92.420004701397446</v>
      </c>
      <c r="AI74">
        <v>92.513796400459626</v>
      </c>
      <c r="AJ74">
        <v>92.610825399448416</v>
      </c>
      <c r="AK74">
        <v>92.715991520395093</v>
      </c>
      <c r="AL74">
        <v>92.818154269810179</v>
      </c>
      <c r="AM74">
        <v>92.904344993086468</v>
      </c>
      <c r="AN74">
        <v>92.99077150087156</v>
      </c>
      <c r="AO74">
        <v>93.06764511291307</v>
      </c>
      <c r="AP74">
        <v>93.16158408402508</v>
      </c>
      <c r="AQ74">
        <v>93.256603363173198</v>
      </c>
      <c r="AR74">
        <v>93.360778350199723</v>
      </c>
      <c r="AS74">
        <v>93.438011201640634</v>
      </c>
      <c r="AT74">
        <v>93.528459546741161</v>
      </c>
      <c r="AU74">
        <v>93.616137206976532</v>
      </c>
      <c r="AV74">
        <v>93.724249962646866</v>
      </c>
      <c r="AW74">
        <v>93.790082066020759</v>
      </c>
      <c r="AX74">
        <v>93.900291885705627</v>
      </c>
      <c r="AY74">
        <v>93.981178828600889</v>
      </c>
      <c r="AZ74">
        <v>94.081781906383213</v>
      </c>
      <c r="BA74">
        <v>94.188492644435797</v>
      </c>
      <c r="BB74">
        <v>94.264626245593618</v>
      </c>
      <c r="BC74">
        <v>94.332208772360175</v>
      </c>
      <c r="BD74">
        <v>94.402426067878721</v>
      </c>
      <c r="BE74">
        <v>94.483547465946273</v>
      </c>
      <c r="BF74">
        <v>94.583443217310958</v>
      </c>
      <c r="BG74">
        <v>94.671158884036132</v>
      </c>
      <c r="BH74">
        <v>94.751415024039332</v>
      </c>
      <c r="BI74">
        <v>94.819646626516345</v>
      </c>
      <c r="BJ74">
        <v>94.893919129807742</v>
      </c>
      <c r="BK74">
        <v>94.967963975587097</v>
      </c>
      <c r="BL74">
        <v>95.059713881285532</v>
      </c>
      <c r="BM74">
        <v>95.147125247413385</v>
      </c>
      <c r="BN74">
        <v>95.231987017757476</v>
      </c>
      <c r="BO74">
        <v>95.329453515703165</v>
      </c>
      <c r="BP74">
        <v>95.416582669881791</v>
      </c>
      <c r="BQ74">
        <v>95.510528432671137</v>
      </c>
      <c r="BR74">
        <v>95.58101534878341</v>
      </c>
      <c r="BS74">
        <v>95.664171651972879</v>
      </c>
      <c r="BT74">
        <v>95.741428809272819</v>
      </c>
      <c r="BU74">
        <v>95.817307839157422</v>
      </c>
      <c r="BV74">
        <v>95.890146028525422</v>
      </c>
      <c r="BW74">
        <v>95.980354226612775</v>
      </c>
      <c r="BX74">
        <v>96.046499420658094</v>
      </c>
      <c r="BY74">
        <v>96.142115264011025</v>
      </c>
      <c r="BZ74">
        <v>96.223337759018463</v>
      </c>
      <c r="CA74">
        <v>96.298933264738025</v>
      </c>
      <c r="CB74">
        <v>96.38896310409072</v>
      </c>
      <c r="CC74">
        <v>96.473781167817947</v>
      </c>
      <c r="CD74">
        <v>96.542687608759323</v>
      </c>
      <c r="CE74">
        <v>96.617782778881789</v>
      </c>
      <c r="CF74">
        <v>96.699460956023003</v>
      </c>
      <c r="CG74">
        <v>96.783749968127026</v>
      </c>
      <c r="CH74">
        <v>96.872196831349726</v>
      </c>
      <c r="CI74">
        <v>96.963069630951111</v>
      </c>
      <c r="CJ74">
        <v>97.061109037222465</v>
      </c>
      <c r="CK74">
        <v>97.145882406075472</v>
      </c>
      <c r="CL74">
        <v>97.25804056755679</v>
      </c>
      <c r="CM74">
        <v>97.342633981087374</v>
      </c>
      <c r="CN74">
        <v>97.433731933763852</v>
      </c>
      <c r="CO74">
        <v>97.530757253964381</v>
      </c>
      <c r="CP74">
        <v>97.617134780585459</v>
      </c>
      <c r="CQ74">
        <v>97.708112565739057</v>
      </c>
      <c r="CR74">
        <v>97.8258468575753</v>
      </c>
      <c r="CS74">
        <v>97.920415300427933</v>
      </c>
      <c r="CT74">
        <v>97.997767648161513</v>
      </c>
      <c r="CU74">
        <v>98.069624178190594</v>
      </c>
      <c r="CV74">
        <v>98.180267175956345</v>
      </c>
      <c r="CW74">
        <v>98.277181303338878</v>
      </c>
      <c r="CX74">
        <v>98.354522071177854</v>
      </c>
      <c r="CY74">
        <v>98.482668368957221</v>
      </c>
      <c r="CZ74">
        <v>98.586791118127962</v>
      </c>
      <c r="DA74">
        <v>98.695140013297646</v>
      </c>
      <c r="DB74">
        <v>98.814346645026973</v>
      </c>
      <c r="DC74">
        <v>98.938713838687434</v>
      </c>
      <c r="DD74">
        <v>99.07543681819196</v>
      </c>
      <c r="DE74">
        <v>99.195110471123982</v>
      </c>
      <c r="DF74">
        <v>99.317472862013659</v>
      </c>
      <c r="DG74">
        <v>99.429915918414636</v>
      </c>
      <c r="DH74">
        <v>99.554718295263385</v>
      </c>
      <c r="DI74">
        <v>99.665037370639581</v>
      </c>
      <c r="DJ74">
        <v>99.759500578142749</v>
      </c>
      <c r="DK74">
        <v>99.849735784906102</v>
      </c>
      <c r="DL74">
        <v>99.984838520638519</v>
      </c>
      <c r="DM74">
        <v>100.09939188780513</v>
      </c>
      <c r="DN74">
        <v>100.21975491851734</v>
      </c>
      <c r="DO74">
        <v>100.34473015955106</v>
      </c>
      <c r="DP74">
        <v>100.50801457662544</v>
      </c>
      <c r="DQ74">
        <v>100.62390394935495</v>
      </c>
      <c r="DR74">
        <v>100.77326441337011</v>
      </c>
      <c r="DS74">
        <v>100.89676665124588</v>
      </c>
      <c r="DT74">
        <v>101.04091460918094</v>
      </c>
      <c r="DU74">
        <v>101.1704145866196</v>
      </c>
      <c r="DV74">
        <v>101.28881750996797</v>
      </c>
      <c r="DW74">
        <v>101.44935486571065</v>
      </c>
      <c r="DX74">
        <v>101.59442683218171</v>
      </c>
      <c r="DY74">
        <v>101.71676467264167</v>
      </c>
      <c r="DZ74">
        <v>101.85027657135161</v>
      </c>
      <c r="EA74">
        <v>101.98938171005661</v>
      </c>
      <c r="EB74">
        <v>102.10650701305924</v>
      </c>
      <c r="EC74">
        <v>102.22840028711511</v>
      </c>
      <c r="ED74">
        <v>102.38244434336931</v>
      </c>
      <c r="EE74">
        <v>102.51983363770357</v>
      </c>
      <c r="EF74">
        <v>102.64571100914409</v>
      </c>
      <c r="EG74">
        <v>102.81281850459048</v>
      </c>
      <c r="EH74">
        <v>102.99337409455728</v>
      </c>
      <c r="EI74">
        <v>103.17284439543985</v>
      </c>
      <c r="EJ74">
        <v>103.39619148047704</v>
      </c>
      <c r="EK74">
        <v>103.5897503941882</v>
      </c>
      <c r="EL74">
        <v>103.80438832973336</v>
      </c>
      <c r="EM74">
        <v>103.96717985204884</v>
      </c>
      <c r="EN74">
        <v>104.13673617122608</v>
      </c>
      <c r="EO74">
        <v>104.30380821532144</v>
      </c>
      <c r="EP74">
        <v>104.5021033294629</v>
      </c>
      <c r="EQ74">
        <v>104.6700646508563</v>
      </c>
      <c r="ER74">
        <v>104.84495592944515</v>
      </c>
      <c r="ES74">
        <v>105.06392078301512</v>
      </c>
      <c r="ET74">
        <v>105.30895241337977</v>
      </c>
      <c r="EU74">
        <v>105.48393461334788</v>
      </c>
      <c r="EV74">
        <v>105.70897250895977</v>
      </c>
      <c r="EW74">
        <v>106.00434884026753</v>
      </c>
      <c r="EX74">
        <v>106.20969489629412</v>
      </c>
      <c r="EY74">
        <v>106.4488038479064</v>
      </c>
      <c r="EZ74">
        <v>106.68075683088425</v>
      </c>
      <c r="FA74">
        <v>106.93469074086283</v>
      </c>
      <c r="FB74">
        <v>107.21605984016549</v>
      </c>
      <c r="FC74">
        <v>107.44536910409687</v>
      </c>
      <c r="FD74">
        <v>107.68364811480708</v>
      </c>
      <c r="FE74">
        <v>107.93147980230945</v>
      </c>
      <c r="FF74">
        <v>108.21581908544589</v>
      </c>
      <c r="FG74">
        <v>108.48498933692187</v>
      </c>
      <c r="FH74">
        <v>108.74648171079197</v>
      </c>
      <c r="FI74">
        <v>109.04964999749158</v>
      </c>
      <c r="FJ74">
        <v>109.32741337694846</v>
      </c>
      <c r="FK74">
        <v>109.62933985225669</v>
      </c>
      <c r="FL74">
        <v>109.94013086376091</v>
      </c>
      <c r="FM74">
        <v>110.30512044118183</v>
      </c>
      <c r="FN74">
        <v>110.59034334808716</v>
      </c>
      <c r="FO74">
        <v>110.92714249533054</v>
      </c>
      <c r="FP74">
        <v>111.26814683208474</v>
      </c>
      <c r="FQ74">
        <v>111.53283856878872</v>
      </c>
      <c r="FR74">
        <v>111.9233601029641</v>
      </c>
      <c r="FS74">
        <v>112.37629828637327</v>
      </c>
      <c r="FT74">
        <v>112.84181610521061</v>
      </c>
      <c r="FU74">
        <v>113.36361314156983</v>
      </c>
      <c r="FV74">
        <v>113.7506698679683</v>
      </c>
      <c r="FW74">
        <v>114.29310166130723</v>
      </c>
      <c r="FX74">
        <v>114.81609425565607</v>
      </c>
      <c r="FY74">
        <v>115.42348313554363</v>
      </c>
      <c r="FZ74">
        <v>116.15128320714392</v>
      </c>
      <c r="GA74">
        <v>116.68593686265082</v>
      </c>
      <c r="GB74">
        <v>117.31765684212017</v>
      </c>
      <c r="GC74">
        <v>118.13720848480523</v>
      </c>
      <c r="GD74">
        <v>119.15032903001757</v>
      </c>
      <c r="GE74">
        <v>120.14843298582461</v>
      </c>
      <c r="GF74">
        <v>121.10364823409294</v>
      </c>
      <c r="GG74">
        <v>122.08182490725488</v>
      </c>
      <c r="GH74">
        <v>123.16908025722273</v>
      </c>
      <c r="GI74">
        <v>124.4763498791316</v>
      </c>
      <c r="GJ74">
        <v>125.58224883370211</v>
      </c>
      <c r="GK74">
        <v>127.11349837895148</v>
      </c>
      <c r="GL74">
        <v>128.89048855508818</v>
      </c>
      <c r="GM74">
        <v>131.38882095325013</v>
      </c>
      <c r="GN74">
        <v>134.15073054629903</v>
      </c>
      <c r="GO74">
        <v>138.06733762069757</v>
      </c>
      <c r="GP74">
        <v>143.08168885903791</v>
      </c>
      <c r="GQ74">
        <v>153.7116334176616</v>
      </c>
      <c r="GR74">
        <v>101.19367317874087</v>
      </c>
      <c r="GT74" s="8">
        <v>45398</v>
      </c>
      <c r="GU74">
        <v>156.76</v>
      </c>
    </row>
    <row r="75" spans="1:203" x14ac:dyDescent="0.45">
      <c r="A75">
        <v>84.679705068693707</v>
      </c>
      <c r="B75">
        <v>85.999384786685042</v>
      </c>
      <c r="C75">
        <v>86.849034616619718</v>
      </c>
      <c r="D75">
        <v>87.335600064397823</v>
      </c>
      <c r="E75">
        <v>87.836415124113259</v>
      </c>
      <c r="F75">
        <v>88.252737613537718</v>
      </c>
      <c r="G75">
        <v>88.520170993641059</v>
      </c>
      <c r="H75">
        <v>88.77455581097125</v>
      </c>
      <c r="I75">
        <v>89.052014373178636</v>
      </c>
      <c r="J75">
        <v>89.260091822877115</v>
      </c>
      <c r="K75">
        <v>89.417522525816182</v>
      </c>
      <c r="L75">
        <v>89.628463596869921</v>
      </c>
      <c r="M75">
        <v>89.790706858220545</v>
      </c>
      <c r="N75">
        <v>90.000100798095445</v>
      </c>
      <c r="O75">
        <v>90.218777381889836</v>
      </c>
      <c r="P75">
        <v>90.352338299609357</v>
      </c>
      <c r="Q75">
        <v>90.503725055968346</v>
      </c>
      <c r="R75">
        <v>90.676657099937401</v>
      </c>
      <c r="S75">
        <v>90.782458295349414</v>
      </c>
      <c r="T75">
        <v>90.917478639066147</v>
      </c>
      <c r="U75">
        <v>91.036321811314679</v>
      </c>
      <c r="V75">
        <v>91.162492869198061</v>
      </c>
      <c r="W75">
        <v>91.273119223345262</v>
      </c>
      <c r="X75">
        <v>91.389805985505092</v>
      </c>
      <c r="Y75">
        <v>91.497260241176761</v>
      </c>
      <c r="Z75">
        <v>91.621637536137754</v>
      </c>
      <c r="AA75">
        <v>91.726693253528722</v>
      </c>
      <c r="AB75">
        <v>91.825884035405707</v>
      </c>
      <c r="AC75">
        <v>91.936111738959923</v>
      </c>
      <c r="AD75">
        <v>92.032743066691197</v>
      </c>
      <c r="AE75">
        <v>92.106745327700963</v>
      </c>
      <c r="AF75">
        <v>92.182794129893196</v>
      </c>
      <c r="AG75">
        <v>92.30089994706772</v>
      </c>
      <c r="AH75">
        <v>92.390956870467605</v>
      </c>
      <c r="AI75">
        <v>92.493859730814989</v>
      </c>
      <c r="AJ75">
        <v>92.588186730638625</v>
      </c>
      <c r="AK75">
        <v>92.667770644398388</v>
      </c>
      <c r="AL75">
        <v>92.765666170783277</v>
      </c>
      <c r="AM75">
        <v>92.855822357335668</v>
      </c>
      <c r="AN75">
        <v>92.946926181998791</v>
      </c>
      <c r="AO75">
        <v>93.044558974251274</v>
      </c>
      <c r="AP75">
        <v>93.142164568126418</v>
      </c>
      <c r="AQ75">
        <v>93.224899354604034</v>
      </c>
      <c r="AR75">
        <v>93.329462307428656</v>
      </c>
      <c r="AS75">
        <v>93.414650338412912</v>
      </c>
      <c r="AT75">
        <v>93.506803417425019</v>
      </c>
      <c r="AU75">
        <v>93.585739730132715</v>
      </c>
      <c r="AV75">
        <v>93.668428559812739</v>
      </c>
      <c r="AW75">
        <v>93.768253384197692</v>
      </c>
      <c r="AX75">
        <v>93.8396277512891</v>
      </c>
      <c r="AY75">
        <v>93.936434958577195</v>
      </c>
      <c r="AZ75">
        <v>94.007984864771231</v>
      </c>
      <c r="BA75">
        <v>94.106234080776943</v>
      </c>
      <c r="BB75">
        <v>94.217966154979479</v>
      </c>
      <c r="BC75">
        <v>94.300823080427605</v>
      </c>
      <c r="BD75">
        <v>94.384655584724314</v>
      </c>
      <c r="BE75">
        <v>94.467142791926946</v>
      </c>
      <c r="BF75">
        <v>94.552591093412858</v>
      </c>
      <c r="BG75">
        <v>94.626367133663294</v>
      </c>
      <c r="BH75">
        <v>94.705813113311748</v>
      </c>
      <c r="BI75">
        <v>94.800612162114206</v>
      </c>
      <c r="BJ75">
        <v>94.884789630376304</v>
      </c>
      <c r="BK75">
        <v>94.98126728794341</v>
      </c>
      <c r="BL75">
        <v>95.04216162655392</v>
      </c>
      <c r="BM75">
        <v>95.105386559192468</v>
      </c>
      <c r="BN75">
        <v>95.178322419831275</v>
      </c>
      <c r="BO75">
        <v>95.245903558066829</v>
      </c>
      <c r="BP75">
        <v>95.316402121768434</v>
      </c>
      <c r="BQ75">
        <v>95.388695778174409</v>
      </c>
      <c r="BR75">
        <v>95.492135205610552</v>
      </c>
      <c r="BS75">
        <v>95.585690712667216</v>
      </c>
      <c r="BT75">
        <v>95.649442067468115</v>
      </c>
      <c r="BU75">
        <v>95.727538877321066</v>
      </c>
      <c r="BV75">
        <v>95.812895686587467</v>
      </c>
      <c r="BW75">
        <v>95.910821430541233</v>
      </c>
      <c r="BX75">
        <v>95.977436745940651</v>
      </c>
      <c r="BY75">
        <v>96.080953879245982</v>
      </c>
      <c r="BZ75">
        <v>96.161956803795761</v>
      </c>
      <c r="CA75">
        <v>96.252537097231979</v>
      </c>
      <c r="CB75">
        <v>96.314705529266107</v>
      </c>
      <c r="CC75">
        <v>96.422951320664865</v>
      </c>
      <c r="CD75">
        <v>96.519264344288004</v>
      </c>
      <c r="CE75">
        <v>96.621347266572613</v>
      </c>
      <c r="CF75">
        <v>96.702109804703412</v>
      </c>
      <c r="CG75">
        <v>96.771816941774787</v>
      </c>
      <c r="CH75">
        <v>96.878829978665081</v>
      </c>
      <c r="CI75">
        <v>96.975853356405338</v>
      </c>
      <c r="CJ75">
        <v>97.062007822717092</v>
      </c>
      <c r="CK75">
        <v>97.13976701496432</v>
      </c>
      <c r="CL75">
        <v>97.238951552699916</v>
      </c>
      <c r="CM75">
        <v>97.339164524037216</v>
      </c>
      <c r="CN75">
        <v>97.430782389444616</v>
      </c>
      <c r="CO75">
        <v>97.530692630400949</v>
      </c>
      <c r="CP75">
        <v>97.630641059070498</v>
      </c>
      <c r="CQ75">
        <v>97.717107189527141</v>
      </c>
      <c r="CR75">
        <v>97.800536972539035</v>
      </c>
      <c r="CS75">
        <v>97.882850251615253</v>
      </c>
      <c r="CT75">
        <v>97.968213227797008</v>
      </c>
      <c r="CU75">
        <v>98.062684729307108</v>
      </c>
      <c r="CV75">
        <v>98.181881544216949</v>
      </c>
      <c r="CW75">
        <v>98.272561290390385</v>
      </c>
      <c r="CX75">
        <v>98.391556091568788</v>
      </c>
      <c r="CY75">
        <v>98.486058327887591</v>
      </c>
      <c r="CZ75">
        <v>98.580548128785139</v>
      </c>
      <c r="DA75">
        <v>98.727440955870051</v>
      </c>
      <c r="DB75">
        <v>98.850608751117576</v>
      </c>
      <c r="DC75">
        <v>98.974536834962635</v>
      </c>
      <c r="DD75">
        <v>99.104788498025783</v>
      </c>
      <c r="DE75">
        <v>99.209383498629279</v>
      </c>
      <c r="DF75">
        <v>99.318490250050516</v>
      </c>
      <c r="DG75">
        <v>99.448025395119146</v>
      </c>
      <c r="DH75">
        <v>99.559841136915452</v>
      </c>
      <c r="DI75">
        <v>99.650085075042981</v>
      </c>
      <c r="DJ75">
        <v>99.7695841451836</v>
      </c>
      <c r="DK75">
        <v>99.873370949354339</v>
      </c>
      <c r="DL75">
        <v>99.977932461112999</v>
      </c>
      <c r="DM75">
        <v>100.15316858106631</v>
      </c>
      <c r="DN75">
        <v>100.27917947959951</v>
      </c>
      <c r="DO75">
        <v>100.42093994536604</v>
      </c>
      <c r="DP75">
        <v>100.54614235423824</v>
      </c>
      <c r="DQ75">
        <v>100.66895016408481</v>
      </c>
      <c r="DR75">
        <v>100.80757111630911</v>
      </c>
      <c r="DS75">
        <v>100.93115361934817</v>
      </c>
      <c r="DT75">
        <v>101.06883573094002</v>
      </c>
      <c r="DU75">
        <v>101.15983722516918</v>
      </c>
      <c r="DV75">
        <v>101.30449290379306</v>
      </c>
      <c r="DW75">
        <v>101.43147599679399</v>
      </c>
      <c r="DX75">
        <v>101.56332256346825</v>
      </c>
      <c r="DY75">
        <v>101.69380077652849</v>
      </c>
      <c r="DZ75">
        <v>101.83487912124428</v>
      </c>
      <c r="EA75">
        <v>101.996256284851</v>
      </c>
      <c r="EB75">
        <v>102.10478860721564</v>
      </c>
      <c r="EC75">
        <v>102.24743908929182</v>
      </c>
      <c r="ED75">
        <v>102.41095481360962</v>
      </c>
      <c r="EE75">
        <v>102.56693319684742</v>
      </c>
      <c r="EF75">
        <v>102.70813472035664</v>
      </c>
      <c r="EG75">
        <v>102.85375070203446</v>
      </c>
      <c r="EH75">
        <v>103.03212735344704</v>
      </c>
      <c r="EI75">
        <v>103.2272436235789</v>
      </c>
      <c r="EJ75">
        <v>103.42520428684969</v>
      </c>
      <c r="EK75">
        <v>103.61460699016484</v>
      </c>
      <c r="EL75">
        <v>103.77049137038661</v>
      </c>
      <c r="EM75">
        <v>103.94417554495728</v>
      </c>
      <c r="EN75">
        <v>104.14592026880361</v>
      </c>
      <c r="EO75">
        <v>104.34337049429963</v>
      </c>
      <c r="EP75">
        <v>104.54083730186346</v>
      </c>
      <c r="EQ75">
        <v>104.7348526017356</v>
      </c>
      <c r="ER75">
        <v>105.02084933099185</v>
      </c>
      <c r="ES75">
        <v>105.2081035217967</v>
      </c>
      <c r="ET75">
        <v>105.38765038322461</v>
      </c>
      <c r="EU75">
        <v>105.59005114626372</v>
      </c>
      <c r="EV75">
        <v>105.82913797032151</v>
      </c>
      <c r="EW75">
        <v>106.04147800758952</v>
      </c>
      <c r="EX75">
        <v>106.26172587744381</v>
      </c>
      <c r="EY75">
        <v>106.49820062137697</v>
      </c>
      <c r="EZ75">
        <v>106.81346669719673</v>
      </c>
      <c r="FA75">
        <v>107.04616247199947</v>
      </c>
      <c r="FB75">
        <v>107.35217101090569</v>
      </c>
      <c r="FC75">
        <v>107.57486552348307</v>
      </c>
      <c r="FD75">
        <v>107.77721960396019</v>
      </c>
      <c r="FE75">
        <v>108.03507079029805</v>
      </c>
      <c r="FF75">
        <v>108.25727701117292</v>
      </c>
      <c r="FG75">
        <v>108.50565918998497</v>
      </c>
      <c r="FH75">
        <v>108.79210773690761</v>
      </c>
      <c r="FI75">
        <v>109.09330027468573</v>
      </c>
      <c r="FJ75">
        <v>109.44086966239524</v>
      </c>
      <c r="FK75">
        <v>109.76299886575744</v>
      </c>
      <c r="FL75">
        <v>110.08964924862985</v>
      </c>
      <c r="FM75">
        <v>110.38995156300899</v>
      </c>
      <c r="FN75">
        <v>110.79541891554243</v>
      </c>
      <c r="FO75">
        <v>111.11789485683117</v>
      </c>
      <c r="FP75">
        <v>111.5639366605504</v>
      </c>
      <c r="FQ75">
        <v>111.87000068418111</v>
      </c>
      <c r="FR75">
        <v>112.25356852196333</v>
      </c>
      <c r="FS75">
        <v>112.65528899215063</v>
      </c>
      <c r="FT75">
        <v>113.11328920121456</v>
      </c>
      <c r="FU75">
        <v>113.55557893477058</v>
      </c>
      <c r="FV75">
        <v>114.04933651950815</v>
      </c>
      <c r="FW75">
        <v>114.58179845007605</v>
      </c>
      <c r="FX75">
        <v>115.07721876030205</v>
      </c>
      <c r="FY75">
        <v>115.60961740526849</v>
      </c>
      <c r="FZ75">
        <v>116.14089735504176</v>
      </c>
      <c r="GA75">
        <v>116.81797978350144</v>
      </c>
      <c r="GB75">
        <v>117.55348174185885</v>
      </c>
      <c r="GC75">
        <v>118.37151617050986</v>
      </c>
      <c r="GD75">
        <v>119.17205157355438</v>
      </c>
      <c r="GE75">
        <v>120.10212511928259</v>
      </c>
      <c r="GF75">
        <v>121.39305061661398</v>
      </c>
      <c r="GG75">
        <v>122.27346532545877</v>
      </c>
      <c r="GH75">
        <v>123.29417298656692</v>
      </c>
      <c r="GI75">
        <v>124.17348567334056</v>
      </c>
      <c r="GJ75">
        <v>125.24238264348784</v>
      </c>
      <c r="GK75">
        <v>127.1977601370407</v>
      </c>
      <c r="GL75">
        <v>128.95280381042451</v>
      </c>
      <c r="GM75">
        <v>130.98782664841073</v>
      </c>
      <c r="GN75">
        <v>134.21399625823909</v>
      </c>
      <c r="GO75">
        <v>137.41864494031623</v>
      </c>
      <c r="GP75">
        <v>142.88613340706434</v>
      </c>
      <c r="GQ75">
        <v>154.27267602295052</v>
      </c>
      <c r="GR75">
        <v>101.20655058991406</v>
      </c>
      <c r="GT75" s="8">
        <v>45399</v>
      </c>
      <c r="GU75">
        <v>155.66999999999999</v>
      </c>
    </row>
    <row r="76" spans="1:203" x14ac:dyDescent="0.45">
      <c r="A76">
        <v>84.652330974239376</v>
      </c>
      <c r="B76">
        <v>85.973800452588392</v>
      </c>
      <c r="C76">
        <v>86.788854629272933</v>
      </c>
      <c r="D76">
        <v>87.301442830225582</v>
      </c>
      <c r="E76">
        <v>87.776782086134162</v>
      </c>
      <c r="F76">
        <v>88.174492678780666</v>
      </c>
      <c r="G76">
        <v>88.450739493278533</v>
      </c>
      <c r="H76">
        <v>88.738860241059427</v>
      </c>
      <c r="I76">
        <v>88.968832526542457</v>
      </c>
      <c r="J76">
        <v>89.175622098542348</v>
      </c>
      <c r="K76">
        <v>89.399378577757531</v>
      </c>
      <c r="L76">
        <v>89.561969573413194</v>
      </c>
      <c r="M76">
        <v>89.732863884749293</v>
      </c>
      <c r="N76">
        <v>89.913569460722684</v>
      </c>
      <c r="O76">
        <v>90.100771631251021</v>
      </c>
      <c r="P76">
        <v>90.302195256184135</v>
      </c>
      <c r="Q76">
        <v>90.421337834705753</v>
      </c>
      <c r="R76">
        <v>90.569887251024085</v>
      </c>
      <c r="S76">
        <v>90.747639408181215</v>
      </c>
      <c r="T76">
        <v>90.885162770269787</v>
      </c>
      <c r="U76">
        <v>91.026524551872669</v>
      </c>
      <c r="V76">
        <v>91.137822597325268</v>
      </c>
      <c r="W76">
        <v>91.246510723664287</v>
      </c>
      <c r="X76">
        <v>91.387132175625453</v>
      </c>
      <c r="Y76">
        <v>91.4873317302403</v>
      </c>
      <c r="Z76">
        <v>91.62008967327715</v>
      </c>
      <c r="AA76">
        <v>91.70582809975312</v>
      </c>
      <c r="AB76">
        <v>91.809031876336093</v>
      </c>
      <c r="AC76">
        <v>91.89612023474497</v>
      </c>
      <c r="AD76">
        <v>91.989026266850686</v>
      </c>
      <c r="AE76">
        <v>92.090815456196097</v>
      </c>
      <c r="AF76">
        <v>92.182551070613357</v>
      </c>
      <c r="AG76">
        <v>92.304488314910643</v>
      </c>
      <c r="AH76">
        <v>92.390003647927585</v>
      </c>
      <c r="AI76">
        <v>92.482404247838673</v>
      </c>
      <c r="AJ76">
        <v>92.557954463406347</v>
      </c>
      <c r="AK76">
        <v>92.654494269386689</v>
      </c>
      <c r="AL76">
        <v>92.742529365101092</v>
      </c>
      <c r="AM76">
        <v>92.822505686227586</v>
      </c>
      <c r="AN76">
        <v>92.925441074232296</v>
      </c>
      <c r="AO76">
        <v>93.026350779859243</v>
      </c>
      <c r="AP76">
        <v>93.113375526767015</v>
      </c>
      <c r="AQ76">
        <v>93.209216879562035</v>
      </c>
      <c r="AR76">
        <v>93.285456915535349</v>
      </c>
      <c r="AS76">
        <v>93.37590542124758</v>
      </c>
      <c r="AT76">
        <v>93.463740943449707</v>
      </c>
      <c r="AU76">
        <v>93.547682639320399</v>
      </c>
      <c r="AV76">
        <v>93.622167959667337</v>
      </c>
      <c r="AW76">
        <v>93.70171089927635</v>
      </c>
      <c r="AX76">
        <v>93.807583432323995</v>
      </c>
      <c r="AY76">
        <v>93.869680100846793</v>
      </c>
      <c r="AZ76">
        <v>93.95721818995581</v>
      </c>
      <c r="BA76">
        <v>94.047951846725113</v>
      </c>
      <c r="BB76">
        <v>94.113971937961963</v>
      </c>
      <c r="BC76">
        <v>94.196062329171923</v>
      </c>
      <c r="BD76">
        <v>94.289368049366203</v>
      </c>
      <c r="BE76">
        <v>94.400338439189454</v>
      </c>
      <c r="BF76">
        <v>94.487336305287315</v>
      </c>
      <c r="BG76">
        <v>94.57230078115478</v>
      </c>
      <c r="BH76">
        <v>94.651750207599974</v>
      </c>
      <c r="BI76">
        <v>94.745660863974507</v>
      </c>
      <c r="BJ76">
        <v>94.824018975171754</v>
      </c>
      <c r="BK76">
        <v>94.910374407777297</v>
      </c>
      <c r="BL76">
        <v>94.99012720697921</v>
      </c>
      <c r="BM76">
        <v>95.08238042868561</v>
      </c>
      <c r="BN76">
        <v>95.157295442906204</v>
      </c>
      <c r="BO76">
        <v>95.243615854938568</v>
      </c>
      <c r="BP76">
        <v>95.320342314280651</v>
      </c>
      <c r="BQ76">
        <v>95.404275873921577</v>
      </c>
      <c r="BR76">
        <v>95.468617582700688</v>
      </c>
      <c r="BS76">
        <v>95.55245774056425</v>
      </c>
      <c r="BT76">
        <v>95.646547788449823</v>
      </c>
      <c r="BU76">
        <v>95.74575717350335</v>
      </c>
      <c r="BV76">
        <v>95.815194742432752</v>
      </c>
      <c r="BW76">
        <v>95.918810351843149</v>
      </c>
      <c r="BX76">
        <v>95.999591866829988</v>
      </c>
      <c r="BY76">
        <v>96.079616737613421</v>
      </c>
      <c r="BZ76">
        <v>96.144938320539353</v>
      </c>
      <c r="CA76">
        <v>96.224974793379687</v>
      </c>
      <c r="CB76">
        <v>96.301055001111095</v>
      </c>
      <c r="CC76">
        <v>96.392544592147431</v>
      </c>
      <c r="CD76">
        <v>96.498371504544224</v>
      </c>
      <c r="CE76">
        <v>96.575056883170021</v>
      </c>
      <c r="CF76">
        <v>96.659179371458848</v>
      </c>
      <c r="CG76">
        <v>96.752293532947647</v>
      </c>
      <c r="CH76">
        <v>96.875397568238412</v>
      </c>
      <c r="CI76">
        <v>96.957545186229268</v>
      </c>
      <c r="CJ76">
        <v>97.042648993930385</v>
      </c>
      <c r="CK76">
        <v>97.14497575521068</v>
      </c>
      <c r="CL76">
        <v>97.237966123999541</v>
      </c>
      <c r="CM76">
        <v>97.339000837532666</v>
      </c>
      <c r="CN76">
        <v>97.441848018451211</v>
      </c>
      <c r="CO76">
        <v>97.532291323799711</v>
      </c>
      <c r="CP76">
        <v>97.60239995211613</v>
      </c>
      <c r="CQ76">
        <v>97.707228470392067</v>
      </c>
      <c r="CR76">
        <v>97.788269940357949</v>
      </c>
      <c r="CS76">
        <v>97.865478037715235</v>
      </c>
      <c r="CT76">
        <v>97.98013499487368</v>
      </c>
      <c r="CU76">
        <v>98.066642980519546</v>
      </c>
      <c r="CV76">
        <v>98.209205760676809</v>
      </c>
      <c r="CW76">
        <v>98.291061974996424</v>
      </c>
      <c r="CX76">
        <v>98.40463045066916</v>
      </c>
      <c r="CY76">
        <v>98.49808763844419</v>
      </c>
      <c r="CZ76">
        <v>98.607024860695645</v>
      </c>
      <c r="DA76">
        <v>98.703373499823257</v>
      </c>
      <c r="DB76">
        <v>98.826117832279323</v>
      </c>
      <c r="DC76">
        <v>98.941985666108039</v>
      </c>
      <c r="DD76">
        <v>99.046765728888957</v>
      </c>
      <c r="DE76">
        <v>99.184684963167129</v>
      </c>
      <c r="DF76">
        <v>99.307883386652591</v>
      </c>
      <c r="DG76">
        <v>99.436607850785251</v>
      </c>
      <c r="DH76">
        <v>99.552469690795746</v>
      </c>
      <c r="DI76">
        <v>99.668950449682882</v>
      </c>
      <c r="DJ76">
        <v>99.759957129638337</v>
      </c>
      <c r="DK76">
        <v>99.865220414414949</v>
      </c>
      <c r="DL76">
        <v>99.974600924418695</v>
      </c>
      <c r="DM76">
        <v>100.09218794335615</v>
      </c>
      <c r="DN76">
        <v>100.22648076336077</v>
      </c>
      <c r="DO76">
        <v>100.40277432621201</v>
      </c>
      <c r="DP76">
        <v>100.52483618235892</v>
      </c>
      <c r="DQ76">
        <v>100.63727604730401</v>
      </c>
      <c r="DR76">
        <v>100.7771079605469</v>
      </c>
      <c r="DS76">
        <v>100.93064484164059</v>
      </c>
      <c r="DT76">
        <v>101.05706535147793</v>
      </c>
      <c r="DU76">
        <v>101.20508979620975</v>
      </c>
      <c r="DV76">
        <v>101.33728758071322</v>
      </c>
      <c r="DW76">
        <v>101.45323533177098</v>
      </c>
      <c r="DX76">
        <v>101.60847813389078</v>
      </c>
      <c r="DY76">
        <v>101.74372626753272</v>
      </c>
      <c r="DZ76">
        <v>101.89972773804351</v>
      </c>
      <c r="EA76">
        <v>102.05739305996659</v>
      </c>
      <c r="EB76">
        <v>102.21166441254077</v>
      </c>
      <c r="EC76">
        <v>102.36065511785496</v>
      </c>
      <c r="ED76">
        <v>102.49708790682504</v>
      </c>
      <c r="EE76">
        <v>102.6505618868506</v>
      </c>
      <c r="EF76">
        <v>102.76468110976359</v>
      </c>
      <c r="EG76">
        <v>102.93051985791629</v>
      </c>
      <c r="EH76">
        <v>103.14169272034613</v>
      </c>
      <c r="EI76">
        <v>103.31172915977982</v>
      </c>
      <c r="EJ76">
        <v>103.48999381529573</v>
      </c>
      <c r="EK76">
        <v>103.65248616873669</v>
      </c>
      <c r="EL76">
        <v>103.82090973889241</v>
      </c>
      <c r="EM76">
        <v>103.98108124982996</v>
      </c>
      <c r="EN76">
        <v>104.16913588056376</v>
      </c>
      <c r="EO76">
        <v>104.38271145556683</v>
      </c>
      <c r="EP76">
        <v>104.55028375935842</v>
      </c>
      <c r="EQ76">
        <v>104.75385226924347</v>
      </c>
      <c r="ER76">
        <v>104.96711750532414</v>
      </c>
      <c r="ES76">
        <v>105.17863957281396</v>
      </c>
      <c r="ET76">
        <v>105.36482767130634</v>
      </c>
      <c r="EU76">
        <v>105.54478673914774</v>
      </c>
      <c r="EV76">
        <v>105.83178866476538</v>
      </c>
      <c r="EW76">
        <v>106.0821720956891</v>
      </c>
      <c r="EX76">
        <v>106.32499420985852</v>
      </c>
      <c r="EY76">
        <v>106.60921118216322</v>
      </c>
      <c r="EZ76">
        <v>106.89426416320936</v>
      </c>
      <c r="FA76">
        <v>107.13912786619859</v>
      </c>
      <c r="FB76">
        <v>107.37943278333472</v>
      </c>
      <c r="FC76">
        <v>107.62739945519286</v>
      </c>
      <c r="FD76">
        <v>107.8282124342803</v>
      </c>
      <c r="FE76">
        <v>108.05578919837006</v>
      </c>
      <c r="FF76">
        <v>108.30051816293768</v>
      </c>
      <c r="FG76">
        <v>108.61532078618951</v>
      </c>
      <c r="FH76">
        <v>108.85999842565541</v>
      </c>
      <c r="FI76">
        <v>109.11335545055348</v>
      </c>
      <c r="FJ76">
        <v>109.4645146375947</v>
      </c>
      <c r="FK76">
        <v>109.8968993488245</v>
      </c>
      <c r="FL76">
        <v>110.22956909350287</v>
      </c>
      <c r="FM76">
        <v>110.57326592049893</v>
      </c>
      <c r="FN76">
        <v>110.87833678408984</v>
      </c>
      <c r="FO76">
        <v>111.28362822584856</v>
      </c>
      <c r="FP76">
        <v>111.73762067410307</v>
      </c>
      <c r="FQ76">
        <v>112.04084903538354</v>
      </c>
      <c r="FR76">
        <v>112.43053635151506</v>
      </c>
      <c r="FS76">
        <v>112.88321241734687</v>
      </c>
      <c r="FT76">
        <v>113.35542924748478</v>
      </c>
      <c r="FU76">
        <v>113.67181538879025</v>
      </c>
      <c r="FV76">
        <v>114.10406093996474</v>
      </c>
      <c r="FW76">
        <v>114.6197103596493</v>
      </c>
      <c r="FX76">
        <v>115.17144673792598</v>
      </c>
      <c r="FY76">
        <v>115.67947594052107</v>
      </c>
      <c r="FZ76">
        <v>116.28640735525482</v>
      </c>
      <c r="GA76">
        <v>116.88431727357806</v>
      </c>
      <c r="GB76">
        <v>117.65439425632717</v>
      </c>
      <c r="GC76">
        <v>118.33452414661333</v>
      </c>
      <c r="GD76">
        <v>119.35621996418372</v>
      </c>
      <c r="GE76">
        <v>120.21869840087625</v>
      </c>
      <c r="GF76">
        <v>121.32874749926344</v>
      </c>
      <c r="GG76">
        <v>121.99812817648565</v>
      </c>
      <c r="GH76">
        <v>122.88106250517208</v>
      </c>
      <c r="GI76">
        <v>124.18768403996417</v>
      </c>
      <c r="GJ76">
        <v>125.81321314617152</v>
      </c>
      <c r="GK76">
        <v>127.22582050358251</v>
      </c>
      <c r="GL76">
        <v>128.97885590070425</v>
      </c>
      <c r="GM76">
        <v>131.30287626927162</v>
      </c>
      <c r="GN76">
        <v>134.25044590920842</v>
      </c>
      <c r="GO76">
        <v>137.96310746074846</v>
      </c>
      <c r="GP76">
        <v>143.94454143574484</v>
      </c>
      <c r="GQ76">
        <v>154.57515548788425</v>
      </c>
      <c r="GR76">
        <v>101.21767569356209</v>
      </c>
      <c r="GT76" s="8">
        <v>45400</v>
      </c>
      <c r="GU76">
        <v>152.94</v>
      </c>
    </row>
    <row r="77" spans="1:203" x14ac:dyDescent="0.45">
      <c r="A77">
        <v>84.445532190374948</v>
      </c>
      <c r="B77">
        <v>85.771506629465961</v>
      </c>
      <c r="C77">
        <v>86.647905233642874</v>
      </c>
      <c r="D77">
        <v>87.236710225198408</v>
      </c>
      <c r="E77">
        <v>87.713032320046295</v>
      </c>
      <c r="F77">
        <v>88.102983109475673</v>
      </c>
      <c r="G77">
        <v>88.37382070905231</v>
      </c>
      <c r="H77">
        <v>88.594663197179784</v>
      </c>
      <c r="I77">
        <v>88.840321460645313</v>
      </c>
      <c r="J77">
        <v>89.067593720762318</v>
      </c>
      <c r="K77">
        <v>89.313687488391281</v>
      </c>
      <c r="L77">
        <v>89.499265200802384</v>
      </c>
      <c r="M77">
        <v>89.707079712736629</v>
      </c>
      <c r="N77">
        <v>89.921215891349462</v>
      </c>
      <c r="O77">
        <v>90.113891110633858</v>
      </c>
      <c r="P77">
        <v>90.249804726891057</v>
      </c>
      <c r="Q77">
        <v>90.393481629466152</v>
      </c>
      <c r="R77">
        <v>90.534903757685655</v>
      </c>
      <c r="S77">
        <v>90.692442627067408</v>
      </c>
      <c r="T77">
        <v>90.833400973564139</v>
      </c>
      <c r="U77">
        <v>90.949963896391779</v>
      </c>
      <c r="V77">
        <v>91.07014792749824</v>
      </c>
      <c r="W77">
        <v>91.214426890211783</v>
      </c>
      <c r="X77">
        <v>91.334034988121104</v>
      </c>
      <c r="Y77">
        <v>91.446396486996079</v>
      </c>
      <c r="Z77">
        <v>91.573734553066828</v>
      </c>
      <c r="AA77">
        <v>91.663422798754169</v>
      </c>
      <c r="AB77">
        <v>91.767293232997233</v>
      </c>
      <c r="AC77">
        <v>91.851061951778661</v>
      </c>
      <c r="AD77">
        <v>91.949129198129896</v>
      </c>
      <c r="AE77">
        <v>92.053778184843594</v>
      </c>
      <c r="AF77">
        <v>92.164300969595956</v>
      </c>
      <c r="AG77">
        <v>92.230504641830905</v>
      </c>
      <c r="AH77">
        <v>92.326697611094474</v>
      </c>
      <c r="AI77">
        <v>92.415619887730685</v>
      </c>
      <c r="AJ77">
        <v>92.519236709704998</v>
      </c>
      <c r="AK77">
        <v>92.623399083874986</v>
      </c>
      <c r="AL77">
        <v>92.698918022840573</v>
      </c>
      <c r="AM77">
        <v>92.796386640132866</v>
      </c>
      <c r="AN77">
        <v>92.886512606976325</v>
      </c>
      <c r="AO77">
        <v>92.987088686983569</v>
      </c>
      <c r="AP77">
        <v>93.091030331285992</v>
      </c>
      <c r="AQ77">
        <v>93.172549882014479</v>
      </c>
      <c r="AR77">
        <v>93.244934516933355</v>
      </c>
      <c r="AS77">
        <v>93.299483384988307</v>
      </c>
      <c r="AT77">
        <v>93.399615202340513</v>
      </c>
      <c r="AU77">
        <v>93.489182449046908</v>
      </c>
      <c r="AV77">
        <v>93.587367382012204</v>
      </c>
      <c r="AW77">
        <v>93.67098176757834</v>
      </c>
      <c r="AX77">
        <v>93.762812402996602</v>
      </c>
      <c r="AY77">
        <v>93.842456706088768</v>
      </c>
      <c r="AZ77">
        <v>93.916005724528702</v>
      </c>
      <c r="BA77">
        <v>94.02123318822548</v>
      </c>
      <c r="BB77">
        <v>94.094693916977377</v>
      </c>
      <c r="BC77">
        <v>94.180142421079452</v>
      </c>
      <c r="BD77">
        <v>94.259395012484731</v>
      </c>
      <c r="BE77">
        <v>94.331613706298441</v>
      </c>
      <c r="BF77">
        <v>94.423812461186898</v>
      </c>
      <c r="BG77">
        <v>94.520837524759742</v>
      </c>
      <c r="BH77">
        <v>94.595307205495928</v>
      </c>
      <c r="BI77">
        <v>94.670446135429074</v>
      </c>
      <c r="BJ77">
        <v>94.753233119384362</v>
      </c>
      <c r="BK77">
        <v>94.832436597633659</v>
      </c>
      <c r="BL77">
        <v>94.906277922704504</v>
      </c>
      <c r="BM77">
        <v>94.991957253470986</v>
      </c>
      <c r="BN77">
        <v>95.082185031011406</v>
      </c>
      <c r="BO77">
        <v>95.167010914880919</v>
      </c>
      <c r="BP77">
        <v>95.246066820414924</v>
      </c>
      <c r="BQ77">
        <v>95.337297597199054</v>
      </c>
      <c r="BR77">
        <v>95.426061531661674</v>
      </c>
      <c r="BS77">
        <v>95.522065707417568</v>
      </c>
      <c r="BT77">
        <v>95.605366634622513</v>
      </c>
      <c r="BU77">
        <v>95.706288422376602</v>
      </c>
      <c r="BV77">
        <v>95.797723522105258</v>
      </c>
      <c r="BW77">
        <v>95.896745168987167</v>
      </c>
      <c r="BX77">
        <v>95.985816107613573</v>
      </c>
      <c r="BY77">
        <v>96.078666218503599</v>
      </c>
      <c r="BZ77">
        <v>96.183211763668297</v>
      </c>
      <c r="CA77">
        <v>96.26806522135989</v>
      </c>
      <c r="CB77">
        <v>96.359268694646801</v>
      </c>
      <c r="CC77">
        <v>96.437644141240824</v>
      </c>
      <c r="CD77">
        <v>96.516515753930392</v>
      </c>
      <c r="CE77">
        <v>96.619463463558844</v>
      </c>
      <c r="CF77">
        <v>96.694293788090022</v>
      </c>
      <c r="CG77">
        <v>96.786972585620845</v>
      </c>
      <c r="CH77">
        <v>96.87298590601209</v>
      </c>
      <c r="CI77">
        <v>96.963359198821706</v>
      </c>
      <c r="CJ77">
        <v>97.064389049307195</v>
      </c>
      <c r="CK77">
        <v>97.175277819556797</v>
      </c>
      <c r="CL77">
        <v>97.280893753892329</v>
      </c>
      <c r="CM77">
        <v>97.382625034151218</v>
      </c>
      <c r="CN77">
        <v>97.47796106091063</v>
      </c>
      <c r="CO77">
        <v>97.5621785019475</v>
      </c>
      <c r="CP77">
        <v>97.662383188628581</v>
      </c>
      <c r="CQ77">
        <v>97.769980254846644</v>
      </c>
      <c r="CR77">
        <v>97.864701086515325</v>
      </c>
      <c r="CS77">
        <v>97.943242058849236</v>
      </c>
      <c r="CT77">
        <v>98.038326949504707</v>
      </c>
      <c r="CU77">
        <v>98.138152803728815</v>
      </c>
      <c r="CV77">
        <v>98.245504082660034</v>
      </c>
      <c r="CW77">
        <v>98.337568504000373</v>
      </c>
      <c r="CX77">
        <v>98.44487013114275</v>
      </c>
      <c r="CY77">
        <v>98.56525425151608</v>
      </c>
      <c r="CZ77">
        <v>98.688885498862035</v>
      </c>
      <c r="DA77">
        <v>98.786515053940946</v>
      </c>
      <c r="DB77">
        <v>98.89761505981626</v>
      </c>
      <c r="DC77">
        <v>98.99412321772617</v>
      </c>
      <c r="DD77">
        <v>99.118815089764112</v>
      </c>
      <c r="DE77">
        <v>99.219536218041554</v>
      </c>
      <c r="DF77">
        <v>99.328187841710644</v>
      </c>
      <c r="DG77">
        <v>99.475400466850132</v>
      </c>
      <c r="DH77">
        <v>99.578333059339897</v>
      </c>
      <c r="DI77">
        <v>99.685667212346999</v>
      </c>
      <c r="DJ77">
        <v>99.791632100391197</v>
      </c>
      <c r="DK77">
        <v>99.915642688134781</v>
      </c>
      <c r="DL77">
        <v>99.996804823976163</v>
      </c>
      <c r="DM77">
        <v>100.13311683011811</v>
      </c>
      <c r="DN77">
        <v>100.2602556150207</v>
      </c>
      <c r="DO77">
        <v>100.41702320489611</v>
      </c>
      <c r="DP77">
        <v>100.56898987142219</v>
      </c>
      <c r="DQ77">
        <v>100.72070594476271</v>
      </c>
      <c r="DR77">
        <v>100.84703740824335</v>
      </c>
      <c r="DS77">
        <v>100.96712956857353</v>
      </c>
      <c r="DT77">
        <v>101.08783815479337</v>
      </c>
      <c r="DU77">
        <v>101.17947240033267</v>
      </c>
      <c r="DV77">
        <v>101.33512519174494</v>
      </c>
      <c r="DW77">
        <v>101.48404499053699</v>
      </c>
      <c r="DX77">
        <v>101.59464647964739</v>
      </c>
      <c r="DY77">
        <v>101.74507048833887</v>
      </c>
      <c r="DZ77">
        <v>101.9032285211526</v>
      </c>
      <c r="EA77">
        <v>102.03514826057987</v>
      </c>
      <c r="EB77">
        <v>102.18168348672563</v>
      </c>
      <c r="EC77">
        <v>102.33829028863595</v>
      </c>
      <c r="ED77">
        <v>102.51963665483414</v>
      </c>
      <c r="EE77">
        <v>102.66851021019617</v>
      </c>
      <c r="EF77">
        <v>102.81527478442455</v>
      </c>
      <c r="EG77">
        <v>102.96973378130433</v>
      </c>
      <c r="EH77">
        <v>103.13814826992804</v>
      </c>
      <c r="EI77">
        <v>103.3028504179274</v>
      </c>
      <c r="EJ77">
        <v>103.47806081237675</v>
      </c>
      <c r="EK77">
        <v>103.65805000371284</v>
      </c>
      <c r="EL77">
        <v>103.85933253386065</v>
      </c>
      <c r="EM77">
        <v>104.04773326448068</v>
      </c>
      <c r="EN77">
        <v>104.21973760922954</v>
      </c>
      <c r="EO77">
        <v>104.42449373744621</v>
      </c>
      <c r="EP77">
        <v>104.62158841790276</v>
      </c>
      <c r="EQ77">
        <v>104.80585289306227</v>
      </c>
      <c r="ER77">
        <v>105.01425951088538</v>
      </c>
      <c r="ES77">
        <v>105.20180322482548</v>
      </c>
      <c r="ET77">
        <v>105.43438054729765</v>
      </c>
      <c r="EU77">
        <v>105.64896963185232</v>
      </c>
      <c r="EV77">
        <v>105.89562446179373</v>
      </c>
      <c r="EW77">
        <v>106.15927211715064</v>
      </c>
      <c r="EX77">
        <v>106.39604629248882</v>
      </c>
      <c r="EY77">
        <v>106.66558792615584</v>
      </c>
      <c r="EZ77">
        <v>106.95629394409332</v>
      </c>
      <c r="FA77">
        <v>107.18428129605557</v>
      </c>
      <c r="FB77">
        <v>107.392013656015</v>
      </c>
      <c r="FC77">
        <v>107.66935075049605</v>
      </c>
      <c r="FD77">
        <v>107.89473075993941</v>
      </c>
      <c r="FE77">
        <v>108.16898048558224</v>
      </c>
      <c r="FF77">
        <v>108.41435187151744</v>
      </c>
      <c r="FG77">
        <v>108.69131606729978</v>
      </c>
      <c r="FH77">
        <v>108.90103454558698</v>
      </c>
      <c r="FI77">
        <v>109.17441726222351</v>
      </c>
      <c r="FJ77">
        <v>109.50563258538212</v>
      </c>
      <c r="FK77">
        <v>109.81828212643275</v>
      </c>
      <c r="FL77">
        <v>110.18615841453806</v>
      </c>
      <c r="FM77">
        <v>110.6687826607028</v>
      </c>
      <c r="FN77">
        <v>111.06776929609882</v>
      </c>
      <c r="FO77">
        <v>111.36034611020663</v>
      </c>
      <c r="FP77">
        <v>111.6878752837378</v>
      </c>
      <c r="FQ77">
        <v>112.10062802212884</v>
      </c>
      <c r="FR77">
        <v>112.44189801617506</v>
      </c>
      <c r="FS77">
        <v>112.88660600043679</v>
      </c>
      <c r="FT77">
        <v>113.3117873781872</v>
      </c>
      <c r="FU77">
        <v>113.66718099290713</v>
      </c>
      <c r="FV77">
        <v>114.15003825955546</v>
      </c>
      <c r="FW77">
        <v>114.58905262213274</v>
      </c>
      <c r="FX77">
        <v>115.21328452339975</v>
      </c>
      <c r="FY77">
        <v>115.7301199379641</v>
      </c>
      <c r="FZ77">
        <v>116.32072928833625</v>
      </c>
      <c r="GA77">
        <v>117.15660335452147</v>
      </c>
      <c r="GB77">
        <v>117.73560090846425</v>
      </c>
      <c r="GC77">
        <v>118.45505303285238</v>
      </c>
      <c r="GD77">
        <v>119.14924306816516</v>
      </c>
      <c r="GE77">
        <v>120.27794372748741</v>
      </c>
      <c r="GF77">
        <v>121.153680820283</v>
      </c>
      <c r="GG77">
        <v>122.17734369605026</v>
      </c>
      <c r="GH77">
        <v>123.21482841137963</v>
      </c>
      <c r="GI77">
        <v>124.42559815990973</v>
      </c>
      <c r="GJ77">
        <v>125.69055097988742</v>
      </c>
      <c r="GK77">
        <v>127.57092139766215</v>
      </c>
      <c r="GL77">
        <v>129.13413497012829</v>
      </c>
      <c r="GM77">
        <v>131.61678092768821</v>
      </c>
      <c r="GN77">
        <v>134.33224366253467</v>
      </c>
      <c r="GO77">
        <v>138.74373017477353</v>
      </c>
      <c r="GP77">
        <v>144.97882199547465</v>
      </c>
      <c r="GQ77">
        <v>157.23013733004672</v>
      </c>
      <c r="GR77">
        <v>101.24581194392368</v>
      </c>
      <c r="GT77" s="8">
        <v>45401</v>
      </c>
      <c r="GU77">
        <v>148.06</v>
      </c>
    </row>
    <row r="78" spans="1:203" x14ac:dyDescent="0.45">
      <c r="A78">
        <v>84.211807623202873</v>
      </c>
      <c r="B78">
        <v>85.64477750637117</v>
      </c>
      <c r="C78">
        <v>86.565186988124424</v>
      </c>
      <c r="D78">
        <v>87.23577121807746</v>
      </c>
      <c r="E78">
        <v>87.608147493417988</v>
      </c>
      <c r="F78">
        <v>88.029763091209787</v>
      </c>
      <c r="G78">
        <v>88.286150984384008</v>
      </c>
      <c r="H78">
        <v>88.565522008252856</v>
      </c>
      <c r="I78">
        <v>88.812645659641674</v>
      </c>
      <c r="J78">
        <v>89.071348000109069</v>
      </c>
      <c r="K78">
        <v>89.308988972750143</v>
      </c>
      <c r="L78">
        <v>89.503396820243182</v>
      </c>
      <c r="M78">
        <v>89.671926027018699</v>
      </c>
      <c r="N78">
        <v>89.840164870493894</v>
      </c>
      <c r="O78">
        <v>90.061417285583545</v>
      </c>
      <c r="P78">
        <v>90.222774241185533</v>
      </c>
      <c r="Q78">
        <v>90.339296181366279</v>
      </c>
      <c r="R78">
        <v>90.472125694205332</v>
      </c>
      <c r="S78">
        <v>90.610047005553483</v>
      </c>
      <c r="T78">
        <v>90.74381477390655</v>
      </c>
      <c r="U78">
        <v>90.849414254490696</v>
      </c>
      <c r="V78">
        <v>91.001137403721245</v>
      </c>
      <c r="W78">
        <v>91.119462697700996</v>
      </c>
      <c r="X78">
        <v>91.243145213091253</v>
      </c>
      <c r="Y78">
        <v>91.377944444213</v>
      </c>
      <c r="Z78">
        <v>91.490716649807112</v>
      </c>
      <c r="AA78">
        <v>91.600240137247809</v>
      </c>
      <c r="AB78">
        <v>91.683554571804748</v>
      </c>
      <c r="AC78">
        <v>91.787959932826254</v>
      </c>
      <c r="AD78">
        <v>91.883324305541834</v>
      </c>
      <c r="AE78">
        <v>92.006701795217282</v>
      </c>
      <c r="AF78">
        <v>92.083716037141514</v>
      </c>
      <c r="AG78">
        <v>92.171898969660319</v>
      </c>
      <c r="AH78">
        <v>92.254752887411243</v>
      </c>
      <c r="AI78">
        <v>92.361529179414589</v>
      </c>
      <c r="AJ78">
        <v>92.46075598001255</v>
      </c>
      <c r="AK78">
        <v>92.567717217102086</v>
      </c>
      <c r="AL78">
        <v>92.662230240770356</v>
      </c>
      <c r="AM78">
        <v>92.749784766074853</v>
      </c>
      <c r="AN78">
        <v>92.850994405259456</v>
      </c>
      <c r="AO78">
        <v>92.925811183380247</v>
      </c>
      <c r="AP78">
        <v>93.028510719955207</v>
      </c>
      <c r="AQ78">
        <v>93.112801344801582</v>
      </c>
      <c r="AR78">
        <v>93.21758900162655</v>
      </c>
      <c r="AS78">
        <v>93.280927200734524</v>
      </c>
      <c r="AT78">
        <v>93.362279837556002</v>
      </c>
      <c r="AU78">
        <v>93.450634204806676</v>
      </c>
      <c r="AV78">
        <v>93.549298126728658</v>
      </c>
      <c r="AW78">
        <v>93.636917971771254</v>
      </c>
      <c r="AX78">
        <v>93.733578655382431</v>
      </c>
      <c r="AY78">
        <v>93.823371945296671</v>
      </c>
      <c r="AZ78">
        <v>93.912352430143542</v>
      </c>
      <c r="BA78">
        <v>93.982153657760108</v>
      </c>
      <c r="BB78">
        <v>94.056032136565335</v>
      </c>
      <c r="BC78">
        <v>94.135904752323995</v>
      </c>
      <c r="BD78">
        <v>94.228717678973325</v>
      </c>
      <c r="BE78">
        <v>94.303620208228622</v>
      </c>
      <c r="BF78">
        <v>94.386538104214281</v>
      </c>
      <c r="BG78">
        <v>94.499337380989857</v>
      </c>
      <c r="BH78">
        <v>94.592634504249645</v>
      </c>
      <c r="BI78">
        <v>94.676075744484606</v>
      </c>
      <c r="BJ78">
        <v>94.774672756312768</v>
      </c>
      <c r="BK78">
        <v>94.870580556998448</v>
      </c>
      <c r="BL78">
        <v>94.966851907039896</v>
      </c>
      <c r="BM78">
        <v>95.03905253974213</v>
      </c>
      <c r="BN78">
        <v>95.118325056836824</v>
      </c>
      <c r="BO78">
        <v>95.204120390926633</v>
      </c>
      <c r="BP78">
        <v>95.292333676488724</v>
      </c>
      <c r="BQ78">
        <v>95.359388729774565</v>
      </c>
      <c r="BR78">
        <v>95.441208580977076</v>
      </c>
      <c r="BS78">
        <v>95.526443472043496</v>
      </c>
      <c r="BT78">
        <v>95.608226472315224</v>
      </c>
      <c r="BU78">
        <v>95.695412270129964</v>
      </c>
      <c r="BV78">
        <v>95.791465481165716</v>
      </c>
      <c r="BW78">
        <v>95.863286235894279</v>
      </c>
      <c r="BX78">
        <v>95.965460533156303</v>
      </c>
      <c r="BY78">
        <v>96.029223878532108</v>
      </c>
      <c r="BZ78">
        <v>96.126260994644596</v>
      </c>
      <c r="CA78">
        <v>96.202837368359312</v>
      </c>
      <c r="CB78">
        <v>96.28946258561804</v>
      </c>
      <c r="CC78">
        <v>96.404175926302671</v>
      </c>
      <c r="CD78">
        <v>96.484106201568963</v>
      </c>
      <c r="CE78">
        <v>96.573940595909704</v>
      </c>
      <c r="CF78">
        <v>96.680332765812608</v>
      </c>
      <c r="CG78">
        <v>96.764805335979602</v>
      </c>
      <c r="CH78">
        <v>96.866649471778729</v>
      </c>
      <c r="CI78">
        <v>96.973211337929172</v>
      </c>
      <c r="CJ78">
        <v>97.045588075717816</v>
      </c>
      <c r="CK78">
        <v>97.117007286768668</v>
      </c>
      <c r="CL78">
        <v>97.208707906251348</v>
      </c>
      <c r="CM78">
        <v>97.289437041380936</v>
      </c>
      <c r="CN78">
        <v>97.396056673811572</v>
      </c>
      <c r="CO78">
        <v>97.488217609623931</v>
      </c>
      <c r="CP78">
        <v>97.60231461262542</v>
      </c>
      <c r="CQ78">
        <v>97.720132342594368</v>
      </c>
      <c r="CR78">
        <v>97.846842415048272</v>
      </c>
      <c r="CS78">
        <v>97.959851424482693</v>
      </c>
      <c r="CT78">
        <v>98.072686215883508</v>
      </c>
      <c r="CU78">
        <v>98.185441851627047</v>
      </c>
      <c r="CV78">
        <v>98.312832334027263</v>
      </c>
      <c r="CW78">
        <v>98.435653117616909</v>
      </c>
      <c r="CX78">
        <v>98.512590107944348</v>
      </c>
      <c r="CY78">
        <v>98.613285676543541</v>
      </c>
      <c r="CZ78">
        <v>98.702535206817075</v>
      </c>
      <c r="DA78">
        <v>98.780586155284908</v>
      </c>
      <c r="DB78">
        <v>98.906713060338816</v>
      </c>
      <c r="DC78">
        <v>99.002923506160585</v>
      </c>
      <c r="DD78">
        <v>99.117810310151171</v>
      </c>
      <c r="DE78">
        <v>99.236006025160393</v>
      </c>
      <c r="DF78">
        <v>99.363463876237361</v>
      </c>
      <c r="DG78">
        <v>99.480824685911188</v>
      </c>
      <c r="DH78">
        <v>99.61303721455748</v>
      </c>
      <c r="DI78">
        <v>99.736455209809989</v>
      </c>
      <c r="DJ78">
        <v>99.899094853001998</v>
      </c>
      <c r="DK78">
        <v>100.03167375723227</v>
      </c>
      <c r="DL78">
        <v>100.1336409475412</v>
      </c>
      <c r="DM78">
        <v>100.2443719470958</v>
      </c>
      <c r="DN78">
        <v>100.36107917049792</v>
      </c>
      <c r="DO78">
        <v>100.47662969566375</v>
      </c>
      <c r="DP78">
        <v>100.58554982233719</v>
      </c>
      <c r="DQ78">
        <v>100.71454431401598</v>
      </c>
      <c r="DR78">
        <v>100.81689270612343</v>
      </c>
      <c r="DS78">
        <v>100.94267615820399</v>
      </c>
      <c r="DT78">
        <v>101.0581670571265</v>
      </c>
      <c r="DU78">
        <v>101.18469290227856</v>
      </c>
      <c r="DV78">
        <v>101.29951348815322</v>
      </c>
      <c r="DW78">
        <v>101.41758376677996</v>
      </c>
      <c r="DX78">
        <v>101.55682733057053</v>
      </c>
      <c r="DY78">
        <v>101.70336653585849</v>
      </c>
      <c r="DZ78">
        <v>101.8630067582915</v>
      </c>
      <c r="EA78">
        <v>101.98354994771125</v>
      </c>
      <c r="EB78">
        <v>102.11349901796244</v>
      </c>
      <c r="EC78">
        <v>102.233628154488</v>
      </c>
      <c r="ED78">
        <v>102.39994401891063</v>
      </c>
      <c r="EE78">
        <v>102.60023777957186</v>
      </c>
      <c r="EF78">
        <v>102.7210897944954</v>
      </c>
      <c r="EG78">
        <v>102.85128505061952</v>
      </c>
      <c r="EH78">
        <v>103.02744099352427</v>
      </c>
      <c r="EI78">
        <v>103.25489291844427</v>
      </c>
      <c r="EJ78">
        <v>103.45626741023607</v>
      </c>
      <c r="EK78">
        <v>103.65498869801185</v>
      </c>
      <c r="EL78">
        <v>103.81234149504149</v>
      </c>
      <c r="EM78">
        <v>104.00592448682049</v>
      </c>
      <c r="EN78">
        <v>104.14689066564941</v>
      </c>
      <c r="EO78">
        <v>104.36233525148093</v>
      </c>
      <c r="EP78">
        <v>104.55946273585401</v>
      </c>
      <c r="EQ78">
        <v>104.76620133923001</v>
      </c>
      <c r="ER78">
        <v>104.95107344248849</v>
      </c>
      <c r="ES78">
        <v>105.14306893653897</v>
      </c>
      <c r="ET78">
        <v>105.43222306946724</v>
      </c>
      <c r="EU78">
        <v>105.68163407289823</v>
      </c>
      <c r="EV78">
        <v>105.96629595235852</v>
      </c>
      <c r="EW78">
        <v>106.19873755832758</v>
      </c>
      <c r="EX78">
        <v>106.41045174500417</v>
      </c>
      <c r="EY78">
        <v>106.63208234144821</v>
      </c>
      <c r="EZ78">
        <v>106.89919917179635</v>
      </c>
      <c r="FA78">
        <v>107.16073372543406</v>
      </c>
      <c r="FB78">
        <v>107.37315199653624</v>
      </c>
      <c r="FC78">
        <v>107.59918484336026</v>
      </c>
      <c r="FD78">
        <v>107.91847812146267</v>
      </c>
      <c r="FE78">
        <v>108.17861191639504</v>
      </c>
      <c r="FF78">
        <v>108.48214529317256</v>
      </c>
      <c r="FG78">
        <v>108.72096820231872</v>
      </c>
      <c r="FH78">
        <v>108.98604931694135</v>
      </c>
      <c r="FI78">
        <v>109.23966645540688</v>
      </c>
      <c r="FJ78">
        <v>109.55040003810259</v>
      </c>
      <c r="FK78">
        <v>109.89848829836394</v>
      </c>
      <c r="FL78">
        <v>110.27801233486372</v>
      </c>
      <c r="FM78">
        <v>110.62797834091464</v>
      </c>
      <c r="FN78">
        <v>111.05241637406365</v>
      </c>
      <c r="FO78">
        <v>111.39491556088616</v>
      </c>
      <c r="FP78">
        <v>111.6428097662461</v>
      </c>
      <c r="FQ78">
        <v>111.97759497500465</v>
      </c>
      <c r="FR78">
        <v>112.31933977001981</v>
      </c>
      <c r="FS78">
        <v>112.80283246638362</v>
      </c>
      <c r="FT78">
        <v>113.29775700952612</v>
      </c>
      <c r="FU78">
        <v>113.76397417322745</v>
      </c>
      <c r="FV78">
        <v>114.14030773451967</v>
      </c>
      <c r="FW78">
        <v>114.67964916183837</v>
      </c>
      <c r="FX78">
        <v>115.1672582638835</v>
      </c>
      <c r="FY78">
        <v>115.8475282187154</v>
      </c>
      <c r="FZ78">
        <v>116.57599899070016</v>
      </c>
      <c r="GA78">
        <v>117.25277641983932</v>
      </c>
      <c r="GB78">
        <v>117.94905931511312</v>
      </c>
      <c r="GC78">
        <v>118.6446792941618</v>
      </c>
      <c r="GD78">
        <v>119.35417183206923</v>
      </c>
      <c r="GE78">
        <v>120.22697027065315</v>
      </c>
      <c r="GF78">
        <v>121.20572169783135</v>
      </c>
      <c r="GG78">
        <v>122.20123985330359</v>
      </c>
      <c r="GH78">
        <v>123.49977580886048</v>
      </c>
      <c r="GI78">
        <v>124.50084865034459</v>
      </c>
      <c r="GJ78">
        <v>125.98376734126283</v>
      </c>
      <c r="GK78">
        <v>127.7769728970961</v>
      </c>
      <c r="GL78">
        <v>129.8486734664869</v>
      </c>
      <c r="GM78">
        <v>132.35329521515703</v>
      </c>
      <c r="GN78">
        <v>134.98517113100607</v>
      </c>
      <c r="GO78">
        <v>138.41008135687653</v>
      </c>
      <c r="GP78">
        <v>145.51227056416161</v>
      </c>
      <c r="GQ78">
        <v>156.30975602752684</v>
      </c>
      <c r="GR78">
        <v>101.24452624549851</v>
      </c>
      <c r="GT78" s="8">
        <v>45404</v>
      </c>
      <c r="GU78">
        <v>150.19</v>
      </c>
    </row>
    <row r="79" spans="1:203" x14ac:dyDescent="0.45">
      <c r="A79">
        <v>84.156704749904137</v>
      </c>
      <c r="B79">
        <v>85.519932603473194</v>
      </c>
      <c r="C79">
        <v>86.502932791842952</v>
      </c>
      <c r="D79">
        <v>87.052089248613456</v>
      </c>
      <c r="E79">
        <v>87.483595473667336</v>
      </c>
      <c r="F79">
        <v>87.855769307666947</v>
      </c>
      <c r="G79">
        <v>88.184216168985728</v>
      </c>
      <c r="H79">
        <v>88.469329369003106</v>
      </c>
      <c r="I79">
        <v>88.760083084677859</v>
      </c>
      <c r="J79">
        <v>89.049552676039553</v>
      </c>
      <c r="K79">
        <v>89.215878928130124</v>
      </c>
      <c r="L79">
        <v>89.399970576400108</v>
      </c>
      <c r="M79">
        <v>89.602677373899141</v>
      </c>
      <c r="N79">
        <v>89.776955584127535</v>
      </c>
      <c r="O79">
        <v>89.916140364528289</v>
      </c>
      <c r="P79">
        <v>90.087108267252944</v>
      </c>
      <c r="Q79">
        <v>90.232368026078618</v>
      </c>
      <c r="R79">
        <v>90.379959146017583</v>
      </c>
      <c r="S79">
        <v>90.50850593083328</v>
      </c>
      <c r="T79">
        <v>90.658160387543802</v>
      </c>
      <c r="U79">
        <v>90.782704800660383</v>
      </c>
      <c r="V79">
        <v>90.926645984881162</v>
      </c>
      <c r="W79">
        <v>91.046341875893219</v>
      </c>
      <c r="X79">
        <v>91.158166994820377</v>
      </c>
      <c r="Y79">
        <v>91.285693018373806</v>
      </c>
      <c r="Z79">
        <v>91.416802412085559</v>
      </c>
      <c r="AA79">
        <v>91.514305900092836</v>
      </c>
      <c r="AB79">
        <v>91.607865015032644</v>
      </c>
      <c r="AC79">
        <v>91.724124000640799</v>
      </c>
      <c r="AD79">
        <v>91.821393193700814</v>
      </c>
      <c r="AE79">
        <v>91.929633993595161</v>
      </c>
      <c r="AF79">
        <v>92.040111580009011</v>
      </c>
      <c r="AG79">
        <v>92.112910744046161</v>
      </c>
      <c r="AH79">
        <v>92.198634610662324</v>
      </c>
      <c r="AI79">
        <v>92.300417924967761</v>
      </c>
      <c r="AJ79">
        <v>92.406908858163533</v>
      </c>
      <c r="AK79">
        <v>92.511652352582615</v>
      </c>
      <c r="AL79">
        <v>92.597025841416581</v>
      </c>
      <c r="AM79">
        <v>92.696669847450138</v>
      </c>
      <c r="AN79">
        <v>92.793490398805076</v>
      </c>
      <c r="AO79">
        <v>92.882778342966688</v>
      </c>
      <c r="AP79">
        <v>92.986341351197723</v>
      </c>
      <c r="AQ79">
        <v>93.101088068743508</v>
      </c>
      <c r="AR79">
        <v>93.175222661839399</v>
      </c>
      <c r="AS79">
        <v>93.259595881876635</v>
      </c>
      <c r="AT79">
        <v>93.331394901485424</v>
      </c>
      <c r="AU79">
        <v>93.428663022539212</v>
      </c>
      <c r="AV79">
        <v>93.513427055466906</v>
      </c>
      <c r="AW79">
        <v>93.601489992598488</v>
      </c>
      <c r="AX79">
        <v>93.705553926611572</v>
      </c>
      <c r="AY79">
        <v>93.80555961268486</v>
      </c>
      <c r="AZ79">
        <v>93.890948413128058</v>
      </c>
      <c r="BA79">
        <v>93.977844037779519</v>
      </c>
      <c r="BB79">
        <v>94.074020791310659</v>
      </c>
      <c r="BC79">
        <v>94.1410680191442</v>
      </c>
      <c r="BD79">
        <v>94.214404853721675</v>
      </c>
      <c r="BE79">
        <v>94.27821061905361</v>
      </c>
      <c r="BF79">
        <v>94.364310582558403</v>
      </c>
      <c r="BG79">
        <v>94.440964520500827</v>
      </c>
      <c r="BH79">
        <v>94.532300797794562</v>
      </c>
      <c r="BI79">
        <v>94.611811218592962</v>
      </c>
      <c r="BJ79">
        <v>94.695137603889037</v>
      </c>
      <c r="BK79">
        <v>94.776961859365173</v>
      </c>
      <c r="BL79">
        <v>94.863869071170157</v>
      </c>
      <c r="BM79">
        <v>94.941087110142448</v>
      </c>
      <c r="BN79">
        <v>95.038843684918987</v>
      </c>
      <c r="BO79">
        <v>95.142026239175365</v>
      </c>
      <c r="BP79">
        <v>95.228962841087608</v>
      </c>
      <c r="BQ79">
        <v>95.302266475935838</v>
      </c>
      <c r="BR79">
        <v>95.385055893192217</v>
      </c>
      <c r="BS79">
        <v>95.463709605239799</v>
      </c>
      <c r="BT79">
        <v>95.556867505653798</v>
      </c>
      <c r="BU79">
        <v>95.653419680958081</v>
      </c>
      <c r="BV79">
        <v>95.739299922172734</v>
      </c>
      <c r="BW79">
        <v>95.830899542135725</v>
      </c>
      <c r="BX79">
        <v>95.914373341670654</v>
      </c>
      <c r="BY79">
        <v>96.001383394870061</v>
      </c>
      <c r="BZ79">
        <v>96.080664692279029</v>
      </c>
      <c r="CA79">
        <v>96.190308404314905</v>
      </c>
      <c r="CB79">
        <v>96.311662051385454</v>
      </c>
      <c r="CC79">
        <v>96.389449811780395</v>
      </c>
      <c r="CD79">
        <v>96.480851482156666</v>
      </c>
      <c r="CE79">
        <v>96.568994298179064</v>
      </c>
      <c r="CF79">
        <v>96.673573828590307</v>
      </c>
      <c r="CG79">
        <v>96.756574312290439</v>
      </c>
      <c r="CH79">
        <v>96.8359365922866</v>
      </c>
      <c r="CI79">
        <v>96.946189632974082</v>
      </c>
      <c r="CJ79">
        <v>97.061867556868819</v>
      </c>
      <c r="CK79">
        <v>97.145514667838711</v>
      </c>
      <c r="CL79">
        <v>97.219743210830359</v>
      </c>
      <c r="CM79">
        <v>97.310548939403006</v>
      </c>
      <c r="CN79">
        <v>97.406312147204375</v>
      </c>
      <c r="CO79">
        <v>97.489911279618127</v>
      </c>
      <c r="CP79">
        <v>97.571735899670443</v>
      </c>
      <c r="CQ79">
        <v>97.663930352925334</v>
      </c>
      <c r="CR79">
        <v>97.753373191793472</v>
      </c>
      <c r="CS79">
        <v>97.867958888616386</v>
      </c>
      <c r="CT79">
        <v>97.990538540802049</v>
      </c>
      <c r="CU79">
        <v>98.100198657955261</v>
      </c>
      <c r="CV79">
        <v>98.232202770639446</v>
      </c>
      <c r="CW79">
        <v>98.36403010066104</v>
      </c>
      <c r="CX79">
        <v>98.476002534717111</v>
      </c>
      <c r="CY79">
        <v>98.588956591681423</v>
      </c>
      <c r="CZ79">
        <v>98.709250663029366</v>
      </c>
      <c r="DA79">
        <v>98.824967276227696</v>
      </c>
      <c r="DB79">
        <v>98.95889031480219</v>
      </c>
      <c r="DC79">
        <v>99.051644853802003</v>
      </c>
      <c r="DD79">
        <v>99.180711007540722</v>
      </c>
      <c r="DE79">
        <v>99.27685337621071</v>
      </c>
      <c r="DF79">
        <v>99.370224029252171</v>
      </c>
      <c r="DG79">
        <v>99.479318204468555</v>
      </c>
      <c r="DH79">
        <v>99.597751165319863</v>
      </c>
      <c r="DI79">
        <v>99.713271243622245</v>
      </c>
      <c r="DJ79">
        <v>99.845920560698573</v>
      </c>
      <c r="DK79">
        <v>99.964187571840611</v>
      </c>
      <c r="DL79">
        <v>100.08141302123016</v>
      </c>
      <c r="DM79">
        <v>100.18858368483403</v>
      </c>
      <c r="DN79">
        <v>100.28590200410443</v>
      </c>
      <c r="DO79">
        <v>100.44159251814982</v>
      </c>
      <c r="DP79">
        <v>100.54191507559391</v>
      </c>
      <c r="DQ79">
        <v>100.65285907428198</v>
      </c>
      <c r="DR79">
        <v>100.77884046648417</v>
      </c>
      <c r="DS79">
        <v>100.91408884456659</v>
      </c>
      <c r="DT79">
        <v>101.06503276990892</v>
      </c>
      <c r="DU79">
        <v>101.19396720543921</v>
      </c>
      <c r="DV79">
        <v>101.30720008744956</v>
      </c>
      <c r="DW79">
        <v>101.43398235781569</v>
      </c>
      <c r="DX79">
        <v>101.5699780952457</v>
      </c>
      <c r="DY79">
        <v>101.69871152072679</v>
      </c>
      <c r="DZ79">
        <v>101.83822652946093</v>
      </c>
      <c r="EA79">
        <v>101.99817269307751</v>
      </c>
      <c r="EB79">
        <v>102.1550652730224</v>
      </c>
      <c r="EC79">
        <v>102.30392123845525</v>
      </c>
      <c r="ED79">
        <v>102.4427711514801</v>
      </c>
      <c r="EE79">
        <v>102.60085437232496</v>
      </c>
      <c r="EF79">
        <v>102.74231445293098</v>
      </c>
      <c r="EG79">
        <v>102.88346946117922</v>
      </c>
      <c r="EH79">
        <v>103.0301022581651</v>
      </c>
      <c r="EI79">
        <v>103.21722720710424</v>
      </c>
      <c r="EJ79">
        <v>103.36994411293692</v>
      </c>
      <c r="EK79">
        <v>103.54247874641405</v>
      </c>
      <c r="EL79">
        <v>103.72413808570478</v>
      </c>
      <c r="EM79">
        <v>103.91628140761826</v>
      </c>
      <c r="EN79">
        <v>104.12989028668777</v>
      </c>
      <c r="EO79">
        <v>104.35826139052182</v>
      </c>
      <c r="EP79">
        <v>104.58840922601087</v>
      </c>
      <c r="EQ79">
        <v>104.77810147146728</v>
      </c>
      <c r="ER79">
        <v>104.97437231840391</v>
      </c>
      <c r="ES79">
        <v>105.18744833122715</v>
      </c>
      <c r="ET79">
        <v>105.47293705932556</v>
      </c>
      <c r="EU79">
        <v>105.73054613435174</v>
      </c>
      <c r="EV79">
        <v>105.97737606251151</v>
      </c>
      <c r="EW79">
        <v>106.26308069598711</v>
      </c>
      <c r="EX79">
        <v>106.52291215695784</v>
      </c>
      <c r="EY79">
        <v>106.79426624094103</v>
      </c>
      <c r="EZ79">
        <v>107.01324725138221</v>
      </c>
      <c r="FA79">
        <v>107.24822920110414</v>
      </c>
      <c r="FB79">
        <v>107.4455367114172</v>
      </c>
      <c r="FC79">
        <v>107.74756495244048</v>
      </c>
      <c r="FD79">
        <v>107.97495869179258</v>
      </c>
      <c r="FE79">
        <v>108.26233190216065</v>
      </c>
      <c r="FF79">
        <v>108.5130272991734</v>
      </c>
      <c r="FG79">
        <v>108.81721766214902</v>
      </c>
      <c r="FH79">
        <v>109.13122959637028</v>
      </c>
      <c r="FI79">
        <v>109.45197772512068</v>
      </c>
      <c r="FJ79">
        <v>109.7283904775819</v>
      </c>
      <c r="FK79">
        <v>110.07179378243367</v>
      </c>
      <c r="FL79">
        <v>110.40296895809286</v>
      </c>
      <c r="FM79">
        <v>110.73584513265412</v>
      </c>
      <c r="FN79">
        <v>110.9982947196302</v>
      </c>
      <c r="FO79">
        <v>111.45127376691011</v>
      </c>
      <c r="FP79">
        <v>111.77142108750191</v>
      </c>
      <c r="FQ79">
        <v>112.10077485763476</v>
      </c>
      <c r="FR79">
        <v>112.50218850204968</v>
      </c>
      <c r="FS79">
        <v>112.9378380557994</v>
      </c>
      <c r="FT79">
        <v>113.32219027138088</v>
      </c>
      <c r="FU79">
        <v>113.87082325828877</v>
      </c>
      <c r="FV79">
        <v>114.35457157690975</v>
      </c>
      <c r="FW79">
        <v>114.89772000006246</v>
      </c>
      <c r="FX79">
        <v>115.42034898447926</v>
      </c>
      <c r="FY79">
        <v>116.00502012600376</v>
      </c>
      <c r="FZ79">
        <v>116.57466284408335</v>
      </c>
      <c r="GA79">
        <v>117.26343037582581</v>
      </c>
      <c r="GB79">
        <v>118.00184668915242</v>
      </c>
      <c r="GC79">
        <v>118.6008496402505</v>
      </c>
      <c r="GD79">
        <v>119.3150804491016</v>
      </c>
      <c r="GE79">
        <v>120.45226897396846</v>
      </c>
      <c r="GF79">
        <v>121.32923228214554</v>
      </c>
      <c r="GG79">
        <v>122.23673203888788</v>
      </c>
      <c r="GH79">
        <v>123.37833648196356</v>
      </c>
      <c r="GI79">
        <v>124.53539179054138</v>
      </c>
      <c r="GJ79">
        <v>126.29426623658421</v>
      </c>
      <c r="GK79">
        <v>127.88241822084021</v>
      </c>
      <c r="GL79">
        <v>130.12331956544546</v>
      </c>
      <c r="GM79">
        <v>132.56904796763629</v>
      </c>
      <c r="GN79">
        <v>135.75592934064858</v>
      </c>
      <c r="GO79">
        <v>139.36571010058327</v>
      </c>
      <c r="GP79">
        <v>145.95184286086018</v>
      </c>
      <c r="GQ79">
        <v>157.23354131584912</v>
      </c>
      <c r="GR79">
        <v>101.25899634738212</v>
      </c>
      <c r="GT79" s="8">
        <v>45405</v>
      </c>
      <c r="GU79">
        <v>162.62</v>
      </c>
    </row>
    <row r="80" spans="1:203" x14ac:dyDescent="0.45">
      <c r="A80">
        <v>83.964588756281259</v>
      </c>
      <c r="B80">
        <v>85.369942253927775</v>
      </c>
      <c r="C80">
        <v>86.26743087557341</v>
      </c>
      <c r="D80">
        <v>86.874189672194106</v>
      </c>
      <c r="E80">
        <v>87.372403072112604</v>
      </c>
      <c r="F80">
        <v>87.747011159584744</v>
      </c>
      <c r="G80">
        <v>88.112566048902352</v>
      </c>
      <c r="H80">
        <v>88.421634033098499</v>
      </c>
      <c r="I80">
        <v>88.69194036843993</v>
      </c>
      <c r="J80">
        <v>88.974541349893045</v>
      </c>
      <c r="K80">
        <v>89.175404871483863</v>
      </c>
      <c r="L80">
        <v>89.347071964094198</v>
      </c>
      <c r="M80">
        <v>89.524530563299265</v>
      </c>
      <c r="N80">
        <v>89.708112867201464</v>
      </c>
      <c r="O80">
        <v>89.866669308902871</v>
      </c>
      <c r="P80">
        <v>90.023719062923931</v>
      </c>
      <c r="Q80">
        <v>90.183571667614601</v>
      </c>
      <c r="R80">
        <v>90.338640539766871</v>
      </c>
      <c r="S80">
        <v>90.473212819520413</v>
      </c>
      <c r="T80">
        <v>90.635440511636276</v>
      </c>
      <c r="U80">
        <v>90.760939464830287</v>
      </c>
      <c r="V80">
        <v>90.915509781222099</v>
      </c>
      <c r="W80">
        <v>91.027688998658675</v>
      </c>
      <c r="X80">
        <v>91.140948861271241</v>
      </c>
      <c r="Y80">
        <v>91.246339497645309</v>
      </c>
      <c r="Z80">
        <v>91.368043767741383</v>
      </c>
      <c r="AA80">
        <v>91.494566991229547</v>
      </c>
      <c r="AB80">
        <v>91.591299137985317</v>
      </c>
      <c r="AC80">
        <v>91.674189289281728</v>
      </c>
      <c r="AD80">
        <v>91.773792009156864</v>
      </c>
      <c r="AE80">
        <v>91.863887206165572</v>
      </c>
      <c r="AF80">
        <v>91.96886708558597</v>
      </c>
      <c r="AG80">
        <v>92.065450454246204</v>
      </c>
      <c r="AH80">
        <v>92.178124954682815</v>
      </c>
      <c r="AI80">
        <v>92.287049787472071</v>
      </c>
      <c r="AJ80">
        <v>92.375646203227021</v>
      </c>
      <c r="AK80">
        <v>92.482124211181628</v>
      </c>
      <c r="AL80">
        <v>92.572423314175481</v>
      </c>
      <c r="AM80">
        <v>92.673855567054886</v>
      </c>
      <c r="AN80">
        <v>92.754976161300434</v>
      </c>
      <c r="AO80">
        <v>92.872849455055345</v>
      </c>
      <c r="AP80">
        <v>92.973495377030702</v>
      </c>
      <c r="AQ80">
        <v>93.088898514890431</v>
      </c>
      <c r="AR80">
        <v>93.168695937857009</v>
      </c>
      <c r="AS80">
        <v>93.246930449574762</v>
      </c>
      <c r="AT80">
        <v>93.327776915241316</v>
      </c>
      <c r="AU80">
        <v>93.407218623188825</v>
      </c>
      <c r="AV80">
        <v>93.476180093109292</v>
      </c>
      <c r="AW80">
        <v>93.566321872155413</v>
      </c>
      <c r="AX80">
        <v>93.651533554519446</v>
      </c>
      <c r="AY80">
        <v>93.728685299484724</v>
      </c>
      <c r="AZ80">
        <v>93.821249293697903</v>
      </c>
      <c r="BA80">
        <v>93.901414732789988</v>
      </c>
      <c r="BB80">
        <v>93.982022999383688</v>
      </c>
      <c r="BC80">
        <v>94.078235109181705</v>
      </c>
      <c r="BD80">
        <v>94.155670336866535</v>
      </c>
      <c r="BE80">
        <v>94.244716210660641</v>
      </c>
      <c r="BF80">
        <v>94.358457427988725</v>
      </c>
      <c r="BG80">
        <v>94.455773404959089</v>
      </c>
      <c r="BH80">
        <v>94.548800884887399</v>
      </c>
      <c r="BI80">
        <v>94.629062705968266</v>
      </c>
      <c r="BJ80">
        <v>94.73742396884218</v>
      </c>
      <c r="BK80">
        <v>94.823608818992625</v>
      </c>
      <c r="BL80">
        <v>94.907705524263292</v>
      </c>
      <c r="BM80">
        <v>94.993790602922758</v>
      </c>
      <c r="BN80">
        <v>95.090352201765981</v>
      </c>
      <c r="BO80">
        <v>95.17434804863322</v>
      </c>
      <c r="BP80">
        <v>95.249037819935225</v>
      </c>
      <c r="BQ80">
        <v>95.341285000643879</v>
      </c>
      <c r="BR80">
        <v>95.425694557552831</v>
      </c>
      <c r="BS80">
        <v>95.485905156493288</v>
      </c>
      <c r="BT80">
        <v>95.553273783251356</v>
      </c>
      <c r="BU80">
        <v>95.664885931749751</v>
      </c>
      <c r="BV80">
        <v>95.737695579531817</v>
      </c>
      <c r="BW80">
        <v>95.827528006087263</v>
      </c>
      <c r="BX80">
        <v>95.900193691386733</v>
      </c>
      <c r="BY80">
        <v>95.987863935858854</v>
      </c>
      <c r="BZ80">
        <v>96.072494675944768</v>
      </c>
      <c r="CA80">
        <v>96.161752445126695</v>
      </c>
      <c r="CB80">
        <v>96.245297111456651</v>
      </c>
      <c r="CC80">
        <v>96.333783579392204</v>
      </c>
      <c r="CD80">
        <v>96.402403780809223</v>
      </c>
      <c r="CE80">
        <v>96.51066681273241</v>
      </c>
      <c r="CF80">
        <v>96.595823870038089</v>
      </c>
      <c r="CG80">
        <v>96.705407692586164</v>
      </c>
      <c r="CH80">
        <v>96.786545174395826</v>
      </c>
      <c r="CI80">
        <v>96.86532320837901</v>
      </c>
      <c r="CJ80">
        <v>96.954559563816986</v>
      </c>
      <c r="CK80">
        <v>97.05237181983567</v>
      </c>
      <c r="CL80">
        <v>97.146989991712957</v>
      </c>
      <c r="CM80">
        <v>97.241575808528523</v>
      </c>
      <c r="CN80">
        <v>97.344315041724698</v>
      </c>
      <c r="CO80">
        <v>97.44577515502435</v>
      </c>
      <c r="CP80">
        <v>97.555895016073421</v>
      </c>
      <c r="CQ80">
        <v>97.657622606084288</v>
      </c>
      <c r="CR80">
        <v>97.775010549008499</v>
      </c>
      <c r="CS80">
        <v>97.906074440547769</v>
      </c>
      <c r="CT80">
        <v>98.019342863446425</v>
      </c>
      <c r="CU80">
        <v>98.132273232525407</v>
      </c>
      <c r="CV80">
        <v>98.254948212164322</v>
      </c>
      <c r="CW80">
        <v>98.359557155160431</v>
      </c>
      <c r="CX80">
        <v>98.478034252833837</v>
      </c>
      <c r="CY80">
        <v>98.601265781261915</v>
      </c>
      <c r="CZ80">
        <v>98.720606599318927</v>
      </c>
      <c r="DA80">
        <v>98.829211614285072</v>
      </c>
      <c r="DB80">
        <v>98.942842604324426</v>
      </c>
      <c r="DC80">
        <v>99.052195905033557</v>
      </c>
      <c r="DD80">
        <v>99.15020159650085</v>
      </c>
      <c r="DE80">
        <v>99.276374286090586</v>
      </c>
      <c r="DF80">
        <v>99.379938086315093</v>
      </c>
      <c r="DG80">
        <v>99.484097764125821</v>
      </c>
      <c r="DH80">
        <v>99.596461296591158</v>
      </c>
      <c r="DI80">
        <v>99.71393017401742</v>
      </c>
      <c r="DJ80">
        <v>99.826874117220683</v>
      </c>
      <c r="DK80">
        <v>99.918911865471969</v>
      </c>
      <c r="DL80">
        <v>100.07242759563198</v>
      </c>
      <c r="DM80">
        <v>100.23550471392582</v>
      </c>
      <c r="DN80">
        <v>100.36449656419008</v>
      </c>
      <c r="DO80">
        <v>100.48368763574888</v>
      </c>
      <c r="DP80">
        <v>100.61022057077331</v>
      </c>
      <c r="DQ80">
        <v>100.73239398398607</v>
      </c>
      <c r="DR80">
        <v>100.87022057452695</v>
      </c>
      <c r="DS80">
        <v>101.01264831756131</v>
      </c>
      <c r="DT80">
        <v>101.11384415880988</v>
      </c>
      <c r="DU80">
        <v>101.23133483206493</v>
      </c>
      <c r="DV80">
        <v>101.35820604774509</v>
      </c>
      <c r="DW80">
        <v>101.45118802154236</v>
      </c>
      <c r="DX80">
        <v>101.5784695834713</v>
      </c>
      <c r="DY80">
        <v>101.69887906325702</v>
      </c>
      <c r="DZ80">
        <v>101.84236154859715</v>
      </c>
      <c r="EA80">
        <v>102.0033760533276</v>
      </c>
      <c r="EB80">
        <v>102.11897888273609</v>
      </c>
      <c r="EC80">
        <v>102.28191239058685</v>
      </c>
      <c r="ED80">
        <v>102.41532056995143</v>
      </c>
      <c r="EE80">
        <v>102.57023416368551</v>
      </c>
      <c r="EF80">
        <v>102.72212914370424</v>
      </c>
      <c r="EG80">
        <v>102.86422420160274</v>
      </c>
      <c r="EH80">
        <v>103.03694794092583</v>
      </c>
      <c r="EI80">
        <v>103.20851909530238</v>
      </c>
      <c r="EJ80">
        <v>103.39678371630947</v>
      </c>
      <c r="EK80">
        <v>103.57142042278677</v>
      </c>
      <c r="EL80">
        <v>103.77461810733863</v>
      </c>
      <c r="EM80">
        <v>103.96160558733226</v>
      </c>
      <c r="EN80">
        <v>104.16066680700766</v>
      </c>
      <c r="EO80">
        <v>104.4054643220677</v>
      </c>
      <c r="EP80">
        <v>104.55533046009822</v>
      </c>
      <c r="EQ80">
        <v>104.75663869503184</v>
      </c>
      <c r="ER80">
        <v>104.9649904289046</v>
      </c>
      <c r="ES80">
        <v>105.19053518355777</v>
      </c>
      <c r="ET80">
        <v>105.40285071235577</v>
      </c>
      <c r="EU80">
        <v>105.64236065969583</v>
      </c>
      <c r="EV80">
        <v>105.88615009059276</v>
      </c>
      <c r="EW80">
        <v>106.14571935789026</v>
      </c>
      <c r="EX80">
        <v>106.41512470241318</v>
      </c>
      <c r="EY80">
        <v>106.67345805688778</v>
      </c>
      <c r="EZ80">
        <v>106.9968181332558</v>
      </c>
      <c r="FA80">
        <v>107.23350946309397</v>
      </c>
      <c r="FB80">
        <v>107.4404544013266</v>
      </c>
      <c r="FC80">
        <v>107.73239526493462</v>
      </c>
      <c r="FD80">
        <v>107.9977419691145</v>
      </c>
      <c r="FE80">
        <v>108.27751151749308</v>
      </c>
      <c r="FF80">
        <v>108.52653015040885</v>
      </c>
      <c r="FG80">
        <v>108.86774452413222</v>
      </c>
      <c r="FH80">
        <v>109.1553551297629</v>
      </c>
      <c r="FI80">
        <v>109.49593233563081</v>
      </c>
      <c r="FJ80">
        <v>109.8515151212773</v>
      </c>
      <c r="FK80">
        <v>110.19929936212702</v>
      </c>
      <c r="FL80">
        <v>110.48403278707237</v>
      </c>
      <c r="FM80">
        <v>110.78461652785903</v>
      </c>
      <c r="FN80">
        <v>111.24751594760188</v>
      </c>
      <c r="FO80">
        <v>111.57016560421518</v>
      </c>
      <c r="FP80">
        <v>111.90644862788002</v>
      </c>
      <c r="FQ80">
        <v>112.34233028565492</v>
      </c>
      <c r="FR80">
        <v>112.7150785207896</v>
      </c>
      <c r="FS80">
        <v>113.13701681874163</v>
      </c>
      <c r="FT80">
        <v>113.56548902422735</v>
      </c>
      <c r="FU80">
        <v>114.00432855642251</v>
      </c>
      <c r="FV80">
        <v>114.39303683530282</v>
      </c>
      <c r="FW80">
        <v>115.02327037467337</v>
      </c>
      <c r="FX80">
        <v>115.55045539785776</v>
      </c>
      <c r="FY80">
        <v>116.10397046069718</v>
      </c>
      <c r="FZ80">
        <v>116.63978385259067</v>
      </c>
      <c r="GA80">
        <v>117.2506757316833</v>
      </c>
      <c r="GB80">
        <v>117.93651957378242</v>
      </c>
      <c r="GC80">
        <v>118.58829374901683</v>
      </c>
      <c r="GD80">
        <v>119.22149276619876</v>
      </c>
      <c r="GE80">
        <v>120.10323578678991</v>
      </c>
      <c r="GF80">
        <v>121.00509576384694</v>
      </c>
      <c r="GG80">
        <v>122.01720298185066</v>
      </c>
      <c r="GH80">
        <v>123.16897997638249</v>
      </c>
      <c r="GI80">
        <v>124.49958918030266</v>
      </c>
      <c r="GJ80">
        <v>126.32872657621279</v>
      </c>
      <c r="GK80">
        <v>127.67610475026828</v>
      </c>
      <c r="GL80">
        <v>130.01767154452909</v>
      </c>
      <c r="GM80">
        <v>132.96222227941129</v>
      </c>
      <c r="GN80">
        <v>135.78075988610658</v>
      </c>
      <c r="GO80">
        <v>140.49730548761644</v>
      </c>
      <c r="GP80">
        <v>146.63699342635391</v>
      </c>
      <c r="GQ80">
        <v>157.95165157396869</v>
      </c>
      <c r="GR80">
        <v>101.25895250426935</v>
      </c>
      <c r="GT80" s="8">
        <v>45406</v>
      </c>
      <c r="GU80">
        <v>159.19</v>
      </c>
    </row>
    <row r="81" spans="1:203" x14ac:dyDescent="0.45">
      <c r="A81">
        <v>83.87504825862483</v>
      </c>
      <c r="B81">
        <v>85.220080562517026</v>
      </c>
      <c r="C81">
        <v>86.135191686562223</v>
      </c>
      <c r="D81">
        <v>86.831315877518605</v>
      </c>
      <c r="E81">
        <v>87.28679630965226</v>
      </c>
      <c r="F81">
        <v>87.723596994698724</v>
      </c>
      <c r="G81">
        <v>88.090742856891751</v>
      </c>
      <c r="H81">
        <v>88.340990901400701</v>
      </c>
      <c r="I81">
        <v>88.564916077684927</v>
      </c>
      <c r="J81">
        <v>88.797045940050154</v>
      </c>
      <c r="K81">
        <v>88.967786309785566</v>
      </c>
      <c r="L81">
        <v>89.150654757562975</v>
      </c>
      <c r="M81">
        <v>89.356874025164615</v>
      </c>
      <c r="N81">
        <v>89.507372457108403</v>
      </c>
      <c r="O81">
        <v>89.717381050085365</v>
      </c>
      <c r="P81">
        <v>89.887063880147139</v>
      </c>
      <c r="Q81">
        <v>90.102686019817071</v>
      </c>
      <c r="R81">
        <v>90.266196251210559</v>
      </c>
      <c r="S81">
        <v>90.400832905585688</v>
      </c>
      <c r="T81">
        <v>90.536123154610067</v>
      </c>
      <c r="U81">
        <v>90.699453377592945</v>
      </c>
      <c r="V81">
        <v>90.816542208917099</v>
      </c>
      <c r="W81">
        <v>90.933733676542658</v>
      </c>
      <c r="X81">
        <v>91.058902326719206</v>
      </c>
      <c r="Y81">
        <v>91.191230825025769</v>
      </c>
      <c r="Z81">
        <v>91.279884972927817</v>
      </c>
      <c r="AA81">
        <v>91.41083951540827</v>
      </c>
      <c r="AB81">
        <v>91.560336498925452</v>
      </c>
      <c r="AC81">
        <v>91.684577530543649</v>
      </c>
      <c r="AD81">
        <v>91.789581962910859</v>
      </c>
      <c r="AE81">
        <v>91.884944704103276</v>
      </c>
      <c r="AF81">
        <v>91.99737694337847</v>
      </c>
      <c r="AG81">
        <v>92.087879251632373</v>
      </c>
      <c r="AH81">
        <v>92.194715486965961</v>
      </c>
      <c r="AI81">
        <v>92.310664531709108</v>
      </c>
      <c r="AJ81">
        <v>92.377507489888984</v>
      </c>
      <c r="AK81">
        <v>92.447773117186827</v>
      </c>
      <c r="AL81">
        <v>92.568128605140316</v>
      </c>
      <c r="AM81">
        <v>92.668434429249587</v>
      </c>
      <c r="AN81">
        <v>92.775152141580222</v>
      </c>
      <c r="AO81">
        <v>92.867003173513993</v>
      </c>
      <c r="AP81">
        <v>92.956817735500223</v>
      </c>
      <c r="AQ81">
        <v>93.048733876128409</v>
      </c>
      <c r="AR81">
        <v>93.136352687237334</v>
      </c>
      <c r="AS81">
        <v>93.232077173056808</v>
      </c>
      <c r="AT81">
        <v>93.334006301692185</v>
      </c>
      <c r="AU81">
        <v>93.426899047522141</v>
      </c>
      <c r="AV81">
        <v>93.498194124588295</v>
      </c>
      <c r="AW81">
        <v>93.582441949394038</v>
      </c>
      <c r="AX81">
        <v>93.678552566041546</v>
      </c>
      <c r="AY81">
        <v>93.756505519354548</v>
      </c>
      <c r="AZ81">
        <v>93.843553974274187</v>
      </c>
      <c r="BA81">
        <v>93.929589224786724</v>
      </c>
      <c r="BB81">
        <v>94.005041148051006</v>
      </c>
      <c r="BC81">
        <v>94.085192035628026</v>
      </c>
      <c r="BD81">
        <v>94.172527186143483</v>
      </c>
      <c r="BE81">
        <v>94.264595630347841</v>
      </c>
      <c r="BF81">
        <v>94.369938633191481</v>
      </c>
      <c r="BG81">
        <v>94.457838171726806</v>
      </c>
      <c r="BH81">
        <v>94.529967811902836</v>
      </c>
      <c r="BI81">
        <v>94.621968817146481</v>
      </c>
      <c r="BJ81">
        <v>94.706035751960613</v>
      </c>
      <c r="BK81">
        <v>94.787382934323901</v>
      </c>
      <c r="BL81">
        <v>94.868817823684381</v>
      </c>
      <c r="BM81">
        <v>94.946190182809957</v>
      </c>
      <c r="BN81">
        <v>95.036267213659727</v>
      </c>
      <c r="BO81">
        <v>95.109197216173342</v>
      </c>
      <c r="BP81">
        <v>95.21427462556845</v>
      </c>
      <c r="BQ81">
        <v>95.302076912504063</v>
      </c>
      <c r="BR81">
        <v>95.41123521991824</v>
      </c>
      <c r="BS81">
        <v>95.471485367118902</v>
      </c>
      <c r="BT81">
        <v>95.542613047754401</v>
      </c>
      <c r="BU81">
        <v>95.636950779924931</v>
      </c>
      <c r="BV81">
        <v>95.727002704539615</v>
      </c>
      <c r="BW81">
        <v>95.814372896612099</v>
      </c>
      <c r="BX81">
        <v>95.891663575903479</v>
      </c>
      <c r="BY81">
        <v>96.000482024376339</v>
      </c>
      <c r="BZ81">
        <v>96.079387901242427</v>
      </c>
      <c r="CA81">
        <v>96.167791694130173</v>
      </c>
      <c r="CB81">
        <v>96.249563999136399</v>
      </c>
      <c r="CC81">
        <v>96.343211005020606</v>
      </c>
      <c r="CD81">
        <v>96.435886178697743</v>
      </c>
      <c r="CE81">
        <v>96.54086966019149</v>
      </c>
      <c r="CF81">
        <v>96.626654069514558</v>
      </c>
      <c r="CG81">
        <v>96.699687175376837</v>
      </c>
      <c r="CH81">
        <v>96.797347816659794</v>
      </c>
      <c r="CI81">
        <v>96.891013159655657</v>
      </c>
      <c r="CJ81">
        <v>97.000467151514243</v>
      </c>
      <c r="CK81">
        <v>97.089757015847809</v>
      </c>
      <c r="CL81">
        <v>97.187139054569371</v>
      </c>
      <c r="CM81">
        <v>97.284512128371929</v>
      </c>
      <c r="CN81">
        <v>97.397170886772244</v>
      </c>
      <c r="CO81">
        <v>97.486243287299061</v>
      </c>
      <c r="CP81">
        <v>97.595820128952596</v>
      </c>
      <c r="CQ81">
        <v>97.713743215206733</v>
      </c>
      <c r="CR81">
        <v>97.817101589801993</v>
      </c>
      <c r="CS81">
        <v>97.919442479916796</v>
      </c>
      <c r="CT81">
        <v>98.0719967067336</v>
      </c>
      <c r="CU81">
        <v>98.18627635094974</v>
      </c>
      <c r="CV81">
        <v>98.265740258901033</v>
      </c>
      <c r="CW81">
        <v>98.409858800709969</v>
      </c>
      <c r="CX81">
        <v>98.515392152890186</v>
      </c>
      <c r="CY81">
        <v>98.616227294449203</v>
      </c>
      <c r="CZ81">
        <v>98.720376921907402</v>
      </c>
      <c r="DA81">
        <v>98.830234768079052</v>
      </c>
      <c r="DB81">
        <v>98.942565759448556</v>
      </c>
      <c r="DC81">
        <v>99.059678427606841</v>
      </c>
      <c r="DD81">
        <v>99.169002528345274</v>
      </c>
      <c r="DE81">
        <v>99.268581671383956</v>
      </c>
      <c r="DF81">
        <v>99.38611196173504</v>
      </c>
      <c r="DG81">
        <v>99.504313889174242</v>
      </c>
      <c r="DH81">
        <v>99.622453042183665</v>
      </c>
      <c r="DI81">
        <v>99.755104394118916</v>
      </c>
      <c r="DJ81">
        <v>99.866250231732238</v>
      </c>
      <c r="DK81">
        <v>99.984115566577245</v>
      </c>
      <c r="DL81">
        <v>100.12165690207246</v>
      </c>
      <c r="DM81">
        <v>100.24514464031944</v>
      </c>
      <c r="DN81">
        <v>100.35601191453803</v>
      </c>
      <c r="DO81">
        <v>100.47236940376615</v>
      </c>
      <c r="DP81">
        <v>100.57965344473669</v>
      </c>
      <c r="DQ81">
        <v>100.73169664690533</v>
      </c>
      <c r="DR81">
        <v>100.85028306762283</v>
      </c>
      <c r="DS81">
        <v>100.98611915295855</v>
      </c>
      <c r="DT81">
        <v>101.0932565582075</v>
      </c>
      <c r="DU81">
        <v>101.20960828953764</v>
      </c>
      <c r="DV81">
        <v>101.34835711094202</v>
      </c>
      <c r="DW81">
        <v>101.47096855484118</v>
      </c>
      <c r="DX81">
        <v>101.62930462684611</v>
      </c>
      <c r="DY81">
        <v>101.75355567389971</v>
      </c>
      <c r="DZ81">
        <v>101.87612005866762</v>
      </c>
      <c r="EA81">
        <v>102.0009277807324</v>
      </c>
      <c r="EB81">
        <v>102.16207671326994</v>
      </c>
      <c r="EC81">
        <v>102.30781286009723</v>
      </c>
      <c r="ED81">
        <v>102.47194766352374</v>
      </c>
      <c r="EE81">
        <v>102.60705482645429</v>
      </c>
      <c r="EF81">
        <v>102.76958425539797</v>
      </c>
      <c r="EG81">
        <v>102.91359695837399</v>
      </c>
      <c r="EH81">
        <v>103.02879457919971</v>
      </c>
      <c r="EI81">
        <v>103.23067870826218</v>
      </c>
      <c r="EJ81">
        <v>103.39521637187384</v>
      </c>
      <c r="EK81">
        <v>103.57341698834071</v>
      </c>
      <c r="EL81">
        <v>103.7095126119618</v>
      </c>
      <c r="EM81">
        <v>103.88803595563243</v>
      </c>
      <c r="EN81">
        <v>104.10897857800053</v>
      </c>
      <c r="EO81">
        <v>104.31914916429298</v>
      </c>
      <c r="EP81">
        <v>104.52780394564957</v>
      </c>
      <c r="EQ81">
        <v>104.79356438560333</v>
      </c>
      <c r="ER81">
        <v>105.01385636594641</v>
      </c>
      <c r="ES81">
        <v>105.25248043859554</v>
      </c>
      <c r="ET81">
        <v>105.49459312364958</v>
      </c>
      <c r="EU81">
        <v>105.67354900957318</v>
      </c>
      <c r="EV81">
        <v>105.91637297633663</v>
      </c>
      <c r="EW81">
        <v>106.15862496299681</v>
      </c>
      <c r="EX81">
        <v>106.42765082698347</v>
      </c>
      <c r="EY81">
        <v>106.69966926077295</v>
      </c>
      <c r="EZ81">
        <v>106.89899466094164</v>
      </c>
      <c r="FA81">
        <v>107.17010607710115</v>
      </c>
      <c r="FB81">
        <v>107.46926722686574</v>
      </c>
      <c r="FC81">
        <v>107.69398117508676</v>
      </c>
      <c r="FD81">
        <v>107.96888976475192</v>
      </c>
      <c r="FE81">
        <v>108.32183896441877</v>
      </c>
      <c r="FF81">
        <v>108.5821828040814</v>
      </c>
      <c r="FG81">
        <v>108.98914289534859</v>
      </c>
      <c r="FH81">
        <v>109.34199044885631</v>
      </c>
      <c r="FI81">
        <v>109.60334408962538</v>
      </c>
      <c r="FJ81">
        <v>109.87132653760546</v>
      </c>
      <c r="FK81">
        <v>110.26067944757597</v>
      </c>
      <c r="FL81">
        <v>110.55177984387717</v>
      </c>
      <c r="FM81">
        <v>110.94629073021862</v>
      </c>
      <c r="FN81">
        <v>111.21557035043497</v>
      </c>
      <c r="FO81">
        <v>111.54905247010049</v>
      </c>
      <c r="FP81">
        <v>111.92432703644458</v>
      </c>
      <c r="FQ81">
        <v>112.31690591191953</v>
      </c>
      <c r="FR81">
        <v>112.68483549751164</v>
      </c>
      <c r="FS81">
        <v>113.0727498650069</v>
      </c>
      <c r="FT81">
        <v>113.41469194440059</v>
      </c>
      <c r="FU81">
        <v>113.7925730378175</v>
      </c>
      <c r="FV81">
        <v>114.31371319397961</v>
      </c>
      <c r="FW81">
        <v>114.7949284616296</v>
      </c>
      <c r="FX81">
        <v>115.27031597344107</v>
      </c>
      <c r="FY81">
        <v>115.83349317079819</v>
      </c>
      <c r="FZ81">
        <v>116.47986309086473</v>
      </c>
      <c r="GA81">
        <v>117.13500121252036</v>
      </c>
      <c r="GB81">
        <v>117.94264065563935</v>
      </c>
      <c r="GC81">
        <v>118.59587204769797</v>
      </c>
      <c r="GD81">
        <v>119.39223899907621</v>
      </c>
      <c r="GE81">
        <v>120.29403204318926</v>
      </c>
      <c r="GF81">
        <v>121.32638833642567</v>
      </c>
      <c r="GG81">
        <v>122.33977255607877</v>
      </c>
      <c r="GH81">
        <v>123.91782048447546</v>
      </c>
      <c r="GI81">
        <v>125.11553385053371</v>
      </c>
      <c r="GJ81">
        <v>126.4381308763415</v>
      </c>
      <c r="GK81">
        <v>128.12482755001071</v>
      </c>
      <c r="GL81">
        <v>130.62393496471537</v>
      </c>
      <c r="GM81">
        <v>133.62981179966116</v>
      </c>
      <c r="GN81">
        <v>136.48691469249809</v>
      </c>
      <c r="GO81">
        <v>140.75575153370556</v>
      </c>
      <c r="GP81">
        <v>148.14068569818954</v>
      </c>
      <c r="GQ81">
        <v>156.79165157253112</v>
      </c>
      <c r="GR81">
        <v>101.28731862923078</v>
      </c>
      <c r="GT81" s="8">
        <v>45407</v>
      </c>
      <c r="GU81">
        <v>161.26</v>
      </c>
    </row>
    <row r="82" spans="1:203" x14ac:dyDescent="0.45">
      <c r="A82">
        <v>83.740198744153417</v>
      </c>
      <c r="B82">
        <v>85.26292222689689</v>
      </c>
      <c r="C82">
        <v>85.988500483466112</v>
      </c>
      <c r="D82">
        <v>86.750718056461906</v>
      </c>
      <c r="E82">
        <v>87.249293609524827</v>
      </c>
      <c r="F82">
        <v>87.60702141294415</v>
      </c>
      <c r="G82">
        <v>87.94885736396688</v>
      </c>
      <c r="H82">
        <v>88.259639113792801</v>
      </c>
      <c r="I82">
        <v>88.455033456021752</v>
      </c>
      <c r="J82">
        <v>88.679234351725029</v>
      </c>
      <c r="K82">
        <v>88.893290571862394</v>
      </c>
      <c r="L82">
        <v>89.122344064261412</v>
      </c>
      <c r="M82">
        <v>89.331756405424954</v>
      </c>
      <c r="N82">
        <v>89.47487199946417</v>
      </c>
      <c r="O82">
        <v>89.692526786639235</v>
      </c>
      <c r="P82">
        <v>89.878457196633761</v>
      </c>
      <c r="Q82">
        <v>90.068873771334324</v>
      </c>
      <c r="R82">
        <v>90.23517959970367</v>
      </c>
      <c r="S82">
        <v>90.400648067287037</v>
      </c>
      <c r="T82">
        <v>90.519561446521806</v>
      </c>
      <c r="U82">
        <v>90.642286725561107</v>
      </c>
      <c r="V82">
        <v>90.761225892374469</v>
      </c>
      <c r="W82">
        <v>90.900229998265019</v>
      </c>
      <c r="X82">
        <v>91.022274921564915</v>
      </c>
      <c r="Y82">
        <v>91.157174726208623</v>
      </c>
      <c r="Z82">
        <v>91.266170192045465</v>
      </c>
      <c r="AA82">
        <v>91.419397786254777</v>
      </c>
      <c r="AB82">
        <v>91.514124645079221</v>
      </c>
      <c r="AC82">
        <v>91.620787116574434</v>
      </c>
      <c r="AD82">
        <v>91.730956320338265</v>
      </c>
      <c r="AE82">
        <v>91.834972860750483</v>
      </c>
      <c r="AF82">
        <v>91.958200978649899</v>
      </c>
      <c r="AG82">
        <v>92.064423023673854</v>
      </c>
      <c r="AH82">
        <v>92.164144969032705</v>
      </c>
      <c r="AI82">
        <v>92.257306840750331</v>
      </c>
      <c r="AJ82">
        <v>92.3670485559078</v>
      </c>
      <c r="AK82">
        <v>92.442853228591616</v>
      </c>
      <c r="AL82">
        <v>92.546459953408018</v>
      </c>
      <c r="AM82">
        <v>92.632982061025984</v>
      </c>
      <c r="AN82">
        <v>92.72004464664667</v>
      </c>
      <c r="AO82">
        <v>92.814377485191741</v>
      </c>
      <c r="AP82">
        <v>92.908619536573369</v>
      </c>
      <c r="AQ82">
        <v>92.990203248141853</v>
      </c>
      <c r="AR82">
        <v>93.097591303883547</v>
      </c>
      <c r="AS82">
        <v>93.178206942165488</v>
      </c>
      <c r="AT82">
        <v>93.259151752596807</v>
      </c>
      <c r="AU82">
        <v>93.338053545046506</v>
      </c>
      <c r="AV82">
        <v>93.414781909099489</v>
      </c>
      <c r="AW82">
        <v>93.485040298617974</v>
      </c>
      <c r="AX82">
        <v>93.579581261612034</v>
      </c>
      <c r="AY82">
        <v>93.644540841933292</v>
      </c>
      <c r="AZ82">
        <v>93.722093895639318</v>
      </c>
      <c r="BA82">
        <v>93.811377293623153</v>
      </c>
      <c r="BB82">
        <v>93.916981473574253</v>
      </c>
      <c r="BC82">
        <v>94.01611582408934</v>
      </c>
      <c r="BD82">
        <v>94.112372651701861</v>
      </c>
      <c r="BE82">
        <v>94.21521913106298</v>
      </c>
      <c r="BF82">
        <v>94.297610160286681</v>
      </c>
      <c r="BG82">
        <v>94.398211228449085</v>
      </c>
      <c r="BH82">
        <v>94.496427473389247</v>
      </c>
      <c r="BI82">
        <v>94.583434179528552</v>
      </c>
      <c r="BJ82">
        <v>94.663009972784664</v>
      </c>
      <c r="BK82">
        <v>94.752006637222337</v>
      </c>
      <c r="BL82">
        <v>94.845763615754606</v>
      </c>
      <c r="BM82">
        <v>94.91332499633117</v>
      </c>
      <c r="BN82">
        <v>95.014104796530447</v>
      </c>
      <c r="BO82">
        <v>95.090220888326371</v>
      </c>
      <c r="BP82">
        <v>95.147127044977111</v>
      </c>
      <c r="BQ82">
        <v>95.245173301087561</v>
      </c>
      <c r="BR82">
        <v>95.345769494798645</v>
      </c>
      <c r="BS82">
        <v>95.435066057881443</v>
      </c>
      <c r="BT82">
        <v>95.511524913040589</v>
      </c>
      <c r="BU82">
        <v>95.585077316973951</v>
      </c>
      <c r="BV82">
        <v>95.689243086928556</v>
      </c>
      <c r="BW82">
        <v>95.779801939891215</v>
      </c>
      <c r="BX82">
        <v>95.859410783671251</v>
      </c>
      <c r="BY82">
        <v>95.953818297569498</v>
      </c>
      <c r="BZ82">
        <v>96.050653223102202</v>
      </c>
      <c r="CA82">
        <v>96.178697899660818</v>
      </c>
      <c r="CB82">
        <v>96.26466709593322</v>
      </c>
      <c r="CC82">
        <v>96.390411749292284</v>
      </c>
      <c r="CD82">
        <v>96.500653873242783</v>
      </c>
      <c r="CE82">
        <v>96.586099768486363</v>
      </c>
      <c r="CF82">
        <v>96.664657908871433</v>
      </c>
      <c r="CG82">
        <v>96.75336248805506</v>
      </c>
      <c r="CH82">
        <v>96.849674406903574</v>
      </c>
      <c r="CI82">
        <v>96.937562631446824</v>
      </c>
      <c r="CJ82">
        <v>97.040977927823448</v>
      </c>
      <c r="CK82">
        <v>97.139972632154226</v>
      </c>
      <c r="CL82">
        <v>97.23938212711235</v>
      </c>
      <c r="CM82">
        <v>97.338152523916392</v>
      </c>
      <c r="CN82">
        <v>97.42229385712406</v>
      </c>
      <c r="CO82">
        <v>97.520745987878314</v>
      </c>
      <c r="CP82">
        <v>97.631986207774915</v>
      </c>
      <c r="CQ82">
        <v>97.737467485313346</v>
      </c>
      <c r="CR82">
        <v>97.833090361776669</v>
      </c>
      <c r="CS82">
        <v>97.93440860613056</v>
      </c>
      <c r="CT82">
        <v>98.039154350245113</v>
      </c>
      <c r="CU82">
        <v>98.163197285000578</v>
      </c>
      <c r="CV82">
        <v>98.253754713124081</v>
      </c>
      <c r="CW82">
        <v>98.353263660199602</v>
      </c>
      <c r="CX82">
        <v>98.474508966339869</v>
      </c>
      <c r="CY82">
        <v>98.576923548725603</v>
      </c>
      <c r="CZ82">
        <v>98.693468117018895</v>
      </c>
      <c r="DA82">
        <v>98.790840014234661</v>
      </c>
      <c r="DB82">
        <v>98.903388047288956</v>
      </c>
      <c r="DC82">
        <v>99.045221589830149</v>
      </c>
      <c r="DD82">
        <v>99.153536243146789</v>
      </c>
      <c r="DE82">
        <v>99.273522519661313</v>
      </c>
      <c r="DF82">
        <v>99.421493718951211</v>
      </c>
      <c r="DG82">
        <v>99.519015258829867</v>
      </c>
      <c r="DH82">
        <v>99.626647451117051</v>
      </c>
      <c r="DI82">
        <v>99.727817047939624</v>
      </c>
      <c r="DJ82">
        <v>99.829610511326294</v>
      </c>
      <c r="DK82">
        <v>99.947027258314094</v>
      </c>
      <c r="DL82">
        <v>100.06891347033471</v>
      </c>
      <c r="DM82">
        <v>100.18657550785876</v>
      </c>
      <c r="DN82">
        <v>100.30757880112195</v>
      </c>
      <c r="DO82">
        <v>100.4249281867226</v>
      </c>
      <c r="DP82">
        <v>100.57541299567497</v>
      </c>
      <c r="DQ82">
        <v>100.70376497677351</v>
      </c>
      <c r="DR82">
        <v>100.83377678680004</v>
      </c>
      <c r="DS82">
        <v>100.96835191493501</v>
      </c>
      <c r="DT82">
        <v>101.07373366096512</v>
      </c>
      <c r="DU82">
        <v>101.22284857448199</v>
      </c>
      <c r="DV82">
        <v>101.34542075690715</v>
      </c>
      <c r="DW82">
        <v>101.44498107678019</v>
      </c>
      <c r="DX82">
        <v>101.56789404781782</v>
      </c>
      <c r="DY82">
        <v>101.69362643947719</v>
      </c>
      <c r="DZ82">
        <v>101.8296895870199</v>
      </c>
      <c r="EA82">
        <v>102.00517940099752</v>
      </c>
      <c r="EB82">
        <v>102.13639811748497</v>
      </c>
      <c r="EC82">
        <v>102.26865116691887</v>
      </c>
      <c r="ED82">
        <v>102.44089927338568</v>
      </c>
      <c r="EE82">
        <v>102.60371652959876</v>
      </c>
      <c r="EF82">
        <v>102.77871672793826</v>
      </c>
      <c r="EG82">
        <v>102.93525559636142</v>
      </c>
      <c r="EH82">
        <v>103.10322548847427</v>
      </c>
      <c r="EI82">
        <v>103.28957801641614</v>
      </c>
      <c r="EJ82">
        <v>103.47954588141029</v>
      </c>
      <c r="EK82">
        <v>103.64822604042432</v>
      </c>
      <c r="EL82">
        <v>103.84133952785808</v>
      </c>
      <c r="EM82">
        <v>104.03044434370092</v>
      </c>
      <c r="EN82">
        <v>104.2373294090888</v>
      </c>
      <c r="EO82">
        <v>104.43977755035554</v>
      </c>
      <c r="EP82">
        <v>104.61548122054253</v>
      </c>
      <c r="EQ82">
        <v>104.88618195959646</v>
      </c>
      <c r="ER82">
        <v>105.08256019915318</v>
      </c>
      <c r="ES82">
        <v>105.25467026558142</v>
      </c>
      <c r="ET82">
        <v>105.45840366462228</v>
      </c>
      <c r="EU82">
        <v>105.67866874276986</v>
      </c>
      <c r="EV82">
        <v>105.88430638113321</v>
      </c>
      <c r="EW82">
        <v>106.12269142922476</v>
      </c>
      <c r="EX82">
        <v>106.35084517886416</v>
      </c>
      <c r="EY82">
        <v>106.59169027578797</v>
      </c>
      <c r="EZ82">
        <v>106.86103458277965</v>
      </c>
      <c r="FA82">
        <v>107.08958354795588</v>
      </c>
      <c r="FB82">
        <v>107.36860196011929</v>
      </c>
      <c r="FC82">
        <v>107.71913525266994</v>
      </c>
      <c r="FD82">
        <v>108.00028635837671</v>
      </c>
      <c r="FE82">
        <v>108.28841171111894</v>
      </c>
      <c r="FF82">
        <v>108.52924586587228</v>
      </c>
      <c r="FG82">
        <v>108.88784981295726</v>
      </c>
      <c r="FH82">
        <v>109.24419035015084</v>
      </c>
      <c r="FI82">
        <v>109.60552297583043</v>
      </c>
      <c r="FJ82">
        <v>109.92729212696349</v>
      </c>
      <c r="FK82">
        <v>110.27188644182387</v>
      </c>
      <c r="FL82">
        <v>110.53949012157454</v>
      </c>
      <c r="FM82">
        <v>110.8605993983943</v>
      </c>
      <c r="FN82">
        <v>111.23866062981338</v>
      </c>
      <c r="FO82">
        <v>111.55554783046146</v>
      </c>
      <c r="FP82">
        <v>111.94403204456816</v>
      </c>
      <c r="FQ82">
        <v>112.28541997422869</v>
      </c>
      <c r="FR82">
        <v>112.6616101476737</v>
      </c>
      <c r="FS82">
        <v>112.9927492516415</v>
      </c>
      <c r="FT82">
        <v>113.39333773196566</v>
      </c>
      <c r="FU82">
        <v>113.87351030687948</v>
      </c>
      <c r="FV82">
        <v>114.39138230402345</v>
      </c>
      <c r="FW82">
        <v>114.81293687297634</v>
      </c>
      <c r="FX82">
        <v>115.29819027545113</v>
      </c>
      <c r="FY82">
        <v>115.89300258076562</v>
      </c>
      <c r="FZ82">
        <v>116.43243595486268</v>
      </c>
      <c r="GA82">
        <v>117.21615651887166</v>
      </c>
      <c r="GB82">
        <v>117.96903543104513</v>
      </c>
      <c r="GC82">
        <v>118.98152857984266</v>
      </c>
      <c r="GD82">
        <v>119.87137046344617</v>
      </c>
      <c r="GE82">
        <v>120.67965270793376</v>
      </c>
      <c r="GF82">
        <v>121.56235253587494</v>
      </c>
      <c r="GG82">
        <v>122.70831039344269</v>
      </c>
      <c r="GH82">
        <v>123.79027686830813</v>
      </c>
      <c r="GI82">
        <v>125.01145623791714</v>
      </c>
      <c r="GJ82">
        <v>126.24308887542335</v>
      </c>
      <c r="GK82">
        <v>127.89250819815528</v>
      </c>
      <c r="GL82">
        <v>130.14745978457736</v>
      </c>
      <c r="GM82">
        <v>133.41849656105632</v>
      </c>
      <c r="GN82">
        <v>136.95142480115578</v>
      </c>
      <c r="GO82">
        <v>141.77956059554072</v>
      </c>
      <c r="GP82">
        <v>147.25533819700647</v>
      </c>
      <c r="GQ82">
        <v>157.27872533866426</v>
      </c>
      <c r="GR82">
        <v>101.28020485304091</v>
      </c>
      <c r="GT82" s="8">
        <v>45408</v>
      </c>
      <c r="GU82">
        <v>162.35</v>
      </c>
    </row>
    <row r="83" spans="1:203" x14ac:dyDescent="0.45">
      <c r="A83">
        <v>83.892529338023891</v>
      </c>
      <c r="B83">
        <v>85.029468238453831</v>
      </c>
      <c r="C83">
        <v>86.00744402930458</v>
      </c>
      <c r="D83">
        <v>86.675449540223852</v>
      </c>
      <c r="E83">
        <v>87.203667944819856</v>
      </c>
      <c r="F83">
        <v>87.558641687278936</v>
      </c>
      <c r="G83">
        <v>87.950719126302559</v>
      </c>
      <c r="H83">
        <v>88.198969541116398</v>
      </c>
      <c r="I83">
        <v>88.454799700328039</v>
      </c>
      <c r="J83">
        <v>88.713222187781184</v>
      </c>
      <c r="K83">
        <v>88.887889601995525</v>
      </c>
      <c r="L83">
        <v>89.086052462300685</v>
      </c>
      <c r="M83">
        <v>89.242011528916365</v>
      </c>
      <c r="N83">
        <v>89.392397486647226</v>
      </c>
      <c r="O83">
        <v>89.572201560304379</v>
      </c>
      <c r="P83">
        <v>89.732235659647756</v>
      </c>
      <c r="Q83">
        <v>89.920218234101696</v>
      </c>
      <c r="R83">
        <v>90.111489025163706</v>
      </c>
      <c r="S83">
        <v>90.270844982889315</v>
      </c>
      <c r="T83">
        <v>90.448369153905929</v>
      </c>
      <c r="U83">
        <v>90.567644430857698</v>
      </c>
      <c r="V83">
        <v>90.706345034325793</v>
      </c>
      <c r="W83">
        <v>90.838628597620442</v>
      </c>
      <c r="X83">
        <v>90.967489213330239</v>
      </c>
      <c r="Y83">
        <v>91.081041422359235</v>
      </c>
      <c r="Z83">
        <v>91.2197872314607</v>
      </c>
      <c r="AA83">
        <v>91.353187442774924</v>
      </c>
      <c r="AB83">
        <v>91.45826888135403</v>
      </c>
      <c r="AC83">
        <v>91.577159677619221</v>
      </c>
      <c r="AD83">
        <v>91.694769231013481</v>
      </c>
      <c r="AE83">
        <v>91.795312624378937</v>
      </c>
      <c r="AF83">
        <v>91.917340508225635</v>
      </c>
      <c r="AG83">
        <v>92.015522152514166</v>
      </c>
      <c r="AH83">
        <v>92.118637791875059</v>
      </c>
      <c r="AI83">
        <v>92.216078343947601</v>
      </c>
      <c r="AJ83">
        <v>92.313217042564617</v>
      </c>
      <c r="AK83">
        <v>92.397937093299987</v>
      </c>
      <c r="AL83">
        <v>92.481048523854497</v>
      </c>
      <c r="AM83">
        <v>92.577848861691834</v>
      </c>
      <c r="AN83">
        <v>92.68570029218202</v>
      </c>
      <c r="AO83">
        <v>92.761634718089269</v>
      </c>
      <c r="AP83">
        <v>92.84768881380937</v>
      </c>
      <c r="AQ83">
        <v>92.936405209436018</v>
      </c>
      <c r="AR83">
        <v>93.015181304819535</v>
      </c>
      <c r="AS83">
        <v>93.104905027232775</v>
      </c>
      <c r="AT83">
        <v>93.175236558691992</v>
      </c>
      <c r="AU83">
        <v>93.269090010612032</v>
      </c>
      <c r="AV83">
        <v>93.346619473959933</v>
      </c>
      <c r="AW83">
        <v>93.438301773623962</v>
      </c>
      <c r="AX83">
        <v>93.536465723971276</v>
      </c>
      <c r="AY83">
        <v>93.632444331713145</v>
      </c>
      <c r="AZ83">
        <v>93.70946504565218</v>
      </c>
      <c r="BA83">
        <v>93.816780311987131</v>
      </c>
      <c r="BB83">
        <v>93.881869822440009</v>
      </c>
      <c r="BC83">
        <v>93.952664989766646</v>
      </c>
      <c r="BD83">
        <v>94.071249724768293</v>
      </c>
      <c r="BE83">
        <v>94.168910124980926</v>
      </c>
      <c r="BF83">
        <v>94.256289475004465</v>
      </c>
      <c r="BG83">
        <v>94.362719141023007</v>
      </c>
      <c r="BH83">
        <v>94.490185094528314</v>
      </c>
      <c r="BI83">
        <v>94.563888121861837</v>
      </c>
      <c r="BJ83">
        <v>94.657223728734621</v>
      </c>
      <c r="BK83">
        <v>94.746582218737103</v>
      </c>
      <c r="BL83">
        <v>94.853701461296623</v>
      </c>
      <c r="BM83">
        <v>94.913928706187932</v>
      </c>
      <c r="BN83">
        <v>94.989643375711381</v>
      </c>
      <c r="BO83">
        <v>95.061137431230151</v>
      </c>
      <c r="BP83">
        <v>95.142888669888848</v>
      </c>
      <c r="BQ83">
        <v>95.227010898581909</v>
      </c>
      <c r="BR83">
        <v>95.30828443249284</v>
      </c>
      <c r="BS83">
        <v>95.372818164895861</v>
      </c>
      <c r="BT83">
        <v>95.466608771650897</v>
      </c>
      <c r="BU83">
        <v>95.540701793477197</v>
      </c>
      <c r="BV83">
        <v>95.631318276411832</v>
      </c>
      <c r="BW83">
        <v>95.72652091178837</v>
      </c>
      <c r="BX83">
        <v>95.808971613945559</v>
      </c>
      <c r="BY83">
        <v>95.90242247206254</v>
      </c>
      <c r="BZ83">
        <v>96.009270471746177</v>
      </c>
      <c r="CA83">
        <v>96.114017219141061</v>
      </c>
      <c r="CB83">
        <v>96.200975765936462</v>
      </c>
      <c r="CC83">
        <v>96.305316517321245</v>
      </c>
      <c r="CD83">
        <v>96.414915282395341</v>
      </c>
      <c r="CE83">
        <v>96.522204607057816</v>
      </c>
      <c r="CF83">
        <v>96.616613858331505</v>
      </c>
      <c r="CG83">
        <v>96.717788909229327</v>
      </c>
      <c r="CH83">
        <v>96.805819303171759</v>
      </c>
      <c r="CI83">
        <v>96.888360870816456</v>
      </c>
      <c r="CJ83">
        <v>97.00575877279779</v>
      </c>
      <c r="CK83">
        <v>97.105145044872756</v>
      </c>
      <c r="CL83">
        <v>97.21572557819492</v>
      </c>
      <c r="CM83">
        <v>97.333674342976622</v>
      </c>
      <c r="CN83">
        <v>97.396772681724713</v>
      </c>
      <c r="CO83">
        <v>97.491157178685654</v>
      </c>
      <c r="CP83">
        <v>97.590432788750874</v>
      </c>
      <c r="CQ83">
        <v>97.712227642683374</v>
      </c>
      <c r="CR83">
        <v>97.813648414144097</v>
      </c>
      <c r="CS83">
        <v>97.901236370722586</v>
      </c>
      <c r="CT83">
        <v>98.000070088882254</v>
      </c>
      <c r="CU83">
        <v>98.111254679315138</v>
      </c>
      <c r="CV83">
        <v>98.216382782734541</v>
      </c>
      <c r="CW83">
        <v>98.314289232274916</v>
      </c>
      <c r="CX83">
        <v>98.478040872295551</v>
      </c>
      <c r="CY83">
        <v>98.57666133358066</v>
      </c>
      <c r="CZ83">
        <v>98.677951385447201</v>
      </c>
      <c r="DA83">
        <v>98.781444279586736</v>
      </c>
      <c r="DB83">
        <v>98.903515030934102</v>
      </c>
      <c r="DC83">
        <v>99.029014760118528</v>
      </c>
      <c r="DD83">
        <v>99.137231050727138</v>
      </c>
      <c r="DE83">
        <v>99.246741760417621</v>
      </c>
      <c r="DF83">
        <v>99.35350591883271</v>
      </c>
      <c r="DG83">
        <v>99.467878236265221</v>
      </c>
      <c r="DH83">
        <v>99.568354400484253</v>
      </c>
      <c r="DI83">
        <v>99.684079105881295</v>
      </c>
      <c r="DJ83">
        <v>99.836766849305519</v>
      </c>
      <c r="DK83">
        <v>99.971964897996855</v>
      </c>
      <c r="DL83">
        <v>100.08211202216587</v>
      </c>
      <c r="DM83">
        <v>100.20196476916435</v>
      </c>
      <c r="DN83">
        <v>100.32166038452139</v>
      </c>
      <c r="DO83">
        <v>100.45678417922375</v>
      </c>
      <c r="DP83">
        <v>100.56865037671558</v>
      </c>
      <c r="DQ83">
        <v>100.68549092458953</v>
      </c>
      <c r="DR83">
        <v>100.80683295027983</v>
      </c>
      <c r="DS83">
        <v>100.92760905082056</v>
      </c>
      <c r="DT83">
        <v>101.07014802302622</v>
      </c>
      <c r="DU83">
        <v>101.20577523421578</v>
      </c>
      <c r="DV83">
        <v>101.37533129417483</v>
      </c>
      <c r="DW83">
        <v>101.52573629612719</v>
      </c>
      <c r="DX83">
        <v>101.64993564216418</v>
      </c>
      <c r="DY83">
        <v>101.82581576703878</v>
      </c>
      <c r="DZ83">
        <v>101.94688290011644</v>
      </c>
      <c r="EA83">
        <v>102.08612998548389</v>
      </c>
      <c r="EB83">
        <v>102.21162276779047</v>
      </c>
      <c r="EC83">
        <v>102.34690209524048</v>
      </c>
      <c r="ED83">
        <v>102.48118410379149</v>
      </c>
      <c r="EE83">
        <v>102.64466911220383</v>
      </c>
      <c r="EF83">
        <v>102.78015450078333</v>
      </c>
      <c r="EG83">
        <v>102.96583681097493</v>
      </c>
      <c r="EH83">
        <v>103.1301118884073</v>
      </c>
      <c r="EI83">
        <v>103.32220939034157</v>
      </c>
      <c r="EJ83">
        <v>103.48749792596048</v>
      </c>
      <c r="EK83">
        <v>103.65718500696507</v>
      </c>
      <c r="EL83">
        <v>103.82861811580801</v>
      </c>
      <c r="EM83">
        <v>104.02078485553348</v>
      </c>
      <c r="EN83">
        <v>104.25381560537514</v>
      </c>
      <c r="EO83">
        <v>104.54012587134329</v>
      </c>
      <c r="EP83">
        <v>104.74772078765085</v>
      </c>
      <c r="EQ83">
        <v>104.90899856512021</v>
      </c>
      <c r="ER83">
        <v>105.07755241997431</v>
      </c>
      <c r="ES83">
        <v>105.30966564187116</v>
      </c>
      <c r="ET83">
        <v>105.53404642429363</v>
      </c>
      <c r="EU83">
        <v>105.76360419845322</v>
      </c>
      <c r="EV83">
        <v>106.03333352983249</v>
      </c>
      <c r="EW83">
        <v>106.29345422619258</v>
      </c>
      <c r="EX83">
        <v>106.4727236504303</v>
      </c>
      <c r="EY83">
        <v>106.75524446879608</v>
      </c>
      <c r="EZ83">
        <v>106.99583627663772</v>
      </c>
      <c r="FA83">
        <v>107.30195202053433</v>
      </c>
      <c r="FB83">
        <v>107.534267958532</v>
      </c>
      <c r="FC83">
        <v>107.76475107138272</v>
      </c>
      <c r="FD83">
        <v>108.05630779744106</v>
      </c>
      <c r="FE83">
        <v>108.31558820265136</v>
      </c>
      <c r="FF83">
        <v>108.61607400556971</v>
      </c>
      <c r="FG83">
        <v>108.95018707517305</v>
      </c>
      <c r="FH83">
        <v>109.3073312577653</v>
      </c>
      <c r="FI83">
        <v>109.64282044887716</v>
      </c>
      <c r="FJ83">
        <v>109.93866432184342</v>
      </c>
      <c r="FK83">
        <v>110.21385045575008</v>
      </c>
      <c r="FL83">
        <v>110.57488608762995</v>
      </c>
      <c r="FM83">
        <v>110.92539756331419</v>
      </c>
      <c r="FN83">
        <v>111.29766136356241</v>
      </c>
      <c r="FO83">
        <v>111.65311983198271</v>
      </c>
      <c r="FP83">
        <v>111.99948729774184</v>
      </c>
      <c r="FQ83">
        <v>112.34031672637502</v>
      </c>
      <c r="FR83">
        <v>112.73506428212642</v>
      </c>
      <c r="FS83">
        <v>113.09317297803993</v>
      </c>
      <c r="FT83">
        <v>113.53337994112793</v>
      </c>
      <c r="FU83">
        <v>114.01443688066162</v>
      </c>
      <c r="FV83">
        <v>114.61010552947566</v>
      </c>
      <c r="FW83">
        <v>114.99292903918878</v>
      </c>
      <c r="FX83">
        <v>115.40972638632431</v>
      </c>
      <c r="FY83">
        <v>116.02315247582315</v>
      </c>
      <c r="FZ83">
        <v>116.73107527828977</v>
      </c>
      <c r="GA83">
        <v>117.47650733610446</v>
      </c>
      <c r="GB83">
        <v>118.3160431669278</v>
      </c>
      <c r="GC83">
        <v>119.28032970672348</v>
      </c>
      <c r="GD83">
        <v>120.24308428557394</v>
      </c>
      <c r="GE83">
        <v>120.95899833499813</v>
      </c>
      <c r="GF83">
        <v>121.80340838782104</v>
      </c>
      <c r="GG83">
        <v>122.86292266824813</v>
      </c>
      <c r="GH83">
        <v>123.98970539810321</v>
      </c>
      <c r="GI83">
        <v>125.21240093157004</v>
      </c>
      <c r="GJ83">
        <v>126.73362853463217</v>
      </c>
      <c r="GK83">
        <v>128.35244452814803</v>
      </c>
      <c r="GL83">
        <v>130.81892611037085</v>
      </c>
      <c r="GM83">
        <v>133.72537250847614</v>
      </c>
      <c r="GN83">
        <v>137.39200461340442</v>
      </c>
      <c r="GO83">
        <v>141.08715344714167</v>
      </c>
      <c r="GP83">
        <v>147.87241932838114</v>
      </c>
      <c r="GQ83">
        <v>157.60420942330609</v>
      </c>
      <c r="GR83">
        <v>101.2971924657497</v>
      </c>
      <c r="GT83" s="8">
        <v>45411</v>
      </c>
      <c r="GU83">
        <v>164.49</v>
      </c>
    </row>
    <row r="84" spans="1:203" x14ac:dyDescent="0.45">
      <c r="A84">
        <v>83.756279436064119</v>
      </c>
      <c r="B84">
        <v>85.003018084529558</v>
      </c>
      <c r="C84">
        <v>85.845683364199616</v>
      </c>
      <c r="D84">
        <v>86.566496082472597</v>
      </c>
      <c r="E84">
        <v>87.087413648694735</v>
      </c>
      <c r="F84">
        <v>87.46940094754649</v>
      </c>
      <c r="G84">
        <v>87.862855195723341</v>
      </c>
      <c r="H84">
        <v>88.198395534074621</v>
      </c>
      <c r="I84">
        <v>88.429267865550813</v>
      </c>
      <c r="J84">
        <v>88.645143411075736</v>
      </c>
      <c r="K84">
        <v>88.814399450611617</v>
      </c>
      <c r="L84">
        <v>89.005029083775185</v>
      </c>
      <c r="M84">
        <v>89.170590290693085</v>
      </c>
      <c r="N84">
        <v>89.388841385139685</v>
      </c>
      <c r="O84">
        <v>89.599921310991974</v>
      </c>
      <c r="P84">
        <v>89.745819213642832</v>
      </c>
      <c r="Q84">
        <v>89.889789729972179</v>
      </c>
      <c r="R84">
        <v>90.056734642955846</v>
      </c>
      <c r="S84">
        <v>90.179317381124349</v>
      </c>
      <c r="T84">
        <v>90.330606437493898</v>
      </c>
      <c r="U84">
        <v>90.493661345230649</v>
      </c>
      <c r="V84">
        <v>90.638643650900676</v>
      </c>
      <c r="W84">
        <v>90.795622262158702</v>
      </c>
      <c r="X84">
        <v>90.895038249329133</v>
      </c>
      <c r="Y84">
        <v>91.022340960431322</v>
      </c>
      <c r="Z84">
        <v>91.120573129819945</v>
      </c>
      <c r="AA84">
        <v>91.262947149965541</v>
      </c>
      <c r="AB84">
        <v>91.386230896245436</v>
      </c>
      <c r="AC84">
        <v>91.522982533411536</v>
      </c>
      <c r="AD84">
        <v>91.632201382196357</v>
      </c>
      <c r="AE84">
        <v>91.715421016498908</v>
      </c>
      <c r="AF84">
        <v>91.851807903173494</v>
      </c>
      <c r="AG84">
        <v>91.955403349863431</v>
      </c>
      <c r="AH84">
        <v>92.059894760066101</v>
      </c>
      <c r="AI84">
        <v>92.185192609497292</v>
      </c>
      <c r="AJ84">
        <v>92.262117554829487</v>
      </c>
      <c r="AK84">
        <v>92.35861825174247</v>
      </c>
      <c r="AL84">
        <v>92.456937769433736</v>
      </c>
      <c r="AM84">
        <v>92.536732797277224</v>
      </c>
      <c r="AN84">
        <v>92.650428206260514</v>
      </c>
      <c r="AO84">
        <v>92.734886380807694</v>
      </c>
      <c r="AP84">
        <v>92.839622249527068</v>
      </c>
      <c r="AQ84">
        <v>92.922093373736729</v>
      </c>
      <c r="AR84">
        <v>93.009403447866234</v>
      </c>
      <c r="AS84">
        <v>93.098725756290577</v>
      </c>
      <c r="AT84">
        <v>93.194869845991605</v>
      </c>
      <c r="AU84">
        <v>93.260326500892731</v>
      </c>
      <c r="AV84">
        <v>93.348848401959756</v>
      </c>
      <c r="AW84">
        <v>93.420290382524058</v>
      </c>
      <c r="AX84">
        <v>93.501078000044672</v>
      </c>
      <c r="AY84">
        <v>93.59881850502569</v>
      </c>
      <c r="AZ84">
        <v>93.680711383099577</v>
      </c>
      <c r="BA84">
        <v>93.768091714390906</v>
      </c>
      <c r="BB84">
        <v>93.857861780504692</v>
      </c>
      <c r="BC84">
        <v>93.939940298095991</v>
      </c>
      <c r="BD84">
        <v>94.051543802840087</v>
      </c>
      <c r="BE84">
        <v>94.145387998117144</v>
      </c>
      <c r="BF84">
        <v>94.260403381438792</v>
      </c>
      <c r="BG84">
        <v>94.327966300815092</v>
      </c>
      <c r="BH84">
        <v>94.425540758368257</v>
      </c>
      <c r="BI84">
        <v>94.511566940560698</v>
      </c>
      <c r="BJ84">
        <v>94.602770403406822</v>
      </c>
      <c r="BK84">
        <v>94.69358687775896</v>
      </c>
      <c r="BL84">
        <v>94.787832224605594</v>
      </c>
      <c r="BM84">
        <v>94.861051697844374</v>
      </c>
      <c r="BN84">
        <v>94.937098636889417</v>
      </c>
      <c r="BO84">
        <v>95.01793654949995</v>
      </c>
      <c r="BP84">
        <v>95.113836198364538</v>
      </c>
      <c r="BQ84">
        <v>95.229326378168409</v>
      </c>
      <c r="BR84">
        <v>95.306817324227865</v>
      </c>
      <c r="BS84">
        <v>95.37924722221527</v>
      </c>
      <c r="BT84">
        <v>95.431102379430271</v>
      </c>
      <c r="BU84">
        <v>95.513192145958072</v>
      </c>
      <c r="BV84">
        <v>95.58479301303197</v>
      </c>
      <c r="BW84">
        <v>95.6717838370555</v>
      </c>
      <c r="BX84">
        <v>95.757458085210999</v>
      </c>
      <c r="BY84">
        <v>95.833710941250686</v>
      </c>
      <c r="BZ84">
        <v>95.95856091651892</v>
      </c>
      <c r="CA84">
        <v>96.037650070899446</v>
      </c>
      <c r="CB84">
        <v>96.13817561304333</v>
      </c>
      <c r="CC84">
        <v>96.228881720389083</v>
      </c>
      <c r="CD84">
        <v>96.330723688699351</v>
      </c>
      <c r="CE84">
        <v>96.41539317884417</v>
      </c>
      <c r="CF84">
        <v>96.531824711618668</v>
      </c>
      <c r="CG84">
        <v>96.621319210657191</v>
      </c>
      <c r="CH84">
        <v>96.71790773016815</v>
      </c>
      <c r="CI84">
        <v>96.789712795959346</v>
      </c>
      <c r="CJ84">
        <v>96.891408154350529</v>
      </c>
      <c r="CK84">
        <v>96.983542324154143</v>
      </c>
      <c r="CL84">
        <v>97.102847281753952</v>
      </c>
      <c r="CM84">
        <v>97.20473883248178</v>
      </c>
      <c r="CN84">
        <v>97.297379982139617</v>
      </c>
      <c r="CO84">
        <v>97.388968484600142</v>
      </c>
      <c r="CP84">
        <v>97.484497574220441</v>
      </c>
      <c r="CQ84">
        <v>97.592016549469264</v>
      </c>
      <c r="CR84">
        <v>97.710899210637308</v>
      </c>
      <c r="CS84">
        <v>97.832542328018988</v>
      </c>
      <c r="CT84">
        <v>97.942673598149952</v>
      </c>
      <c r="CU84">
        <v>98.061792697936056</v>
      </c>
      <c r="CV84">
        <v>98.167481697473818</v>
      </c>
      <c r="CW84">
        <v>98.312405174523633</v>
      </c>
      <c r="CX84">
        <v>98.42810939193383</v>
      </c>
      <c r="CY84">
        <v>98.543634099512161</v>
      </c>
      <c r="CZ84">
        <v>98.674613494555416</v>
      </c>
      <c r="DA84">
        <v>98.754069745525129</v>
      </c>
      <c r="DB84">
        <v>98.882911904486875</v>
      </c>
      <c r="DC84">
        <v>99.008252766596343</v>
      </c>
      <c r="DD84">
        <v>99.147365034199083</v>
      </c>
      <c r="DE84">
        <v>99.257421474496368</v>
      </c>
      <c r="DF84">
        <v>99.358017354975303</v>
      </c>
      <c r="DG84">
        <v>99.461408205990693</v>
      </c>
      <c r="DH84">
        <v>99.594902026227018</v>
      </c>
      <c r="DI84">
        <v>99.707445483351805</v>
      </c>
      <c r="DJ84">
        <v>99.818530251476005</v>
      </c>
      <c r="DK84">
        <v>99.947244848952181</v>
      </c>
      <c r="DL84">
        <v>100.06872296842748</v>
      </c>
      <c r="DM84">
        <v>100.17331332486826</v>
      </c>
      <c r="DN84">
        <v>100.26502210457066</v>
      </c>
      <c r="DO84">
        <v>100.38607106759261</v>
      </c>
      <c r="DP84">
        <v>100.4991234487771</v>
      </c>
      <c r="DQ84">
        <v>100.60804715299257</v>
      </c>
      <c r="DR84">
        <v>100.76355070405913</v>
      </c>
      <c r="DS84">
        <v>100.85366117351265</v>
      </c>
      <c r="DT84">
        <v>100.98918761589636</v>
      </c>
      <c r="DU84">
        <v>101.15226165828804</v>
      </c>
      <c r="DV84">
        <v>101.28726515089895</v>
      </c>
      <c r="DW84">
        <v>101.45160745796289</v>
      </c>
      <c r="DX84">
        <v>101.60853981805239</v>
      </c>
      <c r="DY84">
        <v>101.76180732947333</v>
      </c>
      <c r="DZ84">
        <v>101.90196439328589</v>
      </c>
      <c r="EA84">
        <v>102.05114912049363</v>
      </c>
      <c r="EB84">
        <v>102.19136164193213</v>
      </c>
      <c r="EC84">
        <v>102.35044281221153</v>
      </c>
      <c r="ED84">
        <v>102.49170982125669</v>
      </c>
      <c r="EE84">
        <v>102.64449354875821</v>
      </c>
      <c r="EF84">
        <v>102.77670333631056</v>
      </c>
      <c r="EG84">
        <v>102.96689991413417</v>
      </c>
      <c r="EH84">
        <v>103.14932639977837</v>
      </c>
      <c r="EI84">
        <v>103.29695240168793</v>
      </c>
      <c r="EJ84">
        <v>103.51898351320422</v>
      </c>
      <c r="EK84">
        <v>103.67856461514721</v>
      </c>
      <c r="EL84">
        <v>103.85508059237071</v>
      </c>
      <c r="EM84">
        <v>104.0446782119636</v>
      </c>
      <c r="EN84">
        <v>104.2232239759151</v>
      </c>
      <c r="EO84">
        <v>104.4562419302822</v>
      </c>
      <c r="EP84">
        <v>104.70199959655885</v>
      </c>
      <c r="EQ84">
        <v>104.86308881376782</v>
      </c>
      <c r="ER84">
        <v>105.09105135930218</v>
      </c>
      <c r="ES84">
        <v>105.28614726583109</v>
      </c>
      <c r="ET84">
        <v>105.48541523356063</v>
      </c>
      <c r="EU84">
        <v>105.68111957053637</v>
      </c>
      <c r="EV84">
        <v>105.9079660876819</v>
      </c>
      <c r="EW84">
        <v>106.16733312653459</v>
      </c>
      <c r="EX84">
        <v>106.39125708744012</v>
      </c>
      <c r="EY84">
        <v>106.66945060879756</v>
      </c>
      <c r="EZ84">
        <v>106.92612422251153</v>
      </c>
      <c r="FA84">
        <v>107.21547800809712</v>
      </c>
      <c r="FB84">
        <v>107.42572851986043</v>
      </c>
      <c r="FC84">
        <v>107.60884131741801</v>
      </c>
      <c r="FD84">
        <v>107.87132039204013</v>
      </c>
      <c r="FE84">
        <v>108.17589165393969</v>
      </c>
      <c r="FF84">
        <v>108.51669401200544</v>
      </c>
      <c r="FG84">
        <v>108.78978007074075</v>
      </c>
      <c r="FH84">
        <v>109.04437843151594</v>
      </c>
      <c r="FI84">
        <v>109.3113458829019</v>
      </c>
      <c r="FJ84">
        <v>109.68498051031662</v>
      </c>
      <c r="FK84">
        <v>110.1075511903522</v>
      </c>
      <c r="FL84">
        <v>110.45404606056294</v>
      </c>
      <c r="FM84">
        <v>110.80914916130955</v>
      </c>
      <c r="FN84">
        <v>111.31363010236247</v>
      </c>
      <c r="FO84">
        <v>111.72358172487978</v>
      </c>
      <c r="FP84">
        <v>112.05926536900841</v>
      </c>
      <c r="FQ84">
        <v>112.45246869117975</v>
      </c>
      <c r="FR84">
        <v>112.89599190618814</v>
      </c>
      <c r="FS84">
        <v>113.2685066550285</v>
      </c>
      <c r="FT84">
        <v>113.72833881158272</v>
      </c>
      <c r="FU84">
        <v>114.24776703550783</v>
      </c>
      <c r="FV84">
        <v>114.6185457910335</v>
      </c>
      <c r="FW84">
        <v>115.09074952025129</v>
      </c>
      <c r="FX84">
        <v>115.59779406124294</v>
      </c>
      <c r="FY84">
        <v>116.10078496559895</v>
      </c>
      <c r="FZ84">
        <v>116.97762989339034</v>
      </c>
      <c r="GA84">
        <v>117.72097700608158</v>
      </c>
      <c r="GB84">
        <v>118.53294216660522</v>
      </c>
      <c r="GC84">
        <v>119.569248838185</v>
      </c>
      <c r="GD84">
        <v>120.50012265323952</v>
      </c>
      <c r="GE84">
        <v>121.26204572044493</v>
      </c>
      <c r="GF84">
        <v>122.38780128019158</v>
      </c>
      <c r="GG84">
        <v>123.29610058675108</v>
      </c>
      <c r="GH84">
        <v>124.42262982325516</v>
      </c>
      <c r="GI84">
        <v>125.42523968875933</v>
      </c>
      <c r="GJ84">
        <v>127.14294554099455</v>
      </c>
      <c r="GK84">
        <v>129.06037772119879</v>
      </c>
      <c r="GL84">
        <v>130.82818816366407</v>
      </c>
      <c r="GM84">
        <v>133.21233021087832</v>
      </c>
      <c r="GN84">
        <v>137.58989317363617</v>
      </c>
      <c r="GO84">
        <v>141.43415541311202</v>
      </c>
      <c r="GP84">
        <v>148.94912654961587</v>
      </c>
      <c r="GQ84">
        <v>158.26181761307919</v>
      </c>
      <c r="GR84">
        <v>101.28624192276821</v>
      </c>
      <c r="GT84" s="8">
        <v>45412</v>
      </c>
      <c r="GU84">
        <v>161.82</v>
      </c>
    </row>
    <row r="85" spans="1:203" x14ac:dyDescent="0.45">
      <c r="A85">
        <v>83.548015090677723</v>
      </c>
      <c r="B85">
        <v>84.954438326503677</v>
      </c>
      <c r="C85">
        <v>85.791620706616627</v>
      </c>
      <c r="D85">
        <v>86.462467713861415</v>
      </c>
      <c r="E85">
        <v>86.927630793548758</v>
      </c>
      <c r="F85">
        <v>87.318743234223604</v>
      </c>
      <c r="G85">
        <v>87.720381024722073</v>
      </c>
      <c r="H85">
        <v>88.00673196633349</v>
      </c>
      <c r="I85">
        <v>88.265572599137684</v>
      </c>
      <c r="J85">
        <v>88.530590955283316</v>
      </c>
      <c r="K85">
        <v>88.696464474832268</v>
      </c>
      <c r="L85">
        <v>88.870677262187812</v>
      </c>
      <c r="M85">
        <v>89.059750243822009</v>
      </c>
      <c r="N85">
        <v>89.267190699269705</v>
      </c>
      <c r="O85">
        <v>89.460102405566644</v>
      </c>
      <c r="P85">
        <v>89.598748490530625</v>
      </c>
      <c r="Q85">
        <v>89.796948458438081</v>
      </c>
      <c r="R85">
        <v>89.98611395975594</v>
      </c>
      <c r="S85">
        <v>90.16330780657907</v>
      </c>
      <c r="T85">
        <v>90.360739820032819</v>
      </c>
      <c r="U85">
        <v>90.464610259008822</v>
      </c>
      <c r="V85">
        <v>90.598093521623426</v>
      </c>
      <c r="W85">
        <v>90.71051332711788</v>
      </c>
      <c r="X85">
        <v>90.836932121674366</v>
      </c>
      <c r="Y85">
        <v>91.002691182771358</v>
      </c>
      <c r="Z85">
        <v>91.121213829830126</v>
      </c>
      <c r="AA85">
        <v>91.240917646168569</v>
      </c>
      <c r="AB85">
        <v>91.356274984548605</v>
      </c>
      <c r="AC85">
        <v>91.462088108590834</v>
      </c>
      <c r="AD85">
        <v>91.562755874847724</v>
      </c>
      <c r="AE85">
        <v>91.695576295608589</v>
      </c>
      <c r="AF85">
        <v>91.79686164418149</v>
      </c>
      <c r="AG85">
        <v>91.900692175834749</v>
      </c>
      <c r="AH85">
        <v>92.002448812915574</v>
      </c>
      <c r="AI85">
        <v>92.096872733516975</v>
      </c>
      <c r="AJ85">
        <v>92.208604425621402</v>
      </c>
      <c r="AK85">
        <v>92.309244960520942</v>
      </c>
      <c r="AL85">
        <v>92.398720512919255</v>
      </c>
      <c r="AM85">
        <v>92.495926425715083</v>
      </c>
      <c r="AN85">
        <v>92.601869449625696</v>
      </c>
      <c r="AO85">
        <v>92.699967294596561</v>
      </c>
      <c r="AP85">
        <v>92.807327706350648</v>
      </c>
      <c r="AQ85">
        <v>92.875283795806752</v>
      </c>
      <c r="AR85">
        <v>92.98189681862695</v>
      </c>
      <c r="AS85">
        <v>93.090131338999456</v>
      </c>
      <c r="AT85">
        <v>93.165932097163875</v>
      </c>
      <c r="AU85">
        <v>93.280164350023995</v>
      </c>
      <c r="AV85">
        <v>93.36565066421592</v>
      </c>
      <c r="AW85">
        <v>93.456507702630091</v>
      </c>
      <c r="AX85">
        <v>93.521370687284374</v>
      </c>
      <c r="AY85">
        <v>93.599109237743619</v>
      </c>
      <c r="AZ85">
        <v>93.686961006022955</v>
      </c>
      <c r="BA85">
        <v>93.77546798810242</v>
      </c>
      <c r="BB85">
        <v>93.860638333112263</v>
      </c>
      <c r="BC85">
        <v>93.965293414748203</v>
      </c>
      <c r="BD85">
        <v>94.053817686890525</v>
      </c>
      <c r="BE85">
        <v>94.141956254135238</v>
      </c>
      <c r="BF85">
        <v>94.206098102571303</v>
      </c>
      <c r="BG85">
        <v>94.282438450188209</v>
      </c>
      <c r="BH85">
        <v>94.366751564827155</v>
      </c>
      <c r="BI85">
        <v>94.442944606889839</v>
      </c>
      <c r="BJ85">
        <v>94.537726518080547</v>
      </c>
      <c r="BK85">
        <v>94.624507049151546</v>
      </c>
      <c r="BL85">
        <v>94.706725866185636</v>
      </c>
      <c r="BM85">
        <v>94.818744563696058</v>
      </c>
      <c r="BN85">
        <v>94.886842781881043</v>
      </c>
      <c r="BO85">
        <v>94.972962785892037</v>
      </c>
      <c r="BP85">
        <v>95.061595394943822</v>
      </c>
      <c r="BQ85">
        <v>95.148834925566121</v>
      </c>
      <c r="BR85">
        <v>95.229768413103997</v>
      </c>
      <c r="BS85">
        <v>95.316569621660776</v>
      </c>
      <c r="BT85">
        <v>95.42128342192872</v>
      </c>
      <c r="BU85">
        <v>95.519371277258145</v>
      </c>
      <c r="BV85">
        <v>95.595251119207362</v>
      </c>
      <c r="BW85">
        <v>95.663310386430055</v>
      </c>
      <c r="BX85">
        <v>95.730762323172257</v>
      </c>
      <c r="BY85">
        <v>95.822595253259877</v>
      </c>
      <c r="BZ85">
        <v>95.954249722476078</v>
      </c>
      <c r="CA85">
        <v>96.050010124113982</v>
      </c>
      <c r="CB85">
        <v>96.124490546441351</v>
      </c>
      <c r="CC85">
        <v>96.211134790395818</v>
      </c>
      <c r="CD85">
        <v>96.306080296347787</v>
      </c>
      <c r="CE85">
        <v>96.404289374569331</v>
      </c>
      <c r="CF85">
        <v>96.535373998354387</v>
      </c>
      <c r="CG85">
        <v>96.6314852790468</v>
      </c>
      <c r="CH85">
        <v>96.740052817835519</v>
      </c>
      <c r="CI85">
        <v>96.857042196061855</v>
      </c>
      <c r="CJ85">
        <v>96.959380775548553</v>
      </c>
      <c r="CK85">
        <v>97.060796120450505</v>
      </c>
      <c r="CL85">
        <v>97.157284729679247</v>
      </c>
      <c r="CM85">
        <v>97.236933050671681</v>
      </c>
      <c r="CN85">
        <v>97.343338545461833</v>
      </c>
      <c r="CO85">
        <v>97.431968463258983</v>
      </c>
      <c r="CP85">
        <v>97.526543391140279</v>
      </c>
      <c r="CQ85">
        <v>97.625315284946126</v>
      </c>
      <c r="CR85">
        <v>97.723741811052008</v>
      </c>
      <c r="CS85">
        <v>97.835868614103816</v>
      </c>
      <c r="CT85">
        <v>97.933783535820552</v>
      </c>
      <c r="CU85">
        <v>98.034033447327914</v>
      </c>
      <c r="CV85">
        <v>98.147074372760812</v>
      </c>
      <c r="CW85">
        <v>98.268296235925163</v>
      </c>
      <c r="CX85">
        <v>98.366474344636373</v>
      </c>
      <c r="CY85">
        <v>98.483162315869194</v>
      </c>
      <c r="CZ85">
        <v>98.580563087230061</v>
      </c>
      <c r="DA85">
        <v>98.724826602868234</v>
      </c>
      <c r="DB85">
        <v>98.818696003372921</v>
      </c>
      <c r="DC85">
        <v>98.935479318889918</v>
      </c>
      <c r="DD85">
        <v>99.081935692531118</v>
      </c>
      <c r="DE85">
        <v>99.220579117121432</v>
      </c>
      <c r="DF85">
        <v>99.334727455422382</v>
      </c>
      <c r="DG85">
        <v>99.428096848744985</v>
      </c>
      <c r="DH85">
        <v>99.544372169167104</v>
      </c>
      <c r="DI85">
        <v>99.678950679731756</v>
      </c>
      <c r="DJ85">
        <v>99.773239303351801</v>
      </c>
      <c r="DK85">
        <v>99.906452442032631</v>
      </c>
      <c r="DL85">
        <v>100.03210404838981</v>
      </c>
      <c r="DM85">
        <v>100.21530968701956</v>
      </c>
      <c r="DN85">
        <v>100.34089826744501</v>
      </c>
      <c r="DO85">
        <v>100.47462334033987</v>
      </c>
      <c r="DP85">
        <v>100.63270168759084</v>
      </c>
      <c r="DQ85">
        <v>100.7664847981445</v>
      </c>
      <c r="DR85">
        <v>100.85453530152515</v>
      </c>
      <c r="DS85">
        <v>100.96454661035774</v>
      </c>
      <c r="DT85">
        <v>101.09251591668192</v>
      </c>
      <c r="DU85">
        <v>101.2239203748827</v>
      </c>
      <c r="DV85">
        <v>101.35593191602267</v>
      </c>
      <c r="DW85">
        <v>101.50460795989098</v>
      </c>
      <c r="DX85">
        <v>101.62654497795337</v>
      </c>
      <c r="DY85">
        <v>101.73693313685978</v>
      </c>
      <c r="DZ85">
        <v>101.88973289315396</v>
      </c>
      <c r="EA85">
        <v>102.03485478351749</v>
      </c>
      <c r="EB85">
        <v>102.19387134298222</v>
      </c>
      <c r="EC85">
        <v>102.36513880535779</v>
      </c>
      <c r="ED85">
        <v>102.5095336307465</v>
      </c>
      <c r="EE85">
        <v>102.72690085890164</v>
      </c>
      <c r="EF85">
        <v>102.88923412502139</v>
      </c>
      <c r="EG85">
        <v>103.05344837717251</v>
      </c>
      <c r="EH85">
        <v>103.25242906117035</v>
      </c>
      <c r="EI85">
        <v>103.46022927404844</v>
      </c>
      <c r="EJ85">
        <v>103.61470113721164</v>
      </c>
      <c r="EK85">
        <v>103.74104961531997</v>
      </c>
      <c r="EL85">
        <v>103.94190942045164</v>
      </c>
      <c r="EM85">
        <v>104.10196953583709</v>
      </c>
      <c r="EN85">
        <v>104.24262169592669</v>
      </c>
      <c r="EO85">
        <v>104.44471131243704</v>
      </c>
      <c r="EP85">
        <v>104.64212383039687</v>
      </c>
      <c r="EQ85">
        <v>104.82620018017572</v>
      </c>
      <c r="ER85">
        <v>105.03540742548191</v>
      </c>
      <c r="ES85">
        <v>105.26242995670904</v>
      </c>
      <c r="ET85">
        <v>105.49526754299278</v>
      </c>
      <c r="EU85">
        <v>105.69366990372508</v>
      </c>
      <c r="EV85">
        <v>105.93010575398694</v>
      </c>
      <c r="EW85">
        <v>106.20850962992397</v>
      </c>
      <c r="EX85">
        <v>106.44918466153618</v>
      </c>
      <c r="EY85">
        <v>106.73344390759631</v>
      </c>
      <c r="EZ85">
        <v>107.01813660831311</v>
      </c>
      <c r="FA85">
        <v>107.28932438487102</v>
      </c>
      <c r="FB85">
        <v>107.50511751897506</v>
      </c>
      <c r="FC85">
        <v>107.77365979170581</v>
      </c>
      <c r="FD85">
        <v>108.03988486488478</v>
      </c>
      <c r="FE85">
        <v>108.37729096474244</v>
      </c>
      <c r="FF85">
        <v>108.64235207100579</v>
      </c>
      <c r="FG85">
        <v>108.93462717709815</v>
      </c>
      <c r="FH85">
        <v>109.24299186240232</v>
      </c>
      <c r="FI85">
        <v>109.55527264095032</v>
      </c>
      <c r="FJ85">
        <v>109.73661849931688</v>
      </c>
      <c r="FK85">
        <v>110.15051902846594</v>
      </c>
      <c r="FL85">
        <v>110.51096384013657</v>
      </c>
      <c r="FM85">
        <v>110.8527353890243</v>
      </c>
      <c r="FN85">
        <v>111.23892766554934</v>
      </c>
      <c r="FO85">
        <v>111.64550785533929</v>
      </c>
      <c r="FP85">
        <v>112.03360820968064</v>
      </c>
      <c r="FQ85">
        <v>112.48266399669996</v>
      </c>
      <c r="FR85">
        <v>112.90922558796898</v>
      </c>
      <c r="FS85">
        <v>113.23377159694952</v>
      </c>
      <c r="FT85">
        <v>113.70679287026014</v>
      </c>
      <c r="FU85">
        <v>114.15929620473656</v>
      </c>
      <c r="FV85">
        <v>114.71628283960203</v>
      </c>
      <c r="FW85">
        <v>115.24878168243116</v>
      </c>
      <c r="FX85">
        <v>115.7351948864341</v>
      </c>
      <c r="FY85">
        <v>116.44715902782596</v>
      </c>
      <c r="FZ85">
        <v>117.21734881635433</v>
      </c>
      <c r="GA85">
        <v>117.81202055993795</v>
      </c>
      <c r="GB85">
        <v>118.37186366089496</v>
      </c>
      <c r="GC85">
        <v>119.38291841737255</v>
      </c>
      <c r="GD85">
        <v>120.46308033623092</v>
      </c>
      <c r="GE85">
        <v>121.41114772004678</v>
      </c>
      <c r="GF85">
        <v>122.44766913432905</v>
      </c>
      <c r="GG85">
        <v>123.3227052780298</v>
      </c>
      <c r="GH85">
        <v>124.59023662112564</v>
      </c>
      <c r="GI85">
        <v>125.79903875305048</v>
      </c>
      <c r="GJ85">
        <v>127.30741962974827</v>
      </c>
      <c r="GK85">
        <v>128.96627784522846</v>
      </c>
      <c r="GL85">
        <v>131.45277901622975</v>
      </c>
      <c r="GM85">
        <v>134.28391782830613</v>
      </c>
      <c r="GN85">
        <v>137.43388562236368</v>
      </c>
      <c r="GO85">
        <v>142.10412253749755</v>
      </c>
      <c r="GP85">
        <v>149.04419856947717</v>
      </c>
      <c r="GQ85">
        <v>157.65213341397455</v>
      </c>
      <c r="GR85">
        <v>101.30335865576859</v>
      </c>
      <c r="GT85" s="8">
        <v>45413</v>
      </c>
      <c r="GU85">
        <v>159.69999999999999</v>
      </c>
    </row>
    <row r="86" spans="1:203" x14ac:dyDescent="0.45">
      <c r="A86">
        <v>83.566208883461428</v>
      </c>
      <c r="B86">
        <v>84.990927238581008</v>
      </c>
      <c r="C86">
        <v>85.753221310237848</v>
      </c>
      <c r="D86">
        <v>86.327892594946491</v>
      </c>
      <c r="E86">
        <v>86.868027685661417</v>
      </c>
      <c r="F86">
        <v>87.202007402464758</v>
      </c>
      <c r="G86">
        <v>87.645750676687726</v>
      </c>
      <c r="H86">
        <v>87.961786646196416</v>
      </c>
      <c r="I86">
        <v>88.15898535363489</v>
      </c>
      <c r="J86">
        <v>88.409029399796225</v>
      </c>
      <c r="K86">
        <v>88.602983378792658</v>
      </c>
      <c r="L86">
        <v>88.810251989886524</v>
      </c>
      <c r="M86">
        <v>89.040182314675178</v>
      </c>
      <c r="N86">
        <v>89.195180354136127</v>
      </c>
      <c r="O86">
        <v>89.39602832648103</v>
      </c>
      <c r="P86">
        <v>89.540646093480206</v>
      </c>
      <c r="Q86">
        <v>89.70286840584221</v>
      </c>
      <c r="R86">
        <v>89.86695662165414</v>
      </c>
      <c r="S86">
        <v>90.094641584949485</v>
      </c>
      <c r="T86">
        <v>90.277104495296001</v>
      </c>
      <c r="U86">
        <v>90.434609125952761</v>
      </c>
      <c r="V86">
        <v>90.56248570266628</v>
      </c>
      <c r="W86">
        <v>90.682370605738157</v>
      </c>
      <c r="X86">
        <v>90.800659856828943</v>
      </c>
      <c r="Y86">
        <v>90.920393741553511</v>
      </c>
      <c r="Z86">
        <v>91.083579384955101</v>
      </c>
      <c r="AA86">
        <v>91.197745279611908</v>
      </c>
      <c r="AB86">
        <v>91.312426184398589</v>
      </c>
      <c r="AC86">
        <v>91.427414014959638</v>
      </c>
      <c r="AD86">
        <v>91.525607840327623</v>
      </c>
      <c r="AE86">
        <v>91.618977357071188</v>
      </c>
      <c r="AF86">
        <v>91.745291187461618</v>
      </c>
      <c r="AG86">
        <v>91.876197941417459</v>
      </c>
      <c r="AH86">
        <v>91.959549663817285</v>
      </c>
      <c r="AI86">
        <v>92.062336904372444</v>
      </c>
      <c r="AJ86">
        <v>92.158904149044133</v>
      </c>
      <c r="AK86">
        <v>92.237338425417335</v>
      </c>
      <c r="AL86">
        <v>92.316396704808042</v>
      </c>
      <c r="AM86">
        <v>92.418999746839759</v>
      </c>
      <c r="AN86">
        <v>92.515645720009204</v>
      </c>
      <c r="AO86">
        <v>92.61986705430904</v>
      </c>
      <c r="AP86">
        <v>92.728176399552112</v>
      </c>
      <c r="AQ86">
        <v>92.821000507224412</v>
      </c>
      <c r="AR86">
        <v>92.936450477146039</v>
      </c>
      <c r="AS86">
        <v>93.031442652189881</v>
      </c>
      <c r="AT86">
        <v>93.14843295263563</v>
      </c>
      <c r="AU86">
        <v>93.251388176768629</v>
      </c>
      <c r="AV86">
        <v>93.341379027611922</v>
      </c>
      <c r="AW86">
        <v>93.429151374142293</v>
      </c>
      <c r="AX86">
        <v>93.502349215358123</v>
      </c>
      <c r="AY86">
        <v>93.576915850637548</v>
      </c>
      <c r="AZ86">
        <v>93.660824961221394</v>
      </c>
      <c r="BA86">
        <v>93.750251138447553</v>
      </c>
      <c r="BB86">
        <v>93.819376639308004</v>
      </c>
      <c r="BC86">
        <v>93.928105878358352</v>
      </c>
      <c r="BD86">
        <v>94.004630530467324</v>
      </c>
      <c r="BE86">
        <v>94.08973131545099</v>
      </c>
      <c r="BF86">
        <v>94.181330476938143</v>
      </c>
      <c r="BG86">
        <v>94.246086803288222</v>
      </c>
      <c r="BH86">
        <v>94.327026275806105</v>
      </c>
      <c r="BI86">
        <v>94.406211856800979</v>
      </c>
      <c r="BJ86">
        <v>94.496806700195762</v>
      </c>
      <c r="BK86">
        <v>94.595973208737362</v>
      </c>
      <c r="BL86">
        <v>94.690744948223966</v>
      </c>
      <c r="BM86">
        <v>94.773178783663141</v>
      </c>
      <c r="BN86">
        <v>94.867543448418658</v>
      </c>
      <c r="BO86">
        <v>94.934460552807607</v>
      </c>
      <c r="BP86">
        <v>95.040577199053658</v>
      </c>
      <c r="BQ86">
        <v>95.132833557463002</v>
      </c>
      <c r="BR86">
        <v>95.216998153234059</v>
      </c>
      <c r="BS86">
        <v>95.308049758135709</v>
      </c>
      <c r="BT86">
        <v>95.368326665169263</v>
      </c>
      <c r="BU86">
        <v>95.452580501726146</v>
      </c>
      <c r="BV86">
        <v>95.512337180614509</v>
      </c>
      <c r="BW86">
        <v>95.586542986827226</v>
      </c>
      <c r="BX86">
        <v>95.692371277733542</v>
      </c>
      <c r="BY86">
        <v>95.783745651959279</v>
      </c>
      <c r="BZ86">
        <v>95.885228459449635</v>
      </c>
      <c r="CA86">
        <v>95.992927673046921</v>
      </c>
      <c r="CB86">
        <v>96.070682286566139</v>
      </c>
      <c r="CC86">
        <v>96.168756820321292</v>
      </c>
      <c r="CD86">
        <v>96.283330430442419</v>
      </c>
      <c r="CE86">
        <v>96.389666391939571</v>
      </c>
      <c r="CF86">
        <v>96.500563818903004</v>
      </c>
      <c r="CG86">
        <v>96.596935835771447</v>
      </c>
      <c r="CH86">
        <v>96.696623962388728</v>
      </c>
      <c r="CI86">
        <v>96.766342225661106</v>
      </c>
      <c r="CJ86">
        <v>96.88446200043937</v>
      </c>
      <c r="CK86">
        <v>97.007964119965365</v>
      </c>
      <c r="CL86">
        <v>97.093919230325255</v>
      </c>
      <c r="CM86">
        <v>97.20783350011375</v>
      </c>
      <c r="CN86">
        <v>97.294683127348463</v>
      </c>
      <c r="CO86">
        <v>97.397471081623124</v>
      </c>
      <c r="CP86">
        <v>97.487867038997919</v>
      </c>
      <c r="CQ86">
        <v>97.60227771894057</v>
      </c>
      <c r="CR86">
        <v>97.712912471125364</v>
      </c>
      <c r="CS86">
        <v>97.818697408092703</v>
      </c>
      <c r="CT86">
        <v>97.91532705214766</v>
      </c>
      <c r="CU86">
        <v>98.012861426072547</v>
      </c>
      <c r="CV86">
        <v>98.146069700498089</v>
      </c>
      <c r="CW86">
        <v>98.249455135340583</v>
      </c>
      <c r="CX86">
        <v>98.375254939703765</v>
      </c>
      <c r="CY86">
        <v>98.483118129343239</v>
      </c>
      <c r="CZ86">
        <v>98.601320979729252</v>
      </c>
      <c r="DA86">
        <v>98.724418053585111</v>
      </c>
      <c r="DB86">
        <v>98.849166648654005</v>
      </c>
      <c r="DC86">
        <v>98.937976934788566</v>
      </c>
      <c r="DD86">
        <v>99.073941861553322</v>
      </c>
      <c r="DE86">
        <v>99.209204131647738</v>
      </c>
      <c r="DF86">
        <v>99.329867536756794</v>
      </c>
      <c r="DG86">
        <v>99.462836755184497</v>
      </c>
      <c r="DH86">
        <v>99.571234491797952</v>
      </c>
      <c r="DI86">
        <v>99.697460439674344</v>
      </c>
      <c r="DJ86">
        <v>99.801355890818684</v>
      </c>
      <c r="DK86">
        <v>99.916432087772932</v>
      </c>
      <c r="DL86">
        <v>100.05731730120725</v>
      </c>
      <c r="DM86">
        <v>100.17572925090329</v>
      </c>
      <c r="DN86">
        <v>100.36410631161277</v>
      </c>
      <c r="DO86">
        <v>100.4380418477711</v>
      </c>
      <c r="DP86">
        <v>100.56900488577774</v>
      </c>
      <c r="DQ86">
        <v>100.70310024316358</v>
      </c>
      <c r="DR86">
        <v>100.8118247962814</v>
      </c>
      <c r="DS86">
        <v>100.95024460665111</v>
      </c>
      <c r="DT86">
        <v>101.10207326111505</v>
      </c>
      <c r="DU86">
        <v>101.2559425410351</v>
      </c>
      <c r="DV86">
        <v>101.39549268633688</v>
      </c>
      <c r="DW86">
        <v>101.52983020473162</v>
      </c>
      <c r="DX86">
        <v>101.65804450549781</v>
      </c>
      <c r="DY86">
        <v>101.84175239977942</v>
      </c>
      <c r="DZ86">
        <v>101.95746036715884</v>
      </c>
      <c r="EA86">
        <v>102.08763863901147</v>
      </c>
      <c r="EB86">
        <v>102.24712972530111</v>
      </c>
      <c r="EC86">
        <v>102.41322082420515</v>
      </c>
      <c r="ED86">
        <v>102.56205120203632</v>
      </c>
      <c r="EE86">
        <v>102.76348524828522</v>
      </c>
      <c r="EF86">
        <v>102.94199419360979</v>
      </c>
      <c r="EG86">
        <v>103.0942741746711</v>
      </c>
      <c r="EH86">
        <v>103.24617299255522</v>
      </c>
      <c r="EI86">
        <v>103.40368600724231</v>
      </c>
      <c r="EJ86">
        <v>103.5713418430915</v>
      </c>
      <c r="EK86">
        <v>103.77597435532113</v>
      </c>
      <c r="EL86">
        <v>103.96864898968276</v>
      </c>
      <c r="EM86">
        <v>104.17008027907391</v>
      </c>
      <c r="EN86">
        <v>104.37412394708298</v>
      </c>
      <c r="EO86">
        <v>104.54168710354696</v>
      </c>
      <c r="EP86">
        <v>104.70602372565277</v>
      </c>
      <c r="EQ86">
        <v>104.87918893119945</v>
      </c>
      <c r="ER86">
        <v>105.10444099649801</v>
      </c>
      <c r="ES86">
        <v>105.32158209058581</v>
      </c>
      <c r="ET86">
        <v>105.50394538834742</v>
      </c>
      <c r="EU86">
        <v>105.73725829424632</v>
      </c>
      <c r="EV86">
        <v>105.96863089008282</v>
      </c>
      <c r="EW86">
        <v>106.18444057994822</v>
      </c>
      <c r="EX86">
        <v>106.42749106884891</v>
      </c>
      <c r="EY86">
        <v>106.71729952409432</v>
      </c>
      <c r="EZ86">
        <v>106.97573055059843</v>
      </c>
      <c r="FA86">
        <v>107.21813281985959</v>
      </c>
      <c r="FB86">
        <v>107.47403545791335</v>
      </c>
      <c r="FC86">
        <v>107.77094041211325</v>
      </c>
      <c r="FD86">
        <v>108.07029631794482</v>
      </c>
      <c r="FE86">
        <v>108.29164017784527</v>
      </c>
      <c r="FF86">
        <v>108.62314169361358</v>
      </c>
      <c r="FG86">
        <v>108.95237591020596</v>
      </c>
      <c r="FH86">
        <v>109.26702822593884</v>
      </c>
      <c r="FI86">
        <v>109.65662414256164</v>
      </c>
      <c r="FJ86">
        <v>109.99000637103667</v>
      </c>
      <c r="FK86">
        <v>110.33319933949946</v>
      </c>
      <c r="FL86">
        <v>110.63111735509041</v>
      </c>
      <c r="FM86">
        <v>110.98497502831955</v>
      </c>
      <c r="FN86">
        <v>111.30694064977227</v>
      </c>
      <c r="FO86">
        <v>111.6646706539205</v>
      </c>
      <c r="FP86">
        <v>112.10449383447011</v>
      </c>
      <c r="FQ86">
        <v>112.49368654029445</v>
      </c>
      <c r="FR86">
        <v>112.88461860338937</v>
      </c>
      <c r="FS86">
        <v>113.2919429433433</v>
      </c>
      <c r="FT86">
        <v>113.81548410379173</v>
      </c>
      <c r="FU86">
        <v>114.30233525399181</v>
      </c>
      <c r="FV86">
        <v>114.95901247517541</v>
      </c>
      <c r="FW86">
        <v>115.42526665283171</v>
      </c>
      <c r="FX86">
        <v>116.15611580453135</v>
      </c>
      <c r="FY86">
        <v>116.84066030978617</v>
      </c>
      <c r="FZ86">
        <v>117.44076994347</v>
      </c>
      <c r="GA86">
        <v>118.02767933241134</v>
      </c>
      <c r="GB86">
        <v>118.8089158257598</v>
      </c>
      <c r="GC86">
        <v>119.60413424385278</v>
      </c>
      <c r="GD86">
        <v>120.72719501929465</v>
      </c>
      <c r="GE86">
        <v>121.52941244716354</v>
      </c>
      <c r="GF86">
        <v>122.79297845186379</v>
      </c>
      <c r="GG86">
        <v>123.81388262719199</v>
      </c>
      <c r="GH86">
        <v>124.62120224209242</v>
      </c>
      <c r="GI86">
        <v>125.9101548972222</v>
      </c>
      <c r="GJ86">
        <v>127.38457845250275</v>
      </c>
      <c r="GK86">
        <v>129.42897926455825</v>
      </c>
      <c r="GL86">
        <v>131.52232252350808</v>
      </c>
      <c r="GM86">
        <v>134.66335124295668</v>
      </c>
      <c r="GN86">
        <v>137.80559771866908</v>
      </c>
      <c r="GO86">
        <v>142.01907616418023</v>
      </c>
      <c r="GP86">
        <v>148.80665655918972</v>
      </c>
      <c r="GQ86">
        <v>158.62061985571938</v>
      </c>
      <c r="GR86">
        <v>101.31370495911094</v>
      </c>
      <c r="GT86" s="8">
        <v>45414</v>
      </c>
      <c r="GU86">
        <v>162.63999999999999</v>
      </c>
    </row>
    <row r="87" spans="1:203" x14ac:dyDescent="0.45">
      <c r="A87">
        <v>83.521258129569787</v>
      </c>
      <c r="B87">
        <v>84.883397917017419</v>
      </c>
      <c r="C87">
        <v>85.542610169815404</v>
      </c>
      <c r="D87">
        <v>86.262079076306378</v>
      </c>
      <c r="E87">
        <v>86.810371583664789</v>
      </c>
      <c r="F87">
        <v>87.167890332917921</v>
      </c>
      <c r="G87">
        <v>87.496944316038082</v>
      </c>
      <c r="H87">
        <v>87.866784392444714</v>
      </c>
      <c r="I87">
        <v>88.124460744411905</v>
      </c>
      <c r="J87">
        <v>88.330760742289314</v>
      </c>
      <c r="K87">
        <v>88.539495354887521</v>
      </c>
      <c r="L87">
        <v>88.755193342952353</v>
      </c>
      <c r="M87">
        <v>88.958894673951491</v>
      </c>
      <c r="N87">
        <v>89.143271553304501</v>
      </c>
      <c r="O87">
        <v>89.289126713807391</v>
      </c>
      <c r="P87">
        <v>89.447887884920547</v>
      </c>
      <c r="Q87">
        <v>89.622151373689647</v>
      </c>
      <c r="R87">
        <v>89.806048526228807</v>
      </c>
      <c r="S87">
        <v>89.99396212242263</v>
      </c>
      <c r="T87">
        <v>90.144506357569881</v>
      </c>
      <c r="U87">
        <v>90.325835114345679</v>
      </c>
      <c r="V87">
        <v>90.454155863303868</v>
      </c>
      <c r="W87">
        <v>90.559334629628324</v>
      </c>
      <c r="X87">
        <v>90.712289511096174</v>
      </c>
      <c r="Y87">
        <v>90.83822959489531</v>
      </c>
      <c r="Z87">
        <v>90.973824112998955</v>
      </c>
      <c r="AA87">
        <v>91.115281367312946</v>
      </c>
      <c r="AB87">
        <v>91.228398177508211</v>
      </c>
      <c r="AC87">
        <v>91.352098345036978</v>
      </c>
      <c r="AD87">
        <v>91.458542332803972</v>
      </c>
      <c r="AE87">
        <v>91.555254341755457</v>
      </c>
      <c r="AF87">
        <v>91.700224767020245</v>
      </c>
      <c r="AG87">
        <v>91.784169188331433</v>
      </c>
      <c r="AH87">
        <v>91.874222760518748</v>
      </c>
      <c r="AI87">
        <v>91.983449108270491</v>
      </c>
      <c r="AJ87">
        <v>92.055119360291286</v>
      </c>
      <c r="AK87">
        <v>92.144382653794963</v>
      </c>
      <c r="AL87">
        <v>92.235408579659065</v>
      </c>
      <c r="AM87">
        <v>92.335151496880485</v>
      </c>
      <c r="AN87">
        <v>92.444920665435944</v>
      </c>
      <c r="AO87">
        <v>92.547770964250446</v>
      </c>
      <c r="AP87">
        <v>92.673026457666168</v>
      </c>
      <c r="AQ87">
        <v>92.766870872262146</v>
      </c>
      <c r="AR87">
        <v>92.898530995295317</v>
      </c>
      <c r="AS87">
        <v>92.99009301172164</v>
      </c>
      <c r="AT87">
        <v>93.08394265245515</v>
      </c>
      <c r="AU87">
        <v>93.176689807916276</v>
      </c>
      <c r="AV87">
        <v>93.266700711595135</v>
      </c>
      <c r="AW87">
        <v>93.352184748686923</v>
      </c>
      <c r="AX87">
        <v>93.446414095165935</v>
      </c>
      <c r="AY87">
        <v>93.534931882625074</v>
      </c>
      <c r="AZ87">
        <v>93.632409479154703</v>
      </c>
      <c r="BA87">
        <v>93.710586115231351</v>
      </c>
      <c r="BB87">
        <v>93.80240042243976</v>
      </c>
      <c r="BC87">
        <v>93.905046663272827</v>
      </c>
      <c r="BD87">
        <v>93.981805877598433</v>
      </c>
      <c r="BE87">
        <v>94.082429755489926</v>
      </c>
      <c r="BF87">
        <v>94.165958328780434</v>
      </c>
      <c r="BG87">
        <v>94.267466069863417</v>
      </c>
      <c r="BH87">
        <v>94.351008436082338</v>
      </c>
      <c r="BI87">
        <v>94.428009110435099</v>
      </c>
      <c r="BJ87">
        <v>94.534879051884857</v>
      </c>
      <c r="BK87">
        <v>94.607752015087442</v>
      </c>
      <c r="BL87">
        <v>94.702716306480482</v>
      </c>
      <c r="BM87">
        <v>94.804950397967943</v>
      </c>
      <c r="BN87">
        <v>94.877706809766309</v>
      </c>
      <c r="BO87">
        <v>94.960567641842502</v>
      </c>
      <c r="BP87">
        <v>95.055789075274475</v>
      </c>
      <c r="BQ87">
        <v>95.140443882853759</v>
      </c>
      <c r="BR87">
        <v>95.220806974504114</v>
      </c>
      <c r="BS87">
        <v>95.305655637850307</v>
      </c>
      <c r="BT87">
        <v>95.383521874547242</v>
      </c>
      <c r="BU87">
        <v>95.465654120278913</v>
      </c>
      <c r="BV87">
        <v>95.561973385393443</v>
      </c>
      <c r="BW87">
        <v>95.649089264767809</v>
      </c>
      <c r="BX87">
        <v>95.721026099002586</v>
      </c>
      <c r="BY87">
        <v>95.793240002909414</v>
      </c>
      <c r="BZ87">
        <v>95.878819891838319</v>
      </c>
      <c r="CA87">
        <v>95.966862280559027</v>
      </c>
      <c r="CB87">
        <v>96.075475464080839</v>
      </c>
      <c r="CC87">
        <v>96.161825688084662</v>
      </c>
      <c r="CD87">
        <v>96.283328986375835</v>
      </c>
      <c r="CE87">
        <v>96.399849353220446</v>
      </c>
      <c r="CF87">
        <v>96.478088893087332</v>
      </c>
      <c r="CG87">
        <v>96.603129540209608</v>
      </c>
      <c r="CH87">
        <v>96.699434812911875</v>
      </c>
      <c r="CI87">
        <v>96.801232315147033</v>
      </c>
      <c r="CJ87">
        <v>96.91779642556412</v>
      </c>
      <c r="CK87">
        <v>97.02319627800378</v>
      </c>
      <c r="CL87">
        <v>97.115499357757713</v>
      </c>
      <c r="CM87">
        <v>97.212279064455345</v>
      </c>
      <c r="CN87">
        <v>97.311648546031492</v>
      </c>
      <c r="CO87">
        <v>97.39951750540213</v>
      </c>
      <c r="CP87">
        <v>97.492532296393094</v>
      </c>
      <c r="CQ87">
        <v>97.62485911457911</v>
      </c>
      <c r="CR87">
        <v>97.724658061350539</v>
      </c>
      <c r="CS87">
        <v>97.83655249394694</v>
      </c>
      <c r="CT87">
        <v>97.968320707246789</v>
      </c>
      <c r="CU87">
        <v>98.061524911261202</v>
      </c>
      <c r="CV87">
        <v>98.161528530591383</v>
      </c>
      <c r="CW87">
        <v>98.267866284959737</v>
      </c>
      <c r="CX87">
        <v>98.365342155068006</v>
      </c>
      <c r="CY87">
        <v>98.469715115739973</v>
      </c>
      <c r="CZ87">
        <v>98.585519720312874</v>
      </c>
      <c r="DA87">
        <v>98.724242672432524</v>
      </c>
      <c r="DB87">
        <v>98.827120551939387</v>
      </c>
      <c r="DC87">
        <v>98.945968080711907</v>
      </c>
      <c r="DD87">
        <v>99.083729806533242</v>
      </c>
      <c r="DE87">
        <v>99.211965313580805</v>
      </c>
      <c r="DF87">
        <v>99.317156100296316</v>
      </c>
      <c r="DG87">
        <v>99.450121666382444</v>
      </c>
      <c r="DH87">
        <v>99.562413362856333</v>
      </c>
      <c r="DI87">
        <v>99.682472881193547</v>
      </c>
      <c r="DJ87">
        <v>99.789321206715485</v>
      </c>
      <c r="DK87">
        <v>99.911903564562039</v>
      </c>
      <c r="DL87">
        <v>100.02771162889209</v>
      </c>
      <c r="DM87">
        <v>100.13227505617846</v>
      </c>
      <c r="DN87">
        <v>100.27532050507172</v>
      </c>
      <c r="DO87">
        <v>100.4154912346599</v>
      </c>
      <c r="DP87">
        <v>100.52406909232857</v>
      </c>
      <c r="DQ87">
        <v>100.66394934428381</v>
      </c>
      <c r="DR87">
        <v>100.80418585876731</v>
      </c>
      <c r="DS87">
        <v>100.91479824978637</v>
      </c>
      <c r="DT87">
        <v>101.04428965093643</v>
      </c>
      <c r="DU87">
        <v>101.22490561442076</v>
      </c>
      <c r="DV87">
        <v>101.40678444635085</v>
      </c>
      <c r="DW87">
        <v>101.58542917981171</v>
      </c>
      <c r="DX87">
        <v>101.72355732678221</v>
      </c>
      <c r="DY87">
        <v>101.90387362728703</v>
      </c>
      <c r="DZ87">
        <v>102.04391510226797</v>
      </c>
      <c r="EA87">
        <v>102.15722317690822</v>
      </c>
      <c r="EB87">
        <v>102.28711763173493</v>
      </c>
      <c r="EC87">
        <v>102.43395699255848</v>
      </c>
      <c r="ED87">
        <v>102.60375234931185</v>
      </c>
      <c r="EE87">
        <v>102.7552611765359</v>
      </c>
      <c r="EF87">
        <v>102.87466029604779</v>
      </c>
      <c r="EG87">
        <v>103.02575587162382</v>
      </c>
      <c r="EH87">
        <v>103.18849119186677</v>
      </c>
      <c r="EI87">
        <v>103.3700549593579</v>
      </c>
      <c r="EJ87">
        <v>103.55785275248405</v>
      </c>
      <c r="EK87">
        <v>103.72457271266708</v>
      </c>
      <c r="EL87">
        <v>103.91259286634086</v>
      </c>
      <c r="EM87">
        <v>104.11230704880006</v>
      </c>
      <c r="EN87">
        <v>104.28990285061818</v>
      </c>
      <c r="EO87">
        <v>104.49364133386797</v>
      </c>
      <c r="EP87">
        <v>104.69292292943203</v>
      </c>
      <c r="EQ87">
        <v>104.93149963552339</v>
      </c>
      <c r="ER87">
        <v>105.16600101529399</v>
      </c>
      <c r="ES87">
        <v>105.38619230639659</v>
      </c>
      <c r="ET87">
        <v>105.60909494633452</v>
      </c>
      <c r="EU87">
        <v>105.88657778807502</v>
      </c>
      <c r="EV87">
        <v>106.05502825238989</v>
      </c>
      <c r="EW87">
        <v>106.23257624281231</v>
      </c>
      <c r="EX87">
        <v>106.47099263266894</v>
      </c>
      <c r="EY87">
        <v>106.69473695904306</v>
      </c>
      <c r="EZ87">
        <v>106.92429350229995</v>
      </c>
      <c r="FA87">
        <v>107.18949144995925</v>
      </c>
      <c r="FB87">
        <v>107.43911179327198</v>
      </c>
      <c r="FC87">
        <v>107.72336959120356</v>
      </c>
      <c r="FD87">
        <v>108.00309983074625</v>
      </c>
      <c r="FE87">
        <v>108.28088015718467</v>
      </c>
      <c r="FF87">
        <v>108.64268698185931</v>
      </c>
      <c r="FG87">
        <v>108.9855338043641</v>
      </c>
      <c r="FH87">
        <v>109.24641494517654</v>
      </c>
      <c r="FI87">
        <v>109.5617214625551</v>
      </c>
      <c r="FJ87">
        <v>109.85461842624557</v>
      </c>
      <c r="FK87">
        <v>110.21884136140753</v>
      </c>
      <c r="FL87">
        <v>110.58208230163007</v>
      </c>
      <c r="FM87">
        <v>110.97381138899505</v>
      </c>
      <c r="FN87">
        <v>111.42299594949334</v>
      </c>
      <c r="FO87">
        <v>111.72725626580873</v>
      </c>
      <c r="FP87">
        <v>112.10834159055202</v>
      </c>
      <c r="FQ87">
        <v>112.55914894730289</v>
      </c>
      <c r="FR87">
        <v>112.93985827978894</v>
      </c>
      <c r="FS87">
        <v>113.51762753837886</v>
      </c>
      <c r="FT87">
        <v>113.95265828429311</v>
      </c>
      <c r="FU87">
        <v>114.43327902288539</v>
      </c>
      <c r="FV87">
        <v>114.91111228547825</v>
      </c>
      <c r="FW87">
        <v>115.37462201573831</v>
      </c>
      <c r="FX87">
        <v>115.92060886164482</v>
      </c>
      <c r="FY87">
        <v>116.58835313475011</v>
      </c>
      <c r="FZ87">
        <v>117.42800081133134</v>
      </c>
      <c r="GA87">
        <v>118.13624112259645</v>
      </c>
      <c r="GB87">
        <v>118.9003485469231</v>
      </c>
      <c r="GC87">
        <v>119.85525264719755</v>
      </c>
      <c r="GD87">
        <v>120.82644859142206</v>
      </c>
      <c r="GE87">
        <v>121.75596358128703</v>
      </c>
      <c r="GF87">
        <v>122.86270474110447</v>
      </c>
      <c r="GG87">
        <v>123.58146349552818</v>
      </c>
      <c r="GH87">
        <v>124.86861974904413</v>
      </c>
      <c r="GI87">
        <v>126.10652299765722</v>
      </c>
      <c r="GJ87">
        <v>127.92410410220998</v>
      </c>
      <c r="GK87">
        <v>130.06385997064095</v>
      </c>
      <c r="GL87">
        <v>131.60546822648837</v>
      </c>
      <c r="GM87">
        <v>134.14900528928115</v>
      </c>
      <c r="GN87">
        <v>137.26849070594656</v>
      </c>
      <c r="GO87">
        <v>141.95607858239049</v>
      </c>
      <c r="GP87">
        <v>147.99534250322799</v>
      </c>
      <c r="GQ87">
        <v>159.12293562397889</v>
      </c>
      <c r="GR87">
        <v>101.30701141720034</v>
      </c>
      <c r="GT87" s="8">
        <v>45415</v>
      </c>
      <c r="GU87">
        <v>164.11</v>
      </c>
    </row>
    <row r="88" spans="1:203" x14ac:dyDescent="0.45">
      <c r="A88">
        <v>83.341400843737404</v>
      </c>
      <c r="B88">
        <v>84.801426333701215</v>
      </c>
      <c r="C88">
        <v>85.431793605983145</v>
      </c>
      <c r="D88">
        <v>86.311395841559104</v>
      </c>
      <c r="E88">
        <v>86.754743875746939</v>
      </c>
      <c r="F88">
        <v>87.088102388741717</v>
      </c>
      <c r="G88">
        <v>87.439972698704963</v>
      </c>
      <c r="H88">
        <v>87.737613474810701</v>
      </c>
      <c r="I88">
        <v>88.020747446113376</v>
      </c>
      <c r="J88">
        <v>88.228550862325164</v>
      </c>
      <c r="K88">
        <v>88.501308006783731</v>
      </c>
      <c r="L88">
        <v>88.636260125702137</v>
      </c>
      <c r="M88">
        <v>88.876132762443575</v>
      </c>
      <c r="N88">
        <v>89.082771265614809</v>
      </c>
      <c r="O88">
        <v>89.251921277251341</v>
      </c>
      <c r="P88">
        <v>89.435226862123017</v>
      </c>
      <c r="Q88">
        <v>89.625480045618332</v>
      </c>
      <c r="R88">
        <v>89.76955850120892</v>
      </c>
      <c r="S88">
        <v>89.943265246883996</v>
      </c>
      <c r="T88">
        <v>90.12911790936451</v>
      </c>
      <c r="U88">
        <v>90.315576791600947</v>
      </c>
      <c r="V88">
        <v>90.424461418799538</v>
      </c>
      <c r="W88">
        <v>90.567667874787489</v>
      </c>
      <c r="X88">
        <v>90.686426961700946</v>
      </c>
      <c r="Y88">
        <v>90.81904346657052</v>
      </c>
      <c r="Z88">
        <v>90.949136888866633</v>
      </c>
      <c r="AA88">
        <v>91.073465045400525</v>
      </c>
      <c r="AB88">
        <v>91.191926544781879</v>
      </c>
      <c r="AC88">
        <v>91.287381653403941</v>
      </c>
      <c r="AD88">
        <v>91.404253866968759</v>
      </c>
      <c r="AE88">
        <v>91.494833383455571</v>
      </c>
      <c r="AF88">
        <v>91.610425253852682</v>
      </c>
      <c r="AG88">
        <v>91.729063615792839</v>
      </c>
      <c r="AH88">
        <v>91.82639642317983</v>
      </c>
      <c r="AI88">
        <v>91.908537856681278</v>
      </c>
      <c r="AJ88">
        <v>92.019990835168528</v>
      </c>
      <c r="AK88">
        <v>92.137209639978522</v>
      </c>
      <c r="AL88">
        <v>92.226270346435342</v>
      </c>
      <c r="AM88">
        <v>92.325764834803238</v>
      </c>
      <c r="AN88">
        <v>92.425195366692776</v>
      </c>
      <c r="AO88">
        <v>92.533252120424194</v>
      </c>
      <c r="AP88">
        <v>92.638079117326811</v>
      </c>
      <c r="AQ88">
        <v>92.756535229464916</v>
      </c>
      <c r="AR88">
        <v>92.854198686872039</v>
      </c>
      <c r="AS88">
        <v>92.952734364860731</v>
      </c>
      <c r="AT88">
        <v>93.025028116000797</v>
      </c>
      <c r="AU88">
        <v>93.117664895399031</v>
      </c>
      <c r="AV88">
        <v>93.234799689453268</v>
      </c>
      <c r="AW88">
        <v>93.330881676558093</v>
      </c>
      <c r="AX88">
        <v>93.424189269984893</v>
      </c>
      <c r="AY88">
        <v>93.50016644688256</v>
      </c>
      <c r="AZ88">
        <v>93.623210701874115</v>
      </c>
      <c r="BA88">
        <v>93.692529765230347</v>
      </c>
      <c r="BB88">
        <v>93.779436196372757</v>
      </c>
      <c r="BC88">
        <v>93.848069228781213</v>
      </c>
      <c r="BD88">
        <v>93.949593343012793</v>
      </c>
      <c r="BE88">
        <v>94.05238171663359</v>
      </c>
      <c r="BF88">
        <v>94.145905638071014</v>
      </c>
      <c r="BG88">
        <v>94.235258095338637</v>
      </c>
      <c r="BH88">
        <v>94.328827494088131</v>
      </c>
      <c r="BI88">
        <v>94.405928047648217</v>
      </c>
      <c r="BJ88">
        <v>94.495325383444978</v>
      </c>
      <c r="BK88">
        <v>94.592377109865367</v>
      </c>
      <c r="BL88">
        <v>94.685979878726911</v>
      </c>
      <c r="BM88">
        <v>94.765507456454358</v>
      </c>
      <c r="BN88">
        <v>94.839393650866839</v>
      </c>
      <c r="BO88">
        <v>94.931860200311277</v>
      </c>
      <c r="BP88">
        <v>95.024421852509974</v>
      </c>
      <c r="BQ88">
        <v>95.092844957355169</v>
      </c>
      <c r="BR88">
        <v>95.186362390522703</v>
      </c>
      <c r="BS88">
        <v>95.273609134850446</v>
      </c>
      <c r="BT88">
        <v>95.358142921996887</v>
      </c>
      <c r="BU88">
        <v>95.443397085168201</v>
      </c>
      <c r="BV88">
        <v>95.517196119555109</v>
      </c>
      <c r="BW88">
        <v>95.633953757876895</v>
      </c>
      <c r="BX88">
        <v>95.705999906559953</v>
      </c>
      <c r="BY88">
        <v>95.765133278844814</v>
      </c>
      <c r="BZ88">
        <v>95.831020826633832</v>
      </c>
      <c r="CA88">
        <v>95.929414383950771</v>
      </c>
      <c r="CB88">
        <v>96.016351714415862</v>
      </c>
      <c r="CC88">
        <v>96.124985778349014</v>
      </c>
      <c r="CD88">
        <v>96.234178234270516</v>
      </c>
      <c r="CE88">
        <v>96.338213922916523</v>
      </c>
      <c r="CF88">
        <v>96.430830612898887</v>
      </c>
      <c r="CG88">
        <v>96.544053477467415</v>
      </c>
      <c r="CH88">
        <v>96.664195206426356</v>
      </c>
      <c r="CI88">
        <v>96.769469149733425</v>
      </c>
      <c r="CJ88">
        <v>96.863829976095317</v>
      </c>
      <c r="CK88">
        <v>96.965983980221054</v>
      </c>
      <c r="CL88">
        <v>97.063237123748536</v>
      </c>
      <c r="CM88">
        <v>97.160704869199463</v>
      </c>
      <c r="CN88">
        <v>97.247969339100877</v>
      </c>
      <c r="CO88">
        <v>97.371846420307008</v>
      </c>
      <c r="CP88">
        <v>97.455178898737813</v>
      </c>
      <c r="CQ88">
        <v>97.549666959627942</v>
      </c>
      <c r="CR88">
        <v>97.690640532481183</v>
      </c>
      <c r="CS88">
        <v>97.775108831786511</v>
      </c>
      <c r="CT88">
        <v>97.899877073195597</v>
      </c>
      <c r="CU88">
        <v>98.017254280050963</v>
      </c>
      <c r="CV88">
        <v>98.103131513182348</v>
      </c>
      <c r="CW88">
        <v>98.237239862122024</v>
      </c>
      <c r="CX88">
        <v>98.370728808238781</v>
      </c>
      <c r="CY88">
        <v>98.479964773029579</v>
      </c>
      <c r="CZ88">
        <v>98.600726861297531</v>
      </c>
      <c r="DA88">
        <v>98.704599956742541</v>
      </c>
      <c r="DB88">
        <v>98.83111335143883</v>
      </c>
      <c r="DC88">
        <v>98.955327778008169</v>
      </c>
      <c r="DD88">
        <v>99.090807457465516</v>
      </c>
      <c r="DE88">
        <v>99.206350323566639</v>
      </c>
      <c r="DF88">
        <v>99.314559047198216</v>
      </c>
      <c r="DG88">
        <v>99.430640792108903</v>
      </c>
      <c r="DH88">
        <v>99.544060441965911</v>
      </c>
      <c r="DI88">
        <v>99.659949266756172</v>
      </c>
      <c r="DJ88">
        <v>99.786893758199966</v>
      </c>
      <c r="DK88">
        <v>99.904691796260252</v>
      </c>
      <c r="DL88">
        <v>100.02138214093982</v>
      </c>
      <c r="DM88">
        <v>100.17181934842918</v>
      </c>
      <c r="DN88">
        <v>100.28896093471961</v>
      </c>
      <c r="DO88">
        <v>100.41443346525438</v>
      </c>
      <c r="DP88">
        <v>100.55715177796705</v>
      </c>
      <c r="DQ88">
        <v>100.67474400866695</v>
      </c>
      <c r="DR88">
        <v>100.79020244581881</v>
      </c>
      <c r="DS88">
        <v>100.95272420931551</v>
      </c>
      <c r="DT88">
        <v>101.078246775195</v>
      </c>
      <c r="DU88">
        <v>101.23518928655615</v>
      </c>
      <c r="DV88">
        <v>101.38591868619385</v>
      </c>
      <c r="DW88">
        <v>101.50714411615563</v>
      </c>
      <c r="DX88">
        <v>101.66041293392152</v>
      </c>
      <c r="DY88">
        <v>101.81225906850354</v>
      </c>
      <c r="DZ88">
        <v>101.97192100257217</v>
      </c>
      <c r="EA88">
        <v>102.16939481352128</v>
      </c>
      <c r="EB88">
        <v>102.38050940169727</v>
      </c>
      <c r="EC88">
        <v>102.5545341313338</v>
      </c>
      <c r="ED88">
        <v>102.68978330550652</v>
      </c>
      <c r="EE88">
        <v>102.81464122363667</v>
      </c>
      <c r="EF88">
        <v>102.93754004948607</v>
      </c>
      <c r="EG88">
        <v>103.08686014657376</v>
      </c>
      <c r="EH88">
        <v>103.27230989350885</v>
      </c>
      <c r="EI88">
        <v>103.44124230179762</v>
      </c>
      <c r="EJ88">
        <v>103.58250789056619</v>
      </c>
      <c r="EK88">
        <v>103.76765256179233</v>
      </c>
      <c r="EL88">
        <v>103.92101879126683</v>
      </c>
      <c r="EM88">
        <v>104.12513472171325</v>
      </c>
      <c r="EN88">
        <v>104.32989139753987</v>
      </c>
      <c r="EO88">
        <v>104.53053816258014</v>
      </c>
      <c r="EP88">
        <v>104.70430470054379</v>
      </c>
      <c r="EQ88">
        <v>104.90951844243692</v>
      </c>
      <c r="ER88">
        <v>105.11779773015913</v>
      </c>
      <c r="ES88">
        <v>105.34730267636878</v>
      </c>
      <c r="ET88">
        <v>105.53968544165565</v>
      </c>
      <c r="EU88">
        <v>105.75315999573255</v>
      </c>
      <c r="EV88">
        <v>105.93090824338553</v>
      </c>
      <c r="EW88">
        <v>106.15524086475291</v>
      </c>
      <c r="EX88">
        <v>106.39649919095609</v>
      </c>
      <c r="EY88">
        <v>106.63157611469583</v>
      </c>
      <c r="EZ88">
        <v>106.93792214756269</v>
      </c>
      <c r="FA88">
        <v>107.23152520387177</v>
      </c>
      <c r="FB88">
        <v>107.44235365339949</v>
      </c>
      <c r="FC88">
        <v>107.76961281107721</v>
      </c>
      <c r="FD88">
        <v>108.00133738897458</v>
      </c>
      <c r="FE88">
        <v>108.23298077539332</v>
      </c>
      <c r="FF88">
        <v>108.54132771036208</v>
      </c>
      <c r="FG88">
        <v>108.81737591526763</v>
      </c>
      <c r="FH88">
        <v>109.07992344433619</v>
      </c>
      <c r="FI88">
        <v>109.43486275973106</v>
      </c>
      <c r="FJ88">
        <v>109.72757445361609</v>
      </c>
      <c r="FK88">
        <v>110.08314767522081</v>
      </c>
      <c r="FL88">
        <v>110.48980054485409</v>
      </c>
      <c r="FM88">
        <v>110.91570504809182</v>
      </c>
      <c r="FN88">
        <v>111.3349359882077</v>
      </c>
      <c r="FO88">
        <v>111.74596012656079</v>
      </c>
      <c r="FP88">
        <v>112.08763913095525</v>
      </c>
      <c r="FQ88">
        <v>112.50860406773943</v>
      </c>
      <c r="FR88">
        <v>112.93189395900761</v>
      </c>
      <c r="FS88">
        <v>113.35267933872012</v>
      </c>
      <c r="FT88">
        <v>113.89791330480067</v>
      </c>
      <c r="FU88">
        <v>114.39831625806434</v>
      </c>
      <c r="FV88">
        <v>114.93227136979291</v>
      </c>
      <c r="FW88">
        <v>115.52183852566529</v>
      </c>
      <c r="FX88">
        <v>116.14717260340483</v>
      </c>
      <c r="FY88">
        <v>116.72840486157055</v>
      </c>
      <c r="FZ88">
        <v>117.48487362514526</v>
      </c>
      <c r="GA88">
        <v>118.13838656305371</v>
      </c>
      <c r="GB88">
        <v>119.09086909036346</v>
      </c>
      <c r="GC88">
        <v>119.94976821579753</v>
      </c>
      <c r="GD88">
        <v>120.78715400680412</v>
      </c>
      <c r="GE88">
        <v>121.71691719753574</v>
      </c>
      <c r="GF88">
        <v>122.58930615755673</v>
      </c>
      <c r="GG88">
        <v>123.8376581869764</v>
      </c>
      <c r="GH88">
        <v>125.08773214166717</v>
      </c>
      <c r="GI88">
        <v>126.58576178396083</v>
      </c>
      <c r="GJ88">
        <v>128.04106028587691</v>
      </c>
      <c r="GK88">
        <v>130.13068597188243</v>
      </c>
      <c r="GL88">
        <v>131.98655459727462</v>
      </c>
      <c r="GM88">
        <v>134.59257866984524</v>
      </c>
      <c r="GN88">
        <v>138.22683942259451</v>
      </c>
      <c r="GO88">
        <v>142.73430676115751</v>
      </c>
      <c r="GP88">
        <v>148.19061021516126</v>
      </c>
      <c r="GQ88">
        <v>157.40837506762699</v>
      </c>
      <c r="GR88">
        <v>101.30064671804512</v>
      </c>
      <c r="GT88" s="8">
        <v>45418</v>
      </c>
      <c r="GU88">
        <v>167.97</v>
      </c>
    </row>
    <row r="89" spans="1:203" x14ac:dyDescent="0.45">
      <c r="A89">
        <v>83.34298590572979</v>
      </c>
      <c r="B89">
        <v>84.72847869492395</v>
      </c>
      <c r="C89">
        <v>85.435142151743122</v>
      </c>
      <c r="D89">
        <v>86.196238670780218</v>
      </c>
      <c r="E89">
        <v>86.65585406673587</v>
      </c>
      <c r="F89">
        <v>87.01451899540416</v>
      </c>
      <c r="G89">
        <v>87.356254217687862</v>
      </c>
      <c r="H89">
        <v>87.676900521376268</v>
      </c>
      <c r="I89">
        <v>87.894172284530498</v>
      </c>
      <c r="J89">
        <v>88.149484298458518</v>
      </c>
      <c r="K89">
        <v>88.382424953833862</v>
      </c>
      <c r="L89">
        <v>88.583471120195497</v>
      </c>
      <c r="M89">
        <v>88.798921041408079</v>
      </c>
      <c r="N89">
        <v>88.98436199509716</v>
      </c>
      <c r="O89">
        <v>89.209429460654235</v>
      </c>
      <c r="P89">
        <v>89.384303350105228</v>
      </c>
      <c r="Q89">
        <v>89.559839724248064</v>
      </c>
      <c r="R89">
        <v>89.742889738714879</v>
      </c>
      <c r="S89">
        <v>89.911831405807618</v>
      </c>
      <c r="T89">
        <v>90.063324933322605</v>
      </c>
      <c r="U89">
        <v>90.234108956565251</v>
      </c>
      <c r="V89">
        <v>90.381060695292859</v>
      </c>
      <c r="W89">
        <v>90.505164470524093</v>
      </c>
      <c r="X89">
        <v>90.649419104150638</v>
      </c>
      <c r="Y89">
        <v>90.791813864637234</v>
      </c>
      <c r="Z89">
        <v>90.933299324459284</v>
      </c>
      <c r="AA89">
        <v>91.056259336501981</v>
      </c>
      <c r="AB89">
        <v>91.155189476734293</v>
      </c>
      <c r="AC89">
        <v>91.270789101143976</v>
      </c>
      <c r="AD89">
        <v>91.386712730826503</v>
      </c>
      <c r="AE89">
        <v>91.494906430374371</v>
      </c>
      <c r="AF89">
        <v>91.587619627608987</v>
      </c>
      <c r="AG89">
        <v>91.700726472873498</v>
      </c>
      <c r="AH89">
        <v>91.798989979531882</v>
      </c>
      <c r="AI89">
        <v>91.892689860137935</v>
      </c>
      <c r="AJ89">
        <v>91.992323377619485</v>
      </c>
      <c r="AK89">
        <v>92.078615108257083</v>
      </c>
      <c r="AL89">
        <v>92.205401354162973</v>
      </c>
      <c r="AM89">
        <v>92.319736572465786</v>
      </c>
      <c r="AN89">
        <v>92.422048714372991</v>
      </c>
      <c r="AO89">
        <v>92.509504146429322</v>
      </c>
      <c r="AP89">
        <v>92.613130566250035</v>
      </c>
      <c r="AQ89">
        <v>92.716537712269584</v>
      </c>
      <c r="AR89">
        <v>92.816999718683377</v>
      </c>
      <c r="AS89">
        <v>92.906718731124514</v>
      </c>
      <c r="AT89">
        <v>93.007158648428629</v>
      </c>
      <c r="AU89">
        <v>93.09610366367923</v>
      </c>
      <c r="AV89">
        <v>93.186473125078251</v>
      </c>
      <c r="AW89">
        <v>93.274712474791983</v>
      </c>
      <c r="AX89">
        <v>93.379393265413398</v>
      </c>
      <c r="AY89">
        <v>93.46739666086043</v>
      </c>
      <c r="AZ89">
        <v>93.558615421785277</v>
      </c>
      <c r="BA89">
        <v>93.635224513521848</v>
      </c>
      <c r="BB89">
        <v>93.736793065719851</v>
      </c>
      <c r="BC89">
        <v>93.854805311725471</v>
      </c>
      <c r="BD89">
        <v>93.933470499485566</v>
      </c>
      <c r="BE89">
        <v>94.019245459004978</v>
      </c>
      <c r="BF89">
        <v>94.098168688880378</v>
      </c>
      <c r="BG89">
        <v>94.181852727786179</v>
      </c>
      <c r="BH89">
        <v>94.259545182035737</v>
      </c>
      <c r="BI89">
        <v>94.337389482668883</v>
      </c>
      <c r="BJ89">
        <v>94.422462325437934</v>
      </c>
      <c r="BK89">
        <v>94.500740625405342</v>
      </c>
      <c r="BL89">
        <v>94.588500659124364</v>
      </c>
      <c r="BM89">
        <v>94.697452156841109</v>
      </c>
      <c r="BN89">
        <v>94.793092862851125</v>
      </c>
      <c r="BO89">
        <v>94.876506347669761</v>
      </c>
      <c r="BP89">
        <v>94.9576200104446</v>
      </c>
      <c r="BQ89">
        <v>95.04904438540666</v>
      </c>
      <c r="BR89">
        <v>95.14086225988946</v>
      </c>
      <c r="BS89">
        <v>95.217019706748616</v>
      </c>
      <c r="BT89">
        <v>95.319749648531925</v>
      </c>
      <c r="BU89">
        <v>95.395151968795503</v>
      </c>
      <c r="BV89">
        <v>95.480043966609216</v>
      </c>
      <c r="BW89">
        <v>95.566024174310201</v>
      </c>
      <c r="BX89">
        <v>95.649212124142267</v>
      </c>
      <c r="BY89">
        <v>95.737930060963961</v>
      </c>
      <c r="BZ89">
        <v>95.841257357355175</v>
      </c>
      <c r="CA89">
        <v>95.944241956967943</v>
      </c>
      <c r="CB89">
        <v>96.04074908304618</v>
      </c>
      <c r="CC89">
        <v>96.144341690347758</v>
      </c>
      <c r="CD89">
        <v>96.236394874797824</v>
      </c>
      <c r="CE89">
        <v>96.331731528523463</v>
      </c>
      <c r="CF89">
        <v>96.418251632137782</v>
      </c>
      <c r="CG89">
        <v>96.52013894483261</v>
      </c>
      <c r="CH89">
        <v>96.622794841309343</v>
      </c>
      <c r="CI89">
        <v>96.725169247849493</v>
      </c>
      <c r="CJ89">
        <v>96.831675899887074</v>
      </c>
      <c r="CK89">
        <v>96.934891398144558</v>
      </c>
      <c r="CL89">
        <v>97.035487630015083</v>
      </c>
      <c r="CM89">
        <v>97.139224862141091</v>
      </c>
      <c r="CN89">
        <v>97.255073586410148</v>
      </c>
      <c r="CO89">
        <v>97.3741981888803</v>
      </c>
      <c r="CP89">
        <v>97.507848818358582</v>
      </c>
      <c r="CQ89">
        <v>97.613960226040902</v>
      </c>
      <c r="CR89">
        <v>97.725629760155343</v>
      </c>
      <c r="CS89">
        <v>97.857455918127783</v>
      </c>
      <c r="CT89">
        <v>97.944861114592356</v>
      </c>
      <c r="CU89">
        <v>98.049593585894911</v>
      </c>
      <c r="CV89">
        <v>98.187798056784274</v>
      </c>
      <c r="CW89">
        <v>98.344626885182862</v>
      </c>
      <c r="CX89">
        <v>98.431321716752308</v>
      </c>
      <c r="CY89">
        <v>98.524899435560883</v>
      </c>
      <c r="CZ89">
        <v>98.638286236224587</v>
      </c>
      <c r="DA89">
        <v>98.767525639159885</v>
      </c>
      <c r="DB89">
        <v>98.87261956531583</v>
      </c>
      <c r="DC89">
        <v>98.988184633348226</v>
      </c>
      <c r="DD89">
        <v>99.117424291081761</v>
      </c>
      <c r="DE89">
        <v>99.220837827705012</v>
      </c>
      <c r="DF89">
        <v>99.319376797346479</v>
      </c>
      <c r="DG89">
        <v>99.425366961244251</v>
      </c>
      <c r="DH89">
        <v>99.565113650081187</v>
      </c>
      <c r="DI89">
        <v>99.708994734856276</v>
      </c>
      <c r="DJ89">
        <v>99.82614051226922</v>
      </c>
      <c r="DK89">
        <v>99.925308473484606</v>
      </c>
      <c r="DL89">
        <v>100.03930637665822</v>
      </c>
      <c r="DM89">
        <v>100.15675472906072</v>
      </c>
      <c r="DN89">
        <v>100.30066022104262</v>
      </c>
      <c r="DO89">
        <v>100.43981248205519</v>
      </c>
      <c r="DP89">
        <v>100.56379447448552</v>
      </c>
      <c r="DQ89">
        <v>100.69053261233911</v>
      </c>
      <c r="DR89">
        <v>100.81221438018271</v>
      </c>
      <c r="DS89">
        <v>100.92315024708067</v>
      </c>
      <c r="DT89">
        <v>101.0688423856671</v>
      </c>
      <c r="DU89">
        <v>101.23089820056481</v>
      </c>
      <c r="DV89">
        <v>101.40221149941851</v>
      </c>
      <c r="DW89">
        <v>101.53079600849141</v>
      </c>
      <c r="DX89">
        <v>101.66030411208591</v>
      </c>
      <c r="DY89">
        <v>101.79108402241026</v>
      </c>
      <c r="DZ89">
        <v>101.90803357072333</v>
      </c>
      <c r="EA89">
        <v>102.05140285923135</v>
      </c>
      <c r="EB89">
        <v>102.2406428985506</v>
      </c>
      <c r="EC89">
        <v>102.41213159271084</v>
      </c>
      <c r="ED89">
        <v>102.56582775916957</v>
      </c>
      <c r="EE89">
        <v>102.71885068251144</v>
      </c>
      <c r="EF89">
        <v>102.86806037540724</v>
      </c>
      <c r="EG89">
        <v>103.02167941026821</v>
      </c>
      <c r="EH89">
        <v>103.18753746748602</v>
      </c>
      <c r="EI89">
        <v>103.3701046957072</v>
      </c>
      <c r="EJ89">
        <v>103.54559302930086</v>
      </c>
      <c r="EK89">
        <v>103.74131390617048</v>
      </c>
      <c r="EL89">
        <v>103.92186490547373</v>
      </c>
      <c r="EM89">
        <v>104.1197112010033</v>
      </c>
      <c r="EN89">
        <v>104.28878217630616</v>
      </c>
      <c r="EO89">
        <v>104.45877802480781</v>
      </c>
      <c r="EP89">
        <v>104.68383086777476</v>
      </c>
      <c r="EQ89">
        <v>104.88157851426989</v>
      </c>
      <c r="ER89">
        <v>105.09203656835977</v>
      </c>
      <c r="ES89">
        <v>105.31059330362726</v>
      </c>
      <c r="ET89">
        <v>105.53387787711404</v>
      </c>
      <c r="EU89">
        <v>105.77388584164875</v>
      </c>
      <c r="EV89">
        <v>105.98207326595988</v>
      </c>
      <c r="EW89">
        <v>106.18990586528237</v>
      </c>
      <c r="EX89">
        <v>106.40316727386214</v>
      </c>
      <c r="EY89">
        <v>106.6522478227849</v>
      </c>
      <c r="EZ89">
        <v>106.91351485744894</v>
      </c>
      <c r="FA89">
        <v>107.18939365919435</v>
      </c>
      <c r="FB89">
        <v>107.4882492777177</v>
      </c>
      <c r="FC89">
        <v>107.72931682318028</v>
      </c>
      <c r="FD89">
        <v>108.04055217254897</v>
      </c>
      <c r="FE89">
        <v>108.299092608678</v>
      </c>
      <c r="FF89">
        <v>108.61976038813366</v>
      </c>
      <c r="FG89">
        <v>108.90321596435766</v>
      </c>
      <c r="FH89">
        <v>109.21017685063208</v>
      </c>
      <c r="FI89">
        <v>109.56973160061756</v>
      </c>
      <c r="FJ89">
        <v>109.88578843335442</v>
      </c>
      <c r="FK89">
        <v>110.23177217844889</v>
      </c>
      <c r="FL89">
        <v>110.6279960642584</v>
      </c>
      <c r="FM89">
        <v>111.07626818827853</v>
      </c>
      <c r="FN89">
        <v>111.5312354158776</v>
      </c>
      <c r="FO89">
        <v>111.88130046122565</v>
      </c>
      <c r="FP89">
        <v>112.18200325698372</v>
      </c>
      <c r="FQ89">
        <v>112.60571994581422</v>
      </c>
      <c r="FR89">
        <v>113.03480152857698</v>
      </c>
      <c r="FS89">
        <v>113.49421163094264</v>
      </c>
      <c r="FT89">
        <v>113.90173202355324</v>
      </c>
      <c r="FU89">
        <v>114.44670434575504</v>
      </c>
      <c r="FV89">
        <v>115.04497911641562</v>
      </c>
      <c r="FW89">
        <v>115.55123817363722</v>
      </c>
      <c r="FX89">
        <v>116.17050363601895</v>
      </c>
      <c r="FY89">
        <v>116.73194414703812</v>
      </c>
      <c r="FZ89">
        <v>117.53292396965361</v>
      </c>
      <c r="GA89">
        <v>118.24177372978802</v>
      </c>
      <c r="GB89">
        <v>119.34484581466141</v>
      </c>
      <c r="GC89">
        <v>120.28767207374408</v>
      </c>
      <c r="GD89">
        <v>121.08480363894571</v>
      </c>
      <c r="GE89">
        <v>121.91159014495607</v>
      </c>
      <c r="GF89">
        <v>122.72165042149953</v>
      </c>
      <c r="GG89">
        <v>123.83432439790913</v>
      </c>
      <c r="GH89">
        <v>124.96153839028392</v>
      </c>
      <c r="GI89">
        <v>126.54851415718566</v>
      </c>
      <c r="GJ89">
        <v>128.93491924989149</v>
      </c>
      <c r="GK89">
        <v>130.68194848758938</v>
      </c>
      <c r="GL89">
        <v>132.63854746435726</v>
      </c>
      <c r="GM89">
        <v>135.46012526698632</v>
      </c>
      <c r="GN89">
        <v>138.47237094378781</v>
      </c>
      <c r="GO89">
        <v>142.45367869584666</v>
      </c>
      <c r="GP89">
        <v>147.9851359911583</v>
      </c>
      <c r="GQ89">
        <v>159.0012169919124</v>
      </c>
      <c r="GR89">
        <v>101.31734271383694</v>
      </c>
      <c r="GT89" s="8">
        <v>45419</v>
      </c>
      <c r="GU89">
        <v>168.78</v>
      </c>
    </row>
    <row r="90" spans="1:203" x14ac:dyDescent="0.45">
      <c r="A90">
        <v>83.36206377221292</v>
      </c>
      <c r="B90">
        <v>84.8554338415301</v>
      </c>
      <c r="C90">
        <v>85.417694708515171</v>
      </c>
      <c r="D90">
        <v>86.018317618379712</v>
      </c>
      <c r="E90">
        <v>86.519617785197639</v>
      </c>
      <c r="F90">
        <v>86.966304636193144</v>
      </c>
      <c r="G90">
        <v>87.232936502082765</v>
      </c>
      <c r="H90">
        <v>87.576063095492657</v>
      </c>
      <c r="I90">
        <v>87.876794917041337</v>
      </c>
      <c r="J90">
        <v>88.106282117583078</v>
      </c>
      <c r="K90">
        <v>88.339221402037708</v>
      </c>
      <c r="L90">
        <v>88.575382629526374</v>
      </c>
      <c r="M90">
        <v>88.715996001023498</v>
      </c>
      <c r="N90">
        <v>88.901143990519202</v>
      </c>
      <c r="O90">
        <v>89.076857107513504</v>
      </c>
      <c r="P90">
        <v>89.260572389402299</v>
      </c>
      <c r="Q90">
        <v>89.494336356149873</v>
      </c>
      <c r="R90">
        <v>89.686057692865802</v>
      </c>
      <c r="S90">
        <v>89.839354611985684</v>
      </c>
      <c r="T90">
        <v>90.014157734701143</v>
      </c>
      <c r="U90">
        <v>90.171376747790561</v>
      </c>
      <c r="V90">
        <v>90.32770576409429</v>
      </c>
      <c r="W90">
        <v>90.456682037420308</v>
      </c>
      <c r="X90">
        <v>90.591463185921668</v>
      </c>
      <c r="Y90">
        <v>90.704603847864306</v>
      </c>
      <c r="Z90">
        <v>90.849578173692038</v>
      </c>
      <c r="AA90">
        <v>90.990074525187694</v>
      </c>
      <c r="AB90">
        <v>91.118044030579171</v>
      </c>
      <c r="AC90">
        <v>91.231607599312738</v>
      </c>
      <c r="AD90">
        <v>91.34944859104985</v>
      </c>
      <c r="AE90">
        <v>91.464991660076194</v>
      </c>
      <c r="AF90">
        <v>91.560457636016395</v>
      </c>
      <c r="AG90">
        <v>91.656590819745986</v>
      </c>
      <c r="AH90">
        <v>91.773865987697945</v>
      </c>
      <c r="AI90">
        <v>91.859004621783185</v>
      </c>
      <c r="AJ90">
        <v>91.946628943251326</v>
      </c>
      <c r="AK90">
        <v>92.048014226598696</v>
      </c>
      <c r="AL90">
        <v>92.149948247557703</v>
      </c>
      <c r="AM90">
        <v>92.2647406909213</v>
      </c>
      <c r="AN90">
        <v>92.378514258231888</v>
      </c>
      <c r="AO90">
        <v>92.458538479014791</v>
      </c>
      <c r="AP90">
        <v>92.561577235548327</v>
      </c>
      <c r="AQ90">
        <v>92.65209139377879</v>
      </c>
      <c r="AR90">
        <v>92.757258256862158</v>
      </c>
      <c r="AS90">
        <v>92.846481640907257</v>
      </c>
      <c r="AT90">
        <v>92.947348926851049</v>
      </c>
      <c r="AU90">
        <v>93.040644215819043</v>
      </c>
      <c r="AV90">
        <v>93.154750776686413</v>
      </c>
      <c r="AW90">
        <v>93.233985885497091</v>
      </c>
      <c r="AX90">
        <v>93.336766666778146</v>
      </c>
      <c r="AY90">
        <v>93.430609257319915</v>
      </c>
      <c r="AZ90">
        <v>93.482783759619394</v>
      </c>
      <c r="BA90">
        <v>93.587896744446155</v>
      </c>
      <c r="BB90">
        <v>93.677524589155425</v>
      </c>
      <c r="BC90">
        <v>93.779593544850385</v>
      </c>
      <c r="BD90">
        <v>93.871697566201647</v>
      </c>
      <c r="BE90">
        <v>93.963157541042094</v>
      </c>
      <c r="BF90">
        <v>94.057930660709033</v>
      </c>
      <c r="BG90">
        <v>94.15743563403592</v>
      </c>
      <c r="BH90">
        <v>94.233666760287065</v>
      </c>
      <c r="BI90">
        <v>94.314283616965781</v>
      </c>
      <c r="BJ90">
        <v>94.400361649165063</v>
      </c>
      <c r="BK90">
        <v>94.518928663004687</v>
      </c>
      <c r="BL90">
        <v>94.584532700303711</v>
      </c>
      <c r="BM90">
        <v>94.671749330329988</v>
      </c>
      <c r="BN90">
        <v>94.776005601153301</v>
      </c>
      <c r="BO90">
        <v>94.854590704328984</v>
      </c>
      <c r="BP90">
        <v>94.949621313911436</v>
      </c>
      <c r="BQ90">
        <v>95.043388167155598</v>
      </c>
      <c r="BR90">
        <v>95.144842401232893</v>
      </c>
      <c r="BS90">
        <v>95.232285020156894</v>
      </c>
      <c r="BT90">
        <v>95.326519775049661</v>
      </c>
      <c r="BU90">
        <v>95.40799034872812</v>
      </c>
      <c r="BV90">
        <v>95.512403694184314</v>
      </c>
      <c r="BW90">
        <v>95.598729750304031</v>
      </c>
      <c r="BX90">
        <v>95.67581734733794</v>
      </c>
      <c r="BY90">
        <v>95.752220436127061</v>
      </c>
      <c r="BZ90">
        <v>95.841329421975075</v>
      </c>
      <c r="CA90">
        <v>95.926611331927816</v>
      </c>
      <c r="CB90">
        <v>96.025844252117409</v>
      </c>
      <c r="CC90">
        <v>96.117713058523933</v>
      </c>
      <c r="CD90">
        <v>96.217487573934633</v>
      </c>
      <c r="CE90">
        <v>96.315958096562468</v>
      </c>
      <c r="CF90">
        <v>96.40078552471104</v>
      </c>
      <c r="CG90">
        <v>96.513019888395107</v>
      </c>
      <c r="CH90">
        <v>96.61520734881357</v>
      </c>
      <c r="CI90">
        <v>96.717257864621317</v>
      </c>
      <c r="CJ90">
        <v>96.80827106352092</v>
      </c>
      <c r="CK90">
        <v>96.91397269199544</v>
      </c>
      <c r="CL90">
        <v>97.024671272752386</v>
      </c>
      <c r="CM90">
        <v>97.140479193077397</v>
      </c>
      <c r="CN90">
        <v>97.269015405854518</v>
      </c>
      <c r="CO90">
        <v>97.3743388833213</v>
      </c>
      <c r="CP90">
        <v>97.471773490547463</v>
      </c>
      <c r="CQ90">
        <v>97.586062500652076</v>
      </c>
      <c r="CR90">
        <v>97.673319311260897</v>
      </c>
      <c r="CS90">
        <v>97.783108207217822</v>
      </c>
      <c r="CT90">
        <v>97.886958654592235</v>
      </c>
      <c r="CU90">
        <v>98.004414678214616</v>
      </c>
      <c r="CV90">
        <v>98.117635495125711</v>
      </c>
      <c r="CW90">
        <v>98.236328755209257</v>
      </c>
      <c r="CX90">
        <v>98.361437291145549</v>
      </c>
      <c r="CY90">
        <v>98.452318756634838</v>
      </c>
      <c r="CZ90">
        <v>98.580209714787884</v>
      </c>
      <c r="DA90">
        <v>98.682977341495771</v>
      </c>
      <c r="DB90">
        <v>98.797403149768073</v>
      </c>
      <c r="DC90">
        <v>98.917060351017028</v>
      </c>
      <c r="DD90">
        <v>99.02683790291357</v>
      </c>
      <c r="DE90">
        <v>99.154121550185153</v>
      </c>
      <c r="DF90">
        <v>99.269636433510684</v>
      </c>
      <c r="DG90">
        <v>99.378535400218709</v>
      </c>
      <c r="DH90">
        <v>99.509885931013073</v>
      </c>
      <c r="DI90">
        <v>99.630055122481537</v>
      </c>
      <c r="DJ90">
        <v>99.733334443071527</v>
      </c>
      <c r="DK90">
        <v>99.840051282556345</v>
      </c>
      <c r="DL90">
        <v>99.941039930110819</v>
      </c>
      <c r="DM90">
        <v>100.07538034284383</v>
      </c>
      <c r="DN90">
        <v>100.22817503095908</v>
      </c>
      <c r="DO90">
        <v>100.36257489153239</v>
      </c>
      <c r="DP90">
        <v>100.48721270216106</v>
      </c>
      <c r="DQ90">
        <v>100.61143774812111</v>
      </c>
      <c r="DR90">
        <v>100.76743041986717</v>
      </c>
      <c r="DS90">
        <v>100.92160451811017</v>
      </c>
      <c r="DT90">
        <v>101.09600850806402</v>
      </c>
      <c r="DU90">
        <v>101.23550110325303</v>
      </c>
      <c r="DV90">
        <v>101.35223901911424</v>
      </c>
      <c r="DW90">
        <v>101.50158760457867</v>
      </c>
      <c r="DX90">
        <v>101.65023310762253</v>
      </c>
      <c r="DY90">
        <v>101.83206611627847</v>
      </c>
      <c r="DZ90">
        <v>102.0055128935909</v>
      </c>
      <c r="EA90">
        <v>102.15660392826143</v>
      </c>
      <c r="EB90">
        <v>102.28557512758485</v>
      </c>
      <c r="EC90">
        <v>102.43233731491027</v>
      </c>
      <c r="ED90">
        <v>102.57807440264163</v>
      </c>
      <c r="EE90">
        <v>102.77029498726597</v>
      </c>
      <c r="EF90">
        <v>102.90281685309336</v>
      </c>
      <c r="EG90">
        <v>103.07145232420687</v>
      </c>
      <c r="EH90">
        <v>103.20528314373796</v>
      </c>
      <c r="EI90">
        <v>103.38881013107854</v>
      </c>
      <c r="EJ90">
        <v>103.58192795897884</v>
      </c>
      <c r="EK90">
        <v>103.78122268841025</v>
      </c>
      <c r="EL90">
        <v>103.93442660391518</v>
      </c>
      <c r="EM90">
        <v>104.14076627487951</v>
      </c>
      <c r="EN90">
        <v>104.33528246716021</v>
      </c>
      <c r="EO90">
        <v>104.53161172434847</v>
      </c>
      <c r="EP90">
        <v>104.74012073889759</v>
      </c>
      <c r="EQ90">
        <v>104.92536620508923</v>
      </c>
      <c r="ER90">
        <v>105.08051129103654</v>
      </c>
      <c r="ES90">
        <v>105.28682648863693</v>
      </c>
      <c r="ET90">
        <v>105.51382858102809</v>
      </c>
      <c r="EU90">
        <v>105.72850383890045</v>
      </c>
      <c r="EV90">
        <v>106.03148886875954</v>
      </c>
      <c r="EW90">
        <v>106.2462052780057</v>
      </c>
      <c r="EX90">
        <v>106.48206128283877</v>
      </c>
      <c r="EY90">
        <v>106.69141175811686</v>
      </c>
      <c r="EZ90">
        <v>106.93665196690615</v>
      </c>
      <c r="FA90">
        <v>107.2027535348255</v>
      </c>
      <c r="FB90">
        <v>107.55678606923642</v>
      </c>
      <c r="FC90">
        <v>107.80352809771584</v>
      </c>
      <c r="FD90">
        <v>108.1037323347047</v>
      </c>
      <c r="FE90">
        <v>108.39184277274813</v>
      </c>
      <c r="FF90">
        <v>108.72992805862289</v>
      </c>
      <c r="FG90">
        <v>108.96232723437083</v>
      </c>
      <c r="FH90">
        <v>109.267169306951</v>
      </c>
      <c r="FI90">
        <v>109.57488961724042</v>
      </c>
      <c r="FJ90">
        <v>109.88066024600283</v>
      </c>
      <c r="FK90">
        <v>110.31982518251992</v>
      </c>
      <c r="FL90">
        <v>110.70088349243373</v>
      </c>
      <c r="FM90">
        <v>111.01573281801953</v>
      </c>
      <c r="FN90">
        <v>111.42869711061807</v>
      </c>
      <c r="FO90">
        <v>111.79623722436205</v>
      </c>
      <c r="FP90">
        <v>112.24470986215196</v>
      </c>
      <c r="FQ90">
        <v>112.60727347687217</v>
      </c>
      <c r="FR90">
        <v>113.21387644034579</v>
      </c>
      <c r="FS90">
        <v>113.67506727524859</v>
      </c>
      <c r="FT90">
        <v>114.15580284199753</v>
      </c>
      <c r="FU90">
        <v>114.64037497619574</v>
      </c>
      <c r="FV90">
        <v>115.10617824525659</v>
      </c>
      <c r="FW90">
        <v>115.76291990004422</v>
      </c>
      <c r="FX90">
        <v>116.40185098694425</v>
      </c>
      <c r="FY90">
        <v>117.08708484446075</v>
      </c>
      <c r="FZ90">
        <v>117.7564066589207</v>
      </c>
      <c r="GA90">
        <v>118.52683162740762</v>
      </c>
      <c r="GB90">
        <v>119.1236223876674</v>
      </c>
      <c r="GC90">
        <v>120.06888355161571</v>
      </c>
      <c r="GD90">
        <v>120.90550266641654</v>
      </c>
      <c r="GE90">
        <v>121.74836539953429</v>
      </c>
      <c r="GF90">
        <v>122.85612427387213</v>
      </c>
      <c r="GG90">
        <v>123.89188748800836</v>
      </c>
      <c r="GH90">
        <v>125.28992755148276</v>
      </c>
      <c r="GI90">
        <v>126.69252867966519</v>
      </c>
      <c r="GJ90">
        <v>128.68818663854597</v>
      </c>
      <c r="GK90">
        <v>130.71174812744533</v>
      </c>
      <c r="GL90">
        <v>133.07393077388147</v>
      </c>
      <c r="GM90">
        <v>135.34125586725966</v>
      </c>
      <c r="GN90">
        <v>138.90670546604744</v>
      </c>
      <c r="GO90">
        <v>142.68853125919563</v>
      </c>
      <c r="GP90">
        <v>148.71521678640443</v>
      </c>
      <c r="GQ90">
        <v>161.21355825426079</v>
      </c>
      <c r="GR90">
        <v>101.31879483825635</v>
      </c>
      <c r="GT90" s="8">
        <v>45420</v>
      </c>
      <c r="GU90">
        <v>168.86</v>
      </c>
    </row>
    <row r="91" spans="1:203" x14ac:dyDescent="0.45">
      <c r="A91">
        <v>83.289920115483724</v>
      </c>
      <c r="B91">
        <v>84.536158721764437</v>
      </c>
      <c r="C91">
        <v>85.371443616765504</v>
      </c>
      <c r="D91">
        <v>86.005987229367719</v>
      </c>
      <c r="E91">
        <v>86.558024701150885</v>
      </c>
      <c r="F91">
        <v>86.942635190214176</v>
      </c>
      <c r="G91">
        <v>87.231273101888718</v>
      </c>
      <c r="H91">
        <v>87.607155898409914</v>
      </c>
      <c r="I91">
        <v>87.835515067102335</v>
      </c>
      <c r="J91">
        <v>88.037725084076271</v>
      </c>
      <c r="K91">
        <v>88.289698317827174</v>
      </c>
      <c r="L91">
        <v>88.503452565610388</v>
      </c>
      <c r="M91">
        <v>88.70256971778673</v>
      </c>
      <c r="N91">
        <v>88.838468192812712</v>
      </c>
      <c r="O91">
        <v>89.025136050291508</v>
      </c>
      <c r="P91">
        <v>89.212701697296609</v>
      </c>
      <c r="Q91">
        <v>89.40926841793565</v>
      </c>
      <c r="R91">
        <v>89.618335100031601</v>
      </c>
      <c r="S91">
        <v>89.786219154258177</v>
      </c>
      <c r="T91">
        <v>89.927903797990624</v>
      </c>
      <c r="U91">
        <v>90.096450101168813</v>
      </c>
      <c r="V91">
        <v>90.228427786470519</v>
      </c>
      <c r="W91">
        <v>90.404449165085794</v>
      </c>
      <c r="X91">
        <v>90.537961438337149</v>
      </c>
      <c r="Y91">
        <v>90.680313087544874</v>
      </c>
      <c r="Z91">
        <v>90.847219376660348</v>
      </c>
      <c r="AA91">
        <v>90.984184542405984</v>
      </c>
      <c r="AB91">
        <v>91.080800861582233</v>
      </c>
      <c r="AC91">
        <v>91.200726190180731</v>
      </c>
      <c r="AD91">
        <v>91.310829562259187</v>
      </c>
      <c r="AE91">
        <v>91.417708221584235</v>
      </c>
      <c r="AF91">
        <v>91.510381652755697</v>
      </c>
      <c r="AG91">
        <v>91.613045448456418</v>
      </c>
      <c r="AH91">
        <v>91.732031881568147</v>
      </c>
      <c r="AI91">
        <v>91.831537199572992</v>
      </c>
      <c r="AJ91">
        <v>91.928581266313955</v>
      </c>
      <c r="AK91">
        <v>92.031978843691675</v>
      </c>
      <c r="AL91">
        <v>92.122258223555676</v>
      </c>
      <c r="AM91">
        <v>92.223178887222346</v>
      </c>
      <c r="AN91">
        <v>92.316349332937207</v>
      </c>
      <c r="AO91">
        <v>92.413951725550305</v>
      </c>
      <c r="AP91">
        <v>92.52540179555443</v>
      </c>
      <c r="AQ91">
        <v>92.618783641080626</v>
      </c>
      <c r="AR91">
        <v>92.701850327599743</v>
      </c>
      <c r="AS91">
        <v>92.780208254665141</v>
      </c>
      <c r="AT91">
        <v>92.881595708369588</v>
      </c>
      <c r="AU91">
        <v>92.980942275612009</v>
      </c>
      <c r="AV91">
        <v>93.079881033909118</v>
      </c>
      <c r="AW91">
        <v>93.17668771069772</v>
      </c>
      <c r="AX91">
        <v>93.256980476013581</v>
      </c>
      <c r="AY91">
        <v>93.34844814152153</v>
      </c>
      <c r="AZ91">
        <v>93.459726742500152</v>
      </c>
      <c r="BA91">
        <v>93.552436742655928</v>
      </c>
      <c r="BB91">
        <v>93.651388902032423</v>
      </c>
      <c r="BC91">
        <v>93.744998014704123</v>
      </c>
      <c r="BD91">
        <v>93.835852476913971</v>
      </c>
      <c r="BE91">
        <v>93.893027505853738</v>
      </c>
      <c r="BF91">
        <v>93.994727566309777</v>
      </c>
      <c r="BG91">
        <v>94.079247613462229</v>
      </c>
      <c r="BH91">
        <v>94.175615286913541</v>
      </c>
      <c r="BI91">
        <v>94.264294244063322</v>
      </c>
      <c r="BJ91">
        <v>94.364288089273046</v>
      </c>
      <c r="BK91">
        <v>94.461579122305196</v>
      </c>
      <c r="BL91">
        <v>94.545270975408528</v>
      </c>
      <c r="BM91">
        <v>94.63444800415256</v>
      </c>
      <c r="BN91">
        <v>94.703403428484975</v>
      </c>
      <c r="BO91">
        <v>94.816449045074521</v>
      </c>
      <c r="BP91">
        <v>94.920021169285974</v>
      </c>
      <c r="BQ91">
        <v>95.007632945961603</v>
      </c>
      <c r="BR91">
        <v>95.103690218008595</v>
      </c>
      <c r="BS91">
        <v>95.21625690501196</v>
      </c>
      <c r="BT91">
        <v>95.320814089079136</v>
      </c>
      <c r="BU91">
        <v>95.411481584332378</v>
      </c>
      <c r="BV91">
        <v>95.521007888472852</v>
      </c>
      <c r="BW91">
        <v>95.601645924844803</v>
      </c>
      <c r="BX91">
        <v>95.673179801263871</v>
      </c>
      <c r="BY91">
        <v>95.742722264601454</v>
      </c>
      <c r="BZ91">
        <v>95.838146540990607</v>
      </c>
      <c r="CA91">
        <v>95.927180482082719</v>
      </c>
      <c r="CB91">
        <v>96.017956383729981</v>
      </c>
      <c r="CC91">
        <v>96.127279920151324</v>
      </c>
      <c r="CD91">
        <v>96.239296614649362</v>
      </c>
      <c r="CE91">
        <v>96.335228871661741</v>
      </c>
      <c r="CF91">
        <v>96.426182262975573</v>
      </c>
      <c r="CG91">
        <v>96.505715344712911</v>
      </c>
      <c r="CH91">
        <v>96.607698611391029</v>
      </c>
      <c r="CI91">
        <v>96.728191991529414</v>
      </c>
      <c r="CJ91">
        <v>96.817151569862546</v>
      </c>
      <c r="CK91">
        <v>96.934614074760304</v>
      </c>
      <c r="CL91">
        <v>97.01261620929418</v>
      </c>
      <c r="CM91">
        <v>97.124657961944663</v>
      </c>
      <c r="CN91">
        <v>97.236398635857384</v>
      </c>
      <c r="CO91">
        <v>97.323106864911992</v>
      </c>
      <c r="CP91">
        <v>97.437320441949325</v>
      </c>
      <c r="CQ91">
        <v>97.559180587527109</v>
      </c>
      <c r="CR91">
        <v>97.668436256726196</v>
      </c>
      <c r="CS91">
        <v>97.761173465342623</v>
      </c>
      <c r="CT91">
        <v>97.863981783918319</v>
      </c>
      <c r="CU91">
        <v>97.975005770738946</v>
      </c>
      <c r="CV91">
        <v>98.055156472886978</v>
      </c>
      <c r="CW91">
        <v>98.156716085579475</v>
      </c>
      <c r="CX91">
        <v>98.266619735075494</v>
      </c>
      <c r="CY91">
        <v>98.39917732114786</v>
      </c>
      <c r="CZ91">
        <v>98.533778131014074</v>
      </c>
      <c r="DA91">
        <v>98.664836312848365</v>
      </c>
      <c r="DB91">
        <v>98.783386070851407</v>
      </c>
      <c r="DC91">
        <v>98.902269328609009</v>
      </c>
      <c r="DD91">
        <v>99.016203319090891</v>
      </c>
      <c r="DE91">
        <v>99.122132037510042</v>
      </c>
      <c r="DF91">
        <v>99.281359491576296</v>
      </c>
      <c r="DG91">
        <v>99.394709608882295</v>
      </c>
      <c r="DH91">
        <v>99.515455301768426</v>
      </c>
      <c r="DI91">
        <v>99.644434329803573</v>
      </c>
      <c r="DJ91">
        <v>99.788821382039572</v>
      </c>
      <c r="DK91">
        <v>99.889648602099243</v>
      </c>
      <c r="DL91">
        <v>100.05835136684236</v>
      </c>
      <c r="DM91">
        <v>100.16879619879468</v>
      </c>
      <c r="DN91">
        <v>100.29507457162251</v>
      </c>
      <c r="DO91">
        <v>100.42753170791055</v>
      </c>
      <c r="DP91">
        <v>100.56692572125084</v>
      </c>
      <c r="DQ91">
        <v>100.69125023775216</v>
      </c>
      <c r="DR91">
        <v>100.83647806928673</v>
      </c>
      <c r="DS91">
        <v>100.97315759923428</v>
      </c>
      <c r="DT91">
        <v>101.09542214453597</v>
      </c>
      <c r="DU91">
        <v>101.23862898548776</v>
      </c>
      <c r="DV91">
        <v>101.3854555720458</v>
      </c>
      <c r="DW91">
        <v>101.54023026382386</v>
      </c>
      <c r="DX91">
        <v>101.68680219091216</v>
      </c>
      <c r="DY91">
        <v>101.82256714184034</v>
      </c>
      <c r="DZ91">
        <v>101.98843478709672</v>
      </c>
      <c r="EA91">
        <v>102.13435303674834</v>
      </c>
      <c r="EB91">
        <v>102.30269243653228</v>
      </c>
      <c r="EC91">
        <v>102.44474453057816</v>
      </c>
      <c r="ED91">
        <v>102.58144291849335</v>
      </c>
      <c r="EE91">
        <v>102.71330721102174</v>
      </c>
      <c r="EF91">
        <v>102.91808433927608</v>
      </c>
      <c r="EG91">
        <v>103.12251092596728</v>
      </c>
      <c r="EH91">
        <v>103.29001028221934</v>
      </c>
      <c r="EI91">
        <v>103.4551911760106</v>
      </c>
      <c r="EJ91">
        <v>103.64643300594321</v>
      </c>
      <c r="EK91">
        <v>103.82969536798738</v>
      </c>
      <c r="EL91">
        <v>103.98396349453806</v>
      </c>
      <c r="EM91">
        <v>104.17294646796408</v>
      </c>
      <c r="EN91">
        <v>104.35695714314303</v>
      </c>
      <c r="EO91">
        <v>104.56150413361566</v>
      </c>
      <c r="EP91">
        <v>104.71454183122465</v>
      </c>
      <c r="EQ91">
        <v>104.89057372473715</v>
      </c>
      <c r="ER91">
        <v>105.12628090337752</v>
      </c>
      <c r="ES91">
        <v>105.3199219241599</v>
      </c>
      <c r="ET91">
        <v>105.51145188538585</v>
      </c>
      <c r="EU91">
        <v>105.74874596920644</v>
      </c>
      <c r="EV91">
        <v>105.94747923286202</v>
      </c>
      <c r="EW91">
        <v>106.19156625883548</v>
      </c>
      <c r="EX91">
        <v>106.47771968483444</v>
      </c>
      <c r="EY91">
        <v>106.7417438003513</v>
      </c>
      <c r="EZ91">
        <v>106.97473287269874</v>
      </c>
      <c r="FA91">
        <v>107.22227928783427</v>
      </c>
      <c r="FB91">
        <v>107.4924299274396</v>
      </c>
      <c r="FC91">
        <v>107.77607899314769</v>
      </c>
      <c r="FD91">
        <v>108.07073325135734</v>
      </c>
      <c r="FE91">
        <v>108.34201227096059</v>
      </c>
      <c r="FF91">
        <v>108.62784378818456</v>
      </c>
      <c r="FG91">
        <v>108.94756943502681</v>
      </c>
      <c r="FH91">
        <v>109.20521225188074</v>
      </c>
      <c r="FI91">
        <v>109.54861016499022</v>
      </c>
      <c r="FJ91">
        <v>109.86936634339357</v>
      </c>
      <c r="FK91">
        <v>110.21140169389049</v>
      </c>
      <c r="FL91">
        <v>110.6221885955074</v>
      </c>
      <c r="FM91">
        <v>111.02853017956278</v>
      </c>
      <c r="FN91">
        <v>111.50232005046809</v>
      </c>
      <c r="FO91">
        <v>111.92977815688613</v>
      </c>
      <c r="FP91">
        <v>112.32003595815706</v>
      </c>
      <c r="FQ91">
        <v>112.70436674531003</v>
      </c>
      <c r="FR91">
        <v>113.26519985296828</v>
      </c>
      <c r="FS91">
        <v>113.68945942568394</v>
      </c>
      <c r="FT91">
        <v>114.15648543513279</v>
      </c>
      <c r="FU91">
        <v>114.63591461167219</v>
      </c>
      <c r="FV91">
        <v>115.21864900173443</v>
      </c>
      <c r="FW91">
        <v>115.69810920171159</v>
      </c>
      <c r="FX91">
        <v>116.24439866253211</v>
      </c>
      <c r="FY91">
        <v>116.9510321069728</v>
      </c>
      <c r="FZ91">
        <v>117.85400231459705</v>
      </c>
      <c r="GA91">
        <v>118.5653805360236</v>
      </c>
      <c r="GB91">
        <v>119.29687151014753</v>
      </c>
      <c r="GC91">
        <v>120.0724681134982</v>
      </c>
      <c r="GD91">
        <v>121.08096802330496</v>
      </c>
      <c r="GE91">
        <v>121.89162333035335</v>
      </c>
      <c r="GF91">
        <v>122.85598531112478</v>
      </c>
      <c r="GG91">
        <v>124.12561097252872</v>
      </c>
      <c r="GH91">
        <v>125.32579461821324</v>
      </c>
      <c r="GI91">
        <v>127.05008870252058</v>
      </c>
      <c r="GJ91">
        <v>128.55963473333384</v>
      </c>
      <c r="GK91">
        <v>130.27217685080134</v>
      </c>
      <c r="GL91">
        <v>132.56311361347906</v>
      </c>
      <c r="GM91">
        <v>135.59363666105548</v>
      </c>
      <c r="GN91">
        <v>138.56629815710576</v>
      </c>
      <c r="GO91">
        <v>143.31769090660862</v>
      </c>
      <c r="GP91">
        <v>148.56099306196569</v>
      </c>
      <c r="GQ91">
        <v>161.52118206805613</v>
      </c>
      <c r="GR91">
        <v>101.3098914697355</v>
      </c>
      <c r="GT91" s="8">
        <v>45421</v>
      </c>
      <c r="GU91">
        <v>167.5</v>
      </c>
    </row>
    <row r="92" spans="1:203" x14ac:dyDescent="0.45">
      <c r="A92">
        <v>83.285444847499164</v>
      </c>
      <c r="B92">
        <v>84.611372887815435</v>
      </c>
      <c r="C92">
        <v>85.316141953557818</v>
      </c>
      <c r="D92">
        <v>85.919856262390681</v>
      </c>
      <c r="E92">
        <v>86.430016294118275</v>
      </c>
      <c r="F92">
        <v>86.749824555037847</v>
      </c>
      <c r="G92">
        <v>87.103296381843322</v>
      </c>
      <c r="H92">
        <v>87.491700821014746</v>
      </c>
      <c r="I92">
        <v>87.818893654198163</v>
      </c>
      <c r="J92">
        <v>88.033372588643473</v>
      </c>
      <c r="K92">
        <v>88.318045270628929</v>
      </c>
      <c r="L92">
        <v>88.521251109199824</v>
      </c>
      <c r="M92">
        <v>88.706401996716934</v>
      </c>
      <c r="N92">
        <v>88.835568889846215</v>
      </c>
      <c r="O92">
        <v>88.98021314139956</v>
      </c>
      <c r="P92">
        <v>89.22978815742178</v>
      </c>
      <c r="Q92">
        <v>89.408095107458635</v>
      </c>
      <c r="R92">
        <v>89.624327827824345</v>
      </c>
      <c r="S92">
        <v>89.74650745328421</v>
      </c>
      <c r="T92">
        <v>89.894499961212404</v>
      </c>
      <c r="U92">
        <v>90.039757701341443</v>
      </c>
      <c r="V92">
        <v>90.209758294839929</v>
      </c>
      <c r="W92">
        <v>90.33879027109775</v>
      </c>
      <c r="X92">
        <v>90.483368292901332</v>
      </c>
      <c r="Y92">
        <v>90.606532088568272</v>
      </c>
      <c r="Z92">
        <v>90.725758074699158</v>
      </c>
      <c r="AA92">
        <v>90.855418256679854</v>
      </c>
      <c r="AB92">
        <v>90.96490938801108</v>
      </c>
      <c r="AC92">
        <v>91.062319814053595</v>
      </c>
      <c r="AD92">
        <v>91.190080199334872</v>
      </c>
      <c r="AE92">
        <v>91.310335088879455</v>
      </c>
      <c r="AF92">
        <v>91.426825999679878</v>
      </c>
      <c r="AG92">
        <v>91.521147294621457</v>
      </c>
      <c r="AH92">
        <v>91.639774227085638</v>
      </c>
      <c r="AI92">
        <v>91.764718669005745</v>
      </c>
      <c r="AJ92">
        <v>91.894225134038777</v>
      </c>
      <c r="AK92">
        <v>92.009440861790353</v>
      </c>
      <c r="AL92">
        <v>92.115906866829476</v>
      </c>
      <c r="AM92">
        <v>92.208660016313971</v>
      </c>
      <c r="AN92">
        <v>92.299471923092668</v>
      </c>
      <c r="AO92">
        <v>92.399747720090289</v>
      </c>
      <c r="AP92">
        <v>92.477402283189448</v>
      </c>
      <c r="AQ92">
        <v>92.576837188936594</v>
      </c>
      <c r="AR92">
        <v>92.682832670091173</v>
      </c>
      <c r="AS92">
        <v>92.777048758894466</v>
      </c>
      <c r="AT92">
        <v>92.851691161558648</v>
      </c>
      <c r="AU92">
        <v>92.947360844384775</v>
      </c>
      <c r="AV92">
        <v>93.046159467941379</v>
      </c>
      <c r="AW92">
        <v>93.140532472948109</v>
      </c>
      <c r="AX92">
        <v>93.235601827439197</v>
      </c>
      <c r="AY92">
        <v>93.312843236234542</v>
      </c>
      <c r="AZ92">
        <v>93.405628684492001</v>
      </c>
      <c r="BA92">
        <v>93.507846705388843</v>
      </c>
      <c r="BB92">
        <v>93.600169601309162</v>
      </c>
      <c r="BC92">
        <v>93.685709955357666</v>
      </c>
      <c r="BD92">
        <v>93.807861124571687</v>
      </c>
      <c r="BE92">
        <v>93.89264573758858</v>
      </c>
      <c r="BF92">
        <v>93.969737050754631</v>
      </c>
      <c r="BG92">
        <v>94.065660339303534</v>
      </c>
      <c r="BH92">
        <v>94.162358066466297</v>
      </c>
      <c r="BI92">
        <v>94.24072894926536</v>
      </c>
      <c r="BJ92">
        <v>94.334397474892981</v>
      </c>
      <c r="BK92">
        <v>94.447029124366267</v>
      </c>
      <c r="BL92">
        <v>94.531997864312544</v>
      </c>
      <c r="BM92">
        <v>94.605763610520796</v>
      </c>
      <c r="BN92">
        <v>94.704132931266685</v>
      </c>
      <c r="BO92">
        <v>94.797376422114297</v>
      </c>
      <c r="BP92">
        <v>94.878920175766893</v>
      </c>
      <c r="BQ92">
        <v>94.96322605072686</v>
      </c>
      <c r="BR92">
        <v>95.053473941846192</v>
      </c>
      <c r="BS92">
        <v>95.138461312615334</v>
      </c>
      <c r="BT92">
        <v>95.230599426464352</v>
      </c>
      <c r="BU92">
        <v>95.335411971217695</v>
      </c>
      <c r="BV92">
        <v>95.419463790463453</v>
      </c>
      <c r="BW92">
        <v>95.509123468018231</v>
      </c>
      <c r="BX92">
        <v>95.615791477360872</v>
      </c>
      <c r="BY92">
        <v>95.702226215743394</v>
      </c>
      <c r="BZ92">
        <v>95.807938440807206</v>
      </c>
      <c r="CA92">
        <v>95.892910680634543</v>
      </c>
      <c r="CB92">
        <v>95.976104333539482</v>
      </c>
      <c r="CC92">
        <v>96.0543393191316</v>
      </c>
      <c r="CD92">
        <v>96.153521357152158</v>
      </c>
      <c r="CE92">
        <v>96.249262681747027</v>
      </c>
      <c r="CF92">
        <v>96.350528557668198</v>
      </c>
      <c r="CG92">
        <v>96.434293552034788</v>
      </c>
      <c r="CH92">
        <v>96.555971486442985</v>
      </c>
      <c r="CI92">
        <v>96.671979703974273</v>
      </c>
      <c r="CJ92">
        <v>96.768778652124709</v>
      </c>
      <c r="CK92">
        <v>96.8750991212179</v>
      </c>
      <c r="CL92">
        <v>96.982348832138626</v>
      </c>
      <c r="CM92">
        <v>97.090193443020539</v>
      </c>
      <c r="CN92">
        <v>97.187845605450306</v>
      </c>
      <c r="CO92">
        <v>97.305407358677684</v>
      </c>
      <c r="CP92">
        <v>97.403959878313941</v>
      </c>
      <c r="CQ92">
        <v>97.504044569720961</v>
      </c>
      <c r="CR92">
        <v>97.632725188361363</v>
      </c>
      <c r="CS92">
        <v>97.749248418486317</v>
      </c>
      <c r="CT92">
        <v>97.862930808156577</v>
      </c>
      <c r="CU92">
        <v>97.966781497817124</v>
      </c>
      <c r="CV92">
        <v>98.087153738645711</v>
      </c>
      <c r="CW92">
        <v>98.19536927727701</v>
      </c>
      <c r="CX92">
        <v>98.29179607995998</v>
      </c>
      <c r="CY92">
        <v>98.398199247403284</v>
      </c>
      <c r="CZ92">
        <v>98.524299494988469</v>
      </c>
      <c r="DA92">
        <v>98.631177070435911</v>
      </c>
      <c r="DB92">
        <v>98.733340239478252</v>
      </c>
      <c r="DC92">
        <v>98.897939882605158</v>
      </c>
      <c r="DD92">
        <v>98.9946590985965</v>
      </c>
      <c r="DE92">
        <v>99.127562493504527</v>
      </c>
      <c r="DF92">
        <v>99.244409071558152</v>
      </c>
      <c r="DG92">
        <v>99.355103659660543</v>
      </c>
      <c r="DH92">
        <v>99.510885119559461</v>
      </c>
      <c r="DI92">
        <v>99.63257838004948</v>
      </c>
      <c r="DJ92">
        <v>99.761526119911551</v>
      </c>
      <c r="DK92">
        <v>99.879947461353837</v>
      </c>
      <c r="DL92">
        <v>100.00040255034919</v>
      </c>
      <c r="DM92">
        <v>100.14973949735784</v>
      </c>
      <c r="DN92">
        <v>100.26019047780905</v>
      </c>
      <c r="DO92">
        <v>100.39449107021574</v>
      </c>
      <c r="DP92">
        <v>100.53853376593754</v>
      </c>
      <c r="DQ92">
        <v>100.67204160980074</v>
      </c>
      <c r="DR92">
        <v>100.83680990516176</v>
      </c>
      <c r="DS92">
        <v>100.96977966181474</v>
      </c>
      <c r="DT92">
        <v>101.14226201423048</v>
      </c>
      <c r="DU92">
        <v>101.25667527578469</v>
      </c>
      <c r="DV92">
        <v>101.40113006200561</v>
      </c>
      <c r="DW92">
        <v>101.54538215420014</v>
      </c>
      <c r="DX92">
        <v>101.67945482573019</v>
      </c>
      <c r="DY92">
        <v>101.80231887980233</v>
      </c>
      <c r="DZ92">
        <v>101.98728063107347</v>
      </c>
      <c r="EA92">
        <v>102.13423461614067</v>
      </c>
      <c r="EB92">
        <v>102.2803582175263</v>
      </c>
      <c r="EC92">
        <v>102.44178224141724</v>
      </c>
      <c r="ED92">
        <v>102.58842496718667</v>
      </c>
      <c r="EE92">
        <v>102.74549219002652</v>
      </c>
      <c r="EF92">
        <v>102.91253235167181</v>
      </c>
      <c r="EG92">
        <v>103.10597782665891</v>
      </c>
      <c r="EH92">
        <v>103.26343787955754</v>
      </c>
      <c r="EI92">
        <v>103.40654204016488</v>
      </c>
      <c r="EJ92">
        <v>103.57471705302271</v>
      </c>
      <c r="EK92">
        <v>103.75073640141703</v>
      </c>
      <c r="EL92">
        <v>103.96796823828653</v>
      </c>
      <c r="EM92">
        <v>104.21639441789389</v>
      </c>
      <c r="EN92">
        <v>104.38711710805325</v>
      </c>
      <c r="EO92">
        <v>104.58764873066734</v>
      </c>
      <c r="EP92">
        <v>104.73450792451878</v>
      </c>
      <c r="EQ92">
        <v>105.00292275631435</v>
      </c>
      <c r="ER92">
        <v>105.21165324792868</v>
      </c>
      <c r="ES92">
        <v>105.3946373029429</v>
      </c>
      <c r="ET92">
        <v>105.58857004645873</v>
      </c>
      <c r="EU92">
        <v>105.83666276930707</v>
      </c>
      <c r="EV92">
        <v>106.0768345881946</v>
      </c>
      <c r="EW92">
        <v>106.28620298652569</v>
      </c>
      <c r="EX92">
        <v>106.51485928328985</v>
      </c>
      <c r="EY92">
        <v>106.76319349708241</v>
      </c>
      <c r="EZ92">
        <v>106.99036747241931</v>
      </c>
      <c r="FA92">
        <v>107.23280029149123</v>
      </c>
      <c r="FB92">
        <v>107.54315028562722</v>
      </c>
      <c r="FC92">
        <v>107.83805810503615</v>
      </c>
      <c r="FD92">
        <v>108.11100092795084</v>
      </c>
      <c r="FE92">
        <v>108.45430865644983</v>
      </c>
      <c r="FF92">
        <v>108.76686863832505</v>
      </c>
      <c r="FG92">
        <v>109.11425812858265</v>
      </c>
      <c r="FH92">
        <v>109.50971836049726</v>
      </c>
      <c r="FI92">
        <v>109.79874705121489</v>
      </c>
      <c r="FJ92">
        <v>110.09624869694504</v>
      </c>
      <c r="FK92">
        <v>110.43261890976714</v>
      </c>
      <c r="FL92">
        <v>110.80031606572614</v>
      </c>
      <c r="FM92">
        <v>111.15876806890411</v>
      </c>
      <c r="FN92">
        <v>111.53665659897548</v>
      </c>
      <c r="FO92">
        <v>111.93576060879722</v>
      </c>
      <c r="FP92">
        <v>112.34429931314023</v>
      </c>
      <c r="FQ92">
        <v>112.85466423711641</v>
      </c>
      <c r="FR92">
        <v>113.36076681940612</v>
      </c>
      <c r="FS92">
        <v>113.87611308316208</v>
      </c>
      <c r="FT92">
        <v>114.25435833835138</v>
      </c>
      <c r="FU92">
        <v>114.85875732238513</v>
      </c>
      <c r="FV92">
        <v>115.43092109896276</v>
      </c>
      <c r="FW92">
        <v>115.98157891322299</v>
      </c>
      <c r="FX92">
        <v>116.54084280399124</v>
      </c>
      <c r="FY92">
        <v>117.15709991173489</v>
      </c>
      <c r="FZ92">
        <v>117.73761699855318</v>
      </c>
      <c r="GA92">
        <v>118.43397044119848</v>
      </c>
      <c r="GB92">
        <v>119.43835352078933</v>
      </c>
      <c r="GC92">
        <v>120.1774125267808</v>
      </c>
      <c r="GD92">
        <v>121.22009478432335</v>
      </c>
      <c r="GE92">
        <v>121.9906500378154</v>
      </c>
      <c r="GF92">
        <v>122.96104170145338</v>
      </c>
      <c r="GG92">
        <v>123.98269005551123</v>
      </c>
      <c r="GH92">
        <v>125.64222066671195</v>
      </c>
      <c r="GI92">
        <v>127.05693674767927</v>
      </c>
      <c r="GJ92">
        <v>128.42759066596642</v>
      </c>
      <c r="GK92">
        <v>130.74658912596269</v>
      </c>
      <c r="GL92">
        <v>133.1442158442442</v>
      </c>
      <c r="GM92">
        <v>135.88461648419801</v>
      </c>
      <c r="GN92">
        <v>139.43831448482652</v>
      </c>
      <c r="GO92">
        <v>143.25940604845644</v>
      </c>
      <c r="GP92">
        <v>149.79189885824943</v>
      </c>
      <c r="GQ92">
        <v>160.9633341098332</v>
      </c>
      <c r="GR92">
        <v>101.32403791047103</v>
      </c>
      <c r="GT92" s="8">
        <v>45422</v>
      </c>
      <c r="GU92">
        <v>163.38</v>
      </c>
    </row>
    <row r="93" spans="1:203" x14ac:dyDescent="0.45">
      <c r="A93">
        <v>83.013212164497972</v>
      </c>
      <c r="B93">
        <v>84.323217897558351</v>
      </c>
      <c r="C93">
        <v>85.17220638369183</v>
      </c>
      <c r="D93">
        <v>85.831538734045154</v>
      </c>
      <c r="E93">
        <v>86.40436327853071</v>
      </c>
      <c r="F93">
        <v>86.730280196175372</v>
      </c>
      <c r="G93">
        <v>87.07817816471173</v>
      </c>
      <c r="H93">
        <v>87.433351959043407</v>
      </c>
      <c r="I93">
        <v>87.768689039374721</v>
      </c>
      <c r="J93">
        <v>88.019471176020048</v>
      </c>
      <c r="K93">
        <v>88.2756958725071</v>
      </c>
      <c r="L93">
        <v>88.47476503270876</v>
      </c>
      <c r="M93">
        <v>88.659241416663093</v>
      </c>
      <c r="N93">
        <v>88.810089297230547</v>
      </c>
      <c r="O93">
        <v>89.014874130779532</v>
      </c>
      <c r="P93">
        <v>89.184761386388672</v>
      </c>
      <c r="Q93">
        <v>89.365480810936077</v>
      </c>
      <c r="R93">
        <v>89.53402029542427</v>
      </c>
      <c r="S93">
        <v>89.710170244416204</v>
      </c>
      <c r="T93">
        <v>89.879931621148572</v>
      </c>
      <c r="U93">
        <v>90.01298799887708</v>
      </c>
      <c r="V93">
        <v>90.181140734206792</v>
      </c>
      <c r="W93">
        <v>90.313887230765658</v>
      </c>
      <c r="X93">
        <v>90.441150286650512</v>
      </c>
      <c r="Y93">
        <v>90.554325433280241</v>
      </c>
      <c r="Z93">
        <v>90.668467657846364</v>
      </c>
      <c r="AA93">
        <v>90.810123218298585</v>
      </c>
      <c r="AB93">
        <v>90.930735731273359</v>
      </c>
      <c r="AC93">
        <v>91.047800874027189</v>
      </c>
      <c r="AD93">
        <v>91.163442608216855</v>
      </c>
      <c r="AE93">
        <v>91.276340341257168</v>
      </c>
      <c r="AF93">
        <v>91.407549445487689</v>
      </c>
      <c r="AG93">
        <v>91.532713474864934</v>
      </c>
      <c r="AH93">
        <v>91.651173581283913</v>
      </c>
      <c r="AI93">
        <v>91.74129407563305</v>
      </c>
      <c r="AJ93">
        <v>91.81810885037541</v>
      </c>
      <c r="AK93">
        <v>91.920331654093189</v>
      </c>
      <c r="AL93">
        <v>92.018161028143538</v>
      </c>
      <c r="AM93">
        <v>92.11621204893801</v>
      </c>
      <c r="AN93">
        <v>92.243754288681075</v>
      </c>
      <c r="AO93">
        <v>92.342542603931932</v>
      </c>
      <c r="AP93">
        <v>92.444244410459177</v>
      </c>
      <c r="AQ93">
        <v>92.554090252684929</v>
      </c>
      <c r="AR93">
        <v>92.648623119687812</v>
      </c>
      <c r="AS93">
        <v>92.735401868851653</v>
      </c>
      <c r="AT93">
        <v>92.832126387524795</v>
      </c>
      <c r="AU93">
        <v>92.934601498057546</v>
      </c>
      <c r="AV93">
        <v>93.009001918936306</v>
      </c>
      <c r="AW93">
        <v>93.104190926514576</v>
      </c>
      <c r="AX93">
        <v>93.183853559958322</v>
      </c>
      <c r="AY93">
        <v>93.277280468619708</v>
      </c>
      <c r="AZ93">
        <v>93.365877412353711</v>
      </c>
      <c r="BA93">
        <v>93.473704320698502</v>
      </c>
      <c r="BB93">
        <v>93.570559083147927</v>
      </c>
      <c r="BC93">
        <v>93.710262420638657</v>
      </c>
      <c r="BD93">
        <v>93.807204361987473</v>
      </c>
      <c r="BE93">
        <v>93.890715204846899</v>
      </c>
      <c r="BF93">
        <v>93.962089450827094</v>
      </c>
      <c r="BG93">
        <v>94.052626939012015</v>
      </c>
      <c r="BH93">
        <v>94.13652353155301</v>
      </c>
      <c r="BI93">
        <v>94.223060476059871</v>
      </c>
      <c r="BJ93">
        <v>94.302156736490986</v>
      </c>
      <c r="BK93">
        <v>94.392145529057245</v>
      </c>
      <c r="BL93">
        <v>94.491090630283949</v>
      </c>
      <c r="BM93">
        <v>94.562250100208459</v>
      </c>
      <c r="BN93">
        <v>94.666861176741136</v>
      </c>
      <c r="BO93">
        <v>94.760534148170549</v>
      </c>
      <c r="BP93">
        <v>94.848087492287945</v>
      </c>
      <c r="BQ93">
        <v>94.931995252983796</v>
      </c>
      <c r="BR93">
        <v>95.029674149752623</v>
      </c>
      <c r="BS93">
        <v>95.134511762802177</v>
      </c>
      <c r="BT93">
        <v>95.22822494783334</v>
      </c>
      <c r="BU93">
        <v>95.307910728116781</v>
      </c>
      <c r="BV93">
        <v>95.388077928625393</v>
      </c>
      <c r="BW93">
        <v>95.482894586611536</v>
      </c>
      <c r="BX93">
        <v>95.572398725824982</v>
      </c>
      <c r="BY93">
        <v>95.662220896547353</v>
      </c>
      <c r="BZ93">
        <v>95.759875885169578</v>
      </c>
      <c r="CA93">
        <v>95.858795924438922</v>
      </c>
      <c r="CB93">
        <v>95.933950846430534</v>
      </c>
      <c r="CC93">
        <v>96.02315921403526</v>
      </c>
      <c r="CD93">
        <v>96.121335072948085</v>
      </c>
      <c r="CE93">
        <v>96.222547183822257</v>
      </c>
      <c r="CF93">
        <v>96.327602554068321</v>
      </c>
      <c r="CG93">
        <v>96.435477259879988</v>
      </c>
      <c r="CH93">
        <v>96.525233865639663</v>
      </c>
      <c r="CI93">
        <v>96.633477147229897</v>
      </c>
      <c r="CJ93">
        <v>96.750092458018599</v>
      </c>
      <c r="CK93">
        <v>96.878993973937298</v>
      </c>
      <c r="CL93">
        <v>97.0011097470652</v>
      </c>
      <c r="CM93">
        <v>97.135135701092807</v>
      </c>
      <c r="CN93">
        <v>97.237631681915502</v>
      </c>
      <c r="CO93">
        <v>97.343003127694857</v>
      </c>
      <c r="CP93">
        <v>97.438663389513522</v>
      </c>
      <c r="CQ93">
        <v>97.550505960588893</v>
      </c>
      <c r="CR93">
        <v>97.692360382594629</v>
      </c>
      <c r="CS93">
        <v>97.802756916329528</v>
      </c>
      <c r="CT93">
        <v>97.883799204091119</v>
      </c>
      <c r="CU93">
        <v>97.974133139215112</v>
      </c>
      <c r="CV93">
        <v>98.081241689044759</v>
      </c>
      <c r="CW93">
        <v>98.183873150411756</v>
      </c>
      <c r="CX93">
        <v>98.295693414555885</v>
      </c>
      <c r="CY93">
        <v>98.404464949637614</v>
      </c>
      <c r="CZ93">
        <v>98.545130041789605</v>
      </c>
      <c r="DA93">
        <v>98.642357836165303</v>
      </c>
      <c r="DB93">
        <v>98.792436628561049</v>
      </c>
      <c r="DC93">
        <v>98.926390054621024</v>
      </c>
      <c r="DD93">
        <v>99.045142244666152</v>
      </c>
      <c r="DE93">
        <v>99.150215001886579</v>
      </c>
      <c r="DF93">
        <v>99.289937838549065</v>
      </c>
      <c r="DG93">
        <v>99.406712039647999</v>
      </c>
      <c r="DH93">
        <v>99.524309803406609</v>
      </c>
      <c r="DI93">
        <v>99.668440020471635</v>
      </c>
      <c r="DJ93">
        <v>99.79269918251515</v>
      </c>
      <c r="DK93">
        <v>99.930376782383803</v>
      </c>
      <c r="DL93">
        <v>100.04363904952473</v>
      </c>
      <c r="DM93">
        <v>100.17938923391432</v>
      </c>
      <c r="DN93">
        <v>100.30850177144229</v>
      </c>
      <c r="DO93">
        <v>100.42203698503387</v>
      </c>
      <c r="DP93">
        <v>100.57063635018535</v>
      </c>
      <c r="DQ93">
        <v>100.7401734428316</v>
      </c>
      <c r="DR93">
        <v>100.87859466122607</v>
      </c>
      <c r="DS93">
        <v>101.00792959047824</v>
      </c>
      <c r="DT93">
        <v>101.1247743641253</v>
      </c>
      <c r="DU93">
        <v>101.26180019808764</v>
      </c>
      <c r="DV93">
        <v>101.40738587165751</v>
      </c>
      <c r="DW93">
        <v>101.53985171415523</v>
      </c>
      <c r="DX93">
        <v>101.72131074347222</v>
      </c>
      <c r="DY93">
        <v>101.85710309415394</v>
      </c>
      <c r="DZ93">
        <v>102.03925569428758</v>
      </c>
      <c r="EA93">
        <v>102.20787560553073</v>
      </c>
      <c r="EB93">
        <v>102.32445746056618</v>
      </c>
      <c r="EC93">
        <v>102.4859724487747</v>
      </c>
      <c r="ED93">
        <v>102.64727983082335</v>
      </c>
      <c r="EE93">
        <v>102.77405065820039</v>
      </c>
      <c r="EF93">
        <v>102.97494665699199</v>
      </c>
      <c r="EG93">
        <v>103.11107860130821</v>
      </c>
      <c r="EH93">
        <v>103.25879457293604</v>
      </c>
      <c r="EI93">
        <v>103.39758479723163</v>
      </c>
      <c r="EJ93">
        <v>103.55541673700434</v>
      </c>
      <c r="EK93">
        <v>103.77800999547179</v>
      </c>
      <c r="EL93">
        <v>103.96590749874281</v>
      </c>
      <c r="EM93">
        <v>104.15356539313348</v>
      </c>
      <c r="EN93">
        <v>104.35424250338789</v>
      </c>
      <c r="EO93">
        <v>104.54421231320923</v>
      </c>
      <c r="EP93">
        <v>104.76744337798215</v>
      </c>
      <c r="EQ93">
        <v>105.03153751977231</v>
      </c>
      <c r="ER93">
        <v>105.2058832622568</v>
      </c>
      <c r="ES93">
        <v>105.42961697928075</v>
      </c>
      <c r="ET93">
        <v>105.68555715666869</v>
      </c>
      <c r="EU93">
        <v>105.85197305396441</v>
      </c>
      <c r="EV93">
        <v>106.11357611904256</v>
      </c>
      <c r="EW93">
        <v>106.36137740020945</v>
      </c>
      <c r="EX93">
        <v>106.59607958492948</v>
      </c>
      <c r="EY93">
        <v>106.84222271817181</v>
      </c>
      <c r="EZ93">
        <v>107.05897283115249</v>
      </c>
      <c r="FA93">
        <v>107.30157267223838</v>
      </c>
      <c r="FB93">
        <v>107.59351348299407</v>
      </c>
      <c r="FC93">
        <v>107.83478930210698</v>
      </c>
      <c r="FD93">
        <v>108.12838326061136</v>
      </c>
      <c r="FE93">
        <v>108.48830139888881</v>
      </c>
      <c r="FF93">
        <v>108.78208822091474</v>
      </c>
      <c r="FG93">
        <v>109.12040554423545</v>
      </c>
      <c r="FH93">
        <v>109.48414229172549</v>
      </c>
      <c r="FI93">
        <v>109.83247081175119</v>
      </c>
      <c r="FJ93">
        <v>110.20438808057403</v>
      </c>
      <c r="FK93">
        <v>110.5438667487538</v>
      </c>
      <c r="FL93">
        <v>110.92809613508722</v>
      </c>
      <c r="FM93">
        <v>111.33633277260934</v>
      </c>
      <c r="FN93">
        <v>111.70013727506473</v>
      </c>
      <c r="FO93">
        <v>112.19878595966323</v>
      </c>
      <c r="FP93">
        <v>112.80064759385759</v>
      </c>
      <c r="FQ93">
        <v>113.24482737465362</v>
      </c>
      <c r="FR93">
        <v>113.76628837782948</v>
      </c>
      <c r="FS93">
        <v>114.16193364797215</v>
      </c>
      <c r="FT93">
        <v>114.65197019937811</v>
      </c>
      <c r="FU93">
        <v>115.10061903214407</v>
      </c>
      <c r="FV93">
        <v>115.66273443750734</v>
      </c>
      <c r="FW93">
        <v>116.10936222851355</v>
      </c>
      <c r="FX93">
        <v>116.84322584640243</v>
      </c>
      <c r="FY93">
        <v>117.32271917381844</v>
      </c>
      <c r="FZ93">
        <v>117.92626774162441</v>
      </c>
      <c r="GA93">
        <v>118.72658379539178</v>
      </c>
      <c r="GB93">
        <v>119.41890566344897</v>
      </c>
      <c r="GC93">
        <v>120.24521230606564</v>
      </c>
      <c r="GD93">
        <v>120.99348468214511</v>
      </c>
      <c r="GE93">
        <v>122.00536961793797</v>
      </c>
      <c r="GF93">
        <v>122.78637304368463</v>
      </c>
      <c r="GG93">
        <v>124.11984391110981</v>
      </c>
      <c r="GH93">
        <v>125.7100773360784</v>
      </c>
      <c r="GI93">
        <v>127.13524468768364</v>
      </c>
      <c r="GJ93">
        <v>128.65463408307076</v>
      </c>
      <c r="GK93">
        <v>130.95943234958619</v>
      </c>
      <c r="GL93">
        <v>133.47943373620657</v>
      </c>
      <c r="GM93">
        <v>136.15261890516581</v>
      </c>
      <c r="GN93">
        <v>139.59860988100863</v>
      </c>
      <c r="GO93">
        <v>143.80169430807612</v>
      </c>
      <c r="GP93">
        <v>149.15926296023315</v>
      </c>
      <c r="GQ93">
        <v>161.14607947801159</v>
      </c>
      <c r="GR93">
        <v>101.35874747702486</v>
      </c>
      <c r="GT93" s="8">
        <v>45425</v>
      </c>
      <c r="GU93">
        <v>159.5</v>
      </c>
    </row>
    <row r="94" spans="1:203" x14ac:dyDescent="0.45">
      <c r="A94">
        <v>82.959475947220028</v>
      </c>
      <c r="B94">
        <v>84.420528298312036</v>
      </c>
      <c r="C94">
        <v>85.214909569091688</v>
      </c>
      <c r="D94">
        <v>85.780159962224459</v>
      </c>
      <c r="E94">
        <v>86.303462340895166</v>
      </c>
      <c r="F94">
        <v>86.67501144185168</v>
      </c>
      <c r="G94">
        <v>86.996744988251066</v>
      </c>
      <c r="H94">
        <v>87.353708464837908</v>
      </c>
      <c r="I94">
        <v>87.681307994358775</v>
      </c>
      <c r="J94">
        <v>87.899084232748166</v>
      </c>
      <c r="K94">
        <v>88.165631898766819</v>
      </c>
      <c r="L94">
        <v>88.344245838202411</v>
      </c>
      <c r="M94">
        <v>88.582597618833162</v>
      </c>
      <c r="N94">
        <v>88.789299184386877</v>
      </c>
      <c r="O94">
        <v>88.940580495871032</v>
      </c>
      <c r="P94">
        <v>89.119493581000853</v>
      </c>
      <c r="Q94">
        <v>89.326478648912996</v>
      </c>
      <c r="R94">
        <v>89.536669465255471</v>
      </c>
      <c r="S94">
        <v>89.694843795156572</v>
      </c>
      <c r="T94">
        <v>89.86008063359931</v>
      </c>
      <c r="U94">
        <v>90.004479985396358</v>
      </c>
      <c r="V94">
        <v>90.146241022705325</v>
      </c>
      <c r="W94">
        <v>90.318252315157238</v>
      </c>
      <c r="X94">
        <v>90.426713194496131</v>
      </c>
      <c r="Y94">
        <v>90.566570815558975</v>
      </c>
      <c r="Z94">
        <v>90.699524900755875</v>
      </c>
      <c r="AA94">
        <v>90.831207746855142</v>
      </c>
      <c r="AB94">
        <v>90.931712504630866</v>
      </c>
      <c r="AC94">
        <v>91.044309387545695</v>
      </c>
      <c r="AD94">
        <v>91.165215838355721</v>
      </c>
      <c r="AE94">
        <v>91.259626145120222</v>
      </c>
      <c r="AF94">
        <v>91.361272652214382</v>
      </c>
      <c r="AG94">
        <v>91.483581055510527</v>
      </c>
      <c r="AH94">
        <v>91.57963332815028</v>
      </c>
      <c r="AI94">
        <v>91.681436539787683</v>
      </c>
      <c r="AJ94">
        <v>91.773229885937283</v>
      </c>
      <c r="AK94">
        <v>91.86983195041347</v>
      </c>
      <c r="AL94">
        <v>92.001801656979723</v>
      </c>
      <c r="AM94">
        <v>92.112637773572786</v>
      </c>
      <c r="AN94">
        <v>92.234903452609245</v>
      </c>
      <c r="AO94">
        <v>92.337460235971207</v>
      </c>
      <c r="AP94">
        <v>92.44365427481786</v>
      </c>
      <c r="AQ94">
        <v>92.521848990034783</v>
      </c>
      <c r="AR94">
        <v>92.602461547562726</v>
      </c>
      <c r="AS94">
        <v>92.71252524981405</v>
      </c>
      <c r="AT94">
        <v>92.800030368689704</v>
      </c>
      <c r="AU94">
        <v>92.891294509308736</v>
      </c>
      <c r="AV94">
        <v>92.984045751322441</v>
      </c>
      <c r="AW94">
        <v>93.066853354607574</v>
      </c>
      <c r="AX94">
        <v>93.166815974235476</v>
      </c>
      <c r="AY94">
        <v>93.260216466872052</v>
      </c>
      <c r="AZ94">
        <v>93.37486772915048</v>
      </c>
      <c r="BA94">
        <v>93.468062317235493</v>
      </c>
      <c r="BB94">
        <v>93.574840769013747</v>
      </c>
      <c r="BC94">
        <v>93.666770690482963</v>
      </c>
      <c r="BD94">
        <v>93.761830992538322</v>
      </c>
      <c r="BE94">
        <v>93.848395148282037</v>
      </c>
      <c r="BF94">
        <v>93.943015090980339</v>
      </c>
      <c r="BG94">
        <v>94.015876253475795</v>
      </c>
      <c r="BH94">
        <v>94.09192035495262</v>
      </c>
      <c r="BI94">
        <v>94.201883357586013</v>
      </c>
      <c r="BJ94">
        <v>94.273943193111151</v>
      </c>
      <c r="BK94">
        <v>94.350443634468022</v>
      </c>
      <c r="BL94">
        <v>94.430027272411522</v>
      </c>
      <c r="BM94">
        <v>94.512416981629428</v>
      </c>
      <c r="BN94">
        <v>94.595334656947287</v>
      </c>
      <c r="BO94">
        <v>94.725614633821579</v>
      </c>
      <c r="BP94">
        <v>94.843920688422145</v>
      </c>
      <c r="BQ94">
        <v>94.924272677859975</v>
      </c>
      <c r="BR94">
        <v>95.025809336314666</v>
      </c>
      <c r="BS94">
        <v>95.124227170807899</v>
      </c>
      <c r="BT94">
        <v>95.210784834083313</v>
      </c>
      <c r="BU94">
        <v>95.293607557179868</v>
      </c>
      <c r="BV94">
        <v>95.396682750801304</v>
      </c>
      <c r="BW94">
        <v>95.500207274149346</v>
      </c>
      <c r="BX94">
        <v>95.604435376727906</v>
      </c>
      <c r="BY94">
        <v>95.685594516297357</v>
      </c>
      <c r="BZ94">
        <v>95.769576945952338</v>
      </c>
      <c r="CA94">
        <v>95.857021006228379</v>
      </c>
      <c r="CB94">
        <v>95.959029704920439</v>
      </c>
      <c r="CC94">
        <v>96.037929377231634</v>
      </c>
      <c r="CD94">
        <v>96.129992666776445</v>
      </c>
      <c r="CE94">
        <v>96.225978590597151</v>
      </c>
      <c r="CF94">
        <v>96.348849281077449</v>
      </c>
      <c r="CG94">
        <v>96.459741113079346</v>
      </c>
      <c r="CH94">
        <v>96.529999328530849</v>
      </c>
      <c r="CI94">
        <v>96.634315361509195</v>
      </c>
      <c r="CJ94">
        <v>96.767350314813001</v>
      </c>
      <c r="CK94">
        <v>96.888717288559022</v>
      </c>
      <c r="CL94">
        <v>96.986565444867551</v>
      </c>
      <c r="CM94">
        <v>97.112222204631792</v>
      </c>
      <c r="CN94">
        <v>97.207895417486839</v>
      </c>
      <c r="CO94">
        <v>97.317666144204054</v>
      </c>
      <c r="CP94">
        <v>97.439316355145479</v>
      </c>
      <c r="CQ94">
        <v>97.54371284411485</v>
      </c>
      <c r="CR94">
        <v>97.671616956898518</v>
      </c>
      <c r="CS94">
        <v>97.767016738115842</v>
      </c>
      <c r="CT94">
        <v>97.874292127265832</v>
      </c>
      <c r="CU94">
        <v>97.989370420287841</v>
      </c>
      <c r="CV94">
        <v>98.081527386552949</v>
      </c>
      <c r="CW94">
        <v>98.224368128507962</v>
      </c>
      <c r="CX94">
        <v>98.321175982415568</v>
      </c>
      <c r="CY94">
        <v>98.451493350037595</v>
      </c>
      <c r="CZ94">
        <v>98.575457618482645</v>
      </c>
      <c r="DA94">
        <v>98.681178085945675</v>
      </c>
      <c r="DB94">
        <v>98.815829984559031</v>
      </c>
      <c r="DC94">
        <v>98.929256489079037</v>
      </c>
      <c r="DD94">
        <v>99.049715667939154</v>
      </c>
      <c r="DE94">
        <v>99.183826460416626</v>
      </c>
      <c r="DF94">
        <v>99.286361714073365</v>
      </c>
      <c r="DG94">
        <v>99.403475912633695</v>
      </c>
      <c r="DH94">
        <v>99.546642261723363</v>
      </c>
      <c r="DI94">
        <v>99.656149249495186</v>
      </c>
      <c r="DJ94">
        <v>99.762011661912382</v>
      </c>
      <c r="DK94">
        <v>99.878828995330849</v>
      </c>
      <c r="DL94">
        <v>100.00960260965935</v>
      </c>
      <c r="DM94">
        <v>100.16228593918478</v>
      </c>
      <c r="DN94">
        <v>100.28326212142998</v>
      </c>
      <c r="DO94">
        <v>100.44173591366599</v>
      </c>
      <c r="DP94">
        <v>100.57962522113664</v>
      </c>
      <c r="DQ94">
        <v>100.68799068318998</v>
      </c>
      <c r="DR94">
        <v>100.84444771547399</v>
      </c>
      <c r="DS94">
        <v>100.97172523549261</v>
      </c>
      <c r="DT94">
        <v>101.11286354161568</v>
      </c>
      <c r="DU94">
        <v>101.24103855247368</v>
      </c>
      <c r="DV94">
        <v>101.38448812547932</v>
      </c>
      <c r="DW94">
        <v>101.5210345580544</v>
      </c>
      <c r="DX94">
        <v>101.68327825824647</v>
      </c>
      <c r="DY94">
        <v>101.85383733320025</v>
      </c>
      <c r="DZ94">
        <v>102.01720644191019</v>
      </c>
      <c r="EA94">
        <v>102.1483276472196</v>
      </c>
      <c r="EB94">
        <v>102.34451247296695</v>
      </c>
      <c r="EC94">
        <v>102.48919680115353</v>
      </c>
      <c r="ED94">
        <v>102.68370337702962</v>
      </c>
      <c r="EE94">
        <v>102.87864014732983</v>
      </c>
      <c r="EF94">
        <v>103.01218395570554</v>
      </c>
      <c r="EG94">
        <v>103.20090678149285</v>
      </c>
      <c r="EH94">
        <v>103.35795993141778</v>
      </c>
      <c r="EI94">
        <v>103.53325343527904</v>
      </c>
      <c r="EJ94">
        <v>103.70487289582778</v>
      </c>
      <c r="EK94">
        <v>103.89758634160333</v>
      </c>
      <c r="EL94">
        <v>104.09554021630072</v>
      </c>
      <c r="EM94">
        <v>104.26481841196528</v>
      </c>
      <c r="EN94">
        <v>104.41702173527038</v>
      </c>
      <c r="EO94">
        <v>104.60621703740991</v>
      </c>
      <c r="EP94">
        <v>104.84613423266254</v>
      </c>
      <c r="EQ94">
        <v>105.04453387493339</v>
      </c>
      <c r="ER94">
        <v>105.26778957144944</v>
      </c>
      <c r="ES94">
        <v>105.45577008994661</v>
      </c>
      <c r="ET94">
        <v>105.65428005054771</v>
      </c>
      <c r="EU94">
        <v>105.87969395000937</v>
      </c>
      <c r="EV94">
        <v>106.10915592368131</v>
      </c>
      <c r="EW94">
        <v>106.36315539108146</v>
      </c>
      <c r="EX94">
        <v>106.61993335237024</v>
      </c>
      <c r="EY94">
        <v>106.88271028648381</v>
      </c>
      <c r="EZ94">
        <v>107.09387352155095</v>
      </c>
      <c r="FA94">
        <v>107.30057192897605</v>
      </c>
      <c r="FB94">
        <v>107.53405951291458</v>
      </c>
      <c r="FC94">
        <v>107.85228545919512</v>
      </c>
      <c r="FD94">
        <v>108.11581236987706</v>
      </c>
      <c r="FE94">
        <v>108.37182812860507</v>
      </c>
      <c r="FF94">
        <v>108.76677948939636</v>
      </c>
      <c r="FG94">
        <v>109.1711565616272</v>
      </c>
      <c r="FH94">
        <v>109.49815763070112</v>
      </c>
      <c r="FI94">
        <v>109.79201857856737</v>
      </c>
      <c r="FJ94">
        <v>110.14724012795293</v>
      </c>
      <c r="FK94">
        <v>110.44133624314034</v>
      </c>
      <c r="FL94">
        <v>110.86279149728117</v>
      </c>
      <c r="FM94">
        <v>111.21264912092109</v>
      </c>
      <c r="FN94">
        <v>111.64942090162089</v>
      </c>
      <c r="FO94">
        <v>112.13020401516597</v>
      </c>
      <c r="FP94">
        <v>112.55345668054127</v>
      </c>
      <c r="FQ94">
        <v>113.08758382277256</v>
      </c>
      <c r="FR94">
        <v>113.57062195072021</v>
      </c>
      <c r="FS94">
        <v>114.19880004605047</v>
      </c>
      <c r="FT94">
        <v>114.71075089454418</v>
      </c>
      <c r="FU94">
        <v>115.29582916048636</v>
      </c>
      <c r="FV94">
        <v>115.82025248108764</v>
      </c>
      <c r="FW94">
        <v>116.28823095045119</v>
      </c>
      <c r="FX94">
        <v>116.82998780418656</v>
      </c>
      <c r="FY94">
        <v>117.36879600236864</v>
      </c>
      <c r="FZ94">
        <v>118.04946371157378</v>
      </c>
      <c r="GA94">
        <v>118.86480802091359</v>
      </c>
      <c r="GB94">
        <v>119.60795799860784</v>
      </c>
      <c r="GC94">
        <v>120.47631728570029</v>
      </c>
      <c r="GD94">
        <v>121.4474336748633</v>
      </c>
      <c r="GE94">
        <v>122.35027256606752</v>
      </c>
      <c r="GF94">
        <v>123.32380474079201</v>
      </c>
      <c r="GG94">
        <v>124.38328698736052</v>
      </c>
      <c r="GH94">
        <v>125.69206575014049</v>
      </c>
      <c r="GI94">
        <v>127.13436516678503</v>
      </c>
      <c r="GJ94">
        <v>128.67554513202717</v>
      </c>
      <c r="GK94">
        <v>131.02048492132812</v>
      </c>
      <c r="GL94">
        <v>133.72297149381117</v>
      </c>
      <c r="GM94">
        <v>136.63423459155914</v>
      </c>
      <c r="GN94">
        <v>139.86426221808301</v>
      </c>
      <c r="GO94">
        <v>144.17274550462156</v>
      </c>
      <c r="GP94">
        <v>149.95493663104961</v>
      </c>
      <c r="GQ94">
        <v>160.88831905351066</v>
      </c>
      <c r="GR94">
        <v>101.36390207536174</v>
      </c>
      <c r="GT94" s="8">
        <v>45426</v>
      </c>
      <c r="GU94">
        <v>160</v>
      </c>
    </row>
    <row r="95" spans="1:203" x14ac:dyDescent="0.45">
      <c r="A95">
        <v>82.995720196621022</v>
      </c>
      <c r="B95">
        <v>84.480157567573386</v>
      </c>
      <c r="C95">
        <v>85.146585453089799</v>
      </c>
      <c r="D95">
        <v>85.724046977983988</v>
      </c>
      <c r="E95">
        <v>86.237324486236631</v>
      </c>
      <c r="F95">
        <v>86.569124947400965</v>
      </c>
      <c r="G95">
        <v>86.904591523880455</v>
      </c>
      <c r="H95">
        <v>87.292163249299989</v>
      </c>
      <c r="I95">
        <v>87.616656192562857</v>
      </c>
      <c r="J95">
        <v>87.899468016213206</v>
      </c>
      <c r="K95">
        <v>88.154325363549233</v>
      </c>
      <c r="L95">
        <v>88.324934331836658</v>
      </c>
      <c r="M95">
        <v>88.51879731956889</v>
      </c>
      <c r="N95">
        <v>88.729033329522125</v>
      </c>
      <c r="O95">
        <v>88.940352571622029</v>
      </c>
      <c r="P95">
        <v>89.147795352555661</v>
      </c>
      <c r="Q95">
        <v>89.366515601184204</v>
      </c>
      <c r="R95">
        <v>89.573985910799266</v>
      </c>
      <c r="S95">
        <v>89.726889224781715</v>
      </c>
      <c r="T95">
        <v>89.907565047899212</v>
      </c>
      <c r="U95">
        <v>90.024067974622881</v>
      </c>
      <c r="V95">
        <v>90.187137496000986</v>
      </c>
      <c r="W95">
        <v>90.30330601066828</v>
      </c>
      <c r="X95">
        <v>90.427524898193937</v>
      </c>
      <c r="Y95">
        <v>90.533072122818552</v>
      </c>
      <c r="Z95">
        <v>90.663018463619608</v>
      </c>
      <c r="AA95">
        <v>90.81652953346989</v>
      </c>
      <c r="AB95">
        <v>90.924902385406611</v>
      </c>
      <c r="AC95">
        <v>91.057362149727723</v>
      </c>
      <c r="AD95">
        <v>91.175205901367846</v>
      </c>
      <c r="AE95">
        <v>91.275558501167069</v>
      </c>
      <c r="AF95">
        <v>91.394794009292085</v>
      </c>
      <c r="AG95">
        <v>91.520260149199729</v>
      </c>
      <c r="AH95">
        <v>91.602693942347486</v>
      </c>
      <c r="AI95">
        <v>91.710163621450974</v>
      </c>
      <c r="AJ95">
        <v>91.801359100460232</v>
      </c>
      <c r="AK95">
        <v>91.901766324107612</v>
      </c>
      <c r="AL95">
        <v>91.998195668995237</v>
      </c>
      <c r="AM95">
        <v>92.10336328145857</v>
      </c>
      <c r="AN95">
        <v>92.215598786345183</v>
      </c>
      <c r="AO95">
        <v>92.307226759696732</v>
      </c>
      <c r="AP95">
        <v>92.411916800869491</v>
      </c>
      <c r="AQ95">
        <v>92.486154447350302</v>
      </c>
      <c r="AR95">
        <v>92.60491284956008</v>
      </c>
      <c r="AS95">
        <v>92.700368088211022</v>
      </c>
      <c r="AT95">
        <v>92.800148255140741</v>
      </c>
      <c r="AU95">
        <v>92.894615856542117</v>
      </c>
      <c r="AV95">
        <v>93.009820624431512</v>
      </c>
      <c r="AW95">
        <v>93.082209467789141</v>
      </c>
      <c r="AX95">
        <v>93.158891779127543</v>
      </c>
      <c r="AY95">
        <v>93.224477445089931</v>
      </c>
      <c r="AZ95">
        <v>93.334703044820955</v>
      </c>
      <c r="BA95">
        <v>93.431676114636034</v>
      </c>
      <c r="BB95">
        <v>93.524280225147265</v>
      </c>
      <c r="BC95">
        <v>93.602508390900809</v>
      </c>
      <c r="BD95">
        <v>93.70923387757378</v>
      </c>
      <c r="BE95">
        <v>93.806511689009795</v>
      </c>
      <c r="BF95">
        <v>93.893022649565083</v>
      </c>
      <c r="BG95">
        <v>93.985396928551665</v>
      </c>
      <c r="BH95">
        <v>94.061925528860627</v>
      </c>
      <c r="BI95">
        <v>94.157723023642149</v>
      </c>
      <c r="BJ95">
        <v>94.250648977297004</v>
      </c>
      <c r="BK95">
        <v>94.337693932101601</v>
      </c>
      <c r="BL95">
        <v>94.413962937574098</v>
      </c>
      <c r="BM95">
        <v>94.51485423354913</v>
      </c>
      <c r="BN95">
        <v>94.591758980403966</v>
      </c>
      <c r="BO95">
        <v>94.671189896348096</v>
      </c>
      <c r="BP95">
        <v>94.761327138707458</v>
      </c>
      <c r="BQ95">
        <v>94.865707178351656</v>
      </c>
      <c r="BR95">
        <v>94.971484559237567</v>
      </c>
      <c r="BS95">
        <v>95.053980730894992</v>
      </c>
      <c r="BT95">
        <v>95.130534892597453</v>
      </c>
      <c r="BU95">
        <v>95.230453882215741</v>
      </c>
      <c r="BV95">
        <v>95.332053962256637</v>
      </c>
      <c r="BW95">
        <v>95.426617480421456</v>
      </c>
      <c r="BX95">
        <v>95.523721069666891</v>
      </c>
      <c r="BY95">
        <v>95.645974359940013</v>
      </c>
      <c r="BZ95">
        <v>95.756634356852601</v>
      </c>
      <c r="CA95">
        <v>95.884134497548146</v>
      </c>
      <c r="CB95">
        <v>96.003871031265604</v>
      </c>
      <c r="CC95">
        <v>96.092798505675802</v>
      </c>
      <c r="CD95">
        <v>96.180485377426962</v>
      </c>
      <c r="CE95">
        <v>96.280921155008386</v>
      </c>
      <c r="CF95">
        <v>96.37200402835937</v>
      </c>
      <c r="CG95">
        <v>96.448709156449397</v>
      </c>
      <c r="CH95">
        <v>96.570793190415529</v>
      </c>
      <c r="CI95">
        <v>96.664278863031697</v>
      </c>
      <c r="CJ95">
        <v>96.76543268915097</v>
      </c>
      <c r="CK95">
        <v>96.866779703984918</v>
      </c>
      <c r="CL95">
        <v>96.997536442512128</v>
      </c>
      <c r="CM95">
        <v>97.104887377961902</v>
      </c>
      <c r="CN95">
        <v>97.22935393353913</v>
      </c>
      <c r="CO95">
        <v>97.337272431391838</v>
      </c>
      <c r="CP95">
        <v>97.458307423880598</v>
      </c>
      <c r="CQ95">
        <v>97.564323246321649</v>
      </c>
      <c r="CR95">
        <v>97.651939955603723</v>
      </c>
      <c r="CS95">
        <v>97.767814477557337</v>
      </c>
      <c r="CT95">
        <v>97.8515834011679</v>
      </c>
      <c r="CU95">
        <v>97.951212107164096</v>
      </c>
      <c r="CV95">
        <v>98.057741849638106</v>
      </c>
      <c r="CW95">
        <v>98.180312233333694</v>
      </c>
      <c r="CX95">
        <v>98.294565745593474</v>
      </c>
      <c r="CY95">
        <v>98.43877177385599</v>
      </c>
      <c r="CZ95">
        <v>98.559431658548704</v>
      </c>
      <c r="DA95">
        <v>98.653068289210552</v>
      </c>
      <c r="DB95">
        <v>98.76608825410392</v>
      </c>
      <c r="DC95">
        <v>98.885253198755237</v>
      </c>
      <c r="DD95">
        <v>99.027954174983492</v>
      </c>
      <c r="DE95">
        <v>99.155702692948267</v>
      </c>
      <c r="DF95">
        <v>99.274270315553522</v>
      </c>
      <c r="DG95">
        <v>99.426475591499312</v>
      </c>
      <c r="DH95">
        <v>99.569280859537542</v>
      </c>
      <c r="DI95">
        <v>99.711075350028523</v>
      </c>
      <c r="DJ95">
        <v>99.841339707058339</v>
      </c>
      <c r="DK95">
        <v>99.956814204585228</v>
      </c>
      <c r="DL95">
        <v>100.11351611735091</v>
      </c>
      <c r="DM95">
        <v>100.24648474947871</v>
      </c>
      <c r="DN95">
        <v>100.37351238061612</v>
      </c>
      <c r="DO95">
        <v>100.52405427152701</v>
      </c>
      <c r="DP95">
        <v>100.66747140017206</v>
      </c>
      <c r="DQ95">
        <v>100.7756420007241</v>
      </c>
      <c r="DR95">
        <v>100.91147949860687</v>
      </c>
      <c r="DS95">
        <v>101.03904699421999</v>
      </c>
      <c r="DT95">
        <v>101.16090873400691</v>
      </c>
      <c r="DU95">
        <v>101.28357781234985</v>
      </c>
      <c r="DV95">
        <v>101.40212882020666</v>
      </c>
      <c r="DW95">
        <v>101.57172726225068</v>
      </c>
      <c r="DX95">
        <v>101.72122443202109</v>
      </c>
      <c r="DY95">
        <v>101.86695672854374</v>
      </c>
      <c r="DZ95">
        <v>102.03567564491048</v>
      </c>
      <c r="EA95">
        <v>102.19645974264881</v>
      </c>
      <c r="EB95">
        <v>102.34522022093235</v>
      </c>
      <c r="EC95">
        <v>102.52994383246163</v>
      </c>
      <c r="ED95">
        <v>102.6947414553925</v>
      </c>
      <c r="EE95">
        <v>102.83722538926823</v>
      </c>
      <c r="EF95">
        <v>102.99569753816711</v>
      </c>
      <c r="EG95">
        <v>103.2259748115044</v>
      </c>
      <c r="EH95">
        <v>103.36726559961656</v>
      </c>
      <c r="EI95">
        <v>103.54378034834833</v>
      </c>
      <c r="EJ95">
        <v>103.6820408161624</v>
      </c>
      <c r="EK95">
        <v>103.87804058984752</v>
      </c>
      <c r="EL95">
        <v>104.0723014083097</v>
      </c>
      <c r="EM95">
        <v>104.23497586193243</v>
      </c>
      <c r="EN95">
        <v>104.40018598959027</v>
      </c>
      <c r="EO95">
        <v>104.59070634641752</v>
      </c>
      <c r="EP95">
        <v>104.78992897299436</v>
      </c>
      <c r="EQ95">
        <v>105.00510442856678</v>
      </c>
      <c r="ER95">
        <v>105.15026577894882</v>
      </c>
      <c r="ES95">
        <v>105.37402064166314</v>
      </c>
      <c r="ET95">
        <v>105.60339442720638</v>
      </c>
      <c r="EU95">
        <v>105.84236368192207</v>
      </c>
      <c r="EV95">
        <v>106.05835485532295</v>
      </c>
      <c r="EW95">
        <v>106.26886025701327</v>
      </c>
      <c r="EX95">
        <v>106.4978470610679</v>
      </c>
      <c r="EY95">
        <v>106.71121845703422</v>
      </c>
      <c r="EZ95">
        <v>106.97526148857183</v>
      </c>
      <c r="FA95">
        <v>107.2728428500663</v>
      </c>
      <c r="FB95">
        <v>107.5348255855711</v>
      </c>
      <c r="FC95">
        <v>107.82869290084061</v>
      </c>
      <c r="FD95">
        <v>108.11526686657507</v>
      </c>
      <c r="FE95">
        <v>108.42515342843438</v>
      </c>
      <c r="FF95">
        <v>108.75914753901033</v>
      </c>
      <c r="FG95">
        <v>109.0641163235298</v>
      </c>
      <c r="FH95">
        <v>109.43161945033656</v>
      </c>
      <c r="FI95">
        <v>109.76312049480056</v>
      </c>
      <c r="FJ95">
        <v>110.10035186267683</v>
      </c>
      <c r="FK95">
        <v>110.51594436204071</v>
      </c>
      <c r="FL95">
        <v>110.90703237188866</v>
      </c>
      <c r="FM95">
        <v>111.34860730384815</v>
      </c>
      <c r="FN95">
        <v>111.85009368209107</v>
      </c>
      <c r="FO95">
        <v>112.27376105790559</v>
      </c>
      <c r="FP95">
        <v>112.71744318740248</v>
      </c>
      <c r="FQ95">
        <v>113.18633926071644</v>
      </c>
      <c r="FR95">
        <v>113.69156952304591</v>
      </c>
      <c r="FS95">
        <v>114.23991412191111</v>
      </c>
      <c r="FT95">
        <v>114.68601153556385</v>
      </c>
      <c r="FU95">
        <v>115.16144233318018</v>
      </c>
      <c r="FV95">
        <v>115.77565006794551</v>
      </c>
      <c r="FW95">
        <v>116.23533486307309</v>
      </c>
      <c r="FX95">
        <v>116.79093104924517</v>
      </c>
      <c r="FY95">
        <v>117.51828049174659</v>
      </c>
      <c r="FZ95">
        <v>118.25796261637629</v>
      </c>
      <c r="GA95">
        <v>119.11765899682271</v>
      </c>
      <c r="GB95">
        <v>119.89218524139629</v>
      </c>
      <c r="GC95">
        <v>120.58437714436083</v>
      </c>
      <c r="GD95">
        <v>121.41271095733549</v>
      </c>
      <c r="GE95">
        <v>122.27887666966254</v>
      </c>
      <c r="GF95">
        <v>123.46987880925515</v>
      </c>
      <c r="GG95">
        <v>124.90070517235507</v>
      </c>
      <c r="GH95">
        <v>126.05664011687887</v>
      </c>
      <c r="GI95">
        <v>127.53197517848946</v>
      </c>
      <c r="GJ95">
        <v>129.29638744679153</v>
      </c>
      <c r="GK95">
        <v>131.46801867077045</v>
      </c>
      <c r="GL95">
        <v>134.58808059852265</v>
      </c>
      <c r="GM95">
        <v>136.7591876738424</v>
      </c>
      <c r="GN95">
        <v>139.81584746597406</v>
      </c>
      <c r="GO95">
        <v>143.79097029052346</v>
      </c>
      <c r="GP95">
        <v>151.10196790610414</v>
      </c>
      <c r="GQ95">
        <v>160.81994921525302</v>
      </c>
      <c r="GR95">
        <v>101.3877817517636</v>
      </c>
      <c r="GT95" s="8">
        <v>45427</v>
      </c>
      <c r="GU95">
        <v>163.47</v>
      </c>
    </row>
    <row r="96" spans="1:203" x14ac:dyDescent="0.45">
      <c r="A96">
        <v>83.096640310560161</v>
      </c>
      <c r="B96">
        <v>84.31436027441913</v>
      </c>
      <c r="C96">
        <v>85.070218804530725</v>
      </c>
      <c r="D96">
        <v>85.5868835006399</v>
      </c>
      <c r="E96">
        <v>86.126205916061735</v>
      </c>
      <c r="F96">
        <v>86.543103202364136</v>
      </c>
      <c r="G96">
        <v>86.870141572394843</v>
      </c>
      <c r="H96">
        <v>87.26831515734527</v>
      </c>
      <c r="I96">
        <v>87.539866200478286</v>
      </c>
      <c r="J96">
        <v>87.840177088873617</v>
      </c>
      <c r="K96">
        <v>88.041469521573873</v>
      </c>
      <c r="L96">
        <v>88.277155134271737</v>
      </c>
      <c r="M96">
        <v>88.459547104859396</v>
      </c>
      <c r="N96">
        <v>88.741269611898844</v>
      </c>
      <c r="O96">
        <v>88.904321316170069</v>
      </c>
      <c r="P96">
        <v>89.092169130075277</v>
      </c>
      <c r="Q96">
        <v>89.306352636945675</v>
      </c>
      <c r="R96">
        <v>89.543780445488821</v>
      </c>
      <c r="S96">
        <v>89.681099870450694</v>
      </c>
      <c r="T96">
        <v>89.844444197220085</v>
      </c>
      <c r="U96">
        <v>89.958310305799273</v>
      </c>
      <c r="V96">
        <v>90.100703437613234</v>
      </c>
      <c r="W96">
        <v>90.222819539932431</v>
      </c>
      <c r="X96">
        <v>90.390983043596606</v>
      </c>
      <c r="Y96">
        <v>90.510461451738834</v>
      </c>
      <c r="Z96">
        <v>90.632759600450512</v>
      </c>
      <c r="AA96">
        <v>90.766581793353254</v>
      </c>
      <c r="AB96">
        <v>90.889453632922923</v>
      </c>
      <c r="AC96">
        <v>91.037430131722132</v>
      </c>
      <c r="AD96">
        <v>91.151523845657437</v>
      </c>
      <c r="AE96">
        <v>91.278666792264005</v>
      </c>
      <c r="AF96">
        <v>91.387561997632858</v>
      </c>
      <c r="AG96">
        <v>91.499995031978671</v>
      </c>
      <c r="AH96">
        <v>91.596626044236444</v>
      </c>
      <c r="AI96">
        <v>91.701434977558719</v>
      </c>
      <c r="AJ96">
        <v>91.796140828300452</v>
      </c>
      <c r="AK96">
        <v>91.923509329730066</v>
      </c>
      <c r="AL96">
        <v>92.020531374681667</v>
      </c>
      <c r="AM96">
        <v>92.100238220669112</v>
      </c>
      <c r="AN96">
        <v>92.181200992887653</v>
      </c>
      <c r="AO96">
        <v>92.280526619798167</v>
      </c>
      <c r="AP96">
        <v>92.399873241513646</v>
      </c>
      <c r="AQ96">
        <v>92.510002226464493</v>
      </c>
      <c r="AR96">
        <v>92.584444763914505</v>
      </c>
      <c r="AS96">
        <v>92.666722475264208</v>
      </c>
      <c r="AT96">
        <v>92.764446590256469</v>
      </c>
      <c r="AU96">
        <v>92.880776953689633</v>
      </c>
      <c r="AV96">
        <v>92.962530506389385</v>
      </c>
      <c r="AW96">
        <v>93.048986238353763</v>
      </c>
      <c r="AX96">
        <v>93.145325262296694</v>
      </c>
      <c r="AY96">
        <v>93.238955533197043</v>
      </c>
      <c r="AZ96">
        <v>93.314484886894277</v>
      </c>
      <c r="BA96">
        <v>93.401789745472271</v>
      </c>
      <c r="BB96">
        <v>93.481817448288737</v>
      </c>
      <c r="BC96">
        <v>93.566766664166721</v>
      </c>
      <c r="BD96">
        <v>93.665692232640737</v>
      </c>
      <c r="BE96">
        <v>93.758506775800228</v>
      </c>
      <c r="BF96">
        <v>93.849164505552267</v>
      </c>
      <c r="BG96">
        <v>93.9426233060192</v>
      </c>
      <c r="BH96">
        <v>94.021991140846254</v>
      </c>
      <c r="BI96">
        <v>94.122241872070063</v>
      </c>
      <c r="BJ96">
        <v>94.213889780893325</v>
      </c>
      <c r="BK96">
        <v>94.287325355360295</v>
      </c>
      <c r="BL96">
        <v>94.374353267476877</v>
      </c>
      <c r="BM96">
        <v>94.471153534317608</v>
      </c>
      <c r="BN96">
        <v>94.577895384853221</v>
      </c>
      <c r="BO96">
        <v>94.658420421169765</v>
      </c>
      <c r="BP96">
        <v>94.750275466363021</v>
      </c>
      <c r="BQ96">
        <v>94.841101614880387</v>
      </c>
      <c r="BR96">
        <v>94.911732100737694</v>
      </c>
      <c r="BS96">
        <v>95.018917263900562</v>
      </c>
      <c r="BT96">
        <v>95.119739965439564</v>
      </c>
      <c r="BU96">
        <v>95.223796637435427</v>
      </c>
      <c r="BV96">
        <v>95.32647160478534</v>
      </c>
      <c r="BW96">
        <v>95.432712389667259</v>
      </c>
      <c r="BX96">
        <v>95.536204918837612</v>
      </c>
      <c r="BY96">
        <v>95.644698528812057</v>
      </c>
      <c r="BZ96">
        <v>95.742479760323974</v>
      </c>
      <c r="CA96">
        <v>95.832072187616703</v>
      </c>
      <c r="CB96">
        <v>95.938111427799754</v>
      </c>
      <c r="CC96">
        <v>96.016735467304343</v>
      </c>
      <c r="CD96">
        <v>96.134797948527975</v>
      </c>
      <c r="CE96">
        <v>96.235250260339868</v>
      </c>
      <c r="CF96">
        <v>96.333464777495053</v>
      </c>
      <c r="CG96">
        <v>96.4500824145004</v>
      </c>
      <c r="CH96">
        <v>96.541537000725924</v>
      </c>
      <c r="CI96">
        <v>96.661323968491885</v>
      </c>
      <c r="CJ96">
        <v>96.773115825550121</v>
      </c>
      <c r="CK96">
        <v>96.867389794368179</v>
      </c>
      <c r="CL96">
        <v>96.96892789114122</v>
      </c>
      <c r="CM96">
        <v>97.073486070363202</v>
      </c>
      <c r="CN96">
        <v>97.176016705187948</v>
      </c>
      <c r="CO96">
        <v>97.280599894585691</v>
      </c>
      <c r="CP96">
        <v>97.389014324595237</v>
      </c>
      <c r="CQ96">
        <v>97.497336851632554</v>
      </c>
      <c r="CR96">
        <v>97.628927723925344</v>
      </c>
      <c r="CS96">
        <v>97.744220114607657</v>
      </c>
      <c r="CT96">
        <v>97.830132922195091</v>
      </c>
      <c r="CU96">
        <v>97.955481086030048</v>
      </c>
      <c r="CV96">
        <v>98.068352091959852</v>
      </c>
      <c r="CW96">
        <v>98.171249458077071</v>
      </c>
      <c r="CX96">
        <v>98.281311808248532</v>
      </c>
      <c r="CY96">
        <v>98.421588676278617</v>
      </c>
      <c r="CZ96">
        <v>98.545781670843226</v>
      </c>
      <c r="DA96">
        <v>98.644385362885913</v>
      </c>
      <c r="DB96">
        <v>98.765614230587175</v>
      </c>
      <c r="DC96">
        <v>98.906308992876959</v>
      </c>
      <c r="DD96">
        <v>99.038452866834362</v>
      </c>
      <c r="DE96">
        <v>99.152552118932633</v>
      </c>
      <c r="DF96">
        <v>99.277015973678402</v>
      </c>
      <c r="DG96">
        <v>99.391185327003797</v>
      </c>
      <c r="DH96">
        <v>99.541984382886525</v>
      </c>
      <c r="DI96">
        <v>99.660669345499699</v>
      </c>
      <c r="DJ96">
        <v>99.769098157691033</v>
      </c>
      <c r="DK96">
        <v>99.887154728634016</v>
      </c>
      <c r="DL96">
        <v>100.00687652962762</v>
      </c>
      <c r="DM96">
        <v>100.154542437369</v>
      </c>
      <c r="DN96">
        <v>100.30297049249248</v>
      </c>
      <c r="DO96">
        <v>100.42812255995119</v>
      </c>
      <c r="DP96">
        <v>100.57439450829584</v>
      </c>
      <c r="DQ96">
        <v>100.69527182463978</v>
      </c>
      <c r="DR96">
        <v>100.81782555057815</v>
      </c>
      <c r="DS96">
        <v>100.9841278909704</v>
      </c>
      <c r="DT96">
        <v>101.10309243707063</v>
      </c>
      <c r="DU96">
        <v>101.24309056414147</v>
      </c>
      <c r="DV96">
        <v>101.3890707268822</v>
      </c>
      <c r="DW96">
        <v>101.55575848135859</v>
      </c>
      <c r="DX96">
        <v>101.72727251857661</v>
      </c>
      <c r="DY96">
        <v>101.89286168898596</v>
      </c>
      <c r="DZ96">
        <v>102.04782255656008</v>
      </c>
      <c r="EA96">
        <v>102.21387658840048</v>
      </c>
      <c r="EB96">
        <v>102.34111971323465</v>
      </c>
      <c r="EC96">
        <v>102.49662219952651</v>
      </c>
      <c r="ED96">
        <v>102.65737337865744</v>
      </c>
      <c r="EE96">
        <v>102.80085265469843</v>
      </c>
      <c r="EF96">
        <v>102.99497482901442</v>
      </c>
      <c r="EG96">
        <v>103.171769229166</v>
      </c>
      <c r="EH96">
        <v>103.36043989513298</v>
      </c>
      <c r="EI96">
        <v>103.52143013013729</v>
      </c>
      <c r="EJ96">
        <v>103.6914562643959</v>
      </c>
      <c r="EK96">
        <v>103.86079693249194</v>
      </c>
      <c r="EL96">
        <v>104.00927506028982</v>
      </c>
      <c r="EM96">
        <v>104.19592283614915</v>
      </c>
      <c r="EN96">
        <v>104.42726706759785</v>
      </c>
      <c r="EO96">
        <v>104.63797707004512</v>
      </c>
      <c r="EP96">
        <v>104.7987864257359</v>
      </c>
      <c r="EQ96">
        <v>105.01224250641036</v>
      </c>
      <c r="ER96">
        <v>105.17914963784538</v>
      </c>
      <c r="ES96">
        <v>105.40095703894377</v>
      </c>
      <c r="ET96">
        <v>105.69783506619805</v>
      </c>
      <c r="EU96">
        <v>105.95817503746238</v>
      </c>
      <c r="EV96">
        <v>106.16888813227796</v>
      </c>
      <c r="EW96">
        <v>106.39762456812548</v>
      </c>
      <c r="EX96">
        <v>106.63845221683611</v>
      </c>
      <c r="EY96">
        <v>106.92276153805153</v>
      </c>
      <c r="EZ96">
        <v>107.18914389657377</v>
      </c>
      <c r="FA96">
        <v>107.42749384769934</v>
      </c>
      <c r="FB96">
        <v>107.66303807126512</v>
      </c>
      <c r="FC96">
        <v>107.92676060448589</v>
      </c>
      <c r="FD96">
        <v>108.14131175661387</v>
      </c>
      <c r="FE96">
        <v>108.47966196150533</v>
      </c>
      <c r="FF96">
        <v>108.76315858897449</v>
      </c>
      <c r="FG96">
        <v>109.06901603550017</v>
      </c>
      <c r="FH96">
        <v>109.46065656043774</v>
      </c>
      <c r="FI96">
        <v>109.75390049353743</v>
      </c>
      <c r="FJ96">
        <v>110.07682471659929</v>
      </c>
      <c r="FK96">
        <v>110.45063580242976</v>
      </c>
      <c r="FL96">
        <v>110.87799611412029</v>
      </c>
      <c r="FM96">
        <v>111.35993068519682</v>
      </c>
      <c r="FN96">
        <v>111.79675119074309</v>
      </c>
      <c r="FO96">
        <v>112.26274154020234</v>
      </c>
      <c r="FP96">
        <v>112.79257803344726</v>
      </c>
      <c r="FQ96">
        <v>113.28337116933891</v>
      </c>
      <c r="FR96">
        <v>113.75241015979542</v>
      </c>
      <c r="FS96">
        <v>114.26496447070221</v>
      </c>
      <c r="FT96">
        <v>114.70071561593757</v>
      </c>
      <c r="FU96">
        <v>115.32629245608646</v>
      </c>
      <c r="FV96">
        <v>115.89930945566063</v>
      </c>
      <c r="FW96">
        <v>116.48966728964804</v>
      </c>
      <c r="FX96">
        <v>117.00242828661789</v>
      </c>
      <c r="FY96">
        <v>117.75686553735021</v>
      </c>
      <c r="FZ96">
        <v>118.56399598751287</v>
      </c>
      <c r="GA96">
        <v>119.22895356805957</v>
      </c>
      <c r="GB96">
        <v>120.02577570332525</v>
      </c>
      <c r="GC96">
        <v>120.91312364291527</v>
      </c>
      <c r="GD96">
        <v>121.59991928201121</v>
      </c>
      <c r="GE96">
        <v>122.37686455924877</v>
      </c>
      <c r="GF96">
        <v>123.45524332334715</v>
      </c>
      <c r="GG96">
        <v>124.50525709804602</v>
      </c>
      <c r="GH96">
        <v>125.99670261841086</v>
      </c>
      <c r="GI96">
        <v>127.51270774444825</v>
      </c>
      <c r="GJ96">
        <v>129.53792691526047</v>
      </c>
      <c r="GK96">
        <v>131.72239021431133</v>
      </c>
      <c r="GL96">
        <v>134.52508429277546</v>
      </c>
      <c r="GM96">
        <v>137.02018998294199</v>
      </c>
      <c r="GN96">
        <v>140.76390641476405</v>
      </c>
      <c r="GO96">
        <v>144.92458925605698</v>
      </c>
      <c r="GP96">
        <v>151.14503058461131</v>
      </c>
      <c r="GQ96">
        <v>161.52555034857767</v>
      </c>
      <c r="GR96">
        <v>101.40576743352771</v>
      </c>
      <c r="GT96" s="8">
        <v>45428</v>
      </c>
      <c r="GU96">
        <v>161.12</v>
      </c>
    </row>
    <row r="97" spans="1:203" x14ac:dyDescent="0.45">
      <c r="A97">
        <v>83.019750907720848</v>
      </c>
      <c r="B97">
        <v>84.383829895251594</v>
      </c>
      <c r="C97">
        <v>85.001466986346358</v>
      </c>
      <c r="D97">
        <v>85.600623829485158</v>
      </c>
      <c r="E97">
        <v>86.078969500913459</v>
      </c>
      <c r="F97">
        <v>86.531434766012069</v>
      </c>
      <c r="G97">
        <v>86.854427240437388</v>
      </c>
      <c r="H97">
        <v>87.186961667384594</v>
      </c>
      <c r="I97">
        <v>87.50520362385322</v>
      </c>
      <c r="J97">
        <v>87.732440793462715</v>
      </c>
      <c r="K97">
        <v>88.000199602979635</v>
      </c>
      <c r="L97">
        <v>88.264097773206132</v>
      </c>
      <c r="M97">
        <v>88.415036642372797</v>
      </c>
      <c r="N97">
        <v>88.647190188893006</v>
      </c>
      <c r="O97">
        <v>88.875700111812122</v>
      </c>
      <c r="P97">
        <v>89.068720126764745</v>
      </c>
      <c r="Q97">
        <v>89.239677678706784</v>
      </c>
      <c r="R97">
        <v>89.390760400158825</v>
      </c>
      <c r="S97">
        <v>89.563158832752691</v>
      </c>
      <c r="T97">
        <v>89.780692199156434</v>
      </c>
      <c r="U97">
        <v>89.892561727614364</v>
      </c>
      <c r="V97">
        <v>90.028697008062522</v>
      </c>
      <c r="W97">
        <v>90.135254633016359</v>
      </c>
      <c r="X97">
        <v>90.285235624505574</v>
      </c>
      <c r="Y97">
        <v>90.422634989431302</v>
      </c>
      <c r="Z97">
        <v>90.557919492794255</v>
      </c>
      <c r="AA97">
        <v>90.678737368962899</v>
      </c>
      <c r="AB97">
        <v>90.807595977929239</v>
      </c>
      <c r="AC97">
        <v>90.963415859971093</v>
      </c>
      <c r="AD97">
        <v>91.076556853744776</v>
      </c>
      <c r="AE97">
        <v>91.171162930190874</v>
      </c>
      <c r="AF97">
        <v>91.294715333939152</v>
      </c>
      <c r="AG97">
        <v>91.429723913573483</v>
      </c>
      <c r="AH97">
        <v>91.551541152629966</v>
      </c>
      <c r="AI97">
        <v>91.662685625443231</v>
      </c>
      <c r="AJ97">
        <v>91.771417950212992</v>
      </c>
      <c r="AK97">
        <v>91.880585568517631</v>
      </c>
      <c r="AL97">
        <v>91.957809524020234</v>
      </c>
      <c r="AM97">
        <v>92.038843021745677</v>
      </c>
      <c r="AN97">
        <v>92.149491213127689</v>
      </c>
      <c r="AO97">
        <v>92.250435123851403</v>
      </c>
      <c r="AP97">
        <v>92.346560790845842</v>
      </c>
      <c r="AQ97">
        <v>92.455125919023359</v>
      </c>
      <c r="AR97">
        <v>92.556159372597364</v>
      </c>
      <c r="AS97">
        <v>92.661382913459079</v>
      </c>
      <c r="AT97">
        <v>92.730963026392416</v>
      </c>
      <c r="AU97">
        <v>92.817570752256486</v>
      </c>
      <c r="AV97">
        <v>92.884570227033905</v>
      </c>
      <c r="AW97">
        <v>92.957891177514639</v>
      </c>
      <c r="AX97">
        <v>93.030786183394042</v>
      </c>
      <c r="AY97">
        <v>93.12963362824766</v>
      </c>
      <c r="AZ97">
        <v>93.258295837686376</v>
      </c>
      <c r="BA97">
        <v>93.3554359365544</v>
      </c>
      <c r="BB97">
        <v>93.425754973326164</v>
      </c>
      <c r="BC97">
        <v>93.519716925202928</v>
      </c>
      <c r="BD97">
        <v>93.614175949847194</v>
      </c>
      <c r="BE97">
        <v>93.694910459978999</v>
      </c>
      <c r="BF97">
        <v>93.792776610450673</v>
      </c>
      <c r="BG97">
        <v>93.878905848247214</v>
      </c>
      <c r="BH97">
        <v>93.956598082681595</v>
      </c>
      <c r="BI97">
        <v>94.075142673799078</v>
      </c>
      <c r="BJ97">
        <v>94.158327306165589</v>
      </c>
      <c r="BK97">
        <v>94.232400578955335</v>
      </c>
      <c r="BL97">
        <v>94.321868484241122</v>
      </c>
      <c r="BM97">
        <v>94.421695627071273</v>
      </c>
      <c r="BN97">
        <v>94.514542013884878</v>
      </c>
      <c r="BO97">
        <v>94.607278201766349</v>
      </c>
      <c r="BP97">
        <v>94.688125097027495</v>
      </c>
      <c r="BQ97">
        <v>94.777496445394888</v>
      </c>
      <c r="BR97">
        <v>94.865900792209857</v>
      </c>
      <c r="BS97">
        <v>94.958175464769681</v>
      </c>
      <c r="BT97">
        <v>95.051930534213938</v>
      </c>
      <c r="BU97">
        <v>95.141425833500762</v>
      </c>
      <c r="BV97">
        <v>95.268826407813521</v>
      </c>
      <c r="BW97">
        <v>95.384647695437096</v>
      </c>
      <c r="BX97">
        <v>95.493391722679945</v>
      </c>
      <c r="BY97">
        <v>95.574728873584775</v>
      </c>
      <c r="BZ97">
        <v>95.669106110817296</v>
      </c>
      <c r="CA97">
        <v>95.747645798525554</v>
      </c>
      <c r="CB97">
        <v>95.855854285965819</v>
      </c>
      <c r="CC97">
        <v>95.998978549402324</v>
      </c>
      <c r="CD97">
        <v>96.078561046816247</v>
      </c>
      <c r="CE97">
        <v>96.187045941270597</v>
      </c>
      <c r="CF97">
        <v>96.27802715721154</v>
      </c>
      <c r="CG97">
        <v>96.377179627665299</v>
      </c>
      <c r="CH97">
        <v>96.47851931632384</v>
      </c>
      <c r="CI97">
        <v>96.589242645182921</v>
      </c>
      <c r="CJ97">
        <v>96.712846634429994</v>
      </c>
      <c r="CK97">
        <v>96.81155197506726</v>
      </c>
      <c r="CL97">
        <v>96.932330804730313</v>
      </c>
      <c r="CM97">
        <v>97.078274555749701</v>
      </c>
      <c r="CN97">
        <v>97.189011357201323</v>
      </c>
      <c r="CO97">
        <v>97.285483457004631</v>
      </c>
      <c r="CP97">
        <v>97.379883133148638</v>
      </c>
      <c r="CQ97">
        <v>97.487256695013571</v>
      </c>
      <c r="CR97">
        <v>97.608916297203862</v>
      </c>
      <c r="CS97">
        <v>97.729439757822831</v>
      </c>
      <c r="CT97">
        <v>97.82090124439631</v>
      </c>
      <c r="CU97">
        <v>97.924698639227699</v>
      </c>
      <c r="CV97">
        <v>98.044420933099886</v>
      </c>
      <c r="CW97">
        <v>98.168124714565607</v>
      </c>
      <c r="CX97">
        <v>98.295004512661308</v>
      </c>
      <c r="CY97">
        <v>98.40865332303045</v>
      </c>
      <c r="CZ97">
        <v>98.531322468364024</v>
      </c>
      <c r="DA97">
        <v>98.682605319335508</v>
      </c>
      <c r="DB97">
        <v>98.813092882029252</v>
      </c>
      <c r="DC97">
        <v>98.944506207728239</v>
      </c>
      <c r="DD97">
        <v>99.061780812868193</v>
      </c>
      <c r="DE97">
        <v>99.199659022213993</v>
      </c>
      <c r="DF97">
        <v>99.316143927679732</v>
      </c>
      <c r="DG97">
        <v>99.407338347834681</v>
      </c>
      <c r="DH97">
        <v>99.536852990320099</v>
      </c>
      <c r="DI97">
        <v>99.642393012582218</v>
      </c>
      <c r="DJ97">
        <v>99.755426000025665</v>
      </c>
      <c r="DK97">
        <v>99.883848433573363</v>
      </c>
      <c r="DL97">
        <v>100.01712685173389</v>
      </c>
      <c r="DM97">
        <v>100.13226673707359</v>
      </c>
      <c r="DN97">
        <v>100.28347849665629</v>
      </c>
      <c r="DO97">
        <v>100.41481446568987</v>
      </c>
      <c r="DP97">
        <v>100.55915090870721</v>
      </c>
      <c r="DQ97">
        <v>100.71070009634467</v>
      </c>
      <c r="DR97">
        <v>100.81584607805792</v>
      </c>
      <c r="DS97">
        <v>100.96626960768718</v>
      </c>
      <c r="DT97">
        <v>101.11845986793045</v>
      </c>
      <c r="DU97">
        <v>101.2495615339011</v>
      </c>
      <c r="DV97">
        <v>101.36561607338373</v>
      </c>
      <c r="DW97">
        <v>101.53652740902915</v>
      </c>
      <c r="DX97">
        <v>101.71176452867714</v>
      </c>
      <c r="DY97">
        <v>101.84680416483474</v>
      </c>
      <c r="DZ97">
        <v>102.05230008843451</v>
      </c>
      <c r="EA97">
        <v>102.21081899829916</v>
      </c>
      <c r="EB97">
        <v>102.34165709141151</v>
      </c>
      <c r="EC97">
        <v>102.48379594088763</v>
      </c>
      <c r="ED97">
        <v>102.66773601106725</v>
      </c>
      <c r="EE97">
        <v>102.88308102632075</v>
      </c>
      <c r="EF97">
        <v>103.03905366386343</v>
      </c>
      <c r="EG97">
        <v>103.18783599845828</v>
      </c>
      <c r="EH97">
        <v>103.3602487125687</v>
      </c>
      <c r="EI97">
        <v>103.51601214315183</v>
      </c>
      <c r="EJ97">
        <v>103.692991431995</v>
      </c>
      <c r="EK97">
        <v>103.8906179063423</v>
      </c>
      <c r="EL97">
        <v>104.125875302067</v>
      </c>
      <c r="EM97">
        <v>104.34108229861957</v>
      </c>
      <c r="EN97">
        <v>104.56355380715969</v>
      </c>
      <c r="EO97">
        <v>104.72194769462936</v>
      </c>
      <c r="EP97">
        <v>104.93081000795154</v>
      </c>
      <c r="EQ97">
        <v>105.13503416818556</v>
      </c>
      <c r="ER97">
        <v>105.40771963727427</v>
      </c>
      <c r="ES97">
        <v>105.61149771260251</v>
      </c>
      <c r="ET97">
        <v>105.82339568677227</v>
      </c>
      <c r="EU97">
        <v>106.01830650980997</v>
      </c>
      <c r="EV97">
        <v>106.19517290865208</v>
      </c>
      <c r="EW97">
        <v>106.45061042838967</v>
      </c>
      <c r="EX97">
        <v>106.71170739045711</v>
      </c>
      <c r="EY97">
        <v>106.98130827446511</v>
      </c>
      <c r="EZ97">
        <v>107.30998237963578</v>
      </c>
      <c r="FA97">
        <v>107.54540937714302</v>
      </c>
      <c r="FB97">
        <v>107.86912658942103</v>
      </c>
      <c r="FC97">
        <v>108.13849627062194</v>
      </c>
      <c r="FD97">
        <v>108.4028493380665</v>
      </c>
      <c r="FE97">
        <v>108.70243615224597</v>
      </c>
      <c r="FF97">
        <v>109.02139107451416</v>
      </c>
      <c r="FG97">
        <v>109.3576024178154</v>
      </c>
      <c r="FH97">
        <v>109.67793795297239</v>
      </c>
      <c r="FI97">
        <v>109.95826223958177</v>
      </c>
      <c r="FJ97">
        <v>110.24464598290881</v>
      </c>
      <c r="FK97">
        <v>110.55899265001331</v>
      </c>
      <c r="FL97">
        <v>110.9175696119708</v>
      </c>
      <c r="FM97">
        <v>111.33479577856625</v>
      </c>
      <c r="FN97">
        <v>111.74040785000814</v>
      </c>
      <c r="FO97">
        <v>112.12917727906861</v>
      </c>
      <c r="FP97">
        <v>112.58041245659777</v>
      </c>
      <c r="FQ97">
        <v>113.22988925369745</v>
      </c>
      <c r="FR97">
        <v>113.81566943724275</v>
      </c>
      <c r="FS97">
        <v>114.21445028108261</v>
      </c>
      <c r="FT97">
        <v>114.80727909602271</v>
      </c>
      <c r="FU97">
        <v>115.2523908763355</v>
      </c>
      <c r="FV97">
        <v>115.83231056455141</v>
      </c>
      <c r="FW97">
        <v>116.33500418948506</v>
      </c>
      <c r="FX97">
        <v>117.01127429141428</v>
      </c>
      <c r="FY97">
        <v>117.76530573686151</v>
      </c>
      <c r="FZ97">
        <v>118.34444346309949</v>
      </c>
      <c r="GA97">
        <v>119.03980058499705</v>
      </c>
      <c r="GB97">
        <v>119.96241755662989</v>
      </c>
      <c r="GC97">
        <v>120.98037079823196</v>
      </c>
      <c r="GD97">
        <v>121.70500196143311</v>
      </c>
      <c r="GE97">
        <v>122.77280604049672</v>
      </c>
      <c r="GF97">
        <v>123.78928341793625</v>
      </c>
      <c r="GG97">
        <v>125.00987783602396</v>
      </c>
      <c r="GH97">
        <v>126.26976212202817</v>
      </c>
      <c r="GI97">
        <v>128.17985673786669</v>
      </c>
      <c r="GJ97">
        <v>129.88497809887443</v>
      </c>
      <c r="GK97">
        <v>132.18145702028599</v>
      </c>
      <c r="GL97">
        <v>134.88199163752961</v>
      </c>
      <c r="GM97">
        <v>137.49933627090448</v>
      </c>
      <c r="GN97">
        <v>140.59319784422871</v>
      </c>
      <c r="GO97">
        <v>144.96633034131941</v>
      </c>
      <c r="GP97">
        <v>151.85852039530653</v>
      </c>
      <c r="GQ97">
        <v>162.72203106987112</v>
      </c>
      <c r="GR97">
        <v>101.4276607921017</v>
      </c>
      <c r="GT97" s="8">
        <v>45429</v>
      </c>
      <c r="GU97">
        <v>159.88999999999999</v>
      </c>
    </row>
    <row r="98" spans="1:203" x14ac:dyDescent="0.45">
      <c r="A98">
        <v>82.852381531327026</v>
      </c>
      <c r="B98">
        <v>84.39878353395973</v>
      </c>
      <c r="C98">
        <v>85.015251501469876</v>
      </c>
      <c r="D98">
        <v>85.525159808994587</v>
      </c>
      <c r="E98">
        <v>86.008838964139841</v>
      </c>
      <c r="F98">
        <v>86.437497228684805</v>
      </c>
      <c r="G98">
        <v>86.795829790155494</v>
      </c>
      <c r="H98">
        <v>87.091555618035059</v>
      </c>
      <c r="I98">
        <v>87.397172217686233</v>
      </c>
      <c r="J98">
        <v>87.642891408877773</v>
      </c>
      <c r="K98">
        <v>87.886288517845799</v>
      </c>
      <c r="L98">
        <v>88.124554203252387</v>
      </c>
      <c r="M98">
        <v>88.342719438350699</v>
      </c>
      <c r="N98">
        <v>88.560975215971723</v>
      </c>
      <c r="O98">
        <v>88.758114978802084</v>
      </c>
      <c r="P98">
        <v>88.959892696988177</v>
      </c>
      <c r="Q98">
        <v>89.199900429974832</v>
      </c>
      <c r="R98">
        <v>89.400718149101976</v>
      </c>
      <c r="S98">
        <v>89.555053807284068</v>
      </c>
      <c r="T98">
        <v>89.72013946891424</v>
      </c>
      <c r="U98">
        <v>89.851836192436451</v>
      </c>
      <c r="V98">
        <v>90.010735592612605</v>
      </c>
      <c r="W98">
        <v>90.12534456247883</v>
      </c>
      <c r="X98">
        <v>90.264425828796064</v>
      </c>
      <c r="Y98">
        <v>90.38734153067719</v>
      </c>
      <c r="Z98">
        <v>90.491345799404542</v>
      </c>
      <c r="AA98">
        <v>90.612788540279666</v>
      </c>
      <c r="AB98">
        <v>90.752215367936969</v>
      </c>
      <c r="AC98">
        <v>90.903787112398504</v>
      </c>
      <c r="AD98">
        <v>91.012512777452187</v>
      </c>
      <c r="AE98">
        <v>91.109533179717104</v>
      </c>
      <c r="AF98">
        <v>91.204846159244823</v>
      </c>
      <c r="AG98">
        <v>91.31713908638153</v>
      </c>
      <c r="AH98">
        <v>91.439499104281609</v>
      </c>
      <c r="AI98">
        <v>91.548640298177929</v>
      </c>
      <c r="AJ98">
        <v>91.683782880242845</v>
      </c>
      <c r="AK98">
        <v>91.801589909824628</v>
      </c>
      <c r="AL98">
        <v>91.914349355871366</v>
      </c>
      <c r="AM98">
        <v>92.026381345627215</v>
      </c>
      <c r="AN98">
        <v>92.143059180465812</v>
      </c>
      <c r="AO98">
        <v>92.240447895258029</v>
      </c>
      <c r="AP98">
        <v>92.332239831956912</v>
      </c>
      <c r="AQ98">
        <v>92.428294790765563</v>
      </c>
      <c r="AR98">
        <v>92.502827184602296</v>
      </c>
      <c r="AS98">
        <v>92.606218501842292</v>
      </c>
      <c r="AT98">
        <v>92.678151542915174</v>
      </c>
      <c r="AU98">
        <v>92.776940817742201</v>
      </c>
      <c r="AV98">
        <v>92.862534906112273</v>
      </c>
      <c r="AW98">
        <v>92.94957778031339</v>
      </c>
      <c r="AX98">
        <v>93.023902972538792</v>
      </c>
      <c r="AY98">
        <v>93.108634215258832</v>
      </c>
      <c r="AZ98">
        <v>93.193899299894127</v>
      </c>
      <c r="BA98">
        <v>93.270755649975285</v>
      </c>
      <c r="BB98">
        <v>93.366231079414192</v>
      </c>
      <c r="BC98">
        <v>93.45854745758237</v>
      </c>
      <c r="BD98">
        <v>93.542682947054047</v>
      </c>
      <c r="BE98">
        <v>93.647577096653976</v>
      </c>
      <c r="BF98">
        <v>93.740669967000272</v>
      </c>
      <c r="BG98">
        <v>93.846890993315924</v>
      </c>
      <c r="BH98">
        <v>93.949085098820774</v>
      </c>
      <c r="BI98">
        <v>94.045424922932014</v>
      </c>
      <c r="BJ98">
        <v>94.138911466041506</v>
      </c>
      <c r="BK98">
        <v>94.235505245132003</v>
      </c>
      <c r="BL98">
        <v>94.337943271689142</v>
      </c>
      <c r="BM98">
        <v>94.411056681902338</v>
      </c>
      <c r="BN98">
        <v>94.507435512042321</v>
      </c>
      <c r="BO98">
        <v>94.604100217557416</v>
      </c>
      <c r="BP98">
        <v>94.682708196544226</v>
      </c>
      <c r="BQ98">
        <v>94.783681172515401</v>
      </c>
      <c r="BR98">
        <v>94.884484544776271</v>
      </c>
      <c r="BS98">
        <v>94.963024014732184</v>
      </c>
      <c r="BT98">
        <v>95.044031016685011</v>
      </c>
      <c r="BU98">
        <v>95.150245479034567</v>
      </c>
      <c r="BV98">
        <v>95.268543762560967</v>
      </c>
      <c r="BW98">
        <v>95.37557922099225</v>
      </c>
      <c r="BX98">
        <v>95.469441449528219</v>
      </c>
      <c r="BY98">
        <v>95.582090863634875</v>
      </c>
      <c r="BZ98">
        <v>95.700717440335367</v>
      </c>
      <c r="CA98">
        <v>95.779958365547927</v>
      </c>
      <c r="CB98">
        <v>95.906677537212204</v>
      </c>
      <c r="CC98">
        <v>96.002254309561465</v>
      </c>
      <c r="CD98">
        <v>96.09268823553964</v>
      </c>
      <c r="CE98">
        <v>96.212766541456133</v>
      </c>
      <c r="CF98">
        <v>96.327597538052302</v>
      </c>
      <c r="CG98">
        <v>96.43677036463643</v>
      </c>
      <c r="CH98">
        <v>96.510144086490385</v>
      </c>
      <c r="CI98">
        <v>96.618079403452697</v>
      </c>
      <c r="CJ98">
        <v>96.718343365357526</v>
      </c>
      <c r="CK98">
        <v>96.826606123987432</v>
      </c>
      <c r="CL98">
        <v>96.954492600440801</v>
      </c>
      <c r="CM98">
        <v>97.04398742427685</v>
      </c>
      <c r="CN98">
        <v>97.169089262748187</v>
      </c>
      <c r="CO98">
        <v>97.305697872740325</v>
      </c>
      <c r="CP98">
        <v>97.410472573442135</v>
      </c>
      <c r="CQ98">
        <v>97.523972764022304</v>
      </c>
      <c r="CR98">
        <v>97.630347467716561</v>
      </c>
      <c r="CS98">
        <v>97.739954267569004</v>
      </c>
      <c r="CT98">
        <v>97.843196688426715</v>
      </c>
      <c r="CU98">
        <v>97.963166828150264</v>
      </c>
      <c r="CV98">
        <v>98.075922845788341</v>
      </c>
      <c r="CW98">
        <v>98.194709425936566</v>
      </c>
      <c r="CX98">
        <v>98.308848769986639</v>
      </c>
      <c r="CY98">
        <v>98.445180166086075</v>
      </c>
      <c r="CZ98">
        <v>98.583221952610572</v>
      </c>
      <c r="DA98">
        <v>98.695710893513834</v>
      </c>
      <c r="DB98">
        <v>98.837115107654</v>
      </c>
      <c r="DC98">
        <v>98.981170873056286</v>
      </c>
      <c r="DD98">
        <v>99.087362527720472</v>
      </c>
      <c r="DE98">
        <v>99.200898922854833</v>
      </c>
      <c r="DF98">
        <v>99.319005305235976</v>
      </c>
      <c r="DG98">
        <v>99.429319184071957</v>
      </c>
      <c r="DH98">
        <v>99.544241364028125</v>
      </c>
      <c r="DI98">
        <v>99.673703056548831</v>
      </c>
      <c r="DJ98">
        <v>99.78702895893808</v>
      </c>
      <c r="DK98">
        <v>99.916020186809845</v>
      </c>
      <c r="DL98">
        <v>100.04246093063142</v>
      </c>
      <c r="DM98">
        <v>100.16187352776058</v>
      </c>
      <c r="DN98">
        <v>100.30973725082038</v>
      </c>
      <c r="DO98">
        <v>100.43008638565327</v>
      </c>
      <c r="DP98">
        <v>100.5862913249847</v>
      </c>
      <c r="DQ98">
        <v>100.7011305637579</v>
      </c>
      <c r="DR98">
        <v>100.81150552241458</v>
      </c>
      <c r="DS98">
        <v>100.95898140955256</v>
      </c>
      <c r="DT98">
        <v>101.06989610581373</v>
      </c>
      <c r="DU98">
        <v>101.25727154132994</v>
      </c>
      <c r="DV98">
        <v>101.37519321235371</v>
      </c>
      <c r="DW98">
        <v>101.48619878648212</v>
      </c>
      <c r="DX98">
        <v>101.63444619375841</v>
      </c>
      <c r="DY98">
        <v>101.79386746007191</v>
      </c>
      <c r="DZ98">
        <v>101.93778652823467</v>
      </c>
      <c r="EA98">
        <v>102.15779497656513</v>
      </c>
      <c r="EB98">
        <v>102.32079424359792</v>
      </c>
      <c r="EC98">
        <v>102.44434110630068</v>
      </c>
      <c r="ED98">
        <v>102.61929195115822</v>
      </c>
      <c r="EE98">
        <v>102.83927106256047</v>
      </c>
      <c r="EF98">
        <v>103.02320500701609</v>
      </c>
      <c r="EG98">
        <v>103.17009554280421</v>
      </c>
      <c r="EH98">
        <v>103.32251473764654</v>
      </c>
      <c r="EI98">
        <v>103.51101076061617</v>
      </c>
      <c r="EJ98">
        <v>103.67609245681814</v>
      </c>
      <c r="EK98">
        <v>103.85095018215671</v>
      </c>
      <c r="EL98">
        <v>104.0506583408107</v>
      </c>
      <c r="EM98">
        <v>104.25965562805808</v>
      </c>
      <c r="EN98">
        <v>104.46270729803815</v>
      </c>
      <c r="EO98">
        <v>104.7016640527041</v>
      </c>
      <c r="EP98">
        <v>104.91616567323778</v>
      </c>
      <c r="EQ98">
        <v>105.15543828152992</v>
      </c>
      <c r="ER98">
        <v>105.39572648862824</v>
      </c>
      <c r="ES98">
        <v>105.60936818173066</v>
      </c>
      <c r="ET98">
        <v>105.85543480845308</v>
      </c>
      <c r="EU98">
        <v>106.07214354276435</v>
      </c>
      <c r="EV98">
        <v>106.3062688925333</v>
      </c>
      <c r="EW98">
        <v>106.52041438581149</v>
      </c>
      <c r="EX98">
        <v>106.77347744113042</v>
      </c>
      <c r="EY98">
        <v>107.08085415385493</v>
      </c>
      <c r="EZ98">
        <v>107.37011512472915</v>
      </c>
      <c r="FA98">
        <v>107.68621223336901</v>
      </c>
      <c r="FB98">
        <v>107.93320316174319</v>
      </c>
      <c r="FC98">
        <v>108.16277003677628</v>
      </c>
      <c r="FD98">
        <v>108.40272609472504</v>
      </c>
      <c r="FE98">
        <v>108.72641683243505</v>
      </c>
      <c r="FF98">
        <v>109.02229079043165</v>
      </c>
      <c r="FG98">
        <v>109.32010358869078</v>
      </c>
      <c r="FH98">
        <v>109.57601496456785</v>
      </c>
      <c r="FI98">
        <v>109.95359232683084</v>
      </c>
      <c r="FJ98">
        <v>110.31208212607062</v>
      </c>
      <c r="FK98">
        <v>110.57963730841783</v>
      </c>
      <c r="FL98">
        <v>110.89687878236447</v>
      </c>
      <c r="FM98">
        <v>111.3615046118627</v>
      </c>
      <c r="FN98">
        <v>111.80532113575727</v>
      </c>
      <c r="FO98">
        <v>112.21771700534512</v>
      </c>
      <c r="FP98">
        <v>112.6488827838549</v>
      </c>
      <c r="FQ98">
        <v>113.20519159221688</v>
      </c>
      <c r="FR98">
        <v>113.72320293044342</v>
      </c>
      <c r="FS98">
        <v>114.34267862311953</v>
      </c>
      <c r="FT98">
        <v>114.8287788541509</v>
      </c>
      <c r="FU98">
        <v>115.22936638262686</v>
      </c>
      <c r="FV98">
        <v>115.73485725998376</v>
      </c>
      <c r="FW98">
        <v>116.31475700383935</v>
      </c>
      <c r="FX98">
        <v>116.92605685012856</v>
      </c>
      <c r="FY98">
        <v>117.63417324449445</v>
      </c>
      <c r="FZ98">
        <v>118.24990969006282</v>
      </c>
      <c r="GA98">
        <v>119.06809489680631</v>
      </c>
      <c r="GB98">
        <v>120.07221785964717</v>
      </c>
      <c r="GC98">
        <v>120.86359641575544</v>
      </c>
      <c r="GD98">
        <v>121.7870496281032</v>
      </c>
      <c r="GE98">
        <v>122.71087295110225</v>
      </c>
      <c r="GF98">
        <v>123.67022282558703</v>
      </c>
      <c r="GG98">
        <v>125.02150215239848</v>
      </c>
      <c r="GH98">
        <v>126.38104030569794</v>
      </c>
      <c r="GI98">
        <v>128.58794438221156</v>
      </c>
      <c r="GJ98">
        <v>130.69107886637818</v>
      </c>
      <c r="GK98">
        <v>132.7064179453734</v>
      </c>
      <c r="GL98">
        <v>135.22619201238365</v>
      </c>
      <c r="GM98">
        <v>137.70187378189337</v>
      </c>
      <c r="GN98">
        <v>141.01823397060906</v>
      </c>
      <c r="GO98">
        <v>145.10890192514941</v>
      </c>
      <c r="GP98">
        <v>151.56526523132121</v>
      </c>
      <c r="GQ98">
        <v>161.01624985608595</v>
      </c>
      <c r="GR98">
        <v>101.41893867302362</v>
      </c>
      <c r="GT98" s="8">
        <v>45432</v>
      </c>
      <c r="GU98">
        <v>159.28</v>
      </c>
    </row>
    <row r="99" spans="1:203" x14ac:dyDescent="0.45">
      <c r="A99">
        <v>82.662035150536653</v>
      </c>
      <c r="B99">
        <v>84.048214984985293</v>
      </c>
      <c r="C99">
        <v>84.862433071703009</v>
      </c>
      <c r="D99">
        <v>85.4511648493922</v>
      </c>
      <c r="E99">
        <v>85.906229252390247</v>
      </c>
      <c r="F99">
        <v>86.424797265751096</v>
      </c>
      <c r="G99">
        <v>86.770786155342662</v>
      </c>
      <c r="H99">
        <v>87.129888043384867</v>
      </c>
      <c r="I99">
        <v>87.353083196218748</v>
      </c>
      <c r="J99">
        <v>87.670978256133381</v>
      </c>
      <c r="K99">
        <v>87.899310334525012</v>
      </c>
      <c r="L99">
        <v>88.15854907494483</v>
      </c>
      <c r="M99">
        <v>88.379331135488187</v>
      </c>
      <c r="N99">
        <v>88.563263844929779</v>
      </c>
      <c r="O99">
        <v>88.769510669694597</v>
      </c>
      <c r="P99">
        <v>88.963332742296203</v>
      </c>
      <c r="Q99">
        <v>89.200016908319157</v>
      </c>
      <c r="R99">
        <v>89.342185790934707</v>
      </c>
      <c r="S99">
        <v>89.491091648520822</v>
      </c>
      <c r="T99">
        <v>89.651664066521931</v>
      </c>
      <c r="U99">
        <v>89.794989602848148</v>
      </c>
      <c r="V99">
        <v>89.923937653933621</v>
      </c>
      <c r="W99">
        <v>90.088772348553476</v>
      </c>
      <c r="X99">
        <v>90.240595580861182</v>
      </c>
      <c r="Y99">
        <v>90.336772883300938</v>
      </c>
      <c r="Z99">
        <v>90.445391225404634</v>
      </c>
      <c r="AA99">
        <v>90.553768147342893</v>
      </c>
      <c r="AB99">
        <v>90.688718258026242</v>
      </c>
      <c r="AC99">
        <v>90.820380660145403</v>
      </c>
      <c r="AD99">
        <v>90.914154255161165</v>
      </c>
      <c r="AE99">
        <v>91.028230979204181</v>
      </c>
      <c r="AF99">
        <v>91.155368007422879</v>
      </c>
      <c r="AG99">
        <v>91.269257206203719</v>
      </c>
      <c r="AH99">
        <v>91.388052840478352</v>
      </c>
      <c r="AI99">
        <v>91.533497800128345</v>
      </c>
      <c r="AJ99">
        <v>91.626444638266918</v>
      </c>
      <c r="AK99">
        <v>91.733914364842249</v>
      </c>
      <c r="AL99">
        <v>91.876360218867347</v>
      </c>
      <c r="AM99">
        <v>91.990980497556095</v>
      </c>
      <c r="AN99">
        <v>92.083851168076947</v>
      </c>
      <c r="AO99">
        <v>92.20922793074466</v>
      </c>
      <c r="AP99">
        <v>92.30839623322332</v>
      </c>
      <c r="AQ99">
        <v>92.404089691235782</v>
      </c>
      <c r="AR99">
        <v>92.510629070349424</v>
      </c>
      <c r="AS99">
        <v>92.583965882180678</v>
      </c>
      <c r="AT99">
        <v>92.664079730334251</v>
      </c>
      <c r="AU99">
        <v>92.735736197829226</v>
      </c>
      <c r="AV99">
        <v>92.831115362341876</v>
      </c>
      <c r="AW99">
        <v>92.923774980298489</v>
      </c>
      <c r="AX99">
        <v>93.024611286972203</v>
      </c>
      <c r="AY99">
        <v>93.110916621790793</v>
      </c>
      <c r="AZ99">
        <v>93.194025064738042</v>
      </c>
      <c r="BA99">
        <v>93.301731692662159</v>
      </c>
      <c r="BB99">
        <v>93.407520739520436</v>
      </c>
      <c r="BC99">
        <v>93.508451058688266</v>
      </c>
      <c r="BD99">
        <v>93.602672902849662</v>
      </c>
      <c r="BE99">
        <v>93.687354214789437</v>
      </c>
      <c r="BF99">
        <v>93.791090128530143</v>
      </c>
      <c r="BG99">
        <v>93.869843333690014</v>
      </c>
      <c r="BH99">
        <v>93.945617926141438</v>
      </c>
      <c r="BI99">
        <v>94.050999646370869</v>
      </c>
      <c r="BJ99">
        <v>94.152314277284859</v>
      </c>
      <c r="BK99">
        <v>94.248225379496105</v>
      </c>
      <c r="BL99">
        <v>94.333226775077961</v>
      </c>
      <c r="BM99">
        <v>94.424463209141607</v>
      </c>
      <c r="BN99">
        <v>94.525228203642527</v>
      </c>
      <c r="BO99">
        <v>94.603306557640252</v>
      </c>
      <c r="BP99">
        <v>94.695860632091765</v>
      </c>
      <c r="BQ99">
        <v>94.78643143007713</v>
      </c>
      <c r="BR99">
        <v>94.867586591171005</v>
      </c>
      <c r="BS99">
        <v>94.9544149504259</v>
      </c>
      <c r="BT99">
        <v>95.056862730262949</v>
      </c>
      <c r="BU99">
        <v>95.147673101914108</v>
      </c>
      <c r="BV99">
        <v>95.248404078791793</v>
      </c>
      <c r="BW99">
        <v>95.350447320942834</v>
      </c>
      <c r="BX99">
        <v>95.450354392025645</v>
      </c>
      <c r="BY99">
        <v>95.5301780797177</v>
      </c>
      <c r="BZ99">
        <v>95.632831921162889</v>
      </c>
      <c r="CA99">
        <v>95.717484977221147</v>
      </c>
      <c r="CB99">
        <v>95.827484187949196</v>
      </c>
      <c r="CC99">
        <v>95.926613745145431</v>
      </c>
      <c r="CD99">
        <v>96.037950853476062</v>
      </c>
      <c r="CE99">
        <v>96.144186246614581</v>
      </c>
      <c r="CF99">
        <v>96.26281023974397</v>
      </c>
      <c r="CG99">
        <v>96.355380246853841</v>
      </c>
      <c r="CH99">
        <v>96.448113212453109</v>
      </c>
      <c r="CI99">
        <v>96.557565882699478</v>
      </c>
      <c r="CJ99">
        <v>96.662511937575957</v>
      </c>
      <c r="CK99">
        <v>96.736146887542446</v>
      </c>
      <c r="CL99">
        <v>96.85573044221708</v>
      </c>
      <c r="CM99">
        <v>96.968719791467265</v>
      </c>
      <c r="CN99">
        <v>97.124379545644302</v>
      </c>
      <c r="CO99">
        <v>97.260545618545308</v>
      </c>
      <c r="CP99">
        <v>97.363518428479907</v>
      </c>
      <c r="CQ99">
        <v>97.457135982942987</v>
      </c>
      <c r="CR99">
        <v>97.571251077462023</v>
      </c>
      <c r="CS99">
        <v>97.718554204322103</v>
      </c>
      <c r="CT99">
        <v>97.811260479271297</v>
      </c>
      <c r="CU99">
        <v>97.932040314442773</v>
      </c>
      <c r="CV99">
        <v>98.042312258734015</v>
      </c>
      <c r="CW99">
        <v>98.164079957741919</v>
      </c>
      <c r="CX99">
        <v>98.297081079232257</v>
      </c>
      <c r="CY99">
        <v>98.405214213457754</v>
      </c>
      <c r="CZ99">
        <v>98.549189172222697</v>
      </c>
      <c r="DA99">
        <v>98.683039876985006</v>
      </c>
      <c r="DB99">
        <v>98.815801217882353</v>
      </c>
      <c r="DC99">
        <v>98.962008773793173</v>
      </c>
      <c r="DD99">
        <v>99.105702459156845</v>
      </c>
      <c r="DE99">
        <v>99.246134289753059</v>
      </c>
      <c r="DF99">
        <v>99.40044741420293</v>
      </c>
      <c r="DG99">
        <v>99.526500990893553</v>
      </c>
      <c r="DH99">
        <v>99.653313196466556</v>
      </c>
      <c r="DI99">
        <v>99.773639865482821</v>
      </c>
      <c r="DJ99">
        <v>99.899232987507233</v>
      </c>
      <c r="DK99">
        <v>100.01148284997386</v>
      </c>
      <c r="DL99">
        <v>100.16123457230618</v>
      </c>
      <c r="DM99">
        <v>100.27592669033767</v>
      </c>
      <c r="DN99">
        <v>100.38078433315489</v>
      </c>
      <c r="DO99">
        <v>100.51747016389352</v>
      </c>
      <c r="DP99">
        <v>100.64464067861584</v>
      </c>
      <c r="DQ99">
        <v>100.78511414277736</v>
      </c>
      <c r="DR99">
        <v>100.92609228887696</v>
      </c>
      <c r="DS99">
        <v>101.02357467148543</v>
      </c>
      <c r="DT99">
        <v>101.13800888017342</v>
      </c>
      <c r="DU99">
        <v>101.25518998053272</v>
      </c>
      <c r="DV99">
        <v>101.40150615587129</v>
      </c>
      <c r="DW99">
        <v>101.52932292960772</v>
      </c>
      <c r="DX99">
        <v>101.70327258070786</v>
      </c>
      <c r="DY99">
        <v>101.85665646059026</v>
      </c>
      <c r="DZ99">
        <v>101.98210101964712</v>
      </c>
      <c r="EA99">
        <v>102.14292587713781</v>
      </c>
      <c r="EB99">
        <v>102.30675881060411</v>
      </c>
      <c r="EC99">
        <v>102.45226637000204</v>
      </c>
      <c r="ED99">
        <v>102.66146714733205</v>
      </c>
      <c r="EE99">
        <v>102.83548427662251</v>
      </c>
      <c r="EF99">
        <v>103.03542655438793</v>
      </c>
      <c r="EG99">
        <v>103.20176848734621</v>
      </c>
      <c r="EH99">
        <v>103.37578408586418</v>
      </c>
      <c r="EI99">
        <v>103.54218497637983</v>
      </c>
      <c r="EJ99">
        <v>103.74577500781704</v>
      </c>
      <c r="EK99">
        <v>103.91859007511829</v>
      </c>
      <c r="EL99">
        <v>104.15796917114174</v>
      </c>
      <c r="EM99">
        <v>104.32174307080429</v>
      </c>
      <c r="EN99">
        <v>104.48027099785627</v>
      </c>
      <c r="EO99">
        <v>104.6834078261883</v>
      </c>
      <c r="EP99">
        <v>104.90938454518026</v>
      </c>
      <c r="EQ99">
        <v>105.0837095009605</v>
      </c>
      <c r="ER99">
        <v>105.31414490013728</v>
      </c>
      <c r="ES99">
        <v>105.56748114734731</v>
      </c>
      <c r="ET99">
        <v>105.78849282023076</v>
      </c>
      <c r="EU99">
        <v>106.06985589177756</v>
      </c>
      <c r="EV99">
        <v>106.32401808806006</v>
      </c>
      <c r="EW99">
        <v>106.61498884068058</v>
      </c>
      <c r="EX99">
        <v>106.87678081077721</v>
      </c>
      <c r="EY99">
        <v>107.14903316531763</v>
      </c>
      <c r="EZ99">
        <v>107.41375938200116</v>
      </c>
      <c r="FA99">
        <v>107.71187367568828</v>
      </c>
      <c r="FB99">
        <v>107.9723064975739</v>
      </c>
      <c r="FC99">
        <v>108.29936279675456</v>
      </c>
      <c r="FD99">
        <v>108.55494940308995</v>
      </c>
      <c r="FE99">
        <v>108.89087395299556</v>
      </c>
      <c r="FF99">
        <v>109.14867599802425</v>
      </c>
      <c r="FG99">
        <v>109.42306357875937</v>
      </c>
      <c r="FH99">
        <v>109.72182472281311</v>
      </c>
      <c r="FI99">
        <v>110.00300574751965</v>
      </c>
      <c r="FJ99">
        <v>110.30400073010549</v>
      </c>
      <c r="FK99">
        <v>110.6566515995673</v>
      </c>
      <c r="FL99">
        <v>110.97560058594294</v>
      </c>
      <c r="FM99">
        <v>111.44661557394707</v>
      </c>
      <c r="FN99">
        <v>111.77415099929034</v>
      </c>
      <c r="FO99">
        <v>112.20217020815302</v>
      </c>
      <c r="FP99">
        <v>112.62812732645547</v>
      </c>
      <c r="FQ99">
        <v>113.19366793744686</v>
      </c>
      <c r="FR99">
        <v>113.63363148671873</v>
      </c>
      <c r="FS99">
        <v>114.16829231609532</v>
      </c>
      <c r="FT99">
        <v>114.63722694719594</v>
      </c>
      <c r="FU99">
        <v>115.17053203445577</v>
      </c>
      <c r="FV99">
        <v>115.8405306324569</v>
      </c>
      <c r="FW99">
        <v>116.46466195379766</v>
      </c>
      <c r="FX99">
        <v>117.11612916527469</v>
      </c>
      <c r="FY99">
        <v>117.5902218169564</v>
      </c>
      <c r="FZ99">
        <v>118.36311147425438</v>
      </c>
      <c r="GA99">
        <v>119.13569056078448</v>
      </c>
      <c r="GB99">
        <v>120.02389495803895</v>
      </c>
      <c r="GC99">
        <v>120.91206781154418</v>
      </c>
      <c r="GD99">
        <v>121.83850464614656</v>
      </c>
      <c r="GE99">
        <v>123.01746321273255</v>
      </c>
      <c r="GF99">
        <v>124.12495991542998</v>
      </c>
      <c r="GG99">
        <v>125.28719430792414</v>
      </c>
      <c r="GH99">
        <v>126.69456995641694</v>
      </c>
      <c r="GI99">
        <v>128.2779271106393</v>
      </c>
      <c r="GJ99">
        <v>130.05778190134347</v>
      </c>
      <c r="GK99">
        <v>132.24746520440786</v>
      </c>
      <c r="GL99">
        <v>134.84660277486012</v>
      </c>
      <c r="GM99">
        <v>137.70764552147219</v>
      </c>
      <c r="GN99">
        <v>141.48768227881618</v>
      </c>
      <c r="GO99">
        <v>145.03069230320517</v>
      </c>
      <c r="GP99">
        <v>152.03178159865919</v>
      </c>
      <c r="GQ99">
        <v>162.62388542696061</v>
      </c>
      <c r="GR99">
        <v>101.43199941484585</v>
      </c>
      <c r="GT99" s="8">
        <v>45433</v>
      </c>
      <c r="GU99">
        <v>161</v>
      </c>
    </row>
    <row r="100" spans="1:203" x14ac:dyDescent="0.45">
      <c r="A100">
        <v>82.842150148111784</v>
      </c>
      <c r="B100">
        <v>84.026689866279952</v>
      </c>
      <c r="C100">
        <v>84.793301797238854</v>
      </c>
      <c r="D100">
        <v>85.41367939994872</v>
      </c>
      <c r="E100">
        <v>85.943509986176437</v>
      </c>
      <c r="F100">
        <v>86.393223168733158</v>
      </c>
      <c r="G100">
        <v>86.757828111192111</v>
      </c>
      <c r="H100">
        <v>87.057704768432856</v>
      </c>
      <c r="I100">
        <v>87.364468915125343</v>
      </c>
      <c r="J100">
        <v>87.650235259846426</v>
      </c>
      <c r="K100">
        <v>87.881752676848023</v>
      </c>
      <c r="L100">
        <v>88.058020396518714</v>
      </c>
      <c r="M100">
        <v>88.297457827543994</v>
      </c>
      <c r="N100">
        <v>88.49888387455384</v>
      </c>
      <c r="O100">
        <v>88.699471866487926</v>
      </c>
      <c r="P100">
        <v>88.878631491177359</v>
      </c>
      <c r="Q100">
        <v>89.11114319448788</v>
      </c>
      <c r="R100">
        <v>89.279752883317485</v>
      </c>
      <c r="S100">
        <v>89.428153654156148</v>
      </c>
      <c r="T100">
        <v>89.602346282886259</v>
      </c>
      <c r="U100">
        <v>89.720450818786247</v>
      </c>
      <c r="V100">
        <v>89.890233351052146</v>
      </c>
      <c r="W100">
        <v>90.01046584736055</v>
      </c>
      <c r="X100">
        <v>90.135693097444587</v>
      </c>
      <c r="Y100">
        <v>90.248254072861997</v>
      </c>
      <c r="Z100">
        <v>90.352658585937718</v>
      </c>
      <c r="AA100">
        <v>90.460158346300602</v>
      </c>
      <c r="AB100">
        <v>90.606550254437138</v>
      </c>
      <c r="AC100">
        <v>90.725256488325286</v>
      </c>
      <c r="AD100">
        <v>90.899188507364244</v>
      </c>
      <c r="AE100">
        <v>91.004512977073617</v>
      </c>
      <c r="AF100">
        <v>91.080503602708603</v>
      </c>
      <c r="AG100">
        <v>91.206354317781603</v>
      </c>
      <c r="AH100">
        <v>91.354490928679681</v>
      </c>
      <c r="AI100">
        <v>91.486330176388108</v>
      </c>
      <c r="AJ100">
        <v>91.604835046284478</v>
      </c>
      <c r="AK100">
        <v>91.71998895873709</v>
      </c>
      <c r="AL100">
        <v>91.824281540378692</v>
      </c>
      <c r="AM100">
        <v>91.946751714296923</v>
      </c>
      <c r="AN100">
        <v>92.046286478057283</v>
      </c>
      <c r="AO100">
        <v>92.16070103853194</v>
      </c>
      <c r="AP100">
        <v>92.279104911113265</v>
      </c>
      <c r="AQ100">
        <v>92.365870374879151</v>
      </c>
      <c r="AR100">
        <v>92.471753170854754</v>
      </c>
      <c r="AS100">
        <v>92.585809959879896</v>
      </c>
      <c r="AT100">
        <v>92.665125207489112</v>
      </c>
      <c r="AU100">
        <v>92.750880470543777</v>
      </c>
      <c r="AV100">
        <v>92.829860110726429</v>
      </c>
      <c r="AW100">
        <v>92.906927102648311</v>
      </c>
      <c r="AX100">
        <v>93.006777333326198</v>
      </c>
      <c r="AY100">
        <v>93.131429724109253</v>
      </c>
      <c r="AZ100">
        <v>93.200734123189079</v>
      </c>
      <c r="BA100">
        <v>93.296548302106245</v>
      </c>
      <c r="BB100">
        <v>93.395559680074456</v>
      </c>
      <c r="BC100">
        <v>93.505469581743213</v>
      </c>
      <c r="BD100">
        <v>93.61870350584158</v>
      </c>
      <c r="BE100">
        <v>93.689313899005001</v>
      </c>
      <c r="BF100">
        <v>93.767199648647008</v>
      </c>
      <c r="BG100">
        <v>93.83633491617698</v>
      </c>
      <c r="BH100">
        <v>93.956548756724388</v>
      </c>
      <c r="BI100">
        <v>94.030948554607434</v>
      </c>
      <c r="BJ100">
        <v>94.118846642350391</v>
      </c>
      <c r="BK100">
        <v>94.216145763361567</v>
      </c>
      <c r="BL100">
        <v>94.300080371702492</v>
      </c>
      <c r="BM100">
        <v>94.386868393845035</v>
      </c>
      <c r="BN100">
        <v>94.463944499237613</v>
      </c>
      <c r="BO100">
        <v>94.549617338672377</v>
      </c>
      <c r="BP100">
        <v>94.631809879512673</v>
      </c>
      <c r="BQ100">
        <v>94.75037341853978</v>
      </c>
      <c r="BR100">
        <v>94.833411923076184</v>
      </c>
      <c r="BS100">
        <v>94.954498478012809</v>
      </c>
      <c r="BT100">
        <v>95.053707603818268</v>
      </c>
      <c r="BU100">
        <v>95.150046319976056</v>
      </c>
      <c r="BV100">
        <v>95.236032214159096</v>
      </c>
      <c r="BW100">
        <v>95.338384688604975</v>
      </c>
      <c r="BX100">
        <v>95.44796386506485</v>
      </c>
      <c r="BY100">
        <v>95.541325408774568</v>
      </c>
      <c r="BZ100">
        <v>95.635082306528304</v>
      </c>
      <c r="CA100">
        <v>95.747653893113721</v>
      </c>
      <c r="CB100">
        <v>95.860109282666485</v>
      </c>
      <c r="CC100">
        <v>95.955616180082686</v>
      </c>
      <c r="CD100">
        <v>96.04733524509966</v>
      </c>
      <c r="CE100">
        <v>96.154348871397545</v>
      </c>
      <c r="CF100">
        <v>96.252044300967071</v>
      </c>
      <c r="CG100">
        <v>96.349794514635221</v>
      </c>
      <c r="CH100">
        <v>96.451276914131554</v>
      </c>
      <c r="CI100">
        <v>96.554797441954236</v>
      </c>
      <c r="CJ100">
        <v>96.655133796173871</v>
      </c>
      <c r="CK100">
        <v>96.757847423975051</v>
      </c>
      <c r="CL100">
        <v>96.86035347536793</v>
      </c>
      <c r="CM100">
        <v>96.9853301226497</v>
      </c>
      <c r="CN100">
        <v>97.12781920675107</v>
      </c>
      <c r="CO100">
        <v>97.237090751354046</v>
      </c>
      <c r="CP100">
        <v>97.341003689401361</v>
      </c>
      <c r="CQ100">
        <v>97.474336120642562</v>
      </c>
      <c r="CR100">
        <v>97.608797599273061</v>
      </c>
      <c r="CS100">
        <v>97.738645100477171</v>
      </c>
      <c r="CT100">
        <v>97.859747711076807</v>
      </c>
      <c r="CU100">
        <v>97.987957593170904</v>
      </c>
      <c r="CV100">
        <v>98.119149168757374</v>
      </c>
      <c r="CW100">
        <v>98.23143554132001</v>
      </c>
      <c r="CX100">
        <v>98.349119750472823</v>
      </c>
      <c r="CY100">
        <v>98.482210201464056</v>
      </c>
      <c r="CZ100">
        <v>98.601562119390479</v>
      </c>
      <c r="DA100">
        <v>98.705931085878078</v>
      </c>
      <c r="DB100">
        <v>98.837094576298966</v>
      </c>
      <c r="DC100">
        <v>98.96931244620454</v>
      </c>
      <c r="DD100">
        <v>99.081552710658897</v>
      </c>
      <c r="DE100">
        <v>99.213201805985562</v>
      </c>
      <c r="DF100">
        <v>99.318295059753595</v>
      </c>
      <c r="DG100">
        <v>99.464684749135984</v>
      </c>
      <c r="DH100">
        <v>99.60408652719525</v>
      </c>
      <c r="DI100">
        <v>99.712268372432732</v>
      </c>
      <c r="DJ100">
        <v>99.846960258699298</v>
      </c>
      <c r="DK100">
        <v>99.975352713268876</v>
      </c>
      <c r="DL100">
        <v>100.10184915408898</v>
      </c>
      <c r="DM100">
        <v>100.2508439506942</v>
      </c>
      <c r="DN100">
        <v>100.41223322232263</v>
      </c>
      <c r="DO100">
        <v>100.54596008830499</v>
      </c>
      <c r="DP100">
        <v>100.66749808746661</v>
      </c>
      <c r="DQ100">
        <v>100.79474375092961</v>
      </c>
      <c r="DR100">
        <v>100.95579619937192</v>
      </c>
      <c r="DS100">
        <v>101.0772565195374</v>
      </c>
      <c r="DT100">
        <v>101.19495473312972</v>
      </c>
      <c r="DU100">
        <v>101.37221916895396</v>
      </c>
      <c r="DV100">
        <v>101.49604870399386</v>
      </c>
      <c r="DW100">
        <v>101.63404365070937</v>
      </c>
      <c r="DX100">
        <v>101.76418158110864</v>
      </c>
      <c r="DY100">
        <v>101.89891377094814</v>
      </c>
      <c r="DZ100">
        <v>102.03373691845492</v>
      </c>
      <c r="EA100">
        <v>102.16580860886639</v>
      </c>
      <c r="EB100">
        <v>102.31967622777806</v>
      </c>
      <c r="EC100">
        <v>102.47426473083773</v>
      </c>
      <c r="ED100">
        <v>102.62311375447443</v>
      </c>
      <c r="EE100">
        <v>102.81478846007568</v>
      </c>
      <c r="EF100">
        <v>102.99946352058271</v>
      </c>
      <c r="EG100">
        <v>103.1861203769911</v>
      </c>
      <c r="EH100">
        <v>103.37862597631819</v>
      </c>
      <c r="EI100">
        <v>103.57916701757331</v>
      </c>
      <c r="EJ100">
        <v>103.7630378298883</v>
      </c>
      <c r="EK100">
        <v>103.92667150664849</v>
      </c>
      <c r="EL100">
        <v>104.09922318018296</v>
      </c>
      <c r="EM100">
        <v>104.3113840129097</v>
      </c>
      <c r="EN100">
        <v>104.50651975853475</v>
      </c>
      <c r="EO100">
        <v>104.7347836754408</v>
      </c>
      <c r="EP100">
        <v>104.93998281735436</v>
      </c>
      <c r="EQ100">
        <v>105.17896736228973</v>
      </c>
      <c r="ER100">
        <v>105.40340421619543</v>
      </c>
      <c r="ES100">
        <v>105.62248649400212</v>
      </c>
      <c r="ET100">
        <v>105.84210749821322</v>
      </c>
      <c r="EU100">
        <v>106.06985271519461</v>
      </c>
      <c r="EV100">
        <v>106.32391754766977</v>
      </c>
      <c r="EW100">
        <v>106.6274059139155</v>
      </c>
      <c r="EX100">
        <v>106.87700300668084</v>
      </c>
      <c r="EY100">
        <v>107.13332610549162</v>
      </c>
      <c r="EZ100">
        <v>107.39862474820644</v>
      </c>
      <c r="FA100">
        <v>107.62414387149107</v>
      </c>
      <c r="FB100">
        <v>107.91777178489613</v>
      </c>
      <c r="FC100">
        <v>108.27599345950014</v>
      </c>
      <c r="FD100">
        <v>108.59015871506941</v>
      </c>
      <c r="FE100">
        <v>108.85707317208058</v>
      </c>
      <c r="FF100">
        <v>109.17515990682433</v>
      </c>
      <c r="FG100">
        <v>109.45821949030127</v>
      </c>
      <c r="FH100">
        <v>109.75855886494004</v>
      </c>
      <c r="FI100">
        <v>110.09805267187713</v>
      </c>
      <c r="FJ100">
        <v>110.42657912268047</v>
      </c>
      <c r="FK100">
        <v>110.75814733115533</v>
      </c>
      <c r="FL100">
        <v>111.19902360365838</v>
      </c>
      <c r="FM100">
        <v>111.51665683501577</v>
      </c>
      <c r="FN100">
        <v>111.87533946732134</v>
      </c>
      <c r="FO100">
        <v>112.33870610318367</v>
      </c>
      <c r="FP100">
        <v>112.73177592710361</v>
      </c>
      <c r="FQ100">
        <v>113.28884625619763</v>
      </c>
      <c r="FR100">
        <v>113.85665195180151</v>
      </c>
      <c r="FS100">
        <v>114.25001016244281</v>
      </c>
      <c r="FT100">
        <v>114.7811726353421</v>
      </c>
      <c r="FU100">
        <v>115.33408949410548</v>
      </c>
      <c r="FV100">
        <v>115.90355845197182</v>
      </c>
      <c r="FW100">
        <v>116.51414815760283</v>
      </c>
      <c r="FX100">
        <v>117.22719469574764</v>
      </c>
      <c r="FY100">
        <v>117.9037529248771</v>
      </c>
      <c r="FZ100">
        <v>118.53912554591695</v>
      </c>
      <c r="GA100">
        <v>119.35481582798398</v>
      </c>
      <c r="GB100">
        <v>120.10066454164941</v>
      </c>
      <c r="GC100">
        <v>120.9403494930814</v>
      </c>
      <c r="GD100">
        <v>121.79693811416223</v>
      </c>
      <c r="GE100">
        <v>122.75253218134567</v>
      </c>
      <c r="GF100">
        <v>123.7648447723885</v>
      </c>
      <c r="GG100">
        <v>124.90803773211567</v>
      </c>
      <c r="GH100">
        <v>126.21969992605183</v>
      </c>
      <c r="GI100">
        <v>128.50635615768283</v>
      </c>
      <c r="GJ100">
        <v>130.17811311466752</v>
      </c>
      <c r="GK100">
        <v>132.52372403643992</v>
      </c>
      <c r="GL100">
        <v>134.90990112939417</v>
      </c>
      <c r="GM100">
        <v>138.25099526064838</v>
      </c>
      <c r="GN100">
        <v>141.54629862408788</v>
      </c>
      <c r="GO100">
        <v>145.93501110018036</v>
      </c>
      <c r="GP100">
        <v>152.07332720026949</v>
      </c>
      <c r="GQ100">
        <v>162.61045494025353</v>
      </c>
      <c r="GR100">
        <v>101.45224780439669</v>
      </c>
      <c r="GT100" s="8">
        <v>45434</v>
      </c>
      <c r="GU100">
        <v>160.81</v>
      </c>
    </row>
    <row r="101" spans="1:203" x14ac:dyDescent="0.45">
      <c r="A101">
        <v>82.6538006902787</v>
      </c>
      <c r="B101">
        <v>83.80796385524647</v>
      </c>
      <c r="C101">
        <v>84.753427549311368</v>
      </c>
      <c r="D101">
        <v>85.398327152519997</v>
      </c>
      <c r="E101">
        <v>85.821821637775486</v>
      </c>
      <c r="F101">
        <v>86.263009519627047</v>
      </c>
      <c r="G101">
        <v>86.645124352785345</v>
      </c>
      <c r="H101">
        <v>86.972877890713363</v>
      </c>
      <c r="I101">
        <v>87.308298108330504</v>
      </c>
      <c r="J101">
        <v>87.542696996661761</v>
      </c>
      <c r="K101">
        <v>87.759143846333473</v>
      </c>
      <c r="L101">
        <v>87.985168448798774</v>
      </c>
      <c r="M101">
        <v>88.21724160924424</v>
      </c>
      <c r="N101">
        <v>88.411679630478645</v>
      </c>
      <c r="O101">
        <v>88.588859699644246</v>
      </c>
      <c r="P101">
        <v>88.831345429867639</v>
      </c>
      <c r="Q101">
        <v>89.05948837126995</v>
      </c>
      <c r="R101">
        <v>89.227802387373359</v>
      </c>
      <c r="S101">
        <v>89.407297676818658</v>
      </c>
      <c r="T101">
        <v>89.594005519541327</v>
      </c>
      <c r="U101">
        <v>89.734948083173038</v>
      </c>
      <c r="V101">
        <v>89.851556488248491</v>
      </c>
      <c r="W101">
        <v>89.976374336274574</v>
      </c>
      <c r="X101">
        <v>90.139235689382872</v>
      </c>
      <c r="Y101">
        <v>90.274999823579819</v>
      </c>
      <c r="Z101">
        <v>90.393917552277401</v>
      </c>
      <c r="AA101">
        <v>90.511271328502318</v>
      </c>
      <c r="AB101">
        <v>90.621326095051543</v>
      </c>
      <c r="AC101">
        <v>90.730219131513323</v>
      </c>
      <c r="AD101">
        <v>90.861314788407157</v>
      </c>
      <c r="AE101">
        <v>90.973405412756094</v>
      </c>
      <c r="AF101">
        <v>91.10082615539379</v>
      </c>
      <c r="AG101">
        <v>91.215562244968126</v>
      </c>
      <c r="AH101">
        <v>91.363035270628757</v>
      </c>
      <c r="AI101">
        <v>91.469435090221396</v>
      </c>
      <c r="AJ101">
        <v>91.56520094032868</v>
      </c>
      <c r="AK101">
        <v>91.678016125904108</v>
      </c>
      <c r="AL101">
        <v>91.780469771492534</v>
      </c>
      <c r="AM101">
        <v>91.879717897789689</v>
      </c>
      <c r="AN101">
        <v>91.979119214493693</v>
      </c>
      <c r="AO101">
        <v>92.080142270708976</v>
      </c>
      <c r="AP101">
        <v>92.19437443747421</v>
      </c>
      <c r="AQ101">
        <v>92.309591037792643</v>
      </c>
      <c r="AR101">
        <v>92.424455977076633</v>
      </c>
      <c r="AS101">
        <v>92.527262166357687</v>
      </c>
      <c r="AT101">
        <v>92.613613882769712</v>
      </c>
      <c r="AU101">
        <v>92.700371140916872</v>
      </c>
      <c r="AV101">
        <v>92.78663711393294</v>
      </c>
      <c r="AW101">
        <v>92.880396470886822</v>
      </c>
      <c r="AX101">
        <v>92.965806405513888</v>
      </c>
      <c r="AY101">
        <v>93.052302145534682</v>
      </c>
      <c r="AZ101">
        <v>93.147991106539379</v>
      </c>
      <c r="BA101">
        <v>93.252453666000235</v>
      </c>
      <c r="BB101">
        <v>93.344158407505049</v>
      </c>
      <c r="BC101">
        <v>93.433448919983192</v>
      </c>
      <c r="BD101">
        <v>93.519550766014859</v>
      </c>
      <c r="BE101">
        <v>93.616289090835295</v>
      </c>
      <c r="BF101">
        <v>93.707130778202583</v>
      </c>
      <c r="BG101">
        <v>93.816813074040795</v>
      </c>
      <c r="BH101">
        <v>93.904367368999345</v>
      </c>
      <c r="BI101">
        <v>93.987425386025294</v>
      </c>
      <c r="BJ101">
        <v>94.089276004202802</v>
      </c>
      <c r="BK101">
        <v>94.166993840217444</v>
      </c>
      <c r="BL101">
        <v>94.276151190500514</v>
      </c>
      <c r="BM101">
        <v>94.358366745053345</v>
      </c>
      <c r="BN101">
        <v>94.460992422269982</v>
      </c>
      <c r="BO101">
        <v>94.541065304867232</v>
      </c>
      <c r="BP101">
        <v>94.644972457753127</v>
      </c>
      <c r="BQ101">
        <v>94.720475690169593</v>
      </c>
      <c r="BR101">
        <v>94.797222251709258</v>
      </c>
      <c r="BS101">
        <v>94.903214338400161</v>
      </c>
      <c r="BT101">
        <v>95.000660044703309</v>
      </c>
      <c r="BU101">
        <v>95.099538288917628</v>
      </c>
      <c r="BV101">
        <v>95.193218199494396</v>
      </c>
      <c r="BW101">
        <v>95.298793804284671</v>
      </c>
      <c r="BX101">
        <v>95.374086822959583</v>
      </c>
      <c r="BY101">
        <v>95.49007598809736</v>
      </c>
      <c r="BZ101">
        <v>95.58894104594934</v>
      </c>
      <c r="CA101">
        <v>95.699773410163317</v>
      </c>
      <c r="CB101">
        <v>95.780914057274614</v>
      </c>
      <c r="CC101">
        <v>95.889499336698094</v>
      </c>
      <c r="CD101">
        <v>96.022626064325365</v>
      </c>
      <c r="CE101">
        <v>96.125327216285413</v>
      </c>
      <c r="CF101">
        <v>96.240343415316659</v>
      </c>
      <c r="CG101">
        <v>96.343577901037847</v>
      </c>
      <c r="CH101">
        <v>96.437957032426894</v>
      </c>
      <c r="CI101">
        <v>96.531462307438829</v>
      </c>
      <c r="CJ101">
        <v>96.631154481381444</v>
      </c>
      <c r="CK101">
        <v>96.737742471171302</v>
      </c>
      <c r="CL101">
        <v>96.83674549244104</v>
      </c>
      <c r="CM101">
        <v>96.975422714973902</v>
      </c>
      <c r="CN101">
        <v>97.12398033337881</v>
      </c>
      <c r="CO101">
        <v>97.220428485486281</v>
      </c>
      <c r="CP101">
        <v>97.357756204889341</v>
      </c>
      <c r="CQ101">
        <v>97.477071144420279</v>
      </c>
      <c r="CR101">
        <v>97.6092140640677</v>
      </c>
      <c r="CS101">
        <v>97.706387684847286</v>
      </c>
      <c r="CT101">
        <v>97.830267100437553</v>
      </c>
      <c r="CU101">
        <v>97.954531249105273</v>
      </c>
      <c r="CV101">
        <v>98.05042441372872</v>
      </c>
      <c r="CW101">
        <v>98.185327634178833</v>
      </c>
      <c r="CX101">
        <v>98.316524687910771</v>
      </c>
      <c r="CY101">
        <v>98.444124230158835</v>
      </c>
      <c r="CZ101">
        <v>98.557134845960505</v>
      </c>
      <c r="DA101">
        <v>98.711074073287122</v>
      </c>
      <c r="DB101">
        <v>98.796043119518501</v>
      </c>
      <c r="DC101">
        <v>98.911472184519425</v>
      </c>
      <c r="DD101">
        <v>99.041393213761808</v>
      </c>
      <c r="DE101">
        <v>99.149633678872661</v>
      </c>
      <c r="DF101">
        <v>99.258945921346736</v>
      </c>
      <c r="DG101">
        <v>99.36765013188085</v>
      </c>
      <c r="DH101">
        <v>99.51849524823912</v>
      </c>
      <c r="DI101">
        <v>99.640971450409566</v>
      </c>
      <c r="DJ101">
        <v>99.745263011878635</v>
      </c>
      <c r="DK101">
        <v>99.898546697698578</v>
      </c>
      <c r="DL101">
        <v>100.04890762682385</v>
      </c>
      <c r="DM101">
        <v>100.17299653498418</v>
      </c>
      <c r="DN101">
        <v>100.34268650205007</v>
      </c>
      <c r="DO101">
        <v>100.49319698871736</v>
      </c>
      <c r="DP101">
        <v>100.62250145409115</v>
      </c>
      <c r="DQ101">
        <v>100.77726377684176</v>
      </c>
      <c r="DR101">
        <v>100.92680707550049</v>
      </c>
      <c r="DS101">
        <v>101.059846882423</v>
      </c>
      <c r="DT101">
        <v>101.17937238612004</v>
      </c>
      <c r="DU101">
        <v>101.32039010879086</v>
      </c>
      <c r="DV101">
        <v>101.45231139230913</v>
      </c>
      <c r="DW101">
        <v>101.5743745480183</v>
      </c>
      <c r="DX101">
        <v>101.75304320074785</v>
      </c>
      <c r="DY101">
        <v>101.92075992398063</v>
      </c>
      <c r="DZ101">
        <v>102.07421757186674</v>
      </c>
      <c r="EA101">
        <v>102.24399069027913</v>
      </c>
      <c r="EB101">
        <v>102.3891165200295</v>
      </c>
      <c r="EC101">
        <v>102.5138912893588</v>
      </c>
      <c r="ED101">
        <v>102.68772393773237</v>
      </c>
      <c r="EE101">
        <v>102.86202639142319</v>
      </c>
      <c r="EF101">
        <v>103.0146670478476</v>
      </c>
      <c r="EG101">
        <v>103.16242020526443</v>
      </c>
      <c r="EH101">
        <v>103.35638420163079</v>
      </c>
      <c r="EI101">
        <v>103.52555558183474</v>
      </c>
      <c r="EJ101">
        <v>103.73515029275187</v>
      </c>
      <c r="EK101">
        <v>103.94372557418832</v>
      </c>
      <c r="EL101">
        <v>104.16064726440371</v>
      </c>
      <c r="EM101">
        <v>104.32087810360196</v>
      </c>
      <c r="EN101">
        <v>104.54323780271352</v>
      </c>
      <c r="EO101">
        <v>104.73117329205351</v>
      </c>
      <c r="EP101">
        <v>104.95882430336427</v>
      </c>
      <c r="EQ101">
        <v>105.21022562389969</v>
      </c>
      <c r="ER101">
        <v>105.42092374243627</v>
      </c>
      <c r="ES101">
        <v>105.71496855046779</v>
      </c>
      <c r="ET101">
        <v>105.94498232039398</v>
      </c>
      <c r="EU101">
        <v>106.17023611132531</v>
      </c>
      <c r="EV101">
        <v>106.41018698725271</v>
      </c>
      <c r="EW101">
        <v>106.65880625270793</v>
      </c>
      <c r="EX101">
        <v>106.92846723209173</v>
      </c>
      <c r="EY101">
        <v>107.1849362467682</v>
      </c>
      <c r="EZ101">
        <v>107.43133578172073</v>
      </c>
      <c r="FA101">
        <v>107.66121824414655</v>
      </c>
      <c r="FB101">
        <v>107.89902213840689</v>
      </c>
      <c r="FC101">
        <v>108.17595492348673</v>
      </c>
      <c r="FD101">
        <v>108.49467785413252</v>
      </c>
      <c r="FE101">
        <v>108.83277192498488</v>
      </c>
      <c r="FF101">
        <v>109.14920668959739</v>
      </c>
      <c r="FG101">
        <v>109.44309418526736</v>
      </c>
      <c r="FH101">
        <v>109.70801242114696</v>
      </c>
      <c r="FI101">
        <v>110.06575501860567</v>
      </c>
      <c r="FJ101">
        <v>110.33495490920254</v>
      </c>
      <c r="FK101">
        <v>110.73150435575934</v>
      </c>
      <c r="FL101">
        <v>111.0772262574572</v>
      </c>
      <c r="FM101">
        <v>111.53999157842378</v>
      </c>
      <c r="FN101">
        <v>111.89625048755184</v>
      </c>
      <c r="FO101">
        <v>112.27909705386369</v>
      </c>
      <c r="FP101">
        <v>112.7456870580376</v>
      </c>
      <c r="FQ101">
        <v>113.1544545627772</v>
      </c>
      <c r="FR101">
        <v>113.66933096807033</v>
      </c>
      <c r="FS101">
        <v>114.30902141693385</v>
      </c>
      <c r="FT101">
        <v>114.92692152971087</v>
      </c>
      <c r="FU101">
        <v>115.38973644610714</v>
      </c>
      <c r="FV101">
        <v>116.08503314280986</v>
      </c>
      <c r="FW101">
        <v>116.50185254595816</v>
      </c>
      <c r="FX101">
        <v>117.1390410559605</v>
      </c>
      <c r="FY101">
        <v>117.77063079546775</v>
      </c>
      <c r="FZ101">
        <v>118.63340604933727</v>
      </c>
      <c r="GA101">
        <v>119.44139854773323</v>
      </c>
      <c r="GB101">
        <v>120.15259063967139</v>
      </c>
      <c r="GC101">
        <v>120.88183966548968</v>
      </c>
      <c r="GD101">
        <v>121.72939546115785</v>
      </c>
      <c r="GE101">
        <v>122.65895485203504</v>
      </c>
      <c r="GF101">
        <v>123.70995548508921</v>
      </c>
      <c r="GG101">
        <v>124.69865881685752</v>
      </c>
      <c r="GH101">
        <v>126.35438454828792</v>
      </c>
      <c r="GI101">
        <v>128.02532304413461</v>
      </c>
      <c r="GJ101">
        <v>130.07227718740995</v>
      </c>
      <c r="GK101">
        <v>132.45589355685547</v>
      </c>
      <c r="GL101">
        <v>135.24475355383638</v>
      </c>
      <c r="GM101">
        <v>138.42140976537809</v>
      </c>
      <c r="GN101">
        <v>142.22136413869782</v>
      </c>
      <c r="GO101">
        <v>146.6306613029378</v>
      </c>
      <c r="GP101">
        <v>151.89695846058791</v>
      </c>
      <c r="GQ101">
        <v>165.2049608489466</v>
      </c>
      <c r="GR101">
        <v>101.42968429696673</v>
      </c>
      <c r="GT101" s="8">
        <v>45435</v>
      </c>
      <c r="GU101">
        <v>165.26</v>
      </c>
    </row>
    <row r="102" spans="1:203" x14ac:dyDescent="0.45">
      <c r="A102">
        <v>82.301464178502471</v>
      </c>
      <c r="B102">
        <v>83.815436660802206</v>
      </c>
      <c r="C102">
        <v>84.859487384272484</v>
      </c>
      <c r="D102">
        <v>85.38752069312433</v>
      </c>
      <c r="E102">
        <v>85.860991595532681</v>
      </c>
      <c r="F102">
        <v>86.300981207740605</v>
      </c>
      <c r="G102">
        <v>86.63575462277332</v>
      </c>
      <c r="H102">
        <v>86.949828554556689</v>
      </c>
      <c r="I102">
        <v>87.27888080092923</v>
      </c>
      <c r="J102">
        <v>87.545026968682038</v>
      </c>
      <c r="K102">
        <v>87.748554505256791</v>
      </c>
      <c r="L102">
        <v>87.9823931348039</v>
      </c>
      <c r="M102">
        <v>88.162336711189639</v>
      </c>
      <c r="N102">
        <v>88.375803130423307</v>
      </c>
      <c r="O102">
        <v>88.528526190545577</v>
      </c>
      <c r="P102">
        <v>88.711413991220908</v>
      </c>
      <c r="Q102">
        <v>88.945317622872722</v>
      </c>
      <c r="R102">
        <v>89.14387469687442</v>
      </c>
      <c r="S102">
        <v>89.30437189119634</v>
      </c>
      <c r="T102">
        <v>89.502744102269716</v>
      </c>
      <c r="U102">
        <v>89.670403009403771</v>
      </c>
      <c r="V102">
        <v>89.821553950172458</v>
      </c>
      <c r="W102">
        <v>89.962254871343887</v>
      </c>
      <c r="X102">
        <v>90.096718967848076</v>
      </c>
      <c r="Y102">
        <v>90.219771465746788</v>
      </c>
      <c r="Z102">
        <v>90.327742010959383</v>
      </c>
      <c r="AA102">
        <v>90.490515605274197</v>
      </c>
      <c r="AB102">
        <v>90.592786474216126</v>
      </c>
      <c r="AC102">
        <v>90.710664508389996</v>
      </c>
      <c r="AD102">
        <v>90.822986776500272</v>
      </c>
      <c r="AE102">
        <v>90.950989655370023</v>
      </c>
      <c r="AF102">
        <v>91.058010183949378</v>
      </c>
      <c r="AG102">
        <v>91.182678888039533</v>
      </c>
      <c r="AH102">
        <v>91.275618293404236</v>
      </c>
      <c r="AI102">
        <v>91.409378821032348</v>
      </c>
      <c r="AJ102">
        <v>91.527659009823907</v>
      </c>
      <c r="AK102">
        <v>91.630938548679481</v>
      </c>
      <c r="AL102">
        <v>91.743739833672208</v>
      </c>
      <c r="AM102">
        <v>91.867673163300211</v>
      </c>
      <c r="AN102">
        <v>91.976157046276938</v>
      </c>
      <c r="AO102">
        <v>92.082235478816074</v>
      </c>
      <c r="AP102">
        <v>92.169917681024529</v>
      </c>
      <c r="AQ102">
        <v>92.271445773780698</v>
      </c>
      <c r="AR102">
        <v>92.366772897031481</v>
      </c>
      <c r="AS102">
        <v>92.474288878372221</v>
      </c>
      <c r="AT102">
        <v>92.573054488101377</v>
      </c>
      <c r="AU102">
        <v>92.665807568686503</v>
      </c>
      <c r="AV102">
        <v>92.749683472417516</v>
      </c>
      <c r="AW102">
        <v>92.825779890099696</v>
      </c>
      <c r="AX102">
        <v>92.919380681919264</v>
      </c>
      <c r="AY102">
        <v>93.010019675126202</v>
      </c>
      <c r="AZ102">
        <v>93.106571616816254</v>
      </c>
      <c r="BA102">
        <v>93.208940904167861</v>
      </c>
      <c r="BB102">
        <v>93.296474588163576</v>
      </c>
      <c r="BC102">
        <v>93.381269081366938</v>
      </c>
      <c r="BD102">
        <v>93.490454055356153</v>
      </c>
      <c r="BE102">
        <v>93.593942004213858</v>
      </c>
      <c r="BF102">
        <v>93.684945764881192</v>
      </c>
      <c r="BG102">
        <v>93.775231400948471</v>
      </c>
      <c r="BH102">
        <v>93.868369772166901</v>
      </c>
      <c r="BI102">
        <v>93.958152683090432</v>
      </c>
      <c r="BJ102">
        <v>94.048162519359721</v>
      </c>
      <c r="BK102">
        <v>94.150698442659731</v>
      </c>
      <c r="BL102">
        <v>94.261723640670141</v>
      </c>
      <c r="BM102">
        <v>94.344685698284664</v>
      </c>
      <c r="BN102">
        <v>94.452726754371611</v>
      </c>
      <c r="BO102">
        <v>94.55646782018016</v>
      </c>
      <c r="BP102">
        <v>94.632610536224874</v>
      </c>
      <c r="BQ102">
        <v>94.729899639121996</v>
      </c>
      <c r="BR102">
        <v>94.795042984995135</v>
      </c>
      <c r="BS102">
        <v>94.879111968350799</v>
      </c>
      <c r="BT102">
        <v>94.956569863566187</v>
      </c>
      <c r="BU102">
        <v>95.061512381747292</v>
      </c>
      <c r="BV102">
        <v>95.167917871624155</v>
      </c>
      <c r="BW102">
        <v>95.267910039581167</v>
      </c>
      <c r="BX102">
        <v>95.397256444175099</v>
      </c>
      <c r="BY102">
        <v>95.503912482243692</v>
      </c>
      <c r="BZ102">
        <v>95.614415774657033</v>
      </c>
      <c r="CA102">
        <v>95.740331050017929</v>
      </c>
      <c r="CB102">
        <v>95.823397925371168</v>
      </c>
      <c r="CC102">
        <v>95.912804994513522</v>
      </c>
      <c r="CD102">
        <v>96.02076537154187</v>
      </c>
      <c r="CE102">
        <v>96.151955196849926</v>
      </c>
      <c r="CF102">
        <v>96.241882962473554</v>
      </c>
      <c r="CG102">
        <v>96.331331134568686</v>
      </c>
      <c r="CH102">
        <v>96.444900196646472</v>
      </c>
      <c r="CI102">
        <v>96.564542361472959</v>
      </c>
      <c r="CJ102">
        <v>96.65873910426437</v>
      </c>
      <c r="CK102">
        <v>96.744138688267441</v>
      </c>
      <c r="CL102">
        <v>96.846045497577038</v>
      </c>
      <c r="CM102">
        <v>96.996929939166534</v>
      </c>
      <c r="CN102">
        <v>97.111601771629466</v>
      </c>
      <c r="CO102">
        <v>97.214725983400385</v>
      </c>
      <c r="CP102">
        <v>97.314205569518904</v>
      </c>
      <c r="CQ102">
        <v>97.422350004174106</v>
      </c>
      <c r="CR102">
        <v>97.558431498736624</v>
      </c>
      <c r="CS102">
        <v>97.658894007030852</v>
      </c>
      <c r="CT102">
        <v>97.777037869869005</v>
      </c>
      <c r="CU102">
        <v>97.877085881602071</v>
      </c>
      <c r="CV102">
        <v>97.983159719737287</v>
      </c>
      <c r="CW102">
        <v>98.152633098182861</v>
      </c>
      <c r="CX102">
        <v>98.280185061181129</v>
      </c>
      <c r="CY102">
        <v>98.400448484005452</v>
      </c>
      <c r="CZ102">
        <v>98.502772238337229</v>
      </c>
      <c r="DA102">
        <v>98.644000404978627</v>
      </c>
      <c r="DB102">
        <v>98.768194555309648</v>
      </c>
      <c r="DC102">
        <v>98.898419993167025</v>
      </c>
      <c r="DD102">
        <v>99.014534916431202</v>
      </c>
      <c r="DE102">
        <v>99.147657971139182</v>
      </c>
      <c r="DF102">
        <v>99.302194018318644</v>
      </c>
      <c r="DG102">
        <v>99.42112503930683</v>
      </c>
      <c r="DH102">
        <v>99.566647146751308</v>
      </c>
      <c r="DI102">
        <v>99.694231052777667</v>
      </c>
      <c r="DJ102">
        <v>99.842081363184633</v>
      </c>
      <c r="DK102">
        <v>99.981132917474639</v>
      </c>
      <c r="DL102">
        <v>100.1243111114121</v>
      </c>
      <c r="DM102">
        <v>100.2562488221416</v>
      </c>
      <c r="DN102">
        <v>100.39076827108182</v>
      </c>
      <c r="DO102">
        <v>100.52127389756974</v>
      </c>
      <c r="DP102">
        <v>100.66133560414858</v>
      </c>
      <c r="DQ102">
        <v>100.80520970781086</v>
      </c>
      <c r="DR102">
        <v>100.9181032333023</v>
      </c>
      <c r="DS102">
        <v>101.05490880450276</v>
      </c>
      <c r="DT102">
        <v>101.19385787400921</v>
      </c>
      <c r="DU102">
        <v>101.35303919868115</v>
      </c>
      <c r="DV102">
        <v>101.51807816863094</v>
      </c>
      <c r="DW102">
        <v>101.62303119676993</v>
      </c>
      <c r="DX102">
        <v>101.76996849550278</v>
      </c>
      <c r="DY102">
        <v>101.90747788620116</v>
      </c>
      <c r="DZ102">
        <v>102.0519920589706</v>
      </c>
      <c r="EA102">
        <v>102.17719356389807</v>
      </c>
      <c r="EB102">
        <v>102.33294879011196</v>
      </c>
      <c r="EC102">
        <v>102.4764157820067</v>
      </c>
      <c r="ED102">
        <v>102.69514218345188</v>
      </c>
      <c r="EE102">
        <v>102.85818756786104</v>
      </c>
      <c r="EF102">
        <v>103.03025386674915</v>
      </c>
      <c r="EG102">
        <v>103.23045161933406</v>
      </c>
      <c r="EH102">
        <v>103.38018459367819</v>
      </c>
      <c r="EI102">
        <v>103.54310991920011</v>
      </c>
      <c r="EJ102">
        <v>103.76643003378636</v>
      </c>
      <c r="EK102">
        <v>103.96903803064164</v>
      </c>
      <c r="EL102">
        <v>104.16952627697792</v>
      </c>
      <c r="EM102">
        <v>104.34418231477423</v>
      </c>
      <c r="EN102">
        <v>104.53770735062378</v>
      </c>
      <c r="EO102">
        <v>104.72662767025801</v>
      </c>
      <c r="EP102">
        <v>104.95711779752966</v>
      </c>
      <c r="EQ102">
        <v>105.20778302907426</v>
      </c>
      <c r="ER102">
        <v>105.43557623121505</v>
      </c>
      <c r="ES102">
        <v>105.65455680390511</v>
      </c>
      <c r="ET102">
        <v>105.88462998328637</v>
      </c>
      <c r="EU102">
        <v>106.10351155164886</v>
      </c>
      <c r="EV102">
        <v>106.42259537583431</v>
      </c>
      <c r="EW102">
        <v>106.6705593337031</v>
      </c>
      <c r="EX102">
        <v>106.90305824531544</v>
      </c>
      <c r="EY102">
        <v>107.23834994960463</v>
      </c>
      <c r="EZ102">
        <v>107.46328058072679</v>
      </c>
      <c r="FA102">
        <v>107.80859197157373</v>
      </c>
      <c r="FB102">
        <v>108.02808180307225</v>
      </c>
      <c r="FC102">
        <v>108.30661591246717</v>
      </c>
      <c r="FD102">
        <v>108.57967230331124</v>
      </c>
      <c r="FE102">
        <v>108.94528420344511</v>
      </c>
      <c r="FF102">
        <v>109.21233234406432</v>
      </c>
      <c r="FG102">
        <v>109.50873027354339</v>
      </c>
      <c r="FH102">
        <v>109.83014549814557</v>
      </c>
      <c r="FI102">
        <v>110.13431037185937</v>
      </c>
      <c r="FJ102">
        <v>110.41237728170273</v>
      </c>
      <c r="FK102">
        <v>110.85267035069128</v>
      </c>
      <c r="FL102">
        <v>111.28452987420719</v>
      </c>
      <c r="FM102">
        <v>111.65896463743852</v>
      </c>
      <c r="FN102">
        <v>112.11361976144154</v>
      </c>
      <c r="FO102">
        <v>112.53502125453267</v>
      </c>
      <c r="FP102">
        <v>112.99459684452734</v>
      </c>
      <c r="FQ102">
        <v>113.41305856976011</v>
      </c>
      <c r="FR102">
        <v>113.93662304618408</v>
      </c>
      <c r="FS102">
        <v>114.39685828711603</v>
      </c>
      <c r="FT102">
        <v>114.99289392757649</v>
      </c>
      <c r="FU102">
        <v>115.47885562698877</v>
      </c>
      <c r="FV102">
        <v>116.03921411753251</v>
      </c>
      <c r="FW102">
        <v>116.55004237610494</v>
      </c>
      <c r="FX102">
        <v>117.28746427724531</v>
      </c>
      <c r="FY102">
        <v>117.94299347821709</v>
      </c>
      <c r="FZ102">
        <v>118.62110455451423</v>
      </c>
      <c r="GA102">
        <v>119.35682058669744</v>
      </c>
      <c r="GB102">
        <v>120.19469324982097</v>
      </c>
      <c r="GC102">
        <v>120.98614462812587</v>
      </c>
      <c r="GD102">
        <v>121.84318798138507</v>
      </c>
      <c r="GE102">
        <v>122.79657957086143</v>
      </c>
      <c r="GF102">
        <v>123.88234713466036</v>
      </c>
      <c r="GG102">
        <v>125.14043723052259</v>
      </c>
      <c r="GH102">
        <v>126.43116677243547</v>
      </c>
      <c r="GI102">
        <v>127.70994681320343</v>
      </c>
      <c r="GJ102">
        <v>130.29984436090615</v>
      </c>
      <c r="GK102">
        <v>132.86258404167927</v>
      </c>
      <c r="GL102">
        <v>135.51886238380757</v>
      </c>
      <c r="GM102">
        <v>138.77745111068774</v>
      </c>
      <c r="GN102">
        <v>143.06161997533056</v>
      </c>
      <c r="GO102">
        <v>147.00410509233535</v>
      </c>
      <c r="GP102">
        <v>153.44867312527708</v>
      </c>
      <c r="GQ102">
        <v>166.10418108783702</v>
      </c>
      <c r="GR102">
        <v>101.45954820327722</v>
      </c>
      <c r="GT102" s="8">
        <v>45436</v>
      </c>
      <c r="GU102">
        <v>167.33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5CFCB-057D-471F-BC92-8229158EBA46}">
  <sheetPr codeName="Sheet7"/>
  <dimension ref="A1:GQ4"/>
  <sheetViews>
    <sheetView zoomScaleNormal="100" workbookViewId="0"/>
  </sheetViews>
  <sheetFormatPr defaultRowHeight="14.25" x14ac:dyDescent="0.45"/>
  <sheetData>
    <row r="1" spans="1:199" x14ac:dyDescent="0.45">
      <c r="A1" s="2">
        <v>100</v>
      </c>
      <c r="B1" t="s">
        <v>34</v>
      </c>
    </row>
    <row r="2" spans="1:199" hidden="1" x14ac:dyDescent="0.45"/>
    <row r="3" spans="1:199" s="5" customFormat="1" x14ac:dyDescent="0.45">
      <c r="A3" s="5">
        <f ca="1">OFFSET(probability!$A$1,$A$1+1,COLUMN()-1,1,1)</f>
        <v>82.301464178502471</v>
      </c>
      <c r="B3" s="5">
        <f ca="1">OFFSET(probability!$A$1,$A$1+1,COLUMN()-1,1,1)</f>
        <v>83.815436660802206</v>
      </c>
      <c r="C3" s="5">
        <f ca="1">OFFSET(probability!$A$1,$A$1+1,COLUMN()-1,1,1)</f>
        <v>84.859487384272484</v>
      </c>
      <c r="D3" s="5">
        <f ca="1">OFFSET(probability!$A$1,$A$1+1,COLUMN()-1,1,1)</f>
        <v>85.38752069312433</v>
      </c>
      <c r="E3" s="5">
        <f ca="1">OFFSET(probability!$A$1,$A$1+1,COLUMN()-1,1,1)</f>
        <v>85.860991595532681</v>
      </c>
      <c r="F3" s="5">
        <f ca="1">OFFSET(probability!$A$1,$A$1+1,COLUMN()-1,1,1)</f>
        <v>86.300981207740605</v>
      </c>
      <c r="G3" s="5">
        <f ca="1">OFFSET(probability!$A$1,$A$1+1,COLUMN()-1,1,1)</f>
        <v>86.63575462277332</v>
      </c>
      <c r="H3" s="5">
        <f ca="1">OFFSET(probability!$A$1,$A$1+1,COLUMN()-1,1,1)</f>
        <v>86.949828554556689</v>
      </c>
      <c r="I3" s="5">
        <f ca="1">OFFSET(probability!$A$1,$A$1+1,COLUMN()-1,1,1)</f>
        <v>87.27888080092923</v>
      </c>
      <c r="J3" s="5">
        <f ca="1">OFFSET(probability!$A$1,$A$1+1,COLUMN()-1,1,1)</f>
        <v>87.545026968682038</v>
      </c>
      <c r="K3" s="5">
        <f ca="1">OFFSET(probability!$A$1,$A$1+1,COLUMN()-1,1,1)</f>
        <v>87.748554505256791</v>
      </c>
      <c r="L3" s="5">
        <f ca="1">OFFSET(probability!$A$1,$A$1+1,COLUMN()-1,1,1)</f>
        <v>87.9823931348039</v>
      </c>
      <c r="M3" s="5">
        <f ca="1">OFFSET(probability!$A$1,$A$1+1,COLUMN()-1,1,1)</f>
        <v>88.162336711189639</v>
      </c>
      <c r="N3" s="5">
        <f ca="1">OFFSET(probability!$A$1,$A$1+1,COLUMN()-1,1,1)</f>
        <v>88.375803130423307</v>
      </c>
      <c r="O3" s="5">
        <f ca="1">OFFSET(probability!$A$1,$A$1+1,COLUMN()-1,1,1)</f>
        <v>88.528526190545577</v>
      </c>
      <c r="P3" s="5">
        <f ca="1">OFFSET(probability!$A$1,$A$1+1,COLUMN()-1,1,1)</f>
        <v>88.711413991220908</v>
      </c>
      <c r="Q3" s="5">
        <f ca="1">OFFSET(probability!$A$1,$A$1+1,COLUMN()-1,1,1)</f>
        <v>88.945317622872722</v>
      </c>
      <c r="R3" s="5">
        <f ca="1">OFFSET(probability!$A$1,$A$1+1,COLUMN()-1,1,1)</f>
        <v>89.14387469687442</v>
      </c>
      <c r="S3" s="5">
        <f ca="1">OFFSET(probability!$A$1,$A$1+1,COLUMN()-1,1,1)</f>
        <v>89.30437189119634</v>
      </c>
      <c r="T3" s="5">
        <f ca="1">OFFSET(probability!$A$1,$A$1+1,COLUMN()-1,1,1)</f>
        <v>89.502744102269716</v>
      </c>
      <c r="U3" s="5">
        <f ca="1">OFFSET(probability!$A$1,$A$1+1,COLUMN()-1,1,1)</f>
        <v>89.670403009403771</v>
      </c>
      <c r="V3" s="5">
        <f ca="1">OFFSET(probability!$A$1,$A$1+1,COLUMN()-1,1,1)</f>
        <v>89.821553950172458</v>
      </c>
      <c r="W3" s="5">
        <f ca="1">OFFSET(probability!$A$1,$A$1+1,COLUMN()-1,1,1)</f>
        <v>89.962254871343887</v>
      </c>
      <c r="X3" s="5">
        <f ca="1">OFFSET(probability!$A$1,$A$1+1,COLUMN()-1,1,1)</f>
        <v>90.096718967848076</v>
      </c>
      <c r="Y3" s="5">
        <f ca="1">OFFSET(probability!$A$1,$A$1+1,COLUMN()-1,1,1)</f>
        <v>90.219771465746788</v>
      </c>
      <c r="Z3" s="5">
        <f ca="1">OFFSET(probability!$A$1,$A$1+1,COLUMN()-1,1,1)</f>
        <v>90.327742010959383</v>
      </c>
      <c r="AA3" s="5">
        <f ca="1">OFFSET(probability!$A$1,$A$1+1,COLUMN()-1,1,1)</f>
        <v>90.490515605274197</v>
      </c>
      <c r="AB3" s="5">
        <f ca="1">OFFSET(probability!$A$1,$A$1+1,COLUMN()-1,1,1)</f>
        <v>90.592786474216126</v>
      </c>
      <c r="AC3" s="5">
        <f ca="1">OFFSET(probability!$A$1,$A$1+1,COLUMN()-1,1,1)</f>
        <v>90.710664508389996</v>
      </c>
      <c r="AD3" s="5">
        <f ca="1">OFFSET(probability!$A$1,$A$1+1,COLUMN()-1,1,1)</f>
        <v>90.822986776500272</v>
      </c>
      <c r="AE3" s="5">
        <f ca="1">OFFSET(probability!$A$1,$A$1+1,COLUMN()-1,1,1)</f>
        <v>90.950989655370023</v>
      </c>
      <c r="AF3" s="5">
        <f ca="1">OFFSET(probability!$A$1,$A$1+1,COLUMN()-1,1,1)</f>
        <v>91.058010183949378</v>
      </c>
      <c r="AG3" s="5">
        <f ca="1">OFFSET(probability!$A$1,$A$1+1,COLUMN()-1,1,1)</f>
        <v>91.182678888039533</v>
      </c>
      <c r="AH3" s="5">
        <f ca="1">OFFSET(probability!$A$1,$A$1+1,COLUMN()-1,1,1)</f>
        <v>91.275618293404236</v>
      </c>
      <c r="AI3" s="5">
        <f ca="1">OFFSET(probability!$A$1,$A$1+1,COLUMN()-1,1,1)</f>
        <v>91.409378821032348</v>
      </c>
      <c r="AJ3" s="5">
        <f ca="1">OFFSET(probability!$A$1,$A$1+1,COLUMN()-1,1,1)</f>
        <v>91.527659009823907</v>
      </c>
      <c r="AK3" s="5">
        <f ca="1">OFFSET(probability!$A$1,$A$1+1,COLUMN()-1,1,1)</f>
        <v>91.630938548679481</v>
      </c>
      <c r="AL3" s="5">
        <f ca="1">OFFSET(probability!$A$1,$A$1+1,COLUMN()-1,1,1)</f>
        <v>91.743739833672208</v>
      </c>
      <c r="AM3" s="5">
        <f ca="1">OFFSET(probability!$A$1,$A$1+1,COLUMN()-1,1,1)</f>
        <v>91.867673163300211</v>
      </c>
      <c r="AN3" s="5">
        <f ca="1">OFFSET(probability!$A$1,$A$1+1,COLUMN()-1,1,1)</f>
        <v>91.976157046276938</v>
      </c>
      <c r="AO3" s="5">
        <f ca="1">OFFSET(probability!$A$1,$A$1+1,COLUMN()-1,1,1)</f>
        <v>92.082235478816074</v>
      </c>
      <c r="AP3" s="5">
        <f ca="1">OFFSET(probability!$A$1,$A$1+1,COLUMN()-1,1,1)</f>
        <v>92.169917681024529</v>
      </c>
      <c r="AQ3" s="5">
        <f ca="1">OFFSET(probability!$A$1,$A$1+1,COLUMN()-1,1,1)</f>
        <v>92.271445773780698</v>
      </c>
      <c r="AR3" s="5">
        <f ca="1">OFFSET(probability!$A$1,$A$1+1,COLUMN()-1,1,1)</f>
        <v>92.366772897031481</v>
      </c>
      <c r="AS3" s="5">
        <f ca="1">OFFSET(probability!$A$1,$A$1+1,COLUMN()-1,1,1)</f>
        <v>92.474288878372221</v>
      </c>
      <c r="AT3" s="5">
        <f ca="1">OFFSET(probability!$A$1,$A$1+1,COLUMN()-1,1,1)</f>
        <v>92.573054488101377</v>
      </c>
      <c r="AU3" s="5">
        <f ca="1">OFFSET(probability!$A$1,$A$1+1,COLUMN()-1,1,1)</f>
        <v>92.665807568686503</v>
      </c>
      <c r="AV3" s="5">
        <f ca="1">OFFSET(probability!$A$1,$A$1+1,COLUMN()-1,1,1)</f>
        <v>92.749683472417516</v>
      </c>
      <c r="AW3" s="5">
        <f ca="1">OFFSET(probability!$A$1,$A$1+1,COLUMN()-1,1,1)</f>
        <v>92.825779890099696</v>
      </c>
      <c r="AX3" s="5">
        <f ca="1">OFFSET(probability!$A$1,$A$1+1,COLUMN()-1,1,1)</f>
        <v>92.919380681919264</v>
      </c>
      <c r="AY3" s="5">
        <f ca="1">OFFSET(probability!$A$1,$A$1+1,COLUMN()-1,1,1)</f>
        <v>93.010019675126202</v>
      </c>
      <c r="AZ3" s="5">
        <f ca="1">OFFSET(probability!$A$1,$A$1+1,COLUMN()-1,1,1)</f>
        <v>93.106571616816254</v>
      </c>
      <c r="BA3" s="5">
        <f ca="1">OFFSET(probability!$A$1,$A$1+1,COLUMN()-1,1,1)</f>
        <v>93.208940904167861</v>
      </c>
      <c r="BB3" s="5">
        <f ca="1">OFFSET(probability!$A$1,$A$1+1,COLUMN()-1,1,1)</f>
        <v>93.296474588163576</v>
      </c>
      <c r="BC3" s="5">
        <f ca="1">OFFSET(probability!$A$1,$A$1+1,COLUMN()-1,1,1)</f>
        <v>93.381269081366938</v>
      </c>
      <c r="BD3" s="5">
        <f ca="1">OFFSET(probability!$A$1,$A$1+1,COLUMN()-1,1,1)</f>
        <v>93.490454055356153</v>
      </c>
      <c r="BE3" s="5">
        <f ca="1">OFFSET(probability!$A$1,$A$1+1,COLUMN()-1,1,1)</f>
        <v>93.593942004213858</v>
      </c>
      <c r="BF3" s="5">
        <f ca="1">OFFSET(probability!$A$1,$A$1+1,COLUMN()-1,1,1)</f>
        <v>93.684945764881192</v>
      </c>
      <c r="BG3" s="5">
        <f ca="1">OFFSET(probability!$A$1,$A$1+1,COLUMN()-1,1,1)</f>
        <v>93.775231400948471</v>
      </c>
      <c r="BH3" s="5">
        <f ca="1">OFFSET(probability!$A$1,$A$1+1,COLUMN()-1,1,1)</f>
        <v>93.868369772166901</v>
      </c>
      <c r="BI3" s="5">
        <f ca="1">OFFSET(probability!$A$1,$A$1+1,COLUMN()-1,1,1)</f>
        <v>93.958152683090432</v>
      </c>
      <c r="BJ3" s="5">
        <f ca="1">OFFSET(probability!$A$1,$A$1+1,COLUMN()-1,1,1)</f>
        <v>94.048162519359721</v>
      </c>
      <c r="BK3" s="5">
        <f ca="1">OFFSET(probability!$A$1,$A$1+1,COLUMN()-1,1,1)</f>
        <v>94.150698442659731</v>
      </c>
      <c r="BL3" s="5">
        <f ca="1">OFFSET(probability!$A$1,$A$1+1,COLUMN()-1,1,1)</f>
        <v>94.261723640670141</v>
      </c>
      <c r="BM3" s="5">
        <f ca="1">OFFSET(probability!$A$1,$A$1+1,COLUMN()-1,1,1)</f>
        <v>94.344685698284664</v>
      </c>
      <c r="BN3" s="5">
        <f ca="1">OFFSET(probability!$A$1,$A$1+1,COLUMN()-1,1,1)</f>
        <v>94.452726754371611</v>
      </c>
      <c r="BO3" s="5">
        <f ca="1">OFFSET(probability!$A$1,$A$1+1,COLUMN()-1,1,1)</f>
        <v>94.55646782018016</v>
      </c>
      <c r="BP3" s="5">
        <f ca="1">OFFSET(probability!$A$1,$A$1+1,COLUMN()-1,1,1)</f>
        <v>94.632610536224874</v>
      </c>
      <c r="BQ3" s="5">
        <f ca="1">OFFSET(probability!$A$1,$A$1+1,COLUMN()-1,1,1)</f>
        <v>94.729899639121996</v>
      </c>
      <c r="BR3" s="5">
        <f ca="1">OFFSET(probability!$A$1,$A$1+1,COLUMN()-1,1,1)</f>
        <v>94.795042984995135</v>
      </c>
      <c r="BS3" s="5">
        <f ca="1">OFFSET(probability!$A$1,$A$1+1,COLUMN()-1,1,1)</f>
        <v>94.879111968350799</v>
      </c>
      <c r="BT3" s="5">
        <f ca="1">OFFSET(probability!$A$1,$A$1+1,COLUMN()-1,1,1)</f>
        <v>94.956569863566187</v>
      </c>
      <c r="BU3" s="5">
        <f ca="1">OFFSET(probability!$A$1,$A$1+1,COLUMN()-1,1,1)</f>
        <v>95.061512381747292</v>
      </c>
      <c r="BV3" s="5">
        <f ca="1">OFFSET(probability!$A$1,$A$1+1,COLUMN()-1,1,1)</f>
        <v>95.167917871624155</v>
      </c>
      <c r="BW3" s="5">
        <f ca="1">OFFSET(probability!$A$1,$A$1+1,COLUMN()-1,1,1)</f>
        <v>95.267910039581167</v>
      </c>
      <c r="BX3" s="5">
        <f ca="1">OFFSET(probability!$A$1,$A$1+1,COLUMN()-1,1,1)</f>
        <v>95.397256444175099</v>
      </c>
      <c r="BY3" s="5">
        <f ca="1">OFFSET(probability!$A$1,$A$1+1,COLUMN()-1,1,1)</f>
        <v>95.503912482243692</v>
      </c>
      <c r="BZ3" s="5">
        <f ca="1">OFFSET(probability!$A$1,$A$1+1,COLUMN()-1,1,1)</f>
        <v>95.614415774657033</v>
      </c>
      <c r="CA3" s="5">
        <f ca="1">OFFSET(probability!$A$1,$A$1+1,COLUMN()-1,1,1)</f>
        <v>95.740331050017929</v>
      </c>
      <c r="CB3" s="5">
        <f ca="1">OFFSET(probability!$A$1,$A$1+1,COLUMN()-1,1,1)</f>
        <v>95.823397925371168</v>
      </c>
      <c r="CC3" s="5">
        <f ca="1">OFFSET(probability!$A$1,$A$1+1,COLUMN()-1,1,1)</f>
        <v>95.912804994513522</v>
      </c>
      <c r="CD3" s="5">
        <f ca="1">OFFSET(probability!$A$1,$A$1+1,COLUMN()-1,1,1)</f>
        <v>96.02076537154187</v>
      </c>
      <c r="CE3" s="5">
        <f ca="1">OFFSET(probability!$A$1,$A$1+1,COLUMN()-1,1,1)</f>
        <v>96.151955196849926</v>
      </c>
      <c r="CF3" s="5">
        <f ca="1">OFFSET(probability!$A$1,$A$1+1,COLUMN()-1,1,1)</f>
        <v>96.241882962473554</v>
      </c>
      <c r="CG3" s="5">
        <f ca="1">OFFSET(probability!$A$1,$A$1+1,COLUMN()-1,1,1)</f>
        <v>96.331331134568686</v>
      </c>
      <c r="CH3" s="5">
        <f ca="1">OFFSET(probability!$A$1,$A$1+1,COLUMN()-1,1,1)</f>
        <v>96.444900196646472</v>
      </c>
      <c r="CI3" s="5">
        <f ca="1">OFFSET(probability!$A$1,$A$1+1,COLUMN()-1,1,1)</f>
        <v>96.564542361472959</v>
      </c>
      <c r="CJ3" s="5">
        <f ca="1">OFFSET(probability!$A$1,$A$1+1,COLUMN()-1,1,1)</f>
        <v>96.65873910426437</v>
      </c>
      <c r="CK3" s="5">
        <f ca="1">OFFSET(probability!$A$1,$A$1+1,COLUMN()-1,1,1)</f>
        <v>96.744138688267441</v>
      </c>
      <c r="CL3" s="5">
        <f ca="1">OFFSET(probability!$A$1,$A$1+1,COLUMN()-1,1,1)</f>
        <v>96.846045497577038</v>
      </c>
      <c r="CM3" s="5">
        <f ca="1">OFFSET(probability!$A$1,$A$1+1,COLUMN()-1,1,1)</f>
        <v>96.996929939166534</v>
      </c>
      <c r="CN3" s="5">
        <f ca="1">OFFSET(probability!$A$1,$A$1+1,COLUMN()-1,1,1)</f>
        <v>97.111601771629466</v>
      </c>
      <c r="CO3" s="5">
        <f ca="1">OFFSET(probability!$A$1,$A$1+1,COLUMN()-1,1,1)</f>
        <v>97.214725983400385</v>
      </c>
      <c r="CP3" s="5">
        <f ca="1">OFFSET(probability!$A$1,$A$1+1,COLUMN()-1,1,1)</f>
        <v>97.314205569518904</v>
      </c>
      <c r="CQ3" s="5">
        <f ca="1">OFFSET(probability!$A$1,$A$1+1,COLUMN()-1,1,1)</f>
        <v>97.422350004174106</v>
      </c>
      <c r="CR3" s="5">
        <f ca="1">OFFSET(probability!$A$1,$A$1+1,COLUMN()-1,1,1)</f>
        <v>97.558431498736624</v>
      </c>
      <c r="CS3" s="5">
        <f ca="1">OFFSET(probability!$A$1,$A$1+1,COLUMN()-1,1,1)</f>
        <v>97.658894007030852</v>
      </c>
      <c r="CT3" s="5">
        <f ca="1">OFFSET(probability!$A$1,$A$1+1,COLUMN()-1,1,1)</f>
        <v>97.777037869869005</v>
      </c>
      <c r="CU3" s="5">
        <f ca="1">OFFSET(probability!$A$1,$A$1+1,COLUMN()-1,1,1)</f>
        <v>97.877085881602071</v>
      </c>
      <c r="CV3" s="5">
        <f ca="1">OFFSET(probability!$A$1,$A$1+1,COLUMN()-1,1,1)</f>
        <v>97.983159719737287</v>
      </c>
      <c r="CW3" s="5">
        <f ca="1">OFFSET(probability!$A$1,$A$1+1,COLUMN()-1,1,1)</f>
        <v>98.152633098182861</v>
      </c>
      <c r="CX3" s="5">
        <f ca="1">OFFSET(probability!$A$1,$A$1+1,COLUMN()-1,1,1)</f>
        <v>98.280185061181129</v>
      </c>
      <c r="CY3" s="5">
        <f ca="1">OFFSET(probability!$A$1,$A$1+1,COLUMN()-1,1,1)</f>
        <v>98.400448484005452</v>
      </c>
      <c r="CZ3" s="5">
        <f ca="1">OFFSET(probability!$A$1,$A$1+1,COLUMN()-1,1,1)</f>
        <v>98.502772238337229</v>
      </c>
      <c r="DA3" s="5">
        <f ca="1">OFFSET(probability!$A$1,$A$1+1,COLUMN()-1,1,1)</f>
        <v>98.644000404978627</v>
      </c>
      <c r="DB3" s="5">
        <f ca="1">OFFSET(probability!$A$1,$A$1+1,COLUMN()-1,1,1)</f>
        <v>98.768194555309648</v>
      </c>
      <c r="DC3" s="5">
        <f ca="1">OFFSET(probability!$A$1,$A$1+1,COLUMN()-1,1,1)</f>
        <v>98.898419993167025</v>
      </c>
      <c r="DD3" s="5">
        <f ca="1">OFFSET(probability!$A$1,$A$1+1,COLUMN()-1,1,1)</f>
        <v>99.014534916431202</v>
      </c>
      <c r="DE3" s="5">
        <f ca="1">OFFSET(probability!$A$1,$A$1+1,COLUMN()-1,1,1)</f>
        <v>99.147657971139182</v>
      </c>
      <c r="DF3" s="5">
        <f ca="1">OFFSET(probability!$A$1,$A$1+1,COLUMN()-1,1,1)</f>
        <v>99.302194018318644</v>
      </c>
      <c r="DG3" s="5">
        <f ca="1">OFFSET(probability!$A$1,$A$1+1,COLUMN()-1,1,1)</f>
        <v>99.42112503930683</v>
      </c>
      <c r="DH3" s="5">
        <f ca="1">OFFSET(probability!$A$1,$A$1+1,COLUMN()-1,1,1)</f>
        <v>99.566647146751308</v>
      </c>
      <c r="DI3" s="5">
        <f ca="1">OFFSET(probability!$A$1,$A$1+1,COLUMN()-1,1,1)</f>
        <v>99.694231052777667</v>
      </c>
      <c r="DJ3" s="5">
        <f ca="1">OFFSET(probability!$A$1,$A$1+1,COLUMN()-1,1,1)</f>
        <v>99.842081363184633</v>
      </c>
      <c r="DK3" s="5">
        <f ca="1">OFFSET(probability!$A$1,$A$1+1,COLUMN()-1,1,1)</f>
        <v>99.981132917474639</v>
      </c>
      <c r="DL3" s="5">
        <f ca="1">OFFSET(probability!$A$1,$A$1+1,COLUMN()-1,1,1)</f>
        <v>100.1243111114121</v>
      </c>
      <c r="DM3" s="5">
        <f ca="1">OFFSET(probability!$A$1,$A$1+1,COLUMN()-1,1,1)</f>
        <v>100.2562488221416</v>
      </c>
      <c r="DN3" s="5">
        <f ca="1">OFFSET(probability!$A$1,$A$1+1,COLUMN()-1,1,1)</f>
        <v>100.39076827108182</v>
      </c>
      <c r="DO3" s="5">
        <f ca="1">OFFSET(probability!$A$1,$A$1+1,COLUMN()-1,1,1)</f>
        <v>100.52127389756974</v>
      </c>
      <c r="DP3" s="5">
        <f ca="1">OFFSET(probability!$A$1,$A$1+1,COLUMN()-1,1,1)</f>
        <v>100.66133560414858</v>
      </c>
      <c r="DQ3" s="5">
        <f ca="1">OFFSET(probability!$A$1,$A$1+1,COLUMN()-1,1,1)</f>
        <v>100.80520970781086</v>
      </c>
      <c r="DR3" s="5">
        <f ca="1">OFFSET(probability!$A$1,$A$1+1,COLUMN()-1,1,1)</f>
        <v>100.9181032333023</v>
      </c>
      <c r="DS3" s="5">
        <f ca="1">OFFSET(probability!$A$1,$A$1+1,COLUMN()-1,1,1)</f>
        <v>101.05490880450276</v>
      </c>
      <c r="DT3" s="5">
        <f ca="1">OFFSET(probability!$A$1,$A$1+1,COLUMN()-1,1,1)</f>
        <v>101.19385787400921</v>
      </c>
      <c r="DU3" s="5">
        <f ca="1">OFFSET(probability!$A$1,$A$1+1,COLUMN()-1,1,1)</f>
        <v>101.35303919868115</v>
      </c>
      <c r="DV3" s="5">
        <f ca="1">OFFSET(probability!$A$1,$A$1+1,COLUMN()-1,1,1)</f>
        <v>101.51807816863094</v>
      </c>
      <c r="DW3" s="5">
        <f ca="1">OFFSET(probability!$A$1,$A$1+1,COLUMN()-1,1,1)</f>
        <v>101.62303119676993</v>
      </c>
      <c r="DX3" s="5">
        <f ca="1">OFFSET(probability!$A$1,$A$1+1,COLUMN()-1,1,1)</f>
        <v>101.76996849550278</v>
      </c>
      <c r="DY3" s="5">
        <f ca="1">OFFSET(probability!$A$1,$A$1+1,COLUMN()-1,1,1)</f>
        <v>101.90747788620116</v>
      </c>
      <c r="DZ3" s="5">
        <f ca="1">OFFSET(probability!$A$1,$A$1+1,COLUMN()-1,1,1)</f>
        <v>102.0519920589706</v>
      </c>
      <c r="EA3" s="5">
        <f ca="1">OFFSET(probability!$A$1,$A$1+1,COLUMN()-1,1,1)</f>
        <v>102.17719356389807</v>
      </c>
      <c r="EB3" s="5">
        <f ca="1">OFFSET(probability!$A$1,$A$1+1,COLUMN()-1,1,1)</f>
        <v>102.33294879011196</v>
      </c>
      <c r="EC3" s="5">
        <f ca="1">OFFSET(probability!$A$1,$A$1+1,COLUMN()-1,1,1)</f>
        <v>102.4764157820067</v>
      </c>
      <c r="ED3" s="5">
        <f ca="1">OFFSET(probability!$A$1,$A$1+1,COLUMN()-1,1,1)</f>
        <v>102.69514218345188</v>
      </c>
      <c r="EE3" s="5">
        <f ca="1">OFFSET(probability!$A$1,$A$1+1,COLUMN()-1,1,1)</f>
        <v>102.85818756786104</v>
      </c>
      <c r="EF3" s="5">
        <f ca="1">OFFSET(probability!$A$1,$A$1+1,COLUMN()-1,1,1)</f>
        <v>103.03025386674915</v>
      </c>
      <c r="EG3" s="5">
        <f ca="1">OFFSET(probability!$A$1,$A$1+1,COLUMN()-1,1,1)</f>
        <v>103.23045161933406</v>
      </c>
      <c r="EH3" s="5">
        <f ca="1">OFFSET(probability!$A$1,$A$1+1,COLUMN()-1,1,1)</f>
        <v>103.38018459367819</v>
      </c>
      <c r="EI3" s="5">
        <f ca="1">OFFSET(probability!$A$1,$A$1+1,COLUMN()-1,1,1)</f>
        <v>103.54310991920011</v>
      </c>
      <c r="EJ3" s="5">
        <f ca="1">OFFSET(probability!$A$1,$A$1+1,COLUMN()-1,1,1)</f>
        <v>103.76643003378636</v>
      </c>
      <c r="EK3" s="5">
        <f ca="1">OFFSET(probability!$A$1,$A$1+1,COLUMN()-1,1,1)</f>
        <v>103.96903803064164</v>
      </c>
      <c r="EL3" s="5">
        <f ca="1">OFFSET(probability!$A$1,$A$1+1,COLUMN()-1,1,1)</f>
        <v>104.16952627697792</v>
      </c>
      <c r="EM3" s="5">
        <f ca="1">OFFSET(probability!$A$1,$A$1+1,COLUMN()-1,1,1)</f>
        <v>104.34418231477423</v>
      </c>
      <c r="EN3" s="5">
        <f ca="1">OFFSET(probability!$A$1,$A$1+1,COLUMN()-1,1,1)</f>
        <v>104.53770735062378</v>
      </c>
      <c r="EO3" s="5">
        <f ca="1">OFFSET(probability!$A$1,$A$1+1,COLUMN()-1,1,1)</f>
        <v>104.72662767025801</v>
      </c>
      <c r="EP3" s="5">
        <f ca="1">OFFSET(probability!$A$1,$A$1+1,COLUMN()-1,1,1)</f>
        <v>104.95711779752966</v>
      </c>
      <c r="EQ3" s="5">
        <f ca="1">OFFSET(probability!$A$1,$A$1+1,COLUMN()-1,1,1)</f>
        <v>105.20778302907426</v>
      </c>
      <c r="ER3" s="5">
        <f ca="1">OFFSET(probability!$A$1,$A$1+1,COLUMN()-1,1,1)</f>
        <v>105.43557623121505</v>
      </c>
      <c r="ES3" s="5">
        <f ca="1">OFFSET(probability!$A$1,$A$1+1,COLUMN()-1,1,1)</f>
        <v>105.65455680390511</v>
      </c>
      <c r="ET3" s="5">
        <f ca="1">OFFSET(probability!$A$1,$A$1+1,COLUMN()-1,1,1)</f>
        <v>105.88462998328637</v>
      </c>
      <c r="EU3" s="5">
        <f ca="1">OFFSET(probability!$A$1,$A$1+1,COLUMN()-1,1,1)</f>
        <v>106.10351155164886</v>
      </c>
      <c r="EV3" s="5">
        <f ca="1">OFFSET(probability!$A$1,$A$1+1,COLUMN()-1,1,1)</f>
        <v>106.42259537583431</v>
      </c>
      <c r="EW3" s="5">
        <f ca="1">OFFSET(probability!$A$1,$A$1+1,COLUMN()-1,1,1)</f>
        <v>106.6705593337031</v>
      </c>
      <c r="EX3" s="5">
        <f ca="1">OFFSET(probability!$A$1,$A$1+1,COLUMN()-1,1,1)</f>
        <v>106.90305824531544</v>
      </c>
      <c r="EY3" s="5">
        <f ca="1">OFFSET(probability!$A$1,$A$1+1,COLUMN()-1,1,1)</f>
        <v>107.23834994960463</v>
      </c>
      <c r="EZ3" s="5">
        <f ca="1">OFFSET(probability!$A$1,$A$1+1,COLUMN()-1,1,1)</f>
        <v>107.46328058072679</v>
      </c>
      <c r="FA3" s="5">
        <f ca="1">OFFSET(probability!$A$1,$A$1+1,COLUMN()-1,1,1)</f>
        <v>107.80859197157373</v>
      </c>
      <c r="FB3" s="5">
        <f ca="1">OFFSET(probability!$A$1,$A$1+1,COLUMN()-1,1,1)</f>
        <v>108.02808180307225</v>
      </c>
      <c r="FC3" s="5">
        <f ca="1">OFFSET(probability!$A$1,$A$1+1,COLUMN()-1,1,1)</f>
        <v>108.30661591246717</v>
      </c>
      <c r="FD3" s="5">
        <f ca="1">OFFSET(probability!$A$1,$A$1+1,COLUMN()-1,1,1)</f>
        <v>108.57967230331124</v>
      </c>
      <c r="FE3" s="5">
        <f ca="1">OFFSET(probability!$A$1,$A$1+1,COLUMN()-1,1,1)</f>
        <v>108.94528420344511</v>
      </c>
      <c r="FF3" s="5">
        <f ca="1">OFFSET(probability!$A$1,$A$1+1,COLUMN()-1,1,1)</f>
        <v>109.21233234406432</v>
      </c>
      <c r="FG3" s="5">
        <f ca="1">OFFSET(probability!$A$1,$A$1+1,COLUMN()-1,1,1)</f>
        <v>109.50873027354339</v>
      </c>
      <c r="FH3" s="5">
        <f ca="1">OFFSET(probability!$A$1,$A$1+1,COLUMN()-1,1,1)</f>
        <v>109.83014549814557</v>
      </c>
      <c r="FI3" s="5">
        <f ca="1">OFFSET(probability!$A$1,$A$1+1,COLUMN()-1,1,1)</f>
        <v>110.13431037185937</v>
      </c>
      <c r="FJ3" s="5">
        <f ca="1">OFFSET(probability!$A$1,$A$1+1,COLUMN()-1,1,1)</f>
        <v>110.41237728170273</v>
      </c>
      <c r="FK3" s="5">
        <f ca="1">OFFSET(probability!$A$1,$A$1+1,COLUMN()-1,1,1)</f>
        <v>110.85267035069128</v>
      </c>
      <c r="FL3" s="5">
        <f ca="1">OFFSET(probability!$A$1,$A$1+1,COLUMN()-1,1,1)</f>
        <v>111.28452987420719</v>
      </c>
      <c r="FM3" s="5">
        <f ca="1">OFFSET(probability!$A$1,$A$1+1,COLUMN()-1,1,1)</f>
        <v>111.65896463743852</v>
      </c>
      <c r="FN3" s="5">
        <f ca="1">OFFSET(probability!$A$1,$A$1+1,COLUMN()-1,1,1)</f>
        <v>112.11361976144154</v>
      </c>
      <c r="FO3" s="5">
        <f ca="1">OFFSET(probability!$A$1,$A$1+1,COLUMN()-1,1,1)</f>
        <v>112.53502125453267</v>
      </c>
      <c r="FP3" s="5">
        <f ca="1">OFFSET(probability!$A$1,$A$1+1,COLUMN()-1,1,1)</f>
        <v>112.99459684452734</v>
      </c>
      <c r="FQ3" s="5">
        <f ca="1">OFFSET(probability!$A$1,$A$1+1,COLUMN()-1,1,1)</f>
        <v>113.41305856976011</v>
      </c>
      <c r="FR3" s="5">
        <f ca="1">OFFSET(probability!$A$1,$A$1+1,COLUMN()-1,1,1)</f>
        <v>113.93662304618408</v>
      </c>
      <c r="FS3" s="5">
        <f ca="1">OFFSET(probability!$A$1,$A$1+1,COLUMN()-1,1,1)</f>
        <v>114.39685828711603</v>
      </c>
      <c r="FT3" s="5">
        <f ca="1">OFFSET(probability!$A$1,$A$1+1,COLUMN()-1,1,1)</f>
        <v>114.99289392757649</v>
      </c>
      <c r="FU3" s="5">
        <f ca="1">OFFSET(probability!$A$1,$A$1+1,COLUMN()-1,1,1)</f>
        <v>115.47885562698877</v>
      </c>
      <c r="FV3" s="5">
        <f ca="1">OFFSET(probability!$A$1,$A$1+1,COLUMN()-1,1,1)</f>
        <v>116.03921411753251</v>
      </c>
      <c r="FW3" s="5">
        <f ca="1">OFFSET(probability!$A$1,$A$1+1,COLUMN()-1,1,1)</f>
        <v>116.55004237610494</v>
      </c>
      <c r="FX3" s="5">
        <f ca="1">OFFSET(probability!$A$1,$A$1+1,COLUMN()-1,1,1)</f>
        <v>117.28746427724531</v>
      </c>
      <c r="FY3" s="5">
        <f ca="1">OFFSET(probability!$A$1,$A$1+1,COLUMN()-1,1,1)</f>
        <v>117.94299347821709</v>
      </c>
      <c r="FZ3" s="5">
        <f ca="1">OFFSET(probability!$A$1,$A$1+1,COLUMN()-1,1,1)</f>
        <v>118.62110455451423</v>
      </c>
      <c r="GA3" s="5">
        <f ca="1">OFFSET(probability!$A$1,$A$1+1,COLUMN()-1,1,1)</f>
        <v>119.35682058669744</v>
      </c>
      <c r="GB3" s="5">
        <f ca="1">OFFSET(probability!$A$1,$A$1+1,COLUMN()-1,1,1)</f>
        <v>120.19469324982097</v>
      </c>
      <c r="GC3" s="5">
        <f ca="1">OFFSET(probability!$A$1,$A$1+1,COLUMN()-1,1,1)</f>
        <v>120.98614462812587</v>
      </c>
      <c r="GD3" s="5">
        <f ca="1">OFFSET(probability!$A$1,$A$1+1,COLUMN()-1,1,1)</f>
        <v>121.84318798138507</v>
      </c>
      <c r="GE3" s="5">
        <f ca="1">OFFSET(probability!$A$1,$A$1+1,COLUMN()-1,1,1)</f>
        <v>122.79657957086143</v>
      </c>
      <c r="GF3" s="5">
        <f ca="1">OFFSET(probability!$A$1,$A$1+1,COLUMN()-1,1,1)</f>
        <v>123.88234713466036</v>
      </c>
      <c r="GG3" s="5">
        <f ca="1">OFFSET(probability!$A$1,$A$1+1,COLUMN()-1,1,1)</f>
        <v>125.14043723052259</v>
      </c>
      <c r="GH3" s="5">
        <f ca="1">OFFSET(probability!$A$1,$A$1+1,COLUMN()-1,1,1)</f>
        <v>126.43116677243547</v>
      </c>
      <c r="GI3" s="5">
        <f ca="1">OFFSET(probability!$A$1,$A$1+1,COLUMN()-1,1,1)</f>
        <v>127.70994681320343</v>
      </c>
      <c r="GJ3" s="5">
        <f ca="1">OFFSET(probability!$A$1,$A$1+1,COLUMN()-1,1,1)</f>
        <v>130.29984436090615</v>
      </c>
      <c r="GK3" s="5">
        <f ca="1">OFFSET(probability!$A$1,$A$1+1,COLUMN()-1,1,1)</f>
        <v>132.86258404167927</v>
      </c>
      <c r="GL3" s="5">
        <f ca="1">OFFSET(probability!$A$1,$A$1+1,COLUMN()-1,1,1)</f>
        <v>135.51886238380757</v>
      </c>
      <c r="GM3" s="5">
        <f ca="1">OFFSET(probability!$A$1,$A$1+1,COLUMN()-1,1,1)</f>
        <v>138.77745111068774</v>
      </c>
      <c r="GN3" s="5">
        <f ca="1">OFFSET(probability!$A$1,$A$1+1,COLUMN()-1,1,1)</f>
        <v>143.06161997533056</v>
      </c>
      <c r="GO3" s="5">
        <f ca="1">OFFSET(probability!$A$1,$A$1+1,COLUMN()-1,1,1)</f>
        <v>147.00410509233535</v>
      </c>
      <c r="GP3" s="5">
        <f ca="1">OFFSET(probability!$A$1,$A$1+1,COLUMN()-1,1,1)</f>
        <v>153.44867312527708</v>
      </c>
      <c r="GQ3" s="5">
        <f ca="1">OFFSET(probability!$A$1,$A$1+1,COLUMN()-1,1,1)</f>
        <v>166.10418108783702</v>
      </c>
    </row>
    <row r="4" spans="1:199" s="5" customFormat="1" x14ac:dyDescent="0.45">
      <c r="A4" s="5" t="s">
        <v>33</v>
      </c>
      <c r="B4" s="5">
        <f ca="1">0.005/(B3-A3)</f>
        <v>3.3025699333748548E-3</v>
      </c>
      <c r="C4" s="5">
        <f t="shared" ref="C4:BN4" ca="1" si="0">0.005/(C3-B3)</f>
        <v>4.7890393518245002E-3</v>
      </c>
      <c r="D4" s="5">
        <f t="shared" ca="1" si="0"/>
        <v>9.4690996120528528E-3</v>
      </c>
      <c r="E4" s="5">
        <f t="shared" ca="1" si="0"/>
        <v>1.0560311044600755E-2</v>
      </c>
      <c r="F4" s="5">
        <f t="shared" ca="1" si="0"/>
        <v>1.1363904649724255E-2</v>
      </c>
      <c r="G4" s="5">
        <f t="shared" ca="1" si="0"/>
        <v>1.49354750869671E-2</v>
      </c>
      <c r="H4" s="5">
        <f t="shared" ca="1" si="0"/>
        <v>1.5919818533200403E-2</v>
      </c>
      <c r="I4" s="5">
        <f t="shared" ca="1" si="0"/>
        <v>1.5195155344234249E-2</v>
      </c>
      <c r="J4" s="5">
        <f t="shared" ca="1" si="0"/>
        <v>1.8786669153334993E-2</v>
      </c>
      <c r="K4" s="5">
        <f t="shared" ca="1" si="0"/>
        <v>2.4566700330318925E-2</v>
      </c>
      <c r="L4" s="5">
        <f t="shared" ca="1" si="0"/>
        <v>2.1382266949151442E-2</v>
      </c>
      <c r="M4" s="5">
        <f t="shared" ca="1" si="0"/>
        <v>2.7786487855958088E-2</v>
      </c>
      <c r="N4" s="5">
        <f t="shared" ca="1" si="0"/>
        <v>2.3422887861939572E-2</v>
      </c>
      <c r="O4" s="5">
        <f t="shared" ca="1" si="0"/>
        <v>3.2738998262587263E-2</v>
      </c>
      <c r="P4" s="5">
        <f t="shared" ca="1" si="0"/>
        <v>2.7339166316927663E-2</v>
      </c>
      <c r="Q4" s="5">
        <f t="shared" ca="1" si="0"/>
        <v>2.1376324791070166E-2</v>
      </c>
      <c r="R4" s="5">
        <f t="shared" ca="1" si="0"/>
        <v>2.5181676478357232E-2</v>
      </c>
      <c r="S4" s="5">
        <f t="shared" ca="1" si="0"/>
        <v>3.1153192559685319E-2</v>
      </c>
      <c r="T4" s="5">
        <f t="shared" ca="1" si="0"/>
        <v>2.5205143265507757E-2</v>
      </c>
      <c r="U4" s="5">
        <f t="shared" ca="1" si="0"/>
        <v>2.9822453727448961E-2</v>
      </c>
      <c r="V4" s="5">
        <f t="shared" ca="1" si="0"/>
        <v>3.3079516240998544E-2</v>
      </c>
      <c r="W4" s="5">
        <f t="shared" ca="1" si="0"/>
        <v>3.5536370042012828E-2</v>
      </c>
      <c r="X4" s="5">
        <f t="shared" ca="1" si="0"/>
        <v>3.7184647277529834E-2</v>
      </c>
      <c r="Y4" s="5">
        <f t="shared" ca="1" si="0"/>
        <v>4.0633063817328133E-2</v>
      </c>
      <c r="Z4" s="5">
        <f t="shared" ca="1" si="0"/>
        <v>4.6308926107161495E-2</v>
      </c>
      <c r="AA4" s="5">
        <f t="shared" ca="1" si="0"/>
        <v>3.0717513003550818E-2</v>
      </c>
      <c r="AB4" s="5">
        <f t="shared" ca="1" si="0"/>
        <v>4.8889777233036724E-2</v>
      </c>
      <c r="AC4" s="5">
        <f t="shared" ca="1" si="0"/>
        <v>4.2416723650353719E-2</v>
      </c>
      <c r="AD4" s="5">
        <f t="shared" ca="1" si="0"/>
        <v>4.4514770616019689E-2</v>
      </c>
      <c r="AE4" s="5">
        <f t="shared" ca="1" si="0"/>
        <v>3.9061621458434143E-2</v>
      </c>
      <c r="AF4" s="5">
        <f t="shared" ca="1" si="0"/>
        <v>4.672000845419616E-2</v>
      </c>
      <c r="AG4" s="5">
        <f t="shared" ca="1" si="0"/>
        <v>4.0106296415692452E-2</v>
      </c>
      <c r="AH4" s="5">
        <f t="shared" ca="1" si="0"/>
        <v>5.3798493549421011E-2</v>
      </c>
      <c r="AI4" s="5">
        <f t="shared" ca="1" si="0"/>
        <v>3.73802353254859E-2</v>
      </c>
      <c r="AJ4" s="5">
        <f t="shared" ca="1" si="0"/>
        <v>4.2272506081397397E-2</v>
      </c>
      <c r="AK4" s="5">
        <f t="shared" ca="1" si="0"/>
        <v>4.8412299816636403E-2</v>
      </c>
      <c r="AL4" s="5">
        <f t="shared" ca="1" si="0"/>
        <v>4.4325736185739067E-2</v>
      </c>
      <c r="AM4" s="5">
        <f t="shared" ca="1" si="0"/>
        <v>4.0344272319705901E-2</v>
      </c>
      <c r="AN4" s="5">
        <f t="shared" ca="1" si="0"/>
        <v>4.6089795671054742E-2</v>
      </c>
      <c r="AO4" s="5">
        <f t="shared" ca="1" si="0"/>
        <v>4.7134934786629328E-2</v>
      </c>
      <c r="AP4" s="5">
        <f t="shared" ca="1" si="0"/>
        <v>5.702411520314029E-2</v>
      </c>
      <c r="AQ4" s="5">
        <f t="shared" ca="1" si="0"/>
        <v>4.9247453234525486E-2</v>
      </c>
      <c r="AR4" s="5">
        <f t="shared" ca="1" si="0"/>
        <v>5.2450969141764454E-2</v>
      </c>
      <c r="AS4" s="5">
        <f t="shared" ca="1" si="0"/>
        <v>4.6504714347107179E-2</v>
      </c>
      <c r="AT4" s="5">
        <f t="shared" ca="1" si="0"/>
        <v>5.0624908950711076E-2</v>
      </c>
      <c r="AU4" s="5">
        <f t="shared" ca="1" si="0"/>
        <v>5.3906565350259589E-2</v>
      </c>
      <c r="AV4" s="5">
        <f t="shared" ca="1" si="0"/>
        <v>5.9611876326660429E-2</v>
      </c>
      <c r="AW4" s="5">
        <f t="shared" ca="1" si="0"/>
        <v>6.5706115376977528E-2</v>
      </c>
      <c r="AX4" s="5">
        <f t="shared" ca="1" si="0"/>
        <v>5.3418351520341349E-2</v>
      </c>
      <c r="AY4" s="5">
        <f t="shared" ca="1" si="0"/>
        <v>5.5163896057235866E-2</v>
      </c>
      <c r="AZ4" s="5">
        <f t="shared" ca="1" si="0"/>
        <v>5.1785597601453147E-2</v>
      </c>
      <c r="BA4" s="5">
        <f t="shared" ca="1" si="0"/>
        <v>4.8842774325726666E-2</v>
      </c>
      <c r="BB4" s="5">
        <f t="shared" ca="1" si="0"/>
        <v>5.7120867896348598E-2</v>
      </c>
      <c r="BC4" s="5">
        <f t="shared" ca="1" si="0"/>
        <v>5.8966093328827129E-2</v>
      </c>
      <c r="BD4" s="5">
        <f t="shared" ca="1" si="0"/>
        <v>4.5793847058972291E-2</v>
      </c>
      <c r="BE4" s="5">
        <f t="shared" ca="1" si="0"/>
        <v>4.8314804334125591E-2</v>
      </c>
      <c r="BF4" s="5">
        <f t="shared" ca="1" si="0"/>
        <v>5.4942784378742178E-2</v>
      </c>
      <c r="BG4" s="5">
        <f t="shared" ca="1" si="0"/>
        <v>5.5379794813364622E-2</v>
      </c>
      <c r="BH4" s="5">
        <f t="shared" ca="1" si="0"/>
        <v>5.3683567090451925E-2</v>
      </c>
      <c r="BI4" s="5">
        <f t="shared" ca="1" si="0"/>
        <v>5.5689885174902698E-2</v>
      </c>
      <c r="BJ4" s="5">
        <f t="shared" ca="1" si="0"/>
        <v>5.554948444791246E-2</v>
      </c>
      <c r="BK4" s="5">
        <f t="shared" ca="1" si="0"/>
        <v>4.8763397637435618E-2</v>
      </c>
      <c r="BL4" s="5">
        <f t="shared" ca="1" si="0"/>
        <v>4.5034821730569739E-2</v>
      </c>
      <c r="BM4" s="5">
        <f t="shared" ca="1" si="0"/>
        <v>6.02685148339994E-2</v>
      </c>
      <c r="BN4" s="5">
        <f t="shared" ca="1" si="0"/>
        <v>4.6278703495606519E-2</v>
      </c>
      <c r="BO4" s="5">
        <f t="shared" ref="BO4:DZ4" ca="1" si="1">0.005/(BO3-BN3)</f>
        <v>4.8196921450829724E-2</v>
      </c>
      <c r="BP4" s="5">
        <f t="shared" ca="1" si="1"/>
        <v>6.5666162959879121E-2</v>
      </c>
      <c r="BQ4" s="5">
        <f t="shared" ca="1" si="1"/>
        <v>5.1393217237157965E-2</v>
      </c>
      <c r="BR4" s="5">
        <f t="shared" ca="1" si="1"/>
        <v>7.6753810124169361E-2</v>
      </c>
      <c r="BS4" s="5">
        <f t="shared" ca="1" si="1"/>
        <v>5.9474966871514386E-2</v>
      </c>
      <c r="BT4" s="5">
        <f t="shared" ca="1" si="1"/>
        <v>6.4551198894527068E-2</v>
      </c>
      <c r="BU4" s="5">
        <f t="shared" ca="1" si="1"/>
        <v>4.7645130750257482E-2</v>
      </c>
      <c r="BV4" s="5">
        <f t="shared" ca="1" si="1"/>
        <v>4.6990056676457267E-2</v>
      </c>
      <c r="BW4" s="5">
        <f t="shared" ca="1" si="1"/>
        <v>5.0003916328222431E-2</v>
      </c>
      <c r="BX4" s="5">
        <f t="shared" ca="1" si="1"/>
        <v>3.8655887001242381E-2</v>
      </c>
      <c r="BY4" s="5">
        <f t="shared" ca="1" si="1"/>
        <v>4.6879671236094406E-2</v>
      </c>
      <c r="BZ4" s="5">
        <f t="shared" ca="1" si="1"/>
        <v>4.5247520601443617E-2</v>
      </c>
      <c r="CA4" s="5">
        <f t="shared" ca="1" si="1"/>
        <v>3.9709240881768311E-2</v>
      </c>
      <c r="CB4" s="5">
        <f t="shared" ca="1" si="1"/>
        <v>6.0192465152175946E-2</v>
      </c>
      <c r="CC4" s="5">
        <f t="shared" ca="1" si="1"/>
        <v>5.5923989545379423E-2</v>
      </c>
      <c r="CD4" s="5">
        <f t="shared" ca="1" si="1"/>
        <v>4.6313287685972919E-2</v>
      </c>
      <c r="CE4" s="5">
        <f t="shared" ca="1" si="1"/>
        <v>3.8112711776688193E-2</v>
      </c>
      <c r="CF4" s="5">
        <f t="shared" ca="1" si="1"/>
        <v>5.5600180492934248E-2</v>
      </c>
      <c r="CG4" s="5">
        <f t="shared" ca="1" si="1"/>
        <v>5.5898291523300107E-2</v>
      </c>
      <c r="CH4" s="5">
        <f t="shared" ca="1" si="1"/>
        <v>4.402607460626351E-2</v>
      </c>
      <c r="CI4" s="5">
        <f t="shared" ca="1" si="1"/>
        <v>4.1791286602439165E-2</v>
      </c>
      <c r="CJ4" s="5">
        <f t="shared" ca="1" si="1"/>
        <v>5.308039165507026E-2</v>
      </c>
      <c r="CK4" s="5">
        <f t="shared" ca="1" si="1"/>
        <v>5.85482945656998E-2</v>
      </c>
      <c r="CL4" s="5">
        <f t="shared" ca="1" si="1"/>
        <v>4.9064434789728446E-2</v>
      </c>
      <c r="CM4" s="5">
        <f t="shared" ca="1" si="1"/>
        <v>3.313794283444562E-2</v>
      </c>
      <c r="CN4" s="5">
        <f t="shared" ca="1" si="1"/>
        <v>4.3602686837818427E-2</v>
      </c>
      <c r="CO4" s="5">
        <f t="shared" ca="1" si="1"/>
        <v>4.8485219078397167E-2</v>
      </c>
      <c r="CP4" s="5">
        <f t="shared" ca="1" si="1"/>
        <v>5.0261568177847257E-2</v>
      </c>
      <c r="CQ4" s="5">
        <f t="shared" ca="1" si="1"/>
        <v>4.6234464269396369E-2</v>
      </c>
      <c r="CR4" s="5">
        <f t="shared" ca="1" si="1"/>
        <v>3.6742688754810252E-2</v>
      </c>
      <c r="CS4" s="5">
        <f t="shared" ca="1" si="1"/>
        <v>4.9769810498423078E-2</v>
      </c>
      <c r="CT4" s="5">
        <f t="shared" ca="1" si="1"/>
        <v>4.232128423674094E-2</v>
      </c>
      <c r="CU4" s="5">
        <f t="shared" ca="1" si="1"/>
        <v>4.9976005653568897E-2</v>
      </c>
      <c r="CV4" s="5">
        <f t="shared" ca="1" si="1"/>
        <v>4.7136976354398494E-2</v>
      </c>
      <c r="CW4" s="5">
        <f t="shared" ca="1" si="1"/>
        <v>2.9503158819753822E-2</v>
      </c>
      <c r="CX4" s="5">
        <f t="shared" ca="1" si="1"/>
        <v>3.9199710317808951E-2</v>
      </c>
      <c r="CY4" s="5">
        <f t="shared" ca="1" si="1"/>
        <v>4.157540075425805E-2</v>
      </c>
      <c r="CZ4" s="5">
        <f t="shared" ca="1" si="1"/>
        <v>4.8864508858694221E-2</v>
      </c>
      <c r="DA4" s="5">
        <f t="shared" ca="1" si="1"/>
        <v>3.5403702525544055E-2</v>
      </c>
      <c r="DB4" s="5">
        <f t="shared" ca="1" si="1"/>
        <v>4.0259545128922929E-2</v>
      </c>
      <c r="DC4" s="5">
        <f t="shared" ca="1" si="1"/>
        <v>3.8394956333155338E-2</v>
      </c>
      <c r="DD4" s="5">
        <f t="shared" ca="1" si="1"/>
        <v>4.3060787187744198E-2</v>
      </c>
      <c r="DE4" s="5">
        <f t="shared" ca="1" si="1"/>
        <v>3.7559234281154791E-2</v>
      </c>
      <c r="DF4" s="5">
        <f t="shared" ca="1" si="1"/>
        <v>3.2354910658440178E-2</v>
      </c>
      <c r="DG4" s="5">
        <f t="shared" ca="1" si="1"/>
        <v>4.2041176124240145E-2</v>
      </c>
      <c r="DH4" s="5">
        <f t="shared" ca="1" si="1"/>
        <v>3.4359040614551889E-2</v>
      </c>
      <c r="DI4" s="5">
        <f t="shared" ca="1" si="1"/>
        <v>3.9189895933794211E-2</v>
      </c>
      <c r="DJ4" s="5">
        <f t="shared" ca="1" si="1"/>
        <v>3.381798784349678E-2</v>
      </c>
      <c r="DK4" s="5">
        <f t="shared" ca="1" si="1"/>
        <v>3.5957886451035218E-2</v>
      </c>
      <c r="DL4" s="5">
        <f t="shared" ca="1" si="1"/>
        <v>3.492151886050493E-2</v>
      </c>
      <c r="DM4" s="5">
        <f t="shared" ca="1" si="1"/>
        <v>3.789667087866147E-2</v>
      </c>
      <c r="DN4" s="5">
        <f t="shared" ca="1" si="1"/>
        <v>3.7169346435709918E-2</v>
      </c>
      <c r="DO4" s="5">
        <f t="shared" ca="1" si="1"/>
        <v>3.8312524406470178E-2</v>
      </c>
      <c r="DP4" s="5">
        <f t="shared" ca="1" si="1"/>
        <v>3.5698551175268912E-2</v>
      </c>
      <c r="DQ4" s="5">
        <f t="shared" ca="1" si="1"/>
        <v>3.4752605734639348E-2</v>
      </c>
      <c r="DR4" s="5">
        <f t="shared" ca="1" si="1"/>
        <v>4.4289519511718577E-2</v>
      </c>
      <c r="DS4" s="5">
        <f t="shared" ca="1" si="1"/>
        <v>3.6548219170648648E-2</v>
      </c>
      <c r="DT4" s="5">
        <f t="shared" ca="1" si="1"/>
        <v>3.5984407939974122E-2</v>
      </c>
      <c r="DU4" s="5">
        <f t="shared" ca="1" si="1"/>
        <v>3.1410719883785292E-2</v>
      </c>
      <c r="DV4" s="5">
        <f t="shared" ca="1" si="1"/>
        <v>3.0295874977413723E-2</v>
      </c>
      <c r="DW4" s="5">
        <f t="shared" ca="1" si="1"/>
        <v>4.764035958427329E-2</v>
      </c>
      <c r="DX4" s="5">
        <f t="shared" ca="1" si="1"/>
        <v>3.4028119770260448E-2</v>
      </c>
      <c r="DY4" s="5">
        <f t="shared" ca="1" si="1"/>
        <v>3.6361153042755626E-2</v>
      </c>
      <c r="DZ4" s="5">
        <f t="shared" ca="1" si="1"/>
        <v>3.4598682635628403E-2</v>
      </c>
      <c r="EA4" s="5">
        <f t="shared" ref="EA4:GL4" ca="1" si="2">0.005/(EA3-DZ3)</f>
        <v>3.9935622202755039E-2</v>
      </c>
      <c r="EB4" s="5">
        <f t="shared" ca="1" si="2"/>
        <v>3.2101651556359113E-2</v>
      </c>
      <c r="EC4" s="5">
        <f t="shared" ca="1" si="2"/>
        <v>3.4851222110159084E-2</v>
      </c>
      <c r="ED4" s="5">
        <f t="shared" ca="1" si="2"/>
        <v>2.2859608931357717E-2</v>
      </c>
      <c r="EE4" s="5">
        <f t="shared" ca="1" si="2"/>
        <v>3.0666308145544326E-2</v>
      </c>
      <c r="EF4" s="5">
        <f t="shared" ca="1" si="2"/>
        <v>2.905856656596836E-2</v>
      </c>
      <c r="EG4" s="5">
        <f t="shared" ca="1" si="2"/>
        <v>2.4975305344046142E-2</v>
      </c>
      <c r="EH4" s="5">
        <f t="shared" ca="1" si="2"/>
        <v>3.339277818998275E-2</v>
      </c>
      <c r="EI4" s="5">
        <f t="shared" ca="1" si="2"/>
        <v>3.0688906000237326E-2</v>
      </c>
      <c r="EJ4" s="5">
        <f t="shared" ca="1" si="2"/>
        <v>2.2389384893803359E-2</v>
      </c>
      <c r="EK4" s="5">
        <f t="shared" ca="1" si="2"/>
        <v>2.4678196703022938E-2</v>
      </c>
      <c r="EL4" s="5">
        <f t="shared" ca="1" si="2"/>
        <v>2.4939117835434271E-2</v>
      </c>
      <c r="EM4" s="5">
        <f t="shared" ca="1" si="2"/>
        <v>2.8627696259954989E-2</v>
      </c>
      <c r="EN4" s="5">
        <f t="shared" ca="1" si="2"/>
        <v>2.5836450452266971E-2</v>
      </c>
      <c r="EO4" s="5">
        <f t="shared" ca="1" si="2"/>
        <v>2.6466184313473546E-2</v>
      </c>
      <c r="EP4" s="5">
        <f t="shared" ca="1" si="2"/>
        <v>2.1692903115572967E-2</v>
      </c>
      <c r="EQ4" s="5">
        <f t="shared" ca="1" si="2"/>
        <v>1.9946922711179156E-2</v>
      </c>
      <c r="ER4" s="5">
        <f t="shared" ca="1" si="2"/>
        <v>2.194973314835684E-2</v>
      </c>
      <c r="ES4" s="5">
        <f t="shared" ca="1" si="2"/>
        <v>2.2833075731685772E-2</v>
      </c>
      <c r="ET4" s="5">
        <f t="shared" ca="1" si="2"/>
        <v>2.1732215869083454E-2</v>
      </c>
      <c r="EU4" s="5">
        <f t="shared" ca="1" si="2"/>
        <v>2.2843403569365296E-2</v>
      </c>
      <c r="EV4" s="5">
        <f t="shared" ca="1" si="2"/>
        <v>1.5669863593881738E-2</v>
      </c>
      <c r="EW4" s="5">
        <f t="shared" ca="1" si="2"/>
        <v>2.0164220812468762E-2</v>
      </c>
      <c r="EX4" s="5">
        <f t="shared" ca="1" si="2"/>
        <v>2.150547701632614E-2</v>
      </c>
      <c r="EY4" s="5">
        <f t="shared" ca="1" si="2"/>
        <v>1.491238803715669E-2</v>
      </c>
      <c r="EZ4" s="5">
        <f t="shared" ca="1" si="2"/>
        <v>2.2229075582348892E-2</v>
      </c>
      <c r="FA4" s="5">
        <f t="shared" ca="1" si="2"/>
        <v>1.4479684518186636E-2</v>
      </c>
      <c r="FB4" s="5">
        <f t="shared" ca="1" si="2"/>
        <v>2.2780098585267229E-2</v>
      </c>
      <c r="FC4" s="5">
        <f t="shared" ca="1" si="2"/>
        <v>1.7951122793764897E-2</v>
      </c>
      <c r="FD4" s="5">
        <f t="shared" ca="1" si="2"/>
        <v>1.8311235948530374E-2</v>
      </c>
      <c r="FE4" s="5">
        <f t="shared" ca="1" si="2"/>
        <v>1.3675703657810977E-2</v>
      </c>
      <c r="FF4" s="5">
        <f t="shared" ca="1" si="2"/>
        <v>1.8723215928058534E-2</v>
      </c>
      <c r="FG4" s="5">
        <f t="shared" ca="1" si="2"/>
        <v>1.6869213657422211E-2</v>
      </c>
      <c r="FH4" s="5">
        <f t="shared" ca="1" si="2"/>
        <v>1.5556201502864766E-2</v>
      </c>
      <c r="FI4" s="5">
        <f t="shared" ca="1" si="2"/>
        <v>1.6438453063139222E-2</v>
      </c>
      <c r="FJ4" s="5">
        <f t="shared" ca="1" si="2"/>
        <v>1.7981283723462738E-2</v>
      </c>
      <c r="FK4" s="5">
        <f t="shared" ca="1" si="2"/>
        <v>1.1356072471197591E-2</v>
      </c>
      <c r="FL4" s="5">
        <f t="shared" ca="1" si="2"/>
        <v>1.1577838921539465E-2</v>
      </c>
      <c r="FM4" s="5">
        <f t="shared" ca="1" si="2"/>
        <v>1.3353460979025251E-2</v>
      </c>
      <c r="FN4" s="5">
        <f t="shared" ca="1" si="2"/>
        <v>1.0997346639310566E-2</v>
      </c>
      <c r="FO4" s="5">
        <f t="shared" ca="1" si="2"/>
        <v>1.1865169160468042E-2</v>
      </c>
      <c r="FP4" s="5">
        <f t="shared" ca="1" si="2"/>
        <v>1.0879603070428475E-2</v>
      </c>
      <c r="FQ4" s="5">
        <f t="shared" ca="1" si="2"/>
        <v>1.1948524078800024E-2</v>
      </c>
      <c r="FR4" s="5">
        <f t="shared" ca="1" si="2"/>
        <v>9.5499221684228839E-3</v>
      </c>
      <c r="FS4" s="5">
        <f t="shared" ca="1" si="2"/>
        <v>1.086400943542541E-2</v>
      </c>
      <c r="FT4" s="5">
        <f t="shared" ca="1" si="2"/>
        <v>8.3887601018914557E-3</v>
      </c>
      <c r="FU4" s="5">
        <f t="shared" ca="1" si="2"/>
        <v>1.0288876687292265E-2</v>
      </c>
      <c r="FV4" s="5">
        <f t="shared" ca="1" si="2"/>
        <v>8.9228593558890023E-3</v>
      </c>
      <c r="FW4" s="5">
        <f t="shared" ca="1" si="2"/>
        <v>9.7880254588363635E-3</v>
      </c>
      <c r="FX4" s="5">
        <f t="shared" ca="1" si="2"/>
        <v>6.7803790371127994E-3</v>
      </c>
      <c r="FY4" s="5">
        <f t="shared" ca="1" si="2"/>
        <v>7.6274252811130089E-3</v>
      </c>
      <c r="FZ4" s="5">
        <f t="shared" ca="1" si="2"/>
        <v>7.3734232853159354E-3</v>
      </c>
      <c r="GA4" s="5">
        <f t="shared" ca="1" si="2"/>
        <v>6.796100371990966E-3</v>
      </c>
      <c r="GB4" s="5">
        <f t="shared" ca="1" si="2"/>
        <v>5.9674938926403583E-3</v>
      </c>
      <c r="GC4" s="5">
        <f t="shared" ca="1" si="2"/>
        <v>6.3175074768443947E-3</v>
      </c>
      <c r="GD4" s="5">
        <f t="shared" ca="1" si="2"/>
        <v>5.8340105911629673E-3</v>
      </c>
      <c r="GE4" s="5">
        <f t="shared" ca="1" si="2"/>
        <v>5.2444347686622953E-3</v>
      </c>
      <c r="GF4" s="5">
        <f t="shared" ca="1" si="2"/>
        <v>4.6050371798783026E-3</v>
      </c>
      <c r="GG4" s="5">
        <f t="shared" ca="1" si="2"/>
        <v>3.9742781669171801E-3</v>
      </c>
      <c r="GH4" s="5">
        <f t="shared" ca="1" si="2"/>
        <v>3.8737782297830741E-3</v>
      </c>
      <c r="GI4" s="5">
        <f t="shared" ca="1" si="2"/>
        <v>3.9099765718874626E-3</v>
      </c>
      <c r="GJ4" s="5">
        <f t="shared" ca="1" si="2"/>
        <v>1.9305782981396621E-3</v>
      </c>
      <c r="GK4" s="5">
        <f t="shared" ca="1" si="2"/>
        <v>1.9510370239756907E-3</v>
      </c>
      <c r="GL4" s="5">
        <f t="shared" ca="1" si="2"/>
        <v>1.882332856726839E-3</v>
      </c>
      <c r="GM4" s="5">
        <f t="shared" ref="GM4:GQ4" ca="1" si="3">0.005/(GM3-GL3)</f>
        <v>1.5344065848982111E-3</v>
      </c>
      <c r="GN4" s="5">
        <f t="shared" ca="1" si="3"/>
        <v>1.1670875163826806E-3</v>
      </c>
      <c r="GO4" s="5">
        <f t="shared" ca="1" si="3"/>
        <v>1.2682356056168522E-3</v>
      </c>
      <c r="GP4" s="5">
        <f t="shared" ca="1" si="3"/>
        <v>7.7584719013629004E-4</v>
      </c>
      <c r="GQ4" s="5">
        <f t="shared" ca="1" si="3"/>
        <v>3.9508489226920034E-4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B60A3-8FE6-44EF-A2DC-DB7A405DACFC}">
  <sheetPr codeName="Sheet6"/>
  <dimension ref="A1"/>
  <sheetViews>
    <sheetView topLeftCell="K1" zoomScaleNormal="100" workbookViewId="0">
      <selection activeCell="T10" sqref="T10"/>
    </sheetView>
  </sheetViews>
  <sheetFormatPr defaultRowHeight="14.25" x14ac:dyDescent="0.4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850A2-58C9-456D-8590-FDC8DD930456}">
  <sheetPr codeName="Sheet4"/>
  <dimension ref="A1:S1001"/>
  <sheetViews>
    <sheetView zoomScaleNormal="100" workbookViewId="0">
      <selection activeCell="D2" sqref="D2"/>
    </sheetView>
  </sheetViews>
  <sheetFormatPr defaultRowHeight="14.25" x14ac:dyDescent="0.45"/>
  <cols>
    <col min="4" max="4" width="11.33203125" customWidth="1"/>
    <col min="6" max="6" width="18.1328125" customWidth="1"/>
    <col min="9" max="10" width="15.19921875" customWidth="1"/>
    <col min="11" max="11" width="19.46484375" customWidth="1"/>
    <col min="12" max="12" width="21" customWidth="1"/>
    <col min="13" max="13" width="4.59765625" customWidth="1"/>
    <col min="14" max="14" width="11.6640625" customWidth="1"/>
    <col min="15" max="15" width="10.796875" customWidth="1"/>
  </cols>
  <sheetData>
    <row r="1" spans="1:19" x14ac:dyDescent="0.45">
      <c r="A1" t="s">
        <v>6</v>
      </c>
      <c r="B1" t="s">
        <v>7</v>
      </c>
      <c r="D1" t="s">
        <v>18</v>
      </c>
      <c r="E1" t="s">
        <v>17</v>
      </c>
      <c r="F1" t="s">
        <v>26</v>
      </c>
      <c r="G1" s="5" t="s">
        <v>9</v>
      </c>
      <c r="H1" s="5" t="s">
        <v>10</v>
      </c>
      <c r="I1" s="5" t="s">
        <v>11</v>
      </c>
      <c r="J1" s="5" t="s">
        <v>12</v>
      </c>
      <c r="K1" s="2" t="s">
        <v>5</v>
      </c>
      <c r="N1" t="s">
        <v>8</v>
      </c>
      <c r="Q1" t="s">
        <v>6</v>
      </c>
      <c r="R1" t="s">
        <v>7</v>
      </c>
      <c r="S1" t="s">
        <v>30</v>
      </c>
    </row>
    <row r="2" spans="1:19" x14ac:dyDescent="0.45">
      <c r="A2">
        <f t="shared" ref="A2:B21" ca="1" si="0">NORMINV(RAND(),0,1)</f>
        <v>1.0150965810404868</v>
      </c>
      <c r="B2">
        <f t="shared" ca="1" si="0"/>
        <v>-0.56906933791604331</v>
      </c>
      <c r="D2">
        <f ca="1">SQRT(MAX('HE2'!B1,0))*($G$2+$H$2*A2)</f>
        <v>1.2487750980791479</v>
      </c>
      <c r="E2">
        <f t="shared" ref="E2:E65" ca="1" si="1">$I$2+$J$2*(A2*$K$2 + B2*POWER(1-$K$2*$K$2, 0.5))</f>
        <v>0.47063566208276358</v>
      </c>
      <c r="G2" s="5">
        <v>0</v>
      </c>
      <c r="H2" s="5">
        <v>1</v>
      </c>
      <c r="I2" s="5">
        <v>0</v>
      </c>
      <c r="J2" s="5">
        <v>1</v>
      </c>
      <c r="K2" s="2">
        <v>0.8</v>
      </c>
      <c r="N2">
        <f ca="1">CORREL(D2:D1001,E2:E1001)</f>
        <v>0.68016134789297955</v>
      </c>
      <c r="Q2">
        <f t="shared" ref="Q2:R21" ca="1" si="2">NORMINV(RAND(),0,1)</f>
        <v>0.74302988348996746</v>
      </c>
      <c r="R2">
        <f t="shared" ca="1" si="2"/>
        <v>1.1608967834426614E-2</v>
      </c>
    </row>
    <row r="3" spans="1:19" x14ac:dyDescent="0.45">
      <c r="A3">
        <f t="shared" ca="1" si="0"/>
        <v>-2.4141316854860846</v>
      </c>
      <c r="B3">
        <f t="shared" ca="1" si="0"/>
        <v>0.22433851990724213</v>
      </c>
      <c r="D3">
        <f ca="1">SQRT(MAX('HE2'!B2,0))*($G$2+$H$2*A3)</f>
        <v>-3.1356710807393231</v>
      </c>
      <c r="E3">
        <f t="shared" ca="1" si="1"/>
        <v>-1.7967022364445226</v>
      </c>
      <c r="Q3">
        <f t="shared" ca="1" si="2"/>
        <v>2.4583355819488619</v>
      </c>
      <c r="R3">
        <f t="shared" ca="1" si="2"/>
        <v>-0.99860111418136421</v>
      </c>
    </row>
    <row r="4" spans="1:19" x14ac:dyDescent="0.45">
      <c r="A4">
        <f t="shared" ca="1" si="0"/>
        <v>-0.44351617063457727</v>
      </c>
      <c r="B4">
        <f t="shared" ca="1" si="0"/>
        <v>-0.78472664595540087</v>
      </c>
      <c r="D4">
        <f ca="1">SQRT(MAX('HE2'!B3,0))*($G$2+$H$2*A4)</f>
        <v>-0.43984381661730365</v>
      </c>
      <c r="E4">
        <f t="shared" ca="1" si="1"/>
        <v>-0.82564892408090218</v>
      </c>
      <c r="G4" t="s">
        <v>19</v>
      </c>
      <c r="Q4">
        <f t="shared" ca="1" si="2"/>
        <v>0.10716593993972785</v>
      </c>
      <c r="R4">
        <f t="shared" ca="1" si="2"/>
        <v>-0.28115518810659967</v>
      </c>
    </row>
    <row r="5" spans="1:19" x14ac:dyDescent="0.45">
      <c r="A5">
        <f t="shared" ca="1" si="0"/>
        <v>-0.3322428574676704</v>
      </c>
      <c r="B5">
        <f t="shared" ca="1" si="0"/>
        <v>1.1107580421971461</v>
      </c>
      <c r="D5">
        <f ca="1">SQRT(MAX('HE2'!B4,0))*($G$2+$H$2*A5)</f>
        <v>-0.28743567341568721</v>
      </c>
      <c r="E5">
        <f t="shared" ca="1" si="1"/>
        <v>0.40066053934415113</v>
      </c>
      <c r="G5">
        <f ca="1">AVERAGE(D2:D1001)</f>
        <v>7.8938825914832228E-2</v>
      </c>
      <c r="H5" t="s">
        <v>13</v>
      </c>
      <c r="Q5">
        <f t="shared" ca="1" si="2"/>
        <v>0.56099441590998245</v>
      </c>
      <c r="R5">
        <f t="shared" ca="1" si="2"/>
        <v>1.2601890955310791</v>
      </c>
    </row>
    <row r="6" spans="1:19" x14ac:dyDescent="0.45">
      <c r="A6">
        <f t="shared" ca="1" si="0"/>
        <v>0.34252734135458474</v>
      </c>
      <c r="B6">
        <f t="shared" ca="1" si="0"/>
        <v>-1.4085065693165482</v>
      </c>
      <c r="D6">
        <f ca="1">SQRT(MAX('HE2'!B5,0))*($G$2+$H$2*A6)</f>
        <v>0.31907467554759084</v>
      </c>
      <c r="E6">
        <f t="shared" ca="1" si="1"/>
        <v>-0.57108206850626098</v>
      </c>
      <c r="G6">
        <f ca="1">STDEV(D2:D1001)</f>
        <v>1.4927034240036754</v>
      </c>
      <c r="H6" t="s">
        <v>14</v>
      </c>
      <c r="Q6">
        <f t="shared" ca="1" si="2"/>
        <v>0.61905781238508695</v>
      </c>
      <c r="R6">
        <f t="shared" ca="1" si="2"/>
        <v>0.83747766461119844</v>
      </c>
    </row>
    <row r="7" spans="1:19" x14ac:dyDescent="0.45">
      <c r="A7">
        <f t="shared" ca="1" si="0"/>
        <v>0.76102756094069246</v>
      </c>
      <c r="B7">
        <f t="shared" ca="1" si="0"/>
        <v>-0.49850713135490549</v>
      </c>
      <c r="D7">
        <f ca="1">SQRT(MAX('HE2'!B6,0))*($G$2+$H$2*A7)</f>
        <v>0.64623206839021863</v>
      </c>
      <c r="E7">
        <f t="shared" ca="1" si="1"/>
        <v>0.30971776993961075</v>
      </c>
      <c r="G7">
        <f ca="1">SKEW(D2:D1001)</f>
        <v>9.0910190842453373E-2</v>
      </c>
      <c r="H7" t="s">
        <v>15</v>
      </c>
      <c r="Q7">
        <f t="shared" ca="1" si="2"/>
        <v>0.49186125775982903</v>
      </c>
      <c r="R7">
        <f t="shared" ca="1" si="2"/>
        <v>-0.32058546726955534</v>
      </c>
    </row>
    <row r="8" spans="1:19" x14ac:dyDescent="0.45">
      <c r="A8">
        <f t="shared" ca="1" si="0"/>
        <v>0.4532289663229529</v>
      </c>
      <c r="B8">
        <f t="shared" ca="1" si="0"/>
        <v>1.3087129712447825</v>
      </c>
      <c r="D8">
        <f ca="1">SQRT(MAX('HE2'!B7,0))*($G$2+$H$2*A8)</f>
        <v>0.40936748101308518</v>
      </c>
      <c r="E8">
        <f t="shared" ca="1" si="1"/>
        <v>1.1478109558052316</v>
      </c>
      <c r="G8">
        <f ca="1">KURT(D2:D1001)</f>
        <v>2.6697818274263994</v>
      </c>
      <c r="H8" t="s">
        <v>16</v>
      </c>
      <c r="Q8">
        <f t="shared" ca="1" si="2"/>
        <v>1.2202384607750876</v>
      </c>
      <c r="R8">
        <f t="shared" ca="1" si="2"/>
        <v>0.89946398165261998</v>
      </c>
    </row>
    <row r="9" spans="1:19" x14ac:dyDescent="0.45">
      <c r="A9">
        <f t="shared" ca="1" si="0"/>
        <v>-0.39225723651195016</v>
      </c>
      <c r="B9">
        <f t="shared" ca="1" si="0"/>
        <v>0.43964605304742466</v>
      </c>
      <c r="D9">
        <f ca="1">SQRT(MAX('HE2'!B8,0))*($G$2+$H$2*A9)</f>
        <v>-0.41896036382335011</v>
      </c>
      <c r="E9">
        <f t="shared" ca="1" si="1"/>
        <v>-5.0018157381105433E-2</v>
      </c>
      <c r="Q9">
        <f t="shared" ca="1" si="2"/>
        <v>-0.56982028805846563</v>
      </c>
      <c r="R9">
        <f t="shared" ca="1" si="2"/>
        <v>-0.60284676886024413</v>
      </c>
    </row>
    <row r="10" spans="1:19" x14ac:dyDescent="0.45">
      <c r="A10">
        <f t="shared" ca="1" si="0"/>
        <v>0.52947030811641715</v>
      </c>
      <c r="B10">
        <f t="shared" ca="1" si="0"/>
        <v>1.1389831105855373</v>
      </c>
      <c r="D10">
        <f ca="1">SQRT(MAX('HE2'!B9,0))*($G$2+$H$2*A10)</f>
        <v>0.56338495139477418</v>
      </c>
      <c r="E10">
        <f t="shared" ca="1" si="1"/>
        <v>1.1069661128444559</v>
      </c>
      <c r="Q10">
        <f t="shared" ca="1" si="2"/>
        <v>-5.6510608633661363E-2</v>
      </c>
      <c r="R10">
        <f t="shared" ca="1" si="2"/>
        <v>-0.84724479361425131</v>
      </c>
    </row>
    <row r="11" spans="1:19" x14ac:dyDescent="0.45">
      <c r="A11">
        <f t="shared" ca="1" si="0"/>
        <v>1.4028581646545194E-2</v>
      </c>
      <c r="B11">
        <f t="shared" ca="1" si="0"/>
        <v>1.3194063469795443</v>
      </c>
      <c r="D11">
        <f ca="1">SQRT(MAX('HE2'!B10,0))*($G$2+$H$2*A11)</f>
        <v>1.7142421610878786E-2</v>
      </c>
      <c r="E11">
        <f t="shared" ca="1" si="1"/>
        <v>0.80286667350496255</v>
      </c>
      <c r="Q11">
        <f t="shared" ca="1" si="2"/>
        <v>1.1261166875987132</v>
      </c>
      <c r="R11">
        <f t="shared" ca="1" si="2"/>
        <v>-7.8459275029033021E-2</v>
      </c>
    </row>
    <row r="12" spans="1:19" x14ac:dyDescent="0.45">
      <c r="A12">
        <f t="shared" ca="1" si="0"/>
        <v>0.81812273123682955</v>
      </c>
      <c r="B12">
        <f t="shared" ca="1" si="0"/>
        <v>1.3330815179370055</v>
      </c>
      <c r="D12">
        <f ca="1">SQRT(MAX('HE2'!B11,0))*($G$2+$H$2*A12)</f>
        <v>1.0939381873344811</v>
      </c>
      <c r="E12">
        <f t="shared" ca="1" si="1"/>
        <v>1.4543470957516669</v>
      </c>
      <c r="Q12">
        <f t="shared" ca="1" si="2"/>
        <v>0.30858922888929841</v>
      </c>
      <c r="R12">
        <f t="shared" ca="1" si="2"/>
        <v>-5.3281057047080714E-2</v>
      </c>
    </row>
    <row r="13" spans="1:19" x14ac:dyDescent="0.45">
      <c r="A13">
        <f t="shared" ca="1" si="0"/>
        <v>1.0634601858609023</v>
      </c>
      <c r="B13">
        <f t="shared" ca="1" si="0"/>
        <v>-7.4577900869879643E-2</v>
      </c>
      <c r="D13">
        <f ca="1">SQRT(MAX('HE2'!B12,0))*($G$2+$H$2*A13)</f>
        <v>1.6357345701154455</v>
      </c>
      <c r="E13">
        <f t="shared" ca="1" si="1"/>
        <v>0.80602140816679413</v>
      </c>
      <c r="Q13">
        <f t="shared" ca="1" si="2"/>
        <v>0.15915466365624562</v>
      </c>
      <c r="R13">
        <f t="shared" ca="1" si="2"/>
        <v>-1.5760510785258417</v>
      </c>
    </row>
    <row r="14" spans="1:19" x14ac:dyDescent="0.45">
      <c r="A14">
        <f t="shared" ca="1" si="0"/>
        <v>1.3393345972384039</v>
      </c>
      <c r="B14">
        <f t="shared" ca="1" si="0"/>
        <v>0.77290763535324281</v>
      </c>
      <c r="D14">
        <f ca="1">SQRT(MAX('HE2'!B13,0))*($G$2+$H$2*A14)</f>
        <v>2.209174689219195</v>
      </c>
      <c r="E14">
        <f t="shared" ca="1" si="1"/>
        <v>1.5352122590026687</v>
      </c>
      <c r="Q14">
        <f t="shared" ca="1" si="2"/>
        <v>0.58370601947944245</v>
      </c>
      <c r="R14">
        <f t="shared" ca="1" si="2"/>
        <v>-2.8012315214114448E-2</v>
      </c>
    </row>
    <row r="15" spans="1:19" x14ac:dyDescent="0.45">
      <c r="A15">
        <f t="shared" ca="1" si="0"/>
        <v>0.51468252748637733</v>
      </c>
      <c r="B15">
        <f t="shared" ca="1" si="0"/>
        <v>-1.1073727926614045</v>
      </c>
      <c r="D15">
        <f ca="1">SQRT(MAX('HE2'!B14,0))*($G$2+$H$2*A15)</f>
        <v>0.9568447669408402</v>
      </c>
      <c r="E15">
        <f t="shared" ca="1" si="1"/>
        <v>-0.25267765360774069</v>
      </c>
      <c r="Q15">
        <f t="shared" ca="1" si="2"/>
        <v>-1.5924986116727462</v>
      </c>
      <c r="R15">
        <f t="shared" ca="1" si="2"/>
        <v>2.1040358937327035</v>
      </c>
    </row>
    <row r="16" spans="1:19" x14ac:dyDescent="0.45">
      <c r="A16">
        <f t="shared" ca="1" si="0"/>
        <v>-2.3081073001345849</v>
      </c>
      <c r="B16">
        <f t="shared" ca="1" si="0"/>
        <v>1.7677565820402124</v>
      </c>
      <c r="D16">
        <f ca="1">SQRT(MAX('HE2'!B15,0))*($G$2+$H$2*A16)</f>
        <v>-4.1779033021079632</v>
      </c>
      <c r="E16">
        <f t="shared" ca="1" si="1"/>
        <v>-0.78583189088354088</v>
      </c>
      <c r="Q16">
        <f t="shared" ca="1" si="2"/>
        <v>0.39701425388233935</v>
      </c>
      <c r="R16">
        <f t="shared" ca="1" si="2"/>
        <v>-0.16799571082046844</v>
      </c>
    </row>
    <row r="17" spans="1:18" x14ac:dyDescent="0.45">
      <c r="A17">
        <f t="shared" ca="1" si="0"/>
        <v>-0.22780625598720244</v>
      </c>
      <c r="B17">
        <f t="shared" ca="1" si="0"/>
        <v>-1.7273242894728709E-2</v>
      </c>
      <c r="D17">
        <f ca="1">SQRT(MAX('HE2'!B16,0))*($G$2+$H$2*A17)</f>
        <v>-0.38217634669355621</v>
      </c>
      <c r="E17">
        <f t="shared" ca="1" si="1"/>
        <v>-0.19260895052659918</v>
      </c>
      <c r="Q17">
        <f t="shared" ca="1" si="2"/>
        <v>0.625107932610519</v>
      </c>
      <c r="R17">
        <f t="shared" ca="1" si="2"/>
        <v>-1.0723444753974185</v>
      </c>
    </row>
    <row r="18" spans="1:18" x14ac:dyDescent="0.45">
      <c r="A18">
        <f t="shared" ca="1" si="0"/>
        <v>-8.1936166071323695E-3</v>
      </c>
      <c r="B18">
        <f t="shared" ca="1" si="0"/>
        <v>-2.1888179152591607</v>
      </c>
      <c r="D18">
        <f ca="1">SQRT(MAX('HE2'!B17,0))*($G$2+$H$2*A18)</f>
        <v>-1.3442297277576405E-2</v>
      </c>
      <c r="E18">
        <f t="shared" ca="1" si="1"/>
        <v>-1.3198456424412019</v>
      </c>
      <c r="Q18">
        <f t="shared" ca="1" si="2"/>
        <v>-0.63101985969178453</v>
      </c>
      <c r="R18">
        <f t="shared" ca="1" si="2"/>
        <v>-0.26142720005673709</v>
      </c>
    </row>
    <row r="19" spans="1:18" x14ac:dyDescent="0.45">
      <c r="A19">
        <f t="shared" ca="1" si="0"/>
        <v>-0.74479514929829094</v>
      </c>
      <c r="B19">
        <f t="shared" ca="1" si="0"/>
        <v>0.11687493387013831</v>
      </c>
      <c r="D19">
        <f ca="1">SQRT(MAX('HE2'!B18,0))*($G$2+$H$2*A19)</f>
        <v>-1.058120825628194</v>
      </c>
      <c r="E19">
        <f t="shared" ca="1" si="1"/>
        <v>-0.52571115911654986</v>
      </c>
      <c r="Q19">
        <f t="shared" ca="1" si="2"/>
        <v>-2.4679157058733487</v>
      </c>
      <c r="R19">
        <f t="shared" ca="1" si="2"/>
        <v>0.50448983268280734</v>
      </c>
    </row>
    <row r="20" spans="1:18" x14ac:dyDescent="0.45">
      <c r="A20">
        <f t="shared" ca="1" si="0"/>
        <v>0.78001900671353064</v>
      </c>
      <c r="B20">
        <f t="shared" ca="1" si="0"/>
        <v>-0.70984824962148185</v>
      </c>
      <c r="D20">
        <f ca="1">SQRT(MAX('HE2'!B19,0))*($G$2+$H$2*A20)</f>
        <v>1.0418996709335275</v>
      </c>
      <c r="E20">
        <f t="shared" ca="1" si="1"/>
        <v>0.19810625559793554</v>
      </c>
      <c r="Q20">
        <f t="shared" ca="1" si="2"/>
        <v>0.40790669723411327</v>
      </c>
      <c r="R20">
        <f t="shared" ca="1" si="2"/>
        <v>-1.0969107585288784</v>
      </c>
    </row>
    <row r="21" spans="1:18" x14ac:dyDescent="0.45">
      <c r="A21">
        <f t="shared" ca="1" si="0"/>
        <v>-7.0291926209189323E-2</v>
      </c>
      <c r="B21">
        <f t="shared" ca="1" si="0"/>
        <v>-0.64768170914787115</v>
      </c>
      <c r="D21">
        <f ca="1">SQRT(MAX('HE2'!B20,0))*($G$2+$H$2*A21)</f>
        <v>-9.5817998837568349E-2</v>
      </c>
      <c r="E21">
        <f t="shared" ca="1" si="1"/>
        <v>-0.44484256645607406</v>
      </c>
      <c r="Q21">
        <f t="shared" ca="1" si="2"/>
        <v>8.6062558107737566E-2</v>
      </c>
      <c r="R21">
        <f t="shared" ca="1" si="2"/>
        <v>-0.39584817860779503</v>
      </c>
    </row>
    <row r="22" spans="1:18" x14ac:dyDescent="0.45">
      <c r="A22">
        <f t="shared" ref="A22:B41" ca="1" si="3">NORMINV(RAND(),0,1)</f>
        <v>-1.6596725257738572</v>
      </c>
      <c r="B22">
        <f t="shared" ca="1" si="3"/>
        <v>-0.46787467491804718</v>
      </c>
      <c r="D22">
        <f ca="1">SQRT(MAX('HE2'!B21,0))*($G$2+$H$2*A22)</f>
        <v>-2.1443523438195844</v>
      </c>
      <c r="E22">
        <f t="shared" ca="1" si="1"/>
        <v>-1.608462825569914</v>
      </c>
      <c r="Q22">
        <f t="shared" ref="Q22:R41" ca="1" si="4">NORMINV(RAND(),0,1)</f>
        <v>-0.51371887544198946</v>
      </c>
      <c r="R22">
        <f t="shared" ca="1" si="4"/>
        <v>-0.98355456868120095</v>
      </c>
    </row>
    <row r="23" spans="1:18" x14ac:dyDescent="0.45">
      <c r="A23">
        <f t="shared" ca="1" si="3"/>
        <v>-1.2534386270251709</v>
      </c>
      <c r="B23">
        <f t="shared" ca="1" si="3"/>
        <v>-1.76777757361248E-2</v>
      </c>
      <c r="D23">
        <f ca="1">SQRT(MAX('HE2'!B22,0))*($G$2+$H$2*A23)</f>
        <v>-1.2799658417347946</v>
      </c>
      <c r="E23">
        <f t="shared" ca="1" si="1"/>
        <v>-1.0133575670618116</v>
      </c>
      <c r="Q23">
        <f t="shared" ca="1" si="4"/>
        <v>1.3573498924875873</v>
      </c>
      <c r="R23">
        <f t="shared" ca="1" si="4"/>
        <v>0.42594199822600309</v>
      </c>
    </row>
    <row r="24" spans="1:18" x14ac:dyDescent="0.45">
      <c r="A24">
        <f t="shared" ca="1" si="3"/>
        <v>1.3805156110823069</v>
      </c>
      <c r="B24">
        <f t="shared" ca="1" si="3"/>
        <v>7.618346410270023E-2</v>
      </c>
      <c r="D24">
        <f ca="1">SQRT(MAX('HE2'!B23,0))*($G$2+$H$2*A24)</f>
        <v>1.1889648985967203</v>
      </c>
      <c r="E24">
        <f t="shared" ca="1" si="1"/>
        <v>1.1501225673274658</v>
      </c>
      <c r="Q24">
        <f t="shared" ca="1" si="4"/>
        <v>-1.1649714063411649</v>
      </c>
      <c r="R24">
        <f t="shared" ca="1" si="4"/>
        <v>0.21388123345311666</v>
      </c>
    </row>
    <row r="25" spans="1:18" x14ac:dyDescent="0.45">
      <c r="A25">
        <f t="shared" ca="1" si="3"/>
        <v>0.63000656853794801</v>
      </c>
      <c r="B25">
        <f t="shared" ca="1" si="3"/>
        <v>-0.10081422150422958</v>
      </c>
      <c r="D25">
        <f ca="1">SQRT(MAX('HE2'!B24,0))*($G$2+$H$2*A25)</f>
        <v>0.64689782085000613</v>
      </c>
      <c r="E25">
        <f t="shared" ca="1" si="1"/>
        <v>0.44351672192782066</v>
      </c>
      <c r="Q25">
        <f t="shared" ca="1" si="4"/>
        <v>-0.13353122309241217</v>
      </c>
      <c r="R25">
        <f t="shared" ca="1" si="4"/>
        <v>0.66812798384068484</v>
      </c>
    </row>
    <row r="26" spans="1:18" x14ac:dyDescent="0.45">
      <c r="A26">
        <f t="shared" ca="1" si="3"/>
        <v>-6.6654775647207246E-2</v>
      </c>
      <c r="B26">
        <f t="shared" ca="1" si="3"/>
        <v>1.3929583645824648</v>
      </c>
      <c r="D26">
        <f ca="1">SQRT(MAX('HE2'!B25,0))*($G$2+$H$2*A26)</f>
        <v>-7.3021055577719762E-2</v>
      </c>
      <c r="E26">
        <f t="shared" ca="1" si="1"/>
        <v>0.78245119823171283</v>
      </c>
      <c r="Q26">
        <f t="shared" ca="1" si="4"/>
        <v>2.1035083986583967</v>
      </c>
      <c r="R26">
        <f t="shared" ca="1" si="4"/>
        <v>-1.7057624062911825</v>
      </c>
    </row>
    <row r="27" spans="1:18" x14ac:dyDescent="0.45">
      <c r="A27">
        <f t="shared" ca="1" si="3"/>
        <v>0.52637005433266071</v>
      </c>
      <c r="B27">
        <f t="shared" ca="1" si="3"/>
        <v>-1.2993165368220685</v>
      </c>
      <c r="D27">
        <f ca="1">SQRT(MAX('HE2'!B26,0))*($G$2+$H$2*A27)</f>
        <v>0.63679142991909077</v>
      </c>
      <c r="E27">
        <f t="shared" ca="1" si="1"/>
        <v>-0.35849387862711235</v>
      </c>
      <c r="Q27">
        <f t="shared" ca="1" si="4"/>
        <v>0.99020470773082903</v>
      </c>
      <c r="R27">
        <f t="shared" ca="1" si="4"/>
        <v>-0.54187493934225883</v>
      </c>
    </row>
    <row r="28" spans="1:18" x14ac:dyDescent="0.45">
      <c r="A28">
        <f t="shared" ca="1" si="3"/>
        <v>-0.9128696383942807</v>
      </c>
      <c r="B28">
        <f t="shared" ca="1" si="3"/>
        <v>0.39719708293984429</v>
      </c>
      <c r="D28">
        <f ca="1">SQRT(MAX('HE2'!B27,0))*($G$2+$H$2*A28)</f>
        <v>-1.054533311513725</v>
      </c>
      <c r="E28">
        <f t="shared" ca="1" si="1"/>
        <v>-0.49197746095151812</v>
      </c>
      <c r="Q28">
        <f t="shared" ca="1" si="4"/>
        <v>1.9193904141304063E-2</v>
      </c>
      <c r="R28">
        <f t="shared" ca="1" si="4"/>
        <v>0.18536041260014882</v>
      </c>
    </row>
    <row r="29" spans="1:18" x14ac:dyDescent="0.45">
      <c r="A29">
        <f t="shared" ca="1" si="3"/>
        <v>-1.1614680802246355</v>
      </c>
      <c r="B29">
        <f t="shared" ca="1" si="3"/>
        <v>0.19534483272953868</v>
      </c>
      <c r="D29">
        <f ca="1">SQRT(MAX('HE2'!B28,0))*($G$2+$H$2*A29)</f>
        <v>-1.2549950619635601</v>
      </c>
      <c r="E29">
        <f t="shared" ca="1" si="1"/>
        <v>-0.81196756454198526</v>
      </c>
      <c r="Q29">
        <f t="shared" ca="1" si="4"/>
        <v>0.60870971006695318</v>
      </c>
      <c r="R29">
        <f t="shared" ca="1" si="4"/>
        <v>0.10575570602108321</v>
      </c>
    </row>
    <row r="30" spans="1:18" x14ac:dyDescent="0.45">
      <c r="A30">
        <f t="shared" ca="1" si="3"/>
        <v>-0.61986461405710047</v>
      </c>
      <c r="B30">
        <f t="shared" ca="1" si="3"/>
        <v>0.38002890424279429</v>
      </c>
      <c r="D30">
        <f ca="1">SQRT(MAX('HE2'!B29,0))*($G$2+$H$2*A30)</f>
        <v>-0.59171778476294956</v>
      </c>
      <c r="E30">
        <f t="shared" ca="1" si="1"/>
        <v>-0.26787434870000387</v>
      </c>
      <c r="Q30">
        <f t="shared" ca="1" si="4"/>
        <v>-0.82102151130316026</v>
      </c>
      <c r="R30">
        <f t="shared" ca="1" si="4"/>
        <v>0.19913645737519581</v>
      </c>
    </row>
    <row r="31" spans="1:18" x14ac:dyDescent="0.45">
      <c r="A31">
        <f t="shared" ca="1" si="3"/>
        <v>1.7666992663878471</v>
      </c>
      <c r="B31">
        <f t="shared" ca="1" si="3"/>
        <v>0.53237999193852592</v>
      </c>
      <c r="D31">
        <f ca="1">SQRT(MAX('HE2'!B30,0))*($G$2+$H$2*A31)</f>
        <v>1.6255320234617259</v>
      </c>
      <c r="E31">
        <f t="shared" ca="1" si="1"/>
        <v>1.7327874082733934</v>
      </c>
      <c r="Q31">
        <f t="shared" ca="1" si="4"/>
        <v>-0.41974996070942844</v>
      </c>
      <c r="R31">
        <f t="shared" ca="1" si="4"/>
        <v>0.68563162362178387</v>
      </c>
    </row>
    <row r="32" spans="1:18" x14ac:dyDescent="0.45">
      <c r="A32">
        <f t="shared" ca="1" si="3"/>
        <v>1.6518553687394983</v>
      </c>
      <c r="B32">
        <f t="shared" ca="1" si="3"/>
        <v>-1.6224803582326914</v>
      </c>
      <c r="D32">
        <f ca="1">SQRT(MAX('HE2'!B31,0))*($G$2+$H$2*A32)</f>
        <v>1.9108840795107922</v>
      </c>
      <c r="E32">
        <f t="shared" ca="1" si="1"/>
        <v>0.34799608005198412</v>
      </c>
      <c r="Q32">
        <f t="shared" ca="1" si="4"/>
        <v>0.63341249105546249</v>
      </c>
      <c r="R32">
        <f t="shared" ca="1" si="4"/>
        <v>1.922390800455976</v>
      </c>
    </row>
    <row r="33" spans="1:18" x14ac:dyDescent="0.45">
      <c r="A33">
        <f t="shared" ca="1" si="3"/>
        <v>0.88568044380641631</v>
      </c>
      <c r="B33">
        <f t="shared" ca="1" si="3"/>
        <v>-0.6519061802125049</v>
      </c>
      <c r="D33">
        <f ca="1">SQRT(MAX('HE2'!B32,0))*($G$2+$H$2*A33)</f>
        <v>1.071081969789639</v>
      </c>
      <c r="E33">
        <f t="shared" ca="1" si="1"/>
        <v>0.31740064691763026</v>
      </c>
      <c r="Q33">
        <f t="shared" ca="1" si="4"/>
        <v>0.16668874466908706</v>
      </c>
      <c r="R33">
        <f t="shared" ca="1" si="4"/>
        <v>0.5149172305003914</v>
      </c>
    </row>
    <row r="34" spans="1:18" x14ac:dyDescent="0.45">
      <c r="A34">
        <f t="shared" ca="1" si="3"/>
        <v>0.81015890465818818</v>
      </c>
      <c r="B34">
        <f t="shared" ca="1" si="3"/>
        <v>-8.3568090853635077E-2</v>
      </c>
      <c r="D34">
        <f ca="1">SQRT(MAX('HE2'!B33,0))*($G$2+$H$2*A34)</f>
        <v>1.0179206667048868</v>
      </c>
      <c r="E34">
        <f t="shared" ca="1" si="1"/>
        <v>0.59798626921436959</v>
      </c>
      <c r="Q34">
        <f t="shared" ca="1" si="4"/>
        <v>-0.98086516659587131</v>
      </c>
      <c r="R34">
        <f t="shared" ca="1" si="4"/>
        <v>-2.3810664160845736</v>
      </c>
    </row>
    <row r="35" spans="1:18" x14ac:dyDescent="0.45">
      <c r="A35">
        <f t="shared" ca="1" si="3"/>
        <v>-2.0378586370148496E-2</v>
      </c>
      <c r="B35">
        <f t="shared" ca="1" si="3"/>
        <v>0.47579498912202173</v>
      </c>
      <c r="D35">
        <f ca="1">SQRT(MAX('HE2'!B34,0))*($G$2+$H$2*A35)</f>
        <v>-2.7361633977420387E-2</v>
      </c>
      <c r="E35">
        <f t="shared" ca="1" si="1"/>
        <v>0.2691741243770942</v>
      </c>
      <c r="Q35">
        <f t="shared" ca="1" si="4"/>
        <v>0.16476435689545119</v>
      </c>
      <c r="R35">
        <f t="shared" ca="1" si="4"/>
        <v>0.60189022289706062</v>
      </c>
    </row>
    <row r="36" spans="1:18" x14ac:dyDescent="0.45">
      <c r="A36">
        <f t="shared" ca="1" si="3"/>
        <v>0.48544284285324024</v>
      </c>
      <c r="B36">
        <f t="shared" ca="1" si="3"/>
        <v>0.50588059593671308</v>
      </c>
      <c r="D36">
        <f ca="1">SQRT(MAX('HE2'!B35,0))*($G$2+$H$2*A36)</f>
        <v>0.67008489069930488</v>
      </c>
      <c r="E36">
        <f t="shared" ca="1" si="1"/>
        <v>0.69188263184462007</v>
      </c>
      <c r="Q36">
        <f t="shared" ca="1" si="4"/>
        <v>0.66246962530360942</v>
      </c>
      <c r="R36">
        <f t="shared" ca="1" si="4"/>
        <v>-0.73934840657606427</v>
      </c>
    </row>
    <row r="37" spans="1:18" x14ac:dyDescent="0.45">
      <c r="A37">
        <f t="shared" ca="1" si="3"/>
        <v>0.70083319530479693</v>
      </c>
      <c r="B37">
        <f t="shared" ca="1" si="3"/>
        <v>1.8706150447333487</v>
      </c>
      <c r="D37">
        <f ca="1">SQRT(MAX('HE2'!B36,0))*($G$2+$H$2*A37)</f>
        <v>1.0357314150533583</v>
      </c>
      <c r="E37">
        <f t="shared" ca="1" si="1"/>
        <v>1.6830355830838466</v>
      </c>
      <c r="Q37">
        <f t="shared" ca="1" si="4"/>
        <v>-0.46933069655801229</v>
      </c>
      <c r="R37">
        <f t="shared" ca="1" si="4"/>
        <v>-0.40339629308399971</v>
      </c>
    </row>
    <row r="38" spans="1:18" x14ac:dyDescent="0.45">
      <c r="A38">
        <f t="shared" ca="1" si="3"/>
        <v>-1.1521731609394472</v>
      </c>
      <c r="B38">
        <f t="shared" ca="1" si="3"/>
        <v>0.42554009008095961</v>
      </c>
      <c r="D38">
        <f ca="1">SQRT(MAX('HE2'!B37,0))*($G$2+$H$2*A38)</f>
        <v>-1.9677669541563367</v>
      </c>
      <c r="E38">
        <f t="shared" ca="1" si="1"/>
        <v>-0.6664144747029821</v>
      </c>
      <c r="Q38">
        <f t="shared" ca="1" si="4"/>
        <v>-0.40342431943712431</v>
      </c>
      <c r="R38">
        <f t="shared" ca="1" si="4"/>
        <v>0.88470506784256808</v>
      </c>
    </row>
    <row r="39" spans="1:18" x14ac:dyDescent="0.45">
      <c r="A39">
        <f t="shared" ca="1" si="3"/>
        <v>-1.3019710012223067</v>
      </c>
      <c r="B39">
        <f t="shared" ca="1" si="3"/>
        <v>-0.13188554947602407</v>
      </c>
      <c r="D39">
        <f ca="1">SQRT(MAX('HE2'!B38,0))*($G$2+$H$2*A39)</f>
        <v>-2.0779882802965211</v>
      </c>
      <c r="E39">
        <f t="shared" ca="1" si="1"/>
        <v>-1.1207081306634599</v>
      </c>
      <c r="Q39">
        <f t="shared" ca="1" si="4"/>
        <v>1.2123911301699348</v>
      </c>
      <c r="R39">
        <f t="shared" ca="1" si="4"/>
        <v>0.62204633224621186</v>
      </c>
    </row>
    <row r="40" spans="1:18" x14ac:dyDescent="0.45">
      <c r="A40">
        <f t="shared" ca="1" si="3"/>
        <v>6.8874547594036342E-2</v>
      </c>
      <c r="B40">
        <f t="shared" ca="1" si="3"/>
        <v>-0.39719510983108225</v>
      </c>
      <c r="D40">
        <f ca="1">SQRT(MAX('HE2'!B39,0))*($G$2+$H$2*A40)</f>
        <v>9.7160382218323127E-2</v>
      </c>
      <c r="E40">
        <f t="shared" ca="1" si="1"/>
        <v>-0.18321742782342021</v>
      </c>
      <c r="Q40">
        <f t="shared" ca="1" si="4"/>
        <v>0.9005115030469123</v>
      </c>
      <c r="R40">
        <f t="shared" ca="1" si="4"/>
        <v>-0.82074491215396961</v>
      </c>
    </row>
    <row r="41" spans="1:18" x14ac:dyDescent="0.45">
      <c r="A41">
        <f t="shared" ca="1" si="3"/>
        <v>1.4301537750485163</v>
      </c>
      <c r="B41">
        <f t="shared" ca="1" si="3"/>
        <v>-1.0101515221820554</v>
      </c>
      <c r="D41">
        <f ca="1">SQRT(MAX('HE2'!B40,0))*($G$2+$H$2*A41)</f>
        <v>1.9728682261648081</v>
      </c>
      <c r="E41">
        <f t="shared" ca="1" si="1"/>
        <v>0.53803210672957991</v>
      </c>
      <c r="Q41">
        <f t="shared" ca="1" si="4"/>
        <v>1.0502278564124394</v>
      </c>
      <c r="R41">
        <f t="shared" ca="1" si="4"/>
        <v>0.15025129723038083</v>
      </c>
    </row>
    <row r="42" spans="1:18" x14ac:dyDescent="0.45">
      <c r="A42">
        <f t="shared" ref="A42:B61" ca="1" si="5">NORMINV(RAND(),0,1)</f>
        <v>-1.6495098252189351</v>
      </c>
      <c r="B42">
        <f t="shared" ca="1" si="5"/>
        <v>-0.75961154100896777</v>
      </c>
      <c r="D42">
        <f ca="1">SQRT(MAX('HE2'!B41,0))*($G$2+$H$2*A42)</f>
        <v>-2.4004956218062672</v>
      </c>
      <c r="E42">
        <f t="shared" ca="1" si="1"/>
        <v>-1.7753747847805288</v>
      </c>
      <c r="Q42">
        <f t="shared" ref="Q42:R61" ca="1" si="6">NORMINV(RAND(),0,1)</f>
        <v>1.0757556823706842</v>
      </c>
      <c r="R42">
        <f t="shared" ca="1" si="6"/>
        <v>0.22972080456516639</v>
      </c>
    </row>
    <row r="43" spans="1:18" x14ac:dyDescent="0.45">
      <c r="A43">
        <f t="shared" ca="1" si="5"/>
        <v>-0.96374385614175628</v>
      </c>
      <c r="B43">
        <f t="shared" ca="1" si="5"/>
        <v>-1.2185740279001351</v>
      </c>
      <c r="D43">
        <f ca="1">SQRT(MAX('HE2'!B42,0))*($G$2+$H$2*A43)</f>
        <v>-1.1117137683822194</v>
      </c>
      <c r="E43">
        <f t="shared" ca="1" si="1"/>
        <v>-1.502139501653486</v>
      </c>
      <c r="Q43">
        <f t="shared" ca="1" si="6"/>
        <v>0.91948833917520723</v>
      </c>
      <c r="R43">
        <f t="shared" ca="1" si="6"/>
        <v>-1.1989851805283831</v>
      </c>
    </row>
    <row r="44" spans="1:18" x14ac:dyDescent="0.45">
      <c r="A44">
        <f t="shared" ca="1" si="5"/>
        <v>2.7061440104420162</v>
      </c>
      <c r="B44">
        <f t="shared" ca="1" si="5"/>
        <v>-0.51280099680509128</v>
      </c>
      <c r="D44">
        <f ca="1">SQRT(MAX('HE2'!B43,0))*($G$2+$H$2*A44)</f>
        <v>2.4422403294981194</v>
      </c>
      <c r="E44">
        <f t="shared" ca="1" si="1"/>
        <v>1.8572346102705586</v>
      </c>
      <c r="Q44">
        <f t="shared" ca="1" si="6"/>
        <v>5.1327523639826893E-2</v>
      </c>
      <c r="R44">
        <f t="shared" ca="1" si="6"/>
        <v>-0.54167673084645696</v>
      </c>
    </row>
    <row r="45" spans="1:18" x14ac:dyDescent="0.45">
      <c r="A45">
        <f t="shared" ca="1" si="5"/>
        <v>-0.80271826108907229</v>
      </c>
      <c r="B45">
        <f t="shared" ca="1" si="5"/>
        <v>-0.13781490761928689</v>
      </c>
      <c r="D45">
        <f ca="1">SQRT(MAX('HE2'!B44,0))*($G$2+$H$2*A45)</f>
        <v>-0.92618641411012381</v>
      </c>
      <c r="E45">
        <f t="shared" ca="1" si="1"/>
        <v>-0.72486355344283004</v>
      </c>
      <c r="Q45">
        <f t="shared" ca="1" si="6"/>
        <v>-0.47657488750908505</v>
      </c>
      <c r="R45">
        <f t="shared" ca="1" si="6"/>
        <v>-0.33481515704396986</v>
      </c>
    </row>
    <row r="46" spans="1:18" x14ac:dyDescent="0.45">
      <c r="A46">
        <f t="shared" ca="1" si="5"/>
        <v>-0.51924898342574133</v>
      </c>
      <c r="B46">
        <f t="shared" ca="1" si="5"/>
        <v>1.6882186439112836</v>
      </c>
      <c r="D46">
        <f ca="1">SQRT(MAX('HE2'!B45,0))*($G$2+$H$2*A46)</f>
        <v>-0.54062242207948219</v>
      </c>
      <c r="E46">
        <f t="shared" ca="1" si="1"/>
        <v>0.59753199960617698</v>
      </c>
      <c r="Q46">
        <f t="shared" ca="1" si="6"/>
        <v>-0.24721319732440003</v>
      </c>
      <c r="R46">
        <f t="shared" ca="1" si="6"/>
        <v>-0.84733996360181052</v>
      </c>
    </row>
    <row r="47" spans="1:18" x14ac:dyDescent="0.45">
      <c r="A47">
        <f t="shared" ca="1" si="5"/>
        <v>-0.1310292612924025</v>
      </c>
      <c r="B47">
        <f t="shared" ca="1" si="5"/>
        <v>-1.4315734598296703</v>
      </c>
      <c r="D47">
        <f ca="1">SQRT(MAX('HE2'!B46,0))*($G$2+$H$2*A47)</f>
        <v>-0.14819894324302274</v>
      </c>
      <c r="E47">
        <f t="shared" ca="1" si="1"/>
        <v>-0.96376748493172393</v>
      </c>
      <c r="Q47">
        <f t="shared" ca="1" si="6"/>
        <v>1.1137339889097519</v>
      </c>
      <c r="R47">
        <f t="shared" ca="1" si="6"/>
        <v>-1.4792635418557352</v>
      </c>
    </row>
    <row r="48" spans="1:18" x14ac:dyDescent="0.45">
      <c r="A48">
        <f t="shared" ca="1" si="5"/>
        <v>0.71157497535168757</v>
      </c>
      <c r="B48">
        <f t="shared" ca="1" si="5"/>
        <v>0.38845134862104769</v>
      </c>
      <c r="D48">
        <f ca="1">SQRT(MAX('HE2'!B47,0))*($G$2+$H$2*A48)</f>
        <v>0.69607557649225982</v>
      </c>
      <c r="E48">
        <f t="shared" ca="1" si="1"/>
        <v>0.80233078945397862</v>
      </c>
      <c r="Q48">
        <f t="shared" ca="1" si="6"/>
        <v>-0.47298139552240082</v>
      </c>
      <c r="R48">
        <f t="shared" ca="1" si="6"/>
        <v>-0.29640602791244641</v>
      </c>
    </row>
    <row r="49" spans="1:18" x14ac:dyDescent="0.45">
      <c r="A49">
        <f t="shared" ca="1" si="5"/>
        <v>-2.2338364358888079</v>
      </c>
      <c r="B49">
        <f t="shared" ca="1" si="5"/>
        <v>0.91961859446416183</v>
      </c>
      <c r="D49">
        <f ca="1">SQRT(MAX('HE2'!B48,0))*($G$2+$H$2*A49)</f>
        <v>-2.4506081239909583</v>
      </c>
      <c r="E49">
        <f t="shared" ca="1" si="1"/>
        <v>-1.2352979920325495</v>
      </c>
      <c r="Q49">
        <f t="shared" ca="1" si="6"/>
        <v>-0.61188544943432932</v>
      </c>
      <c r="R49">
        <f t="shared" ca="1" si="6"/>
        <v>1.3057471354705894</v>
      </c>
    </row>
    <row r="50" spans="1:18" x14ac:dyDescent="0.45">
      <c r="A50">
        <f t="shared" ca="1" si="5"/>
        <v>0.1357925963232742</v>
      </c>
      <c r="B50">
        <f t="shared" ca="1" si="5"/>
        <v>-0.31258003376528654</v>
      </c>
      <c r="D50">
        <f ca="1">SQRT(MAX('HE2'!B49,0))*($G$2+$H$2*A50)</f>
        <v>0.1216949878452204</v>
      </c>
      <c r="E50">
        <f t="shared" ca="1" si="1"/>
        <v>-7.8913943200552519E-2</v>
      </c>
      <c r="Q50">
        <f t="shared" ca="1" si="6"/>
        <v>4.8720518518414684E-2</v>
      </c>
      <c r="R50">
        <f t="shared" ca="1" si="6"/>
        <v>0.60770568888462717</v>
      </c>
    </row>
    <row r="51" spans="1:18" x14ac:dyDescent="0.45">
      <c r="A51">
        <f t="shared" ca="1" si="5"/>
        <v>-0.52501464537355158</v>
      </c>
      <c r="B51">
        <f t="shared" ca="1" si="5"/>
        <v>-0.12664638959238914</v>
      </c>
      <c r="D51">
        <f ca="1">SQRT(MAX('HE2'!B50,0))*($G$2+$H$2*A51)</f>
        <v>-0.46845086740413922</v>
      </c>
      <c r="E51">
        <f t="shared" ca="1" si="1"/>
        <v>-0.49599955005427476</v>
      </c>
      <c r="Q51">
        <f t="shared" ca="1" si="6"/>
        <v>0.37384782435520314</v>
      </c>
      <c r="R51">
        <f t="shared" ca="1" si="6"/>
        <v>-0.15653726187450945</v>
      </c>
    </row>
    <row r="52" spans="1:18" x14ac:dyDescent="0.45">
      <c r="A52">
        <f t="shared" ca="1" si="5"/>
        <v>2.8376164972434279</v>
      </c>
      <c r="B52">
        <f t="shared" ca="1" si="5"/>
        <v>-1.3914968836386585</v>
      </c>
      <c r="D52">
        <f ca="1">SQRT(MAX('HE2'!B51,0))*($G$2+$H$2*A52)</f>
        <v>2.3360136325393661</v>
      </c>
      <c r="E52">
        <f t="shared" ca="1" si="1"/>
        <v>1.4351950676115477</v>
      </c>
      <c r="Q52">
        <f t="shared" ca="1" si="6"/>
        <v>1.4005637509230913</v>
      </c>
      <c r="R52">
        <f t="shared" ca="1" si="6"/>
        <v>-1.1984382611539313</v>
      </c>
    </row>
    <row r="53" spans="1:18" x14ac:dyDescent="0.45">
      <c r="A53">
        <f t="shared" ca="1" si="5"/>
        <v>1.1321953992144977</v>
      </c>
      <c r="B53">
        <f t="shared" ca="1" si="5"/>
        <v>2.4155946690442975E-2</v>
      </c>
      <c r="D53">
        <f ca="1">SQRT(MAX('HE2'!B52,0))*($G$2+$H$2*A53)</f>
        <v>1.1595317404843499</v>
      </c>
      <c r="E53">
        <f t="shared" ca="1" si="1"/>
        <v>0.92024988738586411</v>
      </c>
      <c r="Q53">
        <f t="shared" ca="1" si="6"/>
        <v>0.59123534899808561</v>
      </c>
      <c r="R53">
        <f t="shared" ca="1" si="6"/>
        <v>-0.69149915657787731</v>
      </c>
    </row>
    <row r="54" spans="1:18" x14ac:dyDescent="0.45">
      <c r="A54">
        <f t="shared" ca="1" si="5"/>
        <v>1.3001081120183371</v>
      </c>
      <c r="B54">
        <f t="shared" ca="1" si="5"/>
        <v>-0.60002142474066367</v>
      </c>
      <c r="D54">
        <f ca="1">SQRT(MAX('HE2'!B53,0))*($G$2+$H$2*A54)</f>
        <v>1.50549110519128</v>
      </c>
      <c r="E54">
        <f t="shared" ca="1" si="1"/>
        <v>0.68007363477027161</v>
      </c>
      <c r="Q54">
        <f t="shared" ca="1" si="6"/>
        <v>-1.3699726789122015</v>
      </c>
      <c r="R54">
        <f t="shared" ca="1" si="6"/>
        <v>-1.222878531252914</v>
      </c>
    </row>
    <row r="55" spans="1:18" x14ac:dyDescent="0.45">
      <c r="A55">
        <f t="shared" ca="1" si="5"/>
        <v>-0.12627577149190503</v>
      </c>
      <c r="B55">
        <f t="shared" ca="1" si="5"/>
        <v>1.0708932535056583</v>
      </c>
      <c r="D55">
        <f ca="1">SQRT(MAX('HE2'!B54,0))*($G$2+$H$2*A55)</f>
        <v>-0.15875659182021126</v>
      </c>
      <c r="E55">
        <f t="shared" ca="1" si="1"/>
        <v>0.5415153349098708</v>
      </c>
      <c r="Q55">
        <f t="shared" ca="1" si="6"/>
        <v>-1.3218586802440107</v>
      </c>
      <c r="R55">
        <f t="shared" ca="1" si="6"/>
        <v>0.75667632750278679</v>
      </c>
    </row>
    <row r="56" spans="1:18" x14ac:dyDescent="0.45">
      <c r="A56">
        <f t="shared" ca="1" si="5"/>
        <v>-2.2100225689806083</v>
      </c>
      <c r="B56">
        <f t="shared" ca="1" si="5"/>
        <v>-2.3356787792759679</v>
      </c>
      <c r="D56">
        <f ca="1">SQRT(MAX('HE2'!B55,0))*($G$2+$H$2*A56)</f>
        <v>-2.9514375389894689</v>
      </c>
      <c r="E56">
        <f t="shared" ca="1" si="1"/>
        <v>-3.1694253227500671</v>
      </c>
      <c r="Q56">
        <f t="shared" ca="1" si="6"/>
        <v>-1.7133067189019475</v>
      </c>
      <c r="R56">
        <f t="shared" ca="1" si="6"/>
        <v>0.4143021572748159</v>
      </c>
    </row>
    <row r="57" spans="1:18" x14ac:dyDescent="0.45">
      <c r="A57">
        <f t="shared" ca="1" si="5"/>
        <v>-0.52214852016885793</v>
      </c>
      <c r="B57">
        <f t="shared" ca="1" si="5"/>
        <v>0.29501696722749526</v>
      </c>
      <c r="D57">
        <f ca="1">SQRT(MAX('HE2'!B56,0))*($G$2+$H$2*A57)</f>
        <v>-0.37226329262338004</v>
      </c>
      <c r="E57">
        <f t="shared" ca="1" si="1"/>
        <v>-0.24070863579858925</v>
      </c>
      <c r="Q57">
        <f t="shared" ca="1" si="6"/>
        <v>-0.23945641321409941</v>
      </c>
      <c r="R57">
        <f t="shared" ca="1" si="6"/>
        <v>1.1446403183993912</v>
      </c>
    </row>
    <row r="58" spans="1:18" x14ac:dyDescent="0.45">
      <c r="A58">
        <f t="shared" ca="1" si="5"/>
        <v>-0.47764299410077993</v>
      </c>
      <c r="B58">
        <f t="shared" ca="1" si="5"/>
        <v>0.53639644593956193</v>
      </c>
      <c r="D58">
        <f ca="1">SQRT(MAX('HE2'!B57,0))*($G$2+$H$2*A58)</f>
        <v>-0.3298537123341857</v>
      </c>
      <c r="E58">
        <f t="shared" ca="1" si="1"/>
        <v>-6.0276527716886852E-2</v>
      </c>
      <c r="Q58">
        <f t="shared" ca="1" si="6"/>
        <v>1.5884863418768833</v>
      </c>
      <c r="R58">
        <f t="shared" ca="1" si="6"/>
        <v>-0.49792065557730963</v>
      </c>
    </row>
    <row r="59" spans="1:18" x14ac:dyDescent="0.45">
      <c r="A59">
        <f t="shared" ca="1" si="5"/>
        <v>-0.75880865779710138</v>
      </c>
      <c r="B59">
        <f t="shared" ca="1" si="5"/>
        <v>-1.8409552318752938</v>
      </c>
      <c r="D59">
        <f ca="1">SQRT(MAX('HE2'!B58,0))*($G$2+$H$2*A59)</f>
        <v>-0.52853156558743319</v>
      </c>
      <c r="E59">
        <f t="shared" ca="1" si="1"/>
        <v>-1.7116200653628573</v>
      </c>
      <c r="Q59">
        <f t="shared" ca="1" si="6"/>
        <v>1.239657326530482</v>
      </c>
      <c r="R59">
        <f t="shared" ca="1" si="6"/>
        <v>-0.26817423320490769</v>
      </c>
    </row>
    <row r="60" spans="1:18" x14ac:dyDescent="0.45">
      <c r="A60">
        <f t="shared" ca="1" si="5"/>
        <v>0.88241980518292351</v>
      </c>
      <c r="B60">
        <f t="shared" ca="1" si="5"/>
        <v>0.76815111686132365</v>
      </c>
      <c r="D60">
        <f ca="1">SQRT(MAX('HE2'!B59,0))*($G$2+$H$2*A60)</f>
        <v>0.33954126589414885</v>
      </c>
      <c r="E60">
        <f t="shared" ca="1" si="1"/>
        <v>1.1668265142631329</v>
      </c>
      <c r="Q60">
        <f t="shared" ca="1" si="6"/>
        <v>0.83710989634369903</v>
      </c>
      <c r="R60">
        <f t="shared" ca="1" si="6"/>
        <v>-2.9274084453297582</v>
      </c>
    </row>
    <row r="61" spans="1:18" x14ac:dyDescent="0.45">
      <c r="A61">
        <f t="shared" ca="1" si="5"/>
        <v>1.32466899623553</v>
      </c>
      <c r="B61">
        <f t="shared" ca="1" si="5"/>
        <v>0.47516228472699618</v>
      </c>
      <c r="D61">
        <f ca="1">SQRT(MAX('HE2'!B60,0))*($G$2+$H$2*A61)</f>
        <v>0.73761431914433317</v>
      </c>
      <c r="E61">
        <f t="shared" ca="1" si="1"/>
        <v>1.3448325678246218</v>
      </c>
      <c r="Q61">
        <f t="shared" ca="1" si="6"/>
        <v>0.19199566602089327</v>
      </c>
      <c r="R61">
        <f t="shared" ca="1" si="6"/>
        <v>0.12044915213847063</v>
      </c>
    </row>
    <row r="62" spans="1:18" x14ac:dyDescent="0.45">
      <c r="A62">
        <f t="shared" ref="A62:B81" ca="1" si="7">NORMINV(RAND(),0,1)</f>
        <v>0.68681646281366593</v>
      </c>
      <c r="B62">
        <f t="shared" ca="1" si="7"/>
        <v>-0.45961981230165072</v>
      </c>
      <c r="D62">
        <f ca="1">SQRT(MAX('HE2'!B61,0))*($G$2+$H$2*A62)</f>
        <v>0.5134053576747678</v>
      </c>
      <c r="E62">
        <f t="shared" ca="1" si="1"/>
        <v>0.27368128286994242</v>
      </c>
      <c r="Q62">
        <f t="shared" ref="Q62:R81" ca="1" si="8">NORMINV(RAND(),0,1)</f>
        <v>-1.6585375971890282</v>
      </c>
      <c r="R62">
        <f t="shared" ca="1" si="8"/>
        <v>6.2043916773304195E-4</v>
      </c>
    </row>
    <row r="63" spans="1:18" x14ac:dyDescent="0.45">
      <c r="A63">
        <f t="shared" ca="1" si="7"/>
        <v>-1.2653304998029471</v>
      </c>
      <c r="B63">
        <f t="shared" ca="1" si="7"/>
        <v>-0.54700469229857018</v>
      </c>
      <c r="D63">
        <f ca="1">SQRT(MAX('HE2'!B62,0))*($G$2+$H$2*A63)</f>
        <v>-1.011666984864225</v>
      </c>
      <c r="E63">
        <f t="shared" ca="1" si="1"/>
        <v>-1.3404672152214998</v>
      </c>
      <c r="Q63">
        <f t="shared" ca="1" si="8"/>
        <v>0.96972697187550838</v>
      </c>
      <c r="R63">
        <f t="shared" ca="1" si="8"/>
        <v>-0.81342411161677719</v>
      </c>
    </row>
    <row r="64" spans="1:18" x14ac:dyDescent="0.45">
      <c r="A64">
        <f t="shared" ca="1" si="7"/>
        <v>-1.1208514035477632</v>
      </c>
      <c r="B64">
        <f t="shared" ca="1" si="7"/>
        <v>-0.90703497946401501</v>
      </c>
      <c r="D64">
        <f ca="1">SQRT(MAX('HE2'!B63,0))*($G$2+$H$2*A64)</f>
        <v>-0.64893873227724819</v>
      </c>
      <c r="E64">
        <f t="shared" ca="1" si="1"/>
        <v>-1.4409021105166195</v>
      </c>
      <c r="Q64">
        <f t="shared" ca="1" si="8"/>
        <v>-1.6677115753089884</v>
      </c>
      <c r="R64">
        <f t="shared" ca="1" si="8"/>
        <v>0.65827533067726351</v>
      </c>
    </row>
    <row r="65" spans="1:18" x14ac:dyDescent="0.45">
      <c r="A65">
        <f t="shared" ca="1" si="7"/>
        <v>-1.2166208704238823</v>
      </c>
      <c r="B65">
        <f t="shared" ca="1" si="7"/>
        <v>3.8752534337262619E-2</v>
      </c>
      <c r="D65">
        <f ca="1">SQRT(MAX('HE2'!B64,0))*($G$2+$H$2*A65)</f>
        <v>-0.4007432213120351</v>
      </c>
      <c r="E65">
        <f t="shared" ca="1" si="1"/>
        <v>-0.95004517573674829</v>
      </c>
      <c r="Q65">
        <f t="shared" ca="1" si="8"/>
        <v>-0.81413743735754185</v>
      </c>
      <c r="R65">
        <f t="shared" ca="1" si="8"/>
        <v>0.28420920495936514</v>
      </c>
    </row>
    <row r="66" spans="1:18" x14ac:dyDescent="0.45">
      <c r="A66">
        <f t="shared" ca="1" si="7"/>
        <v>0.96208731857720042</v>
      </c>
      <c r="B66">
        <f t="shared" ca="1" si="7"/>
        <v>-0.83185713211929613</v>
      </c>
      <c r="D66">
        <f ca="1">SQRT(MAX('HE2'!B65,0))*($G$2+$H$2*A66)</f>
        <v>0.19884122841176441</v>
      </c>
      <c r="E66">
        <f t="shared" ref="E66:E129" ca="1" si="9">$I$2+$J$2*(A66*$K$2 + B66*POWER(1-$K$2*$K$2, 0.5))</f>
        <v>0.27055557559018284</v>
      </c>
      <c r="Q66">
        <f t="shared" ca="1" si="8"/>
        <v>0.3573011702446357</v>
      </c>
      <c r="R66">
        <f t="shared" ca="1" si="8"/>
        <v>-0.23445493113363886</v>
      </c>
    </row>
    <row r="67" spans="1:18" x14ac:dyDescent="0.45">
      <c r="A67">
        <f t="shared" ca="1" si="7"/>
        <v>0.80345337674474293</v>
      </c>
      <c r="B67">
        <f t="shared" ca="1" si="7"/>
        <v>-1.1733290599513524</v>
      </c>
      <c r="D67">
        <f ca="1">SQRT(MAX('HE2'!B66,0))*($G$2+$H$2*A67)</f>
        <v>0.23956429689122838</v>
      </c>
      <c r="E67">
        <f t="shared" ca="1" si="9"/>
        <v>-6.1234734575016936E-2</v>
      </c>
      <c r="Q67">
        <f t="shared" ca="1" si="8"/>
        <v>0.42130897863799527</v>
      </c>
      <c r="R67">
        <f t="shared" ca="1" si="8"/>
        <v>0.82627214317518161</v>
      </c>
    </row>
    <row r="68" spans="1:18" x14ac:dyDescent="0.45">
      <c r="A68">
        <f t="shared" ca="1" si="7"/>
        <v>0.79978336683025153</v>
      </c>
      <c r="B68">
        <f t="shared" ca="1" si="7"/>
        <v>1.2407200001547178</v>
      </c>
      <c r="D68">
        <f ca="1">SQRT(MAX('HE2'!B67,0))*($G$2+$H$2*A68)</f>
        <v>0.26755921467406713</v>
      </c>
      <c r="E68">
        <f t="shared" ca="1" si="9"/>
        <v>1.3842586935570318</v>
      </c>
      <c r="Q68">
        <f t="shared" ca="1" si="8"/>
        <v>1.2494263743623146</v>
      </c>
      <c r="R68">
        <f t="shared" ca="1" si="8"/>
        <v>1.3571141866401577</v>
      </c>
    </row>
    <row r="69" spans="1:18" x14ac:dyDescent="0.45">
      <c r="A69">
        <f t="shared" ca="1" si="7"/>
        <v>-0.55854425573241984</v>
      </c>
      <c r="B69">
        <f t="shared" ca="1" si="7"/>
        <v>-9.5305343588326638E-2</v>
      </c>
      <c r="D69">
        <f ca="1">SQRT(MAX('HE2'!B68,0))*($G$2+$H$2*A69)</f>
        <v>-0.29495855570198654</v>
      </c>
      <c r="E69">
        <f t="shared" ca="1" si="9"/>
        <v>-0.50401861073893184</v>
      </c>
      <c r="Q69">
        <f t="shared" ca="1" si="8"/>
        <v>-0.77672170934637319</v>
      </c>
      <c r="R69">
        <f t="shared" ca="1" si="8"/>
        <v>-0.80262273834829245</v>
      </c>
    </row>
    <row r="70" spans="1:18" x14ac:dyDescent="0.45">
      <c r="A70">
        <f t="shared" ca="1" si="7"/>
        <v>-1.2421933523910611</v>
      </c>
      <c r="B70">
        <f t="shared" ca="1" si="7"/>
        <v>-1.0193821893501027</v>
      </c>
      <c r="D70">
        <f ca="1">SQRT(MAX('HE2'!B69,0))*($G$2+$H$2*A70)</f>
        <v>-0.58753833187926374</v>
      </c>
      <c r="E70">
        <f t="shared" ca="1" si="9"/>
        <v>-1.6053839955229103</v>
      </c>
      <c r="Q70">
        <f t="shared" ca="1" si="8"/>
        <v>-1.8991701620338248</v>
      </c>
      <c r="R70">
        <f t="shared" ca="1" si="8"/>
        <v>-0.73499787076171907</v>
      </c>
    </row>
    <row r="71" spans="1:18" x14ac:dyDescent="0.45">
      <c r="A71">
        <f t="shared" ca="1" si="7"/>
        <v>5.2213375384566434E-2</v>
      </c>
      <c r="B71">
        <f t="shared" ca="1" si="7"/>
        <v>-0.9945466835957667</v>
      </c>
      <c r="D71">
        <f ca="1">SQRT(MAX('HE2'!B70,0))*($G$2+$H$2*A71)</f>
        <v>7.693561267255249E-3</v>
      </c>
      <c r="E71">
        <f t="shared" ca="1" si="9"/>
        <v>-0.55495730984980673</v>
      </c>
      <c r="Q71">
        <f t="shared" ca="1" si="8"/>
        <v>1.0846644205857185</v>
      </c>
      <c r="R71">
        <f t="shared" ca="1" si="8"/>
        <v>0.14495147768478414</v>
      </c>
    </row>
    <row r="72" spans="1:18" x14ac:dyDescent="0.45">
      <c r="A72">
        <f t="shared" ca="1" si="7"/>
        <v>-3.618895015772465E-2</v>
      </c>
      <c r="B72">
        <f t="shared" ca="1" si="7"/>
        <v>-2.8632002827509953E-2</v>
      </c>
      <c r="D72">
        <f ca="1">SQRT(MAX('HE2'!B71,0))*($G$2+$H$2*A72)</f>
        <v>-5.9479605936673154E-3</v>
      </c>
      <c r="E72">
        <f t="shared" ca="1" si="9"/>
        <v>-4.6130361822685692E-2</v>
      </c>
      <c r="Q72">
        <f t="shared" ca="1" si="8"/>
        <v>-0.34716496907161953</v>
      </c>
      <c r="R72">
        <f t="shared" ca="1" si="8"/>
        <v>0.19676879769600952</v>
      </c>
    </row>
    <row r="73" spans="1:18" x14ac:dyDescent="0.45">
      <c r="A73">
        <f t="shared" ca="1" si="7"/>
        <v>0.70747010117819942</v>
      </c>
      <c r="B73">
        <f t="shared" ca="1" si="7"/>
        <v>0.45936306694153378</v>
      </c>
      <c r="D73">
        <f ca="1">SQRT(MAX('HE2'!B72,0))*($G$2+$H$2*A73)</f>
        <v>0.1651103337713187</v>
      </c>
      <c r="E73">
        <f t="shared" ca="1" si="9"/>
        <v>0.84159392110747977</v>
      </c>
      <c r="Q73">
        <f t="shared" ca="1" si="8"/>
        <v>0.23039932617285516</v>
      </c>
      <c r="R73">
        <f t="shared" ca="1" si="8"/>
        <v>-0.77889272791579323</v>
      </c>
    </row>
    <row r="74" spans="1:18" x14ac:dyDescent="0.45">
      <c r="A74">
        <f t="shared" ca="1" si="7"/>
        <v>-2.5223914051245644</v>
      </c>
      <c r="B74">
        <f t="shared" ca="1" si="7"/>
        <v>0.79528787709471593</v>
      </c>
      <c r="D74">
        <f ca="1">SQRT(MAX('HE2'!B73,0))*($G$2+$H$2*A74)</f>
        <v>-0.95241311491360248</v>
      </c>
      <c r="E74">
        <f t="shared" ca="1" si="9"/>
        <v>-1.540740397842822</v>
      </c>
      <c r="Q74">
        <f t="shared" ca="1" si="8"/>
        <v>0.88154802268579313</v>
      </c>
      <c r="R74">
        <f t="shared" ca="1" si="8"/>
        <v>-0.24363200077082886</v>
      </c>
    </row>
    <row r="75" spans="1:18" x14ac:dyDescent="0.45">
      <c r="A75">
        <f t="shared" ca="1" si="7"/>
        <v>0.55199467297776439</v>
      </c>
      <c r="B75">
        <f t="shared" ca="1" si="7"/>
        <v>-0.32455924486259252</v>
      </c>
      <c r="D75">
        <f ca="1">SQRT(MAX('HE2'!B74,0))*($G$2+$H$2*A75)</f>
        <v>0</v>
      </c>
      <c r="E75">
        <f t="shared" ca="1" si="9"/>
        <v>0.2468601914646561</v>
      </c>
      <c r="Q75">
        <f t="shared" ca="1" si="8"/>
        <v>-0.38632075807148158</v>
      </c>
      <c r="R75">
        <f t="shared" ca="1" si="8"/>
        <v>-0.61297037747456973</v>
      </c>
    </row>
    <row r="76" spans="1:18" x14ac:dyDescent="0.45">
      <c r="A76">
        <f t="shared" ca="1" si="7"/>
        <v>0.9562857544580734</v>
      </c>
      <c r="B76">
        <f t="shared" ca="1" si="7"/>
        <v>-0.2414688977910206</v>
      </c>
      <c r="D76">
        <f ca="1">SQRT(MAX('HE2'!B75,0))*($G$2+$H$2*A76)</f>
        <v>0.1533831053825534</v>
      </c>
      <c r="E76">
        <f t="shared" ca="1" si="9"/>
        <v>0.62014726489184646</v>
      </c>
      <c r="Q76">
        <f t="shared" ca="1" si="8"/>
        <v>0.78939672495365965</v>
      </c>
      <c r="R76">
        <f t="shared" ca="1" si="8"/>
        <v>-1.2485692945312545</v>
      </c>
    </row>
    <row r="77" spans="1:18" x14ac:dyDescent="0.45">
      <c r="A77">
        <f t="shared" ca="1" si="7"/>
        <v>-0.18241101599274701</v>
      </c>
      <c r="B77">
        <f t="shared" ca="1" si="7"/>
        <v>0.116907189825247</v>
      </c>
      <c r="D77">
        <f ca="1">SQRT(MAX('HE2'!B76,0))*($G$2+$H$2*A77)</f>
        <v>-5.3281629807234353E-2</v>
      </c>
      <c r="E77">
        <f t="shared" ca="1" si="9"/>
        <v>-7.5784498899049424E-2</v>
      </c>
      <c r="Q77">
        <f t="shared" ca="1" si="8"/>
        <v>1.1554812592480392</v>
      </c>
      <c r="R77">
        <f t="shared" ca="1" si="8"/>
        <v>-1.2681483216434415</v>
      </c>
    </row>
    <row r="78" spans="1:18" x14ac:dyDescent="0.45">
      <c r="A78">
        <f t="shared" ca="1" si="7"/>
        <v>1.4381977982057932</v>
      </c>
      <c r="B78">
        <f t="shared" ca="1" si="7"/>
        <v>0.57667130644725817</v>
      </c>
      <c r="D78">
        <f ca="1">SQRT(MAX('HE2'!B77,0))*($G$2+$H$2*A78)</f>
        <v>0.47097645438319796</v>
      </c>
      <c r="E78">
        <f t="shared" ca="1" si="9"/>
        <v>1.4965610224329895</v>
      </c>
      <c r="Q78">
        <f t="shared" ca="1" si="8"/>
        <v>0.37788945283406317</v>
      </c>
      <c r="R78">
        <f t="shared" ca="1" si="8"/>
        <v>0.13247182420987408</v>
      </c>
    </row>
    <row r="79" spans="1:18" x14ac:dyDescent="0.45">
      <c r="A79">
        <f t="shared" ca="1" si="7"/>
        <v>7.9682064478933723E-2</v>
      </c>
      <c r="B79">
        <f t="shared" ca="1" si="7"/>
        <v>0.51785080576556031</v>
      </c>
      <c r="D79">
        <f ca="1">SQRT(MAX('HE2'!B78,0))*($G$2+$H$2*A79)</f>
        <v>4.2343424638335909E-2</v>
      </c>
      <c r="E79">
        <f t="shared" ca="1" si="9"/>
        <v>0.3744561350424831</v>
      </c>
      <c r="Q79">
        <f t="shared" ca="1" si="8"/>
        <v>-1.0256725214647562</v>
      </c>
      <c r="R79">
        <f t="shared" ca="1" si="8"/>
        <v>1.8482398947802403</v>
      </c>
    </row>
    <row r="80" spans="1:18" x14ac:dyDescent="0.45">
      <c r="A80">
        <f t="shared" ca="1" si="7"/>
        <v>0.34733853463191477</v>
      </c>
      <c r="B80">
        <f t="shared" ca="1" si="7"/>
        <v>-0.45165466958452244</v>
      </c>
      <c r="D80">
        <f ca="1">SQRT(MAX('HE2'!B79,0))*($G$2+$H$2*A80)</f>
        <v>0.21033563165108696</v>
      </c>
      <c r="E80">
        <f t="shared" ca="1" si="9"/>
        <v>6.8780259548184564E-3</v>
      </c>
      <c r="Q80">
        <f t="shared" ca="1" si="8"/>
        <v>-1.0146291937983045</v>
      </c>
      <c r="R80">
        <f t="shared" ca="1" si="8"/>
        <v>-0.26783596721102193</v>
      </c>
    </row>
    <row r="81" spans="1:18" x14ac:dyDescent="0.45">
      <c r="A81">
        <f t="shared" ca="1" si="7"/>
        <v>-0.33185427630440617</v>
      </c>
      <c r="B81">
        <f t="shared" ca="1" si="7"/>
        <v>-1.4334982011117945</v>
      </c>
      <c r="D81">
        <f ca="1">SQRT(MAX('HE2'!B80,0))*($G$2+$H$2*A81)</f>
        <v>-0.20747948999602739</v>
      </c>
      <c r="E81">
        <f t="shared" ca="1" si="9"/>
        <v>-1.1255823417106015</v>
      </c>
      <c r="Q81">
        <f t="shared" ca="1" si="8"/>
        <v>-0.29908143196422432</v>
      </c>
      <c r="R81">
        <f t="shared" ca="1" si="8"/>
        <v>-1.1769069982456826</v>
      </c>
    </row>
    <row r="82" spans="1:18" x14ac:dyDescent="0.45">
      <c r="A82">
        <f t="shared" ref="A82:B101" ca="1" si="10">NORMINV(RAND(),0,1)</f>
        <v>1.4115343988776674</v>
      </c>
      <c r="B82">
        <f t="shared" ca="1" si="10"/>
        <v>-1.0103461199460879</v>
      </c>
      <c r="D82">
        <f ca="1">SQRT(MAX('HE2'!B81,0))*($G$2+$H$2*A82)</f>
        <v>0.6347551714360864</v>
      </c>
      <c r="E82">
        <f t="shared" ca="1" si="9"/>
        <v>0.52301984713448135</v>
      </c>
      <c r="Q82">
        <f t="shared" ref="Q82:R101" ca="1" si="11">NORMINV(RAND(),0,1)</f>
        <v>0.36481621447639612</v>
      </c>
      <c r="R82">
        <f t="shared" ca="1" si="11"/>
        <v>-0.73583126147572597</v>
      </c>
    </row>
    <row r="83" spans="1:18" x14ac:dyDescent="0.45">
      <c r="A83">
        <f t="shared" ca="1" si="10"/>
        <v>0.3966466506026638</v>
      </c>
      <c r="B83">
        <f t="shared" ca="1" si="10"/>
        <v>0.85600670667209522</v>
      </c>
      <c r="D83">
        <f ca="1">SQRT(MAX('HE2'!B82,0))*($G$2+$H$2*A83)</f>
        <v>0.21689187998530635</v>
      </c>
      <c r="E83">
        <f t="shared" ca="1" si="9"/>
        <v>0.83092134448538801</v>
      </c>
      <c r="Q83">
        <f t="shared" ca="1" si="11"/>
        <v>0.83881073946613094</v>
      </c>
      <c r="R83">
        <f t="shared" ca="1" si="11"/>
        <v>-1.0543989914740652</v>
      </c>
    </row>
    <row r="84" spans="1:18" x14ac:dyDescent="0.45">
      <c r="A84">
        <f t="shared" ca="1" si="10"/>
        <v>-0.15990615004780936</v>
      </c>
      <c r="B84">
        <f t="shared" ca="1" si="10"/>
        <v>0.11990906116469111</v>
      </c>
      <c r="D84">
        <f ca="1">SQRT(MAX('HE2'!B83,0))*($G$2+$H$2*A84)</f>
        <v>-0.10840658878798029</v>
      </c>
      <c r="E84">
        <f t="shared" ca="1" si="9"/>
        <v>-5.5979483339432839E-2</v>
      </c>
      <c r="Q84">
        <f t="shared" ca="1" si="11"/>
        <v>9.9658956831238474E-2</v>
      </c>
      <c r="R84">
        <f t="shared" ca="1" si="11"/>
        <v>-0.83177637762989232</v>
      </c>
    </row>
    <row r="85" spans="1:18" x14ac:dyDescent="0.45">
      <c r="A85">
        <f t="shared" ca="1" si="10"/>
        <v>0.52735711929379769</v>
      </c>
      <c r="B85">
        <f t="shared" ca="1" si="10"/>
        <v>0.97613640806817681</v>
      </c>
      <c r="D85">
        <f ca="1">SQRT(MAX('HE2'!B84,0))*($G$2+$H$2*A85)</f>
        <v>0.36126535492607964</v>
      </c>
      <c r="E85">
        <f t="shared" ca="1" si="9"/>
        <v>1.0075675402759441</v>
      </c>
      <c r="Q85">
        <f t="shared" ca="1" si="11"/>
        <v>-1.2752382640387228</v>
      </c>
      <c r="R85">
        <f t="shared" ca="1" si="11"/>
        <v>-1.5723705619318427</v>
      </c>
    </row>
    <row r="86" spans="1:18" x14ac:dyDescent="0.45">
      <c r="A86">
        <f t="shared" ca="1" si="10"/>
        <v>0.9591209963343621</v>
      </c>
      <c r="B86">
        <f t="shared" ca="1" si="10"/>
        <v>9.9245675953457513E-2</v>
      </c>
      <c r="D86">
        <f ca="1">SQRT(MAX('HE2'!B85,0))*($G$2+$H$2*A86)</f>
        <v>0.80087687525325779</v>
      </c>
      <c r="E86">
        <f t="shared" ca="1" si="9"/>
        <v>0.82684420263956426</v>
      </c>
      <c r="Q86">
        <f t="shared" ca="1" si="11"/>
        <v>-0.35130403975891805</v>
      </c>
      <c r="R86">
        <f t="shared" ca="1" si="11"/>
        <v>-2.0548803300347722</v>
      </c>
    </row>
    <row r="87" spans="1:18" x14ac:dyDescent="0.45">
      <c r="A87">
        <f t="shared" ca="1" si="10"/>
        <v>0.41867522933246437</v>
      </c>
      <c r="B87">
        <f t="shared" ca="1" si="10"/>
        <v>0.30183575524753919</v>
      </c>
      <c r="D87">
        <f ca="1">SQRT(MAX('HE2'!B86,0))*($G$2+$H$2*A87)</f>
        <v>0.40173067024532921</v>
      </c>
      <c r="E87">
        <f t="shared" ca="1" si="9"/>
        <v>0.51604163661449498</v>
      </c>
      <c r="Q87">
        <f t="shared" ca="1" si="11"/>
        <v>-2.9709763319823872E-2</v>
      </c>
      <c r="R87">
        <f t="shared" ca="1" si="11"/>
        <v>0.51482036001021847</v>
      </c>
    </row>
    <row r="88" spans="1:18" x14ac:dyDescent="0.45">
      <c r="A88">
        <f t="shared" ca="1" si="10"/>
        <v>0.64220217839857296</v>
      </c>
      <c r="B88">
        <f t="shared" ca="1" si="10"/>
        <v>-0.54392814800025047</v>
      </c>
      <c r="D88">
        <f ca="1">SQRT(MAX('HE2'!B87,0))*($G$2+$H$2*A88)</f>
        <v>0.66773443243101316</v>
      </c>
      <c r="E88">
        <f t="shared" ca="1" si="9"/>
        <v>0.18740485391870826</v>
      </c>
      <c r="Q88">
        <f t="shared" ca="1" si="11"/>
        <v>-0.9733070739338413</v>
      </c>
      <c r="R88">
        <f t="shared" ca="1" si="11"/>
        <v>0.34668905189966104</v>
      </c>
    </row>
    <row r="89" spans="1:18" x14ac:dyDescent="0.45">
      <c r="A89">
        <f t="shared" ca="1" si="10"/>
        <v>0.51188753774731255</v>
      </c>
      <c r="B89">
        <f t="shared" ca="1" si="10"/>
        <v>1.0455061813333484</v>
      </c>
      <c r="D89">
        <f ca="1">SQRT(MAX('HE2'!B88,0))*($G$2+$H$2*A89)</f>
        <v>0.54850800364957208</v>
      </c>
      <c r="E89">
        <f t="shared" ca="1" si="9"/>
        <v>1.0368137389978589</v>
      </c>
      <c r="Q89">
        <f t="shared" ca="1" si="11"/>
        <v>-0.41400484715938096</v>
      </c>
      <c r="R89">
        <f t="shared" ca="1" si="11"/>
        <v>0.75982498008463117</v>
      </c>
    </row>
    <row r="90" spans="1:18" x14ac:dyDescent="0.45">
      <c r="A90">
        <f t="shared" ca="1" si="10"/>
        <v>3.7389976492209001E-2</v>
      </c>
      <c r="B90">
        <f t="shared" ca="1" si="10"/>
        <v>-0.4245226518226069</v>
      </c>
      <c r="D90">
        <f ca="1">SQRT(MAX('HE2'!B89,0))*($G$2+$H$2*A90)</f>
        <v>4.5621875568752142E-2</v>
      </c>
      <c r="E90">
        <f t="shared" ca="1" si="9"/>
        <v>-0.22480160989979686</v>
      </c>
      <c r="Q90">
        <f t="shared" ca="1" si="11"/>
        <v>-0.62278989372354221</v>
      </c>
      <c r="R90">
        <f t="shared" ca="1" si="11"/>
        <v>0.22870985349175862</v>
      </c>
    </row>
    <row r="91" spans="1:18" x14ac:dyDescent="0.45">
      <c r="A91">
        <f t="shared" ca="1" si="10"/>
        <v>-1.820260679364291</v>
      </c>
      <c r="B91">
        <f t="shared" ca="1" si="10"/>
        <v>-0.36086425826240637</v>
      </c>
      <c r="D91">
        <f ca="1">SQRT(MAX('HE2'!B90,0))*($G$2+$H$2*A91)</f>
        <v>-2.1591407143447476</v>
      </c>
      <c r="E91">
        <f t="shared" ca="1" si="9"/>
        <v>-1.6727270984488767</v>
      </c>
      <c r="Q91">
        <f t="shared" ca="1" si="11"/>
        <v>-0.68521467427811777</v>
      </c>
      <c r="R91">
        <f t="shared" ca="1" si="11"/>
        <v>1.0974813447938061</v>
      </c>
    </row>
    <row r="92" spans="1:18" x14ac:dyDescent="0.45">
      <c r="A92">
        <f t="shared" ca="1" si="10"/>
        <v>-1.4747301509285831</v>
      </c>
      <c r="B92">
        <f t="shared" ca="1" si="10"/>
        <v>-6.2371793221827371E-2</v>
      </c>
      <c r="D92">
        <f ca="1">SQRT(MAX('HE2'!B91,0))*($G$2+$H$2*A92)</f>
        <v>-1.33043856009635</v>
      </c>
      <c r="E92">
        <f t="shared" ca="1" si="9"/>
        <v>-1.217207196675963</v>
      </c>
      <c r="Q92">
        <f t="shared" ca="1" si="11"/>
        <v>0.8545108366138352</v>
      </c>
      <c r="R92">
        <f t="shared" ca="1" si="11"/>
        <v>-0.79088251859137371</v>
      </c>
    </row>
    <row r="93" spans="1:18" x14ac:dyDescent="0.45">
      <c r="A93">
        <f t="shared" ca="1" si="10"/>
        <v>0.86624832669461527</v>
      </c>
      <c r="B93">
        <f t="shared" ca="1" si="10"/>
        <v>0.33879564361200448</v>
      </c>
      <c r="D93">
        <f ca="1">SQRT(MAX('HE2'!B92,0))*($G$2+$H$2*A93)</f>
        <v>0.61157642291448788</v>
      </c>
      <c r="E93">
        <f t="shared" ca="1" si="9"/>
        <v>0.8962760475228948</v>
      </c>
      <c r="Q93">
        <f t="shared" ca="1" si="11"/>
        <v>-0.90127837397928023</v>
      </c>
      <c r="R93">
        <f t="shared" ca="1" si="11"/>
        <v>0.44360892045576195</v>
      </c>
    </row>
    <row r="94" spans="1:18" x14ac:dyDescent="0.45">
      <c r="A94">
        <f t="shared" ca="1" si="10"/>
        <v>0.82682017090178161</v>
      </c>
      <c r="B94">
        <f t="shared" ca="1" si="10"/>
        <v>-0.94615517948040695</v>
      </c>
      <c r="D94">
        <f ca="1">SQRT(MAX('HE2'!B93,0))*($G$2+$H$2*A94)</f>
        <v>0.6959921952411634</v>
      </c>
      <c r="E94">
        <f t="shared" ca="1" si="9"/>
        <v>9.3763029033181344E-2</v>
      </c>
      <c r="Q94">
        <f t="shared" ca="1" si="11"/>
        <v>1.8533708158315449</v>
      </c>
      <c r="R94">
        <f t="shared" ca="1" si="11"/>
        <v>0.50146568864472019</v>
      </c>
    </row>
    <row r="95" spans="1:18" x14ac:dyDescent="0.45">
      <c r="A95">
        <f t="shared" ca="1" si="10"/>
        <v>-0.28067821955834915</v>
      </c>
      <c r="B95">
        <f t="shared" ca="1" si="10"/>
        <v>-0.49869933095208446</v>
      </c>
      <c r="D95">
        <f ca="1">SQRT(MAX('HE2'!B94,0))*($G$2+$H$2*A95)</f>
        <v>-0.24280707283663994</v>
      </c>
      <c r="E95">
        <f t="shared" ca="1" si="9"/>
        <v>-0.52376217421792992</v>
      </c>
      <c r="Q95">
        <f t="shared" ca="1" si="11"/>
        <v>1.6127492884861341E-2</v>
      </c>
      <c r="R95">
        <f t="shared" ca="1" si="11"/>
        <v>-9.4711814515344661E-2</v>
      </c>
    </row>
    <row r="96" spans="1:18" x14ac:dyDescent="0.45">
      <c r="A96">
        <f t="shared" ca="1" si="10"/>
        <v>0.53657856069310017</v>
      </c>
      <c r="B96">
        <f t="shared" ca="1" si="10"/>
        <v>-2.3593891205261253</v>
      </c>
      <c r="D96">
        <f ca="1">SQRT(MAX('HE2'!B95,0))*($G$2+$H$2*A96)</f>
        <v>0.42512604826913059</v>
      </c>
      <c r="E96">
        <f t="shared" ca="1" si="9"/>
        <v>-0.98637062376119478</v>
      </c>
      <c r="Q96">
        <f t="shared" ca="1" si="11"/>
        <v>-1.0656747381552141</v>
      </c>
      <c r="R96">
        <f t="shared" ca="1" si="11"/>
        <v>-0.30853301098887176</v>
      </c>
    </row>
    <row r="97" spans="1:18" x14ac:dyDescent="0.45">
      <c r="A97">
        <f t="shared" ca="1" si="10"/>
        <v>0.75078766996866375</v>
      </c>
      <c r="B97">
        <f t="shared" ca="1" si="10"/>
        <v>1.4851879677187285</v>
      </c>
      <c r="D97">
        <f ca="1">SQRT(MAX('HE2'!B96,0))*($G$2+$H$2*A97)</f>
        <v>0.48131873675908138</v>
      </c>
      <c r="E97">
        <f t="shared" ca="1" si="9"/>
        <v>1.491742916606168</v>
      </c>
      <c r="Q97">
        <f t="shared" ca="1" si="11"/>
        <v>-2.8255622810877843</v>
      </c>
      <c r="R97">
        <f t="shared" ca="1" si="11"/>
        <v>-5.8395416008734644E-2</v>
      </c>
    </row>
    <row r="98" spans="1:18" x14ac:dyDescent="0.45">
      <c r="A98">
        <f t="shared" ca="1" si="10"/>
        <v>1.3973186233002206</v>
      </c>
      <c r="B98">
        <f t="shared" ca="1" si="10"/>
        <v>0.75295155313647832</v>
      </c>
      <c r="D98">
        <f ca="1">SQRT(MAX('HE2'!B97,0))*($G$2+$H$2*A98)</f>
        <v>1.1856134748274201</v>
      </c>
      <c r="E98">
        <f t="shared" ca="1" si="9"/>
        <v>1.5696258305220634</v>
      </c>
      <c r="Q98">
        <f t="shared" ca="1" si="11"/>
        <v>-0.35418722124587665</v>
      </c>
      <c r="R98">
        <f t="shared" ca="1" si="11"/>
        <v>2.8331493128738447</v>
      </c>
    </row>
    <row r="99" spans="1:18" x14ac:dyDescent="0.45">
      <c r="A99">
        <f t="shared" ca="1" si="10"/>
        <v>0.15523357662988604</v>
      </c>
      <c r="B99">
        <f t="shared" ca="1" si="10"/>
        <v>1.1200206150751155</v>
      </c>
      <c r="D99">
        <f ca="1">SQRT(MAX('HE2'!B98,0))*($G$2+$H$2*A99)</f>
        <v>0.16540588027096365</v>
      </c>
      <c r="E99">
        <f t="shared" ca="1" si="9"/>
        <v>0.79619923034897799</v>
      </c>
      <c r="Q99">
        <f t="shared" ca="1" si="11"/>
        <v>-0.78233997272168032</v>
      </c>
      <c r="R99">
        <f t="shared" ca="1" si="11"/>
        <v>-1.2023083823892555</v>
      </c>
    </row>
    <row r="100" spans="1:18" x14ac:dyDescent="0.45">
      <c r="A100">
        <f t="shared" ca="1" si="10"/>
        <v>1.6015847314805505</v>
      </c>
      <c r="B100">
        <f t="shared" ca="1" si="10"/>
        <v>-1.6218672489838346</v>
      </c>
      <c r="D100">
        <f ca="1">SQRT(MAX('HE2'!B99,0))*($G$2+$H$2*A100)</f>
        <v>1.893277105681324</v>
      </c>
      <c r="E100">
        <f t="shared" ca="1" si="9"/>
        <v>0.30814743579413995</v>
      </c>
      <c r="Q100">
        <f t="shared" ca="1" si="11"/>
        <v>0.99083680961231302</v>
      </c>
      <c r="R100">
        <f t="shared" ca="1" si="11"/>
        <v>1.7150435857928883E-2</v>
      </c>
    </row>
    <row r="101" spans="1:18" x14ac:dyDescent="0.45">
      <c r="A101">
        <f t="shared" ca="1" si="10"/>
        <v>1.0012311757904599</v>
      </c>
      <c r="B101">
        <f t="shared" ca="1" si="10"/>
        <v>-1.1145042835865597</v>
      </c>
      <c r="D101">
        <f ca="1">SQRT(MAX('HE2'!B100,0))*($G$2+$H$2*A101)</f>
        <v>1.2299363597410045</v>
      </c>
      <c r="E101">
        <f t="shared" ca="1" si="9"/>
        <v>0.13228237048043234</v>
      </c>
      <c r="Q101">
        <f t="shared" ca="1" si="11"/>
        <v>0.60889983757418997</v>
      </c>
      <c r="R101">
        <f t="shared" ca="1" si="11"/>
        <v>1.3578300287812377</v>
      </c>
    </row>
    <row r="102" spans="1:18" x14ac:dyDescent="0.45">
      <c r="A102">
        <f t="shared" ref="A102:B121" ca="1" si="12">NORMINV(RAND(),0,1)</f>
        <v>0.68695014410159061</v>
      </c>
      <c r="B102">
        <f t="shared" ca="1" si="12"/>
        <v>0.24576203256402912</v>
      </c>
      <c r="D102">
        <f ca="1">SQRT(MAX('HE2'!B101,0))*($G$2+$H$2*A102)</f>
        <v>0.85741245501590424</v>
      </c>
      <c r="E102">
        <f t="shared" ca="1" si="9"/>
        <v>0.69701733481968997</v>
      </c>
      <c r="Q102">
        <f t="shared" ref="Q102:R121" ca="1" si="13">NORMINV(RAND(),0,1)</f>
        <v>1.2529634768540795E-2</v>
      </c>
      <c r="R102">
        <f t="shared" ca="1" si="13"/>
        <v>-0.69275543229826253</v>
      </c>
    </row>
    <row r="103" spans="1:18" x14ac:dyDescent="0.45">
      <c r="A103">
        <f t="shared" ca="1" si="12"/>
        <v>0.97212732309582373</v>
      </c>
      <c r="B103">
        <f t="shared" ca="1" si="12"/>
        <v>1.3838815413647139</v>
      </c>
      <c r="D103">
        <f ca="1">SQRT(MAX('HE2'!B102,0))*($G$2+$H$2*A103)</f>
        <v>1.3107386420481093</v>
      </c>
      <c r="E103">
        <f t="shared" ca="1" si="9"/>
        <v>1.6080307832954872</v>
      </c>
      <c r="Q103">
        <f t="shared" ca="1" si="13"/>
        <v>-0.76600980762242754</v>
      </c>
      <c r="R103">
        <f t="shared" ca="1" si="13"/>
        <v>-0.96487175833299055</v>
      </c>
    </row>
    <row r="104" spans="1:18" x14ac:dyDescent="0.45">
      <c r="A104">
        <f t="shared" ca="1" si="12"/>
        <v>1.0977253748130691</v>
      </c>
      <c r="B104">
        <f t="shared" ca="1" si="12"/>
        <v>2.3197439498443919</v>
      </c>
      <c r="D104">
        <f ca="1">SQRT(MAX('HE2'!B103,0))*($G$2+$H$2*A104)</f>
        <v>1.7225256981922852</v>
      </c>
      <c r="E104">
        <f t="shared" ca="1" si="9"/>
        <v>2.2700266697570903</v>
      </c>
      <c r="Q104">
        <f t="shared" ca="1" si="13"/>
        <v>-1.1266035904950578</v>
      </c>
      <c r="R104">
        <f t="shared" ca="1" si="13"/>
        <v>-0.80441692782381846</v>
      </c>
    </row>
    <row r="105" spans="1:18" x14ac:dyDescent="0.45">
      <c r="A105">
        <f t="shared" ca="1" si="12"/>
        <v>1.5302594205398428</v>
      </c>
      <c r="B105">
        <f t="shared" ca="1" si="12"/>
        <v>1.0459101578027228</v>
      </c>
      <c r="D105">
        <f ca="1">SQRT(MAX('HE2'!B104,0))*($G$2+$H$2*A105)</f>
        <v>2.8677409418361526</v>
      </c>
      <c r="E105">
        <f t="shared" ca="1" si="9"/>
        <v>1.8517536311135079</v>
      </c>
      <c r="Q105">
        <f t="shared" ca="1" si="13"/>
        <v>-0.4145412464571982</v>
      </c>
      <c r="R105">
        <f t="shared" ca="1" si="13"/>
        <v>-0.12266927431317753</v>
      </c>
    </row>
    <row r="106" spans="1:18" x14ac:dyDescent="0.45">
      <c r="A106">
        <f t="shared" ca="1" si="12"/>
        <v>1.2115213541337466</v>
      </c>
      <c r="B106">
        <f t="shared" ca="1" si="12"/>
        <v>-0.32765326482902241</v>
      </c>
      <c r="D106">
        <f ca="1">SQRT(MAX('HE2'!B105,0))*($G$2+$H$2*A106)</f>
        <v>2.5737511574394327</v>
      </c>
      <c r="E106">
        <f t="shared" ca="1" si="9"/>
        <v>0.77262512440958386</v>
      </c>
      <c r="Q106">
        <f t="shared" ca="1" si="13"/>
        <v>-1.1317681070167751</v>
      </c>
      <c r="R106">
        <f t="shared" ca="1" si="13"/>
        <v>-0.92097515147685016</v>
      </c>
    </row>
    <row r="107" spans="1:18" x14ac:dyDescent="0.45">
      <c r="A107">
        <f t="shared" ca="1" si="12"/>
        <v>-0.37854190145345396</v>
      </c>
      <c r="B107">
        <f t="shared" ca="1" si="12"/>
        <v>-7.3805659812705357E-2</v>
      </c>
      <c r="D107">
        <f ca="1">SQRT(MAX('HE2'!B106,0))*($G$2+$H$2*A107)</f>
        <v>-0.84181743151024857</v>
      </c>
      <c r="E107">
        <f t="shared" ca="1" si="9"/>
        <v>-0.34711691705038639</v>
      </c>
      <c r="Q107">
        <f t="shared" ca="1" si="13"/>
        <v>0.20932654904739614</v>
      </c>
      <c r="R107">
        <f t="shared" ca="1" si="13"/>
        <v>1.8379787417396738</v>
      </c>
    </row>
    <row r="108" spans="1:18" x14ac:dyDescent="0.45">
      <c r="A108">
        <f t="shared" ca="1" si="12"/>
        <v>-1.9041669633308169</v>
      </c>
      <c r="B108">
        <f t="shared" ca="1" si="12"/>
        <v>-1.0566241530430245</v>
      </c>
      <c r="D108">
        <f ca="1">SQRT(MAX('HE2'!B107,0))*($G$2+$H$2*A108)</f>
        <v>-4.1040220425454796</v>
      </c>
      <c r="E108">
        <f t="shared" ca="1" si="9"/>
        <v>-2.1573080624904684</v>
      </c>
      <c r="Q108">
        <f t="shared" ca="1" si="13"/>
        <v>-0.16235075999272952</v>
      </c>
      <c r="R108">
        <f t="shared" ca="1" si="13"/>
        <v>-7.6304840776327917E-2</v>
      </c>
    </row>
    <row r="109" spans="1:18" x14ac:dyDescent="0.45">
      <c r="A109">
        <f t="shared" ca="1" si="12"/>
        <v>1.5176801028857061</v>
      </c>
      <c r="B109">
        <f t="shared" ca="1" si="12"/>
        <v>-1.3717898092326304</v>
      </c>
      <c r="D109">
        <f ca="1">SQRT(MAX('HE2'!B108,0))*($G$2+$H$2*A109)</f>
        <v>2.7096993107718554</v>
      </c>
      <c r="E109">
        <f t="shared" ca="1" si="9"/>
        <v>0.39107019676898691</v>
      </c>
      <c r="Q109">
        <f t="shared" ca="1" si="13"/>
        <v>-0.71821541879424611</v>
      </c>
      <c r="R109">
        <f t="shared" ca="1" si="13"/>
        <v>1.1294910069744415</v>
      </c>
    </row>
    <row r="110" spans="1:18" x14ac:dyDescent="0.45">
      <c r="A110">
        <f t="shared" ca="1" si="12"/>
        <v>-0.94515012035789858</v>
      </c>
      <c r="B110">
        <f t="shared" ca="1" si="12"/>
        <v>-1.4046323147721318</v>
      </c>
      <c r="D110">
        <f ca="1">SQRT(MAX('HE2'!B109,0))*($G$2+$H$2*A110)</f>
        <v>-1.7334456114216723</v>
      </c>
      <c r="E110">
        <f t="shared" ca="1" si="9"/>
        <v>-1.5988994851495977</v>
      </c>
      <c r="Q110">
        <f t="shared" ca="1" si="13"/>
        <v>1.3700289615824468</v>
      </c>
      <c r="R110">
        <f t="shared" ca="1" si="13"/>
        <v>-2.1477825076986075</v>
      </c>
    </row>
    <row r="111" spans="1:18" x14ac:dyDescent="0.45">
      <c r="A111">
        <f t="shared" ca="1" si="12"/>
        <v>-0.82239145728041241</v>
      </c>
      <c r="B111">
        <f t="shared" ca="1" si="12"/>
        <v>-0.33841266177427171</v>
      </c>
      <c r="D111">
        <f ca="1">SQRT(MAX('HE2'!B110,0))*($G$2+$H$2*A111)</f>
        <v>-1.2864503127811922</v>
      </c>
      <c r="E111">
        <f t="shared" ca="1" si="9"/>
        <v>-0.86096076288889301</v>
      </c>
      <c r="Q111">
        <f t="shared" ca="1" si="13"/>
        <v>-0.97221883749366089</v>
      </c>
      <c r="R111">
        <f t="shared" ca="1" si="13"/>
        <v>0.69213596070108419</v>
      </c>
    </row>
    <row r="112" spans="1:18" x14ac:dyDescent="0.45">
      <c r="A112">
        <f t="shared" ca="1" si="12"/>
        <v>0.69841405137548684</v>
      </c>
      <c r="B112">
        <f t="shared" ca="1" si="12"/>
        <v>1.0118561173440825</v>
      </c>
      <c r="D112">
        <f ca="1">SQRT(MAX('HE2'!B111,0))*($G$2+$H$2*A112)</f>
        <v>0.99368016123936753</v>
      </c>
      <c r="E112">
        <f t="shared" ca="1" si="9"/>
        <v>1.1658449115068388</v>
      </c>
      <c r="Q112">
        <f t="shared" ca="1" si="13"/>
        <v>-1.1898957836941046</v>
      </c>
      <c r="R112">
        <f t="shared" ca="1" si="13"/>
        <v>-0.61079355740542618</v>
      </c>
    </row>
    <row r="113" spans="1:18" x14ac:dyDescent="0.45">
      <c r="A113">
        <f t="shared" ca="1" si="12"/>
        <v>-0.49361356560051706</v>
      </c>
      <c r="B113">
        <f t="shared" ca="1" si="12"/>
        <v>-0.34172603546952052</v>
      </c>
      <c r="D113">
        <f ca="1">SQRT(MAX('HE2'!B112,0))*($G$2+$H$2*A113)</f>
        <v>-0.78229028964307779</v>
      </c>
      <c r="E113">
        <f t="shared" ca="1" si="9"/>
        <v>-0.59992647376212593</v>
      </c>
      <c r="Q113">
        <f t="shared" ca="1" si="13"/>
        <v>-1.058648485816484</v>
      </c>
      <c r="R113">
        <f t="shared" ca="1" si="13"/>
        <v>-1.2106905790556055</v>
      </c>
    </row>
    <row r="114" spans="1:18" x14ac:dyDescent="0.45">
      <c r="A114">
        <f t="shared" ca="1" si="12"/>
        <v>0.92391386201761228</v>
      </c>
      <c r="B114">
        <f t="shared" ca="1" si="12"/>
        <v>-0.15072950550986255</v>
      </c>
      <c r="D114">
        <f ca="1">SQRT(MAX('HE2'!B113,0))*($G$2+$H$2*A114)</f>
        <v>1.3723982129478827</v>
      </c>
      <c r="E114">
        <f t="shared" ca="1" si="9"/>
        <v>0.64869338630817241</v>
      </c>
      <c r="Q114">
        <f t="shared" ca="1" si="13"/>
        <v>-0.77815878460211885</v>
      </c>
      <c r="R114">
        <f t="shared" ca="1" si="13"/>
        <v>8.5076435026896491E-2</v>
      </c>
    </row>
    <row r="115" spans="1:18" x14ac:dyDescent="0.45">
      <c r="A115">
        <f t="shared" ca="1" si="12"/>
        <v>-0.46030171481686483</v>
      </c>
      <c r="B115">
        <f t="shared" ca="1" si="12"/>
        <v>-0.65289109264438194</v>
      </c>
      <c r="D115">
        <f ca="1">SQRT(MAX('HE2'!B114,0))*($G$2+$H$2*A115)</f>
        <v>-0.7251292500397537</v>
      </c>
      <c r="E115">
        <f t="shared" ca="1" si="9"/>
        <v>-0.75997602744012094</v>
      </c>
      <c r="Q115">
        <f t="shared" ca="1" si="13"/>
        <v>2.4861483890624017E-3</v>
      </c>
      <c r="R115">
        <f t="shared" ca="1" si="13"/>
        <v>-0.11754378630228494</v>
      </c>
    </row>
    <row r="116" spans="1:18" x14ac:dyDescent="0.45">
      <c r="A116">
        <f t="shared" ca="1" si="12"/>
        <v>-1.6162150462468261</v>
      </c>
      <c r="B116">
        <f t="shared" ca="1" si="12"/>
        <v>-0.35931758116464735</v>
      </c>
      <c r="D116">
        <f ca="1">SQRT(MAX('HE2'!B115,0))*($G$2+$H$2*A116)</f>
        <v>-2.3438733537036232</v>
      </c>
      <c r="E116">
        <f t="shared" ca="1" si="9"/>
        <v>-1.5085625856962492</v>
      </c>
      <c r="Q116">
        <f t="shared" ca="1" si="13"/>
        <v>1.7685471956352019</v>
      </c>
      <c r="R116">
        <f t="shared" ca="1" si="13"/>
        <v>0.93667750358615354</v>
      </c>
    </row>
    <row r="117" spans="1:18" x14ac:dyDescent="0.45">
      <c r="A117">
        <f t="shared" ca="1" si="12"/>
        <v>0.59289981732518671</v>
      </c>
      <c r="B117">
        <f t="shared" ca="1" si="12"/>
        <v>1.3561695640615148</v>
      </c>
      <c r="D117">
        <f ca="1">SQRT(MAX('HE2'!B116,0))*($G$2+$H$2*A117)</f>
        <v>0.71025038442482624</v>
      </c>
      <c r="E117">
        <f t="shared" ca="1" si="9"/>
        <v>1.2880215922970581</v>
      </c>
      <c r="Q117">
        <f t="shared" ca="1" si="13"/>
        <v>1.489954872729927</v>
      </c>
      <c r="R117">
        <f t="shared" ca="1" si="13"/>
        <v>-0.26023923325719583</v>
      </c>
    </row>
    <row r="118" spans="1:18" x14ac:dyDescent="0.45">
      <c r="A118">
        <f t="shared" ca="1" si="12"/>
        <v>0.61676971649304557</v>
      </c>
      <c r="B118">
        <f t="shared" ca="1" si="12"/>
        <v>-1.3393006417635345E-2</v>
      </c>
      <c r="D118">
        <f ca="1">SQRT(MAX('HE2'!B117,0))*($G$2+$H$2*A118)</f>
        <v>0.85004244480188007</v>
      </c>
      <c r="E118">
        <f t="shared" ca="1" si="9"/>
        <v>0.48537996934385524</v>
      </c>
      <c r="Q118">
        <f t="shared" ca="1" si="13"/>
        <v>1.7765879496358346</v>
      </c>
      <c r="R118">
        <f t="shared" ca="1" si="13"/>
        <v>9.7483391824181712E-2</v>
      </c>
    </row>
    <row r="119" spans="1:18" x14ac:dyDescent="0.45">
      <c r="A119">
        <f t="shared" ca="1" si="12"/>
        <v>0.13501429378796057</v>
      </c>
      <c r="B119">
        <f t="shared" ca="1" si="12"/>
        <v>0.40491801492796242</v>
      </c>
      <c r="D119">
        <f ca="1">SQRT(MAX('HE2'!B118,0))*($G$2+$H$2*A119)</f>
        <v>0.19530217041040393</v>
      </c>
      <c r="E119">
        <f t="shared" ca="1" si="9"/>
        <v>0.35096224398714587</v>
      </c>
      <c r="Q119">
        <f t="shared" ca="1" si="13"/>
        <v>-0.11444239267707039</v>
      </c>
      <c r="R119">
        <f t="shared" ca="1" si="13"/>
        <v>0.43723529185662319</v>
      </c>
    </row>
    <row r="120" spans="1:18" x14ac:dyDescent="0.45">
      <c r="A120">
        <f t="shared" ca="1" si="12"/>
        <v>-0.66955737706360485</v>
      </c>
      <c r="B120">
        <f t="shared" ca="1" si="12"/>
        <v>0.84419741126314585</v>
      </c>
      <c r="D120">
        <f ca="1">SQRT(MAX('HE2'!B119,0))*($G$2+$H$2*A120)</f>
        <v>-1.0005728128126832</v>
      </c>
      <c r="E120">
        <f t="shared" ca="1" si="9"/>
        <v>-2.9127454892996507E-2</v>
      </c>
      <c r="Q120">
        <f t="shared" ca="1" si="13"/>
        <v>0.55383533671414442</v>
      </c>
      <c r="R120">
        <f t="shared" ca="1" si="13"/>
        <v>0.87070921599917905</v>
      </c>
    </row>
    <row r="121" spans="1:18" x14ac:dyDescent="0.45">
      <c r="A121">
        <f t="shared" ca="1" si="12"/>
        <v>-0.10211311325407429</v>
      </c>
      <c r="B121">
        <f t="shared" ca="1" si="12"/>
        <v>-7.5902440063397797E-3</v>
      </c>
      <c r="D121">
        <f ca="1">SQRT(MAX('HE2'!B120,0))*($G$2+$H$2*A121)</f>
        <v>-0.15165486809660508</v>
      </c>
      <c r="E121">
        <f t="shared" ca="1" si="9"/>
        <v>-8.6244637007063307E-2</v>
      </c>
      <c r="Q121">
        <f t="shared" ca="1" si="13"/>
        <v>1.4037610408495143</v>
      </c>
      <c r="R121">
        <f t="shared" ca="1" si="13"/>
        <v>-0.40044254463980911</v>
      </c>
    </row>
    <row r="122" spans="1:18" x14ac:dyDescent="0.45">
      <c r="A122">
        <f t="shared" ref="A122:B141" ca="1" si="14">NORMINV(RAND(),0,1)</f>
        <v>0.8155400833213321</v>
      </c>
      <c r="B122">
        <f t="shared" ca="1" si="14"/>
        <v>1.0469560842197765</v>
      </c>
      <c r="D122">
        <f ca="1">SQRT(MAX('HE2'!B121,0))*($G$2+$H$2*A122)</f>
        <v>1.1967738333537254</v>
      </c>
      <c r="E122">
        <f t="shared" ca="1" si="9"/>
        <v>1.2806057171889316</v>
      </c>
      <c r="Q122">
        <f t="shared" ref="Q122:R141" ca="1" si="15">NORMINV(RAND(),0,1)</f>
        <v>-0.25589337746410051</v>
      </c>
      <c r="R122">
        <f t="shared" ca="1" si="15"/>
        <v>1.6246753003751164</v>
      </c>
    </row>
    <row r="123" spans="1:18" x14ac:dyDescent="0.45">
      <c r="A123">
        <f t="shared" ca="1" si="14"/>
        <v>-0.52104804657202852</v>
      </c>
      <c r="B123">
        <f t="shared" ca="1" si="14"/>
        <v>5.0953554627616221E-2</v>
      </c>
      <c r="D123">
        <f ca="1">SQRT(MAX('HE2'!B122,0))*($G$2+$H$2*A123)</f>
        <v>-0.85686900219668916</v>
      </c>
      <c r="E123">
        <f t="shared" ca="1" si="9"/>
        <v>-0.38626630448105309</v>
      </c>
      <c r="Q123">
        <f t="shared" ca="1" si="15"/>
        <v>0.42794499284817406</v>
      </c>
      <c r="R123">
        <f t="shared" ca="1" si="15"/>
        <v>-0.81520239437299646</v>
      </c>
    </row>
    <row r="124" spans="1:18" x14ac:dyDescent="0.45">
      <c r="A124">
        <f t="shared" ca="1" si="14"/>
        <v>0.51532145458144529</v>
      </c>
      <c r="B124">
        <f t="shared" ca="1" si="14"/>
        <v>-0.26960797163190636</v>
      </c>
      <c r="D124">
        <f ca="1">SQRT(MAX('HE2'!B123,0))*($G$2+$H$2*A124)</f>
        <v>0.81316825867739873</v>
      </c>
      <c r="E124">
        <f t="shared" ca="1" si="9"/>
        <v>0.25049238068601243</v>
      </c>
      <c r="Q124">
        <f t="shared" ca="1" si="15"/>
        <v>-0.7310865264725519</v>
      </c>
      <c r="R124">
        <f t="shared" ca="1" si="15"/>
        <v>-0.46470768332401546</v>
      </c>
    </row>
    <row r="125" spans="1:18" x14ac:dyDescent="0.45">
      <c r="A125">
        <f t="shared" ca="1" si="14"/>
        <v>0.50532327523810228</v>
      </c>
      <c r="B125">
        <f t="shared" ca="1" si="14"/>
        <v>1.0760507220703381</v>
      </c>
      <c r="D125">
        <f ca="1">SQRT(MAX('HE2'!B124,0))*($G$2+$H$2*A125)</f>
        <v>0.81309610068729854</v>
      </c>
      <c r="E125">
        <f t="shared" ca="1" si="9"/>
        <v>1.0498890534326846</v>
      </c>
      <c r="Q125">
        <f t="shared" ca="1" si="15"/>
        <v>-1.353463438356453</v>
      </c>
      <c r="R125">
        <f t="shared" ca="1" si="15"/>
        <v>-0.12084837462066794</v>
      </c>
    </row>
    <row r="126" spans="1:18" x14ac:dyDescent="0.45">
      <c r="A126">
        <f t="shared" ca="1" si="14"/>
        <v>2.1725021143135423</v>
      </c>
      <c r="B126">
        <f t="shared" ca="1" si="14"/>
        <v>-0.78398842324101858</v>
      </c>
      <c r="D126">
        <f ca="1">SQRT(MAX('HE2'!B125,0))*($G$2+$H$2*A126)</f>
        <v>3.809236536401964</v>
      </c>
      <c r="E126">
        <f t="shared" ca="1" si="9"/>
        <v>1.267608637506223</v>
      </c>
      <c r="Q126">
        <f t="shared" ca="1" si="15"/>
        <v>2.9297514792049395E-2</v>
      </c>
      <c r="R126">
        <f t="shared" ca="1" si="15"/>
        <v>0.71107665064989645</v>
      </c>
    </row>
    <row r="127" spans="1:18" x14ac:dyDescent="0.45">
      <c r="A127">
        <f t="shared" ca="1" si="14"/>
        <v>0.15114144458262563</v>
      </c>
      <c r="B127">
        <f t="shared" ca="1" si="14"/>
        <v>-0.13632462243881105</v>
      </c>
      <c r="D127">
        <f ca="1">SQRT(MAX('HE2'!B126,0))*($G$2+$H$2*A127)</f>
        <v>0.29111617463162592</v>
      </c>
      <c r="E127">
        <f t="shared" ca="1" si="9"/>
        <v>3.9118382202813898E-2</v>
      </c>
      <c r="Q127">
        <f t="shared" ca="1" si="15"/>
        <v>-0.77595092063537019</v>
      </c>
      <c r="R127">
        <f t="shared" ca="1" si="15"/>
        <v>-1.7654136202484478E-2</v>
      </c>
    </row>
    <row r="128" spans="1:18" x14ac:dyDescent="0.45">
      <c r="A128">
        <f t="shared" ca="1" si="14"/>
        <v>2.0052003885407661</v>
      </c>
      <c r="B128">
        <f t="shared" ca="1" si="14"/>
        <v>-0.82810670827731847</v>
      </c>
      <c r="D128">
        <f ca="1">SQRT(MAX('HE2'!B127,0))*($G$2+$H$2*A128)</f>
        <v>3.8511343595307816</v>
      </c>
      <c r="E128">
        <f t="shared" ca="1" si="9"/>
        <v>1.1072962858662221</v>
      </c>
      <c r="Q128">
        <f t="shared" ca="1" si="15"/>
        <v>-0.75186814536986191</v>
      </c>
      <c r="R128">
        <f t="shared" ca="1" si="15"/>
        <v>2.0009894226907412</v>
      </c>
    </row>
    <row r="129" spans="1:18" x14ac:dyDescent="0.45">
      <c r="A129">
        <f t="shared" ca="1" si="14"/>
        <v>6.1289434135916782E-4</v>
      </c>
      <c r="B129">
        <f t="shared" ca="1" si="14"/>
        <v>0.42760242053693959</v>
      </c>
      <c r="D129">
        <f ca="1">SQRT(MAX('HE2'!B128,0))*($G$2+$H$2*A129)</f>
        <v>1.2684234405205481E-3</v>
      </c>
      <c r="E129">
        <f t="shared" ca="1" si="9"/>
        <v>0.25705176779525102</v>
      </c>
      <c r="Q129">
        <f t="shared" ca="1" si="15"/>
        <v>-5.7771979863045317E-2</v>
      </c>
      <c r="R129">
        <f t="shared" ca="1" si="15"/>
        <v>0.20722566149571847</v>
      </c>
    </row>
    <row r="130" spans="1:18" x14ac:dyDescent="0.45">
      <c r="A130">
        <f t="shared" ca="1" si="14"/>
        <v>0.55469870887222461</v>
      </c>
      <c r="B130">
        <f t="shared" ca="1" si="14"/>
        <v>0.42863959074179731</v>
      </c>
      <c r="D130">
        <f ca="1">SQRT(MAX('HE2'!B129,0))*($G$2+$H$2*A130)</f>
        <v>1.1618644214911447</v>
      </c>
      <c r="E130">
        <f t="shared" ref="E130:E193" ca="1" si="16">$I$2+$J$2*(A130*$K$2 + B130*POWER(1-$K$2*$K$2, 0.5))</f>
        <v>0.70094272154285808</v>
      </c>
      <c r="Q130">
        <f t="shared" ca="1" si="15"/>
        <v>0.32705841994342222</v>
      </c>
      <c r="R130">
        <f t="shared" ca="1" si="15"/>
        <v>0.1652613928059167</v>
      </c>
    </row>
    <row r="131" spans="1:18" x14ac:dyDescent="0.45">
      <c r="A131">
        <f t="shared" ca="1" si="14"/>
        <v>0.1783910829132388</v>
      </c>
      <c r="B131">
        <f t="shared" ca="1" si="14"/>
        <v>-1.2645693265040245</v>
      </c>
      <c r="D131">
        <f ca="1">SQRT(MAX('HE2'!B130,0))*($G$2+$H$2*A131)</f>
        <v>0.38962304320688168</v>
      </c>
      <c r="E131">
        <f t="shared" ca="1" si="16"/>
        <v>-0.61602872957182342</v>
      </c>
      <c r="Q131">
        <f t="shared" ca="1" si="15"/>
        <v>-0.94623142853681619</v>
      </c>
      <c r="R131">
        <f t="shared" ca="1" si="15"/>
        <v>0.2647272323190033</v>
      </c>
    </row>
    <row r="132" spans="1:18" x14ac:dyDescent="0.45">
      <c r="A132">
        <f t="shared" ca="1" si="14"/>
        <v>0.52647087331523734</v>
      </c>
      <c r="B132">
        <f t="shared" ca="1" si="14"/>
        <v>1.2403197267062367</v>
      </c>
      <c r="D132">
        <f ca="1">SQRT(MAX('HE2'!B131,0))*($G$2+$H$2*A132)</f>
        <v>1.0919027873390064</v>
      </c>
      <c r="E132">
        <f t="shared" ca="1" si="16"/>
        <v>1.1653685346759317</v>
      </c>
      <c r="Q132">
        <f t="shared" ca="1" si="15"/>
        <v>0.12008264231254841</v>
      </c>
      <c r="R132">
        <f t="shared" ca="1" si="15"/>
        <v>-1.5406582259929891</v>
      </c>
    </row>
    <row r="133" spans="1:18" x14ac:dyDescent="0.45">
      <c r="A133">
        <f t="shared" ca="1" si="14"/>
        <v>0.26721713383264106</v>
      </c>
      <c r="B133">
        <f t="shared" ca="1" si="14"/>
        <v>1.7702343660621314</v>
      </c>
      <c r="D133">
        <f ca="1">SQRT(MAX('HE2'!B132,0))*($G$2+$H$2*A133)</f>
        <v>0.59576988542325937</v>
      </c>
      <c r="E133">
        <f t="shared" ca="1" si="16"/>
        <v>1.2759143267033917</v>
      </c>
      <c r="Q133">
        <f t="shared" ca="1" si="15"/>
        <v>0.6702295107396814</v>
      </c>
      <c r="R133">
        <f t="shared" ca="1" si="15"/>
        <v>5.3328950568325068E-2</v>
      </c>
    </row>
    <row r="134" spans="1:18" x14ac:dyDescent="0.45">
      <c r="A134">
        <f t="shared" ca="1" si="14"/>
        <v>-0.38373273195838509</v>
      </c>
      <c r="B134">
        <f t="shared" ca="1" si="14"/>
        <v>0.48529317207333422</v>
      </c>
      <c r="D134">
        <f ca="1">SQRT(MAX('HE2'!B133,0))*($G$2+$H$2*A134)</f>
        <v>-0.92056556985000526</v>
      </c>
      <c r="E134">
        <f t="shared" ca="1" si="16"/>
        <v>-1.5810282322707647E-2</v>
      </c>
      <c r="Q134">
        <f t="shared" ca="1" si="15"/>
        <v>-0.6871447141836069</v>
      </c>
      <c r="R134">
        <f t="shared" ca="1" si="15"/>
        <v>-0.50145262065630025</v>
      </c>
    </row>
    <row r="135" spans="1:18" x14ac:dyDescent="0.45">
      <c r="A135">
        <f t="shared" ca="1" si="14"/>
        <v>1.665058994047429</v>
      </c>
      <c r="B135">
        <f t="shared" ca="1" si="14"/>
        <v>-0.15432836703147443</v>
      </c>
      <c r="D135">
        <f ca="1">SQRT(MAX('HE2'!B134,0))*($G$2+$H$2*A135)</f>
        <v>3.960906590666414</v>
      </c>
      <c r="E135">
        <f t="shared" ca="1" si="16"/>
        <v>1.2394501750190587</v>
      </c>
      <c r="Q135">
        <f t="shared" ca="1" si="15"/>
        <v>-0.3451483653525888</v>
      </c>
      <c r="R135">
        <f t="shared" ca="1" si="15"/>
        <v>0.31661445658235171</v>
      </c>
    </row>
    <row r="136" spans="1:18" x14ac:dyDescent="0.45">
      <c r="A136">
        <f t="shared" ca="1" si="14"/>
        <v>0.27073649611245215</v>
      </c>
      <c r="B136">
        <f t="shared" ca="1" si="14"/>
        <v>1.1809095031856691</v>
      </c>
      <c r="D136">
        <f ca="1">SQRT(MAX('HE2'!B135,0))*($G$2+$H$2*A136)</f>
        <v>0.68814481328456845</v>
      </c>
      <c r="E136">
        <f t="shared" ca="1" si="16"/>
        <v>0.92513489880136301</v>
      </c>
      <c r="Q136">
        <f t="shared" ca="1" si="15"/>
        <v>0.37790164352940953</v>
      </c>
      <c r="R136">
        <f t="shared" ca="1" si="15"/>
        <v>1.08755278214349</v>
      </c>
    </row>
    <row r="137" spans="1:18" x14ac:dyDescent="0.45">
      <c r="A137">
        <f t="shared" ca="1" si="14"/>
        <v>0.98474045781707975</v>
      </c>
      <c r="B137">
        <f t="shared" ca="1" si="14"/>
        <v>-0.10344194765222638</v>
      </c>
      <c r="D137">
        <f ca="1">SQRT(MAX('HE2'!B136,0))*($G$2+$H$2*A137)</f>
        <v>2.6178165173507102</v>
      </c>
      <c r="E137">
        <f t="shared" ca="1" si="16"/>
        <v>0.72572719766232807</v>
      </c>
      <c r="Q137">
        <f t="shared" ca="1" si="15"/>
        <v>0.26808102866502048</v>
      </c>
      <c r="R137">
        <f t="shared" ca="1" si="15"/>
        <v>1.2600318049498977</v>
      </c>
    </row>
    <row r="138" spans="1:18" x14ac:dyDescent="0.45">
      <c r="A138">
        <f t="shared" ca="1" si="14"/>
        <v>-0.68604015634530102</v>
      </c>
      <c r="B138">
        <f t="shared" ca="1" si="14"/>
        <v>-0.45626116010660228</v>
      </c>
      <c r="D138">
        <f ca="1">SQRT(MAX('HE2'!B137,0))*($G$2+$H$2*A138)</f>
        <v>-1.8831398850743466</v>
      </c>
      <c r="E138">
        <f t="shared" ca="1" si="16"/>
        <v>-0.82258882114020215</v>
      </c>
      <c r="Q138">
        <f t="shared" ca="1" si="15"/>
        <v>0.5877079849494542</v>
      </c>
      <c r="R138">
        <f t="shared" ca="1" si="15"/>
        <v>1.8156978851815695</v>
      </c>
    </row>
    <row r="139" spans="1:18" x14ac:dyDescent="0.45">
      <c r="A139">
        <f t="shared" ca="1" si="14"/>
        <v>-1.4419258338148195</v>
      </c>
      <c r="B139">
        <f t="shared" ca="1" si="14"/>
        <v>-1.8124662742463933</v>
      </c>
      <c r="D139">
        <f ca="1">SQRT(MAX('HE2'!B138,0))*($G$2+$H$2*A139)</f>
        <v>-3.7425930768997135</v>
      </c>
      <c r="E139">
        <f t="shared" ca="1" si="16"/>
        <v>-2.2410204315996918</v>
      </c>
      <c r="Q139">
        <f t="shared" ca="1" si="15"/>
        <v>0.15507804949732421</v>
      </c>
      <c r="R139">
        <f t="shared" ca="1" si="15"/>
        <v>-0.77200213479307755</v>
      </c>
    </row>
    <row r="140" spans="1:18" x14ac:dyDescent="0.45">
      <c r="A140">
        <f t="shared" ca="1" si="14"/>
        <v>-1.8769286400256719</v>
      </c>
      <c r="B140">
        <f t="shared" ca="1" si="14"/>
        <v>6.3087420953744658E-2</v>
      </c>
      <c r="D140">
        <f ca="1">SQRT(MAX('HE2'!B139,0))*($G$2+$H$2*A140)</f>
        <v>-4.1494191672989507</v>
      </c>
      <c r="E140">
        <f t="shared" ca="1" si="16"/>
        <v>-1.4636904594482909</v>
      </c>
      <c r="Q140">
        <f t="shared" ca="1" si="15"/>
        <v>-9.6853809891185583E-2</v>
      </c>
      <c r="R140">
        <f t="shared" ca="1" si="15"/>
        <v>-0.19888163523879679</v>
      </c>
    </row>
    <row r="141" spans="1:18" x14ac:dyDescent="0.45">
      <c r="A141">
        <f t="shared" ca="1" si="14"/>
        <v>1.1588914465440743</v>
      </c>
      <c r="B141">
        <f t="shared" ca="1" si="14"/>
        <v>-1.51860069566227</v>
      </c>
      <c r="D141">
        <f ca="1">SQRT(MAX('HE2'!B140,0))*($G$2+$H$2*A141)</f>
        <v>2.2736662917383121</v>
      </c>
      <c r="E141">
        <f t="shared" ca="1" si="16"/>
        <v>1.5952739837897689E-2</v>
      </c>
      <c r="Q141">
        <f t="shared" ca="1" si="15"/>
        <v>0.10953468871072482</v>
      </c>
      <c r="R141">
        <f t="shared" ca="1" si="15"/>
        <v>-0.48932995002314028</v>
      </c>
    </row>
    <row r="142" spans="1:18" x14ac:dyDescent="0.45">
      <c r="A142">
        <f t="shared" ref="A142:B161" ca="1" si="17">NORMINV(RAND(),0,1)</f>
        <v>-0.15096592947625811</v>
      </c>
      <c r="B142">
        <f t="shared" ca="1" si="17"/>
        <v>-0.41579183515711449</v>
      </c>
      <c r="D142">
        <f ca="1">SQRT(MAX('HE2'!B141,0))*($G$2+$H$2*A142)</f>
        <v>-0.29474532345298771</v>
      </c>
      <c r="E142">
        <f t="shared" ca="1" si="16"/>
        <v>-0.37024784467527511</v>
      </c>
      <c r="Q142">
        <f t="shared" ref="Q142:R161" ca="1" si="18">NORMINV(RAND(),0,1)</f>
        <v>0.15324237548639774</v>
      </c>
      <c r="R142">
        <f t="shared" ca="1" si="18"/>
        <v>0.93542233155270849</v>
      </c>
    </row>
    <row r="143" spans="1:18" x14ac:dyDescent="0.45">
      <c r="A143">
        <f t="shared" ca="1" si="17"/>
        <v>0.14548398298494233</v>
      </c>
      <c r="B143">
        <f t="shared" ca="1" si="17"/>
        <v>-0.72738220294919642</v>
      </c>
      <c r="D143">
        <f ca="1">SQRT(MAX('HE2'!B142,0))*($G$2+$H$2*A143)</f>
        <v>0.27407503415407608</v>
      </c>
      <c r="E143">
        <f t="shared" ca="1" si="16"/>
        <v>-0.3200421353815639</v>
      </c>
      <c r="Q143">
        <f t="shared" ca="1" si="18"/>
        <v>0.53813038579305694</v>
      </c>
      <c r="R143">
        <f t="shared" ca="1" si="18"/>
        <v>0.36564617699276936</v>
      </c>
    </row>
    <row r="144" spans="1:18" x14ac:dyDescent="0.45">
      <c r="A144">
        <f t="shared" ca="1" si="17"/>
        <v>1.6647053000293386</v>
      </c>
      <c r="B144">
        <f t="shared" ca="1" si="17"/>
        <v>1.7760132528897095</v>
      </c>
      <c r="D144">
        <f ca="1">SQRT(MAX('HE2'!B143,0))*($G$2+$H$2*A144)</f>
        <v>3.0366305501800799</v>
      </c>
      <c r="E144">
        <f t="shared" ca="1" si="16"/>
        <v>2.3973721917572965</v>
      </c>
      <c r="Q144">
        <f t="shared" ca="1" si="18"/>
        <v>-1.1640159922516027</v>
      </c>
      <c r="R144">
        <f t="shared" ca="1" si="18"/>
        <v>-1.9724479843470055</v>
      </c>
    </row>
    <row r="145" spans="1:18" x14ac:dyDescent="0.45">
      <c r="A145">
        <f t="shared" ca="1" si="17"/>
        <v>0.49243666599612423</v>
      </c>
      <c r="B145">
        <f t="shared" ca="1" si="17"/>
        <v>-0.84548526929761492</v>
      </c>
      <c r="D145">
        <f ca="1">SQRT(MAX('HE2'!B144,0))*($G$2+$H$2*A145)</f>
        <v>1.0565128914867781</v>
      </c>
      <c r="E145">
        <f t="shared" ca="1" si="16"/>
        <v>-0.11334182878166937</v>
      </c>
      <c r="Q145">
        <f t="shared" ca="1" si="18"/>
        <v>1.8834175453147879</v>
      </c>
      <c r="R145">
        <f t="shared" ca="1" si="18"/>
        <v>-0.40453346795242701</v>
      </c>
    </row>
    <row r="146" spans="1:18" x14ac:dyDescent="0.45">
      <c r="A146">
        <f t="shared" ca="1" si="17"/>
        <v>-0.9193365008622072</v>
      </c>
      <c r="B146">
        <f t="shared" ca="1" si="17"/>
        <v>-1.3889820822580656</v>
      </c>
      <c r="D146">
        <f ca="1">SQRT(MAX('HE2'!B145,0))*($G$2+$H$2*A146)</f>
        <v>-1.943334256078785</v>
      </c>
      <c r="E146">
        <f t="shared" ca="1" si="16"/>
        <v>-1.568858450044605</v>
      </c>
      <c r="Q146">
        <f t="shared" ca="1" si="18"/>
        <v>0.16391845138045544</v>
      </c>
      <c r="R146">
        <f t="shared" ca="1" si="18"/>
        <v>1.6535688106471527</v>
      </c>
    </row>
    <row r="147" spans="1:18" x14ac:dyDescent="0.45">
      <c r="A147">
        <f t="shared" ca="1" si="17"/>
        <v>0.16553061466863772</v>
      </c>
      <c r="B147">
        <f t="shared" ca="1" si="17"/>
        <v>0.78930941170841706</v>
      </c>
      <c r="D147">
        <f ca="1">SQRT(MAX('HE2'!B146,0))*($G$2+$H$2*A147)</f>
        <v>0.30586646279141594</v>
      </c>
      <c r="E147">
        <f t="shared" ca="1" si="16"/>
        <v>0.60601013875996035</v>
      </c>
      <c r="Q147">
        <f t="shared" ca="1" si="18"/>
        <v>1.3638705840200673</v>
      </c>
      <c r="R147">
        <f t="shared" ca="1" si="18"/>
        <v>0.32214733201927231</v>
      </c>
    </row>
    <row r="148" spans="1:18" x14ac:dyDescent="0.45">
      <c r="A148">
        <f t="shared" ca="1" si="17"/>
        <v>2.0977930131006723</v>
      </c>
      <c r="B148">
        <f t="shared" ca="1" si="17"/>
        <v>1.1220267312741321</v>
      </c>
      <c r="D148">
        <f ca="1">SQRT(MAX('HE2'!B147,0))*($G$2+$H$2*A148)</f>
        <v>4.04186416755328</v>
      </c>
      <c r="E148">
        <f t="shared" ca="1" si="16"/>
        <v>2.351450449245017</v>
      </c>
      <c r="Q148">
        <f t="shared" ca="1" si="18"/>
        <v>-0.23656711178883183</v>
      </c>
      <c r="R148">
        <f t="shared" ca="1" si="18"/>
        <v>0.46950492779188208</v>
      </c>
    </row>
    <row r="149" spans="1:18" x14ac:dyDescent="0.45">
      <c r="A149">
        <f t="shared" ca="1" si="17"/>
        <v>0.96318692332610067</v>
      </c>
      <c r="B149">
        <f t="shared" ca="1" si="17"/>
        <v>-1.3433675862443366</v>
      </c>
      <c r="D149">
        <f ca="1">SQRT(MAX('HE2'!B148,0))*($G$2+$H$2*A149)</f>
        <v>2.1596571891668974</v>
      </c>
      <c r="E149">
        <f t="shared" ca="1" si="16"/>
        <v>-3.5471013085721204E-2</v>
      </c>
      <c r="Q149">
        <f t="shared" ca="1" si="18"/>
        <v>1.1677932319233</v>
      </c>
      <c r="R149">
        <f t="shared" ca="1" si="18"/>
        <v>-0.26987483696750364</v>
      </c>
    </row>
    <row r="150" spans="1:18" x14ac:dyDescent="0.45">
      <c r="A150">
        <f t="shared" ca="1" si="17"/>
        <v>0.30641187787858226</v>
      </c>
      <c r="B150">
        <f t="shared" ca="1" si="17"/>
        <v>-0.7660582856151843</v>
      </c>
      <c r="D150">
        <f ca="1">SQRT(MAX('HE2'!B149,0))*($G$2+$H$2*A150)</f>
        <v>0.68057363390531334</v>
      </c>
      <c r="E150">
        <f t="shared" ca="1" si="16"/>
        <v>-0.21450546906624465</v>
      </c>
      <c r="Q150">
        <f t="shared" ca="1" si="18"/>
        <v>-0.81422888929046999</v>
      </c>
      <c r="R150">
        <f t="shared" ca="1" si="18"/>
        <v>0.4422605627189925</v>
      </c>
    </row>
    <row r="151" spans="1:18" x14ac:dyDescent="0.45">
      <c r="A151">
        <f t="shared" ca="1" si="17"/>
        <v>-0.65409254523196481</v>
      </c>
      <c r="B151">
        <f t="shared" ca="1" si="17"/>
        <v>0.57666765693971034</v>
      </c>
      <c r="D151">
        <f ca="1">SQRT(MAX('HE2'!B150,0))*($G$2+$H$2*A151)</f>
        <v>-1.4213518358079418</v>
      </c>
      <c r="E151">
        <f t="shared" ca="1" si="16"/>
        <v>-0.17727344202174578</v>
      </c>
      <c r="Q151">
        <f t="shared" ca="1" si="18"/>
        <v>0.80512785799854913</v>
      </c>
      <c r="R151">
        <f t="shared" ca="1" si="18"/>
        <v>-1.0151607701737237</v>
      </c>
    </row>
    <row r="152" spans="1:18" x14ac:dyDescent="0.45">
      <c r="A152">
        <f t="shared" ca="1" si="17"/>
        <v>0.48494988396459171</v>
      </c>
      <c r="B152">
        <f t="shared" ca="1" si="17"/>
        <v>-0.98834124234813536</v>
      </c>
      <c r="D152">
        <f ca="1">SQRT(MAX('HE2'!B151,0))*($G$2+$H$2*A152)</f>
        <v>1.0335521101907001</v>
      </c>
      <c r="E152">
        <f t="shared" ca="1" si="16"/>
        <v>-0.20504483823720765</v>
      </c>
      <c r="Q152">
        <f t="shared" ca="1" si="18"/>
        <v>-0.86467716287044005</v>
      </c>
      <c r="R152">
        <f t="shared" ca="1" si="18"/>
        <v>0.442753028858835</v>
      </c>
    </row>
    <row r="153" spans="1:18" x14ac:dyDescent="0.45">
      <c r="A153">
        <f t="shared" ca="1" si="17"/>
        <v>-2.1718125815100895</v>
      </c>
      <c r="B153">
        <f t="shared" ca="1" si="17"/>
        <v>-1.7635625722573487</v>
      </c>
      <c r="D153">
        <f ca="1">SQRT(MAX('HE2'!B152,0))*($G$2+$H$2*A153)</f>
        <v>-4.5299721531002071</v>
      </c>
      <c r="E153">
        <f t="shared" ca="1" si="16"/>
        <v>-2.7955876085624807</v>
      </c>
      <c r="Q153">
        <f t="shared" ca="1" si="18"/>
        <v>0.16567648622414211</v>
      </c>
      <c r="R153">
        <f t="shared" ca="1" si="18"/>
        <v>-0.70707063611620558</v>
      </c>
    </row>
    <row r="154" spans="1:18" x14ac:dyDescent="0.45">
      <c r="A154">
        <f t="shared" ca="1" si="17"/>
        <v>0.66144911479077195</v>
      </c>
      <c r="B154">
        <f t="shared" ca="1" si="17"/>
        <v>-0.29488126067623621</v>
      </c>
      <c r="D154">
        <f ca="1">SQRT(MAX('HE2'!B153,0))*($G$2+$H$2*A154)</f>
        <v>1.0551130599516718</v>
      </c>
      <c r="E154">
        <f t="shared" ca="1" si="16"/>
        <v>0.35223053542687588</v>
      </c>
      <c r="Q154">
        <f t="shared" ca="1" si="18"/>
        <v>-0.8320165708569951</v>
      </c>
      <c r="R154">
        <f t="shared" ca="1" si="18"/>
        <v>-6.89290569653392E-2</v>
      </c>
    </row>
    <row r="155" spans="1:18" x14ac:dyDescent="0.45">
      <c r="A155">
        <f t="shared" ca="1" si="17"/>
        <v>-0.48698103238535184</v>
      </c>
      <c r="B155">
        <f t="shared" ca="1" si="17"/>
        <v>0.66837121037651925</v>
      </c>
      <c r="D155">
        <f ca="1">SQRT(MAX('HE2'!B154,0))*($G$2+$H$2*A155)</f>
        <v>-0.79907219487783709</v>
      </c>
      <c r="E155">
        <f t="shared" ca="1" si="16"/>
        <v>1.1437900317629979E-2</v>
      </c>
      <c r="Q155">
        <f t="shared" ca="1" si="18"/>
        <v>0.1606009207089783</v>
      </c>
      <c r="R155">
        <f t="shared" ca="1" si="18"/>
        <v>-8.7605930012249589E-2</v>
      </c>
    </row>
    <row r="156" spans="1:18" x14ac:dyDescent="0.45">
      <c r="A156">
        <f t="shared" ca="1" si="17"/>
        <v>1.4780512794564409</v>
      </c>
      <c r="B156">
        <f t="shared" ca="1" si="17"/>
        <v>1.8303680426281752</v>
      </c>
      <c r="D156">
        <f ca="1">SQRT(MAX('HE2'!B155,0))*($G$2+$H$2*A156)</f>
        <v>2.4171906399509537</v>
      </c>
      <c r="E156">
        <f t="shared" ca="1" si="16"/>
        <v>2.2806618491420574</v>
      </c>
      <c r="Q156">
        <f t="shared" ca="1" si="18"/>
        <v>-0.29941482084285836</v>
      </c>
      <c r="R156">
        <f t="shared" ca="1" si="18"/>
        <v>3.4753616561541981E-2</v>
      </c>
    </row>
    <row r="157" spans="1:18" x14ac:dyDescent="0.45">
      <c r="A157">
        <f t="shared" ca="1" si="17"/>
        <v>-1.1234786335348335</v>
      </c>
      <c r="B157">
        <f t="shared" ca="1" si="17"/>
        <v>2.4077755495620696</v>
      </c>
      <c r="D157">
        <f ca="1">SQRT(MAX('HE2'!B156,0))*($G$2+$H$2*A157)</f>
        <v>-2.181461925599951</v>
      </c>
      <c r="E157">
        <f t="shared" ca="1" si="16"/>
        <v>0.54588242290937461</v>
      </c>
      <c r="Q157">
        <f t="shared" ca="1" si="18"/>
        <v>0.53876337001165298</v>
      </c>
      <c r="R157">
        <f t="shared" ca="1" si="18"/>
        <v>-0.38007152823857937</v>
      </c>
    </row>
    <row r="158" spans="1:18" x14ac:dyDescent="0.45">
      <c r="A158">
        <f t="shared" ca="1" si="17"/>
        <v>0.2269212625791687</v>
      </c>
      <c r="B158">
        <f t="shared" ca="1" si="17"/>
        <v>-1.0546001117237103</v>
      </c>
      <c r="D158">
        <f ca="1">SQRT(MAX('HE2'!B157,0))*($G$2+$H$2*A158)</f>
        <v>0.4562786308386661</v>
      </c>
      <c r="E158">
        <f t="shared" ca="1" si="16"/>
        <v>-0.45122305697089105</v>
      </c>
      <c r="Q158">
        <f t="shared" ca="1" si="18"/>
        <v>-0.71336788531556383</v>
      </c>
      <c r="R158">
        <f t="shared" ca="1" si="18"/>
        <v>-0.42413341787863368</v>
      </c>
    </row>
    <row r="159" spans="1:18" x14ac:dyDescent="0.45">
      <c r="A159">
        <f t="shared" ca="1" si="17"/>
        <v>1.097295856543766</v>
      </c>
      <c r="B159">
        <f t="shared" ca="1" si="17"/>
        <v>0.60536045965971463</v>
      </c>
      <c r="D159">
        <f ca="1">SQRT(MAX('HE2'!B158,0))*($G$2+$H$2*A159)</f>
        <v>2.1164663740448741</v>
      </c>
      <c r="E159">
        <f t="shared" ca="1" si="16"/>
        <v>1.2410529610308416</v>
      </c>
      <c r="Q159">
        <f t="shared" ca="1" si="18"/>
        <v>1.8261112520394993</v>
      </c>
      <c r="R159">
        <f t="shared" ca="1" si="18"/>
        <v>0.66191684694391262</v>
      </c>
    </row>
    <row r="160" spans="1:18" x14ac:dyDescent="0.45">
      <c r="A160">
        <f t="shared" ca="1" si="17"/>
        <v>-0.99973689995951709</v>
      </c>
      <c r="B160">
        <f t="shared" ca="1" si="17"/>
        <v>0.95997831911441289</v>
      </c>
      <c r="D160">
        <f ca="1">SQRT(MAX('HE2'!B159,0))*($G$2+$H$2*A160)</f>
        <v>-2.0956982189571711</v>
      </c>
      <c r="E160">
        <f t="shared" ca="1" si="16"/>
        <v>-0.22380252849896609</v>
      </c>
      <c r="Q160">
        <f t="shared" ca="1" si="18"/>
        <v>-2.4451084953045972</v>
      </c>
      <c r="R160">
        <f t="shared" ca="1" si="18"/>
        <v>8.0998647640795632E-2</v>
      </c>
    </row>
    <row r="161" spans="1:18" x14ac:dyDescent="0.45">
      <c r="A161">
        <f t="shared" ca="1" si="17"/>
        <v>0.67578477700194917</v>
      </c>
      <c r="B161">
        <f t="shared" ca="1" si="17"/>
        <v>0.33955259573952662</v>
      </c>
      <c r="D161">
        <f ca="1">SQRT(MAX('HE2'!B160,0))*($G$2+$H$2*A161)</f>
        <v>1.3842708342505747</v>
      </c>
      <c r="E161">
        <f t="shared" ca="1" si="16"/>
        <v>0.74435937904527527</v>
      </c>
      <c r="Q161">
        <f t="shared" ca="1" si="18"/>
        <v>0.62260012120114094</v>
      </c>
      <c r="R161">
        <f t="shared" ca="1" si="18"/>
        <v>0.16389895915501962</v>
      </c>
    </row>
    <row r="162" spans="1:18" x14ac:dyDescent="0.45">
      <c r="A162">
        <f t="shared" ref="A162:B181" ca="1" si="19">NORMINV(RAND(),0,1)</f>
        <v>-0.17192585013609338</v>
      </c>
      <c r="B162">
        <f t="shared" ca="1" si="19"/>
        <v>0.89909952468048282</v>
      </c>
      <c r="D162">
        <f ca="1">SQRT(MAX('HE2'!B161,0))*($G$2+$H$2*A162)</f>
        <v>-0.36872677778191981</v>
      </c>
      <c r="E162">
        <f t="shared" ca="1" si="16"/>
        <v>0.40191903469941487</v>
      </c>
      <c r="Q162">
        <f t="shared" ref="Q162:R181" ca="1" si="20">NORMINV(RAND(),0,1)</f>
        <v>-0.91817244923574637</v>
      </c>
      <c r="R162">
        <f t="shared" ca="1" si="20"/>
        <v>0.42144406210375146</v>
      </c>
    </row>
    <row r="163" spans="1:18" x14ac:dyDescent="0.45">
      <c r="A163">
        <f t="shared" ca="1" si="19"/>
        <v>1.8151492866573886</v>
      </c>
      <c r="B163">
        <f t="shared" ca="1" si="19"/>
        <v>-0.68115439486211493</v>
      </c>
      <c r="D163">
        <f ca="1">SQRT(MAX('HE2'!B162,0))*($G$2+$H$2*A163)</f>
        <v>3.9753612816643327</v>
      </c>
      <c r="E163">
        <f t="shared" ca="1" si="16"/>
        <v>1.043426792408642</v>
      </c>
      <c r="Q163">
        <f t="shared" ca="1" si="20"/>
        <v>-0.42012718285389905</v>
      </c>
      <c r="R163">
        <f t="shared" ca="1" si="20"/>
        <v>-0.40693975773599816</v>
      </c>
    </row>
    <row r="164" spans="1:18" x14ac:dyDescent="0.45">
      <c r="A164">
        <f t="shared" ca="1" si="19"/>
        <v>-1.4018096382927172</v>
      </c>
      <c r="B164">
        <f t="shared" ca="1" si="19"/>
        <v>1.9718410605105932</v>
      </c>
      <c r="D164">
        <f ca="1">SQRT(MAX('HE2'!B163,0))*($G$2+$H$2*A164)</f>
        <v>-3.2624676637572945</v>
      </c>
      <c r="E164">
        <f t="shared" ca="1" si="16"/>
        <v>6.1656925672181728E-2</v>
      </c>
      <c r="Q164">
        <f t="shared" ca="1" si="20"/>
        <v>-0.8277774896799821</v>
      </c>
      <c r="R164">
        <f t="shared" ca="1" si="20"/>
        <v>2.4259979480619265</v>
      </c>
    </row>
    <row r="165" spans="1:18" x14ac:dyDescent="0.45">
      <c r="A165">
        <f t="shared" ca="1" si="19"/>
        <v>-1.7586504363127489</v>
      </c>
      <c r="B165">
        <f t="shared" ca="1" si="19"/>
        <v>0.26928464594636453</v>
      </c>
      <c r="D165">
        <f ca="1">SQRT(MAX('HE2'!B164,0))*($G$2+$H$2*A165)</f>
        <v>-4.0797024671494073</v>
      </c>
      <c r="E165">
        <f t="shared" ca="1" si="16"/>
        <v>-1.2453495614823804</v>
      </c>
      <c r="Q165">
        <f t="shared" ca="1" si="20"/>
        <v>-0.18420595998187728</v>
      </c>
      <c r="R165">
        <f t="shared" ca="1" si="20"/>
        <v>5.1432932402308999E-2</v>
      </c>
    </row>
    <row r="166" spans="1:18" x14ac:dyDescent="0.45">
      <c r="A166">
        <f t="shared" ca="1" si="19"/>
        <v>0.19856031129501195</v>
      </c>
      <c r="B166">
        <f t="shared" ca="1" si="19"/>
        <v>2.5855779814310552E-2</v>
      </c>
      <c r="D166">
        <f ca="1">SQRT(MAX('HE2'!B165,0))*($G$2+$H$2*A166)</f>
        <v>0.41826939869833624</v>
      </c>
      <c r="E166">
        <f t="shared" ca="1" si="16"/>
        <v>0.1743617169245959</v>
      </c>
      <c r="Q166">
        <f t="shared" ca="1" si="20"/>
        <v>0.32002686278504111</v>
      </c>
      <c r="R166">
        <f t="shared" ca="1" si="20"/>
        <v>-0.42760256959774401</v>
      </c>
    </row>
    <row r="167" spans="1:18" x14ac:dyDescent="0.45">
      <c r="A167">
        <f t="shared" ca="1" si="19"/>
        <v>-1.269112701503005</v>
      </c>
      <c r="B167">
        <f t="shared" ca="1" si="19"/>
        <v>1.2045496130955708</v>
      </c>
      <c r="D167">
        <f ca="1">SQRT(MAX('HE2'!B166,0))*($G$2+$H$2*A167)</f>
        <v>-2.6889307426809115</v>
      </c>
      <c r="E167">
        <f t="shared" ca="1" si="16"/>
        <v>-0.29256039334506179</v>
      </c>
      <c r="Q167">
        <f t="shared" ca="1" si="20"/>
        <v>0.65184358160227862</v>
      </c>
      <c r="R167">
        <f t="shared" ca="1" si="20"/>
        <v>-0.19539596451300548</v>
      </c>
    </row>
    <row r="168" spans="1:18" x14ac:dyDescent="0.45">
      <c r="A168">
        <f t="shared" ca="1" si="19"/>
        <v>0.70047462915903724</v>
      </c>
      <c r="B168">
        <f t="shared" ca="1" si="19"/>
        <v>0.20379133151770756</v>
      </c>
      <c r="D168">
        <f ca="1">SQRT(MAX('HE2'!B167,0))*($G$2+$H$2*A168)</f>
        <v>1.4429816611378621</v>
      </c>
      <c r="E168">
        <f t="shared" ca="1" si="16"/>
        <v>0.6826545022378544</v>
      </c>
      <c r="Q168">
        <f t="shared" ca="1" si="20"/>
        <v>1.3957006490626402</v>
      </c>
      <c r="R168">
        <f t="shared" ca="1" si="20"/>
        <v>-0.94260402010343602</v>
      </c>
    </row>
    <row r="169" spans="1:18" x14ac:dyDescent="0.45">
      <c r="A169">
        <f t="shared" ca="1" si="19"/>
        <v>-0.38182401076414962</v>
      </c>
      <c r="B169">
        <f t="shared" ca="1" si="19"/>
        <v>2.3809147060988054</v>
      </c>
      <c r="D169">
        <f ca="1">SQRT(MAX('HE2'!B168,0))*($G$2+$H$2*A169)</f>
        <v>-0.81989096187635768</v>
      </c>
      <c r="E169">
        <f t="shared" ca="1" si="16"/>
        <v>1.1230896150479632</v>
      </c>
      <c r="Q169">
        <f t="shared" ca="1" si="20"/>
        <v>0.12453451334555415</v>
      </c>
      <c r="R169">
        <f t="shared" ca="1" si="20"/>
        <v>-2.0795395968273014</v>
      </c>
    </row>
    <row r="170" spans="1:18" x14ac:dyDescent="0.45">
      <c r="A170">
        <f t="shared" ca="1" si="19"/>
        <v>0.54903570626059706</v>
      </c>
      <c r="B170">
        <f t="shared" ca="1" si="19"/>
        <v>-1.1915660284980805</v>
      </c>
      <c r="D170">
        <f ca="1">SQRT(MAX('HE2'!B169,0))*($G$2+$H$2*A170)</f>
        <v>1.2606837306559229</v>
      </c>
      <c r="E170">
        <f t="shared" ca="1" si="16"/>
        <v>-0.27571105209037045</v>
      </c>
      <c r="Q170">
        <f t="shared" ca="1" si="20"/>
        <v>-0.2763917897865808</v>
      </c>
      <c r="R170">
        <f t="shared" ca="1" si="20"/>
        <v>-0.33825515544964491</v>
      </c>
    </row>
    <row r="171" spans="1:18" x14ac:dyDescent="0.45">
      <c r="A171">
        <f t="shared" ca="1" si="19"/>
        <v>0.89416856571097281</v>
      </c>
      <c r="B171">
        <f t="shared" ca="1" si="19"/>
        <v>-1.4698853160460654</v>
      </c>
      <c r="D171">
        <f ca="1">SQRT(MAX('HE2'!B170,0))*($G$2+$H$2*A171)</f>
        <v>2.0008864180909312</v>
      </c>
      <c r="E171">
        <f t="shared" ca="1" si="16"/>
        <v>-0.16659633705886079</v>
      </c>
      <c r="Q171">
        <f t="shared" ca="1" si="20"/>
        <v>-0.69245825240790349</v>
      </c>
      <c r="R171">
        <f t="shared" ca="1" si="20"/>
        <v>-0.33861724272581106</v>
      </c>
    </row>
    <row r="172" spans="1:18" x14ac:dyDescent="0.45">
      <c r="A172">
        <f t="shared" ca="1" si="19"/>
        <v>0.69360147661219251</v>
      </c>
      <c r="B172">
        <f t="shared" ca="1" si="19"/>
        <v>0.18118276452339752</v>
      </c>
      <c r="D172">
        <f ca="1">SQRT(MAX('HE2'!B171,0))*($G$2+$H$2*A172)</f>
        <v>1.5236534445475094</v>
      </c>
      <c r="E172">
        <f t="shared" ca="1" si="16"/>
        <v>0.66359084000379254</v>
      </c>
      <c r="Q172">
        <f t="shared" ca="1" si="20"/>
        <v>-0.92277371291671806</v>
      </c>
      <c r="R172">
        <f t="shared" ca="1" si="20"/>
        <v>0.36221802897900746</v>
      </c>
    </row>
    <row r="173" spans="1:18" x14ac:dyDescent="0.45">
      <c r="A173">
        <f t="shared" ca="1" si="19"/>
        <v>6.087126271124902E-2</v>
      </c>
      <c r="B173">
        <f t="shared" ca="1" si="19"/>
        <v>9.1483094605233836E-2</v>
      </c>
      <c r="D173">
        <f ca="1">SQRT(MAX('HE2'!B172,0))*($G$2+$H$2*A173)</f>
        <v>0.13876359688978221</v>
      </c>
      <c r="E173">
        <f t="shared" ca="1" si="16"/>
        <v>0.1035868669321395</v>
      </c>
      <c r="Q173">
        <f t="shared" ca="1" si="20"/>
        <v>0.86756891286105664</v>
      </c>
      <c r="R173">
        <f t="shared" ca="1" si="20"/>
        <v>0.42118357760445219</v>
      </c>
    </row>
    <row r="174" spans="1:18" x14ac:dyDescent="0.45">
      <c r="A174">
        <f t="shared" ca="1" si="19"/>
        <v>-0.21617556859634729</v>
      </c>
      <c r="B174">
        <f t="shared" ca="1" si="19"/>
        <v>-0.54733701071686891</v>
      </c>
      <c r="D174">
        <f ca="1">SQRT(MAX('HE2'!B173,0))*($G$2+$H$2*A174)</f>
        <v>-0.49266511723272455</v>
      </c>
      <c r="E174">
        <f t="shared" ca="1" si="16"/>
        <v>-0.50134266130719907</v>
      </c>
      <c r="Q174">
        <f t="shared" ca="1" si="20"/>
        <v>-0.57383863183862327</v>
      </c>
      <c r="R174">
        <f t="shared" ca="1" si="20"/>
        <v>-0.37599842650744231</v>
      </c>
    </row>
    <row r="175" spans="1:18" x14ac:dyDescent="0.45">
      <c r="A175">
        <f t="shared" ca="1" si="19"/>
        <v>0.83460294092420528</v>
      </c>
      <c r="B175">
        <f t="shared" ca="1" si="19"/>
        <v>-0.36443115973100559</v>
      </c>
      <c r="D175">
        <f ca="1">SQRT(MAX('HE2'!B174,0))*($G$2+$H$2*A175)</f>
        <v>1.8242297574189319</v>
      </c>
      <c r="E175">
        <f t="shared" ca="1" si="16"/>
        <v>0.44902365690076096</v>
      </c>
      <c r="Q175">
        <f t="shared" ca="1" si="20"/>
        <v>1.6603676493659296</v>
      </c>
      <c r="R175">
        <f t="shared" ca="1" si="20"/>
        <v>4.0059110041343819E-2</v>
      </c>
    </row>
    <row r="176" spans="1:18" x14ac:dyDescent="0.45">
      <c r="A176">
        <f t="shared" ca="1" si="19"/>
        <v>0.95736838712695282</v>
      </c>
      <c r="B176">
        <f t="shared" ca="1" si="19"/>
        <v>2.0705018158975368</v>
      </c>
      <c r="D176">
        <f ca="1">SQRT(MAX('HE2'!B175,0))*($G$2+$H$2*A176)</f>
        <v>2.1421613175100132</v>
      </c>
      <c r="E176">
        <f t="shared" ca="1" si="16"/>
        <v>2.0081957992400841</v>
      </c>
      <c r="Q176">
        <f t="shared" ca="1" si="20"/>
        <v>1.6289597568569887</v>
      </c>
      <c r="R176">
        <f t="shared" ca="1" si="20"/>
        <v>1.6663268814162697</v>
      </c>
    </row>
    <row r="177" spans="1:18" x14ac:dyDescent="0.45">
      <c r="A177">
        <f t="shared" ca="1" si="19"/>
        <v>1.1731431934846837</v>
      </c>
      <c r="B177">
        <f t="shared" ca="1" si="19"/>
        <v>0.89729982497865068</v>
      </c>
      <c r="D177">
        <f ca="1">SQRT(MAX('HE2'!B176,0))*($G$2+$H$2*A177)</f>
        <v>2.9410130653287667</v>
      </c>
      <c r="E177">
        <f t="shared" ca="1" si="16"/>
        <v>1.4768944497749372</v>
      </c>
      <c r="Q177">
        <f t="shared" ca="1" si="20"/>
        <v>-0.15250735499520685</v>
      </c>
      <c r="R177">
        <f t="shared" ca="1" si="20"/>
        <v>-0.25408813222694437</v>
      </c>
    </row>
    <row r="178" spans="1:18" x14ac:dyDescent="0.45">
      <c r="A178">
        <f t="shared" ca="1" si="19"/>
        <v>0.32078071371598516</v>
      </c>
      <c r="B178">
        <f t="shared" ca="1" si="19"/>
        <v>-0.70670508639679341</v>
      </c>
      <c r="D178">
        <f ca="1">SQRT(MAX('HE2'!B177,0))*($G$2+$H$2*A178)</f>
        <v>0.86670938563357358</v>
      </c>
      <c r="E178">
        <f t="shared" ca="1" si="16"/>
        <v>-0.16739848086528786</v>
      </c>
      <c r="Q178">
        <f t="shared" ca="1" si="20"/>
        <v>-0.50820569005446292</v>
      </c>
      <c r="R178">
        <f t="shared" ca="1" si="20"/>
        <v>1.1964551139282453</v>
      </c>
    </row>
    <row r="179" spans="1:18" x14ac:dyDescent="0.45">
      <c r="A179">
        <f t="shared" ca="1" si="19"/>
        <v>1.5439745231494353</v>
      </c>
      <c r="B179">
        <f t="shared" ca="1" si="19"/>
        <v>0.89979424129368157</v>
      </c>
      <c r="D179">
        <f ca="1">SQRT(MAX('HE2'!B178,0))*($G$2+$H$2*A179)</f>
        <v>4.0991598731224528</v>
      </c>
      <c r="E179">
        <f t="shared" ca="1" si="16"/>
        <v>1.7750561632957571</v>
      </c>
      <c r="Q179">
        <f t="shared" ca="1" si="20"/>
        <v>0.21107872541991035</v>
      </c>
      <c r="R179">
        <f t="shared" ca="1" si="20"/>
        <v>0.68854733395875944</v>
      </c>
    </row>
    <row r="180" spans="1:18" x14ac:dyDescent="0.45">
      <c r="A180">
        <f t="shared" ca="1" si="19"/>
        <v>-0.5235635124849054</v>
      </c>
      <c r="B180">
        <f t="shared" ca="1" si="19"/>
        <v>-0.96701717604214565</v>
      </c>
      <c r="D180">
        <f ca="1">SQRT(MAX('HE2'!B179,0))*($G$2+$H$2*A180)</f>
        <v>-1.5130714782253463</v>
      </c>
      <c r="E180">
        <f t="shared" ca="1" si="16"/>
        <v>-0.99906111561321165</v>
      </c>
      <c r="Q180">
        <f t="shared" ca="1" si="20"/>
        <v>-0.43100446549351512</v>
      </c>
      <c r="R180">
        <f t="shared" ca="1" si="20"/>
        <v>-0.5631510506760522</v>
      </c>
    </row>
    <row r="181" spans="1:18" x14ac:dyDescent="0.45">
      <c r="A181">
        <f t="shared" ca="1" si="19"/>
        <v>0.39010146163293047</v>
      </c>
      <c r="B181">
        <f t="shared" ca="1" si="19"/>
        <v>0.56801837554173362</v>
      </c>
      <c r="D181">
        <f ca="1">SQRT(MAX('HE2'!B180,0))*($G$2+$H$2*A181)</f>
        <v>1.0575176919406166</v>
      </c>
      <c r="E181">
        <f t="shared" ca="1" si="16"/>
        <v>0.65289219463138448</v>
      </c>
      <c r="Q181">
        <f t="shared" ca="1" si="20"/>
        <v>-0.62125002398207574</v>
      </c>
      <c r="R181">
        <f t="shared" ca="1" si="20"/>
        <v>0.30602894045965878</v>
      </c>
    </row>
    <row r="182" spans="1:18" x14ac:dyDescent="0.45">
      <c r="A182">
        <f t="shared" ref="A182:B201" ca="1" si="21">NORMINV(RAND(),0,1)</f>
        <v>0.43779617275831462</v>
      </c>
      <c r="B182">
        <f t="shared" ca="1" si="21"/>
        <v>-0.61434487265818782</v>
      </c>
      <c r="D182">
        <f ca="1">SQRT(MAX('HE2'!B181,0))*($G$2+$H$2*A182)</f>
        <v>1.2198046946969134</v>
      </c>
      <c r="E182">
        <f t="shared" ca="1" si="16"/>
        <v>-1.8369985388260901E-2</v>
      </c>
      <c r="Q182">
        <f t="shared" ref="Q182:R201" ca="1" si="22">NORMINV(RAND(),0,1)</f>
        <v>0.28966500510753773</v>
      </c>
      <c r="R182">
        <f t="shared" ca="1" si="22"/>
        <v>-0.21794717617571627</v>
      </c>
    </row>
    <row r="183" spans="1:18" x14ac:dyDescent="0.45">
      <c r="A183">
        <f t="shared" ca="1" si="21"/>
        <v>-3.7249931025017363E-2</v>
      </c>
      <c r="B183">
        <f t="shared" ca="1" si="21"/>
        <v>0.69956911570812308</v>
      </c>
      <c r="D183">
        <f ca="1">SQRT(MAX('HE2'!B182,0))*($G$2+$H$2*A183)</f>
        <v>-0.10284474111480028</v>
      </c>
      <c r="E183">
        <f t="shared" ca="1" si="16"/>
        <v>0.38994152460485987</v>
      </c>
      <c r="Q183">
        <f t="shared" ca="1" si="22"/>
        <v>1.1200094745126672</v>
      </c>
      <c r="R183">
        <f t="shared" ca="1" si="22"/>
        <v>-0.25389107064977401</v>
      </c>
    </row>
    <row r="184" spans="1:18" x14ac:dyDescent="0.45">
      <c r="A184">
        <f t="shared" ca="1" si="21"/>
        <v>0.14818424292505453</v>
      </c>
      <c r="B184">
        <f t="shared" ca="1" si="21"/>
        <v>0.23172062007332125</v>
      </c>
      <c r="D184">
        <f ca="1">SQRT(MAX('HE2'!B183,0))*($G$2+$H$2*A184)</f>
        <v>0.41448091802122339</v>
      </c>
      <c r="E184">
        <f t="shared" ca="1" si="16"/>
        <v>0.25757976638403635</v>
      </c>
      <c r="Q184">
        <f t="shared" ca="1" si="22"/>
        <v>-4.7143904520292872E-2</v>
      </c>
      <c r="R184">
        <f t="shared" ca="1" si="22"/>
        <v>-1.355739576334797</v>
      </c>
    </row>
    <row r="185" spans="1:18" x14ac:dyDescent="0.45">
      <c r="A185">
        <f t="shared" ca="1" si="21"/>
        <v>-0.76089907276161561</v>
      </c>
      <c r="B185">
        <f t="shared" ca="1" si="21"/>
        <v>4.0969529657320987E-2</v>
      </c>
      <c r="D185">
        <f ca="1">SQRT(MAX('HE2'!B184,0))*($G$2+$H$2*A185)</f>
        <v>-2.1404819632123959</v>
      </c>
      <c r="E185">
        <f t="shared" ca="1" si="16"/>
        <v>-0.58413754041489996</v>
      </c>
      <c r="Q185">
        <f t="shared" ca="1" si="22"/>
        <v>-1.2026814216228592</v>
      </c>
      <c r="R185">
        <f t="shared" ca="1" si="22"/>
        <v>-0.90286779759754876</v>
      </c>
    </row>
    <row r="186" spans="1:18" x14ac:dyDescent="0.45">
      <c r="A186">
        <f t="shared" ca="1" si="21"/>
        <v>-0.33285673724141768</v>
      </c>
      <c r="B186">
        <f t="shared" ca="1" si="21"/>
        <v>-0.36352688420310986</v>
      </c>
      <c r="D186">
        <f ca="1">SQRT(MAX('HE2'!B185,0))*($G$2+$H$2*A186)</f>
        <v>-0.8988694472496197</v>
      </c>
      <c r="E186">
        <f t="shared" ca="1" si="16"/>
        <v>-0.48440152031500006</v>
      </c>
      <c r="Q186">
        <f t="shared" ca="1" si="22"/>
        <v>-0.47722224603749358</v>
      </c>
      <c r="R186">
        <f t="shared" ca="1" si="22"/>
        <v>1.379374096908722</v>
      </c>
    </row>
    <row r="187" spans="1:18" x14ac:dyDescent="0.45">
      <c r="A187">
        <f t="shared" ca="1" si="21"/>
        <v>2.3628123343636576</v>
      </c>
      <c r="B187">
        <f t="shared" ca="1" si="21"/>
        <v>-2.4910064812966262</v>
      </c>
      <c r="D187">
        <f ca="1">SQRT(MAX('HE2'!B186,0))*($G$2+$H$2*A187)</f>
        <v>6.1544431217281295</v>
      </c>
      <c r="E187">
        <f t="shared" ca="1" si="16"/>
        <v>0.39564597871295071</v>
      </c>
      <c r="Q187">
        <f t="shared" ca="1" si="22"/>
        <v>-0.38800294384896905</v>
      </c>
      <c r="R187">
        <f t="shared" ca="1" si="22"/>
        <v>1.8030693316876694</v>
      </c>
    </row>
    <row r="188" spans="1:18" x14ac:dyDescent="0.45">
      <c r="A188">
        <f t="shared" ca="1" si="21"/>
        <v>0.30092322968767726</v>
      </c>
      <c r="B188">
        <f t="shared" ca="1" si="21"/>
        <v>1.1966729989614262</v>
      </c>
      <c r="D188">
        <f ca="1">SQRT(MAX('HE2'!B187,0))*($G$2+$H$2*A188)</f>
        <v>0.79550008787003279</v>
      </c>
      <c r="E188">
        <f t="shared" ca="1" si="16"/>
        <v>0.95874238312699733</v>
      </c>
      <c r="Q188">
        <f t="shared" ca="1" si="22"/>
        <v>-1.5501660033545239</v>
      </c>
      <c r="R188">
        <f t="shared" ca="1" si="22"/>
        <v>-1.5700560233571865</v>
      </c>
    </row>
    <row r="189" spans="1:18" x14ac:dyDescent="0.45">
      <c r="A189">
        <f t="shared" ca="1" si="21"/>
        <v>-1.3353786208980072</v>
      </c>
      <c r="B189">
        <f t="shared" ca="1" si="21"/>
        <v>-0.68097770676760538</v>
      </c>
      <c r="D189">
        <f ca="1">SQRT(MAX('HE2'!B188,0))*($G$2+$H$2*A189)</f>
        <v>-3.6908430757502066</v>
      </c>
      <c r="E189">
        <f t="shared" ca="1" si="16"/>
        <v>-1.476889520778969</v>
      </c>
      <c r="Q189">
        <f t="shared" ca="1" si="22"/>
        <v>1.0942878161692542</v>
      </c>
      <c r="R189">
        <f t="shared" ca="1" si="22"/>
        <v>-1.0796235034735362</v>
      </c>
    </row>
    <row r="190" spans="1:18" x14ac:dyDescent="0.45">
      <c r="A190">
        <f t="shared" ca="1" si="21"/>
        <v>-9.9305034436172265E-2</v>
      </c>
      <c r="B190">
        <f t="shared" ca="1" si="21"/>
        <v>-0.21420550586791348</v>
      </c>
      <c r="D190">
        <f ca="1">SQRT(MAX('HE2'!B189,0))*($G$2+$H$2*A190)</f>
        <v>-0.24909533199056985</v>
      </c>
      <c r="E190">
        <f t="shared" ca="1" si="16"/>
        <v>-0.20796733106968587</v>
      </c>
      <c r="Q190">
        <f t="shared" ca="1" si="22"/>
        <v>2.9728602068676078</v>
      </c>
      <c r="R190">
        <f t="shared" ca="1" si="22"/>
        <v>0.7423613889783085</v>
      </c>
    </row>
    <row r="191" spans="1:18" x14ac:dyDescent="0.45">
      <c r="A191">
        <f t="shared" ca="1" si="21"/>
        <v>0.61557543844461193</v>
      </c>
      <c r="B191">
        <f t="shared" ca="1" si="21"/>
        <v>-1.8980940401382933</v>
      </c>
      <c r="D191">
        <f ca="1">SQRT(MAX('HE2'!B190,0))*($G$2+$H$2*A191)</f>
        <v>1.5128545510726437</v>
      </c>
      <c r="E191">
        <f t="shared" ca="1" si="16"/>
        <v>-0.64639607332728621</v>
      </c>
      <c r="Q191">
        <f t="shared" ca="1" si="22"/>
        <v>0.62892726956755507</v>
      </c>
      <c r="R191">
        <f t="shared" ca="1" si="22"/>
        <v>-0.33616790615123837</v>
      </c>
    </row>
    <row r="192" spans="1:18" x14ac:dyDescent="0.45">
      <c r="A192">
        <f t="shared" ca="1" si="21"/>
        <v>1.6606147407451886</v>
      </c>
      <c r="B192">
        <f t="shared" ca="1" si="21"/>
        <v>-8.2130380199436789E-2</v>
      </c>
      <c r="D192">
        <f ca="1">SQRT(MAX('HE2'!B191,0))*($G$2+$H$2*A192)</f>
        <v>3.8848511267144068</v>
      </c>
      <c r="E192">
        <f t="shared" ca="1" si="16"/>
        <v>1.279213564476489</v>
      </c>
      <c r="Q192">
        <f t="shared" ca="1" si="22"/>
        <v>2.1209682181833225</v>
      </c>
      <c r="R192">
        <f t="shared" ca="1" si="22"/>
        <v>0.687718580627799</v>
      </c>
    </row>
    <row r="193" spans="1:18" x14ac:dyDescent="0.45">
      <c r="A193">
        <f t="shared" ca="1" si="21"/>
        <v>0.18401814170930567</v>
      </c>
      <c r="B193">
        <f t="shared" ca="1" si="21"/>
        <v>0.50328510145815253</v>
      </c>
      <c r="D193">
        <f ca="1">SQRT(MAX('HE2'!B192,0))*($G$2+$H$2*A193)</f>
        <v>0.46156684391922315</v>
      </c>
      <c r="E193">
        <f t="shared" ca="1" si="16"/>
        <v>0.44918557424233596</v>
      </c>
      <c r="Q193">
        <f t="shared" ca="1" si="22"/>
        <v>-0.33697648757691984</v>
      </c>
      <c r="R193">
        <f t="shared" ca="1" si="22"/>
        <v>-0.75518411851502076</v>
      </c>
    </row>
    <row r="194" spans="1:18" x14ac:dyDescent="0.45">
      <c r="A194">
        <f t="shared" ca="1" si="21"/>
        <v>0.26194865677138368</v>
      </c>
      <c r="B194">
        <f t="shared" ca="1" si="21"/>
        <v>0.90458863628352171</v>
      </c>
      <c r="D194">
        <f ca="1">SQRT(MAX('HE2'!B193,0))*($G$2+$H$2*A194)</f>
        <v>0.66957746988174183</v>
      </c>
      <c r="E194">
        <f t="shared" ref="E194:E257" ca="1" si="23">$I$2+$J$2*(A194*$K$2 + B194*POWER(1-$K$2*$K$2, 0.5))</f>
        <v>0.75231210718721986</v>
      </c>
      <c r="Q194">
        <f t="shared" ca="1" si="22"/>
        <v>-0.4097512285249893</v>
      </c>
      <c r="R194">
        <f t="shared" ca="1" si="22"/>
        <v>-0.18484759626794528</v>
      </c>
    </row>
    <row r="195" spans="1:18" x14ac:dyDescent="0.45">
      <c r="A195">
        <f t="shared" ca="1" si="21"/>
        <v>1.1857913418549448</v>
      </c>
      <c r="B195">
        <f t="shared" ca="1" si="21"/>
        <v>0.15879764454827447</v>
      </c>
      <c r="D195">
        <f ca="1">SQRT(MAX('HE2'!B194,0))*($G$2+$H$2*A195)</f>
        <v>3.1396270142549767</v>
      </c>
      <c r="E195">
        <f t="shared" ca="1" si="23"/>
        <v>1.0439116602129206</v>
      </c>
      <c r="Q195">
        <f t="shared" ca="1" si="22"/>
        <v>0.40019713158133591</v>
      </c>
      <c r="R195">
        <f t="shared" ca="1" si="22"/>
        <v>-1.9008318516637059</v>
      </c>
    </row>
    <row r="196" spans="1:18" x14ac:dyDescent="0.45">
      <c r="A196">
        <f t="shared" ca="1" si="21"/>
        <v>-1.5976821727210502E-2</v>
      </c>
      <c r="B196">
        <f t="shared" ca="1" si="21"/>
        <v>-0.34745669228394482</v>
      </c>
      <c r="D196">
        <f ca="1">SQRT(MAX('HE2'!B195,0))*($G$2+$H$2*A196)</f>
        <v>-4.4419013165290802E-2</v>
      </c>
      <c r="E196">
        <f t="shared" ca="1" si="23"/>
        <v>-0.22125547275213525</v>
      </c>
      <c r="Q196">
        <f t="shared" ca="1" si="22"/>
        <v>0.68273885524666722</v>
      </c>
      <c r="R196">
        <f t="shared" ca="1" si="22"/>
        <v>0.42960026955485708</v>
      </c>
    </row>
    <row r="197" spans="1:18" x14ac:dyDescent="0.45">
      <c r="A197">
        <f t="shared" ca="1" si="21"/>
        <v>0.73827273319041897</v>
      </c>
      <c r="B197">
        <f t="shared" ca="1" si="21"/>
        <v>-0.71336622610308376</v>
      </c>
      <c r="D197">
        <f ca="1">SQRT(MAX('HE2'!B196,0))*($G$2+$H$2*A197)</f>
        <v>2.011130652791028</v>
      </c>
      <c r="E197">
        <f t="shared" ca="1" si="23"/>
        <v>0.16259845089048508</v>
      </c>
      <c r="Q197">
        <f t="shared" ca="1" si="22"/>
        <v>0.72020445148451517</v>
      </c>
      <c r="R197">
        <f t="shared" ca="1" si="22"/>
        <v>-1.3687680077216922</v>
      </c>
    </row>
    <row r="198" spans="1:18" x14ac:dyDescent="0.45">
      <c r="A198">
        <f t="shared" ca="1" si="21"/>
        <v>1.2288413158893237</v>
      </c>
      <c r="B198">
        <f t="shared" ca="1" si="21"/>
        <v>0.70337515829233899</v>
      </c>
      <c r="D198">
        <f ca="1">SQRT(MAX('HE2'!B197,0))*($G$2+$H$2*A198)</f>
        <v>3.3508113398436916</v>
      </c>
      <c r="E198">
        <f t="shared" ca="1" si="23"/>
        <v>1.4050981476868623</v>
      </c>
      <c r="Q198">
        <f t="shared" ca="1" si="22"/>
        <v>-0.28912318403355219</v>
      </c>
      <c r="R198">
        <f t="shared" ca="1" si="22"/>
        <v>-1.5066534034265291</v>
      </c>
    </row>
    <row r="199" spans="1:18" x14ac:dyDescent="0.45">
      <c r="A199">
        <f t="shared" ca="1" si="21"/>
        <v>1.1880928649885858</v>
      </c>
      <c r="B199">
        <f t="shared" ca="1" si="21"/>
        <v>1.0079986889723653</v>
      </c>
      <c r="D199">
        <f ca="1">SQRT(MAX('HE2'!B198,0))*($G$2+$H$2*A199)</f>
        <v>3.4570146269698925</v>
      </c>
      <c r="E199">
        <f t="shared" ca="1" si="23"/>
        <v>1.5552735053742877</v>
      </c>
      <c r="Q199">
        <f t="shared" ca="1" si="22"/>
        <v>-1.5527659424072056</v>
      </c>
      <c r="R199">
        <f t="shared" ca="1" si="22"/>
        <v>0.6038460678596963</v>
      </c>
    </row>
    <row r="200" spans="1:18" x14ac:dyDescent="0.45">
      <c r="A200">
        <f t="shared" ca="1" si="21"/>
        <v>0.81128557745959118</v>
      </c>
      <c r="B200">
        <f t="shared" ca="1" si="21"/>
        <v>-0.15623843667413531</v>
      </c>
      <c r="D200">
        <f ca="1">SQRT(MAX('HE2'!B199,0))*($G$2+$H$2*A200)</f>
        <v>2.5247823588124727</v>
      </c>
      <c r="E200">
        <f t="shared" ca="1" si="23"/>
        <v>0.55528539996319182</v>
      </c>
      <c r="Q200">
        <f t="shared" ca="1" si="22"/>
        <v>-1.9316569176505367</v>
      </c>
      <c r="R200">
        <f t="shared" ca="1" si="22"/>
        <v>-1.0392337347401768</v>
      </c>
    </row>
    <row r="201" spans="1:18" x14ac:dyDescent="0.45">
      <c r="A201">
        <f t="shared" ca="1" si="21"/>
        <v>-8.5357948039572386E-3</v>
      </c>
      <c r="B201">
        <f t="shared" ca="1" si="21"/>
        <v>0.55709973844980487</v>
      </c>
      <c r="D201">
        <f ca="1">SQRT(MAX('HE2'!B200,0))*($G$2+$H$2*A201)</f>
        <v>-2.7046500176103643E-2</v>
      </c>
      <c r="E201">
        <f t="shared" ca="1" si="23"/>
        <v>0.32743120722671704</v>
      </c>
      <c r="Q201">
        <f t="shared" ca="1" si="22"/>
        <v>-2.0117782531343362</v>
      </c>
      <c r="R201">
        <f t="shared" ca="1" si="22"/>
        <v>0.78134913818544449</v>
      </c>
    </row>
    <row r="202" spans="1:18" x14ac:dyDescent="0.45">
      <c r="A202">
        <f t="shared" ref="A202:B221" ca="1" si="24">NORMINV(RAND(),0,1)</f>
        <v>0.87115433250279906</v>
      </c>
      <c r="B202">
        <f t="shared" ca="1" si="24"/>
        <v>-0.282077275612864</v>
      </c>
      <c r="D202">
        <f ca="1">SQRT(MAX('HE2'!B201,0))*($G$2+$H$2*A202)</f>
        <v>2.7796142833071622</v>
      </c>
      <c r="E202">
        <f t="shared" ca="1" si="23"/>
        <v>0.52767710063452089</v>
      </c>
      <c r="Q202">
        <f t="shared" ref="Q202:R221" ca="1" si="25">NORMINV(RAND(),0,1)</f>
        <v>-1.7828930833971994</v>
      </c>
      <c r="R202">
        <f t="shared" ca="1" si="25"/>
        <v>-2.7153305632866567</v>
      </c>
    </row>
    <row r="203" spans="1:18" x14ac:dyDescent="0.45">
      <c r="A203">
        <f t="shared" ca="1" si="24"/>
        <v>1.7425673342653794</v>
      </c>
      <c r="B203">
        <f t="shared" ca="1" si="24"/>
        <v>1.3155050004753752</v>
      </c>
      <c r="D203">
        <f ca="1">SQRT(MAX('HE2'!B202,0))*($G$2+$H$2*A203)</f>
        <v>5.6499192787789072</v>
      </c>
      <c r="E203">
        <f t="shared" ca="1" si="23"/>
        <v>2.1833568676975283</v>
      </c>
      <c r="Q203">
        <f t="shared" ca="1" si="25"/>
        <v>0.85555244308851741</v>
      </c>
      <c r="R203">
        <f t="shared" ca="1" si="25"/>
        <v>0.38518635137097562</v>
      </c>
    </row>
    <row r="204" spans="1:18" x14ac:dyDescent="0.45">
      <c r="A204">
        <f t="shared" ca="1" si="24"/>
        <v>0.13143885441885123</v>
      </c>
      <c r="B204">
        <f t="shared" ca="1" si="24"/>
        <v>1.7144615013224946</v>
      </c>
      <c r="D204">
        <f ca="1">SQRT(MAX('HE2'!B203,0))*($G$2+$H$2*A204)</f>
        <v>0.46389218950928734</v>
      </c>
      <c r="E204">
        <f t="shared" ca="1" si="23"/>
        <v>1.1338279843285777</v>
      </c>
      <c r="Q204">
        <f t="shared" ca="1" si="25"/>
        <v>-3.7708639161578269E-3</v>
      </c>
      <c r="R204">
        <f t="shared" ca="1" si="25"/>
        <v>0.24734049197564592</v>
      </c>
    </row>
    <row r="205" spans="1:18" x14ac:dyDescent="0.45">
      <c r="A205">
        <f t="shared" ca="1" si="24"/>
        <v>0.12775042658545083</v>
      </c>
      <c r="B205">
        <f t="shared" ca="1" si="24"/>
        <v>1.1086838599769229</v>
      </c>
      <c r="D205">
        <f ca="1">SQRT(MAX('HE2'!B204,0))*($G$2+$H$2*A205)</f>
        <v>0.46830371061426468</v>
      </c>
      <c r="E205">
        <f t="shared" ca="1" si="23"/>
        <v>0.76741065725451418</v>
      </c>
      <c r="Q205">
        <f t="shared" ca="1" si="25"/>
        <v>1.0186828669528256</v>
      </c>
      <c r="R205">
        <f t="shared" ca="1" si="25"/>
        <v>-1.4933855154065376</v>
      </c>
    </row>
    <row r="206" spans="1:18" x14ac:dyDescent="0.45">
      <c r="A206">
        <f t="shared" ca="1" si="24"/>
        <v>-1.2849328872459957</v>
      </c>
      <c r="B206">
        <f t="shared" ca="1" si="24"/>
        <v>-1.4315528870191279</v>
      </c>
      <c r="D206">
        <f ca="1">SQRT(MAX('HE2'!B205,0))*($G$2+$H$2*A206)</f>
        <v>-4.8152124544263843</v>
      </c>
      <c r="E206">
        <f t="shared" ca="1" si="23"/>
        <v>-1.8868780420082731</v>
      </c>
      <c r="Q206">
        <f t="shared" ca="1" si="25"/>
        <v>1.8441781086258189</v>
      </c>
      <c r="R206">
        <f t="shared" ca="1" si="25"/>
        <v>-1.3328854950985214</v>
      </c>
    </row>
    <row r="207" spans="1:18" x14ac:dyDescent="0.45">
      <c r="A207">
        <f t="shared" ca="1" si="24"/>
        <v>2.2182583978477409E-2</v>
      </c>
      <c r="B207">
        <f t="shared" ca="1" si="24"/>
        <v>0.60091517489398982</v>
      </c>
      <c r="D207">
        <f ca="1">SQRT(MAX('HE2'!B206,0))*($G$2+$H$2*A207)</f>
        <v>7.5783442148794192E-2</v>
      </c>
      <c r="E207">
        <f t="shared" ca="1" si="23"/>
        <v>0.37829517211917574</v>
      </c>
      <c r="Q207">
        <f t="shared" ca="1" si="25"/>
        <v>0.26124078203693168</v>
      </c>
      <c r="R207">
        <f t="shared" ca="1" si="25"/>
        <v>-1.2824789942151877</v>
      </c>
    </row>
    <row r="208" spans="1:18" x14ac:dyDescent="0.45">
      <c r="A208">
        <f t="shared" ca="1" si="24"/>
        <v>-1.2605821668628243</v>
      </c>
      <c r="B208">
        <f t="shared" ca="1" si="24"/>
        <v>1.7073120662342469</v>
      </c>
      <c r="D208">
        <f ca="1">SQRT(MAX('HE2'!B207,0))*($G$2+$H$2*A208)</f>
        <v>-4.3405038732683678</v>
      </c>
      <c r="E208">
        <f t="shared" ca="1" si="23"/>
        <v>1.5921506250288431E-2</v>
      </c>
      <c r="Q208">
        <f t="shared" ca="1" si="25"/>
        <v>0.46906308427138199</v>
      </c>
      <c r="R208">
        <f t="shared" ca="1" si="25"/>
        <v>0.85957009698952325</v>
      </c>
    </row>
    <row r="209" spans="1:18" x14ac:dyDescent="0.45">
      <c r="A209">
        <f t="shared" ca="1" si="24"/>
        <v>-0.71160957572164374</v>
      </c>
      <c r="B209">
        <f t="shared" ca="1" si="24"/>
        <v>-1.0159659511741317</v>
      </c>
      <c r="D209">
        <f ca="1">SQRT(MAX('HE2'!B208,0))*($G$2+$H$2*A209)</f>
        <v>-2.4304971515768914</v>
      </c>
      <c r="E209">
        <f t="shared" ca="1" si="23"/>
        <v>-1.178867231281794</v>
      </c>
      <c r="Q209">
        <f t="shared" ca="1" si="25"/>
        <v>-1.6174449530188464</v>
      </c>
      <c r="R209">
        <f t="shared" ca="1" si="25"/>
        <v>-1.611412428568898</v>
      </c>
    </row>
    <row r="210" spans="1:18" x14ac:dyDescent="0.45">
      <c r="A210">
        <f t="shared" ca="1" si="24"/>
        <v>0.55768787240406792</v>
      </c>
      <c r="B210">
        <f t="shared" ca="1" si="24"/>
        <v>0.15487282582792969</v>
      </c>
      <c r="D210">
        <f ca="1">SQRT(MAX('HE2'!B209,0))*($G$2+$H$2*A210)</f>
        <v>1.7858748298402631</v>
      </c>
      <c r="E210">
        <f t="shared" ca="1" si="23"/>
        <v>0.53907399342001217</v>
      </c>
      <c r="Q210">
        <f t="shared" ca="1" si="25"/>
        <v>-0.40417360594346441</v>
      </c>
      <c r="R210">
        <f t="shared" ca="1" si="25"/>
        <v>0.18236625519030727</v>
      </c>
    </row>
    <row r="211" spans="1:18" x14ac:dyDescent="0.45">
      <c r="A211">
        <f t="shared" ca="1" si="24"/>
        <v>6.9906377717844664E-2</v>
      </c>
      <c r="B211">
        <f t="shared" ca="1" si="24"/>
        <v>0.31770651624317281</v>
      </c>
      <c r="D211">
        <f ca="1">SQRT(MAX('HE2'!B210,0))*($G$2+$H$2*A211)</f>
        <v>0.2275737396647767</v>
      </c>
      <c r="E211">
        <f t="shared" ca="1" si="23"/>
        <v>0.24654901192017939</v>
      </c>
      <c r="Q211">
        <f t="shared" ca="1" si="25"/>
        <v>-0.40597145532689149</v>
      </c>
      <c r="R211">
        <f t="shared" ca="1" si="25"/>
        <v>-0.76129342355900287</v>
      </c>
    </row>
    <row r="212" spans="1:18" x14ac:dyDescent="0.45">
      <c r="A212">
        <f t="shared" ca="1" si="24"/>
        <v>2.0148396562456856</v>
      </c>
      <c r="B212">
        <f t="shared" ca="1" si="24"/>
        <v>0.65150836431586023</v>
      </c>
      <c r="D212">
        <f ca="1">SQRT(MAX('HE2'!B211,0))*($G$2+$H$2*A212)</f>
        <v>6.5773875277121316</v>
      </c>
      <c r="E212">
        <f t="shared" ca="1" si="23"/>
        <v>2.0027767435860646</v>
      </c>
      <c r="Q212">
        <f t="shared" ca="1" si="25"/>
        <v>-0.52044999547833526</v>
      </c>
      <c r="R212">
        <f t="shared" ca="1" si="25"/>
        <v>0.3941649320717181</v>
      </c>
    </row>
    <row r="213" spans="1:18" x14ac:dyDescent="0.45">
      <c r="A213">
        <f t="shared" ca="1" si="24"/>
        <v>-0.23893122704615913</v>
      </c>
      <c r="B213">
        <f t="shared" ca="1" si="24"/>
        <v>-2.4623285462579836</v>
      </c>
      <c r="D213">
        <f ca="1">SQRT(MAX('HE2'!B212,0))*($G$2+$H$2*A213)</f>
        <v>-0.84256081550424167</v>
      </c>
      <c r="E213">
        <f t="shared" ca="1" si="23"/>
        <v>-1.6685421093917172</v>
      </c>
      <c r="Q213">
        <f t="shared" ca="1" si="25"/>
        <v>2.09967122823351E-2</v>
      </c>
      <c r="R213">
        <f t="shared" ca="1" si="25"/>
        <v>1.4312419209950082</v>
      </c>
    </row>
    <row r="214" spans="1:18" x14ac:dyDescent="0.45">
      <c r="A214">
        <f t="shared" ca="1" si="24"/>
        <v>-0.45514270752776032</v>
      </c>
      <c r="B214">
        <f t="shared" ca="1" si="24"/>
        <v>-0.17283540587366722</v>
      </c>
      <c r="D214">
        <f ca="1">SQRT(MAX('HE2'!B213,0))*($G$2+$H$2*A214)</f>
        <v>-1.4714351161230934</v>
      </c>
      <c r="E214">
        <f t="shared" ca="1" si="23"/>
        <v>-0.46781540954640854</v>
      </c>
      <c r="Q214">
        <f t="shared" ca="1" si="25"/>
        <v>1.2267411602067593</v>
      </c>
      <c r="R214">
        <f t="shared" ca="1" si="25"/>
        <v>-0.23434865524943316</v>
      </c>
    </row>
    <row r="215" spans="1:18" x14ac:dyDescent="0.45">
      <c r="A215">
        <f t="shared" ca="1" si="24"/>
        <v>-0.7832874626211267</v>
      </c>
      <c r="B215">
        <f t="shared" ca="1" si="24"/>
        <v>2.2337247497578741</v>
      </c>
      <c r="D215">
        <f ca="1">SQRT(MAX('HE2'!B214,0))*($G$2+$H$2*A215)</f>
        <v>-2.4544803997919247</v>
      </c>
      <c r="E215">
        <f t="shared" ca="1" si="23"/>
        <v>0.71360487975782272</v>
      </c>
      <c r="Q215">
        <f t="shared" ca="1" si="25"/>
        <v>-0.25453803603414887</v>
      </c>
      <c r="R215">
        <f t="shared" ca="1" si="25"/>
        <v>0.70596323113716852</v>
      </c>
    </row>
    <row r="216" spans="1:18" x14ac:dyDescent="0.45">
      <c r="A216">
        <f t="shared" ca="1" si="24"/>
        <v>0.71554431781463268</v>
      </c>
      <c r="B216">
        <f t="shared" ca="1" si="24"/>
        <v>0.58217644183323558</v>
      </c>
      <c r="D216">
        <f ca="1">SQRT(MAX('HE2'!B215,0))*($G$2+$H$2*A216)</f>
        <v>2.2991071145079061</v>
      </c>
      <c r="E216">
        <f t="shared" ca="1" si="23"/>
        <v>0.92174131935164749</v>
      </c>
      <c r="Q216">
        <f t="shared" ca="1" si="25"/>
        <v>-2.8350636046010016</v>
      </c>
      <c r="R216">
        <f t="shared" ca="1" si="25"/>
        <v>0.70738606024879824</v>
      </c>
    </row>
    <row r="217" spans="1:18" x14ac:dyDescent="0.45">
      <c r="A217">
        <f t="shared" ca="1" si="24"/>
        <v>-0.94818162055050936</v>
      </c>
      <c r="B217">
        <f t="shared" ca="1" si="24"/>
        <v>-0.34625766566047805</v>
      </c>
      <c r="D217">
        <f ca="1">SQRT(MAX('HE2'!B216,0))*($G$2+$H$2*A217)</f>
        <v>-3.1499353977787767</v>
      </c>
      <c r="E217">
        <f t="shared" ca="1" si="23"/>
        <v>-0.9662998958366944</v>
      </c>
      <c r="Q217">
        <f t="shared" ca="1" si="25"/>
        <v>0.45395337940430236</v>
      </c>
      <c r="R217">
        <f t="shared" ca="1" si="25"/>
        <v>2.71536574034615</v>
      </c>
    </row>
    <row r="218" spans="1:18" x14ac:dyDescent="0.45">
      <c r="A218">
        <f t="shared" ca="1" si="24"/>
        <v>1.5010421862948355</v>
      </c>
      <c r="B218">
        <f t="shared" ca="1" si="24"/>
        <v>2.0103131492371662</v>
      </c>
      <c r="D218">
        <f ca="1">SQRT(MAX('HE2'!B217,0))*($G$2+$H$2*A218)</f>
        <v>4.7187960416371633</v>
      </c>
      <c r="E218">
        <f t="shared" ca="1" si="23"/>
        <v>2.407021638578168</v>
      </c>
      <c r="Q218">
        <f t="shared" ca="1" si="25"/>
        <v>-0.99853052987759316</v>
      </c>
      <c r="R218">
        <f t="shared" ca="1" si="25"/>
        <v>-0.16477704194570839</v>
      </c>
    </row>
    <row r="219" spans="1:18" x14ac:dyDescent="0.45">
      <c r="A219">
        <f t="shared" ca="1" si="24"/>
        <v>-0.54800864992121046</v>
      </c>
      <c r="B219">
        <f t="shared" ca="1" si="24"/>
        <v>0.76131567455015625</v>
      </c>
      <c r="D219">
        <f ca="1">SQRT(MAX('HE2'!B218,0))*($G$2+$H$2*A219)</f>
        <v>-1.8972030978024348</v>
      </c>
      <c r="E219">
        <f t="shared" ca="1" si="23"/>
        <v>1.8382484793125264E-2</v>
      </c>
      <c r="Q219">
        <f t="shared" ca="1" si="25"/>
        <v>0.34723664178829616</v>
      </c>
      <c r="R219">
        <f t="shared" ca="1" si="25"/>
        <v>-1.2666273220638291</v>
      </c>
    </row>
    <row r="220" spans="1:18" x14ac:dyDescent="0.45">
      <c r="A220">
        <f t="shared" ca="1" si="24"/>
        <v>0.62834906442668437</v>
      </c>
      <c r="B220">
        <f t="shared" ca="1" si="24"/>
        <v>0.66442182634487379</v>
      </c>
      <c r="D220">
        <f ca="1">SQRT(MAX('HE2'!B219,0))*($G$2+$H$2*A220)</f>
        <v>2.1579980487235666</v>
      </c>
      <c r="E220">
        <f t="shared" ca="1" si="23"/>
        <v>0.90133234734827172</v>
      </c>
      <c r="Q220">
        <f t="shared" ca="1" si="25"/>
        <v>8.4091442211562784E-2</v>
      </c>
      <c r="R220">
        <f t="shared" ca="1" si="25"/>
        <v>-0.50552864980679935</v>
      </c>
    </row>
    <row r="221" spans="1:18" x14ac:dyDescent="0.45">
      <c r="A221">
        <f t="shared" ca="1" si="24"/>
        <v>-0.49811372531322967</v>
      </c>
      <c r="B221">
        <f t="shared" ca="1" si="24"/>
        <v>1.2070437358029051</v>
      </c>
      <c r="D221">
        <f ca="1">SQRT(MAX('HE2'!B220,0))*($G$2+$H$2*A221)</f>
        <v>-1.7623715324742253</v>
      </c>
      <c r="E221">
        <f t="shared" ca="1" si="23"/>
        <v>0.3257352612311592</v>
      </c>
      <c r="Q221">
        <f t="shared" ca="1" si="25"/>
        <v>-1.9650912118295898</v>
      </c>
      <c r="R221">
        <f t="shared" ca="1" si="25"/>
        <v>1.0505078112182706</v>
      </c>
    </row>
    <row r="222" spans="1:18" x14ac:dyDescent="0.45">
      <c r="A222">
        <f t="shared" ref="A222:B241" ca="1" si="26">NORMINV(RAND(),0,1)</f>
        <v>0.24290618063865344</v>
      </c>
      <c r="B222">
        <f t="shared" ca="1" si="26"/>
        <v>1.6659740785300001</v>
      </c>
      <c r="D222">
        <f ca="1">SQRT(MAX('HE2'!B221,0))*($G$2+$H$2*A222)</f>
        <v>0.86372656979103168</v>
      </c>
      <c r="E222">
        <f t="shared" ca="1" si="23"/>
        <v>1.1939093916289227</v>
      </c>
      <c r="Q222">
        <f t="shared" ref="Q222:R241" ca="1" si="27">NORMINV(RAND(),0,1)</f>
        <v>1.5915295641866856</v>
      </c>
      <c r="R222">
        <f t="shared" ca="1" si="27"/>
        <v>5.8756149681854358E-2</v>
      </c>
    </row>
    <row r="223" spans="1:18" x14ac:dyDescent="0.45">
      <c r="A223">
        <f t="shared" ca="1" si="26"/>
        <v>0.16132254284328246</v>
      </c>
      <c r="B223">
        <f t="shared" ca="1" si="26"/>
        <v>-2.3588151690929546</v>
      </c>
      <c r="D223">
        <f ca="1">SQRT(MAX('HE2'!B222,0))*($G$2+$H$2*A223)</f>
        <v>0.59699633171930067</v>
      </c>
      <c r="E223">
        <f t="shared" ca="1" si="23"/>
        <v>-1.2862310671811465</v>
      </c>
      <c r="Q223">
        <f t="shared" ca="1" si="27"/>
        <v>-0.87280422073091246</v>
      </c>
      <c r="R223">
        <f t="shared" ca="1" si="27"/>
        <v>0.38304806495220872</v>
      </c>
    </row>
    <row r="224" spans="1:18" x14ac:dyDescent="0.45">
      <c r="A224">
        <f t="shared" ca="1" si="26"/>
        <v>-1.3372044331354331</v>
      </c>
      <c r="B224">
        <f t="shared" ca="1" si="26"/>
        <v>0.48182255477353547</v>
      </c>
      <c r="D224">
        <f ca="1">SQRT(MAX('HE2'!B223,0))*($G$2+$H$2*A224)</f>
        <v>-4.6366746601539877</v>
      </c>
      <c r="E224">
        <f t="shared" ca="1" si="23"/>
        <v>-0.78067001364422539</v>
      </c>
      <c r="Q224">
        <f t="shared" ca="1" si="27"/>
        <v>0.85877643791267444</v>
      </c>
      <c r="R224">
        <f t="shared" ca="1" si="27"/>
        <v>1.3769453728178669</v>
      </c>
    </row>
    <row r="225" spans="1:18" x14ac:dyDescent="0.45">
      <c r="A225">
        <f t="shared" ca="1" si="26"/>
        <v>1.5047513209595298</v>
      </c>
      <c r="B225">
        <f t="shared" ca="1" si="26"/>
        <v>1.309821492561581</v>
      </c>
      <c r="D225">
        <f ca="1">SQRT(MAX('HE2'!B224,0))*($G$2+$H$2*A225)</f>
        <v>4.9908906578912005</v>
      </c>
      <c r="E225">
        <f t="shared" ca="1" si="23"/>
        <v>1.9896939523045722</v>
      </c>
      <c r="Q225">
        <f t="shared" ca="1" si="27"/>
        <v>0.40842840449958095</v>
      </c>
      <c r="R225">
        <f t="shared" ca="1" si="27"/>
        <v>0.85565545342738414</v>
      </c>
    </row>
    <row r="226" spans="1:18" x14ac:dyDescent="0.45">
      <c r="A226">
        <f t="shared" ca="1" si="26"/>
        <v>8.7024988726695951E-2</v>
      </c>
      <c r="B226">
        <f t="shared" ca="1" si="26"/>
        <v>0.53722981854779484</v>
      </c>
      <c r="D226">
        <f ca="1">SQRT(MAX('HE2'!B225,0))*($G$2+$H$2*A226)</f>
        <v>0.31123947758004422</v>
      </c>
      <c r="E226">
        <f t="shared" ca="1" si="23"/>
        <v>0.39195788211003357</v>
      </c>
      <c r="Q226">
        <f t="shared" ca="1" si="27"/>
        <v>0.27921640412454557</v>
      </c>
      <c r="R226">
        <f t="shared" ca="1" si="27"/>
        <v>-2.2283765486365583</v>
      </c>
    </row>
    <row r="227" spans="1:18" x14ac:dyDescent="0.45">
      <c r="A227">
        <f t="shared" ca="1" si="26"/>
        <v>-0.34189221047716367</v>
      </c>
      <c r="B227">
        <f t="shared" ca="1" si="26"/>
        <v>0.91008157873611317</v>
      </c>
      <c r="D227">
        <f ca="1">SQRT(MAX('HE2'!B226,0))*($G$2+$H$2*A227)</f>
        <v>-1.2320413289640915</v>
      </c>
      <c r="E227">
        <f t="shared" ca="1" si="23"/>
        <v>0.27253517885993678</v>
      </c>
      <c r="Q227">
        <f t="shared" ca="1" si="27"/>
        <v>1.9446079830802918E-2</v>
      </c>
      <c r="R227">
        <f t="shared" ca="1" si="27"/>
        <v>-1.0011902846207732</v>
      </c>
    </row>
    <row r="228" spans="1:18" x14ac:dyDescent="0.45">
      <c r="A228">
        <f t="shared" ca="1" si="26"/>
        <v>-0.53486718982478043</v>
      </c>
      <c r="B228">
        <f t="shared" ca="1" si="26"/>
        <v>7.7310897167449655E-2</v>
      </c>
      <c r="D228">
        <f ca="1">SQRT(MAX('HE2'!B227,0))*($G$2+$H$2*A228)</f>
        <v>-1.93227644221479</v>
      </c>
      <c r="E228">
        <f t="shared" ca="1" si="23"/>
        <v>-0.38150721355935457</v>
      </c>
      <c r="Q228">
        <f t="shared" ca="1" si="27"/>
        <v>9.5312543357833485E-2</v>
      </c>
      <c r="R228">
        <f t="shared" ca="1" si="27"/>
        <v>-0.2032786523631096</v>
      </c>
    </row>
    <row r="229" spans="1:18" x14ac:dyDescent="0.45">
      <c r="A229">
        <f t="shared" ca="1" si="26"/>
        <v>1.086915910797847</v>
      </c>
      <c r="B229">
        <f t="shared" ca="1" si="26"/>
        <v>0.33694914585463454</v>
      </c>
      <c r="D229">
        <f ca="1">SQRT(MAX('HE2'!B228,0))*($G$2+$H$2*A229)</f>
        <v>3.8284840891160474</v>
      </c>
      <c r="E229">
        <f t="shared" ca="1" si="23"/>
        <v>1.0717022161510583</v>
      </c>
      <c r="Q229">
        <f t="shared" ca="1" si="27"/>
        <v>-1.9336120939933879E-2</v>
      </c>
      <c r="R229">
        <f t="shared" ca="1" si="27"/>
        <v>0.19725666515007792</v>
      </c>
    </row>
    <row r="230" spans="1:18" x14ac:dyDescent="0.45">
      <c r="A230">
        <f t="shared" ca="1" si="26"/>
        <v>-0.33585805044429679</v>
      </c>
      <c r="B230">
        <f t="shared" ca="1" si="26"/>
        <v>-1.578810741342573E-2</v>
      </c>
      <c r="D230">
        <f ca="1">SQRT(MAX('HE2'!B229,0))*($G$2+$H$2*A230)</f>
        <v>-1.2258339167491896</v>
      </c>
      <c r="E230">
        <f t="shared" ca="1" si="23"/>
        <v>-0.27815930480349288</v>
      </c>
      <c r="Q230">
        <f t="shared" ca="1" si="27"/>
        <v>-0.66534463163270519</v>
      </c>
      <c r="R230">
        <f t="shared" ca="1" si="27"/>
        <v>2.5585242651057807</v>
      </c>
    </row>
    <row r="231" spans="1:18" x14ac:dyDescent="0.45">
      <c r="A231">
        <f t="shared" ca="1" si="26"/>
        <v>-0.82533551240648806</v>
      </c>
      <c r="B231">
        <f t="shared" ca="1" si="26"/>
        <v>-0.70479492702371604</v>
      </c>
      <c r="D231">
        <f ca="1">SQRT(MAX('HE2'!B230,0))*($G$2+$H$2*A231)</f>
        <v>-2.950585857117487</v>
      </c>
      <c r="E231">
        <f t="shared" ca="1" si="23"/>
        <v>-1.0831453661394201</v>
      </c>
      <c r="Q231">
        <f t="shared" ca="1" si="27"/>
        <v>2.7701744758043323</v>
      </c>
      <c r="R231">
        <f t="shared" ca="1" si="27"/>
        <v>0.78414657320236913</v>
      </c>
    </row>
    <row r="232" spans="1:18" x14ac:dyDescent="0.45">
      <c r="A232">
        <f t="shared" ca="1" si="26"/>
        <v>6.3547045953230533E-2</v>
      </c>
      <c r="B232">
        <f t="shared" ca="1" si="26"/>
        <v>0.61607127146607554</v>
      </c>
      <c r="D232">
        <f ca="1">SQRT(MAX('HE2'!B231,0))*($G$2+$H$2*A232)</f>
        <v>0.21450022163920116</v>
      </c>
      <c r="E232">
        <f t="shared" ca="1" si="23"/>
        <v>0.42048039964222972</v>
      </c>
      <c r="Q232">
        <f t="shared" ca="1" si="27"/>
        <v>1.9358525460146505</v>
      </c>
      <c r="R232">
        <f t="shared" ca="1" si="27"/>
        <v>-1.1785446336897725</v>
      </c>
    </row>
    <row r="233" spans="1:18" x14ac:dyDescent="0.45">
      <c r="A233">
        <f t="shared" ca="1" si="26"/>
        <v>-0.75196835371381576</v>
      </c>
      <c r="B233">
        <f t="shared" ca="1" si="26"/>
        <v>2.9311703940890225E-2</v>
      </c>
      <c r="D233">
        <f ca="1">SQRT(MAX('HE2'!B232,0))*($G$2+$H$2*A233)</f>
        <v>-2.5635269824197575</v>
      </c>
      <c r="E233">
        <f t="shared" ca="1" si="23"/>
        <v>-0.58398766060651852</v>
      </c>
      <c r="Q233">
        <f t="shared" ca="1" si="27"/>
        <v>-0.47046083946860334</v>
      </c>
      <c r="R233">
        <f t="shared" ca="1" si="27"/>
        <v>1.3182460406200263</v>
      </c>
    </row>
    <row r="234" spans="1:18" x14ac:dyDescent="0.45">
      <c r="A234">
        <f t="shared" ca="1" si="26"/>
        <v>-0.92437849302150665</v>
      </c>
      <c r="B234">
        <f t="shared" ca="1" si="26"/>
        <v>1.6206041103515538</v>
      </c>
      <c r="D234">
        <f ca="1">SQRT(MAX('HE2'!B233,0))*($G$2+$H$2*A234)</f>
        <v>-3.0409745259237568</v>
      </c>
      <c r="E234">
        <f t="shared" ca="1" si="23"/>
        <v>0.23285967179372669</v>
      </c>
      <c r="Q234">
        <f t="shared" ca="1" si="27"/>
        <v>-0.12140414937876318</v>
      </c>
      <c r="R234">
        <f t="shared" ca="1" si="27"/>
        <v>-0.45679426609527901</v>
      </c>
    </row>
    <row r="235" spans="1:18" x14ac:dyDescent="0.45">
      <c r="A235">
        <f t="shared" ca="1" si="26"/>
        <v>4.9747371532748684E-2</v>
      </c>
      <c r="B235">
        <f t="shared" ca="1" si="26"/>
        <v>0.41431705251311934</v>
      </c>
      <c r="D235">
        <f ca="1">SQRT(MAX('HE2'!B234,0))*($G$2+$H$2*A235)</f>
        <v>0.16398601840527582</v>
      </c>
      <c r="E235">
        <f t="shared" ca="1" si="23"/>
        <v>0.28838812873407049</v>
      </c>
      <c r="Q235">
        <f t="shared" ca="1" si="27"/>
        <v>1.3630067448109946</v>
      </c>
      <c r="R235">
        <f t="shared" ca="1" si="27"/>
        <v>-0.4362445164290451</v>
      </c>
    </row>
    <row r="236" spans="1:18" x14ac:dyDescent="0.45">
      <c r="A236">
        <f t="shared" ca="1" si="26"/>
        <v>0.51140414292199998</v>
      </c>
      <c r="B236">
        <f t="shared" ca="1" si="26"/>
        <v>-0.54016640506032132</v>
      </c>
      <c r="D236">
        <f ca="1">SQRT(MAX('HE2'!B235,0))*($G$2+$H$2*A236)</f>
        <v>1.6933755344973169</v>
      </c>
      <c r="E236">
        <f t="shared" ca="1" si="23"/>
        <v>8.5023471301407305E-2</v>
      </c>
      <c r="Q236">
        <f t="shared" ca="1" si="27"/>
        <v>1.0861715152810913</v>
      </c>
      <c r="R236">
        <f t="shared" ca="1" si="27"/>
        <v>0.3435339270343401</v>
      </c>
    </row>
    <row r="237" spans="1:18" x14ac:dyDescent="0.45">
      <c r="A237">
        <f t="shared" ca="1" si="26"/>
        <v>-0.45008241899019724</v>
      </c>
      <c r="B237">
        <f t="shared" ca="1" si="26"/>
        <v>0.96005482492342165</v>
      </c>
      <c r="D237">
        <f ca="1">SQRT(MAX('HE2'!B236,0))*($G$2+$H$2*A237)</f>
        <v>-1.4832023131042682</v>
      </c>
      <c r="E237">
        <f t="shared" ca="1" si="23"/>
        <v>0.21596695976189506</v>
      </c>
      <c r="Q237">
        <f t="shared" ca="1" si="27"/>
        <v>-1.169231665102934</v>
      </c>
      <c r="R237">
        <f t="shared" ca="1" si="27"/>
        <v>1.6577566089226523</v>
      </c>
    </row>
    <row r="238" spans="1:18" x14ac:dyDescent="0.45">
      <c r="A238">
        <f t="shared" ca="1" si="26"/>
        <v>-0.8042736551887737</v>
      </c>
      <c r="B238">
        <f t="shared" ca="1" si="26"/>
        <v>3.5194749780982477E-2</v>
      </c>
      <c r="D238">
        <f ca="1">SQRT(MAX('HE2'!B237,0))*($G$2+$H$2*A238)</f>
        <v>-2.6536467167001403</v>
      </c>
      <c r="E238">
        <f t="shared" ca="1" si="23"/>
        <v>-0.62230207428242945</v>
      </c>
      <c r="Q238">
        <f t="shared" ca="1" si="27"/>
        <v>0.25786351361609638</v>
      </c>
      <c r="R238">
        <f t="shared" ca="1" si="27"/>
        <v>-9.5806476209079141E-4</v>
      </c>
    </row>
    <row r="239" spans="1:18" x14ac:dyDescent="0.45">
      <c r="A239">
        <f t="shared" ca="1" si="26"/>
        <v>0.35315083818558318</v>
      </c>
      <c r="B239">
        <f t="shared" ca="1" si="26"/>
        <v>0.76232383719796526</v>
      </c>
      <c r="D239">
        <f ca="1">SQRT(MAX('HE2'!B238,0))*($G$2+$H$2*A239)</f>
        <v>1.1213762695332847</v>
      </c>
      <c r="E239">
        <f t="shared" ca="1" si="23"/>
        <v>0.73991497286724561</v>
      </c>
      <c r="Q239">
        <f t="shared" ca="1" si="27"/>
        <v>0.97134594060042401</v>
      </c>
      <c r="R239">
        <f t="shared" ca="1" si="27"/>
        <v>-1.3412227299138233</v>
      </c>
    </row>
    <row r="240" spans="1:18" x14ac:dyDescent="0.45">
      <c r="A240">
        <f t="shared" ca="1" si="26"/>
        <v>-0.11197980740133522</v>
      </c>
      <c r="B240">
        <f t="shared" ca="1" si="26"/>
        <v>0.44786007346153217</v>
      </c>
      <c r="D240">
        <f ca="1">SQRT(MAX('HE2'!B239,0))*($G$2+$H$2*A240)</f>
        <v>-0.36485974708114716</v>
      </c>
      <c r="E240">
        <f t="shared" ca="1" si="23"/>
        <v>0.17913219815585107</v>
      </c>
      <c r="Q240">
        <f t="shared" ca="1" si="27"/>
        <v>0.29768463039849652</v>
      </c>
      <c r="R240">
        <f t="shared" ca="1" si="27"/>
        <v>1.6507408128362904</v>
      </c>
    </row>
    <row r="241" spans="1:18" x14ac:dyDescent="0.45">
      <c r="A241">
        <f t="shared" ca="1" si="26"/>
        <v>-0.26967791591267753</v>
      </c>
      <c r="B241">
        <f t="shared" ca="1" si="26"/>
        <v>-1.2716937590675439</v>
      </c>
      <c r="D241">
        <f ca="1">SQRT(MAX('HE2'!B240,0))*($G$2+$H$2*A241)</f>
        <v>-0.87839371337818206</v>
      </c>
      <c r="E241">
        <f t="shared" ca="1" si="23"/>
        <v>-0.97875858817066819</v>
      </c>
      <c r="Q241">
        <f t="shared" ca="1" si="27"/>
        <v>-0.42601155133679364</v>
      </c>
      <c r="R241">
        <f t="shared" ca="1" si="27"/>
        <v>-0.31868250527231412</v>
      </c>
    </row>
    <row r="242" spans="1:18" x14ac:dyDescent="0.45">
      <c r="A242">
        <f t="shared" ref="A242:B261" ca="1" si="28">NORMINV(RAND(),0,1)</f>
        <v>-0.80254395767778031</v>
      </c>
      <c r="B242">
        <f t="shared" ca="1" si="28"/>
        <v>0.62535355876578425</v>
      </c>
      <c r="D242">
        <f ca="1">SQRT(MAX('HE2'!B241,0))*($G$2+$H$2*A242)</f>
        <v>-2.4698284870807847</v>
      </c>
      <c r="E242">
        <f t="shared" ca="1" si="23"/>
        <v>-0.26682303088275389</v>
      </c>
      <c r="Q242">
        <f t="shared" ref="Q242:R261" ca="1" si="29">NORMINV(RAND(),0,1)</f>
        <v>0.37425973033808402</v>
      </c>
      <c r="R242">
        <f t="shared" ca="1" si="29"/>
        <v>0.52395122725229937</v>
      </c>
    </row>
    <row r="243" spans="1:18" x14ac:dyDescent="0.45">
      <c r="A243">
        <f t="shared" ca="1" si="28"/>
        <v>0.35738712284762419</v>
      </c>
      <c r="B243">
        <f t="shared" ca="1" si="28"/>
        <v>0.86684559376510628</v>
      </c>
      <c r="D243">
        <f ca="1">SQRT(MAX('HE2'!B242,0))*($G$2+$H$2*A243)</f>
        <v>1.0760561123226369</v>
      </c>
      <c r="E243">
        <f t="shared" ca="1" si="23"/>
        <v>0.80601705453716299</v>
      </c>
      <c r="Q243">
        <f t="shared" ca="1" si="29"/>
        <v>-0.7075842814896629</v>
      </c>
      <c r="R243">
        <f t="shared" ca="1" si="29"/>
        <v>0.53249074924022699</v>
      </c>
    </row>
    <row r="244" spans="1:18" x14ac:dyDescent="0.45">
      <c r="A244">
        <f t="shared" ca="1" si="28"/>
        <v>-0.32683116741670981</v>
      </c>
      <c r="B244">
        <f t="shared" ca="1" si="28"/>
        <v>0.140769819061874</v>
      </c>
      <c r="D244">
        <f ca="1">SQRT(MAX('HE2'!B243,0))*($G$2+$H$2*A244)</f>
        <v>-1.0148891440389736</v>
      </c>
      <c r="E244">
        <f t="shared" ca="1" si="23"/>
        <v>-0.17700304249624346</v>
      </c>
      <c r="Q244">
        <f t="shared" ca="1" si="29"/>
        <v>0.95469495270219373</v>
      </c>
      <c r="R244">
        <f t="shared" ca="1" si="29"/>
        <v>-3.3285429971286876E-2</v>
      </c>
    </row>
    <row r="245" spans="1:18" x14ac:dyDescent="0.45">
      <c r="A245">
        <f t="shared" ca="1" si="28"/>
        <v>-1.4066176936425403</v>
      </c>
      <c r="B245">
        <f t="shared" ca="1" si="28"/>
        <v>0.60177405588874389</v>
      </c>
      <c r="D245">
        <f ca="1">SQRT(MAX('HE2'!B244,0))*($G$2+$H$2*A245)</f>
        <v>-4.2930748069210312</v>
      </c>
      <c r="E245">
        <f t="shared" ca="1" si="23"/>
        <v>-0.76422972138078604</v>
      </c>
      <c r="Q245">
        <f t="shared" ca="1" si="29"/>
        <v>0.69383855871532574</v>
      </c>
      <c r="R245">
        <f t="shared" ca="1" si="29"/>
        <v>0.57543363146857152</v>
      </c>
    </row>
    <row r="246" spans="1:18" x14ac:dyDescent="0.45">
      <c r="A246">
        <f t="shared" ca="1" si="28"/>
        <v>-7.0787723873101796E-2</v>
      </c>
      <c r="B246">
        <f t="shared" ca="1" si="28"/>
        <v>1.2034478239902955</v>
      </c>
      <c r="D246">
        <f ca="1">SQRT(MAX('HE2'!B245,0))*($G$2+$H$2*A246)</f>
        <v>-0.20588480891491714</v>
      </c>
      <c r="E246">
        <f t="shared" ca="1" si="23"/>
        <v>0.66543851529569564</v>
      </c>
      <c r="Q246">
        <f t="shared" ca="1" si="29"/>
        <v>1.0861365873820881</v>
      </c>
      <c r="R246">
        <f t="shared" ca="1" si="29"/>
        <v>1.7591100793115666</v>
      </c>
    </row>
    <row r="247" spans="1:18" x14ac:dyDescent="0.45">
      <c r="A247">
        <f t="shared" ca="1" si="28"/>
        <v>-0.19755377243988503</v>
      </c>
      <c r="B247">
        <f t="shared" ca="1" si="28"/>
        <v>-1.3332482433722157</v>
      </c>
      <c r="D247">
        <f ca="1">SQRT(MAX('HE2'!B246,0))*($G$2+$H$2*A247)</f>
        <v>-0.58939180540845881</v>
      </c>
      <c r="E247">
        <f t="shared" ca="1" si="23"/>
        <v>-0.95799196397523723</v>
      </c>
      <c r="Q247">
        <f t="shared" ca="1" si="29"/>
        <v>-1.3826016925900618E-2</v>
      </c>
      <c r="R247">
        <f t="shared" ca="1" si="29"/>
        <v>-5.7041928469179368E-2</v>
      </c>
    </row>
    <row r="248" spans="1:18" x14ac:dyDescent="0.45">
      <c r="A248">
        <f t="shared" ca="1" si="28"/>
        <v>1.3689310068465659</v>
      </c>
      <c r="B248">
        <f t="shared" ca="1" si="28"/>
        <v>-2.9567748198647243</v>
      </c>
      <c r="D248">
        <f ca="1">SQRT(MAX('HE2'!B247,0))*($G$2+$H$2*A248)</f>
        <v>3.8466196856295372</v>
      </c>
      <c r="E248">
        <f t="shared" ca="1" si="23"/>
        <v>-0.67892008644158142</v>
      </c>
      <c r="Q248">
        <f t="shared" ca="1" si="29"/>
        <v>0.99553310946460816</v>
      </c>
      <c r="R248">
        <f t="shared" ca="1" si="29"/>
        <v>-5.9981690917650897E-2</v>
      </c>
    </row>
    <row r="249" spans="1:18" x14ac:dyDescent="0.45">
      <c r="A249">
        <f t="shared" ca="1" si="28"/>
        <v>-1.2773116182064039</v>
      </c>
      <c r="B249">
        <f t="shared" ca="1" si="28"/>
        <v>-1.3536760661191609</v>
      </c>
      <c r="D249">
        <f ca="1">SQRT(MAX('HE2'!B248,0))*($G$2+$H$2*A249)</f>
        <v>-3.4263917345563084</v>
      </c>
      <c r="E249">
        <f t="shared" ca="1" si="23"/>
        <v>-1.8340549342366197</v>
      </c>
      <c r="Q249">
        <f t="shared" ca="1" si="29"/>
        <v>-1.2484781574862855</v>
      </c>
      <c r="R249">
        <f t="shared" ca="1" si="29"/>
        <v>0.38636109194546564</v>
      </c>
    </row>
    <row r="250" spans="1:18" x14ac:dyDescent="0.45">
      <c r="A250">
        <f t="shared" ca="1" si="28"/>
        <v>5.4456853768288419E-2</v>
      </c>
      <c r="B250">
        <f t="shared" ca="1" si="28"/>
        <v>-1.1968005027611921</v>
      </c>
      <c r="D250">
        <f ca="1">SQRT(MAX('HE2'!B249,0))*($G$2+$H$2*A250)</f>
        <v>0.12893992324668493</v>
      </c>
      <c r="E250">
        <f t="shared" ca="1" si="23"/>
        <v>-0.6745148186420844</v>
      </c>
      <c r="Q250">
        <f t="shared" ca="1" si="29"/>
        <v>-0.94604939743424943</v>
      </c>
      <c r="R250">
        <f t="shared" ca="1" si="29"/>
        <v>-1.325129371843645</v>
      </c>
    </row>
    <row r="251" spans="1:18" x14ac:dyDescent="0.45">
      <c r="A251">
        <f t="shared" ca="1" si="28"/>
        <v>-0.87566166317817862</v>
      </c>
      <c r="B251">
        <f t="shared" ca="1" si="28"/>
        <v>0.44537046831515492</v>
      </c>
      <c r="D251">
        <f ca="1">SQRT(MAX('HE2'!B250,0))*($G$2+$H$2*A251)</f>
        <v>-1.9668761929032561</v>
      </c>
      <c r="E251">
        <f t="shared" ca="1" si="23"/>
        <v>-0.43330704955345006</v>
      </c>
      <c r="Q251">
        <f t="shared" ca="1" si="29"/>
        <v>-0.28659230541479652</v>
      </c>
      <c r="R251">
        <f t="shared" ca="1" si="29"/>
        <v>-1.0738947768535019</v>
      </c>
    </row>
    <row r="252" spans="1:18" x14ac:dyDescent="0.45">
      <c r="A252">
        <f t="shared" ca="1" si="28"/>
        <v>2.0028589684750906</v>
      </c>
      <c r="B252">
        <f t="shared" ca="1" si="28"/>
        <v>-0.6426905162132055</v>
      </c>
      <c r="D252">
        <f ca="1">SQRT(MAX('HE2'!B251,0))*($G$2+$H$2*A252)</f>
        <v>4.3340567313731899</v>
      </c>
      <c r="E252">
        <f t="shared" ca="1" si="23"/>
        <v>1.2166728650521494</v>
      </c>
      <c r="Q252">
        <f t="shared" ca="1" si="29"/>
        <v>-1.1163430686534781</v>
      </c>
      <c r="R252">
        <f t="shared" ca="1" si="29"/>
        <v>2.1684333480429014</v>
      </c>
    </row>
    <row r="253" spans="1:18" x14ac:dyDescent="0.45">
      <c r="A253">
        <f t="shared" ca="1" si="28"/>
        <v>0.32845864654597479</v>
      </c>
      <c r="B253">
        <f t="shared" ca="1" si="28"/>
        <v>-1.0094892133443025</v>
      </c>
      <c r="D253">
        <f ca="1">SQRT(MAX('HE2'!B252,0))*($G$2+$H$2*A253)</f>
        <v>0.7639097228578573</v>
      </c>
      <c r="E253">
        <f t="shared" ca="1" si="23"/>
        <v>-0.34292661076980152</v>
      </c>
      <c r="Q253">
        <f t="shared" ca="1" si="29"/>
        <v>0.24414434813092223</v>
      </c>
      <c r="R253">
        <f t="shared" ca="1" si="29"/>
        <v>1.0341202131446001</v>
      </c>
    </row>
    <row r="254" spans="1:18" x14ac:dyDescent="0.45">
      <c r="A254">
        <f t="shared" ca="1" si="28"/>
        <v>0.27073685711518813</v>
      </c>
      <c r="B254">
        <f t="shared" ca="1" si="28"/>
        <v>-0.22968435382364169</v>
      </c>
      <c r="D254">
        <f ca="1">SQRT(MAX('HE2'!B253,0))*($G$2+$H$2*A254)</f>
        <v>0.61092358117984147</v>
      </c>
      <c r="E254">
        <f t="shared" ca="1" si="23"/>
        <v>7.8778873397965549E-2</v>
      </c>
      <c r="Q254">
        <f t="shared" ca="1" si="29"/>
        <v>-0.22881926013971268</v>
      </c>
      <c r="R254">
        <f t="shared" ca="1" si="29"/>
        <v>1.0445367092915505</v>
      </c>
    </row>
    <row r="255" spans="1:18" x14ac:dyDescent="0.45">
      <c r="A255">
        <f t="shared" ca="1" si="28"/>
        <v>-0.13032655329533818</v>
      </c>
      <c r="B255">
        <f t="shared" ca="1" si="28"/>
        <v>1.3605503533057628</v>
      </c>
      <c r="D255">
        <f ca="1">SQRT(MAX('HE2'!B254,0))*($G$2+$H$2*A255)</f>
        <v>-0.29355748912858809</v>
      </c>
      <c r="E255">
        <f t="shared" ca="1" si="23"/>
        <v>0.71206896934718689</v>
      </c>
      <c r="Q255">
        <f t="shared" ca="1" si="29"/>
        <v>-0.46595627774065296</v>
      </c>
      <c r="R255">
        <f t="shared" ca="1" si="29"/>
        <v>0.6135486108256214</v>
      </c>
    </row>
    <row r="256" spans="1:18" x14ac:dyDescent="0.45">
      <c r="A256">
        <f t="shared" ca="1" si="28"/>
        <v>0.51255567165299998</v>
      </c>
      <c r="B256">
        <f t="shared" ca="1" si="28"/>
        <v>-1.6236282698511577</v>
      </c>
      <c r="D256">
        <f ca="1">SQRT(MAX('HE2'!B255,0))*($G$2+$H$2*A256)</f>
        <v>1.2002583725312512</v>
      </c>
      <c r="E256">
        <f t="shared" ca="1" si="23"/>
        <v>-0.56413242458829438</v>
      </c>
      <c r="Q256">
        <f t="shared" ca="1" si="29"/>
        <v>-0.58297960377007607</v>
      </c>
      <c r="R256">
        <f t="shared" ca="1" si="29"/>
        <v>1.4496803489844914</v>
      </c>
    </row>
    <row r="257" spans="1:18" x14ac:dyDescent="0.45">
      <c r="A257">
        <f t="shared" ca="1" si="28"/>
        <v>-1.3790095629903332</v>
      </c>
      <c r="B257">
        <f t="shared" ca="1" si="28"/>
        <v>0.65734982547760012</v>
      </c>
      <c r="D257">
        <f ca="1">SQRT(MAX('HE2'!B256,0))*($G$2+$H$2*A257)</f>
        <v>-3.0859958111660268</v>
      </c>
      <c r="E257">
        <f t="shared" ca="1" si="23"/>
        <v>-0.70879775510570653</v>
      </c>
      <c r="Q257">
        <f t="shared" ca="1" si="29"/>
        <v>-0.53017448019075231</v>
      </c>
      <c r="R257">
        <f t="shared" ca="1" si="29"/>
        <v>0.2539297399766991</v>
      </c>
    </row>
    <row r="258" spans="1:18" x14ac:dyDescent="0.45">
      <c r="A258">
        <f t="shared" ca="1" si="28"/>
        <v>-0.60524734642907307</v>
      </c>
      <c r="B258">
        <f t="shared" ca="1" si="28"/>
        <v>-2.3532628190343408</v>
      </c>
      <c r="D258">
        <f ca="1">SQRT(MAX('HE2'!B257,0))*($G$2+$H$2*A258)</f>
        <v>-1.2785144270725366</v>
      </c>
      <c r="E258">
        <f t="shared" ref="E258:E321" ca="1" si="30">$I$2+$J$2*(A258*$K$2 + B258*POWER(1-$K$2*$K$2, 0.5))</f>
        <v>-1.8961555685638627</v>
      </c>
      <c r="Q258">
        <f t="shared" ca="1" si="29"/>
        <v>-0.31890037416767003</v>
      </c>
      <c r="R258">
        <f t="shared" ca="1" si="29"/>
        <v>1.6375145927622436</v>
      </c>
    </row>
    <row r="259" spans="1:18" x14ac:dyDescent="0.45">
      <c r="A259">
        <f t="shared" ca="1" si="28"/>
        <v>1.2400521432132114</v>
      </c>
      <c r="B259">
        <f t="shared" ca="1" si="28"/>
        <v>0.35272106927422503</v>
      </c>
      <c r="D259">
        <f ca="1">SQRT(MAX('HE2'!B258,0))*($G$2+$H$2*A259)</f>
        <v>2.2188154176278974</v>
      </c>
      <c r="E259">
        <f t="shared" ca="1" si="30"/>
        <v>1.2036743561351042</v>
      </c>
      <c r="Q259">
        <f t="shared" ca="1" si="29"/>
        <v>1.1426194670685572</v>
      </c>
      <c r="R259">
        <f t="shared" ca="1" si="29"/>
        <v>-1.5635071917168479</v>
      </c>
    </row>
    <row r="260" spans="1:18" x14ac:dyDescent="0.45">
      <c r="A260">
        <f t="shared" ca="1" si="28"/>
        <v>-0.3228428325415455</v>
      </c>
      <c r="B260">
        <f t="shared" ca="1" si="28"/>
        <v>0.32331302080527918</v>
      </c>
      <c r="D260">
        <f ca="1">SQRT(MAX('HE2'!B259,0))*($G$2+$H$2*A260)</f>
        <v>-0.63048817567790827</v>
      </c>
      <c r="E260">
        <f t="shared" ca="1" si="30"/>
        <v>-6.4286453550068928E-2</v>
      </c>
      <c r="Q260">
        <f t="shared" ca="1" si="29"/>
        <v>1.1235207509087335</v>
      </c>
      <c r="R260">
        <f t="shared" ca="1" si="29"/>
        <v>-3.1150896322654852E-2</v>
      </c>
    </row>
    <row r="261" spans="1:18" x14ac:dyDescent="0.45">
      <c r="A261">
        <f t="shared" ca="1" si="28"/>
        <v>-0.82860591923530502</v>
      </c>
      <c r="B261">
        <f t="shared" ca="1" si="28"/>
        <v>0.161002709648946</v>
      </c>
      <c r="D261">
        <f ca="1">SQRT(MAX('HE2'!B260,0))*($G$2+$H$2*A261)</f>
        <v>-1.6003565508709532</v>
      </c>
      <c r="E261">
        <f t="shared" ca="1" si="30"/>
        <v>-0.56628310959887651</v>
      </c>
      <c r="Q261">
        <f t="shared" ca="1" si="29"/>
        <v>0.55741858889018181</v>
      </c>
      <c r="R261">
        <f t="shared" ca="1" si="29"/>
        <v>0.51438316295516595</v>
      </c>
    </row>
    <row r="262" spans="1:18" x14ac:dyDescent="0.45">
      <c r="A262">
        <f t="shared" ref="A262:B281" ca="1" si="31">NORMINV(RAND(),0,1)</f>
        <v>1.0030852800671624</v>
      </c>
      <c r="B262">
        <f t="shared" ca="1" si="31"/>
        <v>0.50056762904575702</v>
      </c>
      <c r="D262">
        <f ca="1">SQRT(MAX('HE2'!B261,0))*($G$2+$H$2*A262)</f>
        <v>1.8380824630380022</v>
      </c>
      <c r="E262">
        <f t="shared" ca="1" si="30"/>
        <v>1.1028088014811841</v>
      </c>
      <c r="Q262">
        <f t="shared" ref="Q262:R281" ca="1" si="32">NORMINV(RAND(),0,1)</f>
        <v>-0.86159979742429849</v>
      </c>
      <c r="R262">
        <f t="shared" ca="1" si="32"/>
        <v>-0.63950514873170905</v>
      </c>
    </row>
    <row r="263" spans="1:18" x14ac:dyDescent="0.45">
      <c r="A263">
        <f t="shared" ca="1" si="31"/>
        <v>0.63372866314849774</v>
      </c>
      <c r="B263">
        <f t="shared" ca="1" si="31"/>
        <v>-0.84212342961627928</v>
      </c>
      <c r="D263">
        <f ca="1">SQRT(MAX('HE2'!B262,0))*($G$2+$H$2*A263)</f>
        <v>1.2558630517221665</v>
      </c>
      <c r="E263">
        <f t="shared" ca="1" si="30"/>
        <v>1.7088727490307543E-3</v>
      </c>
      <c r="Q263">
        <f t="shared" ca="1" si="32"/>
        <v>-1.3798072624805058</v>
      </c>
      <c r="R263">
        <f t="shared" ca="1" si="32"/>
        <v>1.009155230574776</v>
      </c>
    </row>
    <row r="264" spans="1:18" x14ac:dyDescent="0.45">
      <c r="A264">
        <f t="shared" ca="1" si="31"/>
        <v>-1.457902690915629</v>
      </c>
      <c r="B264">
        <f t="shared" ca="1" si="31"/>
        <v>2.0919867293627686E-2</v>
      </c>
      <c r="D264">
        <f ca="1">SQRT(MAX('HE2'!B263,0))*($G$2+$H$2*A264)</f>
        <v>-2.8716961337103539</v>
      </c>
      <c r="E264">
        <f t="shared" ca="1" si="30"/>
        <v>-1.1537702323563266</v>
      </c>
      <c r="Q264">
        <f t="shared" ca="1" si="32"/>
        <v>9.8099681141250977E-2</v>
      </c>
      <c r="R264">
        <f t="shared" ca="1" si="32"/>
        <v>1.0516870415168784</v>
      </c>
    </row>
    <row r="265" spans="1:18" x14ac:dyDescent="0.45">
      <c r="A265">
        <f t="shared" ca="1" si="31"/>
        <v>-0.6260520993076607</v>
      </c>
      <c r="B265">
        <f t="shared" ca="1" si="31"/>
        <v>0.2412277509309608</v>
      </c>
      <c r="D265">
        <f ca="1">SQRT(MAX('HE2'!B264,0))*($G$2+$H$2*A265)</f>
        <v>-1.1112688484862399</v>
      </c>
      <c r="E265">
        <f t="shared" ca="1" si="30"/>
        <v>-0.35610502888755213</v>
      </c>
      <c r="Q265">
        <f t="shared" ca="1" si="32"/>
        <v>-0.98159418903110496</v>
      </c>
      <c r="R265">
        <f t="shared" ca="1" si="32"/>
        <v>-0.35531836351457896</v>
      </c>
    </row>
    <row r="266" spans="1:18" x14ac:dyDescent="0.45">
      <c r="A266">
        <f t="shared" ca="1" si="31"/>
        <v>-1.0732148164565507</v>
      </c>
      <c r="B266">
        <f t="shared" ca="1" si="31"/>
        <v>-0.74636971258509199</v>
      </c>
      <c r="D266">
        <f ca="1">SQRT(MAX('HE2'!B265,0))*($G$2+$H$2*A266)</f>
        <v>-1.8365451458428594</v>
      </c>
      <c r="E266">
        <f t="shared" ca="1" si="30"/>
        <v>-1.3063936807162957</v>
      </c>
      <c r="Q266">
        <f t="shared" ca="1" si="32"/>
        <v>-1.9482253233184754</v>
      </c>
      <c r="R266">
        <f t="shared" ca="1" si="32"/>
        <v>-0.27760523733523307</v>
      </c>
    </row>
    <row r="267" spans="1:18" x14ac:dyDescent="0.45">
      <c r="A267">
        <f t="shared" ca="1" si="31"/>
        <v>-1.811812102635542</v>
      </c>
      <c r="B267">
        <f t="shared" ca="1" si="31"/>
        <v>2.3859409067352044</v>
      </c>
      <c r="D267">
        <f ca="1">SQRT(MAX('HE2'!B266,0))*($G$2+$H$2*A267)</f>
        <v>-2.7052633253200802</v>
      </c>
      <c r="E267">
        <f t="shared" ca="1" si="30"/>
        <v>-1.788513806731129E-2</v>
      </c>
      <c r="Q267">
        <f t="shared" ca="1" si="32"/>
        <v>0.73517811721073656</v>
      </c>
      <c r="R267">
        <f t="shared" ca="1" si="32"/>
        <v>-1.049031376388025</v>
      </c>
    </row>
    <row r="268" spans="1:18" x14ac:dyDescent="0.45">
      <c r="A268">
        <f t="shared" ca="1" si="31"/>
        <v>-0.73648609954265953</v>
      </c>
      <c r="B268">
        <f t="shared" ca="1" si="31"/>
        <v>1.6406406133670428</v>
      </c>
      <c r="D268">
        <f ca="1">SQRT(MAX('HE2'!B267,0))*($G$2+$H$2*A268)</f>
        <v>-1.094144883231281</v>
      </c>
      <c r="E268">
        <f t="shared" ca="1" si="30"/>
        <v>0.39519548838609775</v>
      </c>
      <c r="Q268">
        <f t="shared" ca="1" si="32"/>
        <v>-0.20334960748685954</v>
      </c>
      <c r="R268">
        <f t="shared" ca="1" si="32"/>
        <v>-0.56745253083927016</v>
      </c>
    </row>
    <row r="269" spans="1:18" x14ac:dyDescent="0.45">
      <c r="A269">
        <f t="shared" ca="1" si="31"/>
        <v>-0.11924660497385066</v>
      </c>
      <c r="B269">
        <f t="shared" ca="1" si="31"/>
        <v>0.63271078199020303</v>
      </c>
      <c r="D269">
        <f ca="1">SQRT(MAX('HE2'!B268,0))*($G$2+$H$2*A269)</f>
        <v>-0.1835527511766365</v>
      </c>
      <c r="E269">
        <f t="shared" ca="1" si="30"/>
        <v>0.2842291852150412</v>
      </c>
      <c r="Q269">
        <f t="shared" ca="1" si="32"/>
        <v>1.0415666842904581</v>
      </c>
      <c r="R269">
        <f t="shared" ca="1" si="32"/>
        <v>-0.33172490549327466</v>
      </c>
    </row>
    <row r="270" spans="1:18" x14ac:dyDescent="0.45">
      <c r="A270">
        <f t="shared" ca="1" si="31"/>
        <v>0.38116532497013433</v>
      </c>
      <c r="B270">
        <f t="shared" ca="1" si="31"/>
        <v>0.57823236938385159</v>
      </c>
      <c r="D270">
        <f ca="1">SQRT(MAX('HE2'!B269,0))*($G$2+$H$2*A270)</f>
        <v>0.60068142104213318</v>
      </c>
      <c r="E270">
        <f t="shared" ca="1" si="30"/>
        <v>0.6518716816064184</v>
      </c>
      <c r="Q270">
        <f t="shared" ca="1" si="32"/>
        <v>0.2023418854201893</v>
      </c>
      <c r="R270">
        <f t="shared" ca="1" si="32"/>
        <v>-0.27242713778577604</v>
      </c>
    </row>
    <row r="271" spans="1:18" x14ac:dyDescent="0.45">
      <c r="A271">
        <f t="shared" ca="1" si="31"/>
        <v>1.3153560058559031</v>
      </c>
      <c r="B271">
        <f t="shared" ca="1" si="31"/>
        <v>-1.4656775100005361</v>
      </c>
      <c r="D271">
        <f ca="1">SQRT(MAX('HE2'!B270,0))*($G$2+$H$2*A271)</f>
        <v>2.1900857984033251</v>
      </c>
      <c r="E271">
        <f t="shared" ca="1" si="30"/>
        <v>0.17287829868440097</v>
      </c>
      <c r="Q271">
        <f t="shared" ca="1" si="32"/>
        <v>-0.4361896539196643</v>
      </c>
      <c r="R271">
        <f t="shared" ca="1" si="32"/>
        <v>0.10229793084117376</v>
      </c>
    </row>
    <row r="272" spans="1:18" x14ac:dyDescent="0.45">
      <c r="A272">
        <f t="shared" ca="1" si="31"/>
        <v>0.96377038954073524</v>
      </c>
      <c r="B272">
        <f t="shared" ca="1" si="31"/>
        <v>-0.66054977157840022</v>
      </c>
      <c r="D272">
        <f ca="1">SQRT(MAX('HE2'!B271,0))*($G$2+$H$2*A272)</f>
        <v>1.6222997562158514</v>
      </c>
      <c r="E272">
        <f t="shared" ca="1" si="30"/>
        <v>0.37468644868554818</v>
      </c>
      <c r="Q272">
        <f t="shared" ca="1" si="32"/>
        <v>-0.27182488661868875</v>
      </c>
      <c r="R272">
        <f t="shared" ca="1" si="32"/>
        <v>1.0726941490792032</v>
      </c>
    </row>
    <row r="273" spans="1:18" x14ac:dyDescent="0.45">
      <c r="A273">
        <f t="shared" ca="1" si="31"/>
        <v>1.5951341264196099</v>
      </c>
      <c r="B273">
        <f t="shared" ca="1" si="31"/>
        <v>1.2644250826392869</v>
      </c>
      <c r="D273">
        <f ca="1">SQRT(MAX('HE2'!B272,0))*($G$2+$H$2*A273)</f>
        <v>2.7611292234441898</v>
      </c>
      <c r="E273">
        <f t="shared" ca="1" si="30"/>
        <v>2.03476235071926</v>
      </c>
      <c r="Q273">
        <f t="shared" ca="1" si="32"/>
        <v>-0.44308702477425571</v>
      </c>
      <c r="R273">
        <f t="shared" ca="1" si="32"/>
        <v>-2.053163483828313</v>
      </c>
    </row>
    <row r="274" spans="1:18" x14ac:dyDescent="0.45">
      <c r="A274">
        <f t="shared" ca="1" si="31"/>
        <v>0.98486760550358954</v>
      </c>
      <c r="B274">
        <f t="shared" ca="1" si="31"/>
        <v>1.3757263113931102</v>
      </c>
      <c r="D274">
        <f ca="1">SQRT(MAX('HE2'!B273,0))*($G$2+$H$2*A274)</f>
        <v>1.9754474172487893</v>
      </c>
      <c r="E274">
        <f t="shared" ca="1" si="30"/>
        <v>1.6133298712387376</v>
      </c>
      <c r="Q274">
        <f t="shared" ca="1" si="32"/>
        <v>-0.95489401776296912</v>
      </c>
      <c r="R274">
        <f t="shared" ca="1" si="32"/>
        <v>1.3476458515100931</v>
      </c>
    </row>
    <row r="275" spans="1:18" x14ac:dyDescent="0.45">
      <c r="A275">
        <f t="shared" ca="1" si="31"/>
        <v>1.5852475733625753</v>
      </c>
      <c r="B275">
        <f t="shared" ca="1" si="31"/>
        <v>-0.20639045801993486</v>
      </c>
      <c r="D275">
        <f ca="1">SQRT(MAX('HE2'!B274,0))*($G$2+$H$2*A275)</f>
        <v>3.5247586662735566</v>
      </c>
      <c r="E275">
        <f t="shared" ca="1" si="30"/>
        <v>1.1443637838780993</v>
      </c>
      <c r="Q275">
        <f t="shared" ca="1" si="32"/>
        <v>-0.76050001100863751</v>
      </c>
      <c r="R275">
        <f t="shared" ca="1" si="32"/>
        <v>0.36486063556651066</v>
      </c>
    </row>
    <row r="276" spans="1:18" x14ac:dyDescent="0.45">
      <c r="A276">
        <f t="shared" ca="1" si="31"/>
        <v>-0.8517318478124789</v>
      </c>
      <c r="B276">
        <f t="shared" ca="1" si="31"/>
        <v>-0.17772446511139681</v>
      </c>
      <c r="D276">
        <f ca="1">SQRT(MAX('HE2'!B275,0))*($G$2+$H$2*A276)</f>
        <v>-2.0224950630885106</v>
      </c>
      <c r="E276">
        <f t="shared" ca="1" si="30"/>
        <v>-0.78802015731682129</v>
      </c>
      <c r="Q276">
        <f t="shared" ca="1" si="32"/>
        <v>-0.90597302872705221</v>
      </c>
      <c r="R276">
        <f t="shared" ca="1" si="32"/>
        <v>0.28675402280024642</v>
      </c>
    </row>
    <row r="277" spans="1:18" x14ac:dyDescent="0.45">
      <c r="A277">
        <f t="shared" ca="1" si="31"/>
        <v>-0.35432223187462231</v>
      </c>
      <c r="B277">
        <f t="shared" ca="1" si="31"/>
        <v>1.0032400640421166</v>
      </c>
      <c r="D277">
        <f ca="1">SQRT(MAX('HE2'!B276,0))*($G$2+$H$2*A277)</f>
        <v>-0.79186911337234278</v>
      </c>
      <c r="E277">
        <f t="shared" ca="1" si="30"/>
        <v>0.31848625292557203</v>
      </c>
      <c r="Q277">
        <f t="shared" ca="1" si="32"/>
        <v>-1.4725772870956539</v>
      </c>
      <c r="R277">
        <f t="shared" ca="1" si="32"/>
        <v>-0.58412268416857982</v>
      </c>
    </row>
    <row r="278" spans="1:18" x14ac:dyDescent="0.45">
      <c r="A278">
        <f t="shared" ca="1" si="31"/>
        <v>-0.29995118073590943</v>
      </c>
      <c r="B278">
        <f t="shared" ca="1" si="31"/>
        <v>-0.64540011713504764</v>
      </c>
      <c r="D278">
        <f ca="1">SQRT(MAX('HE2'!B277,0))*($G$2+$H$2*A278)</f>
        <v>-0.67994471283587654</v>
      </c>
      <c r="E278">
        <f t="shared" ca="1" si="30"/>
        <v>-0.62720101486975599</v>
      </c>
      <c r="Q278">
        <f t="shared" ca="1" si="32"/>
        <v>-1.7082156778504938</v>
      </c>
      <c r="R278">
        <f t="shared" ca="1" si="32"/>
        <v>0.47184426631986193</v>
      </c>
    </row>
    <row r="279" spans="1:18" x14ac:dyDescent="0.45">
      <c r="A279">
        <f t="shared" ca="1" si="31"/>
        <v>-0.9124078758034655</v>
      </c>
      <c r="B279">
        <f t="shared" ca="1" si="31"/>
        <v>0.97080594434368117</v>
      </c>
      <c r="D279">
        <f ca="1">SQRT(MAX('HE2'!B278,0))*($G$2+$H$2*A279)</f>
        <v>-1.965297533899899</v>
      </c>
      <c r="E279">
        <f t="shared" ca="1" si="30"/>
        <v>-0.14744273403656383</v>
      </c>
      <c r="Q279">
        <f t="shared" ca="1" si="32"/>
        <v>1.9139682047904834</v>
      </c>
      <c r="R279">
        <f t="shared" ca="1" si="32"/>
        <v>-0.78079716478246208</v>
      </c>
    </row>
    <row r="280" spans="1:18" x14ac:dyDescent="0.45">
      <c r="A280">
        <f t="shared" ca="1" si="31"/>
        <v>-0.51911896446996819</v>
      </c>
      <c r="B280">
        <f t="shared" ca="1" si="31"/>
        <v>-0.1974688744946565</v>
      </c>
      <c r="D280">
        <f ca="1">SQRT(MAX('HE2'!B279,0))*($G$2+$H$2*A280)</f>
        <v>-1.0989859148731433</v>
      </c>
      <c r="E280">
        <f t="shared" ca="1" si="30"/>
        <v>-0.53377649627276846</v>
      </c>
      <c r="Q280">
        <f t="shared" ca="1" si="32"/>
        <v>-0.87876361780718137</v>
      </c>
      <c r="R280">
        <f t="shared" ca="1" si="32"/>
        <v>-1.6666906854874932</v>
      </c>
    </row>
    <row r="281" spans="1:18" x14ac:dyDescent="0.45">
      <c r="A281">
        <f t="shared" ca="1" si="31"/>
        <v>1.0547369819842918</v>
      </c>
      <c r="B281">
        <f t="shared" ca="1" si="31"/>
        <v>0.14003010529294099</v>
      </c>
      <c r="D281">
        <f ca="1">SQRT(MAX('HE2'!B280,0))*($G$2+$H$2*A281)</f>
        <v>2.1313535582945486</v>
      </c>
      <c r="E281">
        <f t="shared" ca="1" si="30"/>
        <v>0.92780764876319799</v>
      </c>
      <c r="Q281">
        <f t="shared" ca="1" si="32"/>
        <v>-0.10026899134052809</v>
      </c>
      <c r="R281">
        <f t="shared" ca="1" si="32"/>
        <v>0.88957965784430537</v>
      </c>
    </row>
    <row r="282" spans="1:18" x14ac:dyDescent="0.45">
      <c r="A282">
        <f t="shared" ref="A282:B301" ca="1" si="33">NORMINV(RAND(),0,1)</f>
        <v>0.72689198378426545</v>
      </c>
      <c r="B282">
        <f t="shared" ca="1" si="33"/>
        <v>0.24416755455187555</v>
      </c>
      <c r="D282">
        <f ca="1">SQRT(MAX('HE2'!B281,0))*($G$2+$H$2*A282)</f>
        <v>1.5580714304461296</v>
      </c>
      <c r="E282">
        <f t="shared" ca="1" si="30"/>
        <v>0.72801411975853769</v>
      </c>
      <c r="Q282">
        <f t="shared" ref="Q282:R301" ca="1" si="34">NORMINV(RAND(),0,1)</f>
        <v>-0.10048193661069053</v>
      </c>
      <c r="R282">
        <f t="shared" ca="1" si="34"/>
        <v>-6.8337325708516E-2</v>
      </c>
    </row>
    <row r="283" spans="1:18" x14ac:dyDescent="0.45">
      <c r="A283">
        <f t="shared" ca="1" si="33"/>
        <v>0.77002124323272503</v>
      </c>
      <c r="B283">
        <f t="shared" ca="1" si="33"/>
        <v>-1.7115452914859282</v>
      </c>
      <c r="D283">
        <f ca="1">SQRT(MAX('HE2'!B282,0))*($G$2+$H$2*A283)</f>
        <v>1.7219897683882721</v>
      </c>
      <c r="E283">
        <f t="shared" ca="1" si="30"/>
        <v>-0.41091018030537663</v>
      </c>
      <c r="Q283">
        <f t="shared" ca="1" si="34"/>
        <v>0.98023086203946519</v>
      </c>
      <c r="R283">
        <f t="shared" ca="1" si="34"/>
        <v>-0.92990062999080647</v>
      </c>
    </row>
    <row r="284" spans="1:18" x14ac:dyDescent="0.45">
      <c r="A284">
        <f t="shared" ca="1" si="33"/>
        <v>0.17536414911858722</v>
      </c>
      <c r="B284">
        <f t="shared" ca="1" si="33"/>
        <v>-1.7965758439518663E-2</v>
      </c>
      <c r="D284">
        <f ca="1">SQRT(MAX('HE2'!B283,0))*($G$2+$H$2*A284)</f>
        <v>0.37837882666122985</v>
      </c>
      <c r="E284">
        <f t="shared" ca="1" si="30"/>
        <v>0.1295118642311586</v>
      </c>
      <c r="Q284">
        <f t="shared" ca="1" si="34"/>
        <v>-0.4803770458556379</v>
      </c>
      <c r="R284">
        <f t="shared" ca="1" si="34"/>
        <v>-0.62481310723246708</v>
      </c>
    </row>
    <row r="285" spans="1:18" x14ac:dyDescent="0.45">
      <c r="A285">
        <f t="shared" ca="1" si="33"/>
        <v>-0.498013978777059</v>
      </c>
      <c r="B285">
        <f t="shared" ca="1" si="33"/>
        <v>1.1526980737463359</v>
      </c>
      <c r="D285">
        <f ca="1">SQRT(MAX('HE2'!B284,0))*($G$2+$H$2*A285)</f>
        <v>-1.0769719191160683</v>
      </c>
      <c r="E285">
        <f t="shared" ca="1" si="30"/>
        <v>0.29320766122615416</v>
      </c>
      <c r="Q285">
        <f t="shared" ca="1" si="34"/>
        <v>-0.3903005949964804</v>
      </c>
      <c r="R285">
        <f t="shared" ca="1" si="34"/>
        <v>-2.9667430907900494</v>
      </c>
    </row>
    <row r="286" spans="1:18" x14ac:dyDescent="0.45">
      <c r="A286">
        <f t="shared" ca="1" si="33"/>
        <v>0.32466971953938245</v>
      </c>
      <c r="B286">
        <f t="shared" ca="1" si="33"/>
        <v>1.6924869042573234</v>
      </c>
      <c r="D286">
        <f ca="1">SQRT(MAX('HE2'!B285,0))*($G$2+$H$2*A286)</f>
        <v>0.71157571340935999</v>
      </c>
      <c r="E286">
        <f t="shared" ca="1" si="30"/>
        <v>1.2752279181858999</v>
      </c>
      <c r="Q286">
        <f t="shared" ca="1" si="34"/>
        <v>1.3791769699722269</v>
      </c>
      <c r="R286">
        <f t="shared" ca="1" si="34"/>
        <v>-0.69154902593318635</v>
      </c>
    </row>
    <row r="287" spans="1:18" x14ac:dyDescent="0.45">
      <c r="A287">
        <f t="shared" ca="1" si="33"/>
        <v>-3.32746878618441E-2</v>
      </c>
      <c r="B287">
        <f t="shared" ca="1" si="33"/>
        <v>0.44930075045054951</v>
      </c>
      <c r="D287">
        <f ca="1">SQRT(MAX('HE2'!B286,0))*($G$2+$H$2*A287)</f>
        <v>-7.8574630324440078E-2</v>
      </c>
      <c r="E287">
        <f t="shared" ca="1" si="30"/>
        <v>0.2429606999808544</v>
      </c>
      <c r="Q287">
        <f t="shared" ca="1" si="34"/>
        <v>-1.9770387471817685</v>
      </c>
      <c r="R287">
        <f t="shared" ca="1" si="34"/>
        <v>-2.0013981646447268</v>
      </c>
    </row>
    <row r="288" spans="1:18" x14ac:dyDescent="0.45">
      <c r="A288">
        <f t="shared" ca="1" si="33"/>
        <v>-0.77785353505421007</v>
      </c>
      <c r="B288">
        <f t="shared" ca="1" si="33"/>
        <v>0.5039099496570375</v>
      </c>
      <c r="D288">
        <f ca="1">SQRT(MAX('HE2'!B287,0))*($G$2+$H$2*A288)</f>
        <v>-1.8517229798761476</v>
      </c>
      <c r="E288">
        <f t="shared" ca="1" si="30"/>
        <v>-0.31993685824914564</v>
      </c>
      <c r="Q288">
        <f t="shared" ca="1" si="34"/>
        <v>-0.69683810873970331</v>
      </c>
      <c r="R288">
        <f t="shared" ca="1" si="34"/>
        <v>-0.52237656027996293</v>
      </c>
    </row>
    <row r="289" spans="1:18" x14ac:dyDescent="0.45">
      <c r="A289">
        <f t="shared" ca="1" si="33"/>
        <v>-1.4095112636742995</v>
      </c>
      <c r="B289">
        <f t="shared" ca="1" si="33"/>
        <v>-1.8917340052376379</v>
      </c>
      <c r="D289">
        <f ca="1">SQRT(MAX('HE2'!B288,0))*($G$2+$H$2*A289)</f>
        <v>-3.2618783597593146</v>
      </c>
      <c r="E289">
        <f t="shared" ca="1" si="30"/>
        <v>-2.2626494140820221</v>
      </c>
      <c r="Q289">
        <f t="shared" ca="1" si="34"/>
        <v>0.1863701779469594</v>
      </c>
      <c r="R289">
        <f t="shared" ca="1" si="34"/>
        <v>-0.35252771946648309</v>
      </c>
    </row>
    <row r="290" spans="1:18" x14ac:dyDescent="0.45">
      <c r="A290">
        <f t="shared" ca="1" si="33"/>
        <v>0.50750423604184713</v>
      </c>
      <c r="B290">
        <f t="shared" ca="1" si="33"/>
        <v>-1.7915687399217721</v>
      </c>
      <c r="D290">
        <f ca="1">SQRT(MAX('HE2'!B289,0))*($G$2+$H$2*A290)</f>
        <v>0.97722938421350991</v>
      </c>
      <c r="E290">
        <f t="shared" ca="1" si="30"/>
        <v>-0.66893785511958526</v>
      </c>
      <c r="Q290">
        <f t="shared" ca="1" si="34"/>
        <v>-6.6550906274658997E-2</v>
      </c>
      <c r="R290">
        <f t="shared" ca="1" si="34"/>
        <v>-0.80503555115091741</v>
      </c>
    </row>
    <row r="291" spans="1:18" x14ac:dyDescent="0.45">
      <c r="A291">
        <f t="shared" ca="1" si="33"/>
        <v>0.48876554816516987</v>
      </c>
      <c r="B291">
        <f t="shared" ca="1" si="33"/>
        <v>-0.17075662942714581</v>
      </c>
      <c r="D291">
        <f ca="1">SQRT(MAX('HE2'!B290,0))*($G$2+$H$2*A291)</f>
        <v>0.88485010726239688</v>
      </c>
      <c r="E291">
        <f t="shared" ca="1" si="30"/>
        <v>0.28855846087584847</v>
      </c>
      <c r="Q291">
        <f t="shared" ca="1" si="34"/>
        <v>-1.2195038598058558</v>
      </c>
      <c r="R291">
        <f t="shared" ca="1" si="34"/>
        <v>-1.0246081415466992</v>
      </c>
    </row>
    <row r="292" spans="1:18" x14ac:dyDescent="0.45">
      <c r="A292">
        <f t="shared" ca="1" si="33"/>
        <v>0.56312901394925319</v>
      </c>
      <c r="B292">
        <f t="shared" ca="1" si="33"/>
        <v>0.20860242549395208</v>
      </c>
      <c r="D292">
        <f ca="1">SQRT(MAX('HE2'!B291,0))*($G$2+$H$2*A292)</f>
        <v>1.0381913693389977</v>
      </c>
      <c r="E292">
        <f t="shared" ca="1" si="30"/>
        <v>0.57566466645577374</v>
      </c>
      <c r="Q292">
        <f t="shared" ca="1" si="34"/>
        <v>1.299229133954459</v>
      </c>
      <c r="R292">
        <f t="shared" ca="1" si="34"/>
        <v>-0.60525559083090175</v>
      </c>
    </row>
    <row r="293" spans="1:18" x14ac:dyDescent="0.45">
      <c r="A293">
        <f t="shared" ca="1" si="33"/>
        <v>-0.3619631297460959</v>
      </c>
      <c r="B293">
        <f t="shared" ca="1" si="33"/>
        <v>-7.6513771142678225E-2</v>
      </c>
      <c r="D293">
        <f ca="1">SQRT(MAX('HE2'!B292,0))*($G$2+$H$2*A293)</f>
        <v>-0.69432657173350709</v>
      </c>
      <c r="E293">
        <f t="shared" ca="1" si="30"/>
        <v>-0.33547876648248365</v>
      </c>
      <c r="Q293">
        <f t="shared" ca="1" si="34"/>
        <v>0.42637226767348346</v>
      </c>
      <c r="R293">
        <f t="shared" ca="1" si="34"/>
        <v>1.8319362641931354</v>
      </c>
    </row>
    <row r="294" spans="1:18" x14ac:dyDescent="0.45">
      <c r="A294">
        <f t="shared" ca="1" si="33"/>
        <v>0.55556175868978808</v>
      </c>
      <c r="B294">
        <f t="shared" ca="1" si="33"/>
        <v>1.1101189389779593</v>
      </c>
      <c r="D294">
        <f ca="1">SQRT(MAX('HE2'!B293,0))*($G$2+$H$2*A294)</f>
        <v>1.030893419800341</v>
      </c>
      <c r="E294">
        <f t="shared" ca="1" si="30"/>
        <v>1.110520770338606</v>
      </c>
      <c r="Q294">
        <f t="shared" ca="1" si="34"/>
        <v>-0.34685125682739887</v>
      </c>
      <c r="R294">
        <f t="shared" ca="1" si="34"/>
        <v>0.39373656914974481</v>
      </c>
    </row>
    <row r="295" spans="1:18" x14ac:dyDescent="0.45">
      <c r="A295">
        <f t="shared" ca="1" si="33"/>
        <v>1.4412914837866857</v>
      </c>
      <c r="B295">
        <f t="shared" ca="1" si="33"/>
        <v>0.62425485790285318</v>
      </c>
      <c r="D295">
        <f ca="1">SQRT(MAX('HE2'!B294,0))*($G$2+$H$2*A295)</f>
        <v>2.8907899458167146</v>
      </c>
      <c r="E295">
        <f t="shared" ca="1" si="30"/>
        <v>1.5275861017710604</v>
      </c>
      <c r="Q295">
        <f t="shared" ca="1" si="34"/>
        <v>1.5717383263778015</v>
      </c>
      <c r="R295">
        <f t="shared" ca="1" si="34"/>
        <v>0.89925003541563142</v>
      </c>
    </row>
    <row r="296" spans="1:18" x14ac:dyDescent="0.45">
      <c r="A296">
        <f t="shared" ca="1" si="33"/>
        <v>1.2834606600264644</v>
      </c>
      <c r="B296">
        <f t="shared" ca="1" si="33"/>
        <v>0.29860747097109325</v>
      </c>
      <c r="D296">
        <f ca="1">SQRT(MAX('HE2'!B295,0))*($G$2+$H$2*A296)</f>
        <v>2.838677889799829</v>
      </c>
      <c r="E296">
        <f t="shared" ca="1" si="30"/>
        <v>1.2059330106038275</v>
      </c>
      <c r="Q296">
        <f t="shared" ca="1" si="34"/>
        <v>0.51623058035334379</v>
      </c>
      <c r="R296">
        <f t="shared" ca="1" si="34"/>
        <v>2.7042779860606529</v>
      </c>
    </row>
    <row r="297" spans="1:18" x14ac:dyDescent="0.45">
      <c r="A297">
        <f t="shared" ca="1" si="33"/>
        <v>-0.35292638072252513</v>
      </c>
      <c r="B297">
        <f t="shared" ca="1" si="33"/>
        <v>-1.061195011741312</v>
      </c>
      <c r="D297">
        <f ca="1">SQRT(MAX('HE2'!B296,0))*($G$2+$H$2*A297)</f>
        <v>-0.83699202471860756</v>
      </c>
      <c r="E297">
        <f t="shared" ca="1" si="30"/>
        <v>-0.91905811162280715</v>
      </c>
      <c r="Q297">
        <f t="shared" ca="1" si="34"/>
        <v>-0.48490809110533628</v>
      </c>
      <c r="R297">
        <f t="shared" ca="1" si="34"/>
        <v>-0.92728522061004737</v>
      </c>
    </row>
    <row r="298" spans="1:18" x14ac:dyDescent="0.45">
      <c r="A298">
        <f t="shared" ca="1" si="33"/>
        <v>-0.93991369203196262</v>
      </c>
      <c r="B298">
        <f t="shared" ca="1" si="33"/>
        <v>1.409886909576743</v>
      </c>
      <c r="D298">
        <f ca="1">SQRT(MAX('HE2'!B297,0))*($G$2+$H$2*A298)</f>
        <v>-2.0780962506213099</v>
      </c>
      <c r="E298">
        <f t="shared" ca="1" si="30"/>
        <v>9.4001192120475419E-2</v>
      </c>
      <c r="Q298">
        <f t="shared" ca="1" si="34"/>
        <v>-2.0741041584281503</v>
      </c>
      <c r="R298">
        <f t="shared" ca="1" si="34"/>
        <v>0.10777298111808524</v>
      </c>
    </row>
    <row r="299" spans="1:18" x14ac:dyDescent="0.45">
      <c r="A299">
        <f t="shared" ca="1" si="33"/>
        <v>-0.87556189640620519</v>
      </c>
      <c r="B299">
        <f t="shared" ca="1" si="33"/>
        <v>0.76054876914537028</v>
      </c>
      <c r="D299">
        <f ca="1">SQRT(MAX('HE2'!B298,0))*($G$2+$H$2*A299)</f>
        <v>-1.9347984410958103</v>
      </c>
      <c r="E299">
        <f t="shared" ca="1" si="30"/>
        <v>-0.24412025563774209</v>
      </c>
      <c r="Q299">
        <f t="shared" ca="1" si="34"/>
        <v>-0.45701642239045442</v>
      </c>
      <c r="R299">
        <f t="shared" ca="1" si="34"/>
        <v>1.461514975900867</v>
      </c>
    </row>
    <row r="300" spans="1:18" x14ac:dyDescent="0.45">
      <c r="A300">
        <f t="shared" ca="1" si="33"/>
        <v>0.16560329366226101</v>
      </c>
      <c r="B300">
        <f t="shared" ca="1" si="33"/>
        <v>2.074965975718944</v>
      </c>
      <c r="D300">
        <f ca="1">SQRT(MAX('HE2'!B299,0))*($G$2+$H$2*A300)</f>
        <v>0.35725409147239023</v>
      </c>
      <c r="E300">
        <f t="shared" ca="1" si="30"/>
        <v>1.3774622203611748</v>
      </c>
      <c r="Q300">
        <f t="shared" ca="1" si="34"/>
        <v>-0.31632918979428637</v>
      </c>
      <c r="R300">
        <f t="shared" ca="1" si="34"/>
        <v>-0.81503844500230627</v>
      </c>
    </row>
    <row r="301" spans="1:18" x14ac:dyDescent="0.45">
      <c r="A301">
        <f t="shared" ca="1" si="33"/>
        <v>1.2123973981945722</v>
      </c>
      <c r="B301">
        <f t="shared" ca="1" si="33"/>
        <v>-1.123086407608475</v>
      </c>
      <c r="D301">
        <f ca="1">SQRT(MAX('HE2'!B300,0))*($G$2+$H$2*A301)</f>
        <v>2.8388121626029719</v>
      </c>
      <c r="E301">
        <f t="shared" ca="1" si="30"/>
        <v>0.29606607399057294</v>
      </c>
      <c r="Q301">
        <f t="shared" ca="1" si="34"/>
        <v>-0.81958611754701427</v>
      </c>
      <c r="R301">
        <f t="shared" ca="1" si="34"/>
        <v>-0.28204627796462944</v>
      </c>
    </row>
    <row r="302" spans="1:18" x14ac:dyDescent="0.45">
      <c r="A302">
        <f t="shared" ref="A302:B321" ca="1" si="35">NORMINV(RAND(),0,1)</f>
        <v>0.35843822634064471</v>
      </c>
      <c r="B302">
        <f t="shared" ca="1" si="35"/>
        <v>-1.9825860131092563</v>
      </c>
      <c r="D302">
        <f ca="1">SQRT(MAX('HE2'!B301,0))*($G$2+$H$2*A302)</f>
        <v>0.84906339455349733</v>
      </c>
      <c r="E302">
        <f t="shared" ca="1" si="30"/>
        <v>-0.90280102679303775</v>
      </c>
      <c r="Q302">
        <f t="shared" ref="Q302:R321" ca="1" si="36">NORMINV(RAND(),0,1)</f>
        <v>-0.28233858354027425</v>
      </c>
      <c r="R302">
        <f t="shared" ca="1" si="36"/>
        <v>-5.929987312683186E-2</v>
      </c>
    </row>
    <row r="303" spans="1:18" x14ac:dyDescent="0.45">
      <c r="A303">
        <f t="shared" ca="1" si="35"/>
        <v>-0.65487733551664984</v>
      </c>
      <c r="B303">
        <f t="shared" ca="1" si="35"/>
        <v>2.9243924020534953E-2</v>
      </c>
      <c r="D303">
        <f ca="1">SQRT(MAX('HE2'!B302,0))*($G$2+$H$2*A303)</f>
        <v>-1.4478016426764693</v>
      </c>
      <c r="E303">
        <f t="shared" ca="1" si="30"/>
        <v>-0.50635551400099887</v>
      </c>
      <c r="Q303">
        <f t="shared" ca="1" si="36"/>
        <v>1.5209878338447054</v>
      </c>
      <c r="R303">
        <f t="shared" ca="1" si="36"/>
        <v>-0.30968829792388802</v>
      </c>
    </row>
    <row r="304" spans="1:18" x14ac:dyDescent="0.45">
      <c r="A304">
        <f t="shared" ca="1" si="35"/>
        <v>-1.515534553179295</v>
      </c>
      <c r="B304">
        <f t="shared" ca="1" si="35"/>
        <v>-3.859722457593398E-2</v>
      </c>
      <c r="D304">
        <f ca="1">SQRT(MAX('HE2'!B303,0))*($G$2+$H$2*A304)</f>
        <v>-3.2093243972367111</v>
      </c>
      <c r="E304">
        <f t="shared" ca="1" si="30"/>
        <v>-1.2355859772889966</v>
      </c>
      <c r="Q304">
        <f t="shared" ca="1" si="36"/>
        <v>0.84805154533327298</v>
      </c>
      <c r="R304">
        <f t="shared" ca="1" si="36"/>
        <v>0.96520677392299392</v>
      </c>
    </row>
    <row r="305" spans="1:18" x14ac:dyDescent="0.45">
      <c r="A305">
        <f t="shared" ca="1" si="35"/>
        <v>0.9747083235093057</v>
      </c>
      <c r="B305">
        <f t="shared" ca="1" si="35"/>
        <v>-2.0188556177971755</v>
      </c>
      <c r="D305">
        <f ca="1">SQRT(MAX('HE2'!B304,0))*($G$2+$H$2*A305)</f>
        <v>1.8596098895486768</v>
      </c>
      <c r="E305">
        <f t="shared" ca="1" si="30"/>
        <v>-0.43154671187086047</v>
      </c>
      <c r="Q305">
        <f t="shared" ca="1" si="36"/>
        <v>-0.30611332880364073</v>
      </c>
      <c r="R305">
        <f t="shared" ca="1" si="36"/>
        <v>-9.4338898971034993E-2</v>
      </c>
    </row>
    <row r="306" spans="1:18" x14ac:dyDescent="0.45">
      <c r="A306">
        <f t="shared" ca="1" si="35"/>
        <v>-0.17254133918524495</v>
      </c>
      <c r="B306">
        <f t="shared" ca="1" si="35"/>
        <v>0.81551204852071102</v>
      </c>
      <c r="D306">
        <f ca="1">SQRT(MAX('HE2'!B305,0))*($G$2+$H$2*A306)</f>
        <v>-0.31582185563216253</v>
      </c>
      <c r="E306">
        <f t="shared" ca="1" si="30"/>
        <v>0.35127415776423054</v>
      </c>
      <c r="Q306">
        <f t="shared" ca="1" si="36"/>
        <v>0.10215315155117737</v>
      </c>
      <c r="R306">
        <f t="shared" ca="1" si="36"/>
        <v>-3.7293181065093703E-2</v>
      </c>
    </row>
    <row r="307" spans="1:18" x14ac:dyDescent="0.45">
      <c r="A307">
        <f t="shared" ca="1" si="35"/>
        <v>1.9342773815880112</v>
      </c>
      <c r="B307">
        <f t="shared" ca="1" si="35"/>
        <v>-0.84239277742630414</v>
      </c>
      <c r="D307">
        <f ca="1">SQRT(MAX('HE2'!B306,0))*($G$2+$H$2*A307)</f>
        <v>3.6220930256459858</v>
      </c>
      <c r="E307">
        <f t="shared" ca="1" si="30"/>
        <v>1.0419862388146266</v>
      </c>
      <c r="Q307">
        <f t="shared" ca="1" si="36"/>
        <v>-1.6734407963112607</v>
      </c>
      <c r="R307">
        <f t="shared" ca="1" si="36"/>
        <v>2.0419321454439143</v>
      </c>
    </row>
    <row r="308" spans="1:18" x14ac:dyDescent="0.45">
      <c r="A308">
        <f t="shared" ca="1" si="35"/>
        <v>-0.55932732882544856</v>
      </c>
      <c r="B308">
        <f t="shared" ca="1" si="35"/>
        <v>0.14299977626679219</v>
      </c>
      <c r="D308">
        <f ca="1">SQRT(MAX('HE2'!B307,0))*($G$2+$H$2*A308)</f>
        <v>-1.1259109806368799</v>
      </c>
      <c r="E308">
        <f t="shared" ca="1" si="30"/>
        <v>-0.36166199730028353</v>
      </c>
      <c r="Q308">
        <f t="shared" ca="1" si="36"/>
        <v>-0.18408386887753017</v>
      </c>
      <c r="R308">
        <f t="shared" ca="1" si="36"/>
        <v>9.8125674725702494E-2</v>
      </c>
    </row>
    <row r="309" spans="1:18" x14ac:dyDescent="0.45">
      <c r="A309">
        <f t="shared" ca="1" si="35"/>
        <v>-1.3315948744816251</v>
      </c>
      <c r="B309">
        <f t="shared" ca="1" si="35"/>
        <v>2.7345043911267766</v>
      </c>
      <c r="D309">
        <f ca="1">SQRT(MAX('HE2'!B308,0))*($G$2+$H$2*A309)</f>
        <v>-2.5899035949807918</v>
      </c>
      <c r="E309">
        <f t="shared" ca="1" si="30"/>
        <v>0.57542673509076558</v>
      </c>
      <c r="Q309">
        <f t="shared" ca="1" si="36"/>
        <v>1.1158625255468611</v>
      </c>
      <c r="R309">
        <f t="shared" ca="1" si="36"/>
        <v>1.3794426120918766</v>
      </c>
    </row>
    <row r="310" spans="1:18" x14ac:dyDescent="0.45">
      <c r="A310">
        <f t="shared" ca="1" si="35"/>
        <v>-1.0081328583276234</v>
      </c>
      <c r="B310">
        <f t="shared" ca="1" si="35"/>
        <v>-2.0774002255764579</v>
      </c>
      <c r="D310">
        <f ca="1">SQRT(MAX('HE2'!B309,0))*($G$2+$H$2*A310)</f>
        <v>-2.0346431601670516</v>
      </c>
      <c r="E310">
        <f t="shared" ca="1" si="30"/>
        <v>-2.0529464220079734</v>
      </c>
      <c r="Q310">
        <f t="shared" ca="1" si="36"/>
        <v>-0.23075960792760755</v>
      </c>
      <c r="R310">
        <f t="shared" ca="1" si="36"/>
        <v>-4.7931438078979892E-2</v>
      </c>
    </row>
    <row r="311" spans="1:18" x14ac:dyDescent="0.45">
      <c r="A311">
        <f t="shared" ca="1" si="35"/>
        <v>-1.4513593683611179</v>
      </c>
      <c r="B311">
        <f t="shared" ca="1" si="35"/>
        <v>-1.0257294043742258</v>
      </c>
      <c r="D311">
        <f ca="1">SQRT(MAX('HE2'!B310,0))*($G$2+$H$2*A311)</f>
        <v>-2.4194892683812768</v>
      </c>
      <c r="E311">
        <f t="shared" ca="1" si="30"/>
        <v>-1.7765251373134296</v>
      </c>
      <c r="Q311">
        <f t="shared" ca="1" si="36"/>
        <v>0.82789171595200817</v>
      </c>
      <c r="R311">
        <f t="shared" ca="1" si="36"/>
        <v>-0.64239960623570114</v>
      </c>
    </row>
    <row r="312" spans="1:18" x14ac:dyDescent="0.45">
      <c r="A312">
        <f t="shared" ca="1" si="35"/>
        <v>0.50862306999401441</v>
      </c>
      <c r="B312">
        <f t="shared" ca="1" si="35"/>
        <v>2.0346256327083947E-2</v>
      </c>
      <c r="D312">
        <f ca="1">SQRT(MAX('HE2'!B311,0))*($G$2+$H$2*A312)</f>
        <v>0.69465267477375647</v>
      </c>
      <c r="E312">
        <f t="shared" ca="1" si="30"/>
        <v>0.41910620979146196</v>
      </c>
      <c r="Q312">
        <f t="shared" ca="1" si="36"/>
        <v>0.31757717565437926</v>
      </c>
      <c r="R312">
        <f t="shared" ca="1" si="36"/>
        <v>0.42510359859196767</v>
      </c>
    </row>
    <row r="313" spans="1:18" x14ac:dyDescent="0.45">
      <c r="A313">
        <f t="shared" ca="1" si="35"/>
        <v>-0.23647150367707684</v>
      </c>
      <c r="B313">
        <f t="shared" ca="1" si="35"/>
        <v>-0.96952626587854207</v>
      </c>
      <c r="D313">
        <f ca="1">SQRT(MAX('HE2'!B312,0))*($G$2+$H$2*A313)</f>
        <v>-0.33691653257515297</v>
      </c>
      <c r="E313">
        <f t="shared" ca="1" si="30"/>
        <v>-0.77089296246878658</v>
      </c>
      <c r="Q313">
        <f t="shared" ca="1" si="36"/>
        <v>0.61653391546453784</v>
      </c>
      <c r="R313">
        <f t="shared" ca="1" si="36"/>
        <v>-0.32622501822314753</v>
      </c>
    </row>
    <row r="314" spans="1:18" x14ac:dyDescent="0.45">
      <c r="A314">
        <f t="shared" ca="1" si="35"/>
        <v>0.45566479021671918</v>
      </c>
      <c r="B314">
        <f t="shared" ca="1" si="35"/>
        <v>2.0990205501674328</v>
      </c>
      <c r="D314">
        <f ca="1">SQRT(MAX('HE2'!B313,0))*($G$2+$H$2*A314)</f>
        <v>0.5923859738510695</v>
      </c>
      <c r="E314">
        <f t="shared" ca="1" si="30"/>
        <v>1.6239441622738346</v>
      </c>
      <c r="Q314">
        <f t="shared" ca="1" si="36"/>
        <v>1.8407307377501527</v>
      </c>
      <c r="R314">
        <f t="shared" ca="1" si="36"/>
        <v>-4.2149988203710666E-2</v>
      </c>
    </row>
    <row r="315" spans="1:18" x14ac:dyDescent="0.45">
      <c r="A315">
        <f t="shared" ca="1" si="35"/>
        <v>-0.27780281133915852</v>
      </c>
      <c r="B315">
        <f t="shared" ca="1" si="35"/>
        <v>0.53636758100512771</v>
      </c>
      <c r="D315">
        <f ca="1">SQRT(MAX('HE2'!B314,0))*($G$2+$H$2*A315)</f>
        <v>-0.42313217461639668</v>
      </c>
      <c r="E315">
        <f t="shared" ca="1" si="30"/>
        <v>9.9578299531749737E-2</v>
      </c>
      <c r="Q315">
        <f t="shared" ca="1" si="36"/>
        <v>-0.53796471610157282</v>
      </c>
      <c r="R315">
        <f t="shared" ca="1" si="36"/>
        <v>0.38848066047990476</v>
      </c>
    </row>
    <row r="316" spans="1:18" x14ac:dyDescent="0.45">
      <c r="A316">
        <f t="shared" ca="1" si="35"/>
        <v>-7.1409963104052294E-3</v>
      </c>
      <c r="B316">
        <f t="shared" ca="1" si="35"/>
        <v>1.1007418694631264</v>
      </c>
      <c r="D316">
        <f ca="1">SQRT(MAX('HE2'!B315,0))*($G$2+$H$2*A316)</f>
        <v>-1.0945359671476956E-2</v>
      </c>
      <c r="E316">
        <f t="shared" ca="1" si="30"/>
        <v>0.65473232462955144</v>
      </c>
      <c r="Q316">
        <f t="shared" ca="1" si="36"/>
        <v>2.198730811015885</v>
      </c>
      <c r="R316">
        <f t="shared" ca="1" si="36"/>
        <v>6.2630063526419116E-2</v>
      </c>
    </row>
    <row r="317" spans="1:18" x14ac:dyDescent="0.45">
      <c r="A317">
        <f t="shared" ca="1" si="35"/>
        <v>1.5175967106726322</v>
      </c>
      <c r="B317">
        <f t="shared" ca="1" si="35"/>
        <v>-0.92635358191134454</v>
      </c>
      <c r="D317">
        <f ca="1">SQRT(MAX('HE2'!B316,0))*($G$2+$H$2*A317)</f>
        <v>2.4628426666485166</v>
      </c>
      <c r="E317">
        <f t="shared" ca="1" si="30"/>
        <v>0.65826521939129934</v>
      </c>
      <c r="Q317">
        <f t="shared" ca="1" si="36"/>
        <v>0.18859826065597113</v>
      </c>
      <c r="R317">
        <f t="shared" ca="1" si="36"/>
        <v>7.9666643998076297E-2</v>
      </c>
    </row>
    <row r="318" spans="1:18" x14ac:dyDescent="0.45">
      <c r="A318">
        <f t="shared" ca="1" si="35"/>
        <v>0.67622936377076914</v>
      </c>
      <c r="B318">
        <f t="shared" ca="1" si="35"/>
        <v>-0.76643604752509198</v>
      </c>
      <c r="D318">
        <f ca="1">SQRT(MAX('HE2'!B317,0))*($G$2+$H$2*A318)</f>
        <v>1.1578620916690776</v>
      </c>
      <c r="E318">
        <f t="shared" ca="1" si="30"/>
        <v>8.1121862501560282E-2</v>
      </c>
      <c r="Q318">
        <f t="shared" ca="1" si="36"/>
        <v>0.10669613421275928</v>
      </c>
      <c r="R318">
        <f t="shared" ca="1" si="36"/>
        <v>-0.74135710285239476</v>
      </c>
    </row>
    <row r="319" spans="1:18" x14ac:dyDescent="0.45">
      <c r="A319">
        <f t="shared" ca="1" si="35"/>
        <v>-1.0852412875417408</v>
      </c>
      <c r="B319">
        <f t="shared" ca="1" si="35"/>
        <v>-1.361446659922313</v>
      </c>
      <c r="D319">
        <f ca="1">SQRT(MAX('HE2'!B318,0))*($G$2+$H$2*A319)</f>
        <v>-1.8623967882517154</v>
      </c>
      <c r="E319">
        <f t="shared" ca="1" si="30"/>
        <v>-1.6850610259867802</v>
      </c>
      <c r="Q319">
        <f t="shared" ca="1" si="36"/>
        <v>0.98101744603636554</v>
      </c>
      <c r="R319">
        <f t="shared" ca="1" si="36"/>
        <v>0.76405296538442502</v>
      </c>
    </row>
    <row r="320" spans="1:18" x14ac:dyDescent="0.45">
      <c r="A320">
        <f t="shared" ca="1" si="35"/>
        <v>-0.60847415918061232</v>
      </c>
      <c r="B320">
        <f t="shared" ca="1" si="35"/>
        <v>0.14902669776817365</v>
      </c>
      <c r="D320">
        <f ca="1">SQRT(MAX('HE2'!B319,0))*($G$2+$H$2*A320)</f>
        <v>-0.87096539126208994</v>
      </c>
      <c r="E320">
        <f t="shared" ca="1" si="30"/>
        <v>-0.39736330868358571</v>
      </c>
      <c r="Q320">
        <f t="shared" ca="1" si="36"/>
        <v>-0.35784584876075126</v>
      </c>
      <c r="R320">
        <f t="shared" ca="1" si="36"/>
        <v>0.50073142850357411</v>
      </c>
    </row>
    <row r="321" spans="1:18" x14ac:dyDescent="0.45">
      <c r="A321">
        <f t="shared" ca="1" si="35"/>
        <v>1.4178420344802267</v>
      </c>
      <c r="B321">
        <f t="shared" ca="1" si="35"/>
        <v>-0.50537860937387857</v>
      </c>
      <c r="D321">
        <f ca="1">SQRT(MAX('HE2'!B320,0))*($G$2+$H$2*A321)</f>
        <v>1.9375941713514462</v>
      </c>
      <c r="E321">
        <f t="shared" ca="1" si="30"/>
        <v>0.83104646195985432</v>
      </c>
      <c r="Q321">
        <f t="shared" ca="1" si="36"/>
        <v>-0.3902991772133898</v>
      </c>
      <c r="R321">
        <f t="shared" ca="1" si="36"/>
        <v>0.693422724311062</v>
      </c>
    </row>
    <row r="322" spans="1:18" x14ac:dyDescent="0.45">
      <c r="A322">
        <f t="shared" ref="A322:B341" ca="1" si="37">NORMINV(RAND(),0,1)</f>
        <v>0.58455000480424435</v>
      </c>
      <c r="B322">
        <f t="shared" ca="1" si="37"/>
        <v>-0.27794108014080937</v>
      </c>
      <c r="D322">
        <f ca="1">SQRT(MAX('HE2'!B321,0))*($G$2+$H$2*A322)</f>
        <v>0.86725724860318776</v>
      </c>
      <c r="E322">
        <f t="shared" ref="E322:E385" ca="1" si="38">$I$2+$J$2*(A322*$K$2 + B322*POWER(1-$K$2*$K$2, 0.5))</f>
        <v>0.30087535575890989</v>
      </c>
      <c r="Q322">
        <f t="shared" ref="Q322:R341" ca="1" si="39">NORMINV(RAND(),0,1)</f>
        <v>9.2389711874942028E-3</v>
      </c>
      <c r="R322">
        <f t="shared" ca="1" si="39"/>
        <v>-9.5973658336871534E-2</v>
      </c>
    </row>
    <row r="323" spans="1:18" x14ac:dyDescent="0.45">
      <c r="A323">
        <f t="shared" ca="1" si="37"/>
        <v>0.46397816625768429</v>
      </c>
      <c r="B323">
        <f t="shared" ca="1" si="37"/>
        <v>-1.2887243934731136</v>
      </c>
      <c r="D323">
        <f ca="1">SQRT(MAX('HE2'!B322,0))*($G$2+$H$2*A323)</f>
        <v>0.70691240850174464</v>
      </c>
      <c r="E323">
        <f t="shared" ca="1" si="38"/>
        <v>-0.40205210307772055</v>
      </c>
      <c r="Q323">
        <f t="shared" ca="1" si="39"/>
        <v>0.8331544941738126</v>
      </c>
      <c r="R323">
        <f t="shared" ca="1" si="39"/>
        <v>9.4125395656582359E-2</v>
      </c>
    </row>
    <row r="324" spans="1:18" x14ac:dyDescent="0.45">
      <c r="A324">
        <f t="shared" ca="1" si="37"/>
        <v>0.6351809140935849</v>
      </c>
      <c r="B324">
        <f t="shared" ca="1" si="37"/>
        <v>-0.5143770700413387</v>
      </c>
      <c r="D324">
        <f ca="1">SQRT(MAX('HE2'!B323,0))*($G$2+$H$2*A324)</f>
        <v>0.92514239889120475</v>
      </c>
      <c r="E324">
        <f t="shared" ca="1" si="38"/>
        <v>0.19951848925006477</v>
      </c>
      <c r="Q324">
        <f t="shared" ca="1" si="39"/>
        <v>-1.3062154117262297</v>
      </c>
      <c r="R324">
        <f t="shared" ca="1" si="39"/>
        <v>1.0871813019545389</v>
      </c>
    </row>
    <row r="325" spans="1:18" x14ac:dyDescent="0.45">
      <c r="A325">
        <f t="shared" ca="1" si="37"/>
        <v>1.2833585685333531</v>
      </c>
      <c r="B325">
        <f t="shared" ca="1" si="37"/>
        <v>0.48956043327316456</v>
      </c>
      <c r="D325">
        <f ca="1">SQRT(MAX('HE2'!B324,0))*($G$2+$H$2*A325)</f>
        <v>1.9019782809450432</v>
      </c>
      <c r="E325">
        <f t="shared" ca="1" si="38"/>
        <v>1.3204231147905812</v>
      </c>
      <c r="Q325">
        <f t="shared" ca="1" si="39"/>
        <v>1.8607127347855308</v>
      </c>
      <c r="R325">
        <f t="shared" ca="1" si="39"/>
        <v>-1.1956416501206162</v>
      </c>
    </row>
    <row r="326" spans="1:18" x14ac:dyDescent="0.45">
      <c r="A326">
        <f t="shared" ca="1" si="37"/>
        <v>-0.4630228691962805</v>
      </c>
      <c r="B326">
        <f t="shared" ca="1" si="37"/>
        <v>0.761943125570824</v>
      </c>
      <c r="D326">
        <f ca="1">SQRT(MAX('HE2'!B325,0))*($G$2+$H$2*A326)</f>
        <v>-0.77060010004418666</v>
      </c>
      <c r="E326">
        <f t="shared" ca="1" si="38"/>
        <v>8.6747579985469891E-2</v>
      </c>
      <c r="Q326">
        <f t="shared" ca="1" si="39"/>
        <v>0.46576906677123187</v>
      </c>
      <c r="R326">
        <f t="shared" ca="1" si="39"/>
        <v>-0.92832183431892346</v>
      </c>
    </row>
    <row r="327" spans="1:18" x14ac:dyDescent="0.45">
      <c r="A327">
        <f t="shared" ca="1" si="37"/>
        <v>0.60405575342735351</v>
      </c>
      <c r="B327">
        <f t="shared" ca="1" si="37"/>
        <v>-1.3800742642358528</v>
      </c>
      <c r="D327">
        <f ca="1">SQRT(MAX('HE2'!B326,0))*($G$2+$H$2*A327)</f>
        <v>1.0086128352050285</v>
      </c>
      <c r="E327">
        <f t="shared" ca="1" si="38"/>
        <v>-0.34479995579962863</v>
      </c>
      <c r="Q327">
        <f t="shared" ca="1" si="39"/>
        <v>-0.32420609676898954</v>
      </c>
      <c r="R327">
        <f t="shared" ca="1" si="39"/>
        <v>-0.71034689822412567</v>
      </c>
    </row>
    <row r="328" spans="1:18" x14ac:dyDescent="0.45">
      <c r="A328">
        <f t="shared" ca="1" si="37"/>
        <v>-0.75121590799486648</v>
      </c>
      <c r="B328">
        <f t="shared" ca="1" si="37"/>
        <v>-1.7768244046030877</v>
      </c>
      <c r="D328">
        <f ca="1">SQRT(MAX('HE2'!B327,0))*($G$2+$H$2*A328)</f>
        <v>-1.208921905323479</v>
      </c>
      <c r="E328">
        <f t="shared" ca="1" si="38"/>
        <v>-1.6670673691577456</v>
      </c>
      <c r="Q328">
        <f t="shared" ca="1" si="39"/>
        <v>0.26913221142288529</v>
      </c>
      <c r="R328">
        <f t="shared" ca="1" si="39"/>
        <v>0.37035973954510787</v>
      </c>
    </row>
    <row r="329" spans="1:18" x14ac:dyDescent="0.45">
      <c r="A329">
        <f t="shared" ca="1" si="37"/>
        <v>-0.59496235164114086</v>
      </c>
      <c r="B329">
        <f t="shared" ca="1" si="37"/>
        <v>0.23359478516007837</v>
      </c>
      <c r="D329">
        <f ca="1">SQRT(MAX('HE2'!B328,0))*($G$2+$H$2*A329)</f>
        <v>-0.79007758520530336</v>
      </c>
      <c r="E329">
        <f t="shared" ca="1" si="38"/>
        <v>-0.33581301021686571</v>
      </c>
      <c r="Q329">
        <f t="shared" ca="1" si="39"/>
        <v>-0.2859557260625103</v>
      </c>
      <c r="R329">
        <f t="shared" ca="1" si="39"/>
        <v>0.95863814007195858</v>
      </c>
    </row>
    <row r="330" spans="1:18" x14ac:dyDescent="0.45">
      <c r="A330">
        <f t="shared" ca="1" si="37"/>
        <v>0.41725431433694077</v>
      </c>
      <c r="B330">
        <f t="shared" ca="1" si="37"/>
        <v>0.13287870867038004</v>
      </c>
      <c r="D330">
        <f ca="1">SQRT(MAX('HE2'!B329,0))*($G$2+$H$2*A330)</f>
        <v>0.53184068449873789</v>
      </c>
      <c r="E330">
        <f t="shared" ca="1" si="38"/>
        <v>0.41353067667178067</v>
      </c>
      <c r="Q330">
        <f t="shared" ca="1" si="39"/>
        <v>-1.4611661454457641</v>
      </c>
      <c r="R330">
        <f t="shared" ca="1" si="39"/>
        <v>-1.1527555512647367</v>
      </c>
    </row>
    <row r="331" spans="1:18" x14ac:dyDescent="0.45">
      <c r="A331">
        <f t="shared" ca="1" si="37"/>
        <v>-0.16287766873629511</v>
      </c>
      <c r="B331">
        <f t="shared" ca="1" si="37"/>
        <v>-0.76972182026441072</v>
      </c>
      <c r="D331">
        <f ca="1">SQRT(MAX('HE2'!B330,0))*($G$2+$H$2*A331)</f>
        <v>-0.21734005166266196</v>
      </c>
      <c r="E331">
        <f t="shared" ca="1" si="38"/>
        <v>-0.59213522714768241</v>
      </c>
      <c r="Q331">
        <f t="shared" ca="1" si="39"/>
        <v>-0.32823641357161965</v>
      </c>
      <c r="R331">
        <f t="shared" ca="1" si="39"/>
        <v>-1.3947551948328865</v>
      </c>
    </row>
    <row r="332" spans="1:18" x14ac:dyDescent="0.45">
      <c r="A332">
        <f t="shared" ca="1" si="37"/>
        <v>1.1723842174224408</v>
      </c>
      <c r="B332">
        <f t="shared" ca="1" si="37"/>
        <v>0.55627620778054321</v>
      </c>
      <c r="D332">
        <f ca="1">SQRT(MAX('HE2'!B331,0))*($G$2+$H$2*A332)</f>
        <v>1.4540290807122407</v>
      </c>
      <c r="E332">
        <f t="shared" ca="1" si="38"/>
        <v>1.2716730986062785</v>
      </c>
      <c r="Q332">
        <f t="shared" ca="1" si="39"/>
        <v>-1.9014653860060033</v>
      </c>
      <c r="R332">
        <f t="shared" ca="1" si="39"/>
        <v>-1.3812964460530128</v>
      </c>
    </row>
    <row r="333" spans="1:18" x14ac:dyDescent="0.45">
      <c r="A333">
        <f t="shared" ca="1" si="37"/>
        <v>0.37765726530357968</v>
      </c>
      <c r="B333">
        <f t="shared" ca="1" si="37"/>
        <v>0.53345975408605451</v>
      </c>
      <c r="D333">
        <f ca="1">SQRT(MAX('HE2'!B332,0))*($G$2+$H$2*A333)</f>
        <v>0.53553243515030036</v>
      </c>
      <c r="E333">
        <f t="shared" ca="1" si="38"/>
        <v>0.62220166469449634</v>
      </c>
      <c r="Q333">
        <f t="shared" ca="1" si="39"/>
        <v>1.5261558697954922</v>
      </c>
      <c r="R333">
        <f t="shared" ca="1" si="39"/>
        <v>-1.7105377873035115</v>
      </c>
    </row>
    <row r="334" spans="1:18" x14ac:dyDescent="0.45">
      <c r="A334">
        <f t="shared" ca="1" si="37"/>
        <v>0.59316336244460366</v>
      </c>
      <c r="B334">
        <f t="shared" ca="1" si="37"/>
        <v>-0.40361303078193772</v>
      </c>
      <c r="D334">
        <f ca="1">SQRT(MAX('HE2'!B333,0))*($G$2+$H$2*A334)</f>
        <v>0.89281932969631383</v>
      </c>
      <c r="E334">
        <f t="shared" ca="1" si="38"/>
        <v>0.23236287148652035</v>
      </c>
      <c r="Q334">
        <f t="shared" ca="1" si="39"/>
        <v>0.42465397503340868</v>
      </c>
      <c r="R334">
        <f t="shared" ca="1" si="39"/>
        <v>2.2745977052706072</v>
      </c>
    </row>
    <row r="335" spans="1:18" x14ac:dyDescent="0.45">
      <c r="A335">
        <f t="shared" ca="1" si="37"/>
        <v>-0.9209828609714712</v>
      </c>
      <c r="B335">
        <f t="shared" ca="1" si="37"/>
        <v>2.012957155516264E-2</v>
      </c>
      <c r="D335">
        <f ca="1">SQRT(MAX('HE2'!B334,0))*($G$2+$H$2*A335)</f>
        <v>-1.4134781372111551</v>
      </c>
      <c r="E335">
        <f t="shared" ca="1" si="38"/>
        <v>-0.7247085458440794</v>
      </c>
      <c r="Q335">
        <f t="shared" ca="1" si="39"/>
        <v>0.52604107251484455</v>
      </c>
      <c r="R335">
        <f t="shared" ca="1" si="39"/>
        <v>0.34078147825360039</v>
      </c>
    </row>
    <row r="336" spans="1:18" x14ac:dyDescent="0.45">
      <c r="A336">
        <f t="shared" ca="1" si="37"/>
        <v>-1.1672478709716922</v>
      </c>
      <c r="B336">
        <f t="shared" ca="1" si="37"/>
        <v>0.25650844764584102</v>
      </c>
      <c r="D336">
        <f ca="1">SQRT(MAX('HE2'!B335,0))*($G$2+$H$2*A336)</f>
        <v>-1.6527758098941752</v>
      </c>
      <c r="E336">
        <f t="shared" ca="1" si="38"/>
        <v>-0.77989322818984919</v>
      </c>
      <c r="Q336">
        <f t="shared" ca="1" si="39"/>
        <v>0.74628489491267391</v>
      </c>
      <c r="R336">
        <f t="shared" ca="1" si="39"/>
        <v>-6.0050288355270424E-2</v>
      </c>
    </row>
    <row r="337" spans="1:18" x14ac:dyDescent="0.45">
      <c r="A337">
        <f t="shared" ca="1" si="37"/>
        <v>-1.2740628568761911</v>
      </c>
      <c r="B337">
        <f t="shared" ca="1" si="37"/>
        <v>-5.9401915583323734E-3</v>
      </c>
      <c r="D337">
        <f ca="1">SQRT(MAX('HE2'!B336,0))*($G$2+$H$2*A337)</f>
        <v>-1.6434035625841983</v>
      </c>
      <c r="E337">
        <f t="shared" ca="1" si="38"/>
        <v>-1.0228144004359523</v>
      </c>
      <c r="Q337">
        <f t="shared" ca="1" si="39"/>
        <v>-0.25059766301931607</v>
      </c>
      <c r="R337">
        <f t="shared" ca="1" si="39"/>
        <v>8.8424532163980767E-3</v>
      </c>
    </row>
    <row r="338" spans="1:18" x14ac:dyDescent="0.45">
      <c r="A338">
        <f t="shared" ca="1" si="37"/>
        <v>0.77693486666332501</v>
      </c>
      <c r="B338">
        <f t="shared" ca="1" si="37"/>
        <v>-0.4385827281463916</v>
      </c>
      <c r="D338">
        <f ca="1">SQRT(MAX('HE2'!B337,0))*($G$2+$H$2*A338)</f>
        <v>0.87384176954761306</v>
      </c>
      <c r="E338">
        <f t="shared" ca="1" si="38"/>
        <v>0.35839825644282519</v>
      </c>
      <c r="Q338">
        <f t="shared" ca="1" si="39"/>
        <v>0.59728948945566074</v>
      </c>
      <c r="R338">
        <f t="shared" ca="1" si="39"/>
        <v>-1.7984931965196227</v>
      </c>
    </row>
    <row r="339" spans="1:18" x14ac:dyDescent="0.45">
      <c r="A339">
        <f t="shared" ca="1" si="37"/>
        <v>-1.8628474393441337</v>
      </c>
      <c r="B339">
        <f t="shared" ca="1" si="37"/>
        <v>0.38503040726178522</v>
      </c>
      <c r="D339">
        <f ca="1">SQRT(MAX('HE2'!B338,0))*($G$2+$H$2*A339)</f>
        <v>-2.1969875385112192</v>
      </c>
      <c r="E339">
        <f t="shared" ca="1" si="38"/>
        <v>-1.2592597071182361</v>
      </c>
      <c r="Q339">
        <f t="shared" ca="1" si="39"/>
        <v>-1.0468596773374388</v>
      </c>
      <c r="R339">
        <f t="shared" ca="1" si="39"/>
        <v>-1.2258094353544611</v>
      </c>
    </row>
    <row r="340" spans="1:18" x14ac:dyDescent="0.45">
      <c r="A340">
        <f t="shared" ca="1" si="37"/>
        <v>-1.5697848000082482</v>
      </c>
      <c r="B340">
        <f t="shared" ca="1" si="37"/>
        <v>1.3285588620782665</v>
      </c>
      <c r="D340">
        <f ca="1">SQRT(MAX('HE2'!B339,0))*($G$2+$H$2*A340)</f>
        <v>-1.5282841345527729</v>
      </c>
      <c r="E340">
        <f t="shared" ca="1" si="38"/>
        <v>-0.45869252275963879</v>
      </c>
      <c r="Q340">
        <f t="shared" ca="1" si="39"/>
        <v>0.98683901577687683</v>
      </c>
      <c r="R340">
        <f t="shared" ca="1" si="39"/>
        <v>-1.5965102150416766</v>
      </c>
    </row>
    <row r="341" spans="1:18" x14ac:dyDescent="0.45">
      <c r="A341">
        <f t="shared" ca="1" si="37"/>
        <v>3.0585180921462407</v>
      </c>
      <c r="B341">
        <f t="shared" ca="1" si="37"/>
        <v>-1.51529307174294</v>
      </c>
      <c r="D341">
        <f ca="1">SQRT(MAX('HE2'!B340,0))*($G$2+$H$2*A341)</f>
        <v>2.7783169896415774</v>
      </c>
      <c r="E341">
        <f t="shared" ca="1" si="38"/>
        <v>1.5376386306712289</v>
      </c>
      <c r="Q341">
        <f t="shared" ca="1" si="39"/>
        <v>0.25961524331208891</v>
      </c>
      <c r="R341">
        <f t="shared" ca="1" si="39"/>
        <v>1.8016115756762445</v>
      </c>
    </row>
    <row r="342" spans="1:18" x14ac:dyDescent="0.45">
      <c r="A342">
        <f t="shared" ref="A342:B361" ca="1" si="40">NORMINV(RAND(),0,1)</f>
        <v>-0.784967274733951</v>
      </c>
      <c r="B342">
        <f t="shared" ca="1" si="40"/>
        <v>0.75069369094764049</v>
      </c>
      <c r="D342">
        <f ca="1">SQRT(MAX('HE2'!B341,0))*($G$2+$H$2*A342)</f>
        <v>-0.8804107327711006</v>
      </c>
      <c r="E342">
        <f t="shared" ca="1" si="38"/>
        <v>-0.17755760521857661</v>
      </c>
      <c r="Q342">
        <f t="shared" ref="Q342:R361" ca="1" si="41">NORMINV(RAND(),0,1)</f>
        <v>9.7303999735702751E-2</v>
      </c>
      <c r="R342">
        <f t="shared" ca="1" si="41"/>
        <v>-1.2548533324559001</v>
      </c>
    </row>
    <row r="343" spans="1:18" x14ac:dyDescent="0.45">
      <c r="A343">
        <f t="shared" ca="1" si="40"/>
        <v>-2.1386617294511128</v>
      </c>
      <c r="B343">
        <f t="shared" ca="1" si="40"/>
        <v>1.1183479477093481</v>
      </c>
      <c r="D343">
        <f ca="1">SQRT(MAX('HE2'!B342,0))*($G$2+$H$2*A343)</f>
        <v>-2.346031835046682</v>
      </c>
      <c r="E343">
        <f t="shared" ca="1" si="38"/>
        <v>-1.0399206149352818</v>
      </c>
      <c r="Q343">
        <f t="shared" ca="1" si="41"/>
        <v>-0.92412699371269302</v>
      </c>
      <c r="R343">
        <f t="shared" ca="1" si="41"/>
        <v>1.0436114930459857</v>
      </c>
    </row>
    <row r="344" spans="1:18" x14ac:dyDescent="0.45">
      <c r="A344">
        <f t="shared" ca="1" si="40"/>
        <v>-0.89182413590869714</v>
      </c>
      <c r="B344">
        <f t="shared" ca="1" si="40"/>
        <v>-0.92324970403663453</v>
      </c>
      <c r="D344">
        <f ca="1">SQRT(MAX('HE2'!B343,0))*($G$2+$H$2*A344)</f>
        <v>-0.83054740401872074</v>
      </c>
      <c r="E344">
        <f t="shared" ca="1" si="38"/>
        <v>-1.2674091311489382</v>
      </c>
      <c r="Q344">
        <f t="shared" ca="1" si="41"/>
        <v>-1.9140150186990939</v>
      </c>
      <c r="R344">
        <f t="shared" ca="1" si="41"/>
        <v>1.6304559482051735</v>
      </c>
    </row>
    <row r="345" spans="1:18" x14ac:dyDescent="0.45">
      <c r="A345">
        <f t="shared" ca="1" si="40"/>
        <v>1.3490794382001448</v>
      </c>
      <c r="B345">
        <f t="shared" ca="1" si="40"/>
        <v>-1.9164146533160962</v>
      </c>
      <c r="D345">
        <f ca="1">SQRT(MAX('HE2'!B344,0))*($G$2+$H$2*A345)</f>
        <v>0.97854882145889421</v>
      </c>
      <c r="E345">
        <f t="shared" ca="1" si="38"/>
        <v>-7.058524142954159E-2</v>
      </c>
      <c r="Q345">
        <f t="shared" ca="1" si="41"/>
        <v>9.553673681784515E-2</v>
      </c>
      <c r="R345">
        <f t="shared" ca="1" si="41"/>
        <v>0.94591348797627528</v>
      </c>
    </row>
    <row r="346" spans="1:18" x14ac:dyDescent="0.45">
      <c r="A346">
        <f t="shared" ca="1" si="40"/>
        <v>1.0160319232611332</v>
      </c>
      <c r="B346">
        <f t="shared" ca="1" si="40"/>
        <v>0.22571106038514899</v>
      </c>
      <c r="D346">
        <f ca="1">SQRT(MAX('HE2'!B345,0))*($G$2+$H$2*A346)</f>
        <v>0.74003966425571732</v>
      </c>
      <c r="E346">
        <f t="shared" ca="1" si="38"/>
        <v>0.94825217483999591</v>
      </c>
      <c r="Q346">
        <f t="shared" ca="1" si="41"/>
        <v>-0.50754873595650407</v>
      </c>
      <c r="R346">
        <f t="shared" ca="1" si="41"/>
        <v>-1.3793348510718233</v>
      </c>
    </row>
    <row r="347" spans="1:18" x14ac:dyDescent="0.45">
      <c r="A347">
        <f t="shared" ca="1" si="40"/>
        <v>1.7714322878826574</v>
      </c>
      <c r="B347">
        <f t="shared" ca="1" si="40"/>
        <v>-1.2494810634918359</v>
      </c>
      <c r="D347">
        <f ca="1">SQRT(MAX('HE2'!B346,0))*($G$2+$H$2*A347)</f>
        <v>1.5416258090850783</v>
      </c>
      <c r="E347">
        <f t="shared" ca="1" si="38"/>
        <v>0.66745719221102462</v>
      </c>
      <c r="Q347">
        <f t="shared" ca="1" si="41"/>
        <v>-1.7265066161137379</v>
      </c>
      <c r="R347">
        <f t="shared" ca="1" si="41"/>
        <v>0.94471815075579157</v>
      </c>
    </row>
    <row r="348" spans="1:18" x14ac:dyDescent="0.45">
      <c r="A348">
        <f t="shared" ca="1" si="40"/>
        <v>-0.34229024581348161</v>
      </c>
      <c r="B348">
        <f t="shared" ca="1" si="40"/>
        <v>-1.5564933041045832</v>
      </c>
      <c r="D348">
        <f ca="1">SQRT(MAX('HE2'!B347,0))*($G$2+$H$2*A348)</f>
        <v>-0.3330525263610114</v>
      </c>
      <c r="E348">
        <f t="shared" ca="1" si="38"/>
        <v>-1.207728179113535</v>
      </c>
      <c r="Q348">
        <f t="shared" ca="1" si="41"/>
        <v>-0.26930639724307159</v>
      </c>
      <c r="R348">
        <f t="shared" ca="1" si="41"/>
        <v>-0.919288434777913</v>
      </c>
    </row>
    <row r="349" spans="1:18" x14ac:dyDescent="0.45">
      <c r="A349">
        <f t="shared" ca="1" si="40"/>
        <v>0.91484552040785538</v>
      </c>
      <c r="B349">
        <f t="shared" ca="1" si="40"/>
        <v>1.5100551708112733</v>
      </c>
      <c r="D349">
        <f ca="1">SQRT(MAX('HE2'!B348,0))*($G$2+$H$2*A349)</f>
        <v>0.71190333807854034</v>
      </c>
      <c r="E349">
        <f t="shared" ca="1" si="38"/>
        <v>1.6379095188130481</v>
      </c>
      <c r="Q349">
        <f t="shared" ca="1" si="41"/>
        <v>0.37502833310697847</v>
      </c>
      <c r="R349">
        <f t="shared" ca="1" si="41"/>
        <v>5.4098336764906267E-2</v>
      </c>
    </row>
    <row r="350" spans="1:18" x14ac:dyDescent="0.45">
      <c r="A350">
        <f t="shared" ca="1" si="40"/>
        <v>-0.40019693804884499</v>
      </c>
      <c r="B350">
        <f t="shared" ca="1" si="40"/>
        <v>-0.12833370599873589</v>
      </c>
      <c r="D350">
        <f ca="1">SQRT(MAX('HE2'!B349,0))*($G$2+$H$2*A350)</f>
        <v>-0.4014102534149559</v>
      </c>
      <c r="E350">
        <f t="shared" ca="1" si="38"/>
        <v>-0.39715777403831753</v>
      </c>
      <c r="Q350">
        <f t="shared" ca="1" si="41"/>
        <v>0.22678907849738258</v>
      </c>
      <c r="R350">
        <f t="shared" ca="1" si="41"/>
        <v>0.76789751258614269</v>
      </c>
    </row>
    <row r="351" spans="1:18" x14ac:dyDescent="0.45">
      <c r="A351">
        <f t="shared" ca="1" si="40"/>
        <v>0.15472143394179574</v>
      </c>
      <c r="B351">
        <f t="shared" ca="1" si="40"/>
        <v>0.48425898417277996</v>
      </c>
      <c r="D351">
        <f ca="1">SQRT(MAX('HE2'!B350,0))*($G$2+$H$2*A351)</f>
        <v>0.14651317287517074</v>
      </c>
      <c r="E351">
        <f t="shared" ca="1" si="38"/>
        <v>0.41433253765710454</v>
      </c>
      <c r="Q351">
        <f t="shared" ca="1" si="41"/>
        <v>-0.73168093786012911</v>
      </c>
      <c r="R351">
        <f t="shared" ca="1" si="41"/>
        <v>1.33608906071089</v>
      </c>
    </row>
    <row r="352" spans="1:18" x14ac:dyDescent="0.45">
      <c r="A352">
        <f t="shared" ca="1" si="40"/>
        <v>0.7228906457863491</v>
      </c>
      <c r="B352">
        <f t="shared" ca="1" si="40"/>
        <v>-0.14662595791422176</v>
      </c>
      <c r="D352">
        <f ca="1">SQRT(MAX('HE2'!B351,0))*($G$2+$H$2*A352)</f>
        <v>0.73249549122584501</v>
      </c>
      <c r="E352">
        <f t="shared" ca="1" si="38"/>
        <v>0.49033694188054633</v>
      </c>
      <c r="Q352">
        <f t="shared" ca="1" si="41"/>
        <v>-1.9376022815187424E-2</v>
      </c>
      <c r="R352">
        <f t="shared" ca="1" si="41"/>
        <v>0.4013054282932772</v>
      </c>
    </row>
    <row r="353" spans="1:18" x14ac:dyDescent="0.45">
      <c r="A353">
        <f t="shared" ca="1" si="40"/>
        <v>-0.49204986383678218</v>
      </c>
      <c r="B353">
        <f t="shared" ca="1" si="40"/>
        <v>-1.4330806380602579</v>
      </c>
      <c r="D353">
        <f ca="1">SQRT(MAX('HE2'!B352,0))*($G$2+$H$2*A353)</f>
        <v>-0.53575589241544841</v>
      </c>
      <c r="E353">
        <f t="shared" ca="1" si="38"/>
        <v>-1.2534882739055804</v>
      </c>
      <c r="Q353">
        <f t="shared" ca="1" si="41"/>
        <v>-0.29439620361179775</v>
      </c>
      <c r="R353">
        <f t="shared" ca="1" si="41"/>
        <v>0.3718155382490812</v>
      </c>
    </row>
    <row r="354" spans="1:18" x14ac:dyDescent="0.45">
      <c r="A354">
        <f t="shared" ca="1" si="40"/>
        <v>1.0570613922261716</v>
      </c>
      <c r="B354">
        <f t="shared" ca="1" si="40"/>
        <v>-1.2719180216166783</v>
      </c>
      <c r="D354">
        <f ca="1">SQRT(MAX('HE2'!B353,0))*($G$2+$H$2*A354)</f>
        <v>0.93515419950035683</v>
      </c>
      <c r="E354">
        <f t="shared" ca="1" si="38"/>
        <v>8.2498300810930458E-2</v>
      </c>
      <c r="Q354">
        <f t="shared" ca="1" si="41"/>
        <v>-1.2897799693882073</v>
      </c>
      <c r="R354">
        <f t="shared" ca="1" si="41"/>
        <v>-0.24383404177244947</v>
      </c>
    </row>
    <row r="355" spans="1:18" x14ac:dyDescent="0.45">
      <c r="A355">
        <f t="shared" ca="1" si="40"/>
        <v>-0.48483255944278797</v>
      </c>
      <c r="B355">
        <f t="shared" ca="1" si="40"/>
        <v>-1.5945848470837338</v>
      </c>
      <c r="D355">
        <f ca="1">SQRT(MAX('HE2'!B354,0))*($G$2+$H$2*A355)</f>
        <v>-0.43880894932052694</v>
      </c>
      <c r="E355">
        <f t="shared" ca="1" si="38"/>
        <v>-1.3446169558044705</v>
      </c>
      <c r="Q355">
        <f t="shared" ca="1" si="41"/>
        <v>1.0846762903177181</v>
      </c>
      <c r="R355">
        <f t="shared" ca="1" si="41"/>
        <v>1.175731696926299</v>
      </c>
    </row>
    <row r="356" spans="1:18" x14ac:dyDescent="0.45">
      <c r="A356">
        <f t="shared" ca="1" si="40"/>
        <v>-0.57741631815169814</v>
      </c>
      <c r="B356">
        <f t="shared" ca="1" si="40"/>
        <v>0.69274270921949954</v>
      </c>
      <c r="D356">
        <f ca="1">SQRT(MAX('HE2'!B355,0))*($G$2+$H$2*A356)</f>
        <v>-0.39499213924698928</v>
      </c>
      <c r="E356">
        <f t="shared" ca="1" si="38"/>
        <v>-4.6287428989658874E-2</v>
      </c>
      <c r="Q356">
        <f t="shared" ca="1" si="41"/>
        <v>4.5325907615504382E-2</v>
      </c>
      <c r="R356">
        <f t="shared" ca="1" si="41"/>
        <v>-1.4938643935910965</v>
      </c>
    </row>
    <row r="357" spans="1:18" x14ac:dyDescent="0.45">
      <c r="A357">
        <f t="shared" ca="1" si="40"/>
        <v>-0.23922065159277034</v>
      </c>
      <c r="B357">
        <f t="shared" ca="1" si="40"/>
        <v>0.1540084211400819</v>
      </c>
      <c r="D357">
        <f ca="1">SQRT(MAX('HE2'!B356,0))*($G$2+$H$2*A357)</f>
        <v>-0.16562625995996708</v>
      </c>
      <c r="E357">
        <f t="shared" ca="1" si="38"/>
        <v>-9.8971468590167158E-2</v>
      </c>
      <c r="Q357">
        <f t="shared" ca="1" si="41"/>
        <v>-1.2913755098078216E-2</v>
      </c>
      <c r="R357">
        <f t="shared" ca="1" si="41"/>
        <v>-0.55431153272748701</v>
      </c>
    </row>
    <row r="358" spans="1:18" x14ac:dyDescent="0.45">
      <c r="A358">
        <f t="shared" ca="1" si="40"/>
        <v>2.7805599065575253</v>
      </c>
      <c r="B358">
        <f t="shared" ca="1" si="40"/>
        <v>-0.13945479965031202</v>
      </c>
      <c r="D358">
        <f ca="1">SQRT(MAX('HE2'!B357,0))*($G$2+$H$2*A358)</f>
        <v>1.9253904756388527</v>
      </c>
      <c r="E358">
        <f t="shared" ca="1" si="38"/>
        <v>2.140775045455833</v>
      </c>
      <c r="Q358">
        <f t="shared" ca="1" si="41"/>
        <v>-0.83377207159786515</v>
      </c>
      <c r="R358">
        <f t="shared" ca="1" si="41"/>
        <v>0.85224181678647737</v>
      </c>
    </row>
    <row r="359" spans="1:18" x14ac:dyDescent="0.45">
      <c r="A359">
        <f t="shared" ca="1" si="40"/>
        <v>1.4913114282763573</v>
      </c>
      <c r="B359">
        <f t="shared" ca="1" si="40"/>
        <v>-3.7654825674472269E-3</v>
      </c>
      <c r="D359">
        <f ca="1">SQRT(MAX('HE2'!B358,0))*($G$2+$H$2*A359)</f>
        <v>1.4496231714695487</v>
      </c>
      <c r="E359">
        <f t="shared" ca="1" si="38"/>
        <v>1.1907898530806176</v>
      </c>
      <c r="Q359">
        <f t="shared" ca="1" si="41"/>
        <v>-0.45822387001291637</v>
      </c>
      <c r="R359">
        <f t="shared" ca="1" si="41"/>
        <v>-8.3837025002829763E-3</v>
      </c>
    </row>
    <row r="360" spans="1:18" x14ac:dyDescent="0.45">
      <c r="A360">
        <f t="shared" ca="1" si="40"/>
        <v>1.4058178901205542</v>
      </c>
      <c r="B360">
        <f t="shared" ca="1" si="40"/>
        <v>1.9416234839293049</v>
      </c>
      <c r="D360">
        <f ca="1">SQRT(MAX('HE2'!B359,0))*($G$2+$H$2*A360)</f>
        <v>1.6050318979251019</v>
      </c>
      <c r="E360">
        <f t="shared" ca="1" si="38"/>
        <v>2.2896284024540261</v>
      </c>
      <c r="Q360">
        <f t="shared" ca="1" si="41"/>
        <v>0.5251184825234223</v>
      </c>
      <c r="R360">
        <f t="shared" ca="1" si="41"/>
        <v>0.1498537455168874</v>
      </c>
    </row>
    <row r="361" spans="1:18" x14ac:dyDescent="0.45">
      <c r="A361">
        <f t="shared" ca="1" si="40"/>
        <v>-0.81689831545153579</v>
      </c>
      <c r="B361">
        <f t="shared" ca="1" si="40"/>
        <v>-0.50198713366663605</v>
      </c>
      <c r="D361">
        <f ca="1">SQRT(MAX('HE2'!B360,0))*($G$2+$H$2*A361)</f>
        <v>-1.181517944976874</v>
      </c>
      <c r="E361">
        <f t="shared" ca="1" si="38"/>
        <v>-0.9547109325612102</v>
      </c>
      <c r="Q361">
        <f t="shared" ca="1" si="41"/>
        <v>1.1524588745600861</v>
      </c>
      <c r="R361">
        <f t="shared" ca="1" si="41"/>
        <v>1.5454090453354687</v>
      </c>
    </row>
    <row r="362" spans="1:18" x14ac:dyDescent="0.45">
      <c r="A362">
        <f t="shared" ref="A362:B381" ca="1" si="42">NORMINV(RAND(),0,1)</f>
        <v>0.1547697068480002</v>
      </c>
      <c r="B362">
        <f t="shared" ca="1" si="42"/>
        <v>0.9764470321817732</v>
      </c>
      <c r="D362">
        <f ca="1">SQRT(MAX('HE2'!B361,0))*($G$2+$H$2*A362)</f>
        <v>0.19977254800332964</v>
      </c>
      <c r="E362">
        <f t="shared" ca="1" si="38"/>
        <v>0.70968398478746386</v>
      </c>
      <c r="Q362">
        <f t="shared" ref="Q362:R381" ca="1" si="43">NORMINV(RAND(),0,1)</f>
        <v>-0.40489414076083791</v>
      </c>
      <c r="R362">
        <f t="shared" ca="1" si="43"/>
        <v>0.95685246143984548</v>
      </c>
    </row>
    <row r="363" spans="1:18" x14ac:dyDescent="0.45">
      <c r="A363">
        <f t="shared" ca="1" si="42"/>
        <v>-0.48939930544223742</v>
      </c>
      <c r="B363">
        <f t="shared" ca="1" si="42"/>
        <v>0.64418289644667603</v>
      </c>
      <c r="D363">
        <f ca="1">SQRT(MAX('HE2'!B362,0))*($G$2+$H$2*A363)</f>
        <v>-0.68127707863782239</v>
      </c>
      <c r="E363">
        <f t="shared" ca="1" si="38"/>
        <v>-5.0097064857844154E-3</v>
      </c>
      <c r="Q363">
        <f t="shared" ca="1" si="43"/>
        <v>-1.4892934287418629</v>
      </c>
      <c r="R363">
        <f t="shared" ca="1" si="43"/>
        <v>0.64668425030104393</v>
      </c>
    </row>
    <row r="364" spans="1:18" x14ac:dyDescent="0.45">
      <c r="A364">
        <f t="shared" ca="1" si="42"/>
        <v>1.9192829903451101</v>
      </c>
      <c r="B364">
        <f t="shared" ca="1" si="42"/>
        <v>1.2381978830100557</v>
      </c>
      <c r="D364">
        <f ca="1">SQRT(MAX('HE2'!B363,0))*($G$2+$H$2*A364)</f>
        <v>2.6644680065467128</v>
      </c>
      <c r="E364">
        <f t="shared" ca="1" si="38"/>
        <v>2.2783451220821216</v>
      </c>
      <c r="Q364">
        <f t="shared" ca="1" si="43"/>
        <v>2.4121276728145697</v>
      </c>
      <c r="R364">
        <f t="shared" ca="1" si="43"/>
        <v>-0.44667557433532379</v>
      </c>
    </row>
    <row r="365" spans="1:18" x14ac:dyDescent="0.45">
      <c r="A365">
        <f t="shared" ca="1" si="42"/>
        <v>-8.1442015122049988E-2</v>
      </c>
      <c r="B365">
        <f t="shared" ca="1" si="42"/>
        <v>0.3506756136451516</v>
      </c>
      <c r="D365">
        <f ca="1">SQRT(MAX('HE2'!B364,0))*($G$2+$H$2*A365)</f>
        <v>-0.13792047365715215</v>
      </c>
      <c r="E365">
        <f t="shared" ca="1" si="38"/>
        <v>0.1452517560894509</v>
      </c>
      <c r="Q365">
        <f t="shared" ca="1" si="43"/>
        <v>-5.4444200345877027E-2</v>
      </c>
      <c r="R365">
        <f t="shared" ca="1" si="43"/>
        <v>0.86668172746542738</v>
      </c>
    </row>
    <row r="366" spans="1:18" x14ac:dyDescent="0.45">
      <c r="A366">
        <f t="shared" ca="1" si="42"/>
        <v>1.0338710939627216</v>
      </c>
      <c r="B366">
        <f t="shared" ca="1" si="42"/>
        <v>-0.54835120354453804</v>
      </c>
      <c r="D366">
        <f ca="1">SQRT(MAX('HE2'!B365,0))*($G$2+$H$2*A366)</f>
        <v>1.7650397270658749</v>
      </c>
      <c r="E366">
        <f t="shared" ca="1" si="38"/>
        <v>0.49808615304345455</v>
      </c>
      <c r="Q366">
        <f t="shared" ca="1" si="43"/>
        <v>-0.2052300115973488</v>
      </c>
      <c r="R366">
        <f t="shared" ca="1" si="43"/>
        <v>1.0443295421949024</v>
      </c>
    </row>
    <row r="367" spans="1:18" x14ac:dyDescent="0.45">
      <c r="A367">
        <f t="shared" ca="1" si="42"/>
        <v>0.26210727475559037</v>
      </c>
      <c r="B367">
        <f t="shared" ca="1" si="42"/>
        <v>-0.88267545592084762</v>
      </c>
      <c r="D367">
        <f ca="1">SQRT(MAX('HE2'!B366,0))*($G$2+$H$2*A367)</f>
        <v>0.46457800636705637</v>
      </c>
      <c r="E367">
        <f t="shared" ca="1" si="38"/>
        <v>-0.3199194537480361</v>
      </c>
      <c r="Q367">
        <f t="shared" ca="1" si="43"/>
        <v>1.9633679425521735</v>
      </c>
      <c r="R367">
        <f t="shared" ca="1" si="43"/>
        <v>0.3573891799250643</v>
      </c>
    </row>
    <row r="368" spans="1:18" x14ac:dyDescent="0.45">
      <c r="A368">
        <f t="shared" ca="1" si="42"/>
        <v>1.3005699122565058</v>
      </c>
      <c r="B368">
        <f t="shared" ca="1" si="42"/>
        <v>-1.1903624011062273</v>
      </c>
      <c r="D368">
        <f ca="1">SQRT(MAX('HE2'!B367,0))*($G$2+$H$2*A368)</f>
        <v>2.2296259732660597</v>
      </c>
      <c r="E368">
        <f t="shared" ca="1" si="38"/>
        <v>0.32623848914146858</v>
      </c>
      <c r="Q368">
        <f t="shared" ca="1" si="43"/>
        <v>0.37700862551785613</v>
      </c>
      <c r="R368">
        <f t="shared" ca="1" si="43"/>
        <v>0.16391896351420515</v>
      </c>
    </row>
    <row r="369" spans="1:18" x14ac:dyDescent="0.45">
      <c r="A369">
        <f t="shared" ca="1" si="42"/>
        <v>1.0837181022172813</v>
      </c>
      <c r="B369">
        <f t="shared" ca="1" si="42"/>
        <v>-0.7379487023884439</v>
      </c>
      <c r="D369">
        <f ca="1">SQRT(MAX('HE2'!B368,0))*($G$2+$H$2*A369)</f>
        <v>1.9013783882444257</v>
      </c>
      <c r="E369">
        <f t="shared" ca="1" si="38"/>
        <v>0.42420526034075884</v>
      </c>
      <c r="Q369">
        <f t="shared" ca="1" si="43"/>
        <v>0.4334230765041498</v>
      </c>
      <c r="R369">
        <f t="shared" ca="1" si="43"/>
        <v>-0.70484317344773972</v>
      </c>
    </row>
    <row r="370" spans="1:18" x14ac:dyDescent="0.45">
      <c r="A370">
        <f t="shared" ca="1" si="42"/>
        <v>0.91582000100262262</v>
      </c>
      <c r="B370">
        <f t="shared" ca="1" si="42"/>
        <v>1.1470415539236032</v>
      </c>
      <c r="D370">
        <f ca="1">SQRT(MAX('HE2'!B369,0))*($G$2+$H$2*A370)</f>
        <v>1.6561502021227101</v>
      </c>
      <c r="E370">
        <f t="shared" ca="1" si="38"/>
        <v>1.4208809331562597</v>
      </c>
      <c r="Q370">
        <f t="shared" ca="1" si="43"/>
        <v>0.92844208955332763</v>
      </c>
      <c r="R370">
        <f t="shared" ca="1" si="43"/>
        <v>-0.18599850811272439</v>
      </c>
    </row>
    <row r="371" spans="1:18" x14ac:dyDescent="0.45">
      <c r="A371">
        <f t="shared" ca="1" si="42"/>
        <v>2.003604445334064</v>
      </c>
      <c r="B371">
        <f t="shared" ca="1" si="42"/>
        <v>-1.6119486173088291</v>
      </c>
      <c r="D371">
        <f ca="1">SQRT(MAX('HE2'!B370,0))*($G$2+$H$2*A371)</f>
        <v>4.0101869678839188</v>
      </c>
      <c r="E371">
        <f t="shared" ca="1" si="38"/>
        <v>0.63571438588195395</v>
      </c>
      <c r="Q371">
        <f t="shared" ca="1" si="43"/>
        <v>0.23411668428567978</v>
      </c>
      <c r="R371">
        <f t="shared" ca="1" si="43"/>
        <v>0.95207503957054951</v>
      </c>
    </row>
    <row r="372" spans="1:18" x14ac:dyDescent="0.45">
      <c r="A372">
        <f t="shared" ca="1" si="42"/>
        <v>0.1861070935709403</v>
      </c>
      <c r="B372">
        <f t="shared" ca="1" si="42"/>
        <v>0.22680968495810572</v>
      </c>
      <c r="D372">
        <f ca="1">SQRT(MAX('HE2'!B371,0))*($G$2+$H$2*A372)</f>
        <v>0.38761281717339624</v>
      </c>
      <c r="E372">
        <f t="shared" ca="1" si="38"/>
        <v>0.28497148583161569</v>
      </c>
      <c r="Q372">
        <f t="shared" ca="1" si="43"/>
        <v>0.66785844464277222</v>
      </c>
      <c r="R372">
        <f t="shared" ca="1" si="43"/>
        <v>0.60597187918586226</v>
      </c>
    </row>
    <row r="373" spans="1:18" x14ac:dyDescent="0.45">
      <c r="A373">
        <f t="shared" ca="1" si="42"/>
        <v>-0.62707066551492863</v>
      </c>
      <c r="B373">
        <f t="shared" ca="1" si="42"/>
        <v>-0.8698630832280918</v>
      </c>
      <c r="D373">
        <f ca="1">SQRT(MAX('HE2'!B372,0))*($G$2+$H$2*A373)</f>
        <v>-1.3242000081082885</v>
      </c>
      <c r="E373">
        <f t="shared" ca="1" si="38"/>
        <v>-1.0235743823487979</v>
      </c>
      <c r="Q373">
        <f t="shared" ca="1" si="43"/>
        <v>-1.1527243001729779</v>
      </c>
      <c r="R373">
        <f t="shared" ca="1" si="43"/>
        <v>-1.3138279313762078</v>
      </c>
    </row>
    <row r="374" spans="1:18" x14ac:dyDescent="0.45">
      <c r="A374">
        <f t="shared" ca="1" si="42"/>
        <v>0.33367760572747279</v>
      </c>
      <c r="B374">
        <f t="shared" ca="1" si="42"/>
        <v>-1.7871987430615515</v>
      </c>
      <c r="D374">
        <f ca="1">SQRT(MAX('HE2'!B373,0))*($G$2+$H$2*A374)</f>
        <v>0.64633668303442382</v>
      </c>
      <c r="E374">
        <f t="shared" ca="1" si="38"/>
        <v>-0.80537716125495229</v>
      </c>
      <c r="Q374">
        <f t="shared" ca="1" si="43"/>
        <v>0.68449632229915847</v>
      </c>
      <c r="R374">
        <f t="shared" ca="1" si="43"/>
        <v>0.97860180731611857</v>
      </c>
    </row>
    <row r="375" spans="1:18" x14ac:dyDescent="0.45">
      <c r="A375">
        <f t="shared" ca="1" si="42"/>
        <v>-0.73633701155542997</v>
      </c>
      <c r="B375">
        <f t="shared" ca="1" si="42"/>
        <v>-0.23559984068442394</v>
      </c>
      <c r="D375">
        <f ca="1">SQRT(MAX('HE2'!B374,0))*($G$2+$H$2*A375)</f>
        <v>-1.3252484268026061</v>
      </c>
      <c r="E375">
        <f t="shared" ca="1" si="38"/>
        <v>-0.73042951365499831</v>
      </c>
      <c r="Q375">
        <f t="shared" ca="1" si="43"/>
        <v>0.5554151693661904</v>
      </c>
      <c r="R375">
        <f t="shared" ca="1" si="43"/>
        <v>0.2963564266999687</v>
      </c>
    </row>
    <row r="376" spans="1:18" x14ac:dyDescent="0.45">
      <c r="A376">
        <f t="shared" ca="1" si="42"/>
        <v>0.38139944037162299</v>
      </c>
      <c r="B376">
        <f t="shared" ca="1" si="42"/>
        <v>-2.0404802602451158</v>
      </c>
      <c r="D376">
        <f ca="1">SQRT(MAX('HE2'!B375,0))*($G$2+$H$2*A376)</f>
        <v>0.63937896292466423</v>
      </c>
      <c r="E376">
        <f t="shared" ca="1" si="38"/>
        <v>-0.91916860384977062</v>
      </c>
      <c r="Q376">
        <f t="shared" ca="1" si="43"/>
        <v>-1.1386457650641859</v>
      </c>
      <c r="R376">
        <f t="shared" ca="1" si="43"/>
        <v>1.2748159300787518</v>
      </c>
    </row>
    <row r="377" spans="1:18" x14ac:dyDescent="0.45">
      <c r="A377">
        <f t="shared" ca="1" si="42"/>
        <v>0.39662116466417063</v>
      </c>
      <c r="B377">
        <f t="shared" ca="1" si="42"/>
        <v>-0.14728293392665642</v>
      </c>
      <c r="D377">
        <f ca="1">SQRT(MAX('HE2'!B376,0))*($G$2+$H$2*A377)</f>
        <v>0.60439102526913546</v>
      </c>
      <c r="E377">
        <f t="shared" ca="1" si="38"/>
        <v>0.22892717137534271</v>
      </c>
      <c r="Q377">
        <f t="shared" ca="1" si="43"/>
        <v>0.19183615790819292</v>
      </c>
      <c r="R377">
        <f t="shared" ca="1" si="43"/>
        <v>2.0188311144871727</v>
      </c>
    </row>
    <row r="378" spans="1:18" x14ac:dyDescent="0.45">
      <c r="A378">
        <f t="shared" ca="1" si="42"/>
        <v>0.75270867749779335</v>
      </c>
      <c r="B378">
        <f t="shared" ca="1" si="42"/>
        <v>0.52489763326948369</v>
      </c>
      <c r="D378">
        <f ca="1">SQRT(MAX('HE2'!B377,0))*($G$2+$H$2*A378)</f>
        <v>1.1686632096669893</v>
      </c>
      <c r="E378">
        <f t="shared" ca="1" si="38"/>
        <v>0.9171055219599249</v>
      </c>
      <c r="Q378">
        <f t="shared" ca="1" si="43"/>
        <v>-0.98225390079636543</v>
      </c>
      <c r="R378">
        <f t="shared" ca="1" si="43"/>
        <v>-0.53349634331934692</v>
      </c>
    </row>
    <row r="379" spans="1:18" x14ac:dyDescent="0.45">
      <c r="A379">
        <f t="shared" ca="1" si="42"/>
        <v>0.22555592288750154</v>
      </c>
      <c r="B379">
        <f t="shared" ca="1" si="42"/>
        <v>-0.24759729259149882</v>
      </c>
      <c r="D379">
        <f ca="1">SQRT(MAX('HE2'!B378,0))*($G$2+$H$2*A379)</f>
        <v>0.37876117646643881</v>
      </c>
      <c r="E379">
        <f t="shared" ca="1" si="38"/>
        <v>3.1886362755101982E-2</v>
      </c>
      <c r="Q379">
        <f t="shared" ca="1" si="43"/>
        <v>1.6793423962666116</v>
      </c>
      <c r="R379">
        <f t="shared" ca="1" si="43"/>
        <v>-1.0589439929940638</v>
      </c>
    </row>
    <row r="380" spans="1:18" x14ac:dyDescent="0.45">
      <c r="A380">
        <f t="shared" ca="1" si="42"/>
        <v>4.4347708684745801E-2</v>
      </c>
      <c r="B380">
        <f t="shared" ca="1" si="42"/>
        <v>-1.2903786041237664</v>
      </c>
      <c r="D380">
        <f ca="1">SQRT(MAX('HE2'!B379,0))*($G$2+$H$2*A380)</f>
        <v>7.4337154235865469E-2</v>
      </c>
      <c r="E380">
        <f t="shared" ca="1" si="38"/>
        <v>-0.738748995526463</v>
      </c>
      <c r="Q380">
        <f t="shared" ca="1" si="43"/>
        <v>0.70073942233740849</v>
      </c>
      <c r="R380">
        <f t="shared" ca="1" si="43"/>
        <v>-0.15358798898021428</v>
      </c>
    </row>
    <row r="381" spans="1:18" x14ac:dyDescent="0.45">
      <c r="A381">
        <f t="shared" ca="1" si="42"/>
        <v>0.60803188059120539</v>
      </c>
      <c r="B381">
        <f t="shared" ca="1" si="42"/>
        <v>0.10031446577681595</v>
      </c>
      <c r="D381">
        <f ca="1">SQRT(MAX('HE2'!B380,0))*($G$2+$H$2*A381)</f>
        <v>0.94437736390998384</v>
      </c>
      <c r="E381">
        <f t="shared" ca="1" si="38"/>
        <v>0.54661418393905392</v>
      </c>
      <c r="Q381">
        <f t="shared" ca="1" si="43"/>
        <v>-0.34791293154824965</v>
      </c>
      <c r="R381">
        <f t="shared" ca="1" si="43"/>
        <v>0.17849095865678724</v>
      </c>
    </row>
    <row r="382" spans="1:18" x14ac:dyDescent="0.45">
      <c r="A382">
        <f t="shared" ref="A382:B401" ca="1" si="44">NORMINV(RAND(),0,1)</f>
        <v>-7.1568476104424969E-3</v>
      </c>
      <c r="B382">
        <f t="shared" ca="1" si="44"/>
        <v>0.73563386769372807</v>
      </c>
      <c r="D382">
        <f ca="1">SQRT(MAX('HE2'!B381,0))*($G$2+$H$2*A382)</f>
        <v>-1.1648429212240683E-2</v>
      </c>
      <c r="E382">
        <f t="shared" ca="1" si="38"/>
        <v>0.43565484252788272</v>
      </c>
      <c r="Q382">
        <f t="shared" ref="Q382:R401" ca="1" si="45">NORMINV(RAND(),0,1)</f>
        <v>-0.93505478830359001</v>
      </c>
      <c r="R382">
        <f t="shared" ca="1" si="45"/>
        <v>0.51909226141671794</v>
      </c>
    </row>
    <row r="383" spans="1:18" x14ac:dyDescent="0.45">
      <c r="A383">
        <f t="shared" ca="1" si="44"/>
        <v>-0.27967581895123</v>
      </c>
      <c r="B383">
        <f t="shared" ca="1" si="44"/>
        <v>0.98484961810558025</v>
      </c>
      <c r="D383">
        <f ca="1">SQRT(MAX('HE2'!B382,0))*($G$2+$H$2*A383)</f>
        <v>-0.47124036901814176</v>
      </c>
      <c r="E383">
        <f t="shared" ca="1" si="38"/>
        <v>0.36716911570236405</v>
      </c>
      <c r="Q383">
        <f t="shared" ca="1" si="45"/>
        <v>-2.3990289770362626E-2</v>
      </c>
      <c r="R383">
        <f t="shared" ca="1" si="45"/>
        <v>0.10757600970739474</v>
      </c>
    </row>
    <row r="384" spans="1:18" x14ac:dyDescent="0.45">
      <c r="A384">
        <f t="shared" ca="1" si="44"/>
        <v>1.2171954283799991</v>
      </c>
      <c r="B384">
        <f t="shared" ca="1" si="44"/>
        <v>-0.27232092273794894</v>
      </c>
      <c r="D384">
        <f ca="1">SQRT(MAX('HE2'!B383,0))*($G$2+$H$2*A384)</f>
        <v>2.1075938830894927</v>
      </c>
      <c r="E384">
        <f t="shared" ca="1" si="38"/>
        <v>0.81036378906122986</v>
      </c>
      <c r="Q384">
        <f t="shared" ca="1" si="45"/>
        <v>0.37440646389256999</v>
      </c>
      <c r="R384">
        <f t="shared" ca="1" si="45"/>
        <v>1.6357820639334279E-2</v>
      </c>
    </row>
    <row r="385" spans="1:18" x14ac:dyDescent="0.45">
      <c r="A385">
        <f t="shared" ca="1" si="44"/>
        <v>0.61081502437994606</v>
      </c>
      <c r="B385">
        <f t="shared" ca="1" si="44"/>
        <v>1.10403271163856</v>
      </c>
      <c r="D385">
        <f ca="1">SQRT(MAX('HE2'!B384,0))*($G$2+$H$2*A385)</f>
        <v>1.1245304712640229</v>
      </c>
      <c r="E385">
        <f t="shared" ca="1" si="38"/>
        <v>1.1510716464870927</v>
      </c>
      <c r="Q385">
        <f t="shared" ca="1" si="45"/>
        <v>0.39616780344234487</v>
      </c>
      <c r="R385">
        <f t="shared" ca="1" si="45"/>
        <v>-0.75770908915258961</v>
      </c>
    </row>
    <row r="386" spans="1:18" x14ac:dyDescent="0.45">
      <c r="A386">
        <f t="shared" ca="1" si="44"/>
        <v>-0.49542281666742971</v>
      </c>
      <c r="B386">
        <f t="shared" ca="1" si="44"/>
        <v>1.3259630739118606</v>
      </c>
      <c r="D386">
        <f ca="1">SQRT(MAX('HE2'!B385,0))*($G$2+$H$2*A386)</f>
        <v>-0.98931232477245523</v>
      </c>
      <c r="E386">
        <f t="shared" ref="E386:E449" ca="1" si="46">$I$2+$J$2*(A386*$K$2 + B386*POWER(1-$K$2*$K$2, 0.5))</f>
        <v>0.39923959101317241</v>
      </c>
      <c r="Q386">
        <f t="shared" ca="1" si="45"/>
        <v>-1.7211634523348567</v>
      </c>
      <c r="R386">
        <f t="shared" ca="1" si="45"/>
        <v>-0.59822625536449503</v>
      </c>
    </row>
    <row r="387" spans="1:18" x14ac:dyDescent="0.45">
      <c r="A387">
        <f t="shared" ca="1" si="44"/>
        <v>1.7456433543978804</v>
      </c>
      <c r="B387">
        <f t="shared" ca="1" si="44"/>
        <v>-0.35660788645195607</v>
      </c>
      <c r="D387">
        <f ca="1">SQRT(MAX('HE2'!B386,0))*($G$2+$H$2*A387)</f>
        <v>3.5678312181020022</v>
      </c>
      <c r="E387">
        <f t="shared" ca="1" si="46"/>
        <v>1.1825499516471307</v>
      </c>
      <c r="Q387">
        <f t="shared" ca="1" si="45"/>
        <v>-5.1569232105874829E-2</v>
      </c>
      <c r="R387">
        <f t="shared" ca="1" si="45"/>
        <v>0.5787358802986885</v>
      </c>
    </row>
    <row r="388" spans="1:18" x14ac:dyDescent="0.45">
      <c r="A388">
        <f t="shared" ca="1" si="44"/>
        <v>0.7558829654901581</v>
      </c>
      <c r="B388">
        <f t="shared" ca="1" si="44"/>
        <v>-0.87455029978637855</v>
      </c>
      <c r="D388">
        <f ca="1">SQRT(MAX('HE2'!B387,0))*($G$2+$H$2*A388)</f>
        <v>1.6645095396045388</v>
      </c>
      <c r="E388">
        <f t="shared" ca="1" si="46"/>
        <v>7.9976192520299527E-2</v>
      </c>
      <c r="Q388">
        <f t="shared" ca="1" si="45"/>
        <v>0.6062941749199745</v>
      </c>
      <c r="R388">
        <f t="shared" ca="1" si="45"/>
        <v>0.96183998878510613</v>
      </c>
    </row>
    <row r="389" spans="1:18" x14ac:dyDescent="0.45">
      <c r="A389">
        <f t="shared" ca="1" si="44"/>
        <v>-0.54188693649225095</v>
      </c>
      <c r="B389">
        <f t="shared" ca="1" si="44"/>
        <v>-0.43489899651700709</v>
      </c>
      <c r="D389">
        <f ca="1">SQRT(MAX('HE2'!B388,0))*($G$2+$H$2*A389)</f>
        <v>-1.1915655600772774</v>
      </c>
      <c r="E389">
        <f t="shared" ca="1" si="46"/>
        <v>-0.69444894710400495</v>
      </c>
      <c r="Q389">
        <f t="shared" ca="1" si="45"/>
        <v>0.62529808698661693</v>
      </c>
      <c r="R389">
        <f t="shared" ca="1" si="45"/>
        <v>1.6637121421237722</v>
      </c>
    </row>
    <row r="390" spans="1:18" x14ac:dyDescent="0.45">
      <c r="A390">
        <f t="shared" ca="1" si="44"/>
        <v>0.10248635800177654</v>
      </c>
      <c r="B390">
        <f t="shared" ca="1" si="44"/>
        <v>0.87888163827135168</v>
      </c>
      <c r="D390">
        <f ca="1">SQRT(MAX('HE2'!B389,0))*($G$2+$H$2*A390)</f>
        <v>0.21278442098737796</v>
      </c>
      <c r="E390">
        <f t="shared" ca="1" si="46"/>
        <v>0.60931806936423216</v>
      </c>
      <c r="Q390">
        <f t="shared" ca="1" si="45"/>
        <v>0.76843164122782748</v>
      </c>
      <c r="R390">
        <f t="shared" ca="1" si="45"/>
        <v>-0.55387248111751253</v>
      </c>
    </row>
    <row r="391" spans="1:18" x14ac:dyDescent="0.45">
      <c r="A391">
        <f t="shared" ca="1" si="44"/>
        <v>-0.54181164239129309</v>
      </c>
      <c r="B391">
        <f t="shared" ca="1" si="44"/>
        <v>0.6695675497487642</v>
      </c>
      <c r="D391">
        <f ca="1">SQRT(MAX('HE2'!B390,0))*($G$2+$H$2*A391)</f>
        <v>-1.1663778056848582</v>
      </c>
      <c r="E391">
        <f t="shared" ca="1" si="46"/>
        <v>-3.170878406377603E-2</v>
      </c>
      <c r="Q391">
        <f t="shared" ca="1" si="45"/>
        <v>-0.43191523023186262</v>
      </c>
      <c r="R391">
        <f t="shared" ca="1" si="45"/>
        <v>-0.67863167216278164</v>
      </c>
    </row>
    <row r="392" spans="1:18" x14ac:dyDescent="0.45">
      <c r="A392">
        <f t="shared" ca="1" si="44"/>
        <v>-0.7463922260553858</v>
      </c>
      <c r="B392">
        <f t="shared" ca="1" si="44"/>
        <v>0.16833114768698751</v>
      </c>
      <c r="D392">
        <f ca="1">SQRT(MAX('HE2'!B391,0))*($G$2+$H$2*A392)</f>
        <v>-1.592350380357747</v>
      </c>
      <c r="E392">
        <f t="shared" ca="1" si="46"/>
        <v>-0.49611509223211619</v>
      </c>
      <c r="Q392">
        <f t="shared" ca="1" si="45"/>
        <v>-0.80446846076172629</v>
      </c>
      <c r="R392">
        <f t="shared" ca="1" si="45"/>
        <v>0.63533471301106592</v>
      </c>
    </row>
    <row r="393" spans="1:18" x14ac:dyDescent="0.45">
      <c r="A393">
        <f t="shared" ca="1" si="44"/>
        <v>-0.2437520024435211</v>
      </c>
      <c r="B393">
        <f t="shared" ca="1" si="44"/>
        <v>1.2457474733393945</v>
      </c>
      <c r="D393">
        <f ca="1">SQRT(MAX('HE2'!B392,0))*($G$2+$H$2*A393)</f>
        <v>-0.49794047620328652</v>
      </c>
      <c r="E393">
        <f t="shared" ca="1" si="46"/>
        <v>0.55244688204881964</v>
      </c>
      <c r="Q393">
        <f t="shared" ca="1" si="45"/>
        <v>-1.442574428760548</v>
      </c>
      <c r="R393">
        <f t="shared" ca="1" si="45"/>
        <v>-0.92675846066866108</v>
      </c>
    </row>
    <row r="394" spans="1:18" x14ac:dyDescent="0.45">
      <c r="A394">
        <f t="shared" ca="1" si="44"/>
        <v>0.69842452764398544</v>
      </c>
      <c r="B394">
        <f t="shared" ca="1" si="44"/>
        <v>-2.3593682799524555E-3</v>
      </c>
      <c r="D394">
        <f ca="1">SQRT(MAX('HE2'!B393,0))*($G$2+$H$2*A394)</f>
        <v>1.4747291733091039</v>
      </c>
      <c r="E394">
        <f t="shared" ca="1" si="46"/>
        <v>0.55732400114721692</v>
      </c>
      <c r="Q394">
        <f t="shared" ca="1" si="45"/>
        <v>0.72818311037788419</v>
      </c>
      <c r="R394">
        <f t="shared" ca="1" si="45"/>
        <v>1.0626509907871333</v>
      </c>
    </row>
    <row r="395" spans="1:18" x14ac:dyDescent="0.45">
      <c r="A395">
        <f t="shared" ca="1" si="44"/>
        <v>-1.640553329497956</v>
      </c>
      <c r="B395">
        <f t="shared" ca="1" si="44"/>
        <v>0.19021514866249167</v>
      </c>
      <c r="D395">
        <f ca="1">SQRT(MAX('HE2'!B394,0))*($G$2+$H$2*A395)</f>
        <v>-3.5764830724540544</v>
      </c>
      <c r="E395">
        <f t="shared" ca="1" si="46"/>
        <v>-1.1983135744008697</v>
      </c>
      <c r="Q395">
        <f t="shared" ca="1" si="45"/>
        <v>-1.4014769521572914</v>
      </c>
      <c r="R395">
        <f t="shared" ca="1" si="45"/>
        <v>-2.2821747190503866E-2</v>
      </c>
    </row>
    <row r="396" spans="1:18" x14ac:dyDescent="0.45">
      <c r="A396">
        <f t="shared" ca="1" si="44"/>
        <v>0.95113896558950861</v>
      </c>
      <c r="B396">
        <f t="shared" ca="1" si="44"/>
        <v>0.53130117673339683</v>
      </c>
      <c r="D396">
        <f ca="1">SQRT(MAX('HE2'!B395,0))*($G$2+$H$2*A396)</f>
        <v>1.8793375133671606</v>
      </c>
      <c r="E396">
        <f t="shared" ca="1" si="46"/>
        <v>1.0796918785116449</v>
      </c>
      <c r="Q396">
        <f t="shared" ca="1" si="45"/>
        <v>-0.17803372882814827</v>
      </c>
      <c r="R396">
        <f t="shared" ca="1" si="45"/>
        <v>0.47489116513584895</v>
      </c>
    </row>
    <row r="397" spans="1:18" x14ac:dyDescent="0.45">
      <c r="A397">
        <f t="shared" ca="1" si="44"/>
        <v>1.2567082834166765E-3</v>
      </c>
      <c r="B397">
        <f t="shared" ca="1" si="44"/>
        <v>-0.17356374290174317</v>
      </c>
      <c r="D397">
        <f ca="1">SQRT(MAX('HE2'!B396,0))*($G$2+$H$2*A397)</f>
        <v>2.6647831276245515E-3</v>
      </c>
      <c r="E397">
        <f t="shared" ca="1" si="46"/>
        <v>-0.10313287911431254</v>
      </c>
      <c r="Q397">
        <f t="shared" ca="1" si="45"/>
        <v>-1.0852280511547756</v>
      </c>
      <c r="R397">
        <f t="shared" ca="1" si="45"/>
        <v>0.51822162141005013</v>
      </c>
    </row>
    <row r="398" spans="1:18" x14ac:dyDescent="0.45">
      <c r="A398">
        <f t="shared" ca="1" si="44"/>
        <v>0.99112784935299181</v>
      </c>
      <c r="B398">
        <f t="shared" ca="1" si="44"/>
        <v>-1.5107306262472164</v>
      </c>
      <c r="D398">
        <f ca="1">SQRT(MAX('HE2'!B397,0))*($G$2+$H$2*A398)</f>
        <v>2.0721519764662157</v>
      </c>
      <c r="E398">
        <f t="shared" ca="1" si="46"/>
        <v>-0.11353609626593619</v>
      </c>
      <c r="Q398">
        <f t="shared" ca="1" si="45"/>
        <v>0.64263163748447316</v>
      </c>
      <c r="R398">
        <f t="shared" ca="1" si="45"/>
        <v>0.57278639857836811</v>
      </c>
    </row>
    <row r="399" spans="1:18" x14ac:dyDescent="0.45">
      <c r="A399">
        <f t="shared" ca="1" si="44"/>
        <v>0.73380436340654576</v>
      </c>
      <c r="B399">
        <f t="shared" ca="1" si="44"/>
        <v>-1.2773532042879387</v>
      </c>
      <c r="D399">
        <f ca="1">SQRT(MAX('HE2'!B398,0))*($G$2+$H$2*A399)</f>
        <v>1.5114708067822218</v>
      </c>
      <c r="E399">
        <f t="shared" ca="1" si="46"/>
        <v>-0.17936843184752638</v>
      </c>
      <c r="Q399">
        <f t="shared" ca="1" si="45"/>
        <v>-1.2190512093385943</v>
      </c>
      <c r="R399">
        <f t="shared" ca="1" si="45"/>
        <v>0.63224538031992927</v>
      </c>
    </row>
    <row r="400" spans="1:18" x14ac:dyDescent="0.45">
      <c r="A400">
        <f t="shared" ca="1" si="44"/>
        <v>-0.15648383825684914</v>
      </c>
      <c r="B400">
        <f t="shared" ca="1" si="44"/>
        <v>-0.87126364922281996</v>
      </c>
      <c r="D400">
        <f ca="1">SQRT(MAX('HE2'!B399,0))*($G$2+$H$2*A400)</f>
        <v>-0.31597509274897151</v>
      </c>
      <c r="E400">
        <f t="shared" ca="1" si="46"/>
        <v>-0.6479452601391712</v>
      </c>
      <c r="Q400">
        <f t="shared" ca="1" si="45"/>
        <v>-1.0601551286331021</v>
      </c>
      <c r="R400">
        <f t="shared" ca="1" si="45"/>
        <v>0.52743708193159711</v>
      </c>
    </row>
    <row r="401" spans="1:18" x14ac:dyDescent="0.45">
      <c r="A401">
        <f t="shared" ca="1" si="44"/>
        <v>-2.1450447363105174</v>
      </c>
      <c r="B401">
        <f t="shared" ca="1" si="44"/>
        <v>-1.570527032301533</v>
      </c>
      <c r="D401">
        <f ca="1">SQRT(MAX('HE2'!B400,0))*($G$2+$H$2*A401)</f>
        <v>-4.0888088168019117</v>
      </c>
      <c r="E401">
        <f t="shared" ca="1" si="46"/>
        <v>-2.6583520084293335</v>
      </c>
      <c r="Q401">
        <f t="shared" ca="1" si="45"/>
        <v>-1.6076061736088336</v>
      </c>
      <c r="R401">
        <f t="shared" ca="1" si="45"/>
        <v>1.1404632487582331</v>
      </c>
    </row>
    <row r="402" spans="1:18" x14ac:dyDescent="0.45">
      <c r="A402">
        <f t="shared" ref="A402:B421" ca="1" si="47">NORMINV(RAND(),0,1)</f>
        <v>0.28401029882530637</v>
      </c>
      <c r="B402">
        <f t="shared" ca="1" si="47"/>
        <v>1.2937350002252652</v>
      </c>
      <c r="D402">
        <f ca="1">SQRT(MAX('HE2'!B401,0))*($G$2+$H$2*A402)</f>
        <v>0.40870709408432893</v>
      </c>
      <c r="E402">
        <f t="shared" ca="1" si="46"/>
        <v>1.0034492391954042</v>
      </c>
      <c r="Q402">
        <f t="shared" ref="Q402:R421" ca="1" si="48">NORMINV(RAND(),0,1)</f>
        <v>-0.54946206761222605</v>
      </c>
      <c r="R402">
        <f t="shared" ca="1" si="48"/>
        <v>-1.0483195883775926</v>
      </c>
    </row>
    <row r="403" spans="1:18" x14ac:dyDescent="0.45">
      <c r="A403">
        <f t="shared" ca="1" si="47"/>
        <v>0.68241492500476153</v>
      </c>
      <c r="B403">
        <f t="shared" ca="1" si="47"/>
        <v>1.8824527190413918</v>
      </c>
      <c r="D403">
        <f ca="1">SQRT(MAX('HE2'!B402,0))*($G$2+$H$2*A403)</f>
        <v>1.0774686579460648</v>
      </c>
      <c r="E403">
        <f t="shared" ca="1" si="46"/>
        <v>1.6754035714286442</v>
      </c>
      <c r="Q403">
        <f t="shared" ca="1" si="48"/>
        <v>-0.74781162164302217</v>
      </c>
      <c r="R403">
        <f t="shared" ca="1" si="48"/>
        <v>-0.76683128276592893</v>
      </c>
    </row>
    <row r="404" spans="1:18" x14ac:dyDescent="0.45">
      <c r="A404">
        <f t="shared" ca="1" si="47"/>
        <v>0.99452162405106126</v>
      </c>
      <c r="B404">
        <f t="shared" ca="1" si="47"/>
        <v>-0.27561307913127403</v>
      </c>
      <c r="D404">
        <f ca="1">SQRT(MAX('HE2'!B403,0))*($G$2+$H$2*A404)</f>
        <v>1.7975666220211421</v>
      </c>
      <c r="E404">
        <f t="shared" ca="1" si="46"/>
        <v>0.63024945176208469</v>
      </c>
      <c r="Q404">
        <f t="shared" ca="1" si="48"/>
        <v>-0.74190556809285391</v>
      </c>
      <c r="R404">
        <f t="shared" ca="1" si="48"/>
        <v>0.38684156181023044</v>
      </c>
    </row>
    <row r="405" spans="1:18" x14ac:dyDescent="0.45">
      <c r="A405">
        <f t="shared" ca="1" si="47"/>
        <v>1.8279255030233714</v>
      </c>
      <c r="B405">
        <f t="shared" ca="1" si="47"/>
        <v>-1.7920118264294198</v>
      </c>
      <c r="D405">
        <f ca="1">SQRT(MAX('HE2'!B404,0))*($G$2+$H$2*A405)</f>
        <v>3.4555135657062785</v>
      </c>
      <c r="E405">
        <f t="shared" ca="1" si="46"/>
        <v>0.38713330656104561</v>
      </c>
      <c r="Q405">
        <f t="shared" ca="1" si="48"/>
        <v>2.0548304824423846</v>
      </c>
      <c r="R405">
        <f t="shared" ca="1" si="48"/>
        <v>-0.41164380572922388</v>
      </c>
    </row>
    <row r="406" spans="1:18" x14ac:dyDescent="0.45">
      <c r="A406">
        <f t="shared" ca="1" si="47"/>
        <v>0.21192319276052785</v>
      </c>
      <c r="B406">
        <f t="shared" ca="1" si="47"/>
        <v>-0.97351073924027232</v>
      </c>
      <c r="D406">
        <f ca="1">SQRT(MAX('HE2'!B405,0))*($G$2+$H$2*A406)</f>
        <v>0.41049504037537365</v>
      </c>
      <c r="E406">
        <f t="shared" ca="1" si="46"/>
        <v>-0.41456788933574101</v>
      </c>
      <c r="Q406">
        <f t="shared" ca="1" si="48"/>
        <v>0.59562909320119095</v>
      </c>
      <c r="R406">
        <f t="shared" ca="1" si="48"/>
        <v>-0.48262519438766083</v>
      </c>
    </row>
    <row r="407" spans="1:18" x14ac:dyDescent="0.45">
      <c r="A407">
        <f t="shared" ca="1" si="47"/>
        <v>-0.35325595387792136</v>
      </c>
      <c r="B407">
        <f t="shared" ca="1" si="47"/>
        <v>1.0048409911121685</v>
      </c>
      <c r="D407">
        <f ca="1">SQRT(MAX('HE2'!B406,0))*($G$2+$H$2*A407)</f>
        <v>-0.65769096642322911</v>
      </c>
      <c r="E407">
        <f t="shared" ca="1" si="46"/>
        <v>0.32029983156496383</v>
      </c>
      <c r="Q407">
        <f t="shared" ca="1" si="48"/>
        <v>-0.49920710507626287</v>
      </c>
      <c r="R407">
        <f t="shared" ca="1" si="48"/>
        <v>-4.1535673676132881E-2</v>
      </c>
    </row>
    <row r="408" spans="1:18" x14ac:dyDescent="0.45">
      <c r="A408">
        <f t="shared" ca="1" si="47"/>
        <v>-0.13200783247219558</v>
      </c>
      <c r="B408">
        <f t="shared" ca="1" si="47"/>
        <v>0.94163995256276178</v>
      </c>
      <c r="D408">
        <f ca="1">SQRT(MAX('HE2'!B407,0))*($G$2+$H$2*A408)</f>
        <v>-0.25068044971322223</v>
      </c>
      <c r="E408">
        <f t="shared" ca="1" si="46"/>
        <v>0.45937770555990043</v>
      </c>
      <c r="Q408">
        <f t="shared" ca="1" si="48"/>
        <v>1.0582263978557531</v>
      </c>
      <c r="R408">
        <f t="shared" ca="1" si="48"/>
        <v>-1.6600586039972476</v>
      </c>
    </row>
    <row r="409" spans="1:18" x14ac:dyDescent="0.45">
      <c r="A409">
        <f t="shared" ca="1" si="47"/>
        <v>2.1879159797104163E-2</v>
      </c>
      <c r="B409">
        <f t="shared" ca="1" si="47"/>
        <v>-3.7071869977751221E-2</v>
      </c>
      <c r="D409">
        <f ca="1">SQRT(MAX('HE2'!B408,0))*($G$2+$H$2*A409)</f>
        <v>4.2795891472607199E-2</v>
      </c>
      <c r="E409">
        <f t="shared" ca="1" si="46"/>
        <v>-4.739794148967396E-3</v>
      </c>
      <c r="Q409">
        <f t="shared" ca="1" si="48"/>
        <v>1.766552231308367</v>
      </c>
      <c r="R409">
        <f t="shared" ca="1" si="48"/>
        <v>1.2348371602203378</v>
      </c>
    </row>
    <row r="410" spans="1:18" x14ac:dyDescent="0.45">
      <c r="A410">
        <f t="shared" ca="1" si="47"/>
        <v>-0.91638711543463802</v>
      </c>
      <c r="B410">
        <f t="shared" ca="1" si="47"/>
        <v>-0.94599730452025843</v>
      </c>
      <c r="D410">
        <f ca="1">SQRT(MAX('HE2'!B409,0))*($G$2+$H$2*A410)</f>
        <v>-1.7809409201553186</v>
      </c>
      <c r="E410">
        <f t="shared" ca="1" si="46"/>
        <v>-1.3007080750598654</v>
      </c>
      <c r="Q410">
        <f t="shared" ca="1" si="48"/>
        <v>-2.0292359128038697</v>
      </c>
      <c r="R410">
        <f t="shared" ca="1" si="48"/>
        <v>-1.226806022167614</v>
      </c>
    </row>
    <row r="411" spans="1:18" x14ac:dyDescent="0.45">
      <c r="A411">
        <f t="shared" ca="1" si="47"/>
        <v>0.72313404070085341</v>
      </c>
      <c r="B411">
        <f t="shared" ca="1" si="47"/>
        <v>1.0627774948821322</v>
      </c>
      <c r="D411">
        <f ca="1">SQRT(MAX('HE2'!B410,0))*($G$2+$H$2*A411)</f>
        <v>1.2469238827969014</v>
      </c>
      <c r="E411">
        <f t="shared" ca="1" si="46"/>
        <v>1.2161737294899619</v>
      </c>
      <c r="Q411">
        <f t="shared" ca="1" si="48"/>
        <v>2.0366065358692347</v>
      </c>
      <c r="R411">
        <f t="shared" ca="1" si="48"/>
        <v>2.3142942470587524</v>
      </c>
    </row>
    <row r="412" spans="1:18" x14ac:dyDescent="0.45">
      <c r="A412">
        <f t="shared" ca="1" si="47"/>
        <v>0.65355440170847112</v>
      </c>
      <c r="B412">
        <f t="shared" ca="1" si="47"/>
        <v>-0.82582198869985302</v>
      </c>
      <c r="D412">
        <f ca="1">SQRT(MAX('HE2'!B411,0))*($G$2+$H$2*A412)</f>
        <v>1.2354170372099809</v>
      </c>
      <c r="E412">
        <f t="shared" ca="1" si="46"/>
        <v>2.7350328146865222E-2</v>
      </c>
      <c r="Q412">
        <f t="shared" ca="1" si="48"/>
        <v>1.0370858612058467</v>
      </c>
      <c r="R412">
        <f t="shared" ca="1" si="48"/>
        <v>-0.55129196006145131</v>
      </c>
    </row>
    <row r="413" spans="1:18" x14ac:dyDescent="0.45">
      <c r="A413">
        <f t="shared" ca="1" si="47"/>
        <v>-0.86483621944479383</v>
      </c>
      <c r="B413">
        <f t="shared" ca="1" si="47"/>
        <v>-3.1992145598133563E-2</v>
      </c>
      <c r="D413">
        <f ca="1">SQRT(MAX('HE2'!B412,0))*($G$2+$H$2*A413)</f>
        <v>-1.6289174494598335</v>
      </c>
      <c r="E413">
        <f t="shared" ca="1" si="46"/>
        <v>-0.71106426291471525</v>
      </c>
      <c r="Q413">
        <f t="shared" ca="1" si="48"/>
        <v>-0.30543948366804891</v>
      </c>
      <c r="R413">
        <f t="shared" ca="1" si="48"/>
        <v>-0.69917177743718495</v>
      </c>
    </row>
    <row r="414" spans="1:18" x14ac:dyDescent="0.45">
      <c r="A414">
        <f t="shared" ca="1" si="47"/>
        <v>6.1529195050261429E-2</v>
      </c>
      <c r="B414">
        <f t="shared" ca="1" si="47"/>
        <v>-1.1244442769785516</v>
      </c>
      <c r="D414">
        <f ca="1">SQRT(MAX('HE2'!B413,0))*($G$2+$H$2*A414)</f>
        <v>0.1084223268593271</v>
      </c>
      <c r="E414">
        <f t="shared" ca="1" si="46"/>
        <v>-0.62544321014692172</v>
      </c>
      <c r="Q414">
        <f t="shared" ca="1" si="48"/>
        <v>1.2864304345586526</v>
      </c>
      <c r="R414">
        <f t="shared" ca="1" si="48"/>
        <v>-0.85174453811921347</v>
      </c>
    </row>
    <row r="415" spans="1:18" x14ac:dyDescent="0.45">
      <c r="A415">
        <f t="shared" ca="1" si="47"/>
        <v>-2.0268900469181044</v>
      </c>
      <c r="B415">
        <f t="shared" ca="1" si="47"/>
        <v>0.33701541530933343</v>
      </c>
      <c r="D415">
        <f ca="1">SQRT(MAX('HE2'!B414,0))*($G$2+$H$2*A415)</f>
        <v>-3.3567088508538001</v>
      </c>
      <c r="E415">
        <f t="shared" ca="1" si="46"/>
        <v>-1.4193027883488836</v>
      </c>
      <c r="Q415">
        <f t="shared" ca="1" si="48"/>
        <v>1.3523900560624713</v>
      </c>
      <c r="R415">
        <f t="shared" ca="1" si="48"/>
        <v>1.2480213357536067</v>
      </c>
    </row>
    <row r="416" spans="1:18" x14ac:dyDescent="0.45">
      <c r="A416">
        <f t="shared" ca="1" si="47"/>
        <v>-1.2943086805560831</v>
      </c>
      <c r="B416">
        <f t="shared" ca="1" si="47"/>
        <v>-1.0655148502621838</v>
      </c>
      <c r="D416">
        <f ca="1">SQRT(MAX('HE2'!B415,0))*($G$2+$H$2*A416)</f>
        <v>-1.8363209877944879</v>
      </c>
      <c r="E416">
        <f t="shared" ca="1" si="46"/>
        <v>-1.6747558546021766</v>
      </c>
      <c r="Q416">
        <f t="shared" ca="1" si="48"/>
        <v>-0.35377939517846912</v>
      </c>
      <c r="R416">
        <f t="shared" ca="1" si="48"/>
        <v>-1.1941522292215472</v>
      </c>
    </row>
    <row r="417" spans="1:18" x14ac:dyDescent="0.45">
      <c r="A417">
        <f t="shared" ca="1" si="47"/>
        <v>0.18183925347868291</v>
      </c>
      <c r="B417">
        <f t="shared" ca="1" si="47"/>
        <v>-1.2570554571245036</v>
      </c>
      <c r="D417">
        <f ca="1">SQRT(MAX('HE2'!B416,0))*($G$2+$H$2*A417)</f>
        <v>0.20653615394819419</v>
      </c>
      <c r="E417">
        <f t="shared" ca="1" si="46"/>
        <v>-0.60876187149175565</v>
      </c>
      <c r="Q417">
        <f t="shared" ca="1" si="48"/>
        <v>-0.61952645236544557</v>
      </c>
      <c r="R417">
        <f t="shared" ca="1" si="48"/>
        <v>0.82445319253032356</v>
      </c>
    </row>
    <row r="418" spans="1:18" x14ac:dyDescent="0.45">
      <c r="A418">
        <f t="shared" ca="1" si="47"/>
        <v>1.2908633639042917</v>
      </c>
      <c r="B418">
        <f t="shared" ca="1" si="47"/>
        <v>-0.9505246158366758</v>
      </c>
      <c r="D418">
        <f ca="1">SQRT(MAX('HE2'!B417,0))*($G$2+$H$2*A418)</f>
        <v>1.3459158627497136</v>
      </c>
      <c r="E418">
        <f t="shared" ca="1" si="46"/>
        <v>0.46237592162142815</v>
      </c>
      <c r="Q418">
        <f t="shared" ca="1" si="48"/>
        <v>0.28569110971897466</v>
      </c>
      <c r="R418">
        <f t="shared" ca="1" si="48"/>
        <v>-0.3362869826528686</v>
      </c>
    </row>
    <row r="419" spans="1:18" x14ac:dyDescent="0.45">
      <c r="A419">
        <f t="shared" ca="1" si="47"/>
        <v>-0.58924411331274118</v>
      </c>
      <c r="B419">
        <f t="shared" ca="1" si="47"/>
        <v>1.8646214624332356</v>
      </c>
      <c r="D419">
        <f ca="1">SQRT(MAX('HE2'!B418,0))*($G$2+$H$2*A419)</f>
        <v>-0.65622557526918335</v>
      </c>
      <c r="E419">
        <f t="shared" ca="1" si="46"/>
        <v>0.647377586809748</v>
      </c>
      <c r="Q419">
        <f t="shared" ca="1" si="48"/>
        <v>-0.40923839629787251</v>
      </c>
      <c r="R419">
        <f t="shared" ca="1" si="48"/>
        <v>1.2360908287181875</v>
      </c>
    </row>
    <row r="420" spans="1:18" x14ac:dyDescent="0.45">
      <c r="A420">
        <f t="shared" ca="1" si="47"/>
        <v>-0.14239138700950346</v>
      </c>
      <c r="B420">
        <f t="shared" ca="1" si="47"/>
        <v>0.17067983965996084</v>
      </c>
      <c r="D420">
        <f ca="1">SQRT(MAX('HE2'!B419,0))*($G$2+$H$2*A420)</f>
        <v>-0.17217124040956311</v>
      </c>
      <c r="E420">
        <f t="shared" ca="1" si="46"/>
        <v>-1.1505205811626298E-2</v>
      </c>
      <c r="Q420">
        <f t="shared" ca="1" si="48"/>
        <v>-1.0584434815361294</v>
      </c>
      <c r="R420">
        <f t="shared" ca="1" si="48"/>
        <v>0.78882734731348492</v>
      </c>
    </row>
    <row r="421" spans="1:18" x14ac:dyDescent="0.45">
      <c r="A421">
        <f t="shared" ca="1" si="47"/>
        <v>2.1085866445244232E-2</v>
      </c>
      <c r="B421">
        <f t="shared" ca="1" si="47"/>
        <v>1.3740415016371512</v>
      </c>
      <c r="D421">
        <f ca="1">SQRT(MAX('HE2'!B420,0))*($G$2+$H$2*A421)</f>
        <v>2.5468337520233756E-2</v>
      </c>
      <c r="E421">
        <f t="shared" ca="1" si="46"/>
        <v>0.84129359413848603</v>
      </c>
      <c r="Q421">
        <f t="shared" ca="1" si="48"/>
        <v>-0.42440210923208244</v>
      </c>
      <c r="R421">
        <f t="shared" ca="1" si="48"/>
        <v>-0.82551255315820771</v>
      </c>
    </row>
    <row r="422" spans="1:18" x14ac:dyDescent="0.45">
      <c r="A422">
        <f t="shared" ref="A422:B441" ca="1" si="49">NORMINV(RAND(),0,1)</f>
        <v>0.45941956110236876</v>
      </c>
      <c r="B422">
        <f t="shared" ca="1" si="49"/>
        <v>-1.4579901791206813</v>
      </c>
      <c r="D422">
        <f ca="1">SQRT(MAX('HE2'!B421,0))*($G$2+$H$2*A422)</f>
        <v>0.61032127907665623</v>
      </c>
      <c r="E422">
        <f t="shared" ca="1" si="46"/>
        <v>-0.50725845859051355</v>
      </c>
      <c r="Q422">
        <f t="shared" ref="Q422:R441" ca="1" si="50">NORMINV(RAND(),0,1)</f>
        <v>1.480817545163825</v>
      </c>
      <c r="R422">
        <f t="shared" ca="1" si="50"/>
        <v>1.1617448854740891</v>
      </c>
    </row>
    <row r="423" spans="1:18" x14ac:dyDescent="0.45">
      <c r="A423">
        <f t="shared" ca="1" si="49"/>
        <v>-0.5248894990467432</v>
      </c>
      <c r="B423">
        <f t="shared" ca="1" si="49"/>
        <v>0.42966302775465759</v>
      </c>
      <c r="D423">
        <f ca="1">SQRT(MAX('HE2'!B422,0))*($G$2+$H$2*A423)</f>
        <v>-0.65508652692467639</v>
      </c>
      <c r="E423">
        <f t="shared" ca="1" si="46"/>
        <v>-0.16211378258460007</v>
      </c>
      <c r="Q423">
        <f t="shared" ca="1" si="50"/>
        <v>1.0499997306892084</v>
      </c>
      <c r="R423">
        <f t="shared" ca="1" si="50"/>
        <v>-0.17964723458311241</v>
      </c>
    </row>
    <row r="424" spans="1:18" x14ac:dyDescent="0.45">
      <c r="A424">
        <f t="shared" ca="1" si="49"/>
        <v>-1.291889299806414</v>
      </c>
      <c r="B424">
        <f t="shared" ca="1" si="49"/>
        <v>0.63095401124549666</v>
      </c>
      <c r="D424">
        <f ca="1">SQRT(MAX('HE2'!B423,0))*($G$2+$H$2*A424)</f>
        <v>-1.5801438693049157</v>
      </c>
      <c r="E424">
        <f t="shared" ca="1" si="46"/>
        <v>-0.6549390330978333</v>
      </c>
      <c r="Q424">
        <f t="shared" ca="1" si="50"/>
        <v>-2.517033002371579</v>
      </c>
      <c r="R424">
        <f t="shared" ca="1" si="50"/>
        <v>0.14432989001343477</v>
      </c>
    </row>
    <row r="425" spans="1:18" x14ac:dyDescent="0.45">
      <c r="A425">
        <f t="shared" ca="1" si="49"/>
        <v>2.9414752559437196</v>
      </c>
      <c r="B425">
        <f t="shared" ca="1" si="49"/>
        <v>-2.3348136150005052</v>
      </c>
      <c r="D425">
        <f ca="1">SQRT(MAX('HE2'!B424,0))*($G$2+$H$2*A425)</f>
        <v>3.2966358622470158</v>
      </c>
      <c r="E425">
        <f t="shared" ca="1" si="46"/>
        <v>0.95229203575467292</v>
      </c>
      <c r="Q425">
        <f t="shared" ca="1" si="50"/>
        <v>1.0182065361841672</v>
      </c>
      <c r="R425">
        <f t="shared" ca="1" si="50"/>
        <v>-1.7123702448652205</v>
      </c>
    </row>
    <row r="426" spans="1:18" x14ac:dyDescent="0.45">
      <c r="A426">
        <f t="shared" ca="1" si="49"/>
        <v>-1.0814227345610188</v>
      </c>
      <c r="B426">
        <f t="shared" ca="1" si="49"/>
        <v>-1.4005715148690443</v>
      </c>
      <c r="D426">
        <f ca="1">SQRT(MAX('HE2'!B425,0))*($G$2+$H$2*A426)</f>
        <v>-1.3599261003345906</v>
      </c>
      <c r="E426">
        <f t="shared" ca="1" si="46"/>
        <v>-1.7054810965702414</v>
      </c>
      <c r="Q426">
        <f t="shared" ca="1" si="50"/>
        <v>0.1846188739543024</v>
      </c>
      <c r="R426">
        <f t="shared" ca="1" si="50"/>
        <v>0.85100028271268968</v>
      </c>
    </row>
    <row r="427" spans="1:18" x14ac:dyDescent="0.45">
      <c r="A427">
        <f t="shared" ca="1" si="49"/>
        <v>1.5868915613592307</v>
      </c>
      <c r="B427">
        <f t="shared" ca="1" si="49"/>
        <v>0.4305970196540132</v>
      </c>
      <c r="D427">
        <f ca="1">SQRT(MAX('HE2'!B426,0))*($G$2+$H$2*A427)</f>
        <v>1.5357816715566199</v>
      </c>
      <c r="E427">
        <f t="shared" ca="1" si="46"/>
        <v>1.5278714608797925</v>
      </c>
      <c r="Q427">
        <f t="shared" ca="1" si="50"/>
        <v>-0.14476742093046349</v>
      </c>
      <c r="R427">
        <f t="shared" ca="1" si="50"/>
        <v>0.5623905282455206</v>
      </c>
    </row>
    <row r="428" spans="1:18" x14ac:dyDescent="0.45">
      <c r="A428">
        <f t="shared" ca="1" si="49"/>
        <v>0.17594931356427904</v>
      </c>
      <c r="B428">
        <f t="shared" ca="1" si="49"/>
        <v>-1.390118164379992</v>
      </c>
      <c r="D428">
        <f ca="1">SQRT(MAX('HE2'!B427,0))*($G$2+$H$2*A428)</f>
        <v>0.20757220996837245</v>
      </c>
      <c r="E428">
        <f t="shared" ca="1" si="46"/>
        <v>-0.69331144777657172</v>
      </c>
      <c r="Q428">
        <f t="shared" ca="1" si="50"/>
        <v>0.62239558151252661</v>
      </c>
      <c r="R428">
        <f t="shared" ca="1" si="50"/>
        <v>1.3311551712591796</v>
      </c>
    </row>
    <row r="429" spans="1:18" x14ac:dyDescent="0.45">
      <c r="A429">
        <f t="shared" ca="1" si="49"/>
        <v>2.1564392174421725</v>
      </c>
      <c r="B429">
        <f t="shared" ca="1" si="49"/>
        <v>1.1330302509382024</v>
      </c>
      <c r="D429">
        <f ca="1">SQRT(MAX('HE2'!B428,0))*($G$2+$H$2*A429)</f>
        <v>2.3113305192285374</v>
      </c>
      <c r="E429">
        <f t="shared" ca="1" si="46"/>
        <v>2.4049695245166594</v>
      </c>
      <c r="Q429">
        <f t="shared" ca="1" si="50"/>
        <v>1.1951202053091781</v>
      </c>
      <c r="R429">
        <f t="shared" ca="1" si="50"/>
        <v>-0.38237203593929098</v>
      </c>
    </row>
    <row r="430" spans="1:18" x14ac:dyDescent="0.45">
      <c r="A430">
        <f t="shared" ca="1" si="49"/>
        <v>2.0175033892887204</v>
      </c>
      <c r="B430">
        <f t="shared" ca="1" si="49"/>
        <v>0.39195362731399452</v>
      </c>
      <c r="D430">
        <f ca="1">SQRT(MAX('HE2'!B429,0))*($G$2+$H$2*A430)</f>
        <v>2.8023835296922557</v>
      </c>
      <c r="E430">
        <f t="shared" ca="1" si="46"/>
        <v>1.8491748878193732</v>
      </c>
      <c r="Q430">
        <f t="shared" ca="1" si="50"/>
        <v>1.1124451014954859</v>
      </c>
      <c r="R430">
        <f t="shared" ca="1" si="50"/>
        <v>-1.966165377786711</v>
      </c>
    </row>
    <row r="431" spans="1:18" x14ac:dyDescent="0.45">
      <c r="A431">
        <f t="shared" ca="1" si="49"/>
        <v>4.5583158360643562E-2</v>
      </c>
      <c r="B431">
        <f t="shared" ca="1" si="49"/>
        <v>-1.1666152083782747E-2</v>
      </c>
      <c r="D431">
        <f ca="1">SQRT(MAX('HE2'!B430,0))*($G$2+$H$2*A431)</f>
        <v>7.4785136194210872E-2</v>
      </c>
      <c r="E431">
        <f t="shared" ca="1" si="46"/>
        <v>2.9466835438245201E-2</v>
      </c>
      <c r="Q431">
        <f t="shared" ca="1" si="50"/>
        <v>0.96920877681245099</v>
      </c>
      <c r="R431">
        <f t="shared" ca="1" si="50"/>
        <v>-0.64747299785689627</v>
      </c>
    </row>
    <row r="432" spans="1:18" x14ac:dyDescent="0.45">
      <c r="A432">
        <f t="shared" ca="1" si="49"/>
        <v>-0.93113058174729968</v>
      </c>
      <c r="B432">
        <f t="shared" ca="1" si="49"/>
        <v>0.74174092846061135</v>
      </c>
      <c r="D432">
        <f ca="1">SQRT(MAX('HE2'!B431,0))*($G$2+$H$2*A432)</f>
        <v>-1.5250678162972608</v>
      </c>
      <c r="E432">
        <f t="shared" ca="1" si="46"/>
        <v>-0.29985990832147313</v>
      </c>
      <c r="Q432">
        <f t="shared" ca="1" si="50"/>
        <v>1.1269060565379931</v>
      </c>
      <c r="R432">
        <f t="shared" ca="1" si="50"/>
        <v>-6.2320241967831237E-2</v>
      </c>
    </row>
    <row r="433" spans="1:18" x14ac:dyDescent="0.45">
      <c r="A433">
        <f t="shared" ca="1" si="49"/>
        <v>-0.74535861602907971</v>
      </c>
      <c r="B433">
        <f t="shared" ca="1" si="49"/>
        <v>-0.39226369253596716</v>
      </c>
      <c r="D433">
        <f ca="1">SQRT(MAX('HE2'!B432,0))*($G$2+$H$2*A433)</f>
        <v>-1.1813132617214446</v>
      </c>
      <c r="E433">
        <f t="shared" ca="1" si="46"/>
        <v>-0.83164510834484395</v>
      </c>
      <c r="Q433">
        <f t="shared" ca="1" si="50"/>
        <v>1.1995669007145127</v>
      </c>
      <c r="R433">
        <f t="shared" ca="1" si="50"/>
        <v>0.33057372013565467</v>
      </c>
    </row>
    <row r="434" spans="1:18" x14ac:dyDescent="0.45">
      <c r="A434">
        <f t="shared" ca="1" si="49"/>
        <v>-0.82733171713380493</v>
      </c>
      <c r="B434">
        <f t="shared" ca="1" si="49"/>
        <v>-0.44499728261286431</v>
      </c>
      <c r="D434">
        <f ca="1">SQRT(MAX('HE2'!B433,0))*($G$2+$H$2*A434)</f>
        <v>-1.1979163467702234</v>
      </c>
      <c r="E434">
        <f t="shared" ca="1" si="46"/>
        <v>-0.92886374327476262</v>
      </c>
      <c r="Q434">
        <f t="shared" ca="1" si="50"/>
        <v>-0.1770886510322259</v>
      </c>
      <c r="R434">
        <f t="shared" ca="1" si="50"/>
        <v>0.42403079497693924</v>
      </c>
    </row>
    <row r="435" spans="1:18" x14ac:dyDescent="0.45">
      <c r="A435">
        <f t="shared" ca="1" si="49"/>
        <v>1.533191368387</v>
      </c>
      <c r="B435">
        <f t="shared" ca="1" si="49"/>
        <v>2.0187200880199234</v>
      </c>
      <c r="D435">
        <f ca="1">SQRT(MAX('HE2'!B434,0))*($G$2+$H$2*A435)</f>
        <v>1.9880437683978436</v>
      </c>
      <c r="E435">
        <f t="shared" ca="1" si="46"/>
        <v>2.437785147521554</v>
      </c>
      <c r="Q435">
        <f t="shared" ca="1" si="50"/>
        <v>-1.3831952007699466</v>
      </c>
      <c r="R435">
        <f t="shared" ca="1" si="50"/>
        <v>0.43996513546552635</v>
      </c>
    </row>
    <row r="436" spans="1:18" x14ac:dyDescent="0.45">
      <c r="A436">
        <f t="shared" ca="1" si="49"/>
        <v>-1.5622513059638095</v>
      </c>
      <c r="B436">
        <f t="shared" ca="1" si="49"/>
        <v>-0.9833276896433234</v>
      </c>
      <c r="D436">
        <f ca="1">SQRT(MAX('HE2'!B435,0))*($G$2+$H$2*A436)</f>
        <v>-2.5317611522820695</v>
      </c>
      <c r="E436">
        <f t="shared" ca="1" si="46"/>
        <v>-1.8397976585570417</v>
      </c>
      <c r="Q436">
        <f t="shared" ca="1" si="50"/>
        <v>-0.80333415675820885</v>
      </c>
      <c r="R436">
        <f t="shared" ca="1" si="50"/>
        <v>0.10652282277329995</v>
      </c>
    </row>
    <row r="437" spans="1:18" x14ac:dyDescent="0.45">
      <c r="A437">
        <f t="shared" ca="1" si="49"/>
        <v>7.8291960162882576E-2</v>
      </c>
      <c r="B437">
        <f t="shared" ca="1" si="49"/>
        <v>-0.54382992997795288</v>
      </c>
      <c r="D437">
        <f ca="1">SQRT(MAX('HE2'!B436,0))*($G$2+$H$2*A437)</f>
        <v>0.10236725382301001</v>
      </c>
      <c r="E437">
        <f t="shared" ca="1" si="46"/>
        <v>-0.26366438985646556</v>
      </c>
      <c r="Q437">
        <f t="shared" ca="1" si="50"/>
        <v>-0.62279522851852132</v>
      </c>
      <c r="R437">
        <f t="shared" ca="1" si="50"/>
        <v>0.59609617980624652</v>
      </c>
    </row>
    <row r="438" spans="1:18" x14ac:dyDescent="0.45">
      <c r="A438">
        <f t="shared" ca="1" si="49"/>
        <v>-1.6957790248954701</v>
      </c>
      <c r="B438">
        <f t="shared" ca="1" si="49"/>
        <v>-1.1777246373981305</v>
      </c>
      <c r="D438">
        <f ca="1">SQRT(MAX('HE2'!B437,0))*($G$2+$H$2*A438)</f>
        <v>-2.1465020141145819</v>
      </c>
      <c r="E438">
        <f t="shared" ca="1" si="46"/>
        <v>-2.063258002355254</v>
      </c>
      <c r="Q438">
        <f t="shared" ca="1" si="50"/>
        <v>0.67932099621842879</v>
      </c>
      <c r="R438">
        <f t="shared" ca="1" si="50"/>
        <v>0.66578148755196886</v>
      </c>
    </row>
    <row r="439" spans="1:18" x14ac:dyDescent="0.45">
      <c r="A439">
        <f t="shared" ca="1" si="49"/>
        <v>0.19385886950224182</v>
      </c>
      <c r="B439">
        <f t="shared" ca="1" si="49"/>
        <v>-0.22858796789347488</v>
      </c>
      <c r="D439">
        <f ca="1">SQRT(MAX('HE2'!B438,0))*($G$2+$H$2*A439)</f>
        <v>0.17522037704251719</v>
      </c>
      <c r="E439">
        <f t="shared" ca="1" si="46"/>
        <v>1.7934314865708567E-2</v>
      </c>
      <c r="Q439">
        <f t="shared" ca="1" si="50"/>
        <v>0.80846301213359517</v>
      </c>
      <c r="R439">
        <f t="shared" ca="1" si="50"/>
        <v>1.7853452314166934E-2</v>
      </c>
    </row>
    <row r="440" spans="1:18" x14ac:dyDescent="0.45">
      <c r="A440">
        <f t="shared" ca="1" si="49"/>
        <v>-1.6397824542236279</v>
      </c>
      <c r="B440">
        <f t="shared" ca="1" si="49"/>
        <v>-0.5279707767174151</v>
      </c>
      <c r="D440">
        <f ca="1">SQRT(MAX('HE2'!B439,0))*($G$2+$H$2*A440)</f>
        <v>-1.4990754680492793</v>
      </c>
      <c r="E440">
        <f t="shared" ca="1" si="46"/>
        <v>-1.6286084294093515</v>
      </c>
      <c r="Q440">
        <f t="shared" ca="1" si="50"/>
        <v>1.1463066987219914</v>
      </c>
      <c r="R440">
        <f t="shared" ca="1" si="50"/>
        <v>-0.46116882259455733</v>
      </c>
    </row>
    <row r="441" spans="1:18" x14ac:dyDescent="0.45">
      <c r="A441">
        <f t="shared" ca="1" si="49"/>
        <v>1.0849252315952402</v>
      </c>
      <c r="B441">
        <f t="shared" ca="1" si="49"/>
        <v>-0.82698241980815956</v>
      </c>
      <c r="D441">
        <f ca="1">SQRT(MAX('HE2'!B440,0))*($G$2+$H$2*A441)</f>
        <v>0.6884287966500281</v>
      </c>
      <c r="E441">
        <f t="shared" ca="1" si="46"/>
        <v>0.37175073339129661</v>
      </c>
      <c r="Q441">
        <f t="shared" ca="1" si="50"/>
        <v>0.57295985856085996</v>
      </c>
      <c r="R441">
        <f t="shared" ca="1" si="50"/>
        <v>-0.710790312339321</v>
      </c>
    </row>
    <row r="442" spans="1:18" x14ac:dyDescent="0.45">
      <c r="A442">
        <f t="shared" ref="A442:B461" ca="1" si="51">NORMINV(RAND(),0,1)</f>
        <v>0.55320552642004805</v>
      </c>
      <c r="B442">
        <f t="shared" ca="1" si="51"/>
        <v>1.1251364164526776</v>
      </c>
      <c r="D442">
        <f ca="1">SQRT(MAX('HE2'!B441,0))*($G$2+$H$2*A442)</f>
        <v>0.38945976678251931</v>
      </c>
      <c r="E442">
        <f t="shared" ca="1" si="46"/>
        <v>1.1176462710076449</v>
      </c>
      <c r="Q442">
        <f t="shared" ref="Q442:R461" ca="1" si="52">NORMINV(RAND(),0,1)</f>
        <v>-0.82261189503856569</v>
      </c>
      <c r="R442">
        <f t="shared" ca="1" si="52"/>
        <v>-1.0912794537684338</v>
      </c>
    </row>
    <row r="443" spans="1:18" x14ac:dyDescent="0.45">
      <c r="A443">
        <f t="shared" ca="1" si="51"/>
        <v>0.18223810603974791</v>
      </c>
      <c r="B443">
        <f t="shared" ca="1" si="51"/>
        <v>-1.9126591322241621E-2</v>
      </c>
      <c r="D443">
        <f ca="1">SQRT(MAX('HE2'!B442,0))*($G$2+$H$2*A443)</f>
        <v>0.15803607331494998</v>
      </c>
      <c r="E443">
        <f t="shared" ca="1" si="46"/>
        <v>0.13431453003845334</v>
      </c>
      <c r="Q443">
        <f t="shared" ca="1" si="52"/>
        <v>-7.4620512301824996E-2</v>
      </c>
      <c r="R443">
        <f t="shared" ca="1" si="52"/>
        <v>0.1551857902996947</v>
      </c>
    </row>
    <row r="444" spans="1:18" x14ac:dyDescent="0.45">
      <c r="A444">
        <f t="shared" ca="1" si="51"/>
        <v>0.12786838718112242</v>
      </c>
      <c r="B444">
        <f t="shared" ca="1" si="51"/>
        <v>-0.81440615218691859</v>
      </c>
      <c r="D444">
        <f ca="1">SQRT(MAX('HE2'!B443,0))*($G$2+$H$2*A444)</f>
        <v>0.11452601436086662</v>
      </c>
      <c r="E444">
        <f t="shared" ca="1" si="46"/>
        <v>-0.38634898156725306</v>
      </c>
      <c r="Q444">
        <f t="shared" ca="1" si="52"/>
        <v>-0.82043458889640952</v>
      </c>
      <c r="R444">
        <f t="shared" ca="1" si="52"/>
        <v>1.8850634478365293</v>
      </c>
    </row>
    <row r="445" spans="1:18" x14ac:dyDescent="0.45">
      <c r="A445">
        <f t="shared" ca="1" si="51"/>
        <v>0.51318408807391536</v>
      </c>
      <c r="B445">
        <f t="shared" ca="1" si="51"/>
        <v>1.4247283297879225</v>
      </c>
      <c r="D445">
        <f ca="1">SQRT(MAX('HE2'!B444,0))*($G$2+$H$2*A445)</f>
        <v>0.43321127000892229</v>
      </c>
      <c r="E445">
        <f t="shared" ca="1" si="46"/>
        <v>1.2653842683318857</v>
      </c>
      <c r="Q445">
        <f t="shared" ca="1" si="52"/>
        <v>-1.0884615670600084</v>
      </c>
      <c r="R445">
        <f t="shared" ca="1" si="52"/>
        <v>0.78636364306015194</v>
      </c>
    </row>
    <row r="446" spans="1:18" x14ac:dyDescent="0.45">
      <c r="A446">
        <f t="shared" ca="1" si="51"/>
        <v>-0.10318996003500235</v>
      </c>
      <c r="B446">
        <f t="shared" ca="1" si="51"/>
        <v>0.59616196262594612</v>
      </c>
      <c r="D446">
        <f ca="1">SQRT(MAX('HE2'!B445,0))*($G$2+$H$2*A446)</f>
        <v>-0.1056921680798223</v>
      </c>
      <c r="E446">
        <f t="shared" ca="1" si="46"/>
        <v>0.27514520954756572</v>
      </c>
      <c r="Q446">
        <f t="shared" ca="1" si="52"/>
        <v>-0.85975282248539908</v>
      </c>
      <c r="R446">
        <f t="shared" ca="1" si="52"/>
        <v>-1.0365756350972266</v>
      </c>
    </row>
    <row r="447" spans="1:18" x14ac:dyDescent="0.45">
      <c r="A447">
        <f t="shared" ca="1" si="51"/>
        <v>0.50435045695698399</v>
      </c>
      <c r="B447">
        <f t="shared" ca="1" si="51"/>
        <v>0.16781426183670331</v>
      </c>
      <c r="D447">
        <f ca="1">SQRT(MAX('HE2'!B446,0))*($G$2+$H$2*A447)</f>
        <v>0.53918732837756045</v>
      </c>
      <c r="E447">
        <f t="shared" ca="1" si="46"/>
        <v>0.50416892266760915</v>
      </c>
      <c r="Q447">
        <f t="shared" ca="1" si="52"/>
        <v>1.0876987696078331</v>
      </c>
      <c r="R447">
        <f t="shared" ca="1" si="52"/>
        <v>-2.4419598755053622</v>
      </c>
    </row>
    <row r="448" spans="1:18" x14ac:dyDescent="0.45">
      <c r="A448">
        <f t="shared" ca="1" si="51"/>
        <v>0.43980407545244771</v>
      </c>
      <c r="B448">
        <f t="shared" ca="1" si="51"/>
        <v>0.60319707920079624</v>
      </c>
      <c r="D448">
        <f ca="1">SQRT(MAX('HE2'!B447,0))*($G$2+$H$2*A448)</f>
        <v>0.50376752725768559</v>
      </c>
      <c r="E448">
        <f t="shared" ca="1" si="46"/>
        <v>0.71376150788243586</v>
      </c>
      <c r="Q448">
        <f t="shared" ca="1" si="52"/>
        <v>0.17951770451112078</v>
      </c>
      <c r="R448">
        <f t="shared" ca="1" si="52"/>
        <v>-0.1344460964484101</v>
      </c>
    </row>
    <row r="449" spans="1:18" x14ac:dyDescent="0.45">
      <c r="A449">
        <f t="shared" ca="1" si="51"/>
        <v>0.92177208832926094</v>
      </c>
      <c r="B449">
        <f t="shared" ca="1" si="51"/>
        <v>-1.0661488030972996</v>
      </c>
      <c r="D449">
        <f ca="1">SQRT(MAX('HE2'!B448,0))*($G$2+$H$2*A449)</f>
        <v>1.1517807595044847</v>
      </c>
      <c r="E449">
        <f t="shared" ca="1" si="46"/>
        <v>9.7728388805029098E-2</v>
      </c>
      <c r="Q449">
        <f t="shared" ca="1" si="52"/>
        <v>-5.966648233942403E-2</v>
      </c>
      <c r="R449">
        <f t="shared" ca="1" si="52"/>
        <v>0.1880735567846083</v>
      </c>
    </row>
    <row r="450" spans="1:18" x14ac:dyDescent="0.45">
      <c r="A450">
        <f t="shared" ca="1" si="51"/>
        <v>0.67411645087044791</v>
      </c>
      <c r="B450">
        <f t="shared" ca="1" si="51"/>
        <v>-0.76395848117597154</v>
      </c>
      <c r="D450">
        <f ca="1">SQRT(MAX('HE2'!B449,0))*($G$2+$H$2*A450)</f>
        <v>0.8518970653021487</v>
      </c>
      <c r="E450">
        <f t="shared" ref="E450:E513" ca="1" si="53">$I$2+$J$2*(A450*$K$2 + B450*POWER(1-$K$2*$K$2, 0.5))</f>
        <v>8.0918071990775553E-2</v>
      </c>
      <c r="Q450">
        <f t="shared" ca="1" si="52"/>
        <v>-0.57360289109070972</v>
      </c>
      <c r="R450">
        <f t="shared" ca="1" si="52"/>
        <v>2.1694456191582887</v>
      </c>
    </row>
    <row r="451" spans="1:18" x14ac:dyDescent="0.45">
      <c r="A451">
        <f t="shared" ca="1" si="51"/>
        <v>-0.57892799300063968</v>
      </c>
      <c r="B451">
        <f t="shared" ca="1" si="51"/>
        <v>1.6138024162726239</v>
      </c>
      <c r="D451">
        <f ca="1">SQRT(MAX('HE2'!B450,0))*($G$2+$H$2*A451)</f>
        <v>-0.73821912742425333</v>
      </c>
      <c r="E451">
        <f t="shared" ca="1" si="53"/>
        <v>0.50513905536306236</v>
      </c>
      <c r="Q451">
        <f t="shared" ca="1" si="52"/>
        <v>0.8448779998752175</v>
      </c>
      <c r="R451">
        <f t="shared" ca="1" si="52"/>
        <v>-0.57866825889707874</v>
      </c>
    </row>
    <row r="452" spans="1:18" x14ac:dyDescent="0.45">
      <c r="A452">
        <f t="shared" ca="1" si="51"/>
        <v>-1.6044563277676076</v>
      </c>
      <c r="B452">
        <f t="shared" ca="1" si="51"/>
        <v>-1.5071301949261378</v>
      </c>
      <c r="D452">
        <f ca="1">SQRT(MAX('HE2'!B451,0))*($G$2+$H$2*A452)</f>
        <v>-2.1627390809771696</v>
      </c>
      <c r="E452">
        <f t="shared" ca="1" si="53"/>
        <v>-2.1878431791697688</v>
      </c>
      <c r="Q452">
        <f t="shared" ca="1" si="52"/>
        <v>-1.8138043394236101</v>
      </c>
      <c r="R452">
        <f t="shared" ca="1" si="52"/>
        <v>-1.1568012659142048</v>
      </c>
    </row>
    <row r="453" spans="1:18" x14ac:dyDescent="0.45">
      <c r="A453">
        <f t="shared" ca="1" si="51"/>
        <v>-0.52035272258229581</v>
      </c>
      <c r="B453">
        <f t="shared" ca="1" si="51"/>
        <v>-1.2481943323695008</v>
      </c>
      <c r="D453">
        <f ca="1">SQRT(MAX('HE2'!B452,0))*($G$2+$H$2*A453)</f>
        <v>-0.50077885264994948</v>
      </c>
      <c r="E453">
        <f t="shared" ca="1" si="53"/>
        <v>-1.165198777487537</v>
      </c>
      <c r="Q453">
        <f t="shared" ca="1" si="52"/>
        <v>1.1633018337030296</v>
      </c>
      <c r="R453">
        <f t="shared" ca="1" si="52"/>
        <v>-0.58284407030862229</v>
      </c>
    </row>
    <row r="454" spans="1:18" x14ac:dyDescent="0.45">
      <c r="A454">
        <f t="shared" ca="1" si="51"/>
        <v>-0.46479902397356088</v>
      </c>
      <c r="B454">
        <f t="shared" ca="1" si="51"/>
        <v>-1.1427450539782857</v>
      </c>
      <c r="D454">
        <f ca="1">SQRT(MAX('HE2'!B453,0))*($G$2+$H$2*A454)</f>
        <v>-0.36048629114038061</v>
      </c>
      <c r="E454">
        <f t="shared" ca="1" si="53"/>
        <v>-1.0574862515658201</v>
      </c>
      <c r="Q454">
        <f t="shared" ca="1" si="52"/>
        <v>0.96013918192894854</v>
      </c>
      <c r="R454">
        <f t="shared" ca="1" si="52"/>
        <v>1.8528828113225158</v>
      </c>
    </row>
    <row r="455" spans="1:18" x14ac:dyDescent="0.45">
      <c r="A455">
        <f t="shared" ca="1" si="51"/>
        <v>-1.3079792879691221</v>
      </c>
      <c r="B455">
        <f t="shared" ca="1" si="51"/>
        <v>0.32123833192892787</v>
      </c>
      <c r="D455">
        <f ca="1">SQRT(MAX('HE2'!B454,0))*($G$2+$H$2*A455)</f>
        <v>-0.79958703918206608</v>
      </c>
      <c r="E455">
        <f t="shared" ca="1" si="53"/>
        <v>-0.85364043121794098</v>
      </c>
      <c r="Q455">
        <f t="shared" ca="1" si="52"/>
        <v>-0.8161945612042063</v>
      </c>
      <c r="R455">
        <f t="shared" ca="1" si="52"/>
        <v>-0.20822383725189994</v>
      </c>
    </row>
    <row r="456" spans="1:18" x14ac:dyDescent="0.45">
      <c r="A456">
        <f t="shared" ca="1" si="51"/>
        <v>0.7707834100232821</v>
      </c>
      <c r="B456">
        <f t="shared" ca="1" si="51"/>
        <v>-0.37641661125386394</v>
      </c>
      <c r="D456">
        <f ca="1">SQRT(MAX('HE2'!B455,0))*($G$2+$H$2*A456)</f>
        <v>0.37756329377672615</v>
      </c>
      <c r="E456">
        <f t="shared" ca="1" si="53"/>
        <v>0.39077676126630745</v>
      </c>
      <c r="Q456">
        <f t="shared" ca="1" si="52"/>
        <v>-3.1891020175168767E-2</v>
      </c>
      <c r="R456">
        <f t="shared" ca="1" si="52"/>
        <v>-0.92371390896878358</v>
      </c>
    </row>
    <row r="457" spans="1:18" x14ac:dyDescent="0.45">
      <c r="A457">
        <f t="shared" ca="1" si="51"/>
        <v>-2.5724442267114287</v>
      </c>
      <c r="B457">
        <f t="shared" ca="1" si="51"/>
        <v>-1.9906231249170796</v>
      </c>
      <c r="D457">
        <f ca="1">SQRT(MAX('HE2'!B456,0))*($G$2+$H$2*A457)</f>
        <v>-1.4616410529705908</v>
      </c>
      <c r="E457">
        <f t="shared" ca="1" si="53"/>
        <v>-3.2523292563193906</v>
      </c>
      <c r="Q457">
        <f t="shared" ca="1" si="52"/>
        <v>1.4577846305629762</v>
      </c>
      <c r="R457">
        <f t="shared" ca="1" si="52"/>
        <v>0.58541878467591979</v>
      </c>
    </row>
    <row r="458" spans="1:18" x14ac:dyDescent="0.45">
      <c r="A458">
        <f t="shared" ca="1" si="51"/>
        <v>-0.91269471662562962</v>
      </c>
      <c r="B458">
        <f t="shared" ca="1" si="51"/>
        <v>-0.62178231136271922</v>
      </c>
      <c r="D458">
        <f ca="1">SQRT(MAX('HE2'!B457,0))*($G$2+$H$2*A458)</f>
        <v>0</v>
      </c>
      <c r="E458">
        <f t="shared" ca="1" si="53"/>
        <v>-1.1032251601181353</v>
      </c>
      <c r="Q458">
        <f t="shared" ca="1" si="52"/>
        <v>0.85756582954228167</v>
      </c>
      <c r="R458">
        <f t="shared" ca="1" si="52"/>
        <v>0.57093516999910643</v>
      </c>
    </row>
    <row r="459" spans="1:18" x14ac:dyDescent="0.45">
      <c r="A459">
        <f t="shared" ca="1" si="51"/>
        <v>1.2158570120029268</v>
      </c>
      <c r="B459">
        <f t="shared" ca="1" si="51"/>
        <v>-0.95525459031344262</v>
      </c>
      <c r="D459">
        <f ca="1">SQRT(MAX('HE2'!B458,0))*($G$2+$H$2*A459)</f>
        <v>0</v>
      </c>
      <c r="E459">
        <f t="shared" ca="1" si="53"/>
        <v>0.39953285541427608</v>
      </c>
      <c r="Q459">
        <f t="shared" ca="1" si="52"/>
        <v>0.96121490841166835</v>
      </c>
      <c r="R459">
        <f t="shared" ca="1" si="52"/>
        <v>-2.2392029566002813</v>
      </c>
    </row>
    <row r="460" spans="1:18" x14ac:dyDescent="0.45">
      <c r="A460">
        <f t="shared" ca="1" si="51"/>
        <v>0.66570456683738832</v>
      </c>
      <c r="B460">
        <f t="shared" ca="1" si="51"/>
        <v>2.6964713973635077</v>
      </c>
      <c r="D460">
        <f ca="1">SQRT(MAX('HE2'!B459,0))*($G$2+$H$2*A460)</f>
        <v>0</v>
      </c>
      <c r="E460">
        <f t="shared" ca="1" si="53"/>
        <v>2.1504464918880148</v>
      </c>
      <c r="Q460">
        <f t="shared" ca="1" si="52"/>
        <v>0.89631511493925708</v>
      </c>
      <c r="R460">
        <f t="shared" ca="1" si="52"/>
        <v>7.3817327677249606E-2</v>
      </c>
    </row>
    <row r="461" spans="1:18" x14ac:dyDescent="0.45">
      <c r="A461">
        <f t="shared" ca="1" si="51"/>
        <v>1.7015177434200082</v>
      </c>
      <c r="B461">
        <f t="shared" ca="1" si="51"/>
        <v>-0.33425804485525162</v>
      </c>
      <c r="D461">
        <f ca="1">SQRT(MAX('HE2'!B460,0))*($G$2+$H$2*A461)</f>
        <v>0</v>
      </c>
      <c r="E461">
        <f t="shared" ca="1" si="53"/>
        <v>1.1606593678228556</v>
      </c>
      <c r="Q461">
        <f t="shared" ca="1" si="52"/>
        <v>-1.1147280596819715</v>
      </c>
      <c r="R461">
        <f t="shared" ca="1" si="52"/>
        <v>1.2422665592152531</v>
      </c>
    </row>
    <row r="462" spans="1:18" x14ac:dyDescent="0.45">
      <c r="A462">
        <f t="shared" ref="A462:B481" ca="1" si="54">NORMINV(RAND(),0,1)</f>
        <v>-1.1168935296269</v>
      </c>
      <c r="B462">
        <f t="shared" ca="1" si="54"/>
        <v>-0.4119236246614581</v>
      </c>
      <c r="D462">
        <f ca="1">SQRT(MAX('HE2'!B461,0))*($G$2+$H$2*A462)</f>
        <v>0</v>
      </c>
      <c r="E462">
        <f t="shared" ca="1" si="53"/>
        <v>-1.1406689984983949</v>
      </c>
      <c r="Q462">
        <f t="shared" ref="Q462:R481" ca="1" si="55">NORMINV(RAND(),0,1)</f>
        <v>1.9563725499794526</v>
      </c>
      <c r="R462">
        <f t="shared" ca="1" si="55"/>
        <v>0.47850656821902937</v>
      </c>
    </row>
    <row r="463" spans="1:18" x14ac:dyDescent="0.45">
      <c r="A463">
        <f t="shared" ca="1" si="54"/>
        <v>-1.3991712506035761</v>
      </c>
      <c r="B463">
        <f t="shared" ca="1" si="54"/>
        <v>1.1306092132962957</v>
      </c>
      <c r="D463">
        <f ca="1">SQRT(MAX('HE2'!B462,0))*($G$2+$H$2*A463)</f>
        <v>0</v>
      </c>
      <c r="E463">
        <f t="shared" ca="1" si="53"/>
        <v>-0.44097147250508362</v>
      </c>
      <c r="Q463">
        <f t="shared" ca="1" si="55"/>
        <v>0.98003310672330812</v>
      </c>
      <c r="R463">
        <f t="shared" ca="1" si="55"/>
        <v>-0.5964383005140107</v>
      </c>
    </row>
    <row r="464" spans="1:18" x14ac:dyDescent="0.45">
      <c r="A464">
        <f t="shared" ca="1" si="54"/>
        <v>-0.88799763559511569</v>
      </c>
      <c r="B464">
        <f t="shared" ca="1" si="54"/>
        <v>0.77885204657010065</v>
      </c>
      <c r="D464">
        <f ca="1">SQRT(MAX('HE2'!B463,0))*($G$2+$H$2*A464)</f>
        <v>0</v>
      </c>
      <c r="E464">
        <f t="shared" ca="1" si="53"/>
        <v>-0.24308688053403232</v>
      </c>
      <c r="Q464">
        <f t="shared" ca="1" si="55"/>
        <v>0.30183066418537924</v>
      </c>
      <c r="R464">
        <f t="shared" ca="1" si="55"/>
        <v>-1.133946726753686</v>
      </c>
    </row>
    <row r="465" spans="1:18" x14ac:dyDescent="0.45">
      <c r="A465">
        <f t="shared" ca="1" si="54"/>
        <v>1.0154072239653118</v>
      </c>
      <c r="B465">
        <f t="shared" ca="1" si="54"/>
        <v>0.90678934049077253</v>
      </c>
      <c r="D465">
        <f ca="1">SQRT(MAX('HE2'!B464,0))*($G$2+$H$2*A465)</f>
        <v>6.5373643458506256E-2</v>
      </c>
      <c r="E465">
        <f t="shared" ca="1" si="53"/>
        <v>1.3563993834667127</v>
      </c>
      <c r="Q465">
        <f t="shared" ca="1" si="55"/>
        <v>2.3851041142061171</v>
      </c>
      <c r="R465">
        <f t="shared" ca="1" si="55"/>
        <v>1.6062569577086785</v>
      </c>
    </row>
    <row r="466" spans="1:18" x14ac:dyDescent="0.45">
      <c r="A466">
        <f t="shared" ca="1" si="54"/>
        <v>-0.74637026516392313</v>
      </c>
      <c r="B466">
        <f t="shared" ca="1" si="54"/>
        <v>-2.5892007498891503</v>
      </c>
      <c r="D466">
        <f ca="1">SQRT(MAX('HE2'!B465,0))*($G$2+$H$2*A466)</f>
        <v>-0.18362573259221937</v>
      </c>
      <c r="E466">
        <f t="shared" ca="1" si="53"/>
        <v>-2.1506166620646283</v>
      </c>
      <c r="Q466">
        <f t="shared" ca="1" si="55"/>
        <v>0.48904991744399673</v>
      </c>
      <c r="R466">
        <f t="shared" ca="1" si="55"/>
        <v>-0.84641604797437497</v>
      </c>
    </row>
    <row r="467" spans="1:18" x14ac:dyDescent="0.45">
      <c r="A467">
        <f t="shared" ca="1" si="54"/>
        <v>-0.2895249907198762</v>
      </c>
      <c r="B467">
        <f t="shared" ca="1" si="54"/>
        <v>0.38744540448537407</v>
      </c>
      <c r="D467">
        <f ca="1">SQRT(MAX('HE2'!B466,0))*($G$2+$H$2*A467)</f>
        <v>0</v>
      </c>
      <c r="E467">
        <f t="shared" ca="1" si="53"/>
        <v>8.4725011532343908E-4</v>
      </c>
      <c r="Q467">
        <f t="shared" ca="1" si="55"/>
        <v>1.5064716326667578</v>
      </c>
      <c r="R467">
        <f t="shared" ca="1" si="55"/>
        <v>0.55671875831504802</v>
      </c>
    </row>
    <row r="468" spans="1:18" x14ac:dyDescent="0.45">
      <c r="A468">
        <f t="shared" ca="1" si="54"/>
        <v>-1.6171003643988253</v>
      </c>
      <c r="B468">
        <f t="shared" ca="1" si="54"/>
        <v>-1.6822039868236047</v>
      </c>
      <c r="D468">
        <f ca="1">SQRT(MAX('HE2'!B467,0))*($G$2+$H$2*A468)</f>
        <v>0</v>
      </c>
      <c r="E468">
        <f t="shared" ca="1" si="53"/>
        <v>-2.3030026836132231</v>
      </c>
      <c r="Q468">
        <f t="shared" ca="1" si="55"/>
        <v>0.16980159375356907</v>
      </c>
      <c r="R468">
        <f t="shared" ca="1" si="55"/>
        <v>-0.31732996418503023</v>
      </c>
    </row>
    <row r="469" spans="1:18" x14ac:dyDescent="0.45">
      <c r="A469">
        <f t="shared" ca="1" si="54"/>
        <v>-0.21663652855879267</v>
      </c>
      <c r="B469">
        <f t="shared" ca="1" si="54"/>
        <v>-0.47823623745639465</v>
      </c>
      <c r="D469">
        <f ca="1">SQRT(MAX('HE2'!B468,0))*($G$2+$H$2*A469)</f>
        <v>0</v>
      </c>
      <c r="E469">
        <f t="shared" ca="1" si="53"/>
        <v>-0.4602509653208709</v>
      </c>
      <c r="Q469">
        <f t="shared" ca="1" si="55"/>
        <v>0.43296268966798207</v>
      </c>
      <c r="R469">
        <f t="shared" ca="1" si="55"/>
        <v>0.39714825825649674</v>
      </c>
    </row>
    <row r="470" spans="1:18" x14ac:dyDescent="0.45">
      <c r="A470">
        <f t="shared" ca="1" si="54"/>
        <v>-1.3641315415404889</v>
      </c>
      <c r="B470">
        <f t="shared" ca="1" si="54"/>
        <v>3.2610632465315668E-2</v>
      </c>
      <c r="D470">
        <f ca="1">SQRT(MAX('HE2'!B469,0))*($G$2+$H$2*A470)</f>
        <v>-0.20075501696840636</v>
      </c>
      <c r="E470">
        <f t="shared" ca="1" si="53"/>
        <v>-1.0717388537532018</v>
      </c>
      <c r="Q470">
        <f t="shared" ca="1" si="55"/>
        <v>-1.2689413298817751</v>
      </c>
      <c r="R470">
        <f t="shared" ca="1" si="55"/>
        <v>0.46114166260396366</v>
      </c>
    </row>
    <row r="471" spans="1:18" x14ac:dyDescent="0.45">
      <c r="A471">
        <f t="shared" ca="1" si="54"/>
        <v>-9.5844101184172456E-2</v>
      </c>
      <c r="B471">
        <f t="shared" ca="1" si="54"/>
        <v>0.97726950591853246</v>
      </c>
      <c r="D471">
        <f ca="1">SQRT(MAX('HE2'!B470,0))*($G$2+$H$2*A471)</f>
        <v>-6.1933305334850109E-3</v>
      </c>
      <c r="E471">
        <f t="shared" ca="1" si="53"/>
        <v>0.50968642260378139</v>
      </c>
      <c r="Q471">
        <f t="shared" ca="1" si="55"/>
        <v>-2.8476883715245118</v>
      </c>
      <c r="R471">
        <f t="shared" ca="1" si="55"/>
        <v>0.89571943617807626</v>
      </c>
    </row>
    <row r="472" spans="1:18" x14ac:dyDescent="0.45">
      <c r="A472">
        <f t="shared" ca="1" si="54"/>
        <v>0.69379563018121804</v>
      </c>
      <c r="B472">
        <f t="shared" ca="1" si="54"/>
        <v>-5.9317632158249214E-2</v>
      </c>
      <c r="D472">
        <f ca="1">SQRT(MAX('HE2'!B471,0))*($G$2+$H$2*A472)</f>
        <v>0.14592927629205069</v>
      </c>
      <c r="E472">
        <f t="shared" ca="1" si="53"/>
        <v>0.51944592485002494</v>
      </c>
      <c r="Q472">
        <f t="shared" ca="1" si="55"/>
        <v>0.76128282358072874</v>
      </c>
      <c r="R472">
        <f t="shared" ca="1" si="55"/>
        <v>0.20264851614893589</v>
      </c>
    </row>
    <row r="473" spans="1:18" x14ac:dyDescent="0.45">
      <c r="A473">
        <f t="shared" ca="1" si="54"/>
        <v>0.78674267550906807</v>
      </c>
      <c r="B473">
        <f t="shared" ca="1" si="54"/>
        <v>0.69899187280451702</v>
      </c>
      <c r="D473">
        <f ca="1">SQRT(MAX('HE2'!B472,0))*($G$2+$H$2*A473)</f>
        <v>0.25662902975326857</v>
      </c>
      <c r="E473">
        <f t="shared" ca="1" si="53"/>
        <v>1.0487892640899648</v>
      </c>
      <c r="Q473">
        <f t="shared" ca="1" si="55"/>
        <v>0.36075207558453559</v>
      </c>
      <c r="R473">
        <f t="shared" ca="1" si="55"/>
        <v>0.35252289172957219</v>
      </c>
    </row>
    <row r="474" spans="1:18" x14ac:dyDescent="0.45">
      <c r="A474">
        <f t="shared" ca="1" si="54"/>
        <v>0.47992893371580314</v>
      </c>
      <c r="B474">
        <f t="shared" ca="1" si="54"/>
        <v>-1.4187549293152091</v>
      </c>
      <c r="D474">
        <f ca="1">SQRT(MAX('HE2'!B473,0))*($G$2+$H$2*A474)</f>
        <v>0.23372737672370433</v>
      </c>
      <c r="E474">
        <f t="shared" ca="1" si="53"/>
        <v>-0.46730981061648269</v>
      </c>
      <c r="Q474">
        <f t="shared" ca="1" si="55"/>
        <v>-1.9132655104708103</v>
      </c>
      <c r="R474">
        <f t="shared" ca="1" si="55"/>
        <v>-0.75426967462083894</v>
      </c>
    </row>
    <row r="475" spans="1:18" x14ac:dyDescent="0.45">
      <c r="A475">
        <f t="shared" ca="1" si="54"/>
        <v>0.16457427272780356</v>
      </c>
      <c r="B475">
        <f t="shared" ca="1" si="54"/>
        <v>0.86792283664976322</v>
      </c>
      <c r="D475">
        <f ca="1">SQRT(MAX('HE2'!B474,0))*($G$2+$H$2*A475)</f>
        <v>7.2566436061281936E-2</v>
      </c>
      <c r="E475">
        <f t="shared" ca="1" si="53"/>
        <v>0.65241312017210062</v>
      </c>
      <c r="Q475">
        <f t="shared" ca="1" si="55"/>
        <v>0.12640851558214322</v>
      </c>
      <c r="R475">
        <f t="shared" ca="1" si="55"/>
        <v>-0.28975951759277002</v>
      </c>
    </row>
    <row r="476" spans="1:18" x14ac:dyDescent="0.45">
      <c r="A476">
        <f t="shared" ca="1" si="54"/>
        <v>1.5439760066279289</v>
      </c>
      <c r="B476">
        <f t="shared" ca="1" si="54"/>
        <v>0.44732766300689836</v>
      </c>
      <c r="D476">
        <f ca="1">SQRT(MAX('HE2'!B475,0))*($G$2+$H$2*A476)</f>
        <v>0.85562458042766454</v>
      </c>
      <c r="E476">
        <f t="shared" ca="1" si="53"/>
        <v>1.5035774031064821</v>
      </c>
      <c r="Q476">
        <f t="shared" ca="1" si="55"/>
        <v>-1.4950486118309823</v>
      </c>
      <c r="R476">
        <f t="shared" ca="1" si="55"/>
        <v>-0.66647270371419054</v>
      </c>
    </row>
    <row r="477" spans="1:18" x14ac:dyDescent="0.45">
      <c r="A477">
        <f t="shared" ca="1" si="54"/>
        <v>-0.22437611006241226</v>
      </c>
      <c r="B477">
        <f t="shared" ca="1" si="54"/>
        <v>6.1933265440624712E-2</v>
      </c>
      <c r="D477">
        <f ca="1">SQRT(MAX('HE2'!B476,0))*($G$2+$H$2*A477)</f>
        <v>-0.17105657470331767</v>
      </c>
      <c r="E477">
        <f t="shared" ca="1" si="53"/>
        <v>-0.14234092878555499</v>
      </c>
      <c r="Q477">
        <f t="shared" ca="1" si="55"/>
        <v>-0.86630958373240763</v>
      </c>
      <c r="R477">
        <f t="shared" ca="1" si="55"/>
        <v>-1.3883029209746092</v>
      </c>
    </row>
    <row r="478" spans="1:18" x14ac:dyDescent="0.45">
      <c r="A478">
        <f t="shared" ca="1" si="54"/>
        <v>2.8203049961105449</v>
      </c>
      <c r="B478">
        <f t="shared" ca="1" si="54"/>
        <v>-0.79321339028516891</v>
      </c>
      <c r="D478">
        <f ca="1">SQRT(MAX('HE2'!B477,0))*($G$2+$H$2*A478)</f>
        <v>2.1242161853997881</v>
      </c>
      <c r="E478">
        <f t="shared" ca="1" si="53"/>
        <v>1.7803159627173346</v>
      </c>
      <c r="Q478">
        <f t="shared" ca="1" si="55"/>
        <v>3.0909092236970779E-2</v>
      </c>
      <c r="R478">
        <f t="shared" ca="1" si="55"/>
        <v>0.57450966017852101</v>
      </c>
    </row>
    <row r="479" spans="1:18" x14ac:dyDescent="0.45">
      <c r="A479">
        <f t="shared" ca="1" si="54"/>
        <v>0.85944509425358229</v>
      </c>
      <c r="B479">
        <f t="shared" ca="1" si="54"/>
        <v>-1.0192904468085613</v>
      </c>
      <c r="D479">
        <f ca="1">SQRT(MAX('HE2'!B478,0))*($G$2+$H$2*A479)</f>
        <v>0.85448271605438808</v>
      </c>
      <c r="E479">
        <f t="shared" ca="1" si="53"/>
        <v>7.59818073177293E-2</v>
      </c>
      <c r="Q479">
        <f t="shared" ca="1" si="55"/>
        <v>2.7647645998245105</v>
      </c>
      <c r="R479">
        <f t="shared" ca="1" si="55"/>
        <v>0.10909152586555522</v>
      </c>
    </row>
    <row r="480" spans="1:18" x14ac:dyDescent="0.45">
      <c r="A480">
        <f t="shared" ca="1" si="54"/>
        <v>-2.1041193631368129</v>
      </c>
      <c r="B480">
        <f t="shared" ca="1" si="54"/>
        <v>-0.57329936495220335</v>
      </c>
      <c r="D480">
        <f ca="1">SQRT(MAX('HE2'!B479,0))*($G$2+$H$2*A480)</f>
        <v>-2.12677104712232</v>
      </c>
      <c r="E480">
        <f t="shared" ca="1" si="53"/>
        <v>-2.0272751094807724</v>
      </c>
      <c r="Q480">
        <f t="shared" ca="1" si="55"/>
        <v>-1.7228989882491477</v>
      </c>
      <c r="R480">
        <f t="shared" ca="1" si="55"/>
        <v>-0.6992111984200714</v>
      </c>
    </row>
    <row r="481" spans="1:18" x14ac:dyDescent="0.45">
      <c r="A481">
        <f t="shared" ca="1" si="54"/>
        <v>1.9816501655028327</v>
      </c>
      <c r="B481">
        <f t="shared" ca="1" si="54"/>
        <v>0.50514811422177741</v>
      </c>
      <c r="D481">
        <f ca="1">SQRT(MAX('HE2'!B480,0))*($G$2+$H$2*A481)</f>
        <v>1.2792805019060121</v>
      </c>
      <c r="E481">
        <f t="shared" ca="1" si="53"/>
        <v>1.8884090009353327</v>
      </c>
      <c r="Q481">
        <f t="shared" ca="1" si="55"/>
        <v>-1.2104257460030221</v>
      </c>
      <c r="R481">
        <f t="shared" ca="1" si="55"/>
        <v>-2.4725198537851819E-2</v>
      </c>
    </row>
    <row r="482" spans="1:18" x14ac:dyDescent="0.45">
      <c r="A482">
        <f t="shared" ref="A482:B501" ca="1" si="56">NORMINV(RAND(),0,1)</f>
        <v>-0.29103287406134382</v>
      </c>
      <c r="B482">
        <f t="shared" ca="1" si="56"/>
        <v>0.14740625179946729</v>
      </c>
      <c r="D482">
        <f ca="1">SQRT(MAX('HE2'!B481,0))*($G$2+$H$2*A482)</f>
        <v>-0.26102437986136301</v>
      </c>
      <c r="E482">
        <f t="shared" ca="1" si="53"/>
        <v>-0.14438254816939472</v>
      </c>
      <c r="Q482">
        <f t="shared" ref="Q482:R501" ca="1" si="57">NORMINV(RAND(),0,1)</f>
        <v>-0.53585029905372372</v>
      </c>
      <c r="R482">
        <f t="shared" ca="1" si="57"/>
        <v>-0.66068220591446269</v>
      </c>
    </row>
    <row r="483" spans="1:18" x14ac:dyDescent="0.45">
      <c r="A483">
        <f t="shared" ca="1" si="56"/>
        <v>1.1279459539258039</v>
      </c>
      <c r="B483">
        <f t="shared" ca="1" si="56"/>
        <v>-9.974696160338925E-2</v>
      </c>
      <c r="D483">
        <f ca="1">SQRT(MAX('HE2'!B482,0))*($G$2+$H$2*A483)</f>
        <v>0.99601032109811782</v>
      </c>
      <c r="E483">
        <f t="shared" ca="1" si="53"/>
        <v>0.84250858617860969</v>
      </c>
      <c r="Q483">
        <f t="shared" ca="1" si="57"/>
        <v>1.3367217975326546</v>
      </c>
      <c r="R483">
        <f t="shared" ca="1" si="57"/>
        <v>-1.7464069548706356</v>
      </c>
    </row>
    <row r="484" spans="1:18" x14ac:dyDescent="0.45">
      <c r="A484">
        <f t="shared" ca="1" si="56"/>
        <v>-0.26758960487887296</v>
      </c>
      <c r="B484">
        <f t="shared" ca="1" si="56"/>
        <v>0.66849175222837154</v>
      </c>
      <c r="D484">
        <f ca="1">SQRT(MAX('HE2'!B483,0))*($G$2+$H$2*A484)</f>
        <v>-0.2699346012615233</v>
      </c>
      <c r="E484">
        <f t="shared" ca="1" si="53"/>
        <v>0.18702336743392445</v>
      </c>
      <c r="Q484">
        <f t="shared" ca="1" si="57"/>
        <v>-0.64265519116535785</v>
      </c>
      <c r="R484">
        <f t="shared" ca="1" si="57"/>
        <v>-0.7089594575462479</v>
      </c>
    </row>
    <row r="485" spans="1:18" x14ac:dyDescent="0.45">
      <c r="A485">
        <f t="shared" ca="1" si="56"/>
        <v>-1.0989869888999764</v>
      </c>
      <c r="B485">
        <f t="shared" ca="1" si="56"/>
        <v>1.4141452854924799</v>
      </c>
      <c r="D485">
        <f ca="1">SQRT(MAX('HE2'!B484,0))*($G$2+$H$2*A485)</f>
        <v>-1.1442762279333047</v>
      </c>
      <c r="E485">
        <f t="shared" ca="1" si="53"/>
        <v>-3.0702419824493399E-2</v>
      </c>
      <c r="Q485">
        <f t="shared" ca="1" si="57"/>
        <v>1.8763034317174538</v>
      </c>
      <c r="R485">
        <f t="shared" ca="1" si="57"/>
        <v>-7.4586963271947776E-2</v>
      </c>
    </row>
    <row r="486" spans="1:18" x14ac:dyDescent="0.45">
      <c r="A486">
        <f t="shared" ca="1" si="56"/>
        <v>0.88141349530080193</v>
      </c>
      <c r="B486">
        <f t="shared" ca="1" si="56"/>
        <v>-0.93801011267592127</v>
      </c>
      <c r="D486">
        <f ca="1">SQRT(MAX('HE2'!B485,0))*($G$2+$H$2*A486)</f>
        <v>0.9173111966414782</v>
      </c>
      <c r="E486">
        <f t="shared" ca="1" si="53"/>
        <v>0.14232472863508894</v>
      </c>
      <c r="Q486">
        <f t="shared" ca="1" si="57"/>
        <v>0.50283520533342252</v>
      </c>
      <c r="R486">
        <f t="shared" ca="1" si="57"/>
        <v>-0.9655004676891239</v>
      </c>
    </row>
    <row r="487" spans="1:18" x14ac:dyDescent="0.45">
      <c r="A487">
        <f t="shared" ca="1" si="56"/>
        <v>-0.44929246286681312</v>
      </c>
      <c r="B487">
        <f t="shared" ca="1" si="56"/>
        <v>-1.3103276800921611</v>
      </c>
      <c r="D487">
        <f ca="1">SQRT(MAX('HE2'!B486,0))*($G$2+$H$2*A487)</f>
        <v>-0.47890354746523034</v>
      </c>
      <c r="E487">
        <f t="shared" ca="1" si="53"/>
        <v>-1.145630578348747</v>
      </c>
      <c r="Q487">
        <f t="shared" ca="1" si="57"/>
        <v>-0.30373054848364789</v>
      </c>
      <c r="R487">
        <f t="shared" ca="1" si="57"/>
        <v>-0.32288502425812399</v>
      </c>
    </row>
    <row r="488" spans="1:18" x14ac:dyDescent="0.45">
      <c r="A488">
        <f t="shared" ca="1" si="56"/>
        <v>0.48053123078805121</v>
      </c>
      <c r="B488">
        <f t="shared" ca="1" si="56"/>
        <v>-8.992403588312585E-2</v>
      </c>
      <c r="D488">
        <f ca="1">SQRT(MAX('HE2'!B487,0))*($G$2+$H$2*A488)</f>
        <v>0.42367493215045271</v>
      </c>
      <c r="E488">
        <f t="shared" ca="1" si="53"/>
        <v>0.3304705631005655</v>
      </c>
      <c r="Q488">
        <f t="shared" ca="1" si="57"/>
        <v>-0.87203469722970017</v>
      </c>
      <c r="R488">
        <f t="shared" ca="1" si="57"/>
        <v>1.9447010255430506</v>
      </c>
    </row>
    <row r="489" spans="1:18" x14ac:dyDescent="0.45">
      <c r="A489">
        <f t="shared" ca="1" si="56"/>
        <v>5.8357289555801793E-2</v>
      </c>
      <c r="B489">
        <f t="shared" ca="1" si="56"/>
        <v>1.0703031789207178</v>
      </c>
      <c r="D489">
        <f ca="1">SQRT(MAX('HE2'!B488,0))*($G$2+$H$2*A489)</f>
        <v>5.4728180865401606E-2</v>
      </c>
      <c r="E489">
        <f t="shared" ca="1" si="53"/>
        <v>0.68886773899707199</v>
      </c>
      <c r="Q489">
        <f t="shared" ca="1" si="57"/>
        <v>9.7838665079770279E-2</v>
      </c>
      <c r="R489">
        <f t="shared" ca="1" si="57"/>
        <v>0.45222763472465927</v>
      </c>
    </row>
    <row r="490" spans="1:18" x14ac:dyDescent="0.45">
      <c r="A490">
        <f t="shared" ca="1" si="56"/>
        <v>-1.0639756155079203</v>
      </c>
      <c r="B490">
        <f t="shared" ca="1" si="56"/>
        <v>1.9520597200388139</v>
      </c>
      <c r="D490">
        <f ca="1">SQRT(MAX('HE2'!B489,0))*($G$2+$H$2*A490)</f>
        <v>-1.1087721262754964</v>
      </c>
      <c r="E490">
        <f t="shared" ca="1" si="53"/>
        <v>0.32005533961695176</v>
      </c>
      <c r="Q490">
        <f t="shared" ca="1" si="57"/>
        <v>-0.50721395901928756</v>
      </c>
      <c r="R490">
        <f t="shared" ca="1" si="57"/>
        <v>0.44536965098306019</v>
      </c>
    </row>
    <row r="491" spans="1:18" x14ac:dyDescent="0.45">
      <c r="A491">
        <f t="shared" ca="1" si="56"/>
        <v>0.39088779427119197</v>
      </c>
      <c r="B491">
        <f t="shared" ca="1" si="56"/>
        <v>-1.2613387749177678</v>
      </c>
      <c r="D491">
        <f ca="1">SQRT(MAX('HE2'!B490,0))*($G$2+$H$2*A491)</f>
        <v>0.42722912383544603</v>
      </c>
      <c r="E491">
        <f t="shared" ca="1" si="53"/>
        <v>-0.44409302953370694</v>
      </c>
      <c r="Q491">
        <f t="shared" ca="1" si="57"/>
        <v>3.3720650437550591E-2</v>
      </c>
      <c r="R491">
        <f t="shared" ca="1" si="57"/>
        <v>1.1399719430317883</v>
      </c>
    </row>
    <row r="492" spans="1:18" x14ac:dyDescent="0.45">
      <c r="A492">
        <f t="shared" ca="1" si="56"/>
        <v>0.47805568065778392</v>
      </c>
      <c r="B492">
        <f t="shared" ca="1" si="56"/>
        <v>0.21877009199993794</v>
      </c>
      <c r="D492">
        <f ca="1">SQRT(MAX('HE2'!B491,0))*($G$2+$H$2*A492)</f>
        <v>0.49110727088365003</v>
      </c>
      <c r="E492">
        <f t="shared" ca="1" si="53"/>
        <v>0.51370659972618993</v>
      </c>
      <c r="Q492">
        <f t="shared" ca="1" si="57"/>
        <v>-0.16672254467472225</v>
      </c>
      <c r="R492">
        <f t="shared" ca="1" si="57"/>
        <v>-0.35709035509667242</v>
      </c>
    </row>
    <row r="493" spans="1:18" x14ac:dyDescent="0.45">
      <c r="A493">
        <f t="shared" ca="1" si="56"/>
        <v>-1.0892340800579503</v>
      </c>
      <c r="B493">
        <f t="shared" ca="1" si="56"/>
        <v>-0.72832063660848245</v>
      </c>
      <c r="D493">
        <f ca="1">SQRT(MAX('HE2'!B492,0))*($G$2+$H$2*A493)</f>
        <v>-1.2044922931731257</v>
      </c>
      <c r="E493">
        <f t="shared" ca="1" si="53"/>
        <v>-1.3083796460114496</v>
      </c>
      <c r="Q493">
        <f t="shared" ca="1" si="57"/>
        <v>0.23468622604394668</v>
      </c>
      <c r="R493">
        <f t="shared" ca="1" si="57"/>
        <v>0.98858383804849781</v>
      </c>
    </row>
    <row r="494" spans="1:18" x14ac:dyDescent="0.45">
      <c r="A494">
        <f t="shared" ca="1" si="56"/>
        <v>0.5793321283836812</v>
      </c>
      <c r="B494">
        <f t="shared" ca="1" si="56"/>
        <v>8.3308610844163456E-3</v>
      </c>
      <c r="D494">
        <f ca="1">SQRT(MAX('HE2'!B493,0))*($G$2+$H$2*A494)</f>
        <v>0.51641602478085813</v>
      </c>
      <c r="E494">
        <f t="shared" ca="1" si="53"/>
        <v>0.4684642193575948</v>
      </c>
      <c r="Q494">
        <f t="shared" ca="1" si="57"/>
        <v>-0.15154048234853115</v>
      </c>
      <c r="R494">
        <f t="shared" ca="1" si="57"/>
        <v>-0.32696321182890847</v>
      </c>
    </row>
    <row r="495" spans="1:18" x14ac:dyDescent="0.45">
      <c r="A495">
        <f t="shared" ca="1" si="56"/>
        <v>1.5436248565049173</v>
      </c>
      <c r="B495">
        <f t="shared" ca="1" si="56"/>
        <v>-0.15307902109036306</v>
      </c>
      <c r="D495">
        <f ca="1">SQRT(MAX('HE2'!B494,0))*($G$2+$H$2*A495)</f>
        <v>1.4920112168118669</v>
      </c>
      <c r="E495">
        <f t="shared" ca="1" si="53"/>
        <v>1.143052472549716</v>
      </c>
      <c r="Q495">
        <f t="shared" ca="1" si="57"/>
        <v>-1.2571583186611561</v>
      </c>
      <c r="R495">
        <f t="shared" ca="1" si="57"/>
        <v>-1.2436630100977022</v>
      </c>
    </row>
    <row r="496" spans="1:18" x14ac:dyDescent="0.45">
      <c r="A496">
        <f t="shared" ca="1" si="56"/>
        <v>-1.0099863270598581</v>
      </c>
      <c r="B496">
        <f t="shared" ca="1" si="56"/>
        <v>0.40434711145556301</v>
      </c>
      <c r="D496">
        <f ca="1">SQRT(MAX('HE2'!B495,0))*($G$2+$H$2*A496)</f>
        <v>-1.1414532896531311</v>
      </c>
      <c r="E496">
        <f t="shared" ca="1" si="53"/>
        <v>-0.56538079477454883</v>
      </c>
      <c r="Q496">
        <f t="shared" ca="1" si="57"/>
        <v>0.27117712441021691</v>
      </c>
      <c r="R496">
        <f t="shared" ca="1" si="57"/>
        <v>-7.7464723702798083E-2</v>
      </c>
    </row>
    <row r="497" spans="1:18" x14ac:dyDescent="0.45">
      <c r="A497">
        <f t="shared" ca="1" si="56"/>
        <v>-0.28802277282228161</v>
      </c>
      <c r="B497">
        <f t="shared" ca="1" si="56"/>
        <v>5.729518792485036E-2</v>
      </c>
      <c r="D497">
        <f ca="1">SQRT(MAX('HE2'!B496,0))*($G$2+$H$2*A497)</f>
        <v>-0.30074703388614066</v>
      </c>
      <c r="E497">
        <f t="shared" ca="1" si="53"/>
        <v>-0.19604110550291509</v>
      </c>
      <c r="Q497">
        <f t="shared" ca="1" si="57"/>
        <v>-0.14708111950247374</v>
      </c>
      <c r="R497">
        <f t="shared" ca="1" si="57"/>
        <v>0.33123745101556484</v>
      </c>
    </row>
    <row r="498" spans="1:18" x14ac:dyDescent="0.45">
      <c r="A498">
        <f t="shared" ca="1" si="56"/>
        <v>0.96994747784039959</v>
      </c>
      <c r="B498">
        <f t="shared" ca="1" si="56"/>
        <v>1.31810395306979</v>
      </c>
      <c r="D498">
        <f ca="1">SQRT(MAX('HE2'!B497,0))*($G$2+$H$2*A498)</f>
        <v>0.98789945184246641</v>
      </c>
      <c r="E498">
        <f t="shared" ca="1" si="53"/>
        <v>1.5668203541141934</v>
      </c>
      <c r="Q498">
        <f t="shared" ca="1" si="57"/>
        <v>1.3863482471053818</v>
      </c>
      <c r="R498">
        <f t="shared" ca="1" si="57"/>
        <v>-1.815897909100824</v>
      </c>
    </row>
    <row r="499" spans="1:18" x14ac:dyDescent="0.45">
      <c r="A499">
        <f t="shared" ca="1" si="56"/>
        <v>0.84119102387057598</v>
      </c>
      <c r="B499">
        <f t="shared" ca="1" si="56"/>
        <v>-0.22372968747523281</v>
      </c>
      <c r="D499">
        <f ca="1">SQRT(MAX('HE2'!B498,0))*($G$2+$H$2*A499)</f>
        <v>1.0390073241868882</v>
      </c>
      <c r="E499">
        <f t="shared" ca="1" si="53"/>
        <v>0.53871500661132121</v>
      </c>
      <c r="Q499">
        <f t="shared" ca="1" si="57"/>
        <v>-0.94432258814050807</v>
      </c>
      <c r="R499">
        <f t="shared" ca="1" si="57"/>
        <v>-0.713380732575015</v>
      </c>
    </row>
    <row r="500" spans="1:18" x14ac:dyDescent="0.45">
      <c r="A500">
        <f t="shared" ca="1" si="56"/>
        <v>-0.14269261302529926</v>
      </c>
      <c r="B500">
        <f t="shared" ca="1" si="56"/>
        <v>-1.0324519161495833</v>
      </c>
      <c r="D500">
        <f ca="1">SQRT(MAX('HE2'!B499,0))*($G$2+$H$2*A500)</f>
        <v>-0.18741147919893145</v>
      </c>
      <c r="E500">
        <f t="shared" ca="1" si="53"/>
        <v>-0.7336252401099892</v>
      </c>
      <c r="Q500">
        <f t="shared" ca="1" si="57"/>
        <v>2.2898225907652665</v>
      </c>
      <c r="R500">
        <f t="shared" ca="1" si="57"/>
        <v>-0.73914603189653283</v>
      </c>
    </row>
    <row r="501" spans="1:18" x14ac:dyDescent="0.45">
      <c r="A501">
        <f t="shared" ca="1" si="56"/>
        <v>0.665426999314083</v>
      </c>
      <c r="B501">
        <f t="shared" ca="1" si="56"/>
        <v>-1.4505493026694511</v>
      </c>
      <c r="D501">
        <f ca="1">SQRT(MAX('HE2'!B500,0))*($G$2+$H$2*A501)</f>
        <v>0.79620993904979442</v>
      </c>
      <c r="E501">
        <f t="shared" ca="1" si="53"/>
        <v>-0.33798798215040404</v>
      </c>
      <c r="Q501">
        <f t="shared" ca="1" si="57"/>
        <v>0.73399475141306425</v>
      </c>
      <c r="R501">
        <f t="shared" ca="1" si="57"/>
        <v>-1.1394698739775042</v>
      </c>
    </row>
    <row r="502" spans="1:18" x14ac:dyDescent="0.45">
      <c r="A502">
        <f t="shared" ref="A502:B521" ca="1" si="58">NORMINV(RAND(),0,1)</f>
        <v>-1.6224937508183972</v>
      </c>
      <c r="B502">
        <f t="shared" ca="1" si="58"/>
        <v>-1.4750780578826661</v>
      </c>
      <c r="D502">
        <f ca="1">SQRT(MAX('HE2'!B501,0))*($G$2+$H$2*A502)</f>
        <v>-1.8584578375484193</v>
      </c>
      <c r="E502">
        <f t="shared" ca="1" si="53"/>
        <v>-2.1830418353843175</v>
      </c>
      <c r="Q502">
        <f t="shared" ref="Q502:R521" ca="1" si="59">NORMINV(RAND(),0,1)</f>
        <v>0.99135822727943013</v>
      </c>
      <c r="R502">
        <f t="shared" ca="1" si="59"/>
        <v>-0.25424919992569511</v>
      </c>
    </row>
    <row r="503" spans="1:18" x14ac:dyDescent="0.45">
      <c r="A503">
        <f t="shared" ca="1" si="58"/>
        <v>-1.9199872120708663</v>
      </c>
      <c r="B503">
        <f t="shared" ca="1" si="58"/>
        <v>-1.5717011335029523</v>
      </c>
      <c r="D503">
        <f ca="1">SQRT(MAX('HE2'!B502,0))*($G$2+$H$2*A503)</f>
        <v>-1.4443178665565251</v>
      </c>
      <c r="E503">
        <f t="shared" ca="1" si="53"/>
        <v>-2.4790104497584644</v>
      </c>
      <c r="Q503">
        <f t="shared" ca="1" si="59"/>
        <v>1.3555180363030628</v>
      </c>
      <c r="R503">
        <f t="shared" ca="1" si="59"/>
        <v>-0.24115429703171207</v>
      </c>
    </row>
    <row r="504" spans="1:18" x14ac:dyDescent="0.45">
      <c r="A504">
        <f t="shared" ca="1" si="58"/>
        <v>-0.38148965325156942</v>
      </c>
      <c r="B504">
        <f t="shared" ca="1" si="58"/>
        <v>9.5580845886488436E-2</v>
      </c>
      <c r="D504">
        <f ca="1">SQRT(MAX('HE2'!B503,0))*($G$2+$H$2*A504)</f>
        <v>-6.0778649886357124E-2</v>
      </c>
      <c r="E504">
        <f t="shared" ca="1" si="53"/>
        <v>-0.24784321506936249</v>
      </c>
      <c r="Q504">
        <f t="shared" ca="1" si="59"/>
        <v>0.94978747491663973</v>
      </c>
      <c r="R504">
        <f t="shared" ca="1" si="59"/>
        <v>0.98199328830236399</v>
      </c>
    </row>
    <row r="505" spans="1:18" x14ac:dyDescent="0.45">
      <c r="A505">
        <f t="shared" ca="1" si="58"/>
        <v>-0.26540696340021536</v>
      </c>
      <c r="B505">
        <f t="shared" ca="1" si="58"/>
        <v>0.60461537147577404</v>
      </c>
      <c r="D505">
        <f ca="1">SQRT(MAX('HE2'!B504,0))*($G$2+$H$2*A505)</f>
        <v>-5.5225771750251292E-2</v>
      </c>
      <c r="E505">
        <f t="shared" ca="1" si="53"/>
        <v>0.15044365216529207</v>
      </c>
      <c r="Q505">
        <f t="shared" ca="1" si="59"/>
        <v>1.3993975898764506</v>
      </c>
      <c r="R505">
        <f t="shared" ca="1" si="59"/>
        <v>2.3114015991174073</v>
      </c>
    </row>
    <row r="506" spans="1:18" x14ac:dyDescent="0.45">
      <c r="A506">
        <f t="shared" ca="1" si="58"/>
        <v>0.2036547550730563</v>
      </c>
      <c r="B506">
        <f t="shared" ca="1" si="58"/>
        <v>-1.0047981279269469</v>
      </c>
      <c r="D506">
        <f ca="1">SQRT(MAX('HE2'!B505,0))*($G$2+$H$2*A506)</f>
        <v>5.8350001279225946E-2</v>
      </c>
      <c r="E506">
        <f t="shared" ca="1" si="53"/>
        <v>-0.43995507269772294</v>
      </c>
      <c r="Q506">
        <f t="shared" ca="1" si="59"/>
        <v>-1.6147203821799145</v>
      </c>
      <c r="R506">
        <f t="shared" ca="1" si="59"/>
        <v>-0.47189044683879428</v>
      </c>
    </row>
    <row r="507" spans="1:18" x14ac:dyDescent="0.45">
      <c r="A507">
        <f t="shared" ca="1" si="58"/>
        <v>-0.26048631181676013</v>
      </c>
      <c r="B507">
        <f t="shared" ca="1" si="58"/>
        <v>0.41084368116059794</v>
      </c>
      <c r="D507">
        <f ca="1">SQRT(MAX('HE2'!B506,0))*($G$2+$H$2*A507)</f>
        <v>-7.0331599830746383E-2</v>
      </c>
      <c r="E507">
        <f t="shared" ca="1" si="53"/>
        <v>3.8117159242950588E-2</v>
      </c>
      <c r="Q507">
        <f t="shared" ca="1" si="59"/>
        <v>1.2827822672333338</v>
      </c>
      <c r="R507">
        <f t="shared" ca="1" si="59"/>
        <v>-1.7431422261531491</v>
      </c>
    </row>
    <row r="508" spans="1:18" x14ac:dyDescent="0.45">
      <c r="A508">
        <f t="shared" ca="1" si="58"/>
        <v>-0.55552834823258257</v>
      </c>
      <c r="B508">
        <f t="shared" ca="1" si="58"/>
        <v>1.3643870979385728</v>
      </c>
      <c r="D508">
        <f ca="1">SQRT(MAX('HE2'!B507,0))*($G$2+$H$2*A508)</f>
        <v>-0.17983861005091961</v>
      </c>
      <c r="E508">
        <f t="shared" ca="1" si="53"/>
        <v>0.37420958017707739</v>
      </c>
      <c r="Q508">
        <f t="shared" ca="1" si="59"/>
        <v>0.71577642632447769</v>
      </c>
      <c r="R508">
        <f t="shared" ca="1" si="59"/>
        <v>0.9659796103188697</v>
      </c>
    </row>
    <row r="509" spans="1:18" x14ac:dyDescent="0.45">
      <c r="A509">
        <f t="shared" ca="1" si="58"/>
        <v>-0.81666943660385782</v>
      </c>
      <c r="B509">
        <f t="shared" ca="1" si="58"/>
        <v>1.9318949207457277</v>
      </c>
      <c r="D509">
        <f ca="1">SQRT(MAX('HE2'!B508,0))*($G$2+$H$2*A509)</f>
        <v>-0.33603985450356449</v>
      </c>
      <c r="E509">
        <f t="shared" ca="1" si="53"/>
        <v>0.50580140316435007</v>
      </c>
      <c r="Q509">
        <f t="shared" ca="1" si="59"/>
        <v>0.67921391380104701</v>
      </c>
      <c r="R509">
        <f t="shared" ca="1" si="59"/>
        <v>-4.714349990794451E-2</v>
      </c>
    </row>
    <row r="510" spans="1:18" x14ac:dyDescent="0.45">
      <c r="A510">
        <f t="shared" ca="1" si="58"/>
        <v>1.134118289857547</v>
      </c>
      <c r="B510">
        <f t="shared" ca="1" si="58"/>
        <v>1.0745113099319445</v>
      </c>
      <c r="D510">
        <f ca="1">SQRT(MAX('HE2'!B509,0))*($G$2+$H$2*A510)</f>
        <v>0.57676551896713357</v>
      </c>
      <c r="E510">
        <f t="shared" ca="1" si="53"/>
        <v>1.5520014178452044</v>
      </c>
      <c r="Q510">
        <f t="shared" ca="1" si="59"/>
        <v>-9.6607599449416159E-2</v>
      </c>
      <c r="R510">
        <f t="shared" ca="1" si="59"/>
        <v>0.49468212503792269</v>
      </c>
    </row>
    <row r="511" spans="1:18" x14ac:dyDescent="0.45">
      <c r="A511">
        <f t="shared" ca="1" si="58"/>
        <v>0.93117180426235324</v>
      </c>
      <c r="B511">
        <f t="shared" ca="1" si="58"/>
        <v>-0.34864505704478943</v>
      </c>
      <c r="D511">
        <f ca="1">SQRT(MAX('HE2'!B510,0))*($G$2+$H$2*A511)</f>
        <v>0.67180815607699806</v>
      </c>
      <c r="E511">
        <f t="shared" ca="1" si="53"/>
        <v>0.53575040918300898</v>
      </c>
      <c r="Q511">
        <f t="shared" ca="1" si="59"/>
        <v>1.1120109411943617</v>
      </c>
      <c r="R511">
        <f t="shared" ca="1" si="59"/>
        <v>-0.50048659834247078</v>
      </c>
    </row>
    <row r="512" spans="1:18" x14ac:dyDescent="0.45">
      <c r="A512">
        <f t="shared" ca="1" si="58"/>
        <v>-0.88196933432467628</v>
      </c>
      <c r="B512">
        <f t="shared" ca="1" si="58"/>
        <v>0.150956076774731</v>
      </c>
      <c r="D512">
        <f ca="1">SQRT(MAX('HE2'!B511,0))*($G$2+$H$2*A512)</f>
        <v>-0.71451903570551689</v>
      </c>
      <c r="E512">
        <f t="shared" ca="1" si="53"/>
        <v>-0.61500182139490256</v>
      </c>
      <c r="Q512">
        <f t="shared" ca="1" si="59"/>
        <v>0.506438513226947</v>
      </c>
      <c r="R512">
        <f t="shared" ca="1" si="59"/>
        <v>-0.16989490148637298</v>
      </c>
    </row>
    <row r="513" spans="1:18" x14ac:dyDescent="0.45">
      <c r="A513">
        <f t="shared" ca="1" si="58"/>
        <v>1.5300257285925665</v>
      </c>
      <c r="B513">
        <f t="shared" ca="1" si="58"/>
        <v>0.91398430278588116</v>
      </c>
      <c r="D513">
        <f ca="1">SQRT(MAX('HE2'!B512,0))*($G$2+$H$2*A513)</f>
        <v>1.107550153851109</v>
      </c>
      <c r="E513">
        <f t="shared" ca="1" si="53"/>
        <v>1.772411164545582</v>
      </c>
      <c r="Q513">
        <f t="shared" ca="1" si="59"/>
        <v>0.67651133653283091</v>
      </c>
      <c r="R513">
        <f t="shared" ca="1" si="59"/>
        <v>0.86061061210988266</v>
      </c>
    </row>
    <row r="514" spans="1:18" x14ac:dyDescent="0.45">
      <c r="A514">
        <f t="shared" ca="1" si="58"/>
        <v>0.478854635382229</v>
      </c>
      <c r="B514">
        <f t="shared" ca="1" si="58"/>
        <v>-0.42920978353825145</v>
      </c>
      <c r="D514">
        <f ca="1">SQRT(MAX('HE2'!B513,0))*($G$2+$H$2*A514)</f>
        <v>0.4614648104333513</v>
      </c>
      <c r="E514">
        <f t="shared" ref="E514:E577" ca="1" si="60">$I$2+$J$2*(A514*$K$2 + B514*POWER(1-$K$2*$K$2, 0.5))</f>
        <v>0.12555783818283239</v>
      </c>
      <c r="Q514">
        <f t="shared" ca="1" si="59"/>
        <v>-1.4705384290353469</v>
      </c>
      <c r="R514">
        <f t="shared" ca="1" si="59"/>
        <v>1.5135126227701754</v>
      </c>
    </row>
    <row r="515" spans="1:18" x14ac:dyDescent="0.45">
      <c r="A515">
        <f t="shared" ca="1" si="58"/>
        <v>0.46211173579961434</v>
      </c>
      <c r="B515">
        <f t="shared" ca="1" si="58"/>
        <v>-2.5060856923461499</v>
      </c>
      <c r="D515">
        <f ca="1">SQRT(MAX('HE2'!B514,0))*($G$2+$H$2*A515)</f>
        <v>0.45669209841557884</v>
      </c>
      <c r="E515">
        <f t="shared" ca="1" si="60"/>
        <v>-1.1339620267679982</v>
      </c>
      <c r="Q515">
        <f t="shared" ca="1" si="59"/>
        <v>0.10918562738177717</v>
      </c>
      <c r="R515">
        <f t="shared" ca="1" si="59"/>
        <v>0.27278778723095898</v>
      </c>
    </row>
    <row r="516" spans="1:18" x14ac:dyDescent="0.45">
      <c r="A516">
        <f t="shared" ca="1" si="58"/>
        <v>-2.3989760019240292</v>
      </c>
      <c r="B516">
        <f t="shared" ca="1" si="58"/>
        <v>-1.2859783443850012</v>
      </c>
      <c r="D516">
        <f ca="1">SQRT(MAX('HE2'!B515,0))*($G$2+$H$2*A516)</f>
        <v>-1.9359261741401284</v>
      </c>
      <c r="E516">
        <f t="shared" ca="1" si="60"/>
        <v>-2.6907678081702238</v>
      </c>
      <c r="Q516">
        <f t="shared" ca="1" si="59"/>
        <v>1.1840434474590196</v>
      </c>
      <c r="R516">
        <f t="shared" ca="1" si="59"/>
        <v>-5.4102559546584598E-2</v>
      </c>
    </row>
    <row r="517" spans="1:18" x14ac:dyDescent="0.45">
      <c r="A517">
        <f t="shared" ca="1" si="58"/>
        <v>-0.15611956731805235</v>
      </c>
      <c r="B517">
        <f t="shared" ca="1" si="58"/>
        <v>0.55477713770935133</v>
      </c>
      <c r="D517">
        <f ca="1">SQRT(MAX('HE2'!B516,0))*($G$2+$H$2*A517)</f>
        <v>-2.0380518365553775E-2</v>
      </c>
      <c r="E517">
        <f t="shared" ca="1" si="60"/>
        <v>0.20797062877116884</v>
      </c>
      <c r="Q517">
        <f t="shared" ca="1" si="59"/>
        <v>0.18544217854014067</v>
      </c>
      <c r="R517">
        <f t="shared" ca="1" si="59"/>
        <v>-1.3733668379677921</v>
      </c>
    </row>
    <row r="518" spans="1:18" x14ac:dyDescent="0.45">
      <c r="A518">
        <f t="shared" ca="1" si="58"/>
        <v>1.0698767747151017</v>
      </c>
      <c r="B518">
        <f t="shared" ca="1" si="58"/>
        <v>-2.331990166066892</v>
      </c>
      <c r="D518">
        <f ca="1">SQRT(MAX('HE2'!B517,0))*($G$2+$H$2*A518)</f>
        <v>0.25116776215580888</v>
      </c>
      <c r="E518">
        <f t="shared" ca="1" si="60"/>
        <v>-0.54329267986805352</v>
      </c>
      <c r="Q518">
        <f t="shared" ca="1" si="59"/>
        <v>0.54804760902850258</v>
      </c>
      <c r="R518">
        <f t="shared" ca="1" si="59"/>
        <v>-1.8285159011194156</v>
      </c>
    </row>
    <row r="519" spans="1:18" x14ac:dyDescent="0.45">
      <c r="A519">
        <f t="shared" ca="1" si="58"/>
        <v>-6.7320565926191733E-2</v>
      </c>
      <c r="B519">
        <f t="shared" ca="1" si="58"/>
        <v>-0.3379160675814824</v>
      </c>
      <c r="D519">
        <f ca="1">SQRT(MAX('HE2'!B518,0))*($G$2+$H$2*A519)</f>
        <v>-1.4441158192502192E-2</v>
      </c>
      <c r="E519">
        <f t="shared" ca="1" si="60"/>
        <v>-0.2566060932898428</v>
      </c>
      <c r="Q519">
        <f t="shared" ca="1" si="59"/>
        <v>-0.5212682744266679</v>
      </c>
      <c r="R519">
        <f t="shared" ca="1" si="59"/>
        <v>0.88038169409376343</v>
      </c>
    </row>
    <row r="520" spans="1:18" x14ac:dyDescent="0.45">
      <c r="A520">
        <f t="shared" ca="1" si="58"/>
        <v>0.24846039748418094</v>
      </c>
      <c r="B520">
        <f t="shared" ca="1" si="58"/>
        <v>2.5895154494137094</v>
      </c>
      <c r="D520">
        <f ca="1">SQRT(MAX('HE2'!B519,0))*($G$2+$H$2*A520)</f>
        <v>6.0274064173711214E-2</v>
      </c>
      <c r="E520">
        <f t="shared" ca="1" si="60"/>
        <v>1.75247758763557</v>
      </c>
      <c r="Q520">
        <f t="shared" ca="1" si="59"/>
        <v>-1.2698756939861116</v>
      </c>
      <c r="R520">
        <f t="shared" ca="1" si="59"/>
        <v>-0.43914917605478349</v>
      </c>
    </row>
    <row r="521" spans="1:18" x14ac:dyDescent="0.45">
      <c r="A521">
        <f t="shared" ca="1" si="58"/>
        <v>0.57836111648964772</v>
      </c>
      <c r="B521">
        <f t="shared" ca="1" si="58"/>
        <v>0.85753844049549932</v>
      </c>
      <c r="D521">
        <f ca="1">SQRT(MAX('HE2'!B520,0))*($G$2+$H$2*A521)</f>
        <v>0.26847495517204573</v>
      </c>
      <c r="E521">
        <f t="shared" ca="1" si="60"/>
        <v>0.97721195748901768</v>
      </c>
      <c r="Q521">
        <f t="shared" ca="1" si="59"/>
        <v>1.3379655531837689</v>
      </c>
      <c r="R521">
        <f t="shared" ca="1" si="59"/>
        <v>-1.0174580801503414</v>
      </c>
    </row>
    <row r="522" spans="1:18" x14ac:dyDescent="0.45">
      <c r="A522">
        <f t="shared" ref="A522:B541" ca="1" si="61">NORMINV(RAND(),0,1)</f>
        <v>0.25319525157138584</v>
      </c>
      <c r="B522">
        <f t="shared" ca="1" si="61"/>
        <v>-1.3013139488356209</v>
      </c>
      <c r="D522">
        <f ca="1">SQRT(MAX('HE2'!B521,0))*($G$2+$H$2*A522)</f>
        <v>0.15557111843450855</v>
      </c>
      <c r="E522">
        <f t="shared" ca="1" si="60"/>
        <v>-0.57823216804426369</v>
      </c>
      <c r="Q522">
        <f t="shared" ref="Q522:R541" ca="1" si="62">NORMINV(RAND(),0,1)</f>
        <v>-0.47816154062829008</v>
      </c>
      <c r="R522">
        <f t="shared" ca="1" si="62"/>
        <v>-0.24507276023067084</v>
      </c>
    </row>
    <row r="523" spans="1:18" x14ac:dyDescent="0.45">
      <c r="A523">
        <f t="shared" ca="1" si="61"/>
        <v>1.5066662491277547</v>
      </c>
      <c r="B523">
        <f t="shared" ca="1" si="61"/>
        <v>-0.9509471108325982</v>
      </c>
      <c r="D523">
        <f ca="1">SQRT(MAX('HE2'!B522,0))*($G$2+$H$2*A523)</f>
        <v>0.81646610875519787</v>
      </c>
      <c r="E523">
        <f t="shared" ca="1" si="60"/>
        <v>0.63476473280264512</v>
      </c>
      <c r="Q523">
        <f t="shared" ca="1" si="62"/>
        <v>-0.14954315646162558</v>
      </c>
      <c r="R523">
        <f t="shared" ca="1" si="62"/>
        <v>0.75545846646519965</v>
      </c>
    </row>
    <row r="524" spans="1:18" x14ac:dyDescent="0.45">
      <c r="A524">
        <f t="shared" ca="1" si="61"/>
        <v>-0.70747346540947642</v>
      </c>
      <c r="B524">
        <f t="shared" ca="1" si="61"/>
        <v>-1.5384793642922254</v>
      </c>
      <c r="D524">
        <f ca="1">SQRT(MAX('HE2'!B523,0))*($G$2+$H$2*A524)</f>
        <v>-0.45917548690813242</v>
      </c>
      <c r="E524">
        <f t="shared" ca="1" si="60"/>
        <v>-1.4890663909029163</v>
      </c>
      <c r="Q524">
        <f t="shared" ca="1" si="62"/>
        <v>-0.93835980808531261</v>
      </c>
      <c r="R524">
        <f t="shared" ca="1" si="62"/>
        <v>1.1250208387788578</v>
      </c>
    </row>
    <row r="525" spans="1:18" x14ac:dyDescent="0.45">
      <c r="A525">
        <f t="shared" ca="1" si="61"/>
        <v>-0.11070806829846011</v>
      </c>
      <c r="B525">
        <f t="shared" ca="1" si="61"/>
        <v>0.86784927680191182</v>
      </c>
      <c r="D525">
        <f ca="1">SQRT(MAX('HE2'!B524,0))*($G$2+$H$2*A525)</f>
        <v>-4.3325367627138102E-2</v>
      </c>
      <c r="E525">
        <f t="shared" ca="1" si="60"/>
        <v>0.43214311144237882</v>
      </c>
      <c r="Q525">
        <f t="shared" ca="1" si="62"/>
        <v>0.5204151316586324</v>
      </c>
      <c r="R525">
        <f t="shared" ca="1" si="62"/>
        <v>0.39608686746787702</v>
      </c>
    </row>
    <row r="526" spans="1:18" x14ac:dyDescent="0.45">
      <c r="A526">
        <f t="shared" ca="1" si="61"/>
        <v>1.4559239918463855</v>
      </c>
      <c r="B526">
        <f t="shared" ca="1" si="61"/>
        <v>-1.101808031029319</v>
      </c>
      <c r="D526">
        <f ca="1">SQRT(MAX('HE2'!B525,0))*($G$2+$H$2*A526)</f>
        <v>0.69989460865831044</v>
      </c>
      <c r="E526">
        <f t="shared" ca="1" si="60"/>
        <v>0.50365437485951725</v>
      </c>
      <c r="Q526">
        <f t="shared" ca="1" si="62"/>
        <v>1.5406079379632721E-2</v>
      </c>
      <c r="R526">
        <f t="shared" ca="1" si="62"/>
        <v>-0.72075301722825391</v>
      </c>
    </row>
    <row r="527" spans="1:18" x14ac:dyDescent="0.45">
      <c r="A527">
        <f t="shared" ca="1" si="61"/>
        <v>0.11262287403928645</v>
      </c>
      <c r="B527">
        <f t="shared" ca="1" si="61"/>
        <v>0.91962205364903138</v>
      </c>
      <c r="D527">
        <f ca="1">SQRT(MAX('HE2'!B526,0))*($G$2+$H$2*A527)</f>
        <v>6.4635623079190851E-2</v>
      </c>
      <c r="E527">
        <f t="shared" ca="1" si="60"/>
        <v>0.64187153142084785</v>
      </c>
      <c r="Q527">
        <f t="shared" ca="1" si="62"/>
        <v>-0.27450065108660793</v>
      </c>
      <c r="R527">
        <f t="shared" ca="1" si="62"/>
        <v>-0.3180472480012938</v>
      </c>
    </row>
    <row r="528" spans="1:18" x14ac:dyDescent="0.45">
      <c r="A528">
        <f t="shared" ca="1" si="61"/>
        <v>9.8674551412566897E-2</v>
      </c>
      <c r="B528">
        <f t="shared" ca="1" si="61"/>
        <v>-1.1177097298457066</v>
      </c>
      <c r="D528">
        <f ca="1">SQRT(MAX('HE2'!B527,0))*($G$2+$H$2*A528)</f>
        <v>6.7183448251374622E-2</v>
      </c>
      <c r="E528">
        <f t="shared" ca="1" si="60"/>
        <v>-0.59168619677737033</v>
      </c>
      <c r="Q528">
        <f t="shared" ca="1" si="62"/>
        <v>-1.318986888331225</v>
      </c>
      <c r="R528">
        <f t="shared" ca="1" si="62"/>
        <v>-0.23727521777635766</v>
      </c>
    </row>
    <row r="529" spans="1:18" x14ac:dyDescent="0.45">
      <c r="A529">
        <f t="shared" ca="1" si="61"/>
        <v>-0.82531832628533786</v>
      </c>
      <c r="B529">
        <f t="shared" ca="1" si="61"/>
        <v>0.13801327193600507</v>
      </c>
      <c r="D529">
        <f ca="1">SQRT(MAX('HE2'!B528,0))*($G$2+$H$2*A529)</f>
        <v>-0.49773540852442461</v>
      </c>
      <c r="E529">
        <f t="shared" ca="1" si="60"/>
        <v>-0.57744669786666736</v>
      </c>
      <c r="Q529">
        <f t="shared" ca="1" si="62"/>
        <v>0.55445418513167655</v>
      </c>
      <c r="R529">
        <f t="shared" ca="1" si="62"/>
        <v>-0.52119639945214957</v>
      </c>
    </row>
    <row r="530" spans="1:18" x14ac:dyDescent="0.45">
      <c r="A530">
        <f t="shared" ca="1" si="61"/>
        <v>7.4170388787295191E-2</v>
      </c>
      <c r="B530">
        <f t="shared" ca="1" si="61"/>
        <v>0.61461308946211946</v>
      </c>
      <c r="D530">
        <f ca="1">SQRT(MAX('HE2'!B529,0))*($G$2+$H$2*A530)</f>
        <v>3.9403146153557514E-2</v>
      </c>
      <c r="E530">
        <f t="shared" ca="1" si="60"/>
        <v>0.42810416470710777</v>
      </c>
      <c r="Q530">
        <f t="shared" ca="1" si="62"/>
        <v>-0.44463781201376207</v>
      </c>
      <c r="R530">
        <f t="shared" ca="1" si="62"/>
        <v>-0.90955217346664052</v>
      </c>
    </row>
    <row r="531" spans="1:18" x14ac:dyDescent="0.45">
      <c r="A531">
        <f t="shared" ca="1" si="61"/>
        <v>0.87507073851630723</v>
      </c>
      <c r="B531">
        <f t="shared" ca="1" si="61"/>
        <v>1.3861033307365644</v>
      </c>
      <c r="D531">
        <f ca="1">SQRT(MAX('HE2'!B530,0))*($G$2+$H$2*A531)</f>
        <v>0.53592716821561814</v>
      </c>
      <c r="E531">
        <f t="shared" ca="1" si="60"/>
        <v>1.5317185892549843</v>
      </c>
      <c r="Q531">
        <f t="shared" ca="1" si="62"/>
        <v>0.15741786136558059</v>
      </c>
      <c r="R531">
        <f t="shared" ca="1" si="62"/>
        <v>-2.068295346773104</v>
      </c>
    </row>
    <row r="532" spans="1:18" x14ac:dyDescent="0.45">
      <c r="A532">
        <f t="shared" ca="1" si="61"/>
        <v>-0.8059978926465392</v>
      </c>
      <c r="B532">
        <f t="shared" ca="1" si="61"/>
        <v>-0.33768030838657037</v>
      </c>
      <c r="D532">
        <f ca="1">SQRT(MAX('HE2'!B531,0))*($G$2+$H$2*A532)</f>
        <v>-0.66428732130821799</v>
      </c>
      <c r="E532">
        <f t="shared" ca="1" si="60"/>
        <v>-0.84740649914917365</v>
      </c>
      <c r="Q532">
        <f t="shared" ca="1" si="62"/>
        <v>-1.550746692766751</v>
      </c>
      <c r="R532">
        <f t="shared" ca="1" si="62"/>
        <v>1.0773851354183681</v>
      </c>
    </row>
    <row r="533" spans="1:18" x14ac:dyDescent="0.45">
      <c r="A533">
        <f t="shared" ca="1" si="61"/>
        <v>0.47211786521691518</v>
      </c>
      <c r="B533">
        <f t="shared" ca="1" si="61"/>
        <v>1.4496258844110625</v>
      </c>
      <c r="D533">
        <f ca="1">SQRT(MAX('HE2'!B532,0))*($G$2+$H$2*A533)</f>
        <v>0.32927658550038219</v>
      </c>
      <c r="E533">
        <f t="shared" ca="1" si="60"/>
        <v>1.2474698228201695</v>
      </c>
      <c r="Q533">
        <f t="shared" ca="1" si="62"/>
        <v>0.68770773467184965</v>
      </c>
      <c r="R533">
        <f t="shared" ca="1" si="62"/>
        <v>-0.89897458912834771</v>
      </c>
    </row>
    <row r="534" spans="1:18" x14ac:dyDescent="0.45">
      <c r="A534">
        <f t="shared" ca="1" si="61"/>
        <v>1.1850765370374448</v>
      </c>
      <c r="B534">
        <f t="shared" ca="1" si="61"/>
        <v>2.3071542300398717</v>
      </c>
      <c r="D534">
        <f ca="1">SQRT(MAX('HE2'!B533,0))*($G$2+$H$2*A534)</f>
        <v>1.0385373267136848</v>
      </c>
      <c r="E534">
        <f t="shared" ca="1" si="60"/>
        <v>2.3323537676538786</v>
      </c>
      <c r="Q534">
        <f t="shared" ca="1" si="62"/>
        <v>0.4147498030292337</v>
      </c>
      <c r="R534">
        <f t="shared" ca="1" si="62"/>
        <v>1.0131014785995573</v>
      </c>
    </row>
    <row r="535" spans="1:18" x14ac:dyDescent="0.45">
      <c r="A535">
        <f t="shared" ca="1" si="61"/>
        <v>0.66823227094078141</v>
      </c>
      <c r="B535">
        <f t="shared" ca="1" si="61"/>
        <v>-0.32421175961052828</v>
      </c>
      <c r="D535">
        <f ca="1">SQRT(MAX('HE2'!B534,0))*($G$2+$H$2*A535)</f>
        <v>0.7895542026190735</v>
      </c>
      <c r="E535">
        <f t="shared" ca="1" si="60"/>
        <v>0.34005876098630827</v>
      </c>
      <c r="Q535">
        <f t="shared" ca="1" si="62"/>
        <v>0.42852866521960714</v>
      </c>
      <c r="R535">
        <f t="shared" ca="1" si="62"/>
        <v>-0.19142578923753775</v>
      </c>
    </row>
    <row r="536" spans="1:18" x14ac:dyDescent="0.45">
      <c r="A536">
        <f t="shared" ca="1" si="61"/>
        <v>-0.63651022119373402</v>
      </c>
      <c r="B536">
        <f t="shared" ca="1" si="61"/>
        <v>-5.5851357388130234E-2</v>
      </c>
      <c r="D536">
        <f ca="1">SQRT(MAX('HE2'!B535,0))*($G$2+$H$2*A536)</f>
        <v>-0.7844744866892468</v>
      </c>
      <c r="E536">
        <f t="shared" ca="1" si="60"/>
        <v>-0.54271899138786539</v>
      </c>
      <c r="Q536">
        <f t="shared" ca="1" si="62"/>
        <v>-9.0118304840496988E-2</v>
      </c>
      <c r="R536">
        <f t="shared" ca="1" si="62"/>
        <v>-1.7199098391271586</v>
      </c>
    </row>
    <row r="537" spans="1:18" x14ac:dyDescent="0.45">
      <c r="A537">
        <f t="shared" ca="1" si="61"/>
        <v>-0.31138289781647155</v>
      </c>
      <c r="B537">
        <f t="shared" ca="1" si="61"/>
        <v>-1.0242872899522781</v>
      </c>
      <c r="D537">
        <f ca="1">SQRT(MAX('HE2'!B536,0))*($G$2+$H$2*A537)</f>
        <v>-0.35750588474272588</v>
      </c>
      <c r="E537">
        <f t="shared" ca="1" si="60"/>
        <v>-0.86367869222454408</v>
      </c>
      <c r="Q537">
        <f t="shared" ca="1" si="62"/>
        <v>-0.96537395384388114</v>
      </c>
      <c r="R537">
        <f t="shared" ca="1" si="62"/>
        <v>0.61922951040297292</v>
      </c>
    </row>
    <row r="538" spans="1:18" x14ac:dyDescent="0.45">
      <c r="A538">
        <f t="shared" ca="1" si="61"/>
        <v>1.5456461270501844</v>
      </c>
      <c r="B538">
        <f t="shared" ca="1" si="61"/>
        <v>9.3194966160638007E-2</v>
      </c>
      <c r="D538">
        <f ca="1">SQRT(MAX('HE2'!B537,0))*($G$2+$H$2*A538)</f>
        <v>1.5645481768658351</v>
      </c>
      <c r="E538">
        <f t="shared" ca="1" si="60"/>
        <v>1.2924338813365304</v>
      </c>
      <c r="Q538">
        <f t="shared" ca="1" si="62"/>
        <v>-0.4031670289057035</v>
      </c>
      <c r="R538">
        <f t="shared" ca="1" si="62"/>
        <v>0.55041514985950468</v>
      </c>
    </row>
    <row r="539" spans="1:18" x14ac:dyDescent="0.45">
      <c r="A539">
        <f t="shared" ca="1" si="61"/>
        <v>-0.33196120436616045</v>
      </c>
      <c r="B539">
        <f t="shared" ca="1" si="61"/>
        <v>0.29219161261247817</v>
      </c>
      <c r="D539">
        <f ca="1">SQRT(MAX('HE2'!B538,0))*($G$2+$H$2*A539)</f>
        <v>-0.39653118676358012</v>
      </c>
      <c r="E539">
        <f t="shared" ca="1" si="60"/>
        <v>-9.0253995925441505E-2</v>
      </c>
      <c r="Q539">
        <f t="shared" ca="1" si="62"/>
        <v>0.22941965227446964</v>
      </c>
      <c r="R539">
        <f t="shared" ca="1" si="62"/>
        <v>-0.41736211900594405</v>
      </c>
    </row>
    <row r="540" spans="1:18" x14ac:dyDescent="0.45">
      <c r="A540">
        <f t="shared" ca="1" si="61"/>
        <v>-0.44259713325472677</v>
      </c>
      <c r="B540">
        <f t="shared" ca="1" si="61"/>
        <v>-8.0087994330452564E-2</v>
      </c>
      <c r="D540">
        <f ca="1">SQRT(MAX('HE2'!B539,0))*($G$2+$H$2*A540)</f>
        <v>-0.52298497630345697</v>
      </c>
      <c r="E540">
        <f t="shared" ca="1" si="60"/>
        <v>-0.40213050320205301</v>
      </c>
      <c r="Q540">
        <f t="shared" ca="1" si="62"/>
        <v>0.66614213200025529</v>
      </c>
      <c r="R540">
        <f t="shared" ca="1" si="62"/>
        <v>0.74505015292595922</v>
      </c>
    </row>
    <row r="541" spans="1:18" x14ac:dyDescent="0.45">
      <c r="A541">
        <f t="shared" ca="1" si="61"/>
        <v>-0.53220874263002693</v>
      </c>
      <c r="B541">
        <f t="shared" ca="1" si="61"/>
        <v>2.4248932280802427</v>
      </c>
      <c r="D541">
        <f ca="1">SQRT(MAX('HE2'!B540,0))*($G$2+$H$2*A541)</f>
        <v>-0.59646243860997272</v>
      </c>
      <c r="E541">
        <f t="shared" ca="1" si="60"/>
        <v>1.0291689427441237</v>
      </c>
      <c r="Q541">
        <f t="shared" ca="1" si="62"/>
        <v>0.17517140385018867</v>
      </c>
      <c r="R541">
        <f t="shared" ca="1" si="62"/>
        <v>0.12082002463997474</v>
      </c>
    </row>
    <row r="542" spans="1:18" x14ac:dyDescent="0.45">
      <c r="A542">
        <f t="shared" ref="A542:B561" ca="1" si="63">NORMINV(RAND(),0,1)</f>
        <v>-0.13774120056509512</v>
      </c>
      <c r="B542">
        <f t="shared" ca="1" si="63"/>
        <v>0.83843820035615968</v>
      </c>
      <c r="D542">
        <f ca="1">SQRT(MAX('HE2'!B541,0))*($G$2+$H$2*A542)</f>
        <v>-0.17462247947570059</v>
      </c>
      <c r="E542">
        <f t="shared" ca="1" si="60"/>
        <v>0.39286995976161959</v>
      </c>
      <c r="Q542">
        <f t="shared" ref="Q542:R561" ca="1" si="64">NORMINV(RAND(),0,1)</f>
        <v>-1.8448263884512976</v>
      </c>
      <c r="R542">
        <f t="shared" ca="1" si="64"/>
        <v>0.96789232163212813</v>
      </c>
    </row>
    <row r="543" spans="1:18" x14ac:dyDescent="0.45">
      <c r="A543">
        <f t="shared" ca="1" si="63"/>
        <v>1.4105112164334395</v>
      </c>
      <c r="B543">
        <f t="shared" ca="1" si="63"/>
        <v>-0.53086381348969225</v>
      </c>
      <c r="D543">
        <f ca="1">SQRT(MAX('HE2'!B542,0))*($G$2+$H$2*A543)</f>
        <v>1.8684630559510718</v>
      </c>
      <c r="E543">
        <f t="shared" ca="1" si="60"/>
        <v>0.80989068505293638</v>
      </c>
      <c r="Q543">
        <f t="shared" ca="1" si="64"/>
        <v>0.27203235590593283</v>
      </c>
      <c r="R543">
        <f t="shared" ca="1" si="64"/>
        <v>6.5719282631452922E-2</v>
      </c>
    </row>
    <row r="544" spans="1:18" x14ac:dyDescent="0.45">
      <c r="A544">
        <f t="shared" ca="1" si="63"/>
        <v>-0.46308648417744497</v>
      </c>
      <c r="B544">
        <f t="shared" ca="1" si="63"/>
        <v>0.12574497251686839</v>
      </c>
      <c r="D544">
        <f ca="1">SQRT(MAX('HE2'!B543,0))*($G$2+$H$2*A544)</f>
        <v>-0.66655139462449453</v>
      </c>
      <c r="E544">
        <f t="shared" ca="1" si="60"/>
        <v>-0.29502220383183497</v>
      </c>
      <c r="Q544">
        <f t="shared" ca="1" si="64"/>
        <v>1.1854436233998313</v>
      </c>
      <c r="R544">
        <f t="shared" ca="1" si="64"/>
        <v>0.90524256799389835</v>
      </c>
    </row>
    <row r="545" spans="1:18" x14ac:dyDescent="0.45">
      <c r="A545">
        <f t="shared" ca="1" si="63"/>
        <v>0.89905689997242655</v>
      </c>
      <c r="B545">
        <f t="shared" ca="1" si="63"/>
        <v>-0.95564506046720932</v>
      </c>
      <c r="D545">
        <f ca="1">SQRT(MAX('HE2'!B544,0))*($G$2+$H$2*A545)</f>
        <v>1.2500500179268184</v>
      </c>
      <c r="E545">
        <f t="shared" ca="1" si="60"/>
        <v>0.14585848369761578</v>
      </c>
      <c r="Q545">
        <f t="shared" ca="1" si="64"/>
        <v>-0.55858327604559321</v>
      </c>
      <c r="R545">
        <f t="shared" ca="1" si="64"/>
        <v>-0.69168460849481883</v>
      </c>
    </row>
    <row r="546" spans="1:18" x14ac:dyDescent="0.45">
      <c r="A546">
        <f t="shared" ca="1" si="63"/>
        <v>-0.80005722290817449</v>
      </c>
      <c r="B546">
        <f t="shared" ca="1" si="63"/>
        <v>-0.92826197989920822</v>
      </c>
      <c r="D546">
        <f ca="1">SQRT(MAX('HE2'!B545,0))*($G$2+$H$2*A546)</f>
        <v>-1.1273883441144641</v>
      </c>
      <c r="E546">
        <f t="shared" ca="1" si="60"/>
        <v>-1.1970029662660644</v>
      </c>
      <c r="Q546">
        <f t="shared" ca="1" si="64"/>
        <v>-0.24583621847998499</v>
      </c>
      <c r="R546">
        <f t="shared" ca="1" si="64"/>
        <v>0.69176104615524436</v>
      </c>
    </row>
    <row r="547" spans="1:18" x14ac:dyDescent="0.45">
      <c r="A547">
        <f t="shared" ca="1" si="63"/>
        <v>1.2471726659559961</v>
      </c>
      <c r="B547">
        <f t="shared" ca="1" si="63"/>
        <v>-2.8125866427358326</v>
      </c>
      <c r="D547">
        <f ca="1">SQRT(MAX('HE2'!B546,0))*($G$2+$H$2*A547)</f>
        <v>1.5122161248956443</v>
      </c>
      <c r="E547">
        <f t="shared" ca="1" si="60"/>
        <v>-0.68981385287670216</v>
      </c>
      <c r="Q547">
        <f t="shared" ca="1" si="64"/>
        <v>-8.7200199218133295E-2</v>
      </c>
      <c r="R547">
        <f t="shared" ca="1" si="64"/>
        <v>0.43145322082772491</v>
      </c>
    </row>
    <row r="548" spans="1:18" x14ac:dyDescent="0.45">
      <c r="A548">
        <f t="shared" ca="1" si="63"/>
        <v>-1.0782682155143615</v>
      </c>
      <c r="B548">
        <f t="shared" ca="1" si="63"/>
        <v>-1.0795516438516819</v>
      </c>
      <c r="D548">
        <f ca="1">SQRT(MAX('HE2'!B547,0))*($G$2+$H$2*A548)</f>
        <v>-1.1910519927534138</v>
      </c>
      <c r="E548">
        <f t="shared" ca="1" si="60"/>
        <v>-1.5103455587224981</v>
      </c>
      <c r="Q548">
        <f t="shared" ca="1" si="64"/>
        <v>0.88138372559011047</v>
      </c>
      <c r="R548">
        <f t="shared" ca="1" si="64"/>
        <v>-0.93341938076965281</v>
      </c>
    </row>
    <row r="549" spans="1:18" x14ac:dyDescent="0.45">
      <c r="A549">
        <f t="shared" ca="1" si="63"/>
        <v>-0.19344608434260249</v>
      </c>
      <c r="B549">
        <f t="shared" ca="1" si="63"/>
        <v>-0.53508473892835595</v>
      </c>
      <c r="D549">
        <f ca="1">SQRT(MAX('HE2'!B548,0))*($G$2+$H$2*A549)</f>
        <v>-0.16477054990730233</v>
      </c>
      <c r="E549">
        <f t="shared" ca="1" si="60"/>
        <v>-0.47580771083109552</v>
      </c>
      <c r="Q549">
        <f t="shared" ca="1" si="64"/>
        <v>0.88796935309628944</v>
      </c>
      <c r="R549">
        <f t="shared" ca="1" si="64"/>
        <v>-0.67638858588389295</v>
      </c>
    </row>
    <row r="550" spans="1:18" x14ac:dyDescent="0.45">
      <c r="A550">
        <f t="shared" ca="1" si="63"/>
        <v>0.57346175074109118</v>
      </c>
      <c r="B550">
        <f t="shared" ca="1" si="63"/>
        <v>1.4832286878959087</v>
      </c>
      <c r="D550">
        <f ca="1">SQRT(MAX('HE2'!B549,0))*($G$2+$H$2*A550)</f>
        <v>0.45142703925435895</v>
      </c>
      <c r="E550">
        <f t="shared" ca="1" si="60"/>
        <v>1.348706613330418</v>
      </c>
      <c r="Q550">
        <f t="shared" ca="1" si="64"/>
        <v>-0.5960918496705585</v>
      </c>
      <c r="R550">
        <f t="shared" ca="1" si="64"/>
        <v>-0.73809742078047702</v>
      </c>
    </row>
    <row r="551" spans="1:18" x14ac:dyDescent="0.45">
      <c r="A551">
        <f t="shared" ca="1" si="63"/>
        <v>0.20285616728426933</v>
      </c>
      <c r="B551">
        <f t="shared" ca="1" si="63"/>
        <v>-0.24876327409615631</v>
      </c>
      <c r="D551">
        <f ca="1">SQRT(MAX('HE2'!B550,0))*($G$2+$H$2*A551)</f>
        <v>0.19834953554645346</v>
      </c>
      <c r="E551">
        <f t="shared" ca="1" si="60"/>
        <v>1.3026969369721725E-2</v>
      </c>
      <c r="Q551">
        <f t="shared" ca="1" si="64"/>
        <v>-7.5259294202925264E-2</v>
      </c>
      <c r="R551">
        <f t="shared" ca="1" si="64"/>
        <v>1.451224116174737</v>
      </c>
    </row>
    <row r="552" spans="1:18" x14ac:dyDescent="0.45">
      <c r="A552">
        <f t="shared" ca="1" si="63"/>
        <v>-1.8282200091111225E-2</v>
      </c>
      <c r="B552">
        <f t="shared" ca="1" si="63"/>
        <v>0.83398721001023479</v>
      </c>
      <c r="D552">
        <f ca="1">SQRT(MAX('HE2'!B551,0))*($G$2+$H$2*A552)</f>
        <v>-1.8015434200093296E-2</v>
      </c>
      <c r="E552">
        <f t="shared" ca="1" si="60"/>
        <v>0.48576656593325185</v>
      </c>
      <c r="Q552">
        <f t="shared" ca="1" si="64"/>
        <v>-0.37993095746170835</v>
      </c>
      <c r="R552">
        <f t="shared" ca="1" si="64"/>
        <v>-0.56713081588925196</v>
      </c>
    </row>
    <row r="553" spans="1:18" x14ac:dyDescent="0.45">
      <c r="A553">
        <f t="shared" ca="1" si="63"/>
        <v>0.72821246758392766</v>
      </c>
      <c r="B553">
        <f t="shared" ca="1" si="63"/>
        <v>-0.41559955431546403</v>
      </c>
      <c r="D553">
        <f ca="1">SQRT(MAX('HE2'!B552,0))*($G$2+$H$2*A553)</f>
        <v>0.77255097022468688</v>
      </c>
      <c r="E553">
        <f t="shared" ca="1" si="60"/>
        <v>0.33321024147786382</v>
      </c>
      <c r="Q553">
        <f t="shared" ca="1" si="64"/>
        <v>-0.33659954390929914</v>
      </c>
      <c r="R553">
        <f t="shared" ca="1" si="64"/>
        <v>2.4691021876228176</v>
      </c>
    </row>
    <row r="554" spans="1:18" x14ac:dyDescent="0.45">
      <c r="A554">
        <f t="shared" ca="1" si="63"/>
        <v>9.6392526063322853E-2</v>
      </c>
      <c r="B554">
        <f t="shared" ca="1" si="63"/>
        <v>0.34499273807902914</v>
      </c>
      <c r="D554">
        <f ca="1">SQRT(MAX('HE2'!B553,0))*($G$2+$H$2*A554)</f>
        <v>0.10730738017429182</v>
      </c>
      <c r="E554">
        <f t="shared" ca="1" si="60"/>
        <v>0.28410966369807572</v>
      </c>
      <c r="Q554">
        <f t="shared" ca="1" si="64"/>
        <v>-1.5529324779767366</v>
      </c>
      <c r="R554">
        <f t="shared" ca="1" si="64"/>
        <v>-0.8672349453898951</v>
      </c>
    </row>
    <row r="555" spans="1:18" x14ac:dyDescent="0.45">
      <c r="A555">
        <f t="shared" ca="1" si="63"/>
        <v>-0.18583452572101791</v>
      </c>
      <c r="B555">
        <f t="shared" ca="1" si="63"/>
        <v>-0.27368395721106969</v>
      </c>
      <c r="D555">
        <f ca="1">SQRT(MAX('HE2'!B554,0))*($G$2+$H$2*A555)</f>
        <v>-0.21509131820491675</v>
      </c>
      <c r="E555">
        <f t="shared" ca="1" si="60"/>
        <v>-0.31287799490345614</v>
      </c>
      <c r="Q555">
        <f t="shared" ca="1" si="64"/>
        <v>-0.46444332724397597</v>
      </c>
      <c r="R555">
        <f t="shared" ca="1" si="64"/>
        <v>-0.14021644436312233</v>
      </c>
    </row>
    <row r="556" spans="1:18" x14ac:dyDescent="0.45">
      <c r="A556">
        <f t="shared" ca="1" si="63"/>
        <v>0.82817969258653457</v>
      </c>
      <c r="B556">
        <f t="shared" ca="1" si="63"/>
        <v>1.5053289858122705</v>
      </c>
      <c r="D556">
        <f ca="1">SQRT(MAX('HE2'!B555,0))*($G$2+$H$2*A556)</f>
        <v>0.92017029316293064</v>
      </c>
      <c r="E556">
        <f t="shared" ca="1" si="60"/>
        <v>1.5657411455565899</v>
      </c>
      <c r="Q556">
        <f t="shared" ca="1" si="64"/>
        <v>-1.4463209854774619</v>
      </c>
      <c r="R556">
        <f t="shared" ca="1" si="64"/>
        <v>0.58209806791723118</v>
      </c>
    </row>
    <row r="557" spans="1:18" x14ac:dyDescent="0.45">
      <c r="A557">
        <f t="shared" ca="1" si="63"/>
        <v>0.3628423704086472</v>
      </c>
      <c r="B557">
        <f t="shared" ca="1" si="63"/>
        <v>0.88897144813555828</v>
      </c>
      <c r="D557">
        <f ca="1">SQRT(MAX('HE2'!B556,0))*($G$2+$H$2*A557)</f>
        <v>0.4816333577725857</v>
      </c>
      <c r="E557">
        <f t="shared" ca="1" si="60"/>
        <v>0.82365676520825271</v>
      </c>
      <c r="Q557">
        <f t="shared" ca="1" si="64"/>
        <v>-0.54417279928826756</v>
      </c>
      <c r="R557">
        <f t="shared" ca="1" si="64"/>
        <v>1.3424027393322788</v>
      </c>
    </row>
    <row r="558" spans="1:18" x14ac:dyDescent="0.45">
      <c r="A558">
        <f t="shared" ca="1" si="63"/>
        <v>0.16712804087590546</v>
      </c>
      <c r="B558">
        <f t="shared" ca="1" si="63"/>
        <v>1.8107951855563671</v>
      </c>
      <c r="D558">
        <f ca="1">SQRT(MAX('HE2'!B557,0))*($G$2+$H$2*A558)</f>
        <v>0.24132428216426532</v>
      </c>
      <c r="E558">
        <f t="shared" ca="1" si="60"/>
        <v>1.2201795440345444</v>
      </c>
      <c r="Q558">
        <f t="shared" ca="1" si="64"/>
        <v>-0.10430462963079691</v>
      </c>
      <c r="R558">
        <f t="shared" ca="1" si="64"/>
        <v>0.25176378037499392</v>
      </c>
    </row>
    <row r="559" spans="1:18" x14ac:dyDescent="0.45">
      <c r="A559">
        <f t="shared" ca="1" si="63"/>
        <v>-0.42687349161762378</v>
      </c>
      <c r="B559">
        <f t="shared" ca="1" si="63"/>
        <v>-0.43873533635312451</v>
      </c>
      <c r="D559">
        <f ca="1">SQRT(MAX('HE2'!B558,0))*($G$2+$H$2*A559)</f>
        <v>-0.68859317643119855</v>
      </c>
      <c r="E559">
        <f t="shared" ca="1" si="60"/>
        <v>-0.60473999510597376</v>
      </c>
      <c r="Q559">
        <f t="shared" ca="1" si="64"/>
        <v>-2.2444392054544302</v>
      </c>
      <c r="R559">
        <f t="shared" ca="1" si="64"/>
        <v>-0.35719064470536865</v>
      </c>
    </row>
    <row r="560" spans="1:18" x14ac:dyDescent="0.45">
      <c r="A560">
        <f t="shared" ca="1" si="63"/>
        <v>0.27564334221725428</v>
      </c>
      <c r="B560">
        <f t="shared" ca="1" si="63"/>
        <v>-0.49570002037393956</v>
      </c>
      <c r="D560">
        <f ca="1">SQRT(MAX('HE2'!B559,0))*($G$2+$H$2*A560)</f>
        <v>0.41691369573459625</v>
      </c>
      <c r="E560">
        <f t="shared" ca="1" si="60"/>
        <v>-7.6905338450560218E-2</v>
      </c>
      <c r="Q560">
        <f t="shared" ca="1" si="64"/>
        <v>0.56186780068433495</v>
      </c>
      <c r="R560">
        <f t="shared" ca="1" si="64"/>
        <v>-1.8266925977750321</v>
      </c>
    </row>
    <row r="561" spans="1:18" x14ac:dyDescent="0.45">
      <c r="A561">
        <f t="shared" ca="1" si="63"/>
        <v>0.87934094246226835</v>
      </c>
      <c r="B561">
        <f t="shared" ca="1" si="63"/>
        <v>-1.5056514894806137</v>
      </c>
      <c r="D561">
        <f ca="1">SQRT(MAX('HE2'!B560,0))*($G$2+$H$2*A561)</f>
        <v>1.3152862015994553</v>
      </c>
      <c r="E561">
        <f t="shared" ca="1" si="60"/>
        <v>-0.19991813971855332</v>
      </c>
      <c r="Q561">
        <f t="shared" ca="1" si="64"/>
        <v>1.6622991433992291</v>
      </c>
      <c r="R561">
        <f t="shared" ca="1" si="64"/>
        <v>-0.29934939544728945</v>
      </c>
    </row>
    <row r="562" spans="1:18" x14ac:dyDescent="0.45">
      <c r="A562">
        <f t="shared" ref="A562:B581" ca="1" si="65">NORMINV(RAND(),0,1)</f>
        <v>0.23955875232848142</v>
      </c>
      <c r="B562">
        <f t="shared" ca="1" si="65"/>
        <v>-0.28287305028879633</v>
      </c>
      <c r="D562">
        <f ca="1">SQRT(MAX('HE2'!B561,0))*($G$2+$H$2*A562)</f>
        <v>0.34988058759292706</v>
      </c>
      <c r="E562">
        <f t="shared" ca="1" si="60"/>
        <v>2.1923171689507387E-2</v>
      </c>
      <c r="Q562">
        <f t="shared" ref="Q562:R581" ca="1" si="66">NORMINV(RAND(),0,1)</f>
        <v>0.22718795489599211</v>
      </c>
      <c r="R562">
        <f t="shared" ca="1" si="66"/>
        <v>-0.77338106207167634</v>
      </c>
    </row>
    <row r="563" spans="1:18" x14ac:dyDescent="0.45">
      <c r="A563">
        <f t="shared" ca="1" si="65"/>
        <v>1.0226932928424952</v>
      </c>
      <c r="B563">
        <f t="shared" ca="1" si="65"/>
        <v>-0.59301379829539513</v>
      </c>
      <c r="D563">
        <f ca="1">SQRT(MAX('HE2'!B562,0))*($G$2+$H$2*A563)</f>
        <v>1.4926883642907853</v>
      </c>
      <c r="E563">
        <f t="shared" ca="1" si="60"/>
        <v>0.46234635529675927</v>
      </c>
      <c r="Q563">
        <f t="shared" ca="1" si="66"/>
        <v>1.606490794304529</v>
      </c>
      <c r="R563">
        <f t="shared" ca="1" si="66"/>
        <v>0.91078434462516578</v>
      </c>
    </row>
    <row r="564" spans="1:18" x14ac:dyDescent="0.45">
      <c r="A564">
        <f t="shared" ca="1" si="65"/>
        <v>0.99872507067960448</v>
      </c>
      <c r="B564">
        <f t="shared" ca="1" si="65"/>
        <v>-1.1576640909381271</v>
      </c>
      <c r="D564">
        <f ca="1">SQRT(MAX('HE2'!B563,0))*($G$2+$H$2*A564)</f>
        <v>1.5213575339380887</v>
      </c>
      <c r="E564">
        <f t="shared" ca="1" si="60"/>
        <v>0.10438160198080759</v>
      </c>
      <c r="Q564">
        <f t="shared" ca="1" si="66"/>
        <v>-0.38908603754059934</v>
      </c>
      <c r="R564">
        <f t="shared" ca="1" si="66"/>
        <v>1.1824822039984118</v>
      </c>
    </row>
    <row r="565" spans="1:18" x14ac:dyDescent="0.45">
      <c r="A565">
        <f t="shared" ca="1" si="65"/>
        <v>1.8990138951302193</v>
      </c>
      <c r="B565">
        <f t="shared" ca="1" si="65"/>
        <v>0.83735585228793752</v>
      </c>
      <c r="D565">
        <f ca="1">SQRT(MAX('HE2'!B564,0))*($G$2+$H$2*A565)</f>
        <v>2.9123731006619415</v>
      </c>
      <c r="E565">
        <f t="shared" ca="1" si="60"/>
        <v>2.0216246274769381</v>
      </c>
      <c r="Q565">
        <f t="shared" ca="1" si="66"/>
        <v>0.51701754459391935</v>
      </c>
      <c r="R565">
        <f t="shared" ca="1" si="66"/>
        <v>-0.53365714879091186</v>
      </c>
    </row>
    <row r="566" spans="1:18" x14ac:dyDescent="0.45">
      <c r="A566">
        <f t="shared" ca="1" si="65"/>
        <v>-1.652411684582737</v>
      </c>
      <c r="B566">
        <f t="shared" ca="1" si="65"/>
        <v>-0.34570221965788589</v>
      </c>
      <c r="D566">
        <f ca="1">SQRT(MAX('HE2'!B565,0))*($G$2+$H$2*A566)</f>
        <v>-2.9859558234621515</v>
      </c>
      <c r="E566">
        <f t="shared" ca="1" si="60"/>
        <v>-1.5293506794609213</v>
      </c>
      <c r="Q566">
        <f t="shared" ca="1" si="66"/>
        <v>-0.63657219381050034</v>
      </c>
      <c r="R566">
        <f t="shared" ca="1" si="66"/>
        <v>-0.79566979465204002</v>
      </c>
    </row>
    <row r="567" spans="1:18" x14ac:dyDescent="0.45">
      <c r="A567">
        <f t="shared" ca="1" si="65"/>
        <v>-0.89690552339268403</v>
      </c>
      <c r="B567">
        <f t="shared" ca="1" si="65"/>
        <v>-1.3500150685805234</v>
      </c>
      <c r="D567">
        <f ca="1">SQRT(MAX('HE2'!B566,0))*($G$2+$H$2*A567)</f>
        <v>-1.3898390812052686</v>
      </c>
      <c r="E567">
        <f t="shared" ca="1" si="60"/>
        <v>-1.527533459862461</v>
      </c>
      <c r="Q567">
        <f t="shared" ca="1" si="66"/>
        <v>-0.64344965402370302</v>
      </c>
      <c r="R567">
        <f t="shared" ca="1" si="66"/>
        <v>4.2088550343909098E-2</v>
      </c>
    </row>
    <row r="568" spans="1:18" x14ac:dyDescent="0.45">
      <c r="A568">
        <f t="shared" ca="1" si="65"/>
        <v>-0.65006020179653423</v>
      </c>
      <c r="B568">
        <f t="shared" ca="1" si="65"/>
        <v>-1.9635839262575854</v>
      </c>
      <c r="D568">
        <f ca="1">SQRT(MAX('HE2'!B567,0))*($G$2+$H$2*A568)</f>
        <v>-0.84090928414736299</v>
      </c>
      <c r="E568">
        <f t="shared" ca="1" si="60"/>
        <v>-1.6981985171917784</v>
      </c>
      <c r="Q568">
        <f t="shared" ca="1" si="66"/>
        <v>0.7229716147788221</v>
      </c>
      <c r="R568">
        <f t="shared" ca="1" si="66"/>
        <v>-0.43955119638099305</v>
      </c>
    </row>
    <row r="569" spans="1:18" x14ac:dyDescent="0.45">
      <c r="A569">
        <f t="shared" ca="1" si="65"/>
        <v>-0.34205337161418009</v>
      </c>
      <c r="B569">
        <f t="shared" ca="1" si="65"/>
        <v>-0.87637819311935361</v>
      </c>
      <c r="D569">
        <f ca="1">SQRT(MAX('HE2'!B568,0))*($G$2+$H$2*A569)</f>
        <v>-0.34395286945903436</v>
      </c>
      <c r="E569">
        <f t="shared" ca="1" si="60"/>
        <v>-0.79946961316295617</v>
      </c>
      <c r="Q569">
        <f t="shared" ca="1" si="66"/>
        <v>0.99524340258520438</v>
      </c>
      <c r="R569">
        <f t="shared" ca="1" si="66"/>
        <v>-1.7929304618273061</v>
      </c>
    </row>
    <row r="570" spans="1:18" x14ac:dyDescent="0.45">
      <c r="A570">
        <f t="shared" ca="1" si="65"/>
        <v>1.1898315774901738</v>
      </c>
      <c r="B570">
        <f t="shared" ca="1" si="65"/>
        <v>-0.13203152187464326</v>
      </c>
      <c r="D570">
        <f ca="1">SQRT(MAX('HE2'!B569,0))*($G$2+$H$2*A570)</f>
        <v>1.050837371213118</v>
      </c>
      <c r="E570">
        <f t="shared" ca="1" si="60"/>
        <v>0.87264634886735315</v>
      </c>
      <c r="Q570">
        <f t="shared" ca="1" si="66"/>
        <v>0.98458271396042563</v>
      </c>
      <c r="R570">
        <f t="shared" ca="1" si="66"/>
        <v>0.47498188813426107</v>
      </c>
    </row>
    <row r="571" spans="1:18" x14ac:dyDescent="0.45">
      <c r="A571">
        <f t="shared" ca="1" si="65"/>
        <v>-7.644863589372547E-2</v>
      </c>
      <c r="B571">
        <f t="shared" ca="1" si="65"/>
        <v>0.62945588976518052</v>
      </c>
      <c r="D571">
        <f ca="1">SQRT(MAX('HE2'!B570,0))*($G$2+$H$2*A571)</f>
        <v>-7.7431906823684171E-2</v>
      </c>
      <c r="E571">
        <f t="shared" ca="1" si="60"/>
        <v>0.31651462514412787</v>
      </c>
      <c r="Q571">
        <f t="shared" ca="1" si="66"/>
        <v>0.27007812107091272</v>
      </c>
      <c r="R571">
        <f t="shared" ca="1" si="66"/>
        <v>-0.33823529099883726</v>
      </c>
    </row>
    <row r="572" spans="1:18" x14ac:dyDescent="0.45">
      <c r="A572">
        <f t="shared" ca="1" si="65"/>
        <v>9.2751441236308806E-3</v>
      </c>
      <c r="B572">
        <f t="shared" ca="1" si="65"/>
        <v>-1.6254563608998456</v>
      </c>
      <c r="D572">
        <f ca="1">SQRT(MAX('HE2'!B571,0))*($G$2+$H$2*A572)</f>
        <v>9.867528596978441E-3</v>
      </c>
      <c r="E572">
        <f t="shared" ca="1" si="60"/>
        <v>-0.96785370124100234</v>
      </c>
      <c r="Q572">
        <f t="shared" ca="1" si="66"/>
        <v>-1.5947660077598242</v>
      </c>
      <c r="R572">
        <f t="shared" ca="1" si="66"/>
        <v>1.6314267733315038</v>
      </c>
    </row>
    <row r="573" spans="1:18" x14ac:dyDescent="0.45">
      <c r="A573">
        <f t="shared" ca="1" si="65"/>
        <v>-0.98752033672920536</v>
      </c>
      <c r="B573">
        <f t="shared" ca="1" si="65"/>
        <v>3.1565698348421475E-2</v>
      </c>
      <c r="D573">
        <f ca="1">SQRT(MAX('HE2'!B572,0))*($G$2+$H$2*A573)</f>
        <v>-0.89996979901191954</v>
      </c>
      <c r="E573">
        <f t="shared" ca="1" si="60"/>
        <v>-0.77107685037431151</v>
      </c>
      <c r="Q573">
        <f t="shared" ca="1" si="66"/>
        <v>0.87038269674610691</v>
      </c>
      <c r="R573">
        <f t="shared" ca="1" si="66"/>
        <v>-0.71248536844147081</v>
      </c>
    </row>
    <row r="574" spans="1:18" x14ac:dyDescent="0.45">
      <c r="A574">
        <f t="shared" ca="1" si="65"/>
        <v>0.39159183862607227</v>
      </c>
      <c r="B574">
        <f t="shared" ca="1" si="65"/>
        <v>-8.7371395494512064E-3</v>
      </c>
      <c r="D574">
        <f ca="1">SQRT(MAX('HE2'!B573,0))*($G$2+$H$2*A574)</f>
        <v>0.31165115856417591</v>
      </c>
      <c r="E574">
        <f t="shared" ca="1" si="60"/>
        <v>0.3080311871711871</v>
      </c>
      <c r="Q574">
        <f t="shared" ca="1" si="66"/>
        <v>-0.28468956406584772</v>
      </c>
      <c r="R574">
        <f t="shared" ca="1" si="66"/>
        <v>-0.66108047063207842</v>
      </c>
    </row>
    <row r="575" spans="1:18" x14ac:dyDescent="0.45">
      <c r="A575">
        <f t="shared" ca="1" si="65"/>
        <v>-0.7108459610696215</v>
      </c>
      <c r="B575">
        <f t="shared" ca="1" si="65"/>
        <v>1.3423917082502939</v>
      </c>
      <c r="D575">
        <f ca="1">SQRT(MAX('HE2'!B574,0))*($G$2+$H$2*A575)</f>
        <v>-0.60506874673680155</v>
      </c>
      <c r="E575">
        <f t="shared" ca="1" si="60"/>
        <v>0.23675825609447898</v>
      </c>
      <c r="Q575">
        <f t="shared" ca="1" si="66"/>
        <v>-2.6902132167111601</v>
      </c>
      <c r="R575">
        <f t="shared" ca="1" si="66"/>
        <v>0.68446107581213556</v>
      </c>
    </row>
    <row r="576" spans="1:18" x14ac:dyDescent="0.45">
      <c r="A576">
        <f t="shared" ca="1" si="65"/>
        <v>0.73409406298812829</v>
      </c>
      <c r="B576">
        <f t="shared" ca="1" si="65"/>
        <v>-0.70373180933145896</v>
      </c>
      <c r="D576">
        <f ca="1">SQRT(MAX('HE2'!B575,0))*($G$2+$H$2*A576)</f>
        <v>0.65690920591566104</v>
      </c>
      <c r="E576">
        <f t="shared" ca="1" si="60"/>
        <v>0.16503616479162736</v>
      </c>
      <c r="Q576">
        <f t="shared" ca="1" si="66"/>
        <v>-0.85098506904593951</v>
      </c>
      <c r="R576">
        <f t="shared" ca="1" si="66"/>
        <v>-2.4033991723769104</v>
      </c>
    </row>
    <row r="577" spans="1:18" x14ac:dyDescent="0.45">
      <c r="A577">
        <f t="shared" ca="1" si="65"/>
        <v>-0.32344441065215263</v>
      </c>
      <c r="B577">
        <f t="shared" ca="1" si="65"/>
        <v>1.0720856156181673</v>
      </c>
      <c r="D577">
        <f ca="1">SQRT(MAX('HE2'!B576,0))*($G$2+$H$2*A577)</f>
        <v>-0.29983258265766261</v>
      </c>
      <c r="E577">
        <f t="shared" ca="1" si="60"/>
        <v>0.38449584084917809</v>
      </c>
      <c r="Q577">
        <f t="shared" ca="1" si="66"/>
        <v>-0.93505875225874024</v>
      </c>
      <c r="R577">
        <f t="shared" ca="1" si="66"/>
        <v>-1.0901875164047068</v>
      </c>
    </row>
    <row r="578" spans="1:18" x14ac:dyDescent="0.45">
      <c r="A578">
        <f t="shared" ca="1" si="65"/>
        <v>-1.021886385884949</v>
      </c>
      <c r="B578">
        <f t="shared" ca="1" si="65"/>
        <v>-0.60034697041232155</v>
      </c>
      <c r="D578">
        <f ca="1">SQRT(MAX('HE2'!B577,0))*($G$2+$H$2*A578)</f>
        <v>-1.0112733517911177</v>
      </c>
      <c r="E578">
        <f t="shared" ref="E578:E641" ca="1" si="67">$I$2+$J$2*(A578*$K$2 + B578*POWER(1-$K$2*$K$2, 0.5))</f>
        <v>-1.1777172909553522</v>
      </c>
      <c r="Q578">
        <f t="shared" ca="1" si="66"/>
        <v>0.4150261912123836</v>
      </c>
      <c r="R578">
        <f t="shared" ca="1" si="66"/>
        <v>0.18965525592174978</v>
      </c>
    </row>
    <row r="579" spans="1:18" x14ac:dyDescent="0.45">
      <c r="A579">
        <f t="shared" ca="1" si="65"/>
        <v>0.75354727004870703</v>
      </c>
      <c r="B579">
        <f t="shared" ca="1" si="65"/>
        <v>-1.5997840709087565</v>
      </c>
      <c r="D579">
        <f ca="1">SQRT(MAX('HE2'!B578,0))*($G$2+$H$2*A579)</f>
        <v>0.60301295608870964</v>
      </c>
      <c r="E579">
        <f t="shared" ca="1" si="67"/>
        <v>-0.35703262650628798</v>
      </c>
      <c r="Q579">
        <f t="shared" ca="1" si="66"/>
        <v>-0.31590846812694878</v>
      </c>
      <c r="R579">
        <f t="shared" ca="1" si="66"/>
        <v>6.7990593896552168E-2</v>
      </c>
    </row>
    <row r="580" spans="1:18" x14ac:dyDescent="0.45">
      <c r="A580">
        <f t="shared" ca="1" si="65"/>
        <v>-0.31443359789437675</v>
      </c>
      <c r="B580">
        <f t="shared" ca="1" si="65"/>
        <v>-0.67921152688835051</v>
      </c>
      <c r="D580">
        <f ca="1">SQRT(MAX('HE2'!B579,0))*($G$2+$H$2*A580)</f>
        <v>-0.23783316780908637</v>
      </c>
      <c r="E580">
        <f t="shared" ca="1" si="67"/>
        <v>-0.65907379444851166</v>
      </c>
      <c r="Q580">
        <f t="shared" ca="1" si="66"/>
        <v>-0.43115811825329492</v>
      </c>
      <c r="R580">
        <f t="shared" ca="1" si="66"/>
        <v>-0.10951057250225074</v>
      </c>
    </row>
    <row r="581" spans="1:18" x14ac:dyDescent="0.45">
      <c r="A581">
        <f t="shared" ca="1" si="65"/>
        <v>0.95830306391898257</v>
      </c>
      <c r="B581">
        <f t="shared" ca="1" si="65"/>
        <v>1.4231116597339344</v>
      </c>
      <c r="D581">
        <f ca="1">SQRT(MAX('HE2'!B580,0))*($G$2+$H$2*A581)</f>
        <v>0.63667041488468223</v>
      </c>
      <c r="E581">
        <f t="shared" ca="1" si="67"/>
        <v>1.6205094469755466</v>
      </c>
      <c r="Q581">
        <f t="shared" ca="1" si="66"/>
        <v>-0.39969166958655539</v>
      </c>
      <c r="R581">
        <f t="shared" ca="1" si="66"/>
        <v>-0.72877110407549317</v>
      </c>
    </row>
    <row r="582" spans="1:18" x14ac:dyDescent="0.45">
      <c r="A582">
        <f t="shared" ref="A582:B601" ca="1" si="68">NORMINV(RAND(),0,1)</f>
        <v>-0.82661721345776729</v>
      </c>
      <c r="B582">
        <f t="shared" ca="1" si="68"/>
        <v>-0.37533540294562012</v>
      </c>
      <c r="D582">
        <f ca="1">SQRT(MAX('HE2'!B581,0))*($G$2+$H$2*A582)</f>
        <v>-0.73276619146883615</v>
      </c>
      <c r="E582">
        <f t="shared" ca="1" si="67"/>
        <v>-0.88649501253358587</v>
      </c>
      <c r="Q582">
        <f t="shared" ref="Q582:R601" ca="1" si="69">NORMINV(RAND(),0,1)</f>
        <v>-1.7105077298517086</v>
      </c>
      <c r="R582">
        <f t="shared" ca="1" si="69"/>
        <v>1.140260424014732</v>
      </c>
    </row>
    <row r="583" spans="1:18" x14ac:dyDescent="0.45">
      <c r="A583">
        <f t="shared" ca="1" si="68"/>
        <v>-0.43161038516985401</v>
      </c>
      <c r="B583">
        <f t="shared" ca="1" si="68"/>
        <v>-0.69912147578866035</v>
      </c>
      <c r="D583">
        <f ca="1">SQRT(MAX('HE2'!B582,0))*($G$2+$H$2*A583)</f>
        <v>-0.32431604887941828</v>
      </c>
      <c r="E583">
        <f t="shared" ca="1" si="67"/>
        <v>-0.76476119360907935</v>
      </c>
      <c r="Q583">
        <f t="shared" ca="1" si="69"/>
        <v>-0.36693615939769914</v>
      </c>
      <c r="R583">
        <f t="shared" ca="1" si="69"/>
        <v>-0.79356965660243783</v>
      </c>
    </row>
    <row r="584" spans="1:18" x14ac:dyDescent="0.45">
      <c r="A584">
        <f t="shared" ca="1" si="68"/>
        <v>-0.55930032787813999</v>
      </c>
      <c r="B584">
        <f t="shared" ca="1" si="68"/>
        <v>0.29848980224836524</v>
      </c>
      <c r="D584">
        <f ca="1">SQRT(MAX('HE2'!B583,0))*($G$2+$H$2*A584)</f>
        <v>-0.3586493415778047</v>
      </c>
      <c r="E584">
        <f t="shared" ca="1" si="67"/>
        <v>-0.26834638095349289</v>
      </c>
      <c r="Q584">
        <f t="shared" ca="1" si="69"/>
        <v>0.68340129604657074</v>
      </c>
      <c r="R584">
        <f t="shared" ca="1" si="69"/>
        <v>0.1096520803818979</v>
      </c>
    </row>
    <row r="585" spans="1:18" x14ac:dyDescent="0.45">
      <c r="A585">
        <f t="shared" ca="1" si="68"/>
        <v>-1.403063249712817</v>
      </c>
      <c r="B585">
        <f t="shared" ca="1" si="68"/>
        <v>1.3656642607877263</v>
      </c>
      <c r="D585">
        <f ca="1">SQRT(MAX('HE2'!B584,0))*($G$2+$H$2*A585)</f>
        <v>-0.86674588897469529</v>
      </c>
      <c r="E585">
        <f t="shared" ca="1" si="67"/>
        <v>-0.30305204329761803</v>
      </c>
      <c r="Q585">
        <f t="shared" ca="1" si="69"/>
        <v>-0.77257115439801061</v>
      </c>
      <c r="R585">
        <f t="shared" ca="1" si="69"/>
        <v>1.842173795627847</v>
      </c>
    </row>
    <row r="586" spans="1:18" x14ac:dyDescent="0.45">
      <c r="A586">
        <f t="shared" ca="1" si="68"/>
        <v>0.196449705031711</v>
      </c>
      <c r="B586">
        <f t="shared" ca="1" si="68"/>
        <v>1.4539017786241881</v>
      </c>
      <c r="D586">
        <f ca="1">SQRT(MAX('HE2'!B585,0))*($G$2+$H$2*A586)</f>
        <v>0.11590374236605991</v>
      </c>
      <c r="E586">
        <f t="shared" ca="1" si="67"/>
        <v>1.0295008311998814</v>
      </c>
      <c r="Q586">
        <f t="shared" ca="1" si="69"/>
        <v>0.87828102183110934</v>
      </c>
      <c r="R586">
        <f t="shared" ca="1" si="69"/>
        <v>0.61232065485999587</v>
      </c>
    </row>
    <row r="587" spans="1:18" x14ac:dyDescent="0.45">
      <c r="A587">
        <f t="shared" ca="1" si="68"/>
        <v>-0.53269282924319261</v>
      </c>
      <c r="B587">
        <f t="shared" ca="1" si="68"/>
        <v>0.6658313430825975</v>
      </c>
      <c r="D587">
        <f ca="1">SQRT(MAX('HE2'!B586,0))*($G$2+$H$2*A587)</f>
        <v>-0.39635204448727762</v>
      </c>
      <c r="E587">
        <f t="shared" ca="1" si="67"/>
        <v>-2.6655457544995653E-2</v>
      </c>
      <c r="Q587">
        <f t="shared" ca="1" si="69"/>
        <v>-0.72474862504699855</v>
      </c>
      <c r="R587">
        <f t="shared" ca="1" si="69"/>
        <v>1.1279867887789328</v>
      </c>
    </row>
    <row r="588" spans="1:18" x14ac:dyDescent="0.45">
      <c r="A588">
        <f t="shared" ca="1" si="68"/>
        <v>-0.46702809153741565</v>
      </c>
      <c r="B588">
        <f t="shared" ca="1" si="68"/>
        <v>-0.18307393463326471</v>
      </c>
      <c r="D588">
        <f ca="1">SQRT(MAX('HE2'!B587,0))*($G$2+$H$2*A588)</f>
        <v>-0.35162643695449186</v>
      </c>
      <c r="E588">
        <f t="shared" ca="1" si="67"/>
        <v>-0.48346683400989132</v>
      </c>
      <c r="Q588">
        <f t="shared" ca="1" si="69"/>
        <v>8.6172060708762044E-2</v>
      </c>
      <c r="R588">
        <f t="shared" ca="1" si="69"/>
        <v>0.26252911972056053</v>
      </c>
    </row>
    <row r="589" spans="1:18" x14ac:dyDescent="0.45">
      <c r="A589">
        <f t="shared" ca="1" si="68"/>
        <v>-0.63454388069084944</v>
      </c>
      <c r="B589">
        <f t="shared" ca="1" si="68"/>
        <v>1.5012320909209882</v>
      </c>
      <c r="D589">
        <f ca="1">SQRT(MAX('HE2'!B588,0))*($G$2+$H$2*A589)</f>
        <v>-0.43806117205232015</v>
      </c>
      <c r="E589">
        <f t="shared" ca="1" si="67"/>
        <v>0.39310414999991317</v>
      </c>
      <c r="Q589">
        <f t="shared" ca="1" si="69"/>
        <v>0.3491380204198361</v>
      </c>
      <c r="R589">
        <f t="shared" ca="1" si="69"/>
        <v>0.5809394309687006</v>
      </c>
    </row>
    <row r="590" spans="1:18" x14ac:dyDescent="0.45">
      <c r="A590">
        <f t="shared" ca="1" si="68"/>
        <v>-1.4348787141631552</v>
      </c>
      <c r="B590">
        <f t="shared" ca="1" si="68"/>
        <v>-1.3699250855093812</v>
      </c>
      <c r="D590">
        <f ca="1">SQRT(MAX('HE2'!B589,0))*($G$2+$H$2*A590)</f>
        <v>-1.0915854446390572</v>
      </c>
      <c r="E590">
        <f t="shared" ca="1" si="67"/>
        <v>-1.9698580226361528</v>
      </c>
      <c r="Q590">
        <f t="shared" ca="1" si="69"/>
        <v>2.3999809222962911</v>
      </c>
      <c r="R590">
        <f t="shared" ca="1" si="69"/>
        <v>-2.0442666923000221</v>
      </c>
    </row>
    <row r="591" spans="1:18" x14ac:dyDescent="0.45">
      <c r="A591">
        <f t="shared" ca="1" si="68"/>
        <v>0.56238950282245848</v>
      </c>
      <c r="B591">
        <f t="shared" ca="1" si="68"/>
        <v>-1.0988064587388977</v>
      </c>
      <c r="D591">
        <f ca="1">SQRT(MAX('HE2'!B590,0))*($G$2+$H$2*A591)</f>
        <v>0.21625600173022722</v>
      </c>
      <c r="E591">
        <f t="shared" ca="1" si="67"/>
        <v>-0.20937227298537164</v>
      </c>
      <c r="Q591">
        <f t="shared" ca="1" si="69"/>
        <v>-1.1392017493172815</v>
      </c>
      <c r="R591">
        <f t="shared" ca="1" si="69"/>
        <v>0.83407292679956557</v>
      </c>
    </row>
    <row r="592" spans="1:18" x14ac:dyDescent="0.45">
      <c r="A592">
        <f t="shared" ca="1" si="68"/>
        <v>-0.47055864999563957</v>
      </c>
      <c r="B592">
        <f t="shared" ca="1" si="68"/>
        <v>1.1603488220120035</v>
      </c>
      <c r="D592">
        <f ca="1">SQRT(MAX('HE2'!B591,0))*($G$2+$H$2*A592)</f>
        <v>-0.18286609533288398</v>
      </c>
      <c r="E592">
        <f t="shared" ca="1" si="67"/>
        <v>0.31976237321069023</v>
      </c>
      <c r="Q592">
        <f t="shared" ca="1" si="69"/>
        <v>0.52014928774815727</v>
      </c>
      <c r="R592">
        <f t="shared" ca="1" si="69"/>
        <v>0.39177648867802556</v>
      </c>
    </row>
    <row r="593" spans="1:18" x14ac:dyDescent="0.45">
      <c r="A593">
        <f t="shared" ca="1" si="68"/>
        <v>0.12920456239740566</v>
      </c>
      <c r="B593">
        <f t="shared" ca="1" si="68"/>
        <v>-0.16684795231602753</v>
      </c>
      <c r="D593">
        <f ca="1">SQRT(MAX('HE2'!B592,0))*($G$2+$H$2*A593)</f>
        <v>5.9986051279609813E-2</v>
      </c>
      <c r="E593">
        <f t="shared" ca="1" si="67"/>
        <v>3.2548785283080389E-3</v>
      </c>
      <c r="Q593">
        <f t="shared" ca="1" si="69"/>
        <v>-1.0304818260493533</v>
      </c>
      <c r="R593">
        <f t="shared" ca="1" si="69"/>
        <v>-0.28966237529364697</v>
      </c>
    </row>
    <row r="594" spans="1:18" x14ac:dyDescent="0.45">
      <c r="A594">
        <f t="shared" ca="1" si="68"/>
        <v>-8.7760171006868337E-2</v>
      </c>
      <c r="B594">
        <f t="shared" ca="1" si="68"/>
        <v>-0.28650524673132061</v>
      </c>
      <c r="D594">
        <f ca="1">SQRT(MAX('HE2'!B593,0))*($G$2+$H$2*A594)</f>
        <v>-4.3168620555229201E-2</v>
      </c>
      <c r="E594">
        <f t="shared" ca="1" si="67"/>
        <v>-0.24211128484428701</v>
      </c>
      <c r="Q594">
        <f t="shared" ca="1" si="69"/>
        <v>1.7032002044397019</v>
      </c>
      <c r="R594">
        <f t="shared" ca="1" si="69"/>
        <v>0.19410060433878609</v>
      </c>
    </row>
    <row r="595" spans="1:18" x14ac:dyDescent="0.45">
      <c r="A595">
        <f t="shared" ca="1" si="68"/>
        <v>-0.50630652598180081</v>
      </c>
      <c r="B595">
        <f t="shared" ca="1" si="68"/>
        <v>0.64592458989405088</v>
      </c>
      <c r="D595">
        <f ca="1">SQRT(MAX('HE2'!B594,0))*($G$2+$H$2*A595)</f>
        <v>-0.24369062947424186</v>
      </c>
      <c r="E595">
        <f t="shared" ca="1" si="67"/>
        <v>-1.7490466849010233E-2</v>
      </c>
      <c r="Q595">
        <f t="shared" ca="1" si="69"/>
        <v>-1.3671276034818709</v>
      </c>
      <c r="R595">
        <f t="shared" ca="1" si="69"/>
        <v>0.99852560958476344</v>
      </c>
    </row>
    <row r="596" spans="1:18" x14ac:dyDescent="0.45">
      <c r="A596">
        <f t="shared" ca="1" si="68"/>
        <v>-0.47887111713692482</v>
      </c>
      <c r="B596">
        <f t="shared" ca="1" si="68"/>
        <v>0.81271243730090359</v>
      </c>
      <c r="D596">
        <f ca="1">SQRT(MAX('HE2'!B595,0))*($G$2+$H$2*A596)</f>
        <v>-0.24170853730923089</v>
      </c>
      <c r="E596">
        <f t="shared" ca="1" si="67"/>
        <v>0.10453056867100219</v>
      </c>
      <c r="Q596">
        <f t="shared" ca="1" si="69"/>
        <v>1.1863169231786974</v>
      </c>
      <c r="R596">
        <f t="shared" ca="1" si="69"/>
        <v>0.98949549519101121</v>
      </c>
    </row>
    <row r="597" spans="1:18" x14ac:dyDescent="0.45">
      <c r="A597">
        <f t="shared" ca="1" si="68"/>
        <v>1.1557900247252098</v>
      </c>
      <c r="B597">
        <f t="shared" ca="1" si="68"/>
        <v>-0.27356887132141439</v>
      </c>
      <c r="D597">
        <f ca="1">SQRT(MAX('HE2'!B596,0))*($G$2+$H$2*A597)</f>
        <v>0.6285735295222461</v>
      </c>
      <c r="E597">
        <f t="shared" ca="1" si="67"/>
        <v>0.7604906969873193</v>
      </c>
      <c r="Q597">
        <f t="shared" ca="1" si="69"/>
        <v>0.89001712347882889</v>
      </c>
      <c r="R597">
        <f t="shared" ca="1" si="69"/>
        <v>1.868728966774601</v>
      </c>
    </row>
    <row r="598" spans="1:18" x14ac:dyDescent="0.45">
      <c r="A598">
        <f t="shared" ca="1" si="68"/>
        <v>0.58128527722171774</v>
      </c>
      <c r="B598">
        <f t="shared" ca="1" si="68"/>
        <v>-1.0440873718703676</v>
      </c>
      <c r="D598">
        <f ca="1">SQRT(MAX('HE2'!B597,0))*($G$2+$H$2*A598)</f>
        <v>0.38741693723628873</v>
      </c>
      <c r="E598">
        <f t="shared" ca="1" si="67"/>
        <v>-0.16142420134484614</v>
      </c>
      <c r="Q598">
        <f t="shared" ca="1" si="69"/>
        <v>0.18845311964541953</v>
      </c>
      <c r="R598">
        <f t="shared" ca="1" si="69"/>
        <v>9.5112877626127218E-2</v>
      </c>
    </row>
    <row r="599" spans="1:18" x14ac:dyDescent="0.45">
      <c r="A599">
        <f t="shared" ca="1" si="68"/>
        <v>2.0367144980958325</v>
      </c>
      <c r="B599">
        <f t="shared" ca="1" si="68"/>
        <v>1.3124270478247799</v>
      </c>
      <c r="D599">
        <f ca="1">SQRT(MAX('HE2'!B598,0))*($G$2+$H$2*A599)</f>
        <v>1.3406904973506486</v>
      </c>
      <c r="E599">
        <f t="shared" ca="1" si="67"/>
        <v>2.416827827171534</v>
      </c>
      <c r="Q599">
        <f t="shared" ca="1" si="69"/>
        <v>-0.41689538395616782</v>
      </c>
      <c r="R599">
        <f t="shared" ca="1" si="69"/>
        <v>-0.41372388676102939</v>
      </c>
    </row>
    <row r="600" spans="1:18" x14ac:dyDescent="0.45">
      <c r="A600">
        <f t="shared" ca="1" si="68"/>
        <v>-2.2073351563273055E-2</v>
      </c>
      <c r="B600">
        <f t="shared" ca="1" si="68"/>
        <v>0.3512449325013825</v>
      </c>
      <c r="D600">
        <f ca="1">SQRT(MAX('HE2'!B599,0))*($G$2+$H$2*A600)</f>
        <v>-2.1311717607578481E-2</v>
      </c>
      <c r="E600">
        <f t="shared" ca="1" si="67"/>
        <v>0.19308827825021099</v>
      </c>
      <c r="Q600">
        <f t="shared" ca="1" si="69"/>
        <v>1.0004206474522568</v>
      </c>
      <c r="R600">
        <f t="shared" ca="1" si="69"/>
        <v>-1.1574401545121793</v>
      </c>
    </row>
    <row r="601" spans="1:18" x14ac:dyDescent="0.45">
      <c r="A601">
        <f t="shared" ca="1" si="68"/>
        <v>-9.7009309806202121E-2</v>
      </c>
      <c r="B601">
        <f t="shared" ca="1" si="68"/>
        <v>0.66283065159732968</v>
      </c>
      <c r="D601">
        <f ca="1">SQRT(MAX('HE2'!B600,0))*($G$2+$H$2*A601)</f>
        <v>-9.6996374464936419E-2</v>
      </c>
      <c r="E601">
        <f t="shared" ca="1" si="67"/>
        <v>0.320090943113436</v>
      </c>
      <c r="Q601">
        <f t="shared" ca="1" si="69"/>
        <v>-1.5183422766836354</v>
      </c>
      <c r="R601">
        <f t="shared" ca="1" si="69"/>
        <v>-0.30420644323634427</v>
      </c>
    </row>
    <row r="602" spans="1:18" x14ac:dyDescent="0.45">
      <c r="A602">
        <f t="shared" ref="A602:B621" ca="1" si="70">NORMINV(RAND(),0,1)</f>
        <v>0.28572867889312964</v>
      </c>
      <c r="B602">
        <f t="shared" ca="1" si="70"/>
        <v>1.9812942501400716E-2</v>
      </c>
      <c r="D602">
        <f ca="1">SQRT(MAX('HE2'!B601,0))*($G$2+$H$2*A602)</f>
        <v>0.30049382269006208</v>
      </c>
      <c r="E602">
        <f t="shared" ca="1" si="67"/>
        <v>0.24047070861534414</v>
      </c>
      <c r="Q602">
        <f t="shared" ref="Q602:R621" ca="1" si="71">NORMINV(RAND(),0,1)</f>
        <v>1.3911993629224886</v>
      </c>
      <c r="R602">
        <f t="shared" ca="1" si="71"/>
        <v>7.8021086644913223E-2</v>
      </c>
    </row>
    <row r="603" spans="1:18" x14ac:dyDescent="0.45">
      <c r="A603">
        <f t="shared" ca="1" si="70"/>
        <v>-0.52323489907152365</v>
      </c>
      <c r="B603">
        <f t="shared" ca="1" si="70"/>
        <v>-0.27878740341070057</v>
      </c>
      <c r="D603">
        <f ca="1">SQRT(MAX('HE2'!B602,0))*($G$2+$H$2*A603)</f>
        <v>-0.57079096857924938</v>
      </c>
      <c r="E603">
        <f t="shared" ca="1" si="67"/>
        <v>-0.58586036130363928</v>
      </c>
      <c r="Q603">
        <f t="shared" ca="1" si="71"/>
        <v>0.60024680549508558</v>
      </c>
      <c r="R603">
        <f t="shared" ca="1" si="71"/>
        <v>-0.46146813049160734</v>
      </c>
    </row>
    <row r="604" spans="1:18" x14ac:dyDescent="0.45">
      <c r="A604">
        <f t="shared" ca="1" si="70"/>
        <v>0.24138686774104834</v>
      </c>
      <c r="B604">
        <f t="shared" ca="1" si="70"/>
        <v>-0.53381111278637716</v>
      </c>
      <c r="D604">
        <f ca="1">SQRT(MAX('HE2'!B603,0))*($G$2+$H$2*A604)</f>
        <v>0.24196220294927398</v>
      </c>
      <c r="E604">
        <f t="shared" ca="1" si="67"/>
        <v>-0.12717717347898755</v>
      </c>
      <c r="Q604">
        <f t="shared" ca="1" si="71"/>
        <v>-1.2222129266013815</v>
      </c>
      <c r="R604">
        <f t="shared" ca="1" si="71"/>
        <v>-0.99345791521683202</v>
      </c>
    </row>
    <row r="605" spans="1:18" x14ac:dyDescent="0.45">
      <c r="A605">
        <f t="shared" ca="1" si="70"/>
        <v>-2.7703700702839247</v>
      </c>
      <c r="B605">
        <f t="shared" ca="1" si="70"/>
        <v>4.2083259503369358E-2</v>
      </c>
      <c r="D605">
        <f ca="1">SQRT(MAX('HE2'!B604,0))*($G$2+$H$2*A605)</f>
        <v>-2.7379065134661502</v>
      </c>
      <c r="E605">
        <f t="shared" ca="1" si="67"/>
        <v>-2.1910461005251181</v>
      </c>
      <c r="Q605">
        <f t="shared" ca="1" si="71"/>
        <v>1.6819813252855702</v>
      </c>
      <c r="R605">
        <f t="shared" ca="1" si="71"/>
        <v>-0.15429118504372424</v>
      </c>
    </row>
    <row r="606" spans="1:18" x14ac:dyDescent="0.45">
      <c r="A606">
        <f t="shared" ca="1" si="70"/>
        <v>-0.44091057613789869</v>
      </c>
      <c r="B606">
        <f t="shared" ca="1" si="70"/>
        <v>-0.69975021599616338</v>
      </c>
      <c r="D606">
        <f ca="1">SQRT(MAX('HE2'!B605,0))*($G$2+$H$2*A606)</f>
        <v>-0.25626870155329151</v>
      </c>
      <c r="E606">
        <f t="shared" ca="1" si="67"/>
        <v>-0.77257859050801692</v>
      </c>
      <c r="Q606">
        <f t="shared" ca="1" si="71"/>
        <v>0.68425206681369</v>
      </c>
      <c r="R606">
        <f t="shared" ca="1" si="71"/>
        <v>-0.44596683813925425</v>
      </c>
    </row>
    <row r="607" spans="1:18" x14ac:dyDescent="0.45">
      <c r="A607">
        <f t="shared" ca="1" si="70"/>
        <v>0.91210515287143712</v>
      </c>
      <c r="B607">
        <f t="shared" ca="1" si="70"/>
        <v>-0.69314651712648345</v>
      </c>
      <c r="D607">
        <f ca="1">SQRT(MAX('HE2'!B606,0))*($G$2+$H$2*A607)</f>
        <v>0.43420649009036066</v>
      </c>
      <c r="E607">
        <f t="shared" ca="1" si="67"/>
        <v>0.31379621202125974</v>
      </c>
      <c r="Q607">
        <f t="shared" ca="1" si="71"/>
        <v>0.798799349325783</v>
      </c>
      <c r="R607">
        <f t="shared" ca="1" si="71"/>
        <v>-5.8743787608257367E-2</v>
      </c>
    </row>
    <row r="608" spans="1:18" x14ac:dyDescent="0.45">
      <c r="A608">
        <f t="shared" ca="1" si="70"/>
        <v>-1.9437592266306611</v>
      </c>
      <c r="B608">
        <f t="shared" ca="1" si="70"/>
        <v>-0.82016700359688588</v>
      </c>
      <c r="D608">
        <f ca="1">SQRT(MAX('HE2'!B607,0))*($G$2+$H$2*A608)</f>
        <v>-1.0596119935202684</v>
      </c>
      <c r="E608">
        <f t="shared" ca="1" si="67"/>
        <v>-2.0471075834626604</v>
      </c>
      <c r="Q608">
        <f t="shared" ca="1" si="71"/>
        <v>0.81434024864137144</v>
      </c>
      <c r="R608">
        <f t="shared" ca="1" si="71"/>
        <v>1.8671450194656674</v>
      </c>
    </row>
    <row r="609" spans="1:18" x14ac:dyDescent="0.45">
      <c r="A609">
        <f t="shared" ca="1" si="70"/>
        <v>-0.90805700108168164</v>
      </c>
      <c r="B609">
        <f t="shared" ca="1" si="70"/>
        <v>-1.2091355397571528</v>
      </c>
      <c r="D609">
        <f ca="1">SQRT(MAX('HE2'!B608,0))*($G$2+$H$2*A609)</f>
        <v>0</v>
      </c>
      <c r="E609">
        <f t="shared" ca="1" si="67"/>
        <v>-1.4519269247196369</v>
      </c>
      <c r="Q609">
        <f t="shared" ca="1" si="71"/>
        <v>0.40627907459452967</v>
      </c>
      <c r="R609">
        <f t="shared" ca="1" si="71"/>
        <v>1.3624696111287935</v>
      </c>
    </row>
    <row r="610" spans="1:18" x14ac:dyDescent="0.45">
      <c r="A610">
        <f t="shared" ca="1" si="70"/>
        <v>1.2816862267985978</v>
      </c>
      <c r="B610">
        <f t="shared" ca="1" si="70"/>
        <v>-0.60808969674685354</v>
      </c>
      <c r="D610">
        <f ca="1">SQRT(MAX('HE2'!B609,0))*($G$2+$H$2*A610)</f>
        <v>0.16701269504970415</v>
      </c>
      <c r="E610">
        <f t="shared" ca="1" si="67"/>
        <v>0.6604951633907663</v>
      </c>
      <c r="Q610">
        <f t="shared" ca="1" si="71"/>
        <v>-1.254467637956576</v>
      </c>
      <c r="R610">
        <f t="shared" ca="1" si="71"/>
        <v>-0.18628816247017466</v>
      </c>
    </row>
    <row r="611" spans="1:18" x14ac:dyDescent="0.45">
      <c r="A611">
        <f t="shared" ca="1" si="70"/>
        <v>-0.14607658562204218</v>
      </c>
      <c r="B611">
        <f t="shared" ca="1" si="70"/>
        <v>-1.7853668683166377</v>
      </c>
      <c r="D611">
        <f ca="1">SQRT(MAX('HE2'!B610,0))*($G$2+$H$2*A611)</f>
        <v>-3.9394247595513174E-2</v>
      </c>
      <c r="E611">
        <f t="shared" ca="1" si="67"/>
        <v>-1.1880813894876161</v>
      </c>
      <c r="Q611">
        <f t="shared" ca="1" si="71"/>
        <v>-0.84172448628258323</v>
      </c>
      <c r="R611">
        <f t="shared" ca="1" si="71"/>
        <v>0.73997051513296785</v>
      </c>
    </row>
    <row r="612" spans="1:18" x14ac:dyDescent="0.45">
      <c r="A612">
        <f t="shared" ca="1" si="70"/>
        <v>0.25525732320177591</v>
      </c>
      <c r="B612">
        <f t="shared" ca="1" si="70"/>
        <v>-0.11366701695976926</v>
      </c>
      <c r="D612">
        <f ca="1">SQRT(MAX('HE2'!B611,0))*($G$2+$H$2*A612)</f>
        <v>1.8793232049523472E-2</v>
      </c>
      <c r="E612">
        <f t="shared" ca="1" si="67"/>
        <v>0.13600564838555917</v>
      </c>
      <c r="Q612">
        <f t="shared" ca="1" si="71"/>
        <v>1.8640346339009879</v>
      </c>
      <c r="R612">
        <f t="shared" ca="1" si="71"/>
        <v>1.2155174548795042</v>
      </c>
    </row>
    <row r="613" spans="1:18" x14ac:dyDescent="0.45">
      <c r="A613">
        <f t="shared" ca="1" si="70"/>
        <v>-0.18083497988380162</v>
      </c>
      <c r="B613">
        <f t="shared" ca="1" si="70"/>
        <v>0.16517552421581178</v>
      </c>
      <c r="D613">
        <f ca="1">SQRT(MAX('HE2'!B612,0))*($G$2+$H$2*A613)</f>
        <v>-3.5521158978400129E-2</v>
      </c>
      <c r="E613">
        <f t="shared" ca="1" si="67"/>
        <v>-4.5562669377554266E-2</v>
      </c>
      <c r="Q613">
        <f t="shared" ca="1" si="71"/>
        <v>2.2040418012069286E-2</v>
      </c>
      <c r="R613">
        <f t="shared" ca="1" si="71"/>
        <v>-0.38398756102295506</v>
      </c>
    </row>
    <row r="614" spans="1:18" x14ac:dyDescent="0.45">
      <c r="A614">
        <f t="shared" ca="1" si="70"/>
        <v>0.98703071964466182</v>
      </c>
      <c r="B614">
        <f t="shared" ca="1" si="70"/>
        <v>1.508974125575633</v>
      </c>
      <c r="D614">
        <f ca="1">SQRT(MAX('HE2'!B613,0))*($G$2+$H$2*A614)</f>
        <v>0.25240898254410299</v>
      </c>
      <c r="E614">
        <f t="shared" ca="1" si="67"/>
        <v>1.6950090510611091</v>
      </c>
      <c r="Q614">
        <f t="shared" ca="1" si="71"/>
        <v>0.12314959125636603</v>
      </c>
      <c r="R614">
        <f t="shared" ca="1" si="71"/>
        <v>-0.46148735517748962</v>
      </c>
    </row>
    <row r="615" spans="1:18" x14ac:dyDescent="0.45">
      <c r="A615">
        <f t="shared" ca="1" si="70"/>
        <v>0.35679809615711444</v>
      </c>
      <c r="B615">
        <f t="shared" ca="1" si="70"/>
        <v>-0.32930708647706564</v>
      </c>
      <c r="D615">
        <f ca="1">SQRT(MAX('HE2'!B614,0))*($G$2+$H$2*A615)</f>
        <v>0.16901567295843908</v>
      </c>
      <c r="E615">
        <f t="shared" ca="1" si="67"/>
        <v>8.7854225039452227E-2</v>
      </c>
      <c r="Q615">
        <f t="shared" ca="1" si="71"/>
        <v>-0.87087522451144295</v>
      </c>
      <c r="R615">
        <f t="shared" ca="1" si="71"/>
        <v>0.48697612443486687</v>
      </c>
    </row>
    <row r="616" spans="1:18" x14ac:dyDescent="0.45">
      <c r="A616">
        <f t="shared" ca="1" si="70"/>
        <v>0.81686788241104324</v>
      </c>
      <c r="B616">
        <f t="shared" ca="1" si="70"/>
        <v>-1.1175211636299272</v>
      </c>
      <c r="D616">
        <f ca="1">SQRT(MAX('HE2'!B615,0))*($G$2+$H$2*A616)</f>
        <v>0.41864612873484164</v>
      </c>
      <c r="E616">
        <f t="shared" ca="1" si="67"/>
        <v>-1.7018392249121495E-2</v>
      </c>
      <c r="Q616">
        <f t="shared" ca="1" si="71"/>
        <v>1.0067592166397243</v>
      </c>
      <c r="R616">
        <f t="shared" ca="1" si="71"/>
        <v>-0.23742678810127321</v>
      </c>
    </row>
    <row r="617" spans="1:18" x14ac:dyDescent="0.45">
      <c r="A617">
        <f t="shared" ca="1" si="70"/>
        <v>2.2858921332166044</v>
      </c>
      <c r="B617">
        <f t="shared" ca="1" si="70"/>
        <v>0.5154089647181449</v>
      </c>
      <c r="D617">
        <f ca="1">SQRT(MAX('HE2'!B616,0))*($G$2+$H$2*A617)</f>
        <v>1.2204527423917462</v>
      </c>
      <c r="E617">
        <f t="shared" ca="1" si="67"/>
        <v>2.1379590854041703</v>
      </c>
      <c r="Q617">
        <f t="shared" ca="1" si="71"/>
        <v>0.38549720260065468</v>
      </c>
      <c r="R617">
        <f t="shared" ca="1" si="71"/>
        <v>0.61638267953051695</v>
      </c>
    </row>
    <row r="618" spans="1:18" x14ac:dyDescent="0.45">
      <c r="A618">
        <f t="shared" ca="1" si="70"/>
        <v>1.7552245509199795</v>
      </c>
      <c r="B618">
        <f t="shared" ca="1" si="70"/>
        <v>1.4757522285614437</v>
      </c>
      <c r="D618">
        <f ca="1">SQRT(MAX('HE2'!B617,0))*($G$2+$H$2*A618)</f>
        <v>1.4173524197047276</v>
      </c>
      <c r="E618">
        <f t="shared" ca="1" si="67"/>
        <v>2.2896309778728496</v>
      </c>
      <c r="Q618">
        <f t="shared" ca="1" si="71"/>
        <v>1.9073720096771032</v>
      </c>
      <c r="R618">
        <f t="shared" ca="1" si="71"/>
        <v>0.92742906667555947</v>
      </c>
    </row>
    <row r="619" spans="1:18" x14ac:dyDescent="0.45">
      <c r="A619">
        <f t="shared" ca="1" si="70"/>
        <v>1.7166682999338825</v>
      </c>
      <c r="B619">
        <f t="shared" ca="1" si="70"/>
        <v>0.30585674152057624</v>
      </c>
      <c r="D619">
        <f ca="1">SQRT(MAX('HE2'!B618,0))*($G$2+$H$2*A619)</f>
        <v>1.8991948703186616</v>
      </c>
      <c r="E619">
        <f t="shared" ca="1" si="67"/>
        <v>1.5568486848594518</v>
      </c>
      <c r="Q619">
        <f t="shared" ca="1" si="71"/>
        <v>0.88681048039033894</v>
      </c>
      <c r="R619">
        <f t="shared" ca="1" si="71"/>
        <v>0.75725246588864636</v>
      </c>
    </row>
    <row r="620" spans="1:18" x14ac:dyDescent="0.45">
      <c r="A620">
        <f t="shared" ca="1" si="70"/>
        <v>0.8994267035479504</v>
      </c>
      <c r="B620">
        <f t="shared" ca="1" si="70"/>
        <v>0.20825413482954433</v>
      </c>
      <c r="D620">
        <f ca="1">SQRT(MAX('HE2'!B619,0))*($G$2+$H$2*A620)</f>
        <v>1.1886259511543544</v>
      </c>
      <c r="E620">
        <f t="shared" ca="1" si="67"/>
        <v>0.84449384373608694</v>
      </c>
      <c r="Q620">
        <f t="shared" ca="1" si="71"/>
        <v>0.46027132291799372</v>
      </c>
      <c r="R620">
        <f t="shared" ca="1" si="71"/>
        <v>-1.3364617532251026</v>
      </c>
    </row>
    <row r="621" spans="1:18" x14ac:dyDescent="0.45">
      <c r="A621">
        <f t="shared" ca="1" si="70"/>
        <v>-1.3511722968581785E-2</v>
      </c>
      <c r="B621">
        <f t="shared" ca="1" si="70"/>
        <v>-2.1985767385664056E-2</v>
      </c>
      <c r="D621">
        <f ca="1">SQRT(MAX('HE2'!B620,0))*($G$2+$H$2*A621)</f>
        <v>-1.9470991469660845E-2</v>
      </c>
      <c r="E621">
        <f t="shared" ca="1" si="67"/>
        <v>-2.4000838806263858E-2</v>
      </c>
      <c r="Q621">
        <f t="shared" ca="1" si="71"/>
        <v>0.59920845016039459</v>
      </c>
      <c r="R621">
        <f t="shared" ca="1" si="71"/>
        <v>1.1091864780923295</v>
      </c>
    </row>
    <row r="622" spans="1:18" x14ac:dyDescent="0.45">
      <c r="A622">
        <f t="shared" ref="A622:B641" ca="1" si="72">NORMINV(RAND(),0,1)</f>
        <v>-0.70941326560144258</v>
      </c>
      <c r="B622">
        <f t="shared" ca="1" si="72"/>
        <v>7.9757165274844499E-2</v>
      </c>
      <c r="D622">
        <f ca="1">SQRT(MAX('HE2'!B621,0))*($G$2+$H$2*A622)</f>
        <v>-1.016955395178833</v>
      </c>
      <c r="E622">
        <f t="shared" ca="1" si="67"/>
        <v>-0.51967631331624742</v>
      </c>
      <c r="Q622">
        <f t="shared" ref="Q622:R641" ca="1" si="73">NORMINV(RAND(),0,1)</f>
        <v>0.30445424430497281</v>
      </c>
      <c r="R622">
        <f t="shared" ca="1" si="73"/>
        <v>0.47890305890723955</v>
      </c>
    </row>
    <row r="623" spans="1:18" x14ac:dyDescent="0.45">
      <c r="A623">
        <f t="shared" ca="1" si="72"/>
        <v>0.22536951220813267</v>
      </c>
      <c r="B623">
        <f t="shared" ca="1" si="72"/>
        <v>-0.55198521599751516</v>
      </c>
      <c r="D623">
        <f ca="1">SQRT(MAX('HE2'!B622,0))*($G$2+$H$2*A623)</f>
        <v>0.30409421096048256</v>
      </c>
      <c r="E623">
        <f t="shared" ca="1" si="67"/>
        <v>-0.15089551983200283</v>
      </c>
      <c r="Q623">
        <f t="shared" ca="1" si="73"/>
        <v>-0.31212676569336362</v>
      </c>
      <c r="R623">
        <f t="shared" ca="1" si="73"/>
        <v>-0.61689461121000366</v>
      </c>
    </row>
    <row r="624" spans="1:18" x14ac:dyDescent="0.45">
      <c r="A624">
        <f t="shared" ca="1" si="72"/>
        <v>1.6721439527764579</v>
      </c>
      <c r="B624">
        <f t="shared" ca="1" si="72"/>
        <v>0.41718640040305266</v>
      </c>
      <c r="D624">
        <f ca="1">SQRT(MAX('HE2'!B623,0))*($G$2+$H$2*A624)</f>
        <v>2.2141998103560181</v>
      </c>
      <c r="E624">
        <f t="shared" ca="1" si="67"/>
        <v>1.5880270024629981</v>
      </c>
      <c r="Q624">
        <f t="shared" ca="1" si="73"/>
        <v>-1.5050413561310725</v>
      </c>
      <c r="R624">
        <f t="shared" ca="1" si="73"/>
        <v>1.3802096615805286</v>
      </c>
    </row>
    <row r="625" spans="1:18" x14ac:dyDescent="0.45">
      <c r="A625">
        <f t="shared" ca="1" si="72"/>
        <v>0.63528753557560647</v>
      </c>
      <c r="B625">
        <f t="shared" ca="1" si="72"/>
        <v>0.63658218986194881</v>
      </c>
      <c r="D625">
        <f ca="1">SQRT(MAX('HE2'!B624,0))*($G$2+$H$2*A625)</f>
        <v>0.97996379266196931</v>
      </c>
      <c r="E625">
        <f t="shared" ca="1" si="67"/>
        <v>0.89017934237765428</v>
      </c>
      <c r="Q625">
        <f t="shared" ca="1" si="73"/>
        <v>1.6532065562596037</v>
      </c>
      <c r="R625">
        <f t="shared" ca="1" si="73"/>
        <v>0.6242116472710949</v>
      </c>
    </row>
    <row r="626" spans="1:18" x14ac:dyDescent="0.45">
      <c r="A626">
        <f t="shared" ca="1" si="72"/>
        <v>0.78681385476954957</v>
      </c>
      <c r="B626">
        <f t="shared" ca="1" si="72"/>
        <v>-0.34538314669158915</v>
      </c>
      <c r="D626">
        <f ca="1">SQRT(MAX('HE2'!B625,0))*($G$2+$H$2*A626)</f>
        <v>1.3104852648896028</v>
      </c>
      <c r="E626">
        <f t="shared" ca="1" si="67"/>
        <v>0.42222119580068629</v>
      </c>
      <c r="Q626">
        <f t="shared" ca="1" si="73"/>
        <v>-1.5002186678430458</v>
      </c>
      <c r="R626">
        <f t="shared" ca="1" si="73"/>
        <v>0.6649993541834156</v>
      </c>
    </row>
    <row r="627" spans="1:18" x14ac:dyDescent="0.45">
      <c r="A627">
        <f t="shared" ca="1" si="72"/>
        <v>-0.64551701199030975</v>
      </c>
      <c r="B627">
        <f t="shared" ca="1" si="72"/>
        <v>-1.6140119196564404</v>
      </c>
      <c r="D627">
        <f ca="1">SQRT(MAX('HE2'!B626,0))*($G$2+$H$2*A627)</f>
        <v>-1.1105603682462082</v>
      </c>
      <c r="E627">
        <f t="shared" ca="1" si="67"/>
        <v>-1.484820761386112</v>
      </c>
      <c r="Q627">
        <f t="shared" ca="1" si="73"/>
        <v>0.46495528498452759</v>
      </c>
      <c r="R627">
        <f t="shared" ca="1" si="73"/>
        <v>1.5389503513682008</v>
      </c>
    </row>
    <row r="628" spans="1:18" x14ac:dyDescent="0.45">
      <c r="A628">
        <f t="shared" ca="1" si="72"/>
        <v>-0.19054298438977504</v>
      </c>
      <c r="B628">
        <f t="shared" ca="1" si="72"/>
        <v>1.2777682200408165</v>
      </c>
      <c r="D628">
        <f ca="1">SQRT(MAX('HE2'!B627,0))*($G$2+$H$2*A628)</f>
        <v>-0.28033538609035663</v>
      </c>
      <c r="E628">
        <f t="shared" ca="1" si="67"/>
        <v>0.61422654451266967</v>
      </c>
      <c r="Q628">
        <f t="shared" ca="1" si="73"/>
        <v>-0.87287765079750057</v>
      </c>
      <c r="R628">
        <f t="shared" ca="1" si="73"/>
        <v>-1.492723947191851</v>
      </c>
    </row>
    <row r="629" spans="1:18" x14ac:dyDescent="0.45">
      <c r="A629">
        <f t="shared" ca="1" si="72"/>
        <v>-2.7778352407789622</v>
      </c>
      <c r="B629">
        <f t="shared" ca="1" si="72"/>
        <v>0.25214571212011816</v>
      </c>
      <c r="D629">
        <f ca="1">SQRT(MAX('HE2'!B628,0))*($G$2+$H$2*A629)</f>
        <v>-4.3236552646623574</v>
      </c>
      <c r="E629">
        <f t="shared" ca="1" si="67"/>
        <v>-2.070980765351099</v>
      </c>
      <c r="Q629">
        <f t="shared" ca="1" si="73"/>
        <v>0.51272548576839372</v>
      </c>
      <c r="R629">
        <f t="shared" ca="1" si="73"/>
        <v>-0.50442014987410055</v>
      </c>
    </row>
    <row r="630" spans="1:18" x14ac:dyDescent="0.45">
      <c r="A630">
        <f t="shared" ca="1" si="72"/>
        <v>-0.56661432165136494</v>
      </c>
      <c r="B630">
        <f t="shared" ca="1" si="72"/>
        <v>-0.6460226036073623</v>
      </c>
      <c r="D630">
        <f ca="1">SQRT(MAX('HE2'!B629,0))*($G$2+$H$2*A630)</f>
        <v>-0.6793283528870766</v>
      </c>
      <c r="E630">
        <f t="shared" ca="1" si="67"/>
        <v>-0.84090501948550922</v>
      </c>
      <c r="Q630">
        <f t="shared" ca="1" si="73"/>
        <v>-0.30046761173688913</v>
      </c>
      <c r="R630">
        <f t="shared" ca="1" si="73"/>
        <v>1.7823050448052591</v>
      </c>
    </row>
    <row r="631" spans="1:18" x14ac:dyDescent="0.45">
      <c r="A631">
        <f t="shared" ca="1" si="72"/>
        <v>1.2824174888351685</v>
      </c>
      <c r="B631">
        <f t="shared" ca="1" si="72"/>
        <v>-0.58461706970066474</v>
      </c>
      <c r="D631">
        <f ca="1">SQRT(MAX('HE2'!B630,0))*($G$2+$H$2*A631)</f>
        <v>1.367135925103161</v>
      </c>
      <c r="E631">
        <f t="shared" ca="1" si="67"/>
        <v>0.67516374924773603</v>
      </c>
      <c r="Q631">
        <f t="shared" ca="1" si="73"/>
        <v>-1.3424165115378319</v>
      </c>
      <c r="R631">
        <f t="shared" ca="1" si="73"/>
        <v>0.54715058234331848</v>
      </c>
    </row>
    <row r="632" spans="1:18" x14ac:dyDescent="0.45">
      <c r="A632">
        <f t="shared" ca="1" si="72"/>
        <v>-1.0530602002055305</v>
      </c>
      <c r="B632">
        <f t="shared" ca="1" si="72"/>
        <v>0.77467151678410473</v>
      </c>
      <c r="D632">
        <f ca="1">SQRT(MAX('HE2'!B631,0))*($G$2+$H$2*A632)</f>
        <v>-1.2280484589430445</v>
      </c>
      <c r="E632">
        <f t="shared" ca="1" si="67"/>
        <v>-0.37764525009396172</v>
      </c>
      <c r="Q632">
        <f t="shared" ca="1" si="73"/>
        <v>-0.23384834650330519</v>
      </c>
      <c r="R632">
        <f t="shared" ca="1" si="73"/>
        <v>-1.1096180796711839</v>
      </c>
    </row>
    <row r="633" spans="1:18" x14ac:dyDescent="0.45">
      <c r="A633">
        <f t="shared" ca="1" si="72"/>
        <v>1.064173521644227</v>
      </c>
      <c r="B633">
        <f t="shared" ca="1" si="72"/>
        <v>1.8020727828753049</v>
      </c>
      <c r="D633">
        <f ca="1">SQRT(MAX('HE2'!B632,0))*($G$2+$H$2*A633)</f>
        <v>1.1806593597792894</v>
      </c>
      <c r="E633">
        <f t="shared" ca="1" si="67"/>
        <v>1.9325824870405643</v>
      </c>
      <c r="Q633">
        <f t="shared" ca="1" si="73"/>
        <v>-6.9361702436848735E-2</v>
      </c>
      <c r="R633">
        <f t="shared" ca="1" si="73"/>
        <v>-0.88183289882242266</v>
      </c>
    </row>
    <row r="634" spans="1:18" x14ac:dyDescent="0.45">
      <c r="A634">
        <f t="shared" ca="1" si="72"/>
        <v>-1.2907508741334037</v>
      </c>
      <c r="B634">
        <f t="shared" ca="1" si="72"/>
        <v>0.97359264752663399</v>
      </c>
      <c r="D634">
        <f ca="1">SQRT(MAX('HE2'!B633,0))*($G$2+$H$2*A634)</f>
        <v>-1.7696905214550762</v>
      </c>
      <c r="E634">
        <f t="shared" ca="1" si="67"/>
        <v>-0.44844511079074267</v>
      </c>
      <c r="Q634">
        <f t="shared" ca="1" si="73"/>
        <v>1.7180097888863053</v>
      </c>
      <c r="R634">
        <f t="shared" ca="1" si="73"/>
        <v>0.29267679916996092</v>
      </c>
    </row>
    <row r="635" spans="1:18" x14ac:dyDescent="0.45">
      <c r="A635">
        <f t="shared" ca="1" si="72"/>
        <v>-0.31897733337238443</v>
      </c>
      <c r="B635">
        <f t="shared" ca="1" si="72"/>
        <v>9.2585599707435448E-2</v>
      </c>
      <c r="D635">
        <f ca="1">SQRT(MAX('HE2'!B634,0))*($G$2+$H$2*A635)</f>
        <v>-0.41442647641100133</v>
      </c>
      <c r="E635">
        <f t="shared" ca="1" si="67"/>
        <v>-0.1996305068734463</v>
      </c>
      <c r="Q635">
        <f t="shared" ca="1" si="73"/>
        <v>0.56124448945233774</v>
      </c>
      <c r="R635">
        <f t="shared" ca="1" si="73"/>
        <v>-0.7259339372006417</v>
      </c>
    </row>
    <row r="636" spans="1:18" x14ac:dyDescent="0.45">
      <c r="A636">
        <f t="shared" ca="1" si="72"/>
        <v>-1.1178851330484041</v>
      </c>
      <c r="B636">
        <f t="shared" ca="1" si="72"/>
        <v>-0.80460019713344977</v>
      </c>
      <c r="D636">
        <f ca="1">SQRT(MAX('HE2'!B635,0))*($G$2+$H$2*A636)</f>
        <v>-1.4169867486612442</v>
      </c>
      <c r="E636">
        <f t="shared" ca="1" si="67"/>
        <v>-1.3770682247187931</v>
      </c>
      <c r="Q636">
        <f t="shared" ca="1" si="73"/>
        <v>0.66259118236739556</v>
      </c>
      <c r="R636">
        <f t="shared" ca="1" si="73"/>
        <v>0.78079810815178019</v>
      </c>
    </row>
    <row r="637" spans="1:18" x14ac:dyDescent="0.45">
      <c r="A637">
        <f t="shared" ca="1" si="72"/>
        <v>0.16935258485960272</v>
      </c>
      <c r="B637">
        <f t="shared" ca="1" si="72"/>
        <v>0.45163516442416723</v>
      </c>
      <c r="D637">
        <f ca="1">SQRT(MAX('HE2'!B636,0))*($G$2+$H$2*A637)</f>
        <v>0.1760931162814337</v>
      </c>
      <c r="E637">
        <f t="shared" ca="1" si="67"/>
        <v>0.40646316654218245</v>
      </c>
      <c r="Q637">
        <f t="shared" ca="1" si="73"/>
        <v>0.63956645219161579</v>
      </c>
      <c r="R637">
        <f t="shared" ca="1" si="73"/>
        <v>-0.9211846825749741</v>
      </c>
    </row>
    <row r="638" spans="1:18" x14ac:dyDescent="0.45">
      <c r="A638">
        <f t="shared" ca="1" si="72"/>
        <v>-6.8299338085404657E-2</v>
      </c>
      <c r="B638">
        <f t="shared" ca="1" si="72"/>
        <v>-0.74416193560437682</v>
      </c>
      <c r="D638">
        <f ca="1">SQRT(MAX('HE2'!B637,0))*($G$2+$H$2*A638)</f>
        <v>-7.5334643204785987E-2</v>
      </c>
      <c r="E638">
        <f t="shared" ca="1" si="67"/>
        <v>-0.5011366318309497</v>
      </c>
      <c r="Q638">
        <f t="shared" ca="1" si="73"/>
        <v>2.4989991211809985</v>
      </c>
      <c r="R638">
        <f t="shared" ca="1" si="73"/>
        <v>1.914398710332692</v>
      </c>
    </row>
    <row r="639" spans="1:18" x14ac:dyDescent="0.45">
      <c r="A639">
        <f t="shared" ca="1" si="72"/>
        <v>-0.72044459955010964</v>
      </c>
      <c r="B639">
        <f t="shared" ca="1" si="72"/>
        <v>-0.75818651024851802</v>
      </c>
      <c r="D639">
        <f ca="1">SQRT(MAX('HE2'!B638,0))*($G$2+$H$2*A639)</f>
        <v>-0.7405990538287085</v>
      </c>
      <c r="E639">
        <f t="shared" ca="1" si="67"/>
        <v>-1.0312675857891984</v>
      </c>
      <c r="Q639">
        <f t="shared" ca="1" si="73"/>
        <v>-0.32301760469583735</v>
      </c>
      <c r="R639">
        <f t="shared" ca="1" si="73"/>
        <v>2.0129528906220102</v>
      </c>
    </row>
    <row r="640" spans="1:18" x14ac:dyDescent="0.45">
      <c r="A640">
        <f t="shared" ca="1" si="72"/>
        <v>-2.8884600415107942</v>
      </c>
      <c r="B640">
        <f t="shared" ca="1" si="72"/>
        <v>-0.74043659349337909</v>
      </c>
      <c r="D640">
        <f ca="1">SQRT(MAX('HE2'!B639,0))*($G$2+$H$2*A640)</f>
        <v>-2.4978596793012802</v>
      </c>
      <c r="E640">
        <f t="shared" ca="1" si="67"/>
        <v>-2.7550299893046626</v>
      </c>
      <c r="Q640">
        <f t="shared" ca="1" si="73"/>
        <v>5.4534901786055086E-2</v>
      </c>
      <c r="R640">
        <f t="shared" ca="1" si="73"/>
        <v>0.32583449505636236</v>
      </c>
    </row>
    <row r="641" spans="1:18" x14ac:dyDescent="0.45">
      <c r="A641">
        <f t="shared" ca="1" si="72"/>
        <v>-1.0476829944117545</v>
      </c>
      <c r="B641">
        <f t="shared" ca="1" si="72"/>
        <v>-1.3078061169634139</v>
      </c>
      <c r="D641">
        <f ca="1">SQRT(MAX('HE2'!B640,0))*($G$2+$H$2*A641)</f>
        <v>-0.23049086705045871</v>
      </c>
      <c r="E641">
        <f t="shared" ca="1" si="67"/>
        <v>-1.6228300657074519</v>
      </c>
      <c r="Q641">
        <f t="shared" ca="1" si="73"/>
        <v>-1.0302444432068929</v>
      </c>
      <c r="R641">
        <f t="shared" ca="1" si="73"/>
        <v>-1.074393858525807</v>
      </c>
    </row>
    <row r="642" spans="1:18" x14ac:dyDescent="0.45">
      <c r="A642">
        <f t="shared" ref="A642:B661" ca="1" si="74">NORMINV(RAND(),0,1)</f>
        <v>-1.1982027201632108</v>
      </c>
      <c r="B642">
        <f t="shared" ca="1" si="74"/>
        <v>0.23863416144281721</v>
      </c>
      <c r="D642">
        <f ca="1">SQRT(MAX('HE2'!B641,0))*($G$2+$H$2*A642)</f>
        <v>0</v>
      </c>
      <c r="E642">
        <f t="shared" ref="E642:E705" ca="1" si="75">$I$2+$J$2*(A642*$K$2 + B642*POWER(1-$K$2*$K$2, 0.5))</f>
        <v>-0.81538167926487848</v>
      </c>
      <c r="Q642">
        <f t="shared" ref="Q642:R661" ca="1" si="76">NORMINV(RAND(),0,1)</f>
        <v>0.26522962072157152</v>
      </c>
      <c r="R642">
        <f t="shared" ca="1" si="76"/>
        <v>0.37732699943058234</v>
      </c>
    </row>
    <row r="643" spans="1:18" x14ac:dyDescent="0.45">
      <c r="A643">
        <f t="shared" ca="1" si="74"/>
        <v>-1.695864013033028</v>
      </c>
      <c r="B643">
        <f t="shared" ca="1" si="74"/>
        <v>-2.3043066129352225</v>
      </c>
      <c r="D643">
        <f ca="1">SQRT(MAX('HE2'!B642,0))*($G$2+$H$2*A643)</f>
        <v>-4.9766699291601657E-2</v>
      </c>
      <c r="E643">
        <f t="shared" ca="1" si="75"/>
        <v>-2.7392751781875555</v>
      </c>
      <c r="Q643">
        <f t="shared" ca="1" si="76"/>
        <v>-1.3864781008884528</v>
      </c>
      <c r="R643">
        <f t="shared" ca="1" si="76"/>
        <v>2.023416391506728</v>
      </c>
    </row>
    <row r="644" spans="1:18" x14ac:dyDescent="0.45">
      <c r="A644">
        <f t="shared" ca="1" si="74"/>
        <v>9.215190187084428E-2</v>
      </c>
      <c r="B644">
        <f t="shared" ca="1" si="74"/>
        <v>-0.73173361847772878</v>
      </c>
      <c r="D644">
        <f ca="1">SQRT(MAX('HE2'!B643,0))*($G$2+$H$2*A644)</f>
        <v>7.7077725621325774E-3</v>
      </c>
      <c r="E644">
        <f t="shared" ca="1" si="75"/>
        <v>-0.36531864958996174</v>
      </c>
      <c r="Q644">
        <f t="shared" ca="1" si="76"/>
        <v>-0.7614543481079582</v>
      </c>
      <c r="R644">
        <f t="shared" ca="1" si="76"/>
        <v>-6.1742085860689168E-2</v>
      </c>
    </row>
    <row r="645" spans="1:18" x14ac:dyDescent="0.45">
      <c r="A645">
        <f t="shared" ca="1" si="74"/>
        <v>0.40001674874488102</v>
      </c>
      <c r="B645">
        <f t="shared" ca="1" si="74"/>
        <v>-1.4329293706612571</v>
      </c>
      <c r="D645">
        <f ca="1">SQRT(MAX('HE2'!B644,0))*($G$2+$H$2*A645)</f>
        <v>6.6884512895357517E-2</v>
      </c>
      <c r="E645">
        <f t="shared" ca="1" si="75"/>
        <v>-0.53974422340084927</v>
      </c>
      <c r="Q645">
        <f t="shared" ca="1" si="76"/>
        <v>0.51030084354291583</v>
      </c>
      <c r="R645">
        <f t="shared" ca="1" si="76"/>
        <v>-0.5122962666929195</v>
      </c>
    </row>
    <row r="646" spans="1:18" x14ac:dyDescent="0.45">
      <c r="A646">
        <f t="shared" ca="1" si="74"/>
        <v>0.86280634348222296</v>
      </c>
      <c r="B646">
        <f t="shared" ca="1" si="74"/>
        <v>-1.9690951497700864</v>
      </c>
      <c r="D646">
        <f ca="1">SQRT(MAX('HE2'!B645,0))*($G$2+$H$2*A646)</f>
        <v>0.15090939928907104</v>
      </c>
      <c r="E646">
        <f t="shared" ca="1" si="75"/>
        <v>-0.4912120150762731</v>
      </c>
      <c r="Q646">
        <f t="shared" ca="1" si="76"/>
        <v>0.46790056773172894</v>
      </c>
      <c r="R646">
        <f t="shared" ca="1" si="76"/>
        <v>-0.25440461370092804</v>
      </c>
    </row>
    <row r="647" spans="1:18" x14ac:dyDescent="0.45">
      <c r="A647">
        <f t="shared" ca="1" si="74"/>
        <v>2.0702322757636522</v>
      </c>
      <c r="B647">
        <f t="shared" ca="1" si="74"/>
        <v>0.19140289561006632</v>
      </c>
      <c r="D647">
        <f ca="1">SQRT(MAX('HE2'!B646,0))*($G$2+$H$2*A647)</f>
        <v>0.38438003577007268</v>
      </c>
      <c r="E647">
        <f t="shared" ca="1" si="75"/>
        <v>1.7710275579769617</v>
      </c>
      <c r="Q647">
        <f t="shared" ca="1" si="76"/>
        <v>-0.2459614510682025</v>
      </c>
      <c r="R647">
        <f t="shared" ca="1" si="76"/>
        <v>-1.3661226470040387E-2</v>
      </c>
    </row>
    <row r="648" spans="1:18" x14ac:dyDescent="0.45">
      <c r="A648">
        <f t="shared" ca="1" si="74"/>
        <v>0.55075507463676987</v>
      </c>
      <c r="B648">
        <f t="shared" ca="1" si="74"/>
        <v>-1.1851705470921379</v>
      </c>
      <c r="D648">
        <f ca="1">SQRT(MAX('HE2'!B647,0))*($G$2+$H$2*A648)</f>
        <v>0.22215297808474879</v>
      </c>
      <c r="E648">
        <f t="shared" ca="1" si="75"/>
        <v>-0.27049826854586662</v>
      </c>
      <c r="Q648">
        <f t="shared" ca="1" si="76"/>
        <v>-1.2864942081874873</v>
      </c>
      <c r="R648">
        <f t="shared" ca="1" si="76"/>
        <v>-6.745952730482549E-2</v>
      </c>
    </row>
    <row r="649" spans="1:18" x14ac:dyDescent="0.45">
      <c r="A649">
        <f t="shared" ca="1" si="74"/>
        <v>-1.0836612014980676</v>
      </c>
      <c r="B649">
        <f t="shared" ca="1" si="74"/>
        <v>0.41227215890484153</v>
      </c>
      <c r="D649">
        <f ca="1">SQRT(MAX('HE2'!B648,0))*($G$2+$H$2*A649)</f>
        <v>-0.42935605745121508</v>
      </c>
      <c r="E649">
        <f t="shared" ca="1" si="75"/>
        <v>-0.61956566585554929</v>
      </c>
      <c r="Q649">
        <f t="shared" ca="1" si="76"/>
        <v>-1.572829145876629</v>
      </c>
      <c r="R649">
        <f t="shared" ca="1" si="76"/>
        <v>-0.78059618044928625</v>
      </c>
    </row>
    <row r="650" spans="1:18" x14ac:dyDescent="0.45">
      <c r="A650">
        <f t="shared" ca="1" si="74"/>
        <v>-1.8996831940999759</v>
      </c>
      <c r="B650">
        <f t="shared" ca="1" si="74"/>
        <v>-1.3198669496395221</v>
      </c>
      <c r="D650">
        <f ca="1">SQRT(MAX('HE2'!B649,0))*($G$2+$H$2*A650)</f>
        <v>-0.63138836341800031</v>
      </c>
      <c r="E650">
        <f t="shared" ca="1" si="75"/>
        <v>-2.3116667250636938</v>
      </c>
      <c r="Q650">
        <f t="shared" ca="1" si="76"/>
        <v>-1.1947388275533706</v>
      </c>
      <c r="R650">
        <f t="shared" ca="1" si="76"/>
        <v>1.2876811713714307</v>
      </c>
    </row>
    <row r="651" spans="1:18" x14ac:dyDescent="0.45">
      <c r="A651">
        <f t="shared" ca="1" si="74"/>
        <v>0.69487881099433046</v>
      </c>
      <c r="B651">
        <f t="shared" ca="1" si="74"/>
        <v>-0.99530496278057112</v>
      </c>
      <c r="D651">
        <f ca="1">SQRT(MAX('HE2'!B650,0))*($G$2+$H$2*A651)</f>
        <v>0</v>
      </c>
      <c r="E651">
        <f t="shared" ca="1" si="75"/>
        <v>-4.1279928872878124E-2</v>
      </c>
      <c r="Q651">
        <f t="shared" ca="1" si="76"/>
        <v>1.2938695520000603</v>
      </c>
      <c r="R651">
        <f t="shared" ca="1" si="76"/>
        <v>-0.64664778899708575</v>
      </c>
    </row>
    <row r="652" spans="1:18" x14ac:dyDescent="0.45">
      <c r="A652">
        <f t="shared" ca="1" si="74"/>
        <v>-1.0858288265455493E-2</v>
      </c>
      <c r="B652">
        <f t="shared" ca="1" si="74"/>
        <v>0.40119221301671154</v>
      </c>
      <c r="D652">
        <f ca="1">SQRT(MAX('HE2'!B651,0))*($G$2+$H$2*A652)</f>
        <v>0</v>
      </c>
      <c r="E652">
        <f t="shared" ca="1" si="75"/>
        <v>0.23202869719766248</v>
      </c>
      <c r="Q652">
        <f t="shared" ca="1" si="76"/>
        <v>-0.87500050068447033</v>
      </c>
      <c r="R652">
        <f t="shared" ca="1" si="76"/>
        <v>-2.3080475454363278</v>
      </c>
    </row>
    <row r="653" spans="1:18" x14ac:dyDescent="0.45">
      <c r="A653">
        <f t="shared" ca="1" si="74"/>
        <v>-2.6438872876646986</v>
      </c>
      <c r="B653">
        <f t="shared" ca="1" si="74"/>
        <v>0.11497577119862212</v>
      </c>
      <c r="D653">
        <f ca="1">SQRT(MAX('HE2'!B652,0))*($G$2+$H$2*A653)</f>
        <v>0</v>
      </c>
      <c r="E653">
        <f t="shared" ca="1" si="75"/>
        <v>-2.0461243674125855</v>
      </c>
      <c r="Q653">
        <f t="shared" ca="1" si="76"/>
        <v>-0.78752852610763568</v>
      </c>
      <c r="R653">
        <f t="shared" ca="1" si="76"/>
        <v>-1.3289197569641205</v>
      </c>
    </row>
    <row r="654" spans="1:18" x14ac:dyDescent="0.45">
      <c r="A654">
        <f t="shared" ca="1" si="74"/>
        <v>-1.4098191023509885</v>
      </c>
      <c r="B654">
        <f t="shared" ca="1" si="74"/>
        <v>1.6049034233882478</v>
      </c>
      <c r="D654">
        <f ca="1">SQRT(MAX('HE2'!B653,0))*($G$2+$H$2*A654)</f>
        <v>0</v>
      </c>
      <c r="E654">
        <f t="shared" ca="1" si="75"/>
        <v>-0.16491322784784235</v>
      </c>
      <c r="Q654">
        <f t="shared" ca="1" si="76"/>
        <v>-1.6194035704423311</v>
      </c>
      <c r="R654">
        <f t="shared" ca="1" si="76"/>
        <v>0.23132432629295563</v>
      </c>
    </row>
    <row r="655" spans="1:18" x14ac:dyDescent="0.45">
      <c r="A655">
        <f t="shared" ca="1" si="74"/>
        <v>-0.63922709340206629</v>
      </c>
      <c r="B655">
        <f t="shared" ca="1" si="74"/>
        <v>0.41484074461221276</v>
      </c>
      <c r="D655">
        <f ca="1">SQRT(MAX('HE2'!B654,0))*($G$2+$H$2*A655)</f>
        <v>-0.10904777035852928</v>
      </c>
      <c r="E655">
        <f t="shared" ca="1" si="75"/>
        <v>-0.26247722795432549</v>
      </c>
      <c r="Q655">
        <f t="shared" ca="1" si="76"/>
        <v>1.8595939145250806</v>
      </c>
      <c r="R655">
        <f t="shared" ca="1" si="76"/>
        <v>0.32089702052951624</v>
      </c>
    </row>
    <row r="656" spans="1:18" x14ac:dyDescent="0.45">
      <c r="A656">
        <f t="shared" ca="1" si="74"/>
        <v>-2.2394158356705023</v>
      </c>
      <c r="B656">
        <f t="shared" ca="1" si="74"/>
        <v>-0.16974260718551476</v>
      </c>
      <c r="D656">
        <f ca="1">SQRT(MAX('HE2'!B655,0))*($G$2+$H$2*A656)</f>
        <v>-0.47692165606325504</v>
      </c>
      <c r="E656">
        <f t="shared" ca="1" si="75"/>
        <v>-1.8933782328477107</v>
      </c>
      <c r="Q656">
        <f t="shared" ca="1" si="76"/>
        <v>-0.30820881538135841</v>
      </c>
      <c r="R656">
        <f t="shared" ca="1" si="76"/>
        <v>-0.3276289332873849</v>
      </c>
    </row>
    <row r="657" spans="1:18" x14ac:dyDescent="0.45">
      <c r="A657">
        <f t="shared" ca="1" si="74"/>
        <v>1.1463337155456139</v>
      </c>
      <c r="B657">
        <f t="shared" ca="1" si="74"/>
        <v>1.2568979200590717</v>
      </c>
      <c r="D657">
        <f ca="1">SQRT(MAX('HE2'!B656,0))*($G$2+$H$2*A657)</f>
        <v>0</v>
      </c>
      <c r="E657">
        <f t="shared" ca="1" si="75"/>
        <v>1.6712057244719341</v>
      </c>
      <c r="Q657">
        <f t="shared" ca="1" si="76"/>
        <v>0.1140922908585611</v>
      </c>
      <c r="R657">
        <f t="shared" ca="1" si="76"/>
        <v>0.94966441418331449</v>
      </c>
    </row>
    <row r="658" spans="1:18" x14ac:dyDescent="0.45">
      <c r="A658">
        <f t="shared" ca="1" si="74"/>
        <v>0.21216143656437628</v>
      </c>
      <c r="B658">
        <f t="shared" ca="1" si="74"/>
        <v>-9.3930485080195483E-2</v>
      </c>
      <c r="D658">
        <f ca="1">SQRT(MAX('HE2'!B657,0))*($G$2+$H$2*A658)</f>
        <v>0</v>
      </c>
      <c r="E658">
        <f t="shared" ca="1" si="75"/>
        <v>0.11337085820338376</v>
      </c>
      <c r="Q658">
        <f t="shared" ca="1" si="76"/>
        <v>0.88053858748386105</v>
      </c>
      <c r="R658">
        <f t="shared" ca="1" si="76"/>
        <v>-0.32730204314541472</v>
      </c>
    </row>
    <row r="659" spans="1:18" x14ac:dyDescent="0.45">
      <c r="A659">
        <f t="shared" ca="1" si="74"/>
        <v>0.22630229009950292</v>
      </c>
      <c r="B659">
        <f t="shared" ca="1" si="74"/>
        <v>-9.8941535207724293E-2</v>
      </c>
      <c r="D659">
        <f ca="1">SQRT(MAX('HE2'!B658,0))*($G$2+$H$2*A659)</f>
        <v>2.7046409758074919E-2</v>
      </c>
      <c r="E659">
        <f t="shared" ca="1" si="75"/>
        <v>0.12167691095496777</v>
      </c>
      <c r="Q659">
        <f t="shared" ca="1" si="76"/>
        <v>-0.98237201020009657</v>
      </c>
      <c r="R659">
        <f t="shared" ca="1" si="76"/>
        <v>-0.81698574253176115</v>
      </c>
    </row>
    <row r="660" spans="1:18" x14ac:dyDescent="0.45">
      <c r="A660">
        <f t="shared" ca="1" si="74"/>
        <v>1.2162470897068334</v>
      </c>
      <c r="B660">
        <f t="shared" ca="1" si="74"/>
        <v>1.2373081463697464</v>
      </c>
      <c r="D660">
        <f ca="1">SQRT(MAX('HE2'!B659,0))*($G$2+$H$2*A660)</f>
        <v>0.26820576907411103</v>
      </c>
      <c r="E660">
        <f t="shared" ca="1" si="75"/>
        <v>1.7153825595873142</v>
      </c>
      <c r="Q660">
        <f t="shared" ca="1" si="76"/>
        <v>1.6224003605812827</v>
      </c>
      <c r="R660">
        <f t="shared" ca="1" si="76"/>
        <v>-0.96068953017488068</v>
      </c>
    </row>
    <row r="661" spans="1:18" x14ac:dyDescent="0.45">
      <c r="A661">
        <f t="shared" ca="1" si="74"/>
        <v>-0.99428462388911765</v>
      </c>
      <c r="B661">
        <f t="shared" ca="1" si="74"/>
        <v>-9.5270469916254694E-2</v>
      </c>
      <c r="D661">
        <f ca="1">SQRT(MAX('HE2'!B660,0))*($G$2+$H$2*A661)</f>
        <v>-0.43499983957741534</v>
      </c>
      <c r="E661">
        <f t="shared" ca="1" si="75"/>
        <v>-0.852589981061047</v>
      </c>
      <c r="Q661">
        <f t="shared" ca="1" si="76"/>
        <v>-0.10701525328646169</v>
      </c>
      <c r="R661">
        <f t="shared" ca="1" si="76"/>
        <v>-0.53929443396462096</v>
      </c>
    </row>
    <row r="662" spans="1:18" x14ac:dyDescent="0.45">
      <c r="A662">
        <f t="shared" ref="A662:B681" ca="1" si="77">NORMINV(RAND(),0,1)</f>
        <v>-0.31900886868589984</v>
      </c>
      <c r="B662">
        <f t="shared" ca="1" si="77"/>
        <v>0.32578180321473438</v>
      </c>
      <c r="D662">
        <f ca="1">SQRT(MAX('HE2'!B661,0))*($G$2+$H$2*A662)</f>
        <v>-0.10383426601081107</v>
      </c>
      <c r="E662">
        <f t="shared" ca="1" si="75"/>
        <v>-5.9738013019879327E-2</v>
      </c>
      <c r="Q662">
        <f t="shared" ref="Q662:R681" ca="1" si="78">NORMINV(RAND(),0,1)</f>
        <v>-0.2170223598624017</v>
      </c>
      <c r="R662">
        <f t="shared" ca="1" si="78"/>
        <v>-1.4065511126443868</v>
      </c>
    </row>
    <row r="663" spans="1:18" x14ac:dyDescent="0.45">
      <c r="A663">
        <f t="shared" ca="1" si="77"/>
        <v>-1.5748950790330598</v>
      </c>
      <c r="B663">
        <f t="shared" ca="1" si="77"/>
        <v>-0.70568191267085201</v>
      </c>
      <c r="D663">
        <f ca="1">SQRT(MAX('HE2'!B662,0))*($G$2+$H$2*A663)</f>
        <v>-0.56402303527815245</v>
      </c>
      <c r="E663">
        <f t="shared" ca="1" si="75"/>
        <v>-1.6833252108289591</v>
      </c>
      <c r="Q663">
        <f t="shared" ca="1" si="78"/>
        <v>-1.2607937642800111</v>
      </c>
      <c r="R663">
        <f t="shared" ca="1" si="78"/>
        <v>0.66526268773956876</v>
      </c>
    </row>
    <row r="664" spans="1:18" x14ac:dyDescent="0.45">
      <c r="A664">
        <f t="shared" ca="1" si="77"/>
        <v>-0.81204389589215131</v>
      </c>
      <c r="B664">
        <f t="shared" ca="1" si="77"/>
        <v>0.50154124230359787</v>
      </c>
      <c r="D664">
        <f ca="1">SQRT(MAX('HE2'!B663,0))*($G$2+$H$2*A664)</f>
        <v>0</v>
      </c>
      <c r="E664">
        <f t="shared" ca="1" si="75"/>
        <v>-0.34871037133156246</v>
      </c>
      <c r="Q664">
        <f t="shared" ca="1" si="78"/>
        <v>-0.22674578334023432</v>
      </c>
      <c r="R664">
        <f t="shared" ca="1" si="78"/>
        <v>-1.424362410045348</v>
      </c>
    </row>
    <row r="665" spans="1:18" x14ac:dyDescent="0.45">
      <c r="A665">
        <f t="shared" ca="1" si="77"/>
        <v>0.51719625510772238</v>
      </c>
      <c r="B665">
        <f t="shared" ca="1" si="77"/>
        <v>-2.4556449600148814E-2</v>
      </c>
      <c r="D665">
        <f ca="1">SQRT(MAX('HE2'!B664,0))*($G$2+$H$2*A665)</f>
        <v>3.7914085620241435E-2</v>
      </c>
      <c r="E665">
        <f t="shared" ca="1" si="75"/>
        <v>0.39902313432608866</v>
      </c>
      <c r="Q665">
        <f t="shared" ca="1" si="78"/>
        <v>0.26889417712961572</v>
      </c>
      <c r="R665">
        <f t="shared" ca="1" si="78"/>
        <v>0.74786116525696011</v>
      </c>
    </row>
    <row r="666" spans="1:18" x14ac:dyDescent="0.45">
      <c r="A666">
        <f t="shared" ca="1" si="77"/>
        <v>-1.2252131764363883</v>
      </c>
      <c r="B666">
        <f t="shared" ca="1" si="77"/>
        <v>-0.39735883332454858</v>
      </c>
      <c r="D666">
        <f ca="1">SQRT(MAX('HE2'!B665,0))*($G$2+$H$2*A666)</f>
        <v>-0.25790601828386278</v>
      </c>
      <c r="E666">
        <f t="shared" ca="1" si="75"/>
        <v>-1.2185858411438397</v>
      </c>
      <c r="Q666">
        <f t="shared" ca="1" si="78"/>
        <v>-0.44057866630751868</v>
      </c>
      <c r="R666">
        <f t="shared" ca="1" si="78"/>
        <v>0.54248563481831025</v>
      </c>
    </row>
    <row r="667" spans="1:18" x14ac:dyDescent="0.45">
      <c r="A667">
        <f t="shared" ca="1" si="77"/>
        <v>2.561242108491935</v>
      </c>
      <c r="B667">
        <f t="shared" ca="1" si="77"/>
        <v>0.8178847334810756</v>
      </c>
      <c r="D667">
        <f ca="1">SQRT(MAX('HE2'!B666,0))*($G$2+$H$2*A667)</f>
        <v>0</v>
      </c>
      <c r="E667">
        <f t="shared" ca="1" si="75"/>
        <v>2.5397245268821935</v>
      </c>
      <c r="Q667">
        <f t="shared" ca="1" si="78"/>
        <v>-0.55760810131654226</v>
      </c>
      <c r="R667">
        <f t="shared" ca="1" si="78"/>
        <v>-1.7753547728387222</v>
      </c>
    </row>
    <row r="668" spans="1:18" x14ac:dyDescent="0.45">
      <c r="A668">
        <f t="shared" ca="1" si="77"/>
        <v>-0.52598904251965228</v>
      </c>
      <c r="B668">
        <f t="shared" ca="1" si="77"/>
        <v>-1.5304861709844901</v>
      </c>
      <c r="D668">
        <f ca="1">SQRT(MAX('HE2'!B667,0))*($G$2+$H$2*A668)</f>
        <v>-8.6438897267112944E-2</v>
      </c>
      <c r="E668">
        <f t="shared" ca="1" si="75"/>
        <v>-1.3390829366064159</v>
      </c>
      <c r="Q668">
        <f t="shared" ca="1" si="78"/>
        <v>0.59956885798100201</v>
      </c>
      <c r="R668">
        <f t="shared" ca="1" si="78"/>
        <v>1.8253137905291859</v>
      </c>
    </row>
    <row r="669" spans="1:18" x14ac:dyDescent="0.45">
      <c r="A669">
        <f t="shared" ca="1" si="77"/>
        <v>0.7076229319495031</v>
      </c>
      <c r="B669">
        <f t="shared" ca="1" si="77"/>
        <v>0.1823718630723232</v>
      </c>
      <c r="D669">
        <f ca="1">SQRT(MAX('HE2'!B668,0))*($G$2+$H$2*A669)</f>
        <v>0</v>
      </c>
      <c r="E669">
        <f t="shared" ca="1" si="75"/>
        <v>0.67552146340299635</v>
      </c>
      <c r="Q669">
        <f t="shared" ca="1" si="78"/>
        <v>-0.40201097394384183</v>
      </c>
      <c r="R669">
        <f t="shared" ca="1" si="78"/>
        <v>0.15038655778592366</v>
      </c>
    </row>
    <row r="670" spans="1:18" x14ac:dyDescent="0.45">
      <c r="A670">
        <f t="shared" ca="1" si="77"/>
        <v>1.9912438588373771</v>
      </c>
      <c r="B670">
        <f t="shared" ca="1" si="77"/>
        <v>-1.0584651022934657</v>
      </c>
      <c r="D670">
        <f ca="1">SQRT(MAX('HE2'!B669,0))*($G$2+$H$2*A670)</f>
        <v>0.28845103962905161</v>
      </c>
      <c r="E670">
        <f t="shared" ca="1" si="75"/>
        <v>0.95791602569382239</v>
      </c>
      <c r="Q670">
        <f t="shared" ca="1" si="78"/>
        <v>-5.1928658836965617E-2</v>
      </c>
      <c r="R670">
        <f t="shared" ca="1" si="78"/>
        <v>0.66915552975351789</v>
      </c>
    </row>
    <row r="671" spans="1:18" x14ac:dyDescent="0.45">
      <c r="A671">
        <f t="shared" ca="1" si="77"/>
        <v>-0.19755317335648578</v>
      </c>
      <c r="B671">
        <f t="shared" ca="1" si="77"/>
        <v>-0.97594845834068722</v>
      </c>
      <c r="D671">
        <f ca="1">SQRT(MAX('HE2'!B670,0))*($G$2+$H$2*A671)</f>
        <v>-6.0071008359873349E-2</v>
      </c>
      <c r="E671">
        <f t="shared" ca="1" si="75"/>
        <v>-0.74361161368960094</v>
      </c>
      <c r="Q671">
        <f t="shared" ca="1" si="78"/>
        <v>-0.27608593335758347</v>
      </c>
      <c r="R671">
        <f t="shared" ca="1" si="78"/>
        <v>-2.5229404642971764</v>
      </c>
    </row>
    <row r="672" spans="1:18" x14ac:dyDescent="0.45">
      <c r="A672">
        <f t="shared" ca="1" si="77"/>
        <v>-0.48394537009380845</v>
      </c>
      <c r="B672">
        <f t="shared" ca="1" si="77"/>
        <v>-0.51290426661718491</v>
      </c>
      <c r="D672">
        <f ca="1">SQRT(MAX('HE2'!B671,0))*($G$2+$H$2*A672)</f>
        <v>-0.11146125961935445</v>
      </c>
      <c r="E672">
        <f t="shared" ca="1" si="75"/>
        <v>-0.69489885604535762</v>
      </c>
      <c r="Q672">
        <f t="shared" ca="1" si="78"/>
        <v>-0.79893101598876259</v>
      </c>
      <c r="R672">
        <f t="shared" ca="1" si="78"/>
        <v>-6.2116521056577292E-2</v>
      </c>
    </row>
    <row r="673" spans="1:18" x14ac:dyDescent="0.45">
      <c r="A673">
        <f t="shared" ca="1" si="77"/>
        <v>-1.1481882520871105</v>
      </c>
      <c r="B673">
        <f t="shared" ca="1" si="77"/>
        <v>-0.47578924434516667</v>
      </c>
      <c r="D673">
        <f ca="1">SQRT(MAX('HE2'!B672,0))*($G$2+$H$2*A673)</f>
        <v>-0.21245858943944154</v>
      </c>
      <c r="E673">
        <f t="shared" ca="1" si="75"/>
        <v>-1.2040241482767884</v>
      </c>
      <c r="Q673">
        <f t="shared" ca="1" si="78"/>
        <v>-0.7633876913209714</v>
      </c>
      <c r="R673">
        <f t="shared" ca="1" si="78"/>
        <v>-0.49293115925048442</v>
      </c>
    </row>
    <row r="674" spans="1:18" x14ac:dyDescent="0.45">
      <c r="A674">
        <f t="shared" ca="1" si="77"/>
        <v>0.46117515092762268</v>
      </c>
      <c r="B674">
        <f t="shared" ca="1" si="77"/>
        <v>-0.73595558848443898</v>
      </c>
      <c r="D674">
        <f ca="1">SQRT(MAX('HE2'!B673,0))*($G$2+$H$2*A674)</f>
        <v>0</v>
      </c>
      <c r="E674">
        <f t="shared" ca="1" si="75"/>
        <v>-7.2633232348565169E-2</v>
      </c>
      <c r="Q674">
        <f t="shared" ca="1" si="78"/>
        <v>-1.2930216674866633</v>
      </c>
      <c r="R674">
        <f t="shared" ca="1" si="78"/>
        <v>0.92050468832981869</v>
      </c>
    </row>
    <row r="675" spans="1:18" x14ac:dyDescent="0.45">
      <c r="A675">
        <f t="shared" ca="1" si="77"/>
        <v>-0.8780644540249164</v>
      </c>
      <c r="B675">
        <f t="shared" ca="1" si="77"/>
        <v>0.40347561864780529</v>
      </c>
      <c r="D675">
        <f ca="1">SQRT(MAX('HE2'!B674,0))*($G$2+$H$2*A675)</f>
        <v>-0.14495568806566952</v>
      </c>
      <c r="E675">
        <f t="shared" ca="1" si="75"/>
        <v>-0.46036619203125007</v>
      </c>
      <c r="Q675">
        <f t="shared" ca="1" si="78"/>
        <v>0.37305803605511179</v>
      </c>
      <c r="R675">
        <f t="shared" ca="1" si="78"/>
        <v>0.92481204567602171</v>
      </c>
    </row>
    <row r="676" spans="1:18" x14ac:dyDescent="0.45">
      <c r="A676">
        <f t="shared" ca="1" si="77"/>
        <v>0.53795559883139754</v>
      </c>
      <c r="B676">
        <f t="shared" ca="1" si="77"/>
        <v>1.7670759496157942</v>
      </c>
      <c r="D676">
        <f ca="1">SQRT(MAX('HE2'!B675,0))*($G$2+$H$2*A676)</f>
        <v>9.945083534275094E-2</v>
      </c>
      <c r="E676">
        <f t="shared" ca="1" si="75"/>
        <v>1.4906100488345944</v>
      </c>
      <c r="Q676">
        <f t="shared" ca="1" si="78"/>
        <v>2.5778238240350722</v>
      </c>
      <c r="R676">
        <f t="shared" ca="1" si="78"/>
        <v>1.5287049762829508</v>
      </c>
    </row>
    <row r="677" spans="1:18" x14ac:dyDescent="0.45">
      <c r="A677">
        <f t="shared" ca="1" si="77"/>
        <v>0.27628857831180603</v>
      </c>
      <c r="B677">
        <f t="shared" ca="1" si="77"/>
        <v>0.32008508894888082</v>
      </c>
      <c r="D677">
        <f ca="1">SQRT(MAX('HE2'!B676,0))*($G$2+$H$2*A677)</f>
        <v>0.10572527245068988</v>
      </c>
      <c r="E677">
        <f t="shared" ca="1" si="75"/>
        <v>0.41308191601877331</v>
      </c>
      <c r="Q677">
        <f t="shared" ca="1" si="78"/>
        <v>-0.86780061493161109</v>
      </c>
      <c r="R677">
        <f t="shared" ca="1" si="78"/>
        <v>-0.29884042453497639</v>
      </c>
    </row>
    <row r="678" spans="1:18" x14ac:dyDescent="0.45">
      <c r="A678">
        <f t="shared" ca="1" si="77"/>
        <v>0.7930031046842102</v>
      </c>
      <c r="B678">
        <f t="shared" ca="1" si="77"/>
        <v>-1.3080067509796007</v>
      </c>
      <c r="D678">
        <f ca="1">SQRT(MAX('HE2'!B677,0))*($G$2+$H$2*A678)</f>
        <v>0.37295708004758471</v>
      </c>
      <c r="E678">
        <f t="shared" ca="1" si="75"/>
        <v>-0.15040156684039208</v>
      </c>
      <c r="Q678">
        <f t="shared" ca="1" si="78"/>
        <v>-1.0252743937112765</v>
      </c>
      <c r="R678">
        <f t="shared" ca="1" si="78"/>
        <v>-1.0642047652002711</v>
      </c>
    </row>
    <row r="679" spans="1:18" x14ac:dyDescent="0.45">
      <c r="A679">
        <f t="shared" ca="1" si="77"/>
        <v>-1.015024450552237</v>
      </c>
      <c r="B679">
        <f t="shared" ca="1" si="77"/>
        <v>-0.68613744656841413</v>
      </c>
      <c r="D679">
        <f ca="1">SQRT(MAX('HE2'!B678,0))*($G$2+$H$2*A679)</f>
        <v>-0.48233938994327408</v>
      </c>
      <c r="E679">
        <f t="shared" ca="1" si="75"/>
        <v>-1.2237020283828381</v>
      </c>
      <c r="Q679">
        <f t="shared" ca="1" si="78"/>
        <v>-0.21546055681070111</v>
      </c>
      <c r="R679">
        <f t="shared" ca="1" si="78"/>
        <v>0.75004343450967359</v>
      </c>
    </row>
    <row r="680" spans="1:18" x14ac:dyDescent="0.45">
      <c r="A680">
        <f t="shared" ca="1" si="77"/>
        <v>-0.27861030926965141</v>
      </c>
      <c r="B680">
        <f t="shared" ca="1" si="77"/>
        <v>8.4913994100127232E-2</v>
      </c>
      <c r="D680">
        <f ca="1">SQRT(MAX('HE2'!B679,0))*($G$2+$H$2*A680)</f>
        <v>-7.7369260567450179E-2</v>
      </c>
      <c r="E680">
        <f t="shared" ca="1" si="75"/>
        <v>-0.17193985095564479</v>
      </c>
      <c r="Q680">
        <f t="shared" ca="1" si="78"/>
        <v>-0.69446655705952176</v>
      </c>
      <c r="R680">
        <f t="shared" ca="1" si="78"/>
        <v>-1.335420353078703</v>
      </c>
    </row>
    <row r="681" spans="1:18" x14ac:dyDescent="0.45">
      <c r="A681">
        <f t="shared" ca="1" si="77"/>
        <v>0.48478255995765596</v>
      </c>
      <c r="B681">
        <f t="shared" ca="1" si="77"/>
        <v>0.34094261199394554</v>
      </c>
      <c r="D681">
        <f ca="1">SQRT(MAX('HE2'!B680,0))*($G$2+$H$2*A681)</f>
        <v>0.14665548306037229</v>
      </c>
      <c r="E681">
        <f t="shared" ca="1" si="75"/>
        <v>0.59239161516249206</v>
      </c>
      <c r="Q681">
        <f t="shared" ca="1" si="78"/>
        <v>-0.67218188129445466</v>
      </c>
      <c r="R681">
        <f t="shared" ca="1" si="78"/>
        <v>0.54026035985003495</v>
      </c>
    </row>
    <row r="682" spans="1:18" x14ac:dyDescent="0.45">
      <c r="A682">
        <f t="shared" ref="A682:B701" ca="1" si="79">NORMINV(RAND(),0,1)</f>
        <v>0.90228434801536539</v>
      </c>
      <c r="B682">
        <f t="shared" ca="1" si="79"/>
        <v>1.2422611590790069</v>
      </c>
      <c r="D682">
        <f ca="1">SQRT(MAX('HE2'!B681,0))*($G$2+$H$2*A682)</f>
        <v>0.3760670801730624</v>
      </c>
      <c r="E682">
        <f t="shared" ca="1" si="75"/>
        <v>1.4671841738596965</v>
      </c>
      <c r="Q682">
        <f t="shared" ref="Q682:R701" ca="1" si="80">NORMINV(RAND(),0,1)</f>
        <v>-0.60525882979799406</v>
      </c>
      <c r="R682">
        <f t="shared" ca="1" si="80"/>
        <v>0.4474810983512168</v>
      </c>
    </row>
    <row r="683" spans="1:18" x14ac:dyDescent="0.45">
      <c r="A683">
        <f t="shared" ca="1" si="79"/>
        <v>-1.1343042303075221</v>
      </c>
      <c r="B683">
        <f t="shared" ca="1" si="79"/>
        <v>0.62156757279239272</v>
      </c>
      <c r="D683">
        <f ca="1">SQRT(MAX('HE2'!B682,0))*($G$2+$H$2*A683)</f>
        <v>-0.70287103551833707</v>
      </c>
      <c r="E683">
        <f t="shared" ca="1" si="75"/>
        <v>-0.53450284057058228</v>
      </c>
      <c r="Q683">
        <f t="shared" ca="1" si="80"/>
        <v>0.23730065145032753</v>
      </c>
      <c r="R683">
        <f t="shared" ca="1" si="80"/>
        <v>0.32290918066477409</v>
      </c>
    </row>
    <row r="684" spans="1:18" x14ac:dyDescent="0.45">
      <c r="A684">
        <f t="shared" ca="1" si="79"/>
        <v>-0.37681163398146988</v>
      </c>
      <c r="B684">
        <f t="shared" ca="1" si="79"/>
        <v>-1.9680383914832407</v>
      </c>
      <c r="D684">
        <f ca="1">SQRT(MAX('HE2'!B683,0))*($G$2+$H$2*A684)</f>
        <v>-0.20884777751216385</v>
      </c>
      <c r="E684">
        <f t="shared" ca="1" si="75"/>
        <v>-1.4822723420751203</v>
      </c>
      <c r="Q684">
        <f t="shared" ca="1" si="80"/>
        <v>-0.90754849554420525</v>
      </c>
      <c r="R684">
        <f t="shared" ca="1" si="80"/>
        <v>-1.1195521432812172</v>
      </c>
    </row>
    <row r="685" spans="1:18" x14ac:dyDescent="0.45">
      <c r="A685">
        <f t="shared" ca="1" si="79"/>
        <v>0.19611208699188951</v>
      </c>
      <c r="B685">
        <f t="shared" ca="1" si="79"/>
        <v>-1.1347599833786561</v>
      </c>
      <c r="D685">
        <f ca="1">SQRT(MAX('HE2'!B684,0))*($G$2+$H$2*A685)</f>
        <v>5.712629206803007E-2</v>
      </c>
      <c r="E685">
        <f t="shared" ca="1" si="75"/>
        <v>-0.52396632043368196</v>
      </c>
      <c r="Q685">
        <f t="shared" ca="1" si="80"/>
        <v>-0.58564624347637118</v>
      </c>
      <c r="R685">
        <f t="shared" ca="1" si="80"/>
        <v>-0.17094142196511219</v>
      </c>
    </row>
    <row r="686" spans="1:18" x14ac:dyDescent="0.45">
      <c r="A686">
        <f t="shared" ca="1" si="79"/>
        <v>-0.43769631194868291</v>
      </c>
      <c r="B686">
        <f t="shared" ca="1" si="79"/>
        <v>0.1273214426137248</v>
      </c>
      <c r="D686">
        <f ca="1">SQRT(MAX('HE2'!B685,0))*($G$2+$H$2*A686)</f>
        <v>-0.11383025737036821</v>
      </c>
      <c r="E686">
        <f t="shared" ca="1" si="75"/>
        <v>-0.27376418399071145</v>
      </c>
      <c r="Q686">
        <f t="shared" ca="1" si="80"/>
        <v>0.58493733527483338</v>
      </c>
      <c r="R686">
        <f t="shared" ca="1" si="80"/>
        <v>0.60109368234258831</v>
      </c>
    </row>
    <row r="687" spans="1:18" x14ac:dyDescent="0.45">
      <c r="A687">
        <f t="shared" ca="1" si="79"/>
        <v>-0.63966428000425801</v>
      </c>
      <c r="B687">
        <f t="shared" ca="1" si="79"/>
        <v>1.3983319309900379</v>
      </c>
      <c r="D687">
        <f ca="1">SQRT(MAX('HE2'!B686,0))*($G$2+$H$2*A687)</f>
        <v>-0.17540211783400517</v>
      </c>
      <c r="E687">
        <f t="shared" ca="1" si="75"/>
        <v>0.3272677345906162</v>
      </c>
      <c r="Q687">
        <f t="shared" ca="1" si="80"/>
        <v>2.402853965398295</v>
      </c>
      <c r="R687">
        <f t="shared" ca="1" si="80"/>
        <v>-1.3017256925775063</v>
      </c>
    </row>
    <row r="688" spans="1:18" x14ac:dyDescent="0.45">
      <c r="A688">
        <f t="shared" ca="1" si="79"/>
        <v>1.6050664567973543</v>
      </c>
      <c r="B688">
        <f t="shared" ca="1" si="79"/>
        <v>0.3316199114934017</v>
      </c>
      <c r="D688">
        <f ca="1">SQRT(MAX('HE2'!B687,0))*($G$2+$H$2*A688)</f>
        <v>0.58066394128308185</v>
      </c>
      <c r="E688">
        <f t="shared" ca="1" si="75"/>
        <v>1.4830251123339244</v>
      </c>
      <c r="Q688">
        <f t="shared" ca="1" si="80"/>
        <v>-2.2730613867790859</v>
      </c>
      <c r="R688">
        <f t="shared" ca="1" si="80"/>
        <v>0.22644958491854683</v>
      </c>
    </row>
    <row r="689" spans="1:18" x14ac:dyDescent="0.45">
      <c r="A689">
        <f t="shared" ca="1" si="79"/>
        <v>-0.6448912820289372</v>
      </c>
      <c r="B689">
        <f t="shared" ca="1" si="79"/>
        <v>-0.30797140615951019</v>
      </c>
      <c r="D689">
        <f ca="1">SQRT(MAX('HE2'!B688,0))*($G$2+$H$2*A689)</f>
        <v>-0.36450992792867704</v>
      </c>
      <c r="E689">
        <f t="shared" ca="1" si="75"/>
        <v>-0.70069586931885586</v>
      </c>
      <c r="Q689">
        <f t="shared" ca="1" si="80"/>
        <v>0.56298952543776215</v>
      </c>
      <c r="R689">
        <f t="shared" ca="1" si="80"/>
        <v>-6.952939525462766E-2</v>
      </c>
    </row>
    <row r="690" spans="1:18" x14ac:dyDescent="0.45">
      <c r="A690">
        <f t="shared" ca="1" si="79"/>
        <v>0.44438195460798735</v>
      </c>
      <c r="B690">
        <f t="shared" ca="1" si="79"/>
        <v>1.1603418407243398</v>
      </c>
      <c r="D690">
        <f ca="1">SQRT(MAX('HE2'!B689,0))*($G$2+$H$2*A690)</f>
        <v>0.21057526079451175</v>
      </c>
      <c r="E690">
        <f t="shared" ca="1" si="75"/>
        <v>1.0517106681209936</v>
      </c>
      <c r="Q690">
        <f t="shared" ca="1" si="80"/>
        <v>-1.3755455967053716</v>
      </c>
      <c r="R690">
        <f t="shared" ca="1" si="80"/>
        <v>0.20485754727764113</v>
      </c>
    </row>
    <row r="691" spans="1:18" x14ac:dyDescent="0.45">
      <c r="A691">
        <f t="shared" ca="1" si="79"/>
        <v>-0.88416012413591849</v>
      </c>
      <c r="B691">
        <f t="shared" ca="1" si="79"/>
        <v>0.89978018213005218</v>
      </c>
      <c r="D691">
        <f ca="1">SQRT(MAX('HE2'!B690,0))*($G$2+$H$2*A691)</f>
        <v>-0.55907362177598841</v>
      </c>
      <c r="E691">
        <f t="shared" ca="1" si="75"/>
        <v>-0.16745999003070366</v>
      </c>
      <c r="Q691">
        <f t="shared" ca="1" si="80"/>
        <v>-1.2355711442966772</v>
      </c>
      <c r="R691">
        <f t="shared" ca="1" si="80"/>
        <v>-1.1177771031731338</v>
      </c>
    </row>
    <row r="692" spans="1:18" x14ac:dyDescent="0.45">
      <c r="A692">
        <f t="shared" ca="1" si="79"/>
        <v>0.3436089837059137</v>
      </c>
      <c r="B692">
        <f t="shared" ca="1" si="79"/>
        <v>0.95987963140836485</v>
      </c>
      <c r="D692">
        <f ca="1">SQRT(MAX('HE2'!B691,0))*($G$2+$H$2*A692)</f>
        <v>0.21467602770286145</v>
      </c>
      <c r="E692">
        <f t="shared" ca="1" si="75"/>
        <v>0.85081496580974969</v>
      </c>
      <c r="Q692">
        <f t="shared" ca="1" si="80"/>
        <v>0.58430099007584657</v>
      </c>
      <c r="R692">
        <f t="shared" ca="1" si="80"/>
        <v>-1.4703383439504747</v>
      </c>
    </row>
    <row r="693" spans="1:18" x14ac:dyDescent="0.45">
      <c r="A693">
        <f t="shared" ca="1" si="79"/>
        <v>-0.56848523242816495</v>
      </c>
      <c r="B693">
        <f t="shared" ca="1" si="79"/>
        <v>-0.43271617083644198</v>
      </c>
      <c r="D693">
        <f ca="1">SQRT(MAX('HE2'!B692,0))*($G$2+$H$2*A693)</f>
        <v>-0.43004902835390102</v>
      </c>
      <c r="E693">
        <f t="shared" ca="1" si="75"/>
        <v>-0.71441788844439713</v>
      </c>
      <c r="Q693">
        <f t="shared" ca="1" si="80"/>
        <v>-1.4482218996133374</v>
      </c>
      <c r="R693">
        <f t="shared" ca="1" si="80"/>
        <v>-0.70525683585553389</v>
      </c>
    </row>
    <row r="694" spans="1:18" x14ac:dyDescent="0.45">
      <c r="A694">
        <f t="shared" ca="1" si="79"/>
        <v>-0.34066082402078079</v>
      </c>
      <c r="B694">
        <f t="shared" ca="1" si="79"/>
        <v>0.6435201662827299</v>
      </c>
      <c r="D694">
        <f ca="1">SQRT(MAX('HE2'!B693,0))*($G$2+$H$2*A694)</f>
        <v>-0.22311459460582436</v>
      </c>
      <c r="E694">
        <f t="shared" ca="1" si="75"/>
        <v>0.11358344055301317</v>
      </c>
      <c r="Q694">
        <f t="shared" ca="1" si="80"/>
        <v>0.76919629875019724</v>
      </c>
      <c r="R694">
        <f t="shared" ca="1" si="80"/>
        <v>-0.91647638493010275</v>
      </c>
    </row>
    <row r="695" spans="1:18" x14ac:dyDescent="0.45">
      <c r="A695">
        <f t="shared" ca="1" si="79"/>
        <v>-0.3033184036915299</v>
      </c>
      <c r="B695">
        <f t="shared" ca="1" si="79"/>
        <v>1.3231288190119919</v>
      </c>
      <c r="D695">
        <f ca="1">SQRT(MAX('HE2'!B694,0))*($G$2+$H$2*A695)</f>
        <v>-0.20859863266308665</v>
      </c>
      <c r="E695">
        <f t="shared" ca="1" si="75"/>
        <v>0.55122256845397111</v>
      </c>
      <c r="Q695">
        <f t="shared" ca="1" si="80"/>
        <v>-0.40493833275039642</v>
      </c>
      <c r="R695">
        <f t="shared" ca="1" si="80"/>
        <v>-0.50216315591300087</v>
      </c>
    </row>
    <row r="696" spans="1:18" x14ac:dyDescent="0.45">
      <c r="A696">
        <f t="shared" ca="1" si="79"/>
        <v>-1.6695541628843413</v>
      </c>
      <c r="B696">
        <f t="shared" ca="1" si="79"/>
        <v>-1.1011493753449522</v>
      </c>
      <c r="D696">
        <f ca="1">SQRT(MAX('HE2'!B695,0))*($G$2+$H$2*A696)</f>
        <v>-1.3012845658340224</v>
      </c>
      <c r="E696">
        <f t="shared" ca="1" si="75"/>
        <v>-1.9963329555144442</v>
      </c>
      <c r="Q696">
        <f t="shared" ca="1" si="80"/>
        <v>1.2779862615646063</v>
      </c>
      <c r="R696">
        <f t="shared" ca="1" si="80"/>
        <v>0.10334600998835686</v>
      </c>
    </row>
    <row r="697" spans="1:18" x14ac:dyDescent="0.45">
      <c r="A697">
        <f t="shared" ca="1" si="79"/>
        <v>-0.21964333621059459</v>
      </c>
      <c r="B697">
        <f t="shared" ca="1" si="79"/>
        <v>2.3932023127949322</v>
      </c>
      <c r="D697">
        <f ca="1">SQRT(MAX('HE2'!B696,0))*($G$2+$H$2*A697)</f>
        <v>-8.7532607607066562E-2</v>
      </c>
      <c r="E697">
        <f t="shared" ca="1" si="75"/>
        <v>1.2602067187084833</v>
      </c>
      <c r="Q697">
        <f t="shared" ca="1" si="80"/>
        <v>0.45197775914158916</v>
      </c>
      <c r="R697">
        <f t="shared" ca="1" si="80"/>
        <v>0.56865996383205242</v>
      </c>
    </row>
    <row r="698" spans="1:18" x14ac:dyDescent="0.45">
      <c r="A698">
        <f t="shared" ca="1" si="79"/>
        <v>0.89494687164849329</v>
      </c>
      <c r="B698">
        <f t="shared" ca="1" si="79"/>
        <v>-0.34017893027614704</v>
      </c>
      <c r="D698">
        <f ca="1">SQRT(MAX('HE2'!B697,0))*($G$2+$H$2*A698)</f>
        <v>0.51920566487827047</v>
      </c>
      <c r="E698">
        <f t="shared" ca="1" si="75"/>
        <v>0.51185013915310651</v>
      </c>
      <c r="Q698">
        <f t="shared" ca="1" si="80"/>
        <v>-0.44095965847586749</v>
      </c>
      <c r="R698">
        <f t="shared" ca="1" si="80"/>
        <v>2.4356322161274426</v>
      </c>
    </row>
    <row r="699" spans="1:18" x14ac:dyDescent="0.45">
      <c r="A699">
        <f t="shared" ca="1" si="79"/>
        <v>2.0715366160078892</v>
      </c>
      <c r="B699">
        <f t="shared" ca="1" si="79"/>
        <v>-0.26482750726053433</v>
      </c>
      <c r="D699">
        <f ca="1">SQRT(MAX('HE2'!B698,0))*($G$2+$H$2*A699)</f>
        <v>1.3883912633298763</v>
      </c>
      <c r="E699">
        <f t="shared" ca="1" si="75"/>
        <v>1.4983327884499908</v>
      </c>
      <c r="Q699">
        <f t="shared" ca="1" si="80"/>
        <v>8.9410240839983834E-2</v>
      </c>
      <c r="R699">
        <f t="shared" ca="1" si="80"/>
        <v>0.38189059196770403</v>
      </c>
    </row>
    <row r="700" spans="1:18" x14ac:dyDescent="0.45">
      <c r="A700">
        <f t="shared" ca="1" si="79"/>
        <v>-0.3496808198860234</v>
      </c>
      <c r="B700">
        <f t="shared" ca="1" si="79"/>
        <v>0.14514468739482037</v>
      </c>
      <c r="D700">
        <f ca="1">SQRT(MAX('HE2'!B699,0))*($G$2+$H$2*A700)</f>
        <v>-0.30719173081883228</v>
      </c>
      <c r="E700">
        <f t="shared" ca="1" si="75"/>
        <v>-0.19265784347192655</v>
      </c>
      <c r="Q700">
        <f t="shared" ca="1" si="80"/>
        <v>-0.51520323067854379</v>
      </c>
      <c r="R700">
        <f t="shared" ca="1" si="80"/>
        <v>-3.0363287352861033E-3</v>
      </c>
    </row>
    <row r="701" spans="1:18" x14ac:dyDescent="0.45">
      <c r="A701">
        <f t="shared" ca="1" si="79"/>
        <v>-0.3418502929467292</v>
      </c>
      <c r="B701">
        <f t="shared" ca="1" si="79"/>
        <v>-1.2766759392827849</v>
      </c>
      <c r="D701">
        <f ca="1">SQRT(MAX('HE2'!B700,0))*($G$2+$H$2*A701)</f>
        <v>-0.29323629903332921</v>
      </c>
      <c r="E701">
        <f t="shared" ca="1" si="75"/>
        <v>-1.0394857979270542</v>
      </c>
      <c r="Q701">
        <f t="shared" ca="1" si="80"/>
        <v>-0.15525080788486112</v>
      </c>
      <c r="R701">
        <f t="shared" ca="1" si="80"/>
        <v>-1.3362269686517276</v>
      </c>
    </row>
    <row r="702" spans="1:18" x14ac:dyDescent="0.45">
      <c r="A702">
        <f t="shared" ref="A702:B721" ca="1" si="81">NORMINV(RAND(),0,1)</f>
        <v>0.16051516702134577</v>
      </c>
      <c r="B702">
        <f t="shared" ca="1" si="81"/>
        <v>0.91412665054477193</v>
      </c>
      <c r="D702">
        <f ca="1">SQRT(MAX('HE2'!B701,0))*($G$2+$H$2*A702)</f>
        <v>0.1116543780782662</v>
      </c>
      <c r="E702">
        <f t="shared" ca="1" si="75"/>
        <v>0.6768881239439396</v>
      </c>
      <c r="Q702">
        <f t="shared" ref="Q702:R721" ca="1" si="82">NORMINV(RAND(),0,1)</f>
        <v>1.30424919076668</v>
      </c>
      <c r="R702">
        <f t="shared" ca="1" si="82"/>
        <v>-1.1714997803864986</v>
      </c>
    </row>
    <row r="703" spans="1:18" x14ac:dyDescent="0.45">
      <c r="A703">
        <f t="shared" ca="1" si="81"/>
        <v>-2.0389245083667378</v>
      </c>
      <c r="B703">
        <f t="shared" ca="1" si="81"/>
        <v>0.60220429357931859</v>
      </c>
      <c r="D703">
        <f ca="1">SQRT(MAX('HE2'!B702,0))*($G$2+$H$2*A703)</f>
        <v>-1.6383915619539622</v>
      </c>
      <c r="E703">
        <f t="shared" ca="1" si="75"/>
        <v>-1.2698170305457992</v>
      </c>
      <c r="Q703">
        <f t="shared" ca="1" si="82"/>
        <v>0.65109125748536834</v>
      </c>
      <c r="R703">
        <f t="shared" ca="1" si="82"/>
        <v>-0.24442195750714707</v>
      </c>
    </row>
    <row r="704" spans="1:18" x14ac:dyDescent="0.45">
      <c r="A704">
        <f t="shared" ca="1" si="81"/>
        <v>-8.752037064703469E-2</v>
      </c>
      <c r="B704">
        <f t="shared" ca="1" si="81"/>
        <v>1.1940610635768556</v>
      </c>
      <c r="D704">
        <f ca="1">SQRT(MAX('HE2'!B703,0))*($G$2+$H$2*A704)</f>
        <v>-5.2289036014333774E-2</v>
      </c>
      <c r="E704">
        <f t="shared" ca="1" si="75"/>
        <v>0.6464203416284855</v>
      </c>
      <c r="Q704">
        <f t="shared" ca="1" si="82"/>
        <v>2.160047590215143</v>
      </c>
      <c r="R704">
        <f t="shared" ca="1" si="82"/>
        <v>5.6463260633694022E-2</v>
      </c>
    </row>
    <row r="705" spans="1:18" x14ac:dyDescent="0.45">
      <c r="A705">
        <f t="shared" ca="1" si="81"/>
        <v>-0.7508507377767607</v>
      </c>
      <c r="B705">
        <f t="shared" ca="1" si="81"/>
        <v>0.8880220082866187</v>
      </c>
      <c r="D705">
        <f ca="1">SQRT(MAX('HE2'!B704,0))*($G$2+$H$2*A705)</f>
        <v>-0.5287698464662457</v>
      </c>
      <c r="E705">
        <f t="shared" ca="1" si="75"/>
        <v>-6.7867385249437473E-2</v>
      </c>
      <c r="Q705">
        <f t="shared" ca="1" si="82"/>
        <v>1.0074363202917227</v>
      </c>
      <c r="R705">
        <f t="shared" ca="1" si="82"/>
        <v>0.636152298694447</v>
      </c>
    </row>
    <row r="706" spans="1:18" x14ac:dyDescent="0.45">
      <c r="A706">
        <f t="shared" ca="1" si="81"/>
        <v>-1.3242116679075169</v>
      </c>
      <c r="B706">
        <f t="shared" ca="1" si="81"/>
        <v>0.49574553711719083</v>
      </c>
      <c r="D706">
        <f ca="1">SQRT(MAX('HE2'!B705,0))*($G$2+$H$2*A706)</f>
        <v>-0.93818094661493057</v>
      </c>
      <c r="E706">
        <f t="shared" ref="E706:E769" ca="1" si="83">$I$2+$J$2*(A706*$K$2 + B706*POWER(1-$K$2*$K$2, 0.5))</f>
        <v>-0.76192201205569909</v>
      </c>
      <c r="Q706">
        <f t="shared" ca="1" si="82"/>
        <v>0.8004675063469594</v>
      </c>
      <c r="R706">
        <f t="shared" ca="1" si="82"/>
        <v>0.75625533826241675</v>
      </c>
    </row>
    <row r="707" spans="1:18" x14ac:dyDescent="0.45">
      <c r="A707">
        <f t="shared" ca="1" si="81"/>
        <v>3.0423660403443908E-2</v>
      </c>
      <c r="B707">
        <f t="shared" ca="1" si="81"/>
        <v>-0.69247249857088866</v>
      </c>
      <c r="D707">
        <f ca="1">SQRT(MAX('HE2'!B706,0))*($G$2+$H$2*A707)</f>
        <v>1.8260130800230163E-2</v>
      </c>
      <c r="E707">
        <f t="shared" ca="1" si="83"/>
        <v>-0.39114457081977799</v>
      </c>
      <c r="Q707">
        <f t="shared" ca="1" si="82"/>
        <v>-1.3885609283402363</v>
      </c>
      <c r="R707">
        <f t="shared" ca="1" si="82"/>
        <v>0.50096142087477735</v>
      </c>
    </row>
    <row r="708" spans="1:18" x14ac:dyDescent="0.45">
      <c r="A708">
        <f t="shared" ca="1" si="81"/>
        <v>-0.20534889633427492</v>
      </c>
      <c r="B708">
        <f t="shared" ca="1" si="81"/>
        <v>-0.69874197892313172</v>
      </c>
      <c r="D708">
        <f ca="1">SQRT(MAX('HE2'!B707,0))*($G$2+$H$2*A708)</f>
        <v>-0.11486118886292354</v>
      </c>
      <c r="E708">
        <f t="shared" ca="1" si="83"/>
        <v>-0.58352430442129888</v>
      </c>
      <c r="Q708">
        <f t="shared" ca="1" si="82"/>
        <v>-0.49388615284304271</v>
      </c>
      <c r="R708">
        <f t="shared" ca="1" si="82"/>
        <v>1.2050290260619159</v>
      </c>
    </row>
    <row r="709" spans="1:18" x14ac:dyDescent="0.45">
      <c r="A709">
        <f t="shared" ca="1" si="81"/>
        <v>1.4429631651975143</v>
      </c>
      <c r="B709">
        <f t="shared" ca="1" si="81"/>
        <v>-1.0629181576846107</v>
      </c>
      <c r="D709">
        <f ca="1">SQRT(MAX('HE2'!B708,0))*($G$2+$H$2*A709)</f>
        <v>0.70537356635574866</v>
      </c>
      <c r="E709">
        <f t="shared" ca="1" si="83"/>
        <v>0.51661963754724527</v>
      </c>
      <c r="Q709">
        <f t="shared" ca="1" si="82"/>
        <v>-0.55679794506137115</v>
      </c>
      <c r="R709">
        <f t="shared" ca="1" si="82"/>
        <v>-0.10347917942159565</v>
      </c>
    </row>
    <row r="710" spans="1:18" x14ac:dyDescent="0.45">
      <c r="A710">
        <f t="shared" ca="1" si="81"/>
        <v>0.90669221521076715</v>
      </c>
      <c r="B710">
        <f t="shared" ca="1" si="81"/>
        <v>0.56400645990800424</v>
      </c>
      <c r="D710">
        <f ca="1">SQRT(MAX('HE2'!B709,0))*($G$2+$H$2*A710)</f>
        <v>0.52885348562581369</v>
      </c>
      <c r="E710">
        <f t="shared" ca="1" si="83"/>
        <v>1.0637576481134161</v>
      </c>
      <c r="Q710">
        <f t="shared" ca="1" si="82"/>
        <v>0.69170022891976057</v>
      </c>
      <c r="R710">
        <f t="shared" ca="1" si="82"/>
        <v>0.30914020217268057</v>
      </c>
    </row>
    <row r="711" spans="1:18" x14ac:dyDescent="0.45">
      <c r="A711">
        <f t="shared" ca="1" si="81"/>
        <v>0.62608817977399456</v>
      </c>
      <c r="B711">
        <f t="shared" ca="1" si="81"/>
        <v>-0.17214586315864244</v>
      </c>
      <c r="D711">
        <f ca="1">SQRT(MAX('HE2'!B710,0))*($G$2+$H$2*A711)</f>
        <v>0.46424202998327108</v>
      </c>
      <c r="E711">
        <f t="shared" ca="1" si="83"/>
        <v>0.39758302592401029</v>
      </c>
      <c r="Q711">
        <f t="shared" ca="1" si="82"/>
        <v>-1.0428534630102182</v>
      </c>
      <c r="R711">
        <f t="shared" ca="1" si="82"/>
        <v>0.3024495867576551</v>
      </c>
    </row>
    <row r="712" spans="1:18" x14ac:dyDescent="0.45">
      <c r="A712">
        <f t="shared" ca="1" si="81"/>
        <v>-5.8332579180694358E-2</v>
      </c>
      <c r="B712">
        <f t="shared" ca="1" si="81"/>
        <v>0.65803645105355246</v>
      </c>
      <c r="D712">
        <f ca="1">SQRT(MAX('HE2'!B711,0))*($G$2+$H$2*A712)</f>
        <v>-4.7300860595161219E-2</v>
      </c>
      <c r="E712">
        <f t="shared" ca="1" si="83"/>
        <v>0.34815580728757589</v>
      </c>
      <c r="Q712">
        <f t="shared" ca="1" si="82"/>
        <v>-0.37551528314215288</v>
      </c>
      <c r="R712">
        <f t="shared" ca="1" si="82"/>
        <v>-1.5758943143543229</v>
      </c>
    </row>
    <row r="713" spans="1:18" x14ac:dyDescent="0.45">
      <c r="A713">
        <f t="shared" ca="1" si="81"/>
        <v>-0.9290809886726239</v>
      </c>
      <c r="B713">
        <f t="shared" ca="1" si="81"/>
        <v>0.57579338000460512</v>
      </c>
      <c r="D713">
        <f ca="1">SQRT(MAX('HE2'!B712,0))*($G$2+$H$2*A713)</f>
        <v>-0.80960314127554578</v>
      </c>
      <c r="E713">
        <f t="shared" ca="1" si="83"/>
        <v>-0.39778876293533616</v>
      </c>
      <c r="Q713">
        <f t="shared" ca="1" si="82"/>
        <v>1.2274936759113915</v>
      </c>
      <c r="R713">
        <f t="shared" ca="1" si="82"/>
        <v>1.4494669820656167</v>
      </c>
    </row>
    <row r="714" spans="1:18" x14ac:dyDescent="0.45">
      <c r="A714">
        <f t="shared" ca="1" si="81"/>
        <v>0.29665997098433156</v>
      </c>
      <c r="B714">
        <f t="shared" ca="1" si="81"/>
        <v>-0.84171249469808118</v>
      </c>
      <c r="D714">
        <f ca="1">SQRT(MAX('HE2'!B713,0))*($G$2+$H$2*A714)</f>
        <v>0.24290503696035057</v>
      </c>
      <c r="E714">
        <f t="shared" ca="1" si="83"/>
        <v>-0.26769952003138336</v>
      </c>
      <c r="Q714">
        <f t="shared" ca="1" si="82"/>
        <v>0.97090382620748095</v>
      </c>
      <c r="R714">
        <f t="shared" ca="1" si="82"/>
        <v>-0.29526225341639833</v>
      </c>
    </row>
    <row r="715" spans="1:18" x14ac:dyDescent="0.45">
      <c r="A715">
        <f t="shared" ca="1" si="81"/>
        <v>-0.47576278705453839</v>
      </c>
      <c r="B715">
        <f t="shared" ca="1" si="81"/>
        <v>-0.43322276075201049</v>
      </c>
      <c r="D715">
        <f ca="1">SQRT(MAX('HE2'!B714,0))*($G$2+$H$2*A715)</f>
        <v>-0.37507923486970918</v>
      </c>
      <c r="E715">
        <f t="shared" ca="1" si="83"/>
        <v>-0.64054388609483692</v>
      </c>
      <c r="Q715">
        <f t="shared" ca="1" si="82"/>
        <v>-0.25222182734159798</v>
      </c>
      <c r="R715">
        <f t="shared" ca="1" si="82"/>
        <v>5.6720674949215524E-2</v>
      </c>
    </row>
    <row r="716" spans="1:18" x14ac:dyDescent="0.45">
      <c r="A716">
        <f t="shared" ca="1" si="81"/>
        <v>-1.0465761447455881</v>
      </c>
      <c r="B716">
        <f t="shared" ca="1" si="81"/>
        <v>0.38999100879246118</v>
      </c>
      <c r="D716">
        <f ca="1">SQRT(MAX('HE2'!B715,0))*($G$2+$H$2*A716)</f>
        <v>-0.73101308530499121</v>
      </c>
      <c r="E716">
        <f t="shared" ca="1" si="83"/>
        <v>-0.60326631052099389</v>
      </c>
      <c r="Q716">
        <f t="shared" ca="1" si="82"/>
        <v>-3.6384618324837331E-2</v>
      </c>
      <c r="R716">
        <f t="shared" ca="1" si="82"/>
        <v>-3.3809190111660711E-2</v>
      </c>
    </row>
    <row r="717" spans="1:18" x14ac:dyDescent="0.45">
      <c r="A717">
        <f t="shared" ca="1" si="81"/>
        <v>1.9647537906867019</v>
      </c>
      <c r="B717">
        <f t="shared" ca="1" si="81"/>
        <v>4.5445037842649111E-2</v>
      </c>
      <c r="D717">
        <f ca="1">SQRT(MAX('HE2'!B716,0))*($G$2+$H$2*A717)</f>
        <v>1.2142983479942937</v>
      </c>
      <c r="E717">
        <f t="shared" ca="1" si="83"/>
        <v>1.5990700552549511</v>
      </c>
      <c r="Q717">
        <f t="shared" ca="1" si="82"/>
        <v>2.0476407351946886</v>
      </c>
      <c r="R717">
        <f t="shared" ca="1" si="82"/>
        <v>0.8097087886510429</v>
      </c>
    </row>
    <row r="718" spans="1:18" x14ac:dyDescent="0.45">
      <c r="A718">
        <f t="shared" ca="1" si="81"/>
        <v>-0.76827896066740986</v>
      </c>
      <c r="B718">
        <f t="shared" ca="1" si="81"/>
        <v>-0.52209452991338945</v>
      </c>
      <c r="D718">
        <f ca="1">SQRT(MAX('HE2'!B717,0))*($G$2+$H$2*A718)</f>
        <v>-0.64328874027214744</v>
      </c>
      <c r="E718">
        <f t="shared" ca="1" si="83"/>
        <v>-0.92787988648196151</v>
      </c>
      <c r="Q718">
        <f t="shared" ca="1" si="82"/>
        <v>0.52813493057988359</v>
      </c>
      <c r="R718">
        <f t="shared" ca="1" si="82"/>
        <v>-0.72951241777736886</v>
      </c>
    </row>
    <row r="719" spans="1:18" x14ac:dyDescent="0.45">
      <c r="A719">
        <f t="shared" ca="1" si="81"/>
        <v>-1.0258942965665296</v>
      </c>
      <c r="B719">
        <f t="shared" ca="1" si="81"/>
        <v>0.90358477453402863</v>
      </c>
      <c r="D719">
        <f ca="1">SQRT(MAX('HE2'!B718,0))*($G$2+$H$2*A719)</f>
        <v>-0.71390690871060813</v>
      </c>
      <c r="E719">
        <f t="shared" ca="1" si="83"/>
        <v>-0.27856457253280664</v>
      </c>
      <c r="Q719">
        <f t="shared" ca="1" si="82"/>
        <v>-0.3733701672073052</v>
      </c>
      <c r="R719">
        <f t="shared" ca="1" si="82"/>
        <v>1.042468837883687</v>
      </c>
    </row>
    <row r="720" spans="1:18" x14ac:dyDescent="0.45">
      <c r="A720">
        <f t="shared" ca="1" si="81"/>
        <v>0.16674644070593364</v>
      </c>
      <c r="B720">
        <f t="shared" ca="1" si="81"/>
        <v>-1.0910883429327034</v>
      </c>
      <c r="D720">
        <f ca="1">SQRT(MAX('HE2'!B719,0))*($G$2+$H$2*A720)</f>
        <v>0.11144442044445679</v>
      </c>
      <c r="E720">
        <f t="shared" ca="1" si="83"/>
        <v>-0.521255853194875</v>
      </c>
      <c r="Q720">
        <f t="shared" ca="1" si="82"/>
        <v>0.87367104178773181</v>
      </c>
      <c r="R720">
        <f t="shared" ca="1" si="82"/>
        <v>4.346888582333077E-2</v>
      </c>
    </row>
    <row r="721" spans="1:18" x14ac:dyDescent="0.45">
      <c r="A721">
        <f t="shared" ca="1" si="81"/>
        <v>0.92599003163894422</v>
      </c>
      <c r="B721">
        <f t="shared" ca="1" si="81"/>
        <v>1.4716509829205699</v>
      </c>
      <c r="D721">
        <f ca="1">SQRT(MAX('HE2'!B720,0))*($G$2+$H$2*A721)</f>
        <v>0.55829411668809081</v>
      </c>
      <c r="E721">
        <f t="shared" ca="1" si="83"/>
        <v>1.6237826150634973</v>
      </c>
      <c r="Q721">
        <f t="shared" ca="1" si="82"/>
        <v>0.33353770576050124</v>
      </c>
      <c r="R721">
        <f t="shared" ca="1" si="82"/>
        <v>-0.81101224959037577</v>
      </c>
    </row>
    <row r="722" spans="1:18" x14ac:dyDescent="0.45">
      <c r="A722">
        <f t="shared" ref="A722:B741" ca="1" si="84">NORMINV(RAND(),0,1)</f>
        <v>-0.48800961373699475</v>
      </c>
      <c r="B722">
        <f t="shared" ca="1" si="84"/>
        <v>1.5891674627678993</v>
      </c>
      <c r="D722">
        <f ca="1">SQRT(MAX('HE2'!B721,0))*($G$2+$H$2*A722)</f>
        <v>-0.40248420748394048</v>
      </c>
      <c r="E722">
        <f t="shared" ca="1" si="83"/>
        <v>0.5630927866711436</v>
      </c>
      <c r="Q722">
        <f t="shared" ref="Q722:R741" ca="1" si="85">NORMINV(RAND(),0,1)</f>
        <v>-1.1922854286643414</v>
      </c>
      <c r="R722">
        <f t="shared" ca="1" si="85"/>
        <v>-1.2489440516341141</v>
      </c>
    </row>
    <row r="723" spans="1:18" x14ac:dyDescent="0.45">
      <c r="A723">
        <f t="shared" ca="1" si="84"/>
        <v>-0.68099060285764113</v>
      </c>
      <c r="B723">
        <f t="shared" ca="1" si="84"/>
        <v>0.18038776404584933</v>
      </c>
      <c r="D723">
        <f ca="1">SQRT(MAX('HE2'!B722,0))*($G$2+$H$2*A723)</f>
        <v>-0.62272234071577381</v>
      </c>
      <c r="E723">
        <f t="shared" ca="1" si="83"/>
        <v>-0.43655982385860331</v>
      </c>
      <c r="Q723">
        <f t="shared" ca="1" si="85"/>
        <v>-0.5235488880880943</v>
      </c>
      <c r="R723">
        <f t="shared" ca="1" si="85"/>
        <v>0.36100259934358875</v>
      </c>
    </row>
    <row r="724" spans="1:18" x14ac:dyDescent="0.45">
      <c r="A724">
        <f t="shared" ca="1" si="84"/>
        <v>-0.65266465190222833</v>
      </c>
      <c r="B724">
        <f t="shared" ca="1" si="84"/>
        <v>1.9768804210664945</v>
      </c>
      <c r="D724">
        <f ca="1">SQRT(MAX('HE2'!B723,0))*($G$2+$H$2*A724)</f>
        <v>-0.55762759278146212</v>
      </c>
      <c r="E724">
        <f t="shared" ca="1" si="83"/>
        <v>0.66399653111811374</v>
      </c>
      <c r="Q724">
        <f t="shared" ca="1" si="85"/>
        <v>1.4731984842502599</v>
      </c>
      <c r="R724">
        <f t="shared" ca="1" si="85"/>
        <v>1.0224271303091281</v>
      </c>
    </row>
    <row r="725" spans="1:18" x14ac:dyDescent="0.45">
      <c r="A725">
        <f t="shared" ca="1" si="84"/>
        <v>0.25377551526418135</v>
      </c>
      <c r="B725">
        <f t="shared" ca="1" si="84"/>
        <v>-0.24874201199231386</v>
      </c>
      <c r="D725">
        <f ca="1">SQRT(MAX('HE2'!B724,0))*($G$2+$H$2*A725)</f>
        <v>0.24286156088233884</v>
      </c>
      <c r="E725">
        <f t="shared" ca="1" si="83"/>
        <v>5.3775205015956812E-2</v>
      </c>
      <c r="Q725">
        <f t="shared" ca="1" si="85"/>
        <v>-0.36229985849652779</v>
      </c>
      <c r="R725">
        <f t="shared" ca="1" si="85"/>
        <v>-0.76644082387013357</v>
      </c>
    </row>
    <row r="726" spans="1:18" x14ac:dyDescent="0.45">
      <c r="A726">
        <f t="shared" ca="1" si="84"/>
        <v>-0.24297721074959194</v>
      </c>
      <c r="B726">
        <f t="shared" ca="1" si="84"/>
        <v>-2.0740501035138085E-2</v>
      </c>
      <c r="D726">
        <f ca="1">SQRT(MAX('HE2'!B725,0))*($G$2+$H$2*A726)</f>
        <v>-0.23597914932447553</v>
      </c>
      <c r="E726">
        <f t="shared" ca="1" si="83"/>
        <v>-0.20682606922075641</v>
      </c>
      <c r="Q726">
        <f t="shared" ca="1" si="85"/>
        <v>5.7547606916133143E-2</v>
      </c>
      <c r="R726">
        <f t="shared" ca="1" si="85"/>
        <v>-1.7810240712093579</v>
      </c>
    </row>
    <row r="727" spans="1:18" x14ac:dyDescent="0.45">
      <c r="A727">
        <f t="shared" ca="1" si="84"/>
        <v>-0.8430939668495</v>
      </c>
      <c r="B727">
        <f t="shared" ca="1" si="84"/>
        <v>-0.94673985106577663</v>
      </c>
      <c r="D727">
        <f ca="1">SQRT(MAX('HE2'!B726,0))*($G$2+$H$2*A727)</f>
        <v>-0.79732337394973762</v>
      </c>
      <c r="E727">
        <f t="shared" ca="1" si="83"/>
        <v>-1.2425190841190659</v>
      </c>
      <c r="Q727">
        <f t="shared" ca="1" si="85"/>
        <v>0.90343983629711622</v>
      </c>
      <c r="R727">
        <f t="shared" ca="1" si="85"/>
        <v>-1.0567156093857721</v>
      </c>
    </row>
    <row r="728" spans="1:18" x14ac:dyDescent="0.45">
      <c r="A728">
        <f t="shared" ca="1" si="84"/>
        <v>-1.2075886317810913</v>
      </c>
      <c r="B728">
        <f t="shared" ca="1" si="84"/>
        <v>2.4647422722283985E-2</v>
      </c>
      <c r="D728">
        <f ca="1">SQRT(MAX('HE2'!B727,0))*($G$2+$H$2*A728)</f>
        <v>-0.89900975924408388</v>
      </c>
      <c r="E728">
        <f t="shared" ca="1" si="83"/>
        <v>-0.95128245179150273</v>
      </c>
      <c r="Q728">
        <f t="shared" ca="1" si="85"/>
        <v>-1.7290074401882993</v>
      </c>
      <c r="R728">
        <f t="shared" ca="1" si="85"/>
        <v>0.46658517040246139</v>
      </c>
    </row>
    <row r="729" spans="1:18" x14ac:dyDescent="0.45">
      <c r="A729">
        <f t="shared" ca="1" si="84"/>
        <v>-0.55666157746839118</v>
      </c>
      <c r="B729">
        <f t="shared" ca="1" si="84"/>
        <v>-1.0776770827731388</v>
      </c>
      <c r="D729">
        <f ca="1">SQRT(MAX('HE2'!B728,0))*($G$2+$H$2*A729)</f>
        <v>-0.33443959376482346</v>
      </c>
      <c r="E729">
        <f t="shared" ca="1" si="83"/>
        <v>-1.091935511638596</v>
      </c>
      <c r="Q729">
        <f t="shared" ca="1" si="85"/>
        <v>0.16714834368074044</v>
      </c>
      <c r="R729">
        <f t="shared" ca="1" si="85"/>
        <v>0.66333939314731882</v>
      </c>
    </row>
    <row r="730" spans="1:18" x14ac:dyDescent="0.45">
      <c r="A730">
        <f t="shared" ca="1" si="84"/>
        <v>0.70814945530579965</v>
      </c>
      <c r="B730">
        <f t="shared" ca="1" si="84"/>
        <v>-0.98323017886774999</v>
      </c>
      <c r="D730">
        <f ca="1">SQRT(MAX('HE2'!B729,0))*($G$2+$H$2*A730)</f>
        <v>0.30638810683608259</v>
      </c>
      <c r="E730">
        <f t="shared" ca="1" si="83"/>
        <v>-2.3418543076010101E-2</v>
      </c>
      <c r="Q730">
        <f t="shared" ca="1" si="85"/>
        <v>1.2501811735214414</v>
      </c>
      <c r="R730">
        <f t="shared" ca="1" si="85"/>
        <v>1.2505051379408887</v>
      </c>
    </row>
    <row r="731" spans="1:18" x14ac:dyDescent="0.45">
      <c r="A731">
        <f t="shared" ca="1" si="84"/>
        <v>-1.8024547403975244</v>
      </c>
      <c r="B731">
        <f t="shared" ca="1" si="84"/>
        <v>-0.19159650760713437</v>
      </c>
      <c r="D731">
        <f ca="1">SQRT(MAX('HE2'!B730,0))*($G$2+$H$2*A731)</f>
        <v>-0.82732338051157206</v>
      </c>
      <c r="E731">
        <f t="shared" ca="1" si="83"/>
        <v>-1.5569216968823001</v>
      </c>
      <c r="Q731">
        <f t="shared" ca="1" si="85"/>
        <v>2.0850777768572235</v>
      </c>
      <c r="R731">
        <f t="shared" ca="1" si="85"/>
        <v>-0.43029660619053484</v>
      </c>
    </row>
    <row r="732" spans="1:18" x14ac:dyDescent="0.45">
      <c r="A732">
        <f t="shared" ca="1" si="84"/>
        <v>-0.25722035946655331</v>
      </c>
      <c r="B732">
        <f t="shared" ca="1" si="84"/>
        <v>0.5940706626820379</v>
      </c>
      <c r="D732">
        <f ca="1">SQRT(MAX('HE2'!B731,0))*($G$2+$H$2*A732)</f>
        <v>-3.8451182762595237E-2</v>
      </c>
      <c r="E732">
        <f t="shared" ca="1" si="83"/>
        <v>0.15066611003597999</v>
      </c>
      <c r="Q732">
        <f t="shared" ca="1" si="85"/>
        <v>4.6935863316097941E-2</v>
      </c>
      <c r="R732">
        <f t="shared" ca="1" si="85"/>
        <v>-1.6379231857020886</v>
      </c>
    </row>
    <row r="733" spans="1:18" x14ac:dyDescent="0.45">
      <c r="A733">
        <f t="shared" ca="1" si="84"/>
        <v>-0.66258026022626593</v>
      </c>
      <c r="B733">
        <f t="shared" ca="1" si="84"/>
        <v>0.80064020744011566</v>
      </c>
      <c r="D733">
        <f ca="1">SQRT(MAX('HE2'!B732,0))*($G$2+$H$2*A733)</f>
        <v>-0.16083694976472893</v>
      </c>
      <c r="E733">
        <f t="shared" ca="1" si="83"/>
        <v>-4.9680083716943435E-2</v>
      </c>
      <c r="Q733">
        <f t="shared" ca="1" si="85"/>
        <v>0.55375119558334052</v>
      </c>
      <c r="R733">
        <f t="shared" ca="1" si="85"/>
        <v>-1.2827493072063822</v>
      </c>
    </row>
    <row r="734" spans="1:18" x14ac:dyDescent="0.45">
      <c r="A734">
        <f t="shared" ca="1" si="84"/>
        <v>-0.38535543499464425</v>
      </c>
      <c r="B734">
        <f t="shared" ca="1" si="84"/>
        <v>0.1861390960355154</v>
      </c>
      <c r="D734">
        <f ca="1">SQRT(MAX('HE2'!B733,0))*($G$2+$H$2*A734)</f>
        <v>-0.11194956274602015</v>
      </c>
      <c r="E734">
        <f t="shared" ca="1" si="83"/>
        <v>-0.1966008903744062</v>
      </c>
      <c r="Q734">
        <f t="shared" ca="1" si="85"/>
        <v>0.13768507827027593</v>
      </c>
      <c r="R734">
        <f t="shared" ca="1" si="85"/>
        <v>0.50391941581149013</v>
      </c>
    </row>
    <row r="735" spans="1:18" x14ac:dyDescent="0.45">
      <c r="A735">
        <f t="shared" ca="1" si="84"/>
        <v>-3.8728862429863321E-2</v>
      </c>
      <c r="B735">
        <f t="shared" ca="1" si="84"/>
        <v>-1.5840333410175607</v>
      </c>
      <c r="D735">
        <f ca="1">SQRT(MAX('HE2'!B734,0))*($G$2+$H$2*A735)</f>
        <v>-1.1989802949378811E-2</v>
      </c>
      <c r="E735">
        <f t="shared" ca="1" si="83"/>
        <v>-0.98140309455442687</v>
      </c>
      <c r="Q735">
        <f t="shared" ca="1" si="85"/>
        <v>0.62034534276652442</v>
      </c>
      <c r="R735">
        <f t="shared" ca="1" si="85"/>
        <v>1.2267461028065396</v>
      </c>
    </row>
    <row r="736" spans="1:18" x14ac:dyDescent="0.45">
      <c r="A736">
        <f t="shared" ca="1" si="84"/>
        <v>-5.7492998403121179E-2</v>
      </c>
      <c r="B736">
        <f t="shared" ca="1" si="84"/>
        <v>0.64089429063083414</v>
      </c>
      <c r="D736">
        <f ca="1">SQRT(MAX('HE2'!B735,0))*($G$2+$H$2*A736)</f>
        <v>-1.0451261189059756E-2</v>
      </c>
      <c r="E736">
        <f t="shared" ca="1" si="83"/>
        <v>0.33854217565600347</v>
      </c>
      <c r="Q736">
        <f t="shared" ca="1" si="85"/>
        <v>-0.69401262200747971</v>
      </c>
      <c r="R736">
        <f t="shared" ca="1" si="85"/>
        <v>0.57866219476365333</v>
      </c>
    </row>
    <row r="737" spans="1:18" x14ac:dyDescent="0.45">
      <c r="A737">
        <f t="shared" ca="1" si="84"/>
        <v>-0.93635087194457245</v>
      </c>
      <c r="B737">
        <f t="shared" ca="1" si="84"/>
        <v>-9.4915550477616042E-3</v>
      </c>
      <c r="D737">
        <f ca="1">SQRT(MAX('HE2'!B736,0))*($G$2+$H$2*A737)</f>
        <v>-0.26667860161353446</v>
      </c>
      <c r="E737">
        <f t="shared" ca="1" si="83"/>
        <v>-0.75477563058431496</v>
      </c>
      <c r="Q737">
        <f t="shared" ca="1" si="85"/>
        <v>-0.85749055394253348</v>
      </c>
      <c r="R737">
        <f t="shared" ca="1" si="85"/>
        <v>-1.0304694451070937</v>
      </c>
    </row>
    <row r="738" spans="1:18" x14ac:dyDescent="0.45">
      <c r="A738">
        <f t="shared" ca="1" si="84"/>
        <v>0.58633639947135541</v>
      </c>
      <c r="B738">
        <f t="shared" ca="1" si="84"/>
        <v>-0.1122209778554957</v>
      </c>
      <c r="D738">
        <f ca="1">SQRT(MAX('HE2'!B737,0))*($G$2+$H$2*A738)</f>
        <v>0.12475451673925478</v>
      </c>
      <c r="E738">
        <f t="shared" ca="1" si="83"/>
        <v>0.40173653286378697</v>
      </c>
      <c r="Q738">
        <f t="shared" ca="1" si="85"/>
        <v>-0.65104753812735816</v>
      </c>
      <c r="R738">
        <f t="shared" ca="1" si="85"/>
        <v>0.15719330457854189</v>
      </c>
    </row>
    <row r="739" spans="1:18" x14ac:dyDescent="0.45">
      <c r="A739">
        <f t="shared" ca="1" si="84"/>
        <v>-0.48587259543809241</v>
      </c>
      <c r="B739">
        <f t="shared" ca="1" si="84"/>
        <v>-0.52815034449104881</v>
      </c>
      <c r="D739">
        <f ca="1">SQRT(MAX('HE2'!B738,0))*($G$2+$H$2*A739)</f>
        <v>-0.15385878258960692</v>
      </c>
      <c r="E739">
        <f t="shared" ca="1" si="83"/>
        <v>-0.70558828304510313</v>
      </c>
      <c r="Q739">
        <f t="shared" ca="1" si="85"/>
        <v>-1.3144599338566589</v>
      </c>
      <c r="R739">
        <f t="shared" ca="1" si="85"/>
        <v>-1.9881653850267078</v>
      </c>
    </row>
    <row r="740" spans="1:18" x14ac:dyDescent="0.45">
      <c r="A740">
        <f t="shared" ca="1" si="84"/>
        <v>-0.60662718814708061</v>
      </c>
      <c r="B740">
        <f t="shared" ca="1" si="84"/>
        <v>-0.52172231390472734</v>
      </c>
      <c r="D740">
        <f ca="1">SQRT(MAX('HE2'!B739,0))*($G$2+$H$2*A740)</f>
        <v>-0.15044916949364726</v>
      </c>
      <c r="E740">
        <f t="shared" ca="1" si="83"/>
        <v>-0.79833513886050089</v>
      </c>
      <c r="Q740">
        <f t="shared" ca="1" si="85"/>
        <v>0.26566693819902365</v>
      </c>
      <c r="R740">
        <f t="shared" ca="1" si="85"/>
        <v>-1.245311262960886</v>
      </c>
    </row>
    <row r="741" spans="1:18" x14ac:dyDescent="0.45">
      <c r="A741">
        <f t="shared" ca="1" si="84"/>
        <v>-1.1654777941302075</v>
      </c>
      <c r="B741">
        <f t="shared" ca="1" si="84"/>
        <v>0.34008921070140441</v>
      </c>
      <c r="D741">
        <f ca="1">SQRT(MAX('HE2'!B740,0))*($G$2+$H$2*A741)</f>
        <v>-0.20569303902149957</v>
      </c>
      <c r="E741">
        <f t="shared" ca="1" si="83"/>
        <v>-0.72832870888332335</v>
      </c>
      <c r="Q741">
        <f t="shared" ca="1" si="85"/>
        <v>0.21930869705643383</v>
      </c>
      <c r="R741">
        <f t="shared" ca="1" si="85"/>
        <v>0.19952695566134718</v>
      </c>
    </row>
    <row r="742" spans="1:18" x14ac:dyDescent="0.45">
      <c r="A742">
        <f t="shared" ref="A742:B761" ca="1" si="86">NORMINV(RAND(),0,1)</f>
        <v>-1.3769794312790187</v>
      </c>
      <c r="B742">
        <f t="shared" ca="1" si="86"/>
        <v>-0.17796972828926547</v>
      </c>
      <c r="D742">
        <f ca="1">SQRT(MAX('HE2'!B741,0))*($G$2+$H$2*A742)</f>
        <v>-0.20530708799145952</v>
      </c>
      <c r="E742">
        <f t="shared" ca="1" si="83"/>
        <v>-1.2083653819967743</v>
      </c>
      <c r="Q742">
        <f t="shared" ref="Q742:R761" ca="1" si="87">NORMINV(RAND(),0,1)</f>
        <v>0.78375368184908345</v>
      </c>
      <c r="R742">
        <f t="shared" ca="1" si="87"/>
        <v>0.94813265760792786</v>
      </c>
    </row>
    <row r="743" spans="1:18" x14ac:dyDescent="0.45">
      <c r="A743">
        <f t="shared" ca="1" si="86"/>
        <v>-0.3798854479527245</v>
      </c>
      <c r="B743">
        <f t="shared" ca="1" si="86"/>
        <v>0.58646296888717575</v>
      </c>
      <c r="D743">
        <f ca="1">SQRT(MAX('HE2'!B742,0))*($G$2+$H$2*A743)</f>
        <v>0</v>
      </c>
      <c r="E743">
        <f t="shared" ca="1" si="83"/>
        <v>4.7969422970125741E-2</v>
      </c>
      <c r="Q743">
        <f t="shared" ca="1" si="87"/>
        <v>0.50333252841916332</v>
      </c>
      <c r="R743">
        <f t="shared" ca="1" si="87"/>
        <v>-1.2100800936621168</v>
      </c>
    </row>
    <row r="744" spans="1:18" x14ac:dyDescent="0.45">
      <c r="A744">
        <f t="shared" ca="1" si="86"/>
        <v>0.49436023922964623</v>
      </c>
      <c r="B744">
        <f t="shared" ca="1" si="86"/>
        <v>-1.451446985949608</v>
      </c>
      <c r="D744">
        <f ca="1">SQRT(MAX('HE2'!B743,0))*($G$2+$H$2*A744)</f>
        <v>8.3123169072516934E-2</v>
      </c>
      <c r="E744">
        <f t="shared" ca="1" si="83"/>
        <v>-0.47538000018604759</v>
      </c>
      <c r="Q744">
        <f t="shared" ca="1" si="87"/>
        <v>1.8764997310544747</v>
      </c>
      <c r="R744">
        <f t="shared" ca="1" si="87"/>
        <v>-0.53693795808070421</v>
      </c>
    </row>
    <row r="745" spans="1:18" x14ac:dyDescent="0.45">
      <c r="A745">
        <f t="shared" ca="1" si="86"/>
        <v>-0.17093352126616207</v>
      </c>
      <c r="B745">
        <f t="shared" ca="1" si="86"/>
        <v>-0.90051345473910327</v>
      </c>
      <c r="D745">
        <f ca="1">SQRT(MAX('HE2'!B744,0))*($G$2+$H$2*A745)</f>
        <v>-3.1516296190723853E-2</v>
      </c>
      <c r="E745">
        <f t="shared" ca="1" si="83"/>
        <v>-0.67705488985639151</v>
      </c>
      <c r="Q745">
        <f t="shared" ca="1" si="87"/>
        <v>-0.23643354172666459</v>
      </c>
      <c r="R745">
        <f t="shared" ca="1" si="87"/>
        <v>0.38257970592834095</v>
      </c>
    </row>
    <row r="746" spans="1:18" x14ac:dyDescent="0.45">
      <c r="A746">
        <f t="shared" ca="1" si="86"/>
        <v>1.2472049011895421</v>
      </c>
      <c r="B746">
        <f t="shared" ca="1" si="86"/>
        <v>1.2680980683907992</v>
      </c>
      <c r="D746">
        <f ca="1">SQRT(MAX('HE2'!B745,0))*($G$2+$H$2*A746)</f>
        <v>0.20161967285480781</v>
      </c>
      <c r="E746">
        <f t="shared" ca="1" si="83"/>
        <v>1.758622761986113</v>
      </c>
      <c r="Q746">
        <f t="shared" ca="1" si="87"/>
        <v>0.69596556531191422</v>
      </c>
      <c r="R746">
        <f t="shared" ca="1" si="87"/>
        <v>-0.86518325482837966</v>
      </c>
    </row>
    <row r="747" spans="1:18" x14ac:dyDescent="0.45">
      <c r="A747">
        <f t="shared" ca="1" si="86"/>
        <v>-0.1541773949692484</v>
      </c>
      <c r="B747">
        <f t="shared" ca="1" si="86"/>
        <v>0.22693210595330315</v>
      </c>
      <c r="D747">
        <f ca="1">SQRT(MAX('HE2'!B746,0))*($G$2+$H$2*A747)</f>
        <v>-5.7927755379883636E-2</v>
      </c>
      <c r="E747">
        <f t="shared" ca="1" si="83"/>
        <v>1.2817347596583123E-2</v>
      </c>
      <c r="Q747">
        <f t="shared" ca="1" si="87"/>
        <v>1.5292419485354087</v>
      </c>
      <c r="R747">
        <f t="shared" ca="1" si="87"/>
        <v>-0.9764275976191491</v>
      </c>
    </row>
    <row r="748" spans="1:18" x14ac:dyDescent="0.45">
      <c r="A748">
        <f t="shared" ca="1" si="86"/>
        <v>0.27585659310099925</v>
      </c>
      <c r="B748">
        <f t="shared" ca="1" si="86"/>
        <v>0.50254645390630848</v>
      </c>
      <c r="D748">
        <f ca="1">SQRT(MAX('HE2'!B747,0))*($G$2+$H$2*A748)</f>
        <v>0.11375732106216473</v>
      </c>
      <c r="E748">
        <f t="shared" ca="1" si="83"/>
        <v>0.52221314682458442</v>
      </c>
      <c r="Q748">
        <f t="shared" ca="1" si="87"/>
        <v>0.58984582157255472</v>
      </c>
      <c r="R748">
        <f t="shared" ca="1" si="87"/>
        <v>-0.38373589784556877</v>
      </c>
    </row>
    <row r="749" spans="1:18" x14ac:dyDescent="0.45">
      <c r="A749">
        <f t="shared" ca="1" si="86"/>
        <v>-0.16558194120092837</v>
      </c>
      <c r="B749">
        <f t="shared" ca="1" si="86"/>
        <v>-1.544445117317356E-2</v>
      </c>
      <c r="D749">
        <f ca="1">SQRT(MAX('HE2'!B748,0))*($G$2+$H$2*A749)</f>
        <v>-8.4678242810470747E-2</v>
      </c>
      <c r="E749">
        <f t="shared" ca="1" si="83"/>
        <v>-0.14173222366464683</v>
      </c>
      <c r="Q749">
        <f t="shared" ca="1" si="87"/>
        <v>0.65720861605298275</v>
      </c>
      <c r="R749">
        <f t="shared" ca="1" si="87"/>
        <v>-1.8327982404370811</v>
      </c>
    </row>
    <row r="750" spans="1:18" x14ac:dyDescent="0.45">
      <c r="A750">
        <f t="shared" ca="1" si="86"/>
        <v>-0.80759591964158361</v>
      </c>
      <c r="B750">
        <f t="shared" ca="1" si="86"/>
        <v>1.6622254131426617</v>
      </c>
      <c r="D750">
        <f ca="1">SQRT(MAX('HE2'!B749,0))*($G$2+$H$2*A750)</f>
        <v>-0.41559478073412792</v>
      </c>
      <c r="E750">
        <f t="shared" ca="1" si="83"/>
        <v>0.35125851217232984</v>
      </c>
      <c r="Q750">
        <f t="shared" ca="1" si="87"/>
        <v>-0.22146182502137213</v>
      </c>
      <c r="R750">
        <f t="shared" ca="1" si="87"/>
        <v>1.1350313370505438</v>
      </c>
    </row>
    <row r="751" spans="1:18" x14ac:dyDescent="0.45">
      <c r="A751">
        <f t="shared" ca="1" si="86"/>
        <v>-1.7145712109529572</v>
      </c>
      <c r="B751">
        <f t="shared" ca="1" si="86"/>
        <v>0.44429079808623279</v>
      </c>
      <c r="D751">
        <f ca="1">SQRT(MAX('HE2'!B750,0))*($G$2+$H$2*A751)</f>
        <v>-1.0056517082310392</v>
      </c>
      <c r="E751">
        <f t="shared" ca="1" si="83"/>
        <v>-1.1050824899106262</v>
      </c>
      <c r="Q751">
        <f t="shared" ca="1" si="87"/>
        <v>-1.5771270527595322E-2</v>
      </c>
      <c r="R751">
        <f t="shared" ca="1" si="87"/>
        <v>0.71746770083479117</v>
      </c>
    </row>
    <row r="752" spans="1:18" x14ac:dyDescent="0.45">
      <c r="A752">
        <f t="shared" ca="1" si="86"/>
        <v>2.8814380982195228E-2</v>
      </c>
      <c r="B752">
        <f t="shared" ca="1" si="86"/>
        <v>-0.83045415205898132</v>
      </c>
      <c r="D752">
        <f ca="1">SQRT(MAX('HE2'!B751,0))*($G$2+$H$2*A752)</f>
        <v>1.198338498730243E-2</v>
      </c>
      <c r="E752">
        <f t="shared" ca="1" si="83"/>
        <v>-0.47522098644963251</v>
      </c>
      <c r="Q752">
        <f t="shared" ca="1" si="87"/>
        <v>-1.0707874088515648</v>
      </c>
      <c r="R752">
        <f t="shared" ca="1" si="87"/>
        <v>0.10527723481415271</v>
      </c>
    </row>
    <row r="753" spans="1:18" x14ac:dyDescent="0.45">
      <c r="A753">
        <f t="shared" ca="1" si="86"/>
        <v>0.94191245613371333</v>
      </c>
      <c r="B753">
        <f t="shared" ca="1" si="86"/>
        <v>1.0601689866317552</v>
      </c>
      <c r="D753">
        <f ca="1">SQRT(MAX('HE2'!B752,0))*($G$2+$H$2*A753)</f>
        <v>0.35302997658482776</v>
      </c>
      <c r="E753">
        <f t="shared" ca="1" si="83"/>
        <v>1.3896313568860237</v>
      </c>
      <c r="Q753">
        <f t="shared" ca="1" si="87"/>
        <v>-0.59434654991998948</v>
      </c>
      <c r="R753">
        <f t="shared" ca="1" si="87"/>
        <v>-0.20515156033886336</v>
      </c>
    </row>
    <row r="754" spans="1:18" x14ac:dyDescent="0.45">
      <c r="A754">
        <f t="shared" ca="1" si="86"/>
        <v>-0.65690668778109496</v>
      </c>
      <c r="B754">
        <f t="shared" ca="1" si="86"/>
        <v>-0.30312034683673461</v>
      </c>
      <c r="D754">
        <f ca="1">SQRT(MAX('HE2'!B753,0))*($G$2+$H$2*A754)</f>
        <v>-0.37402465938363544</v>
      </c>
      <c r="E754">
        <f t="shared" ca="1" si="83"/>
        <v>-0.70739755832691675</v>
      </c>
      <c r="Q754">
        <f t="shared" ca="1" si="87"/>
        <v>-0.12114730748906186</v>
      </c>
      <c r="R754">
        <f t="shared" ca="1" si="87"/>
        <v>1.264340722460336</v>
      </c>
    </row>
    <row r="755" spans="1:18" x14ac:dyDescent="0.45">
      <c r="A755">
        <f t="shared" ca="1" si="86"/>
        <v>1.4976908549904058</v>
      </c>
      <c r="B755">
        <f t="shared" ca="1" si="86"/>
        <v>-0.14317249284919029</v>
      </c>
      <c r="D755">
        <f ca="1">SQRT(MAX('HE2'!B754,0))*($G$2+$H$2*A755)</f>
        <v>0.71378382048209976</v>
      </c>
      <c r="E755">
        <f t="shared" ca="1" si="83"/>
        <v>1.1122491882828105</v>
      </c>
      <c r="Q755">
        <f t="shared" ca="1" si="87"/>
        <v>0.1523662941400355</v>
      </c>
      <c r="R755">
        <f t="shared" ca="1" si="87"/>
        <v>-4.0574278233134344E-2</v>
      </c>
    </row>
    <row r="756" spans="1:18" x14ac:dyDescent="0.45">
      <c r="A756">
        <f t="shared" ca="1" si="86"/>
        <v>2.3169197390956895</v>
      </c>
      <c r="B756">
        <f t="shared" ca="1" si="86"/>
        <v>2.0208721659412601</v>
      </c>
      <c r="D756">
        <f ca="1">SQRT(MAX('HE2'!B755,0))*($G$2+$H$2*A756)</f>
        <v>1.4869657270861047</v>
      </c>
      <c r="E756">
        <f t="shared" ca="1" si="83"/>
        <v>3.0660590908413075</v>
      </c>
      <c r="Q756">
        <f t="shared" ca="1" si="87"/>
        <v>0.86155628747334378</v>
      </c>
      <c r="R756">
        <f t="shared" ca="1" si="87"/>
        <v>-1.2704092597099677</v>
      </c>
    </row>
    <row r="757" spans="1:18" x14ac:dyDescent="0.45">
      <c r="A757">
        <f t="shared" ca="1" si="86"/>
        <v>-0.32729730894109216</v>
      </c>
      <c r="B757">
        <f t="shared" ca="1" si="86"/>
        <v>-0.207993909350008</v>
      </c>
      <c r="D757">
        <f ca="1">SQRT(MAX('HE2'!B756,0))*($G$2+$H$2*A757)</f>
        <v>-0.33124116919555252</v>
      </c>
      <c r="E757">
        <f t="shared" ca="1" si="83"/>
        <v>-0.38663419276287847</v>
      </c>
      <c r="Q757">
        <f t="shared" ca="1" si="87"/>
        <v>-1.5209037720781333</v>
      </c>
      <c r="R757">
        <f t="shared" ca="1" si="87"/>
        <v>1.7116111790436197</v>
      </c>
    </row>
    <row r="758" spans="1:18" x14ac:dyDescent="0.45">
      <c r="A758">
        <f t="shared" ca="1" si="86"/>
        <v>0.39109203775234574</v>
      </c>
      <c r="B758">
        <f t="shared" ca="1" si="86"/>
        <v>-1.5558177760528915</v>
      </c>
      <c r="D758">
        <f ca="1">SQRT(MAX('HE2'!B757,0))*($G$2+$H$2*A758)</f>
        <v>0.37443666093958272</v>
      </c>
      <c r="E758">
        <f t="shared" ca="1" si="83"/>
        <v>-0.62061703542985802</v>
      </c>
      <c r="Q758">
        <f t="shared" ca="1" si="87"/>
        <v>0.27579581429996536</v>
      </c>
      <c r="R758">
        <f t="shared" ca="1" si="87"/>
        <v>-0.87244899614734062</v>
      </c>
    </row>
    <row r="759" spans="1:18" x14ac:dyDescent="0.45">
      <c r="A759">
        <f t="shared" ca="1" si="86"/>
        <v>1.5304336370046321</v>
      </c>
      <c r="B759">
        <f t="shared" ca="1" si="86"/>
        <v>-0.46906118977847849</v>
      </c>
      <c r="D759">
        <f ca="1">SQRT(MAX('HE2'!B758,0))*($G$2+$H$2*A759)</f>
        <v>1.3256763098799553</v>
      </c>
      <c r="E759">
        <f t="shared" ca="1" si="83"/>
        <v>0.94291019573661883</v>
      </c>
      <c r="Q759">
        <f t="shared" ca="1" si="87"/>
        <v>0.68011602798357917</v>
      </c>
      <c r="R759">
        <f t="shared" ca="1" si="87"/>
        <v>0.75426806889310571</v>
      </c>
    </row>
    <row r="760" spans="1:18" x14ac:dyDescent="0.45">
      <c r="A760">
        <f t="shared" ca="1" si="86"/>
        <v>1.3515077519380914</v>
      </c>
      <c r="B760">
        <f t="shared" ca="1" si="86"/>
        <v>-0.84741330371758627</v>
      </c>
      <c r="D760">
        <f ca="1">SQRT(MAX('HE2'!B759,0))*($G$2+$H$2*A760)</f>
        <v>1.3586572725756754</v>
      </c>
      <c r="E760">
        <f t="shared" ca="1" si="83"/>
        <v>0.57275821931992144</v>
      </c>
      <c r="Q760">
        <f t="shared" ca="1" si="87"/>
        <v>-0.91236167578201999</v>
      </c>
      <c r="R760">
        <f t="shared" ca="1" si="87"/>
        <v>1.778738387949738</v>
      </c>
    </row>
    <row r="761" spans="1:18" x14ac:dyDescent="0.45">
      <c r="A761">
        <f t="shared" ca="1" si="86"/>
        <v>0.34483910704925458</v>
      </c>
      <c r="B761">
        <f t="shared" ca="1" si="86"/>
        <v>0.698295628587152</v>
      </c>
      <c r="D761">
        <f ca="1">SQRT(MAX('HE2'!B760,0))*($G$2+$H$2*A761)</f>
        <v>0.37671211590495163</v>
      </c>
      <c r="E761">
        <f t="shared" ca="1" si="83"/>
        <v>0.69484866279169477</v>
      </c>
      <c r="Q761">
        <f t="shared" ca="1" si="87"/>
        <v>-0.95404669416663002</v>
      </c>
      <c r="R761">
        <f t="shared" ca="1" si="87"/>
        <v>0.37458054504611876</v>
      </c>
    </row>
    <row r="762" spans="1:18" x14ac:dyDescent="0.45">
      <c r="A762">
        <f t="shared" ref="A762:B781" ca="1" si="88">NORMINV(RAND(),0,1)</f>
        <v>-0.50481250707855918</v>
      </c>
      <c r="B762">
        <f t="shared" ca="1" si="88"/>
        <v>0.24561688696451964</v>
      </c>
      <c r="D762">
        <f ca="1">SQRT(MAX('HE2'!B761,0))*($G$2+$H$2*A762)</f>
        <v>-0.60314471372352718</v>
      </c>
      <c r="E762">
        <f t="shared" ca="1" si="83"/>
        <v>-0.25647987348413559</v>
      </c>
      <c r="Q762">
        <f t="shared" ref="Q762:R781" ca="1" si="89">NORMINV(RAND(),0,1)</f>
        <v>0.12664562593658232</v>
      </c>
      <c r="R762">
        <f t="shared" ca="1" si="89"/>
        <v>-0.97543776515470493</v>
      </c>
    </row>
    <row r="763" spans="1:18" x14ac:dyDescent="0.45">
      <c r="A763">
        <f t="shared" ca="1" si="88"/>
        <v>0.97494924670973793</v>
      </c>
      <c r="B763">
        <f t="shared" ca="1" si="88"/>
        <v>-0.38241314158085532</v>
      </c>
      <c r="D763">
        <f ca="1">SQRT(MAX('HE2'!B762,0))*($G$2+$H$2*A763)</f>
        <v>1.1274510583394575</v>
      </c>
      <c r="E763">
        <f t="shared" ca="1" si="83"/>
        <v>0.5505115124192772</v>
      </c>
      <c r="Q763">
        <f t="shared" ca="1" si="89"/>
        <v>-0.99438530637198852</v>
      </c>
      <c r="R763">
        <f t="shared" ca="1" si="89"/>
        <v>6.708836075551082E-2</v>
      </c>
    </row>
    <row r="764" spans="1:18" x14ac:dyDescent="0.45">
      <c r="A764">
        <f t="shared" ca="1" si="88"/>
        <v>8.0483906851614925E-2</v>
      </c>
      <c r="B764">
        <f t="shared" ca="1" si="88"/>
        <v>-0.53959617956712003</v>
      </c>
      <c r="D764">
        <f ca="1">SQRT(MAX('HE2'!B763,0))*($G$2+$H$2*A764)</f>
        <v>9.9612173148371605E-2</v>
      </c>
      <c r="E764">
        <f t="shared" ca="1" si="83"/>
        <v>-0.25937058225898002</v>
      </c>
      <c r="Q764">
        <f t="shared" ca="1" si="89"/>
        <v>-0.84872794747455327</v>
      </c>
      <c r="R764">
        <f t="shared" ca="1" si="89"/>
        <v>1.5706904833755386</v>
      </c>
    </row>
    <row r="765" spans="1:18" x14ac:dyDescent="0.45">
      <c r="A765">
        <f t="shared" ca="1" si="88"/>
        <v>0.4862220594076993</v>
      </c>
      <c r="B765">
        <f t="shared" ca="1" si="88"/>
        <v>0.16117085402573048</v>
      </c>
      <c r="D765">
        <f ca="1">SQRT(MAX('HE2'!B764,0))*($G$2+$H$2*A765)</f>
        <v>0.58248183101029771</v>
      </c>
      <c r="E765">
        <f t="shared" ca="1" si="83"/>
        <v>0.48568015994159774</v>
      </c>
      <c r="Q765">
        <f t="shared" ca="1" si="89"/>
        <v>0.18426656146833875</v>
      </c>
      <c r="R765">
        <f t="shared" ca="1" si="89"/>
        <v>-0.63081621820549538</v>
      </c>
    </row>
    <row r="766" spans="1:18" x14ac:dyDescent="0.45">
      <c r="A766">
        <f t="shared" ca="1" si="88"/>
        <v>1.2197759648429156</v>
      </c>
      <c r="B766">
        <f t="shared" ca="1" si="88"/>
        <v>-1.7680230219227091</v>
      </c>
      <c r="D766">
        <f ca="1">SQRT(MAX('HE2'!B765,0))*($G$2+$H$2*A766)</f>
        <v>1.5483271348733403</v>
      </c>
      <c r="E766">
        <f t="shared" ca="1" si="83"/>
        <v>-8.4993041279292747E-2</v>
      </c>
      <c r="Q766">
        <f t="shared" ca="1" si="89"/>
        <v>-0.26615329817542843</v>
      </c>
      <c r="R766">
        <f t="shared" ca="1" si="89"/>
        <v>4.2116246714535972</v>
      </c>
    </row>
    <row r="767" spans="1:18" x14ac:dyDescent="0.45">
      <c r="A767">
        <f t="shared" ca="1" si="88"/>
        <v>0.21370439166778549</v>
      </c>
      <c r="B767">
        <f t="shared" ca="1" si="88"/>
        <v>2.9411546178833259</v>
      </c>
      <c r="D767">
        <f ca="1">SQRT(MAX('HE2'!B766,0))*($G$2+$H$2*A767)</f>
        <v>0.26836164758915104</v>
      </c>
      <c r="E767">
        <f t="shared" ca="1" si="83"/>
        <v>1.9356562840642235</v>
      </c>
      <c r="Q767">
        <f t="shared" ca="1" si="89"/>
        <v>-0.43970992501563266</v>
      </c>
      <c r="R767">
        <f t="shared" ca="1" si="89"/>
        <v>1.5397570745142557</v>
      </c>
    </row>
    <row r="768" spans="1:18" x14ac:dyDescent="0.45">
      <c r="A768">
        <f t="shared" ca="1" si="88"/>
        <v>-0.98180118436598107</v>
      </c>
      <c r="B768">
        <f t="shared" ca="1" si="88"/>
        <v>-0.97799409054617825</v>
      </c>
      <c r="D768">
        <f ca="1">SQRT(MAX('HE2'!B767,0))*($G$2+$H$2*A768)</f>
        <v>-1.4905544995729905</v>
      </c>
      <c r="E768">
        <f t="shared" ca="1" si="83"/>
        <v>-1.3722374018204917</v>
      </c>
      <c r="Q768">
        <f t="shared" ca="1" si="89"/>
        <v>-0.84343308381394133</v>
      </c>
      <c r="R768">
        <f t="shared" ca="1" si="89"/>
        <v>-0.27532598142404291</v>
      </c>
    </row>
    <row r="769" spans="1:18" x14ac:dyDescent="0.45">
      <c r="A769">
        <f t="shared" ca="1" si="88"/>
        <v>0.62303821738844745</v>
      </c>
      <c r="B769">
        <f t="shared" ca="1" si="88"/>
        <v>-0.10489161639599211</v>
      </c>
      <c r="D769">
        <f ca="1">SQRT(MAX('HE2'!B768,0))*($G$2+$H$2*A769)</f>
        <v>0.80370950348970938</v>
      </c>
      <c r="E769">
        <f t="shared" ca="1" si="83"/>
        <v>0.43549560407316268</v>
      </c>
      <c r="Q769">
        <f t="shared" ca="1" si="89"/>
        <v>1.1858086668330869</v>
      </c>
      <c r="R769">
        <f t="shared" ca="1" si="89"/>
        <v>-0.93121804913710793</v>
      </c>
    </row>
    <row r="770" spans="1:18" x14ac:dyDescent="0.45">
      <c r="A770">
        <f t="shared" ca="1" si="88"/>
        <v>0.57966555684258425</v>
      </c>
      <c r="B770">
        <f t="shared" ca="1" si="88"/>
        <v>0.56015997259849304</v>
      </c>
      <c r="D770">
        <f ca="1">SQRT(MAX('HE2'!B769,0))*($G$2+$H$2*A770)</f>
        <v>0.78406725174641423</v>
      </c>
      <c r="E770">
        <f t="shared" ref="E770:E833" ca="1" si="90">$I$2+$J$2*(A770*$K$2 + B770*POWER(1-$K$2*$K$2, 0.5))</f>
        <v>0.7998284290331632</v>
      </c>
      <c r="Q770">
        <f t="shared" ca="1" si="89"/>
        <v>1.0356554952216175</v>
      </c>
      <c r="R770">
        <f t="shared" ca="1" si="89"/>
        <v>-2.7927633216140357</v>
      </c>
    </row>
    <row r="771" spans="1:18" x14ac:dyDescent="0.45">
      <c r="A771">
        <f t="shared" ca="1" si="88"/>
        <v>-0.34895183202300634</v>
      </c>
      <c r="B771">
        <f t="shared" ca="1" si="88"/>
        <v>0.65849700045478332</v>
      </c>
      <c r="D771">
        <f ca="1">SQRT(MAX('HE2'!B770,0))*($G$2+$H$2*A771)</f>
        <v>-0.51140394715120019</v>
      </c>
      <c r="E771">
        <f t="shared" ca="1" si="90"/>
        <v>0.1159367346544648</v>
      </c>
      <c r="Q771">
        <f t="shared" ca="1" si="89"/>
        <v>-0.65577344876347232</v>
      </c>
      <c r="R771">
        <f t="shared" ca="1" si="89"/>
        <v>-0.2045099719859399</v>
      </c>
    </row>
    <row r="772" spans="1:18" x14ac:dyDescent="0.45">
      <c r="A772">
        <f t="shared" ca="1" si="88"/>
        <v>0.72901737360048491</v>
      </c>
      <c r="B772">
        <f t="shared" ca="1" si="88"/>
        <v>0.94931177917486209</v>
      </c>
      <c r="D772">
        <f ca="1">SQRT(MAX('HE2'!B771,0))*($G$2+$H$2*A772)</f>
        <v>1.077886470109904</v>
      </c>
      <c r="E772">
        <f t="shared" ca="1" si="90"/>
        <v>1.1528009663853052</v>
      </c>
      <c r="Q772">
        <f t="shared" ca="1" si="89"/>
        <v>0.65542233743374079</v>
      </c>
      <c r="R772">
        <f t="shared" ca="1" si="89"/>
        <v>-7.2467995807859037E-2</v>
      </c>
    </row>
    <row r="773" spans="1:18" x14ac:dyDescent="0.45">
      <c r="A773">
        <f t="shared" ca="1" si="88"/>
        <v>-0.70452015471988627</v>
      </c>
      <c r="B773">
        <f t="shared" ca="1" si="88"/>
        <v>1.2336777338189311</v>
      </c>
      <c r="D773">
        <f ca="1">SQRT(MAX('HE2'!B772,0))*($G$2+$H$2*A773)</f>
        <v>-1.1542070969697718</v>
      </c>
      <c r="E773">
        <f t="shared" ca="1" si="90"/>
        <v>0.17659051651544944</v>
      </c>
      <c r="Q773">
        <f t="shared" ca="1" si="89"/>
        <v>-0.85806969426971513</v>
      </c>
      <c r="R773">
        <f t="shared" ca="1" si="89"/>
        <v>-0.48361019176665593</v>
      </c>
    </row>
    <row r="774" spans="1:18" x14ac:dyDescent="0.45">
      <c r="A774">
        <f t="shared" ca="1" si="88"/>
        <v>1.7236311026157707</v>
      </c>
      <c r="B774">
        <f t="shared" ca="1" si="88"/>
        <v>-1.3142973129857414</v>
      </c>
      <c r="D774">
        <f ca="1">SQRT(MAX('HE2'!B773,0))*($G$2+$H$2*A774)</f>
        <v>2.8569509185704089</v>
      </c>
      <c r="E774">
        <f t="shared" ca="1" si="90"/>
        <v>0.59032649430117201</v>
      </c>
      <c r="Q774">
        <f t="shared" ca="1" si="89"/>
        <v>1.6285534319227997</v>
      </c>
      <c r="R774">
        <f t="shared" ca="1" si="89"/>
        <v>0.60225208384457385</v>
      </c>
    </row>
    <row r="775" spans="1:18" x14ac:dyDescent="0.45">
      <c r="A775">
        <f t="shared" ca="1" si="88"/>
        <v>-0.61728816862143521</v>
      </c>
      <c r="B775">
        <f t="shared" ca="1" si="88"/>
        <v>-0.90319987877294772</v>
      </c>
      <c r="D775">
        <f ca="1">SQRT(MAX('HE2'!B774,0))*($G$2+$H$2*A775)</f>
        <v>-1.0720630962422153</v>
      </c>
      <c r="E775">
        <f t="shared" ca="1" si="90"/>
        <v>-1.0357504621609166</v>
      </c>
      <c r="Q775">
        <f t="shared" ca="1" si="89"/>
        <v>6.1143529110171367E-2</v>
      </c>
      <c r="R775">
        <f t="shared" ca="1" si="89"/>
        <v>0.81765376971491077</v>
      </c>
    </row>
    <row r="776" spans="1:18" x14ac:dyDescent="0.45">
      <c r="A776">
        <f t="shared" ca="1" si="88"/>
        <v>-0.83179937709914253</v>
      </c>
      <c r="B776">
        <f t="shared" ca="1" si="88"/>
        <v>-0.87002159350951236</v>
      </c>
      <c r="D776">
        <f ca="1">SQRT(MAX('HE2'!B775,0))*($G$2+$H$2*A776)</f>
        <v>-1.3010495980318433</v>
      </c>
      <c r="E776">
        <f t="shared" ca="1" si="90"/>
        <v>-1.1874524577850214</v>
      </c>
      <c r="Q776">
        <f t="shared" ca="1" si="89"/>
        <v>0.75936906757292799</v>
      </c>
      <c r="R776">
        <f t="shared" ca="1" si="89"/>
        <v>0.75092186829696272</v>
      </c>
    </row>
    <row r="777" spans="1:18" x14ac:dyDescent="0.45">
      <c r="A777">
        <f t="shared" ca="1" si="88"/>
        <v>0.57989189176027489</v>
      </c>
      <c r="B777">
        <f t="shared" ca="1" si="88"/>
        <v>3.1023817286962234E-2</v>
      </c>
      <c r="D777">
        <f ca="1">SQRT(MAX('HE2'!B776,0))*($G$2+$H$2*A777)</f>
        <v>0.7931312601625683</v>
      </c>
      <c r="E777">
        <f t="shared" ca="1" si="90"/>
        <v>0.48252780378039728</v>
      </c>
      <c r="Q777">
        <f t="shared" ca="1" si="89"/>
        <v>-0.73541963898767659</v>
      </c>
      <c r="R777">
        <f t="shared" ca="1" si="89"/>
        <v>1.4326786824085844</v>
      </c>
    </row>
    <row r="778" spans="1:18" x14ac:dyDescent="0.45">
      <c r="A778">
        <f t="shared" ca="1" si="88"/>
        <v>-0.77605994349632679</v>
      </c>
      <c r="B778">
        <f t="shared" ca="1" si="88"/>
        <v>-0.35150705536026072</v>
      </c>
      <c r="D778">
        <f ca="1">SQRT(MAX('HE2'!B777,0))*($G$2+$H$2*A778)</f>
        <v>-1.1142634866596162</v>
      </c>
      <c r="E778">
        <f t="shared" ca="1" si="90"/>
        <v>-0.83175218801321782</v>
      </c>
      <c r="Q778">
        <f t="shared" ca="1" si="89"/>
        <v>-0.93989290020293625</v>
      </c>
      <c r="R778">
        <f t="shared" ca="1" si="89"/>
        <v>-0.6140183812974872</v>
      </c>
    </row>
    <row r="779" spans="1:18" x14ac:dyDescent="0.45">
      <c r="A779">
        <f t="shared" ca="1" si="88"/>
        <v>2.439510482827778</v>
      </c>
      <c r="B779">
        <f t="shared" ca="1" si="88"/>
        <v>-0.49850402966223922</v>
      </c>
      <c r="D779">
        <f ca="1">SQRT(MAX('HE2'!B778,0))*($G$2+$H$2*A779)</f>
        <v>3.1735013250275146</v>
      </c>
      <c r="E779">
        <f t="shared" ca="1" si="90"/>
        <v>1.6525059684648791</v>
      </c>
      <c r="Q779">
        <f t="shared" ca="1" si="89"/>
        <v>-0.46690896218411371</v>
      </c>
      <c r="R779">
        <f t="shared" ca="1" si="89"/>
        <v>0.9623536140726453</v>
      </c>
    </row>
    <row r="780" spans="1:18" x14ac:dyDescent="0.45">
      <c r="A780">
        <f t="shared" ca="1" si="88"/>
        <v>1.3713594550175705</v>
      </c>
      <c r="B780">
        <f t="shared" ca="1" si="88"/>
        <v>-1.1397422285051952</v>
      </c>
      <c r="D780">
        <f ca="1">SQRT(MAX('HE2'!B779,0))*($G$2+$H$2*A780)</f>
        <v>2.0949118209920807</v>
      </c>
      <c r="E780">
        <f t="shared" ca="1" si="90"/>
        <v>0.41324222691093948</v>
      </c>
      <c r="Q780">
        <f t="shared" ca="1" si="89"/>
        <v>-1.4371852726435679</v>
      </c>
      <c r="R780">
        <f t="shared" ca="1" si="89"/>
        <v>-9.9341025002259026E-2</v>
      </c>
    </row>
    <row r="781" spans="1:18" x14ac:dyDescent="0.45">
      <c r="A781">
        <f t="shared" ca="1" si="88"/>
        <v>-1.6394499954767709</v>
      </c>
      <c r="B781">
        <f t="shared" ca="1" si="88"/>
        <v>-2.5375654727105146</v>
      </c>
      <c r="D781">
        <f ca="1">SQRT(MAX('HE2'!B780,0))*($G$2+$H$2*A781)</f>
        <v>-2.595613214773218</v>
      </c>
      <c r="E781">
        <f t="shared" ca="1" si="90"/>
        <v>-2.8340992800077252</v>
      </c>
      <c r="Q781">
        <f t="shared" ca="1" si="89"/>
        <v>-0.45613768257616644</v>
      </c>
      <c r="R781">
        <f t="shared" ca="1" si="89"/>
        <v>-0.91854764523241494</v>
      </c>
    </row>
    <row r="782" spans="1:18" x14ac:dyDescent="0.45">
      <c r="A782">
        <f t="shared" ref="A782:B801" ca="1" si="91">NORMINV(RAND(),0,1)</f>
        <v>-1.2081481263792595</v>
      </c>
      <c r="B782">
        <f t="shared" ca="1" si="91"/>
        <v>-0.22028362033383594</v>
      </c>
      <c r="D782">
        <f ca="1">SQRT(MAX('HE2'!B781,0))*($G$2+$H$2*A782)</f>
        <v>-1.2903030168705554</v>
      </c>
      <c r="E782">
        <f t="shared" ca="1" si="90"/>
        <v>-1.0986886733037091</v>
      </c>
      <c r="Q782">
        <f t="shared" ref="Q782:R801" ca="1" si="92">NORMINV(RAND(),0,1)</f>
        <v>-2.3193437709205713</v>
      </c>
      <c r="R782">
        <f t="shared" ca="1" si="92"/>
        <v>0.94754970861102805</v>
      </c>
    </row>
    <row r="783" spans="1:18" x14ac:dyDescent="0.45">
      <c r="A783">
        <f t="shared" ca="1" si="91"/>
        <v>0.69922296266505679</v>
      </c>
      <c r="B783">
        <f t="shared" ca="1" si="91"/>
        <v>-0.21488800476543823</v>
      </c>
      <c r="D783">
        <f ca="1">SQRT(MAX('HE2'!B782,0))*($G$2+$H$2*A783)</f>
        <v>0.62386241025671818</v>
      </c>
      <c r="E783">
        <f t="shared" ca="1" si="90"/>
        <v>0.4304455672727826</v>
      </c>
      <c r="Q783">
        <f t="shared" ca="1" si="92"/>
        <v>-1.6603585485203893</v>
      </c>
      <c r="R783">
        <f t="shared" ca="1" si="92"/>
        <v>-0.40651463020408213</v>
      </c>
    </row>
    <row r="784" spans="1:18" x14ac:dyDescent="0.45">
      <c r="A784">
        <f t="shared" ca="1" si="91"/>
        <v>0.76569335503354863</v>
      </c>
      <c r="B784">
        <f t="shared" ca="1" si="91"/>
        <v>-0.43071786166231446</v>
      </c>
      <c r="D784">
        <f ca="1">SQRT(MAX('HE2'!B783,0))*($G$2+$H$2*A784)</f>
        <v>0.73666848046902222</v>
      </c>
      <c r="E784">
        <f t="shared" ca="1" si="90"/>
        <v>0.35412396702945037</v>
      </c>
      <c r="Q784">
        <f t="shared" ca="1" si="92"/>
        <v>-1.0967919845654399</v>
      </c>
      <c r="R784">
        <f t="shared" ca="1" si="92"/>
        <v>-0.41450432834245066</v>
      </c>
    </row>
    <row r="785" spans="1:18" x14ac:dyDescent="0.45">
      <c r="A785">
        <f t="shared" ca="1" si="91"/>
        <v>-0.52833383778318188</v>
      </c>
      <c r="B785">
        <f t="shared" ca="1" si="91"/>
        <v>0.51253451804243833</v>
      </c>
      <c r="D785">
        <f ca="1">SQRT(MAX('HE2'!B784,0))*($G$2+$H$2*A785)</f>
        <v>-0.53869049306059491</v>
      </c>
      <c r="E785">
        <f t="shared" ca="1" si="90"/>
        <v>-0.11514635940108259</v>
      </c>
      <c r="Q785">
        <f t="shared" ca="1" si="92"/>
        <v>0.10820914473268994</v>
      </c>
      <c r="R785">
        <f t="shared" ca="1" si="92"/>
        <v>-0.60859975943406774</v>
      </c>
    </row>
    <row r="786" spans="1:18" x14ac:dyDescent="0.45">
      <c r="A786">
        <f t="shared" ca="1" si="91"/>
        <v>-0.53866521969848302</v>
      </c>
      <c r="B786">
        <f t="shared" ca="1" si="91"/>
        <v>-0.32456712024249312</v>
      </c>
      <c r="D786">
        <f ca="1">SQRT(MAX('HE2'!B785,0))*($G$2+$H$2*A786)</f>
        <v>-0.54238114718731478</v>
      </c>
      <c r="E786">
        <f t="shared" ca="1" si="90"/>
        <v>-0.62567244790428234</v>
      </c>
      <c r="Q786">
        <f t="shared" ca="1" si="92"/>
        <v>-0.32004091597633094</v>
      </c>
      <c r="R786">
        <f t="shared" ca="1" si="92"/>
        <v>6.7955169822422251E-2</v>
      </c>
    </row>
    <row r="787" spans="1:18" x14ac:dyDescent="0.45">
      <c r="A787">
        <f t="shared" ca="1" si="91"/>
        <v>-0.72844631377095148</v>
      </c>
      <c r="B787">
        <f t="shared" ca="1" si="91"/>
        <v>0.75840690577399772</v>
      </c>
      <c r="D787">
        <f ca="1">SQRT(MAX('HE2'!B786,0))*($G$2+$H$2*A787)</f>
        <v>-0.66557790172477616</v>
      </c>
      <c r="E787">
        <f t="shared" ca="1" si="90"/>
        <v>-0.1277129075523627</v>
      </c>
      <c r="Q787">
        <f t="shared" ca="1" si="92"/>
        <v>0.27938088756512297</v>
      </c>
      <c r="R787">
        <f t="shared" ca="1" si="92"/>
        <v>0.93703575775898618</v>
      </c>
    </row>
    <row r="788" spans="1:18" x14ac:dyDescent="0.45">
      <c r="A788">
        <f t="shared" ca="1" si="91"/>
        <v>-1.6409594740524838</v>
      </c>
      <c r="B788">
        <f t="shared" ca="1" si="91"/>
        <v>1.0589112148097581</v>
      </c>
      <c r="D788">
        <f ca="1">SQRT(MAX('HE2'!B787,0))*($G$2+$H$2*A788)</f>
        <v>-1.4799625475947693</v>
      </c>
      <c r="E788">
        <f t="shared" ca="1" si="90"/>
        <v>-0.67742085035613231</v>
      </c>
      <c r="Q788">
        <f t="shared" ca="1" si="92"/>
        <v>-0.33588380919378719</v>
      </c>
      <c r="R788">
        <f t="shared" ca="1" si="92"/>
        <v>-0.38764089627307613</v>
      </c>
    </row>
    <row r="789" spans="1:18" x14ac:dyDescent="0.45">
      <c r="A789">
        <f t="shared" ca="1" si="91"/>
        <v>-1.882678688363663</v>
      </c>
      <c r="B789">
        <f t="shared" ca="1" si="91"/>
        <v>8.6977269051015119E-2</v>
      </c>
      <c r="D789">
        <f ca="1">SQRT(MAX('HE2'!B788,0))*($G$2+$H$2*A789)</f>
        <v>-1.5109777374345696</v>
      </c>
      <c r="E789">
        <f t="shared" ca="1" si="90"/>
        <v>-1.4539565892603215</v>
      </c>
      <c r="Q789">
        <f t="shared" ca="1" si="92"/>
        <v>-0.89592633976915437</v>
      </c>
      <c r="R789">
        <f t="shared" ca="1" si="92"/>
        <v>-0.58227954729306863</v>
      </c>
    </row>
    <row r="790" spans="1:18" x14ac:dyDescent="0.45">
      <c r="A790">
        <f t="shared" ca="1" si="91"/>
        <v>-0.71659282019778237</v>
      </c>
      <c r="B790">
        <f t="shared" ca="1" si="91"/>
        <v>-0.37786216468502137</v>
      </c>
      <c r="D790">
        <f ca="1">SQRT(MAX('HE2'!B789,0))*($G$2+$H$2*A790)</f>
        <v>-0.3999020810699262</v>
      </c>
      <c r="E790">
        <f t="shared" ca="1" si="90"/>
        <v>-0.79999155496923868</v>
      </c>
      <c r="Q790">
        <f t="shared" ca="1" si="92"/>
        <v>-1.4098587916568459</v>
      </c>
      <c r="R790">
        <f t="shared" ca="1" si="92"/>
        <v>1.8469777145888659</v>
      </c>
    </row>
    <row r="791" spans="1:18" x14ac:dyDescent="0.45">
      <c r="A791">
        <f t="shared" ca="1" si="91"/>
        <v>0.17724540759007662</v>
      </c>
      <c r="B791">
        <f t="shared" ca="1" si="91"/>
        <v>0.73150843941921395</v>
      </c>
      <c r="D791">
        <f ca="1">SQRT(MAX('HE2'!B790,0))*($G$2+$H$2*A791)</f>
        <v>7.9570694164158337E-2</v>
      </c>
      <c r="E791">
        <f t="shared" ca="1" si="90"/>
        <v>0.58070138972358953</v>
      </c>
      <c r="Q791">
        <f t="shared" ca="1" si="92"/>
        <v>1.6617200262598428</v>
      </c>
      <c r="R791">
        <f t="shared" ca="1" si="92"/>
        <v>-1.5607272351971135</v>
      </c>
    </row>
    <row r="792" spans="1:18" x14ac:dyDescent="0.45">
      <c r="A792">
        <f t="shared" ca="1" si="91"/>
        <v>2.2132038237649438</v>
      </c>
      <c r="B792">
        <f t="shared" ca="1" si="91"/>
        <v>-0.27343541534972676</v>
      </c>
      <c r="D792">
        <f ca="1">SQRT(MAX('HE2'!B791,0))*($G$2+$H$2*A792)</f>
        <v>1.2242501526021361</v>
      </c>
      <c r="E792">
        <f t="shared" ca="1" si="90"/>
        <v>1.6065018098021191</v>
      </c>
      <c r="Q792">
        <f t="shared" ca="1" si="92"/>
        <v>1.01678451274326</v>
      </c>
      <c r="R792">
        <f t="shared" ca="1" si="92"/>
        <v>-0.69693738411270278</v>
      </c>
    </row>
    <row r="793" spans="1:18" x14ac:dyDescent="0.45">
      <c r="A793">
        <f t="shared" ca="1" si="91"/>
        <v>0.78054793351834684</v>
      </c>
      <c r="B793">
        <f t="shared" ca="1" si="91"/>
        <v>-0.88000272013117986</v>
      </c>
      <c r="D793">
        <f ca="1">SQRT(MAX('HE2'!B792,0))*($G$2+$H$2*A793)</f>
        <v>0.60295800229615815</v>
      </c>
      <c r="E793">
        <f t="shared" ca="1" si="90"/>
        <v>9.6436714735969709E-2</v>
      </c>
      <c r="Q793">
        <f t="shared" ca="1" si="92"/>
        <v>-0.95814020316333126</v>
      </c>
      <c r="R793">
        <f t="shared" ca="1" si="92"/>
        <v>-1.5366255709023946</v>
      </c>
    </row>
    <row r="794" spans="1:18" x14ac:dyDescent="0.45">
      <c r="A794">
        <f t="shared" ca="1" si="91"/>
        <v>-1.8097732295394722</v>
      </c>
      <c r="B794">
        <f t="shared" ca="1" si="91"/>
        <v>2.4829316005167681</v>
      </c>
      <c r="D794">
        <f ca="1">SQRT(MAX('HE2'!B793,0))*($G$2+$H$2*A794)</f>
        <v>-1.4448839293605771</v>
      </c>
      <c r="E794">
        <f t="shared" ca="1" si="90"/>
        <v>4.1940376678482716E-2</v>
      </c>
      <c r="Q794">
        <f t="shared" ca="1" si="92"/>
        <v>0.25464023604528907</v>
      </c>
      <c r="R794">
        <f t="shared" ca="1" si="92"/>
        <v>-1.3950356956652297</v>
      </c>
    </row>
    <row r="795" spans="1:18" x14ac:dyDescent="0.45">
      <c r="A795">
        <f t="shared" ca="1" si="91"/>
        <v>-0.54217334505378068</v>
      </c>
      <c r="B795">
        <f t="shared" ca="1" si="91"/>
        <v>0.22671322305776764</v>
      </c>
      <c r="D795">
        <f ca="1">SQRT(MAX('HE2'!B794,0))*($G$2+$H$2*A795)</f>
        <v>-0.4421200936457787</v>
      </c>
      <c r="E795">
        <f t="shared" ca="1" si="90"/>
        <v>-0.29771074220836402</v>
      </c>
      <c r="Q795">
        <f t="shared" ca="1" si="92"/>
        <v>0.85866557991593817</v>
      </c>
      <c r="R795">
        <f t="shared" ca="1" si="92"/>
        <v>-1.2970493528613594</v>
      </c>
    </row>
    <row r="796" spans="1:18" x14ac:dyDescent="0.45">
      <c r="A796">
        <f t="shared" ca="1" si="91"/>
        <v>0.40128422672903336</v>
      </c>
      <c r="B796">
        <f t="shared" ca="1" si="91"/>
        <v>-1.5416281995980665</v>
      </c>
      <c r="D796">
        <f ca="1">SQRT(MAX('HE2'!B795,0))*($G$2+$H$2*A796)</f>
        <v>0.31318441564939992</v>
      </c>
      <c r="E796">
        <f t="shared" ca="1" si="90"/>
        <v>-0.60394953837561294</v>
      </c>
      <c r="Q796">
        <f t="shared" ca="1" si="92"/>
        <v>-0.74211214244764645</v>
      </c>
      <c r="R796">
        <f t="shared" ca="1" si="92"/>
        <v>1.0632938435000066</v>
      </c>
    </row>
    <row r="797" spans="1:18" x14ac:dyDescent="0.45">
      <c r="A797">
        <f t="shared" ca="1" si="91"/>
        <v>0.1856545929654739</v>
      </c>
      <c r="B797">
        <f t="shared" ca="1" si="91"/>
        <v>-0.29947767261827535</v>
      </c>
      <c r="D797">
        <f ca="1">SQRT(MAX('HE2'!B796,0))*($G$2+$H$2*A797)</f>
        <v>0.12939867124528556</v>
      </c>
      <c r="E797">
        <f t="shared" ca="1" si="90"/>
        <v>-3.1162929198586042E-2</v>
      </c>
      <c r="Q797">
        <f t="shared" ca="1" si="92"/>
        <v>0.31924288928060202</v>
      </c>
      <c r="R797">
        <f t="shared" ca="1" si="92"/>
        <v>-1.1219068514630033</v>
      </c>
    </row>
    <row r="798" spans="1:18" x14ac:dyDescent="0.45">
      <c r="A798">
        <f t="shared" ca="1" si="91"/>
        <v>-0.45668297804689029</v>
      </c>
      <c r="B798">
        <f t="shared" ca="1" si="91"/>
        <v>-0.22842521686200734</v>
      </c>
      <c r="D798">
        <f ca="1">SQRT(MAX('HE2'!B797,0))*($G$2+$H$2*A798)</f>
        <v>-0.32286737132597443</v>
      </c>
      <c r="E798">
        <f t="shared" ca="1" si="90"/>
        <v>-0.50240151255471666</v>
      </c>
      <c r="Q798">
        <f t="shared" ca="1" si="92"/>
        <v>-1.2424088663161379</v>
      </c>
      <c r="R798">
        <f t="shared" ca="1" si="92"/>
        <v>0.19650483273909908</v>
      </c>
    </row>
    <row r="799" spans="1:18" x14ac:dyDescent="0.45">
      <c r="A799">
        <f t="shared" ca="1" si="91"/>
        <v>0.46791682108806426</v>
      </c>
      <c r="B799">
        <f t="shared" ca="1" si="91"/>
        <v>-0.4607590756769821</v>
      </c>
      <c r="D799">
        <f ca="1">SQRT(MAX('HE2'!B798,0))*($G$2+$H$2*A799)</f>
        <v>0.30090376792550522</v>
      </c>
      <c r="E799">
        <f t="shared" ca="1" si="90"/>
        <v>9.7878011464262227E-2</v>
      </c>
      <c r="Q799">
        <f t="shared" ca="1" si="92"/>
        <v>-1.5242993351399343</v>
      </c>
      <c r="R799">
        <f t="shared" ca="1" si="92"/>
        <v>-7.8822673227199783E-2</v>
      </c>
    </row>
    <row r="800" spans="1:18" x14ac:dyDescent="0.45">
      <c r="A800">
        <f t="shared" ca="1" si="91"/>
        <v>1.2233421323620106</v>
      </c>
      <c r="B800">
        <f t="shared" ca="1" si="91"/>
        <v>0.97797806077182248</v>
      </c>
      <c r="D800">
        <f ca="1">SQRT(MAX('HE2'!B799,0))*($G$2+$H$2*A800)</f>
        <v>0.82466357913694754</v>
      </c>
      <c r="E800">
        <f t="shared" ca="1" si="90"/>
        <v>1.5654605423527019</v>
      </c>
      <c r="Q800">
        <f t="shared" ca="1" si="92"/>
        <v>0.96453766395173679</v>
      </c>
      <c r="R800">
        <f t="shared" ca="1" si="92"/>
        <v>-1.5333170099159708</v>
      </c>
    </row>
    <row r="801" spans="1:18" x14ac:dyDescent="0.45">
      <c r="A801">
        <f t="shared" ca="1" si="91"/>
        <v>-0.68243429417653056</v>
      </c>
      <c r="B801">
        <f t="shared" ca="1" si="91"/>
        <v>5.0992223882849554E-2</v>
      </c>
      <c r="D801">
        <f ca="1">SQRT(MAX('HE2'!B800,0))*($G$2+$H$2*A801)</f>
        <v>-0.60739962238332879</v>
      </c>
      <c r="E801">
        <f t="shared" ca="1" si="90"/>
        <v>-0.51535210101151474</v>
      </c>
      <c r="Q801">
        <f t="shared" ca="1" si="92"/>
        <v>-0.57698841769980513</v>
      </c>
      <c r="R801">
        <f t="shared" ca="1" si="92"/>
        <v>-0.1738378430025459</v>
      </c>
    </row>
    <row r="802" spans="1:18" x14ac:dyDescent="0.45">
      <c r="A802">
        <f t="shared" ref="A802:B821" ca="1" si="93">NORMINV(RAND(),0,1)</f>
        <v>-0.21960800330867186</v>
      </c>
      <c r="B802">
        <f t="shared" ca="1" si="93"/>
        <v>-0.27493210934692563</v>
      </c>
      <c r="D802">
        <f ca="1">SQRT(MAX('HE2'!B801,0))*($G$2+$H$2*A802)</f>
        <v>-0.17962325153683537</v>
      </c>
      <c r="E802">
        <f t="shared" ca="1" si="90"/>
        <v>-0.34064566825509285</v>
      </c>
      <c r="Q802">
        <f t="shared" ref="Q802:R821" ca="1" si="94">NORMINV(RAND(),0,1)</f>
        <v>-0.12172244095774767</v>
      </c>
      <c r="R802">
        <f t="shared" ca="1" si="94"/>
        <v>0.63184580083458552</v>
      </c>
    </row>
    <row r="803" spans="1:18" x14ac:dyDescent="0.45">
      <c r="A803">
        <f t="shared" ca="1" si="93"/>
        <v>0.122609090031238</v>
      </c>
      <c r="B803">
        <f t="shared" ca="1" si="93"/>
        <v>-0.3315824563198016</v>
      </c>
      <c r="D803">
        <f ca="1">SQRT(MAX('HE2'!B802,0))*($G$2+$H$2*A803)</f>
        <v>9.5154849384200046E-2</v>
      </c>
      <c r="E803">
        <f t="shared" ca="1" si="90"/>
        <v>-0.10086220176689051</v>
      </c>
      <c r="Q803">
        <f t="shared" ca="1" si="94"/>
        <v>1.3908499275757087</v>
      </c>
      <c r="R803">
        <f t="shared" ca="1" si="94"/>
        <v>-0.46169063240715169</v>
      </c>
    </row>
    <row r="804" spans="1:18" x14ac:dyDescent="0.45">
      <c r="A804">
        <f t="shared" ca="1" si="93"/>
        <v>-1.0426499852335123</v>
      </c>
      <c r="B804">
        <f t="shared" ca="1" si="93"/>
        <v>2.5593334784207928</v>
      </c>
      <c r="D804">
        <f ca="1">SQRT(MAX('HE2'!B803,0))*($G$2+$H$2*A804)</f>
        <v>-0.80564109399232098</v>
      </c>
      <c r="E804">
        <f t="shared" ca="1" si="90"/>
        <v>0.70148009886566542</v>
      </c>
      <c r="Q804">
        <f t="shared" ca="1" si="94"/>
        <v>0.51641021845611457</v>
      </c>
      <c r="R804">
        <f t="shared" ca="1" si="94"/>
        <v>-1.6433763184718748E-2</v>
      </c>
    </row>
    <row r="805" spans="1:18" x14ac:dyDescent="0.45">
      <c r="A805">
        <f t="shared" ca="1" si="93"/>
        <v>1.3118524985391897</v>
      </c>
      <c r="B805">
        <f t="shared" ca="1" si="93"/>
        <v>-4.6476490087306116E-2</v>
      </c>
      <c r="D805">
        <f ca="1">SQRT(MAX('HE2'!B804,0))*($G$2+$H$2*A805)</f>
        <v>1.1570940733589363</v>
      </c>
      <c r="E805">
        <f t="shared" ca="1" si="90"/>
        <v>1.0215961047789681</v>
      </c>
      <c r="Q805">
        <f t="shared" ca="1" si="94"/>
        <v>1.3360810460761665</v>
      </c>
      <c r="R805">
        <f t="shared" ca="1" si="94"/>
        <v>-1.6559465102606734</v>
      </c>
    </row>
    <row r="806" spans="1:18" x14ac:dyDescent="0.45">
      <c r="A806">
        <f t="shared" ca="1" si="93"/>
        <v>-0.62926261344932233</v>
      </c>
      <c r="B806">
        <f t="shared" ca="1" si="93"/>
        <v>-0.14854971200074793</v>
      </c>
      <c r="D806">
        <f ca="1">SQRT(MAX('HE2'!B805,0))*($G$2+$H$2*A806)</f>
        <v>-0.64878475929308588</v>
      </c>
      <c r="E806">
        <f t="shared" ca="1" si="90"/>
        <v>-0.59253991795990657</v>
      </c>
      <c r="Q806">
        <f t="shared" ca="1" si="94"/>
        <v>2.7550771932339444</v>
      </c>
      <c r="R806">
        <f t="shared" ca="1" si="94"/>
        <v>7.9959494276463219E-2</v>
      </c>
    </row>
    <row r="807" spans="1:18" x14ac:dyDescent="0.45">
      <c r="A807">
        <f t="shared" ca="1" si="93"/>
        <v>1.4036278487819456</v>
      </c>
      <c r="B807">
        <f t="shared" ca="1" si="93"/>
        <v>0.84554296829333031</v>
      </c>
      <c r="D807">
        <f ca="1">SQRT(MAX('HE2'!B806,0))*($G$2+$H$2*A807)</f>
        <v>1.3232430329113136</v>
      </c>
      <c r="E807">
        <f t="shared" ca="1" si="90"/>
        <v>1.6302280600015546</v>
      </c>
      <c r="Q807">
        <f t="shared" ca="1" si="94"/>
        <v>0.82762869834458586</v>
      </c>
      <c r="R807">
        <f t="shared" ca="1" si="94"/>
        <v>0.87973442278584235</v>
      </c>
    </row>
    <row r="808" spans="1:18" x14ac:dyDescent="0.45">
      <c r="A808">
        <f t="shared" ca="1" si="93"/>
        <v>-0.41069201963325852</v>
      </c>
      <c r="B808">
        <f t="shared" ca="1" si="93"/>
        <v>-0.54381628422224848</v>
      </c>
      <c r="D808">
        <f ca="1">SQRT(MAX('HE2'!B807,0))*($G$2+$H$2*A808)</f>
        <v>-0.47934886480586275</v>
      </c>
      <c r="E808">
        <f t="shared" ca="1" si="90"/>
        <v>-0.65484338623995586</v>
      </c>
      <c r="Q808">
        <f t="shared" ca="1" si="94"/>
        <v>-2.3793843853363859</v>
      </c>
      <c r="R808">
        <f t="shared" ca="1" si="94"/>
        <v>0.59183238409589567</v>
      </c>
    </row>
    <row r="809" spans="1:18" x14ac:dyDescent="0.45">
      <c r="A809">
        <f t="shared" ca="1" si="93"/>
        <v>0.71211587001594168</v>
      </c>
      <c r="B809">
        <f t="shared" ca="1" si="93"/>
        <v>0.22150191949619855</v>
      </c>
      <c r="D809">
        <f ca="1">SQRT(MAX('HE2'!B808,0))*($G$2+$H$2*A809)</f>
        <v>0.75900376902633193</v>
      </c>
      <c r="E809">
        <f t="shared" ca="1" si="90"/>
        <v>0.70259384771047251</v>
      </c>
      <c r="Q809">
        <f t="shared" ca="1" si="94"/>
        <v>7.0471126366575584E-2</v>
      </c>
      <c r="R809">
        <f t="shared" ca="1" si="94"/>
        <v>-0.52462044313074352</v>
      </c>
    </row>
    <row r="810" spans="1:18" x14ac:dyDescent="0.45">
      <c r="A810">
        <f t="shared" ca="1" si="93"/>
        <v>-0.27053686161441792</v>
      </c>
      <c r="B810">
        <f t="shared" ca="1" si="93"/>
        <v>2.317594490140177</v>
      </c>
      <c r="D810">
        <f ca="1">SQRT(MAX('HE2'!B809,0))*($G$2+$H$2*A810)</f>
        <v>-0.31645013318316823</v>
      </c>
      <c r="E810">
        <f t="shared" ca="1" si="90"/>
        <v>1.1741272047925715</v>
      </c>
      <c r="Q810">
        <f t="shared" ca="1" si="94"/>
        <v>-0.26100290531021975</v>
      </c>
      <c r="R810">
        <f t="shared" ca="1" si="94"/>
        <v>-0.13295414536979314</v>
      </c>
    </row>
    <row r="811" spans="1:18" x14ac:dyDescent="0.45">
      <c r="A811">
        <f t="shared" ca="1" si="93"/>
        <v>0.43251659961670269</v>
      </c>
      <c r="B811">
        <f t="shared" ca="1" si="93"/>
        <v>0.62153416045774379</v>
      </c>
      <c r="D811">
        <f ca="1">SQRT(MAX('HE2'!B810,0))*($G$2+$H$2*A811)</f>
        <v>0.57755884470740571</v>
      </c>
      <c r="E811">
        <f t="shared" ca="1" si="90"/>
        <v>0.71893377596800834</v>
      </c>
      <c r="Q811">
        <f t="shared" ca="1" si="94"/>
        <v>0.71152965184395811</v>
      </c>
      <c r="R811">
        <f t="shared" ca="1" si="94"/>
        <v>-1.3637818629024809</v>
      </c>
    </row>
    <row r="812" spans="1:18" x14ac:dyDescent="0.45">
      <c r="A812">
        <f t="shared" ca="1" si="93"/>
        <v>-0.11904550161903776</v>
      </c>
      <c r="B812">
        <f t="shared" ca="1" si="93"/>
        <v>0.69537383453871215</v>
      </c>
      <c r="D812">
        <f ca="1">SQRT(MAX('HE2'!B811,0))*($G$2+$H$2*A812)</f>
        <v>-0.17110108532974586</v>
      </c>
      <c r="E812">
        <f t="shared" ca="1" si="90"/>
        <v>0.32198789942799699</v>
      </c>
      <c r="Q812">
        <f t="shared" ca="1" si="94"/>
        <v>0.14144463578077543</v>
      </c>
      <c r="R812">
        <f t="shared" ca="1" si="94"/>
        <v>-1.8193395774284153</v>
      </c>
    </row>
    <row r="813" spans="1:18" x14ac:dyDescent="0.45">
      <c r="A813">
        <f t="shared" ca="1" si="93"/>
        <v>0.17045131362773516</v>
      </c>
      <c r="B813">
        <f t="shared" ca="1" si="93"/>
        <v>-0.83306315674510834</v>
      </c>
      <c r="D813">
        <f ca="1">SQRT(MAX('HE2'!B812,0))*($G$2+$H$2*A813)</f>
        <v>0.25244909042944058</v>
      </c>
      <c r="E813">
        <f t="shared" ca="1" si="90"/>
        <v>-0.36347684314487677</v>
      </c>
      <c r="Q813">
        <f t="shared" ca="1" si="94"/>
        <v>-1.6037842076689337</v>
      </c>
      <c r="R813">
        <f t="shared" ca="1" si="94"/>
        <v>0.39473307425628501</v>
      </c>
    </row>
    <row r="814" spans="1:18" x14ac:dyDescent="0.45">
      <c r="A814">
        <f t="shared" ca="1" si="93"/>
        <v>0.81371682233105913</v>
      </c>
      <c r="B814">
        <f t="shared" ca="1" si="93"/>
        <v>1.2328673440483144</v>
      </c>
      <c r="D814">
        <f ca="1">SQRT(MAX('HE2'!B813,0))*($G$2+$H$2*A814)</f>
        <v>1.1560634761518001</v>
      </c>
      <c r="E814">
        <f t="shared" ca="1" si="90"/>
        <v>1.3906938642938358</v>
      </c>
      <c r="Q814">
        <f t="shared" ca="1" si="94"/>
        <v>-1.4099693980174459</v>
      </c>
      <c r="R814">
        <f t="shared" ca="1" si="94"/>
        <v>1.0670552237759692</v>
      </c>
    </row>
    <row r="815" spans="1:18" x14ac:dyDescent="0.45">
      <c r="A815">
        <f t="shared" ca="1" si="93"/>
        <v>1.5027704543139726</v>
      </c>
      <c r="B815">
        <f t="shared" ca="1" si="93"/>
        <v>-0.28051779789107828</v>
      </c>
      <c r="D815">
        <f ca="1">SQRT(MAX('HE2'!B814,0))*($G$2+$H$2*A815)</f>
        <v>2.4236474175270621</v>
      </c>
      <c r="E815">
        <f t="shared" ca="1" si="90"/>
        <v>1.0339056847165313</v>
      </c>
      <c r="Q815">
        <f t="shared" ca="1" si="94"/>
        <v>-0.55881410371956208</v>
      </c>
      <c r="R815">
        <f t="shared" ca="1" si="94"/>
        <v>-1.24980525339852</v>
      </c>
    </row>
    <row r="816" spans="1:18" x14ac:dyDescent="0.45">
      <c r="A816">
        <f t="shared" ca="1" si="93"/>
        <v>-0.34718083348808576</v>
      </c>
      <c r="B816">
        <f t="shared" ca="1" si="93"/>
        <v>0.81492300558588859</v>
      </c>
      <c r="D816">
        <f ca="1">SQRT(MAX('HE2'!B815,0))*($G$2+$H$2*A816)</f>
        <v>-0.6092569912106689</v>
      </c>
      <c r="E816">
        <f t="shared" ca="1" si="90"/>
        <v>0.21120913656106444</v>
      </c>
      <c r="Q816">
        <f t="shared" ca="1" si="94"/>
        <v>-0.23560482416436709</v>
      </c>
      <c r="R816">
        <f t="shared" ca="1" si="94"/>
        <v>-2.3265077895916848</v>
      </c>
    </row>
    <row r="817" spans="1:18" x14ac:dyDescent="0.45">
      <c r="A817">
        <f t="shared" ca="1" si="93"/>
        <v>0.24581030320385941</v>
      </c>
      <c r="B817">
        <f t="shared" ca="1" si="93"/>
        <v>1.3866762567094659</v>
      </c>
      <c r="D817">
        <f ca="1">SQRT(MAX('HE2'!B816,0))*($G$2+$H$2*A817)</f>
        <v>0.43692297819369585</v>
      </c>
      <c r="E817">
        <f t="shared" ca="1" si="90"/>
        <v>1.0286539965887669</v>
      </c>
      <c r="Q817">
        <f t="shared" ca="1" si="94"/>
        <v>1.1400963234054395</v>
      </c>
      <c r="R817">
        <f t="shared" ca="1" si="94"/>
        <v>0.96761648201028072</v>
      </c>
    </row>
    <row r="818" spans="1:18" x14ac:dyDescent="0.45">
      <c r="A818">
        <f t="shared" ca="1" si="93"/>
        <v>-0.15827544723419185</v>
      </c>
      <c r="B818">
        <f t="shared" ca="1" si="93"/>
        <v>-0.78315777111219198</v>
      </c>
      <c r="D818">
        <f ca="1">SQRT(MAX('HE2'!B817,0))*($G$2+$H$2*A818)</f>
        <v>-0.30342023534612411</v>
      </c>
      <c r="E818">
        <f t="shared" ca="1" si="90"/>
        <v>-0.59651502045466853</v>
      </c>
      <c r="Q818">
        <f t="shared" ca="1" si="94"/>
        <v>-0.537273273440948</v>
      </c>
      <c r="R818">
        <f t="shared" ca="1" si="94"/>
        <v>-0.26213334499566987</v>
      </c>
    </row>
    <row r="819" spans="1:18" x14ac:dyDescent="0.45">
      <c r="A819">
        <f t="shared" ca="1" si="93"/>
        <v>0.45543661645189243</v>
      </c>
      <c r="B819">
        <f t="shared" ca="1" si="93"/>
        <v>0.5931892618509037</v>
      </c>
      <c r="D819">
        <f ca="1">SQRT(MAX('HE2'!B818,0))*($G$2+$H$2*A819)</f>
        <v>0.82592945993560651</v>
      </c>
      <c r="E819">
        <f t="shared" ca="1" si="90"/>
        <v>0.72026285027205605</v>
      </c>
      <c r="Q819">
        <f t="shared" ca="1" si="94"/>
        <v>-0.78970972452330979</v>
      </c>
      <c r="R819">
        <f t="shared" ca="1" si="94"/>
        <v>1.1116644994408136</v>
      </c>
    </row>
    <row r="820" spans="1:18" x14ac:dyDescent="0.45">
      <c r="A820">
        <f t="shared" ca="1" si="93"/>
        <v>0.60350711409682389</v>
      </c>
      <c r="B820">
        <f t="shared" ca="1" si="93"/>
        <v>-0.77296729455576685</v>
      </c>
      <c r="D820">
        <f ca="1">SQRT(MAX('HE2'!B819,0))*($G$2+$H$2*A820)</f>
        <v>1.1522235055227987</v>
      </c>
      <c r="E820">
        <f t="shared" ca="1" si="90"/>
        <v>1.9025314543999139E-2</v>
      </c>
      <c r="Q820">
        <f t="shared" ca="1" si="94"/>
        <v>1.1521387622929238</v>
      </c>
      <c r="R820">
        <f t="shared" ca="1" si="94"/>
        <v>-0.44578051489803405</v>
      </c>
    </row>
    <row r="821" spans="1:18" x14ac:dyDescent="0.45">
      <c r="A821">
        <f t="shared" ca="1" si="93"/>
        <v>-0.50422854554269914</v>
      </c>
      <c r="B821">
        <f t="shared" ca="1" si="93"/>
        <v>-0.95414551278756665</v>
      </c>
      <c r="D821">
        <f ca="1">SQRT(MAX('HE2'!B820,0))*($G$2+$H$2*A821)</f>
        <v>-0.95847953240091888</v>
      </c>
      <c r="E821">
        <f t="shared" ca="1" si="90"/>
        <v>-0.97587014410669926</v>
      </c>
      <c r="Q821">
        <f t="shared" ca="1" si="94"/>
        <v>1.0800163028249132</v>
      </c>
      <c r="R821">
        <f t="shared" ca="1" si="94"/>
        <v>0.57267580071749247</v>
      </c>
    </row>
    <row r="822" spans="1:18" x14ac:dyDescent="0.45">
      <c r="A822">
        <f t="shared" ref="A822:B841" ca="1" si="95">NORMINV(RAND(),0,1)</f>
        <v>-0.47479087366932154</v>
      </c>
      <c r="B822">
        <f t="shared" ca="1" si="95"/>
        <v>0.72478652656507958</v>
      </c>
      <c r="D822">
        <f ca="1">SQRT(MAX('HE2'!B821,0))*($G$2+$H$2*A822)</f>
        <v>-0.82439515797780805</v>
      </c>
      <c r="E822">
        <f t="shared" ca="1" si="90"/>
        <v>5.5039217003590435E-2</v>
      </c>
      <c r="Q822">
        <f t="shared" ref="Q822:R841" ca="1" si="96">NORMINV(RAND(),0,1)</f>
        <v>-0.37768126487102821</v>
      </c>
      <c r="R822">
        <f t="shared" ca="1" si="96"/>
        <v>0.39413182027852334</v>
      </c>
    </row>
    <row r="823" spans="1:18" x14ac:dyDescent="0.45">
      <c r="A823">
        <f t="shared" ca="1" si="95"/>
        <v>-1.4303568072364363</v>
      </c>
      <c r="B823">
        <f t="shared" ca="1" si="95"/>
        <v>-2.0918024246322726E-2</v>
      </c>
      <c r="D823">
        <f ca="1">SQRT(MAX('HE2'!B822,0))*($G$2+$H$2*A823)</f>
        <v>-2.4830161383461378</v>
      </c>
      <c r="E823">
        <f t="shared" ca="1" si="90"/>
        <v>-1.1568362603369429</v>
      </c>
      <c r="Q823">
        <f t="shared" ca="1" si="96"/>
        <v>-0.47523409563678831</v>
      </c>
      <c r="R823">
        <f t="shared" ca="1" si="96"/>
        <v>-7.7964204143489277E-3</v>
      </c>
    </row>
    <row r="824" spans="1:18" x14ac:dyDescent="0.45">
      <c r="A824">
        <f t="shared" ca="1" si="95"/>
        <v>-1.5168326629680772E-2</v>
      </c>
      <c r="B824">
        <f t="shared" ca="1" si="95"/>
        <v>-1.109868557441386</v>
      </c>
      <c r="D824">
        <f ca="1">SQRT(MAX('HE2'!B823,0))*($G$2+$H$2*A824)</f>
        <v>-2.3405626764090134E-2</v>
      </c>
      <c r="E824">
        <f t="shared" ca="1" si="90"/>
        <v>-0.67805579576857611</v>
      </c>
      <c r="Q824">
        <f t="shared" ca="1" si="96"/>
        <v>-1.0633677510810555</v>
      </c>
      <c r="R824">
        <f t="shared" ca="1" si="96"/>
        <v>0.71225753705447548</v>
      </c>
    </row>
    <row r="825" spans="1:18" x14ac:dyDescent="0.45">
      <c r="A825">
        <f t="shared" ca="1" si="95"/>
        <v>-0.43322968789653443</v>
      </c>
      <c r="B825">
        <f t="shared" ca="1" si="95"/>
        <v>-0.16241192340698757</v>
      </c>
      <c r="D825">
        <f ca="1">SQRT(MAX('HE2'!B824,0))*($G$2+$H$2*A825)</f>
        <v>-0.62025952112805949</v>
      </c>
      <c r="E825">
        <f t="shared" ca="1" si="90"/>
        <v>-0.44403090436142006</v>
      </c>
      <c r="Q825">
        <f t="shared" ca="1" si="96"/>
        <v>0.19283391650469264</v>
      </c>
      <c r="R825">
        <f t="shared" ca="1" si="96"/>
        <v>-0.88195378604979346</v>
      </c>
    </row>
    <row r="826" spans="1:18" x14ac:dyDescent="0.45">
      <c r="A826">
        <f t="shared" ca="1" si="95"/>
        <v>-2.0694297918699678</v>
      </c>
      <c r="B826">
        <f t="shared" ca="1" si="95"/>
        <v>0.18409877981112649</v>
      </c>
      <c r="D826">
        <f ca="1">SQRT(MAX('HE2'!B825,0))*($G$2+$H$2*A826)</f>
        <v>-2.8134734208056167</v>
      </c>
      <c r="E826">
        <f t="shared" ca="1" si="90"/>
        <v>-1.5450845656092984</v>
      </c>
      <c r="Q826">
        <f t="shared" ca="1" si="96"/>
        <v>-1.3754592418355691</v>
      </c>
      <c r="R826">
        <f t="shared" ca="1" si="96"/>
        <v>-0.64926509071599336</v>
      </c>
    </row>
    <row r="827" spans="1:18" x14ac:dyDescent="0.45">
      <c r="A827">
        <f t="shared" ca="1" si="95"/>
        <v>-0.17609374528364896</v>
      </c>
      <c r="B827">
        <f t="shared" ca="1" si="95"/>
        <v>0.36969436042558762</v>
      </c>
      <c r="D827">
        <f ca="1">SQRT(MAX('HE2'!B826,0))*($G$2+$H$2*A827)</f>
        <v>-0.19382071837127923</v>
      </c>
      <c r="E827">
        <f t="shared" ca="1" si="90"/>
        <v>8.0941620028433331E-2</v>
      </c>
      <c r="Q827">
        <f t="shared" ca="1" si="96"/>
        <v>0.17776733902896419</v>
      </c>
      <c r="R827">
        <f t="shared" ca="1" si="96"/>
        <v>-0.59766699922755984</v>
      </c>
    </row>
    <row r="828" spans="1:18" x14ac:dyDescent="0.45">
      <c r="A828">
        <f t="shared" ca="1" si="95"/>
        <v>0.51609590365868629</v>
      </c>
      <c r="B828">
        <f t="shared" ca="1" si="95"/>
        <v>-3.3797689838670529E-3</v>
      </c>
      <c r="D828">
        <f ca="1">SQRT(MAX('HE2'!B827,0))*($G$2+$H$2*A828)</f>
        <v>0.57568067964909209</v>
      </c>
      <c r="E828">
        <f t="shared" ca="1" si="90"/>
        <v>0.41084886153662881</v>
      </c>
      <c r="Q828">
        <f t="shared" ca="1" si="96"/>
        <v>0.15467837804595519</v>
      </c>
      <c r="R828">
        <f t="shared" ca="1" si="96"/>
        <v>-1.6404698135517948</v>
      </c>
    </row>
    <row r="829" spans="1:18" x14ac:dyDescent="0.45">
      <c r="A829">
        <f t="shared" ca="1" si="95"/>
        <v>1.0416064193719463</v>
      </c>
      <c r="B829">
        <f t="shared" ca="1" si="95"/>
        <v>-0.63474707927586727</v>
      </c>
      <c r="D829">
        <f ca="1">SQRT(MAX('HE2'!B828,0))*($G$2+$H$2*A829)</f>
        <v>1.2267555885748047</v>
      </c>
      <c r="E829">
        <f t="shared" ca="1" si="90"/>
        <v>0.45243688793203685</v>
      </c>
      <c r="Q829">
        <f t="shared" ca="1" si="96"/>
        <v>-2.2552424342318498E-2</v>
      </c>
      <c r="R829">
        <f t="shared" ca="1" si="96"/>
        <v>-0.53104604638257447</v>
      </c>
    </row>
    <row r="830" spans="1:18" x14ac:dyDescent="0.45">
      <c r="A830">
        <f t="shared" ca="1" si="95"/>
        <v>0.23162775108227354</v>
      </c>
      <c r="B830">
        <f t="shared" ca="1" si="95"/>
        <v>0.10807773737353632</v>
      </c>
      <c r="D830">
        <f ca="1">SQRT(MAX('HE2'!B829,0))*($G$2+$H$2*A830)</f>
        <v>0.28832649352041162</v>
      </c>
      <c r="E830">
        <f t="shared" ca="1" si="90"/>
        <v>0.25014884328994058</v>
      </c>
      <c r="Q830">
        <f t="shared" ca="1" si="96"/>
        <v>-0.43678691008011655</v>
      </c>
      <c r="R830">
        <f t="shared" ca="1" si="96"/>
        <v>-2.0933388634341865</v>
      </c>
    </row>
    <row r="831" spans="1:18" x14ac:dyDescent="0.45">
      <c r="A831">
        <f t="shared" ca="1" si="95"/>
        <v>0.62278760192031879</v>
      </c>
      <c r="B831">
        <f t="shared" ca="1" si="95"/>
        <v>1.837092754956154</v>
      </c>
      <c r="D831">
        <f ca="1">SQRT(MAX('HE2'!B830,0))*($G$2+$H$2*A831)</f>
        <v>0.79808708211770352</v>
      </c>
      <c r="E831">
        <f t="shared" ca="1" si="90"/>
        <v>1.6004857345099472</v>
      </c>
      <c r="Q831">
        <f t="shared" ca="1" si="96"/>
        <v>0.63585996554776525</v>
      </c>
      <c r="R831">
        <f t="shared" ca="1" si="96"/>
        <v>-0.83945931617218217</v>
      </c>
    </row>
    <row r="832" spans="1:18" x14ac:dyDescent="0.45">
      <c r="A832">
        <f t="shared" ca="1" si="95"/>
        <v>0.80656920277900412</v>
      </c>
      <c r="B832">
        <f t="shared" ca="1" si="95"/>
        <v>-0.4760093748991493</v>
      </c>
      <c r="D832">
        <f ca="1">SQRT(MAX('HE2'!B831,0))*($G$2+$H$2*A832)</f>
        <v>1.2111702107159847</v>
      </c>
      <c r="E832">
        <f t="shared" ca="1" si="90"/>
        <v>0.35964973728371386</v>
      </c>
      <c r="Q832">
        <f t="shared" ca="1" si="96"/>
        <v>-0.441093505654444</v>
      </c>
      <c r="R832">
        <f t="shared" ca="1" si="96"/>
        <v>1.1211684607423831</v>
      </c>
    </row>
    <row r="833" spans="1:18" x14ac:dyDescent="0.45">
      <c r="A833">
        <f t="shared" ca="1" si="95"/>
        <v>1.0273571490674993</v>
      </c>
      <c r="B833">
        <f t="shared" ca="1" si="95"/>
        <v>0.47161340327691409</v>
      </c>
      <c r="D833">
        <f ca="1">SQRT(MAX('HE2'!B832,0))*($G$2+$H$2*A833)</f>
        <v>1.5922668638700332</v>
      </c>
      <c r="E833">
        <f t="shared" ca="1" si="90"/>
        <v>1.1048537612201479</v>
      </c>
      <c r="Q833">
        <f t="shared" ca="1" si="96"/>
        <v>0.12295544810724421</v>
      </c>
      <c r="R833">
        <f t="shared" ca="1" si="96"/>
        <v>2.2062977997696271</v>
      </c>
    </row>
    <row r="834" spans="1:18" x14ac:dyDescent="0.45">
      <c r="A834">
        <f t="shared" ca="1" si="95"/>
        <v>0.88147158831545025</v>
      </c>
      <c r="B834">
        <f t="shared" ca="1" si="95"/>
        <v>0.16873181977028046</v>
      </c>
      <c r="D834">
        <f ca="1">SQRT(MAX('HE2'!B833,0))*($G$2+$H$2*A834)</f>
        <v>1.5005812095963396</v>
      </c>
      <c r="E834">
        <f t="shared" ref="E834:E897" ca="1" si="97">$I$2+$J$2*(A834*$K$2 + B834*POWER(1-$K$2*$K$2, 0.5))</f>
        <v>0.80641636251452853</v>
      </c>
      <c r="Q834">
        <f t="shared" ca="1" si="96"/>
        <v>0.71295413979833711</v>
      </c>
      <c r="R834">
        <f t="shared" ca="1" si="96"/>
        <v>-0.73540669151323423</v>
      </c>
    </row>
    <row r="835" spans="1:18" x14ac:dyDescent="0.45">
      <c r="A835">
        <f t="shared" ca="1" si="95"/>
        <v>0.19316919570352986</v>
      </c>
      <c r="B835">
        <f t="shared" ca="1" si="95"/>
        <v>0.46885284083986822</v>
      </c>
      <c r="D835">
        <f ca="1">SQRT(MAX('HE2'!B834,0))*($G$2+$H$2*A835)</f>
        <v>0.34996038163388371</v>
      </c>
      <c r="E835">
        <f t="shared" ca="1" si="97"/>
        <v>0.43584706106674476</v>
      </c>
      <c r="Q835">
        <f t="shared" ca="1" si="96"/>
        <v>2.9228605329606228</v>
      </c>
      <c r="R835">
        <f t="shared" ca="1" si="96"/>
        <v>0.75165126151219908</v>
      </c>
    </row>
    <row r="836" spans="1:18" x14ac:dyDescent="0.45">
      <c r="A836">
        <f t="shared" ca="1" si="95"/>
        <v>-0.57542390805075738</v>
      </c>
      <c r="B836">
        <f t="shared" ca="1" si="95"/>
        <v>-1.7672431298401254</v>
      </c>
      <c r="D836">
        <f ca="1">SQRT(MAX('HE2'!B835,0))*($G$2+$H$2*A836)</f>
        <v>-1.0740077191504882</v>
      </c>
      <c r="E836">
        <f t="shared" ca="1" si="97"/>
        <v>-1.5206850043446809</v>
      </c>
      <c r="Q836">
        <f t="shared" ca="1" si="96"/>
        <v>-0.180985588414624</v>
      </c>
      <c r="R836">
        <f t="shared" ca="1" si="96"/>
        <v>1.0129194948872198</v>
      </c>
    </row>
    <row r="837" spans="1:18" x14ac:dyDescent="0.45">
      <c r="A837">
        <f t="shared" ca="1" si="95"/>
        <v>4.7240069481568329E-2</v>
      </c>
      <c r="B837">
        <f t="shared" ca="1" si="95"/>
        <v>-0.17991659756434472</v>
      </c>
      <c r="D837">
        <f ca="1">SQRT(MAX('HE2'!B836,0))*($G$2+$H$2*A837)</f>
        <v>7.6066624494880136E-2</v>
      </c>
      <c r="E837">
        <f t="shared" ca="1" si="97"/>
        <v>-7.0157902953352141E-2</v>
      </c>
      <c r="Q837">
        <f t="shared" ca="1" si="96"/>
        <v>0.81381540390002904</v>
      </c>
      <c r="R837">
        <f t="shared" ca="1" si="96"/>
        <v>0.11347056908149994</v>
      </c>
    </row>
    <row r="838" spans="1:18" x14ac:dyDescent="0.45">
      <c r="A838">
        <f t="shared" ca="1" si="95"/>
        <v>1.1313443097738451</v>
      </c>
      <c r="B838">
        <f t="shared" ca="1" si="95"/>
        <v>0.35359511192058768</v>
      </c>
      <c r="D838">
        <f ca="1">SQRT(MAX('HE2'!B837,0))*($G$2+$H$2*A838)</f>
        <v>1.802111382844056</v>
      </c>
      <c r="E838">
        <f t="shared" ca="1" si="97"/>
        <v>1.1172325149714286</v>
      </c>
      <c r="Q838">
        <f t="shared" ca="1" si="96"/>
        <v>0.41801060692423569</v>
      </c>
      <c r="R838">
        <f t="shared" ca="1" si="96"/>
        <v>0.89481085296338436</v>
      </c>
    </row>
    <row r="839" spans="1:18" x14ac:dyDescent="0.45">
      <c r="A839">
        <f t="shared" ca="1" si="95"/>
        <v>0.69252252929433045</v>
      </c>
      <c r="B839">
        <f t="shared" ca="1" si="95"/>
        <v>-0.99457798743727799</v>
      </c>
      <c r="D839">
        <f ca="1">SQRT(MAX('HE2'!B838,0))*($G$2+$H$2*A839)</f>
        <v>1.2095818252983586</v>
      </c>
      <c r="E839">
        <f t="shared" ca="1" si="97"/>
        <v>-4.2728769026902258E-2</v>
      </c>
      <c r="Q839">
        <f t="shared" ca="1" si="96"/>
        <v>7.1969684929739652E-2</v>
      </c>
      <c r="R839">
        <f t="shared" ca="1" si="96"/>
        <v>-0.48359000562830395</v>
      </c>
    </row>
    <row r="840" spans="1:18" x14ac:dyDescent="0.45">
      <c r="A840">
        <f t="shared" ca="1" si="95"/>
        <v>2.365295198013488</v>
      </c>
      <c r="B840">
        <f t="shared" ca="1" si="95"/>
        <v>-1.3333826819275743</v>
      </c>
      <c r="D840">
        <f ca="1">SQRT(MAX('HE2'!B839,0))*($G$2+$H$2*A840)</f>
        <v>4.0951632073923108</v>
      </c>
      <c r="E840">
        <f t="shared" ca="1" si="97"/>
        <v>1.0922065492542461</v>
      </c>
      <c r="Q840">
        <f t="shared" ca="1" si="96"/>
        <v>-4.2593409527336597E-2</v>
      </c>
      <c r="R840">
        <f t="shared" ca="1" si="96"/>
        <v>-8.3790803230321356E-2</v>
      </c>
    </row>
    <row r="841" spans="1:18" x14ac:dyDescent="0.45">
      <c r="A841">
        <f t="shared" ca="1" si="95"/>
        <v>2.6036081605930968E-2</v>
      </c>
      <c r="B841">
        <f t="shared" ca="1" si="95"/>
        <v>0.78988556286936185</v>
      </c>
      <c r="D841">
        <f ca="1">SQRT(MAX('HE2'!B840,0))*($G$2+$H$2*A841)</f>
        <v>4.8953384079868489E-2</v>
      </c>
      <c r="E841">
        <f t="shared" ca="1" si="97"/>
        <v>0.49476020300636175</v>
      </c>
      <c r="Q841">
        <f t="shared" ca="1" si="96"/>
        <v>-0.40035916230204238</v>
      </c>
      <c r="R841">
        <f t="shared" ca="1" si="96"/>
        <v>0.26048683677043427</v>
      </c>
    </row>
    <row r="842" spans="1:18" x14ac:dyDescent="0.45">
      <c r="A842">
        <f t="shared" ref="A842:B861" ca="1" si="98">NORMINV(RAND(),0,1)</f>
        <v>-0.10350972090607781</v>
      </c>
      <c r="B842">
        <f t="shared" ca="1" si="98"/>
        <v>7.2566460074760059E-2</v>
      </c>
      <c r="D842">
        <f ca="1">SQRT(MAX('HE2'!B841,0))*($G$2+$H$2*A842)</f>
        <v>-0.20108190681337906</v>
      </c>
      <c r="E842">
        <f t="shared" ca="1" si="97"/>
        <v>-3.9267900680006226E-2</v>
      </c>
      <c r="Q842">
        <f t="shared" ref="Q842:R861" ca="1" si="99">NORMINV(RAND(),0,1)</f>
        <v>-0.38901924053255438</v>
      </c>
      <c r="R842">
        <f t="shared" ca="1" si="99"/>
        <v>1.1013980466186517</v>
      </c>
    </row>
    <row r="843" spans="1:18" x14ac:dyDescent="0.45">
      <c r="A843">
        <f t="shared" ca="1" si="98"/>
        <v>0.28253964191012265</v>
      </c>
      <c r="B843">
        <f t="shared" ca="1" si="98"/>
        <v>-0.25311340698200469</v>
      </c>
      <c r="D843">
        <f ca="1">SQRT(MAX('HE2'!B842,0))*($G$2+$H$2*A843)</f>
        <v>0.54389785005833813</v>
      </c>
      <c r="E843">
        <f t="shared" ca="1" si="97"/>
        <v>7.4163669338895372E-2</v>
      </c>
      <c r="Q843">
        <f t="shared" ca="1" si="99"/>
        <v>5.2565110393772027E-2</v>
      </c>
      <c r="R843">
        <f t="shared" ca="1" si="99"/>
        <v>1.0855132284165945</v>
      </c>
    </row>
    <row r="844" spans="1:18" x14ac:dyDescent="0.45">
      <c r="A844">
        <f t="shared" ca="1" si="98"/>
        <v>-0.92216802602761261</v>
      </c>
      <c r="B844">
        <f t="shared" ca="1" si="98"/>
        <v>0.5312109925064491</v>
      </c>
      <c r="D844">
        <f ca="1">SQRT(MAX('HE2'!B843,0))*($G$2+$H$2*A844)</f>
        <v>-1.7749594086273586</v>
      </c>
      <c r="E844">
        <f t="shared" ca="1" si="97"/>
        <v>-0.41900782531822078</v>
      </c>
      <c r="Q844">
        <f t="shared" ca="1" si="99"/>
        <v>-0.56077199611649187</v>
      </c>
      <c r="R844">
        <f t="shared" ca="1" si="99"/>
        <v>1.1746236162787791</v>
      </c>
    </row>
    <row r="845" spans="1:18" x14ac:dyDescent="0.45">
      <c r="A845">
        <f t="shared" ca="1" si="98"/>
        <v>-0.31892271810988382</v>
      </c>
      <c r="B845">
        <f t="shared" ca="1" si="98"/>
        <v>0.74801023580897386</v>
      </c>
      <c r="D845">
        <f ca="1">SQRT(MAX('HE2'!B844,0))*($G$2+$H$2*A845)</f>
        <v>-0.58970155687987469</v>
      </c>
      <c r="E845">
        <f t="shared" ca="1" si="97"/>
        <v>0.19366796699747718</v>
      </c>
      <c r="Q845">
        <f t="shared" ca="1" si="99"/>
        <v>-0.23359025462665489</v>
      </c>
      <c r="R845">
        <f t="shared" ca="1" si="99"/>
        <v>-0.28900702069558226</v>
      </c>
    </row>
    <row r="846" spans="1:18" x14ac:dyDescent="0.45">
      <c r="A846">
        <f t="shared" ca="1" si="98"/>
        <v>-1.1497192097074</v>
      </c>
      <c r="B846">
        <f t="shared" ca="1" si="98"/>
        <v>-0.13973915612618734</v>
      </c>
      <c r="D846">
        <f ca="1">SQRT(MAX('HE2'!B845,0))*($G$2+$H$2*A846)</f>
        <v>-2.1473221386340473</v>
      </c>
      <c r="E846">
        <f t="shared" ca="1" si="97"/>
        <v>-1.0036188614416324</v>
      </c>
      <c r="Q846">
        <f t="shared" ca="1" si="99"/>
        <v>-1.1565065136672674</v>
      </c>
      <c r="R846">
        <f t="shared" ca="1" si="99"/>
        <v>-0.5594016330601409</v>
      </c>
    </row>
    <row r="847" spans="1:18" x14ac:dyDescent="0.45">
      <c r="A847">
        <f t="shared" ca="1" si="98"/>
        <v>-1.1932615697816811</v>
      </c>
      <c r="B847">
        <f t="shared" ca="1" si="98"/>
        <v>-1.0159454338786116</v>
      </c>
      <c r="D847">
        <f ca="1">SQRT(MAX('HE2'!B846,0))*($G$2+$H$2*A847)</f>
        <v>-2.0272958899790843</v>
      </c>
      <c r="E847">
        <f t="shared" ca="1" si="97"/>
        <v>-1.5641765161525116</v>
      </c>
      <c r="Q847">
        <f t="shared" ca="1" si="99"/>
        <v>0.42847454943385777</v>
      </c>
      <c r="R847">
        <f t="shared" ca="1" si="99"/>
        <v>0.28194057164385866</v>
      </c>
    </row>
    <row r="848" spans="1:18" x14ac:dyDescent="0.45">
      <c r="A848">
        <f t="shared" ca="1" si="98"/>
        <v>0.22716684618915928</v>
      </c>
      <c r="B848">
        <f t="shared" ca="1" si="98"/>
        <v>-0.33177683773644251</v>
      </c>
      <c r="D848">
        <f ca="1">SQRT(MAX('HE2'!B847,0))*($G$2+$H$2*A848)</f>
        <v>0.32618367754412725</v>
      </c>
      <c r="E848">
        <f t="shared" ca="1" si="97"/>
        <v>-1.7332625690538034E-2</v>
      </c>
      <c r="Q848">
        <f t="shared" ca="1" si="99"/>
        <v>-3.3039309872682692</v>
      </c>
      <c r="R848">
        <f t="shared" ca="1" si="99"/>
        <v>-1.7812340576514174</v>
      </c>
    </row>
    <row r="849" spans="1:18" x14ac:dyDescent="0.45">
      <c r="A849">
        <f t="shared" ca="1" si="98"/>
        <v>1.042932610471887</v>
      </c>
      <c r="B849">
        <f t="shared" ca="1" si="98"/>
        <v>0.6228729591890344</v>
      </c>
      <c r="D849">
        <f ca="1">SQRT(MAX('HE2'!B848,0))*($G$2+$H$2*A849)</f>
        <v>1.4908137057974242</v>
      </c>
      <c r="E849">
        <f t="shared" ca="1" si="97"/>
        <v>1.2080698638909302</v>
      </c>
      <c r="Q849">
        <f t="shared" ca="1" si="99"/>
        <v>1.5171744797642135</v>
      </c>
      <c r="R849">
        <f t="shared" ca="1" si="99"/>
        <v>1.1629133448944977</v>
      </c>
    </row>
    <row r="850" spans="1:18" x14ac:dyDescent="0.45">
      <c r="A850">
        <f t="shared" ca="1" si="98"/>
        <v>1.6342381169311317</v>
      </c>
      <c r="B850">
        <f t="shared" ca="1" si="98"/>
        <v>-0.84997856786551251</v>
      </c>
      <c r="D850">
        <f ca="1">SQRT(MAX('HE2'!B849,0))*($G$2+$H$2*A850)</f>
        <v>2.610064120978576</v>
      </c>
      <c r="E850">
        <f t="shared" ca="1" si="97"/>
        <v>0.79740335282559804</v>
      </c>
      <c r="Q850">
        <f t="shared" ca="1" si="99"/>
        <v>0.76141722261988209</v>
      </c>
      <c r="R850">
        <f t="shared" ca="1" si="99"/>
        <v>-0.46859418456532231</v>
      </c>
    </row>
    <row r="851" spans="1:18" x14ac:dyDescent="0.45">
      <c r="A851">
        <f t="shared" ca="1" si="98"/>
        <v>9.0013394120871185E-2</v>
      </c>
      <c r="B851">
        <f t="shared" ca="1" si="98"/>
        <v>1.4710491197948914</v>
      </c>
      <c r="D851">
        <f ca="1">SQRT(MAX('HE2'!B850,0))*($G$2+$H$2*A851)</f>
        <v>0.15360642486386258</v>
      </c>
      <c r="E851">
        <f t="shared" ca="1" si="97"/>
        <v>0.95464018717363164</v>
      </c>
      <c r="Q851">
        <f t="shared" ca="1" si="99"/>
        <v>-0.75205195927758228</v>
      </c>
      <c r="R851">
        <f t="shared" ca="1" si="99"/>
        <v>0.62281125960076733</v>
      </c>
    </row>
    <row r="852" spans="1:18" x14ac:dyDescent="0.45">
      <c r="A852">
        <f t="shared" ca="1" si="98"/>
        <v>1.2253941354842803</v>
      </c>
      <c r="B852">
        <f t="shared" ca="1" si="98"/>
        <v>0.95478569521472278</v>
      </c>
      <c r="D852">
        <f ca="1">SQRT(MAX('HE2'!B851,0))*($G$2+$H$2*A852)</f>
        <v>2.2504715013622576</v>
      </c>
      <c r="E852">
        <f t="shared" ca="1" si="97"/>
        <v>1.5531867255162579</v>
      </c>
      <c r="Q852">
        <f t="shared" ca="1" si="99"/>
        <v>-0.84959724958898941</v>
      </c>
      <c r="R852">
        <f t="shared" ca="1" si="99"/>
        <v>-1.3864151665861331</v>
      </c>
    </row>
    <row r="853" spans="1:18" x14ac:dyDescent="0.45">
      <c r="A853">
        <f t="shared" ca="1" si="98"/>
        <v>0.43935801405094044</v>
      </c>
      <c r="B853">
        <f t="shared" ca="1" si="98"/>
        <v>-2.1423261326194769</v>
      </c>
      <c r="D853">
        <f ca="1">SQRT(MAX('HE2'!B852,0))*($G$2+$H$2*A853)</f>
        <v>0.89949264375772031</v>
      </c>
      <c r="E853">
        <f t="shared" ca="1" si="97"/>
        <v>-0.93390926833093357</v>
      </c>
      <c r="Q853">
        <f t="shared" ca="1" si="99"/>
        <v>-0.3815532487594025</v>
      </c>
      <c r="R853">
        <f t="shared" ca="1" si="99"/>
        <v>2.4591246637949342</v>
      </c>
    </row>
    <row r="854" spans="1:18" x14ac:dyDescent="0.45">
      <c r="A854">
        <f t="shared" ca="1" si="98"/>
        <v>5.2815513874715413E-2</v>
      </c>
      <c r="B854">
        <f t="shared" ca="1" si="98"/>
        <v>0.61545281016429565</v>
      </c>
      <c r="D854">
        <f ca="1">SQRT(MAX('HE2'!B853,0))*($G$2+$H$2*A854)</f>
        <v>9.9711384536938133E-2</v>
      </c>
      <c r="E854">
        <f t="shared" ca="1" si="97"/>
        <v>0.41152409719834965</v>
      </c>
      <c r="Q854">
        <f t="shared" ca="1" si="99"/>
        <v>-0.71579963792226031</v>
      </c>
      <c r="R854">
        <f t="shared" ca="1" si="99"/>
        <v>-0.52466474390116469</v>
      </c>
    </row>
    <row r="855" spans="1:18" x14ac:dyDescent="0.45">
      <c r="A855">
        <f t="shared" ca="1" si="98"/>
        <v>-0.41154178507628086</v>
      </c>
      <c r="B855">
        <f t="shared" ca="1" si="98"/>
        <v>-0.47940687497295276</v>
      </c>
      <c r="D855">
        <f ca="1">SQRT(MAX('HE2'!B854,0))*($G$2+$H$2*A855)</f>
        <v>-0.79761603772498546</v>
      </c>
      <c r="E855">
        <f t="shared" ca="1" si="97"/>
        <v>-0.6168775530447963</v>
      </c>
      <c r="Q855">
        <f t="shared" ca="1" si="99"/>
        <v>0.54478768661977506</v>
      </c>
      <c r="R855">
        <f t="shared" ca="1" si="99"/>
        <v>1.538239810569648</v>
      </c>
    </row>
    <row r="856" spans="1:18" x14ac:dyDescent="0.45">
      <c r="A856">
        <f t="shared" ca="1" si="98"/>
        <v>-1.0497218658505016</v>
      </c>
      <c r="B856">
        <f t="shared" ca="1" si="98"/>
        <v>0.33504818793965419</v>
      </c>
      <c r="D856">
        <f ca="1">SQRT(MAX('HE2'!B855,0))*($G$2+$H$2*A856)</f>
        <v>-1.9220990649250826</v>
      </c>
      <c r="E856">
        <f t="shared" ca="1" si="97"/>
        <v>-0.63874857991660883</v>
      </c>
      <c r="Q856">
        <f t="shared" ca="1" si="99"/>
        <v>-0.16326026844849312</v>
      </c>
      <c r="R856">
        <f t="shared" ca="1" si="99"/>
        <v>0.62100017457936518</v>
      </c>
    </row>
    <row r="857" spans="1:18" x14ac:dyDescent="0.45">
      <c r="A857">
        <f t="shared" ca="1" si="98"/>
        <v>-0.75686359307002704</v>
      </c>
      <c r="B857">
        <f t="shared" ca="1" si="98"/>
        <v>0.45968335434232377</v>
      </c>
      <c r="D857">
        <f ca="1">SQRT(MAX('HE2'!B856,0))*($G$2+$H$2*A857)</f>
        <v>-1.3032790993261376</v>
      </c>
      <c r="E857">
        <f t="shared" ca="1" si="97"/>
        <v>-0.3296808618506275</v>
      </c>
      <c r="Q857">
        <f t="shared" ca="1" si="99"/>
        <v>0.76388082006188074</v>
      </c>
      <c r="R857">
        <f t="shared" ca="1" si="99"/>
        <v>0.80361839722655903</v>
      </c>
    </row>
    <row r="858" spans="1:18" x14ac:dyDescent="0.45">
      <c r="A858">
        <f t="shared" ca="1" si="98"/>
        <v>0.94569223858697116</v>
      </c>
      <c r="B858">
        <f t="shared" ca="1" si="98"/>
        <v>0.13259808549214777</v>
      </c>
      <c r="D858">
        <f ca="1">SQRT(MAX('HE2'!B857,0))*($G$2+$H$2*A858)</f>
        <v>1.5727405017990599</v>
      </c>
      <c r="E858">
        <f t="shared" ca="1" si="97"/>
        <v>0.83611264216486558</v>
      </c>
      <c r="Q858">
        <f t="shared" ca="1" si="99"/>
        <v>1.3236785153928858</v>
      </c>
      <c r="R858">
        <f t="shared" ca="1" si="99"/>
        <v>-1.3115240511665114</v>
      </c>
    </row>
    <row r="859" spans="1:18" x14ac:dyDescent="0.45">
      <c r="A859">
        <f t="shared" ca="1" si="98"/>
        <v>0.85941113415101045</v>
      </c>
      <c r="B859">
        <f t="shared" ca="1" si="98"/>
        <v>0.93942580483657689</v>
      </c>
      <c r="D859">
        <f ca="1">SQRT(MAX('HE2'!B858,0))*($G$2+$H$2*A859)</f>
        <v>1.5272061841475699</v>
      </c>
      <c r="E859">
        <f t="shared" ca="1" si="97"/>
        <v>1.2511843902227544</v>
      </c>
      <c r="Q859">
        <f t="shared" ca="1" si="99"/>
        <v>0.60155558513721619</v>
      </c>
      <c r="R859">
        <f t="shared" ca="1" si="99"/>
        <v>-0.90380691437049021</v>
      </c>
    </row>
    <row r="860" spans="1:18" x14ac:dyDescent="0.45">
      <c r="A860">
        <f t="shared" ca="1" si="98"/>
        <v>0.76771324104401495</v>
      </c>
      <c r="B860">
        <f t="shared" ca="1" si="98"/>
        <v>1.1760079955643237</v>
      </c>
      <c r="D860">
        <f ca="1">SQRT(MAX('HE2'!B859,0))*($G$2+$H$2*A860)</f>
        <v>1.4949715188394006</v>
      </c>
      <c r="E860">
        <f t="shared" ca="1" si="97"/>
        <v>1.3197753901738061</v>
      </c>
      <c r="Q860">
        <f t="shared" ca="1" si="99"/>
        <v>-1.7253574047394424</v>
      </c>
      <c r="R860">
        <f t="shared" ca="1" si="99"/>
        <v>-0.61076033566164023</v>
      </c>
    </row>
    <row r="861" spans="1:18" x14ac:dyDescent="0.45">
      <c r="A861">
        <f t="shared" ca="1" si="98"/>
        <v>0.43303155772729213</v>
      </c>
      <c r="B861">
        <f t="shared" ca="1" si="98"/>
        <v>1.6596057291038382</v>
      </c>
      <c r="D861">
        <f ca="1">SQRT(MAX('HE2'!B860,0))*($G$2+$H$2*A861)</f>
        <v>0.92037540983513388</v>
      </c>
      <c r="E861">
        <f t="shared" ca="1" si="97"/>
        <v>1.3421886836441363</v>
      </c>
      <c r="Q861">
        <f t="shared" ca="1" si="99"/>
        <v>0.90384533275869927</v>
      </c>
      <c r="R861">
        <f t="shared" ca="1" si="99"/>
        <v>-0.46363921210959025</v>
      </c>
    </row>
    <row r="862" spans="1:18" x14ac:dyDescent="0.45">
      <c r="A862">
        <f t="shared" ref="A862:B881" ca="1" si="100">NORMINV(RAND(),0,1)</f>
        <v>-3.599623116032602E-2</v>
      </c>
      <c r="B862">
        <f t="shared" ca="1" si="100"/>
        <v>7.7768571477039125E-2</v>
      </c>
      <c r="D862">
        <f ca="1">SQRT(MAX('HE2'!B861,0))*($G$2+$H$2*A862)</f>
        <v>-8.2972366551695514E-2</v>
      </c>
      <c r="E862">
        <f t="shared" ca="1" si="97"/>
        <v>1.7864157957962649E-2</v>
      </c>
      <c r="Q862">
        <f t="shared" ref="Q862:R881" ca="1" si="101">NORMINV(RAND(),0,1)</f>
        <v>-1.0789450511013379</v>
      </c>
      <c r="R862">
        <f t="shared" ca="1" si="101"/>
        <v>-0.96153578513082372</v>
      </c>
    </row>
    <row r="863" spans="1:18" x14ac:dyDescent="0.45">
      <c r="A863">
        <f t="shared" ca="1" si="100"/>
        <v>-9.2407993140742953E-2</v>
      </c>
      <c r="B863">
        <f t="shared" ca="1" si="100"/>
        <v>-0.69951207276290761</v>
      </c>
      <c r="D863">
        <f ca="1">SQRT(MAX('HE2'!B862,0))*($G$2+$H$2*A863)</f>
        <v>-0.21172359137244795</v>
      </c>
      <c r="E863">
        <f t="shared" ca="1" si="97"/>
        <v>-0.49363363817033884</v>
      </c>
      <c r="Q863">
        <f t="shared" ca="1" si="101"/>
        <v>1.4132588990826989</v>
      </c>
      <c r="R863">
        <f t="shared" ca="1" si="101"/>
        <v>0.44843539571278346</v>
      </c>
    </row>
    <row r="864" spans="1:18" x14ac:dyDescent="0.45">
      <c r="A864">
        <f t="shared" ca="1" si="100"/>
        <v>0.90353414415783573</v>
      </c>
      <c r="B864">
        <f t="shared" ca="1" si="100"/>
        <v>-0.61146627483342419</v>
      </c>
      <c r="D864">
        <f ca="1">SQRT(MAX('HE2'!B863,0))*($G$2+$H$2*A864)</f>
        <v>1.9868496344443543</v>
      </c>
      <c r="E864">
        <f t="shared" ca="1" si="97"/>
        <v>0.35594755042621423</v>
      </c>
      <c r="Q864">
        <f t="shared" ca="1" si="101"/>
        <v>-0.20215488583596061</v>
      </c>
      <c r="R864">
        <f t="shared" ca="1" si="101"/>
        <v>1.517319457963056</v>
      </c>
    </row>
    <row r="865" spans="1:18" x14ac:dyDescent="0.45">
      <c r="A865">
        <f t="shared" ca="1" si="100"/>
        <v>1.3041950977624326</v>
      </c>
      <c r="B865">
        <f t="shared" ca="1" si="100"/>
        <v>0.89263812944660792</v>
      </c>
      <c r="D865">
        <f ca="1">SQRT(MAX('HE2'!B864,0))*($G$2+$H$2*A865)</f>
        <v>2.9173967727879826</v>
      </c>
      <c r="E865">
        <f t="shared" ca="1" si="97"/>
        <v>1.5789389558779106</v>
      </c>
      <c r="Q865">
        <f t="shared" ca="1" si="101"/>
        <v>-0.16923823869800039</v>
      </c>
      <c r="R865">
        <f t="shared" ca="1" si="101"/>
        <v>-1.2552215316604369</v>
      </c>
    </row>
    <row r="866" spans="1:18" x14ac:dyDescent="0.45">
      <c r="A866">
        <f t="shared" ca="1" si="100"/>
        <v>-1.6638485375950449</v>
      </c>
      <c r="B866">
        <f t="shared" ca="1" si="100"/>
        <v>-0.16564626414551528</v>
      </c>
      <c r="D866">
        <f ca="1">SQRT(MAX('HE2'!B865,0))*($G$2+$H$2*A866)</f>
        <v>-4.0734237192250857</v>
      </c>
      <c r="E866">
        <f t="shared" ca="1" si="97"/>
        <v>-1.4304665885633452</v>
      </c>
      <c r="Q866">
        <f t="shared" ca="1" si="101"/>
        <v>0.29924815358801765</v>
      </c>
      <c r="R866">
        <f t="shared" ca="1" si="101"/>
        <v>-1.2563868984035826</v>
      </c>
    </row>
    <row r="867" spans="1:18" x14ac:dyDescent="0.45">
      <c r="A867">
        <f t="shared" ca="1" si="100"/>
        <v>0.89356258394966448</v>
      </c>
      <c r="B867">
        <f t="shared" ca="1" si="100"/>
        <v>0.31338249584874334</v>
      </c>
      <c r="D867">
        <f ca="1">SQRT(MAX('HE2'!B866,0))*($G$2+$H$2*A867)</f>
        <v>1.9685632151075181</v>
      </c>
      <c r="E867">
        <f t="shared" ca="1" si="97"/>
        <v>0.90287956466897756</v>
      </c>
      <c r="Q867">
        <f t="shared" ca="1" si="101"/>
        <v>-0.21942910607753996</v>
      </c>
      <c r="R867">
        <f t="shared" ca="1" si="101"/>
        <v>1.9586345585665708</v>
      </c>
    </row>
    <row r="868" spans="1:18" x14ac:dyDescent="0.45">
      <c r="A868">
        <f t="shared" ca="1" si="100"/>
        <v>-0.78331627946764204</v>
      </c>
      <c r="B868">
        <f t="shared" ca="1" si="100"/>
        <v>0.42402382414023049</v>
      </c>
      <c r="D868">
        <f ca="1">SQRT(MAX('HE2'!B867,0))*($G$2+$H$2*A868)</f>
        <v>-1.8174551866275179</v>
      </c>
      <c r="E868">
        <f t="shared" ca="1" si="97"/>
        <v>-0.37223872908997546</v>
      </c>
      <c r="Q868">
        <f t="shared" ca="1" si="101"/>
        <v>-0.57785348669986847</v>
      </c>
      <c r="R868">
        <f t="shared" ca="1" si="101"/>
        <v>-1.1532003938641229</v>
      </c>
    </row>
    <row r="869" spans="1:18" x14ac:dyDescent="0.45">
      <c r="A869">
        <f t="shared" ca="1" si="100"/>
        <v>0.27687765902185851</v>
      </c>
      <c r="B869">
        <f t="shared" ca="1" si="100"/>
        <v>-0.14373204975800408</v>
      </c>
      <c r="D869">
        <f ca="1">SQRT(MAX('HE2'!B868,0))*($G$2+$H$2*A869)</f>
        <v>0.6220114331267812</v>
      </c>
      <c r="E869">
        <f t="shared" ca="1" si="97"/>
        <v>0.1352628973626844</v>
      </c>
      <c r="Q869">
        <f t="shared" ca="1" si="101"/>
        <v>0.41115534751585919</v>
      </c>
      <c r="R869">
        <f t="shared" ca="1" si="101"/>
        <v>-0.76528682803761783</v>
      </c>
    </row>
    <row r="870" spans="1:18" x14ac:dyDescent="0.45">
      <c r="A870">
        <f t="shared" ca="1" si="100"/>
        <v>-0.97189810285561973</v>
      </c>
      <c r="B870">
        <f t="shared" ca="1" si="100"/>
        <v>-0.29440617831270194</v>
      </c>
      <c r="D870">
        <f ca="1">SQRT(MAX('HE2'!B869,0))*($G$2+$H$2*A870)</f>
        <v>-2.1878175551476473</v>
      </c>
      <c r="E870">
        <f t="shared" ca="1" si="97"/>
        <v>-0.95416218927211693</v>
      </c>
      <c r="Q870">
        <f t="shared" ca="1" si="101"/>
        <v>-0.86703944873424632</v>
      </c>
      <c r="R870">
        <f t="shared" ca="1" si="101"/>
        <v>1.6651111664280542</v>
      </c>
    </row>
    <row r="871" spans="1:18" x14ac:dyDescent="0.45">
      <c r="A871">
        <f t="shared" ca="1" si="100"/>
        <v>-1.3977201386063587</v>
      </c>
      <c r="B871">
        <f t="shared" ca="1" si="100"/>
        <v>6.3886366421082048E-3</v>
      </c>
      <c r="D871">
        <f ca="1">SQRT(MAX('HE2'!B870,0))*($G$2+$H$2*A871)</f>
        <v>-2.9158134982003072</v>
      </c>
      <c r="E871">
        <f t="shared" ca="1" si="97"/>
        <v>-1.1143429288998221</v>
      </c>
      <c r="Q871">
        <f t="shared" ca="1" si="101"/>
        <v>1.4308618224475687</v>
      </c>
      <c r="R871">
        <f t="shared" ca="1" si="101"/>
        <v>-0.39533677073538565</v>
      </c>
    </row>
    <row r="872" spans="1:18" x14ac:dyDescent="0.45">
      <c r="A872">
        <f t="shared" ca="1" si="100"/>
        <v>0.312737883737921</v>
      </c>
      <c r="B872">
        <f t="shared" ca="1" si="100"/>
        <v>-1.9352417096699526</v>
      </c>
      <c r="D872">
        <f ca="1">SQRT(MAX('HE2'!B871,0))*($G$2+$H$2*A872)</f>
        <v>0.59319171741069077</v>
      </c>
      <c r="E872">
        <f t="shared" ca="1" si="97"/>
        <v>-0.91095471881163448</v>
      </c>
      <c r="Q872">
        <f t="shared" ca="1" si="101"/>
        <v>-3.43348581262422E-2</v>
      </c>
      <c r="R872">
        <f t="shared" ca="1" si="101"/>
        <v>1.4883265819363294</v>
      </c>
    </row>
    <row r="873" spans="1:18" x14ac:dyDescent="0.45">
      <c r="A873">
        <f t="shared" ca="1" si="100"/>
        <v>8.6003708178902544E-2</v>
      </c>
      <c r="B873">
        <f t="shared" ca="1" si="100"/>
        <v>0.81361327914489856</v>
      </c>
      <c r="D873">
        <f ca="1">SQRT(MAX('HE2'!B872,0))*($G$2+$H$2*A873)</f>
        <v>0.14989553031012331</v>
      </c>
      <c r="E873">
        <f t="shared" ca="1" si="97"/>
        <v>0.55697093403006104</v>
      </c>
      <c r="Q873">
        <f t="shared" ca="1" si="101"/>
        <v>1.0327767102182903</v>
      </c>
      <c r="R873">
        <f t="shared" ca="1" si="101"/>
        <v>0.68723535517274303</v>
      </c>
    </row>
    <row r="874" spans="1:18" x14ac:dyDescent="0.45">
      <c r="A874">
        <f t="shared" ca="1" si="100"/>
        <v>-0.36549602485099975</v>
      </c>
      <c r="B874">
        <f t="shared" ca="1" si="100"/>
        <v>0.39782800327276935</v>
      </c>
      <c r="D874">
        <f ca="1">SQRT(MAX('HE2'!B873,0))*($G$2+$H$2*A874)</f>
        <v>-0.66379793108181617</v>
      </c>
      <c r="E874">
        <f t="shared" ca="1" si="97"/>
        <v>-5.3700017917138243E-2</v>
      </c>
      <c r="Q874">
        <f t="shared" ca="1" si="101"/>
        <v>0.60158935330217778</v>
      </c>
      <c r="R874">
        <f t="shared" ca="1" si="101"/>
        <v>-0.44097457144593377</v>
      </c>
    </row>
    <row r="875" spans="1:18" x14ac:dyDescent="0.45">
      <c r="A875">
        <f t="shared" ca="1" si="100"/>
        <v>-0.36043675646591555</v>
      </c>
      <c r="B875">
        <f t="shared" ca="1" si="100"/>
        <v>-0.67171490727817929</v>
      </c>
      <c r="D875">
        <f ca="1">SQRT(MAX('HE2'!B874,0))*($G$2+$H$2*A875)</f>
        <v>-0.64813155522548782</v>
      </c>
      <c r="E875">
        <f t="shared" ca="1" si="97"/>
        <v>-0.69137834953963995</v>
      </c>
      <c r="Q875">
        <f t="shared" ca="1" si="101"/>
        <v>1.6370052831814459</v>
      </c>
      <c r="R875">
        <f t="shared" ca="1" si="101"/>
        <v>0.24922035813458127</v>
      </c>
    </row>
    <row r="876" spans="1:18" x14ac:dyDescent="0.45">
      <c r="A876">
        <f t="shared" ca="1" si="100"/>
        <v>1.2735625329633051</v>
      </c>
      <c r="B876">
        <f t="shared" ca="1" si="100"/>
        <v>-1.1653458912170527</v>
      </c>
      <c r="D876">
        <f ca="1">SQRT(MAX('HE2'!B875,0))*($G$2+$H$2*A876)</f>
        <v>2.1409856097321276</v>
      </c>
      <c r="E876">
        <f t="shared" ca="1" si="97"/>
        <v>0.3196424916404127</v>
      </c>
      <c r="Q876">
        <f t="shared" ca="1" si="101"/>
        <v>-1.2718793291475805</v>
      </c>
      <c r="R876">
        <f t="shared" ca="1" si="101"/>
        <v>0.88623194480018408</v>
      </c>
    </row>
    <row r="877" spans="1:18" x14ac:dyDescent="0.45">
      <c r="A877">
        <f t="shared" ca="1" si="100"/>
        <v>-0.46863229235976006</v>
      </c>
      <c r="B877">
        <f t="shared" ca="1" si="100"/>
        <v>-0.34526283774161892</v>
      </c>
      <c r="D877">
        <f ca="1">SQRT(MAX('HE2'!B876,0))*($G$2+$H$2*A877)</f>
        <v>-0.80640814467497313</v>
      </c>
      <c r="E877">
        <f t="shared" ca="1" si="97"/>
        <v>-0.58206353653277931</v>
      </c>
      <c r="Q877">
        <f t="shared" ca="1" si="101"/>
        <v>0.2326759740372987</v>
      </c>
      <c r="R877">
        <f t="shared" ca="1" si="101"/>
        <v>1.5649151770876921</v>
      </c>
    </row>
    <row r="878" spans="1:18" x14ac:dyDescent="0.45">
      <c r="A878">
        <f t="shared" ca="1" si="100"/>
        <v>0.9567857662045578</v>
      </c>
      <c r="B878">
        <f t="shared" ca="1" si="100"/>
        <v>1.1257066870068939</v>
      </c>
      <c r="D878">
        <f ca="1">SQRT(MAX('HE2'!B877,0))*($G$2+$H$2*A878)</f>
        <v>1.5521222439030151</v>
      </c>
      <c r="E878">
        <f t="shared" ca="1" si="97"/>
        <v>1.4408526251677825</v>
      </c>
      <c r="Q878">
        <f t="shared" ca="1" si="101"/>
        <v>0.67345305655284005</v>
      </c>
      <c r="R878">
        <f t="shared" ca="1" si="101"/>
        <v>1.6352109399417649</v>
      </c>
    </row>
    <row r="879" spans="1:18" x14ac:dyDescent="0.45">
      <c r="A879">
        <f t="shared" ca="1" si="100"/>
        <v>1.5498899495494345</v>
      </c>
      <c r="B879">
        <f t="shared" ca="1" si="100"/>
        <v>0.6359454601848632</v>
      </c>
      <c r="D879">
        <f ca="1">SQRT(MAX('HE2'!B878,0))*($G$2+$H$2*A879)</f>
        <v>2.8199767548011625</v>
      </c>
      <c r="E879">
        <f t="shared" ca="1" si="97"/>
        <v>1.6214792357504655</v>
      </c>
      <c r="Q879">
        <f t="shared" ca="1" si="101"/>
        <v>-7.7900280308442801E-2</v>
      </c>
      <c r="R879">
        <f t="shared" ca="1" si="101"/>
        <v>-0.25708616661980982</v>
      </c>
    </row>
    <row r="880" spans="1:18" x14ac:dyDescent="0.45">
      <c r="A880">
        <f t="shared" ca="1" si="100"/>
        <v>2.2464024034751948</v>
      </c>
      <c r="B880">
        <f t="shared" ca="1" si="100"/>
        <v>-0.88082264277938083</v>
      </c>
      <c r="D880">
        <f ca="1">SQRT(MAX('HE2'!B879,0))*($G$2+$H$2*A880)</f>
        <v>4.5815571446231251</v>
      </c>
      <c r="E880">
        <f t="shared" ca="1" si="97"/>
        <v>1.2686283371125278</v>
      </c>
      <c r="Q880">
        <f t="shared" ca="1" si="101"/>
        <v>0.14029268213480031</v>
      </c>
      <c r="R880">
        <f t="shared" ca="1" si="101"/>
        <v>2.0045743451747775</v>
      </c>
    </row>
    <row r="881" spans="1:18" x14ac:dyDescent="0.45">
      <c r="A881">
        <f t="shared" ca="1" si="100"/>
        <v>-0.44491428018724566</v>
      </c>
      <c r="B881">
        <f t="shared" ca="1" si="100"/>
        <v>0.74288776988498162</v>
      </c>
      <c r="D881">
        <f ca="1">SQRT(MAX('HE2'!B880,0))*($G$2+$H$2*A881)</f>
        <v>-0.98313826913753877</v>
      </c>
      <c r="E881">
        <f t="shared" ca="1" si="97"/>
        <v>8.9801237781192311E-2</v>
      </c>
      <c r="Q881">
        <f t="shared" ca="1" si="101"/>
        <v>1.3607735248421402</v>
      </c>
      <c r="R881">
        <f t="shared" ca="1" si="101"/>
        <v>-0.21439526301741915</v>
      </c>
    </row>
    <row r="882" spans="1:18" x14ac:dyDescent="0.45">
      <c r="A882">
        <f t="shared" ref="A882:B901" ca="1" si="102">NORMINV(RAND(),0,1)</f>
        <v>2.739609577622546</v>
      </c>
      <c r="B882">
        <f t="shared" ca="1" si="102"/>
        <v>-0.88378737709518695</v>
      </c>
      <c r="D882">
        <f ca="1">SQRT(MAX('HE2'!B881,0))*($G$2+$H$2*A882)</f>
        <v>6.0489104788486019</v>
      </c>
      <c r="E882">
        <f t="shared" ca="1" si="97"/>
        <v>1.6614152358409249</v>
      </c>
      <c r="Q882">
        <f t="shared" ref="Q882:R901" ca="1" si="103">NORMINV(RAND(),0,1)</f>
        <v>1.1801607771070071</v>
      </c>
      <c r="R882">
        <f t="shared" ca="1" si="103"/>
        <v>-0.23836337722926271</v>
      </c>
    </row>
    <row r="883" spans="1:18" x14ac:dyDescent="0.45">
      <c r="A883">
        <f t="shared" ca="1" si="102"/>
        <v>0.39316065809309275</v>
      </c>
      <c r="B883">
        <f t="shared" ca="1" si="102"/>
        <v>-0.34386652774970472</v>
      </c>
      <c r="D883">
        <f ca="1">SQRT(MAX('HE2'!B882,0))*($G$2+$H$2*A883)</f>
        <v>0.95565447162916928</v>
      </c>
      <c r="E883">
        <f t="shared" ca="1" si="97"/>
        <v>0.10820860982465141</v>
      </c>
      <c r="Q883">
        <f t="shared" ca="1" si="103"/>
        <v>1.392594233264995</v>
      </c>
      <c r="R883">
        <f t="shared" ca="1" si="103"/>
        <v>-0.19996431584009131</v>
      </c>
    </row>
    <row r="884" spans="1:18" x14ac:dyDescent="0.45">
      <c r="A884">
        <f t="shared" ca="1" si="102"/>
        <v>-0.33270950190393828</v>
      </c>
      <c r="B884">
        <f t="shared" ca="1" si="102"/>
        <v>0.11404111552310479</v>
      </c>
      <c r="D884">
        <f ca="1">SQRT(MAX('HE2'!B883,0))*($G$2+$H$2*A884)</f>
        <v>-0.80810044700873951</v>
      </c>
      <c r="E884">
        <f t="shared" ca="1" si="97"/>
        <v>-0.19774293220928774</v>
      </c>
      <c r="Q884">
        <f t="shared" ca="1" si="103"/>
        <v>-0.52088315194584445</v>
      </c>
      <c r="R884">
        <f t="shared" ca="1" si="103"/>
        <v>-0.14794567063527242</v>
      </c>
    </row>
    <row r="885" spans="1:18" x14ac:dyDescent="0.45">
      <c r="A885">
        <f t="shared" ca="1" si="102"/>
        <v>1.244529046980525</v>
      </c>
      <c r="B885">
        <f t="shared" ca="1" si="102"/>
        <v>0.68329716443416055</v>
      </c>
      <c r="D885">
        <f ca="1">SQRT(MAX('HE2'!B884,0))*($G$2+$H$2*A885)</f>
        <v>2.9627877542005798</v>
      </c>
      <c r="E885">
        <f t="shared" ca="1" si="97"/>
        <v>1.4056015362449163</v>
      </c>
      <c r="Q885">
        <f t="shared" ca="1" si="103"/>
        <v>0.35465688354072766</v>
      </c>
      <c r="R885">
        <f t="shared" ca="1" si="103"/>
        <v>-1.05062682316633</v>
      </c>
    </row>
    <row r="886" spans="1:18" x14ac:dyDescent="0.45">
      <c r="A886">
        <f t="shared" ca="1" si="102"/>
        <v>0.2650289586624745</v>
      </c>
      <c r="B886">
        <f t="shared" ca="1" si="102"/>
        <v>0.58781358736755662</v>
      </c>
      <c r="D886">
        <f ca="1">SQRT(MAX('HE2'!B885,0))*($G$2+$H$2*A886)</f>
        <v>0.68026717091721267</v>
      </c>
      <c r="E886">
        <f t="shared" ca="1" si="97"/>
        <v>0.56471131935051355</v>
      </c>
      <c r="Q886">
        <f t="shared" ca="1" si="103"/>
        <v>4.5876090330754307E-2</v>
      </c>
      <c r="R886">
        <f t="shared" ca="1" si="103"/>
        <v>-0.61695478076847687</v>
      </c>
    </row>
    <row r="887" spans="1:18" x14ac:dyDescent="0.45">
      <c r="A887">
        <f t="shared" ca="1" si="102"/>
        <v>-0.2733772392402023</v>
      </c>
      <c r="B887">
        <f t="shared" ca="1" si="102"/>
        <v>0.60025803226133412</v>
      </c>
      <c r="D887">
        <f ca="1">SQRT(MAX('HE2'!B886,0))*($G$2+$H$2*A887)</f>
        <v>-0.71922800995041913</v>
      </c>
      <c r="E887">
        <f t="shared" ca="1" si="97"/>
        <v>0.14145302796463854</v>
      </c>
      <c r="Q887">
        <f t="shared" ca="1" si="103"/>
        <v>-0.30313631138263031</v>
      </c>
      <c r="R887">
        <f t="shared" ca="1" si="103"/>
        <v>-0.28654422214475961</v>
      </c>
    </row>
    <row r="888" spans="1:18" x14ac:dyDescent="0.45">
      <c r="A888">
        <f t="shared" ca="1" si="102"/>
        <v>0.35604024300840165</v>
      </c>
      <c r="B888">
        <f t="shared" ca="1" si="102"/>
        <v>0.37352474306109917</v>
      </c>
      <c r="D888">
        <f ca="1">SQRT(MAX('HE2'!B887,0))*($G$2+$H$2*A888)</f>
        <v>0.93694149879714517</v>
      </c>
      <c r="E888">
        <f t="shared" ca="1" si="97"/>
        <v>0.50894704024338078</v>
      </c>
      <c r="Q888">
        <f t="shared" ca="1" si="103"/>
        <v>1.0887756803444566</v>
      </c>
      <c r="R888">
        <f t="shared" ca="1" si="103"/>
        <v>0.27401577180461717</v>
      </c>
    </row>
    <row r="889" spans="1:18" x14ac:dyDescent="0.45">
      <c r="A889">
        <f t="shared" ca="1" si="102"/>
        <v>-0.6057560781530732</v>
      </c>
      <c r="B889">
        <f t="shared" ca="1" si="102"/>
        <v>-0.62601079624096945</v>
      </c>
      <c r="D889">
        <f ca="1">SQRT(MAX('HE2'!B888,0))*($G$2+$H$2*A889)</f>
        <v>-1.6275206944808602</v>
      </c>
      <c r="E889">
        <f t="shared" ca="1" si="97"/>
        <v>-0.86021134026704016</v>
      </c>
      <c r="Q889">
        <f t="shared" ca="1" si="103"/>
        <v>0.69923127703524024</v>
      </c>
      <c r="R889">
        <f t="shared" ca="1" si="103"/>
        <v>-0.57000752454288084</v>
      </c>
    </row>
    <row r="890" spans="1:18" x14ac:dyDescent="0.45">
      <c r="A890">
        <f t="shared" ca="1" si="102"/>
        <v>-0.21355495082181306</v>
      </c>
      <c r="B890">
        <f t="shared" ca="1" si="102"/>
        <v>-1.0664246216066011</v>
      </c>
      <c r="D890">
        <f ca="1">SQRT(MAX('HE2'!B889,0))*($G$2+$H$2*A890)</f>
        <v>-0.5407291944097975</v>
      </c>
      <c r="E890">
        <f t="shared" ca="1" si="97"/>
        <v>-0.81069873362141098</v>
      </c>
      <c r="Q890">
        <f t="shared" ca="1" si="103"/>
        <v>-0.42274564038469736</v>
      </c>
      <c r="R890">
        <f t="shared" ca="1" si="103"/>
        <v>-1.5614680252431146</v>
      </c>
    </row>
    <row r="891" spans="1:18" x14ac:dyDescent="0.45">
      <c r="A891">
        <f t="shared" ca="1" si="102"/>
        <v>0.31303499003402935</v>
      </c>
      <c r="B891">
        <f t="shared" ca="1" si="102"/>
        <v>1.8499359933452417</v>
      </c>
      <c r="D891">
        <f ca="1">SQRT(MAX('HE2'!B890,0))*($G$2+$H$2*A891)</f>
        <v>0.74719313588300107</v>
      </c>
      <c r="E891">
        <f t="shared" ca="1" si="97"/>
        <v>1.3603895880343682</v>
      </c>
      <c r="Q891">
        <f t="shared" ca="1" si="103"/>
        <v>-0.34899988401159515</v>
      </c>
      <c r="R891">
        <f t="shared" ca="1" si="103"/>
        <v>-1.2113201912556346</v>
      </c>
    </row>
    <row r="892" spans="1:18" x14ac:dyDescent="0.45">
      <c r="A892">
        <f t="shared" ca="1" si="102"/>
        <v>-0.55961238829136117</v>
      </c>
      <c r="B892">
        <f t="shared" ca="1" si="102"/>
        <v>1.9796601236185796</v>
      </c>
      <c r="D892">
        <f ca="1">SQRT(MAX('HE2'!B891,0))*($G$2+$H$2*A892)</f>
        <v>-1.436352780378664</v>
      </c>
      <c r="E892">
        <f t="shared" ca="1" si="97"/>
        <v>0.74010616353805858</v>
      </c>
      <c r="Q892">
        <f t="shared" ca="1" si="103"/>
        <v>-1.2024751553903665</v>
      </c>
      <c r="R892">
        <f t="shared" ca="1" si="103"/>
        <v>0.46542330363438705</v>
      </c>
    </row>
    <row r="893" spans="1:18" x14ac:dyDescent="0.45">
      <c r="A893">
        <f t="shared" ca="1" si="102"/>
        <v>-0.98938315682956968</v>
      </c>
      <c r="B893">
        <f t="shared" ca="1" si="102"/>
        <v>-6.193008491458497E-3</v>
      </c>
      <c r="D893">
        <f ca="1">SQRT(MAX('HE2'!B892,0))*($G$2+$H$2*A893)</f>
        <v>-2.6281686258615613</v>
      </c>
      <c r="E893">
        <f t="shared" ca="1" si="97"/>
        <v>-0.79522233055853087</v>
      </c>
      <c r="Q893">
        <f t="shared" ca="1" si="103"/>
        <v>0.67168014243810092</v>
      </c>
      <c r="R893">
        <f t="shared" ca="1" si="103"/>
        <v>-0.75747339609259767</v>
      </c>
    </row>
    <row r="894" spans="1:18" x14ac:dyDescent="0.45">
      <c r="A894">
        <f t="shared" ca="1" si="102"/>
        <v>2.723021589189631</v>
      </c>
      <c r="B894">
        <f t="shared" ca="1" si="102"/>
        <v>-0.38145448639020413</v>
      </c>
      <c r="D894">
        <f ca="1">SQRT(MAX('HE2'!B893,0))*($G$2+$H$2*A894)</f>
        <v>6.8410879459770344</v>
      </c>
      <c r="E894">
        <f t="shared" ca="1" si="97"/>
        <v>1.9495445795175823</v>
      </c>
      <c r="Q894">
        <f t="shared" ca="1" si="103"/>
        <v>0.863376147294732</v>
      </c>
      <c r="R894">
        <f t="shared" ca="1" si="103"/>
        <v>-0.51025622406714355</v>
      </c>
    </row>
    <row r="895" spans="1:18" x14ac:dyDescent="0.45">
      <c r="A895">
        <f t="shared" ca="1" si="102"/>
        <v>0.15255209019349536</v>
      </c>
      <c r="B895">
        <f t="shared" ca="1" si="102"/>
        <v>-0.24653747787462493</v>
      </c>
      <c r="D895">
        <f ca="1">SQRT(MAX('HE2'!B894,0))*($G$2+$H$2*A895)</f>
        <v>0.4229056813508702</v>
      </c>
      <c r="E895">
        <f t="shared" ca="1" si="97"/>
        <v>-2.5880814569978636E-2</v>
      </c>
      <c r="Q895">
        <f t="shared" ca="1" si="103"/>
        <v>0.34897159763864199</v>
      </c>
      <c r="R895">
        <f t="shared" ca="1" si="103"/>
        <v>1.2148227020466873</v>
      </c>
    </row>
    <row r="896" spans="1:18" x14ac:dyDescent="0.45">
      <c r="A896">
        <f t="shared" ca="1" si="102"/>
        <v>-2.6221203763254621</v>
      </c>
      <c r="B896">
        <f t="shared" ca="1" si="102"/>
        <v>0.44660622784909559</v>
      </c>
      <c r="D896">
        <f ca="1">SQRT(MAX('HE2'!B895,0))*($G$2+$H$2*A896)</f>
        <v>-7.2001738119500214</v>
      </c>
      <c r="E896">
        <f t="shared" ca="1" si="97"/>
        <v>-1.8297325643509126</v>
      </c>
      <c r="Q896">
        <f t="shared" ca="1" si="103"/>
        <v>-2.6903148210312104</v>
      </c>
      <c r="R896">
        <f t="shared" ca="1" si="103"/>
        <v>0.33131204159901884</v>
      </c>
    </row>
    <row r="897" spans="1:18" x14ac:dyDescent="0.45">
      <c r="A897">
        <f t="shared" ca="1" si="102"/>
        <v>7.8556158618159871E-2</v>
      </c>
      <c r="B897">
        <f t="shared" ca="1" si="102"/>
        <v>-0.21621987022415126</v>
      </c>
      <c r="D897">
        <f ca="1">SQRT(MAX('HE2'!B896,0))*($G$2+$H$2*A897)</f>
        <v>0.19101150812116899</v>
      </c>
      <c r="E897">
        <f t="shared" ca="1" si="97"/>
        <v>-6.6886995239962818E-2</v>
      </c>
      <c r="Q897">
        <f t="shared" ca="1" si="103"/>
        <v>0.78112194190106576</v>
      </c>
      <c r="R897">
        <f t="shared" ca="1" si="103"/>
        <v>0.81630937222924138</v>
      </c>
    </row>
    <row r="898" spans="1:18" x14ac:dyDescent="0.45">
      <c r="A898">
        <f t="shared" ca="1" si="102"/>
        <v>0.37472082588099181</v>
      </c>
      <c r="B898">
        <f t="shared" ca="1" si="102"/>
        <v>0.58457634487235477</v>
      </c>
      <c r="D898">
        <f ca="1">SQRT(MAX('HE2'!B897,0))*($G$2+$H$2*A898)</f>
        <v>0.90054381284302865</v>
      </c>
      <c r="E898">
        <f t="shared" ref="E898:E961" ca="1" si="104">$I$2+$J$2*(A898*$K$2 + B898*POWER(1-$K$2*$K$2, 0.5))</f>
        <v>0.6505224676282062</v>
      </c>
      <c r="Q898">
        <f t="shared" ca="1" si="103"/>
        <v>-0.12678770308038401</v>
      </c>
      <c r="R898">
        <f t="shared" ca="1" si="103"/>
        <v>2.2629993071078607</v>
      </c>
    </row>
    <row r="899" spans="1:18" x14ac:dyDescent="0.45">
      <c r="A899">
        <f t="shared" ca="1" si="102"/>
        <v>-1.5591842051676355</v>
      </c>
      <c r="B899">
        <f t="shared" ca="1" si="102"/>
        <v>-1.8906755273664012E-2</v>
      </c>
      <c r="D899">
        <f ca="1">SQRT(MAX('HE2'!B898,0))*($G$2+$H$2*A899)</f>
        <v>-3.8695811697952092</v>
      </c>
      <c r="E899">
        <f t="shared" ca="1" si="104"/>
        <v>-1.2586914172983068</v>
      </c>
      <c r="Q899">
        <f t="shared" ca="1" si="103"/>
        <v>3.9321544948600372E-2</v>
      </c>
      <c r="R899">
        <f t="shared" ca="1" si="103"/>
        <v>-0.17931621878341492</v>
      </c>
    </row>
    <row r="900" spans="1:18" x14ac:dyDescent="0.45">
      <c r="A900">
        <f t="shared" ca="1" si="102"/>
        <v>-0.52117510643619769</v>
      </c>
      <c r="B900">
        <f t="shared" ca="1" si="102"/>
        <v>-1.393336413342517</v>
      </c>
      <c r="D900">
        <f ca="1">SQRT(MAX('HE2'!B899,0))*($G$2+$H$2*A900)</f>
        <v>-1.1803506113422677</v>
      </c>
      <c r="E900">
        <f t="shared" ca="1" si="104"/>
        <v>-1.2529419331544682</v>
      </c>
      <c r="Q900">
        <f t="shared" ca="1" si="103"/>
        <v>0.2527090294761139</v>
      </c>
      <c r="R900">
        <f t="shared" ca="1" si="103"/>
        <v>0.70164959361104495</v>
      </c>
    </row>
    <row r="901" spans="1:18" x14ac:dyDescent="0.45">
      <c r="A901">
        <f t="shared" ca="1" si="102"/>
        <v>0.72207489664487545</v>
      </c>
      <c r="B901">
        <f t="shared" ca="1" si="102"/>
        <v>0.41184163599740709</v>
      </c>
      <c r="D901">
        <f ca="1">SQRT(MAX('HE2'!B900,0))*($G$2+$H$2*A901)</f>
        <v>1.4808080256608589</v>
      </c>
      <c r="E901">
        <f t="shared" ca="1" si="104"/>
        <v>0.82476489891434457</v>
      </c>
      <c r="Q901">
        <f t="shared" ca="1" si="103"/>
        <v>-2.8179329991885003</v>
      </c>
      <c r="R901">
        <f t="shared" ca="1" si="103"/>
        <v>-0.57458043281703242</v>
      </c>
    </row>
    <row r="902" spans="1:18" x14ac:dyDescent="0.45">
      <c r="A902">
        <f t="shared" ref="A902:B921" ca="1" si="105">NORMINV(RAND(),0,1)</f>
        <v>-1.149464685275156</v>
      </c>
      <c r="B902">
        <f t="shared" ca="1" si="105"/>
        <v>0.64487723923814055</v>
      </c>
      <c r="D902">
        <f ca="1">SQRT(MAX('HE2'!B901,0))*($G$2+$H$2*A902)</f>
        <v>-2.4811467354789292</v>
      </c>
      <c r="E902">
        <f t="shared" ca="1" si="104"/>
        <v>-0.53264540467724064</v>
      </c>
      <c r="Q902">
        <f t="shared" ref="Q902:R921" ca="1" si="106">NORMINV(RAND(),0,1)</f>
        <v>-1.0032952598656173</v>
      </c>
      <c r="R902">
        <f t="shared" ca="1" si="106"/>
        <v>3.0120464776233633</v>
      </c>
    </row>
    <row r="903" spans="1:18" x14ac:dyDescent="0.45">
      <c r="A903">
        <f t="shared" ca="1" si="105"/>
        <v>-2.5957370090971819</v>
      </c>
      <c r="B903">
        <f t="shared" ca="1" si="105"/>
        <v>-1.0976394150475948</v>
      </c>
      <c r="D903">
        <f ca="1">SQRT(MAX('HE2'!B902,0))*($G$2+$H$2*A903)</f>
        <v>-5.3521237252915439</v>
      </c>
      <c r="E903">
        <f t="shared" ca="1" si="104"/>
        <v>-2.7351732563063025</v>
      </c>
      <c r="Q903">
        <f t="shared" ca="1" si="106"/>
        <v>-1.5690738120975587</v>
      </c>
      <c r="R903">
        <f t="shared" ca="1" si="106"/>
        <v>-0.40296768498532098</v>
      </c>
    </row>
    <row r="904" spans="1:18" x14ac:dyDescent="0.45">
      <c r="A904">
        <f t="shared" ca="1" si="105"/>
        <v>-0.49804431587935005</v>
      </c>
      <c r="B904">
        <f t="shared" ca="1" si="105"/>
        <v>-0.98933184282358999</v>
      </c>
      <c r="D904">
        <f ca="1">SQRT(MAX('HE2'!B903,0))*($G$2+$H$2*A904)</f>
        <v>-0.78822370952303278</v>
      </c>
      <c r="E904">
        <f t="shared" ca="1" si="104"/>
        <v>-0.99203455839763399</v>
      </c>
      <c r="Q904">
        <f t="shared" ca="1" si="106"/>
        <v>2.6977873166815058</v>
      </c>
      <c r="R904">
        <f t="shared" ca="1" si="106"/>
        <v>0.18378595284260035</v>
      </c>
    </row>
    <row r="905" spans="1:18" x14ac:dyDescent="0.45">
      <c r="A905">
        <f t="shared" ca="1" si="105"/>
        <v>-1.2998157254103695</v>
      </c>
      <c r="B905">
        <f t="shared" ca="1" si="105"/>
        <v>-0.74979453095941673</v>
      </c>
      <c r="D905">
        <f ca="1">SQRT(MAX('HE2'!B904,0))*($G$2+$H$2*A905)</f>
        <v>-1.8445964522280676</v>
      </c>
      <c r="E905">
        <f t="shared" ca="1" si="104"/>
        <v>-1.4897292989039457</v>
      </c>
      <c r="Q905">
        <f t="shared" ca="1" si="106"/>
        <v>-0.30411440174533111</v>
      </c>
      <c r="R905">
        <f t="shared" ca="1" si="106"/>
        <v>-1.1345531821774173</v>
      </c>
    </row>
    <row r="906" spans="1:18" x14ac:dyDescent="0.45">
      <c r="A906">
        <f t="shared" ca="1" si="105"/>
        <v>0.21152155044279594</v>
      </c>
      <c r="B906">
        <f t="shared" ca="1" si="105"/>
        <v>-0.13802780146340154</v>
      </c>
      <c r="D906">
        <f ca="1">SQRT(MAX('HE2'!B905,0))*($G$2+$H$2*A906)</f>
        <v>0.24754923547967178</v>
      </c>
      <c r="E906">
        <f t="shared" ca="1" si="104"/>
        <v>8.6400559476195862E-2</v>
      </c>
      <c r="Q906">
        <f t="shared" ca="1" si="106"/>
        <v>-1.3325958565547962</v>
      </c>
      <c r="R906">
        <f t="shared" ca="1" si="106"/>
        <v>1.0801004825896152</v>
      </c>
    </row>
    <row r="907" spans="1:18" x14ac:dyDescent="0.45">
      <c r="A907">
        <f t="shared" ca="1" si="105"/>
        <v>0.94796894297363099</v>
      </c>
      <c r="B907">
        <f t="shared" ca="1" si="105"/>
        <v>0.63166745739216035</v>
      </c>
      <c r="D907">
        <f ca="1">SQRT(MAX('HE2'!B906,0))*($G$2+$H$2*A907)</f>
        <v>1.1228024655277329</v>
      </c>
      <c r="E907">
        <f t="shared" ca="1" si="104"/>
        <v>1.137375628814201</v>
      </c>
      <c r="Q907">
        <f t="shared" ca="1" si="106"/>
        <v>0.40301793837698652</v>
      </c>
      <c r="R907">
        <f t="shared" ca="1" si="106"/>
        <v>0.68140698431523483</v>
      </c>
    </row>
    <row r="908" spans="1:18" x14ac:dyDescent="0.45">
      <c r="A908">
        <f t="shared" ca="1" si="105"/>
        <v>1.0524995862390412</v>
      </c>
      <c r="B908">
        <f t="shared" ca="1" si="105"/>
        <v>-0.67189565059789991</v>
      </c>
      <c r="D908">
        <f ca="1">SQRT(MAX('HE2'!B907,0))*($G$2+$H$2*A908)</f>
        <v>1.4156907366967153</v>
      </c>
      <c r="E908">
        <f t="shared" ca="1" si="104"/>
        <v>0.43886227863249316</v>
      </c>
      <c r="Q908">
        <f t="shared" ca="1" si="106"/>
        <v>0.85925299316520187</v>
      </c>
      <c r="R908">
        <f t="shared" ca="1" si="106"/>
        <v>0.26351835612880231</v>
      </c>
    </row>
    <row r="909" spans="1:18" x14ac:dyDescent="0.45">
      <c r="A909">
        <f t="shared" ca="1" si="105"/>
        <v>1.278538318925964</v>
      </c>
      <c r="B909">
        <f t="shared" ca="1" si="105"/>
        <v>-0.7017772547196619</v>
      </c>
      <c r="D909">
        <f ca="1">SQRT(MAX('HE2'!B908,0))*($G$2+$H$2*A909)</f>
        <v>1.7992448915064174</v>
      </c>
      <c r="E909">
        <f t="shared" ca="1" si="104"/>
        <v>0.60176430230897426</v>
      </c>
      <c r="Q909">
        <f t="shared" ca="1" si="106"/>
        <v>0.58176383487776062</v>
      </c>
      <c r="R909">
        <f t="shared" ca="1" si="106"/>
        <v>0.57715522316734569</v>
      </c>
    </row>
    <row r="910" spans="1:18" x14ac:dyDescent="0.45">
      <c r="A910">
        <f t="shared" ca="1" si="105"/>
        <v>1.372754367411448</v>
      </c>
      <c r="B910">
        <f t="shared" ca="1" si="105"/>
        <v>0.15555019975799897</v>
      </c>
      <c r="D910">
        <f ca="1">SQRT(MAX('HE2'!B909,0))*($G$2+$H$2*A910)</f>
        <v>2.0477122308900904</v>
      </c>
      <c r="E910">
        <f t="shared" ca="1" si="104"/>
        <v>1.1915336137839578</v>
      </c>
      <c r="Q910">
        <f t="shared" ca="1" si="106"/>
        <v>1.0035283459962081</v>
      </c>
      <c r="R910">
        <f t="shared" ca="1" si="106"/>
        <v>-5.7205986113397243E-2</v>
      </c>
    </row>
    <row r="911" spans="1:18" x14ac:dyDescent="0.45">
      <c r="A911">
        <f t="shared" ca="1" si="105"/>
        <v>-1.7248465763301273</v>
      </c>
      <c r="B911">
        <f t="shared" ca="1" si="105"/>
        <v>-7.159204575004182E-3</v>
      </c>
      <c r="D911">
        <f ca="1">SQRT(MAX('HE2'!B910,0))*($G$2+$H$2*A911)</f>
        <v>-2.8572622994642418</v>
      </c>
      <c r="E911">
        <f t="shared" ca="1" si="104"/>
        <v>-1.3841727838091045</v>
      </c>
      <c r="Q911">
        <f t="shared" ca="1" si="106"/>
        <v>-2.1606286634627998</v>
      </c>
      <c r="R911">
        <f t="shared" ca="1" si="106"/>
        <v>0.88598656091711336</v>
      </c>
    </row>
    <row r="912" spans="1:18" x14ac:dyDescent="0.45">
      <c r="A912">
        <f t="shared" ca="1" si="105"/>
        <v>-2.3151204485968906</v>
      </c>
      <c r="B912">
        <f t="shared" ca="1" si="105"/>
        <v>-1.3153597254288638</v>
      </c>
      <c r="D912">
        <f ca="1">SQRT(MAX('HE2'!B911,0))*($G$2+$H$2*A912)</f>
        <v>-3.2998420494558487</v>
      </c>
      <c r="E912">
        <f t="shared" ca="1" si="104"/>
        <v>-2.6413121941348305</v>
      </c>
      <c r="Q912">
        <f t="shared" ca="1" si="106"/>
        <v>0.81709985429958598</v>
      </c>
      <c r="R912">
        <f t="shared" ca="1" si="106"/>
        <v>-0.72745901999222773</v>
      </c>
    </row>
    <row r="913" spans="1:18" x14ac:dyDescent="0.45">
      <c r="A913">
        <f t="shared" ca="1" si="105"/>
        <v>-1.1472035184508795</v>
      </c>
      <c r="B913">
        <f t="shared" ca="1" si="105"/>
        <v>-0.85771694709967761</v>
      </c>
      <c r="D913">
        <f ca="1">SQRT(MAX('HE2'!B912,0))*($G$2+$H$2*A913)</f>
        <v>-1.0833677665989376</v>
      </c>
      <c r="E913">
        <f t="shared" ca="1" si="104"/>
        <v>-1.43239298302051</v>
      </c>
      <c r="Q913">
        <f t="shared" ca="1" si="106"/>
        <v>2.3601126079885097</v>
      </c>
      <c r="R913">
        <f t="shared" ca="1" si="106"/>
        <v>0.16749623725323776</v>
      </c>
    </row>
    <row r="914" spans="1:18" x14ac:dyDescent="0.45">
      <c r="A914">
        <f t="shared" ca="1" si="105"/>
        <v>1.437323169284245</v>
      </c>
      <c r="B914">
        <f t="shared" ca="1" si="105"/>
        <v>-0.22887937382419188</v>
      </c>
      <c r="D914">
        <f ca="1">SQRT(MAX('HE2'!B913,0))*($G$2+$H$2*A914)</f>
        <v>1.0147465709717356</v>
      </c>
      <c r="E914">
        <f t="shared" ca="1" si="104"/>
        <v>1.0125309111328809</v>
      </c>
      <c r="Q914">
        <f t="shared" ca="1" si="106"/>
        <v>0.35305407318489335</v>
      </c>
      <c r="R914">
        <f t="shared" ca="1" si="106"/>
        <v>0.63510511967928829</v>
      </c>
    </row>
    <row r="915" spans="1:18" x14ac:dyDescent="0.45">
      <c r="A915">
        <f t="shared" ca="1" si="105"/>
        <v>0.79663478622052941</v>
      </c>
      <c r="B915">
        <f t="shared" ca="1" si="105"/>
        <v>0.31183490999192415</v>
      </c>
      <c r="D915">
        <f ca="1">SQRT(MAX('HE2'!B914,0))*($G$2+$H$2*A915)</f>
        <v>0.68212832953045466</v>
      </c>
      <c r="E915">
        <f t="shared" ca="1" si="104"/>
        <v>0.82440877497157805</v>
      </c>
      <c r="Q915">
        <f t="shared" ca="1" si="106"/>
        <v>-0.82925131397117324</v>
      </c>
      <c r="R915">
        <f t="shared" ca="1" si="106"/>
        <v>-0.46995977870176897</v>
      </c>
    </row>
    <row r="916" spans="1:18" x14ac:dyDescent="0.45">
      <c r="A916">
        <f t="shared" ca="1" si="105"/>
        <v>-2.0701397057847437</v>
      </c>
      <c r="B916">
        <f t="shared" ca="1" si="105"/>
        <v>-0.38623905034385025</v>
      </c>
      <c r="D916">
        <f ca="1">SQRT(MAX('HE2'!B915,0))*($G$2+$H$2*A916)</f>
        <v>-2.0289084920213125</v>
      </c>
      <c r="E916">
        <f t="shared" ca="1" si="104"/>
        <v>-1.8878551948341051</v>
      </c>
      <c r="Q916">
        <f t="shared" ca="1" si="106"/>
        <v>1.0466232449169288</v>
      </c>
      <c r="R916">
        <f t="shared" ca="1" si="106"/>
        <v>-4.8205166233800036E-2</v>
      </c>
    </row>
    <row r="917" spans="1:18" x14ac:dyDescent="0.45">
      <c r="A917">
        <f t="shared" ca="1" si="105"/>
        <v>0.48489456916198559</v>
      </c>
      <c r="B917">
        <f t="shared" ca="1" si="105"/>
        <v>0.870545841431828</v>
      </c>
      <c r="D917">
        <f ca="1">SQRT(MAX('HE2'!B916,0))*($G$2+$H$2*A917)</f>
        <v>0.31295158619234209</v>
      </c>
      <c r="E917">
        <f t="shared" ca="1" si="104"/>
        <v>0.91024316018868523</v>
      </c>
      <c r="Q917">
        <f t="shared" ca="1" si="106"/>
        <v>1.5389752846743705</v>
      </c>
      <c r="R917">
        <f t="shared" ca="1" si="106"/>
        <v>5.3247365220639088E-2</v>
      </c>
    </row>
    <row r="918" spans="1:18" x14ac:dyDescent="0.45">
      <c r="A918">
        <f t="shared" ca="1" si="105"/>
        <v>-6.204473891165322E-2</v>
      </c>
      <c r="B918">
        <f t="shared" ca="1" si="105"/>
        <v>-0.7608948438174099</v>
      </c>
      <c r="D918">
        <f ca="1">SQRT(MAX('HE2'!B917,0))*($G$2+$H$2*A918)</f>
        <v>-4.8645671769465833E-2</v>
      </c>
      <c r="E918">
        <f t="shared" ca="1" si="104"/>
        <v>-0.50617269741976845</v>
      </c>
      <c r="Q918">
        <f t="shared" ca="1" si="106"/>
        <v>-0.16234035925489912</v>
      </c>
      <c r="R918">
        <f t="shared" ca="1" si="106"/>
        <v>-0.24137663101557466</v>
      </c>
    </row>
    <row r="919" spans="1:18" x14ac:dyDescent="0.45">
      <c r="A919">
        <f t="shared" ca="1" si="105"/>
        <v>1.8940582326840969</v>
      </c>
      <c r="B919">
        <f t="shared" ca="1" si="105"/>
        <v>1.9370951394961129</v>
      </c>
      <c r="D919">
        <f ca="1">SQRT(MAX('HE2'!B918,0))*($G$2+$H$2*A919)</f>
        <v>1.3574426289624688</v>
      </c>
      <c r="E919">
        <f t="shared" ca="1" si="104"/>
        <v>2.6775036698449455</v>
      </c>
      <c r="Q919">
        <f t="shared" ca="1" si="106"/>
        <v>0.3888758937777711</v>
      </c>
      <c r="R919">
        <f t="shared" ca="1" si="106"/>
        <v>-0.44100735712767758</v>
      </c>
    </row>
    <row r="920" spans="1:18" x14ac:dyDescent="0.45">
      <c r="A920">
        <f t="shared" ca="1" si="105"/>
        <v>1.3442965768147239</v>
      </c>
      <c r="B920">
        <f t="shared" ca="1" si="105"/>
        <v>-1.5013852423757774</v>
      </c>
      <c r="D920">
        <f ca="1">SQRT(MAX('HE2'!B919,0))*($G$2+$H$2*A920)</f>
        <v>1.4158641067834961</v>
      </c>
      <c r="E920">
        <f t="shared" ca="1" si="104"/>
        <v>0.17460611602631282</v>
      </c>
      <c r="Q920">
        <f t="shared" ca="1" si="106"/>
        <v>5.9357705449570183E-2</v>
      </c>
      <c r="R920">
        <f t="shared" ca="1" si="106"/>
        <v>0.61952377880950438</v>
      </c>
    </row>
    <row r="921" spans="1:18" x14ac:dyDescent="0.45">
      <c r="A921">
        <f t="shared" ca="1" si="105"/>
        <v>-0.6693469019601882</v>
      </c>
      <c r="B921">
        <f t="shared" ca="1" si="105"/>
        <v>-1.7446862260483493</v>
      </c>
      <c r="D921">
        <f ca="1">SQRT(MAX('HE2'!B920,0))*($G$2+$H$2*A921)</f>
        <v>-0.72480176391541284</v>
      </c>
      <c r="E921">
        <f t="shared" ca="1" si="104"/>
        <v>-1.5822892571971598</v>
      </c>
      <c r="Q921">
        <f t="shared" ca="1" si="106"/>
        <v>-1.0262455006966946</v>
      </c>
      <c r="R921">
        <f t="shared" ca="1" si="106"/>
        <v>-0.57330518730599189</v>
      </c>
    </row>
    <row r="922" spans="1:18" x14ac:dyDescent="0.45">
      <c r="A922">
        <f t="shared" ref="A922:B941" ca="1" si="107">NORMINV(RAND(),0,1)</f>
        <v>-0.126647791251743</v>
      </c>
      <c r="B922">
        <f t="shared" ca="1" si="107"/>
        <v>1.3209197691986774</v>
      </c>
      <c r="D922">
        <f ca="1">SQRT(MAX('HE2'!B921,0))*($G$2+$H$2*A922)</f>
        <v>-0.10330648466480387</v>
      </c>
      <c r="E922">
        <f t="shared" ca="1" si="104"/>
        <v>0.69123362851781178</v>
      </c>
      <c r="Q922">
        <f t="shared" ref="Q922:R941" ca="1" si="108">NORMINV(RAND(),0,1)</f>
        <v>-1.7331963658030685</v>
      </c>
      <c r="R922">
        <f t="shared" ca="1" si="108"/>
        <v>-1.3988764229703377</v>
      </c>
    </row>
    <row r="923" spans="1:18" x14ac:dyDescent="0.45">
      <c r="A923">
        <f t="shared" ca="1" si="107"/>
        <v>-0.91451399550827717</v>
      </c>
      <c r="B923">
        <f t="shared" ca="1" si="107"/>
        <v>-0.77041152378790123</v>
      </c>
      <c r="D923">
        <f ca="1">SQRT(MAX('HE2'!B922,0))*($G$2+$H$2*A923)</f>
        <v>-0.84387258947180044</v>
      </c>
      <c r="E923">
        <f t="shared" ca="1" si="104"/>
        <v>-1.1938581106793624</v>
      </c>
      <c r="Q923">
        <f t="shared" ca="1" si="108"/>
        <v>0.65009513330812596</v>
      </c>
      <c r="R923">
        <f t="shared" ca="1" si="108"/>
        <v>0.31913563797874833</v>
      </c>
    </row>
    <row r="924" spans="1:18" x14ac:dyDescent="0.45">
      <c r="A924">
        <f t="shared" ca="1" si="107"/>
        <v>-1.9970445122418616</v>
      </c>
      <c r="B924">
        <f t="shared" ca="1" si="107"/>
        <v>0.35231058498737378</v>
      </c>
      <c r="D924">
        <f ca="1">SQRT(MAX('HE2'!B923,0))*($G$2+$H$2*A924)</f>
        <v>-1.4596524610939166</v>
      </c>
      <c r="E924">
        <f t="shared" ca="1" si="104"/>
        <v>-1.3862492588010651</v>
      </c>
      <c r="Q924">
        <f t="shared" ca="1" si="108"/>
        <v>1.1612104174198501</v>
      </c>
      <c r="R924">
        <f t="shared" ca="1" si="108"/>
        <v>0.45712847622055353</v>
      </c>
    </row>
    <row r="925" spans="1:18" x14ac:dyDescent="0.45">
      <c r="A925">
        <f t="shared" ca="1" si="107"/>
        <v>-0.55349914895566454</v>
      </c>
      <c r="B925">
        <f t="shared" ca="1" si="107"/>
        <v>2.0942365250164445</v>
      </c>
      <c r="D925">
        <f ca="1">SQRT(MAX('HE2'!B924,0))*($G$2+$H$2*A925)</f>
        <v>-0.27666214504035264</v>
      </c>
      <c r="E925">
        <f t="shared" ca="1" si="104"/>
        <v>0.81374259584533482</v>
      </c>
      <c r="Q925">
        <f t="shared" ca="1" si="108"/>
        <v>-0.76762349923275186</v>
      </c>
      <c r="R925">
        <f t="shared" ca="1" si="108"/>
        <v>-1.1322009167300402</v>
      </c>
    </row>
    <row r="926" spans="1:18" x14ac:dyDescent="0.45">
      <c r="A926">
        <f t="shared" ca="1" si="107"/>
        <v>9.5492978885534565E-3</v>
      </c>
      <c r="B926">
        <f t="shared" ca="1" si="107"/>
        <v>-0.20287508936726714</v>
      </c>
      <c r="D926">
        <f ca="1">SQRT(MAX('HE2'!B925,0))*($G$2+$H$2*A926)</f>
        <v>6.017846413616296E-3</v>
      </c>
      <c r="E926">
        <f t="shared" ca="1" si="104"/>
        <v>-0.1140856153095175</v>
      </c>
      <c r="Q926">
        <f t="shared" ca="1" si="108"/>
        <v>0.54310451527636872</v>
      </c>
      <c r="R926">
        <f t="shared" ca="1" si="108"/>
        <v>0.17125219633078584</v>
      </c>
    </row>
    <row r="927" spans="1:18" x14ac:dyDescent="0.45">
      <c r="A927">
        <f t="shared" ca="1" si="107"/>
        <v>0.76545955455222281</v>
      </c>
      <c r="B927">
        <f t="shared" ca="1" si="107"/>
        <v>6.7099205593012204E-2</v>
      </c>
      <c r="D927">
        <f ca="1">SQRT(MAX('HE2'!B926,0))*($G$2+$H$2*A927)</f>
        <v>0.48284224029201733</v>
      </c>
      <c r="E927">
        <f t="shared" ca="1" si="104"/>
        <v>0.65262716699758561</v>
      </c>
      <c r="Q927">
        <f t="shared" ca="1" si="108"/>
        <v>-0.56406170047699133</v>
      </c>
      <c r="R927">
        <f t="shared" ca="1" si="108"/>
        <v>-1.2437531690641135</v>
      </c>
    </row>
    <row r="928" spans="1:18" x14ac:dyDescent="0.45">
      <c r="A928">
        <f t="shared" ca="1" si="107"/>
        <v>-1.8092651789261007</v>
      </c>
      <c r="B928">
        <f t="shared" ca="1" si="107"/>
        <v>-0.43421456840771266</v>
      </c>
      <c r="D928">
        <f ca="1">SQRT(MAX('HE2'!B927,0))*($G$2+$H$2*A928)</f>
        <v>-1.3340844516187782</v>
      </c>
      <c r="E928">
        <f t="shared" ca="1" si="104"/>
        <v>-1.7079408841855082</v>
      </c>
      <c r="Q928">
        <f t="shared" ca="1" si="108"/>
        <v>1.2713220429946259</v>
      </c>
      <c r="R928">
        <f t="shared" ca="1" si="108"/>
        <v>-3.1648130702406285</v>
      </c>
    </row>
    <row r="929" spans="1:18" x14ac:dyDescent="0.45">
      <c r="A929">
        <f t="shared" ca="1" si="107"/>
        <v>-7.4504931790491266E-2</v>
      </c>
      <c r="B929">
        <f t="shared" ca="1" si="107"/>
        <v>0.98984346542312707</v>
      </c>
      <c r="D929">
        <f ca="1">SQRT(MAX('HE2'!B928,0))*($G$2+$H$2*A929)</f>
        <v>-3.2070543795883415E-2</v>
      </c>
      <c r="E929">
        <f t="shared" ca="1" si="104"/>
        <v>0.53430213382148306</v>
      </c>
      <c r="Q929">
        <f t="shared" ca="1" si="108"/>
        <v>-0.44851396401990062</v>
      </c>
      <c r="R929">
        <f t="shared" ca="1" si="108"/>
        <v>-0.24277173751112341</v>
      </c>
    </row>
    <row r="930" spans="1:18" x14ac:dyDescent="0.45">
      <c r="A930">
        <f t="shared" ca="1" si="107"/>
        <v>0.73350037471960361</v>
      </c>
      <c r="B930">
        <f t="shared" ca="1" si="107"/>
        <v>0.37123519183760828</v>
      </c>
      <c r="D930">
        <f ca="1">SQRT(MAX('HE2'!B929,0))*($G$2+$H$2*A930)</f>
        <v>0.38871724974334249</v>
      </c>
      <c r="E930">
        <f t="shared" ca="1" si="104"/>
        <v>0.80954141487824782</v>
      </c>
      <c r="Q930">
        <f t="shared" ca="1" si="108"/>
        <v>-0.68512860434322498</v>
      </c>
      <c r="R930">
        <f t="shared" ca="1" si="108"/>
        <v>-1.2839725132271984</v>
      </c>
    </row>
    <row r="931" spans="1:18" x14ac:dyDescent="0.45">
      <c r="A931">
        <f t="shared" ca="1" si="107"/>
        <v>-1.6138271543645453</v>
      </c>
      <c r="B931">
        <f t="shared" ca="1" si="107"/>
        <v>-1.2416931281341592</v>
      </c>
      <c r="D931">
        <f ca="1">SQRT(MAX('HE2'!B930,0))*($G$2+$H$2*A931)</f>
        <v>-1.0634138630426648</v>
      </c>
      <c r="E931">
        <f t="shared" ca="1" si="104"/>
        <v>-2.0360776003721317</v>
      </c>
      <c r="Q931">
        <f t="shared" ca="1" si="108"/>
        <v>-0.40040837858717759</v>
      </c>
      <c r="R931">
        <f t="shared" ca="1" si="108"/>
        <v>0.40873414977231431</v>
      </c>
    </row>
    <row r="932" spans="1:18" x14ac:dyDescent="0.45">
      <c r="A932">
        <f t="shared" ca="1" si="107"/>
        <v>-2.3407656474247198</v>
      </c>
      <c r="B932">
        <f t="shared" ca="1" si="107"/>
        <v>-0.95048536196106093</v>
      </c>
      <c r="D932">
        <f ca="1">SQRT(MAX('HE2'!B931,0))*($G$2+$H$2*A932)</f>
        <v>-0.54035398266662948</v>
      </c>
      <c r="E932">
        <f t="shared" ca="1" si="104"/>
        <v>-2.4429037351164125</v>
      </c>
      <c r="Q932">
        <f t="shared" ca="1" si="108"/>
        <v>0.7963730962643687</v>
      </c>
      <c r="R932">
        <f t="shared" ca="1" si="108"/>
        <v>0.35558535287770221</v>
      </c>
    </row>
    <row r="933" spans="1:18" x14ac:dyDescent="0.45">
      <c r="A933">
        <f t="shared" ca="1" si="107"/>
        <v>-0.39255762432786928</v>
      </c>
      <c r="B933">
        <f t="shared" ca="1" si="107"/>
        <v>-2.2404550029110206</v>
      </c>
      <c r="D933">
        <f ca="1">SQRT(MAX('HE2'!B932,0))*($G$2+$H$2*A933)</f>
        <v>0</v>
      </c>
      <c r="E933">
        <f t="shared" ca="1" si="104"/>
        <v>-1.6583191012089076</v>
      </c>
      <c r="Q933">
        <f t="shared" ca="1" si="108"/>
        <v>-1.0564693446888476</v>
      </c>
      <c r="R933">
        <f t="shared" ca="1" si="108"/>
        <v>1.2016686383028492</v>
      </c>
    </row>
    <row r="934" spans="1:18" x14ac:dyDescent="0.45">
      <c r="A934">
        <f t="shared" ca="1" si="107"/>
        <v>0.3604710074539384</v>
      </c>
      <c r="B934">
        <f t="shared" ca="1" si="107"/>
        <v>0.63390190011097747</v>
      </c>
      <c r="D934">
        <f ca="1">SQRT(MAX('HE2'!B933,0))*($G$2+$H$2*A934)</f>
        <v>0</v>
      </c>
      <c r="E934">
        <f t="shared" ca="1" si="104"/>
        <v>0.66871794602973711</v>
      </c>
      <c r="Q934">
        <f t="shared" ca="1" si="108"/>
        <v>0.93759854995014991</v>
      </c>
      <c r="R934">
        <f t="shared" ca="1" si="108"/>
        <v>0.14756765179125697</v>
      </c>
    </row>
    <row r="935" spans="1:18" x14ac:dyDescent="0.45">
      <c r="A935">
        <f t="shared" ca="1" si="107"/>
        <v>3.0913217917214522</v>
      </c>
      <c r="B935">
        <f t="shared" ca="1" si="107"/>
        <v>-1.5531287872117125</v>
      </c>
      <c r="D935">
        <f ca="1">SQRT(MAX('HE2'!B934,0))*($G$2+$H$2*A935)</f>
        <v>0</v>
      </c>
      <c r="E935">
        <f t="shared" ca="1" si="104"/>
        <v>1.5411801610501348</v>
      </c>
      <c r="Q935">
        <f t="shared" ca="1" si="108"/>
        <v>1.0169544408575173</v>
      </c>
      <c r="R935">
        <f t="shared" ca="1" si="108"/>
        <v>-1.0978953994712595</v>
      </c>
    </row>
    <row r="936" spans="1:18" x14ac:dyDescent="0.45">
      <c r="A936">
        <f t="shared" ca="1" si="107"/>
        <v>0.96299978584302204</v>
      </c>
      <c r="B936">
        <f t="shared" ca="1" si="107"/>
        <v>-1.2454638402888045</v>
      </c>
      <c r="D936">
        <f ca="1">SQRT(MAX('HE2'!B935,0))*($G$2+$H$2*A936)</f>
        <v>6.1782268007181403E-2</v>
      </c>
      <c r="E936">
        <f t="shared" ca="1" si="104"/>
        <v>2.3121524501135138E-2</v>
      </c>
      <c r="Q936">
        <f t="shared" ca="1" si="108"/>
        <v>-0.51580153375758175</v>
      </c>
      <c r="R936">
        <f t="shared" ca="1" si="108"/>
        <v>-0.51365731101239887</v>
      </c>
    </row>
    <row r="937" spans="1:18" x14ac:dyDescent="0.45">
      <c r="A937">
        <f t="shared" ca="1" si="107"/>
        <v>0.79645767001320333</v>
      </c>
      <c r="B937">
        <f t="shared" ca="1" si="107"/>
        <v>-1.1615814713974506</v>
      </c>
      <c r="D937">
        <f ca="1">SQRT(MAX('HE2'!B936,0))*($G$2+$H$2*A937)</f>
        <v>0.14846341687319628</v>
      </c>
      <c r="E937">
        <f t="shared" ca="1" si="104"/>
        <v>-5.9782746827907518E-2</v>
      </c>
      <c r="Q937">
        <f t="shared" ca="1" si="108"/>
        <v>-0.20339355803929995</v>
      </c>
      <c r="R937">
        <f t="shared" ca="1" si="108"/>
        <v>-0.21787335738228647</v>
      </c>
    </row>
    <row r="938" spans="1:18" x14ac:dyDescent="0.45">
      <c r="A938">
        <f t="shared" ca="1" si="107"/>
        <v>0.73476287663470607</v>
      </c>
      <c r="B938">
        <f t="shared" ca="1" si="107"/>
        <v>-0.15975562602272908</v>
      </c>
      <c r="D938">
        <f ca="1">SQRT(MAX('HE2'!B937,0))*($G$2+$H$2*A938)</f>
        <v>0.18143827287531386</v>
      </c>
      <c r="E938">
        <f t="shared" ca="1" si="104"/>
        <v>0.49195692569412747</v>
      </c>
      <c r="Q938">
        <f t="shared" ca="1" si="108"/>
        <v>2.0845146505455943</v>
      </c>
      <c r="R938">
        <f t="shared" ca="1" si="108"/>
        <v>0.38796612085459026</v>
      </c>
    </row>
    <row r="939" spans="1:18" x14ac:dyDescent="0.45">
      <c r="A939">
        <f t="shared" ca="1" si="107"/>
        <v>0.45631011460610721</v>
      </c>
      <c r="B939">
        <f t="shared" ca="1" si="107"/>
        <v>9.3177476139396559E-2</v>
      </c>
      <c r="D939">
        <f ca="1">SQRT(MAX('HE2'!B938,0))*($G$2+$H$2*A939)</f>
        <v>0.16227546965081513</v>
      </c>
      <c r="E939">
        <f t="shared" ca="1" si="104"/>
        <v>0.42095457736852371</v>
      </c>
      <c r="Q939">
        <f t="shared" ca="1" si="108"/>
        <v>0.65084376517322773</v>
      </c>
      <c r="R939">
        <f t="shared" ca="1" si="108"/>
        <v>0.93675861690553908</v>
      </c>
    </row>
    <row r="940" spans="1:18" x14ac:dyDescent="0.45">
      <c r="A940">
        <f t="shared" ca="1" si="107"/>
        <v>-0.55501336298579218</v>
      </c>
      <c r="B940">
        <f t="shared" ca="1" si="107"/>
        <v>-8.9359527848958953E-2</v>
      </c>
      <c r="D940">
        <f ca="1">SQRT(MAX('HE2'!B939,0))*($G$2+$H$2*A940)</f>
        <v>-0.24766203984644944</v>
      </c>
      <c r="E940">
        <f t="shared" ca="1" si="104"/>
        <v>-0.49762640709800915</v>
      </c>
      <c r="Q940">
        <f t="shared" ca="1" si="108"/>
        <v>-0.18736145020977016</v>
      </c>
      <c r="R940">
        <f t="shared" ca="1" si="108"/>
        <v>1.0476260723935651</v>
      </c>
    </row>
    <row r="941" spans="1:18" x14ac:dyDescent="0.45">
      <c r="A941">
        <f t="shared" ca="1" si="107"/>
        <v>-0.72553108036939506</v>
      </c>
      <c r="B941">
        <f t="shared" ca="1" si="107"/>
        <v>2.5445627613728754</v>
      </c>
      <c r="D941">
        <f ca="1">SQRT(MAX('HE2'!B940,0))*($G$2+$H$2*A941)</f>
        <v>-0.2891111478809667</v>
      </c>
      <c r="E941">
        <f t="shared" ca="1" si="104"/>
        <v>0.94631279252820888</v>
      </c>
      <c r="Q941">
        <f t="shared" ca="1" si="108"/>
        <v>-1.0785454575648579</v>
      </c>
      <c r="R941">
        <f t="shared" ca="1" si="108"/>
        <v>0.66853693853615304</v>
      </c>
    </row>
    <row r="942" spans="1:18" x14ac:dyDescent="0.45">
      <c r="A942">
        <f t="shared" ref="A942:B961" ca="1" si="109">NORMINV(RAND(),0,1)</f>
        <v>6.3916568552058448E-2</v>
      </c>
      <c r="B942">
        <f t="shared" ca="1" si="109"/>
        <v>-1.3004101432836201</v>
      </c>
      <c r="D942">
        <f ca="1">SQRT(MAX('HE2'!B941,0))*($G$2+$H$2*A942)</f>
        <v>3.4950549643765295E-2</v>
      </c>
      <c r="E942">
        <f t="shared" ca="1" si="104"/>
        <v>-0.7291128311285251</v>
      </c>
      <c r="Q942">
        <f t="shared" ref="Q942:R961" ca="1" si="110">NORMINV(RAND(),0,1)</f>
        <v>-0.12708934197964245</v>
      </c>
      <c r="R942">
        <f t="shared" ca="1" si="110"/>
        <v>3.3831146291101698E-2</v>
      </c>
    </row>
    <row r="943" spans="1:18" x14ac:dyDescent="0.45">
      <c r="A943">
        <f t="shared" ca="1" si="109"/>
        <v>-0.1864413327557721</v>
      </c>
      <c r="B943">
        <f t="shared" ca="1" si="109"/>
        <v>-0.59417855224195315</v>
      </c>
      <c r="D943">
        <f ca="1">SQRT(MAX('HE2'!B942,0))*($G$2+$H$2*A943)</f>
        <v>-8.4144282738134138E-2</v>
      </c>
      <c r="E943">
        <f t="shared" ca="1" si="104"/>
        <v>-0.50566019754978953</v>
      </c>
      <c r="Q943">
        <f t="shared" ca="1" si="110"/>
        <v>-1.1837422098830825</v>
      </c>
      <c r="R943">
        <f t="shared" ca="1" si="110"/>
        <v>0.82429858744769624</v>
      </c>
    </row>
    <row r="944" spans="1:18" x14ac:dyDescent="0.45">
      <c r="A944">
        <f t="shared" ca="1" si="109"/>
        <v>1.5239360857210449</v>
      </c>
      <c r="B944">
        <f t="shared" ca="1" si="109"/>
        <v>1.6040508512273139</v>
      </c>
      <c r="D944">
        <f ca="1">SQRT(MAX('HE2'!B943,0))*($G$2+$H$2*A944)</f>
        <v>0.61226952016537906</v>
      </c>
      <c r="E944">
        <f t="shared" ca="1" si="104"/>
        <v>2.1815793793132241</v>
      </c>
      <c r="Q944">
        <f t="shared" ca="1" si="110"/>
        <v>2.2466129414839382</v>
      </c>
      <c r="R944">
        <f t="shared" ca="1" si="110"/>
        <v>-1.4200264977582207</v>
      </c>
    </row>
    <row r="945" spans="1:18" x14ac:dyDescent="0.45">
      <c r="A945">
        <f t="shared" ca="1" si="109"/>
        <v>0.51594214019093732</v>
      </c>
      <c r="B945">
        <f t="shared" ca="1" si="109"/>
        <v>-0.938365372634414</v>
      </c>
      <c r="D945">
        <f ca="1">SQRT(MAX('HE2'!B944,0))*($G$2+$H$2*A945)</f>
        <v>0.34664421778592658</v>
      </c>
      <c r="E945">
        <f t="shared" ca="1" si="104"/>
        <v>-0.1502655114278984</v>
      </c>
      <c r="Q945">
        <f t="shared" ca="1" si="110"/>
        <v>0.50935410966259076</v>
      </c>
      <c r="R945">
        <f t="shared" ca="1" si="110"/>
        <v>-0.20788200202005425</v>
      </c>
    </row>
    <row r="946" spans="1:18" x14ac:dyDescent="0.45">
      <c r="A946">
        <f t="shared" ca="1" si="109"/>
        <v>-0.43448061473632738</v>
      </c>
      <c r="B946">
        <f t="shared" ca="1" si="109"/>
        <v>0.96451103509730196</v>
      </c>
      <c r="D946">
        <f ca="1">SQRT(MAX('HE2'!B945,0))*($G$2+$H$2*A946)</f>
        <v>-0.28897270684139637</v>
      </c>
      <c r="E946">
        <f t="shared" ca="1" si="104"/>
        <v>0.23112212926931908</v>
      </c>
      <c r="Q946">
        <f t="shared" ca="1" si="110"/>
        <v>1.8853773711483095</v>
      </c>
      <c r="R946">
        <f t="shared" ca="1" si="110"/>
        <v>0.84163086476454507</v>
      </c>
    </row>
    <row r="947" spans="1:18" x14ac:dyDescent="0.45">
      <c r="A947">
        <f t="shared" ca="1" si="109"/>
        <v>-0.94953990688559264</v>
      </c>
      <c r="B947">
        <f t="shared" ca="1" si="109"/>
        <v>0.67859803740815949</v>
      </c>
      <c r="D947">
        <f ca="1">SQRT(MAX('HE2'!B946,0))*($G$2+$H$2*A947)</f>
        <v>-0.67803635051443811</v>
      </c>
      <c r="E947">
        <f t="shared" ca="1" si="104"/>
        <v>-0.35247310306357854</v>
      </c>
      <c r="Q947">
        <f t="shared" ca="1" si="110"/>
        <v>0.95972458116395221</v>
      </c>
      <c r="R947">
        <f t="shared" ca="1" si="110"/>
        <v>-0.76186572405073338</v>
      </c>
    </row>
    <row r="948" spans="1:18" x14ac:dyDescent="0.45">
      <c r="A948">
        <f t="shared" ca="1" si="109"/>
        <v>0.52970210628564751</v>
      </c>
      <c r="B948">
        <f t="shared" ca="1" si="109"/>
        <v>-0.81510934007016234</v>
      </c>
      <c r="D948">
        <f ca="1">SQRT(MAX('HE2'!B947,0))*($G$2+$H$2*A948)</f>
        <v>0.35709022336240931</v>
      </c>
      <c r="E948">
        <f t="shared" ca="1" si="104"/>
        <v>-6.5303919013579292E-2</v>
      </c>
      <c r="Q948">
        <f t="shared" ca="1" si="110"/>
        <v>0.78148542734348014</v>
      </c>
      <c r="R948">
        <f t="shared" ca="1" si="110"/>
        <v>1.990491737629827</v>
      </c>
    </row>
    <row r="949" spans="1:18" x14ac:dyDescent="0.45">
      <c r="A949">
        <f t="shared" ca="1" si="109"/>
        <v>-0.69351118581448368</v>
      </c>
      <c r="B949">
        <f t="shared" ca="1" si="109"/>
        <v>-1.2687967936374838</v>
      </c>
      <c r="D949">
        <f ca="1">SQRT(MAX('HE2'!B948,0))*($G$2+$H$2*A949)</f>
        <v>-0.47160213795194161</v>
      </c>
      <c r="E949">
        <f t="shared" ca="1" si="104"/>
        <v>-1.316087024834077</v>
      </c>
      <c r="Q949">
        <f t="shared" ca="1" si="110"/>
        <v>-0.18976185271968629</v>
      </c>
      <c r="R949">
        <f t="shared" ca="1" si="110"/>
        <v>-0.55396773919711417</v>
      </c>
    </row>
    <row r="950" spans="1:18" x14ac:dyDescent="0.45">
      <c r="A950">
        <f t="shared" ca="1" si="109"/>
        <v>-1.084702087115814</v>
      </c>
      <c r="B950">
        <f t="shared" ca="1" si="109"/>
        <v>0.78976368270957309</v>
      </c>
      <c r="D950">
        <f ca="1">SQRT(MAX('HE2'!B949,0))*($G$2+$H$2*A950)</f>
        <v>-0.50290642315954925</v>
      </c>
      <c r="E950">
        <f t="shared" ca="1" si="104"/>
        <v>-0.39390346006690746</v>
      </c>
      <c r="Q950">
        <f t="shared" ca="1" si="110"/>
        <v>-1.404651113554741</v>
      </c>
      <c r="R950">
        <f t="shared" ca="1" si="110"/>
        <v>1.0282850395146563</v>
      </c>
    </row>
    <row r="951" spans="1:18" x14ac:dyDescent="0.45">
      <c r="A951">
        <f t="shared" ca="1" si="109"/>
        <v>0.32183562172435948</v>
      </c>
      <c r="B951">
        <f t="shared" ca="1" si="109"/>
        <v>0.3978919596783434</v>
      </c>
      <c r="D951">
        <f ca="1">SQRT(MAX('HE2'!B950,0))*($G$2+$H$2*A951)</f>
        <v>0.13885200658601871</v>
      </c>
      <c r="E951">
        <f t="shared" ca="1" si="104"/>
        <v>0.49620367318649355</v>
      </c>
      <c r="Q951">
        <f t="shared" ca="1" si="110"/>
        <v>0.6329512193972141</v>
      </c>
      <c r="R951">
        <f t="shared" ca="1" si="110"/>
        <v>-0.95625285593477394</v>
      </c>
    </row>
    <row r="952" spans="1:18" x14ac:dyDescent="0.45">
      <c r="A952">
        <f t="shared" ca="1" si="109"/>
        <v>0.89873387882875477</v>
      </c>
      <c r="B952">
        <f t="shared" ca="1" si="109"/>
        <v>1.4172211704837767</v>
      </c>
      <c r="D952">
        <f ca="1">SQRT(MAX('HE2'!B951,0))*($G$2+$H$2*A952)</f>
        <v>0.4729321512024689</v>
      </c>
      <c r="E952">
        <f t="shared" ca="1" si="104"/>
        <v>1.5693198053532695</v>
      </c>
      <c r="Q952">
        <f t="shared" ca="1" si="110"/>
        <v>2.0195769443674116</v>
      </c>
      <c r="R952">
        <f t="shared" ca="1" si="110"/>
        <v>-0.99145510984603291</v>
      </c>
    </row>
    <row r="953" spans="1:18" x14ac:dyDescent="0.45">
      <c r="A953">
        <f t="shared" ca="1" si="109"/>
        <v>2.0172931293852177</v>
      </c>
      <c r="B953">
        <f t="shared" ca="1" si="109"/>
        <v>-0.10657624813024692</v>
      </c>
      <c r="D953">
        <f ca="1">SQRT(MAX('HE2'!B952,0))*($G$2+$H$2*A953)</f>
        <v>1.4952215097385342</v>
      </c>
      <c r="E953">
        <f t="shared" ca="1" si="104"/>
        <v>1.5498887546300262</v>
      </c>
      <c r="Q953">
        <f t="shared" ca="1" si="110"/>
        <v>-0.28146056773907169</v>
      </c>
      <c r="R953">
        <f t="shared" ca="1" si="110"/>
        <v>-0.98370597348219835</v>
      </c>
    </row>
    <row r="954" spans="1:18" x14ac:dyDescent="0.45">
      <c r="A954">
        <f t="shared" ca="1" si="109"/>
        <v>-0.8732556474991322</v>
      </c>
      <c r="B954">
        <f t="shared" ca="1" si="109"/>
        <v>-0.28412467916806211</v>
      </c>
      <c r="D954">
        <f ca="1">SQRT(MAX('HE2'!B953,0))*($G$2+$H$2*A954)</f>
        <v>-0.83453949973246788</v>
      </c>
      <c r="E954">
        <f t="shared" ca="1" si="104"/>
        <v>-0.869079325500143</v>
      </c>
      <c r="Q954">
        <f t="shared" ca="1" si="110"/>
        <v>-0.39074072458904419</v>
      </c>
      <c r="R954">
        <f t="shared" ca="1" si="110"/>
        <v>1.7361714832417168</v>
      </c>
    </row>
    <row r="955" spans="1:18" x14ac:dyDescent="0.45">
      <c r="A955">
        <f t="shared" ca="1" si="109"/>
        <v>-0.12664659545076737</v>
      </c>
      <c r="B955">
        <f t="shared" ca="1" si="109"/>
        <v>1.1608574747480798</v>
      </c>
      <c r="D955">
        <f ca="1">SQRT(MAX('HE2'!B954,0))*($G$2+$H$2*A955)</f>
        <v>-0.10413803929248644</v>
      </c>
      <c r="E955">
        <f t="shared" ca="1" si="104"/>
        <v>0.59519720848823376</v>
      </c>
      <c r="Q955">
        <f t="shared" ca="1" si="110"/>
        <v>-0.42691418521149344</v>
      </c>
      <c r="R955">
        <f t="shared" ca="1" si="110"/>
        <v>2.9769388706599877E-2</v>
      </c>
    </row>
    <row r="956" spans="1:18" x14ac:dyDescent="0.45">
      <c r="A956">
        <f t="shared" ca="1" si="109"/>
        <v>-1.265399422274968</v>
      </c>
      <c r="B956">
        <f t="shared" ca="1" si="109"/>
        <v>-0.27865307363563957</v>
      </c>
      <c r="D956">
        <f ca="1">SQRT(MAX('HE2'!B955,0))*($G$2+$H$2*A956)</f>
        <v>-1.1595520512782844</v>
      </c>
      <c r="E956">
        <f t="shared" ca="1" si="104"/>
        <v>-1.1795113820013583</v>
      </c>
      <c r="Q956">
        <f t="shared" ca="1" si="110"/>
        <v>0.70628092943854248</v>
      </c>
      <c r="R956">
        <f t="shared" ca="1" si="110"/>
        <v>-0.35272187539989674</v>
      </c>
    </row>
    <row r="957" spans="1:18" x14ac:dyDescent="0.45">
      <c r="A957">
        <f t="shared" ca="1" si="109"/>
        <v>0.37929187083462845</v>
      </c>
      <c r="B957">
        <f t="shared" ca="1" si="109"/>
        <v>1.3032058764151842</v>
      </c>
      <c r="D957">
        <f ca="1">SQRT(MAX('HE2'!B956,0))*($G$2+$H$2*A957)</f>
        <v>0.27584757207332111</v>
      </c>
      <c r="E957">
        <f t="shared" ca="1" si="104"/>
        <v>1.085357022516813</v>
      </c>
      <c r="Q957">
        <f t="shared" ca="1" si="110"/>
        <v>2.210298561126987</v>
      </c>
      <c r="R957">
        <f t="shared" ca="1" si="110"/>
        <v>-5.6950847874863569E-2</v>
      </c>
    </row>
    <row r="958" spans="1:18" x14ac:dyDescent="0.45">
      <c r="A958">
        <f t="shared" ca="1" si="109"/>
        <v>1.4684170636849496</v>
      </c>
      <c r="B958">
        <f t="shared" ca="1" si="109"/>
        <v>0.52230671653700456</v>
      </c>
      <c r="D958">
        <f ca="1">SQRT(MAX('HE2'!B957,0))*($G$2+$H$2*A958)</f>
        <v>1.3013650000286234</v>
      </c>
      <c r="E958">
        <f t="shared" ca="1" si="104"/>
        <v>1.4881176808701624</v>
      </c>
      <c r="Q958">
        <f t="shared" ca="1" si="110"/>
        <v>-1.7692640744525767</v>
      </c>
      <c r="R958">
        <f t="shared" ca="1" si="110"/>
        <v>-2.5089390300799323E-2</v>
      </c>
    </row>
    <row r="959" spans="1:18" x14ac:dyDescent="0.45">
      <c r="A959">
        <f t="shared" ca="1" si="109"/>
        <v>0.86005922286147718</v>
      </c>
      <c r="B959">
        <f t="shared" ca="1" si="109"/>
        <v>-0.11745415892910495</v>
      </c>
      <c r="D959">
        <f ca="1">SQRT(MAX('HE2'!B958,0))*($G$2+$H$2*A959)</f>
        <v>0.94042762352810705</v>
      </c>
      <c r="E959">
        <f t="shared" ca="1" si="104"/>
        <v>0.61757488293171892</v>
      </c>
      <c r="Q959">
        <f t="shared" ca="1" si="110"/>
        <v>1.7024703529995122</v>
      </c>
      <c r="R959">
        <f t="shared" ca="1" si="110"/>
        <v>-0.33570999874987439</v>
      </c>
    </row>
    <row r="960" spans="1:18" x14ac:dyDescent="0.45">
      <c r="A960">
        <f t="shared" ca="1" si="109"/>
        <v>-1.9897592844350411</v>
      </c>
      <c r="B960">
        <f t="shared" ca="1" si="109"/>
        <v>0.28628471745205314</v>
      </c>
      <c r="D960">
        <f ca="1">SQRT(MAX('HE2'!B959,0))*($G$2+$H$2*A960)</f>
        <v>-2.358148699652356</v>
      </c>
      <c r="E960">
        <f t="shared" ca="1" si="104"/>
        <v>-1.4200365970768012</v>
      </c>
      <c r="Q960">
        <f t="shared" ca="1" si="110"/>
        <v>-1.310235306255831E-2</v>
      </c>
      <c r="R960">
        <f t="shared" ca="1" si="110"/>
        <v>-5.5615157539413637E-2</v>
      </c>
    </row>
    <row r="961" spans="1:18" x14ac:dyDescent="0.45">
      <c r="A961">
        <f t="shared" ca="1" si="109"/>
        <v>-0.36228295631415253</v>
      </c>
      <c r="B961">
        <f t="shared" ca="1" si="109"/>
        <v>-0.82655000695717096</v>
      </c>
      <c r="D961">
        <f ca="1">SQRT(MAX('HE2'!B960,0))*($G$2+$H$2*A961)</f>
        <v>-0.34404602253097444</v>
      </c>
      <c r="E961">
        <f t="shared" ca="1" si="104"/>
        <v>-0.78575636922562442</v>
      </c>
      <c r="Q961">
        <f t="shared" ca="1" si="110"/>
        <v>-0.65584229973212327</v>
      </c>
      <c r="R961">
        <f t="shared" ca="1" si="110"/>
        <v>-1.183656280474439</v>
      </c>
    </row>
    <row r="962" spans="1:18" x14ac:dyDescent="0.45">
      <c r="A962">
        <f t="shared" ref="A962:B981" ca="1" si="111">NORMINV(RAND(),0,1)</f>
        <v>-0.30919153443750885</v>
      </c>
      <c r="B962">
        <f t="shared" ca="1" si="111"/>
        <v>0.22535657525685576</v>
      </c>
      <c r="D962">
        <f ca="1">SQRT(MAX('HE2'!B961,0))*($G$2+$H$2*A962)</f>
        <v>-0.25687590370999142</v>
      </c>
      <c r="E962">
        <f t="shared" ref="E962:E1001" ca="1" si="112">$I$2+$J$2*(A962*$K$2 + B962*POWER(1-$K$2*$K$2, 0.5))</f>
        <v>-0.11213928239589369</v>
      </c>
      <c r="Q962">
        <f t="shared" ref="Q962:R981" ca="1" si="113">NORMINV(RAND(),0,1)</f>
        <v>0.92454367884889321</v>
      </c>
      <c r="R962">
        <f t="shared" ca="1" si="113"/>
        <v>-0.13007937387808768</v>
      </c>
    </row>
    <row r="963" spans="1:18" x14ac:dyDescent="0.45">
      <c r="A963">
        <f t="shared" ca="1" si="111"/>
        <v>0.67066608103350378</v>
      </c>
      <c r="B963">
        <f t="shared" ca="1" si="111"/>
        <v>1.170776914582329</v>
      </c>
      <c r="D963">
        <f ca="1">SQRT(MAX('HE2'!B962,0))*($G$2+$H$2*A963)</f>
        <v>0.55253291856441045</v>
      </c>
      <c r="E963">
        <f t="shared" ca="1" si="112"/>
        <v>1.2389990135762003</v>
      </c>
      <c r="Q963">
        <f t="shared" ca="1" si="113"/>
        <v>-1.0353709060928764</v>
      </c>
      <c r="R963">
        <f t="shared" ca="1" si="113"/>
        <v>1.9057617182162665</v>
      </c>
    </row>
    <row r="964" spans="1:18" x14ac:dyDescent="0.45">
      <c r="A964">
        <f t="shared" ca="1" si="111"/>
        <v>-0.41331515613274911</v>
      </c>
      <c r="B964">
        <f t="shared" ca="1" si="111"/>
        <v>-0.34094740400325507</v>
      </c>
      <c r="D964">
        <f ca="1">SQRT(MAX('HE2'!B963,0))*($G$2+$H$2*A964)</f>
        <v>-0.41365824563808834</v>
      </c>
      <c r="E964">
        <f t="shared" ca="1" si="112"/>
        <v>-0.53522056730815226</v>
      </c>
      <c r="Q964">
        <f t="shared" ca="1" si="113"/>
        <v>0.36251036381104085</v>
      </c>
      <c r="R964">
        <f t="shared" ca="1" si="113"/>
        <v>-1.4432410696312801</v>
      </c>
    </row>
    <row r="965" spans="1:18" x14ac:dyDescent="0.45">
      <c r="A965">
        <f t="shared" ca="1" si="111"/>
        <v>0.79259227199648541</v>
      </c>
      <c r="B965">
        <f t="shared" ca="1" si="111"/>
        <v>-1.1485180513373854</v>
      </c>
      <c r="D965">
        <f ca="1">SQRT(MAX('HE2'!B964,0))*($G$2+$H$2*A965)</f>
        <v>0.73124796697019423</v>
      </c>
      <c r="E965">
        <f t="shared" ca="1" si="112"/>
        <v>-5.503701320524268E-2</v>
      </c>
      <c r="Q965">
        <f t="shared" ca="1" si="113"/>
        <v>0.47726998121677466</v>
      </c>
      <c r="R965">
        <f t="shared" ca="1" si="113"/>
        <v>-0.3098833492758809</v>
      </c>
    </row>
    <row r="966" spans="1:18" x14ac:dyDescent="0.45">
      <c r="A966">
        <f t="shared" ca="1" si="111"/>
        <v>0.35372782412928211</v>
      </c>
      <c r="B966">
        <f t="shared" ca="1" si="111"/>
        <v>-1.053707646458576</v>
      </c>
      <c r="D966">
        <f ca="1">SQRT(MAX('HE2'!B965,0))*($G$2+$H$2*A966)</f>
        <v>0.32596879465350465</v>
      </c>
      <c r="E966">
        <f t="shared" ca="1" si="112"/>
        <v>-0.34924232857171977</v>
      </c>
      <c r="Q966">
        <f t="shared" ca="1" si="113"/>
        <v>1.3139334198562329</v>
      </c>
      <c r="R966">
        <f t="shared" ca="1" si="113"/>
        <v>0.13093940663962125</v>
      </c>
    </row>
    <row r="967" spans="1:18" x14ac:dyDescent="0.45">
      <c r="A967">
        <f t="shared" ca="1" si="111"/>
        <v>-1.0591897607472132</v>
      </c>
      <c r="B967">
        <f t="shared" ca="1" si="111"/>
        <v>8.8735573484263752E-2</v>
      </c>
      <c r="D967">
        <f ca="1">SQRT(MAX('HE2'!B966,0))*($G$2+$H$2*A967)</f>
        <v>-0.92698188760179179</v>
      </c>
      <c r="E967">
        <f t="shared" ca="1" si="112"/>
        <v>-0.79411046450721234</v>
      </c>
      <c r="Q967">
        <f t="shared" ca="1" si="113"/>
        <v>-1.3123141475831112E-2</v>
      </c>
      <c r="R967">
        <f t="shared" ca="1" si="113"/>
        <v>1.5986731021930001</v>
      </c>
    </row>
    <row r="968" spans="1:18" x14ac:dyDescent="0.45">
      <c r="A968">
        <f t="shared" ca="1" si="111"/>
        <v>-0.2429439177250988</v>
      </c>
      <c r="B968">
        <f t="shared" ca="1" si="111"/>
        <v>-1.7836039643725814</v>
      </c>
      <c r="D968">
        <f ca="1">SQRT(MAX('HE2'!B967,0))*($G$2+$H$2*A968)</f>
        <v>-0.18380318983879992</v>
      </c>
      <c r="E968">
        <f t="shared" ca="1" si="112"/>
        <v>-1.2645175128036277</v>
      </c>
      <c r="Q968">
        <f t="shared" ca="1" si="113"/>
        <v>-0.14885540438568076</v>
      </c>
      <c r="R968">
        <f t="shared" ca="1" si="113"/>
        <v>0.45013004402291928</v>
      </c>
    </row>
    <row r="969" spans="1:18" x14ac:dyDescent="0.45">
      <c r="A969">
        <f t="shared" ca="1" si="111"/>
        <v>-4.6656898452441371E-2</v>
      </c>
      <c r="B969">
        <f t="shared" ca="1" si="111"/>
        <v>-0.53970792115205912</v>
      </c>
      <c r="D969">
        <f ca="1">SQRT(MAX('HE2'!B968,0))*($G$2+$H$2*A969)</f>
        <v>-2.5733525723101815E-2</v>
      </c>
      <c r="E969">
        <f t="shared" ca="1" si="112"/>
        <v>-0.36115027145318851</v>
      </c>
      <c r="Q969">
        <f t="shared" ca="1" si="113"/>
        <v>-1.276378044280073</v>
      </c>
      <c r="R969">
        <f t="shared" ca="1" si="113"/>
        <v>-0.40818722276915459</v>
      </c>
    </row>
    <row r="970" spans="1:18" x14ac:dyDescent="0.45">
      <c r="A970">
        <f t="shared" ca="1" si="111"/>
        <v>-0.3614546968795021</v>
      </c>
      <c r="B970">
        <f t="shared" ca="1" si="111"/>
        <v>-0.50494608559587939</v>
      </c>
      <c r="D970">
        <f ca="1">SQRT(MAX('HE2'!B969,0))*($G$2+$H$2*A970)</f>
        <v>-0.18734086368075034</v>
      </c>
      <c r="E970">
        <f t="shared" ca="1" si="112"/>
        <v>-0.59213140886112925</v>
      </c>
      <c r="Q970">
        <f t="shared" ca="1" si="113"/>
        <v>1.2956168730072852</v>
      </c>
      <c r="R970">
        <f t="shared" ca="1" si="113"/>
        <v>-0.37862451359168231</v>
      </c>
    </row>
    <row r="971" spans="1:18" x14ac:dyDescent="0.45">
      <c r="A971">
        <f t="shared" ca="1" si="111"/>
        <v>-1.292505623859143</v>
      </c>
      <c r="B971">
        <f t="shared" ca="1" si="111"/>
        <v>-0.86040002113635206</v>
      </c>
      <c r="D971">
        <f ca="1">SQRT(MAX('HE2'!B970,0))*($G$2+$H$2*A971)</f>
        <v>-0.58012789255281294</v>
      </c>
      <c r="E971">
        <f t="shared" ca="1" si="112"/>
        <v>-1.5502445117691255</v>
      </c>
      <c r="Q971">
        <f t="shared" ca="1" si="113"/>
        <v>-0.15643214999166377</v>
      </c>
      <c r="R971">
        <f t="shared" ca="1" si="113"/>
        <v>-0.77987107926878729</v>
      </c>
    </row>
    <row r="972" spans="1:18" x14ac:dyDescent="0.45">
      <c r="A972">
        <f t="shared" ca="1" si="111"/>
        <v>1.1406418488947133E-2</v>
      </c>
      <c r="B972">
        <f t="shared" ca="1" si="111"/>
        <v>-4.5901693423191295E-2</v>
      </c>
      <c r="D972">
        <f ca="1">SQRT(MAX('HE2'!B971,0))*($G$2+$H$2*A972)</f>
        <v>1.5703025516513921E-3</v>
      </c>
      <c r="E972">
        <f t="shared" ca="1" si="112"/>
        <v>-1.8415881262757061E-2</v>
      </c>
      <c r="Q972">
        <f t="shared" ca="1" si="113"/>
        <v>-1.0956062704345151</v>
      </c>
      <c r="R972">
        <f t="shared" ca="1" si="113"/>
        <v>1.6456062784398386</v>
      </c>
    </row>
    <row r="973" spans="1:18" x14ac:dyDescent="0.45">
      <c r="A973">
        <f t="shared" ca="1" si="111"/>
        <v>0.54934337875336459</v>
      </c>
      <c r="B973">
        <f t="shared" ca="1" si="111"/>
        <v>-1.5598874759155585</v>
      </c>
      <c r="D973">
        <f ca="1">SQRT(MAX('HE2'!B972,0))*($G$2+$H$2*A973)</f>
        <v>0.12045652559369981</v>
      </c>
      <c r="E973">
        <f t="shared" ca="1" si="112"/>
        <v>-0.49645778254664324</v>
      </c>
      <c r="Q973">
        <f t="shared" ca="1" si="113"/>
        <v>1.7443938423582905</v>
      </c>
      <c r="R973">
        <f t="shared" ca="1" si="113"/>
        <v>-2.2712414862141483</v>
      </c>
    </row>
    <row r="974" spans="1:18" x14ac:dyDescent="0.45">
      <c r="A974">
        <f t="shared" ca="1" si="111"/>
        <v>-0.3341242552967062</v>
      </c>
      <c r="B974">
        <f t="shared" ca="1" si="111"/>
        <v>-1.7381792153333664</v>
      </c>
      <c r="D974">
        <f ca="1">SQRT(MAX('HE2'!B973,0))*($G$2+$H$2*A974)</f>
        <v>-7.0664934600642604E-2</v>
      </c>
      <c r="E974">
        <f t="shared" ca="1" si="112"/>
        <v>-1.3102069334373847</v>
      </c>
      <c r="Q974">
        <f t="shared" ca="1" si="113"/>
        <v>0.66273242353409745</v>
      </c>
      <c r="R974">
        <f t="shared" ca="1" si="113"/>
        <v>0.65581006962597233</v>
      </c>
    </row>
    <row r="975" spans="1:18" x14ac:dyDescent="0.45">
      <c r="A975">
        <f t="shared" ca="1" si="111"/>
        <v>-0.15541856537388227</v>
      </c>
      <c r="B975">
        <f t="shared" ca="1" si="111"/>
        <v>-1.6906091633950142</v>
      </c>
      <c r="D975">
        <f ca="1">SQRT(MAX('HE2'!B974,0))*($G$2+$H$2*A975)</f>
        <v>0</v>
      </c>
      <c r="E975">
        <f t="shared" ca="1" si="112"/>
        <v>-1.1387003503361142</v>
      </c>
      <c r="Q975">
        <f t="shared" ca="1" si="113"/>
        <v>0.82141106383982077</v>
      </c>
      <c r="R975">
        <f t="shared" ca="1" si="113"/>
        <v>-0.25222992331934074</v>
      </c>
    </row>
    <row r="976" spans="1:18" x14ac:dyDescent="0.45">
      <c r="A976">
        <f t="shared" ca="1" si="111"/>
        <v>-0.41222837961371428</v>
      </c>
      <c r="B976">
        <f t="shared" ca="1" si="111"/>
        <v>-0.53936596227685674</v>
      </c>
      <c r="D976">
        <f ca="1">SQRT(MAX('HE2'!B975,0))*($G$2+$H$2*A976)</f>
        <v>-6.0079121147092407E-2</v>
      </c>
      <c r="E976">
        <f t="shared" ca="1" si="112"/>
        <v>-0.65340228105708542</v>
      </c>
      <c r="Q976">
        <f t="shared" ca="1" si="113"/>
        <v>0.64245363134010769</v>
      </c>
      <c r="R976">
        <f t="shared" ca="1" si="113"/>
        <v>-0.52931432312394899</v>
      </c>
    </row>
    <row r="977" spans="1:18" x14ac:dyDescent="0.45">
      <c r="A977">
        <f t="shared" ca="1" si="111"/>
        <v>0.14507091737010905</v>
      </c>
      <c r="B977">
        <f t="shared" ca="1" si="111"/>
        <v>0.46017213565582105</v>
      </c>
      <c r="D977">
        <f ca="1">SQRT(MAX('HE2'!B976,0))*($G$2+$H$2*A977)</f>
        <v>2.1768130785892389E-2</v>
      </c>
      <c r="E977">
        <f t="shared" ca="1" si="112"/>
        <v>0.39216001528957978</v>
      </c>
      <c r="Q977">
        <f t="shared" ca="1" si="113"/>
        <v>0.71678346671699456</v>
      </c>
      <c r="R977">
        <f t="shared" ca="1" si="113"/>
        <v>-0.61899401174757473</v>
      </c>
    </row>
    <row r="978" spans="1:18" x14ac:dyDescent="0.45">
      <c r="A978">
        <f t="shared" ca="1" si="111"/>
        <v>4.7393176220712978E-2</v>
      </c>
      <c r="B978">
        <f t="shared" ca="1" si="111"/>
        <v>0.91830975780832047</v>
      </c>
      <c r="D978">
        <f ca="1">SQRT(MAX('HE2'!B977,0))*($G$2+$H$2*A978)</f>
        <v>1.2537843556542574E-2</v>
      </c>
      <c r="E978">
        <f t="shared" ca="1" si="112"/>
        <v>0.5889003956615626</v>
      </c>
      <c r="Q978">
        <f t="shared" ca="1" si="113"/>
        <v>-0.72763782661331211</v>
      </c>
      <c r="R978">
        <f t="shared" ca="1" si="113"/>
        <v>-1.940029904939</v>
      </c>
    </row>
    <row r="979" spans="1:18" x14ac:dyDescent="0.45">
      <c r="A979">
        <f t="shared" ca="1" si="111"/>
        <v>-0.89954188737422103</v>
      </c>
      <c r="B979">
        <f t="shared" ca="1" si="111"/>
        <v>1.1782553234284732</v>
      </c>
      <c r="D979">
        <f ca="1">SQRT(MAX('HE2'!B978,0))*($G$2+$H$2*A979)</f>
        <v>-0.34323474695009926</v>
      </c>
      <c r="E979">
        <f t="shared" ca="1" si="112"/>
        <v>-1.2680315842293122E-2</v>
      </c>
      <c r="Q979">
        <f t="shared" ca="1" si="113"/>
        <v>0.89688391008044388</v>
      </c>
      <c r="R979">
        <f t="shared" ca="1" si="113"/>
        <v>-2.5043223051266486</v>
      </c>
    </row>
    <row r="980" spans="1:18" x14ac:dyDescent="0.45">
      <c r="A980">
        <f t="shared" ca="1" si="111"/>
        <v>1.9290797652636897</v>
      </c>
      <c r="B980">
        <f t="shared" ca="1" si="111"/>
        <v>0.50785280265391008</v>
      </c>
      <c r="D980">
        <f ca="1">SQRT(MAX('HE2'!B979,0))*($G$2+$H$2*A980)</f>
        <v>0.798875157152244</v>
      </c>
      <c r="E980">
        <f t="shared" ca="1" si="112"/>
        <v>1.8479754938032977</v>
      </c>
      <c r="Q980">
        <f t="shared" ca="1" si="113"/>
        <v>-0.96047971974575175</v>
      </c>
      <c r="R980">
        <f t="shared" ca="1" si="113"/>
        <v>1.6094309955625524E-2</v>
      </c>
    </row>
    <row r="981" spans="1:18" x14ac:dyDescent="0.45">
      <c r="A981">
        <f t="shared" ca="1" si="111"/>
        <v>-0.1462587088485835</v>
      </c>
      <c r="B981">
        <f t="shared" ca="1" si="111"/>
        <v>-0.68594345354154773</v>
      </c>
      <c r="D981">
        <f ca="1">SQRT(MAX('HE2'!B980,0))*($G$2+$H$2*A981)</f>
        <v>-9.5676209503297291E-2</v>
      </c>
      <c r="E981">
        <f t="shared" ca="1" si="112"/>
        <v>-0.52857303920379539</v>
      </c>
      <c r="Q981">
        <f t="shared" ca="1" si="113"/>
        <v>-0.14909108272063504</v>
      </c>
      <c r="R981">
        <f t="shared" ca="1" si="113"/>
        <v>-0.1248713112855306</v>
      </c>
    </row>
    <row r="982" spans="1:18" x14ac:dyDescent="0.45">
      <c r="A982">
        <f t="shared" ref="A982:B1001" ca="1" si="114">NORMINV(RAND(),0,1)</f>
        <v>1.3650255518834238</v>
      </c>
      <c r="B982">
        <f t="shared" ca="1" si="114"/>
        <v>0.46035523315793175</v>
      </c>
      <c r="D982">
        <f ca="1">SQRT(MAX('HE2'!B981,0))*($G$2+$H$2*A982)</f>
        <v>0.802816567509822</v>
      </c>
      <c r="E982">
        <f t="shared" ca="1" si="112"/>
        <v>1.3682335814014981</v>
      </c>
      <c r="Q982">
        <f t="shared" ref="Q982:R1001" ca="1" si="115">NORMINV(RAND(),0,1)</f>
        <v>-0.29776322660417126</v>
      </c>
      <c r="R982">
        <f t="shared" ca="1" si="115"/>
        <v>1.7250782921252161</v>
      </c>
    </row>
    <row r="983" spans="1:18" x14ac:dyDescent="0.45">
      <c r="A983">
        <f t="shared" ca="1" si="114"/>
        <v>0.44473549204817386</v>
      </c>
      <c r="B983">
        <f t="shared" ca="1" si="114"/>
        <v>0.24659150556715881</v>
      </c>
      <c r="D983">
        <f ca="1">SQRT(MAX('HE2'!B982,0))*($G$2+$H$2*A983)</f>
        <v>0.34753778331268276</v>
      </c>
      <c r="E983">
        <f t="shared" ca="1" si="112"/>
        <v>0.50374329697883435</v>
      </c>
      <c r="Q983">
        <f t="shared" ca="1" si="115"/>
        <v>-0.11599528219205422</v>
      </c>
      <c r="R983">
        <f t="shared" ca="1" si="115"/>
        <v>-0.16728402408288934</v>
      </c>
    </row>
    <row r="984" spans="1:18" x14ac:dyDescent="0.45">
      <c r="A984">
        <f t="shared" ca="1" si="114"/>
        <v>2.6421917697432775</v>
      </c>
      <c r="B984">
        <f t="shared" ca="1" si="114"/>
        <v>0.71615790971836835</v>
      </c>
      <c r="D984">
        <f ca="1">SQRT(MAX('HE2'!B983,0))*($G$2+$H$2*A984)</f>
        <v>2.2833352546941459</v>
      </c>
      <c r="E984">
        <f t="shared" ca="1" si="112"/>
        <v>2.5434481616256432</v>
      </c>
      <c r="Q984">
        <f t="shared" ca="1" si="115"/>
        <v>-0.43536864023794941</v>
      </c>
      <c r="R984">
        <f t="shared" ca="1" si="115"/>
        <v>2.6078804492084166E-2</v>
      </c>
    </row>
    <row r="985" spans="1:18" x14ac:dyDescent="0.45">
      <c r="A985">
        <f t="shared" ca="1" si="114"/>
        <v>0.81059984671582452</v>
      </c>
      <c r="B985">
        <f t="shared" ca="1" si="114"/>
        <v>-7.1462275118516813E-2</v>
      </c>
      <c r="D985">
        <f ca="1">SQRT(MAX('HE2'!B984,0))*($G$2+$H$2*A985)</f>
        <v>0.96646606259327261</v>
      </c>
      <c r="E985">
        <f t="shared" ca="1" si="112"/>
        <v>0.6056025123015496</v>
      </c>
      <c r="Q985">
        <f t="shared" ca="1" si="115"/>
        <v>1.3962765628744614E-2</v>
      </c>
      <c r="R985">
        <f t="shared" ca="1" si="115"/>
        <v>-0.18538289309664696</v>
      </c>
    </row>
    <row r="986" spans="1:18" x14ac:dyDescent="0.45">
      <c r="A986">
        <f t="shared" ca="1" si="114"/>
        <v>1.2994635743515683</v>
      </c>
      <c r="B986">
        <f t="shared" ca="1" si="114"/>
        <v>0.67522874244690567</v>
      </c>
      <c r="D986">
        <f ca="1">SQRT(MAX('HE2'!B985,0))*($G$2+$H$2*A986)</f>
        <v>1.6641232939681307</v>
      </c>
      <c r="E986">
        <f t="shared" ca="1" si="112"/>
        <v>1.4447081049493979</v>
      </c>
      <c r="Q986">
        <f t="shared" ca="1" si="115"/>
        <v>-1.5400850189999942</v>
      </c>
      <c r="R986">
        <f t="shared" ca="1" si="115"/>
        <v>-0.12796887864128387</v>
      </c>
    </row>
    <row r="987" spans="1:18" x14ac:dyDescent="0.45">
      <c r="A987">
        <f t="shared" ca="1" si="114"/>
        <v>-0.31026728927538566</v>
      </c>
      <c r="B987">
        <f t="shared" ca="1" si="114"/>
        <v>0.17017540876536835</v>
      </c>
      <c r="D987">
        <f ca="1">SQRT(MAX('HE2'!B986,0))*($G$2+$H$2*A987)</f>
        <v>-0.45941587648620907</v>
      </c>
      <c r="E987">
        <f t="shared" ca="1" si="112"/>
        <v>-0.14610858616108754</v>
      </c>
      <c r="Q987">
        <f t="shared" ca="1" si="115"/>
        <v>-0.4905794272600103</v>
      </c>
      <c r="R987">
        <f t="shared" ca="1" si="115"/>
        <v>0.10054648800828038</v>
      </c>
    </row>
    <row r="988" spans="1:18" x14ac:dyDescent="0.45">
      <c r="A988">
        <f t="shared" ca="1" si="114"/>
        <v>-0.3891239511426966</v>
      </c>
      <c r="B988">
        <f t="shared" ca="1" si="114"/>
        <v>0.72154832858720608</v>
      </c>
      <c r="D988">
        <f ca="1">SQRT(MAX('HE2'!B987,0))*($G$2+$H$2*A988)</f>
        <v>-0.56577293940483797</v>
      </c>
      <c r="E988">
        <f t="shared" ca="1" si="112"/>
        <v>0.1216298362381662</v>
      </c>
      <c r="Q988">
        <f t="shared" ca="1" si="115"/>
        <v>1.1818210340635273</v>
      </c>
      <c r="R988">
        <f t="shared" ca="1" si="115"/>
        <v>2.5591511091863164</v>
      </c>
    </row>
    <row r="989" spans="1:18" x14ac:dyDescent="0.45">
      <c r="A989">
        <f t="shared" ca="1" si="114"/>
        <v>-1.5342525937346259</v>
      </c>
      <c r="B989">
        <f t="shared" ca="1" si="114"/>
        <v>-0.31765319618529658</v>
      </c>
      <c r="D989">
        <f ca="1">SQRT(MAX('HE2'!B988,0))*($G$2+$H$2*A989)</f>
        <v>-2.2523006113541424</v>
      </c>
      <c r="E989">
        <f t="shared" ca="1" si="112"/>
        <v>-1.4179939926988787</v>
      </c>
      <c r="Q989">
        <f t="shared" ca="1" si="115"/>
        <v>-1.651040550669352</v>
      </c>
      <c r="R989">
        <f t="shared" ca="1" si="115"/>
        <v>0.3104368042526931</v>
      </c>
    </row>
    <row r="990" spans="1:18" x14ac:dyDescent="0.45">
      <c r="A990">
        <f t="shared" ca="1" si="114"/>
        <v>-1.3292986683965662</v>
      </c>
      <c r="B990">
        <f t="shared" ca="1" si="114"/>
        <v>-0.95821144640482836</v>
      </c>
      <c r="D990">
        <f ca="1">SQRT(MAX('HE2'!B989,0))*($G$2+$H$2*A990)</f>
        <v>-1.6376481697457317</v>
      </c>
      <c r="E990">
        <f t="shared" ca="1" si="112"/>
        <v>-1.63836580256015</v>
      </c>
      <c r="Q990">
        <f t="shared" ca="1" si="115"/>
        <v>1.1985964696071694</v>
      </c>
      <c r="R990">
        <f t="shared" ca="1" si="115"/>
        <v>-1.4150149774545451</v>
      </c>
    </row>
    <row r="991" spans="1:18" x14ac:dyDescent="0.45">
      <c r="A991">
        <f t="shared" ca="1" si="114"/>
        <v>1.2506626042708811</v>
      </c>
      <c r="B991">
        <f t="shared" ca="1" si="114"/>
        <v>-0.677558321224914</v>
      </c>
      <c r="D991">
        <f ca="1">SQRT(MAX('HE2'!B990,0))*($G$2+$H$2*A991)</f>
        <v>1.1944491680217506</v>
      </c>
      <c r="E991">
        <f t="shared" ca="1" si="112"/>
        <v>0.59399509068175649</v>
      </c>
      <c r="Q991">
        <f t="shared" ca="1" si="115"/>
        <v>0.22418121570589269</v>
      </c>
      <c r="R991">
        <f t="shared" ca="1" si="115"/>
        <v>1.5532234137489425</v>
      </c>
    </row>
    <row r="992" spans="1:18" x14ac:dyDescent="0.45">
      <c r="A992">
        <f t="shared" ca="1" si="114"/>
        <v>-1.729856509067341</v>
      </c>
      <c r="B992">
        <f t="shared" ca="1" si="114"/>
        <v>1.3081952306283675</v>
      </c>
      <c r="D992">
        <f ca="1">SQRT(MAX('HE2'!B991,0))*($G$2+$H$2*A992)</f>
        <v>-1.8096158694452884</v>
      </c>
      <c r="E992">
        <f t="shared" ca="1" si="112"/>
        <v>-0.59896806887685261</v>
      </c>
      <c r="Q992">
        <f t="shared" ca="1" si="115"/>
        <v>0.75563185614077855</v>
      </c>
      <c r="R992">
        <f t="shared" ca="1" si="115"/>
        <v>-1.1561836140012833</v>
      </c>
    </row>
    <row r="993" spans="1:18" x14ac:dyDescent="0.45">
      <c r="A993">
        <f t="shared" ca="1" si="114"/>
        <v>-0.7010167876338218</v>
      </c>
      <c r="B993">
        <f t="shared" ca="1" si="114"/>
        <v>0.25918326789027973</v>
      </c>
      <c r="D993">
        <f ca="1">SQRT(MAX('HE2'!B992,0))*($G$2+$H$2*A993)</f>
        <v>-0.67046917767051573</v>
      </c>
      <c r="E993">
        <f t="shared" ca="1" si="112"/>
        <v>-0.40530346937288964</v>
      </c>
      <c r="Q993">
        <f t="shared" ca="1" si="115"/>
        <v>1.0282265865393689</v>
      </c>
      <c r="R993">
        <f t="shared" ca="1" si="115"/>
        <v>-9.2662224864625026E-2</v>
      </c>
    </row>
    <row r="994" spans="1:18" x14ac:dyDescent="0.45">
      <c r="A994">
        <f t="shared" ca="1" si="114"/>
        <v>7.5831669559725673E-2</v>
      </c>
      <c r="B994">
        <f t="shared" ca="1" si="114"/>
        <v>-2.0764283913979154</v>
      </c>
      <c r="D994">
        <f ca="1">SQRT(MAX('HE2'!B993,0))*($G$2+$H$2*A994)</f>
        <v>6.8266492756989663E-2</v>
      </c>
      <c r="E994">
        <f t="shared" ca="1" si="112"/>
        <v>-1.1851916991909683</v>
      </c>
      <c r="Q994">
        <f t="shared" ca="1" si="115"/>
        <v>-0.95529107932857815</v>
      </c>
      <c r="R994">
        <f t="shared" ca="1" si="115"/>
        <v>1.223060897139042</v>
      </c>
    </row>
    <row r="995" spans="1:18" x14ac:dyDescent="0.45">
      <c r="A995">
        <f t="shared" ca="1" si="114"/>
        <v>1.5715252264712296</v>
      </c>
      <c r="B995">
        <f t="shared" ca="1" si="114"/>
        <v>0.22829117145065547</v>
      </c>
      <c r="D995">
        <f ca="1">SQRT(MAX('HE2'!B994,0))*($G$2+$H$2*A995)</f>
        <v>1.1161153522343072</v>
      </c>
      <c r="E995">
        <f t="shared" ca="1" si="112"/>
        <v>1.3941948840473772</v>
      </c>
      <c r="Q995">
        <f t="shared" ca="1" si="115"/>
        <v>-1.9779250791534668</v>
      </c>
      <c r="R995">
        <f t="shared" ca="1" si="115"/>
        <v>-0.16815691293299725</v>
      </c>
    </row>
    <row r="996" spans="1:18" x14ac:dyDescent="0.45">
      <c r="A996">
        <f t="shared" ca="1" si="114"/>
        <v>1.8482526247784135</v>
      </c>
      <c r="B996">
        <f t="shared" ca="1" si="114"/>
        <v>1.1610102987737856</v>
      </c>
      <c r="D996">
        <f ca="1">SQRT(MAX('HE2'!B995,0))*($G$2+$H$2*A996)</f>
        <v>1.6753290276651047</v>
      </c>
      <c r="E996">
        <f t="shared" ca="1" si="112"/>
        <v>2.175208279087002</v>
      </c>
      <c r="Q996">
        <f t="shared" ca="1" si="115"/>
        <v>-1.8772995034962996</v>
      </c>
      <c r="R996">
        <f t="shared" ca="1" si="115"/>
        <v>2.2023505306471325</v>
      </c>
    </row>
    <row r="997" spans="1:18" x14ac:dyDescent="0.45">
      <c r="A997">
        <f t="shared" ca="1" si="114"/>
        <v>-3.9640975487509687E-2</v>
      </c>
      <c r="B997">
        <f t="shared" ca="1" si="114"/>
        <v>0.66777872622172452</v>
      </c>
      <c r="D997">
        <f ca="1">SQRT(MAX('HE2'!B996,0))*($G$2+$H$2*A997)</f>
        <v>-4.7353565603656556E-2</v>
      </c>
      <c r="E997">
        <f t="shared" ca="1" si="112"/>
        <v>0.3689544553430269</v>
      </c>
      <c r="Q997">
        <f t="shared" ca="1" si="115"/>
        <v>-0.31556347356952835</v>
      </c>
      <c r="R997">
        <f t="shared" ca="1" si="115"/>
        <v>-1.0684207097192386</v>
      </c>
    </row>
    <row r="998" spans="1:18" x14ac:dyDescent="0.45">
      <c r="A998">
        <f t="shared" ca="1" si="114"/>
        <v>0.48152266744839717</v>
      </c>
      <c r="B998">
        <f t="shared" ca="1" si="114"/>
        <v>-0.58203168165571117</v>
      </c>
      <c r="D998">
        <f ca="1">SQRT(MAX('HE2'!B997,0))*($G$2+$H$2*A998)</f>
        <v>0.60160012696030074</v>
      </c>
      <c r="E998">
        <f t="shared" ca="1" si="112"/>
        <v>3.5999124965291118E-2</v>
      </c>
      <c r="Q998">
        <f t="shared" ca="1" si="115"/>
        <v>0.41280824201093741</v>
      </c>
      <c r="R998">
        <f t="shared" ca="1" si="115"/>
        <v>-1.5112537301546194</v>
      </c>
    </row>
    <row r="999" spans="1:18" x14ac:dyDescent="0.45">
      <c r="A999">
        <f t="shared" ca="1" si="114"/>
        <v>0.54405979410722338</v>
      </c>
      <c r="B999">
        <f t="shared" ca="1" si="114"/>
        <v>0.35408381413442841</v>
      </c>
      <c r="D999">
        <f ca="1">SQRT(MAX('HE2'!B998,0))*($G$2+$H$2*A999)</f>
        <v>0.68245758327407879</v>
      </c>
      <c r="E999">
        <f t="shared" ca="1" si="112"/>
        <v>0.64769812376643565</v>
      </c>
      <c r="Q999">
        <f t="shared" ca="1" si="115"/>
        <v>-0.73287620749838178</v>
      </c>
      <c r="R999">
        <f t="shared" ca="1" si="115"/>
        <v>0.79503015151023182</v>
      </c>
    </row>
    <row r="1000" spans="1:18" x14ac:dyDescent="0.45">
      <c r="A1000">
        <f t="shared" ca="1" si="114"/>
        <v>6.0243743677046435E-2</v>
      </c>
      <c r="B1000">
        <f t="shared" ca="1" si="114"/>
        <v>0.1557964013000239</v>
      </c>
      <c r="D1000">
        <f ca="1">SQRT(MAX('HE2'!B999,0))*($G$2+$H$2*A1000)</f>
        <v>8.1184004580431374E-2</v>
      </c>
      <c r="E1000">
        <f t="shared" ca="1" si="112"/>
        <v>0.14167283572165146</v>
      </c>
      <c r="Q1000">
        <f t="shared" ca="1" si="115"/>
        <v>-0.24528899475868329</v>
      </c>
      <c r="R1000">
        <f t="shared" ca="1" si="115"/>
        <v>0.48753887017539399</v>
      </c>
    </row>
    <row r="1001" spans="1:18" x14ac:dyDescent="0.45">
      <c r="A1001">
        <f t="shared" ca="1" si="114"/>
        <v>9.859566909761984E-2</v>
      </c>
      <c r="B1001">
        <f t="shared" ca="1" si="114"/>
        <v>-0.61703269554346907</v>
      </c>
      <c r="D1001">
        <f ca="1">SQRT(MAX('HE2'!B1000,0))*($G$2+$H$2*A1001)</f>
        <v>0.13472758343520785</v>
      </c>
      <c r="E1001">
        <f t="shared" ca="1" si="112"/>
        <v>-0.29134308204798554</v>
      </c>
      <c r="Q1001">
        <f t="shared" ca="1" si="115"/>
        <v>-0.72700772672373937</v>
      </c>
      <c r="R1001">
        <f t="shared" ca="1" si="115"/>
        <v>0.56089692443552375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C0FFB-7343-4635-B67B-420A523628B6}">
  <sheetPr codeName="Sheet5"/>
  <dimension ref="A1:H1000"/>
  <sheetViews>
    <sheetView zoomScaleNormal="100" workbookViewId="0">
      <selection activeCell="E15" sqref="E15"/>
    </sheetView>
  </sheetViews>
  <sheetFormatPr defaultRowHeight="14.25" x14ac:dyDescent="0.45"/>
  <cols>
    <col min="1" max="1" width="9.06640625" style="5"/>
    <col min="3" max="3" width="27.9296875" customWidth="1"/>
  </cols>
  <sheetData>
    <row r="1" spans="1:8" x14ac:dyDescent="0.45">
      <c r="A1" s="5">
        <v>1.5</v>
      </c>
      <c r="B1">
        <f>$D$1</f>
        <v>1.5134000000000001</v>
      </c>
      <c r="C1" s="3">
        <v>0.02</v>
      </c>
      <c r="D1" s="3">
        <v>1.5134000000000001</v>
      </c>
      <c r="E1" s="4"/>
      <c r="F1" s="4"/>
      <c r="G1" s="4"/>
      <c r="H1" s="3">
        <v>0.3</v>
      </c>
    </row>
    <row r="2" spans="1:8" x14ac:dyDescent="0.45">
      <c r="A2" s="5">
        <f>A1+$C$1*($D$1-A1)</f>
        <v>1.5002679999999999</v>
      </c>
      <c r="B2">
        <f ca="1">B1+$C$1*($D$1-MAX(B1,0)) + $H$1*SQRT(MAX(B1,0))*randcorrWithFeedback!E2</f>
        <v>1.6870932542343497</v>
      </c>
      <c r="C2" s="3" t="s">
        <v>21</v>
      </c>
      <c r="D2" s="3" t="s">
        <v>22</v>
      </c>
      <c r="E2" s="4"/>
      <c r="F2" s="4"/>
      <c r="G2" s="4"/>
      <c r="H2" s="3" t="s">
        <v>23</v>
      </c>
    </row>
    <row r="3" spans="1:8" x14ac:dyDescent="0.45">
      <c r="A3" s="5">
        <f t="shared" ref="A3:A66" si="0">A2+$C$1*($D$1-A2)</f>
        <v>1.50053064</v>
      </c>
      <c r="B3">
        <f ca="1">B2+$C$1*($D$1-MAX(B2,0)) + $H$1*SQRT(MAX(B2,0))*randcorrWithFeedback!E3</f>
        <v>0.98350837896037668</v>
      </c>
      <c r="C3" t="s">
        <v>29</v>
      </c>
      <c r="D3" t="s">
        <v>24</v>
      </c>
      <c r="H3" t="s">
        <v>25</v>
      </c>
    </row>
    <row r="4" spans="1:8" x14ac:dyDescent="0.45">
      <c r="A4" s="5">
        <f t="shared" si="0"/>
        <v>1.5007880272</v>
      </c>
      <c r="B4">
        <f ca="1">B3+$C$1*($D$1-MAX(B3,0)) + $H$1*SQRT(MAX(B3,0))*randcorrWithFeedback!E4</f>
        <v>0.74846246849298004</v>
      </c>
      <c r="C4" t="s">
        <v>27</v>
      </c>
      <c r="D4" t="s">
        <v>28</v>
      </c>
    </row>
    <row r="5" spans="1:8" x14ac:dyDescent="0.45">
      <c r="A5" s="5">
        <f t="shared" si="0"/>
        <v>1.5010402666560001</v>
      </c>
      <c r="B5">
        <f ca="1">B4+$C$1*($D$1-MAX(B4,0)) + $H$1*SQRT(MAX(B4,0))*randcorrWithFeedback!E5</f>
        <v>0.86774912677770544</v>
      </c>
      <c r="C5" t="s">
        <v>32</v>
      </c>
    </row>
    <row r="6" spans="1:8" x14ac:dyDescent="0.45">
      <c r="A6" s="5">
        <f t="shared" si="0"/>
        <v>1.5012874613228802</v>
      </c>
      <c r="B6">
        <f ca="1">B5+$C$1*($D$1-MAX(B5,0)) + $H$1*SQRT(MAX(B5,0))*randcorrWithFeedback!E6</f>
        <v>0.72106802979942985</v>
      </c>
    </row>
    <row r="7" spans="1:8" x14ac:dyDescent="0.45">
      <c r="A7" s="5">
        <f t="shared" si="0"/>
        <v>1.5015297120964226</v>
      </c>
      <c r="B7">
        <f ca="1">B6+$C$1*($D$1-MAX(B6,0)) + $H$1*SQRT(MAX(B6,0))*randcorrWithFeedback!E7</f>
        <v>0.81581439584588211</v>
      </c>
    </row>
    <row r="8" spans="1:8" x14ac:dyDescent="0.45">
      <c r="A8" s="5">
        <f t="shared" si="0"/>
        <v>1.5017671178544942</v>
      </c>
      <c r="B8">
        <f ca="1">B7+$C$1*($D$1-MAX(B7,0)) + $H$1*SQRT(MAX(B7,0))*randcorrWithFeedback!E8</f>
        <v>1.1407853815662947</v>
      </c>
    </row>
    <row r="9" spans="1:8" x14ac:dyDescent="0.45">
      <c r="A9" s="5">
        <f t="shared" si="0"/>
        <v>1.5019997754974044</v>
      </c>
      <c r="B9">
        <f ca="1">B8+$C$1*($D$1-MAX(B8,0)) + $H$1*SQRT(MAX(B8,0))*randcorrWithFeedback!E9</f>
        <v>1.1322107226410902</v>
      </c>
    </row>
    <row r="10" spans="1:8" x14ac:dyDescent="0.45">
      <c r="A10" s="5">
        <f t="shared" si="0"/>
        <v>1.5022277799874564</v>
      </c>
      <c r="B10">
        <f ca="1">B9+$C$1*($D$1-MAX(B9,0)) + $H$1*SQRT(MAX(B9,0))*randcorrWithFeedback!E10</f>
        <v>1.493195994254874</v>
      </c>
    </row>
    <row r="11" spans="1:8" x14ac:dyDescent="0.45">
      <c r="A11" s="5">
        <f t="shared" si="0"/>
        <v>1.5024512243877073</v>
      </c>
      <c r="B11">
        <f ca="1">B10+$C$1*($D$1-MAX(B10,0)) + $H$1*SQRT(MAX(B10,0))*randcorrWithFeedback!E11</f>
        <v>1.7879223236458164</v>
      </c>
    </row>
    <row r="12" spans="1:8" x14ac:dyDescent="0.45">
      <c r="A12" s="5">
        <f t="shared" si="0"/>
        <v>1.5026701998999532</v>
      </c>
      <c r="B12">
        <f ca="1">B11+$C$1*($D$1-MAX(B11,0)) + $H$1*SQRT(MAX(B11,0))*randcorrWithFeedback!E12</f>
        <v>2.3658281446045137</v>
      </c>
    </row>
    <row r="13" spans="1:8" x14ac:dyDescent="0.45">
      <c r="A13" s="5">
        <f t="shared" si="0"/>
        <v>1.5028847959019542</v>
      </c>
      <c r="B13">
        <f ca="1">B12+$C$1*($D$1-MAX(B12,0)) + $H$1*SQRT(MAX(B12,0))*randcorrWithFeedback!E13</f>
        <v>2.7207080560795887</v>
      </c>
    </row>
    <row r="14" spans="1:8" x14ac:dyDescent="0.45">
      <c r="A14" s="5">
        <f t="shared" si="0"/>
        <v>1.5030950999839152</v>
      </c>
      <c r="B14">
        <f ca="1">B13+$C$1*($D$1-MAX(B13,0)) + $H$1*SQRT(MAX(B13,0))*randcorrWithFeedback!E14</f>
        <v>3.4562418297914919</v>
      </c>
    </row>
    <row r="15" spans="1:8" x14ac:dyDescent="0.45">
      <c r="A15" s="5">
        <f t="shared" si="0"/>
        <v>1.503301197984237</v>
      </c>
      <c r="B15">
        <f ca="1">B14+$C$1*($D$1-MAX(B14,0)) + $H$1*SQRT(MAX(B14,0))*randcorrWithFeedback!E15</f>
        <v>3.2764593093037471</v>
      </c>
    </row>
    <row r="16" spans="1:8" x14ac:dyDescent="0.45">
      <c r="A16" s="5">
        <f t="shared" si="0"/>
        <v>1.5035031740245524</v>
      </c>
      <c r="B16">
        <f ca="1">B15+$C$1*($D$1-MAX(B15,0)) + $H$1*SQRT(MAX(B15,0))*randcorrWithFeedback!E16</f>
        <v>2.8144680072821582</v>
      </c>
    </row>
    <row r="17" spans="1:2" x14ac:dyDescent="0.45">
      <c r="A17" s="5">
        <f t="shared" si="0"/>
        <v>1.5037011105440614</v>
      </c>
      <c r="B17">
        <f ca="1">B16+$C$1*($D$1-MAX(B16,0)) + $H$1*SQRT(MAX(B16,0))*randcorrWithFeedback!E17</f>
        <v>2.6915082403305965</v>
      </c>
    </row>
    <row r="18" spans="1:2" x14ac:dyDescent="0.45">
      <c r="A18" s="5">
        <f t="shared" si="0"/>
        <v>1.5038950883331801</v>
      </c>
      <c r="B18">
        <f ca="1">B17+$C$1*($D$1-MAX(B17,0)) + $H$1*SQRT(MAX(B17,0))*randcorrWithFeedback!E18</f>
        <v>2.01835170211513</v>
      </c>
    </row>
    <row r="19" spans="1:2" x14ac:dyDescent="0.45">
      <c r="A19" s="5">
        <f t="shared" si="0"/>
        <v>1.5040851865665166</v>
      </c>
      <c r="B19">
        <f ca="1">B18+$C$1*($D$1-MAX(B18,0)) + $H$1*SQRT(MAX(B18,0))*randcorrWithFeedback!E19</f>
        <v>1.7841913568852701</v>
      </c>
    </row>
    <row r="20" spans="1:2" x14ac:dyDescent="0.45">
      <c r="A20" s="5">
        <f t="shared" si="0"/>
        <v>1.5042714828351862</v>
      </c>
      <c r="B20">
        <f ca="1">B19+$C$1*($D$1-MAX(B19,0)) + $H$1*SQRT(MAX(B19,0))*randcorrWithFeedback!E20</f>
        <v>1.8581608424415541</v>
      </c>
    </row>
    <row r="21" spans="1:2" x14ac:dyDescent="0.45">
      <c r="A21" s="5">
        <f t="shared" si="0"/>
        <v>1.5044540531784825</v>
      </c>
      <c r="B21">
        <f ca="1">B20+$C$1*($D$1-MAX(B20,0)) + $H$1*SQRT(MAX(B20,0))*randcorrWithFeedback!E21</f>
        <v>1.6693503183265377</v>
      </c>
    </row>
    <row r="22" spans="1:2" x14ac:dyDescent="0.45">
      <c r="A22" s="5">
        <f t="shared" si="0"/>
        <v>1.5046329721149128</v>
      </c>
      <c r="B22">
        <f ca="1">B21+$C$1*($D$1-MAX(B21,0)) + $H$1*SQRT(MAX(B21,0))*randcorrWithFeedback!E22</f>
        <v>1.0427750018034061</v>
      </c>
    </row>
    <row r="23" spans="1:2" x14ac:dyDescent="0.45">
      <c r="A23" s="5">
        <f t="shared" si="0"/>
        <v>1.5048083126726146</v>
      </c>
      <c r="B23">
        <f ca="1">B22+$C$1*($D$1-MAX(B22,0)) + $H$1*SQRT(MAX(B22,0))*randcorrWithFeedback!E23</f>
        <v>0.7417463577008846</v>
      </c>
    </row>
    <row r="24" spans="1:2" x14ac:dyDescent="0.45">
      <c r="A24" s="5">
        <f t="shared" si="0"/>
        <v>1.5049801464191623</v>
      </c>
      <c r="B24">
        <f ca="1">B23+$C$1*($D$1-MAX(B23,0)) + $H$1*SQRT(MAX(B23,0))*randcorrWithFeedback!E24</f>
        <v>1.054341306296515</v>
      </c>
    </row>
    <row r="25" spans="1:2" x14ac:dyDescent="0.45">
      <c r="A25" s="5">
        <f t="shared" si="0"/>
        <v>1.5051485434907792</v>
      </c>
      <c r="B25">
        <f ca="1">B24+$C$1*($D$1-MAX(B24,0)) + $H$1*SQRT(MAX(B24,0))*randcorrWithFeedback!E25</f>
        <v>1.2001448656759337</v>
      </c>
    </row>
    <row r="26" spans="1:2" x14ac:dyDescent="0.45">
      <c r="A26" s="5">
        <f t="shared" si="0"/>
        <v>1.5053135726209637</v>
      </c>
      <c r="B26">
        <f ca="1">B25+$C$1*($D$1-MAX(B25,0)) + $H$1*SQRT(MAX(B25,0))*randcorrWithFeedback!E26</f>
        <v>1.4635651918771095</v>
      </c>
    </row>
    <row r="27" spans="1:2" x14ac:dyDescent="0.45">
      <c r="A27" s="5">
        <f t="shared" si="0"/>
        <v>1.5054753011685444</v>
      </c>
      <c r="B27">
        <f ca="1">B26+$C$1*($D$1-MAX(B26,0)) + $H$1*SQRT(MAX(B26,0))*randcorrWithFeedback!E27</f>
        <v>1.3344523798851053</v>
      </c>
    </row>
    <row r="28" spans="1:2" x14ac:dyDescent="0.45">
      <c r="A28" s="5">
        <f t="shared" si="0"/>
        <v>1.5056337951451735</v>
      </c>
      <c r="B28">
        <f ca="1">B27+$C$1*($D$1-MAX(B27,0)) + $H$1*SQRT(MAX(B27,0))*randcorrWithFeedback!E28</f>
        <v>1.1675338375958648</v>
      </c>
    </row>
    <row r="29" spans="1:2" x14ac:dyDescent="0.45">
      <c r="A29" s="5">
        <f t="shared" si="0"/>
        <v>1.5057891192422701</v>
      </c>
      <c r="B29">
        <f ca="1">B28+$C$1*($D$1-MAX(B28,0)) + $H$1*SQRT(MAX(B28,0))*randcorrWithFeedback!E29</f>
        <v>0.91124583441491169</v>
      </c>
    </row>
    <row r="30" spans="1:2" x14ac:dyDescent="0.45">
      <c r="A30" s="5">
        <f t="shared" si="0"/>
        <v>1.5059413368574246</v>
      </c>
      <c r="B30">
        <f ca="1">B29+$C$1*($D$1-MAX(B29,0)) + $H$1*SQRT(MAX(B29,0))*randcorrWithFeedback!E30</f>
        <v>0.84657570683521888</v>
      </c>
    </row>
    <row r="31" spans="1:2" x14ac:dyDescent="0.45">
      <c r="A31" s="5">
        <f t="shared" si="0"/>
        <v>1.5060905101202762</v>
      </c>
      <c r="B31">
        <f ca="1">B30+$C$1*($D$1-MAX(B30,0)) + $H$1*SQRT(MAX(B30,0))*randcorrWithFeedback!E31</f>
        <v>1.3382111554459115</v>
      </c>
    </row>
    <row r="32" spans="1:2" x14ac:dyDescent="0.45">
      <c r="A32" s="5">
        <f t="shared" si="0"/>
        <v>1.5062366999178707</v>
      </c>
      <c r="B32">
        <f ca="1">B31+$C$1*($D$1-MAX(B31,0)) + $H$1*SQRT(MAX(B31,0))*randcorrWithFeedback!E32</f>
        <v>1.4624846162369101</v>
      </c>
    </row>
    <row r="33" spans="1:2" x14ac:dyDescent="0.45">
      <c r="A33" s="5">
        <f t="shared" si="0"/>
        <v>1.5063799659195132</v>
      </c>
      <c r="B33">
        <f ca="1">B32+$C$1*($D$1-MAX(B32,0)) + $H$1*SQRT(MAX(B32,0))*randcorrWithFeedback!E33</f>
        <v>1.5786557803934471</v>
      </c>
    </row>
    <row r="34" spans="1:2" x14ac:dyDescent="0.45">
      <c r="A34" s="5">
        <f t="shared" si="0"/>
        <v>1.5065203666011229</v>
      </c>
      <c r="B34">
        <f ca="1">B33+$C$1*($D$1-MAX(B33,0)) + $H$1*SQRT(MAX(B33,0))*randcorrWithFeedback!E34</f>
        <v>1.8027518465806021</v>
      </c>
    </row>
    <row r="35" spans="1:2" x14ac:dyDescent="0.45">
      <c r="A35" s="5">
        <f t="shared" si="0"/>
        <v>1.5066579592691005</v>
      </c>
      <c r="B35">
        <f ca="1">B34+$C$1*($D$1-MAX(B34,0)) + $H$1*SQRT(MAX(B34,0))*randcorrWithFeedback!E35</f>
        <v>1.9053880888739025</v>
      </c>
    </row>
    <row r="36" spans="1:2" x14ac:dyDescent="0.45">
      <c r="A36" s="5">
        <f t="shared" si="0"/>
        <v>1.5067928000837185</v>
      </c>
      <c r="B36">
        <f ca="1">B35+$C$1*($D$1-MAX(B35,0)) + $H$1*SQRT(MAX(B35,0))*randcorrWithFeedback!E36</f>
        <v>2.1840620359059155</v>
      </c>
    </row>
    <row r="37" spans="1:2" x14ac:dyDescent="0.45">
      <c r="A37" s="5">
        <f t="shared" si="0"/>
        <v>1.5069249440820442</v>
      </c>
      <c r="B37">
        <f ca="1">B36+$C$1*($D$1-MAX(B36,0)) + $H$1*SQRT(MAX(B36,0))*randcorrWithFeedback!E37</f>
        <v>2.9168346940853813</v>
      </c>
    </row>
    <row r="38" spans="1:2" x14ac:dyDescent="0.45">
      <c r="A38" s="5">
        <f t="shared" si="0"/>
        <v>1.5070544452004033</v>
      </c>
      <c r="B38">
        <f ca="1">B37+$C$1*($D$1-MAX(B37,0)) + $H$1*SQRT(MAX(B37,0))*randcorrWithFeedback!E38</f>
        <v>2.5473203497887447</v>
      </c>
    </row>
    <row r="39" spans="1:2" x14ac:dyDescent="0.45">
      <c r="A39" s="5">
        <f t="shared" si="0"/>
        <v>1.5071813562963952</v>
      </c>
      <c r="B39">
        <f ca="1">B38+$C$1*($D$1-MAX(B38,0)) + $H$1*SQRT(MAX(B38,0))*randcorrWithFeedback!E39</f>
        <v>1.9900358988107225</v>
      </c>
    </row>
    <row r="40" spans="1:2" x14ac:dyDescent="0.45">
      <c r="A40" s="5">
        <f t="shared" si="0"/>
        <v>1.5073057291704672</v>
      </c>
      <c r="B40">
        <f ca="1">B39+$C$1*($D$1-MAX(B39,0)) + $H$1*SQRT(MAX(B39,0))*randcorrWithFeedback!E40</f>
        <v>1.9029644850249567</v>
      </c>
    </row>
    <row r="41" spans="1:2" x14ac:dyDescent="0.45">
      <c r="A41" s="5">
        <f t="shared" si="0"/>
        <v>1.507427614587058</v>
      </c>
      <c r="B41">
        <f ca="1">B40+$C$1*($D$1-MAX(B40,0)) + $H$1*SQRT(MAX(B40,0))*randcorrWithFeedback!E41</f>
        <v>2.1178345202551894</v>
      </c>
    </row>
    <row r="42" spans="1:2" x14ac:dyDescent="0.45">
      <c r="A42" s="5">
        <f t="shared" si="0"/>
        <v>1.5075470622953169</v>
      </c>
      <c r="B42">
        <f ca="1">B41+$C$1*($D$1-MAX(B41,0)) + $H$1*SQRT(MAX(B41,0))*randcorrWithFeedback!E42</f>
        <v>1.3306465853156833</v>
      </c>
    </row>
    <row r="43" spans="1:2" x14ac:dyDescent="0.45">
      <c r="A43" s="5">
        <f t="shared" si="0"/>
        <v>1.5076641210494106</v>
      </c>
      <c r="B43">
        <f ca="1">B42+$C$1*($D$1-MAX(B42,0)) + $H$1*SQRT(MAX(B42,0))*randcorrWithFeedback!E43</f>
        <v>0.81446980553789805</v>
      </c>
    </row>
    <row r="44" spans="1:2" x14ac:dyDescent="0.45">
      <c r="A44" s="5">
        <f t="shared" si="0"/>
        <v>1.5077788386284223</v>
      </c>
      <c r="B44">
        <f ca="1">B43+$C$1*($D$1-MAX(B43,0)) + $H$1*SQRT(MAX(B43,0))*randcorrWithFeedback!E44</f>
        <v>1.3312834302952581</v>
      </c>
    </row>
    <row r="45" spans="1:2" x14ac:dyDescent="0.45">
      <c r="A45" s="5">
        <f t="shared" si="0"/>
        <v>1.507891261855854</v>
      </c>
      <c r="B45">
        <f ca="1">B44+$C$1*($D$1-MAX(B44,0)) + $H$1*SQRT(MAX(B44,0))*randcorrWithFeedback!E45</f>
        <v>1.0840187593851507</v>
      </c>
    </row>
    <row r="46" spans="1:2" x14ac:dyDescent="0.45">
      <c r="A46" s="5">
        <f t="shared" si="0"/>
        <v>1.5080014366187369</v>
      </c>
      <c r="B46">
        <f ca="1">B45+$C$1*($D$1-MAX(B45,0)) + $H$1*SQRT(MAX(B45,0))*randcorrWithFeedback!E46</f>
        <v>1.27924470639454</v>
      </c>
    </row>
    <row r="47" spans="1:2" x14ac:dyDescent="0.45">
      <c r="A47" s="5">
        <f t="shared" si="0"/>
        <v>1.5081094078863622</v>
      </c>
      <c r="B47">
        <f ca="1">B46+$C$1*($D$1-MAX(B46,0)) + $H$1*SQRT(MAX(B46,0))*randcorrWithFeedback!E47</f>
        <v>0.95691080540098739</v>
      </c>
    </row>
    <row r="48" spans="1:2" x14ac:dyDescent="0.45">
      <c r="A48" s="5">
        <f t="shared" si="0"/>
        <v>1.5082152197286349</v>
      </c>
      <c r="B48">
        <f ca="1">B47+$C$1*($D$1-MAX(B47,0)) + $H$1*SQRT(MAX(B47,0))*randcorrWithFeedback!E48</f>
        <v>1.2034969583975632</v>
      </c>
    </row>
    <row r="49" spans="1:2" x14ac:dyDescent="0.45">
      <c r="A49" s="5">
        <f t="shared" si="0"/>
        <v>1.5083189153340621</v>
      </c>
      <c r="B49">
        <f ca="1">B48+$C$1*($D$1-MAX(B48,0)) + $H$1*SQRT(MAX(B48,0))*randcorrWithFeedback!E49</f>
        <v>0.80314359323585549</v>
      </c>
    </row>
    <row r="50" spans="1:2" x14ac:dyDescent="0.45">
      <c r="A50" s="5">
        <f t="shared" si="0"/>
        <v>1.5084205370273809</v>
      </c>
      <c r="B50">
        <f ca="1">B49+$C$1*($D$1-MAX(B49,0)) + $H$1*SQRT(MAX(B49,0))*randcorrWithFeedback!E50</f>
        <v>0.79613232603302886</v>
      </c>
    </row>
    <row r="51" spans="1:2" x14ac:dyDescent="0.45">
      <c r="A51" s="5">
        <f t="shared" si="0"/>
        <v>1.5085201262868333</v>
      </c>
      <c r="B51">
        <f ca="1">B50+$C$1*($D$1-MAX(B50,0)) + $H$1*SQRT(MAX(B50,0))*randcorrWithFeedback!E51</f>
        <v>0.677709143528195</v>
      </c>
    </row>
    <row r="52" spans="1:2" x14ac:dyDescent="0.45">
      <c r="A52" s="5">
        <f t="shared" si="0"/>
        <v>1.5086177237610967</v>
      </c>
      <c r="B52">
        <f ca="1">B51+$C$1*($D$1-MAX(B51,0)) + $H$1*SQRT(MAX(B51,0))*randcorrWithFeedback!E52</f>
        <v>1.0488720463481092</v>
      </c>
    </row>
    <row r="53" spans="1:2" x14ac:dyDescent="0.45">
      <c r="A53" s="5">
        <f t="shared" si="0"/>
        <v>1.5087133692858747</v>
      </c>
      <c r="B53">
        <f ca="1">B52+$C$1*($D$1-MAX(B52,0)) + $H$1*SQRT(MAX(B52,0))*randcorrWithFeedback!E53</f>
        <v>1.3409032757174677</v>
      </c>
    </row>
    <row r="54" spans="1:2" x14ac:dyDescent="0.45">
      <c r="A54" s="5">
        <f t="shared" si="0"/>
        <v>1.5088071019001572</v>
      </c>
      <c r="B54">
        <f ca="1">B53+$C$1*($D$1-MAX(B53,0)) + $H$1*SQRT(MAX(B53,0))*randcorrWithFeedback!E54</f>
        <v>1.5806054415115498</v>
      </c>
    </row>
    <row r="55" spans="1:2" x14ac:dyDescent="0.45">
      <c r="A55" s="5">
        <f t="shared" si="0"/>
        <v>1.5088989598621541</v>
      </c>
      <c r="B55">
        <f ca="1">B54+$C$1*($D$1-MAX(B54,0)) + $H$1*SQRT(MAX(B54,0))*randcorrWithFeedback!E55</f>
        <v>1.7835027195435225</v>
      </c>
    </row>
    <row r="56" spans="1:2" x14ac:dyDescent="0.45">
      <c r="A56" s="5">
        <f t="shared" si="0"/>
        <v>1.5089889806649111</v>
      </c>
      <c r="B56">
        <f ca="1">B55+$C$1*($D$1-MAX(B55,0)) + $H$1*SQRT(MAX(B55,0))*randcorrWithFeedback!E56</f>
        <v>0.50829088955794344</v>
      </c>
    </row>
    <row r="57" spans="1:2" x14ac:dyDescent="0.45">
      <c r="A57" s="5">
        <f t="shared" si="0"/>
        <v>1.5090772010516129</v>
      </c>
      <c r="B57">
        <f ca="1">B56+$C$1*($D$1-MAX(B56,0)) + $H$1*SQRT(MAX(B56,0))*randcorrWithFeedback!E57</f>
        <v>0.47690945023150555</v>
      </c>
    </row>
    <row r="58" spans="1:2" x14ac:dyDescent="0.45">
      <c r="A58" s="5">
        <f t="shared" si="0"/>
        <v>1.5091636570305806</v>
      </c>
      <c r="B58">
        <f ca="1">B57+$C$1*($D$1-MAX(B57,0)) + $H$1*SQRT(MAX(B57,0))*randcorrWithFeedback!E58</f>
        <v>0.48515141778757581</v>
      </c>
    </row>
    <row r="59" spans="1:2" x14ac:dyDescent="0.45">
      <c r="A59" s="5">
        <f t="shared" si="0"/>
        <v>1.5092483838899691</v>
      </c>
      <c r="B59">
        <f ca="1">B58+$C$1*($D$1-MAX(B58,0)) + $H$1*SQRT(MAX(B58,0))*randcorrWithFeedback!E59</f>
        <v>0.14805893908194057</v>
      </c>
    </row>
    <row r="60" spans="1:2" x14ac:dyDescent="0.45">
      <c r="A60" s="5">
        <f t="shared" si="0"/>
        <v>1.5093314162121696</v>
      </c>
      <c r="B60">
        <f ca="1">B59+$C$1*($D$1-MAX(B59,0)) + $H$1*SQRT(MAX(B59,0))*randcorrWithFeedback!E60</f>
        <v>0.31005870896422016</v>
      </c>
    </row>
    <row r="61" spans="1:2" x14ac:dyDescent="0.45">
      <c r="A61" s="5">
        <f t="shared" si="0"/>
        <v>1.5094127878879262</v>
      </c>
      <c r="B61">
        <f ca="1">B60+$C$1*($D$1-MAX(B60,0)) + $H$1*SQRT(MAX(B60,0))*randcorrWithFeedback!E61</f>
        <v>0.55877812989316511</v>
      </c>
    </row>
    <row r="62" spans="1:2" x14ac:dyDescent="0.45">
      <c r="A62" s="5">
        <f t="shared" si="0"/>
        <v>1.5094925321301678</v>
      </c>
      <c r="B62">
        <f ca="1">B61+$C$1*($D$1-MAX(B61,0)) + $H$1*SQRT(MAX(B61,0))*randcorrWithFeedback!E62</f>
        <v>0.63924479659599898</v>
      </c>
    </row>
    <row r="63" spans="1:2" x14ac:dyDescent="0.45">
      <c r="A63" s="5">
        <f t="shared" si="0"/>
        <v>1.5095706814875645</v>
      </c>
      <c r="B63">
        <f ca="1">B62+$C$1*($D$1-MAX(B62,0)) + $H$1*SQRT(MAX(B62,0))*randcorrWithFeedback!E63</f>
        <v>0.3352056360517105</v>
      </c>
    </row>
    <row r="64" spans="1:2" x14ac:dyDescent="0.45">
      <c r="A64" s="5">
        <f t="shared" si="0"/>
        <v>1.5096472678578132</v>
      </c>
      <c r="B64">
        <f ca="1">B63+$C$1*($D$1-MAX(B63,0)) + $H$1*SQRT(MAX(B63,0))*randcorrWithFeedback!E64</f>
        <v>0.10849802811518577</v>
      </c>
    </row>
    <row r="65" spans="1:2" x14ac:dyDescent="0.45">
      <c r="A65" s="5">
        <f t="shared" si="0"/>
        <v>1.5097223225006569</v>
      </c>
      <c r="B65">
        <f ca="1">B64+$C$1*($D$1-MAX(B64,0)) + $H$1*SQRT(MAX(B64,0))*randcorrWithFeedback!E65</f>
        <v>4.271534266015807E-2</v>
      </c>
    </row>
    <row r="66" spans="1:2" x14ac:dyDescent="0.45">
      <c r="A66" s="5">
        <f t="shared" si="0"/>
        <v>1.5097958760506438</v>
      </c>
      <c r="B66">
        <f ca="1">B65+$C$1*($D$1-MAX(B65,0)) + $H$1*SQRT(MAX(B65,0))*randcorrWithFeedback!E66</f>
        <v>8.8904312426408783E-2</v>
      </c>
    </row>
    <row r="67" spans="1:2" x14ac:dyDescent="0.45">
      <c r="A67" s="5">
        <f t="shared" ref="A67:A130" si="1">A66+$C$1*($D$1-A66)</f>
        <v>1.5098679585296308</v>
      </c>
      <c r="B67">
        <f ca="1">B66+$C$1*($D$1-MAX(B66,0)) + $H$1*SQRT(MAX(B66,0))*randcorrWithFeedback!E67</f>
        <v>0.11191674986436248</v>
      </c>
    </row>
    <row r="68" spans="1:2" x14ac:dyDescent="0.45">
      <c r="A68" s="5">
        <f t="shared" si="1"/>
        <v>1.5099385993590382</v>
      </c>
      <c r="B68">
        <f ca="1">B67+$C$1*($D$1-MAX(B67,0)) + $H$1*SQRT(MAX(B67,0))*randcorrWithFeedback!E68</f>
        <v>0.27887322341840071</v>
      </c>
    </row>
    <row r="69" spans="1:2" x14ac:dyDescent="0.45">
      <c r="A69" s="5">
        <f t="shared" si="1"/>
        <v>1.5100078273718573</v>
      </c>
      <c r="B69">
        <f ca="1">B68+$C$1*($D$1-MAX(B68,0)) + $H$1*SQRT(MAX(B68,0))*randcorrWithFeedback!E69</f>
        <v>0.22371443638800956</v>
      </c>
    </row>
    <row r="70" spans="1:2" x14ac:dyDescent="0.45">
      <c r="A70" s="5">
        <f t="shared" si="1"/>
        <v>1.5100756708244203</v>
      </c>
      <c r="B70">
        <f ca="1">B69+$C$1*($D$1-MAX(B69,0)) + $H$1*SQRT(MAX(B69,0))*randcorrWithFeedback!E70</f>
        <v>2.1711573252663041E-2</v>
      </c>
    </row>
    <row r="71" spans="1:2" x14ac:dyDescent="0.45">
      <c r="A71" s="5">
        <f t="shared" si="1"/>
        <v>1.5101421574079319</v>
      </c>
      <c r="B71">
        <f ca="1">B70+$C$1*($D$1-MAX(B70,0)) + $H$1*SQRT(MAX(B70,0))*randcorrWithFeedback!E71</f>
        <v>2.7013707703849629E-2</v>
      </c>
    </row>
    <row r="72" spans="1:2" x14ac:dyDescent="0.45">
      <c r="A72" s="5">
        <f t="shared" si="1"/>
        <v>1.5102073142597732</v>
      </c>
      <c r="B72">
        <f ca="1">B71+$C$1*($D$1-MAX(B71,0)) + $H$1*SQRT(MAX(B71,0))*randcorrWithFeedback!E72</f>
        <v>5.4466858798940455E-2</v>
      </c>
    </row>
    <row r="73" spans="1:2" x14ac:dyDescent="0.45">
      <c r="A73" s="5">
        <f t="shared" si="1"/>
        <v>1.5102711679745777</v>
      </c>
      <c r="B73">
        <f ca="1">B72+$C$1*($D$1-MAX(B72,0)) + $H$1*SQRT(MAX(B72,0))*randcorrWithFeedback!E73</f>
        <v>0.14256922157122348</v>
      </c>
    </row>
    <row r="74" spans="1:2" x14ac:dyDescent="0.45">
      <c r="A74" s="5">
        <f t="shared" si="1"/>
        <v>1.5103337446150862</v>
      </c>
      <c r="B74">
        <f ca="1">B73+$C$1*($D$1-MAX(B73,0)) + $H$1*SQRT(MAX(B73,0))*randcorrWithFeedback!E74</f>
        <v>-4.5415607812510916E-3</v>
      </c>
    </row>
    <row r="75" spans="1:2" x14ac:dyDescent="0.45">
      <c r="A75" s="5">
        <f t="shared" si="1"/>
        <v>1.5103950697227844</v>
      </c>
      <c r="B75">
        <f ca="1">B74+$C$1*($D$1-MAX(B74,0)) + $H$1*SQRT(MAX(B74,0))*randcorrWithFeedback!E75</f>
        <v>2.5726439218748912E-2</v>
      </c>
    </row>
    <row r="76" spans="1:2" x14ac:dyDescent="0.45">
      <c r="A76" s="5">
        <f t="shared" si="1"/>
        <v>1.5104551683283287</v>
      </c>
      <c r="B76">
        <f ca="1">B75+$C$1*($D$1-MAX(B75,0)) + $H$1*SQRT(MAX(B75,0))*randcorrWithFeedback!E76</f>
        <v>8.5320398857474888E-2</v>
      </c>
    </row>
    <row r="77" spans="1:2" x14ac:dyDescent="0.45">
      <c r="A77" s="5">
        <f t="shared" si="1"/>
        <v>1.5105140649617621</v>
      </c>
      <c r="B77">
        <f ca="1">B76+$C$1*($D$1-MAX(B76,0)) + $H$1*SQRT(MAX(B76,0))*randcorrWithFeedback!E77</f>
        <v>0.1072410735100283</v>
      </c>
    </row>
    <row r="78" spans="1:2" x14ac:dyDescent="0.45">
      <c r="A78" s="5">
        <f t="shared" si="1"/>
        <v>1.5105717836625268</v>
      </c>
      <c r="B78">
        <f ca="1">B77+$C$1*($D$1-MAX(B77,0)) + $H$1*SQRT(MAX(B77,0))*randcorrWithFeedback!E78</f>
        <v>0.28239096943424402</v>
      </c>
    </row>
    <row r="79" spans="1:2" x14ac:dyDescent="0.45">
      <c r="A79" s="5">
        <f t="shared" si="1"/>
        <v>1.5106283479892761</v>
      </c>
      <c r="B79">
        <f ca="1">B78+$C$1*($D$1-MAX(B78,0)) + $H$1*SQRT(MAX(B78,0))*randcorrWithFeedback!E79</f>
        <v>0.36670747658360653</v>
      </c>
    </row>
    <row r="80" spans="1:2" x14ac:dyDescent="0.45">
      <c r="A80" s="5">
        <f t="shared" si="1"/>
        <v>1.5106837810294906</v>
      </c>
      <c r="B80">
        <f ca="1">B79+$C$1*($D$1-MAX(B79,0)) + $H$1*SQRT(MAX(B79,0))*randcorrWithFeedback!E80</f>
        <v>0.39089085204511065</v>
      </c>
    </row>
    <row r="81" spans="1:2" x14ac:dyDescent="0.45">
      <c r="A81" s="5">
        <f t="shared" si="1"/>
        <v>1.5107381054089009</v>
      </c>
      <c r="B81">
        <f ca="1">B80+$C$1*($D$1-MAX(B80,0)) + $H$1*SQRT(MAX(B80,0))*randcorrWithFeedback!E81</f>
        <v>0.20222254094047917</v>
      </c>
    </row>
    <row r="82" spans="1:2" x14ac:dyDescent="0.45">
      <c r="A82" s="5">
        <f t="shared" si="1"/>
        <v>1.5107913433007227</v>
      </c>
      <c r="B82">
        <f ca="1">B81+$C$1*($D$1-MAX(B81,0)) + $H$1*SQRT(MAX(B81,0))*randcorrWithFeedback!E82</f>
        <v>0.29900538070565252</v>
      </c>
    </row>
    <row r="83" spans="1:2" x14ac:dyDescent="0.45">
      <c r="A83" s="5">
        <f t="shared" si="1"/>
        <v>1.5108435164347083</v>
      </c>
      <c r="B83">
        <f ca="1">B82+$C$1*($D$1-MAX(B82,0)) + $H$1*SQRT(MAX(B82,0))*randcorrWithFeedback!E83</f>
        <v>0.45960106158656011</v>
      </c>
    </row>
    <row r="84" spans="1:2" x14ac:dyDescent="0.45">
      <c r="A84" s="5">
        <f t="shared" si="1"/>
        <v>1.5108946461060142</v>
      </c>
      <c r="B84">
        <f ca="1">B83+$C$1*($D$1-MAX(B83,0)) + $H$1*SQRT(MAX(B83,0))*randcorrWithFeedback!E84</f>
        <v>0.46929184066902491</v>
      </c>
    </row>
    <row r="85" spans="1:2" x14ac:dyDescent="0.45">
      <c r="A85" s="5">
        <f t="shared" si="1"/>
        <v>1.510944753183894</v>
      </c>
      <c r="B85">
        <f ca="1">B84+$C$1*($D$1-MAX(B84,0)) + $H$1*SQRT(MAX(B84,0))*randcorrWithFeedback!E85</f>
        <v>0.6972438802634362</v>
      </c>
    </row>
    <row r="86" spans="1:2" x14ac:dyDescent="0.45">
      <c r="A86" s="5">
        <f t="shared" si="1"/>
        <v>1.510993858120216</v>
      </c>
      <c r="B86">
        <f ca="1">B85+$C$1*($D$1-MAX(B85,0)) + $H$1*SQRT(MAX(B85,0))*randcorrWithFeedback!E86</f>
        <v>0.92069427977818397</v>
      </c>
    </row>
    <row r="87" spans="1:2" x14ac:dyDescent="0.45">
      <c r="A87" s="5">
        <f t="shared" si="1"/>
        <v>1.5110419809578117</v>
      </c>
      <c r="B87">
        <f ca="1">B86+$C$1*($D$1-MAX(B86,0)) + $H$1*SQRT(MAX(B86,0))*randcorrWithFeedback!E87</f>
        <v>1.0810953379907162</v>
      </c>
    </row>
    <row r="88" spans="1:2" x14ac:dyDescent="0.45">
      <c r="A88" s="5">
        <f t="shared" si="1"/>
        <v>1.5110891413386556</v>
      </c>
      <c r="B88">
        <f ca="1">B87+$C$1*($D$1-MAX(B87,0)) + $H$1*SQRT(MAX(B87,0))*randcorrWithFeedback!E88</f>
        <v>1.1481981032768949</v>
      </c>
    </row>
    <row r="89" spans="1:2" x14ac:dyDescent="0.45">
      <c r="A89" s="5">
        <f t="shared" si="1"/>
        <v>1.5111353585118825</v>
      </c>
      <c r="B89">
        <f ca="1">B88+$C$1*($D$1-MAX(B88,0)) + $H$1*SQRT(MAX(B88,0))*randcorrWithFeedback!E89</f>
        <v>1.4887983784885166</v>
      </c>
    </row>
    <row r="90" spans="1:2" x14ac:dyDescent="0.45">
      <c r="A90" s="5">
        <f t="shared" si="1"/>
        <v>1.5111806513416448</v>
      </c>
      <c r="B90">
        <f ca="1">B89+$C$1*($D$1-MAX(B89,0)) + $H$1*SQRT(MAX(B89,0))*randcorrWithFeedback!E90</f>
        <v>1.4070020114330655</v>
      </c>
    </row>
    <row r="91" spans="1:2" x14ac:dyDescent="0.45">
      <c r="A91" s="5">
        <f t="shared" si="1"/>
        <v>1.5112250383148118</v>
      </c>
      <c r="B91">
        <f ca="1">B90+$C$1*($D$1-MAX(B90,0)) + $H$1*SQRT(MAX(B90,0))*randcorrWithFeedback!E91</f>
        <v>0.81388778036994736</v>
      </c>
    </row>
    <row r="92" spans="1:2" x14ac:dyDescent="0.45">
      <c r="A92" s="5">
        <f t="shared" si="1"/>
        <v>1.5112685375485155</v>
      </c>
      <c r="B92">
        <f ca="1">B91+$C$1*($D$1-MAX(B91,0)) + $H$1*SQRT(MAX(B91,0))*randcorrWithFeedback!E92</f>
        <v>0.49844432008143219</v>
      </c>
    </row>
    <row r="93" spans="1:2" x14ac:dyDescent="0.45">
      <c r="A93" s="5">
        <f t="shared" si="1"/>
        <v>1.5113111667975452</v>
      </c>
      <c r="B93">
        <f ca="1">B92+$C$1*($D$1-MAX(B92,0)) + $H$1*SQRT(MAX(B92,0))*randcorrWithFeedback!E93</f>
        <v>0.7085762849060413</v>
      </c>
    </row>
    <row r="94" spans="1:2" x14ac:dyDescent="0.45">
      <c r="A94" s="5">
        <f t="shared" si="1"/>
        <v>1.5113529434615942</v>
      </c>
      <c r="B94">
        <f ca="1">B93+$C$1*($D$1-MAX(B93,0)) + $H$1*SQRT(MAX(B93,0))*randcorrWithFeedback!E94</f>
        <v>0.74835082320752877</v>
      </c>
    </row>
    <row r="95" spans="1:2" x14ac:dyDescent="0.45">
      <c r="A95" s="5">
        <f t="shared" si="1"/>
        <v>1.5113938845923622</v>
      </c>
      <c r="B95">
        <f ca="1">B94+$C$1*($D$1-MAX(B94,0)) + $H$1*SQRT(MAX(B94,0))*randcorrWithFeedback!E95</f>
        <v>0.62772409501941351</v>
      </c>
    </row>
    <row r="96" spans="1:2" x14ac:dyDescent="0.45">
      <c r="A96" s="5">
        <f t="shared" si="1"/>
        <v>1.511434006900515</v>
      </c>
      <c r="B96">
        <f ca="1">B95+$C$1*($D$1-MAX(B95,0)) + $H$1*SQRT(MAX(B95,0))*randcorrWithFeedback!E96</f>
        <v>0.41099001711367877</v>
      </c>
    </row>
    <row r="97" spans="1:2" x14ac:dyDescent="0.45">
      <c r="A97" s="5">
        <f t="shared" si="1"/>
        <v>1.5114733267625047</v>
      </c>
      <c r="B97">
        <f ca="1">B96+$C$1*($D$1-MAX(B96,0)) + $H$1*SQRT(MAX(B96,0))*randcorrWithFeedback!E97</f>
        <v>0.71993843300171023</v>
      </c>
    </row>
    <row r="98" spans="1:2" x14ac:dyDescent="0.45">
      <c r="A98" s="5">
        <f t="shared" si="1"/>
        <v>1.5115118602272546</v>
      </c>
      <c r="B98">
        <f ca="1">B97+$C$1*($D$1-MAX(B97,0)) + $H$1*SQRT(MAX(B97,0))*randcorrWithFeedback!E98</f>
        <v>1.1353520855078785</v>
      </c>
    </row>
    <row r="99" spans="1:2" x14ac:dyDescent="0.45">
      <c r="A99" s="5">
        <f t="shared" si="1"/>
        <v>1.5115496230227095</v>
      </c>
      <c r="B99">
        <f ca="1">B98+$C$1*($D$1-MAX(B98,0)) + $H$1*SQRT(MAX(B98,0))*randcorrWithFeedback!E99</f>
        <v>1.3974250587098</v>
      </c>
    </row>
    <row r="100" spans="1:2" x14ac:dyDescent="0.45">
      <c r="A100" s="5">
        <f t="shared" si="1"/>
        <v>1.5115866305622552</v>
      </c>
      <c r="B100">
        <f ca="1">B99+$C$1*($D$1-MAX(B99,0)) + $H$1*SQRT(MAX(B99,0))*randcorrWithFeedback!E100</f>
        <v>1.5090254105362688</v>
      </c>
    </row>
    <row r="101" spans="1:2" x14ac:dyDescent="0.45">
      <c r="A101" s="5">
        <f t="shared" si="1"/>
        <v>1.51162289795101</v>
      </c>
      <c r="B101">
        <f ca="1">B100+$C$1*($D$1-MAX(B100,0)) + $H$1*SQRT(MAX(B100,0))*randcorrWithFeedback!E101</f>
        <v>1.5578625520989331</v>
      </c>
    </row>
    <row r="102" spans="1:2" x14ac:dyDescent="0.45">
      <c r="A102" s="5">
        <f t="shared" si="1"/>
        <v>1.5116584399919899</v>
      </c>
      <c r="B102">
        <f ca="1">B101+$C$1*($D$1-MAX(B101,0)) + $H$1*SQRT(MAX(B101,0))*randcorrWithFeedback!E102</f>
        <v>1.8179666275892559</v>
      </c>
    </row>
    <row r="103" spans="1:2" x14ac:dyDescent="0.45">
      <c r="A103" s="5">
        <f t="shared" si="1"/>
        <v>1.51169327119215</v>
      </c>
      <c r="B103">
        <f ca="1">B102+$C$1*($D$1-MAX(B102,0)) + $H$1*SQRT(MAX(B102,0))*randcorrWithFeedback!E103</f>
        <v>2.4623172799071393</v>
      </c>
    </row>
    <row r="104" spans="1:2" x14ac:dyDescent="0.45">
      <c r="A104" s="5">
        <f t="shared" si="1"/>
        <v>1.511727405768307</v>
      </c>
      <c r="B104">
        <f ca="1">B103+$C$1*($D$1-MAX(B103,0)) + $H$1*SQRT(MAX(B103,0))*randcorrWithFeedback!E104</f>
        <v>3.511961204675381</v>
      </c>
    </row>
    <row r="105" spans="1:2" x14ac:dyDescent="0.45">
      <c r="A105" s="5">
        <f t="shared" si="1"/>
        <v>1.5117608576529409</v>
      </c>
      <c r="B105">
        <f ca="1">B104+$C$1*($D$1-MAX(B104,0)) + $H$1*SQRT(MAX(B104,0))*randcorrWithFeedback!E105</f>
        <v>4.5130585008981061</v>
      </c>
    </row>
    <row r="106" spans="1:2" x14ac:dyDescent="0.45">
      <c r="A106" s="5">
        <f t="shared" si="1"/>
        <v>1.511793640499882</v>
      </c>
      <c r="B106">
        <f ca="1">B105+$C$1*($D$1-MAX(B105,0)) + $H$1*SQRT(MAX(B105,0))*randcorrWithFeedback!E106</f>
        <v>4.9454738554424997</v>
      </c>
    </row>
    <row r="107" spans="1:2" x14ac:dyDescent="0.45">
      <c r="A107" s="5">
        <f t="shared" si="1"/>
        <v>1.5118257676898843</v>
      </c>
      <c r="B107">
        <f ca="1">B106+$C$1*($D$1-MAX(B106,0)) + $H$1*SQRT(MAX(B106,0))*randcorrWithFeedback!E107</f>
        <v>4.6452524102325157</v>
      </c>
    </row>
    <row r="108" spans="1:2" x14ac:dyDescent="0.45">
      <c r="A108" s="5">
        <f t="shared" si="1"/>
        <v>1.5118572523360867</v>
      </c>
      <c r="B108">
        <f ca="1">B107+$C$1*($D$1-MAX(B107,0)) + $H$1*SQRT(MAX(B107,0))*randcorrWithFeedback!E108</f>
        <v>3.1877314030810688</v>
      </c>
    </row>
    <row r="109" spans="1:2" x14ac:dyDescent="0.45">
      <c r="A109" s="5">
        <f t="shared" si="1"/>
        <v>1.5118881072893651</v>
      </c>
      <c r="B109">
        <f ca="1">B108+$C$1*($D$1-MAX(B108,0)) + $H$1*SQRT(MAX(B108,0))*randcorrWithFeedback!E109</f>
        <v>3.3637123645266431</v>
      </c>
    </row>
    <row r="110" spans="1:2" x14ac:dyDescent="0.45">
      <c r="A110" s="5">
        <f t="shared" si="1"/>
        <v>1.5119183451435778</v>
      </c>
      <c r="B110">
        <f ca="1">B109+$C$1*($D$1-MAX(B109,0)) + $H$1*SQRT(MAX(B109,0))*randcorrWithFeedback!E110</f>
        <v>2.4469711727214478</v>
      </c>
    </row>
    <row r="111" spans="1:2" x14ac:dyDescent="0.45">
      <c r="A111" s="5">
        <f t="shared" si="1"/>
        <v>1.5119479782407064</v>
      </c>
      <c r="B111">
        <f ca="1">B110+$C$1*($D$1-MAX(B110,0)) + $H$1*SQRT(MAX(B110,0))*randcorrWithFeedback!E111</f>
        <v>2.0242647001773388</v>
      </c>
    </row>
    <row r="112" spans="1:2" x14ac:dyDescent="0.45">
      <c r="A112" s="5">
        <f t="shared" si="1"/>
        <v>1.5119770186758923</v>
      </c>
      <c r="B112">
        <f ca="1">B111+$C$1*($D$1-MAX(B111,0)) + $H$1*SQRT(MAX(B111,0))*randcorrWithFeedback!E112</f>
        <v>2.5116649544023781</v>
      </c>
    </row>
    <row r="113" spans="1:2" x14ac:dyDescent="0.45">
      <c r="A113" s="5">
        <f t="shared" si="1"/>
        <v>1.5120054783023744</v>
      </c>
      <c r="B113">
        <f ca="1">B112+$C$1*($D$1-MAX(B112,0)) + $H$1*SQRT(MAX(B112,0))*randcorrWithFeedback!E113</f>
        <v>2.2064664156121565</v>
      </c>
    </row>
    <row r="114" spans="1:2" x14ac:dyDescent="0.45">
      <c r="A114" s="5">
        <f t="shared" si="1"/>
        <v>1.512033368736327</v>
      </c>
      <c r="B114">
        <f ca="1">B113+$C$1*($D$1-MAX(B113,0)) + $H$1*SQRT(MAX(B113,0))*randcorrWithFeedback!E114</f>
        <v>2.4816793226976746</v>
      </c>
    </row>
    <row r="115" spans="1:2" x14ac:dyDescent="0.45">
      <c r="A115" s="5">
        <f t="shared" si="1"/>
        <v>1.5120607013616005</v>
      </c>
      <c r="B115">
        <f ca="1">B114+$C$1*($D$1-MAX(B114,0)) + $H$1*SQRT(MAX(B114,0))*randcorrWithFeedback!E115</f>
        <v>2.1031487609111186</v>
      </c>
    </row>
    <row r="116" spans="1:2" x14ac:dyDescent="0.45">
      <c r="A116" s="5">
        <f t="shared" si="1"/>
        <v>1.5120874873343686</v>
      </c>
      <c r="B116">
        <f ca="1">B115+$C$1*($D$1-MAX(B115,0)) + $H$1*SQRT(MAX(B115,0))*randcorrWithFeedback!E116</f>
        <v>1.4350278242649237</v>
      </c>
    </row>
    <row r="117" spans="1:2" x14ac:dyDescent="0.45">
      <c r="A117" s="5">
        <f t="shared" si="1"/>
        <v>1.5121137375876812</v>
      </c>
      <c r="B117">
        <f ca="1">B116+$C$1*($D$1-MAX(B116,0)) + $H$1*SQRT(MAX(B116,0))*randcorrWithFeedback!E117</f>
        <v>1.899481815056826</v>
      </c>
    </row>
    <row r="118" spans="1:2" x14ac:dyDescent="0.45">
      <c r="A118" s="5">
        <f t="shared" si="1"/>
        <v>1.5121394628359275</v>
      </c>
      <c r="B118">
        <f ca="1">B117+$C$1*($D$1-MAX(B117,0)) + $H$1*SQRT(MAX(B117,0))*randcorrWithFeedback!E118</f>
        <v>2.0924478413138905</v>
      </c>
    </row>
    <row r="119" spans="1:2" x14ac:dyDescent="0.45">
      <c r="A119" s="5">
        <f t="shared" si="1"/>
        <v>1.5121646735792089</v>
      </c>
      <c r="B119">
        <f ca="1">B118+$C$1*($D$1-MAX(B118,0)) + $H$1*SQRT(MAX(B118,0))*randcorrWithFeedback!E119</f>
        <v>2.2331700652688484</v>
      </c>
    </row>
    <row r="120" spans="1:2" x14ac:dyDescent="0.45">
      <c r="A120" s="5">
        <f t="shared" si="1"/>
        <v>1.5121893801076247</v>
      </c>
      <c r="B120">
        <f ca="1">B119+$C$1*($D$1-MAX(B119,0)) + $H$1*SQRT(MAX(B119,0))*randcorrWithFeedback!E120</f>
        <v>2.2057164225920567</v>
      </c>
    </row>
    <row r="121" spans="1:2" x14ac:dyDescent="0.45">
      <c r="A121" s="5">
        <f t="shared" si="1"/>
        <v>1.5122135925054723</v>
      </c>
      <c r="B121">
        <f ca="1">B120+$C$1*($D$1-MAX(B120,0)) + $H$1*SQRT(MAX(B120,0))*randcorrWithFeedback!E121</f>
        <v>2.1534438275250687</v>
      </c>
    </row>
    <row r="122" spans="1:2" x14ac:dyDescent="0.45">
      <c r="A122" s="5">
        <f t="shared" si="1"/>
        <v>1.5122373206553628</v>
      </c>
      <c r="B122">
        <f ca="1">B121+$C$1*($D$1-MAX(B121,0)) + $H$1*SQRT(MAX(B121,0))*randcorrWithFeedback!E122</f>
        <v>2.7044149020477684</v>
      </c>
    </row>
    <row r="123" spans="1:2" x14ac:dyDescent="0.45">
      <c r="A123" s="5">
        <f t="shared" si="1"/>
        <v>1.5122605742422555</v>
      </c>
      <c r="B123">
        <f ca="1">B122+$C$1*($D$1-MAX(B122,0)) + $H$1*SQRT(MAX(B122,0))*randcorrWithFeedback!E123</f>
        <v>2.4900289018146284</v>
      </c>
    </row>
    <row r="124" spans="1:2" x14ac:dyDescent="0.45">
      <c r="A124" s="5">
        <f t="shared" si="1"/>
        <v>1.5122833627574104</v>
      </c>
      <c r="B124">
        <f ca="1">B123+$C$1*($D$1-MAX(B123,0)) + $H$1*SQRT(MAX(B123,0))*randcorrWithFeedback!E124</f>
        <v>2.5890781048414846</v>
      </c>
    </row>
    <row r="125" spans="1:2" x14ac:dyDescent="0.45">
      <c r="A125" s="5">
        <f t="shared" si="1"/>
        <v>1.5123056955022622</v>
      </c>
      <c r="B125">
        <f ca="1">B124+$C$1*($D$1-MAX(B124,0)) + $H$1*SQRT(MAX(B124,0))*randcorrWithFeedback!E125</f>
        <v>3.0743652804099604</v>
      </c>
    </row>
    <row r="126" spans="1:2" x14ac:dyDescent="0.45">
      <c r="A126" s="5">
        <f t="shared" si="1"/>
        <v>1.512327581592217</v>
      </c>
      <c r="B126">
        <f ca="1">B125+$C$1*($D$1-MAX(B125,0)) + $H$1*SQRT(MAX(B125,0))*randcorrWithFeedback!E126</f>
        <v>3.709928451656539</v>
      </c>
    </row>
    <row r="127" spans="1:2" x14ac:dyDescent="0.45">
      <c r="A127" s="5">
        <f t="shared" si="1"/>
        <v>1.5123490299603728</v>
      </c>
      <c r="B127">
        <f ca="1">B126+$C$1*($D$1-MAX(B126,0)) + $H$1*SQRT(MAX(B126,0))*randcorrWithFeedback!E127</f>
        <v>3.6886018622587269</v>
      </c>
    </row>
    <row r="128" spans="1:2" x14ac:dyDescent="0.45">
      <c r="A128" s="5">
        <f t="shared" si="1"/>
        <v>1.5123700493611654</v>
      </c>
      <c r="B128">
        <f ca="1">B127+$C$1*($D$1-MAX(B127,0)) + $H$1*SQRT(MAX(B127,0))*randcorrWithFeedback!E128</f>
        <v>4.2830909348867499</v>
      </c>
    </row>
    <row r="129" spans="1:2" x14ac:dyDescent="0.45">
      <c r="A129" s="5">
        <f t="shared" si="1"/>
        <v>1.512390648373942</v>
      </c>
      <c r="B129">
        <f ca="1">B128+$C$1*($D$1-MAX(B128,0)) + $H$1*SQRT(MAX(B128,0))*randcorrWithFeedback!E129</f>
        <v>4.3872925630856292</v>
      </c>
    </row>
    <row r="130" spans="1:2" x14ac:dyDescent="0.45">
      <c r="A130" s="5">
        <f t="shared" si="1"/>
        <v>1.5124108354064631</v>
      </c>
      <c r="B130">
        <f ca="1">B129+$C$1*($D$1-MAX(B129,0)) + $H$1*SQRT(MAX(B129,0))*randcorrWithFeedback!E130</f>
        <v>4.7702702582157253</v>
      </c>
    </row>
    <row r="131" spans="1:2" x14ac:dyDescent="0.45">
      <c r="A131" s="5">
        <f t="shared" ref="A131:A194" si="2">A130+$C$1*($D$1-A130)</f>
        <v>1.5124306186983338</v>
      </c>
      <c r="B131">
        <f ca="1">B130+$C$1*($D$1-MAX(B130,0)) + $H$1*SQRT(MAX(B130,0))*randcorrWithFeedback!E131</f>
        <v>4.3014933026899547</v>
      </c>
    </row>
    <row r="132" spans="1:2" x14ac:dyDescent="0.45">
      <c r="A132" s="5">
        <f t="shared" si="2"/>
        <v>1.5124500063243671</v>
      </c>
      <c r="B132">
        <f ca="1">B131+$C$1*($D$1-MAX(B131,0)) + $H$1*SQRT(MAX(B131,0))*randcorrWithFeedback!E132</f>
        <v>4.9708251972521786</v>
      </c>
    </row>
    <row r="133" spans="1:2" x14ac:dyDescent="0.45">
      <c r="A133" s="5">
        <f t="shared" si="2"/>
        <v>1.5124690061978798</v>
      </c>
      <c r="B133">
        <f ca="1">B132+$C$1*($D$1-MAX(B132,0)) + $H$1*SQRT(MAX(B132,0))*randcorrWithFeedback!E133</f>
        <v>5.7550852917685571</v>
      </c>
    </row>
    <row r="134" spans="1:2" x14ac:dyDescent="0.45">
      <c r="A134" s="5">
        <f t="shared" si="2"/>
        <v>1.5124876260739222</v>
      </c>
      <c r="B134">
        <f ca="1">B133+$C$1*($D$1-MAX(B133,0)) + $H$1*SQRT(MAX(B133,0))*randcorrWithFeedback!E134</f>
        <v>5.6588730401300058</v>
      </c>
    </row>
    <row r="135" spans="1:2" x14ac:dyDescent="0.45">
      <c r="A135" s="5">
        <f t="shared" si="2"/>
        <v>1.5125058735524437</v>
      </c>
      <c r="B135">
        <f ca="1">B134+$C$1*($D$1-MAX(B134,0)) + $H$1*SQRT(MAX(B134,0))*randcorrWithFeedback!E135</f>
        <v>6.4604991515659567</v>
      </c>
    </row>
    <row r="136" spans="1:2" x14ac:dyDescent="0.45">
      <c r="A136" s="5">
        <f t="shared" si="2"/>
        <v>1.5125237560813949</v>
      </c>
      <c r="B136">
        <f ca="1">B135+$C$1*($D$1-MAX(B135,0)) + $H$1*SQRT(MAX(B135,0))*randcorrWithFeedback!E136</f>
        <v>7.066995989683754</v>
      </c>
    </row>
    <row r="137" spans="1:2" x14ac:dyDescent="0.45">
      <c r="A137" s="5">
        <f t="shared" si="2"/>
        <v>1.5125412809597669</v>
      </c>
      <c r="B137">
        <f ca="1">B136+$C$1*($D$1-MAX(B136,0)) + $H$1*SQRT(MAX(B136,0))*randcorrWithFeedback!E137</f>
        <v>7.5347021519877231</v>
      </c>
    </row>
    <row r="138" spans="1:2" x14ac:dyDescent="0.45">
      <c r="A138" s="5">
        <f t="shared" si="2"/>
        <v>1.5125584553405715</v>
      </c>
      <c r="B138">
        <f ca="1">B137+$C$1*($D$1-MAX(B137,0)) + $H$1*SQRT(MAX(B137,0))*randcorrWithFeedback!E138</f>
        <v>6.7368887269800277</v>
      </c>
    </row>
    <row r="139" spans="1:2" x14ac:dyDescent="0.45">
      <c r="A139" s="5">
        <f t="shared" si="2"/>
        <v>1.51257528623376</v>
      </c>
      <c r="B139">
        <f ca="1">B138+$C$1*($D$1-MAX(B138,0)) + $H$1*SQRT(MAX(B138,0))*randcorrWithFeedback!E139</f>
        <v>4.8874136222481912</v>
      </c>
    </row>
    <row r="140" spans="1:2" x14ac:dyDescent="0.45">
      <c r="A140" s="5">
        <f t="shared" si="2"/>
        <v>1.5125917805090849</v>
      </c>
      <c r="B140">
        <f ca="1">B139+$C$1*($D$1-MAX(B139,0)) + $H$1*SQRT(MAX(B139,0))*randcorrWithFeedback!E140</f>
        <v>3.8491774375255594</v>
      </c>
    </row>
    <row r="141" spans="1:2" x14ac:dyDescent="0.45">
      <c r="A141" s="5">
        <f t="shared" si="2"/>
        <v>1.5126079448989032</v>
      </c>
      <c r="B141">
        <f ca="1">B140+$C$1*($D$1-MAX(B140,0)) + $H$1*SQRT(MAX(B140,0))*randcorrWithFeedback!E141</f>
        <v>3.811851346330835</v>
      </c>
    </row>
    <row r="142" spans="1:2" x14ac:dyDescent="0.45">
      <c r="A142" s="5">
        <f t="shared" si="2"/>
        <v>1.5126237860009251</v>
      </c>
      <c r="B142">
        <f ca="1">B141+$C$1*($D$1-MAX(B141,0)) + $H$1*SQRT(MAX(B141,0))*randcorrWithFeedback!E142</f>
        <v>3.5490211618267771</v>
      </c>
    </row>
    <row r="143" spans="1:2" x14ac:dyDescent="0.45">
      <c r="A143" s="5">
        <f t="shared" si="2"/>
        <v>1.5126393102809066</v>
      </c>
      <c r="B143">
        <f ca="1">B142+$C$1*($D$1-MAX(B142,0)) + $H$1*SQRT(MAX(B142,0))*randcorrWithFeedback!E143</f>
        <v>3.3274320041502912</v>
      </c>
    </row>
    <row r="144" spans="1:2" x14ac:dyDescent="0.45">
      <c r="A144" s="5">
        <f t="shared" si="2"/>
        <v>1.5126545240752884</v>
      </c>
      <c r="B144">
        <f ca="1">B143+$C$1*($D$1-MAX(B143,0)) + $H$1*SQRT(MAX(B143,0))*randcorrWithFeedback!E144</f>
        <v>4.6030833265919586</v>
      </c>
    </row>
    <row r="145" spans="1:2" x14ac:dyDescent="0.45">
      <c r="A145" s="5">
        <f t="shared" si="2"/>
        <v>1.5126694335937827</v>
      </c>
      <c r="B145">
        <f ca="1">B144+$C$1*($D$1-MAX(B144,0)) + $H$1*SQRT(MAX(B144,0))*randcorrWithFeedback!E145</f>
        <v>4.4683378807625989</v>
      </c>
    </row>
    <row r="146" spans="1:2" x14ac:dyDescent="0.45">
      <c r="A146" s="5">
        <f t="shared" si="2"/>
        <v>1.512684044921907</v>
      </c>
      <c r="B146">
        <f ca="1">B145+$C$1*($D$1-MAX(B145,0)) + $H$1*SQRT(MAX(B145,0))*randcorrWithFeedback!E146</f>
        <v>3.4143423581268157</v>
      </c>
    </row>
    <row r="147" spans="1:2" x14ac:dyDescent="0.45">
      <c r="A147" s="5">
        <f t="shared" si="2"/>
        <v>1.5126983640234688</v>
      </c>
      <c r="B147">
        <f ca="1">B146+$C$1*($D$1-MAX(B146,0)) + $H$1*SQRT(MAX(B146,0))*randcorrWithFeedback!E147</f>
        <v>3.7122580652990731</v>
      </c>
    </row>
    <row r="148" spans="1:2" x14ac:dyDescent="0.45">
      <c r="A148" s="5">
        <f t="shared" si="2"/>
        <v>1.5127123967429994</v>
      </c>
      <c r="B148">
        <f ca="1">B147+$C$1*($D$1-MAX(B147,0)) + $H$1*SQRT(MAX(B147,0))*randcorrWithFeedback!E148</f>
        <v>5.0274583709633838</v>
      </c>
    </row>
    <row r="149" spans="1:2" x14ac:dyDescent="0.45">
      <c r="A149" s="5">
        <f t="shared" si="2"/>
        <v>1.5127261488081394</v>
      </c>
      <c r="B149">
        <f ca="1">B148+$C$1*($D$1-MAX(B148,0)) + $H$1*SQRT(MAX(B148,0))*randcorrWithFeedback!E149</f>
        <v>4.9333172777408025</v>
      </c>
    </row>
    <row r="150" spans="1:2" x14ac:dyDescent="0.45">
      <c r="A150" s="5">
        <f t="shared" si="2"/>
        <v>1.5127396258319765</v>
      </c>
      <c r="B150">
        <f ca="1">B149+$C$1*($D$1-MAX(B149,0)) + $H$1*SQRT(MAX(B149,0))*randcorrWithFeedback!E150</f>
        <v>4.7219870384365938</v>
      </c>
    </row>
    <row r="151" spans="1:2" x14ac:dyDescent="0.45">
      <c r="A151" s="5">
        <f t="shared" si="2"/>
        <v>1.5127528333153371</v>
      </c>
      <c r="B151">
        <f ca="1">B150+$C$1*($D$1-MAX(B150,0)) + $H$1*SQRT(MAX(B150,0))*randcorrWithFeedback!E151</f>
        <v>4.5422500305993108</v>
      </c>
    </row>
    <row r="152" spans="1:2" x14ac:dyDescent="0.45">
      <c r="A152" s="5">
        <f t="shared" si="2"/>
        <v>1.5127657766490303</v>
      </c>
      <c r="B152">
        <f ca="1">B151+$C$1*($D$1-MAX(B151,0)) + $H$1*SQRT(MAX(B151,0))*randcorrWithFeedback!E152</f>
        <v>4.3505721478644714</v>
      </c>
    </row>
    <row r="153" spans="1:2" x14ac:dyDescent="0.45">
      <c r="A153" s="5">
        <f t="shared" si="2"/>
        <v>1.5127784611160497</v>
      </c>
      <c r="B153">
        <f ca="1">B152+$C$1*($D$1-MAX(B152,0)) + $H$1*SQRT(MAX(B152,0))*randcorrWithFeedback!E153</f>
        <v>2.5445156021806143</v>
      </c>
    </row>
    <row r="154" spans="1:2" x14ac:dyDescent="0.45">
      <c r="A154" s="5">
        <f t="shared" si="2"/>
        <v>1.5127908918937287</v>
      </c>
      <c r="B154">
        <f ca="1">B153+$C$1*($D$1-MAX(B153,0)) + $H$1*SQRT(MAX(B153,0))*randcorrWithFeedback!E154</f>
        <v>2.6924518518157297</v>
      </c>
    </row>
    <row r="155" spans="1:2" x14ac:dyDescent="0.45">
      <c r="A155" s="5">
        <f t="shared" si="2"/>
        <v>1.5128030740558542</v>
      </c>
      <c r="B155">
        <f ca="1">B154+$C$1*($D$1-MAX(B154,0)) + $H$1*SQRT(MAX(B154,0))*randcorrWithFeedback!E155</f>
        <v>2.6745012444083684</v>
      </c>
    </row>
    <row r="156" spans="1:2" x14ac:dyDescent="0.45">
      <c r="A156" s="5">
        <f t="shared" si="2"/>
        <v>1.5128150125747371</v>
      </c>
      <c r="B156">
        <f ca="1">B155+$C$1*($D$1-MAX(B155,0)) + $H$1*SQRT(MAX(B155,0))*randcorrWithFeedback!E156</f>
        <v>3.7702108596998505</v>
      </c>
    </row>
    <row r="157" spans="1:2" x14ac:dyDescent="0.45">
      <c r="A157" s="5">
        <f t="shared" si="2"/>
        <v>1.5128267123232424</v>
      </c>
      <c r="B157">
        <f ca="1">B156+$C$1*($D$1-MAX(B156,0)) + $H$1*SQRT(MAX(B156,0))*randcorrWithFeedback!E157</f>
        <v>4.043057117442026</v>
      </c>
    </row>
    <row r="158" spans="1:2" x14ac:dyDescent="0.45">
      <c r="A158" s="5">
        <f t="shared" si="2"/>
        <v>1.5128381780767775</v>
      </c>
      <c r="B158">
        <f ca="1">B157+$C$1*($D$1-MAX(B157,0)) + $H$1*SQRT(MAX(B157,0))*randcorrWithFeedback!E158</f>
        <v>3.7202769138665808</v>
      </c>
    </row>
    <row r="159" spans="1:2" x14ac:dyDescent="0.45">
      <c r="A159" s="5">
        <f t="shared" si="2"/>
        <v>1.5128494145152418</v>
      </c>
      <c r="B159">
        <f ca="1">B158+$C$1*($D$1-MAX(B158,0)) + $H$1*SQRT(MAX(B158,0))*randcorrWithFeedback!E159</f>
        <v>4.3942629822992778</v>
      </c>
    </row>
    <row r="160" spans="1:2" x14ac:dyDescent="0.45">
      <c r="A160" s="5">
        <f t="shared" si="2"/>
        <v>1.512860426224937</v>
      </c>
      <c r="B160">
        <f ca="1">B159+$C$1*($D$1-MAX(B159,0)) + $H$1*SQRT(MAX(B159,0))*randcorrWithFeedback!E160</f>
        <v>4.1959019248423726</v>
      </c>
    </row>
    <row r="161" spans="1:2" x14ac:dyDescent="0.45">
      <c r="A161" s="5">
        <f t="shared" si="2"/>
        <v>1.5128712177004382</v>
      </c>
      <c r="B161">
        <f ca="1">B160+$C$1*($D$1-MAX(B160,0)) + $H$1*SQRT(MAX(B160,0))*randcorrWithFeedback!E161</f>
        <v>4.5996733970154544</v>
      </c>
    </row>
    <row r="162" spans="1:2" x14ac:dyDescent="0.45">
      <c r="A162" s="5">
        <f t="shared" si="2"/>
        <v>1.5128817933464294</v>
      </c>
      <c r="B162">
        <f ca="1">B161+$C$1*($D$1-MAX(B161,0)) + $H$1*SQRT(MAX(B161,0))*randcorrWithFeedback!E162</f>
        <v>4.7965448366547045</v>
      </c>
    </row>
    <row r="163" spans="1:2" x14ac:dyDescent="0.45">
      <c r="A163" s="5">
        <f t="shared" si="2"/>
        <v>1.5128921574795007</v>
      </c>
      <c r="B163">
        <f ca="1">B162+$C$1*($D$1-MAX(B162,0)) + $H$1*SQRT(MAX(B162,0))*randcorrWithFeedback!E163</f>
        <v>5.4164451331999599</v>
      </c>
    </row>
    <row r="164" spans="1:2" x14ac:dyDescent="0.45">
      <c r="A164" s="5">
        <f t="shared" si="2"/>
        <v>1.5129023143299107</v>
      </c>
      <c r="B164">
        <f ca="1">B163+$C$1*($D$1-MAX(B163,0)) + $H$1*SQRT(MAX(B163,0))*randcorrWithFeedback!E164</f>
        <v>5.3814329557174698</v>
      </c>
    </row>
    <row r="165" spans="1:2" x14ac:dyDescent="0.45">
      <c r="A165" s="5">
        <f t="shared" si="2"/>
        <v>1.5129122680433125</v>
      </c>
      <c r="B165">
        <f ca="1">B164+$C$1*($D$1-MAX(B164,0)) + $H$1*SQRT(MAX(B164,0))*randcorrWithFeedback!E165</f>
        <v>4.4373868700617223</v>
      </c>
    </row>
    <row r="166" spans="1:2" x14ac:dyDescent="0.45">
      <c r="A166" s="5">
        <f t="shared" si="2"/>
        <v>1.5129220226824462</v>
      </c>
      <c r="B166">
        <f ca="1">B165+$C$1*($D$1-MAX(B165,0)) + $H$1*SQRT(MAX(B165,0))*randcorrWithFeedback!E166</f>
        <v>4.4890955736712961</v>
      </c>
    </row>
    <row r="167" spans="1:2" x14ac:dyDescent="0.45">
      <c r="A167" s="5">
        <f t="shared" si="2"/>
        <v>1.5129315822287974</v>
      </c>
      <c r="B167">
        <f ca="1">B166+$C$1*($D$1-MAX(B166,0)) + $H$1*SQRT(MAX(B166,0))*randcorrWithFeedback!E167</f>
        <v>4.2436230862200155</v>
      </c>
    </row>
    <row r="168" spans="1:2" x14ac:dyDescent="0.45">
      <c r="A168" s="5">
        <f t="shared" si="2"/>
        <v>1.5129409505842215</v>
      </c>
      <c r="B168">
        <f ca="1">B167+$C$1*($D$1-MAX(B167,0)) + $H$1*SQRT(MAX(B167,0))*randcorrWithFeedback!E168</f>
        <v>4.6109002544434583</v>
      </c>
    </row>
    <row r="169" spans="1:2" x14ac:dyDescent="0.45">
      <c r="A169" s="5">
        <f t="shared" si="2"/>
        <v>1.5129501315725371</v>
      </c>
      <c r="B169">
        <f ca="1">B168+$C$1*($D$1-MAX(B168,0)) + $H$1*SQRT(MAX(B168,0))*randcorrWithFeedback!E169</f>
        <v>5.2724335810435976</v>
      </c>
    </row>
    <row r="170" spans="1:2" x14ac:dyDescent="0.45">
      <c r="A170" s="5">
        <f t="shared" si="2"/>
        <v>1.5129591289410864</v>
      </c>
      <c r="B170">
        <f ca="1">B169+$C$1*($D$1-MAX(B169,0)) + $H$1*SQRT(MAX(B169,0))*randcorrWithFeedback!E170</f>
        <v>5.0073284106503024</v>
      </c>
    </row>
    <row r="171" spans="1:2" x14ac:dyDescent="0.45">
      <c r="A171" s="5">
        <f t="shared" si="2"/>
        <v>1.5129679463622647</v>
      </c>
      <c r="B171">
        <f ca="1">B170+$C$1*($D$1-MAX(B170,0)) + $H$1*SQRT(MAX(B170,0))*randcorrWithFeedback!E171</f>
        <v>4.8256117525376387</v>
      </c>
    </row>
    <row r="172" spans="1:2" x14ac:dyDescent="0.45">
      <c r="A172" s="5">
        <f t="shared" si="2"/>
        <v>1.5129765874350194</v>
      </c>
      <c r="B172">
        <f ca="1">B171+$C$1*($D$1-MAX(B171,0)) + $H$1*SQRT(MAX(B171,0))*randcorrWithFeedback!E172</f>
        <v>5.196685993543392</v>
      </c>
    </row>
    <row r="173" spans="1:2" x14ac:dyDescent="0.45">
      <c r="A173" s="5">
        <f t="shared" si="2"/>
        <v>1.5129850556863189</v>
      </c>
      <c r="B173">
        <f ca="1">B172+$C$1*($D$1-MAX(B172,0)) + $H$1*SQRT(MAX(B172,0))*randcorrWithFeedback!E173</f>
        <v>5.1938620088648708</v>
      </c>
    </row>
    <row r="174" spans="1:2" x14ac:dyDescent="0.45">
      <c r="A174" s="5">
        <f t="shared" si="2"/>
        <v>1.5129933545725924</v>
      </c>
      <c r="B174">
        <f ca="1">B173+$C$1*($D$1-MAX(B173,0)) + $H$1*SQRT(MAX(B173,0))*randcorrWithFeedback!E174</f>
        <v>4.777484097911632</v>
      </c>
    </row>
    <row r="175" spans="1:2" x14ac:dyDescent="0.45">
      <c r="A175" s="5">
        <f t="shared" si="2"/>
        <v>1.5130014874811406</v>
      </c>
      <c r="B175">
        <f ca="1">B174+$C$1*($D$1-MAX(B174,0)) + $H$1*SQRT(MAX(B174,0))*randcorrWithFeedback!E175</f>
        <v>5.0066378689832103</v>
      </c>
    </row>
    <row r="176" spans="1:2" x14ac:dyDescent="0.45">
      <c r="A176" s="5">
        <f t="shared" si="2"/>
        <v>1.5130094577315178</v>
      </c>
      <c r="B176">
        <f ca="1">B175+$C$1*($D$1-MAX(B175,0)) + $H$1*SQRT(MAX(B175,0))*randcorrWithFeedback!E176</f>
        <v>6.2848057238025188</v>
      </c>
    </row>
    <row r="177" spans="1:2" x14ac:dyDescent="0.45">
      <c r="A177" s="5">
        <f t="shared" si="2"/>
        <v>1.5130172685768875</v>
      </c>
      <c r="B177">
        <f ca="1">B176+$C$1*($D$1-MAX(B176,0)) + $H$1*SQRT(MAX(B176,0))*randcorrWithFeedback!E177</f>
        <v>7.3001284273909484</v>
      </c>
    </row>
    <row r="178" spans="1:2" x14ac:dyDescent="0.45">
      <c r="A178" s="5">
        <f t="shared" si="2"/>
        <v>1.5130249232053496</v>
      </c>
      <c r="B178">
        <f ca="1">B177+$C$1*($D$1-MAX(B177,0)) + $H$1*SQRT(MAX(B177,0))*randcorrWithFeedback!E178</f>
        <v>7.0487069285167587</v>
      </c>
    </row>
    <row r="179" spans="1:2" x14ac:dyDescent="0.45">
      <c r="A179" s="5">
        <f t="shared" si="2"/>
        <v>1.5130324247412426</v>
      </c>
      <c r="B179">
        <f ca="1">B178+$C$1*($D$1-MAX(B178,0)) + $H$1*SQRT(MAX(B178,0))*randcorrWithFeedback!E179</f>
        <v>8.351801125643366</v>
      </c>
    </row>
    <row r="180" spans="1:2" x14ac:dyDescent="0.45">
      <c r="A180" s="5">
        <f t="shared" si="2"/>
        <v>1.5130397762464176</v>
      </c>
      <c r="B180">
        <f ca="1">B179+$C$1*($D$1-MAX(B179,0)) + $H$1*SQRT(MAX(B179,0))*randcorrWithFeedback!E180</f>
        <v>7.3488626139778983</v>
      </c>
    </row>
    <row r="181" spans="1:2" x14ac:dyDescent="0.45">
      <c r="A181" s="5">
        <f t="shared" si="2"/>
        <v>1.5130469807214892</v>
      </c>
      <c r="B181">
        <f ca="1">B180+$C$1*($D$1-MAX(B180,0)) + $H$1*SQRT(MAX(B180,0))*randcorrWithFeedback!E181</f>
        <v>7.7631267991183002</v>
      </c>
    </row>
    <row r="182" spans="1:2" x14ac:dyDescent="0.45">
      <c r="A182" s="5">
        <f t="shared" si="2"/>
        <v>1.5130540411070594</v>
      </c>
      <c r="B182">
        <f ca="1">B181+$C$1*($D$1-MAX(B181,0)) + $H$1*SQRT(MAX(B181,0))*randcorrWithFeedback!E182</f>
        <v>7.6227773131758179</v>
      </c>
    </row>
    <row r="183" spans="1:2" x14ac:dyDescent="0.45">
      <c r="A183" s="5">
        <f t="shared" si="2"/>
        <v>1.5130609602849183</v>
      </c>
      <c r="B183">
        <f ca="1">B182+$C$1*($D$1-MAX(B182,0)) + $H$1*SQRT(MAX(B182,0))*randcorrWithFeedback!E183</f>
        <v>7.8235710507243184</v>
      </c>
    </row>
    <row r="184" spans="1:2" x14ac:dyDescent="0.45">
      <c r="A184" s="5">
        <f t="shared" si="2"/>
        <v>1.5130677410792199</v>
      </c>
      <c r="B184">
        <f ca="1">B183+$C$1*($D$1-MAX(B183,0)) + $H$1*SQRT(MAX(B183,0))*randcorrWithFeedback!E184</f>
        <v>7.9135078128908667</v>
      </c>
    </row>
    <row r="185" spans="1:2" x14ac:dyDescent="0.45">
      <c r="A185" s="5">
        <f t="shared" si="2"/>
        <v>1.5130743862576355</v>
      </c>
      <c r="B185">
        <f ca="1">B184+$C$1*($D$1-MAX(B184,0)) + $H$1*SQRT(MAX(B184,0))*randcorrWithFeedback!E185</f>
        <v>7.2925352033683231</v>
      </c>
    </row>
    <row r="186" spans="1:2" x14ac:dyDescent="0.45">
      <c r="A186" s="5">
        <f t="shared" si="2"/>
        <v>1.5130808985324828</v>
      </c>
      <c r="B186">
        <f ca="1">B185+$C$1*($D$1-MAX(B185,0)) + $H$1*SQRT(MAX(B185,0))*randcorrWithFeedback!E186</f>
        <v>6.7845190484227027</v>
      </c>
    </row>
    <row r="187" spans="1:2" x14ac:dyDescent="0.45">
      <c r="A187" s="5">
        <f t="shared" si="2"/>
        <v>1.5130872805618332</v>
      </c>
      <c r="B187">
        <f ca="1">B186+$C$1*($D$1-MAX(B186,0)) + $H$1*SQRT(MAX(B186,0))*randcorrWithFeedback!E187</f>
        <v>6.9882596894491913</v>
      </c>
    </row>
    <row r="188" spans="1:2" x14ac:dyDescent="0.45">
      <c r="A188" s="5">
        <f t="shared" si="2"/>
        <v>1.5130935349505965</v>
      </c>
      <c r="B188">
        <f ca="1">B187+$C$1*($D$1-MAX(B187,0)) + $H$1*SQRT(MAX(B187,0))*randcorrWithFeedback!E188</f>
        <v>7.6391022515645508</v>
      </c>
    </row>
    <row r="189" spans="1:2" x14ac:dyDescent="0.45">
      <c r="A189" s="5">
        <f t="shared" si="2"/>
        <v>1.5130996642515846</v>
      </c>
      <c r="B189">
        <f ca="1">B188+$C$1*($D$1-MAX(B188,0)) + $H$1*SQRT(MAX(B188,0))*randcorrWithFeedback!E189</f>
        <v>6.2919990055133725</v>
      </c>
    </row>
    <row r="190" spans="1:2" x14ac:dyDescent="0.45">
      <c r="A190" s="5">
        <f t="shared" si="2"/>
        <v>1.5131056709665529</v>
      </c>
      <c r="B190">
        <f ca="1">B189+$C$1*($D$1-MAX(B189,0)) + $H$1*SQRT(MAX(B189,0))*randcorrWithFeedback!E190</f>
        <v>6.0399283392988492</v>
      </c>
    </row>
    <row r="191" spans="1:2" x14ac:dyDescent="0.45">
      <c r="A191" s="5">
        <f t="shared" si="2"/>
        <v>1.5131115575472218</v>
      </c>
      <c r="B191">
        <f ca="1">B190+$C$1*($D$1-MAX(B190,0)) + $H$1*SQRT(MAX(B190,0))*randcorrWithFeedback!E191</f>
        <v>5.4728177238678715</v>
      </c>
    </row>
    <row r="192" spans="1:2" x14ac:dyDescent="0.45">
      <c r="A192" s="5">
        <f t="shared" si="2"/>
        <v>1.5131173263962774</v>
      </c>
      <c r="B192">
        <f ca="1">B191+$C$1*($D$1-MAX(B191,0)) + $H$1*SQRT(MAX(B191,0))*randcorrWithFeedback!E192</f>
        <v>6.291409113601647</v>
      </c>
    </row>
    <row r="193" spans="1:2" x14ac:dyDescent="0.45">
      <c r="A193" s="5">
        <f t="shared" si="2"/>
        <v>1.5131229798683519</v>
      </c>
      <c r="B193">
        <f ca="1">B192+$C$1*($D$1-MAX(B192,0)) + $H$1*SQRT(MAX(B192,0))*randcorrWithFeedback!E193</f>
        <v>6.5338522921579143</v>
      </c>
    </row>
    <row r="194" spans="1:2" x14ac:dyDescent="0.45">
      <c r="A194" s="5">
        <f t="shared" si="2"/>
        <v>1.5131285202709848</v>
      </c>
      <c r="B194">
        <f ca="1">B193+$C$1*($D$1-MAX(B193,0)) + $H$1*SQRT(MAX(B193,0))*randcorrWithFeedback!E194</f>
        <v>7.0103477933742813</v>
      </c>
    </row>
    <row r="195" spans="1:2" x14ac:dyDescent="0.45">
      <c r="A195" s="5">
        <f t="shared" ref="A195:A258" si="3">A194+$C$1*($D$1-A194)</f>
        <v>1.5131339498655652</v>
      </c>
      <c r="B195">
        <f ca="1">B194+$C$1*($D$1-MAX(B194,0)) + $H$1*SQRT(MAX(B194,0))*randcorrWithFeedback!E195</f>
        <v>7.7296002305995888</v>
      </c>
    </row>
    <row r="196" spans="1:2" x14ac:dyDescent="0.45">
      <c r="A196" s="5">
        <f t="shared" si="3"/>
        <v>1.5131392708682538</v>
      </c>
      <c r="B196">
        <f ca="1">B195+$C$1*($D$1-MAX(B195,0)) + $H$1*SQRT(MAX(B195,0))*randcorrWithFeedback!E196</f>
        <v>7.4207348336217134</v>
      </c>
    </row>
    <row r="197" spans="1:2" x14ac:dyDescent="0.45">
      <c r="A197" s="5">
        <f t="shared" si="3"/>
        <v>1.5131444854508889</v>
      </c>
      <c r="B197">
        <f ca="1">B196+$C$1*($D$1-MAX(B196,0)) + $H$1*SQRT(MAX(B196,0))*randcorrWithFeedback!E197</f>
        <v>7.4354685945285706</v>
      </c>
    </row>
    <row r="198" spans="1:2" x14ac:dyDescent="0.45">
      <c r="A198" s="5">
        <f t="shared" si="3"/>
        <v>1.513149595741871</v>
      </c>
      <c r="B198">
        <f ca="1">B197+$C$1*($D$1-MAX(B197,0)) + $H$1*SQRT(MAX(B197,0))*randcorrWithFeedback!E198</f>
        <v>8.466456057586095</v>
      </c>
    </row>
    <row r="199" spans="1:2" x14ac:dyDescent="0.45">
      <c r="A199" s="5">
        <f t="shared" si="3"/>
        <v>1.5131546038270336</v>
      </c>
      <c r="B199">
        <f ca="1">B198+$C$1*($D$1-MAX(B198,0)) + $H$1*SQRT(MAX(B198,0))*randcorrWithFeedback!E199</f>
        <v>9.68501690744149</v>
      </c>
    </row>
    <row r="200" spans="1:2" x14ac:dyDescent="0.45">
      <c r="A200" s="5">
        <f t="shared" si="3"/>
        <v>1.513159511750493</v>
      </c>
      <c r="B200">
        <f ca="1">B199+$C$1*($D$1-MAX(B199,0)) + $H$1*SQRT(MAX(B199,0))*randcorrWithFeedback!E200</f>
        <v>10.040011675931206</v>
      </c>
    </row>
    <row r="201" spans="1:2" x14ac:dyDescent="0.45">
      <c r="A201" s="5">
        <f t="shared" si="3"/>
        <v>1.5131643215154831</v>
      </c>
      <c r="B201">
        <f ca="1">B200+$C$1*($D$1-MAX(B200,0)) + $H$1*SQRT(MAX(B200,0))*randcorrWithFeedback!E201</f>
        <v>10.180728777968783</v>
      </c>
    </row>
    <row r="202" spans="1:2" x14ac:dyDescent="0.45">
      <c r="A202" s="5">
        <f t="shared" si="3"/>
        <v>1.5131690350851734</v>
      </c>
      <c r="B202">
        <f ca="1">B201+$C$1*($D$1-MAX(B201,0)) + $H$1*SQRT(MAX(B201,0))*randcorrWithFeedback!E202</f>
        <v>10.512484025762774</v>
      </c>
    </row>
    <row r="203" spans="1:2" x14ac:dyDescent="0.45">
      <c r="A203" s="5">
        <f t="shared" si="3"/>
        <v>1.51317365438347</v>
      </c>
      <c r="B203">
        <f ca="1">B202+$C$1*($D$1-MAX(B202,0)) + $H$1*SQRT(MAX(B202,0))*randcorrWithFeedback!E203</f>
        <v>12.456229184955385</v>
      </c>
    </row>
    <row r="204" spans="1:2" x14ac:dyDescent="0.45">
      <c r="A204" s="5">
        <f t="shared" si="3"/>
        <v>1.5131781812958005</v>
      </c>
      <c r="B204">
        <f ca="1">B203+$C$1*($D$1-MAX(B203,0)) + $H$1*SQRT(MAX(B203,0))*randcorrWithFeedback!E204</f>
        <v>13.437871377290154</v>
      </c>
    </row>
    <row r="205" spans="1:2" x14ac:dyDescent="0.45">
      <c r="A205" s="5">
        <f t="shared" si="3"/>
        <v>1.5131826176698846</v>
      </c>
      <c r="B205">
        <f ca="1">B204+$C$1*($D$1-MAX(B204,0)) + $H$1*SQRT(MAX(B204,0))*randcorrWithFeedback!E205</f>
        <v>14.043327292150314</v>
      </c>
    </row>
    <row r="206" spans="1:2" x14ac:dyDescent="0.45">
      <c r="A206" s="5">
        <f t="shared" si="3"/>
        <v>1.5131869653164869</v>
      </c>
      <c r="B206">
        <f ca="1">B205+$C$1*($D$1-MAX(B205,0)) + $H$1*SQRT(MAX(B205,0))*randcorrWithFeedback!E206</f>
        <v>11.671438505070963</v>
      </c>
    </row>
    <row r="207" spans="1:2" x14ac:dyDescent="0.45">
      <c r="A207" s="5">
        <f t="shared" si="3"/>
        <v>1.5131912260101572</v>
      </c>
      <c r="B207">
        <f ca="1">B206+$C$1*($D$1-MAX(B206,0)) + $H$1*SQRT(MAX(B206,0))*randcorrWithFeedback!E207</f>
        <v>11.855994201896173</v>
      </c>
    </row>
    <row r="208" spans="1:2" x14ac:dyDescent="0.45">
      <c r="A208" s="5">
        <f t="shared" si="3"/>
        <v>1.513195401489954</v>
      </c>
      <c r="B208">
        <f ca="1">B207+$C$1*($D$1-MAX(B207,0)) + $H$1*SQRT(MAX(B207,0))*randcorrWithFeedback!E208</f>
        <v>11.665588852173334</v>
      </c>
    </row>
    <row r="209" spans="1:2" x14ac:dyDescent="0.45">
      <c r="A209" s="5">
        <f t="shared" si="3"/>
        <v>1.5131994934601549</v>
      </c>
      <c r="B209">
        <f ca="1">B208+$C$1*($D$1-MAX(B208,0)) + $H$1*SQRT(MAX(B208,0))*randcorrWithFeedback!E209</f>
        <v>10.254621427610607</v>
      </c>
    </row>
    <row r="210" spans="1:2" x14ac:dyDescent="0.45">
      <c r="A210" s="5">
        <f t="shared" si="3"/>
        <v>1.5132035035909519</v>
      </c>
      <c r="B210">
        <f ca="1">B209+$C$1*($D$1-MAX(B209,0)) + $H$1*SQRT(MAX(B209,0))*randcorrWithFeedback!E210</f>
        <v>10.597677371167014</v>
      </c>
    </row>
    <row r="211" spans="1:2" x14ac:dyDescent="0.45">
      <c r="A211" s="5">
        <f t="shared" si="3"/>
        <v>1.5132074335191328</v>
      </c>
      <c r="B211">
        <f ca="1">B210+$C$1*($D$1-MAX(B210,0)) + $H$1*SQRT(MAX(B210,0))*randcorrWithFeedback!E211</f>
        <v>10.65677706745832</v>
      </c>
    </row>
    <row r="212" spans="1:2" x14ac:dyDescent="0.45">
      <c r="A212" s="5">
        <f t="shared" si="3"/>
        <v>1.5132112848487502</v>
      </c>
      <c r="B212">
        <f ca="1">B211+$C$1*($D$1-MAX(B211,0)) + $H$1*SQRT(MAX(B211,0))*randcorrWithFeedback!E212</f>
        <v>12.435312072443878</v>
      </c>
    </row>
    <row r="213" spans="1:2" x14ac:dyDescent="0.45">
      <c r="A213" s="5">
        <f t="shared" si="3"/>
        <v>1.5132150591517752</v>
      </c>
      <c r="B213">
        <f ca="1">B212+$C$1*($D$1-MAX(B212,0)) + $H$1*SQRT(MAX(B212,0))*randcorrWithFeedback!E213</f>
        <v>10.451702884812244</v>
      </c>
    </row>
    <row r="214" spans="1:2" x14ac:dyDescent="0.45">
      <c r="A214" s="5">
        <f t="shared" si="3"/>
        <v>1.5132187579687397</v>
      </c>
      <c r="B214">
        <f ca="1">B213+$C$1*($D$1-MAX(B213,0)) + $H$1*SQRT(MAX(B213,0))*randcorrWithFeedback!E214</f>
        <v>9.8192153832138516</v>
      </c>
    </row>
    <row r="215" spans="1:2" x14ac:dyDescent="0.45">
      <c r="A215" s="5">
        <f t="shared" si="3"/>
        <v>1.5132223828093649</v>
      </c>
      <c r="B215">
        <f ca="1">B214+$C$1*($D$1-MAX(B214,0)) + $H$1*SQRT(MAX(B214,0))*randcorrWithFeedback!E215</f>
        <v>10.323936772108746</v>
      </c>
    </row>
    <row r="216" spans="1:2" x14ac:dyDescent="0.45">
      <c r="A216" s="5">
        <f t="shared" si="3"/>
        <v>1.5132259351531776</v>
      </c>
      <c r="B216">
        <f ca="1">B215+$C$1*($D$1-MAX(B215,0)) + $H$1*SQRT(MAX(B215,0))*randcorrWithFeedback!E216</f>
        <v>11.036216926313857</v>
      </c>
    </row>
    <row r="217" spans="1:2" x14ac:dyDescent="0.45">
      <c r="A217" s="5">
        <f t="shared" si="3"/>
        <v>1.5132294164501141</v>
      </c>
      <c r="B217">
        <f ca="1">B216+$C$1*($D$1-MAX(B216,0)) + $H$1*SQRT(MAX(B216,0))*randcorrWithFeedback!E217</f>
        <v>9.8827228593198821</v>
      </c>
    </row>
    <row r="218" spans="1:2" x14ac:dyDescent="0.45">
      <c r="A218" s="5">
        <f t="shared" si="3"/>
        <v>1.5132328281211118</v>
      </c>
      <c r="B218">
        <f ca="1">B217+$C$1*($D$1-MAX(B217,0)) + $H$1*SQRT(MAX(B217,0))*randcorrWithFeedback!E218</f>
        <v>11.985408013170805</v>
      </c>
    </row>
    <row r="219" spans="1:2" x14ac:dyDescent="0.45">
      <c r="A219" s="5">
        <f t="shared" si="3"/>
        <v>1.5132361715586895</v>
      </c>
      <c r="B219">
        <f ca="1">B218+$C$1*($D$1-MAX(B218,0)) + $H$1*SQRT(MAX(B218,0))*randcorrWithFeedback!E219</f>
        <v>11.795059872951144</v>
      </c>
    </row>
    <row r="220" spans="1:2" x14ac:dyDescent="0.45">
      <c r="A220" s="5">
        <f t="shared" si="3"/>
        <v>1.5132394481275158</v>
      </c>
      <c r="B220">
        <f ca="1">B219+$C$1*($D$1-MAX(B219,0)) + $H$1*SQRT(MAX(B219,0))*randcorrWithFeedback!E220</f>
        <v>12.518085707683275</v>
      </c>
    </row>
    <row r="221" spans="1:2" x14ac:dyDescent="0.45">
      <c r="A221" s="5">
        <f t="shared" si="3"/>
        <v>1.5132426591649655</v>
      </c>
      <c r="B221">
        <f ca="1">B220+$C$1*($D$1-MAX(B220,0)) + $H$1*SQRT(MAX(B220,0))*randcorrWithFeedback!E221</f>
        <v>12.643736261762244</v>
      </c>
    </row>
    <row r="222" spans="1:2" x14ac:dyDescent="0.45">
      <c r="A222" s="5">
        <f t="shared" si="3"/>
        <v>1.5132458059816662</v>
      </c>
      <c r="B222">
        <f ca="1">B221+$C$1*($D$1-MAX(B221,0)) + $H$1*SQRT(MAX(B221,0))*randcorrWithFeedback!E222</f>
        <v>13.694721580288505</v>
      </c>
    </row>
    <row r="223" spans="1:2" x14ac:dyDescent="0.45">
      <c r="A223" s="5">
        <f t="shared" si="3"/>
        <v>1.5132488898620329</v>
      </c>
      <c r="B223">
        <f ca="1">B222+$C$1*($D$1-MAX(B222,0)) + $H$1*SQRT(MAX(B222,0))*randcorrWithFeedback!E223</f>
        <v>12.023132480880314</v>
      </c>
    </row>
    <row r="224" spans="1:2" x14ac:dyDescent="0.45">
      <c r="A224" s="5">
        <f t="shared" si="3"/>
        <v>1.5132519120647923</v>
      </c>
      <c r="B224">
        <f ca="1">B223+$C$1*($D$1-MAX(B223,0)) + $H$1*SQRT(MAX(B223,0))*randcorrWithFeedback!E224</f>
        <v>11.000860160748516</v>
      </c>
    </row>
    <row r="225" spans="1:2" x14ac:dyDescent="0.45">
      <c r="A225" s="5">
        <f t="shared" si="3"/>
        <v>1.5132548738234963</v>
      </c>
      <c r="B225">
        <f ca="1">B224+$C$1*($D$1-MAX(B224,0)) + $H$1*SQRT(MAX(B224,0))*randcorrWithFeedback!E225</f>
        <v>12.790908845789378</v>
      </c>
    </row>
    <row r="226" spans="1:2" x14ac:dyDescent="0.45">
      <c r="A226" s="5">
        <f t="shared" si="3"/>
        <v>1.5132577763470263</v>
      </c>
      <c r="B226">
        <f ca="1">B225+$C$1*($D$1-MAX(B225,0)) + $H$1*SQRT(MAX(B225,0))*randcorrWithFeedback!E226</f>
        <v>12.985902589348301</v>
      </c>
    </row>
    <row r="227" spans="1:2" x14ac:dyDescent="0.45">
      <c r="A227" s="5">
        <f t="shared" si="3"/>
        <v>1.5132606208200858</v>
      </c>
      <c r="B227">
        <f ca="1">B226+$C$1*($D$1-MAX(B226,0)) + $H$1*SQRT(MAX(B226,0))*randcorrWithFeedback!E227</f>
        <v>13.05108452418961</v>
      </c>
    </row>
    <row r="228" spans="1:2" x14ac:dyDescent="0.45">
      <c r="A228" s="5">
        <f t="shared" si="3"/>
        <v>1.513263408403684</v>
      </c>
      <c r="B228">
        <f ca="1">B227+$C$1*($D$1-MAX(B227,0)) + $H$1*SQRT(MAX(B227,0))*randcorrWithFeedback!E228</f>
        <v>12.406857686360263</v>
      </c>
    </row>
    <row r="229" spans="1:2" x14ac:dyDescent="0.45">
      <c r="A229" s="5">
        <f t="shared" si="3"/>
        <v>1.5132661402356102</v>
      </c>
      <c r="B229">
        <f ca="1">B228+$C$1*($D$1-MAX(B228,0)) + $H$1*SQRT(MAX(B228,0))*randcorrWithFeedback!E229</f>
        <v>13.321457431664891</v>
      </c>
    </row>
    <row r="230" spans="1:2" x14ac:dyDescent="0.45">
      <c r="A230" s="5">
        <f t="shared" si="3"/>
        <v>1.5132688174308981</v>
      </c>
      <c r="B230">
        <f ca="1">B229+$C$1*($D$1-MAX(B229,0)) + $H$1*SQRT(MAX(B229,0))*randcorrWithFeedback!E230</f>
        <v>12.78072376231658</v>
      </c>
    </row>
    <row r="231" spans="1:2" x14ac:dyDescent="0.45">
      <c r="A231" s="5">
        <f t="shared" si="3"/>
        <v>1.5132714410822801</v>
      </c>
      <c r="B231">
        <f ca="1">B230+$C$1*($D$1-MAX(B230,0)) + $H$1*SQRT(MAX(B230,0))*randcorrWithFeedback!E231</f>
        <v>11.393699393477096</v>
      </c>
    </row>
    <row r="232" spans="1:2" x14ac:dyDescent="0.45">
      <c r="A232" s="5">
        <f t="shared" si="3"/>
        <v>1.5132740122606345</v>
      </c>
      <c r="B232">
        <f ca="1">B231+$C$1*($D$1-MAX(B231,0)) + $H$1*SQRT(MAX(B231,0))*randcorrWithFeedback!E232</f>
        <v>11.621887260688931</v>
      </c>
    </row>
    <row r="233" spans="1:2" x14ac:dyDescent="0.45">
      <c r="A233" s="5">
        <f t="shared" si="3"/>
        <v>1.5132765320154218</v>
      </c>
      <c r="B233">
        <f ca="1">B232+$C$1*($D$1-MAX(B232,0)) + $H$1*SQRT(MAX(B232,0))*randcorrWithFeedback!E233</f>
        <v>10.822457756615105</v>
      </c>
    </row>
    <row r="234" spans="1:2" x14ac:dyDescent="0.45">
      <c r="A234" s="5">
        <f t="shared" si="3"/>
        <v>1.5132790013751134</v>
      </c>
      <c r="B234">
        <f ca="1">B233+$C$1*($D$1-MAX(B233,0)) + $H$1*SQRT(MAX(B233,0))*randcorrWithFeedback!E234</f>
        <v>10.866091661672616</v>
      </c>
    </row>
    <row r="235" spans="1:2" x14ac:dyDescent="0.45">
      <c r="A235" s="5">
        <f t="shared" si="3"/>
        <v>1.5132814213476111</v>
      </c>
      <c r="B235">
        <f ca="1">B234+$C$1*($D$1-MAX(B234,0)) + $H$1*SQRT(MAX(B234,0))*randcorrWithFeedback!E235</f>
        <v>10.964228500002482</v>
      </c>
    </row>
    <row r="236" spans="1:2" x14ac:dyDescent="0.45">
      <c r="A236" s="5">
        <f t="shared" si="3"/>
        <v>1.5132837929206588</v>
      </c>
      <c r="B236">
        <f ca="1">B235+$C$1*($D$1-MAX(B235,0)) + $H$1*SQRT(MAX(B235,0))*randcorrWithFeedback!E236</f>
        <v>10.859671550531043</v>
      </c>
    </row>
    <row r="237" spans="1:2" x14ac:dyDescent="0.45">
      <c r="A237" s="5">
        <f t="shared" si="3"/>
        <v>1.5132861170622456</v>
      </c>
      <c r="B237">
        <f ca="1">B236+$C$1*($D$1-MAX(B236,0)) + $H$1*SQRT(MAX(B236,0))*randcorrWithFeedback!E237</f>
        <v>10.886255477423102</v>
      </c>
    </row>
    <row r="238" spans="1:2" x14ac:dyDescent="0.45">
      <c r="A238" s="5">
        <f t="shared" si="3"/>
        <v>1.5132883947210007</v>
      </c>
      <c r="B238">
        <f ca="1">B237+$C$1*($D$1-MAX(B237,0)) + $H$1*SQRT(MAX(B237,0))*randcorrWithFeedback!E238</f>
        <v>10.082825242721988</v>
      </c>
    </row>
    <row r="239" spans="1:2" x14ac:dyDescent="0.45">
      <c r="A239" s="5">
        <f t="shared" si="3"/>
        <v>1.5132906268265807</v>
      </c>
      <c r="B239">
        <f ca="1">B238+$C$1*($D$1-MAX(B238,0)) + $H$1*SQRT(MAX(B238,0))*randcorrWithFeedback!E239</f>
        <v>10.61628265836031</v>
      </c>
    </row>
    <row r="240" spans="1:2" x14ac:dyDescent="0.45">
      <c r="A240" s="5">
        <f t="shared" si="3"/>
        <v>1.513292814290049</v>
      </c>
      <c r="B240">
        <f ca="1">B239+$C$1*($D$1-MAX(B239,0)) + $H$1*SQRT(MAX(B239,0))*randcorrWithFeedback!E240</f>
        <v>10.609322989454652</v>
      </c>
    </row>
    <row r="241" spans="1:2" x14ac:dyDescent="0.45">
      <c r="A241" s="5">
        <f t="shared" si="3"/>
        <v>1.5132949580042481</v>
      </c>
      <c r="B241">
        <f ca="1">B240+$C$1*($D$1-MAX(B240,0)) + $H$1*SQRT(MAX(B240,0))*randcorrWithFeedback!E241</f>
        <v>9.4710020880480492</v>
      </c>
    </row>
    <row r="242" spans="1:2" x14ac:dyDescent="0.45">
      <c r="A242" s="5">
        <f t="shared" si="3"/>
        <v>1.5132970588441632</v>
      </c>
      <c r="B242">
        <f ca="1">B241+$C$1*($D$1-MAX(B241,0)) + $H$1*SQRT(MAX(B241,0))*randcorrWithFeedback!E242</f>
        <v>9.0655057371515433</v>
      </c>
    </row>
    <row r="243" spans="1:2" x14ac:dyDescent="0.45">
      <c r="A243" s="5">
        <f t="shared" si="3"/>
        <v>1.5132991176672799</v>
      </c>
      <c r="B243">
        <f ca="1">B242+$C$1*($D$1-MAX(B242,0)) + $H$1*SQRT(MAX(B242,0))*randcorrWithFeedback!E243</f>
        <v>9.6425141223204456</v>
      </c>
    </row>
    <row r="244" spans="1:2" x14ac:dyDescent="0.45">
      <c r="A244" s="5">
        <f t="shared" si="3"/>
        <v>1.5133011353139343</v>
      </c>
      <c r="B244">
        <f ca="1">B243+$C$1*($D$1-MAX(B243,0)) + $H$1*SQRT(MAX(B243,0))*randcorrWithFeedback!E244</f>
        <v>9.3150407729866487</v>
      </c>
    </row>
    <row r="245" spans="1:2" x14ac:dyDescent="0.45">
      <c r="A245" s="5">
        <f t="shared" si="3"/>
        <v>1.5133031126076557</v>
      </c>
      <c r="B245">
        <f ca="1">B244+$C$1*($D$1-MAX(B244,0)) + $H$1*SQRT(MAX(B244,0))*randcorrWithFeedback!E245</f>
        <v>8.4592665754039569</v>
      </c>
    </row>
    <row r="246" spans="1:2" x14ac:dyDescent="0.45">
      <c r="A246" s="5">
        <f t="shared" si="3"/>
        <v>1.5133050503555026</v>
      </c>
      <c r="B246">
        <f ca="1">B245+$C$1*($D$1-MAX(B245,0)) + $H$1*SQRT(MAX(B245,0))*randcorrWithFeedback!E246</f>
        <v>8.9009739937969261</v>
      </c>
    </row>
    <row r="247" spans="1:2" x14ac:dyDescent="0.45">
      <c r="A247" s="5">
        <f t="shared" si="3"/>
        <v>1.5133069493483926</v>
      </c>
      <c r="B247">
        <f ca="1">B246+$C$1*($D$1-MAX(B246,0)) + $H$1*SQRT(MAX(B246,0))*randcorrWithFeedback!E247</f>
        <v>7.8957861720470657</v>
      </c>
    </row>
    <row r="248" spans="1:2" x14ac:dyDescent="0.45">
      <c r="A248" s="5">
        <f t="shared" si="3"/>
        <v>1.5133088103614247</v>
      </c>
      <c r="B248">
        <f ca="1">B247+$C$1*($D$1-MAX(B247,0)) + $H$1*SQRT(MAX(B247,0))*randcorrWithFeedback!E248</f>
        <v>7.1958201893774021</v>
      </c>
    </row>
    <row r="249" spans="1:2" x14ac:dyDescent="0.45">
      <c r="A249" s="5">
        <f t="shared" si="3"/>
        <v>1.5133106341541962</v>
      </c>
      <c r="B249">
        <f ca="1">B248+$C$1*($D$1-MAX(B248,0)) + $H$1*SQRT(MAX(B248,0))*randcorrWithFeedback!E249</f>
        <v>5.60621464768764</v>
      </c>
    </row>
    <row r="250" spans="1:2" x14ac:dyDescent="0.45">
      <c r="A250" s="5">
        <f t="shared" si="3"/>
        <v>1.5133124214711122</v>
      </c>
      <c r="B250">
        <f ca="1">B249+$C$1*($D$1-MAX(B249,0)) + $H$1*SQRT(MAX(B249,0))*randcorrWithFeedback!E250</f>
        <v>5.0452347021931603</v>
      </c>
    </row>
    <row r="251" spans="1:2" x14ac:dyDescent="0.45">
      <c r="A251" s="5">
        <f t="shared" si="3"/>
        <v>1.5133141730416899</v>
      </c>
      <c r="B251">
        <f ca="1">B250+$C$1*($D$1-MAX(B250,0)) + $H$1*SQRT(MAX(B250,0))*randcorrWithFeedback!E251</f>
        <v>4.682614920677846</v>
      </c>
    </row>
    <row r="252" spans="1:2" x14ac:dyDescent="0.45">
      <c r="A252" s="5">
        <f t="shared" si="3"/>
        <v>1.5133158895808561</v>
      </c>
      <c r="B252">
        <f ca="1">B251+$C$1*($D$1-MAX(B251,0)) + $H$1*SQRT(MAX(B251,0))*randcorrWithFeedback!E252</f>
        <v>5.4090709410771245</v>
      </c>
    </row>
    <row r="253" spans="1:2" x14ac:dyDescent="0.45">
      <c r="A253" s="5">
        <f t="shared" si="3"/>
        <v>1.5133175717892389</v>
      </c>
      <c r="B253">
        <f ca="1">B252+$C$1*($D$1-MAX(B252,0)) + $H$1*SQRT(MAX(B252,0))*randcorrWithFeedback!E253</f>
        <v>5.091889984364407</v>
      </c>
    </row>
    <row r="254" spans="1:2" x14ac:dyDescent="0.45">
      <c r="A254" s="5">
        <f t="shared" si="3"/>
        <v>1.513319220353454</v>
      </c>
      <c r="B254">
        <f ca="1">B253+$C$1*($D$1-MAX(B253,0)) + $H$1*SQRT(MAX(B253,0))*randcorrWithFeedback!E254</f>
        <v>5.0736500548363805</v>
      </c>
    </row>
    <row r="255" spans="1:2" x14ac:dyDescent="0.45">
      <c r="A255" s="5">
        <f t="shared" si="3"/>
        <v>1.513320835946385</v>
      </c>
      <c r="B255">
        <f ca="1">B254+$C$1*($D$1-MAX(B254,0)) + $H$1*SQRT(MAX(B254,0))*randcorrWithFeedback!E255</f>
        <v>5.4836206241260879</v>
      </c>
    </row>
    <row r="256" spans="1:2" x14ac:dyDescent="0.45">
      <c r="A256" s="5">
        <f t="shared" si="3"/>
        <v>1.5133224192274572</v>
      </c>
      <c r="B256">
        <f ca="1">B255+$C$1*($D$1-MAX(B255,0)) + $H$1*SQRT(MAX(B255,0))*randcorrWithFeedback!E256</f>
        <v>5.0079053112228671</v>
      </c>
    </row>
    <row r="257" spans="1:2" x14ac:dyDescent="0.45">
      <c r="A257" s="5">
        <f t="shared" si="3"/>
        <v>1.513323970842908</v>
      </c>
      <c r="B257">
        <f ca="1">B256+$C$1*($D$1-MAX(B256,0)) + $H$1*SQRT(MAX(B256,0))*randcorrWithFeedback!E257</f>
        <v>4.4621634860711872</v>
      </c>
    </row>
    <row r="258" spans="1:2" x14ac:dyDescent="0.45">
      <c r="A258" s="5">
        <f t="shared" si="3"/>
        <v>1.5133254914260499</v>
      </c>
      <c r="B258">
        <f ca="1">B257+$C$1*($D$1-MAX(B257,0)) + $H$1*SQRT(MAX(B257,0))*randcorrWithFeedback!E258</f>
        <v>3.2015659714844973</v>
      </c>
    </row>
    <row r="259" spans="1:2" x14ac:dyDescent="0.45">
      <c r="A259" s="5">
        <f t="shared" ref="A259:A322" si="4">A258+$C$1*($D$1-A258)</f>
        <v>1.513326981597529</v>
      </c>
      <c r="B259">
        <f ca="1">B258+$C$1*($D$1-MAX(B258,0)) + $H$1*SQRT(MAX(B258,0))*randcorrWithFeedback!E259</f>
        <v>3.8139201319880773</v>
      </c>
    </row>
    <row r="260" spans="1:2" x14ac:dyDescent="0.45">
      <c r="A260" s="5">
        <f t="shared" si="4"/>
        <v>1.5133284419655784</v>
      </c>
      <c r="B260">
        <f ca="1">B259+$C$1*($D$1-MAX(B259,0)) + $H$1*SQRT(MAX(B259,0))*randcorrWithFeedback!E260</f>
        <v>3.7302457225306616</v>
      </c>
    </row>
    <row r="261" spans="1:2" x14ac:dyDescent="0.45">
      <c r="A261" s="5">
        <f t="shared" si="4"/>
        <v>1.5133298731262668</v>
      </c>
      <c r="B261">
        <f ca="1">B260+$C$1*($D$1-MAX(B260,0)) + $H$1*SQRT(MAX(B260,0))*randcorrWithFeedback!E261</f>
        <v>3.3577956979550962</v>
      </c>
    </row>
    <row r="262" spans="1:2" x14ac:dyDescent="0.45">
      <c r="A262" s="5">
        <f t="shared" si="4"/>
        <v>1.5133312756637414</v>
      </c>
      <c r="B262">
        <f ca="1">B261+$C$1*($D$1-MAX(B261,0)) + $H$1*SQRT(MAX(B261,0))*randcorrWithFeedback!E262</f>
        <v>3.9271534019012235</v>
      </c>
    </row>
    <row r="263" spans="1:2" x14ac:dyDescent="0.45">
      <c r="A263" s="5">
        <f t="shared" si="4"/>
        <v>1.5133326501504665</v>
      </c>
      <c r="B263">
        <f ca="1">B262+$C$1*($D$1-MAX(B262,0)) + $H$1*SQRT(MAX(B262,0))*randcorrWithFeedback!E263</f>
        <v>3.8798942781957186</v>
      </c>
    </row>
    <row r="264" spans="1:2" x14ac:dyDescent="0.45">
      <c r="A264" s="5">
        <f t="shared" si="4"/>
        <v>1.5133339971474571</v>
      </c>
      <c r="B264">
        <f ca="1">B263+$C$1*($D$1-MAX(B263,0)) + $H$1*SQRT(MAX(B263,0))*randcorrWithFeedback!E264</f>
        <v>3.1507745442228812</v>
      </c>
    </row>
    <row r="265" spans="1:2" x14ac:dyDescent="0.45">
      <c r="A265" s="5">
        <f t="shared" si="4"/>
        <v>1.5133353172045079</v>
      </c>
      <c r="B265">
        <f ca="1">B264+$C$1*($D$1-MAX(B264,0)) + $H$1*SQRT(MAX(B264,0))*randcorrWithFeedback!E265</f>
        <v>2.928396625217669</v>
      </c>
    </row>
    <row r="266" spans="1:2" x14ac:dyDescent="0.45">
      <c r="A266" s="5">
        <f t="shared" si="4"/>
        <v>1.5133366108604178</v>
      </c>
      <c r="B266">
        <f ca="1">B265+$C$1*($D$1-MAX(B265,0)) + $H$1*SQRT(MAX(B265,0))*randcorrWithFeedback!E266</f>
        <v>2.2294245394529995</v>
      </c>
    </row>
    <row r="267" spans="1:2" x14ac:dyDescent="0.45">
      <c r="A267" s="5">
        <f t="shared" si="4"/>
        <v>1.5133378786432095</v>
      </c>
      <c r="B267">
        <f ca="1">B266+$C$1*($D$1-MAX(B266,0)) + $H$1*SQRT(MAX(B266,0))*randcorrWithFeedback!E267</f>
        <v>2.2070926205454162</v>
      </c>
    </row>
    <row r="268" spans="1:2" x14ac:dyDescent="0.45">
      <c r="A268" s="5">
        <f t="shared" si="4"/>
        <v>1.5133391210703453</v>
      </c>
      <c r="B268">
        <f ca="1">B267+$C$1*($D$1-MAX(B267,0)) + $H$1*SQRT(MAX(B267,0))*randcorrWithFeedback!E268</f>
        <v>2.3693528954841945</v>
      </c>
    </row>
    <row r="269" spans="1:2" x14ac:dyDescent="0.45">
      <c r="A269" s="5">
        <f t="shared" si="4"/>
        <v>1.5133403386489384</v>
      </c>
      <c r="B269">
        <f ca="1">B268+$C$1*($D$1-MAX(B268,0)) + $H$1*SQRT(MAX(B268,0))*randcorrWithFeedback!E269</f>
        <v>2.4834854960741932</v>
      </c>
    </row>
    <row r="270" spans="1:2" x14ac:dyDescent="0.45">
      <c r="A270" s="5">
        <f t="shared" si="4"/>
        <v>1.5133415318759595</v>
      </c>
      <c r="B270">
        <f ca="1">B269+$C$1*($D$1-MAX(B269,0)) + $H$1*SQRT(MAX(B269,0))*randcorrWithFeedback!E270</f>
        <v>2.7722706927726772</v>
      </c>
    </row>
    <row r="271" spans="1:2" x14ac:dyDescent="0.45">
      <c r="A271" s="5">
        <f t="shared" si="4"/>
        <v>1.5133427012384404</v>
      </c>
      <c r="B271">
        <f ca="1">B270+$C$1*($D$1-MAX(B270,0)) + $H$1*SQRT(MAX(B270,0))*randcorrWithFeedback!E271</f>
        <v>2.8334467007547892</v>
      </c>
    </row>
    <row r="272" spans="1:2" x14ac:dyDescent="0.45">
      <c r="A272" s="5">
        <f t="shared" si="4"/>
        <v>1.5133438472136715</v>
      </c>
      <c r="B272">
        <f ca="1">B271+$C$1*($D$1-MAX(B271,0)) + $H$1*SQRT(MAX(B271,0))*randcorrWithFeedback!E272</f>
        <v>2.9962569339295078</v>
      </c>
    </row>
    <row r="273" spans="1:2" x14ac:dyDescent="0.45">
      <c r="A273" s="5">
        <f t="shared" si="4"/>
        <v>1.5133449702693982</v>
      </c>
      <c r="B273">
        <f ca="1">B272+$C$1*($D$1-MAX(B272,0)) + $H$1*SQRT(MAX(B272,0))*randcorrWithFeedback!E273</f>
        <v>4.0232335346240724</v>
      </c>
    </row>
    <row r="274" spans="1:2" x14ac:dyDescent="0.45">
      <c r="A274" s="5">
        <f t="shared" si="4"/>
        <v>1.5133460708640103</v>
      </c>
      <c r="B274">
        <f ca="1">B273+$C$1*($D$1-MAX(B273,0)) + $H$1*SQRT(MAX(B273,0))*randcorrWithFeedback!E274</f>
        <v>4.9438419679371988</v>
      </c>
    </row>
    <row r="275" spans="1:2" x14ac:dyDescent="0.45">
      <c r="A275" s="5">
        <f t="shared" si="4"/>
        <v>1.5133471494467301</v>
      </c>
      <c r="B275">
        <f ca="1">B274+$C$1*($D$1-MAX(B274,0)) + $H$1*SQRT(MAX(B274,0))*randcorrWithFeedback!E275</f>
        <v>5.6385724767733825</v>
      </c>
    </row>
    <row r="276" spans="1:2" x14ac:dyDescent="0.45">
      <c r="A276" s="5">
        <f t="shared" si="4"/>
        <v>1.5133482064577954</v>
      </c>
      <c r="B276">
        <f ca="1">B275+$C$1*($D$1-MAX(B275,0)) + $H$1*SQRT(MAX(B275,0))*randcorrWithFeedback!E276</f>
        <v>4.9947068278975451</v>
      </c>
    </row>
    <row r="277" spans="1:2" x14ac:dyDescent="0.45">
      <c r="A277" s="5">
        <f t="shared" si="4"/>
        <v>1.5133492423286394</v>
      </c>
      <c r="B277">
        <f ca="1">B276+$C$1*($D$1-MAX(B276,0)) + $H$1*SQRT(MAX(B276,0))*randcorrWithFeedback!E277</f>
        <v>5.1386146477536192</v>
      </c>
    </row>
    <row r="278" spans="1:2" x14ac:dyDescent="0.45">
      <c r="A278" s="5">
        <f t="shared" si="4"/>
        <v>1.5133502574820668</v>
      </c>
      <c r="B278">
        <f ca="1">B277+$C$1*($D$1-MAX(B277,0)) + $H$1*SQRT(MAX(B277,0))*randcorrWithFeedback!E278</f>
        <v>4.6395789310184927</v>
      </c>
    </row>
    <row r="279" spans="1:2" x14ac:dyDescent="0.45">
      <c r="A279" s="5">
        <f t="shared" si="4"/>
        <v>1.5133512523324255</v>
      </c>
      <c r="B279">
        <f ca="1">B278+$C$1*($D$1-MAX(B278,0)) + $H$1*SQRT(MAX(B278,0))*randcorrWithFeedback!E279</f>
        <v>4.4817792650435457</v>
      </c>
    </row>
    <row r="280" spans="1:2" x14ac:dyDescent="0.45">
      <c r="A280" s="5">
        <f t="shared" si="4"/>
        <v>1.5133522272857769</v>
      </c>
      <c r="B280">
        <f ca="1">B279+$C$1*($D$1-MAX(B279,0)) + $H$1*SQRT(MAX(B279,0))*randcorrWithFeedback!E280</f>
        <v>4.0834068130876569</v>
      </c>
    </row>
    <row r="281" spans="1:2" x14ac:dyDescent="0.45">
      <c r="A281" s="5">
        <f t="shared" si="4"/>
        <v>1.5133531827400613</v>
      </c>
      <c r="B281">
        <f ca="1">B280+$C$1*($D$1-MAX(B280,0)) + $H$1*SQRT(MAX(B280,0))*randcorrWithFeedback!E281</f>
        <v>4.5944652330483473</v>
      </c>
    </row>
    <row r="282" spans="1:2" x14ac:dyDescent="0.45">
      <c r="A282" s="5">
        <f t="shared" si="4"/>
        <v>1.51335411908526</v>
      </c>
      <c r="B282">
        <f ca="1">B281+$C$1*($D$1-MAX(B281,0)) + $H$1*SQRT(MAX(B281,0))*randcorrWithFeedback!E282</f>
        <v>5.000986937085278</v>
      </c>
    </row>
    <row r="283" spans="1:2" x14ac:dyDescent="0.45">
      <c r="A283" s="5">
        <f t="shared" si="4"/>
        <v>1.5133550367035549</v>
      </c>
      <c r="B283">
        <f ca="1">B282+$C$1*($D$1-MAX(B282,0)) + $H$1*SQRT(MAX(B282,0))*randcorrWithFeedback!E283</f>
        <v>4.6555610663254052</v>
      </c>
    </row>
    <row r="284" spans="1:2" x14ac:dyDescent="0.45">
      <c r="A284" s="5">
        <f t="shared" si="4"/>
        <v>1.5133559359694837</v>
      </c>
      <c r="B284">
        <f ca="1">B283+$C$1*($D$1-MAX(B283,0)) + $H$1*SQRT(MAX(B283,0))*randcorrWithFeedback!E284</f>
        <v>4.6765511954404788</v>
      </c>
    </row>
    <row r="285" spans="1:2" x14ac:dyDescent="0.45">
      <c r="A285" s="5">
        <f t="shared" si="4"/>
        <v>1.513356817250094</v>
      </c>
      <c r="B285">
        <f ca="1">B284+$C$1*($D$1-MAX(B284,0)) + $H$1*SQRT(MAX(B284,0))*randcorrWithFeedback!E285</f>
        <v>4.8035095896446895</v>
      </c>
    </row>
    <row r="286" spans="1:2" x14ac:dyDescent="0.45">
      <c r="A286" s="5">
        <f t="shared" si="4"/>
        <v>1.5133576809050922</v>
      </c>
      <c r="B286">
        <f ca="1">B285+$C$1*($D$1-MAX(B285,0)) + $H$1*SQRT(MAX(B285,0))*randcorrWithFeedback!E286</f>
        <v>5.5761790763286614</v>
      </c>
    </row>
    <row r="287" spans="1:2" x14ac:dyDescent="0.45">
      <c r="A287" s="5">
        <f t="shared" si="4"/>
        <v>1.5133585272869903</v>
      </c>
      <c r="B287">
        <f ca="1">B286+$C$1*($D$1-MAX(B286,0)) + $H$1*SQRT(MAX(B286,0))*randcorrWithFeedback!E287</f>
        <v>5.6670412372460728</v>
      </c>
    </row>
    <row r="288" spans="1:2" x14ac:dyDescent="0.45">
      <c r="A288" s="5">
        <f t="shared" si="4"/>
        <v>1.5133593567412504</v>
      </c>
      <c r="B288">
        <f ca="1">B287+$C$1*($D$1-MAX(B287,0)) + $H$1*SQRT(MAX(B287,0))*randcorrWithFeedback!E288</f>
        <v>5.3554802437787323</v>
      </c>
    </row>
    <row r="289" spans="1:2" x14ac:dyDescent="0.45">
      <c r="A289" s="5">
        <f t="shared" si="4"/>
        <v>1.5133601696064254</v>
      </c>
      <c r="B289">
        <f ca="1">B288+$C$1*($D$1-MAX(B288,0)) + $H$1*SQRT(MAX(B288,0))*randcorrWithFeedback!E289</f>
        <v>3.7077777278075921</v>
      </c>
    </row>
    <row r="290" spans="1:2" x14ac:dyDescent="0.45">
      <c r="A290" s="5">
        <f t="shared" si="4"/>
        <v>1.5133609662142968</v>
      </c>
      <c r="B290">
        <f ca="1">B289+$C$1*($D$1-MAX(B289,0)) + $H$1*SQRT(MAX(B289,0))*randcorrWithFeedback!E290</f>
        <v>3.2774663672154354</v>
      </c>
    </row>
    <row r="291" spans="1:2" x14ac:dyDescent="0.45">
      <c r="A291" s="5">
        <f t="shared" si="4"/>
        <v>1.5133617468900109</v>
      </c>
      <c r="B291">
        <f ca="1">B290+$C$1*($D$1-MAX(B290,0)) + $H$1*SQRT(MAX(B290,0))*randcorrWithFeedback!E291</f>
        <v>3.3989049555951265</v>
      </c>
    </row>
    <row r="292" spans="1:2" x14ac:dyDescent="0.45">
      <c r="A292" s="5">
        <f t="shared" si="4"/>
        <v>1.5133625119522107</v>
      </c>
      <c r="B292">
        <f ca="1">B291+$C$1*($D$1-MAX(B291,0)) + $H$1*SQRT(MAX(B291,0))*randcorrWithFeedback!E292</f>
        <v>3.6795855308456296</v>
      </c>
    </row>
    <row r="293" spans="1:2" x14ac:dyDescent="0.45">
      <c r="A293" s="5">
        <f t="shared" si="4"/>
        <v>1.5133632617131665</v>
      </c>
      <c r="B293">
        <f ca="1">B292+$C$1*($D$1-MAX(B292,0)) + $H$1*SQRT(MAX(B292,0))*randcorrWithFeedback!E293</f>
        <v>3.4432047356704953</v>
      </c>
    </row>
    <row r="294" spans="1:2" x14ac:dyDescent="0.45">
      <c r="A294" s="5">
        <f t="shared" si="4"/>
        <v>1.5133639964789032</v>
      </c>
      <c r="B294">
        <f ca="1">B293+$C$1*($D$1-MAX(B293,0)) + $H$1*SQRT(MAX(B293,0))*randcorrWithFeedback!E294</f>
        <v>4.0228091578862495</v>
      </c>
    </row>
    <row r="295" spans="1:2" x14ac:dyDescent="0.45">
      <c r="A295" s="5">
        <f t="shared" si="4"/>
        <v>1.5133647165493251</v>
      </c>
      <c r="B295">
        <f ca="1">B294+$C$1*($D$1-MAX(B294,0)) + $H$1*SQRT(MAX(B294,0))*randcorrWithFeedback!E295</f>
        <v>4.8917821424821595</v>
      </c>
    </row>
    <row r="296" spans="1:2" x14ac:dyDescent="0.45">
      <c r="A296" s="5">
        <f t="shared" si="4"/>
        <v>1.5133654222183386</v>
      </c>
      <c r="B296">
        <f ca="1">B295+$C$1*($D$1-MAX(B295,0)) + $H$1*SQRT(MAX(B295,0))*randcorrWithFeedback!E296</f>
        <v>5.6243766270116851</v>
      </c>
    </row>
    <row r="297" spans="1:2" x14ac:dyDescent="0.45">
      <c r="A297" s="5">
        <f t="shared" si="4"/>
        <v>1.5133661137739718</v>
      </c>
      <c r="B297">
        <f ca="1">B296+$C$1*($D$1-MAX(B296,0)) + $H$1*SQRT(MAX(B296,0))*randcorrWithFeedback!E297</f>
        <v>4.8882720195390492</v>
      </c>
    </row>
    <row r="298" spans="1:2" x14ac:dyDescent="0.45">
      <c r="A298" s="5">
        <f t="shared" si="4"/>
        <v>1.5133667914984923</v>
      </c>
      <c r="B298">
        <f ca="1">B297+$C$1*($D$1-MAX(B297,0)) + $H$1*SQRT(MAX(B297,0))*randcorrWithFeedback!E298</f>
        <v>4.8831239820420134</v>
      </c>
    </row>
    <row r="299" spans="1:2" x14ac:dyDescent="0.45">
      <c r="A299" s="5">
        <f t="shared" si="4"/>
        <v>1.5133674556685224</v>
      </c>
      <c r="B299">
        <f ca="1">B298+$C$1*($D$1-MAX(B298,0)) + $H$1*SQRT(MAX(B298,0))*randcorrWithFeedback!E299</f>
        <v>4.653893945605077</v>
      </c>
    </row>
    <row r="300" spans="1:2" x14ac:dyDescent="0.45">
      <c r="A300" s="5">
        <f t="shared" si="4"/>
        <v>1.5133681065551519</v>
      </c>
      <c r="B300">
        <f ca="1">B299+$C$1*($D$1-MAX(B299,0)) + $H$1*SQRT(MAX(B299,0))*randcorrWithFeedback!E300</f>
        <v>5.4825591150267829</v>
      </c>
    </row>
    <row r="301" spans="1:2" x14ac:dyDescent="0.45">
      <c r="A301" s="5">
        <f t="shared" si="4"/>
        <v>1.5133687444240489</v>
      </c>
      <c r="B301">
        <f ca="1">B300+$C$1*($D$1-MAX(B300,0)) + $H$1*SQRT(MAX(B300,0))*randcorrWithFeedback!E301</f>
        <v>5.6111463489520164</v>
      </c>
    </row>
    <row r="302" spans="1:2" x14ac:dyDescent="0.45">
      <c r="A302" s="5">
        <f t="shared" si="4"/>
        <v>1.5133693695355679</v>
      </c>
      <c r="B302">
        <f ca="1">B301+$C$1*($D$1-MAX(B301,0)) + $H$1*SQRT(MAX(B301,0))*randcorrWithFeedback!E302</f>
        <v>4.8876287357821369</v>
      </c>
    </row>
    <row r="303" spans="1:2" x14ac:dyDescent="0.45">
      <c r="A303" s="5">
        <f t="shared" si="4"/>
        <v>1.5133699821448565</v>
      </c>
      <c r="B303">
        <f ca="1">B302+$C$1*($D$1-MAX(B302,0)) + $H$1*SQRT(MAX(B302,0))*randcorrWithFeedback!E303</f>
        <v>4.4843092015146091</v>
      </c>
    </row>
    <row r="304" spans="1:2" x14ac:dyDescent="0.45">
      <c r="A304" s="5">
        <f t="shared" si="4"/>
        <v>1.5133705825019594</v>
      </c>
      <c r="B304">
        <f ca="1">B303+$C$1*($D$1-MAX(B303,0)) + $H$1*SQRT(MAX(B303,0))*randcorrWithFeedback!E304</f>
        <v>3.6399410049335934</v>
      </c>
    </row>
    <row r="305" spans="1:2" x14ac:dyDescent="0.45">
      <c r="A305" s="5">
        <f t="shared" si="4"/>
        <v>1.5133711708519202</v>
      </c>
      <c r="B305">
        <f ca="1">B304+$C$1*($D$1-MAX(B304,0)) + $H$1*SQRT(MAX(B304,0))*randcorrWithFeedback!E305</f>
        <v>3.3504105910565669</v>
      </c>
    </row>
    <row r="306" spans="1:2" x14ac:dyDescent="0.45">
      <c r="A306" s="5">
        <f t="shared" si="4"/>
        <v>1.5133717474348818</v>
      </c>
      <c r="B306">
        <f ca="1">B305+$C$1*($D$1-MAX(B305,0)) + $H$1*SQRT(MAX(B305,0))*randcorrWithFeedback!E306</f>
        <v>3.5065633813378758</v>
      </c>
    </row>
    <row r="307" spans="1:2" x14ac:dyDescent="0.45">
      <c r="A307" s="5">
        <f t="shared" si="4"/>
        <v>1.5133723124861842</v>
      </c>
      <c r="B307">
        <f ca="1">B306+$C$1*($D$1-MAX(B306,0)) + $H$1*SQRT(MAX(B306,0))*randcorrWithFeedback!E307</f>
        <v>4.05206151911581</v>
      </c>
    </row>
    <row r="308" spans="1:2" x14ac:dyDescent="0.45">
      <c r="A308" s="5">
        <f t="shared" si="4"/>
        <v>1.5133728662364605</v>
      </c>
      <c r="B308">
        <f ca="1">B307+$C$1*($D$1-MAX(B307,0)) + $H$1*SQRT(MAX(B307,0))*randcorrWithFeedback!E308</f>
        <v>3.7828835051368044</v>
      </c>
    </row>
    <row r="309" spans="1:2" x14ac:dyDescent="0.45">
      <c r="A309" s="5">
        <f t="shared" si="4"/>
        <v>1.5133734089117312</v>
      </c>
      <c r="B309">
        <f ca="1">B308+$C$1*($D$1-MAX(B308,0)) + $H$1*SQRT(MAX(B308,0))*randcorrWithFeedback!E309</f>
        <v>4.0732490557290539</v>
      </c>
    </row>
    <row r="310" spans="1:2" x14ac:dyDescent="0.45">
      <c r="A310" s="5">
        <f t="shared" si="4"/>
        <v>1.5133739407334965</v>
      </c>
      <c r="B310">
        <f ca="1">B309+$C$1*($D$1-MAX(B309,0)) + $H$1*SQRT(MAX(B309,0))*randcorrWithFeedback!E310</f>
        <v>2.7790571574592695</v>
      </c>
    </row>
    <row r="311" spans="1:2" x14ac:dyDescent="0.45">
      <c r="A311" s="5">
        <f t="shared" si="4"/>
        <v>1.5133744619188265</v>
      </c>
      <c r="B311">
        <f ca="1">B310+$C$1*($D$1-MAX(B310,0)) + $H$1*SQRT(MAX(B310,0))*randcorrWithFeedback!E311</f>
        <v>1.8652769126866464</v>
      </c>
    </row>
    <row r="312" spans="1:2" x14ac:dyDescent="0.45">
      <c r="A312" s="5">
        <f t="shared" si="4"/>
        <v>1.51337497268045</v>
      </c>
      <c r="B312">
        <f ca="1">B311+$C$1*($D$1-MAX(B311,0)) + $H$1*SQRT(MAX(B311,0))*randcorrWithFeedback!E312</f>
        <v>2.0299578434650138</v>
      </c>
    </row>
    <row r="313" spans="1:2" x14ac:dyDescent="0.45">
      <c r="A313" s="5">
        <f t="shared" si="4"/>
        <v>1.513375473226841</v>
      </c>
      <c r="B313">
        <f ca="1">B312+$C$1*($D$1-MAX(B312,0)) + $H$1*SQRT(MAX(B312,0))*randcorrWithFeedback!E313</f>
        <v>1.6901240870906362</v>
      </c>
    </row>
    <row r="314" spans="1:2" x14ac:dyDescent="0.45">
      <c r="A314" s="5">
        <f t="shared" si="4"/>
        <v>1.5133759637623041</v>
      </c>
      <c r="B314">
        <f ca="1">B313+$C$1*($D$1-MAX(B313,0)) + $H$1*SQRT(MAX(B313,0))*randcorrWithFeedback!E314</f>
        <v>2.3199510794211164</v>
      </c>
    </row>
    <row r="315" spans="1:2" x14ac:dyDescent="0.45">
      <c r="A315" s="5">
        <f t="shared" si="4"/>
        <v>1.5133764444870581</v>
      </c>
      <c r="B315">
        <f ca="1">B314+$C$1*($D$1-MAX(B314,0)) + $H$1*SQRT(MAX(B314,0))*randcorrWithFeedback!E315</f>
        <v>2.349321522222878</v>
      </c>
    </row>
    <row r="316" spans="1:2" x14ac:dyDescent="0.45">
      <c r="A316" s="5">
        <f t="shared" si="4"/>
        <v>1.5133769155973169</v>
      </c>
      <c r="B316">
        <f ca="1">B315+$C$1*($D$1-MAX(B315,0)) + $H$1*SQRT(MAX(B315,0))*randcorrWithFeedback!E316</f>
        <v>2.6336653162961916</v>
      </c>
    </row>
    <row r="317" spans="1:2" x14ac:dyDescent="0.45">
      <c r="A317" s="5">
        <f t="shared" si="4"/>
        <v>1.5133773772853705</v>
      </c>
      <c r="B317">
        <f ca="1">B316+$C$1*($D$1-MAX(B316,0)) + $H$1*SQRT(MAX(B316,0))*randcorrWithFeedback!E317</f>
        <v>2.9317411345443491</v>
      </c>
    </row>
    <row r="318" spans="1:2" x14ac:dyDescent="0.45">
      <c r="A318" s="5">
        <f t="shared" si="4"/>
        <v>1.5133778297396632</v>
      </c>
      <c r="B318">
        <f ca="1">B317+$C$1*($D$1-MAX(B317,0)) + $H$1*SQRT(MAX(B317,0))*randcorrWithFeedback!E318</f>
        <v>2.9450441657943158</v>
      </c>
    </row>
    <row r="319" spans="1:2" x14ac:dyDescent="0.45">
      <c r="A319" s="5">
        <f t="shared" si="4"/>
        <v>1.5133782731448699</v>
      </c>
      <c r="B319">
        <f ca="1">B318+$C$1*($D$1-MAX(B318,0)) + $H$1*SQRT(MAX(B318,0))*randcorrWithFeedback!E319</f>
        <v>2.0488846930925972</v>
      </c>
    </row>
    <row r="320" spans="1:2" x14ac:dyDescent="0.45">
      <c r="A320" s="5">
        <f t="shared" si="4"/>
        <v>1.5133787076819725</v>
      </c>
      <c r="B320">
        <f ca="1">B319+$C$1*($D$1-MAX(B319,0)) + $H$1*SQRT(MAX(B319,0))*randcorrWithFeedback!E320</f>
        <v>1.8675401327870242</v>
      </c>
    </row>
    <row r="321" spans="1:2" x14ac:dyDescent="0.45">
      <c r="A321" s="5">
        <f t="shared" si="4"/>
        <v>1.5133791335283331</v>
      </c>
      <c r="B321">
        <f ca="1">B320+$C$1*($D$1-MAX(B320,0)) + $H$1*SQRT(MAX(B320,0))*randcorrWithFeedback!E321</f>
        <v>2.2011647026714041</v>
      </c>
    </row>
    <row r="322" spans="1:2" x14ac:dyDescent="0.45">
      <c r="A322" s="5">
        <f t="shared" si="4"/>
        <v>1.5133795508577663</v>
      </c>
      <c r="B322">
        <f ca="1">B321+$C$1*($D$1-MAX(B321,0)) + $H$1*SQRT(MAX(B321,0))*randcorrWithFeedback!E322</f>
        <v>2.3213259244318936</v>
      </c>
    </row>
    <row r="323" spans="1:2" x14ac:dyDescent="0.45">
      <c r="A323" s="5">
        <f t="shared" ref="A323:A386" si="5">A322+$C$1*($D$1-A322)</f>
        <v>1.513379959840611</v>
      </c>
      <c r="B323">
        <f ca="1">B322+$C$1*($D$1-MAX(B322,0)) + $H$1*SQRT(MAX(B322,0))*randcorrWithFeedback!E323</f>
        <v>2.121398659136311</v>
      </c>
    </row>
    <row r="324" spans="1:2" x14ac:dyDescent="0.45">
      <c r="A324" s="5">
        <f t="shared" si="5"/>
        <v>1.5133803606437988</v>
      </c>
      <c r="B324">
        <f ca="1">B323+$C$1*($D$1-MAX(B323,0)) + $H$1*SQRT(MAX(B323,0))*randcorrWithFeedback!E324</f>
        <v>2.1964184215245237</v>
      </c>
    </row>
    <row r="325" spans="1:2" x14ac:dyDescent="0.45">
      <c r="A325" s="5">
        <f t="shared" si="5"/>
        <v>1.5133807534309227</v>
      </c>
      <c r="B325">
        <f ca="1">B324+$C$1*($D$1-MAX(B324,0)) + $H$1*SQRT(MAX(B324,0))*randcorrWithFeedback!E325</f>
        <v>2.7698307888594362</v>
      </c>
    </row>
    <row r="326" spans="1:2" x14ac:dyDescent="0.45">
      <c r="A326" s="5">
        <f t="shared" si="5"/>
        <v>1.5133811383623041</v>
      </c>
      <c r="B326">
        <f ca="1">B325+$C$1*($D$1-MAX(B325,0)) + $H$1*SQRT(MAX(B325,0))*randcorrWithFeedback!E326</f>
        <v>2.7880138742503315</v>
      </c>
    </row>
    <row r="327" spans="1:2" x14ac:dyDescent="0.45">
      <c r="A327" s="5">
        <f t="shared" si="5"/>
        <v>1.5133815155950581</v>
      </c>
      <c r="B327">
        <f ca="1">B326+$C$1*($D$1-MAX(B326,0)) + $H$1*SQRT(MAX(B326,0))*randcorrWithFeedback!E327</f>
        <v>2.589804264453984</v>
      </c>
    </row>
    <row r="328" spans="1:2" x14ac:dyDescent="0.45">
      <c r="A328" s="5">
        <f t="shared" si="5"/>
        <v>1.5133818852831569</v>
      </c>
      <c r="B328">
        <f ca="1">B327+$C$1*($D$1-MAX(B327,0)) + $H$1*SQRT(MAX(B327,0))*randcorrWithFeedback!E328</f>
        <v>1.7634392852268621</v>
      </c>
    </row>
    <row r="329" spans="1:2" x14ac:dyDescent="0.45">
      <c r="A329" s="5">
        <f t="shared" si="5"/>
        <v>1.5133822475774936</v>
      </c>
      <c r="B329">
        <f ca="1">B328+$C$1*($D$1-MAX(B328,0)) + $H$1*SQRT(MAX(B328,0))*randcorrWithFeedback!E329</f>
        <v>1.6246560854952123</v>
      </c>
    </row>
    <row r="330" spans="1:2" x14ac:dyDescent="0.45">
      <c r="A330" s="5">
        <f t="shared" si="5"/>
        <v>1.5133826026259438</v>
      </c>
      <c r="B330">
        <f ca="1">B329+$C$1*($D$1-MAX(B329,0)) + $H$1*SQRT(MAX(B329,0))*randcorrWithFeedback!E330</f>
        <v>1.780559302248512</v>
      </c>
    </row>
    <row r="331" spans="1:2" x14ac:dyDescent="0.45">
      <c r="A331" s="5">
        <f t="shared" si="5"/>
        <v>1.5133829505734249</v>
      </c>
      <c r="B331">
        <f ca="1">B330+$C$1*($D$1-MAX(B330,0)) + $H$1*SQRT(MAX(B330,0))*randcorrWithFeedback!E331</f>
        <v>1.5381768059198451</v>
      </c>
    </row>
    <row r="332" spans="1:2" x14ac:dyDescent="0.45">
      <c r="A332" s="5">
        <f t="shared" si="5"/>
        <v>1.5133832915619563</v>
      </c>
      <c r="B332">
        <f ca="1">B331+$C$1*($D$1-MAX(B331,0)) + $H$1*SQRT(MAX(B331,0))*randcorrWithFeedback!E332</f>
        <v>2.0108323850386247</v>
      </c>
    </row>
    <row r="333" spans="1:2" x14ac:dyDescent="0.45">
      <c r="A333" s="5">
        <f t="shared" si="5"/>
        <v>1.5133836257307172</v>
      </c>
      <c r="B333">
        <f ca="1">B332+$C$1*($D$1-MAX(B332,0)) + $H$1*SQRT(MAX(B332,0))*randcorrWithFeedback!E333</f>
        <v>2.2655754591141277</v>
      </c>
    </row>
    <row r="334" spans="1:2" x14ac:dyDescent="0.45">
      <c r="A334" s="5">
        <f t="shared" si="5"/>
        <v>1.5133839532161029</v>
      </c>
      <c r="B334">
        <f ca="1">B333+$C$1*($D$1-MAX(B333,0)) + $H$1*SQRT(MAX(B333,0))*randcorrWithFeedback!E334</f>
        <v>2.355456533765838</v>
      </c>
    </row>
    <row r="335" spans="1:2" x14ac:dyDescent="0.45">
      <c r="A335" s="5">
        <f t="shared" si="5"/>
        <v>1.5133842741517809</v>
      </c>
      <c r="B335">
        <f ca="1">B334+$C$1*($D$1-MAX(B334,0)) + $H$1*SQRT(MAX(B334,0))*randcorrWithFeedback!E335</f>
        <v>2.0049415437354692</v>
      </c>
    </row>
    <row r="336" spans="1:2" x14ac:dyDescent="0.45">
      <c r="A336" s="5">
        <f t="shared" si="5"/>
        <v>1.5133845886687454</v>
      </c>
      <c r="B336">
        <f ca="1">B335+$C$1*($D$1-MAX(B335,0)) + $H$1*SQRT(MAX(B335,0))*randcorrWithFeedback!E336</f>
        <v>1.6638215255574433</v>
      </c>
    </row>
    <row r="337" spans="1:2" x14ac:dyDescent="0.45">
      <c r="A337" s="5">
        <f t="shared" si="5"/>
        <v>1.5133848968953705</v>
      </c>
      <c r="B337">
        <f ca="1">B336+$C$1*($D$1-MAX(B336,0)) + $H$1*SQRT(MAX(B336,0))*randcorrWithFeedback!E337</f>
        <v>1.2650170429597822</v>
      </c>
    </row>
    <row r="338" spans="1:2" x14ac:dyDescent="0.45">
      <c r="A338" s="5">
        <f t="shared" si="5"/>
        <v>1.5133851989574632</v>
      </c>
      <c r="B338">
        <f ca="1">B337+$C$1*($D$1-MAX(B337,0)) + $H$1*SQRT(MAX(B337,0))*randcorrWithFeedback!E338</f>
        <v>1.3909150580612331</v>
      </c>
    </row>
    <row r="339" spans="1:2" x14ac:dyDescent="0.45">
      <c r="A339" s="5">
        <f t="shared" si="5"/>
        <v>1.5133854949783139</v>
      </c>
      <c r="B339">
        <f ca="1">B338+$C$1*($D$1-MAX(B338,0)) + $H$1*SQRT(MAX(B338,0))*randcorrWithFeedback!E339</f>
        <v>0.94782458664396718</v>
      </c>
    </row>
    <row r="340" spans="1:2" x14ac:dyDescent="0.45">
      <c r="A340" s="5">
        <f t="shared" si="5"/>
        <v>1.5133857850787475</v>
      </c>
      <c r="B340">
        <f ca="1">B339+$C$1*($D$1-MAX(B339,0)) + $H$1*SQRT(MAX(B339,0))*randcorrWithFeedback!E340</f>
        <v>0.8251662975539229</v>
      </c>
    </row>
    <row r="341" spans="1:2" x14ac:dyDescent="0.45">
      <c r="A341" s="5">
        <f t="shared" si="5"/>
        <v>1.5133860693771726</v>
      </c>
      <c r="B341">
        <f ca="1">B340+$C$1*($D$1-MAX(B340,0)) + $H$1*SQRT(MAX(B340,0))*randcorrWithFeedback!E341</f>
        <v>1.2579620908719753</v>
      </c>
    </row>
    <row r="342" spans="1:2" x14ac:dyDescent="0.45">
      <c r="A342" s="5">
        <f t="shared" si="5"/>
        <v>1.5133863479896292</v>
      </c>
      <c r="B342">
        <f ca="1">B341+$C$1*($D$1-MAX(B341,0)) + $H$1*SQRT(MAX(B341,0))*randcorrWithFeedback!E342</f>
        <v>1.2033268471001033</v>
      </c>
    </row>
    <row r="343" spans="1:2" x14ac:dyDescent="0.45">
      <c r="A343" s="5">
        <f t="shared" si="5"/>
        <v>1.5133866210298366</v>
      </c>
      <c r="B343">
        <f ca="1">B342+$C$1*($D$1-MAX(B342,0)) + $H$1*SQRT(MAX(B342,0))*randcorrWithFeedback!E343</f>
        <v>0.8673021177271496</v>
      </c>
    </row>
    <row r="344" spans="1:2" x14ac:dyDescent="0.45">
      <c r="A344" s="5">
        <f t="shared" si="5"/>
        <v>1.5133868886092399</v>
      </c>
      <c r="B344">
        <f ca="1">B343+$C$1*($D$1-MAX(B343,0)) + $H$1*SQRT(MAX(B343,0))*randcorrWithFeedback!E344</f>
        <v>0.52612622536337339</v>
      </c>
    </row>
    <row r="345" spans="1:2" x14ac:dyDescent="0.45">
      <c r="A345" s="5">
        <f t="shared" si="5"/>
        <v>1.5133871508370551</v>
      </c>
      <c r="B345">
        <f ca="1">B344+$C$1*($D$1-MAX(B344,0)) + $H$1*SQRT(MAX(B344,0))*randcorrWithFeedback!E345</f>
        <v>0.53051209277281475</v>
      </c>
    </row>
    <row r="346" spans="1:2" x14ac:dyDescent="0.45">
      <c r="A346" s="5">
        <f t="shared" si="5"/>
        <v>1.513387407820314</v>
      </c>
      <c r="B346">
        <f ca="1">B345+$C$1*($D$1-MAX(B345,0)) + $H$1*SQRT(MAX(B345,0))*randcorrWithFeedback!E346</f>
        <v>0.75737127983879615</v>
      </c>
    </row>
    <row r="347" spans="1:2" x14ac:dyDescent="0.45">
      <c r="A347" s="5">
        <f t="shared" si="5"/>
        <v>1.5133876596639078</v>
      </c>
      <c r="B347">
        <f ca="1">B346+$C$1*($D$1-MAX(B346,0)) + $H$1*SQRT(MAX(B346,0))*randcorrWithFeedback!E347</f>
        <v>0.94675240730022492</v>
      </c>
    </row>
    <row r="348" spans="1:2" x14ac:dyDescent="0.45">
      <c r="A348" s="5">
        <f t="shared" si="5"/>
        <v>1.5133879064706297</v>
      </c>
      <c r="B348">
        <f ca="1">B347+$C$1*($D$1-MAX(B347,0)) + $H$1*SQRT(MAX(B347,0))*randcorrWithFeedback!E348</f>
        <v>0.60554514558033057</v>
      </c>
    </row>
    <row r="349" spans="1:2" x14ac:dyDescent="0.45">
      <c r="A349" s="5">
        <f t="shared" si="5"/>
        <v>1.513388148341217</v>
      </c>
      <c r="B349">
        <f ca="1">B348+$C$1*($D$1-MAX(B348,0)) + $H$1*SQRT(MAX(B348,0))*randcorrWithFeedback!E349</f>
        <v>1.006072783236202</v>
      </c>
    </row>
    <row r="350" spans="1:2" x14ac:dyDescent="0.45">
      <c r="A350" s="5">
        <f t="shared" si="5"/>
        <v>1.5133883853743928</v>
      </c>
      <c r="B350">
        <f ca="1">B349+$C$1*($D$1-MAX(B349,0)) + $H$1*SQRT(MAX(B349,0))*randcorrWithFeedback!E350</f>
        <v>0.89671076498748614</v>
      </c>
    </row>
    <row r="351" spans="1:2" x14ac:dyDescent="0.45">
      <c r="A351" s="5">
        <f t="shared" si="5"/>
        <v>1.5133886176669049</v>
      </c>
      <c r="B351">
        <f ca="1">B350+$C$1*($D$1-MAX(B350,0)) + $H$1*SQRT(MAX(B350,0))*randcorrWithFeedback!E351</f>
        <v>1.0267499764750814</v>
      </c>
    </row>
    <row r="352" spans="1:2" x14ac:dyDescent="0.45">
      <c r="A352" s="5">
        <f t="shared" si="5"/>
        <v>1.5133888453135669</v>
      </c>
      <c r="B352">
        <f ca="1">B351+$C$1*($D$1-MAX(B351,0)) + $H$1*SQRT(MAX(B351,0))*randcorrWithFeedback!E352</f>
        <v>1.1855385503725688</v>
      </c>
    </row>
    <row r="353" spans="1:2" x14ac:dyDescent="0.45">
      <c r="A353" s="5">
        <f t="shared" si="5"/>
        <v>1.5133890684072955</v>
      </c>
      <c r="B353">
        <f ca="1">B352+$C$1*($D$1-MAX(B352,0)) + $H$1*SQRT(MAX(B352,0))*randcorrWithFeedback!E353</f>
        <v>0.78264719812863415</v>
      </c>
    </row>
    <row r="354" spans="1:2" x14ac:dyDescent="0.45">
      <c r="A354" s="5">
        <f t="shared" si="5"/>
        <v>1.5133892870391497</v>
      </c>
      <c r="B354">
        <f ca="1">B353+$C$1*($D$1-MAX(B353,0)) + $H$1*SQRT(MAX(B353,0))*randcorrWithFeedback!E354</f>
        <v>0.81915747227421043</v>
      </c>
    </row>
    <row r="355" spans="1:2" x14ac:dyDescent="0.45">
      <c r="A355" s="5">
        <f t="shared" si="5"/>
        <v>1.5133895012983667</v>
      </c>
      <c r="B355">
        <f ca="1">B354+$C$1*($D$1-MAX(B354,0)) + $H$1*SQRT(MAX(B354,0))*randcorrWithFeedback!E355</f>
        <v>0.46794929712935546</v>
      </c>
    </row>
    <row r="356" spans="1:2" x14ac:dyDescent="0.45">
      <c r="A356" s="5">
        <f t="shared" si="5"/>
        <v>1.5133897112723993</v>
      </c>
      <c r="B356">
        <f ca="1">B355+$C$1*($D$1-MAX(B355,0)) + $H$1*SQRT(MAX(B355,0))*randcorrWithFeedback!E356</f>
        <v>0.47935918376927905</v>
      </c>
    </row>
    <row r="357" spans="1:2" x14ac:dyDescent="0.45">
      <c r="A357" s="5">
        <f t="shared" si="5"/>
        <v>1.5133899170469514</v>
      </c>
      <c r="B357">
        <f ca="1">B356+$C$1*($D$1-MAX(B356,0)) + $H$1*SQRT(MAX(B356,0))*randcorrWithFeedback!E357</f>
        <v>0.47948290260729404</v>
      </c>
    </row>
    <row r="358" spans="1:2" x14ac:dyDescent="0.45">
      <c r="A358" s="5">
        <f t="shared" si="5"/>
        <v>1.5133901187060124</v>
      </c>
      <c r="B358">
        <f ca="1">B357+$C$1*($D$1-MAX(B357,0)) + $H$1*SQRT(MAX(B357,0))*randcorrWithFeedback!E358</f>
        <v>0.94487324733760492</v>
      </c>
    </row>
    <row r="359" spans="1:2" x14ac:dyDescent="0.45">
      <c r="A359" s="5">
        <f t="shared" si="5"/>
        <v>1.513390316331892</v>
      </c>
      <c r="B359">
        <f ca="1">B358+$C$1*($D$1-MAX(B358,0)) + $H$1*SQRT(MAX(B358,0))*randcorrWithFeedback!E359</f>
        <v>1.3034945035976775</v>
      </c>
    </row>
    <row r="360" spans="1:2" x14ac:dyDescent="0.45">
      <c r="A360" s="5">
        <f t="shared" si="5"/>
        <v>1.5133905100052543</v>
      </c>
      <c r="B360">
        <f ca="1">B359+$C$1*($D$1-MAX(B359,0)) + $H$1*SQRT(MAX(B359,0))*randcorrWithFeedback!E360</f>
        <v>2.0919179344921965</v>
      </c>
    </row>
    <row r="361" spans="1:2" x14ac:dyDescent="0.45">
      <c r="A361" s="5">
        <f t="shared" si="5"/>
        <v>1.5133906998051492</v>
      </c>
      <c r="B361">
        <f ca="1">B360+$C$1*($D$1-MAX(B360,0)) + $H$1*SQRT(MAX(B360,0))*randcorrWithFeedback!E361</f>
        <v>1.6660947571526374</v>
      </c>
    </row>
    <row r="362" spans="1:2" x14ac:dyDescent="0.45">
      <c r="A362" s="5">
        <f t="shared" si="5"/>
        <v>1.5133908858090461</v>
      </c>
      <c r="B362">
        <f ca="1">B361+$C$1*($D$1-MAX(B361,0)) + $H$1*SQRT(MAX(B361,0))*randcorrWithFeedback!E362</f>
        <v>1.9378531249624102</v>
      </c>
    </row>
    <row r="363" spans="1:2" x14ac:dyDescent="0.45">
      <c r="A363" s="5">
        <f t="shared" si="5"/>
        <v>1.5133910680928653</v>
      </c>
      <c r="B363">
        <f ca="1">B362+$C$1*($D$1-MAX(B362,0)) + $H$1*SQRT(MAX(B362,0))*randcorrWithFeedback!E363</f>
        <v>1.9272719069401476</v>
      </c>
    </row>
    <row r="364" spans="1:2" x14ac:dyDescent="0.45">
      <c r="A364" s="5">
        <f t="shared" si="5"/>
        <v>1.513391246731008</v>
      </c>
      <c r="B364">
        <f ca="1">B363+$C$1*($D$1-MAX(B363,0)) + $H$1*SQRT(MAX(B363,0))*randcorrWithFeedback!E364</f>
        <v>2.867876585122505</v>
      </c>
    </row>
    <row r="365" spans="1:2" x14ac:dyDescent="0.45">
      <c r="A365" s="5">
        <f t="shared" si="5"/>
        <v>1.5133914217963877</v>
      </c>
      <c r="B365">
        <f ca="1">B364+$C$1*($D$1-MAX(B364,0)) + $H$1*SQRT(MAX(B364,0))*randcorrWithFeedback!E365</f>
        <v>2.9145813632834647</v>
      </c>
    </row>
    <row r="366" spans="1:2" x14ac:dyDescent="0.45">
      <c r="A366" s="5">
        <f t="shared" si="5"/>
        <v>1.51339159336046</v>
      </c>
      <c r="B366">
        <f ca="1">B365+$C$1*($D$1-MAX(B365,0)) + $H$1*SQRT(MAX(B365,0))*randcorrWithFeedback!E366</f>
        <v>3.1416597074599362</v>
      </c>
    </row>
    <row r="367" spans="1:2" x14ac:dyDescent="0.45">
      <c r="A367" s="5">
        <f t="shared" si="5"/>
        <v>1.5133917614932508</v>
      </c>
      <c r="B367">
        <f ca="1">B366+$C$1*($D$1-MAX(B366,0)) + $H$1*SQRT(MAX(B366,0))*randcorrWithFeedback!E367</f>
        <v>2.9389799575523452</v>
      </c>
    </row>
    <row r="368" spans="1:2" x14ac:dyDescent="0.45">
      <c r="A368" s="5">
        <f t="shared" si="5"/>
        <v>1.5133919262633859</v>
      </c>
      <c r="B368">
        <f ca="1">B367+$C$1*($D$1-MAX(B367,0)) + $H$1*SQRT(MAX(B367,0))*randcorrWithFeedback!E368</f>
        <v>3.0782539888423863</v>
      </c>
    </row>
    <row r="369" spans="1:2" x14ac:dyDescent="0.45">
      <c r="A369" s="5">
        <f t="shared" si="5"/>
        <v>1.5133920877381182</v>
      </c>
      <c r="B369">
        <f ca="1">B368+$C$1*($D$1-MAX(B368,0)) + $H$1*SQRT(MAX(B368,0))*randcorrWithFeedback!E369</f>
        <v>3.2702367580985867</v>
      </c>
    </row>
    <row r="370" spans="1:2" x14ac:dyDescent="0.45">
      <c r="A370" s="5">
        <f t="shared" si="5"/>
        <v>1.5133922459833558</v>
      </c>
      <c r="B370">
        <f ca="1">B369+$C$1*($D$1-MAX(B369,0)) + $H$1*SQRT(MAX(B369,0))*randcorrWithFeedback!E370</f>
        <v>4.0059476486915058</v>
      </c>
    </row>
    <row r="371" spans="1:2" x14ac:dyDescent="0.45">
      <c r="A371" s="5">
        <f t="shared" si="5"/>
        <v>1.5133924010636886</v>
      </c>
      <c r="B371">
        <f ca="1">B370+$C$1*($D$1-MAX(B370,0)) + $H$1*SQRT(MAX(B370,0))*randcorrWithFeedback!E371</f>
        <v>4.3378087973498545</v>
      </c>
    </row>
    <row r="372" spans="1:2" x14ac:dyDescent="0.45">
      <c r="A372" s="5">
        <f t="shared" si="5"/>
        <v>1.5133925530424148</v>
      </c>
      <c r="B372">
        <f ca="1">B371+$C$1*($D$1-MAX(B371,0)) + $H$1*SQRT(MAX(B371,0))*randcorrWithFeedback!E372</f>
        <v>4.4593771344317545</v>
      </c>
    </row>
    <row r="373" spans="1:2" x14ac:dyDescent="0.45">
      <c r="A373" s="5">
        <f t="shared" si="5"/>
        <v>1.5133927019815665</v>
      </c>
      <c r="B373">
        <f ca="1">B372+$C$1*($D$1-MAX(B372,0)) + $H$1*SQRT(MAX(B372,0))*randcorrWithFeedback!E373</f>
        <v>3.7520056963131081</v>
      </c>
    </row>
    <row r="374" spans="1:2" x14ac:dyDescent="0.45">
      <c r="A374" s="5">
        <f t="shared" si="5"/>
        <v>1.5133928479419352</v>
      </c>
      <c r="B374">
        <f ca="1">B373+$C$1*($D$1-MAX(B373,0)) + $H$1*SQRT(MAX(B373,0))*randcorrWithFeedback!E374</f>
        <v>3.2392266253161144</v>
      </c>
    </row>
    <row r="375" spans="1:2" x14ac:dyDescent="0.45">
      <c r="A375" s="5">
        <f t="shared" si="5"/>
        <v>1.5133929909830965</v>
      </c>
      <c r="B375">
        <f ca="1">B374+$C$1*($D$1-MAX(B374,0)) + $H$1*SQRT(MAX(B374,0))*randcorrWithFeedback!E375</f>
        <v>2.8103252328867447</v>
      </c>
    </row>
    <row r="376" spans="1:2" x14ac:dyDescent="0.45">
      <c r="A376" s="5">
        <f t="shared" si="5"/>
        <v>1.5133931311634345</v>
      </c>
      <c r="B376">
        <f ca="1">B375+$C$1*($D$1-MAX(B375,0)) + $H$1*SQRT(MAX(B375,0))*randcorrWithFeedback!E376</f>
        <v>2.322117773578936</v>
      </c>
    </row>
    <row r="377" spans="1:2" x14ac:dyDescent="0.45">
      <c r="A377" s="5">
        <f t="shared" si="5"/>
        <v>1.5133932685401659</v>
      </c>
      <c r="B377">
        <f ca="1">B376+$C$1*($D$1-MAX(B376,0)) + $H$1*SQRT(MAX(B376,0))*randcorrWithFeedback!E377</f>
        <v>2.4105985955006215</v>
      </c>
    </row>
    <row r="378" spans="1:2" x14ac:dyDescent="0.45">
      <c r="A378" s="5">
        <f t="shared" si="5"/>
        <v>1.5133934031693625</v>
      </c>
      <c r="B378">
        <f ca="1">B377+$C$1*($D$1-MAX(B377,0)) + $H$1*SQRT(MAX(B377,0))*randcorrWithFeedback!E378</f>
        <v>2.8198268543372702</v>
      </c>
    </row>
    <row r="379" spans="1:2" x14ac:dyDescent="0.45">
      <c r="A379" s="5">
        <f t="shared" si="5"/>
        <v>1.5133935351059753</v>
      </c>
      <c r="B379">
        <f ca="1">B378+$C$1*($D$1-MAX(B378,0)) + $H$1*SQRT(MAX(B378,0))*randcorrWithFeedback!E379</f>
        <v>2.809761716671495</v>
      </c>
    </row>
    <row r="380" spans="1:2" x14ac:dyDescent="0.45">
      <c r="A380" s="5">
        <f t="shared" si="5"/>
        <v>1.5133936644038557</v>
      </c>
      <c r="B380">
        <f ca="1">B379+$C$1*($D$1-MAX(B379,0)) + $H$1*SQRT(MAX(B379,0))*randcorrWithFeedback!E380</f>
        <v>2.4123395416698168</v>
      </c>
    </row>
    <row r="381" spans="1:2" x14ac:dyDescent="0.45">
      <c r="A381" s="5">
        <f t="shared" si="5"/>
        <v>1.5133937911157787</v>
      </c>
      <c r="B381">
        <f ca="1">B380+$C$1*($D$1-MAX(B380,0)) + $H$1*SQRT(MAX(B380,0))*randcorrWithFeedback!E381</f>
        <v>2.6490563080507457</v>
      </c>
    </row>
    <row r="382" spans="1:2" x14ac:dyDescent="0.45">
      <c r="A382" s="5">
        <f t="shared" si="5"/>
        <v>1.513393915293463</v>
      </c>
      <c r="B382">
        <f ca="1">B381+$C$1*($D$1-MAX(B381,0)) + $H$1*SQRT(MAX(B381,0))*randcorrWithFeedback!E382</f>
        <v>2.8390637064996773</v>
      </c>
    </row>
    <row r="383" spans="1:2" x14ac:dyDescent="0.45">
      <c r="A383" s="5">
        <f t="shared" si="5"/>
        <v>1.5133940369875938</v>
      </c>
      <c r="B383">
        <f ca="1">B382+$C$1*($D$1-MAX(B382,0)) + $H$1*SQRT(MAX(B382,0))*randcorrWithFeedback!E383</f>
        <v>2.9981491482949449</v>
      </c>
    </row>
    <row r="384" spans="1:2" x14ac:dyDescent="0.45">
      <c r="A384" s="5">
        <f t="shared" si="5"/>
        <v>1.5133941562478419</v>
      </c>
      <c r="B384">
        <f ca="1">B383+$C$1*($D$1-MAX(B383,0)) + $H$1*SQRT(MAX(B383,0))*randcorrWithFeedback!E384</f>
        <v>3.389401629905656</v>
      </c>
    </row>
    <row r="385" spans="1:2" x14ac:dyDescent="0.45">
      <c r="A385" s="5">
        <f t="shared" si="5"/>
        <v>1.5133942731228851</v>
      </c>
      <c r="B385">
        <f ca="1">B384+$C$1*($D$1-MAX(B384,0)) + $H$1*SQRT(MAX(B384,0))*randcorrWithFeedback!E385</f>
        <v>3.987629781005273</v>
      </c>
    </row>
    <row r="386" spans="1:2" x14ac:dyDescent="0.45">
      <c r="A386" s="5">
        <f t="shared" si="5"/>
        <v>1.5133943876604274</v>
      </c>
      <c r="B386">
        <f ca="1">B385+$C$1*($D$1-MAX(B385,0)) + $H$1*SQRT(MAX(B385,0))*randcorrWithFeedback!E386</f>
        <v>4.1773182520900782</v>
      </c>
    </row>
    <row r="387" spans="1:2" x14ac:dyDescent="0.45">
      <c r="A387" s="5">
        <f t="shared" ref="A387:A450" si="6">A386+$C$1*($D$1-A386)</f>
        <v>1.5133944999072189</v>
      </c>
      <c r="B387">
        <f ca="1">B386+$C$1*($D$1-MAX(B386,0)) + $H$1*SQRT(MAX(B386,0))*randcorrWithFeedback!E387</f>
        <v>4.8491259059917518</v>
      </c>
    </row>
    <row r="388" spans="1:2" x14ac:dyDescent="0.45">
      <c r="A388" s="5">
        <f t="shared" si="6"/>
        <v>1.5133946099090745</v>
      </c>
      <c r="B388">
        <f ca="1">B387+$C$1*($D$1-MAX(B387,0)) + $H$1*SQRT(MAX(B387,0))*randcorrWithFeedback!E388</f>
        <v>4.8352454143557511</v>
      </c>
    </row>
    <row r="389" spans="1:2" x14ac:dyDescent="0.45">
      <c r="A389" s="5">
        <f t="shared" si="6"/>
        <v>1.5133947177108931</v>
      </c>
      <c r="B389">
        <f ca="1">B388+$C$1*($D$1-MAX(B388,0)) + $H$1*SQRT(MAX(B388,0))*randcorrWithFeedback!E389</f>
        <v>4.3106973801809056</v>
      </c>
    </row>
    <row r="390" spans="1:2" x14ac:dyDescent="0.45">
      <c r="A390" s="5">
        <f t="shared" si="6"/>
        <v>1.5133948233566752</v>
      </c>
      <c r="B390">
        <f ca="1">B389+$C$1*($D$1-MAX(B389,0)) + $H$1*SQRT(MAX(B389,0))*randcorrWithFeedback!E390</f>
        <v>4.6342752885754717</v>
      </c>
    </row>
    <row r="391" spans="1:2" x14ac:dyDescent="0.45">
      <c r="A391" s="5">
        <f t="shared" si="6"/>
        <v>1.5133949268895417</v>
      </c>
      <c r="B391">
        <f ca="1">B390+$C$1*($D$1-MAX(B390,0)) + $H$1*SQRT(MAX(B390,0))*randcorrWithFeedback!E391</f>
        <v>4.5513795838782194</v>
      </c>
    </row>
    <row r="392" spans="1:2" x14ac:dyDescent="0.45">
      <c r="A392" s="5">
        <f t="shared" si="6"/>
        <v>1.5133950283517508</v>
      </c>
      <c r="B392">
        <f ca="1">B391+$C$1*($D$1-MAX(B391,0)) + $H$1*SQRT(MAX(B391,0))*randcorrWithFeedback!E392</f>
        <v>4.1730969681498626</v>
      </c>
    </row>
    <row r="393" spans="1:2" x14ac:dyDescent="0.45">
      <c r="A393" s="5">
        <f t="shared" si="6"/>
        <v>1.5133951277847157</v>
      </c>
      <c r="B393">
        <f ca="1">B392+$C$1*($D$1-MAX(B392,0)) + $H$1*SQRT(MAX(B392,0))*randcorrWithFeedback!E393</f>
        <v>4.4584672179218643</v>
      </c>
    </row>
    <row r="394" spans="1:2" x14ac:dyDescent="0.45">
      <c r="A394" s="5">
        <f t="shared" si="6"/>
        <v>1.5133952252290215</v>
      </c>
      <c r="B394">
        <f ca="1">B393+$C$1*($D$1-MAX(B393,0)) + $H$1*SQRT(MAX(B393,0))*randcorrWithFeedback!E394</f>
        <v>4.7526041465389053</v>
      </c>
    </row>
    <row r="395" spans="1:2" x14ac:dyDescent="0.45">
      <c r="A395" s="5">
        <f t="shared" si="6"/>
        <v>1.5133953207244411</v>
      </c>
      <c r="B395">
        <f ca="1">B394+$C$1*($D$1-MAX(B394,0)) + $H$1*SQRT(MAX(B394,0))*randcorrWithFeedback!E395</f>
        <v>3.9041061536833301</v>
      </c>
    </row>
    <row r="396" spans="1:2" x14ac:dyDescent="0.45">
      <c r="A396" s="5">
        <f t="shared" si="6"/>
        <v>1.5133954143099522</v>
      </c>
      <c r="B396">
        <f ca="1">B395+$C$1*($D$1-MAX(B395,0)) + $H$1*SQRT(MAX(B395,0))*randcorrWithFeedback!E396</f>
        <v>4.4962948662333213</v>
      </c>
    </row>
    <row r="397" spans="1:2" x14ac:dyDescent="0.45">
      <c r="A397" s="5">
        <f t="shared" si="6"/>
        <v>1.5133955060237532</v>
      </c>
      <c r="B397">
        <f ca="1">B396+$C$1*($D$1-MAX(B396,0)) + $H$1*SQRT(MAX(B396,0))*randcorrWithFeedback!E397</f>
        <v>4.3710306321492656</v>
      </c>
    </row>
    <row r="398" spans="1:2" x14ac:dyDescent="0.45">
      <c r="A398" s="5">
        <f t="shared" si="6"/>
        <v>1.5133955959032781</v>
      </c>
      <c r="B398">
        <f ca="1">B397+$C$1*($D$1-MAX(B397,0)) + $H$1*SQRT(MAX(B397,0))*randcorrWithFeedback!E398</f>
        <v>4.2426670108262297</v>
      </c>
    </row>
    <row r="399" spans="1:2" x14ac:dyDescent="0.45">
      <c r="A399" s="5">
        <f t="shared" si="6"/>
        <v>1.5133956839852125</v>
      </c>
      <c r="B399">
        <f ca="1">B398+$C$1*($D$1-MAX(B398,0)) + $H$1*SQRT(MAX(B398,0))*randcorrWithFeedback!E399</f>
        <v>4.0772441659903818</v>
      </c>
    </row>
    <row r="400" spans="1:2" x14ac:dyDescent="0.45">
      <c r="A400" s="5">
        <f t="shared" si="6"/>
        <v>1.5133957703055083</v>
      </c>
      <c r="B400">
        <f ca="1">B399+$C$1*($D$1-MAX(B399,0)) + $H$1*SQRT(MAX(B399,0))*randcorrWithFeedback!E400</f>
        <v>3.6334643265518385</v>
      </c>
    </row>
    <row r="401" spans="1:2" x14ac:dyDescent="0.45">
      <c r="A401" s="5">
        <f t="shared" si="6"/>
        <v>1.5133958548993982</v>
      </c>
      <c r="B401">
        <f ca="1">B400+$C$1*($D$1-MAX(B400,0)) + $H$1*SQRT(MAX(B400,0))*randcorrWithFeedback!E401</f>
        <v>2.070885915567283</v>
      </c>
    </row>
    <row r="402" spans="1:2" x14ac:dyDescent="0.45">
      <c r="A402" s="5">
        <f t="shared" si="6"/>
        <v>1.5133959378014104</v>
      </c>
      <c r="B402">
        <f ca="1">B401+$C$1*($D$1-MAX(B401,0)) + $H$1*SQRT(MAX(B401,0))*randcorrWithFeedback!E402</f>
        <v>2.4929424834106646</v>
      </c>
    </row>
    <row r="403" spans="1:2" x14ac:dyDescent="0.45">
      <c r="A403" s="5">
        <f t="shared" si="6"/>
        <v>1.5133960190453821</v>
      </c>
      <c r="B403">
        <f ca="1">B402+$C$1*($D$1-MAX(B402,0)) + $H$1*SQRT(MAX(B402,0))*randcorrWithFeedback!E403</f>
        <v>3.2669427927924986</v>
      </c>
    </row>
    <row r="404" spans="1:2" x14ac:dyDescent="0.45">
      <c r="A404" s="5">
        <f t="shared" si="6"/>
        <v>1.5133960986644746</v>
      </c>
      <c r="B404">
        <f ca="1">B403+$C$1*($D$1-MAX(B403,0)) + $H$1*SQRT(MAX(B403,0))*randcorrWithFeedback!E404</f>
        <v>3.5736187679667841</v>
      </c>
    </row>
    <row r="405" spans="1:2" x14ac:dyDescent="0.45">
      <c r="A405" s="5">
        <f t="shared" si="6"/>
        <v>1.513396176691185</v>
      </c>
      <c r="B405">
        <f ca="1">B404+$C$1*($D$1-MAX(B404,0)) + $H$1*SQRT(MAX(B404,0))*randcorrWithFeedback!E405</f>
        <v>3.7519656364101861</v>
      </c>
    </row>
    <row r="406" spans="1:2" x14ac:dyDescent="0.45">
      <c r="A406" s="5">
        <f t="shared" si="6"/>
        <v>1.5133962531573613</v>
      </c>
      <c r="B406">
        <f ca="1">B405+$C$1*($D$1-MAX(B405,0)) + $H$1*SQRT(MAX(B405,0))*randcorrWithFeedback!E406</f>
        <v>3.4662890311732353</v>
      </c>
    </row>
    <row r="407" spans="1:2" x14ac:dyDescent="0.45">
      <c r="A407" s="5">
        <f t="shared" si="6"/>
        <v>1.513396328094214</v>
      </c>
      <c r="B407">
        <f ca="1">B406+$C$1*($D$1-MAX(B406,0)) + $H$1*SQRT(MAX(B406,0))*randcorrWithFeedback!E407</f>
        <v>3.606131255026376</v>
      </c>
    </row>
    <row r="408" spans="1:2" x14ac:dyDescent="0.45">
      <c r="A408" s="5">
        <f t="shared" si="6"/>
        <v>1.5133964015323298</v>
      </c>
      <c r="B408">
        <f ca="1">B407+$C$1*($D$1-MAX(B407,0)) + $H$1*SQRT(MAX(B407,0))*randcorrWithFeedback!E408</f>
        <v>3.8259815780218016</v>
      </c>
    </row>
    <row r="409" spans="1:2" x14ac:dyDescent="0.45">
      <c r="A409" s="5">
        <f t="shared" si="6"/>
        <v>1.5133964735016832</v>
      </c>
      <c r="B409">
        <f ca="1">B408+$C$1*($D$1-MAX(B408,0)) + $H$1*SQRT(MAX(B408,0))*randcorrWithFeedback!E409</f>
        <v>3.7769486186880492</v>
      </c>
    </row>
    <row r="410" spans="1:2" x14ac:dyDescent="0.45">
      <c r="A410" s="5">
        <f t="shared" si="6"/>
        <v>1.5133965440316495</v>
      </c>
      <c r="B410">
        <f ca="1">B409+$C$1*($D$1-MAX(B409,0)) + $H$1*SQRT(MAX(B409,0))*randcorrWithFeedback!E410</f>
        <v>2.9733242614725972</v>
      </c>
    </row>
    <row r="411" spans="1:2" x14ac:dyDescent="0.45">
      <c r="A411" s="5">
        <f t="shared" si="6"/>
        <v>1.5133966131510166</v>
      </c>
      <c r="B411">
        <f ca="1">B410+$C$1*($D$1-MAX(B410,0)) + $H$1*SQRT(MAX(B410,0))*randcorrWithFeedback!E411</f>
        <v>3.5732523213556364</v>
      </c>
    </row>
    <row r="412" spans="1:2" x14ac:dyDescent="0.45">
      <c r="A412" s="5">
        <f t="shared" si="6"/>
        <v>1.5133966808879962</v>
      </c>
      <c r="B412">
        <f ca="1">B411+$C$1*($D$1-MAX(B411,0)) + $H$1*SQRT(MAX(B411,0))*randcorrWithFeedback!E412</f>
        <v>3.5475654120850906</v>
      </c>
    </row>
    <row r="413" spans="1:2" x14ac:dyDescent="0.45">
      <c r="A413" s="5">
        <f t="shared" si="6"/>
        <v>1.5133967472702363</v>
      </c>
      <c r="B413">
        <f ca="1">B412+$C$1*($D$1-MAX(B412,0)) + $H$1*SQRT(MAX(B412,0))*randcorrWithFeedback!E413</f>
        <v>3.1050956293039702</v>
      </c>
    </row>
    <row r="414" spans="1:2" x14ac:dyDescent="0.45">
      <c r="A414" s="5">
        <f t="shared" si="6"/>
        <v>1.5133968123248316</v>
      </c>
      <c r="B414">
        <f ca="1">B413+$C$1*($D$1-MAX(B413,0)) + $H$1*SQRT(MAX(B413,0))*randcorrWithFeedback!E414</f>
        <v>2.7426283900161388</v>
      </c>
    </row>
    <row r="415" spans="1:2" x14ac:dyDescent="0.45">
      <c r="A415" s="5">
        <f t="shared" si="6"/>
        <v>1.513396876078335</v>
      </c>
      <c r="B415">
        <f ca="1">B414+$C$1*($D$1-MAX(B414,0)) + $H$1*SQRT(MAX(B414,0))*randcorrWithFeedback!E415</f>
        <v>2.0128966082952373</v>
      </c>
    </row>
    <row r="416" spans="1:2" x14ac:dyDescent="0.45">
      <c r="A416" s="5">
        <f t="shared" si="6"/>
        <v>1.5133969385567683</v>
      </c>
      <c r="B416">
        <f ca="1">B415+$C$1*($D$1-MAX(B415,0)) + $H$1*SQRT(MAX(B415,0))*randcorrWithFeedback!E416</f>
        <v>1.2900807394486709</v>
      </c>
    </row>
    <row r="417" spans="1:2" x14ac:dyDescent="0.45">
      <c r="A417" s="5">
        <f t="shared" si="6"/>
        <v>1.5133969997856329</v>
      </c>
      <c r="B417">
        <f ca="1">B416+$C$1*($D$1-MAX(B416,0)) + $H$1*SQRT(MAX(B416,0))*randcorrWithFeedback!E417</f>
        <v>1.087114461134792</v>
      </c>
    </row>
    <row r="418" spans="1:2" x14ac:dyDescent="0.45">
      <c r="A418" s="5">
        <f t="shared" si="6"/>
        <v>1.5133970597899202</v>
      </c>
      <c r="B418">
        <f ca="1">B417+$C$1*($D$1-MAX(B417,0)) + $H$1*SQRT(MAX(B417,0))*randcorrWithFeedback!E418</f>
        <v>1.2402687448963565</v>
      </c>
    </row>
    <row r="419" spans="1:2" x14ac:dyDescent="0.45">
      <c r="A419" s="5">
        <f t="shared" si="6"/>
        <v>1.5133971185941217</v>
      </c>
      <c r="B419">
        <f ca="1">B418+$C$1*($D$1-MAX(B418,0)) + $H$1*SQRT(MAX(B418,0))*randcorrWithFeedback!E419</f>
        <v>1.4620215558768548</v>
      </c>
    </row>
    <row r="420" spans="1:2" x14ac:dyDescent="0.45">
      <c r="A420" s="5">
        <f t="shared" si="6"/>
        <v>1.5133971762222393</v>
      </c>
      <c r="B420">
        <f ca="1">B419+$C$1*($D$1-MAX(B419,0)) + $H$1*SQRT(MAX(B419,0))*randcorrWithFeedback!E420</f>
        <v>1.4588757005150068</v>
      </c>
    </row>
    <row r="421" spans="1:2" x14ac:dyDescent="0.45">
      <c r="A421" s="5">
        <f t="shared" si="6"/>
        <v>1.5133972326977945</v>
      </c>
      <c r="B421">
        <f ca="1">B420+$C$1*($D$1-MAX(B420,0)) + $H$1*SQRT(MAX(B420,0))*randcorrWithFeedback!E421</f>
        <v>1.7648104185134237</v>
      </c>
    </row>
    <row r="422" spans="1:2" x14ac:dyDescent="0.45">
      <c r="A422" s="5">
        <f t="shared" si="6"/>
        <v>1.5133972880438387</v>
      </c>
      <c r="B422">
        <f ca="1">B421+$C$1*($D$1-MAX(B421,0)) + $H$1*SQRT(MAX(B421,0))*randcorrWithFeedback!E422</f>
        <v>1.5576201838725119</v>
      </c>
    </row>
    <row r="423" spans="1:2" x14ac:dyDescent="0.45">
      <c r="A423" s="5">
        <f t="shared" si="6"/>
        <v>1.5133973422829619</v>
      </c>
      <c r="B423">
        <f ca="1">B422+$C$1*($D$1-MAX(B422,0)) + $H$1*SQRT(MAX(B422,0))*randcorrWithFeedback!E423</f>
        <v>1.4960381162146414</v>
      </c>
    </row>
    <row r="424" spans="1:2" x14ac:dyDescent="0.45">
      <c r="A424" s="5">
        <f t="shared" si="6"/>
        <v>1.5133973954373026</v>
      </c>
      <c r="B424">
        <f ca="1">B423+$C$1*($D$1-MAX(B423,0)) + $H$1*SQRT(MAX(B423,0))*randcorrWithFeedback!E424</f>
        <v>1.2560633933152963</v>
      </c>
    </row>
    <row r="425" spans="1:2" x14ac:dyDescent="0.45">
      <c r="A425" s="5">
        <f t="shared" si="6"/>
        <v>1.5133974475285565</v>
      </c>
      <c r="B425">
        <f ca="1">B424+$C$1*($D$1-MAX(B424,0)) + $H$1*SQRT(MAX(B424,0))*randcorrWithFeedback!E425</f>
        <v>1.5813923268859218</v>
      </c>
    </row>
    <row r="426" spans="1:2" x14ac:dyDescent="0.45">
      <c r="A426" s="5">
        <f t="shared" si="6"/>
        <v>1.5133974985779854</v>
      </c>
      <c r="B426">
        <f ca="1">B425+$C$1*($D$1-MAX(B425,0)) + $H$1*SQRT(MAX(B425,0))*randcorrWithFeedback!E426</f>
        <v>0.93662222567255704</v>
      </c>
    </row>
    <row r="427" spans="1:2" x14ac:dyDescent="0.45">
      <c r="A427" s="5">
        <f t="shared" si="6"/>
        <v>1.5133975486064257</v>
      </c>
      <c r="B427">
        <f ca="1">B426+$C$1*($D$1-MAX(B426,0)) + $H$1*SQRT(MAX(B426,0))*randcorrWithFeedback!E427</f>
        <v>1.3917565203389486</v>
      </c>
    </row>
    <row r="428" spans="1:2" x14ac:dyDescent="0.45">
      <c r="A428" s="5">
        <f t="shared" si="6"/>
        <v>1.5133975976342973</v>
      </c>
      <c r="B428">
        <f ca="1">B427+$C$1*($D$1-MAX(B427,0)) + $H$1*SQRT(MAX(B427,0))*randcorrWithFeedback!E428</f>
        <v>1.1488138556443706</v>
      </c>
    </row>
    <row r="429" spans="1:2" x14ac:dyDescent="0.45">
      <c r="A429" s="5">
        <f t="shared" si="6"/>
        <v>1.5133976456816114</v>
      </c>
      <c r="B429">
        <f ca="1">B428+$C$1*($D$1-MAX(B428,0)) + $H$1*SQRT(MAX(B428,0))*randcorrWithFeedback!E429</f>
        <v>1.9294192079909642</v>
      </c>
    </row>
    <row r="430" spans="1:2" x14ac:dyDescent="0.45">
      <c r="A430" s="5">
        <f t="shared" si="6"/>
        <v>1.5133976927679791</v>
      </c>
      <c r="B430">
        <f ca="1">B429+$C$1*($D$1-MAX(B429,0)) + $H$1*SQRT(MAX(B429,0))*randcorrWithFeedback!E430</f>
        <v>2.6916696109720535</v>
      </c>
    </row>
    <row r="431" spans="1:2" x14ac:dyDescent="0.45">
      <c r="A431" s="5">
        <f t="shared" si="6"/>
        <v>1.5133977389126194</v>
      </c>
      <c r="B431">
        <f ca="1">B430+$C$1*($D$1-MAX(B430,0)) + $H$1*SQRT(MAX(B430,0))*randcorrWithFeedback!E431</f>
        <v>2.6826074786015233</v>
      </c>
    </row>
    <row r="432" spans="1:2" x14ac:dyDescent="0.45">
      <c r="A432" s="5">
        <f t="shared" si="6"/>
        <v>1.5133977841343671</v>
      </c>
      <c r="B432">
        <f ca="1">B431+$C$1*($D$1-MAX(B431,0)) + $H$1*SQRT(MAX(B431,0))*randcorrWithFeedback!E432</f>
        <v>2.5118841573139297</v>
      </c>
    </row>
    <row r="433" spans="1:2" x14ac:dyDescent="0.45">
      <c r="A433" s="5">
        <f t="shared" si="6"/>
        <v>1.5133978284516798</v>
      </c>
      <c r="B433">
        <f ca="1">B432+$C$1*($D$1-MAX(B432,0)) + $H$1*SQRT(MAX(B432,0))*randcorrWithFeedback!E433</f>
        <v>2.0964940519415789</v>
      </c>
    </row>
    <row r="434" spans="1:2" x14ac:dyDescent="0.45">
      <c r="A434" s="5">
        <f t="shared" si="6"/>
        <v>1.5133978718826462</v>
      </c>
      <c r="B434">
        <f ca="1">B433+$C$1*($D$1-MAX(B433,0)) + $H$1*SQRT(MAX(B433,0))*randcorrWithFeedback!E434</f>
        <v>1.6813539629672984</v>
      </c>
    </row>
    <row r="435" spans="1:2" x14ac:dyDescent="0.45">
      <c r="A435" s="5">
        <f t="shared" si="6"/>
        <v>1.5133979144449932</v>
      </c>
      <c r="B435">
        <f ca="1">B434+$C$1*($D$1-MAX(B434,0)) + $H$1*SQRT(MAX(B434,0))*randcorrWithFeedback!E435</f>
        <v>2.6262959903705361</v>
      </c>
    </row>
    <row r="436" spans="1:2" x14ac:dyDescent="0.45">
      <c r="A436" s="5">
        <f t="shared" si="6"/>
        <v>1.5133979561560933</v>
      </c>
      <c r="B436">
        <f ca="1">B435+$C$1*($D$1-MAX(B435,0)) + $H$1*SQRT(MAX(B435,0))*randcorrWithFeedback!E436</f>
        <v>1.7095734817585888</v>
      </c>
    </row>
    <row r="437" spans="1:2" x14ac:dyDescent="0.45">
      <c r="A437" s="5">
        <f t="shared" si="6"/>
        <v>1.5133979970329714</v>
      </c>
      <c r="B437">
        <f ca="1">B436+$C$1*($D$1-MAX(B436,0)) + $H$1*SQRT(MAX(B436,0))*randcorrWithFeedback!E437</f>
        <v>1.6022271339720464</v>
      </c>
    </row>
    <row r="438" spans="1:2" x14ac:dyDescent="0.45">
      <c r="A438" s="5">
        <f t="shared" si="6"/>
        <v>1.5133980370923119</v>
      </c>
      <c r="B438">
        <f ca="1">B437+$C$1*($D$1-MAX(B437,0)) + $H$1*SQRT(MAX(B437,0))*randcorrWithFeedback!E438</f>
        <v>0.81695450023205407</v>
      </c>
    </row>
    <row r="439" spans="1:2" x14ac:dyDescent="0.45">
      <c r="A439" s="5">
        <f t="shared" si="6"/>
        <v>1.5133980763504657</v>
      </c>
      <c r="B439">
        <f ca="1">B438+$C$1*($D$1-MAX(B438,0)) + $H$1*SQRT(MAX(B438,0))*randcorrWithFeedback!E439</f>
        <v>0.8357464181787706</v>
      </c>
    </row>
    <row r="440" spans="1:2" x14ac:dyDescent="0.45">
      <c r="A440" s="5">
        <f t="shared" si="6"/>
        <v>1.5133981148234565</v>
      </c>
      <c r="B440">
        <f ca="1">B439+$C$1*($D$1-MAX(B439,0)) + $H$1*SQRT(MAX(B439,0))*randcorrWithFeedback!E440</f>
        <v>0.40264140953800359</v>
      </c>
    </row>
    <row r="441" spans="1:2" x14ac:dyDescent="0.45">
      <c r="A441" s="5">
        <f t="shared" si="6"/>
        <v>1.5133981525269875</v>
      </c>
      <c r="B441">
        <f ca="1">B440+$C$1*($D$1-MAX(B440,0)) + $H$1*SQRT(MAX(B440,0))*randcorrWithFeedback!E441</f>
        <v>0.49562382942738076</v>
      </c>
    </row>
    <row r="442" spans="1:2" x14ac:dyDescent="0.45">
      <c r="A442" s="5">
        <f t="shared" si="6"/>
        <v>1.5133981894764477</v>
      </c>
      <c r="B442">
        <f ca="1">B441+$C$1*($D$1-MAX(B441,0)) + $H$1*SQRT(MAX(B441,0))*randcorrWithFeedback!E442</f>
        <v>0.75202810972786882</v>
      </c>
    </row>
    <row r="443" spans="1:2" x14ac:dyDescent="0.45">
      <c r="A443" s="5">
        <f t="shared" si="6"/>
        <v>1.5133982256869187</v>
      </c>
      <c r="B443">
        <f ca="1">B442+$C$1*($D$1-MAX(B442,0)) + $H$1*SQRT(MAX(B442,0))*randcorrWithFeedback!E443</f>
        <v>0.80219863607450337</v>
      </c>
    </row>
    <row r="444" spans="1:2" x14ac:dyDescent="0.45">
      <c r="A444" s="5">
        <f t="shared" si="6"/>
        <v>1.5133982611731804</v>
      </c>
      <c r="B444">
        <f ca="1">B443+$C$1*($D$1-MAX(B443,0)) + $H$1*SQRT(MAX(B443,0))*randcorrWithFeedback!E444</f>
        <v>0.71261199524330465</v>
      </c>
    </row>
    <row r="445" spans="1:2" x14ac:dyDescent="0.45">
      <c r="A445" s="5">
        <f t="shared" si="6"/>
        <v>1.5133982959497168</v>
      </c>
      <c r="B445">
        <f ca="1">B444+$C$1*($D$1-MAX(B444,0)) + $H$1*SQRT(MAX(B444,0))*randcorrWithFeedback!E445</f>
        <v>1.0490851147964027</v>
      </c>
    </row>
    <row r="446" spans="1:2" x14ac:dyDescent="0.45">
      <c r="A446" s="5">
        <f t="shared" si="6"/>
        <v>1.5133983300307223</v>
      </c>
      <c r="B446">
        <f ca="1">B445+$C$1*($D$1-MAX(B445,0)) + $H$1*SQRT(MAX(B445,0))*randcorrWithFeedback!E446</f>
        <v>1.1429165379874744</v>
      </c>
    </row>
    <row r="447" spans="1:2" x14ac:dyDescent="0.45">
      <c r="A447" s="5">
        <f t="shared" si="6"/>
        <v>1.5133983634301078</v>
      </c>
      <c r="B447">
        <f ca="1">B446+$C$1*($D$1-MAX(B446,0)) + $H$1*SQRT(MAX(B446,0))*randcorrWithFeedback!E447</f>
        <v>1.3120241837325781</v>
      </c>
    </row>
    <row r="448" spans="1:2" x14ac:dyDescent="0.45">
      <c r="A448" s="5">
        <f t="shared" si="6"/>
        <v>1.5133983961615056</v>
      </c>
      <c r="B448">
        <f ca="1">B447+$C$1*($D$1-MAX(B447,0)) + $H$1*SQRT(MAX(B447,0))*randcorrWithFeedback!E448</f>
        <v>1.5613221897693361</v>
      </c>
    </row>
    <row r="449" spans="1:2" x14ac:dyDescent="0.45">
      <c r="A449" s="5">
        <f t="shared" si="6"/>
        <v>1.5133984282382755</v>
      </c>
      <c r="B449">
        <f ca="1">B448+$C$1*($D$1-MAX(B448,0)) + $H$1*SQRT(MAX(B448,0))*randcorrWithFeedback!E449</f>
        <v>1.5969980765123239</v>
      </c>
    </row>
    <row r="450" spans="1:2" x14ac:dyDescent="0.45">
      <c r="A450" s="5">
        <f t="shared" si="6"/>
        <v>1.5133984596735099</v>
      </c>
      <c r="B450">
        <f ca="1">B449+$C$1*($D$1-MAX(B449,0)) + $H$1*SQRT(MAX(B449,0))*randcorrWithFeedback!E450</f>
        <v>1.6260035452553661</v>
      </c>
    </row>
    <row r="451" spans="1:2" x14ac:dyDescent="0.45">
      <c r="A451" s="5">
        <f t="shared" ref="A451:A514" si="7">A450+$C$1*($D$1-A450)</f>
        <v>1.5133984904800397</v>
      </c>
      <c r="B451">
        <f ca="1">B450+$C$1*($D$1-MAX(B450,0)) + $H$1*SQRT(MAX(B450,0))*randcorrWithFeedback!E451</f>
        <v>1.8169896579515927</v>
      </c>
    </row>
    <row r="452" spans="1:2" x14ac:dyDescent="0.45">
      <c r="A452" s="5">
        <f t="shared" si="7"/>
        <v>1.513398520670439</v>
      </c>
      <c r="B452">
        <f ca="1">B451+$C$1*($D$1-MAX(B451,0)) + $H$1*SQRT(MAX(B451,0))*randcorrWithFeedback!E452</f>
        <v>0.92618192064441673</v>
      </c>
    </row>
    <row r="453" spans="1:2" x14ac:dyDescent="0.45">
      <c r="A453" s="5">
        <f t="shared" si="7"/>
        <v>1.5133985502570302</v>
      </c>
      <c r="B453">
        <f ca="1">B452+$C$1*($D$1-MAX(B452,0)) + $H$1*SQRT(MAX(B452,0))*randcorrWithFeedback!E453</f>
        <v>0.6015158735358872</v>
      </c>
    </row>
    <row r="454" spans="1:2" x14ac:dyDescent="0.45">
      <c r="A454" s="5">
        <f t="shared" si="7"/>
        <v>1.5133985792518896</v>
      </c>
      <c r="B454">
        <f ca="1">B453+$C$1*($D$1-MAX(B453,0)) + $H$1*SQRT(MAX(B453,0))*randcorrWithFeedback!E454</f>
        <v>0.37370573081376124</v>
      </c>
    </row>
    <row r="455" spans="1:2" x14ac:dyDescent="0.45">
      <c r="A455" s="5">
        <f t="shared" si="7"/>
        <v>1.5133986076668517</v>
      </c>
      <c r="B455">
        <f ca="1">B454+$C$1*($D$1-MAX(B454,0)) + $H$1*SQRT(MAX(B454,0))*randcorrWithFeedback!E455</f>
        <v>0.23994671863972999</v>
      </c>
    </row>
    <row r="456" spans="1:2" x14ac:dyDescent="0.45">
      <c r="A456" s="5">
        <f t="shared" si="7"/>
        <v>1.5133986355135147</v>
      </c>
      <c r="B456">
        <f ca="1">B455+$C$1*($D$1-MAX(B455,0)) + $H$1*SQRT(MAX(B455,0))*randcorrWithFeedback!E456</f>
        <v>0.32284162888026918</v>
      </c>
    </row>
    <row r="457" spans="1:2" x14ac:dyDescent="0.45">
      <c r="A457" s="5">
        <f t="shared" si="7"/>
        <v>1.5133986628032445</v>
      </c>
      <c r="B457">
        <f ca="1">B456+$C$1*($D$1-MAX(B456,0)) + $H$1*SQRT(MAX(B456,0))*randcorrWithFeedback!E457</f>
        <v>-0.2077309966813537</v>
      </c>
    </row>
    <row r="458" spans="1:2" x14ac:dyDescent="0.45">
      <c r="A458" s="5">
        <f t="shared" si="7"/>
        <v>1.5133986895471796</v>
      </c>
      <c r="B458">
        <f ca="1">B457+$C$1*($D$1-MAX(B457,0)) + $H$1*SQRT(MAX(B457,0))*randcorrWithFeedback!E458</f>
        <v>-0.17746299668135368</v>
      </c>
    </row>
    <row r="459" spans="1:2" x14ac:dyDescent="0.45">
      <c r="A459" s="5">
        <f t="shared" si="7"/>
        <v>1.5133987157562361</v>
      </c>
      <c r="B459">
        <f ca="1">B458+$C$1*($D$1-MAX(B458,0)) + $H$1*SQRT(MAX(B458,0))*randcorrWithFeedback!E459</f>
        <v>-0.14719499668135366</v>
      </c>
    </row>
    <row r="460" spans="1:2" x14ac:dyDescent="0.45">
      <c r="A460" s="5">
        <f t="shared" si="7"/>
        <v>1.5133987414411114</v>
      </c>
      <c r="B460">
        <f ca="1">B459+$C$1*($D$1-MAX(B459,0)) + $H$1*SQRT(MAX(B459,0))*randcorrWithFeedback!E460</f>
        <v>-0.11692699668135366</v>
      </c>
    </row>
    <row r="461" spans="1:2" x14ac:dyDescent="0.45">
      <c r="A461" s="5">
        <f t="shared" si="7"/>
        <v>1.5133987666122892</v>
      </c>
      <c r="B461">
        <f ca="1">B460+$C$1*($D$1-MAX(B460,0)) + $H$1*SQRT(MAX(B460,0))*randcorrWithFeedback!E461</f>
        <v>-8.6658996681353656E-2</v>
      </c>
    </row>
    <row r="462" spans="1:2" x14ac:dyDescent="0.45">
      <c r="A462" s="5">
        <f t="shared" si="7"/>
        <v>1.5133987912800435</v>
      </c>
      <c r="B462">
        <f ca="1">B461+$C$1*($D$1-MAX(B461,0)) + $H$1*SQRT(MAX(B461,0))*randcorrWithFeedback!E462</f>
        <v>-5.6390996681353653E-2</v>
      </c>
    </row>
    <row r="463" spans="1:2" x14ac:dyDescent="0.45">
      <c r="A463" s="5">
        <f t="shared" si="7"/>
        <v>1.5133988154544427</v>
      </c>
      <c r="B463">
        <f ca="1">B462+$C$1*($D$1-MAX(B462,0)) + $H$1*SQRT(MAX(B462,0))*randcorrWithFeedback!E463</f>
        <v>-2.612299668135365E-2</v>
      </c>
    </row>
    <row r="464" spans="1:2" x14ac:dyDescent="0.45">
      <c r="A464" s="5">
        <f t="shared" si="7"/>
        <v>1.5133988391453539</v>
      </c>
      <c r="B464">
        <f ca="1">B463+$C$1*($D$1-MAX(B463,0)) + $H$1*SQRT(MAX(B463,0))*randcorrWithFeedback!E464</f>
        <v>4.1450033186463536E-3</v>
      </c>
    </row>
    <row r="465" spans="1:2" x14ac:dyDescent="0.45">
      <c r="A465" s="5">
        <f t="shared" si="7"/>
        <v>1.5133988623624468</v>
      </c>
      <c r="B465">
        <f ca="1">B464+$C$1*($D$1-MAX(B464,0)) + $H$1*SQRT(MAX(B464,0))*randcorrWithFeedback!E465</f>
        <v>6.0528292783310234E-2</v>
      </c>
    </row>
    <row r="466" spans="1:2" x14ac:dyDescent="0.45">
      <c r="A466" s="5">
        <f t="shared" si="7"/>
        <v>1.5133988851151978</v>
      </c>
      <c r="B466">
        <f ca="1">B465+$C$1*($D$1-MAX(B465,0)) + $H$1*SQRT(MAX(B465,0))*randcorrWithFeedback!E466</f>
        <v>-6.9145902075523E-2</v>
      </c>
    </row>
    <row r="467" spans="1:2" x14ac:dyDescent="0.45">
      <c r="A467" s="5">
        <f t="shared" si="7"/>
        <v>1.513398907412894</v>
      </c>
      <c r="B467">
        <f ca="1">B466+$C$1*($D$1-MAX(B466,0)) + $H$1*SQRT(MAX(B466,0))*randcorrWithFeedback!E467</f>
        <v>-3.8877902075522996E-2</v>
      </c>
    </row>
    <row r="468" spans="1:2" x14ac:dyDescent="0.45">
      <c r="A468" s="5">
        <f t="shared" si="7"/>
        <v>1.5133989292646362</v>
      </c>
      <c r="B468">
        <f ca="1">B467+$C$1*($D$1-MAX(B467,0)) + $H$1*SQRT(MAX(B467,0))*randcorrWithFeedback!E468</f>
        <v>-8.6099020755229932E-3</v>
      </c>
    </row>
    <row r="469" spans="1:2" x14ac:dyDescent="0.45">
      <c r="A469" s="5">
        <f t="shared" si="7"/>
        <v>1.5133989506793435</v>
      </c>
      <c r="B469">
        <f ca="1">B468+$C$1*($D$1-MAX(B468,0)) + $H$1*SQRT(MAX(B468,0))*randcorrWithFeedback!E469</f>
        <v>2.165809792447701E-2</v>
      </c>
    </row>
    <row r="470" spans="1:2" x14ac:dyDescent="0.45">
      <c r="A470" s="5">
        <f t="shared" si="7"/>
        <v>1.5133989716657565</v>
      </c>
      <c r="B470">
        <f ca="1">B469+$C$1*($D$1-MAX(B469,0)) + $H$1*SQRT(MAX(B469,0))*randcorrWithFeedback!E470</f>
        <v>4.1755889465164078E-3</v>
      </c>
    </row>
    <row r="471" spans="1:2" x14ac:dyDescent="0.45">
      <c r="A471" s="5">
        <f t="shared" si="7"/>
        <v>1.5133989922324413</v>
      </c>
      <c r="B471">
        <f ca="1">B470+$C$1*($D$1-MAX(B470,0)) + $H$1*SQRT(MAX(B470,0))*randcorrWithFeedback!E471</f>
        <v>4.424067423494956E-2</v>
      </c>
    </row>
    <row r="472" spans="1:2" x14ac:dyDescent="0.45">
      <c r="A472" s="5">
        <f t="shared" si="7"/>
        <v>1.5133990123877925</v>
      </c>
      <c r="B472">
        <f ca="1">B471+$C$1*($D$1-MAX(B471,0)) + $H$1*SQRT(MAX(B471,0))*randcorrWithFeedback!E472</f>
        <v>0.10640110721391868</v>
      </c>
    </row>
    <row r="473" spans="1:2" x14ac:dyDescent="0.45">
      <c r="A473" s="5">
        <f t="shared" si="7"/>
        <v>1.5133990321400366</v>
      </c>
      <c r="B473">
        <f ca="1">B472+$C$1*($D$1-MAX(B472,0)) + $H$1*SQRT(MAX(B472,0))*randcorrWithFeedback!E473</f>
        <v>0.2371730305471994</v>
      </c>
    </row>
    <row r="474" spans="1:2" x14ac:dyDescent="0.45">
      <c r="A474" s="5">
        <f t="shared" si="7"/>
        <v>1.5133990514972357</v>
      </c>
      <c r="B474">
        <f ca="1">B473+$C$1*($D$1-MAX(B473,0)) + $H$1*SQRT(MAX(B473,0))*randcorrWithFeedback!E474</f>
        <v>0.1944230264697932</v>
      </c>
    </row>
    <row r="475" spans="1:2" x14ac:dyDescent="0.45">
      <c r="A475" s="5">
        <f t="shared" si="7"/>
        <v>1.5133990704672911</v>
      </c>
      <c r="B475">
        <f ca="1">B474+$C$1*($D$1-MAX(B474,0)) + $H$1*SQRT(MAX(B474,0))*randcorrWithFeedback!E475</f>
        <v>0.30710395591915784</v>
      </c>
    </row>
    <row r="476" spans="1:2" x14ac:dyDescent="0.45">
      <c r="A476" s="5">
        <f t="shared" si="7"/>
        <v>1.5133990890579452</v>
      </c>
      <c r="B476">
        <f ca="1">B475+$C$1*($D$1-MAX(B475,0)) + $H$1*SQRT(MAX(B475,0))*randcorrWithFeedback!E476</f>
        <v>0.58120094742963158</v>
      </c>
    </row>
    <row r="477" spans="1:2" x14ac:dyDescent="0.45">
      <c r="A477" s="5">
        <f t="shared" si="7"/>
        <v>1.5133991072767863</v>
      </c>
      <c r="B477">
        <f ca="1">B476+$C$1*($D$1-MAX(B476,0)) + $H$1*SQRT(MAX(B476,0))*randcorrWithFeedback!E477</f>
        <v>0.56729019030765704</v>
      </c>
    </row>
    <row r="478" spans="1:2" x14ac:dyDescent="0.45">
      <c r="A478" s="5">
        <f t="shared" si="7"/>
        <v>1.5133991251312506</v>
      </c>
      <c r="B478">
        <f ca="1">B477+$C$1*($D$1-MAX(B477,0)) + $H$1*SQRT(MAX(B477,0))*randcorrWithFeedback!E478</f>
        <v>0.98848547274698206</v>
      </c>
    </row>
    <row r="479" spans="1:2" x14ac:dyDescent="0.45">
      <c r="A479" s="5">
        <f t="shared" si="7"/>
        <v>1.5133991426286255</v>
      </c>
      <c r="B479">
        <f ca="1">B478+$C$1*($D$1-MAX(B478,0)) + $H$1*SQRT(MAX(B478,0))*randcorrWithFeedback!E479</f>
        <v>1.0216466913330575</v>
      </c>
    </row>
    <row r="480" spans="1:2" x14ac:dyDescent="0.45">
      <c r="A480" s="5">
        <f t="shared" si="7"/>
        <v>1.513399159776053</v>
      </c>
      <c r="B480">
        <f ca="1">B479+$C$1*($D$1-MAX(B479,0)) + $H$1*SQRT(MAX(B479,0))*randcorrWithFeedback!E480</f>
        <v>0.41675189717644867</v>
      </c>
    </row>
    <row r="481" spans="1:2" x14ac:dyDescent="0.45">
      <c r="A481" s="5">
        <f t="shared" si="7"/>
        <v>1.5133991765805319</v>
      </c>
      <c r="B481">
        <f ca="1">B480+$C$1*($D$1-MAX(B480,0)) + $H$1*SQRT(MAX(B480,0))*randcorrWithFeedback!E481</f>
        <v>0.80441108930754845</v>
      </c>
    </row>
    <row r="482" spans="1:2" x14ac:dyDescent="0.45">
      <c r="A482" s="5">
        <f t="shared" si="7"/>
        <v>1.5133991930489212</v>
      </c>
      <c r="B482">
        <f ca="1">B481+$C$1*($D$1-MAX(B481,0)) + $H$1*SQRT(MAX(B481,0))*randcorrWithFeedback!E482</f>
        <v>0.77974230250591148</v>
      </c>
    </row>
    <row r="483" spans="1:2" x14ac:dyDescent="0.45">
      <c r="A483" s="5">
        <f t="shared" si="7"/>
        <v>1.5133992091879429</v>
      </c>
      <c r="B483">
        <f ca="1">B482+$C$1*($D$1-MAX(B482,0)) + $H$1*SQRT(MAX(B482,0))*randcorrWithFeedback!E483</f>
        <v>1.0176036095389358</v>
      </c>
    </row>
    <row r="484" spans="1:2" x14ac:dyDescent="0.45">
      <c r="A484" s="5">
        <f t="shared" si="7"/>
        <v>1.5133992250041841</v>
      </c>
      <c r="B484">
        <f ca="1">B483+$C$1*($D$1-MAX(B483,0)) + $H$1*SQRT(MAX(B483,0))*randcorrWithFeedback!E484</f>
        <v>1.0841182360954973</v>
      </c>
    </row>
    <row r="485" spans="1:2" x14ac:dyDescent="0.45">
      <c r="A485" s="5">
        <f t="shared" si="7"/>
        <v>1.5133992405041004</v>
      </c>
      <c r="B485">
        <f ca="1">B484+$C$1*($D$1-MAX(B484,0)) + $H$1*SQRT(MAX(B484,0))*randcorrWithFeedback!E485</f>
        <v>1.0831135715338154</v>
      </c>
    </row>
    <row r="486" spans="1:2" x14ac:dyDescent="0.45">
      <c r="A486" s="5">
        <f t="shared" si="7"/>
        <v>1.5133992556940183</v>
      </c>
      <c r="B486">
        <f ca="1">B485+$C$1*($D$1-MAX(B485,0)) + $H$1*SQRT(MAX(B485,0))*randcorrWithFeedback!E486</f>
        <v>1.1361556745739108</v>
      </c>
    </row>
    <row r="487" spans="1:2" x14ac:dyDescent="0.45">
      <c r="A487" s="5">
        <f t="shared" si="7"/>
        <v>1.513399270580138</v>
      </c>
      <c r="B487">
        <f ca="1">B486+$C$1*($D$1-MAX(B486,0)) + $H$1*SQRT(MAX(B486,0))*randcorrWithFeedback!E487</f>
        <v>0.77736019702084069</v>
      </c>
    </row>
    <row r="488" spans="1:2" x14ac:dyDescent="0.45">
      <c r="A488" s="5">
        <f t="shared" si="7"/>
        <v>1.5133992851685352</v>
      </c>
      <c r="B488">
        <f ca="1">B487+$C$1*($D$1-MAX(B487,0)) + $H$1*SQRT(MAX(B487,0))*randcorrWithFeedback!E488</f>
        <v>0.87949181120960562</v>
      </c>
    </row>
    <row r="489" spans="1:2" x14ac:dyDescent="0.45">
      <c r="A489" s="5">
        <f t="shared" si="7"/>
        <v>1.5133992994651644</v>
      </c>
      <c r="B489">
        <f ca="1">B488+$C$1*($D$1-MAX(B488,0)) + $H$1*SQRT(MAX(B488,0))*randcorrWithFeedback!E489</f>
        <v>1.0859785557084223</v>
      </c>
    </row>
    <row r="490" spans="1:2" x14ac:dyDescent="0.45">
      <c r="A490" s="5">
        <f t="shared" si="7"/>
        <v>1.513399313475861</v>
      </c>
      <c r="B490">
        <f ca="1">B489+$C$1*($D$1-MAX(B489,0)) + $H$1*SQRT(MAX(B489,0))*randcorrWithFeedback!E490</f>
        <v>1.1945861685437393</v>
      </c>
    </row>
    <row r="491" spans="1:2" x14ac:dyDescent="0.45">
      <c r="A491" s="5">
        <f t="shared" si="7"/>
        <v>1.5133993272063437</v>
      </c>
      <c r="B491">
        <f ca="1">B490+$C$1*($D$1-MAX(B490,0)) + $H$1*SQRT(MAX(B490,0))*randcorrWithFeedback!E491</f>
        <v>1.0553481701636918</v>
      </c>
    </row>
    <row r="492" spans="1:2" x14ac:dyDescent="0.45">
      <c r="A492" s="5">
        <f t="shared" si="7"/>
        <v>1.5133993406622168</v>
      </c>
      <c r="B492">
        <f ca="1">B491+$C$1*($D$1-MAX(B491,0)) + $H$1*SQRT(MAX(B491,0))*randcorrWithFeedback!E492</f>
        <v>1.2228286597659643</v>
      </c>
    </row>
    <row r="493" spans="1:2" x14ac:dyDescent="0.45">
      <c r="A493" s="5">
        <f t="shared" si="7"/>
        <v>1.5133993538489725</v>
      </c>
      <c r="B493">
        <f ca="1">B492+$C$1*($D$1-MAX(B492,0)) + $H$1*SQRT(MAX(B492,0))*randcorrWithFeedback!E493</f>
        <v>0.79459200755308546</v>
      </c>
    </row>
    <row r="494" spans="1:2" x14ac:dyDescent="0.45">
      <c r="A494" s="5">
        <f t="shared" si="7"/>
        <v>1.5133993667719932</v>
      </c>
      <c r="B494">
        <f ca="1">B493+$C$1*($D$1-MAX(B493,0)) + $H$1*SQRT(MAX(B493,0))*randcorrWithFeedback!E494</f>
        <v>0.93424471502989648</v>
      </c>
    </row>
    <row r="495" spans="1:2" x14ac:dyDescent="0.45">
      <c r="A495" s="5">
        <f t="shared" si="7"/>
        <v>1.5133993794365532</v>
      </c>
      <c r="B495">
        <f ca="1">B494+$C$1*($D$1-MAX(B494,0)) + $H$1*SQRT(MAX(B494,0))*randcorrWithFeedback!E495</f>
        <v>1.2772776098270582</v>
      </c>
    </row>
    <row r="496" spans="1:2" x14ac:dyDescent="0.45">
      <c r="A496" s="5">
        <f t="shared" si="7"/>
        <v>1.5133993918478221</v>
      </c>
      <c r="B496">
        <f ca="1">B495+$C$1*($D$1-MAX(B495,0)) + $H$1*SQRT(MAX(B495,0))*randcorrWithFeedback!E496</f>
        <v>1.0903076304723831</v>
      </c>
    </row>
    <row r="497" spans="1:2" x14ac:dyDescent="0.45">
      <c r="A497" s="5">
        <f t="shared" si="7"/>
        <v>1.5133994040108656</v>
      </c>
      <c r="B497">
        <f ca="1">B496+$C$1*($D$1-MAX(B496,0)) + $H$1*SQRT(MAX(B496,0))*randcorrWithFeedback!E497</f>
        <v>1.0373589368608798</v>
      </c>
    </row>
    <row r="498" spans="1:2" x14ac:dyDescent="0.45">
      <c r="A498" s="5">
        <f t="shared" si="7"/>
        <v>1.5133994159306483</v>
      </c>
      <c r="B498">
        <f ca="1">B497+$C$1*($D$1-MAX(B497,0)) + $H$1*SQRT(MAX(B497,0))*randcorrWithFeedback!E498</f>
        <v>1.5256255678693702</v>
      </c>
    </row>
    <row r="499" spans="1:2" x14ac:dyDescent="0.45">
      <c r="A499" s="5">
        <f t="shared" si="7"/>
        <v>1.5133994276120353</v>
      </c>
      <c r="B499">
        <f ca="1">B498+$C$1*($D$1-MAX(B498,0)) + $H$1*SQRT(MAX(B498,0))*randcorrWithFeedback!E499</f>
        <v>1.7250011742860887</v>
      </c>
    </row>
    <row r="500" spans="1:2" x14ac:dyDescent="0.45">
      <c r="A500" s="5">
        <f t="shared" si="7"/>
        <v>1.5133994390597945</v>
      </c>
      <c r="B500">
        <f ca="1">B499+$C$1*($D$1-MAX(B499,0)) + $H$1*SQRT(MAX(B499,0))*randcorrWithFeedback!E500</f>
        <v>1.4317076741513111</v>
      </c>
    </row>
    <row r="501" spans="1:2" x14ac:dyDescent="0.45">
      <c r="A501" s="5">
        <f t="shared" si="7"/>
        <v>1.5133994502785986</v>
      </c>
      <c r="B501">
        <f ca="1">B500+$C$1*($D$1-MAX(B500,0)) + $H$1*SQRT(MAX(B500,0))*randcorrWithFeedback!E501</f>
        <v>1.3120166912227114</v>
      </c>
    </row>
    <row r="502" spans="1:2" x14ac:dyDescent="0.45">
      <c r="A502" s="5">
        <f t="shared" si="7"/>
        <v>1.5133994612730266</v>
      </c>
      <c r="B502">
        <f ca="1">B501+$C$1*($D$1-MAX(B501,0)) + $H$1*SQRT(MAX(B501,0))*randcorrWithFeedback!E502</f>
        <v>0.56588592875352817</v>
      </c>
    </row>
    <row r="503" spans="1:2" x14ac:dyDescent="0.45">
      <c r="A503" s="5">
        <f t="shared" si="7"/>
        <v>1.5133994720475661</v>
      </c>
      <c r="B503">
        <f ca="1">B502+$C$1*($D$1-MAX(B502,0)) + $H$1*SQRT(MAX(B502,0))*randcorrWithFeedback!E503</f>
        <v>2.538262713537609E-2</v>
      </c>
    </row>
    <row r="504" spans="1:2" x14ac:dyDescent="0.45">
      <c r="A504" s="5">
        <f t="shared" si="7"/>
        <v>1.5133994826066148</v>
      </c>
      <c r="B504">
        <f ca="1">B503+$C$1*($D$1-MAX(B503,0)) + $H$1*SQRT(MAX(B503,0))*randcorrWithFeedback!E504</f>
        <v>4.329711518310049E-2</v>
      </c>
    </row>
    <row r="505" spans="1:2" x14ac:dyDescent="0.45">
      <c r="A505" s="5">
        <f t="shared" si="7"/>
        <v>1.5133994929544825</v>
      </c>
      <c r="B505">
        <f ca="1">B504+$C$1*($D$1-MAX(B504,0)) + $H$1*SQRT(MAX(B504,0))*randcorrWithFeedback!E505</f>
        <v>8.20904488534899E-2</v>
      </c>
    </row>
    <row r="506" spans="1:2" x14ac:dyDescent="0.45">
      <c r="A506" s="5">
        <f t="shared" si="7"/>
        <v>1.5133995030953928</v>
      </c>
      <c r="B506">
        <f ca="1">B505+$C$1*($D$1-MAX(B505,0)) + $H$1*SQRT(MAX(B505,0))*randcorrWithFeedback!E506</f>
        <v>7.2900612876944826E-2</v>
      </c>
    </row>
    <row r="507" spans="1:2" x14ac:dyDescent="0.45">
      <c r="A507" s="5">
        <f t="shared" si="7"/>
        <v>1.513399513033485</v>
      </c>
      <c r="B507">
        <f ca="1">B506+$C$1*($D$1-MAX(B506,0)) + $H$1*SQRT(MAX(B506,0))*randcorrWithFeedback!E507</f>
        <v>0.10479810349646215</v>
      </c>
    </row>
    <row r="508" spans="1:2" x14ac:dyDescent="0.45">
      <c r="A508" s="5">
        <f t="shared" si="7"/>
        <v>1.5133995227728152</v>
      </c>
      <c r="B508">
        <f ca="1">B507+$C$1*($D$1-MAX(B507,0)) + $H$1*SQRT(MAX(B507,0))*randcorrWithFeedback!E508</f>
        <v>0.16931247984052603</v>
      </c>
    </row>
    <row r="509" spans="1:2" x14ac:dyDescent="0.45">
      <c r="A509" s="5">
        <f t="shared" si="7"/>
        <v>1.5133995323173588</v>
      </c>
      <c r="B509">
        <f ca="1">B508+$C$1*($D$1-MAX(B508,0)) + $H$1*SQRT(MAX(B508,0))*randcorrWithFeedback!E509</f>
        <v>0.2586317682397018</v>
      </c>
    </row>
    <row r="510" spans="1:2" x14ac:dyDescent="0.45">
      <c r="A510" s="5">
        <f t="shared" si="7"/>
        <v>1.5133995416710115</v>
      </c>
      <c r="B510">
        <f ca="1">B509+$C$1*($D$1-MAX(B509,0)) + $H$1*SQRT(MAX(B509,0))*randcorrWithFeedback!E510</f>
        <v>0.52051219609269217</v>
      </c>
    </row>
    <row r="511" spans="1:2" x14ac:dyDescent="0.45">
      <c r="A511" s="5">
        <f t="shared" si="7"/>
        <v>1.5133995508375913</v>
      </c>
      <c r="B511">
        <f ca="1">B510+$C$1*($D$1-MAX(B510,0)) + $H$1*SQRT(MAX(B510,0))*randcorrWithFeedback!E511</f>
        <v>0.65632755296906697</v>
      </c>
    </row>
    <row r="512" spans="1:2" x14ac:dyDescent="0.45">
      <c r="A512" s="5">
        <f t="shared" si="7"/>
        <v>1.5133995598208394</v>
      </c>
      <c r="B512">
        <f ca="1">B511+$C$1*($D$1-MAX(B511,0)) + $H$1*SQRT(MAX(B511,0))*randcorrWithFeedback!E512</f>
        <v>0.52399764572584706</v>
      </c>
    </row>
    <row r="513" spans="1:2" x14ac:dyDescent="0.45">
      <c r="A513" s="5">
        <f t="shared" si="7"/>
        <v>1.5133995686244226</v>
      </c>
      <c r="B513">
        <f ca="1">B512+$C$1*($D$1-MAX(B512,0)) + $H$1*SQRT(MAX(B512,0))*randcorrWithFeedback!E513</f>
        <v>0.9286878983027953</v>
      </c>
    </row>
    <row r="514" spans="1:2" x14ac:dyDescent="0.45">
      <c r="A514" s="5">
        <f t="shared" si="7"/>
        <v>1.5133995772519342</v>
      </c>
      <c r="B514">
        <f ca="1">B513+$C$1*($D$1-MAX(B513,0)) + $H$1*SQRT(MAX(B513,0))*randcorrWithFeedback!E514</f>
        <v>0.97668158470729238</v>
      </c>
    </row>
    <row r="515" spans="1:2" x14ac:dyDescent="0.45">
      <c r="A515" s="5">
        <f t="shared" ref="A515:A578" si="8">A514+$C$1*($D$1-A514)</f>
        <v>1.5133995857068956</v>
      </c>
      <c r="B515">
        <f ca="1">B514+$C$1*($D$1-MAX(B514,0)) + $H$1*SQRT(MAX(B514,0))*randcorrWithFeedback!E515</f>
        <v>0.65121707031295173</v>
      </c>
    </row>
    <row r="516" spans="1:2" x14ac:dyDescent="0.45">
      <c r="A516" s="5">
        <f t="shared" si="8"/>
        <v>1.5133995939927576</v>
      </c>
      <c r="B516">
        <f ca="1">B515+$C$1*($D$1-MAX(B515,0)) + $H$1*SQRT(MAX(B515,0))*randcorrWithFeedback!E516</f>
        <v>1.7041812144803048E-2</v>
      </c>
    </row>
    <row r="517" spans="1:2" x14ac:dyDescent="0.45">
      <c r="A517" s="5">
        <f t="shared" si="8"/>
        <v>1.5133996021129024</v>
      </c>
      <c r="B517">
        <f ca="1">B516+$C$1*($D$1-MAX(B516,0)) + $H$1*SQRT(MAX(B516,0))*randcorrWithFeedback!E517</f>
        <v>5.5113789441900311E-2</v>
      </c>
    </row>
    <row r="518" spans="1:2" x14ac:dyDescent="0.45">
      <c r="A518" s="5">
        <f t="shared" si="8"/>
        <v>1.5133996100706444</v>
      </c>
      <c r="B518">
        <f ca="1">B517+$C$1*($D$1-MAX(B517,0)) + $H$1*SQRT(MAX(B517,0))*randcorrWithFeedback!E518</f>
        <v>4.6015965039878703E-2</v>
      </c>
    </row>
    <row r="519" spans="1:2" x14ac:dyDescent="0.45">
      <c r="A519" s="5">
        <f t="shared" si="8"/>
        <v>1.5133996178692315</v>
      </c>
      <c r="B519">
        <f ca="1">B518+$C$1*($D$1-MAX(B518,0)) + $H$1*SQRT(MAX(B518,0))*randcorrWithFeedback!E519</f>
        <v>5.8850018133418697E-2</v>
      </c>
    </row>
    <row r="520" spans="1:2" x14ac:dyDescent="0.45">
      <c r="A520" s="5">
        <f t="shared" si="8"/>
        <v>1.5133996255118469</v>
      </c>
      <c r="B520">
        <f ca="1">B519+$C$1*($D$1-MAX(B519,0)) + $H$1*SQRT(MAX(B519,0))*randcorrWithFeedback!E520</f>
        <v>0.21548119839876634</v>
      </c>
    </row>
    <row r="521" spans="1:2" x14ac:dyDescent="0.45">
      <c r="A521" s="5">
        <f t="shared" si="8"/>
        <v>1.51339963300161</v>
      </c>
      <c r="B521">
        <f ca="1">B520+$C$1*($D$1-MAX(B520,0)) + $H$1*SQRT(MAX(B520,0))*randcorrWithFeedback!E521</f>
        <v>0.37752597218492517</v>
      </c>
    </row>
    <row r="522" spans="1:2" x14ac:dyDescent="0.45">
      <c r="A522" s="5">
        <f t="shared" si="8"/>
        <v>1.5133996403415777</v>
      </c>
      <c r="B522">
        <f ca="1">B521+$C$1*($D$1-MAX(B521,0)) + $H$1*SQRT(MAX(B521,0))*randcorrWithFeedback!E522</f>
        <v>0.29365824878597652</v>
      </c>
    </row>
    <row r="523" spans="1:2" x14ac:dyDescent="0.45">
      <c r="A523" s="5">
        <f t="shared" si="8"/>
        <v>1.5133996475347462</v>
      </c>
      <c r="B523">
        <f ca="1">B522+$C$1*($D$1-MAX(B522,0)) + $H$1*SQRT(MAX(B522,0))*randcorrWithFeedback!E523</f>
        <v>0.42124725006966129</v>
      </c>
    </row>
    <row r="524" spans="1:2" x14ac:dyDescent="0.45">
      <c r="A524" s="5">
        <f t="shared" si="8"/>
        <v>1.5133996545840513</v>
      </c>
      <c r="B524">
        <f ca="1">B523+$C$1*($D$1-MAX(B523,0)) + $H$1*SQRT(MAX(B523,0))*randcorrWithFeedback!E524</f>
        <v>0.15315316176397159</v>
      </c>
    </row>
    <row r="525" spans="1:2" x14ac:dyDescent="0.45">
      <c r="A525" s="5">
        <f t="shared" si="8"/>
        <v>1.5133996614923704</v>
      </c>
      <c r="B525">
        <f ca="1">B524+$C$1*($D$1-MAX(B524,0)) + $H$1*SQRT(MAX(B524,0))*randcorrWithFeedback!E525</f>
        <v>0.23109358544993799</v>
      </c>
    </row>
    <row r="526" spans="1:2" x14ac:dyDescent="0.45">
      <c r="A526" s="5">
        <f t="shared" si="8"/>
        <v>1.513399668262523</v>
      </c>
      <c r="B526">
        <f ca="1">B525+$C$1*($D$1-MAX(B525,0)) + $H$1*SQRT(MAX(B525,0))*randcorrWithFeedback!E526</f>
        <v>0.32937502648366801</v>
      </c>
    </row>
    <row r="527" spans="1:2" x14ac:dyDescent="0.45">
      <c r="A527" s="5">
        <f t="shared" si="8"/>
        <v>1.5133996748972727</v>
      </c>
      <c r="B527">
        <f ca="1">B526+$C$1*($D$1-MAX(B526,0)) + $H$1*SQRT(MAX(B526,0))*randcorrWithFeedback!E527</f>
        <v>0.46356886542633491</v>
      </c>
    </row>
    <row r="528" spans="1:2" x14ac:dyDescent="0.45">
      <c r="A528" s="5">
        <f t="shared" si="8"/>
        <v>1.5133996813993271</v>
      </c>
      <c r="B528">
        <f ca="1">B527+$C$1*($D$1-MAX(B527,0)) + $H$1*SQRT(MAX(B527,0))*randcorrWithFeedback!E528</f>
        <v>0.36370904110127034</v>
      </c>
    </row>
    <row r="529" spans="1:2" x14ac:dyDescent="0.45">
      <c r="A529" s="5">
        <f t="shared" si="8"/>
        <v>1.5133996877713405</v>
      </c>
      <c r="B529">
        <f ca="1">B528+$C$1*($D$1-MAX(B528,0)) + $H$1*SQRT(MAX(B528,0))*randcorrWithFeedback!E529</f>
        <v>0.28222838337381734</v>
      </c>
    </row>
    <row r="530" spans="1:2" x14ac:dyDescent="0.45">
      <c r="A530" s="5">
        <f t="shared" si="8"/>
        <v>1.5133996940159138</v>
      </c>
      <c r="B530">
        <f ca="1">B529+$C$1*($D$1-MAX(B529,0)) + $H$1*SQRT(MAX(B529,0))*randcorrWithFeedback!E530</f>
        <v>0.37508113705698071</v>
      </c>
    </row>
    <row r="531" spans="1:2" x14ac:dyDescent="0.45">
      <c r="A531" s="5">
        <f t="shared" si="8"/>
        <v>1.5133997001355954</v>
      </c>
      <c r="B531">
        <f ca="1">B530+$C$1*($D$1-MAX(B530,0)) + $H$1*SQRT(MAX(B530,0))*randcorrWithFeedback!E531</f>
        <v>0.67927262770763608</v>
      </c>
    </row>
    <row r="532" spans="1:2" x14ac:dyDescent="0.45">
      <c r="A532" s="5">
        <f t="shared" si="8"/>
        <v>1.5133997061328834</v>
      </c>
      <c r="B532">
        <f ca="1">B531+$C$1*($D$1-MAX(B531,0)) + $H$1*SQRT(MAX(B531,0))*randcorrWithFeedback!E532</f>
        <v>0.48643053550563192</v>
      </c>
    </row>
    <row r="533" spans="1:2" x14ac:dyDescent="0.45">
      <c r="A533" s="5">
        <f t="shared" si="8"/>
        <v>1.5133997120102258</v>
      </c>
      <c r="B533">
        <f ca="1">B532+$C$1*($D$1-MAX(B532,0)) + $H$1*SQRT(MAX(B532,0))*randcorrWithFeedback!E533</f>
        <v>0.76798267226966965</v>
      </c>
    </row>
    <row r="534" spans="1:2" x14ac:dyDescent="0.45">
      <c r="A534" s="5">
        <f t="shared" si="8"/>
        <v>1.5133997177700214</v>
      </c>
      <c r="B534">
        <f ca="1">B533+$C$1*($D$1-MAX(B533,0)) + $H$1*SQRT(MAX(B533,0))*randcorrWithFeedback!E534</f>
        <v>1.3960758312242827</v>
      </c>
    </row>
    <row r="535" spans="1:2" x14ac:dyDescent="0.45">
      <c r="A535" s="5">
        <f t="shared" si="8"/>
        <v>1.513399723414621</v>
      </c>
      <c r="B535">
        <f ca="1">B534+$C$1*($D$1-MAX(B534,0)) + $H$1*SQRT(MAX(B534,0))*randcorrWithFeedback!E535</f>
        <v>1.5189619093859796</v>
      </c>
    </row>
    <row r="536" spans="1:2" x14ac:dyDescent="0.45">
      <c r="A536" s="5">
        <f t="shared" si="8"/>
        <v>1.5133997289463286</v>
      </c>
      <c r="B536">
        <f ca="1">B535+$C$1*($D$1-MAX(B535,0)) + $H$1*SQRT(MAX(B535,0))*randcorrWithFeedback!E536</f>
        <v>1.3181865555205718</v>
      </c>
    </row>
    <row r="537" spans="1:2" x14ac:dyDescent="0.45">
      <c r="A537" s="5">
        <f t="shared" si="8"/>
        <v>1.5133997343674019</v>
      </c>
      <c r="B537">
        <f ca="1">B536+$C$1*($D$1-MAX(B536,0)) + $H$1*SQRT(MAX(B536,0))*randcorrWithFeedback!E537</f>
        <v>1.0246079981254959</v>
      </c>
    </row>
    <row r="538" spans="1:2" x14ac:dyDescent="0.45">
      <c r="A538" s="5">
        <f t="shared" si="8"/>
        <v>1.5133997396800538</v>
      </c>
      <c r="B538">
        <f ca="1">B537+$C$1*($D$1-MAX(B537,0)) + $H$1*SQRT(MAX(B537,0))*randcorrWithFeedback!E538</f>
        <v>1.4268556408692952</v>
      </c>
    </row>
    <row r="539" spans="1:2" x14ac:dyDescent="0.45">
      <c r="A539" s="5">
        <f t="shared" si="8"/>
        <v>1.5133997448864527</v>
      </c>
      <c r="B539">
        <f ca="1">B538+$C$1*($D$1-MAX(B538,0)) + $H$1*SQRT(MAX(B538,0))*randcorrWithFeedback!E539</f>
        <v>1.396243720840924</v>
      </c>
    </row>
    <row r="540" spans="1:2" x14ac:dyDescent="0.45">
      <c r="A540" s="5">
        <f t="shared" si="8"/>
        <v>1.5133997499887237</v>
      </c>
      <c r="B540">
        <f ca="1">B539+$C$1*($D$1-MAX(B539,0)) + $H$1*SQRT(MAX(B539,0))*randcorrWithFeedback!E540</f>
        <v>1.2560362992878333</v>
      </c>
    </row>
    <row r="541" spans="1:2" x14ac:dyDescent="0.45">
      <c r="A541" s="5">
        <f t="shared" si="8"/>
        <v>1.5133997549889493</v>
      </c>
      <c r="B541">
        <f ca="1">B540+$C$1*($D$1-MAX(B540,0)) + $H$1*SQRT(MAX(B540,0))*randcorrWithFeedback!E541</f>
        <v>1.6072098040798424</v>
      </c>
    </row>
    <row r="542" spans="1:2" x14ac:dyDescent="0.45">
      <c r="A542" s="5">
        <f t="shared" si="8"/>
        <v>1.5133997598891704</v>
      </c>
      <c r="B542">
        <f ca="1">B541+$C$1*($D$1-MAX(B541,0)) + $H$1*SQRT(MAX(B541,0))*randcorrWithFeedback!E542</f>
        <v>1.7547527931156379</v>
      </c>
    </row>
    <row r="543" spans="1:2" x14ac:dyDescent="0.45">
      <c r="A543" s="5">
        <f t="shared" si="8"/>
        <v>1.513399764691387</v>
      </c>
      <c r="B543">
        <f ca="1">B542+$C$1*($D$1-MAX(B542,0)) + $H$1*SQRT(MAX(B542,0))*randcorrWithFeedback!E543</f>
        <v>2.0717773056952962</v>
      </c>
    </row>
    <row r="544" spans="1:2" x14ac:dyDescent="0.45">
      <c r="A544" s="5">
        <f t="shared" si="8"/>
        <v>1.5133997693975594</v>
      </c>
      <c r="B544">
        <f ca="1">B543+$C$1*($D$1-MAX(B543,0)) + $H$1*SQRT(MAX(B543,0))*randcorrWithFeedback!E544</f>
        <v>1.9332161939333263</v>
      </c>
    </row>
    <row r="545" spans="1:2" x14ac:dyDescent="0.45">
      <c r="A545" s="5">
        <f t="shared" si="8"/>
        <v>1.5133997740096081</v>
      </c>
      <c r="B545">
        <f ca="1">B544+$C$1*($D$1-MAX(B544,0)) + $H$1*SQRT(MAX(B544,0))*randcorrWithFeedback!E545</f>
        <v>1.9856604242509208</v>
      </c>
    </row>
    <row r="546" spans="1:2" x14ac:dyDescent="0.45">
      <c r="A546" s="5">
        <f t="shared" si="8"/>
        <v>1.513399778529416</v>
      </c>
      <c r="B546">
        <f ca="1">B545+$C$1*($D$1-MAX(B545,0)) + $H$1*SQRT(MAX(B545,0))*randcorrWithFeedback!E546</f>
        <v>1.4701937137787804</v>
      </c>
    </row>
    <row r="547" spans="1:2" x14ac:dyDescent="0.45">
      <c r="A547" s="5">
        <f t="shared" si="8"/>
        <v>1.5133997829588277</v>
      </c>
      <c r="B547">
        <f ca="1">B546+$C$1*($D$1-MAX(B546,0)) + $H$1*SQRT(MAX(B546,0))*randcorrWithFeedback!E547</f>
        <v>1.2201348534633523</v>
      </c>
    </row>
    <row r="548" spans="1:2" x14ac:dyDescent="0.45">
      <c r="A548" s="5">
        <f t="shared" si="8"/>
        <v>1.5133997872996512</v>
      </c>
      <c r="B548">
        <f ca="1">B547+$C$1*($D$1-MAX(B547,0)) + $H$1*SQRT(MAX(B547,0))*randcorrWithFeedback!E548</f>
        <v>0.72550313860767712</v>
      </c>
    </row>
    <row r="549" spans="1:2" x14ac:dyDescent="0.45">
      <c r="A549" s="5">
        <f t="shared" si="8"/>
        <v>1.5133997915536581</v>
      </c>
      <c r="B549">
        <f ca="1">B548+$C$1*($D$1-MAX(B548,0)) + $H$1*SQRT(MAX(B548,0))*randcorrWithFeedback!E549</f>
        <v>0.61967820932747009</v>
      </c>
    </row>
    <row r="550" spans="1:2" x14ac:dyDescent="0.45">
      <c r="A550" s="5">
        <f t="shared" si="8"/>
        <v>1.5133997957225849</v>
      </c>
      <c r="B550">
        <f ca="1">B549+$C$1*($D$1-MAX(B549,0)) + $H$1*SQRT(MAX(B549,0))*randcorrWithFeedback!E550</f>
        <v>0.95606175189043441</v>
      </c>
    </row>
    <row r="551" spans="1:2" x14ac:dyDescent="0.45">
      <c r="A551" s="5">
        <f t="shared" si="8"/>
        <v>1.5133997998081332</v>
      </c>
      <c r="B551">
        <f ca="1">B550+$C$1*($D$1-MAX(B550,0)) + $H$1*SQRT(MAX(B550,0))*randcorrWithFeedback!E551</f>
        <v>0.97102978592024247</v>
      </c>
    </row>
    <row r="552" spans="1:2" x14ac:dyDescent="0.45">
      <c r="A552" s="5">
        <f t="shared" si="8"/>
        <v>1.5133998038119705</v>
      </c>
      <c r="B552">
        <f ca="1">B551+$C$1*($D$1-MAX(B551,0)) + $H$1*SQRT(MAX(B551,0))*randcorrWithFeedback!E552</f>
        <v>1.1254807318143809</v>
      </c>
    </row>
    <row r="553" spans="1:2" x14ac:dyDescent="0.45">
      <c r="A553" s="5">
        <f t="shared" si="8"/>
        <v>1.5133998077357311</v>
      </c>
      <c r="B553">
        <f ca="1">B552+$C$1*($D$1-MAX(B552,0)) + $H$1*SQRT(MAX(B552,0))*randcorrWithFeedback!E553</f>
        <v>1.239288617894527</v>
      </c>
    </row>
    <row r="554" spans="1:2" x14ac:dyDescent="0.45">
      <c r="A554" s="5">
        <f t="shared" si="8"/>
        <v>1.5133998115810166</v>
      </c>
      <c r="B554">
        <f ca="1">B553+$C$1*($D$1-MAX(B553,0)) + $H$1*SQRT(MAX(B553,0))*randcorrWithFeedback!E554</f>
        <v>1.3396549561790274</v>
      </c>
    </row>
    <row r="555" spans="1:2" x14ac:dyDescent="0.45">
      <c r="A555" s="5">
        <f t="shared" si="8"/>
        <v>1.5133998153493962</v>
      </c>
      <c r="B555">
        <f ca="1">B554+$C$1*($D$1-MAX(B554,0)) + $H$1*SQRT(MAX(B554,0))*randcorrWithFeedback!E555</f>
        <v>1.2344891078190132</v>
      </c>
    </row>
    <row r="556" spans="1:2" x14ac:dyDescent="0.45">
      <c r="A556" s="5">
        <f t="shared" si="8"/>
        <v>1.5133998190424083</v>
      </c>
      <c r="B556">
        <f ca="1">B555+$C$1*($D$1-MAX(B555,0)) + $H$1*SQRT(MAX(B555,0))*randcorrWithFeedback!E556</f>
        <v>1.7619643856198943</v>
      </c>
    </row>
    <row r="557" spans="1:2" x14ac:dyDescent="0.45">
      <c r="A557" s="5">
        <f t="shared" si="8"/>
        <v>1.5133998226615601</v>
      </c>
      <c r="B557">
        <f ca="1">B556+$C$1*($D$1-MAX(B556,0)) + $H$1*SQRT(MAX(B556,0))*randcorrWithFeedback!E557</f>
        <v>2.0849872401290162</v>
      </c>
    </row>
    <row r="558" spans="1:2" x14ac:dyDescent="0.45">
      <c r="A558" s="5">
        <f t="shared" si="8"/>
        <v>1.513399826208329</v>
      </c>
      <c r="B558">
        <f ca="1">B557+$C$1*($D$1-MAX(B557,0)) + $H$1*SQRT(MAX(B557,0))*randcorrWithFeedback!E558</f>
        <v>2.6021184181592885</v>
      </c>
    </row>
    <row r="559" spans="1:2" x14ac:dyDescent="0.45">
      <c r="A559" s="5">
        <f t="shared" si="8"/>
        <v>1.5133998296841624</v>
      </c>
      <c r="B559">
        <f ca="1">B558+$C$1*($D$1-MAX(B558,0)) + $H$1*SQRT(MAX(B558,0))*randcorrWithFeedback!E559</f>
        <v>2.2876907164394211</v>
      </c>
    </row>
    <row r="560" spans="1:2" x14ac:dyDescent="0.45">
      <c r="A560" s="5">
        <f t="shared" si="8"/>
        <v>1.5133998330904792</v>
      </c>
      <c r="B560">
        <f ca="1">B559+$C$1*($D$1-MAX(B559,0)) + $H$1*SQRT(MAX(B559,0))*randcorrWithFeedback!E560</f>
        <v>2.2373088419149849</v>
      </c>
    </row>
    <row r="561" spans="1:2" x14ac:dyDescent="0.45">
      <c r="A561" s="5">
        <f t="shared" si="8"/>
        <v>1.5133998364286696</v>
      </c>
      <c r="B561">
        <f ca="1">B560+$C$1*($D$1-MAX(B560,0)) + $H$1*SQRT(MAX(B560,0))*randcorrWithFeedback!E561</f>
        <v>2.133121580264274</v>
      </c>
    </row>
    <row r="562" spans="1:2" x14ac:dyDescent="0.45">
      <c r="A562" s="5">
        <f t="shared" si="8"/>
        <v>1.5133998397000963</v>
      </c>
      <c r="B562">
        <f ca="1">B561+$C$1*($D$1-MAX(B561,0)) + $H$1*SQRT(MAX(B561,0))*randcorrWithFeedback!E562</f>
        <v>2.1303329244255629</v>
      </c>
    </row>
    <row r="563" spans="1:2" x14ac:dyDescent="0.45">
      <c r="A563" s="5">
        <f t="shared" si="8"/>
        <v>1.5133998429060944</v>
      </c>
      <c r="B563">
        <f ca="1">B562+$C$1*($D$1-MAX(B562,0)) + $H$1*SQRT(MAX(B562,0))*randcorrWithFeedback!E563</f>
        <v>2.320441772825125</v>
      </c>
    </row>
    <row r="564" spans="1:2" x14ac:dyDescent="0.45">
      <c r="A564" s="5">
        <f t="shared" si="8"/>
        <v>1.5133998460479725</v>
      </c>
      <c r="B564">
        <f ca="1">B563+$C$1*($D$1-MAX(B563,0)) + $H$1*SQRT(MAX(B563,0))*randcorrWithFeedback!E564</f>
        <v>2.3520022741749473</v>
      </c>
    </row>
    <row r="565" spans="1:2" x14ac:dyDescent="0.45">
      <c r="A565" s="5">
        <f t="shared" si="8"/>
        <v>1.5133998491270131</v>
      </c>
      <c r="B565">
        <f ca="1">B564+$C$1*($D$1-MAX(B564,0)) + $H$1*SQRT(MAX(B564,0))*randcorrWithFeedback!E565</f>
        <v>3.2653537838372868</v>
      </c>
    </row>
    <row r="566" spans="1:2" x14ac:dyDescent="0.45">
      <c r="A566" s="5">
        <f t="shared" si="8"/>
        <v>1.5133998521444729</v>
      </c>
      <c r="B566">
        <f ca="1">B565+$C$1*($D$1-MAX(B565,0)) + $H$1*SQRT(MAX(B565,0))*randcorrWithFeedback!E566</f>
        <v>2.4012404023941896</v>
      </c>
    </row>
    <row r="567" spans="1:2" x14ac:dyDescent="0.45">
      <c r="A567" s="5">
        <f t="shared" si="8"/>
        <v>1.5133998551015835</v>
      </c>
      <c r="B567">
        <f ca="1">B566+$C$1*($D$1-MAX(B566,0)) + $H$1*SQRT(MAX(B566,0))*randcorrWithFeedback!E567</f>
        <v>1.6733667609696283</v>
      </c>
    </row>
    <row r="568" spans="1:2" x14ac:dyDescent="0.45">
      <c r="A568" s="5">
        <f t="shared" si="8"/>
        <v>1.5133998579995518</v>
      </c>
      <c r="B568">
        <f ca="1">B567+$C$1*($D$1-MAX(B567,0)) + $H$1*SQRT(MAX(B567,0))*randcorrWithFeedback!E568</f>
        <v>1.0111372795490294</v>
      </c>
    </row>
    <row r="569" spans="1:2" x14ac:dyDescent="0.45">
      <c r="A569" s="5">
        <f t="shared" si="8"/>
        <v>1.5133998608395607</v>
      </c>
      <c r="B569">
        <f ca="1">B568+$C$1*($D$1-MAX(B568,0)) + $H$1*SQRT(MAX(B568,0))*randcorrWithFeedback!E569</f>
        <v>0.78000976066096195</v>
      </c>
    </row>
    <row r="570" spans="1:2" x14ac:dyDescent="0.45">
      <c r="A570" s="5">
        <f t="shared" si="8"/>
        <v>1.5133998636227695</v>
      </c>
      <c r="B570">
        <f ca="1">B569+$C$1*($D$1-MAX(B569,0)) + $H$1*SQRT(MAX(B569,0))*randcorrWithFeedback!E570</f>
        <v>1.0258891283086389</v>
      </c>
    </row>
    <row r="571" spans="1:2" x14ac:dyDescent="0.45">
      <c r="A571" s="5">
        <f t="shared" si="8"/>
        <v>1.5133998663503141</v>
      </c>
      <c r="B571">
        <f ca="1">B570+$C$1*($D$1-MAX(B570,0)) + $H$1*SQRT(MAX(B570,0))*randcorrWithFeedback!E571</f>
        <v>1.1318150224277774</v>
      </c>
    </row>
    <row r="572" spans="1:2" x14ac:dyDescent="0.45">
      <c r="A572" s="5">
        <f t="shared" si="8"/>
        <v>1.5133998690233079</v>
      </c>
      <c r="B572">
        <f ca="1">B571+$C$1*($D$1-MAX(B571,0)) + $H$1*SQRT(MAX(B571,0))*randcorrWithFeedback!E572</f>
        <v>0.83054616105893242</v>
      </c>
    </row>
    <row r="573" spans="1:2" x14ac:dyDescent="0.45">
      <c r="A573" s="5">
        <f t="shared" si="8"/>
        <v>1.5133998716428418</v>
      </c>
      <c r="B573">
        <f ca="1">B572+$C$1*($D$1-MAX(B572,0)) + $H$1*SQRT(MAX(B572,0))*randcorrWithFeedback!E573</f>
        <v>0.63338857845993746</v>
      </c>
    </row>
    <row r="574" spans="1:2" x14ac:dyDescent="0.45">
      <c r="A574" s="5">
        <f t="shared" si="8"/>
        <v>1.513399874209985</v>
      </c>
      <c r="B574">
        <f ca="1">B573+$C$1*($D$1-MAX(B573,0)) + $H$1*SQRT(MAX(B573,0))*randcorrWithFeedback!E574</f>
        <v>0.72453345227401511</v>
      </c>
    </row>
    <row r="575" spans="1:2" x14ac:dyDescent="0.45">
      <c r="A575" s="5">
        <f t="shared" si="8"/>
        <v>1.5133998767257852</v>
      </c>
      <c r="B575">
        <f ca="1">B574+$C$1*($D$1-MAX(B574,0)) + $H$1*SQRT(MAX(B574,0))*randcorrWithFeedback!E575</f>
        <v>0.80076903824026158</v>
      </c>
    </row>
    <row r="576" spans="1:2" x14ac:dyDescent="0.45">
      <c r="A576" s="5">
        <f t="shared" si="8"/>
        <v>1.5133998791912695</v>
      </c>
      <c r="B576">
        <f ca="1">B575+$C$1*($D$1-MAX(B575,0)) + $H$1*SQRT(MAX(B575,0))*randcorrWithFeedback!E576</f>
        <v>0.85932678733279477</v>
      </c>
    </row>
    <row r="577" spans="1:2" x14ac:dyDescent="0.45">
      <c r="A577" s="5">
        <f t="shared" si="8"/>
        <v>1.5133998816074441</v>
      </c>
      <c r="B577">
        <f ca="1">B576+$C$1*($D$1-MAX(B576,0)) + $H$1*SQRT(MAX(B576,0))*randcorrWithFeedback!E577</f>
        <v>0.97933640726255988</v>
      </c>
    </row>
    <row r="578" spans="1:2" x14ac:dyDescent="0.45">
      <c r="A578" s="5">
        <f t="shared" si="8"/>
        <v>1.5133998839752951</v>
      </c>
      <c r="B578">
        <f ca="1">B577+$C$1*($D$1-MAX(B577,0)) + $H$1*SQRT(MAX(B577,0))*randcorrWithFeedback!E578</f>
        <v>0.6403719272790418</v>
      </c>
    </row>
    <row r="579" spans="1:2" x14ac:dyDescent="0.45">
      <c r="A579" s="5">
        <f t="shared" ref="A579:A642" si="9">A578+$C$1*($D$1-A578)</f>
        <v>1.5133998862957891</v>
      </c>
      <c r="B579">
        <f ca="1">B578+$C$1*($D$1-MAX(B578,0)) + $H$1*SQRT(MAX(B578,0))*randcorrWithFeedback!E579</f>
        <v>0.57211976383071261</v>
      </c>
    </row>
    <row r="580" spans="1:2" x14ac:dyDescent="0.45">
      <c r="A580" s="5">
        <f t="shared" si="9"/>
        <v>1.5133998885698734</v>
      </c>
      <c r="B580">
        <f ca="1">B579+$C$1*($D$1-MAX(B579,0)) + $H$1*SQRT(MAX(B579,0))*randcorrWithFeedback!E580</f>
        <v>0.4413911134713141</v>
      </c>
    </row>
    <row r="581" spans="1:2" x14ac:dyDescent="0.45">
      <c r="A581" s="5">
        <f t="shared" si="9"/>
        <v>1.513399890798476</v>
      </c>
      <c r="B581">
        <f ca="1">B580+$C$1*($D$1-MAX(B580,0)) + $H$1*SQRT(MAX(B580,0))*randcorrWithFeedback!E581</f>
        <v>0.78581797279858567</v>
      </c>
    </row>
    <row r="582" spans="1:2" x14ac:dyDescent="0.45">
      <c r="A582" s="5">
        <f t="shared" si="9"/>
        <v>1.5133998929825065</v>
      </c>
      <c r="B582">
        <f ca="1">B581+$C$1*($D$1-MAX(B581,0)) + $H$1*SQRT(MAX(B581,0))*randcorrWithFeedback!E582</f>
        <v>0.5646159064824281</v>
      </c>
    </row>
    <row r="583" spans="1:2" x14ac:dyDescent="0.45">
      <c r="A583" s="5">
        <f t="shared" si="9"/>
        <v>1.5133998951228564</v>
      </c>
      <c r="B583">
        <f ca="1">B582+$C$1*($D$1-MAX(B582,0)) + $H$1*SQRT(MAX(B582,0))*randcorrWithFeedback!E583</f>
        <v>0.41119699093131251</v>
      </c>
    </row>
    <row r="584" spans="1:2" x14ac:dyDescent="0.45">
      <c r="A584" s="5">
        <f t="shared" si="9"/>
        <v>1.5133998972203992</v>
      </c>
      <c r="B584">
        <f ca="1">B583+$C$1*($D$1-MAX(B583,0)) + $H$1*SQRT(MAX(B583,0))*randcorrWithFeedback!E584</f>
        <v>0.38161820303987443</v>
      </c>
    </row>
    <row r="585" spans="1:2" x14ac:dyDescent="0.45">
      <c r="A585" s="5">
        <f t="shared" si="9"/>
        <v>1.5133998992759912</v>
      </c>
      <c r="B585">
        <f ca="1">B584+$C$1*($D$1-MAX(B584,0)) + $H$1*SQRT(MAX(B584,0))*randcorrWithFeedback!E585</f>
        <v>0.34809048795537456</v>
      </c>
    </row>
    <row r="586" spans="1:2" x14ac:dyDescent="0.45">
      <c r="A586" s="5">
        <f t="shared" si="9"/>
        <v>1.5133999012904713</v>
      </c>
      <c r="B586">
        <f ca="1">B585+$C$1*($D$1-MAX(B585,0)) + $H$1*SQRT(MAX(B585,0))*randcorrWithFeedback!E586</f>
        <v>0.5536158356428631</v>
      </c>
    </row>
    <row r="587" spans="1:2" x14ac:dyDescent="0.45">
      <c r="A587" s="5">
        <f t="shared" si="9"/>
        <v>1.5133999032646619</v>
      </c>
      <c r="B587">
        <f ca="1">B586+$C$1*($D$1-MAX(B586,0)) + $H$1*SQRT(MAX(B586,0))*randcorrWithFeedback!E587</f>
        <v>0.56686159177796624</v>
      </c>
    </row>
    <row r="588" spans="1:2" x14ac:dyDescent="0.45">
      <c r="A588" s="5">
        <f t="shared" si="9"/>
        <v>1.5133999051993687</v>
      </c>
      <c r="B588">
        <f ca="1">B587+$C$1*($D$1-MAX(B587,0)) + $H$1*SQRT(MAX(B587,0))*randcorrWithFeedback!E588</f>
        <v>0.47659139967322317</v>
      </c>
    </row>
    <row r="589" spans="1:2" x14ac:dyDescent="0.45">
      <c r="A589" s="5">
        <f t="shared" si="9"/>
        <v>1.5133999070953814</v>
      </c>
      <c r="B589">
        <f ca="1">B588+$C$1*($D$1-MAX(B588,0)) + $H$1*SQRT(MAX(B588,0))*randcorrWithFeedback!E589</f>
        <v>0.57874211364970529</v>
      </c>
    </row>
    <row r="590" spans="1:2" x14ac:dyDescent="0.45">
      <c r="A590" s="5">
        <f t="shared" si="9"/>
        <v>1.5133999089534738</v>
      </c>
      <c r="B590">
        <f ca="1">B589+$C$1*($D$1-MAX(B589,0)) + $H$1*SQRT(MAX(B589,0))*randcorrWithFeedback!E590</f>
        <v>0.14786382168749396</v>
      </c>
    </row>
    <row r="591" spans="1:2" x14ac:dyDescent="0.45">
      <c r="A591" s="5">
        <f t="shared" si="9"/>
        <v>1.5133999107744043</v>
      </c>
      <c r="B591">
        <f ca="1">B590+$C$1*($D$1-MAX(B590,0)) + $H$1*SQRT(MAX(B590,0))*randcorrWithFeedback!E591</f>
        <v>0.15102152831348303</v>
      </c>
    </row>
    <row r="592" spans="1:2" x14ac:dyDescent="0.45">
      <c r="A592" s="5">
        <f t="shared" si="9"/>
        <v>1.5133999125589161</v>
      </c>
      <c r="B592">
        <f ca="1">B591+$C$1*($D$1-MAX(B591,0)) + $H$1*SQRT(MAX(B591,0))*randcorrWithFeedback!E592</f>
        <v>0.21554842304956867</v>
      </c>
    </row>
    <row r="593" spans="1:2" x14ac:dyDescent="0.45">
      <c r="A593" s="5">
        <f t="shared" si="9"/>
        <v>1.5133999143077379</v>
      </c>
      <c r="B593">
        <f ca="1">B592+$C$1*($D$1-MAX(B592,0)) + $H$1*SQRT(MAX(B592,0))*randcorrWithFeedback!E593</f>
        <v>0.24195879920741695</v>
      </c>
    </row>
    <row r="594" spans="1:2" x14ac:dyDescent="0.45">
      <c r="A594" s="5">
        <f t="shared" si="9"/>
        <v>1.5133999160215832</v>
      </c>
      <c r="B594">
        <f ca="1">B593+$C$1*($D$1-MAX(B593,0)) + $H$1*SQRT(MAX(B593,0))*randcorrWithFeedback!E594</f>
        <v>0.23165976375921604</v>
      </c>
    </row>
    <row r="595" spans="1:2" x14ac:dyDescent="0.45">
      <c r="A595" s="5">
        <f t="shared" si="9"/>
        <v>1.5133999177011515</v>
      </c>
      <c r="B595">
        <f ca="1">B594+$C$1*($D$1-MAX(B594,0)) + $H$1*SQRT(MAX(B594,0))*randcorrWithFeedback!E595</f>
        <v>0.25476906506416058</v>
      </c>
    </row>
    <row r="596" spans="1:2" x14ac:dyDescent="0.45">
      <c r="A596" s="5">
        <f t="shared" si="9"/>
        <v>1.5133999193471284</v>
      </c>
      <c r="B596">
        <f ca="1">B595+$C$1*($D$1-MAX(B595,0)) + $H$1*SQRT(MAX(B595,0))*randcorrWithFeedback!E596</f>
        <v>0.29577011647894724</v>
      </c>
    </row>
    <row r="597" spans="1:2" x14ac:dyDescent="0.45">
      <c r="A597" s="5">
        <f t="shared" si="9"/>
        <v>1.5133999209601858</v>
      </c>
      <c r="B597">
        <f ca="1">B596+$C$1*($D$1-MAX(B596,0)) + $H$1*SQRT(MAX(B596,0))*randcorrWithFeedback!E597</f>
        <v>0.44420000622181105</v>
      </c>
    </row>
    <row r="598" spans="1:2" x14ac:dyDescent="0.45">
      <c r="A598" s="5">
        <f t="shared" si="9"/>
        <v>1.5133999225409822</v>
      </c>
      <c r="B598">
        <f ca="1">B597+$C$1*($D$1-MAX(B597,0)) + $H$1*SQRT(MAX(B597,0))*randcorrWithFeedback!E598</f>
        <v>0.4333080451545448</v>
      </c>
    </row>
    <row r="599" spans="1:2" x14ac:dyDescent="0.45">
      <c r="A599" s="5">
        <f t="shared" si="9"/>
        <v>1.5133999240901626</v>
      </c>
      <c r="B599">
        <f ca="1">B598+$C$1*($D$1-MAX(B598,0)) + $H$1*SQRT(MAX(B598,0))*randcorrWithFeedback!E599</f>
        <v>0.93218121088817785</v>
      </c>
    </row>
    <row r="600" spans="1:2" x14ac:dyDescent="0.45">
      <c r="A600" s="5">
        <f t="shared" si="9"/>
        <v>1.5133999256083592</v>
      </c>
      <c r="B600">
        <f ca="1">B599+$C$1*($D$1-MAX(B599,0)) + $H$1*SQRT(MAX(B599,0))*randcorrWithFeedback!E600</f>
        <v>0.99973333530803687</v>
      </c>
    </row>
    <row r="601" spans="1:2" x14ac:dyDescent="0.45">
      <c r="A601" s="5">
        <f t="shared" si="9"/>
        <v>1.513399927096192</v>
      </c>
      <c r="B601">
        <f ca="1">B600+$C$1*($D$1-MAX(B600,0)) + $H$1*SQRT(MAX(B600,0))*randcorrWithFeedback!E601</f>
        <v>1.106021147139318</v>
      </c>
    </row>
    <row r="602" spans="1:2" x14ac:dyDescent="0.45">
      <c r="A602" s="5">
        <f t="shared" si="9"/>
        <v>1.5133999285542681</v>
      </c>
      <c r="B602">
        <f ca="1">B601+$C$1*($D$1-MAX(B601,0)) + $H$1*SQRT(MAX(B601,0))*randcorrWithFeedback!E602</f>
        <v>1.1900378628039026</v>
      </c>
    </row>
    <row r="603" spans="1:2" x14ac:dyDescent="0.45">
      <c r="A603" s="5">
        <f t="shared" si="9"/>
        <v>1.5133999299831826</v>
      </c>
      <c r="B603">
        <f ca="1">B602+$C$1*($D$1-MAX(B602,0)) + $H$1*SQRT(MAX(B602,0))*randcorrWithFeedback!E603</f>
        <v>1.0047725947725932</v>
      </c>
    </row>
    <row r="604" spans="1:2" x14ac:dyDescent="0.45">
      <c r="A604" s="5">
        <f t="shared" si="9"/>
        <v>1.5133999313835189</v>
      </c>
      <c r="B604">
        <f ca="1">B603+$C$1*($D$1-MAX(B603,0)) + $H$1*SQRT(MAX(B603,0))*randcorrWithFeedback!E604</f>
        <v>0.9767010544379362</v>
      </c>
    </row>
    <row r="605" spans="1:2" x14ac:dyDescent="0.45">
      <c r="A605" s="5">
        <f t="shared" si="9"/>
        <v>1.5133999327558485</v>
      </c>
      <c r="B605">
        <f ca="1">B604+$C$1*($D$1-MAX(B604,0)) + $H$1*SQRT(MAX(B604,0))*randcorrWithFeedback!E605</f>
        <v>0.33782369214837604</v>
      </c>
    </row>
    <row r="606" spans="1:2" x14ac:dyDescent="0.45">
      <c r="A606" s="5">
        <f t="shared" si="9"/>
        <v>1.5133999341007316</v>
      </c>
      <c r="B606">
        <f ca="1">B605+$C$1*($D$1-MAX(B605,0)) + $H$1*SQRT(MAX(B605,0))*randcorrWithFeedback!E606</f>
        <v>0.22662238335487708</v>
      </c>
    </row>
    <row r="607" spans="1:2" x14ac:dyDescent="0.45">
      <c r="A607" s="5">
        <f t="shared" si="9"/>
        <v>1.5133999354187169</v>
      </c>
      <c r="B607">
        <f ca="1">B606+$C$1*($D$1-MAX(B606,0)) + $H$1*SQRT(MAX(B606,0))*randcorrWithFeedback!E607</f>
        <v>0.29717262116449017</v>
      </c>
    </row>
    <row r="608" spans="1:2" x14ac:dyDescent="0.45">
      <c r="A608" s="5">
        <f t="shared" si="9"/>
        <v>1.5133999367103426</v>
      </c>
      <c r="B608">
        <f ca="1">B607+$C$1*($D$1-MAX(B607,0)) + $H$1*SQRT(MAX(B607,0))*randcorrWithFeedback!E608</f>
        <v>-1.32880841458064E-2</v>
      </c>
    </row>
    <row r="609" spans="1:2" x14ac:dyDescent="0.45">
      <c r="A609" s="5">
        <f t="shared" si="9"/>
        <v>1.5133999379761358</v>
      </c>
      <c r="B609">
        <f ca="1">B608+$C$1*($D$1-MAX(B608,0)) + $H$1*SQRT(MAX(B608,0))*randcorrWithFeedback!E609</f>
        <v>1.6979915854193603E-2</v>
      </c>
    </row>
    <row r="610" spans="1:2" x14ac:dyDescent="0.45">
      <c r="A610" s="5">
        <f t="shared" si="9"/>
        <v>1.5133999392166131</v>
      </c>
      <c r="B610">
        <f ca="1">B609+$C$1*($D$1-MAX(B609,0)) + $H$1*SQRT(MAX(B609,0))*randcorrWithFeedback!E610</f>
        <v>7.272846173434952E-2</v>
      </c>
    </row>
    <row r="611" spans="1:2" x14ac:dyDescent="0.45">
      <c r="A611" s="5">
        <f t="shared" si="9"/>
        <v>1.5133999404322809</v>
      </c>
      <c r="B611">
        <f ca="1">B610+$C$1*($D$1-MAX(B610,0)) + $H$1*SQRT(MAX(B610,0))*randcorrWithFeedback!E611</f>
        <v>5.4205896465226167E-3</v>
      </c>
    </row>
    <row r="612" spans="1:2" x14ac:dyDescent="0.45">
      <c r="A612" s="5">
        <f t="shared" si="9"/>
        <v>1.5133999416236352</v>
      </c>
      <c r="B612">
        <f ca="1">B611+$C$1*($D$1-MAX(B611,0)) + $H$1*SQRT(MAX(B611,0))*randcorrWithFeedback!E612</f>
        <v>3.858418848658221E-2</v>
      </c>
    </row>
    <row r="613" spans="1:2" x14ac:dyDescent="0.45">
      <c r="A613" s="5">
        <f t="shared" si="9"/>
        <v>1.5133999427911626</v>
      </c>
      <c r="B613">
        <f ca="1">B612+$C$1*($D$1-MAX(B612,0)) + $H$1*SQRT(MAX(B612,0))*randcorrWithFeedback!E613</f>
        <v>6.5395561532494845E-2</v>
      </c>
    </row>
    <row r="614" spans="1:2" x14ac:dyDescent="0.45">
      <c r="A614" s="5">
        <f t="shared" si="9"/>
        <v>1.5133999439353394</v>
      </c>
      <c r="B614">
        <f ca="1">B613+$C$1*($D$1-MAX(B613,0)) + $H$1*SQRT(MAX(B613,0))*randcorrWithFeedback!E614</f>
        <v>0.22439279143623755</v>
      </c>
    </row>
    <row r="615" spans="1:2" x14ac:dyDescent="0.45">
      <c r="A615" s="5">
        <f t="shared" si="9"/>
        <v>1.5133999450566327</v>
      </c>
      <c r="B615">
        <f ca="1">B614+$C$1*($D$1-MAX(B614,0)) + $H$1*SQRT(MAX(B614,0))*randcorrWithFeedback!E615</f>
        <v>0.26265793016932226</v>
      </c>
    </row>
    <row r="616" spans="1:2" x14ac:dyDescent="0.45">
      <c r="A616" s="5">
        <f t="shared" si="9"/>
        <v>1.5133999461555001</v>
      </c>
      <c r="B616">
        <f ca="1">B615+$C$1*($D$1-MAX(B615,0)) + $H$1*SQRT(MAX(B615,0))*randcorrWithFeedback!E616</f>
        <v>0.28505618538873539</v>
      </c>
    </row>
    <row r="617" spans="1:2" x14ac:dyDescent="0.45">
      <c r="A617" s="5">
        <f t="shared" si="9"/>
        <v>1.51339994723239</v>
      </c>
      <c r="B617">
        <f ca="1">B616+$C$1*($D$1-MAX(B616,0)) + $H$1*SQRT(MAX(B616,0))*randcorrWithFeedback!E617</f>
        <v>0.65206415822096375</v>
      </c>
    </row>
    <row r="618" spans="1:2" x14ac:dyDescent="0.45">
      <c r="A618" s="5">
        <f t="shared" si="9"/>
        <v>1.5133999482877423</v>
      </c>
      <c r="B618">
        <f ca="1">B617+$C$1*($D$1-MAX(B617,0)) + $H$1*SQRT(MAX(B617,0))*randcorrWithFeedback!E618</f>
        <v>1.2239573429483102</v>
      </c>
    </row>
    <row r="619" spans="1:2" x14ac:dyDescent="0.45">
      <c r="A619" s="5">
        <f t="shared" si="9"/>
        <v>1.5133999493219874</v>
      </c>
      <c r="B619">
        <f ca="1">B618+$C$1*($D$1-MAX(B618,0)) + $H$1*SQRT(MAX(B618,0))*randcorrWithFeedback!E619</f>
        <v>1.7464608758433717</v>
      </c>
    </row>
    <row r="620" spans="1:2" x14ac:dyDescent="0.45">
      <c r="A620" s="5">
        <f t="shared" si="9"/>
        <v>1.5133999503355478</v>
      </c>
      <c r="B620">
        <f ca="1">B619+$C$1*($D$1-MAX(B619,0)) + $H$1*SQRT(MAX(B619,0))*randcorrWithFeedback!E620</f>
        <v>2.0766086964488495</v>
      </c>
    </row>
    <row r="621" spans="1:2" x14ac:dyDescent="0.45">
      <c r="A621" s="5">
        <f t="shared" si="9"/>
        <v>1.5133999513288368</v>
      </c>
      <c r="B621">
        <f ca="1">B620+$C$1*($D$1-MAX(B620,0)) + $H$1*SQRT(MAX(B620,0))*randcorrWithFeedback!E621</f>
        <v>2.0549686408780987</v>
      </c>
    </row>
    <row r="622" spans="1:2" x14ac:dyDescent="0.45">
      <c r="A622" s="5">
        <f t="shared" si="9"/>
        <v>1.5133999523022601</v>
      </c>
      <c r="B622">
        <f ca="1">B621+$C$1*($D$1-MAX(B621,0)) + $H$1*SQRT(MAX(B621,0))*randcorrWithFeedback!E622</f>
        <v>1.8206479468710532</v>
      </c>
    </row>
    <row r="623" spans="1:2" x14ac:dyDescent="0.45">
      <c r="A623" s="5">
        <f t="shared" si="9"/>
        <v>1.5133999532562148</v>
      </c>
      <c r="B623">
        <f ca="1">B622+$C$1*($D$1-MAX(B622,0)) + $H$1*SQRT(MAX(B622,0))*randcorrWithFeedback!E623</f>
        <v>1.7534213621300394</v>
      </c>
    </row>
    <row r="624" spans="1:2" x14ac:dyDescent="0.45">
      <c r="A624" s="5">
        <f t="shared" si="9"/>
        <v>1.5133999541910905</v>
      </c>
      <c r="B624">
        <f ca="1">B623+$C$1*($D$1-MAX(B623,0)) + $H$1*SQRT(MAX(B623,0))*randcorrWithFeedback!E624</f>
        <v>2.379465381357869</v>
      </c>
    </row>
    <row r="625" spans="1:2" x14ac:dyDescent="0.45">
      <c r="A625" s="5">
        <f t="shared" si="9"/>
        <v>1.5133999551072688</v>
      </c>
      <c r="B625">
        <f ca="1">B624+$C$1*($D$1-MAX(B624,0)) + $H$1*SQRT(MAX(B624,0))*randcorrWithFeedback!E625</f>
        <v>2.7740883394317621</v>
      </c>
    </row>
    <row r="626" spans="1:2" x14ac:dyDescent="0.45">
      <c r="A626" s="5">
        <f t="shared" si="9"/>
        <v>1.5133999560051234</v>
      </c>
      <c r="B626">
        <f ca="1">B625+$C$1*($D$1-MAX(B625,0)) + $H$1*SQRT(MAX(B625,0))*randcorrWithFeedback!E626</f>
        <v>2.9598449256434289</v>
      </c>
    </row>
    <row r="627" spans="1:2" x14ac:dyDescent="0.45">
      <c r="A627" s="5">
        <f t="shared" si="9"/>
        <v>1.5133999568850209</v>
      </c>
      <c r="B627">
        <f ca="1">B626+$C$1*($D$1-MAX(B626,0)) + $H$1*SQRT(MAX(B626,0))*randcorrWithFeedback!E627</f>
        <v>2.164561433410265</v>
      </c>
    </row>
    <row r="628" spans="1:2" x14ac:dyDescent="0.45">
      <c r="A628" s="5">
        <f t="shared" si="9"/>
        <v>1.5133999577473205</v>
      </c>
      <c r="B628">
        <f ca="1">B627+$C$1*($D$1-MAX(B627,0)) + $H$1*SQRT(MAX(B627,0))*randcorrWithFeedback!E628</f>
        <v>2.4226414983967985</v>
      </c>
    </row>
    <row r="629" spans="1:2" x14ac:dyDescent="0.45">
      <c r="A629" s="5">
        <f t="shared" si="9"/>
        <v>1.5133999585923741</v>
      </c>
      <c r="B629">
        <f ca="1">B628+$C$1*($D$1-MAX(B628,0)) + $H$1*SQRT(MAX(B628,0))*randcorrWithFeedback!E629</f>
        <v>1.4374223291337271</v>
      </c>
    </row>
    <row r="630" spans="1:2" x14ac:dyDescent="0.45">
      <c r="A630" s="5">
        <f t="shared" si="9"/>
        <v>1.5133999594205265</v>
      </c>
      <c r="B630">
        <f ca="1">B629+$C$1*($D$1-MAX(B629,0)) + $H$1*SQRT(MAX(B629,0))*randcorrWithFeedback!E630</f>
        <v>1.1364871439433049</v>
      </c>
    </row>
    <row r="631" spans="1:2" x14ac:dyDescent="0.45">
      <c r="A631" s="5">
        <f t="shared" si="9"/>
        <v>1.513399960232116</v>
      </c>
      <c r="B631">
        <f ca="1">B630+$C$1*($D$1-MAX(B630,0)) + $H$1*SQRT(MAX(B630,0))*randcorrWithFeedback!E631</f>
        <v>1.3599552269503121</v>
      </c>
    </row>
    <row r="632" spans="1:2" x14ac:dyDescent="0.45">
      <c r="A632" s="5">
        <f t="shared" si="9"/>
        <v>1.5133999610274738</v>
      </c>
      <c r="B632">
        <f ca="1">B631+$C$1*($D$1-MAX(B631,0)) + $H$1*SQRT(MAX(B631,0))*randcorrWithFeedback!E632</f>
        <v>1.2309044200482686</v>
      </c>
    </row>
    <row r="633" spans="1:2" x14ac:dyDescent="0.45">
      <c r="A633" s="5">
        <f t="shared" si="9"/>
        <v>1.5133999618069243</v>
      </c>
      <c r="B633">
        <f ca="1">B632+$C$1*($D$1-MAX(B632,0)) + $H$1*SQRT(MAX(B632,0))*randcorrWithFeedback!E633</f>
        <v>1.879791986633649</v>
      </c>
    </row>
    <row r="634" spans="1:2" x14ac:dyDescent="0.45">
      <c r="A634" s="5">
        <f t="shared" si="9"/>
        <v>1.5133999625707857</v>
      </c>
      <c r="B634">
        <f ca="1">B633+$C$1*($D$1-MAX(B633,0)) + $H$1*SQRT(MAX(B633,0))*randcorrWithFeedback!E634</f>
        <v>1.6880112649708197</v>
      </c>
    </row>
    <row r="635" spans="1:2" x14ac:dyDescent="0.45">
      <c r="A635" s="5">
        <f t="shared" si="9"/>
        <v>1.51339996331937</v>
      </c>
      <c r="B635">
        <f ca="1">B634+$C$1*($D$1-MAX(B634,0)) + $H$1*SQRT(MAX(B634,0))*randcorrWithFeedback!E635</f>
        <v>1.6067089645732582</v>
      </c>
    </row>
    <row r="636" spans="1:2" x14ac:dyDescent="0.45">
      <c r="A636" s="5">
        <f t="shared" si="9"/>
        <v>1.5133999640529825</v>
      </c>
      <c r="B636">
        <f ca="1">B635+$C$1*($D$1-MAX(B635,0)) + $H$1*SQRT(MAX(B635,0))*randcorrWithFeedback!E636</f>
        <v>1.0811877060408821</v>
      </c>
    </row>
    <row r="637" spans="1:2" x14ac:dyDescent="0.45">
      <c r="A637" s="5">
        <f t="shared" si="9"/>
        <v>1.513399964771923</v>
      </c>
      <c r="B637">
        <f ca="1">B636+$C$1*($D$1-MAX(B636,0)) + $H$1*SQRT(MAX(B636,0))*randcorrWithFeedback!E637</f>
        <v>1.2166242870521855</v>
      </c>
    </row>
    <row r="638" spans="1:2" x14ac:dyDescent="0.45">
      <c r="A638" s="5">
        <f t="shared" si="9"/>
        <v>1.5133999654764845</v>
      </c>
      <c r="B638">
        <f ca="1">B637+$C$1*($D$1-MAX(B637,0)) + $H$1*SQRT(MAX(B637,0))*randcorrWithFeedback!E638</f>
        <v>1.0567326480144668</v>
      </c>
    </row>
    <row r="639" spans="1:2" x14ac:dyDescent="0.45">
      <c r="A639" s="5">
        <f t="shared" si="9"/>
        <v>1.5133999661669548</v>
      </c>
      <c r="B639">
        <f ca="1">B638+$C$1*($D$1-MAX(B638,0)) + $H$1*SQRT(MAX(B638,0))*randcorrWithFeedback!E639</f>
        <v>0.74783079897249394</v>
      </c>
    </row>
    <row r="640" spans="1:2" x14ac:dyDescent="0.45">
      <c r="A640" s="5">
        <f t="shared" si="9"/>
        <v>1.5133999668436158</v>
      </c>
      <c r="B640">
        <f ca="1">B639+$C$1*($D$1-MAX(B639,0)) + $H$1*SQRT(MAX(B639,0))*randcorrWithFeedback!E640</f>
        <v>4.8400255462290209E-2</v>
      </c>
    </row>
    <row r="641" spans="1:2" x14ac:dyDescent="0.45">
      <c r="A641" s="5">
        <f t="shared" si="9"/>
        <v>1.5133999675067435</v>
      </c>
      <c r="B641">
        <f ca="1">B640+$C$1*($D$1-MAX(B640,0)) + $H$1*SQRT(MAX(B640,0))*randcorrWithFeedback!E641</f>
        <v>-2.9406816645923428E-2</v>
      </c>
    </row>
    <row r="642" spans="1:2" x14ac:dyDescent="0.45">
      <c r="A642" s="5">
        <f t="shared" si="9"/>
        <v>1.5133999681566086</v>
      </c>
      <c r="B642">
        <f ca="1">B641+$C$1*($D$1-MAX(B641,0)) + $H$1*SQRT(MAX(B641,0))*randcorrWithFeedback!E642</f>
        <v>8.6118335407657509E-4</v>
      </c>
    </row>
    <row r="643" spans="1:2" x14ac:dyDescent="0.45">
      <c r="A643" s="5">
        <f t="shared" ref="A643:A706" si="10">A642+$C$1*($D$1-A642)</f>
        <v>1.5133999687934765</v>
      </c>
      <c r="B643">
        <f ca="1">B642+$C$1*($D$1-MAX(B642,0)) + $H$1*SQRT(MAX(B642,0))*randcorrWithFeedback!E643</f>
        <v>6.9959899472998369E-3</v>
      </c>
    </row>
    <row r="644" spans="1:2" x14ac:dyDescent="0.45">
      <c r="A644" s="5">
        <f t="shared" si="10"/>
        <v>1.513399969417607</v>
      </c>
      <c r="B644">
        <f ca="1">B643+$C$1*($D$1-MAX(B643,0)) + $H$1*SQRT(MAX(B643,0))*randcorrWithFeedback!E644</f>
        <v>2.7957271612742564E-2</v>
      </c>
    </row>
    <row r="645" spans="1:2" x14ac:dyDescent="0.45">
      <c r="A645" s="5">
        <f t="shared" si="10"/>
        <v>1.5133999700292549</v>
      </c>
      <c r="B645">
        <f ca="1">B644+$C$1*($D$1-MAX(B644,0)) + $H$1*SQRT(MAX(B644,0))*randcorrWithFeedback!E645</f>
        <v>3.0591862727629631E-2</v>
      </c>
    </row>
    <row r="646" spans="1:2" x14ac:dyDescent="0.45">
      <c r="A646" s="5">
        <f t="shared" si="10"/>
        <v>1.5133999706286698</v>
      </c>
      <c r="B646">
        <f ca="1">B645+$C$1*($D$1-MAX(B645,0)) + $H$1*SQRT(MAX(B645,0))*randcorrWithFeedback!E646</f>
        <v>3.4473350537485847E-2</v>
      </c>
    </row>
    <row r="647" spans="1:2" x14ac:dyDescent="0.45">
      <c r="A647" s="5">
        <f t="shared" si="10"/>
        <v>1.5133999712160964</v>
      </c>
      <c r="B647">
        <f ca="1">B646+$C$1*($D$1-MAX(B646,0)) + $H$1*SQRT(MAX(B646,0))*randcorrWithFeedback!E647</f>
        <v>0.16269989187650352</v>
      </c>
    </row>
    <row r="648" spans="1:2" x14ac:dyDescent="0.45">
      <c r="A648" s="5">
        <f t="shared" si="10"/>
        <v>1.5133999717917745</v>
      </c>
      <c r="B648">
        <f ca="1">B647+$C$1*($D$1-MAX(B647,0)) + $H$1*SQRT(MAX(B647,0))*randcorrWithFeedback!E648</f>
        <v>0.15698137897470618</v>
      </c>
    </row>
    <row r="649" spans="1:2" x14ac:dyDescent="0.45">
      <c r="A649" s="5">
        <f t="shared" si="10"/>
        <v>1.513399972355939</v>
      </c>
      <c r="B649">
        <f ca="1">B648+$C$1*($D$1-MAX(B648,0)) + $H$1*SQRT(MAX(B648,0))*randcorrWithFeedback!E649</f>
        <v>0.11046654872555833</v>
      </c>
    </row>
    <row r="650" spans="1:2" x14ac:dyDescent="0.45">
      <c r="A650" s="5">
        <f t="shared" si="10"/>
        <v>1.5133999729088203</v>
      </c>
      <c r="B650">
        <f ca="1">B649+$C$1*($D$1-MAX(B649,0)) + $H$1*SQRT(MAX(B649,0))*randcorrWithFeedback!E650</f>
        <v>-9.1969973474348432E-2</v>
      </c>
    </row>
    <row r="651" spans="1:2" x14ac:dyDescent="0.45">
      <c r="A651" s="5">
        <f t="shared" si="10"/>
        <v>1.513399973450644</v>
      </c>
      <c r="B651">
        <f ca="1">B650+$C$1*($D$1-MAX(B650,0)) + $H$1*SQRT(MAX(B650,0))*randcorrWithFeedback!E651</f>
        <v>-6.1701973474348429E-2</v>
      </c>
    </row>
    <row r="652" spans="1:2" x14ac:dyDescent="0.45">
      <c r="A652" s="5">
        <f t="shared" si="10"/>
        <v>1.5133999739816311</v>
      </c>
      <c r="B652">
        <f ca="1">B651+$C$1*($D$1-MAX(B651,0)) + $H$1*SQRT(MAX(B651,0))*randcorrWithFeedback!E652</f>
        <v>-3.1433973474348426E-2</v>
      </c>
    </row>
    <row r="653" spans="1:2" x14ac:dyDescent="0.45">
      <c r="A653" s="5">
        <f t="shared" si="10"/>
        <v>1.5133999745019984</v>
      </c>
      <c r="B653">
        <f ca="1">B652+$C$1*($D$1-MAX(B652,0)) + $H$1*SQRT(MAX(B652,0))*randcorrWithFeedback!E653</f>
        <v>-1.1659734743484224E-3</v>
      </c>
    </row>
    <row r="654" spans="1:2" x14ac:dyDescent="0.45">
      <c r="A654" s="5">
        <f t="shared" si="10"/>
        <v>1.5133999750119584</v>
      </c>
      <c r="B654">
        <f ca="1">B653+$C$1*($D$1-MAX(B653,0)) + $H$1*SQRT(MAX(B653,0))*randcorrWithFeedback!E654</f>
        <v>2.9102026525651581E-2</v>
      </c>
    </row>
    <row r="655" spans="1:2" x14ac:dyDescent="0.45">
      <c r="A655" s="5">
        <f t="shared" si="10"/>
        <v>1.5133999755117193</v>
      </c>
      <c r="B655">
        <f ca="1">B654+$C$1*($D$1-MAX(B654,0)) + $H$1*SQRT(MAX(B654,0))*randcorrWithFeedback!E655</f>
        <v>4.5354940005501478E-2</v>
      </c>
    </row>
    <row r="656" spans="1:2" x14ac:dyDescent="0.45">
      <c r="A656" s="5">
        <f t="shared" si="10"/>
        <v>1.5133999760014849</v>
      </c>
      <c r="B656">
        <f ca="1">B655+$C$1*($D$1-MAX(B655,0)) + $H$1*SQRT(MAX(B655,0))*randcorrWithFeedback!E656</f>
        <v>-4.6252279317006068E-2</v>
      </c>
    </row>
    <row r="657" spans="1:2" x14ac:dyDescent="0.45">
      <c r="A657" s="5">
        <f t="shared" si="10"/>
        <v>1.5133999764814552</v>
      </c>
      <c r="B657">
        <f ca="1">B656+$C$1*($D$1-MAX(B656,0)) + $H$1*SQRT(MAX(B656,0))*randcorrWithFeedback!E657</f>
        <v>-1.5984279317006064E-2</v>
      </c>
    </row>
    <row r="658" spans="1:2" x14ac:dyDescent="0.45">
      <c r="A658" s="5">
        <f t="shared" si="10"/>
        <v>1.513399976951826</v>
      </c>
      <c r="B658">
        <f ca="1">B657+$C$1*($D$1-MAX(B657,0)) + $H$1*SQRT(MAX(B657,0))*randcorrWithFeedback!E658</f>
        <v>1.4283720682993939E-2</v>
      </c>
    </row>
    <row r="659" spans="1:2" x14ac:dyDescent="0.45">
      <c r="A659" s="5">
        <f t="shared" si="10"/>
        <v>1.5133999774127895</v>
      </c>
      <c r="B659">
        <f ca="1">B658+$C$1*($D$1-MAX(B658,0)) + $H$1*SQRT(MAX(B658,0))*randcorrWithFeedback!E659</f>
        <v>4.8628693581039828E-2</v>
      </c>
    </row>
    <row r="660" spans="1:2" x14ac:dyDescent="0.45">
      <c r="A660" s="5">
        <f t="shared" si="10"/>
        <v>1.5133999778645337</v>
      </c>
      <c r="B660">
        <f ca="1">B659+$C$1*($D$1-MAX(B659,0)) + $H$1*SQRT(MAX(B659,0))*randcorrWithFeedback!E660</f>
        <v>0.19140652864032062</v>
      </c>
    </row>
    <row r="661" spans="1:2" x14ac:dyDescent="0.45">
      <c r="A661" s="5">
        <f t="shared" si="10"/>
        <v>1.5133999783072432</v>
      </c>
      <c r="B661">
        <f ca="1">B660+$C$1*($D$1-MAX(B660,0)) + $H$1*SQRT(MAX(B660,0))*randcorrWithFeedback!E661</f>
        <v>0.10594388160210007</v>
      </c>
    </row>
    <row r="662" spans="1:2" x14ac:dyDescent="0.45">
      <c r="A662" s="5">
        <f t="shared" si="10"/>
        <v>1.5133999787410983</v>
      </c>
      <c r="B662">
        <f ca="1">B661+$C$1*($D$1-MAX(B661,0)) + $H$1*SQRT(MAX(B661,0))*randcorrWithFeedback!E662</f>
        <v>0.12825976231717082</v>
      </c>
    </row>
    <row r="663" spans="1:2" x14ac:dyDescent="0.45">
      <c r="A663" s="5">
        <f t="shared" si="10"/>
        <v>1.5133999791662764</v>
      </c>
      <c r="B663">
        <f ca="1">B662+$C$1*($D$1-MAX(B662,0)) + $H$1*SQRT(MAX(B662,0))*randcorrWithFeedback!E663</f>
        <v>-2.4894089492270899E-2</v>
      </c>
    </row>
    <row r="664" spans="1:2" x14ac:dyDescent="0.45">
      <c r="A664" s="5">
        <f t="shared" si="10"/>
        <v>1.5133999795829509</v>
      </c>
      <c r="B664">
        <f ca="1">B663+$C$1*($D$1-MAX(B663,0)) + $H$1*SQRT(MAX(B663,0))*randcorrWithFeedback!E664</f>
        <v>5.3739105077291044E-3</v>
      </c>
    </row>
    <row r="665" spans="1:2" x14ac:dyDescent="0.45">
      <c r="A665" s="5">
        <f t="shared" si="10"/>
        <v>1.5133999799912918</v>
      </c>
      <c r="B665">
        <f ca="1">B664+$C$1*($D$1-MAX(B664,0)) + $H$1*SQRT(MAX(B664,0))*randcorrWithFeedback!E665</f>
        <v>4.4309784282371138E-2</v>
      </c>
    </row>
    <row r="666" spans="1:2" x14ac:dyDescent="0.45">
      <c r="A666" s="5">
        <f t="shared" si="10"/>
        <v>1.5133999803914659</v>
      </c>
      <c r="B666">
        <f ca="1">B665+$C$1*($D$1-MAX(B665,0)) + $H$1*SQRT(MAX(B665,0))*randcorrWithFeedback!E666</f>
        <v>-3.2617028640990336E-3</v>
      </c>
    </row>
    <row r="667" spans="1:2" x14ac:dyDescent="0.45">
      <c r="A667" s="5">
        <f t="shared" si="10"/>
        <v>1.5133999807836367</v>
      </c>
      <c r="B667">
        <f ca="1">B666+$C$1*($D$1-MAX(B666,0)) + $H$1*SQRT(MAX(B666,0))*randcorrWithFeedback!E667</f>
        <v>2.700629713590097E-2</v>
      </c>
    </row>
    <row r="668" spans="1:2" x14ac:dyDescent="0.45">
      <c r="A668" s="5">
        <f t="shared" si="10"/>
        <v>1.5133999811679639</v>
      </c>
      <c r="B668">
        <f ca="1">B667+$C$1*($D$1-MAX(B667,0)) + $H$1*SQRT(MAX(B667,0))*randcorrWithFeedback!E668</f>
        <v>-9.2836598066755108E-3</v>
      </c>
    </row>
    <row r="669" spans="1:2" x14ac:dyDescent="0.45">
      <c r="A669" s="5">
        <f t="shared" si="10"/>
        <v>1.5133999815446046</v>
      </c>
      <c r="B669">
        <f ca="1">B668+$C$1*($D$1-MAX(B668,0)) + $H$1*SQRT(MAX(B668,0))*randcorrWithFeedback!E669</f>
        <v>2.0984340193324492E-2</v>
      </c>
    </row>
    <row r="670" spans="1:2" x14ac:dyDescent="0.45">
      <c r="A670" s="5">
        <f t="shared" si="10"/>
        <v>1.5133999819137125</v>
      </c>
      <c r="B670">
        <f ca="1">B669+$C$1*($D$1-MAX(B669,0)) + $H$1*SQRT(MAX(B669,0))*randcorrWithFeedback!E670</f>
        <v>9.2461689270082179E-2</v>
      </c>
    </row>
    <row r="671" spans="1:2" x14ac:dyDescent="0.45">
      <c r="A671" s="5">
        <f t="shared" si="10"/>
        <v>1.5133999822754383</v>
      </c>
      <c r="B671">
        <f ca="1">B670+$C$1*($D$1-MAX(B670,0)) + $H$1*SQRT(MAX(B670,0))*randcorrWithFeedback!E671</f>
        <v>5.3046314371937339E-2</v>
      </c>
    </row>
    <row r="672" spans="1:2" x14ac:dyDescent="0.45">
      <c r="A672" s="5">
        <f t="shared" si="10"/>
        <v>1.5133999826299296</v>
      </c>
      <c r="B672">
        <f ca="1">B671+$C$1*($D$1-MAX(B671,0)) + $H$1*SQRT(MAX(B671,0))*randcorrWithFeedback!E672</f>
        <v>3.4239103876437971E-2</v>
      </c>
    </row>
    <row r="673" spans="1:2" x14ac:dyDescent="0.45">
      <c r="A673" s="5">
        <f t="shared" si="10"/>
        <v>1.513399982977331</v>
      </c>
      <c r="B673">
        <f ca="1">B672+$C$1*($D$1-MAX(B672,0)) + $H$1*SQRT(MAX(B672,0))*randcorrWithFeedback!E673</f>
        <v>-3.014785721287952E-3</v>
      </c>
    </row>
    <row r="674" spans="1:2" x14ac:dyDescent="0.45">
      <c r="A674" s="5">
        <f t="shared" si="10"/>
        <v>1.5133999833177845</v>
      </c>
      <c r="B674">
        <f ca="1">B673+$C$1*($D$1-MAX(B673,0)) + $H$1*SQRT(MAX(B673,0))*randcorrWithFeedback!E674</f>
        <v>2.7253214278712051E-2</v>
      </c>
    </row>
    <row r="675" spans="1:2" x14ac:dyDescent="0.45">
      <c r="A675" s="5">
        <f t="shared" si="10"/>
        <v>1.5133999836514287</v>
      </c>
      <c r="B675">
        <f ca="1">B674+$C$1*($D$1-MAX(B674,0)) + $H$1*SQRT(MAX(B674,0))*randcorrWithFeedback!E675</f>
        <v>3.4176218454341566E-2</v>
      </c>
    </row>
    <row r="676" spans="1:2" x14ac:dyDescent="0.45">
      <c r="A676" s="5">
        <f t="shared" si="10"/>
        <v>1.5133999839784</v>
      </c>
      <c r="B676">
        <f ca="1">B675+$C$1*($D$1-MAX(B675,0)) + $H$1*SQRT(MAX(B675,0))*randcorrWithFeedback!E676</f>
        <v>0.14643057326241726</v>
      </c>
    </row>
    <row r="677" spans="1:2" x14ac:dyDescent="0.45">
      <c r="A677" s="5">
        <f t="shared" si="10"/>
        <v>1.5133999842988319</v>
      </c>
      <c r="B677">
        <f ca="1">B676+$C$1*($D$1-MAX(B676,0)) + $H$1*SQRT(MAX(B676,0))*randcorrWithFeedback!E677</f>
        <v>0.2211912468706152</v>
      </c>
    </row>
    <row r="678" spans="1:2" x14ac:dyDescent="0.45">
      <c r="A678" s="5">
        <f t="shared" si="10"/>
        <v>1.5133999846128554</v>
      </c>
      <c r="B678">
        <f ca="1">B677+$C$1*($D$1-MAX(B677,0)) + $H$1*SQRT(MAX(B677,0))*randcorrWithFeedback!E678</f>
        <v>0.22581482561824456</v>
      </c>
    </row>
    <row r="679" spans="1:2" x14ac:dyDescent="0.45">
      <c r="A679" s="5">
        <f t="shared" si="10"/>
        <v>1.5133999849205984</v>
      </c>
      <c r="B679">
        <f ca="1">B678+$C$1*($D$1-MAX(B678,0)) + $H$1*SQRT(MAX(B678,0))*randcorrWithFeedback!E679</f>
        <v>7.711565074879248E-2</v>
      </c>
    </row>
    <row r="680" spans="1:2" x14ac:dyDescent="0.45">
      <c r="A680" s="5">
        <f t="shared" si="10"/>
        <v>1.5133999852221864</v>
      </c>
      <c r="B680">
        <f ca="1">B679+$C$1*($D$1-MAX(B679,0)) + $H$1*SQRT(MAX(B679,0))*randcorrWithFeedback!E680</f>
        <v>9.1517180994547448E-2</v>
      </c>
    </row>
    <row r="681" spans="1:2" x14ac:dyDescent="0.45">
      <c r="A681" s="5">
        <f t="shared" si="10"/>
        <v>1.5133999855177427</v>
      </c>
      <c r="B681">
        <f ca="1">B680+$C$1*($D$1-MAX(B680,0)) + $H$1*SQRT(MAX(B680,0))*randcorrWithFeedback!E681</f>
        <v>0.17371758731155063</v>
      </c>
    </row>
    <row r="682" spans="1:2" x14ac:dyDescent="0.45">
      <c r="A682" s="5">
        <f t="shared" si="10"/>
        <v>1.5133999858073879</v>
      </c>
      <c r="B682">
        <f ca="1">B681+$C$1*($D$1-MAX(B681,0)) + $H$1*SQRT(MAX(B681,0))*randcorrWithFeedback!E682</f>
        <v>0.38396548794812163</v>
      </c>
    </row>
    <row r="683" spans="1:2" x14ac:dyDescent="0.45">
      <c r="A683" s="5">
        <f t="shared" si="10"/>
        <v>1.5133999860912402</v>
      </c>
      <c r="B683">
        <f ca="1">B682+$C$1*($D$1-MAX(B682,0)) + $H$1*SQRT(MAX(B682,0))*randcorrWithFeedback!E683</f>
        <v>0.30719285474487867</v>
      </c>
    </row>
    <row r="684" spans="1:2" x14ac:dyDescent="0.45">
      <c r="A684" s="5">
        <f t="shared" si="10"/>
        <v>1.5133999863694154</v>
      </c>
      <c r="B684">
        <f ca="1">B683+$C$1*($D$1-MAX(B683,0)) + $H$1*SQRT(MAX(B683,0))*randcorrWithFeedback!E684</f>
        <v>8.4852247313719903E-2</v>
      </c>
    </row>
    <row r="685" spans="1:2" x14ac:dyDescent="0.45">
      <c r="A685" s="5">
        <f t="shared" si="10"/>
        <v>1.5133999866420271</v>
      </c>
      <c r="B685">
        <f ca="1">B684+$C$1*($D$1-MAX(B684,0)) + $H$1*SQRT(MAX(B684,0))*randcorrWithFeedback!E685</f>
        <v>6.7634714497021534E-2</v>
      </c>
    </row>
    <row r="686" spans="1:2" x14ac:dyDescent="0.45">
      <c r="A686" s="5">
        <f t="shared" si="10"/>
        <v>1.5133999869091865</v>
      </c>
      <c r="B686">
        <f ca="1">B685+$C$1*($D$1-MAX(B685,0)) + $H$1*SQRT(MAX(B685,0))*randcorrWithFeedback!E686</f>
        <v>7.5190931721474813E-2</v>
      </c>
    </row>
    <row r="687" spans="1:2" x14ac:dyDescent="0.45">
      <c r="A687" s="5">
        <f t="shared" si="10"/>
        <v>1.5133999871710029</v>
      </c>
      <c r="B687">
        <f ca="1">B686+$C$1*($D$1-MAX(B686,0)) + $H$1*SQRT(MAX(B686,0))*randcorrWithFeedback!E687</f>
        <v>0.13087710429728566</v>
      </c>
    </row>
    <row r="688" spans="1:2" x14ac:dyDescent="0.45">
      <c r="A688" s="5">
        <f t="shared" si="10"/>
        <v>1.5133999874275827</v>
      </c>
      <c r="B688">
        <f ca="1">B687+$C$1*($D$1-MAX(B687,0)) + $H$1*SQRT(MAX(B687,0))*randcorrWithFeedback!E688</f>
        <v>0.31948149712837692</v>
      </c>
    </row>
    <row r="689" spans="1:2" x14ac:dyDescent="0.45">
      <c r="A689" s="5">
        <f t="shared" si="10"/>
        <v>1.5133999876790312</v>
      </c>
      <c r="B689">
        <f ca="1">B688+$C$1*($D$1-MAX(B688,0)) + $H$1*SQRT(MAX(B688,0))*randcorrWithFeedback!E689</f>
        <v>0.22454421192290702</v>
      </c>
    </row>
    <row r="690" spans="1:2" x14ac:dyDescent="0.45">
      <c r="A690" s="5">
        <f t="shared" si="10"/>
        <v>1.5133999879254505</v>
      </c>
      <c r="B690">
        <f ca="1">B689+$C$1*($D$1-MAX(B689,0)) + $H$1*SQRT(MAX(B689,0))*randcorrWithFeedback!E690</f>
        <v>0.39983071657174984</v>
      </c>
    </row>
    <row r="691" spans="1:2" x14ac:dyDescent="0.45">
      <c r="A691" s="5">
        <f t="shared" si="10"/>
        <v>1.5133999881669415</v>
      </c>
      <c r="B691">
        <f ca="1">B690+$C$1*($D$1-MAX(B690,0)) + $H$1*SQRT(MAX(B690,0))*randcorrWithFeedback!E691</f>
        <v>0.39033552719129888</v>
      </c>
    </row>
    <row r="692" spans="1:2" x14ac:dyDescent="0.45">
      <c r="A692" s="5">
        <f t="shared" si="10"/>
        <v>1.5133999884036027</v>
      </c>
      <c r="B692">
        <f ca="1">B691+$C$1*($D$1-MAX(B691,0)) + $H$1*SQRT(MAX(B691,0))*randcorrWithFeedback!E692</f>
        <v>0.57226550271056031</v>
      </c>
    </row>
    <row r="693" spans="1:2" x14ac:dyDescent="0.45">
      <c r="A693" s="5">
        <f t="shared" si="10"/>
        <v>1.5133999886355307</v>
      </c>
      <c r="B693">
        <f ca="1">B692+$C$1*($D$1-MAX(B692,0)) + $H$1*SQRT(MAX(B692,0))*randcorrWithFeedback!E693</f>
        <v>0.4289548418293434</v>
      </c>
    </row>
    <row r="694" spans="1:2" x14ac:dyDescent="0.45">
      <c r="A694" s="5">
        <f t="shared" si="10"/>
        <v>1.51339998886282</v>
      </c>
      <c r="B694">
        <f ca="1">B693+$C$1*($D$1-MAX(B693,0)) + $H$1*SQRT(MAX(B693,0))*randcorrWithFeedback!E694</f>
        <v>0.4729610660693131</v>
      </c>
    </row>
    <row r="695" spans="1:2" x14ac:dyDescent="0.45">
      <c r="A695" s="5">
        <f t="shared" si="10"/>
        <v>1.5133999890855636</v>
      </c>
      <c r="B695">
        <f ca="1">B694+$C$1*($D$1-MAX(B694,0)) + $H$1*SQRT(MAX(B694,0))*randcorrWithFeedback!E695</f>
        <v>0.60749615281870606</v>
      </c>
    </row>
    <row r="696" spans="1:2" x14ac:dyDescent="0.45">
      <c r="A696" s="5">
        <f t="shared" si="10"/>
        <v>1.5133999893038523</v>
      </c>
      <c r="B696">
        <f ca="1">B695+$C$1*($D$1-MAX(B695,0)) + $H$1*SQRT(MAX(B695,0))*randcorrWithFeedback!E696</f>
        <v>0.15881944328075182</v>
      </c>
    </row>
    <row r="697" spans="1:2" x14ac:dyDescent="0.45">
      <c r="A697" s="5">
        <f t="shared" si="10"/>
        <v>1.5133999895177752</v>
      </c>
      <c r="B697">
        <f ca="1">B696+$C$1*($D$1-MAX(B696,0)) + $H$1*SQRT(MAX(B696,0))*randcorrWithFeedback!E697</f>
        <v>0.33657692315799798</v>
      </c>
    </row>
    <row r="698" spans="1:2" x14ac:dyDescent="0.45">
      <c r="A698" s="5">
        <f t="shared" si="10"/>
        <v>1.5133999897274197</v>
      </c>
      <c r="B698">
        <f ca="1">B697+$C$1*($D$1-MAX(B697,0)) + $H$1*SQRT(MAX(B697,0))*randcorrWithFeedback!E698</f>
        <v>0.4491987260383421</v>
      </c>
    </row>
    <row r="699" spans="1:2" x14ac:dyDescent="0.45">
      <c r="A699" s="5">
        <f t="shared" si="10"/>
        <v>1.5133999899328714</v>
      </c>
      <c r="B699">
        <f ca="1">B698+$C$1*($D$1-MAX(B698,0)) + $H$1*SQRT(MAX(B698,0))*randcorrWithFeedback!E699</f>
        <v>0.7717478322749125</v>
      </c>
    </row>
    <row r="700" spans="1:2" x14ac:dyDescent="0.45">
      <c r="A700" s="5">
        <f t="shared" si="10"/>
        <v>1.5133999901342139</v>
      </c>
      <c r="B700">
        <f ca="1">B699+$C$1*($D$1-MAX(B699,0)) + $H$1*SQRT(MAX(B699,0))*randcorrWithFeedback!E700</f>
        <v>0.73580637526254677</v>
      </c>
    </row>
    <row r="701" spans="1:2" x14ac:dyDescent="0.45">
      <c r="A701" s="5">
        <f t="shared" si="10"/>
        <v>1.5133999903315296</v>
      </c>
      <c r="B701">
        <f ca="1">B700+$C$1*($D$1-MAX(B700,0)) + $H$1*SQRT(MAX(B700,0))*randcorrWithFeedback!E701</f>
        <v>0.4838596017965015</v>
      </c>
    </row>
    <row r="702" spans="1:2" x14ac:dyDescent="0.45">
      <c r="A702" s="5">
        <f t="shared" si="10"/>
        <v>1.5133999905248989</v>
      </c>
      <c r="B702">
        <f ca="1">B701+$C$1*($D$1-MAX(B701,0)) + $H$1*SQRT(MAX(B701,0))*randcorrWithFeedback!E702</f>
        <v>0.64570345875900237</v>
      </c>
    </row>
    <row r="703" spans="1:2" x14ac:dyDescent="0.45">
      <c r="A703" s="5">
        <f t="shared" si="10"/>
        <v>1.5133999907144009</v>
      </c>
      <c r="B703">
        <f ca="1">B702+$C$1*($D$1-MAX(B702,0)) + $H$1*SQRT(MAX(B702,0))*randcorrWithFeedback!E703</f>
        <v>0.3569463737711468</v>
      </c>
    </row>
    <row r="704" spans="1:2" x14ac:dyDescent="0.45">
      <c r="A704" s="5">
        <f t="shared" si="10"/>
        <v>1.5133999909001128</v>
      </c>
      <c r="B704">
        <f ca="1">B703+$C$1*($D$1-MAX(B703,0)) + $H$1*SQRT(MAX(B703,0))*randcorrWithFeedback!E704</f>
        <v>0.49593657533547514</v>
      </c>
    </row>
    <row r="705" spans="1:2" x14ac:dyDescent="0.45">
      <c r="A705" s="5">
        <f t="shared" si="10"/>
        <v>1.5133999910821105</v>
      </c>
      <c r="B705">
        <f ca="1">B704+$C$1*($D$1-MAX(B704,0)) + $H$1*SQRT(MAX(B704,0))*randcorrWithFeedback!E705</f>
        <v>0.50194761717215941</v>
      </c>
    </row>
    <row r="706" spans="1:2" x14ac:dyDescent="0.45">
      <c r="A706" s="5">
        <f t="shared" si="10"/>
        <v>1.5133999912604683</v>
      </c>
      <c r="B706">
        <f ca="1">B705+$C$1*($D$1-MAX(B705,0)) + $H$1*SQRT(MAX(B705,0))*randcorrWithFeedback!E706</f>
        <v>0.36023411474228445</v>
      </c>
    </row>
    <row r="707" spans="1:2" x14ac:dyDescent="0.45">
      <c r="A707" s="5">
        <f t="shared" ref="A707:A770" si="11">A706+$C$1*($D$1-A706)</f>
        <v>1.5133999914352589</v>
      </c>
      <c r="B707">
        <f ca="1">B706+$C$1*($D$1-MAX(B706,0)) + $H$1*SQRT(MAX(B706,0))*randcorrWithFeedback!E707</f>
        <v>0.31286852024303613</v>
      </c>
    </row>
    <row r="708" spans="1:2" x14ac:dyDescent="0.45">
      <c r="A708" s="5">
        <f t="shared" si="11"/>
        <v>1.5133999916065537</v>
      </c>
      <c r="B708">
        <f ca="1">B707+$C$1*($D$1-MAX(B707,0)) + $H$1*SQRT(MAX(B707,0))*randcorrWithFeedback!E708</f>
        <v>0.23896146457270001</v>
      </c>
    </row>
    <row r="709" spans="1:2" x14ac:dyDescent="0.45">
      <c r="A709" s="5">
        <f t="shared" si="11"/>
        <v>1.5133999917744225</v>
      </c>
      <c r="B709">
        <f ca="1">B708+$C$1*($D$1-MAX(B708,0)) + $H$1*SQRT(MAX(B708,0))*randcorrWithFeedback!E709</f>
        <v>0.34021304994801549</v>
      </c>
    </row>
    <row r="710" spans="1:2" x14ac:dyDescent="0.45">
      <c r="A710" s="5">
        <f t="shared" si="11"/>
        <v>1.513399991938934</v>
      </c>
      <c r="B710">
        <f ca="1">B709+$C$1*($D$1-MAX(B709,0)) + $H$1*SQRT(MAX(B709,0))*randcorrWithFeedback!E710</f>
        <v>0.54981667102638965</v>
      </c>
    </row>
    <row r="711" spans="1:2" x14ac:dyDescent="0.45">
      <c r="A711" s="5">
        <f t="shared" si="11"/>
        <v>1.5133999921001553</v>
      </c>
      <c r="B711">
        <f ca="1">B710+$C$1*($D$1-MAX(B710,0)) + $H$1*SQRT(MAX(B710,0))*randcorrWithFeedback!E711</f>
        <v>0.6575302330151388</v>
      </c>
    </row>
    <row r="712" spans="1:2" x14ac:dyDescent="0.45">
      <c r="A712" s="5">
        <f t="shared" si="11"/>
        <v>1.5133999922581522</v>
      </c>
      <c r="B712">
        <f ca="1">B711+$C$1*($D$1-MAX(B711,0)) + $H$1*SQRT(MAX(B711,0))*randcorrWithFeedback!E712</f>
        <v>0.75934165116613506</v>
      </c>
    </row>
    <row r="713" spans="1:2" x14ac:dyDescent="0.45">
      <c r="A713" s="5">
        <f t="shared" si="11"/>
        <v>1.5133999924129893</v>
      </c>
      <c r="B713">
        <f ca="1">B712+$C$1*($D$1-MAX(B712,0)) + $H$1*SQRT(MAX(B712,0))*randcorrWithFeedback!E713</f>
        <v>0.67043262698735395</v>
      </c>
    </row>
    <row r="714" spans="1:2" x14ac:dyDescent="0.45">
      <c r="A714" s="5">
        <f t="shared" si="11"/>
        <v>1.5133999925647295</v>
      </c>
      <c r="B714">
        <f ca="1">B713+$C$1*($D$1-MAX(B713,0)) + $H$1*SQRT(MAX(B713,0))*randcorrWithFeedback!E714</f>
        <v>0.62153430421821931</v>
      </c>
    </row>
    <row r="715" spans="1:2" x14ac:dyDescent="0.45">
      <c r="A715" s="5">
        <f t="shared" si="11"/>
        <v>1.5133999927134349</v>
      </c>
      <c r="B715">
        <f ca="1">B714+$C$1*($D$1-MAX(B714,0)) + $H$1*SQRT(MAX(B714,0))*randcorrWithFeedback!E715</f>
        <v>0.48787508420924158</v>
      </c>
    </row>
    <row r="716" spans="1:2" x14ac:dyDescent="0.45">
      <c r="A716" s="5">
        <f t="shared" si="11"/>
        <v>1.5133999928591662</v>
      </c>
      <c r="B716">
        <f ca="1">B715+$C$1*($D$1-MAX(B715,0)) + $H$1*SQRT(MAX(B715,0))*randcorrWithFeedback!E716</f>
        <v>0.38197464650423463</v>
      </c>
    </row>
    <row r="717" spans="1:2" x14ac:dyDescent="0.45">
      <c r="A717" s="5">
        <f t="shared" si="11"/>
        <v>1.5133999930019828</v>
      </c>
      <c r="B717">
        <f ca="1">B716+$C$1*($D$1-MAX(B716,0)) + $H$1*SQRT(MAX(B716,0))*randcorrWithFeedback!E717</f>
        <v>0.70109039828045527</v>
      </c>
    </row>
    <row r="718" spans="1:2" x14ac:dyDescent="0.45">
      <c r="A718" s="5">
        <f t="shared" si="11"/>
        <v>1.5133999931419431</v>
      </c>
      <c r="B718">
        <f ca="1">B717+$C$1*($D$1-MAX(B717,0)) + $H$1*SQRT(MAX(B717,0))*randcorrWithFeedback!E718</f>
        <v>0.4842592653363057</v>
      </c>
    </row>
    <row r="719" spans="1:2" x14ac:dyDescent="0.45">
      <c r="A719" s="5">
        <f t="shared" si="11"/>
        <v>1.5133999932791042</v>
      </c>
      <c r="B719">
        <f ca="1">B718+$C$1*($D$1-MAX(B718,0)) + $H$1*SQRT(MAX(B718,0))*randcorrWithFeedback!E719</f>
        <v>0.44668720768490483</v>
      </c>
    </row>
    <row r="720" spans="1:2" x14ac:dyDescent="0.45">
      <c r="A720" s="5">
        <f t="shared" si="11"/>
        <v>1.513399993413522</v>
      </c>
      <c r="B720">
        <f ca="1">B719+$C$1*($D$1-MAX(B719,0)) + $H$1*SQRT(MAX(B719,0))*randcorrWithFeedback!E720</f>
        <v>0.36350758686316365</v>
      </c>
    </row>
    <row r="721" spans="1:2" x14ac:dyDescent="0.45">
      <c r="A721" s="5">
        <f t="shared" si="11"/>
        <v>1.5133999935452516</v>
      </c>
      <c r="B721">
        <f ca="1">B720+$C$1*($D$1-MAX(B720,0)) + $H$1*SQRT(MAX(B720,0))*randcorrWithFeedback!E721</f>
        <v>0.68020674392913438</v>
      </c>
    </row>
    <row r="722" spans="1:2" x14ac:dyDescent="0.45">
      <c r="A722" s="5">
        <f t="shared" si="11"/>
        <v>1.5133999936743465</v>
      </c>
      <c r="B722">
        <f ca="1">B721+$C$1*($D$1-MAX(B721,0)) + $H$1*SQRT(MAX(B721,0))*randcorrWithFeedback!E722</f>
        <v>0.83619324590257937</v>
      </c>
    </row>
    <row r="723" spans="1:2" x14ac:dyDescent="0.45">
      <c r="A723" s="5">
        <f t="shared" si="11"/>
        <v>1.5133999938008595</v>
      </c>
      <c r="B723">
        <f ca="1">B722+$C$1*($D$1-MAX(B722,0)) + $H$1*SQRT(MAX(B722,0))*randcorrWithFeedback!E723</f>
        <v>0.7299755718340456</v>
      </c>
    </row>
    <row r="724" spans="1:2" x14ac:dyDescent="0.45">
      <c r="A724" s="5">
        <f t="shared" si="11"/>
        <v>1.5133999939248424</v>
      </c>
      <c r="B724">
        <f ca="1">B723+$C$1*($D$1-MAX(B723,0)) + $H$1*SQRT(MAX(B723,0))*randcorrWithFeedback!E724</f>
        <v>0.91583687818678361</v>
      </c>
    </row>
    <row r="725" spans="1:2" x14ac:dyDescent="0.45">
      <c r="A725" s="5">
        <f t="shared" si="11"/>
        <v>1.5133999940463456</v>
      </c>
      <c r="B725">
        <f ca="1">B724+$C$1*($D$1-MAX(B724,0)) + $H$1*SQRT(MAX(B724,0))*randcorrWithFeedback!E725</f>
        <v>0.94322689981147589</v>
      </c>
    </row>
    <row r="726" spans="1:2" x14ac:dyDescent="0.45">
      <c r="A726" s="5">
        <f t="shared" si="11"/>
        <v>1.5133999941654188</v>
      </c>
      <c r="B726">
        <f ca="1">B725+$C$1*($D$1-MAX(B725,0)) + $H$1*SQRT(MAX(B725,0))*randcorrWithFeedback!E726</f>
        <v>0.89436959943065575</v>
      </c>
    </row>
    <row r="727" spans="1:2" x14ac:dyDescent="0.45">
      <c r="A727" s="5">
        <f t="shared" si="11"/>
        <v>1.5133999942821104</v>
      </c>
      <c r="B727">
        <f ca="1">B726+$C$1*($D$1-MAX(B726,0)) + $H$1*SQRT(MAX(B726,0))*randcorrWithFeedback!E727</f>
        <v>0.5542309578800545</v>
      </c>
    </row>
    <row r="728" spans="1:2" x14ac:dyDescent="0.45">
      <c r="A728" s="5">
        <f t="shared" si="11"/>
        <v>1.5133999943964682</v>
      </c>
      <c r="B728">
        <f ca="1">B727+$C$1*($D$1-MAX(B727,0)) + $H$1*SQRT(MAX(B727,0))*randcorrWithFeedback!E728</f>
        <v>0.36095485075174399</v>
      </c>
    </row>
    <row r="729" spans="1:2" x14ac:dyDescent="0.45">
      <c r="A729" s="5">
        <f t="shared" si="11"/>
        <v>1.5133999945085388</v>
      </c>
      <c r="B729">
        <f ca="1">B728+$C$1*($D$1-MAX(B728,0)) + $H$1*SQRT(MAX(B728,0))*randcorrWithFeedback!E729</f>
        <v>0.18719487539237992</v>
      </c>
    </row>
    <row r="730" spans="1:2" x14ac:dyDescent="0.45">
      <c r="A730" s="5">
        <f t="shared" si="11"/>
        <v>1.513399994618368</v>
      </c>
      <c r="B730">
        <f ca="1">B729+$C$1*($D$1-MAX(B729,0)) + $H$1*SQRT(MAX(B729,0))*randcorrWithFeedback!E730</f>
        <v>0.21067929620823156</v>
      </c>
    </row>
    <row r="731" spans="1:2" x14ac:dyDescent="0.45">
      <c r="A731" s="5">
        <f t="shared" si="11"/>
        <v>1.5133999947260006</v>
      </c>
      <c r="B731">
        <f ca="1">B730+$C$1*($D$1-MAX(B730,0)) + $H$1*SQRT(MAX(B730,0))*randcorrWithFeedback!E731</f>
        <v>2.234645951086911E-2</v>
      </c>
    </row>
    <row r="732" spans="1:2" x14ac:dyDescent="0.45">
      <c r="A732" s="5">
        <f t="shared" si="11"/>
        <v>1.5133999948314807</v>
      </c>
      <c r="B732">
        <f ca="1">B731+$C$1*($D$1-MAX(B731,0)) + $H$1*SQRT(MAX(B731,0))*randcorrWithFeedback!E732</f>
        <v>5.8924332323188465E-2</v>
      </c>
    </row>
    <row r="733" spans="1:2" x14ac:dyDescent="0.45">
      <c r="A733" s="5">
        <f t="shared" si="11"/>
        <v>1.5133999949348511</v>
      </c>
      <c r="B733">
        <f ca="1">B732+$C$1*($D$1-MAX(B732,0)) + $H$1*SQRT(MAX(B732,0))*randcorrWithFeedback!E733</f>
        <v>8.4395992742337139E-2</v>
      </c>
    </row>
    <row r="734" spans="1:2" x14ac:dyDescent="0.45">
      <c r="A734" s="5">
        <f t="shared" si="11"/>
        <v>1.5133999950361541</v>
      </c>
      <c r="B734">
        <f ca="1">B733+$C$1*($D$1-MAX(B733,0)) + $H$1*SQRT(MAX(B733,0))*randcorrWithFeedback!E734</f>
        <v>9.5841722326274956E-2</v>
      </c>
    </row>
    <row r="735" spans="1:2" x14ac:dyDescent="0.45">
      <c r="A735" s="5">
        <f t="shared" si="11"/>
        <v>1.5133999951354311</v>
      </c>
      <c r="B735">
        <f ca="1">B734+$C$1*($D$1-MAX(B734,0)) + $H$1*SQRT(MAX(B734,0))*randcorrWithFeedback!E735</f>
        <v>3.3045131560331384E-2</v>
      </c>
    </row>
    <row r="736" spans="1:2" x14ac:dyDescent="0.45">
      <c r="A736" s="5">
        <f t="shared" si="11"/>
        <v>1.5133999952327224</v>
      </c>
      <c r="B736">
        <f ca="1">B735+$C$1*($D$1-MAX(B735,0)) + $H$1*SQRT(MAX(B735,0))*randcorrWithFeedback!E736</f>
        <v>8.1114612869260444E-2</v>
      </c>
    </row>
    <row r="737" spans="1:2" x14ac:dyDescent="0.45">
      <c r="A737" s="5">
        <f t="shared" si="11"/>
        <v>1.5133999953280679</v>
      </c>
      <c r="B737">
        <f ca="1">B736+$C$1*($D$1-MAX(B736,0)) + $H$1*SQRT(MAX(B736,0))*randcorrWithFeedback!E737</f>
        <v>4.5270870430176538E-2</v>
      </c>
    </row>
    <row r="738" spans="1:2" x14ac:dyDescent="0.45">
      <c r="A738" s="5">
        <f t="shared" si="11"/>
        <v>1.5133999954215065</v>
      </c>
      <c r="B738">
        <f ca="1">B737+$C$1*($D$1-MAX(B737,0)) + $H$1*SQRT(MAX(B737,0))*randcorrWithFeedback!E738</f>
        <v>0.10027664030746175</v>
      </c>
    </row>
    <row r="739" spans="1:2" x14ac:dyDescent="0.45">
      <c r="A739" s="5">
        <f t="shared" si="11"/>
        <v>1.5133999955130764</v>
      </c>
      <c r="B739">
        <f ca="1">B738+$C$1*($D$1-MAX(B738,0)) + $H$1*SQRT(MAX(B738,0))*randcorrWithFeedback!E739</f>
        <v>6.1508600785292439E-2</v>
      </c>
    </row>
    <row r="740" spans="1:2" x14ac:dyDescent="0.45">
      <c r="A740" s="5">
        <f t="shared" si="11"/>
        <v>1.5133999956028148</v>
      </c>
      <c r="B740">
        <f ca="1">B739+$C$1*($D$1-MAX(B739,0)) + $H$1*SQRT(MAX(B739,0))*randcorrWithFeedback!E740</f>
        <v>3.1148072926341676E-2</v>
      </c>
    </row>
    <row r="741" spans="1:2" x14ac:dyDescent="0.45">
      <c r="A741" s="5">
        <f t="shared" si="11"/>
        <v>1.5133999956907584</v>
      </c>
      <c r="B741">
        <f ca="1">B740+$C$1*($D$1-MAX(B740,0)) + $H$1*SQRT(MAX(B740,0))*randcorrWithFeedback!E741</f>
        <v>2.2230691928465274E-2</v>
      </c>
    </row>
    <row r="742" spans="1:2" x14ac:dyDescent="0.45">
      <c r="A742" s="5">
        <f t="shared" si="11"/>
        <v>1.5133999957769433</v>
      </c>
      <c r="B742">
        <f ca="1">B741+$C$1*($D$1-MAX(B741,0)) + $H$1*SQRT(MAX(B741,0))*randcorrWithFeedback!E742</f>
        <v>-1.9959619118654209E-3</v>
      </c>
    </row>
    <row r="743" spans="1:2" x14ac:dyDescent="0.45">
      <c r="A743" s="5">
        <f t="shared" si="11"/>
        <v>1.5133999958614044</v>
      </c>
      <c r="B743">
        <f ca="1">B742+$C$1*($D$1-MAX(B742,0)) + $H$1*SQRT(MAX(B742,0))*randcorrWithFeedback!E743</f>
        <v>2.8272038088134582E-2</v>
      </c>
    </row>
    <row r="744" spans="1:2" x14ac:dyDescent="0.45">
      <c r="A744" s="5">
        <f t="shared" si="11"/>
        <v>1.5133999959441764</v>
      </c>
      <c r="B744">
        <f ca="1">B743+$C$1*($D$1-MAX(B743,0)) + $H$1*SQRT(MAX(B743,0))*randcorrWithFeedback!E744</f>
        <v>3.3995064390591877E-2</v>
      </c>
    </row>
    <row r="745" spans="1:2" x14ac:dyDescent="0.45">
      <c r="A745" s="5">
        <f t="shared" si="11"/>
        <v>1.5133999960252928</v>
      </c>
      <c r="B745">
        <f ca="1">B744+$C$1*($D$1-MAX(B744,0)) + $H$1*SQRT(MAX(B744,0))*randcorrWithFeedback!E745</f>
        <v>2.6133055678503748E-2</v>
      </c>
    </row>
    <row r="746" spans="1:2" x14ac:dyDescent="0.45">
      <c r="A746" s="5">
        <f t="shared" si="11"/>
        <v>1.513399996104787</v>
      </c>
      <c r="B746">
        <f ca="1">B745+$C$1*($D$1-MAX(B745,0)) + $H$1*SQRT(MAX(B745,0))*randcorrWithFeedback!E746</f>
        <v>0.14116661278997725</v>
      </c>
    </row>
    <row r="747" spans="1:2" x14ac:dyDescent="0.45">
      <c r="A747" s="5">
        <f t="shared" si="11"/>
        <v>1.5133999961826914</v>
      </c>
      <c r="B747">
        <f ca="1">B746+$C$1*($D$1-MAX(B746,0)) + $H$1*SQRT(MAX(B746,0))*randcorrWithFeedback!E747</f>
        <v>0.17005600628598178</v>
      </c>
    </row>
    <row r="748" spans="1:2" x14ac:dyDescent="0.45">
      <c r="A748" s="5">
        <f t="shared" si="11"/>
        <v>1.5133999962590376</v>
      </c>
      <c r="B748">
        <f ca="1">B747+$C$1*($D$1-MAX(B747,0)) + $H$1*SQRT(MAX(B747,0))*randcorrWithFeedback!E748</f>
        <v>0.26152772442612604</v>
      </c>
    </row>
    <row r="749" spans="1:2" x14ac:dyDescent="0.45">
      <c r="A749" s="5">
        <f t="shared" si="11"/>
        <v>1.5133999963338569</v>
      </c>
      <c r="B749">
        <f ca="1">B748+$C$1*($D$1-MAX(B748,0)) + $H$1*SQRT(MAX(B748,0))*randcorrWithFeedback!E749</f>
        <v>0.26482070512006767</v>
      </c>
    </row>
    <row r="750" spans="1:2" x14ac:dyDescent="0.45">
      <c r="A750" s="5">
        <f t="shared" si="11"/>
        <v>1.5133999964071798</v>
      </c>
      <c r="B750">
        <f ca="1">B749+$C$1*($D$1-MAX(B749,0)) + $H$1*SQRT(MAX(B749,0))*randcorrWithFeedback!E750</f>
        <v>0.34402035264979147</v>
      </c>
    </row>
    <row r="751" spans="1:2" x14ac:dyDescent="0.45">
      <c r="A751" s="5">
        <f t="shared" si="11"/>
        <v>1.5133999964790361</v>
      </c>
      <c r="B751">
        <f ca="1">B750+$C$1*($D$1-MAX(B750,0)) + $H$1*SQRT(MAX(B750,0))*randcorrWithFeedback!E751</f>
        <v>0.17295791285120504</v>
      </c>
    </row>
    <row r="752" spans="1:2" x14ac:dyDescent="0.45">
      <c r="A752" s="5">
        <f t="shared" si="11"/>
        <v>1.5133999965494553</v>
      </c>
      <c r="B752">
        <f ca="1">B751+$C$1*($D$1-MAX(B751,0)) + $H$1*SQRT(MAX(B751,0))*randcorrWithFeedback!E752</f>
        <v>0.14047598546549023</v>
      </c>
    </row>
    <row r="753" spans="1:2" x14ac:dyDescent="0.45">
      <c r="A753" s="5">
        <f t="shared" si="11"/>
        <v>1.5133999966184661</v>
      </c>
      <c r="B753">
        <f ca="1">B752+$C$1*($D$1-MAX(B752,0)) + $H$1*SQRT(MAX(B752,0))*randcorrWithFeedback!E753</f>
        <v>0.32418514134339427</v>
      </c>
    </row>
    <row r="754" spans="1:2" x14ac:dyDescent="0.45">
      <c r="A754" s="5">
        <f t="shared" si="11"/>
        <v>1.5133999966860969</v>
      </c>
      <c r="B754">
        <f ca="1">B753+$C$1*($D$1-MAX(B753,0)) + $H$1*SQRT(MAX(B753,0))*randcorrWithFeedback!E754</f>
        <v>0.22713760544640421</v>
      </c>
    </row>
    <row r="755" spans="1:2" x14ac:dyDescent="0.45">
      <c r="A755" s="5">
        <f t="shared" si="11"/>
        <v>1.513399996752375</v>
      </c>
      <c r="B755">
        <f ca="1">B754+$C$1*($D$1-MAX(B754,0)) + $H$1*SQRT(MAX(B754,0))*randcorrWithFeedback!E755</f>
        <v>0.41188875757437649</v>
      </c>
    </row>
    <row r="756" spans="1:2" x14ac:dyDescent="0.45">
      <c r="A756" s="5">
        <f t="shared" si="11"/>
        <v>1.5133999968173275</v>
      </c>
      <c r="B756">
        <f ca="1">B755+$C$1*($D$1-MAX(B755,0)) + $H$1*SQRT(MAX(B755,0))*randcorrWithFeedback!E756</f>
        <v>1.0242447552631599</v>
      </c>
    </row>
    <row r="757" spans="1:2" x14ac:dyDescent="0.45">
      <c r="A757" s="5">
        <f t="shared" si="11"/>
        <v>1.513399996880981</v>
      </c>
      <c r="B757">
        <f ca="1">B756+$C$1*($D$1-MAX(B756,0)) + $H$1*SQRT(MAX(B756,0))*randcorrWithFeedback!E757</f>
        <v>0.91663994535093019</v>
      </c>
    </row>
    <row r="758" spans="1:2" x14ac:dyDescent="0.45">
      <c r="A758" s="5">
        <f t="shared" si="11"/>
        <v>1.5133999969433614</v>
      </c>
      <c r="B758">
        <f ca="1">B757+$C$1*($D$1-MAX(B757,0)) + $H$1*SQRT(MAX(B757,0))*randcorrWithFeedback!E758</f>
        <v>0.75031907265311892</v>
      </c>
    </row>
    <row r="759" spans="1:2" x14ac:dyDescent="0.45">
      <c r="A759" s="5">
        <f t="shared" si="11"/>
        <v>1.5133999970044942</v>
      </c>
      <c r="B759">
        <f ca="1">B758+$C$1*($D$1-MAX(B758,0)) + $H$1*SQRT(MAX(B758,0))*randcorrWithFeedback!E759</f>
        <v>1.0106080504938835</v>
      </c>
    </row>
    <row r="760" spans="1:2" x14ac:dyDescent="0.45">
      <c r="A760" s="5">
        <f t="shared" si="11"/>
        <v>1.5133999970644043</v>
      </c>
      <c r="B760">
        <f ca="1">B759+$C$1*($D$1-MAX(B759,0)) + $H$1*SQRT(MAX(B759,0))*randcorrWithFeedback!E760</f>
        <v>1.1934003282481731</v>
      </c>
    </row>
    <row r="761" spans="1:2" x14ac:dyDescent="0.45">
      <c r="A761" s="5">
        <f t="shared" si="11"/>
        <v>1.5133999971231162</v>
      </c>
      <c r="B761">
        <f ca="1">B760+$C$1*($D$1-MAX(B760,0)) + $H$1*SQRT(MAX(B760,0))*randcorrWithFeedback!E761</f>
        <v>1.4275220950926835</v>
      </c>
    </row>
    <row r="762" spans="1:2" x14ac:dyDescent="0.45">
      <c r="A762" s="5">
        <f t="shared" si="11"/>
        <v>1.513399997180654</v>
      </c>
      <c r="B762">
        <f ca="1">B761+$C$1*($D$1-MAX(B761,0)) + $H$1*SQRT(MAX(B761,0))*randcorrWithFeedback!E762</f>
        <v>1.337307810556613</v>
      </c>
    </row>
    <row r="763" spans="1:2" x14ac:dyDescent="0.45">
      <c r="A763" s="5">
        <f t="shared" si="11"/>
        <v>1.5133999972370409</v>
      </c>
      <c r="B763">
        <f ca="1">B762+$C$1*($D$1-MAX(B762,0)) + $H$1*SQRT(MAX(B762,0))*randcorrWithFeedback!E763</f>
        <v>1.5318164537301127</v>
      </c>
    </row>
    <row r="764" spans="1:2" x14ac:dyDescent="0.45">
      <c r="A764" s="5">
        <f t="shared" si="11"/>
        <v>1.5133999972923</v>
      </c>
      <c r="B764">
        <f ca="1">B763+$C$1*($D$1-MAX(B763,0)) + $H$1*SQRT(MAX(B763,0))*randcorrWithFeedback!E764</f>
        <v>1.4351439005183453</v>
      </c>
    </row>
    <row r="765" spans="1:2" x14ac:dyDescent="0.45">
      <c r="A765" s="5">
        <f t="shared" si="11"/>
        <v>1.513399997346454</v>
      </c>
      <c r="B765">
        <f ca="1">B764+$C$1*($D$1-MAX(B764,0)) + $H$1*SQRT(MAX(B764,0))*randcorrWithFeedback!E765</f>
        <v>1.6112588172207745</v>
      </c>
    </row>
    <row r="766" spans="1:2" x14ac:dyDescent="0.45">
      <c r="A766" s="5">
        <f t="shared" si="11"/>
        <v>1.5133999973995249</v>
      </c>
      <c r="B766">
        <f ca="1">B765+$C$1*($D$1-MAX(B765,0)) + $H$1*SQRT(MAX(B765,0))*randcorrWithFeedback!E766</f>
        <v>1.5769357714344849</v>
      </c>
    </row>
    <row r="767" spans="1:2" x14ac:dyDescent="0.45">
      <c r="A767" s="5">
        <f t="shared" si="11"/>
        <v>1.5133999974515344</v>
      </c>
      <c r="B767">
        <f ca="1">B766+$C$1*($D$1-MAX(B766,0)) + $H$1*SQRT(MAX(B766,0))*randcorrWithFeedback!E767</f>
        <v>2.3048815763175861</v>
      </c>
    </row>
    <row r="768" spans="1:2" x14ac:dyDescent="0.45">
      <c r="A768" s="5">
        <f t="shared" si="11"/>
        <v>1.5133999975025036</v>
      </c>
      <c r="B768">
        <f ca="1">B767+$C$1*($D$1-MAX(B767,0)) + $H$1*SQRT(MAX(B767,0))*randcorrWithFeedback!E768</f>
        <v>1.6640594311327566</v>
      </c>
    </row>
    <row r="769" spans="1:2" x14ac:dyDescent="0.45">
      <c r="A769" s="5">
        <f t="shared" si="11"/>
        <v>1.5133999975524535</v>
      </c>
      <c r="B769">
        <f ca="1">B768+$C$1*($D$1-MAX(B768,0)) + $H$1*SQRT(MAX(B768,0))*randcorrWithFeedback!E769</f>
        <v>1.8295809869060633</v>
      </c>
    </row>
    <row r="770" spans="1:2" x14ac:dyDescent="0.45">
      <c r="A770" s="5">
        <f t="shared" si="11"/>
        <v>1.5133999976014043</v>
      </c>
      <c r="B770">
        <f ca="1">B769+$C$1*($D$1-MAX(B769,0)) + $H$1*SQRT(MAX(B769,0))*randcorrWithFeedback!E770</f>
        <v>2.1478165569375971</v>
      </c>
    </row>
    <row r="771" spans="1:2" x14ac:dyDescent="0.45">
      <c r="A771" s="5">
        <f t="shared" ref="A771:A834" si="12">A770+$C$1*($D$1-A770)</f>
        <v>1.5133999976493762</v>
      </c>
      <c r="B771">
        <f ca="1">B770+$C$1*($D$1-MAX(B770,0)) + $H$1*SQRT(MAX(B770,0))*randcorrWithFeedback!E771</f>
        <v>2.1861013100022308</v>
      </c>
    </row>
    <row r="772" spans="1:2" x14ac:dyDescent="0.45">
      <c r="A772" s="5">
        <f t="shared" si="12"/>
        <v>1.5133999976963886</v>
      </c>
      <c r="B772">
        <f ca="1">B771+$C$1*($D$1-MAX(B771,0)) + $H$1*SQRT(MAX(B771,0))*randcorrWithFeedback!E772</f>
        <v>2.6839884161510996</v>
      </c>
    </row>
    <row r="773" spans="1:2" x14ac:dyDescent="0.45">
      <c r="A773" s="5">
        <f t="shared" si="12"/>
        <v>1.5133999977424608</v>
      </c>
      <c r="B773">
        <f ca="1">B772+$C$1*($D$1-MAX(B772,0)) + $H$1*SQRT(MAX(B772,0))*randcorrWithFeedback!E773</f>
        <v>2.7473684987300842</v>
      </c>
    </row>
    <row r="774" spans="1:2" x14ac:dyDescent="0.45">
      <c r="A774" s="5">
        <f t="shared" si="12"/>
        <v>1.5133999977876116</v>
      </c>
      <c r="B774">
        <f ca="1">B773+$C$1*($D$1-MAX(B773,0)) + $H$1*SQRT(MAX(B773,0))*randcorrWithFeedback!E774</f>
        <v>3.0162323035550167</v>
      </c>
    </row>
    <row r="775" spans="1:2" x14ac:dyDescent="0.45">
      <c r="A775" s="5">
        <f t="shared" si="12"/>
        <v>1.5133999978318593</v>
      </c>
      <c r="B775">
        <f ca="1">B774+$C$1*($D$1-MAX(B774,0)) + $H$1*SQRT(MAX(B774,0))*randcorrWithFeedback!E775</f>
        <v>2.446529879137803</v>
      </c>
    </row>
    <row r="776" spans="1:2" x14ac:dyDescent="0.45">
      <c r="A776" s="5">
        <f t="shared" si="12"/>
        <v>1.5133999978752222</v>
      </c>
      <c r="B776">
        <f ca="1">B775+$C$1*($D$1-MAX(B775,0)) + $H$1*SQRT(MAX(B775,0))*randcorrWithFeedback!E776</f>
        <v>1.8706651777481147</v>
      </c>
    </row>
    <row r="777" spans="1:2" x14ac:dyDescent="0.45">
      <c r="A777" s="5">
        <f t="shared" si="12"/>
        <v>1.5133999979177177</v>
      </c>
      <c r="B777">
        <f ca="1">B776+$C$1*($D$1-MAX(B776,0)) + $H$1*SQRT(MAX(B776,0))*randcorrWithFeedback!E777</f>
        <v>2.061509132456846</v>
      </c>
    </row>
    <row r="778" spans="1:2" x14ac:dyDescent="0.45">
      <c r="A778" s="5">
        <f t="shared" si="12"/>
        <v>1.5133999979593633</v>
      </c>
      <c r="B778">
        <f ca="1">B777+$C$1*($D$1-MAX(B777,0)) + $H$1*SQRT(MAX(B777,0))*randcorrWithFeedback!E778</f>
        <v>1.692279099178684</v>
      </c>
    </row>
    <row r="779" spans="1:2" x14ac:dyDescent="0.45">
      <c r="A779" s="5">
        <f t="shared" si="12"/>
        <v>1.513399998000176</v>
      </c>
      <c r="B779">
        <f ca="1">B778+$C$1*($D$1-MAX(B778,0)) + $H$1*SQRT(MAX(B778,0))*randcorrWithFeedback!E779</f>
        <v>2.333613262906522</v>
      </c>
    </row>
    <row r="780" spans="1:2" x14ac:dyDescent="0.45">
      <c r="A780" s="5">
        <f t="shared" si="12"/>
        <v>1.5133999980401724</v>
      </c>
      <c r="B780">
        <f ca="1">B779+$C$1*($D$1-MAX(B779,0)) + $H$1*SQRT(MAX(B779,0))*randcorrWithFeedback!E780</f>
        <v>2.5065917352496849</v>
      </c>
    </row>
    <row r="781" spans="1:2" x14ac:dyDescent="0.45">
      <c r="A781" s="5">
        <f t="shared" si="12"/>
        <v>1.5133999980793691</v>
      </c>
      <c r="B781">
        <f ca="1">B780+$C$1*($D$1-MAX(B780,0)) + $H$1*SQRT(MAX(B780,0))*randcorrWithFeedback!E781</f>
        <v>1.1406254460392635</v>
      </c>
    </row>
    <row r="782" spans="1:2" x14ac:dyDescent="0.45">
      <c r="A782" s="5">
        <f t="shared" si="12"/>
        <v>1.5133999981177817</v>
      </c>
      <c r="B782">
        <f ca="1">B781+$C$1*($D$1-MAX(B781,0)) + $H$1*SQRT(MAX(B781,0))*randcorrWithFeedback!E782</f>
        <v>0.79606086305342272</v>
      </c>
    </row>
    <row r="783" spans="1:2" x14ac:dyDescent="0.45">
      <c r="A783" s="5">
        <f t="shared" si="12"/>
        <v>1.513399998155426</v>
      </c>
      <c r="B783">
        <f ca="1">B782+$C$1*($D$1-MAX(B782,0)) + $H$1*SQRT(MAX(B782,0))*randcorrWithFeedback!E783</f>
        <v>0.92562360268524357</v>
      </c>
    </row>
    <row r="784" spans="1:2" x14ac:dyDescent="0.45">
      <c r="A784" s="5">
        <f t="shared" si="12"/>
        <v>1.5133999981923174</v>
      </c>
      <c r="B784">
        <f ca="1">B783+$C$1*($D$1-MAX(B783,0)) + $H$1*SQRT(MAX(B783,0))*randcorrWithFeedback!E784</f>
        <v>1.0395892241269238</v>
      </c>
    </row>
    <row r="785" spans="1:2" x14ac:dyDescent="0.45">
      <c r="A785" s="5">
        <f t="shared" si="12"/>
        <v>1.5133999982284712</v>
      </c>
      <c r="B785">
        <f ca="1">B784+$C$1*($D$1-MAX(B784,0)) + $H$1*SQRT(MAX(B784,0))*randcorrWithFeedback!E785</f>
        <v>1.0138443854449246</v>
      </c>
    </row>
    <row r="786" spans="1:2" x14ac:dyDescent="0.45">
      <c r="A786" s="5">
        <f t="shared" si="12"/>
        <v>1.5133999982639017</v>
      </c>
      <c r="B786">
        <f ca="1">B785+$C$1*($D$1-MAX(B785,0)) + $H$1*SQRT(MAX(B785,0))*randcorrWithFeedback!E786</f>
        <v>0.83483892195128984</v>
      </c>
    </row>
    <row r="787" spans="1:2" x14ac:dyDescent="0.45">
      <c r="A787" s="5">
        <f t="shared" si="12"/>
        <v>1.5133999982986237</v>
      </c>
      <c r="B787">
        <f ca="1">B786+$C$1*($D$1-MAX(B786,0)) + $H$1*SQRT(MAX(B786,0))*randcorrWithFeedback!E787</f>
        <v>0.81340294225737531</v>
      </c>
    </row>
    <row r="788" spans="1:2" x14ac:dyDescent="0.45">
      <c r="A788" s="5">
        <f t="shared" si="12"/>
        <v>1.5133999983326512</v>
      </c>
      <c r="B788">
        <f ca="1">B787+$C$1*($D$1-MAX(B787,0)) + $H$1*SQRT(MAX(B787,0))*randcorrWithFeedback!E788</f>
        <v>0.64411545249030888</v>
      </c>
    </row>
    <row r="789" spans="1:2" x14ac:dyDescent="0.45">
      <c r="A789" s="5">
        <f t="shared" si="12"/>
        <v>1.513399998365998</v>
      </c>
      <c r="B789">
        <f ca="1">B788+$C$1*($D$1-MAX(B788,0)) + $H$1*SQRT(MAX(B788,0))*randcorrWithFeedback!E789</f>
        <v>0.31143141813680508</v>
      </c>
    </row>
    <row r="790" spans="1:2" x14ac:dyDescent="0.45">
      <c r="A790" s="5">
        <f t="shared" si="12"/>
        <v>1.5133999983986781</v>
      </c>
      <c r="B790">
        <f ca="1">B789+$C$1*($D$1-MAX(B789,0)) + $H$1*SQRT(MAX(B789,0))*randcorrWithFeedback!E790</f>
        <v>0.20153770588595546</v>
      </c>
    </row>
    <row r="791" spans="1:2" x14ac:dyDescent="0.45">
      <c r="A791" s="5">
        <f t="shared" si="12"/>
        <v>1.5133999984307045</v>
      </c>
      <c r="B791">
        <f ca="1">B790+$C$1*($D$1-MAX(B790,0)) + $H$1*SQRT(MAX(B790,0))*randcorrWithFeedback!E791</f>
        <v>0.30598314905354262</v>
      </c>
    </row>
    <row r="792" spans="1:2" x14ac:dyDescent="0.45">
      <c r="A792" s="5">
        <f t="shared" si="12"/>
        <v>1.5133999984620905</v>
      </c>
      <c r="B792">
        <f ca="1">B791+$C$1*($D$1-MAX(B791,0)) + $H$1*SQRT(MAX(B791,0))*randcorrWithFeedback!E792</f>
        <v>0.59672601270673464</v>
      </c>
    </row>
    <row r="793" spans="1:2" x14ac:dyDescent="0.45">
      <c r="A793" s="5">
        <f t="shared" si="12"/>
        <v>1.5133999984928488</v>
      </c>
      <c r="B793">
        <f ca="1">B792+$C$1*($D$1-MAX(B792,0)) + $H$1*SQRT(MAX(B792,0))*randcorrWithFeedback!E793</f>
        <v>0.637408134874765</v>
      </c>
    </row>
    <row r="794" spans="1:2" x14ac:dyDescent="0.45">
      <c r="A794" s="5">
        <f t="shared" si="12"/>
        <v>1.5133999985229918</v>
      </c>
      <c r="B794">
        <f ca="1">B793+$C$1*($D$1-MAX(B793,0)) + $H$1*SQRT(MAX(B793,0))*randcorrWithFeedback!E794</f>
        <v>0.66497325994011658</v>
      </c>
    </row>
    <row r="795" spans="1:2" x14ac:dyDescent="0.45">
      <c r="A795" s="5">
        <f t="shared" si="12"/>
        <v>1.5133999985525319</v>
      </c>
      <c r="B795">
        <f ca="1">B794+$C$1*($D$1-MAX(B794,0)) + $H$1*SQRT(MAX(B794,0))*randcorrWithFeedback!E795</f>
        <v>0.60911053011424565</v>
      </c>
    </row>
    <row r="796" spans="1:2" x14ac:dyDescent="0.45">
      <c r="A796" s="5">
        <f t="shared" si="12"/>
        <v>1.5133999985814812</v>
      </c>
      <c r="B796">
        <f ca="1">B795+$C$1*($D$1-MAX(B795,0)) + $H$1*SQRT(MAX(B795,0))*randcorrWithFeedback!E796</f>
        <v>0.48578962770175949</v>
      </c>
    </row>
    <row r="797" spans="1:2" x14ac:dyDescent="0.45">
      <c r="A797" s="5">
        <f t="shared" si="12"/>
        <v>1.5133999986098516</v>
      </c>
      <c r="B797">
        <f ca="1">B796+$C$1*($D$1-MAX(B796,0)) + $H$1*SQRT(MAX(B796,0))*randcorrWithFeedback!E797</f>
        <v>0.49982579657416015</v>
      </c>
    </row>
    <row r="798" spans="1:2" x14ac:dyDescent="0.45">
      <c r="A798" s="5">
        <f t="shared" si="12"/>
        <v>1.5133999986376545</v>
      </c>
      <c r="B798">
        <f ca="1">B797+$C$1*($D$1-MAX(B797,0)) + $H$1*SQRT(MAX(B797,0))*randcorrWithFeedback!E798</f>
        <v>0.41354039314768476</v>
      </c>
    </row>
    <row r="799" spans="1:2" x14ac:dyDescent="0.45">
      <c r="A799" s="5">
        <f t="shared" si="12"/>
        <v>1.5133999986649014</v>
      </c>
      <c r="B799">
        <f ca="1">B798+$C$1*($D$1-MAX(B798,0)) + $H$1*SQRT(MAX(B798,0))*randcorrWithFeedback!E799</f>
        <v>0.45442034037237689</v>
      </c>
    </row>
    <row r="800" spans="1:2" x14ac:dyDescent="0.45">
      <c r="A800" s="5">
        <f t="shared" si="12"/>
        <v>1.5133999986916034</v>
      </c>
      <c r="B800">
        <f ca="1">B799+$C$1*($D$1-MAX(B799,0)) + $H$1*SQRT(MAX(B799,0))*randcorrWithFeedback!E800</f>
        <v>0.79218633888107215</v>
      </c>
    </row>
    <row r="801" spans="1:2" x14ac:dyDescent="0.45">
      <c r="A801" s="5">
        <f t="shared" si="12"/>
        <v>1.5133999987177713</v>
      </c>
      <c r="B801">
        <f ca="1">B800+$C$1*($D$1-MAX(B800,0)) + $H$1*SQRT(MAX(B800,0))*randcorrWithFeedback!E801</f>
        <v>0.66900410219326301</v>
      </c>
    </row>
    <row r="802" spans="1:2" x14ac:dyDescent="0.45">
      <c r="A802" s="5">
        <f t="shared" si="12"/>
        <v>1.5133999987434159</v>
      </c>
      <c r="B802">
        <f ca="1">B801+$C$1*($D$1-MAX(B801,0)) + $H$1*SQRT(MAX(B801,0))*randcorrWithFeedback!E802</f>
        <v>0.60230506298201969</v>
      </c>
    </row>
    <row r="803" spans="1:2" x14ac:dyDescent="0.45">
      <c r="A803" s="5">
        <f t="shared" si="12"/>
        <v>1.5133999987685476</v>
      </c>
      <c r="B803">
        <f ca="1">B802+$C$1*($D$1-MAX(B802,0)) + $H$1*SQRT(MAX(B802,0))*randcorrWithFeedback!E803</f>
        <v>0.59704372500173641</v>
      </c>
    </row>
    <row r="804" spans="1:2" x14ac:dyDescent="0.45">
      <c r="A804" s="5">
        <f t="shared" si="12"/>
        <v>1.5133999987931765</v>
      </c>
      <c r="B804">
        <f ca="1">B803+$C$1*($D$1-MAX(B803,0)) + $H$1*SQRT(MAX(B803,0))*randcorrWithFeedback!E804</f>
        <v>0.77797801559097379</v>
      </c>
    </row>
    <row r="805" spans="1:2" x14ac:dyDescent="0.45">
      <c r="A805" s="5">
        <f t="shared" si="12"/>
        <v>1.513399998817313</v>
      </c>
      <c r="B805">
        <f ca="1">B804+$C$1*($D$1-MAX(B804,0)) + $H$1*SQRT(MAX(B804,0))*randcorrWithFeedback!E805</f>
        <v>1.0630101691545994</v>
      </c>
    </row>
    <row r="806" spans="1:2" x14ac:dyDescent="0.45">
      <c r="A806" s="5">
        <f t="shared" si="12"/>
        <v>1.5133999988409668</v>
      </c>
      <c r="B806">
        <f ca="1">B805+$C$1*($D$1-MAX(B805,0)) + $H$1*SQRT(MAX(B805,0))*randcorrWithFeedback!E806</f>
        <v>0.88874113039530744</v>
      </c>
    </row>
    <row r="807" spans="1:2" x14ac:dyDescent="0.45">
      <c r="A807" s="5">
        <f t="shared" si="12"/>
        <v>1.5133999988641473</v>
      </c>
      <c r="B807">
        <f ca="1">B806+$C$1*($D$1-MAX(B806,0)) + $H$1*SQRT(MAX(B806,0))*randcorrWithFeedback!E807</f>
        <v>1.3622941088576574</v>
      </c>
    </row>
    <row r="808" spans="1:2" x14ac:dyDescent="0.45">
      <c r="A808" s="5">
        <f t="shared" si="12"/>
        <v>1.5133999988868645</v>
      </c>
      <c r="B808">
        <f ca="1">B807+$C$1*($D$1-MAX(B807,0)) + $H$1*SQRT(MAX(B807,0))*randcorrWithFeedback!E808</f>
        <v>1.1360214616397399</v>
      </c>
    </row>
    <row r="809" spans="1:2" x14ac:dyDescent="0.45">
      <c r="A809" s="5">
        <f t="shared" si="12"/>
        <v>1.5133999989091271</v>
      </c>
      <c r="B809">
        <f ca="1">B808+$C$1*($D$1-MAX(B808,0)) + $H$1*SQRT(MAX(B808,0))*randcorrWithFeedback!E809</f>
        <v>1.3682254686530675</v>
      </c>
    </row>
    <row r="810" spans="1:2" x14ac:dyDescent="0.45">
      <c r="A810" s="5">
        <f t="shared" si="12"/>
        <v>1.5133999989309446</v>
      </c>
      <c r="B810">
        <f ca="1">B809+$C$1*($D$1-MAX(B809,0)) + $H$1*SQRT(MAX(B809,0))*randcorrWithFeedback!E810</f>
        <v>1.7831460590349502</v>
      </c>
    </row>
    <row r="811" spans="1:2" x14ac:dyDescent="0.45">
      <c r="A811" s="5">
        <f t="shared" si="12"/>
        <v>1.5133999989523257</v>
      </c>
      <c r="B811">
        <f ca="1">B810+$C$1*($D$1-MAX(B810,0)) + $H$1*SQRT(MAX(B810,0))*randcorrWithFeedback!E811</f>
        <v>2.065758507816831</v>
      </c>
    </row>
    <row r="812" spans="1:2" x14ac:dyDescent="0.45">
      <c r="A812" s="5">
        <f t="shared" si="12"/>
        <v>1.5133999989732791</v>
      </c>
      <c r="B812">
        <f ca="1">B811+$C$1*($D$1-MAX(B811,0)) + $H$1*SQRT(MAX(B811,0))*randcorrWithFeedback!E812</f>
        <v>2.1935468542635803</v>
      </c>
    </row>
    <row r="813" spans="1:2" x14ac:dyDescent="0.45">
      <c r="A813" s="5">
        <f t="shared" si="12"/>
        <v>1.5133999989938136</v>
      </c>
      <c r="B813">
        <f ca="1">B812+$C$1*($D$1-MAX(B812,0)) + $H$1*SQRT(MAX(B812,0))*randcorrWithFeedback!E813</f>
        <v>2.018444313876059</v>
      </c>
    </row>
    <row r="814" spans="1:2" x14ac:dyDescent="0.45">
      <c r="A814" s="5">
        <f t="shared" si="12"/>
        <v>1.5133999990139373</v>
      </c>
      <c r="B814">
        <f ca="1">B813+$C$1*($D$1-MAX(B813,0)) + $H$1*SQRT(MAX(B813,0))*randcorrWithFeedback!E814</f>
        <v>2.6010792561682989</v>
      </c>
    </row>
    <row r="815" spans="1:2" x14ac:dyDescent="0.45">
      <c r="A815" s="5">
        <f t="shared" si="12"/>
        <v>1.5133999990336586</v>
      </c>
      <c r="B815">
        <f ca="1">B814+$C$1*($D$1-MAX(B814,0)) + $H$1*SQRT(MAX(B814,0))*randcorrWithFeedback!E815</f>
        <v>3.0795663103660655</v>
      </c>
    </row>
    <row r="816" spans="1:2" x14ac:dyDescent="0.45">
      <c r="A816" s="5">
        <f t="shared" si="12"/>
        <v>1.5133999990529854</v>
      </c>
      <c r="B816">
        <f ca="1">B815+$C$1*($D$1-MAX(B815,0)) + $H$1*SQRT(MAX(B815,0))*randcorrWithFeedback!E816</f>
        <v>3.1594363139556902</v>
      </c>
    </row>
    <row r="817" spans="1:2" x14ac:dyDescent="0.45">
      <c r="A817" s="5">
        <f t="shared" si="12"/>
        <v>1.5133999990719258</v>
      </c>
      <c r="B817">
        <f ca="1">B816+$C$1*($D$1-MAX(B816,0)) + $H$1*SQRT(MAX(B816,0))*randcorrWithFeedback!E817</f>
        <v>3.6750392604385835</v>
      </c>
    </row>
    <row r="818" spans="1:2" x14ac:dyDescent="0.45">
      <c r="A818" s="5">
        <f t="shared" si="12"/>
        <v>1.5133999990904874</v>
      </c>
      <c r="B818">
        <f ca="1">B817+$C$1*($D$1-MAX(B817,0)) + $H$1*SQRT(MAX(B817,0))*randcorrWithFeedback!E818</f>
        <v>3.2887436735318736</v>
      </c>
    </row>
    <row r="819" spans="1:2" x14ac:dyDescent="0.45">
      <c r="A819" s="5">
        <f t="shared" si="12"/>
        <v>1.5133999991086777</v>
      </c>
      <c r="B819">
        <f ca="1">B818+$C$1*($D$1-MAX(B818,0)) + $H$1*SQRT(MAX(B818,0))*randcorrWithFeedback!E819</f>
        <v>3.6450935055484095</v>
      </c>
    </row>
    <row r="820" spans="1:2" x14ac:dyDescent="0.45">
      <c r="A820" s="5">
        <f t="shared" si="12"/>
        <v>1.5133999991265041</v>
      </c>
      <c r="B820">
        <f ca="1">B819+$C$1*($D$1-MAX(B819,0)) + $H$1*SQRT(MAX(B819,0))*randcorrWithFeedback!E820</f>
        <v>3.6133566476377204</v>
      </c>
    </row>
    <row r="821" spans="1:2" x14ac:dyDescent="0.45">
      <c r="A821" s="5">
        <f t="shared" si="12"/>
        <v>1.5133999991439742</v>
      </c>
      <c r="B821">
        <f ca="1">B820+$C$1*($D$1-MAX(B820,0)) + $H$1*SQRT(MAX(B820,0))*randcorrWithFeedback!E821</f>
        <v>3.0148529885078386</v>
      </c>
    </row>
    <row r="822" spans="1:2" x14ac:dyDescent="0.45">
      <c r="A822" s="5">
        <f t="shared" si="12"/>
        <v>1.5133999991610947</v>
      </c>
      <c r="B822">
        <f ca="1">B821+$C$1*($D$1-MAX(B821,0)) + $H$1*SQRT(MAX(B821,0))*randcorrWithFeedback!E822</f>
        <v>3.0134938547069741</v>
      </c>
    </row>
    <row r="823" spans="1:2" x14ac:dyDescent="0.45">
      <c r="A823" s="5">
        <f t="shared" si="12"/>
        <v>1.5133999991778728</v>
      </c>
      <c r="B823">
        <f ca="1">B822+$C$1*($D$1-MAX(B822,0)) + $H$1*SQRT(MAX(B822,0))*randcorrWithFeedback!E823</f>
        <v>2.381031859415387</v>
      </c>
    </row>
    <row r="824" spans="1:2" x14ac:dyDescent="0.45">
      <c r="A824" s="5">
        <f t="shared" si="12"/>
        <v>1.5133999991943154</v>
      </c>
      <c r="B824">
        <f ca="1">B823+$C$1*($D$1-MAX(B823,0)) + $H$1*SQRT(MAX(B823,0))*randcorrWithFeedback!E824</f>
        <v>2.0497951412382176</v>
      </c>
    </row>
    <row r="825" spans="1:2" x14ac:dyDescent="0.45">
      <c r="A825" s="5">
        <f t="shared" si="12"/>
        <v>1.5133999992104292</v>
      </c>
      <c r="B825">
        <f ca="1">B824+$C$1*($D$1-MAX(B824,0)) + $H$1*SQRT(MAX(B824,0))*randcorrWithFeedback!E825</f>
        <v>1.8483501173575325</v>
      </c>
    </row>
    <row r="826" spans="1:2" x14ac:dyDescent="0.45">
      <c r="A826" s="5">
        <f t="shared" si="12"/>
        <v>1.5133999992262206</v>
      </c>
      <c r="B826">
        <f ca="1">B825+$C$1*($D$1-MAX(B825,0)) + $H$1*SQRT(MAX(B825,0))*randcorrWithFeedback!E826</f>
        <v>1.2114696454118377</v>
      </c>
    </row>
    <row r="827" spans="1:2" x14ac:dyDescent="0.45">
      <c r="A827" s="5">
        <f t="shared" si="12"/>
        <v>1.5133999992416962</v>
      </c>
      <c r="B827">
        <f ca="1">B826+$C$1*($D$1-MAX(B826,0)) + $H$1*SQRT(MAX(B826,0))*randcorrWithFeedback!E827</f>
        <v>1.2442352033923605</v>
      </c>
    </row>
    <row r="828" spans="1:2" x14ac:dyDescent="0.45">
      <c r="A828" s="5">
        <f t="shared" si="12"/>
        <v>1.5133999992568623</v>
      </c>
      <c r="B828">
        <f ca="1">B827+$C$1*($D$1-MAX(B827,0)) + $H$1*SQRT(MAX(B827,0))*randcorrWithFeedback!E828</f>
        <v>1.3871032672711778</v>
      </c>
    </row>
    <row r="829" spans="1:2" x14ac:dyDescent="0.45">
      <c r="A829" s="5">
        <f t="shared" si="12"/>
        <v>1.5133999992717251</v>
      </c>
      <c r="B829">
        <f ca="1">B828+$C$1*($D$1-MAX(B828,0)) + $H$1*SQRT(MAX(B828,0))*randcorrWithFeedback!E829</f>
        <v>1.5494869381374847</v>
      </c>
    </row>
    <row r="830" spans="1:2" x14ac:dyDescent="0.45">
      <c r="A830" s="5">
        <f t="shared" si="12"/>
        <v>1.5133999992862905</v>
      </c>
      <c r="B830">
        <f ca="1">B829+$C$1*($D$1-MAX(B829,0)) + $H$1*SQRT(MAX(B829,0))*randcorrWithFeedback!E830</f>
        <v>1.6421795746043557</v>
      </c>
    </row>
    <row r="831" spans="1:2" x14ac:dyDescent="0.45">
      <c r="A831" s="5">
        <f t="shared" si="12"/>
        <v>1.5133999993005647</v>
      </c>
      <c r="B831">
        <f ca="1">B830+$C$1*($D$1-MAX(B830,0)) + $H$1*SQRT(MAX(B830,0))*randcorrWithFeedback!E831</f>
        <v>2.2548989821878016</v>
      </c>
    </row>
    <row r="832" spans="1:2" x14ac:dyDescent="0.45">
      <c r="A832" s="5">
        <f t="shared" si="12"/>
        <v>1.5133999993145535</v>
      </c>
      <c r="B832">
        <f ca="1">B831+$C$1*($D$1-MAX(B831,0)) + $H$1*SQRT(MAX(B831,0))*randcorrWithFeedback!E832</f>
        <v>2.4020874802849628</v>
      </c>
    </row>
    <row r="833" spans="1:2" x14ac:dyDescent="0.45">
      <c r="A833" s="5">
        <f t="shared" si="12"/>
        <v>1.5133999993282625</v>
      </c>
      <c r="B833">
        <f ca="1">B832+$C$1*($D$1-MAX(B832,0)) + $H$1*SQRT(MAX(B832,0))*randcorrWithFeedback!E833</f>
        <v>2.8980266205958247</v>
      </c>
    </row>
    <row r="834" spans="1:2" x14ac:dyDescent="0.45">
      <c r="A834" s="5">
        <f t="shared" si="12"/>
        <v>1.5133999993416973</v>
      </c>
      <c r="B834">
        <f ca="1">B833+$C$1*($D$1-MAX(B833,0)) + $H$1*SQRT(MAX(B833,0))*randcorrWithFeedback!E834</f>
        <v>3.2821771663072425</v>
      </c>
    </row>
    <row r="835" spans="1:2" x14ac:dyDescent="0.45">
      <c r="A835" s="5">
        <f t="shared" ref="A835:A898" si="13">A834+$C$1*($D$1-A834)</f>
        <v>1.5133999993548635</v>
      </c>
      <c r="B835">
        <f ca="1">B834+$C$1*($D$1-MAX(B834,0)) + $H$1*SQRT(MAX(B834,0))*randcorrWithFeedback!E835</f>
        <v>3.4836859822125072</v>
      </c>
    </row>
    <row r="836" spans="1:2" x14ac:dyDescent="0.45">
      <c r="A836" s="5">
        <f t="shared" si="13"/>
        <v>1.5133999993677663</v>
      </c>
      <c r="B836">
        <f ca="1">B835+$C$1*($D$1-MAX(B835,0)) + $H$1*SQRT(MAX(B835,0))*randcorrWithFeedback!E836</f>
        <v>2.5927893476729467</v>
      </c>
    </row>
    <row r="837" spans="1:2" x14ac:dyDescent="0.45">
      <c r="A837" s="5">
        <f t="shared" si="13"/>
        <v>1.513399999380411</v>
      </c>
      <c r="B837">
        <f ca="1">B836+$C$1*($D$1-MAX(B836,0)) + $H$1*SQRT(MAX(B836,0))*randcorrWithFeedback!E837</f>
        <v>2.5373107880055539</v>
      </c>
    </row>
    <row r="838" spans="1:2" x14ac:dyDescent="0.45">
      <c r="A838" s="5">
        <f t="shared" si="13"/>
        <v>1.5133999993928029</v>
      </c>
      <c r="B838">
        <f ca="1">B837+$C$1*($D$1-MAX(B837,0)) + $H$1*SQRT(MAX(B837,0))*randcorrWithFeedback!E838</f>
        <v>3.0507224097917094</v>
      </c>
    </row>
    <row r="839" spans="1:2" x14ac:dyDescent="0.45">
      <c r="A839" s="5">
        <f t="shared" si="13"/>
        <v>1.5133999994049467</v>
      </c>
      <c r="B839">
        <f ca="1">B838+$C$1*($D$1-MAX(B838,0)) + $H$1*SQRT(MAX(B838,0))*randcorrWithFeedback!E839</f>
        <v>2.9975865344309662</v>
      </c>
    </row>
    <row r="840" spans="1:2" x14ac:dyDescent="0.45">
      <c r="A840" s="5">
        <f t="shared" si="13"/>
        <v>1.5133999994168479</v>
      </c>
      <c r="B840">
        <f ca="1">B839+$C$1*($D$1-MAX(B839,0)) + $H$1*SQRT(MAX(B839,0))*randcorrWithFeedback!E840</f>
        <v>3.5352016439634819</v>
      </c>
    </row>
    <row r="841" spans="1:2" x14ac:dyDescent="0.45">
      <c r="A841" s="5">
        <f t="shared" si="13"/>
        <v>1.513399999428511</v>
      </c>
      <c r="B841">
        <f ca="1">B840+$C$1*($D$1-MAX(B840,0)) + $H$1*SQRT(MAX(B840,0))*randcorrWithFeedback!E841</f>
        <v>3.7738420091204685</v>
      </c>
    </row>
    <row r="842" spans="1:2" x14ac:dyDescent="0.45">
      <c r="A842" s="5">
        <f t="shared" si="13"/>
        <v>1.5133999994399407</v>
      </c>
      <c r="B842">
        <f ca="1">B841+$C$1*($D$1-MAX(B841,0)) + $H$1*SQRT(MAX(B841,0))*randcorrWithFeedback!E842</f>
        <v>3.7057481753079666</v>
      </c>
    </row>
    <row r="843" spans="1:2" x14ac:dyDescent="0.45">
      <c r="A843" s="5">
        <f t="shared" si="13"/>
        <v>1.513399999451142</v>
      </c>
      <c r="B843">
        <f ca="1">B842+$C$1*($D$1-MAX(B842,0)) + $H$1*SQRT(MAX(B842,0))*randcorrWithFeedback!E843</f>
        <v>3.7047314426676352</v>
      </c>
    </row>
    <row r="844" spans="1:2" x14ac:dyDescent="0.45">
      <c r="A844" s="5">
        <f t="shared" si="13"/>
        <v>1.5133999994621192</v>
      </c>
      <c r="B844">
        <f ca="1">B843+$C$1*($D$1-MAX(B843,0)) + $H$1*SQRT(MAX(B843,0))*randcorrWithFeedback!E844</f>
        <v>3.4189569710635097</v>
      </c>
    </row>
    <row r="845" spans="1:2" x14ac:dyDescent="0.45">
      <c r="A845" s="5">
        <f t="shared" si="13"/>
        <v>1.5133999994728768</v>
      </c>
      <c r="B845">
        <f ca="1">B844+$C$1*($D$1-MAX(B844,0)) + $H$1*SQRT(MAX(B844,0))*randcorrWithFeedback!E845</f>
        <v>3.4882759034160755</v>
      </c>
    </row>
    <row r="846" spans="1:2" x14ac:dyDescent="0.45">
      <c r="A846" s="5">
        <f t="shared" si="13"/>
        <v>1.5133999994834193</v>
      </c>
      <c r="B846">
        <f ca="1">B845+$C$1*($D$1-MAX(B845,0)) + $H$1*SQRT(MAX(B845,0))*randcorrWithFeedback!E846</f>
        <v>2.8864429085474375</v>
      </c>
    </row>
    <row r="847" spans="1:2" x14ac:dyDescent="0.45">
      <c r="A847" s="5">
        <f t="shared" si="13"/>
        <v>1.5133999994937508</v>
      </c>
      <c r="B847">
        <f ca="1">B846+$C$1*($D$1-MAX(B846,0)) + $H$1*SQRT(MAX(B846,0))*randcorrWithFeedback!E847</f>
        <v>2.0617431123175107</v>
      </c>
    </row>
    <row r="848" spans="1:2" x14ac:dyDescent="0.45">
      <c r="A848" s="5">
        <f t="shared" si="13"/>
        <v>1.5133999995038758</v>
      </c>
      <c r="B848">
        <f ca="1">B847+$C$1*($D$1-MAX(B847,0)) + $H$1*SQRT(MAX(B847,0))*randcorrWithFeedback!E848</f>
        <v>2.0433099938580583</v>
      </c>
    </row>
    <row r="849" spans="1:2" x14ac:dyDescent="0.45">
      <c r="A849" s="5">
        <f t="shared" si="13"/>
        <v>1.5133999995137983</v>
      </c>
      <c r="B849">
        <f ca="1">B848+$C$1*($D$1-MAX(B848,0)) + $H$1*SQRT(MAX(B848,0))*randcorrWithFeedback!E849</f>
        <v>2.5507722398522388</v>
      </c>
    </row>
    <row r="850" spans="1:2" x14ac:dyDescent="0.45">
      <c r="A850" s="5">
        <f t="shared" si="13"/>
        <v>1.5133999995235223</v>
      </c>
      <c r="B850">
        <f ca="1">B849+$C$1*($D$1-MAX(B849,0)) + $H$1*SQRT(MAX(B849,0))*randcorrWithFeedback!E850</f>
        <v>2.9120879459991555</v>
      </c>
    </row>
    <row r="851" spans="1:2" x14ac:dyDescent="0.45">
      <c r="A851" s="5">
        <f t="shared" si="13"/>
        <v>1.5133999995330518</v>
      </c>
      <c r="B851">
        <f ca="1">B850+$C$1*($D$1-MAX(B850,0)) + $H$1*SQRT(MAX(B850,0))*randcorrWithFeedback!E851</f>
        <v>3.3728376741177843</v>
      </c>
    </row>
    <row r="852" spans="1:2" x14ac:dyDescent="0.45">
      <c r="A852" s="5">
        <f t="shared" si="13"/>
        <v>1.5133999995423908</v>
      </c>
      <c r="B852">
        <f ca="1">B851+$C$1*($D$1-MAX(B851,0)) + $H$1*SQRT(MAX(B851,0))*randcorrWithFeedback!E852</f>
        <v>4.1913905210358022</v>
      </c>
    </row>
    <row r="853" spans="1:2" x14ac:dyDescent="0.45">
      <c r="A853" s="5">
        <f t="shared" si="13"/>
        <v>1.513399999551543</v>
      </c>
      <c r="B853">
        <f ca="1">B852+$C$1*($D$1-MAX(B852,0)) + $H$1*SQRT(MAX(B852,0))*randcorrWithFeedback!E853</f>
        <v>3.5642361772716478</v>
      </c>
    </row>
    <row r="854" spans="1:2" x14ac:dyDescent="0.45">
      <c r="A854" s="5">
        <f t="shared" si="13"/>
        <v>1.5133999995605121</v>
      </c>
      <c r="B854">
        <f ca="1">B853+$C$1*($D$1-MAX(B853,0)) + $H$1*SQRT(MAX(B853,0))*randcorrWithFeedback!E854</f>
        <v>3.7562966378238509</v>
      </c>
    </row>
    <row r="855" spans="1:2" x14ac:dyDescent="0.45">
      <c r="A855" s="5">
        <f t="shared" si="13"/>
        <v>1.5133999995693019</v>
      </c>
      <c r="B855">
        <f ca="1">B854+$C$1*($D$1-MAX(B854,0)) + $H$1*SQRT(MAX(B854,0))*randcorrWithFeedback!E855</f>
        <v>3.3527644847595566</v>
      </c>
    </row>
    <row r="856" spans="1:2" x14ac:dyDescent="0.45">
      <c r="A856" s="5">
        <f t="shared" si="13"/>
        <v>1.5133999995779159</v>
      </c>
      <c r="B856">
        <f ca="1">B855+$C$1*($D$1-MAX(B855,0)) + $H$1*SQRT(MAX(B855,0))*randcorrWithFeedback!E856</f>
        <v>2.9651019523584687</v>
      </c>
    </row>
    <row r="857" spans="1:2" x14ac:dyDescent="0.45">
      <c r="A857" s="5">
        <f t="shared" si="13"/>
        <v>1.5133999995863576</v>
      </c>
      <c r="B857">
        <f ca="1">B856+$C$1*($D$1-MAX(B856,0)) + $H$1*SQRT(MAX(B856,0))*randcorrWithFeedback!E857</f>
        <v>2.7657600081754805</v>
      </c>
    </row>
    <row r="858" spans="1:2" x14ac:dyDescent="0.45">
      <c r="A858" s="5">
        <f t="shared" si="13"/>
        <v>1.5133999995946306</v>
      </c>
      <c r="B858">
        <f ca="1">B857+$C$1*($D$1-MAX(B857,0)) + $H$1*SQRT(MAX(B857,0))*randcorrWithFeedback!E858</f>
        <v>3.1578638100220107</v>
      </c>
    </row>
    <row r="859" spans="1:2" x14ac:dyDescent="0.45">
      <c r="A859" s="5">
        <f t="shared" si="13"/>
        <v>1.5133999996027379</v>
      </c>
      <c r="B859">
        <f ca="1">B858+$C$1*($D$1-MAX(B858,0)) + $H$1*SQRT(MAX(B858,0))*randcorrWithFeedback!E859</f>
        <v>3.7919951700429322</v>
      </c>
    </row>
    <row r="860" spans="1:2" x14ac:dyDescent="0.45">
      <c r="A860" s="5">
        <f t="shared" si="13"/>
        <v>1.5133999996106831</v>
      </c>
      <c r="B860">
        <f ca="1">B859+$C$1*($D$1-MAX(B859,0)) + $H$1*SQRT(MAX(B859,0))*randcorrWithFeedback!E860</f>
        <v>4.5174246695455356</v>
      </c>
    </row>
    <row r="861" spans="1:2" x14ac:dyDescent="0.45">
      <c r="A861" s="5">
        <f t="shared" si="13"/>
        <v>1.5133999996184695</v>
      </c>
      <c r="B861">
        <f ca="1">B860+$C$1*($D$1-MAX(B860,0)) + $H$1*SQRT(MAX(B860,0))*randcorrWithFeedback!E861</f>
        <v>5.3131599505996441</v>
      </c>
    </row>
    <row r="862" spans="1:2" x14ac:dyDescent="0.45">
      <c r="A862" s="5">
        <f t="shared" si="13"/>
        <v>1.5133999996261001</v>
      </c>
      <c r="B862">
        <f ca="1">B861+$C$1*($D$1-MAX(B861,0)) + $H$1*SQRT(MAX(B861,0))*randcorrWithFeedback!E862</f>
        <v>5.2495179736982411</v>
      </c>
    </row>
    <row r="863" spans="1:2" x14ac:dyDescent="0.45">
      <c r="A863" s="5">
        <f t="shared" si="13"/>
        <v>1.5133999996335781</v>
      </c>
      <c r="B863">
        <f ca="1">B862+$C$1*($D$1-MAX(B862,0)) + $H$1*SQRT(MAX(B862,0))*randcorrWithFeedback!E863</f>
        <v>4.8354941648253353</v>
      </c>
    </row>
    <row r="864" spans="1:2" x14ac:dyDescent="0.45">
      <c r="A864" s="5">
        <f t="shared" si="13"/>
        <v>1.5133999996409064</v>
      </c>
      <c r="B864">
        <f ca="1">B863+$C$1*($D$1-MAX(B863,0)) + $H$1*SQRT(MAX(B863,0))*randcorrWithFeedback!E864</f>
        <v>5.0038682865525903</v>
      </c>
    </row>
    <row r="865" spans="1:2" x14ac:dyDescent="0.45">
      <c r="A865" s="5">
        <f t="shared" si="13"/>
        <v>1.5133999996480882</v>
      </c>
      <c r="B865">
        <f ca="1">B864+$C$1*($D$1-MAX(B864,0)) + $H$1*SQRT(MAX(B864,0))*randcorrWithFeedback!E865</f>
        <v>5.9936530158025318</v>
      </c>
    </row>
    <row r="866" spans="1:2" x14ac:dyDescent="0.45">
      <c r="A866" s="5">
        <f t="shared" si="13"/>
        <v>1.5133999996551264</v>
      </c>
      <c r="B866">
        <f ca="1">B865+$C$1*($D$1-MAX(B865,0)) + $H$1*SQRT(MAX(B865,0))*randcorrWithFeedback!E866</f>
        <v>4.8534301138225011</v>
      </c>
    </row>
    <row r="867" spans="1:2" x14ac:dyDescent="0.45">
      <c r="A867" s="5">
        <f t="shared" si="13"/>
        <v>1.5133999996620238</v>
      </c>
      <c r="B867">
        <f ca="1">B866+$C$1*($D$1-MAX(B866,0)) + $H$1*SQRT(MAX(B866,0))*randcorrWithFeedback!E867</f>
        <v>5.3833562089050897</v>
      </c>
    </row>
    <row r="868" spans="1:2" x14ac:dyDescent="0.45">
      <c r="A868" s="5">
        <f t="shared" si="13"/>
        <v>1.5133999996687832</v>
      </c>
      <c r="B868">
        <f ca="1">B867+$C$1*($D$1-MAX(B867,0)) + $H$1*SQRT(MAX(B867,0))*randcorrWithFeedback!E868</f>
        <v>5.0468559170704212</v>
      </c>
    </row>
    <row r="869" spans="1:2" x14ac:dyDescent="0.45">
      <c r="A869" s="5">
        <f t="shared" si="13"/>
        <v>1.5133999996754075</v>
      </c>
      <c r="B869">
        <f ca="1">B868+$C$1*($D$1-MAX(B868,0)) + $H$1*SQRT(MAX(B868,0))*randcorrWithFeedback!E869</f>
        <v>5.0673480743638972</v>
      </c>
    </row>
    <row r="870" spans="1:2" x14ac:dyDescent="0.45">
      <c r="A870" s="5">
        <f t="shared" si="13"/>
        <v>1.5133999996818994</v>
      </c>
      <c r="B870">
        <f ca="1">B869+$C$1*($D$1-MAX(B869,0)) + $H$1*SQRT(MAX(B869,0))*randcorrWithFeedback!E870</f>
        <v>4.3519013189646589</v>
      </c>
    </row>
    <row r="871" spans="1:2" x14ac:dyDescent="0.45">
      <c r="A871" s="5">
        <f t="shared" si="13"/>
        <v>1.5133999996882614</v>
      </c>
      <c r="B871">
        <f ca="1">B870+$C$1*($D$1-MAX(B870,0)) + $H$1*SQRT(MAX(B870,0))*randcorrWithFeedback!E871</f>
        <v>3.5977349975838706</v>
      </c>
    </row>
    <row r="872" spans="1:2" x14ac:dyDescent="0.45">
      <c r="A872" s="5">
        <f t="shared" si="13"/>
        <v>1.5133999996944962</v>
      </c>
      <c r="B872">
        <f ca="1">B871+$C$1*($D$1-MAX(B871,0)) + $H$1*SQRT(MAX(B871,0))*randcorrWithFeedback!E872</f>
        <v>3.0376869264321966</v>
      </c>
    </row>
    <row r="873" spans="1:2" x14ac:dyDescent="0.45">
      <c r="A873" s="5">
        <f t="shared" si="13"/>
        <v>1.5133999997006062</v>
      </c>
      <c r="B873">
        <f ca="1">B872+$C$1*($D$1-MAX(B872,0)) + $H$1*SQRT(MAX(B872,0))*randcorrWithFeedback!E873</f>
        <v>3.2984239338464101</v>
      </c>
    </row>
    <row r="874" spans="1:2" x14ac:dyDescent="0.45">
      <c r="A874" s="5">
        <f t="shared" si="13"/>
        <v>1.5133999997065941</v>
      </c>
      <c r="B874">
        <f ca="1">B873+$C$1*($D$1-MAX(B873,0)) + $H$1*SQRT(MAX(B873,0))*randcorrWithFeedback!E874</f>
        <v>3.233465166403974</v>
      </c>
    </row>
    <row r="875" spans="1:2" x14ac:dyDescent="0.45">
      <c r="A875" s="5">
        <f t="shared" si="13"/>
        <v>1.5133999997124623</v>
      </c>
      <c r="B875">
        <f ca="1">B874+$C$1*($D$1-MAX(B874,0)) + $H$1*SQRT(MAX(B874,0))*randcorrWithFeedback!E875</f>
        <v>2.8260962478997778</v>
      </c>
    </row>
    <row r="876" spans="1:2" x14ac:dyDescent="0.45">
      <c r="A876" s="5">
        <f t="shared" si="13"/>
        <v>1.513399999718213</v>
      </c>
      <c r="B876">
        <f ca="1">B875+$C$1*($D$1-MAX(B875,0)) + $H$1*SQRT(MAX(B875,0))*randcorrWithFeedback!E876</f>
        <v>2.9610475933108886</v>
      </c>
    </row>
    <row r="877" spans="1:2" x14ac:dyDescent="0.45">
      <c r="A877" s="5">
        <f t="shared" si="13"/>
        <v>1.5133999997238488</v>
      </c>
      <c r="B877">
        <f ca="1">B876+$C$1*($D$1-MAX(B876,0)) + $H$1*SQRT(MAX(B876,0))*randcorrWithFeedback!E877</f>
        <v>2.6316154912255367</v>
      </c>
    </row>
    <row r="878" spans="1:2" x14ac:dyDescent="0.45">
      <c r="A878" s="5">
        <f t="shared" si="13"/>
        <v>1.5133999997293719</v>
      </c>
      <c r="B878">
        <f ca="1">B877+$C$1*($D$1-MAX(B877,0)) + $H$1*SQRT(MAX(B877,0))*randcorrWithFeedback!E878</f>
        <v>3.3104675316129617</v>
      </c>
    </row>
    <row r="879" spans="1:2" x14ac:dyDescent="0.45">
      <c r="A879" s="5">
        <f t="shared" si="13"/>
        <v>1.5133999997347845</v>
      </c>
      <c r="B879">
        <f ca="1">B878+$C$1*($D$1-MAX(B878,0)) + $H$1*SQRT(MAX(B878,0))*randcorrWithFeedback!E879</f>
        <v>4.1595955540426424</v>
      </c>
    </row>
    <row r="880" spans="1:2" x14ac:dyDescent="0.45">
      <c r="A880" s="5">
        <f t="shared" si="13"/>
        <v>1.5133999997400887</v>
      </c>
      <c r="B880">
        <f ca="1">B879+$C$1*($D$1-MAX(B879,0)) + $H$1*SQRT(MAX(B879,0))*randcorrWithFeedback!E880</f>
        <v>4.8828851850383481</v>
      </c>
    </row>
    <row r="881" spans="1:2" x14ac:dyDescent="0.45">
      <c r="A881" s="5">
        <f t="shared" si="13"/>
        <v>1.5133999997452869</v>
      </c>
      <c r="B881">
        <f ca="1">B880+$C$1*($D$1-MAX(B880,0)) + $H$1*SQRT(MAX(B880,0))*randcorrWithFeedback!E881</f>
        <v>4.8750262970992955</v>
      </c>
    </row>
    <row r="882" spans="1:2" x14ac:dyDescent="0.45">
      <c r="A882" s="5">
        <f t="shared" si="13"/>
        <v>1.5133999997503813</v>
      </c>
      <c r="B882">
        <f ca="1">B881+$C$1*($D$1-MAX(B881,0)) + $H$1*SQRT(MAX(B881,0))*randcorrWithFeedback!E882</f>
        <v>5.9082883940281512</v>
      </c>
    </row>
    <row r="883" spans="1:2" x14ac:dyDescent="0.45">
      <c r="A883" s="5">
        <f t="shared" si="13"/>
        <v>1.5133999997553738</v>
      </c>
      <c r="B883">
        <f ca="1">B882+$C$1*($D$1-MAX(B882,0)) + $H$1*SQRT(MAX(B882,0))*randcorrWithFeedback!E883</f>
        <v>5.89929733239022</v>
      </c>
    </row>
    <row r="884" spans="1:2" x14ac:dyDescent="0.45">
      <c r="A884" s="5">
        <f t="shared" si="13"/>
        <v>1.5133999997602663</v>
      </c>
      <c r="B884">
        <f ca="1">B883+$C$1*($D$1-MAX(B883,0)) + $H$1*SQRT(MAX(B883,0))*randcorrWithFeedback!E884</f>
        <v>5.667493192534792</v>
      </c>
    </row>
    <row r="885" spans="1:2" x14ac:dyDescent="0.45">
      <c r="A885" s="5">
        <f t="shared" si="13"/>
        <v>1.5133999997650609</v>
      </c>
      <c r="B885">
        <f ca="1">B884+$C$1*($D$1-MAX(B884,0)) + $H$1*SQRT(MAX(B884,0))*randcorrWithFeedback!E885</f>
        <v>6.5882848089317125</v>
      </c>
    </row>
    <row r="886" spans="1:2" x14ac:dyDescent="0.45">
      <c r="A886" s="5">
        <f t="shared" si="13"/>
        <v>1.5133999997697596</v>
      </c>
      <c r="B886">
        <f ca="1">B885+$C$1*($D$1-MAX(B885,0)) + $H$1*SQRT(MAX(B885,0))*randcorrWithFeedback!E886</f>
        <v>6.9216315616822284</v>
      </c>
    </row>
    <row r="887" spans="1:2" x14ac:dyDescent="0.45">
      <c r="A887" s="5">
        <f t="shared" si="13"/>
        <v>1.5133999997743643</v>
      </c>
      <c r="B887">
        <f ca="1">B886+$C$1*($D$1-MAX(B886,0)) + $H$1*SQRT(MAX(B886,0))*randcorrWithFeedback!E887</f>
        <v>6.9251115356328627</v>
      </c>
    </row>
    <row r="888" spans="1:2" x14ac:dyDescent="0.45">
      <c r="A888" s="5">
        <f t="shared" si="13"/>
        <v>1.513399999778877</v>
      </c>
      <c r="B888">
        <f ca="1">B887+$C$1*($D$1-MAX(B887,0)) + $H$1*SQRT(MAX(B887,0))*randcorrWithFeedback!E888</f>
        <v>7.2186748084816932</v>
      </c>
    </row>
    <row r="889" spans="1:2" x14ac:dyDescent="0.45">
      <c r="A889" s="5">
        <f t="shared" si="13"/>
        <v>1.5133999997832994</v>
      </c>
      <c r="B889">
        <f ca="1">B888+$C$1*($D$1-MAX(B888,0)) + $H$1*SQRT(MAX(B888,0))*randcorrWithFeedback!E889</f>
        <v>6.4112151017293249</v>
      </c>
    </row>
    <row r="890" spans="1:2" x14ac:dyDescent="0.45">
      <c r="A890" s="5">
        <f t="shared" si="13"/>
        <v>1.5133999997876335</v>
      </c>
      <c r="B890">
        <f ca="1">B889+$C$1*($D$1-MAX(B889,0)) + $H$1*SQRT(MAX(B889,0))*randcorrWithFeedback!E890</f>
        <v>5.6974428636278898</v>
      </c>
    </row>
    <row r="891" spans="1:2" x14ac:dyDescent="0.45">
      <c r="A891" s="5">
        <f t="shared" si="13"/>
        <v>1.5133999997918808</v>
      </c>
      <c r="B891">
        <f ca="1">B890+$C$1*($D$1-MAX(B890,0)) + $H$1*SQRT(MAX(B890,0))*randcorrWithFeedback!E891</f>
        <v>6.5879091093952997</v>
      </c>
    </row>
    <row r="892" spans="1:2" x14ac:dyDescent="0.45">
      <c r="A892" s="5">
        <f t="shared" si="13"/>
        <v>1.5133999997960432</v>
      </c>
      <c r="B892">
        <f ca="1">B891+$C$1*($D$1-MAX(B891,0)) + $H$1*SQRT(MAX(B891,0))*randcorrWithFeedback!E892</f>
        <v>7.056306353584274</v>
      </c>
    </row>
    <row r="893" spans="1:2" x14ac:dyDescent="0.45">
      <c r="A893" s="5">
        <f t="shared" si="13"/>
        <v>1.5133999998001224</v>
      </c>
      <c r="B893">
        <f ca="1">B892+$C$1*($D$1-MAX(B892,0)) + $H$1*SQRT(MAX(B892,0))*randcorrWithFeedback!E893</f>
        <v>6.311726589349588</v>
      </c>
    </row>
    <row r="894" spans="1:2" x14ac:dyDescent="0.45">
      <c r="A894" s="5">
        <f t="shared" si="13"/>
        <v>1.5133999998041199</v>
      </c>
      <c r="B894">
        <f ca="1">B893+$C$1*($D$1-MAX(B893,0)) + $H$1*SQRT(MAX(B893,0))*randcorrWithFeedback!E894</f>
        <v>7.6851210765163618</v>
      </c>
    </row>
    <row r="895" spans="1:2" x14ac:dyDescent="0.45">
      <c r="A895" s="5">
        <f t="shared" si="13"/>
        <v>1.5133999998080374</v>
      </c>
      <c r="B895">
        <f ca="1">B894+$C$1*($D$1-MAX(B894,0)) + $H$1*SQRT(MAX(B894,0))*randcorrWithFeedback!E895</f>
        <v>7.5401625771990641</v>
      </c>
    </row>
    <row r="896" spans="1:2" x14ac:dyDescent="0.45">
      <c r="A896" s="5">
        <f t="shared" si="13"/>
        <v>1.5133999998118766</v>
      </c>
      <c r="B896">
        <f ca="1">B895+$C$1*($D$1-MAX(B895,0)) + $H$1*SQRT(MAX(B895,0))*randcorrWithFeedback!E896</f>
        <v>5.9123289638033265</v>
      </c>
    </row>
    <row r="897" spans="1:2" x14ac:dyDescent="0.45">
      <c r="A897" s="5">
        <f t="shared" si="13"/>
        <v>1.5133999998156391</v>
      </c>
      <c r="B897">
        <f ca="1">B896+$C$1*($D$1-MAX(B896,0)) + $H$1*SQRT(MAX(B896,0))*randcorrWithFeedback!E897</f>
        <v>5.7755591017333279</v>
      </c>
    </row>
    <row r="898" spans="1:2" x14ac:dyDescent="0.45">
      <c r="A898" s="5">
        <f t="shared" si="13"/>
        <v>1.5133999998193264</v>
      </c>
      <c r="B898">
        <f ca="1">B897+$C$1*($D$1-MAX(B897,0)) + $H$1*SQRT(MAX(B897,0))*randcorrWithFeedback!E898</f>
        <v>6.1593242663476513</v>
      </c>
    </row>
    <row r="899" spans="1:2" x14ac:dyDescent="0.45">
      <c r="A899" s="5">
        <f t="shared" ref="A899:A962" si="14">A898+$C$1*($D$1-A898)</f>
        <v>1.5133999998229399</v>
      </c>
      <c r="B899">
        <f ca="1">B898+$C$1*($D$1-MAX(B898,0)) + $H$1*SQRT(MAX(B898,0))*randcorrWithFeedback!E899</f>
        <v>5.1292602037083546</v>
      </c>
    </row>
    <row r="900" spans="1:2" x14ac:dyDescent="0.45">
      <c r="A900" s="5">
        <f t="shared" si="14"/>
        <v>1.5133999998264811</v>
      </c>
      <c r="B900">
        <f ca="1">B899+$C$1*($D$1-MAX(B899,0)) + $H$1*SQRT(MAX(B899,0))*randcorrWithFeedback!E900</f>
        <v>4.205649015033857</v>
      </c>
    </row>
    <row r="901" spans="1:2" x14ac:dyDescent="0.45">
      <c r="A901" s="5">
        <f t="shared" si="14"/>
        <v>1.5133999998299514</v>
      </c>
      <c r="B901">
        <f ca="1">B900+$C$1*($D$1-MAX(B900,0)) + $H$1*SQRT(MAX(B900,0))*randcorrWithFeedback!E901</f>
        <v>4.659224450788602</v>
      </c>
    </row>
    <row r="902" spans="1:2" x14ac:dyDescent="0.45">
      <c r="A902" s="5">
        <f t="shared" si="14"/>
        <v>1.5133999998333525</v>
      </c>
      <c r="B902">
        <f ca="1">B901+$C$1*($D$1-MAX(B901,0)) + $H$1*SQRT(MAX(B901,0))*randcorrWithFeedback!E902</f>
        <v>4.2513896470358006</v>
      </c>
    </row>
    <row r="903" spans="1:2" x14ac:dyDescent="0.45">
      <c r="A903" s="5">
        <f t="shared" si="14"/>
        <v>1.5133999998366854</v>
      </c>
      <c r="B903">
        <f ca="1">B902+$C$1*($D$1-MAX(B902,0)) + $H$1*SQRT(MAX(B902,0))*randcorrWithFeedback!E903</f>
        <v>2.5047420827351363</v>
      </c>
    </row>
    <row r="904" spans="1:2" x14ac:dyDescent="0.45">
      <c r="A904" s="5">
        <f t="shared" si="14"/>
        <v>1.5133999998399517</v>
      </c>
      <c r="B904">
        <f ca="1">B903+$C$1*($D$1-MAX(B903,0)) + $H$1*SQRT(MAX(B903,0))*randcorrWithFeedback!E904</f>
        <v>2.0139058541659658</v>
      </c>
    </row>
    <row r="905" spans="1:2" x14ac:dyDescent="0.45">
      <c r="A905" s="5">
        <f t="shared" si="14"/>
        <v>1.5133999998431527</v>
      </c>
      <c r="B905">
        <f ca="1">B904+$C$1*($D$1-MAX(B904,0)) + $H$1*SQRT(MAX(B904,0))*randcorrWithFeedback!E905</f>
        <v>1.3696636703785312</v>
      </c>
    </row>
    <row r="906" spans="1:2" x14ac:dyDescent="0.45">
      <c r="A906" s="5">
        <f t="shared" si="14"/>
        <v>1.5133999998462897</v>
      </c>
      <c r="B906">
        <f ca="1">B905+$C$1*($D$1-MAX(B905,0)) + $H$1*SQRT(MAX(B905,0))*randcorrWithFeedback!E906</f>
        <v>1.4028734513404668</v>
      </c>
    </row>
    <row r="907" spans="1:2" x14ac:dyDescent="0.45">
      <c r="A907" s="5">
        <f t="shared" si="14"/>
        <v>1.5133999998493639</v>
      </c>
      <c r="B907">
        <f ca="1">B906+$C$1*($D$1-MAX(B906,0)) + $H$1*SQRT(MAX(B906,0))*randcorrWithFeedback!E907</f>
        <v>1.8092263868921785</v>
      </c>
    </row>
    <row r="908" spans="1:2" x14ac:dyDescent="0.45">
      <c r="A908" s="5">
        <f t="shared" si="14"/>
        <v>1.5133999998523766</v>
      </c>
      <c r="B908">
        <f ca="1">B907+$C$1*($D$1-MAX(B907,0)) + $H$1*SQRT(MAX(B907,0))*randcorrWithFeedback!E908</f>
        <v>1.9804006449376539</v>
      </c>
    </row>
    <row r="909" spans="1:2" x14ac:dyDescent="0.45">
      <c r="A909" s="5">
        <f t="shared" si="14"/>
        <v>1.5133999998553291</v>
      </c>
      <c r="B909">
        <f ca="1">B908+$C$1*($D$1-MAX(B908,0)) + $H$1*SQRT(MAX(B908,0))*randcorrWithFeedback!E909</f>
        <v>2.2251135604790635</v>
      </c>
    </row>
    <row r="910" spans="1:2" x14ac:dyDescent="0.45">
      <c r="A910" s="5">
        <f t="shared" si="14"/>
        <v>1.5133999998582226</v>
      </c>
      <c r="B910">
        <f ca="1">B909+$C$1*($D$1-MAX(B909,0)) + $H$1*SQRT(MAX(B909,0))*randcorrWithFeedback!E910</f>
        <v>2.7440958673517528</v>
      </c>
    </row>
    <row r="911" spans="1:2" x14ac:dyDescent="0.45">
      <c r="A911" s="5">
        <f t="shared" si="14"/>
        <v>1.5133999998610581</v>
      </c>
      <c r="B911">
        <f ca="1">B910+$C$1*($D$1-MAX(B910,0)) + $H$1*SQRT(MAX(B910,0))*randcorrWithFeedback!E911</f>
        <v>2.0316042978015343</v>
      </c>
    </row>
    <row r="912" spans="1:2" x14ac:dyDescent="0.45">
      <c r="A912" s="5">
        <f t="shared" si="14"/>
        <v>1.513399999863837</v>
      </c>
      <c r="B912">
        <f ca="1">B911+$C$1*($D$1-MAX(B911,0)) + $H$1*SQRT(MAX(B911,0))*randcorrWithFeedback!E912</f>
        <v>0.89180700470127072</v>
      </c>
    </row>
    <row r="913" spans="1:2" x14ac:dyDescent="0.45">
      <c r="A913" s="5">
        <f t="shared" si="14"/>
        <v>1.5133999998665602</v>
      </c>
      <c r="B913">
        <f ca="1">B912+$C$1*($D$1-MAX(B912,0)) + $H$1*SQRT(MAX(B912,0))*randcorrWithFeedback!E913</f>
        <v>0.49843247665202095</v>
      </c>
    </row>
    <row r="914" spans="1:2" x14ac:dyDescent="0.45">
      <c r="A914" s="5">
        <f t="shared" si="14"/>
        <v>1.5133999998692289</v>
      </c>
      <c r="B914">
        <f ca="1">B913+$C$1*($D$1-MAX(B913,0)) + $H$1*SQRT(MAX(B913,0))*randcorrWithFeedback!E914</f>
        <v>0.73318511612843096</v>
      </c>
    </row>
    <row r="915" spans="1:2" x14ac:dyDescent="0.45">
      <c r="A915" s="5">
        <f t="shared" si="14"/>
        <v>1.5133999998718444</v>
      </c>
      <c r="B915">
        <f ca="1">B914+$C$1*($D$1-MAX(B914,0)) + $H$1*SQRT(MAX(B914,0))*randcorrWithFeedback!E915</f>
        <v>0.96056245846146082</v>
      </c>
    </row>
    <row r="916" spans="1:2" x14ac:dyDescent="0.45">
      <c r="A916" s="5">
        <f t="shared" si="14"/>
        <v>1.5133999998744074</v>
      </c>
      <c r="B916">
        <f ca="1">B915+$C$1*($D$1-MAX(B915,0)) + $H$1*SQRT(MAX(B915,0))*randcorrWithFeedback!E916</f>
        <v>0.41654284041690159</v>
      </c>
    </row>
    <row r="917" spans="1:2" x14ac:dyDescent="0.45">
      <c r="A917" s="5">
        <f t="shared" si="14"/>
        <v>1.5133999998769192</v>
      </c>
      <c r="B917">
        <f ca="1">B916+$C$1*($D$1-MAX(B916,0)) + $H$1*SQRT(MAX(B916,0))*randcorrWithFeedback!E917</f>
        <v>0.61472161978161199</v>
      </c>
    </row>
    <row r="918" spans="1:2" x14ac:dyDescent="0.45">
      <c r="A918" s="5">
        <f t="shared" si="14"/>
        <v>1.5133999998793808</v>
      </c>
      <c r="B918">
        <f ca="1">B917+$C$1*($D$1-MAX(B917,0)) + $H$1*SQRT(MAX(B917,0))*randcorrWithFeedback!E918</f>
        <v>0.51363701422286001</v>
      </c>
    </row>
    <row r="919" spans="1:2" x14ac:dyDescent="0.45">
      <c r="A919" s="5">
        <f t="shared" si="14"/>
        <v>1.5133999998817931</v>
      </c>
      <c r="B919">
        <f ca="1">B918+$C$1*($D$1-MAX(B918,0)) + $H$1*SQRT(MAX(B918,0))*randcorrWithFeedback!E919</f>
        <v>1.1093100790764843</v>
      </c>
    </row>
    <row r="920" spans="1:2" x14ac:dyDescent="0.45">
      <c r="A920" s="5">
        <f t="shared" si="14"/>
        <v>1.5133999998841572</v>
      </c>
      <c r="B920">
        <f ca="1">B919+$C$1*($D$1-MAX(B919,0)) + $H$1*SQRT(MAX(B919,0))*randcorrWithFeedback!E920</f>
        <v>1.1725624113124939</v>
      </c>
    </row>
    <row r="921" spans="1:2" x14ac:dyDescent="0.45">
      <c r="A921" s="5">
        <f t="shared" si="14"/>
        <v>1.513399999886474</v>
      </c>
      <c r="B921">
        <f ca="1">B920+$C$1*($D$1-MAX(B920,0)) + $H$1*SQRT(MAX(B920,0))*randcorrWithFeedback!E921</f>
        <v>0.66536496150451063</v>
      </c>
    </row>
    <row r="922" spans="1:2" x14ac:dyDescent="0.45">
      <c r="A922" s="5">
        <f t="shared" si="14"/>
        <v>1.5133999998887446</v>
      </c>
      <c r="B922">
        <f ca="1">B921+$C$1*($D$1-MAX(B921,0)) + $H$1*SQRT(MAX(B921,0))*randcorrWithFeedback!E922</f>
        <v>0.85147724921918511</v>
      </c>
    </row>
    <row r="923" spans="1:2" x14ac:dyDescent="0.45">
      <c r="A923" s="5">
        <f t="shared" si="14"/>
        <v>1.5133999998909697</v>
      </c>
      <c r="B923">
        <f ca="1">B922+$C$1*($D$1-MAX(B922,0)) + $H$1*SQRT(MAX(B922,0))*randcorrWithFeedback!E923</f>
        <v>0.53422405284318963</v>
      </c>
    </row>
    <row r="924" spans="1:2" x14ac:dyDescent="0.45">
      <c r="A924" s="5">
        <f t="shared" si="14"/>
        <v>1.5133999998931504</v>
      </c>
      <c r="B924">
        <f ca="1">B923+$C$1*($D$1-MAX(B923,0)) + $H$1*SQRT(MAX(B923,0))*randcorrWithFeedback!E924</f>
        <v>0.24984206727780139</v>
      </c>
    </row>
    <row r="925" spans="1:2" x14ac:dyDescent="0.45">
      <c r="A925" s="5">
        <f t="shared" si="14"/>
        <v>1.5133999998952874</v>
      </c>
      <c r="B925">
        <f ca="1">B924+$C$1*($D$1-MAX(B924,0)) + $H$1*SQRT(MAX(B924,0))*randcorrWithFeedback!E925</f>
        <v>0.39713605424303011</v>
      </c>
    </row>
    <row r="926" spans="1:2" x14ac:dyDescent="0.45">
      <c r="A926" s="5">
        <f t="shared" si="14"/>
        <v>1.5133999998973817</v>
      </c>
      <c r="B926">
        <f ca="1">B925+$C$1*($D$1-MAX(B925,0)) + $H$1*SQRT(MAX(B925,0))*randcorrWithFeedback!E926</f>
        <v>0.39789274081929588</v>
      </c>
    </row>
    <row r="927" spans="1:2" x14ac:dyDescent="0.45">
      <c r="A927" s="5">
        <f t="shared" si="14"/>
        <v>1.5133999998994341</v>
      </c>
      <c r="B927">
        <f ca="1">B926+$C$1*($D$1-MAX(B926,0)) + $H$1*SQRT(MAX(B926,0))*randcorrWithFeedback!E927</f>
        <v>0.54370358366140981</v>
      </c>
    </row>
    <row r="928" spans="1:2" x14ac:dyDescent="0.45">
      <c r="A928" s="5">
        <f t="shared" si="14"/>
        <v>1.5133999999014454</v>
      </c>
      <c r="B928">
        <f ca="1">B927+$C$1*($D$1-MAX(B927,0)) + $H$1*SQRT(MAX(B927,0))*randcorrWithFeedback!E928</f>
        <v>0.18528599970975157</v>
      </c>
    </row>
    <row r="929" spans="1:2" x14ac:dyDescent="0.45">
      <c r="A929" s="5">
        <f t="shared" si="14"/>
        <v>1.5133999999034164</v>
      </c>
      <c r="B929">
        <f ca="1">B928+$C$1*($D$1-MAX(B928,0)) + $H$1*SQRT(MAX(B928,0))*randcorrWithFeedback!E929</f>
        <v>0.28084516181917618</v>
      </c>
    </row>
    <row r="930" spans="1:2" x14ac:dyDescent="0.45">
      <c r="A930" s="5">
        <f t="shared" si="14"/>
        <v>1.513399999905348</v>
      </c>
      <c r="B930">
        <f ca="1">B929+$C$1*($D$1-MAX(B929,0)) + $H$1*SQRT(MAX(B929,0))*randcorrWithFeedback!E930</f>
        <v>0.4342007786582327</v>
      </c>
    </row>
    <row r="931" spans="1:2" x14ac:dyDescent="0.45">
      <c r="A931" s="5">
        <f t="shared" si="14"/>
        <v>1.5133999999072412</v>
      </c>
      <c r="B931">
        <f ca="1">B930+$C$1*($D$1-MAX(B930,0)) + $H$1*SQRT(MAX(B930,0))*randcorrWithFeedback!E931</f>
        <v>5.328940155691364E-2</v>
      </c>
    </row>
    <row r="932" spans="1:2" x14ac:dyDescent="0.45">
      <c r="A932" s="5">
        <f t="shared" si="14"/>
        <v>1.5133999999090963</v>
      </c>
      <c r="B932">
        <f ca="1">B931+$C$1*($D$1-MAX(B931,0)) + $H$1*SQRT(MAX(B931,0))*randcorrWithFeedback!E932</f>
        <v>-8.6688000502688531E-2</v>
      </c>
    </row>
    <row r="933" spans="1:2" x14ac:dyDescent="0.45">
      <c r="A933" s="5">
        <f t="shared" si="14"/>
        <v>1.5133999999109145</v>
      </c>
      <c r="B933">
        <f ca="1">B932+$C$1*($D$1-MAX(B932,0)) + $H$1*SQRT(MAX(B932,0))*randcorrWithFeedback!E933</f>
        <v>-5.6420000502688528E-2</v>
      </c>
    </row>
    <row r="934" spans="1:2" x14ac:dyDescent="0.45">
      <c r="A934" s="5">
        <f t="shared" si="14"/>
        <v>1.5133999999126961</v>
      </c>
      <c r="B934">
        <f ca="1">B933+$C$1*($D$1-MAX(B933,0)) + $H$1*SQRT(MAX(B933,0))*randcorrWithFeedback!E934</f>
        <v>-2.6152000502688524E-2</v>
      </c>
    </row>
    <row r="935" spans="1:2" x14ac:dyDescent="0.45">
      <c r="A935" s="5">
        <f t="shared" si="14"/>
        <v>1.5133999999144423</v>
      </c>
      <c r="B935">
        <f ca="1">B934+$C$1*($D$1-MAX(B934,0)) + $H$1*SQRT(MAX(B934,0))*randcorrWithFeedback!E935</f>
        <v>4.1159994973114788E-3</v>
      </c>
    </row>
    <row r="936" spans="1:2" x14ac:dyDescent="0.45">
      <c r="A936" s="5">
        <f t="shared" si="14"/>
        <v>1.5133999999161534</v>
      </c>
      <c r="B936">
        <f ca="1">B935+$C$1*($D$1-MAX(B935,0)) + $H$1*SQRT(MAX(B935,0))*randcorrWithFeedback!E936</f>
        <v>3.474669525226904E-2</v>
      </c>
    </row>
    <row r="937" spans="1:2" x14ac:dyDescent="0.45">
      <c r="A937" s="5">
        <f t="shared" si="14"/>
        <v>1.5133999999178303</v>
      </c>
      <c r="B937">
        <f ca="1">B936+$C$1*($D$1-MAX(B936,0)) + $H$1*SQRT(MAX(B936,0))*randcorrWithFeedback!E937</f>
        <v>6.0976626665380784E-2</v>
      </c>
    </row>
    <row r="938" spans="1:2" x14ac:dyDescent="0.45">
      <c r="A938" s="5">
        <f t="shared" si="14"/>
        <v>1.5133999999194736</v>
      </c>
      <c r="B938">
        <f ca="1">B937+$C$1*($D$1-MAX(B937,0)) + $H$1*SQRT(MAX(B937,0))*randcorrWithFeedback!E938</f>
        <v>0.12646942920891235</v>
      </c>
    </row>
    <row r="939" spans="1:2" x14ac:dyDescent="0.45">
      <c r="A939" s="5">
        <f t="shared" si="14"/>
        <v>1.5133999999210841</v>
      </c>
      <c r="B939">
        <f ca="1">B938+$C$1*($D$1-MAX(B938,0)) + $H$1*SQRT(MAX(B938,0))*randcorrWithFeedback!E939</f>
        <v>0.19911868333737978</v>
      </c>
    </row>
    <row r="940" spans="1:2" x14ac:dyDescent="0.45">
      <c r="A940" s="5">
        <f t="shared" si="14"/>
        <v>1.5133999999226624</v>
      </c>
      <c r="B940">
        <f ca="1">B939+$C$1*($D$1-MAX(B939,0)) + $H$1*SQRT(MAX(B939,0))*randcorrWithFeedback!E940</f>
        <v>0.15878798331750932</v>
      </c>
    </row>
    <row r="941" spans="1:2" x14ac:dyDescent="0.45">
      <c r="A941" s="5">
        <f t="shared" si="14"/>
        <v>1.5133999999242091</v>
      </c>
      <c r="B941">
        <f ca="1">B940+$C$1*($D$1-MAX(B940,0)) + $H$1*SQRT(MAX(B940,0))*randcorrWithFeedback!E941</f>
        <v>0.29900683604782402</v>
      </c>
    </row>
    <row r="942" spans="1:2" x14ac:dyDescent="0.45">
      <c r="A942" s="5">
        <f t="shared" si="14"/>
        <v>1.513399999925725</v>
      </c>
      <c r="B942">
        <f ca="1">B941+$C$1*($D$1-MAX(B941,0)) + $H$1*SQRT(MAX(B941,0))*randcorrWithFeedback!E942</f>
        <v>0.2036877111348688</v>
      </c>
    </row>
    <row r="943" spans="1:2" x14ac:dyDescent="0.45">
      <c r="A943" s="5">
        <f t="shared" si="14"/>
        <v>1.5133999999272105</v>
      </c>
      <c r="B943">
        <f ca="1">B942+$C$1*($D$1-MAX(B942,0)) + $H$1*SQRT(MAX(B942,0))*randcorrWithFeedback!E943</f>
        <v>0.16141793018084621</v>
      </c>
    </row>
    <row r="944" spans="1:2" x14ac:dyDescent="0.45">
      <c r="A944" s="5">
        <f t="shared" si="14"/>
        <v>1.5133999999286663</v>
      </c>
      <c r="B944">
        <f ca="1">B943+$C$1*($D$1-MAX(B943,0)) + $H$1*SQRT(MAX(B943,0))*randcorrWithFeedback!E944</f>
        <v>0.45140453614289966</v>
      </c>
    </row>
    <row r="945" spans="1:2" x14ac:dyDescent="0.45">
      <c r="A945" s="5">
        <f t="shared" si="14"/>
        <v>1.5133999999300929</v>
      </c>
      <c r="B945">
        <f ca="1">B944+$C$1*($D$1-MAX(B944,0)) + $H$1*SQRT(MAX(B944,0))*randcorrWithFeedback!E945</f>
        <v>0.44235693838494122</v>
      </c>
    </row>
    <row r="946" spans="1:2" x14ac:dyDescent="0.45">
      <c r="A946" s="5">
        <f t="shared" si="14"/>
        <v>1.5133999999314911</v>
      </c>
      <c r="B946">
        <f ca="1">B945+$C$1*($D$1-MAX(B945,0)) + $H$1*SQRT(MAX(B945,0))*randcorrWithFeedback!E946</f>
        <v>0.50989354221241001</v>
      </c>
    </row>
    <row r="947" spans="1:2" x14ac:dyDescent="0.45">
      <c r="A947" s="5">
        <f t="shared" si="14"/>
        <v>1.5133999999328613</v>
      </c>
      <c r="B947">
        <f ca="1">B946+$C$1*($D$1-MAX(B946,0)) + $H$1*SQRT(MAX(B946,0))*randcorrWithFeedback!E947</f>
        <v>0.4544567101369294</v>
      </c>
    </row>
    <row r="948" spans="1:2" x14ac:dyDescent="0.45">
      <c r="A948" s="5">
        <f t="shared" si="14"/>
        <v>1.513399999934204</v>
      </c>
      <c r="B948">
        <f ca="1">B947+$C$1*($D$1-MAX(B947,0)) + $H$1*SQRT(MAX(B947,0))*randcorrWithFeedback!E948</f>
        <v>0.46242849741763431</v>
      </c>
    </row>
    <row r="949" spans="1:2" x14ac:dyDescent="0.45">
      <c r="A949" s="5">
        <f t="shared" si="14"/>
        <v>1.5133999999355199</v>
      </c>
      <c r="B949">
        <f ca="1">B948+$C$1*($D$1-MAX(B948,0)) + $H$1*SQRT(MAX(B948,0))*randcorrWithFeedback!E949</f>
        <v>0.2149579013508312</v>
      </c>
    </row>
    <row r="950" spans="1:2" x14ac:dyDescent="0.45">
      <c r="A950" s="5">
        <f t="shared" si="14"/>
        <v>1.5133999999368095</v>
      </c>
      <c r="B950">
        <f ca="1">B949+$C$1*($D$1-MAX(B949,0)) + $H$1*SQRT(MAX(B949,0))*randcorrWithFeedback!E950</f>
        <v>0.18613845190478978</v>
      </c>
    </row>
    <row r="951" spans="1:2" x14ac:dyDescent="0.45">
      <c r="A951" s="5">
        <f t="shared" si="14"/>
        <v>1.5133999999380734</v>
      </c>
      <c r="B951">
        <f ca="1">B950+$C$1*($D$1-MAX(B950,0)) + $H$1*SQRT(MAX(B950,0))*randcorrWithFeedback!E951</f>
        <v>0.27690796791768846</v>
      </c>
    </row>
    <row r="952" spans="1:2" x14ac:dyDescent="0.45">
      <c r="A952" s="5">
        <f t="shared" si="14"/>
        <v>1.513399999939312</v>
      </c>
      <c r="B952">
        <f ca="1">B951+$C$1*($D$1-MAX(B951,0)) + $H$1*SQRT(MAX(B951,0))*randcorrWithFeedback!E952</f>
        <v>0.54938026345741375</v>
      </c>
    </row>
    <row r="953" spans="1:2" x14ac:dyDescent="0.45">
      <c r="A953" s="5">
        <f t="shared" si="14"/>
        <v>1.5133999999405257</v>
      </c>
      <c r="B953">
        <f ca="1">B952+$C$1*($D$1-MAX(B952,0)) + $H$1*SQRT(MAX(B952,0))*randcorrWithFeedback!E953</f>
        <v>0.91329480726667944</v>
      </c>
    </row>
    <row r="954" spans="1:2" x14ac:dyDescent="0.45">
      <c r="A954" s="5">
        <f t="shared" si="14"/>
        <v>1.5133999999417151</v>
      </c>
      <c r="B954">
        <f ca="1">B953+$C$1*($D$1-MAX(B953,0)) + $H$1*SQRT(MAX(B953,0))*randcorrWithFeedback!E954</f>
        <v>0.67613241011600622</v>
      </c>
    </row>
    <row r="955" spans="1:2" x14ac:dyDescent="0.45">
      <c r="A955" s="5">
        <f t="shared" si="14"/>
        <v>1.5133999999428809</v>
      </c>
      <c r="B955">
        <f ca="1">B954+$C$1*($D$1-MAX(B954,0)) + $H$1*SQRT(MAX(B954,0))*randcorrWithFeedback!E955</f>
        <v>0.83970208845096228</v>
      </c>
    </row>
    <row r="956" spans="1:2" x14ac:dyDescent="0.45">
      <c r="A956" s="5">
        <f t="shared" si="14"/>
        <v>1.5133999999440233</v>
      </c>
      <c r="B956">
        <f ca="1">B955+$C$1*($D$1-MAX(B955,0)) + $H$1*SQRT(MAX(B955,0))*randcorrWithFeedback!E956</f>
        <v>0.52892155001553931</v>
      </c>
    </row>
    <row r="957" spans="1:2" x14ac:dyDescent="0.45">
      <c r="A957" s="5">
        <f t="shared" si="14"/>
        <v>1.5133999999451428</v>
      </c>
      <c r="B957">
        <f ca="1">B956+$C$1*($D$1-MAX(B956,0)) + $H$1*SQRT(MAX(B956,0))*randcorrWithFeedback!E957</f>
        <v>0.78541537651369264</v>
      </c>
    </row>
    <row r="958" spans="1:2" x14ac:dyDescent="0.45">
      <c r="A958" s="5">
        <f t="shared" si="14"/>
        <v>1.51339999994624</v>
      </c>
      <c r="B958">
        <f ca="1">B957+$C$1*($D$1-MAX(B957,0)) + $H$1*SQRT(MAX(B957,0))*randcorrWithFeedback!E958</f>
        <v>1.1956223916074951</v>
      </c>
    </row>
    <row r="959" spans="1:2" x14ac:dyDescent="0.45">
      <c r="A959" s="5">
        <f t="shared" si="14"/>
        <v>1.5133999999473151</v>
      </c>
      <c r="B959">
        <f ca="1">B958+$C$1*($D$1-MAX(B958,0)) + $H$1*SQRT(MAX(B958,0))*randcorrWithFeedback!E959</f>
        <v>1.4045632300212672</v>
      </c>
    </row>
    <row r="960" spans="1:2" x14ac:dyDescent="0.45">
      <c r="A960" s="5">
        <f t="shared" si="14"/>
        <v>1.5133999999483687</v>
      </c>
      <c r="B960">
        <f ca="1">B959+$C$1*($D$1-MAX(B959,0)) + $H$1*SQRT(MAX(B959,0))*randcorrWithFeedback!E960</f>
        <v>0.90185616147776193</v>
      </c>
    </row>
    <row r="961" spans="1:2" x14ac:dyDescent="0.45">
      <c r="A961" s="5">
        <f t="shared" si="14"/>
        <v>1.5133999999494014</v>
      </c>
      <c r="B961">
        <f ca="1">B960+$C$1*($D$1-MAX(B960,0)) + $H$1*SQRT(MAX(B960,0))*randcorrWithFeedback!E961</f>
        <v>0.69022636625233624</v>
      </c>
    </row>
    <row r="962" spans="1:2" x14ac:dyDescent="0.45">
      <c r="A962" s="5">
        <f t="shared" si="14"/>
        <v>1.5133999999504135</v>
      </c>
      <c r="B962">
        <f ca="1">B961+$C$1*($D$1-MAX(B961,0)) + $H$1*SQRT(MAX(B961,0))*randcorrWithFeedback!E962</f>
        <v>0.6787402902186811</v>
      </c>
    </row>
    <row r="963" spans="1:2" x14ac:dyDescent="0.45">
      <c r="A963" s="5">
        <f t="shared" ref="A963:A1000" si="15">A962+$C$1*($D$1-A962)</f>
        <v>1.5133999999514052</v>
      </c>
      <c r="B963">
        <f ca="1">B962+$C$1*($D$1-MAX(B962,0)) + $H$1*SQRT(MAX(B962,0))*randcorrWithFeedback!E963</f>
        <v>1.0016608725720892</v>
      </c>
    </row>
    <row r="964" spans="1:2" x14ac:dyDescent="0.45">
      <c r="A964" s="5">
        <f t="shared" si="15"/>
        <v>1.5133999999523771</v>
      </c>
      <c r="B964">
        <f ca="1">B963+$C$1*($D$1-MAX(B963,0)) + $H$1*SQRT(MAX(B963,0))*randcorrWithFeedback!E964</f>
        <v>0.85119620027340959</v>
      </c>
    </row>
    <row r="965" spans="1:2" x14ac:dyDescent="0.45">
      <c r="A965" s="5">
        <f t="shared" si="15"/>
        <v>1.5133999999533296</v>
      </c>
      <c r="B965">
        <f ca="1">B964+$C$1*($D$1-MAX(B964,0)) + $H$1*SQRT(MAX(B964,0))*randcorrWithFeedback!E965</f>
        <v>0.84920708307275572</v>
      </c>
    </row>
    <row r="966" spans="1:2" x14ac:dyDescent="0.45">
      <c r="A966" s="5">
        <f t="shared" si="15"/>
        <v>1.5133999999542631</v>
      </c>
      <c r="B966">
        <f ca="1">B965+$C$1*($D$1-MAX(B965,0)) + $H$1*SQRT(MAX(B965,0))*randcorrWithFeedback!E966</f>
        <v>0.76594035099614066</v>
      </c>
    </row>
    <row r="967" spans="1:2" x14ac:dyDescent="0.45">
      <c r="A967" s="5">
        <f t="shared" si="15"/>
        <v>1.5133999999551779</v>
      </c>
      <c r="B967">
        <f ca="1">B966+$C$1*($D$1-MAX(B966,0)) + $H$1*SQRT(MAX(B966,0))*randcorrWithFeedback!E967</f>
        <v>0.57239262171539684</v>
      </c>
    </row>
    <row r="968" spans="1:2" x14ac:dyDescent="0.45">
      <c r="A968" s="5">
        <f t="shared" si="15"/>
        <v>1.5133999999560743</v>
      </c>
      <c r="B968">
        <f ca="1">B967+$C$1*($D$1-MAX(B967,0)) + $H$1*SQRT(MAX(B967,0))*randcorrWithFeedback!E968</f>
        <v>0.30420535460278292</v>
      </c>
    </row>
    <row r="969" spans="1:2" x14ac:dyDescent="0.45">
      <c r="A969" s="5">
        <f t="shared" si="15"/>
        <v>1.5133999999569527</v>
      </c>
      <c r="B969">
        <f ca="1">B968+$C$1*($D$1-MAX(B968,0)) + $H$1*SQRT(MAX(B968,0))*randcorrWithFeedback!E969</f>
        <v>0.2686317189869285</v>
      </c>
    </row>
    <row r="970" spans="1:2" x14ac:dyDescent="0.45">
      <c r="A970" s="5">
        <f t="shared" si="15"/>
        <v>1.5133999999578136</v>
      </c>
      <c r="B970">
        <f ca="1">B969+$C$1*($D$1-MAX(B969,0)) + $H$1*SQRT(MAX(B969,0))*randcorrWithFeedback!E970</f>
        <v>0.20145711525316806</v>
      </c>
    </row>
    <row r="971" spans="1:2" x14ac:dyDescent="0.45">
      <c r="A971" s="5">
        <f t="shared" si="15"/>
        <v>1.5133999999586574</v>
      </c>
      <c r="B971">
        <f ca="1">B970+$C$1*($D$1-MAX(B970,0)) + $H$1*SQRT(MAX(B970,0))*randcorrWithFeedback!E971</f>
        <v>1.8952568288335803E-2</v>
      </c>
    </row>
    <row r="972" spans="1:2" x14ac:dyDescent="0.45">
      <c r="A972" s="5">
        <f t="shared" si="15"/>
        <v>1.5133999999594843</v>
      </c>
      <c r="B972">
        <f ca="1">B971+$C$1*($D$1-MAX(B971,0)) + $H$1*SQRT(MAX(B971,0))*randcorrWithFeedback!E972</f>
        <v>4.8080931852877706E-2</v>
      </c>
    </row>
    <row r="973" spans="1:2" x14ac:dyDescent="0.45">
      <c r="A973" s="5">
        <f t="shared" si="15"/>
        <v>1.5133999999602945</v>
      </c>
      <c r="B973">
        <f ca="1">B972+$C$1*($D$1-MAX(B972,0)) + $H$1*SQRT(MAX(B972,0))*randcorrWithFeedback!E973</f>
        <v>4.4729280788872519E-2</v>
      </c>
    </row>
    <row r="974" spans="1:2" x14ac:dyDescent="0.45">
      <c r="A974" s="5">
        <f t="shared" si="15"/>
        <v>1.5133999999610885</v>
      </c>
      <c r="B974">
        <f ca="1">B973+$C$1*($D$1-MAX(B973,0)) + $H$1*SQRT(MAX(B973,0))*randcorrWithFeedback!E974</f>
        <v>-9.0271756431772737E-3</v>
      </c>
    </row>
    <row r="975" spans="1:2" x14ac:dyDescent="0.45">
      <c r="A975" s="5">
        <f t="shared" si="15"/>
        <v>1.5133999999618668</v>
      </c>
      <c r="B975">
        <f ca="1">B974+$C$1*($D$1-MAX(B974,0)) + $H$1*SQRT(MAX(B974,0))*randcorrWithFeedback!E975</f>
        <v>2.124082435682273E-2</v>
      </c>
    </row>
    <row r="976" spans="1:2" x14ac:dyDescent="0.45">
      <c r="A976" s="5">
        <f t="shared" si="15"/>
        <v>1.5133999999626295</v>
      </c>
      <c r="B976">
        <f ca="1">B975+$C$1*($D$1-MAX(B975,0)) + $H$1*SQRT(MAX(B975,0))*randcorrWithFeedback!E976</f>
        <v>2.2515498221078015E-2</v>
      </c>
    </row>
    <row r="977" spans="1:2" x14ac:dyDescent="0.45">
      <c r="A977" s="5">
        <f t="shared" si="15"/>
        <v>1.5133999999633769</v>
      </c>
      <c r="B977">
        <f ca="1">B976+$C$1*($D$1-MAX(B976,0)) + $H$1*SQRT(MAX(B976,0))*randcorrWithFeedback!E977</f>
        <v>6.9986465681053669E-2</v>
      </c>
    </row>
    <row r="978" spans="1:2" x14ac:dyDescent="0.45">
      <c r="A978" s="5">
        <f t="shared" si="15"/>
        <v>1.5133999999641095</v>
      </c>
      <c r="B978">
        <f ca="1">B977+$C$1*($D$1-MAX(B977,0)) + $H$1*SQRT(MAX(B977,0))*randcorrWithFeedback!E978</f>
        <v>0.14559273719357527</v>
      </c>
    </row>
    <row r="979" spans="1:2" x14ac:dyDescent="0.45">
      <c r="A979" s="5">
        <f t="shared" si="15"/>
        <v>1.5133999999648273</v>
      </c>
      <c r="B979">
        <f ca="1">B978+$C$1*($D$1-MAX(B978,0)) + $H$1*SQRT(MAX(B978,0))*randcorrWithFeedback!E979</f>
        <v>0.1714973686090038</v>
      </c>
    </row>
    <row r="980" spans="1:2" x14ac:dyDescent="0.45">
      <c r="A980" s="5">
        <f t="shared" si="15"/>
        <v>1.5133999999655308</v>
      </c>
      <c r="B980">
        <f ca="1">B979+$C$1*($D$1-MAX(B979,0)) + $H$1*SQRT(MAX(B979,0))*randcorrWithFeedback!E980</f>
        <v>0.42792183952945562</v>
      </c>
    </row>
    <row r="981" spans="1:2" x14ac:dyDescent="0.45">
      <c r="A981" s="5">
        <f t="shared" si="15"/>
        <v>1.5133999999662202</v>
      </c>
      <c r="B981">
        <f ca="1">B980+$C$1*($D$1-MAX(B980,0)) + $H$1*SQRT(MAX(B980,0))*randcorrWithFeedback!E981</f>
        <v>0.34590042103914664</v>
      </c>
    </row>
    <row r="982" spans="1:2" x14ac:dyDescent="0.45">
      <c r="A982" s="5">
        <f t="shared" si="15"/>
        <v>1.5133999999668959</v>
      </c>
      <c r="B982">
        <f ca="1">B981+$C$1*($D$1-MAX(B981,0)) + $H$1*SQRT(MAX(B981,0))*randcorrWithFeedback!E982</f>
        <v>0.61066140727487195</v>
      </c>
    </row>
    <row r="983" spans="1:2" x14ac:dyDescent="0.45">
      <c r="A983" s="5">
        <f t="shared" si="15"/>
        <v>1.513399999967558</v>
      </c>
      <c r="B983">
        <f ca="1">B982+$C$1*($D$1-MAX(B982,0)) + $H$1*SQRT(MAX(B982,0))*randcorrWithFeedback!E983</f>
        <v>0.74681097834433097</v>
      </c>
    </row>
    <row r="984" spans="1:2" x14ac:dyDescent="0.45">
      <c r="A984" s="5">
        <f t="shared" si="15"/>
        <v>1.5133999999682068</v>
      </c>
      <c r="B984">
        <f ca="1">B983+$C$1*($D$1-MAX(B983,0)) + $H$1*SQRT(MAX(B983,0))*randcorrWithFeedback!E984</f>
        <v>1.4215435928612385</v>
      </c>
    </row>
    <row r="985" spans="1:2" x14ac:dyDescent="0.45">
      <c r="A985" s="5">
        <f t="shared" si="15"/>
        <v>1.5133999999688428</v>
      </c>
      <c r="B985">
        <f ca="1">B984+$C$1*($D$1-MAX(B984,0)) + $H$1*SQRT(MAX(B984,0))*randcorrWithFeedback!E985</f>
        <v>1.6399959638758255</v>
      </c>
    </row>
    <row r="986" spans="1:2" x14ac:dyDescent="0.45">
      <c r="A986" s="5">
        <f t="shared" si="15"/>
        <v>1.5133999999694658</v>
      </c>
      <c r="B986">
        <f ca="1">B985+$C$1*($D$1-MAX(B985,0)) + $H$1*SQRT(MAX(B985,0))*randcorrWithFeedback!E986</f>
        <v>2.192502090577519</v>
      </c>
    </row>
    <row r="987" spans="1:2" x14ac:dyDescent="0.45">
      <c r="A987" s="5">
        <f t="shared" si="15"/>
        <v>1.5133999999700765</v>
      </c>
      <c r="B987">
        <f ca="1">B986+$C$1*($D$1-MAX(B986,0)) + $H$1*SQRT(MAX(B986,0))*randcorrWithFeedback!E987</f>
        <v>2.1140167155817426</v>
      </c>
    </row>
    <row r="988" spans="1:2" x14ac:dyDescent="0.45">
      <c r="A988" s="5">
        <f t="shared" si="15"/>
        <v>1.5133999999706749</v>
      </c>
      <c r="B988">
        <f ca="1">B987+$C$1*($D$1-MAX(B987,0)) + $H$1*SQRT(MAX(B987,0))*randcorrWithFeedback!E988</f>
        <v>2.1550580700233049</v>
      </c>
    </row>
    <row r="989" spans="1:2" x14ac:dyDescent="0.45">
      <c r="A989" s="5">
        <f t="shared" si="15"/>
        <v>1.5133999999712613</v>
      </c>
      <c r="B989">
        <f ca="1">B988+$C$1*($D$1-MAX(B988,0)) + $H$1*SQRT(MAX(B988,0))*randcorrWithFeedback!E989</f>
        <v>1.5177354178386513</v>
      </c>
    </row>
    <row r="990" spans="1:2" x14ac:dyDescent="0.45">
      <c r="A990" s="5">
        <f t="shared" si="15"/>
        <v>1.5133999999718362</v>
      </c>
      <c r="B990">
        <f ca="1">B989+$C$1*($D$1-MAX(B989,0)) + $H$1*SQRT(MAX(B989,0))*randcorrWithFeedback!E990</f>
        <v>0.91212637916020356</v>
      </c>
    </row>
    <row r="991" spans="1:2" x14ac:dyDescent="0.45">
      <c r="A991" s="5">
        <f t="shared" si="15"/>
        <v>1.5133999999723995</v>
      </c>
      <c r="B991">
        <f ca="1">B990+$C$1*($D$1-MAX(B990,0)) + $H$1*SQRT(MAX(B990,0))*randcorrWithFeedback!E991</f>
        <v>1.0943409032327309</v>
      </c>
    </row>
    <row r="992" spans="1:2" x14ac:dyDescent="0.45">
      <c r="A992" s="5">
        <f t="shared" si="15"/>
        <v>1.5133999999729515</v>
      </c>
      <c r="B992">
        <f ca="1">B991+$C$1*($D$1-MAX(B991,0)) + $H$1*SQRT(MAX(B991,0))*randcorrWithFeedback!E992</f>
        <v>0.91474658829031374</v>
      </c>
    </row>
    <row r="993" spans="1:2" x14ac:dyDescent="0.45">
      <c r="A993" s="5">
        <f t="shared" si="15"/>
        <v>1.5133999999734924</v>
      </c>
      <c r="B993">
        <f ca="1">B992+$C$1*($D$1-MAX(B992,0)) + $H$1*SQRT(MAX(B992,0))*randcorrWithFeedback!E993</f>
        <v>0.81042708467269287</v>
      </c>
    </row>
    <row r="994" spans="1:2" x14ac:dyDescent="0.45">
      <c r="A994" s="5">
        <f t="shared" si="15"/>
        <v>1.5133999999740226</v>
      </c>
      <c r="B994">
        <f ca="1">B993+$C$1*($D$1-MAX(B993,0)) + $H$1*SQRT(MAX(B993,0))*randcorrWithFeedback!E994</f>
        <v>0.50440043244698973</v>
      </c>
    </row>
    <row r="995" spans="1:2" x14ac:dyDescent="0.45">
      <c r="A995" s="5">
        <f t="shared" si="15"/>
        <v>1.5133999999745422</v>
      </c>
      <c r="B995">
        <f ca="1">B994+$C$1*($D$1-MAX(B994,0)) + $H$1*SQRT(MAX(B994,0))*randcorrWithFeedback!E995</f>
        <v>0.82163241276024457</v>
      </c>
    </row>
    <row r="996" spans="1:2" x14ac:dyDescent="0.45">
      <c r="A996" s="5">
        <f t="shared" si="15"/>
        <v>1.5133999999750514</v>
      </c>
      <c r="B996">
        <f ca="1">B995+$C$1*($D$1-MAX(B995,0)) + $H$1*SQRT(MAX(B995,0))*randcorrWithFeedback!E996</f>
        <v>1.4269761203947784</v>
      </c>
    </row>
    <row r="997" spans="1:2" x14ac:dyDescent="0.45">
      <c r="A997" s="5">
        <f t="shared" si="15"/>
        <v>1.5133999999755503</v>
      </c>
      <c r="B997">
        <f ca="1">B996+$C$1*($D$1-MAX(B996,0)) + $H$1*SQRT(MAX(B996,0))*randcorrWithFeedback!E997</f>
        <v>1.5609261853039182</v>
      </c>
    </row>
    <row r="998" spans="1:2" x14ac:dyDescent="0.45">
      <c r="A998" s="5">
        <f t="shared" si="15"/>
        <v>1.5133999999760392</v>
      </c>
      <c r="B998">
        <f ca="1">B997+$C$1*($D$1-MAX(B997,0)) + $H$1*SQRT(MAX(B997,0))*randcorrWithFeedback!E998</f>
        <v>1.5734685330327447</v>
      </c>
    </row>
    <row r="999" spans="1:2" x14ac:dyDescent="0.45">
      <c r="A999" s="5">
        <f t="shared" si="15"/>
        <v>1.5133999999765184</v>
      </c>
      <c r="B999">
        <f ca="1">B998+$C$1*($D$1-MAX(B998,0)) + $H$1*SQRT(MAX(B998,0))*randcorrWithFeedback!E999</f>
        <v>1.8160049836691818</v>
      </c>
    </row>
    <row r="1000" spans="1:2" x14ac:dyDescent="0.45">
      <c r="A1000" s="5">
        <f t="shared" si="15"/>
        <v>1.513399999976988</v>
      </c>
      <c r="B1000">
        <f ca="1">B999+$C$1*($D$1-MAX(B999,0)) + $H$1*SQRT(MAX(B999,0))*randcorrWithFeedback!E1000</f>
        <v>1.8672280503888761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probability</vt:lpstr>
      <vt:lpstr>probplot</vt:lpstr>
      <vt:lpstr>mc</vt:lpstr>
      <vt:lpstr>randcorrWithFeedback</vt:lpstr>
      <vt:lpstr>HE2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</dc:creator>
  <cp:lastModifiedBy>bk</cp:lastModifiedBy>
  <cp:lastPrinted>2024-05-19T19:56:36Z</cp:lastPrinted>
  <dcterms:created xsi:type="dcterms:W3CDTF">2024-05-04T16:26:43Z</dcterms:created>
  <dcterms:modified xsi:type="dcterms:W3CDTF">2024-05-31T15:09:28Z</dcterms:modified>
</cp:coreProperties>
</file>