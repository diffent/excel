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C03DC750-BE99-4AD7-91D9-DF4E5AA9D620}" xr6:coauthVersionLast="47" xr6:coauthVersionMax="47" xr10:uidLastSave="{00000000-0000-0000-0000-000000000000}"/>
  <bookViews>
    <workbookView xWindow="1785" yWindow="375" windowWidth="21420" windowHeight="11543" xr2:uid="{00000000-000D-0000-FFFF-FFFF00000000}"/>
  </bookViews>
  <sheets>
    <sheet name="somedata" sheetId="1" r:id="rId1"/>
  </sheets>
  <definedNames>
    <definedName name="solver_adj" localSheetId="0" hidden="1">somedata!$S$21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somedata!$Y$10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</workbook>
</file>

<file path=xl/calcChain.xml><?xml version="1.0" encoding="utf-8"?>
<calcChain xmlns="http://schemas.openxmlformats.org/spreadsheetml/2006/main">
  <c r="R1255" i="1" l="1"/>
  <c r="Q1255" i="1"/>
  <c r="P1255" i="1"/>
  <c r="O1255" i="1"/>
  <c r="N1255" i="1"/>
  <c r="M1255" i="1"/>
  <c r="L1255" i="1"/>
  <c r="K1255" i="1"/>
  <c r="J1255" i="1"/>
  <c r="I1255" i="1"/>
  <c r="H1255" i="1"/>
  <c r="G1255" i="1"/>
  <c r="R1254" i="1"/>
  <c r="Q1254" i="1"/>
  <c r="P1254" i="1"/>
  <c r="O1254" i="1"/>
  <c r="N1254" i="1"/>
  <c r="M1254" i="1"/>
  <c r="L1254" i="1"/>
  <c r="K1254" i="1"/>
  <c r="J1254" i="1"/>
  <c r="I1254" i="1"/>
  <c r="H1254" i="1"/>
  <c r="G1254" i="1"/>
  <c r="R1253" i="1"/>
  <c r="Q1253" i="1"/>
  <c r="P1253" i="1"/>
  <c r="O1253" i="1"/>
  <c r="N1253" i="1"/>
  <c r="M1253" i="1"/>
  <c r="L1253" i="1"/>
  <c r="K1253" i="1"/>
  <c r="J1253" i="1"/>
  <c r="I1253" i="1"/>
  <c r="H1253" i="1"/>
  <c r="G1253" i="1"/>
  <c r="R1252" i="1"/>
  <c r="Q1252" i="1"/>
  <c r="P1252" i="1"/>
  <c r="O1252" i="1"/>
  <c r="N1252" i="1"/>
  <c r="M1252" i="1"/>
  <c r="L1252" i="1"/>
  <c r="K1252" i="1"/>
  <c r="J1252" i="1"/>
  <c r="I1252" i="1"/>
  <c r="H1252" i="1"/>
  <c r="G1252" i="1"/>
  <c r="R1251" i="1"/>
  <c r="Q1251" i="1"/>
  <c r="P1251" i="1"/>
  <c r="O1251" i="1"/>
  <c r="N1251" i="1"/>
  <c r="M1251" i="1"/>
  <c r="L1251" i="1"/>
  <c r="K1251" i="1"/>
  <c r="J1251" i="1"/>
  <c r="I1251" i="1"/>
  <c r="H1251" i="1"/>
  <c r="G1251" i="1"/>
  <c r="R1250" i="1"/>
  <c r="Q1250" i="1"/>
  <c r="P1250" i="1"/>
  <c r="O1250" i="1"/>
  <c r="N1250" i="1"/>
  <c r="M1250" i="1"/>
  <c r="L1250" i="1"/>
  <c r="K1250" i="1"/>
  <c r="J1250" i="1"/>
  <c r="I1250" i="1"/>
  <c r="H1250" i="1"/>
  <c r="G1250" i="1"/>
  <c r="R1249" i="1"/>
  <c r="Q1249" i="1"/>
  <c r="P1249" i="1"/>
  <c r="O1249" i="1"/>
  <c r="N1249" i="1"/>
  <c r="M1249" i="1"/>
  <c r="L1249" i="1"/>
  <c r="K1249" i="1"/>
  <c r="J1249" i="1"/>
  <c r="I1249" i="1"/>
  <c r="H1249" i="1"/>
  <c r="G1249" i="1"/>
  <c r="R1248" i="1"/>
  <c r="Q1248" i="1"/>
  <c r="P1248" i="1"/>
  <c r="O1248" i="1"/>
  <c r="N1248" i="1"/>
  <c r="M1248" i="1"/>
  <c r="L1248" i="1"/>
  <c r="K1248" i="1"/>
  <c r="J1248" i="1"/>
  <c r="I1248" i="1"/>
  <c r="H1248" i="1"/>
  <c r="G1248" i="1"/>
  <c r="R1247" i="1"/>
  <c r="Q1247" i="1"/>
  <c r="P1247" i="1"/>
  <c r="O1247" i="1"/>
  <c r="N1247" i="1"/>
  <c r="M1247" i="1"/>
  <c r="L1247" i="1"/>
  <c r="K1247" i="1"/>
  <c r="J1247" i="1"/>
  <c r="I1247" i="1"/>
  <c r="H1247" i="1"/>
  <c r="G1247" i="1"/>
  <c r="R1246" i="1"/>
  <c r="Q1246" i="1"/>
  <c r="P1246" i="1"/>
  <c r="O1246" i="1"/>
  <c r="N1246" i="1"/>
  <c r="M1246" i="1"/>
  <c r="L1246" i="1"/>
  <c r="K1246" i="1"/>
  <c r="J1246" i="1"/>
  <c r="I1246" i="1"/>
  <c r="H1246" i="1"/>
  <c r="G1246" i="1"/>
  <c r="R1245" i="1"/>
  <c r="Q1245" i="1"/>
  <c r="P1245" i="1"/>
  <c r="O1245" i="1"/>
  <c r="N1245" i="1"/>
  <c r="M1245" i="1"/>
  <c r="L1245" i="1"/>
  <c r="K1245" i="1"/>
  <c r="J1245" i="1"/>
  <c r="I1245" i="1"/>
  <c r="H1245" i="1"/>
  <c r="G1245" i="1"/>
  <c r="R1244" i="1"/>
  <c r="Q1244" i="1"/>
  <c r="P1244" i="1"/>
  <c r="O1244" i="1"/>
  <c r="N1244" i="1"/>
  <c r="M1244" i="1"/>
  <c r="L1244" i="1"/>
  <c r="K1244" i="1"/>
  <c r="J1244" i="1"/>
  <c r="I1244" i="1"/>
  <c r="H1244" i="1"/>
  <c r="G1244" i="1"/>
  <c r="R1243" i="1"/>
  <c r="Q1243" i="1"/>
  <c r="P1243" i="1"/>
  <c r="O1243" i="1"/>
  <c r="N1243" i="1"/>
  <c r="M1243" i="1"/>
  <c r="L1243" i="1"/>
  <c r="K1243" i="1"/>
  <c r="J1243" i="1"/>
  <c r="I1243" i="1"/>
  <c r="H1243" i="1"/>
  <c r="G1243" i="1"/>
  <c r="R1242" i="1"/>
  <c r="Q1242" i="1"/>
  <c r="P1242" i="1"/>
  <c r="O1242" i="1"/>
  <c r="N1242" i="1"/>
  <c r="M1242" i="1"/>
  <c r="L1242" i="1"/>
  <c r="K1242" i="1"/>
  <c r="J1242" i="1"/>
  <c r="I1242" i="1"/>
  <c r="H1242" i="1"/>
  <c r="G1242" i="1"/>
  <c r="R1241" i="1"/>
  <c r="Q1241" i="1"/>
  <c r="P1241" i="1"/>
  <c r="O1241" i="1"/>
  <c r="N1241" i="1"/>
  <c r="M1241" i="1"/>
  <c r="L1241" i="1"/>
  <c r="K1241" i="1"/>
  <c r="J1241" i="1"/>
  <c r="I1241" i="1"/>
  <c r="H1241" i="1"/>
  <c r="G1241" i="1"/>
  <c r="R1240" i="1"/>
  <c r="Q1240" i="1"/>
  <c r="P1240" i="1"/>
  <c r="O1240" i="1"/>
  <c r="N1240" i="1"/>
  <c r="M1240" i="1"/>
  <c r="L1240" i="1"/>
  <c r="K1240" i="1"/>
  <c r="J1240" i="1"/>
  <c r="I1240" i="1"/>
  <c r="H1240" i="1"/>
  <c r="G1240" i="1"/>
  <c r="R1239" i="1"/>
  <c r="Q1239" i="1"/>
  <c r="P1239" i="1"/>
  <c r="O1239" i="1"/>
  <c r="N1239" i="1"/>
  <c r="M1239" i="1"/>
  <c r="L1239" i="1"/>
  <c r="K1239" i="1"/>
  <c r="J1239" i="1"/>
  <c r="I1239" i="1"/>
  <c r="H1239" i="1"/>
  <c r="G1239" i="1"/>
  <c r="R1238" i="1"/>
  <c r="Q1238" i="1"/>
  <c r="P1238" i="1"/>
  <c r="O1238" i="1"/>
  <c r="N1238" i="1"/>
  <c r="M1238" i="1"/>
  <c r="L1238" i="1"/>
  <c r="K1238" i="1"/>
  <c r="J1238" i="1"/>
  <c r="I1238" i="1"/>
  <c r="H1238" i="1"/>
  <c r="G1238" i="1"/>
  <c r="R1237" i="1"/>
  <c r="Q1237" i="1"/>
  <c r="P1237" i="1"/>
  <c r="O1237" i="1"/>
  <c r="N1237" i="1"/>
  <c r="M1237" i="1"/>
  <c r="L1237" i="1"/>
  <c r="K1237" i="1"/>
  <c r="J1237" i="1"/>
  <c r="I1237" i="1"/>
  <c r="H1237" i="1"/>
  <c r="G1237" i="1"/>
  <c r="R1236" i="1"/>
  <c r="Q1236" i="1"/>
  <c r="P1236" i="1"/>
  <c r="O1236" i="1"/>
  <c r="N1236" i="1"/>
  <c r="M1236" i="1"/>
  <c r="L1236" i="1"/>
  <c r="K1236" i="1"/>
  <c r="J1236" i="1"/>
  <c r="I1236" i="1"/>
  <c r="H1236" i="1"/>
  <c r="G1236" i="1"/>
  <c r="R1235" i="1"/>
  <c r="Q1235" i="1"/>
  <c r="P1235" i="1"/>
  <c r="O1235" i="1"/>
  <c r="N1235" i="1"/>
  <c r="M1235" i="1"/>
  <c r="L1235" i="1"/>
  <c r="K1235" i="1"/>
  <c r="J1235" i="1"/>
  <c r="I1235" i="1"/>
  <c r="H1235" i="1"/>
  <c r="G1235" i="1"/>
  <c r="R1234" i="1"/>
  <c r="Q1234" i="1"/>
  <c r="P1234" i="1"/>
  <c r="O1234" i="1"/>
  <c r="N1234" i="1"/>
  <c r="M1234" i="1"/>
  <c r="L1234" i="1"/>
  <c r="K1234" i="1"/>
  <c r="J1234" i="1"/>
  <c r="I1234" i="1"/>
  <c r="H1234" i="1"/>
  <c r="G1234" i="1"/>
  <c r="R1233" i="1"/>
  <c r="Q1233" i="1"/>
  <c r="P1233" i="1"/>
  <c r="O1233" i="1"/>
  <c r="N1233" i="1"/>
  <c r="M1233" i="1"/>
  <c r="L1233" i="1"/>
  <c r="K1233" i="1"/>
  <c r="J1233" i="1"/>
  <c r="I1233" i="1"/>
  <c r="H1233" i="1"/>
  <c r="G1233" i="1"/>
  <c r="R1232" i="1"/>
  <c r="Q1232" i="1"/>
  <c r="P1232" i="1"/>
  <c r="O1232" i="1"/>
  <c r="N1232" i="1"/>
  <c r="M1232" i="1"/>
  <c r="L1232" i="1"/>
  <c r="K1232" i="1"/>
  <c r="J1232" i="1"/>
  <c r="I1232" i="1"/>
  <c r="H1232" i="1"/>
  <c r="G1232" i="1"/>
  <c r="R1231" i="1"/>
  <c r="Q1231" i="1"/>
  <c r="P1231" i="1"/>
  <c r="O1231" i="1"/>
  <c r="N1231" i="1"/>
  <c r="M1231" i="1"/>
  <c r="L1231" i="1"/>
  <c r="K1231" i="1"/>
  <c r="J1231" i="1"/>
  <c r="I1231" i="1"/>
  <c r="H1231" i="1"/>
  <c r="G1231" i="1"/>
  <c r="R1230" i="1"/>
  <c r="Q1230" i="1"/>
  <c r="P1230" i="1"/>
  <c r="O1230" i="1"/>
  <c r="N1230" i="1"/>
  <c r="M1230" i="1"/>
  <c r="L1230" i="1"/>
  <c r="K1230" i="1"/>
  <c r="J1230" i="1"/>
  <c r="I1230" i="1"/>
  <c r="H1230" i="1"/>
  <c r="G1230" i="1"/>
  <c r="R1229" i="1"/>
  <c r="Q1229" i="1"/>
  <c r="P1229" i="1"/>
  <c r="O1229" i="1"/>
  <c r="N1229" i="1"/>
  <c r="M1229" i="1"/>
  <c r="L1229" i="1"/>
  <c r="K1229" i="1"/>
  <c r="J1229" i="1"/>
  <c r="I1229" i="1"/>
  <c r="H1229" i="1"/>
  <c r="G1229" i="1"/>
  <c r="R1228" i="1"/>
  <c r="Q1228" i="1"/>
  <c r="P1228" i="1"/>
  <c r="O1228" i="1"/>
  <c r="N1228" i="1"/>
  <c r="M1228" i="1"/>
  <c r="L1228" i="1"/>
  <c r="K1228" i="1"/>
  <c r="J1228" i="1"/>
  <c r="I1228" i="1"/>
  <c r="H1228" i="1"/>
  <c r="G1228" i="1"/>
  <c r="R1227" i="1"/>
  <c r="Q1227" i="1"/>
  <c r="P1227" i="1"/>
  <c r="O1227" i="1"/>
  <c r="N1227" i="1"/>
  <c r="M1227" i="1"/>
  <c r="L1227" i="1"/>
  <c r="K1227" i="1"/>
  <c r="J1227" i="1"/>
  <c r="I1227" i="1"/>
  <c r="H1227" i="1"/>
  <c r="G1227" i="1"/>
  <c r="R1226" i="1"/>
  <c r="Q1226" i="1"/>
  <c r="P1226" i="1"/>
  <c r="O1226" i="1"/>
  <c r="N1226" i="1"/>
  <c r="M1226" i="1"/>
  <c r="L1226" i="1"/>
  <c r="K1226" i="1"/>
  <c r="J1226" i="1"/>
  <c r="I1226" i="1"/>
  <c r="H1226" i="1"/>
  <c r="G1226" i="1"/>
  <c r="R1225" i="1"/>
  <c r="Q1225" i="1"/>
  <c r="P1225" i="1"/>
  <c r="O1225" i="1"/>
  <c r="N1225" i="1"/>
  <c r="M1225" i="1"/>
  <c r="L1225" i="1"/>
  <c r="K1225" i="1"/>
  <c r="J1225" i="1"/>
  <c r="I1225" i="1"/>
  <c r="H1225" i="1"/>
  <c r="G1225" i="1"/>
  <c r="R1224" i="1"/>
  <c r="Q1224" i="1"/>
  <c r="P1224" i="1"/>
  <c r="O1224" i="1"/>
  <c r="N1224" i="1"/>
  <c r="M1224" i="1"/>
  <c r="L1224" i="1"/>
  <c r="K1224" i="1"/>
  <c r="J1224" i="1"/>
  <c r="I1224" i="1"/>
  <c r="H1224" i="1"/>
  <c r="G1224" i="1"/>
  <c r="R1223" i="1"/>
  <c r="Q1223" i="1"/>
  <c r="P1223" i="1"/>
  <c r="O1223" i="1"/>
  <c r="N1223" i="1"/>
  <c r="M1223" i="1"/>
  <c r="L1223" i="1"/>
  <c r="K1223" i="1"/>
  <c r="J1223" i="1"/>
  <c r="I1223" i="1"/>
  <c r="H1223" i="1"/>
  <c r="G1223" i="1"/>
  <c r="R1222" i="1"/>
  <c r="Q1222" i="1"/>
  <c r="P1222" i="1"/>
  <c r="O1222" i="1"/>
  <c r="N1222" i="1"/>
  <c r="M1222" i="1"/>
  <c r="L1222" i="1"/>
  <c r="K1222" i="1"/>
  <c r="J1222" i="1"/>
  <c r="I1222" i="1"/>
  <c r="H1222" i="1"/>
  <c r="G1222" i="1"/>
  <c r="R1221" i="1"/>
  <c r="Q1221" i="1"/>
  <c r="P1221" i="1"/>
  <c r="O1221" i="1"/>
  <c r="N1221" i="1"/>
  <c r="M1221" i="1"/>
  <c r="L1221" i="1"/>
  <c r="K1221" i="1"/>
  <c r="J1221" i="1"/>
  <c r="I1221" i="1"/>
  <c r="H1221" i="1"/>
  <c r="G1221" i="1"/>
  <c r="R1220" i="1"/>
  <c r="Q1220" i="1"/>
  <c r="P1220" i="1"/>
  <c r="O1220" i="1"/>
  <c r="N1220" i="1"/>
  <c r="M1220" i="1"/>
  <c r="L1220" i="1"/>
  <c r="K1220" i="1"/>
  <c r="J1220" i="1"/>
  <c r="I1220" i="1"/>
  <c r="H1220" i="1"/>
  <c r="G1220" i="1"/>
  <c r="R1219" i="1"/>
  <c r="Q1219" i="1"/>
  <c r="P1219" i="1"/>
  <c r="O1219" i="1"/>
  <c r="N1219" i="1"/>
  <c r="M1219" i="1"/>
  <c r="L1219" i="1"/>
  <c r="K1219" i="1"/>
  <c r="J1219" i="1"/>
  <c r="I1219" i="1"/>
  <c r="H1219" i="1"/>
  <c r="G1219" i="1"/>
  <c r="R1218" i="1"/>
  <c r="Q1218" i="1"/>
  <c r="P1218" i="1"/>
  <c r="O1218" i="1"/>
  <c r="N1218" i="1"/>
  <c r="M1218" i="1"/>
  <c r="L1218" i="1"/>
  <c r="K1218" i="1"/>
  <c r="J1218" i="1"/>
  <c r="I1218" i="1"/>
  <c r="H1218" i="1"/>
  <c r="G1218" i="1"/>
  <c r="R1217" i="1"/>
  <c r="Q1217" i="1"/>
  <c r="P1217" i="1"/>
  <c r="O1217" i="1"/>
  <c r="N1217" i="1"/>
  <c r="M1217" i="1"/>
  <c r="L1217" i="1"/>
  <c r="K1217" i="1"/>
  <c r="J1217" i="1"/>
  <c r="I1217" i="1"/>
  <c r="H1217" i="1"/>
  <c r="G1217" i="1"/>
  <c r="R1216" i="1"/>
  <c r="Q1216" i="1"/>
  <c r="P1216" i="1"/>
  <c r="O1216" i="1"/>
  <c r="N1216" i="1"/>
  <c r="M1216" i="1"/>
  <c r="L1216" i="1"/>
  <c r="K1216" i="1"/>
  <c r="J1216" i="1"/>
  <c r="I1216" i="1"/>
  <c r="H1216" i="1"/>
  <c r="G1216" i="1"/>
  <c r="R1215" i="1"/>
  <c r="Q1215" i="1"/>
  <c r="P1215" i="1"/>
  <c r="O1215" i="1"/>
  <c r="N1215" i="1"/>
  <c r="M1215" i="1"/>
  <c r="L1215" i="1"/>
  <c r="K1215" i="1"/>
  <c r="J1215" i="1"/>
  <c r="I1215" i="1"/>
  <c r="H1215" i="1"/>
  <c r="G1215" i="1"/>
  <c r="R1214" i="1"/>
  <c r="Q1214" i="1"/>
  <c r="P1214" i="1"/>
  <c r="O1214" i="1"/>
  <c r="N1214" i="1"/>
  <c r="M1214" i="1"/>
  <c r="L1214" i="1"/>
  <c r="K1214" i="1"/>
  <c r="J1214" i="1"/>
  <c r="I1214" i="1"/>
  <c r="H1214" i="1"/>
  <c r="G1214" i="1"/>
  <c r="R1213" i="1"/>
  <c r="Q1213" i="1"/>
  <c r="P1213" i="1"/>
  <c r="O1213" i="1"/>
  <c r="N1213" i="1"/>
  <c r="M1213" i="1"/>
  <c r="L1213" i="1"/>
  <c r="K1213" i="1"/>
  <c r="J1213" i="1"/>
  <c r="I1213" i="1"/>
  <c r="H1213" i="1"/>
  <c r="G1213" i="1"/>
  <c r="R1212" i="1"/>
  <c r="Q1212" i="1"/>
  <c r="P1212" i="1"/>
  <c r="O1212" i="1"/>
  <c r="N1212" i="1"/>
  <c r="M1212" i="1"/>
  <c r="L1212" i="1"/>
  <c r="K1212" i="1"/>
  <c r="J1212" i="1"/>
  <c r="I1212" i="1"/>
  <c r="H1212" i="1"/>
  <c r="G1212" i="1"/>
  <c r="R1211" i="1"/>
  <c r="Q1211" i="1"/>
  <c r="P1211" i="1"/>
  <c r="O1211" i="1"/>
  <c r="N1211" i="1"/>
  <c r="M1211" i="1"/>
  <c r="L1211" i="1"/>
  <c r="K1211" i="1"/>
  <c r="J1211" i="1"/>
  <c r="I1211" i="1"/>
  <c r="H1211" i="1"/>
  <c r="G1211" i="1"/>
  <c r="R1210" i="1"/>
  <c r="Q1210" i="1"/>
  <c r="P1210" i="1"/>
  <c r="O1210" i="1"/>
  <c r="N1210" i="1"/>
  <c r="M1210" i="1"/>
  <c r="L1210" i="1"/>
  <c r="K1210" i="1"/>
  <c r="J1210" i="1"/>
  <c r="I1210" i="1"/>
  <c r="H1210" i="1"/>
  <c r="G1210" i="1"/>
  <c r="R1209" i="1"/>
  <c r="Q1209" i="1"/>
  <c r="P1209" i="1"/>
  <c r="O1209" i="1"/>
  <c r="N1209" i="1"/>
  <c r="M1209" i="1"/>
  <c r="L1209" i="1"/>
  <c r="K1209" i="1"/>
  <c r="J1209" i="1"/>
  <c r="I1209" i="1"/>
  <c r="H1209" i="1"/>
  <c r="G1209" i="1"/>
  <c r="R1208" i="1"/>
  <c r="Q1208" i="1"/>
  <c r="P1208" i="1"/>
  <c r="O1208" i="1"/>
  <c r="N1208" i="1"/>
  <c r="M1208" i="1"/>
  <c r="L1208" i="1"/>
  <c r="K1208" i="1"/>
  <c r="J1208" i="1"/>
  <c r="I1208" i="1"/>
  <c r="H1208" i="1"/>
  <c r="G1208" i="1"/>
  <c r="R1207" i="1"/>
  <c r="Q1207" i="1"/>
  <c r="P1207" i="1"/>
  <c r="O1207" i="1"/>
  <c r="N1207" i="1"/>
  <c r="M1207" i="1"/>
  <c r="L1207" i="1"/>
  <c r="K1207" i="1"/>
  <c r="J1207" i="1"/>
  <c r="I1207" i="1"/>
  <c r="H1207" i="1"/>
  <c r="G1207" i="1"/>
  <c r="R1206" i="1"/>
  <c r="Q1206" i="1"/>
  <c r="P1206" i="1"/>
  <c r="O1206" i="1"/>
  <c r="N1206" i="1"/>
  <c r="M1206" i="1"/>
  <c r="L1206" i="1"/>
  <c r="K1206" i="1"/>
  <c r="J1206" i="1"/>
  <c r="I1206" i="1"/>
  <c r="H1206" i="1"/>
  <c r="G1206" i="1"/>
  <c r="R1205" i="1"/>
  <c r="Q1205" i="1"/>
  <c r="P1205" i="1"/>
  <c r="O1205" i="1"/>
  <c r="N1205" i="1"/>
  <c r="M1205" i="1"/>
  <c r="L1205" i="1"/>
  <c r="K1205" i="1"/>
  <c r="J1205" i="1"/>
  <c r="I1205" i="1"/>
  <c r="H1205" i="1"/>
  <c r="G1205" i="1"/>
  <c r="R1204" i="1"/>
  <c r="Q1204" i="1"/>
  <c r="P1204" i="1"/>
  <c r="O1204" i="1"/>
  <c r="N1204" i="1"/>
  <c r="M1204" i="1"/>
  <c r="L1204" i="1"/>
  <c r="K1204" i="1"/>
  <c r="J1204" i="1"/>
  <c r="I1204" i="1"/>
  <c r="H1204" i="1"/>
  <c r="G1204" i="1"/>
  <c r="R1203" i="1"/>
  <c r="Q1203" i="1"/>
  <c r="P1203" i="1"/>
  <c r="O1203" i="1"/>
  <c r="N1203" i="1"/>
  <c r="M1203" i="1"/>
  <c r="L1203" i="1"/>
  <c r="K1203" i="1"/>
  <c r="J1203" i="1"/>
  <c r="I1203" i="1"/>
  <c r="H1203" i="1"/>
  <c r="G1203" i="1"/>
  <c r="R1202" i="1"/>
  <c r="Q1202" i="1"/>
  <c r="P1202" i="1"/>
  <c r="O1202" i="1"/>
  <c r="N1202" i="1"/>
  <c r="M1202" i="1"/>
  <c r="L1202" i="1"/>
  <c r="K1202" i="1"/>
  <c r="J1202" i="1"/>
  <c r="I1202" i="1"/>
  <c r="H1202" i="1"/>
  <c r="G1202" i="1"/>
  <c r="R1201" i="1"/>
  <c r="Q1201" i="1"/>
  <c r="P1201" i="1"/>
  <c r="O1201" i="1"/>
  <c r="N1201" i="1"/>
  <c r="M1201" i="1"/>
  <c r="L1201" i="1"/>
  <c r="K1201" i="1"/>
  <c r="J1201" i="1"/>
  <c r="I1201" i="1"/>
  <c r="H1201" i="1"/>
  <c r="G1201" i="1"/>
  <c r="R1200" i="1"/>
  <c r="Q1200" i="1"/>
  <c r="P1200" i="1"/>
  <c r="O1200" i="1"/>
  <c r="N1200" i="1"/>
  <c r="M1200" i="1"/>
  <c r="L1200" i="1"/>
  <c r="K1200" i="1"/>
  <c r="J1200" i="1"/>
  <c r="I1200" i="1"/>
  <c r="H1200" i="1"/>
  <c r="G1200" i="1"/>
  <c r="R1199" i="1"/>
  <c r="Q1199" i="1"/>
  <c r="P1199" i="1"/>
  <c r="O1199" i="1"/>
  <c r="N1199" i="1"/>
  <c r="M1199" i="1"/>
  <c r="L1199" i="1"/>
  <c r="K1199" i="1"/>
  <c r="J1199" i="1"/>
  <c r="I1199" i="1"/>
  <c r="H1199" i="1"/>
  <c r="G1199" i="1"/>
  <c r="R1198" i="1"/>
  <c r="Q1198" i="1"/>
  <c r="P1198" i="1"/>
  <c r="O1198" i="1"/>
  <c r="N1198" i="1"/>
  <c r="M1198" i="1"/>
  <c r="L1198" i="1"/>
  <c r="K1198" i="1"/>
  <c r="J1198" i="1"/>
  <c r="I1198" i="1"/>
  <c r="H1198" i="1"/>
  <c r="G1198" i="1"/>
  <c r="R1197" i="1"/>
  <c r="Q1197" i="1"/>
  <c r="P1197" i="1"/>
  <c r="O1197" i="1"/>
  <c r="N1197" i="1"/>
  <c r="M1197" i="1"/>
  <c r="L1197" i="1"/>
  <c r="K1197" i="1"/>
  <c r="J1197" i="1"/>
  <c r="I1197" i="1"/>
  <c r="H1197" i="1"/>
  <c r="G1197" i="1"/>
  <c r="R1196" i="1"/>
  <c r="Q1196" i="1"/>
  <c r="P1196" i="1"/>
  <c r="O1196" i="1"/>
  <c r="N1196" i="1"/>
  <c r="M1196" i="1"/>
  <c r="L1196" i="1"/>
  <c r="K1196" i="1"/>
  <c r="J1196" i="1"/>
  <c r="I1196" i="1"/>
  <c r="H1196" i="1"/>
  <c r="G1196" i="1"/>
  <c r="R1195" i="1"/>
  <c r="Q1195" i="1"/>
  <c r="P1195" i="1"/>
  <c r="O1195" i="1"/>
  <c r="N1195" i="1"/>
  <c r="M1195" i="1"/>
  <c r="L1195" i="1"/>
  <c r="K1195" i="1"/>
  <c r="J1195" i="1"/>
  <c r="I1195" i="1"/>
  <c r="H1195" i="1"/>
  <c r="G1195" i="1"/>
  <c r="R1194" i="1"/>
  <c r="Q1194" i="1"/>
  <c r="P1194" i="1"/>
  <c r="O1194" i="1"/>
  <c r="N1194" i="1"/>
  <c r="M1194" i="1"/>
  <c r="L1194" i="1"/>
  <c r="K1194" i="1"/>
  <c r="J1194" i="1"/>
  <c r="I1194" i="1"/>
  <c r="H1194" i="1"/>
  <c r="G1194" i="1"/>
  <c r="R1193" i="1"/>
  <c r="Q1193" i="1"/>
  <c r="P1193" i="1"/>
  <c r="O1193" i="1"/>
  <c r="N1193" i="1"/>
  <c r="M1193" i="1"/>
  <c r="L1193" i="1"/>
  <c r="K1193" i="1"/>
  <c r="J1193" i="1"/>
  <c r="I1193" i="1"/>
  <c r="H1193" i="1"/>
  <c r="G1193" i="1"/>
  <c r="R1192" i="1"/>
  <c r="Q1192" i="1"/>
  <c r="P1192" i="1"/>
  <c r="O1192" i="1"/>
  <c r="N1192" i="1"/>
  <c r="M1192" i="1"/>
  <c r="L1192" i="1"/>
  <c r="K1192" i="1"/>
  <c r="J1192" i="1"/>
  <c r="I1192" i="1"/>
  <c r="H1192" i="1"/>
  <c r="G1192" i="1"/>
  <c r="R1191" i="1"/>
  <c r="Q1191" i="1"/>
  <c r="P1191" i="1"/>
  <c r="O1191" i="1"/>
  <c r="N1191" i="1"/>
  <c r="M1191" i="1"/>
  <c r="L1191" i="1"/>
  <c r="K1191" i="1"/>
  <c r="J1191" i="1"/>
  <c r="I1191" i="1"/>
  <c r="H1191" i="1"/>
  <c r="G1191" i="1"/>
  <c r="R1190" i="1"/>
  <c r="Q1190" i="1"/>
  <c r="P1190" i="1"/>
  <c r="O1190" i="1"/>
  <c r="N1190" i="1"/>
  <c r="M1190" i="1"/>
  <c r="L1190" i="1"/>
  <c r="K1190" i="1"/>
  <c r="J1190" i="1"/>
  <c r="I1190" i="1"/>
  <c r="H1190" i="1"/>
  <c r="G1190" i="1"/>
  <c r="R1189" i="1"/>
  <c r="Q1189" i="1"/>
  <c r="P1189" i="1"/>
  <c r="O1189" i="1"/>
  <c r="N1189" i="1"/>
  <c r="M1189" i="1"/>
  <c r="L1189" i="1"/>
  <c r="K1189" i="1"/>
  <c r="J1189" i="1"/>
  <c r="I1189" i="1"/>
  <c r="H1189" i="1"/>
  <c r="G1189" i="1"/>
  <c r="R1188" i="1"/>
  <c r="Q1188" i="1"/>
  <c r="P1188" i="1"/>
  <c r="O1188" i="1"/>
  <c r="N1188" i="1"/>
  <c r="M1188" i="1"/>
  <c r="L1188" i="1"/>
  <c r="K1188" i="1"/>
  <c r="J1188" i="1"/>
  <c r="I1188" i="1"/>
  <c r="H1188" i="1"/>
  <c r="G1188" i="1"/>
  <c r="R1187" i="1"/>
  <c r="Q1187" i="1"/>
  <c r="P1187" i="1"/>
  <c r="O1187" i="1"/>
  <c r="N1187" i="1"/>
  <c r="M1187" i="1"/>
  <c r="L1187" i="1"/>
  <c r="K1187" i="1"/>
  <c r="J1187" i="1"/>
  <c r="I1187" i="1"/>
  <c r="H1187" i="1"/>
  <c r="G1187" i="1"/>
  <c r="R1186" i="1"/>
  <c r="Q1186" i="1"/>
  <c r="P1186" i="1"/>
  <c r="O1186" i="1"/>
  <c r="N1186" i="1"/>
  <c r="M1186" i="1"/>
  <c r="L1186" i="1"/>
  <c r="K1186" i="1"/>
  <c r="J1186" i="1"/>
  <c r="I1186" i="1"/>
  <c r="H1186" i="1"/>
  <c r="G1186" i="1"/>
  <c r="R1185" i="1"/>
  <c r="Q1185" i="1"/>
  <c r="P1185" i="1"/>
  <c r="O1185" i="1"/>
  <c r="N1185" i="1"/>
  <c r="M1185" i="1"/>
  <c r="L1185" i="1"/>
  <c r="K1185" i="1"/>
  <c r="J1185" i="1"/>
  <c r="I1185" i="1"/>
  <c r="H1185" i="1"/>
  <c r="G1185" i="1"/>
  <c r="R1184" i="1"/>
  <c r="Q1184" i="1"/>
  <c r="P1184" i="1"/>
  <c r="O1184" i="1"/>
  <c r="N1184" i="1"/>
  <c r="M1184" i="1"/>
  <c r="L1184" i="1"/>
  <c r="K1184" i="1"/>
  <c r="J1184" i="1"/>
  <c r="I1184" i="1"/>
  <c r="H1184" i="1"/>
  <c r="G1184" i="1"/>
  <c r="R1183" i="1"/>
  <c r="Q1183" i="1"/>
  <c r="P1183" i="1"/>
  <c r="O1183" i="1"/>
  <c r="N1183" i="1"/>
  <c r="M1183" i="1"/>
  <c r="L1183" i="1"/>
  <c r="K1183" i="1"/>
  <c r="J1183" i="1"/>
  <c r="I1183" i="1"/>
  <c r="H1183" i="1"/>
  <c r="G1183" i="1"/>
  <c r="R1182" i="1"/>
  <c r="Q1182" i="1"/>
  <c r="P1182" i="1"/>
  <c r="O1182" i="1"/>
  <c r="N1182" i="1"/>
  <c r="M1182" i="1"/>
  <c r="L1182" i="1"/>
  <c r="K1182" i="1"/>
  <c r="J1182" i="1"/>
  <c r="I1182" i="1"/>
  <c r="H1182" i="1"/>
  <c r="G1182" i="1"/>
  <c r="R1181" i="1"/>
  <c r="Q1181" i="1"/>
  <c r="P1181" i="1"/>
  <c r="O1181" i="1"/>
  <c r="N1181" i="1"/>
  <c r="M1181" i="1"/>
  <c r="L1181" i="1"/>
  <c r="K1181" i="1"/>
  <c r="J1181" i="1"/>
  <c r="I1181" i="1"/>
  <c r="H1181" i="1"/>
  <c r="G1181" i="1"/>
  <c r="R1180" i="1"/>
  <c r="Q1180" i="1"/>
  <c r="P1180" i="1"/>
  <c r="O1180" i="1"/>
  <c r="N1180" i="1"/>
  <c r="M1180" i="1"/>
  <c r="L1180" i="1"/>
  <c r="K1180" i="1"/>
  <c r="J1180" i="1"/>
  <c r="I1180" i="1"/>
  <c r="H1180" i="1"/>
  <c r="G1180" i="1"/>
  <c r="R1179" i="1"/>
  <c r="Q1179" i="1"/>
  <c r="P1179" i="1"/>
  <c r="O1179" i="1"/>
  <c r="N1179" i="1"/>
  <c r="M1179" i="1"/>
  <c r="L1179" i="1"/>
  <c r="K1179" i="1"/>
  <c r="J1179" i="1"/>
  <c r="I1179" i="1"/>
  <c r="H1179" i="1"/>
  <c r="G1179" i="1"/>
  <c r="R1178" i="1"/>
  <c r="Q1178" i="1"/>
  <c r="P1178" i="1"/>
  <c r="O1178" i="1"/>
  <c r="N1178" i="1"/>
  <c r="M1178" i="1"/>
  <c r="L1178" i="1"/>
  <c r="K1178" i="1"/>
  <c r="J1178" i="1"/>
  <c r="I1178" i="1"/>
  <c r="H1178" i="1"/>
  <c r="G1178" i="1"/>
  <c r="R1177" i="1"/>
  <c r="Q1177" i="1"/>
  <c r="P1177" i="1"/>
  <c r="O1177" i="1"/>
  <c r="N1177" i="1"/>
  <c r="M1177" i="1"/>
  <c r="L1177" i="1"/>
  <c r="K1177" i="1"/>
  <c r="J1177" i="1"/>
  <c r="I1177" i="1"/>
  <c r="H1177" i="1"/>
  <c r="G1177" i="1"/>
  <c r="R1176" i="1"/>
  <c r="Q1176" i="1"/>
  <c r="P1176" i="1"/>
  <c r="O1176" i="1"/>
  <c r="N1176" i="1"/>
  <c r="M1176" i="1"/>
  <c r="L1176" i="1"/>
  <c r="K1176" i="1"/>
  <c r="J1176" i="1"/>
  <c r="I1176" i="1"/>
  <c r="H1176" i="1"/>
  <c r="G1176" i="1"/>
  <c r="R1175" i="1"/>
  <c r="Q1175" i="1"/>
  <c r="P1175" i="1"/>
  <c r="O1175" i="1"/>
  <c r="N1175" i="1"/>
  <c r="M1175" i="1"/>
  <c r="L1175" i="1"/>
  <c r="K1175" i="1"/>
  <c r="J1175" i="1"/>
  <c r="I1175" i="1"/>
  <c r="H1175" i="1"/>
  <c r="G1175" i="1"/>
  <c r="R1174" i="1"/>
  <c r="Q1174" i="1"/>
  <c r="P1174" i="1"/>
  <c r="O1174" i="1"/>
  <c r="N1174" i="1"/>
  <c r="M1174" i="1"/>
  <c r="L1174" i="1"/>
  <c r="K1174" i="1"/>
  <c r="J1174" i="1"/>
  <c r="I1174" i="1"/>
  <c r="H1174" i="1"/>
  <c r="G1174" i="1"/>
  <c r="R1173" i="1"/>
  <c r="Q1173" i="1"/>
  <c r="P1173" i="1"/>
  <c r="O1173" i="1"/>
  <c r="N1173" i="1"/>
  <c r="M1173" i="1"/>
  <c r="L1173" i="1"/>
  <c r="K1173" i="1"/>
  <c r="J1173" i="1"/>
  <c r="I1173" i="1"/>
  <c r="H1173" i="1"/>
  <c r="G1173" i="1"/>
  <c r="R1172" i="1"/>
  <c r="Q1172" i="1"/>
  <c r="P1172" i="1"/>
  <c r="O1172" i="1"/>
  <c r="N1172" i="1"/>
  <c r="M1172" i="1"/>
  <c r="L1172" i="1"/>
  <c r="K1172" i="1"/>
  <c r="J1172" i="1"/>
  <c r="I1172" i="1"/>
  <c r="H1172" i="1"/>
  <c r="G1172" i="1"/>
  <c r="R1171" i="1"/>
  <c r="Q1171" i="1"/>
  <c r="P1171" i="1"/>
  <c r="O1171" i="1"/>
  <c r="N1171" i="1"/>
  <c r="M1171" i="1"/>
  <c r="L1171" i="1"/>
  <c r="K1171" i="1"/>
  <c r="J1171" i="1"/>
  <c r="I1171" i="1"/>
  <c r="H1171" i="1"/>
  <c r="G1171" i="1"/>
  <c r="R1170" i="1"/>
  <c r="Q1170" i="1"/>
  <c r="P1170" i="1"/>
  <c r="O1170" i="1"/>
  <c r="N1170" i="1"/>
  <c r="M1170" i="1"/>
  <c r="L1170" i="1"/>
  <c r="K1170" i="1"/>
  <c r="J1170" i="1"/>
  <c r="I1170" i="1"/>
  <c r="H1170" i="1"/>
  <c r="G1170" i="1"/>
  <c r="R1169" i="1"/>
  <c r="Q1169" i="1"/>
  <c r="P1169" i="1"/>
  <c r="O1169" i="1"/>
  <c r="N1169" i="1"/>
  <c r="M1169" i="1"/>
  <c r="L1169" i="1"/>
  <c r="K1169" i="1"/>
  <c r="J1169" i="1"/>
  <c r="I1169" i="1"/>
  <c r="H1169" i="1"/>
  <c r="G1169" i="1"/>
  <c r="R1168" i="1"/>
  <c r="Q1168" i="1"/>
  <c r="P1168" i="1"/>
  <c r="O1168" i="1"/>
  <c r="N1168" i="1"/>
  <c r="M1168" i="1"/>
  <c r="L1168" i="1"/>
  <c r="K1168" i="1"/>
  <c r="J1168" i="1"/>
  <c r="I1168" i="1"/>
  <c r="H1168" i="1"/>
  <c r="G1168" i="1"/>
  <c r="R1167" i="1"/>
  <c r="Q1167" i="1"/>
  <c r="P1167" i="1"/>
  <c r="O1167" i="1"/>
  <c r="N1167" i="1"/>
  <c r="M1167" i="1"/>
  <c r="L1167" i="1"/>
  <c r="K1167" i="1"/>
  <c r="J1167" i="1"/>
  <c r="I1167" i="1"/>
  <c r="H1167" i="1"/>
  <c r="G1167" i="1"/>
  <c r="R1166" i="1"/>
  <c r="Q1166" i="1"/>
  <c r="P1166" i="1"/>
  <c r="O1166" i="1"/>
  <c r="N1166" i="1"/>
  <c r="M1166" i="1"/>
  <c r="L1166" i="1"/>
  <c r="K1166" i="1"/>
  <c r="J1166" i="1"/>
  <c r="I1166" i="1"/>
  <c r="H1166" i="1"/>
  <c r="G1166" i="1"/>
  <c r="R1165" i="1"/>
  <c r="Q1165" i="1"/>
  <c r="P1165" i="1"/>
  <c r="O1165" i="1"/>
  <c r="N1165" i="1"/>
  <c r="M1165" i="1"/>
  <c r="L1165" i="1"/>
  <c r="K1165" i="1"/>
  <c r="J1165" i="1"/>
  <c r="I1165" i="1"/>
  <c r="H1165" i="1"/>
  <c r="G1165" i="1"/>
  <c r="R1164" i="1"/>
  <c r="Q1164" i="1"/>
  <c r="P1164" i="1"/>
  <c r="O1164" i="1"/>
  <c r="N1164" i="1"/>
  <c r="M1164" i="1"/>
  <c r="L1164" i="1"/>
  <c r="K1164" i="1"/>
  <c r="J1164" i="1"/>
  <c r="I1164" i="1"/>
  <c r="H1164" i="1"/>
  <c r="G1164" i="1"/>
  <c r="R1163" i="1"/>
  <c r="Q1163" i="1"/>
  <c r="P1163" i="1"/>
  <c r="O1163" i="1"/>
  <c r="N1163" i="1"/>
  <c r="M1163" i="1"/>
  <c r="L1163" i="1"/>
  <c r="K1163" i="1"/>
  <c r="J1163" i="1"/>
  <c r="I1163" i="1"/>
  <c r="H1163" i="1"/>
  <c r="G1163" i="1"/>
  <c r="R1162" i="1"/>
  <c r="Q1162" i="1"/>
  <c r="P1162" i="1"/>
  <c r="O1162" i="1"/>
  <c r="N1162" i="1"/>
  <c r="M1162" i="1"/>
  <c r="L1162" i="1"/>
  <c r="K1162" i="1"/>
  <c r="J1162" i="1"/>
  <c r="I1162" i="1"/>
  <c r="H1162" i="1"/>
  <c r="G1162" i="1"/>
  <c r="R1161" i="1"/>
  <c r="Q1161" i="1"/>
  <c r="P1161" i="1"/>
  <c r="O1161" i="1"/>
  <c r="N1161" i="1"/>
  <c r="M1161" i="1"/>
  <c r="L1161" i="1"/>
  <c r="K1161" i="1"/>
  <c r="J1161" i="1"/>
  <c r="I1161" i="1"/>
  <c r="H1161" i="1"/>
  <c r="G1161" i="1"/>
  <c r="R1160" i="1"/>
  <c r="Q1160" i="1"/>
  <c r="P1160" i="1"/>
  <c r="O1160" i="1"/>
  <c r="N1160" i="1"/>
  <c r="M1160" i="1"/>
  <c r="L1160" i="1"/>
  <c r="K1160" i="1"/>
  <c r="J1160" i="1"/>
  <c r="I1160" i="1"/>
  <c r="H1160" i="1"/>
  <c r="G1160" i="1"/>
  <c r="R1159" i="1"/>
  <c r="Q1159" i="1"/>
  <c r="P1159" i="1"/>
  <c r="O1159" i="1"/>
  <c r="N1159" i="1"/>
  <c r="M1159" i="1"/>
  <c r="L1159" i="1"/>
  <c r="K1159" i="1"/>
  <c r="J1159" i="1"/>
  <c r="I1159" i="1"/>
  <c r="H1159" i="1"/>
  <c r="G1159" i="1"/>
  <c r="R1158" i="1"/>
  <c r="Q1158" i="1"/>
  <c r="P1158" i="1"/>
  <c r="O1158" i="1"/>
  <c r="N1158" i="1"/>
  <c r="M1158" i="1"/>
  <c r="L1158" i="1"/>
  <c r="K1158" i="1"/>
  <c r="J1158" i="1"/>
  <c r="I1158" i="1"/>
  <c r="H1158" i="1"/>
  <c r="G1158" i="1"/>
  <c r="R1157" i="1"/>
  <c r="Q1157" i="1"/>
  <c r="P1157" i="1"/>
  <c r="O1157" i="1"/>
  <c r="N1157" i="1"/>
  <c r="M1157" i="1"/>
  <c r="L1157" i="1"/>
  <c r="K1157" i="1"/>
  <c r="J1157" i="1"/>
  <c r="I1157" i="1"/>
  <c r="H1157" i="1"/>
  <c r="G1157" i="1"/>
  <c r="R1156" i="1"/>
  <c r="Q1156" i="1"/>
  <c r="P1156" i="1"/>
  <c r="O1156" i="1"/>
  <c r="N1156" i="1"/>
  <c r="M1156" i="1"/>
  <c r="L1156" i="1"/>
  <c r="K1156" i="1"/>
  <c r="J1156" i="1"/>
  <c r="I1156" i="1"/>
  <c r="H1156" i="1"/>
  <c r="G1156" i="1"/>
  <c r="R1155" i="1"/>
  <c r="Q1155" i="1"/>
  <c r="P1155" i="1"/>
  <c r="O1155" i="1"/>
  <c r="N1155" i="1"/>
  <c r="M1155" i="1"/>
  <c r="L1155" i="1"/>
  <c r="K1155" i="1"/>
  <c r="J1155" i="1"/>
  <c r="I1155" i="1"/>
  <c r="H1155" i="1"/>
  <c r="G1155" i="1"/>
  <c r="R1154" i="1"/>
  <c r="Q1154" i="1"/>
  <c r="P1154" i="1"/>
  <c r="O1154" i="1"/>
  <c r="N1154" i="1"/>
  <c r="M1154" i="1"/>
  <c r="L1154" i="1"/>
  <c r="K1154" i="1"/>
  <c r="J1154" i="1"/>
  <c r="I1154" i="1"/>
  <c r="H1154" i="1"/>
  <c r="G1154" i="1"/>
  <c r="R1153" i="1"/>
  <c r="Q1153" i="1"/>
  <c r="P1153" i="1"/>
  <c r="O1153" i="1"/>
  <c r="N1153" i="1"/>
  <c r="M1153" i="1"/>
  <c r="L1153" i="1"/>
  <c r="K1153" i="1"/>
  <c r="J1153" i="1"/>
  <c r="I1153" i="1"/>
  <c r="H1153" i="1"/>
  <c r="G1153" i="1"/>
  <c r="R1152" i="1"/>
  <c r="Q1152" i="1"/>
  <c r="P1152" i="1"/>
  <c r="O1152" i="1"/>
  <c r="N1152" i="1"/>
  <c r="M1152" i="1"/>
  <c r="L1152" i="1"/>
  <c r="K1152" i="1"/>
  <c r="J1152" i="1"/>
  <c r="I1152" i="1"/>
  <c r="H1152" i="1"/>
  <c r="G1152" i="1"/>
  <c r="R1151" i="1"/>
  <c r="Q1151" i="1"/>
  <c r="P1151" i="1"/>
  <c r="O1151" i="1"/>
  <c r="N1151" i="1"/>
  <c r="M1151" i="1"/>
  <c r="L1151" i="1"/>
  <c r="K1151" i="1"/>
  <c r="J1151" i="1"/>
  <c r="I1151" i="1"/>
  <c r="H1151" i="1"/>
  <c r="G1151" i="1"/>
  <c r="R1150" i="1"/>
  <c r="Q1150" i="1"/>
  <c r="P1150" i="1"/>
  <c r="O1150" i="1"/>
  <c r="N1150" i="1"/>
  <c r="M1150" i="1"/>
  <c r="L1150" i="1"/>
  <c r="K1150" i="1"/>
  <c r="J1150" i="1"/>
  <c r="I1150" i="1"/>
  <c r="H1150" i="1"/>
  <c r="G1150" i="1"/>
  <c r="R1149" i="1"/>
  <c r="Q1149" i="1"/>
  <c r="P1149" i="1"/>
  <c r="O1149" i="1"/>
  <c r="N1149" i="1"/>
  <c r="M1149" i="1"/>
  <c r="L1149" i="1"/>
  <c r="K1149" i="1"/>
  <c r="J1149" i="1"/>
  <c r="I1149" i="1"/>
  <c r="H1149" i="1"/>
  <c r="G1149" i="1"/>
  <c r="R1148" i="1"/>
  <c r="Q1148" i="1"/>
  <c r="P1148" i="1"/>
  <c r="O1148" i="1"/>
  <c r="N1148" i="1"/>
  <c r="M1148" i="1"/>
  <c r="L1148" i="1"/>
  <c r="K1148" i="1"/>
  <c r="J1148" i="1"/>
  <c r="I1148" i="1"/>
  <c r="H1148" i="1"/>
  <c r="G1148" i="1"/>
  <c r="R1147" i="1"/>
  <c r="Q1147" i="1"/>
  <c r="P1147" i="1"/>
  <c r="O1147" i="1"/>
  <c r="N1147" i="1"/>
  <c r="M1147" i="1"/>
  <c r="L1147" i="1"/>
  <c r="K1147" i="1"/>
  <c r="J1147" i="1"/>
  <c r="I1147" i="1"/>
  <c r="H1147" i="1"/>
  <c r="G1147" i="1"/>
  <c r="R1146" i="1"/>
  <c r="Q1146" i="1"/>
  <c r="P1146" i="1"/>
  <c r="O1146" i="1"/>
  <c r="N1146" i="1"/>
  <c r="M1146" i="1"/>
  <c r="L1146" i="1"/>
  <c r="K1146" i="1"/>
  <c r="J1146" i="1"/>
  <c r="I1146" i="1"/>
  <c r="H1146" i="1"/>
  <c r="G1146" i="1"/>
  <c r="R1145" i="1"/>
  <c r="Q1145" i="1"/>
  <c r="P1145" i="1"/>
  <c r="O1145" i="1"/>
  <c r="N1145" i="1"/>
  <c r="M1145" i="1"/>
  <c r="L1145" i="1"/>
  <c r="K1145" i="1"/>
  <c r="J1145" i="1"/>
  <c r="I1145" i="1"/>
  <c r="H1145" i="1"/>
  <c r="G1145" i="1"/>
  <c r="R1144" i="1"/>
  <c r="Q1144" i="1"/>
  <c r="P1144" i="1"/>
  <c r="O1144" i="1"/>
  <c r="N1144" i="1"/>
  <c r="M1144" i="1"/>
  <c r="L1144" i="1"/>
  <c r="K1144" i="1"/>
  <c r="J1144" i="1"/>
  <c r="I1144" i="1"/>
  <c r="H1144" i="1"/>
  <c r="G1144" i="1"/>
  <c r="R1143" i="1"/>
  <c r="Q1143" i="1"/>
  <c r="P1143" i="1"/>
  <c r="O1143" i="1"/>
  <c r="N1143" i="1"/>
  <c r="M1143" i="1"/>
  <c r="L1143" i="1"/>
  <c r="K1143" i="1"/>
  <c r="J1143" i="1"/>
  <c r="I1143" i="1"/>
  <c r="H1143" i="1"/>
  <c r="G1143" i="1"/>
  <c r="R1142" i="1"/>
  <c r="Q1142" i="1"/>
  <c r="P1142" i="1"/>
  <c r="O1142" i="1"/>
  <c r="N1142" i="1"/>
  <c r="M1142" i="1"/>
  <c r="L1142" i="1"/>
  <c r="K1142" i="1"/>
  <c r="J1142" i="1"/>
  <c r="I1142" i="1"/>
  <c r="H1142" i="1"/>
  <c r="G1142" i="1"/>
  <c r="R1141" i="1"/>
  <c r="Q1141" i="1"/>
  <c r="P1141" i="1"/>
  <c r="O1141" i="1"/>
  <c r="N1141" i="1"/>
  <c r="M1141" i="1"/>
  <c r="L1141" i="1"/>
  <c r="K1141" i="1"/>
  <c r="J1141" i="1"/>
  <c r="I1141" i="1"/>
  <c r="H1141" i="1"/>
  <c r="G1141" i="1"/>
  <c r="R1140" i="1"/>
  <c r="Q1140" i="1"/>
  <c r="P1140" i="1"/>
  <c r="O1140" i="1"/>
  <c r="N1140" i="1"/>
  <c r="M1140" i="1"/>
  <c r="L1140" i="1"/>
  <c r="K1140" i="1"/>
  <c r="J1140" i="1"/>
  <c r="I1140" i="1"/>
  <c r="H1140" i="1"/>
  <c r="G1140" i="1"/>
  <c r="R1139" i="1"/>
  <c r="Q1139" i="1"/>
  <c r="P1139" i="1"/>
  <c r="O1139" i="1"/>
  <c r="N1139" i="1"/>
  <c r="M1139" i="1"/>
  <c r="L1139" i="1"/>
  <c r="K1139" i="1"/>
  <c r="J1139" i="1"/>
  <c r="I1139" i="1"/>
  <c r="H1139" i="1"/>
  <c r="G1139" i="1"/>
  <c r="R1138" i="1"/>
  <c r="Q1138" i="1"/>
  <c r="P1138" i="1"/>
  <c r="O1138" i="1"/>
  <c r="N1138" i="1"/>
  <c r="M1138" i="1"/>
  <c r="L1138" i="1"/>
  <c r="K1138" i="1"/>
  <c r="J1138" i="1"/>
  <c r="I1138" i="1"/>
  <c r="H1138" i="1"/>
  <c r="G1138" i="1"/>
  <c r="R1137" i="1"/>
  <c r="Q1137" i="1"/>
  <c r="P1137" i="1"/>
  <c r="O1137" i="1"/>
  <c r="N1137" i="1"/>
  <c r="M1137" i="1"/>
  <c r="L1137" i="1"/>
  <c r="K1137" i="1"/>
  <c r="J1137" i="1"/>
  <c r="I1137" i="1"/>
  <c r="H1137" i="1"/>
  <c r="G1137" i="1"/>
  <c r="R1136" i="1"/>
  <c r="Q1136" i="1"/>
  <c r="P1136" i="1"/>
  <c r="O1136" i="1"/>
  <c r="N1136" i="1"/>
  <c r="M1136" i="1"/>
  <c r="L1136" i="1"/>
  <c r="K1136" i="1"/>
  <c r="J1136" i="1"/>
  <c r="I1136" i="1"/>
  <c r="H1136" i="1"/>
  <c r="G1136" i="1"/>
  <c r="R1135" i="1"/>
  <c r="Q1135" i="1"/>
  <c r="P1135" i="1"/>
  <c r="O1135" i="1"/>
  <c r="N1135" i="1"/>
  <c r="M1135" i="1"/>
  <c r="L1135" i="1"/>
  <c r="K1135" i="1"/>
  <c r="J1135" i="1"/>
  <c r="I1135" i="1"/>
  <c r="H1135" i="1"/>
  <c r="G1135" i="1"/>
  <c r="R1134" i="1"/>
  <c r="Q1134" i="1"/>
  <c r="P1134" i="1"/>
  <c r="O1134" i="1"/>
  <c r="N1134" i="1"/>
  <c r="M1134" i="1"/>
  <c r="L1134" i="1"/>
  <c r="K1134" i="1"/>
  <c r="J1134" i="1"/>
  <c r="I1134" i="1"/>
  <c r="H1134" i="1"/>
  <c r="G1134" i="1"/>
  <c r="R1133" i="1"/>
  <c r="Q1133" i="1"/>
  <c r="P1133" i="1"/>
  <c r="O1133" i="1"/>
  <c r="N1133" i="1"/>
  <c r="M1133" i="1"/>
  <c r="L1133" i="1"/>
  <c r="K1133" i="1"/>
  <c r="J1133" i="1"/>
  <c r="I1133" i="1"/>
  <c r="H1133" i="1"/>
  <c r="G1133" i="1"/>
  <c r="R1132" i="1"/>
  <c r="Q1132" i="1"/>
  <c r="P1132" i="1"/>
  <c r="O1132" i="1"/>
  <c r="N1132" i="1"/>
  <c r="M1132" i="1"/>
  <c r="L1132" i="1"/>
  <c r="K1132" i="1"/>
  <c r="J1132" i="1"/>
  <c r="I1132" i="1"/>
  <c r="H1132" i="1"/>
  <c r="G1132" i="1"/>
  <c r="R1131" i="1"/>
  <c r="Q1131" i="1"/>
  <c r="P1131" i="1"/>
  <c r="O1131" i="1"/>
  <c r="N1131" i="1"/>
  <c r="M1131" i="1"/>
  <c r="L1131" i="1"/>
  <c r="K1131" i="1"/>
  <c r="J1131" i="1"/>
  <c r="I1131" i="1"/>
  <c r="H1131" i="1"/>
  <c r="G1131" i="1"/>
  <c r="R1130" i="1"/>
  <c r="Q1130" i="1"/>
  <c r="P1130" i="1"/>
  <c r="O1130" i="1"/>
  <c r="N1130" i="1"/>
  <c r="M1130" i="1"/>
  <c r="L1130" i="1"/>
  <c r="K1130" i="1"/>
  <c r="J1130" i="1"/>
  <c r="I1130" i="1"/>
  <c r="H1130" i="1"/>
  <c r="G1130" i="1"/>
  <c r="R1129" i="1"/>
  <c r="Q1129" i="1"/>
  <c r="P1129" i="1"/>
  <c r="O1129" i="1"/>
  <c r="N1129" i="1"/>
  <c r="M1129" i="1"/>
  <c r="L1129" i="1"/>
  <c r="K1129" i="1"/>
  <c r="J1129" i="1"/>
  <c r="I1129" i="1"/>
  <c r="H1129" i="1"/>
  <c r="G1129" i="1"/>
  <c r="R1128" i="1"/>
  <c r="Q1128" i="1"/>
  <c r="P1128" i="1"/>
  <c r="O1128" i="1"/>
  <c r="N1128" i="1"/>
  <c r="M1128" i="1"/>
  <c r="L1128" i="1"/>
  <c r="K1128" i="1"/>
  <c r="J1128" i="1"/>
  <c r="I1128" i="1"/>
  <c r="H1128" i="1"/>
  <c r="G1128" i="1"/>
  <c r="R1127" i="1"/>
  <c r="Q1127" i="1"/>
  <c r="P1127" i="1"/>
  <c r="O1127" i="1"/>
  <c r="N1127" i="1"/>
  <c r="M1127" i="1"/>
  <c r="L1127" i="1"/>
  <c r="K1127" i="1"/>
  <c r="J1127" i="1"/>
  <c r="I1127" i="1"/>
  <c r="H1127" i="1"/>
  <c r="G1127" i="1"/>
  <c r="R1126" i="1"/>
  <c r="Q1126" i="1"/>
  <c r="P1126" i="1"/>
  <c r="O1126" i="1"/>
  <c r="N1126" i="1"/>
  <c r="M1126" i="1"/>
  <c r="L1126" i="1"/>
  <c r="K1126" i="1"/>
  <c r="J1126" i="1"/>
  <c r="I1126" i="1"/>
  <c r="H1126" i="1"/>
  <c r="G1126" i="1"/>
  <c r="R1125" i="1"/>
  <c r="Q1125" i="1"/>
  <c r="P1125" i="1"/>
  <c r="O1125" i="1"/>
  <c r="N1125" i="1"/>
  <c r="M1125" i="1"/>
  <c r="L1125" i="1"/>
  <c r="K1125" i="1"/>
  <c r="J1125" i="1"/>
  <c r="I1125" i="1"/>
  <c r="H1125" i="1"/>
  <c r="G1125" i="1"/>
  <c r="R1124" i="1"/>
  <c r="Q1124" i="1"/>
  <c r="P1124" i="1"/>
  <c r="O1124" i="1"/>
  <c r="N1124" i="1"/>
  <c r="M1124" i="1"/>
  <c r="L1124" i="1"/>
  <c r="K1124" i="1"/>
  <c r="J1124" i="1"/>
  <c r="I1124" i="1"/>
  <c r="H1124" i="1"/>
  <c r="G1124" i="1"/>
  <c r="R1123" i="1"/>
  <c r="Q1123" i="1"/>
  <c r="P1123" i="1"/>
  <c r="O1123" i="1"/>
  <c r="N1123" i="1"/>
  <c r="M1123" i="1"/>
  <c r="L1123" i="1"/>
  <c r="K1123" i="1"/>
  <c r="J1123" i="1"/>
  <c r="I1123" i="1"/>
  <c r="H1123" i="1"/>
  <c r="G1123" i="1"/>
  <c r="R1122" i="1"/>
  <c r="Q1122" i="1"/>
  <c r="P1122" i="1"/>
  <c r="O1122" i="1"/>
  <c r="N1122" i="1"/>
  <c r="M1122" i="1"/>
  <c r="L1122" i="1"/>
  <c r="K1122" i="1"/>
  <c r="J1122" i="1"/>
  <c r="I1122" i="1"/>
  <c r="H1122" i="1"/>
  <c r="G1122" i="1"/>
  <c r="R1121" i="1"/>
  <c r="Q1121" i="1"/>
  <c r="P1121" i="1"/>
  <c r="O1121" i="1"/>
  <c r="N1121" i="1"/>
  <c r="M1121" i="1"/>
  <c r="L1121" i="1"/>
  <c r="K1121" i="1"/>
  <c r="J1121" i="1"/>
  <c r="I1121" i="1"/>
  <c r="H1121" i="1"/>
  <c r="G1121" i="1"/>
  <c r="R1120" i="1"/>
  <c r="Q1120" i="1"/>
  <c r="P1120" i="1"/>
  <c r="O1120" i="1"/>
  <c r="N1120" i="1"/>
  <c r="M1120" i="1"/>
  <c r="L1120" i="1"/>
  <c r="K1120" i="1"/>
  <c r="J1120" i="1"/>
  <c r="I1120" i="1"/>
  <c r="H1120" i="1"/>
  <c r="G1120" i="1"/>
  <c r="R1119" i="1"/>
  <c r="Q1119" i="1"/>
  <c r="P1119" i="1"/>
  <c r="O1119" i="1"/>
  <c r="N1119" i="1"/>
  <c r="M1119" i="1"/>
  <c r="L1119" i="1"/>
  <c r="K1119" i="1"/>
  <c r="J1119" i="1"/>
  <c r="I1119" i="1"/>
  <c r="H1119" i="1"/>
  <c r="G1119" i="1"/>
  <c r="R1118" i="1"/>
  <c r="Q1118" i="1"/>
  <c r="P1118" i="1"/>
  <c r="O1118" i="1"/>
  <c r="N1118" i="1"/>
  <c r="M1118" i="1"/>
  <c r="L1118" i="1"/>
  <c r="K1118" i="1"/>
  <c r="J1118" i="1"/>
  <c r="I1118" i="1"/>
  <c r="H1118" i="1"/>
  <c r="G1118" i="1"/>
  <c r="R1117" i="1"/>
  <c r="Q1117" i="1"/>
  <c r="P1117" i="1"/>
  <c r="O1117" i="1"/>
  <c r="N1117" i="1"/>
  <c r="M1117" i="1"/>
  <c r="L1117" i="1"/>
  <c r="K1117" i="1"/>
  <c r="J1117" i="1"/>
  <c r="I1117" i="1"/>
  <c r="H1117" i="1"/>
  <c r="G1117" i="1"/>
  <c r="R1116" i="1"/>
  <c r="Q1116" i="1"/>
  <c r="P1116" i="1"/>
  <c r="O1116" i="1"/>
  <c r="N1116" i="1"/>
  <c r="M1116" i="1"/>
  <c r="L1116" i="1"/>
  <c r="K1116" i="1"/>
  <c r="J1116" i="1"/>
  <c r="I1116" i="1"/>
  <c r="H1116" i="1"/>
  <c r="G1116" i="1"/>
  <c r="R1115" i="1"/>
  <c r="Q1115" i="1"/>
  <c r="P1115" i="1"/>
  <c r="O1115" i="1"/>
  <c r="N1115" i="1"/>
  <c r="M1115" i="1"/>
  <c r="L1115" i="1"/>
  <c r="K1115" i="1"/>
  <c r="J1115" i="1"/>
  <c r="I1115" i="1"/>
  <c r="H1115" i="1"/>
  <c r="G1115" i="1"/>
  <c r="R1114" i="1"/>
  <c r="Q1114" i="1"/>
  <c r="P1114" i="1"/>
  <c r="O1114" i="1"/>
  <c r="N1114" i="1"/>
  <c r="M1114" i="1"/>
  <c r="L1114" i="1"/>
  <c r="K1114" i="1"/>
  <c r="J1114" i="1"/>
  <c r="I1114" i="1"/>
  <c r="H1114" i="1"/>
  <c r="G1114" i="1"/>
  <c r="R1113" i="1"/>
  <c r="Q1113" i="1"/>
  <c r="P1113" i="1"/>
  <c r="O1113" i="1"/>
  <c r="N1113" i="1"/>
  <c r="M1113" i="1"/>
  <c r="L1113" i="1"/>
  <c r="K1113" i="1"/>
  <c r="J1113" i="1"/>
  <c r="I1113" i="1"/>
  <c r="H1113" i="1"/>
  <c r="G1113" i="1"/>
  <c r="R1112" i="1"/>
  <c r="Q1112" i="1"/>
  <c r="P1112" i="1"/>
  <c r="O1112" i="1"/>
  <c r="N1112" i="1"/>
  <c r="M1112" i="1"/>
  <c r="L1112" i="1"/>
  <c r="K1112" i="1"/>
  <c r="J1112" i="1"/>
  <c r="I1112" i="1"/>
  <c r="H1112" i="1"/>
  <c r="G1112" i="1"/>
  <c r="R1111" i="1"/>
  <c r="Q1111" i="1"/>
  <c r="P1111" i="1"/>
  <c r="O1111" i="1"/>
  <c r="N1111" i="1"/>
  <c r="M1111" i="1"/>
  <c r="L1111" i="1"/>
  <c r="K1111" i="1"/>
  <c r="J1111" i="1"/>
  <c r="I1111" i="1"/>
  <c r="H1111" i="1"/>
  <c r="G1111" i="1"/>
  <c r="R1110" i="1"/>
  <c r="Q1110" i="1"/>
  <c r="P1110" i="1"/>
  <c r="O1110" i="1"/>
  <c r="N1110" i="1"/>
  <c r="M1110" i="1"/>
  <c r="L1110" i="1"/>
  <c r="K1110" i="1"/>
  <c r="J1110" i="1"/>
  <c r="I1110" i="1"/>
  <c r="H1110" i="1"/>
  <c r="G1110" i="1"/>
  <c r="R1109" i="1"/>
  <c r="Q1109" i="1"/>
  <c r="P1109" i="1"/>
  <c r="O1109" i="1"/>
  <c r="N1109" i="1"/>
  <c r="M1109" i="1"/>
  <c r="L1109" i="1"/>
  <c r="K1109" i="1"/>
  <c r="J1109" i="1"/>
  <c r="I1109" i="1"/>
  <c r="H1109" i="1"/>
  <c r="G1109" i="1"/>
  <c r="R1108" i="1"/>
  <c r="Q1108" i="1"/>
  <c r="P1108" i="1"/>
  <c r="O1108" i="1"/>
  <c r="N1108" i="1"/>
  <c r="M1108" i="1"/>
  <c r="L1108" i="1"/>
  <c r="K1108" i="1"/>
  <c r="J1108" i="1"/>
  <c r="I1108" i="1"/>
  <c r="H1108" i="1"/>
  <c r="G1108" i="1"/>
  <c r="R1107" i="1"/>
  <c r="Q1107" i="1"/>
  <c r="P1107" i="1"/>
  <c r="O1107" i="1"/>
  <c r="N1107" i="1"/>
  <c r="M1107" i="1"/>
  <c r="L1107" i="1"/>
  <c r="K1107" i="1"/>
  <c r="J1107" i="1"/>
  <c r="I1107" i="1"/>
  <c r="H1107" i="1"/>
  <c r="G1107" i="1"/>
  <c r="R1106" i="1"/>
  <c r="Q1106" i="1"/>
  <c r="P1106" i="1"/>
  <c r="O1106" i="1"/>
  <c r="N1106" i="1"/>
  <c r="M1106" i="1"/>
  <c r="L1106" i="1"/>
  <c r="K1106" i="1"/>
  <c r="J1106" i="1"/>
  <c r="I1106" i="1"/>
  <c r="H1106" i="1"/>
  <c r="G1106" i="1"/>
  <c r="R1105" i="1"/>
  <c r="Q1105" i="1"/>
  <c r="P1105" i="1"/>
  <c r="O1105" i="1"/>
  <c r="N1105" i="1"/>
  <c r="M1105" i="1"/>
  <c r="L1105" i="1"/>
  <c r="K1105" i="1"/>
  <c r="J1105" i="1"/>
  <c r="I1105" i="1"/>
  <c r="H1105" i="1"/>
  <c r="G1105" i="1"/>
  <c r="R1104" i="1"/>
  <c r="Q1104" i="1"/>
  <c r="P1104" i="1"/>
  <c r="O1104" i="1"/>
  <c r="N1104" i="1"/>
  <c r="M1104" i="1"/>
  <c r="L1104" i="1"/>
  <c r="K1104" i="1"/>
  <c r="J1104" i="1"/>
  <c r="I1104" i="1"/>
  <c r="H1104" i="1"/>
  <c r="G1104" i="1"/>
  <c r="R1103" i="1"/>
  <c r="Q1103" i="1"/>
  <c r="P1103" i="1"/>
  <c r="O1103" i="1"/>
  <c r="N1103" i="1"/>
  <c r="M1103" i="1"/>
  <c r="L1103" i="1"/>
  <c r="K1103" i="1"/>
  <c r="J1103" i="1"/>
  <c r="I1103" i="1"/>
  <c r="H1103" i="1"/>
  <c r="G1103" i="1"/>
  <c r="R1102" i="1"/>
  <c r="Q1102" i="1"/>
  <c r="P1102" i="1"/>
  <c r="O1102" i="1"/>
  <c r="N1102" i="1"/>
  <c r="M1102" i="1"/>
  <c r="L1102" i="1"/>
  <c r="K1102" i="1"/>
  <c r="J1102" i="1"/>
  <c r="I1102" i="1"/>
  <c r="H1102" i="1"/>
  <c r="G1102" i="1"/>
  <c r="R1101" i="1"/>
  <c r="Q1101" i="1"/>
  <c r="P1101" i="1"/>
  <c r="O1101" i="1"/>
  <c r="N1101" i="1"/>
  <c r="M1101" i="1"/>
  <c r="L1101" i="1"/>
  <c r="K1101" i="1"/>
  <c r="J1101" i="1"/>
  <c r="I1101" i="1"/>
  <c r="H1101" i="1"/>
  <c r="G1101" i="1"/>
  <c r="R1100" i="1"/>
  <c r="Q1100" i="1"/>
  <c r="P1100" i="1"/>
  <c r="O1100" i="1"/>
  <c r="N1100" i="1"/>
  <c r="M1100" i="1"/>
  <c r="L1100" i="1"/>
  <c r="K1100" i="1"/>
  <c r="J1100" i="1"/>
  <c r="I1100" i="1"/>
  <c r="H1100" i="1"/>
  <c r="G1100" i="1"/>
  <c r="R1099" i="1"/>
  <c r="Q1099" i="1"/>
  <c r="P1099" i="1"/>
  <c r="O1099" i="1"/>
  <c r="N1099" i="1"/>
  <c r="M1099" i="1"/>
  <c r="L1099" i="1"/>
  <c r="K1099" i="1"/>
  <c r="J1099" i="1"/>
  <c r="I1099" i="1"/>
  <c r="H1099" i="1"/>
  <c r="G1099" i="1"/>
  <c r="R1098" i="1"/>
  <c r="Q1098" i="1"/>
  <c r="P1098" i="1"/>
  <c r="O1098" i="1"/>
  <c r="N1098" i="1"/>
  <c r="M1098" i="1"/>
  <c r="L1098" i="1"/>
  <c r="K1098" i="1"/>
  <c r="J1098" i="1"/>
  <c r="I1098" i="1"/>
  <c r="H1098" i="1"/>
  <c r="G1098" i="1"/>
  <c r="R1097" i="1"/>
  <c r="Q1097" i="1"/>
  <c r="P1097" i="1"/>
  <c r="O1097" i="1"/>
  <c r="N1097" i="1"/>
  <c r="M1097" i="1"/>
  <c r="L1097" i="1"/>
  <c r="K1097" i="1"/>
  <c r="J1097" i="1"/>
  <c r="I1097" i="1"/>
  <c r="H1097" i="1"/>
  <c r="G1097" i="1"/>
  <c r="R1096" i="1"/>
  <c r="Q1096" i="1"/>
  <c r="P1096" i="1"/>
  <c r="O1096" i="1"/>
  <c r="N1096" i="1"/>
  <c r="M1096" i="1"/>
  <c r="L1096" i="1"/>
  <c r="K1096" i="1"/>
  <c r="J1096" i="1"/>
  <c r="I1096" i="1"/>
  <c r="H1096" i="1"/>
  <c r="G1096" i="1"/>
  <c r="R1095" i="1"/>
  <c r="Q1095" i="1"/>
  <c r="P1095" i="1"/>
  <c r="O1095" i="1"/>
  <c r="N1095" i="1"/>
  <c r="M1095" i="1"/>
  <c r="L1095" i="1"/>
  <c r="K1095" i="1"/>
  <c r="J1095" i="1"/>
  <c r="I1095" i="1"/>
  <c r="H1095" i="1"/>
  <c r="G1095" i="1"/>
  <c r="R1094" i="1"/>
  <c r="Q1094" i="1"/>
  <c r="P1094" i="1"/>
  <c r="O1094" i="1"/>
  <c r="N1094" i="1"/>
  <c r="M1094" i="1"/>
  <c r="L1094" i="1"/>
  <c r="K1094" i="1"/>
  <c r="J1094" i="1"/>
  <c r="I1094" i="1"/>
  <c r="H1094" i="1"/>
  <c r="G1094" i="1"/>
  <c r="R1093" i="1"/>
  <c r="Q1093" i="1"/>
  <c r="P1093" i="1"/>
  <c r="O1093" i="1"/>
  <c r="N1093" i="1"/>
  <c r="M1093" i="1"/>
  <c r="L1093" i="1"/>
  <c r="K1093" i="1"/>
  <c r="J1093" i="1"/>
  <c r="I1093" i="1"/>
  <c r="H1093" i="1"/>
  <c r="G1093" i="1"/>
  <c r="R1092" i="1"/>
  <c r="Q1092" i="1"/>
  <c r="P1092" i="1"/>
  <c r="O1092" i="1"/>
  <c r="N1092" i="1"/>
  <c r="M1092" i="1"/>
  <c r="L1092" i="1"/>
  <c r="K1092" i="1"/>
  <c r="J1092" i="1"/>
  <c r="I1092" i="1"/>
  <c r="H1092" i="1"/>
  <c r="G1092" i="1"/>
  <c r="R1091" i="1"/>
  <c r="Q1091" i="1"/>
  <c r="P1091" i="1"/>
  <c r="O1091" i="1"/>
  <c r="N1091" i="1"/>
  <c r="M1091" i="1"/>
  <c r="L1091" i="1"/>
  <c r="K1091" i="1"/>
  <c r="J1091" i="1"/>
  <c r="I1091" i="1"/>
  <c r="H1091" i="1"/>
  <c r="G1091" i="1"/>
  <c r="R1090" i="1"/>
  <c r="Q1090" i="1"/>
  <c r="P1090" i="1"/>
  <c r="O1090" i="1"/>
  <c r="N1090" i="1"/>
  <c r="M1090" i="1"/>
  <c r="L1090" i="1"/>
  <c r="K1090" i="1"/>
  <c r="J1090" i="1"/>
  <c r="I1090" i="1"/>
  <c r="H1090" i="1"/>
  <c r="G1090" i="1"/>
  <c r="R1089" i="1"/>
  <c r="Q1089" i="1"/>
  <c r="P1089" i="1"/>
  <c r="O1089" i="1"/>
  <c r="N1089" i="1"/>
  <c r="M1089" i="1"/>
  <c r="L1089" i="1"/>
  <c r="K1089" i="1"/>
  <c r="J1089" i="1"/>
  <c r="I1089" i="1"/>
  <c r="H1089" i="1"/>
  <c r="G1089" i="1"/>
  <c r="R1088" i="1"/>
  <c r="Q1088" i="1"/>
  <c r="P1088" i="1"/>
  <c r="O1088" i="1"/>
  <c r="N1088" i="1"/>
  <c r="M1088" i="1"/>
  <c r="L1088" i="1"/>
  <c r="K1088" i="1"/>
  <c r="J1088" i="1"/>
  <c r="I1088" i="1"/>
  <c r="H1088" i="1"/>
  <c r="G1088" i="1"/>
  <c r="R1087" i="1"/>
  <c r="Q1087" i="1"/>
  <c r="P1087" i="1"/>
  <c r="O1087" i="1"/>
  <c r="N1087" i="1"/>
  <c r="M1087" i="1"/>
  <c r="L1087" i="1"/>
  <c r="K1087" i="1"/>
  <c r="J1087" i="1"/>
  <c r="I1087" i="1"/>
  <c r="H1087" i="1"/>
  <c r="G1087" i="1"/>
  <c r="R1086" i="1"/>
  <c r="Q1086" i="1"/>
  <c r="P1086" i="1"/>
  <c r="O1086" i="1"/>
  <c r="N1086" i="1"/>
  <c r="M1086" i="1"/>
  <c r="L1086" i="1"/>
  <c r="K1086" i="1"/>
  <c r="J1086" i="1"/>
  <c r="I1086" i="1"/>
  <c r="H1086" i="1"/>
  <c r="G1086" i="1"/>
  <c r="R1085" i="1"/>
  <c r="Q1085" i="1"/>
  <c r="P1085" i="1"/>
  <c r="O1085" i="1"/>
  <c r="N1085" i="1"/>
  <c r="M1085" i="1"/>
  <c r="L1085" i="1"/>
  <c r="K1085" i="1"/>
  <c r="J1085" i="1"/>
  <c r="I1085" i="1"/>
  <c r="H1085" i="1"/>
  <c r="G1085" i="1"/>
  <c r="R1084" i="1"/>
  <c r="Q1084" i="1"/>
  <c r="P1084" i="1"/>
  <c r="O1084" i="1"/>
  <c r="N1084" i="1"/>
  <c r="M1084" i="1"/>
  <c r="L1084" i="1"/>
  <c r="K1084" i="1"/>
  <c r="J1084" i="1"/>
  <c r="I1084" i="1"/>
  <c r="H1084" i="1"/>
  <c r="G1084" i="1"/>
  <c r="R1083" i="1"/>
  <c r="Q1083" i="1"/>
  <c r="P1083" i="1"/>
  <c r="O1083" i="1"/>
  <c r="N1083" i="1"/>
  <c r="M1083" i="1"/>
  <c r="L1083" i="1"/>
  <c r="K1083" i="1"/>
  <c r="J1083" i="1"/>
  <c r="I1083" i="1"/>
  <c r="H1083" i="1"/>
  <c r="G1083" i="1"/>
  <c r="R1082" i="1"/>
  <c r="Q1082" i="1"/>
  <c r="P1082" i="1"/>
  <c r="O1082" i="1"/>
  <c r="N1082" i="1"/>
  <c r="M1082" i="1"/>
  <c r="L1082" i="1"/>
  <c r="K1082" i="1"/>
  <c r="J1082" i="1"/>
  <c r="I1082" i="1"/>
  <c r="H1082" i="1"/>
  <c r="G1082" i="1"/>
  <c r="R1081" i="1"/>
  <c r="Q1081" i="1"/>
  <c r="P1081" i="1"/>
  <c r="O1081" i="1"/>
  <c r="N1081" i="1"/>
  <c r="M1081" i="1"/>
  <c r="L1081" i="1"/>
  <c r="K1081" i="1"/>
  <c r="J1081" i="1"/>
  <c r="I1081" i="1"/>
  <c r="H1081" i="1"/>
  <c r="G1081" i="1"/>
  <c r="R1080" i="1"/>
  <c r="Q1080" i="1"/>
  <c r="P1080" i="1"/>
  <c r="O1080" i="1"/>
  <c r="N1080" i="1"/>
  <c r="M1080" i="1"/>
  <c r="L1080" i="1"/>
  <c r="K1080" i="1"/>
  <c r="J1080" i="1"/>
  <c r="I1080" i="1"/>
  <c r="H1080" i="1"/>
  <c r="G1080" i="1"/>
  <c r="R1079" i="1"/>
  <c r="Q1079" i="1"/>
  <c r="P1079" i="1"/>
  <c r="O1079" i="1"/>
  <c r="N1079" i="1"/>
  <c r="M1079" i="1"/>
  <c r="L1079" i="1"/>
  <c r="K1079" i="1"/>
  <c r="J1079" i="1"/>
  <c r="I1079" i="1"/>
  <c r="H1079" i="1"/>
  <c r="G1079" i="1"/>
  <c r="R1078" i="1"/>
  <c r="Q1078" i="1"/>
  <c r="P1078" i="1"/>
  <c r="O1078" i="1"/>
  <c r="N1078" i="1"/>
  <c r="M1078" i="1"/>
  <c r="L1078" i="1"/>
  <c r="K1078" i="1"/>
  <c r="J1078" i="1"/>
  <c r="I1078" i="1"/>
  <c r="H1078" i="1"/>
  <c r="G1078" i="1"/>
  <c r="R1077" i="1"/>
  <c r="Q1077" i="1"/>
  <c r="P1077" i="1"/>
  <c r="O1077" i="1"/>
  <c r="N1077" i="1"/>
  <c r="M1077" i="1"/>
  <c r="L1077" i="1"/>
  <c r="K1077" i="1"/>
  <c r="J1077" i="1"/>
  <c r="I1077" i="1"/>
  <c r="H1077" i="1"/>
  <c r="G1077" i="1"/>
  <c r="R1076" i="1"/>
  <c r="Q1076" i="1"/>
  <c r="P1076" i="1"/>
  <c r="O1076" i="1"/>
  <c r="N1076" i="1"/>
  <c r="M1076" i="1"/>
  <c r="L1076" i="1"/>
  <c r="K1076" i="1"/>
  <c r="J1076" i="1"/>
  <c r="I1076" i="1"/>
  <c r="H1076" i="1"/>
  <c r="G1076" i="1"/>
  <c r="R1075" i="1"/>
  <c r="Q1075" i="1"/>
  <c r="P1075" i="1"/>
  <c r="O1075" i="1"/>
  <c r="N1075" i="1"/>
  <c r="M1075" i="1"/>
  <c r="L1075" i="1"/>
  <c r="K1075" i="1"/>
  <c r="J1075" i="1"/>
  <c r="I1075" i="1"/>
  <c r="H1075" i="1"/>
  <c r="G1075" i="1"/>
  <c r="R1074" i="1"/>
  <c r="Q1074" i="1"/>
  <c r="P1074" i="1"/>
  <c r="O1074" i="1"/>
  <c r="N1074" i="1"/>
  <c r="M1074" i="1"/>
  <c r="L1074" i="1"/>
  <c r="K1074" i="1"/>
  <c r="J1074" i="1"/>
  <c r="I1074" i="1"/>
  <c r="H1074" i="1"/>
  <c r="G1074" i="1"/>
  <c r="R1073" i="1"/>
  <c r="Q1073" i="1"/>
  <c r="P1073" i="1"/>
  <c r="O1073" i="1"/>
  <c r="N1073" i="1"/>
  <c r="M1073" i="1"/>
  <c r="L1073" i="1"/>
  <c r="K1073" i="1"/>
  <c r="J1073" i="1"/>
  <c r="I1073" i="1"/>
  <c r="H1073" i="1"/>
  <c r="G1073" i="1"/>
  <c r="R1072" i="1"/>
  <c r="Q1072" i="1"/>
  <c r="P1072" i="1"/>
  <c r="O1072" i="1"/>
  <c r="N1072" i="1"/>
  <c r="M1072" i="1"/>
  <c r="L1072" i="1"/>
  <c r="K1072" i="1"/>
  <c r="J1072" i="1"/>
  <c r="I1072" i="1"/>
  <c r="H1072" i="1"/>
  <c r="G1072" i="1"/>
  <c r="R1071" i="1"/>
  <c r="Q1071" i="1"/>
  <c r="P1071" i="1"/>
  <c r="O1071" i="1"/>
  <c r="N1071" i="1"/>
  <c r="M1071" i="1"/>
  <c r="L1071" i="1"/>
  <c r="K1071" i="1"/>
  <c r="J1071" i="1"/>
  <c r="I1071" i="1"/>
  <c r="H1071" i="1"/>
  <c r="G1071" i="1"/>
  <c r="R1070" i="1"/>
  <c r="Q1070" i="1"/>
  <c r="P1070" i="1"/>
  <c r="O1070" i="1"/>
  <c r="N1070" i="1"/>
  <c r="M1070" i="1"/>
  <c r="L1070" i="1"/>
  <c r="K1070" i="1"/>
  <c r="J1070" i="1"/>
  <c r="I1070" i="1"/>
  <c r="H1070" i="1"/>
  <c r="G1070" i="1"/>
  <c r="R1069" i="1"/>
  <c r="Q1069" i="1"/>
  <c r="P1069" i="1"/>
  <c r="O1069" i="1"/>
  <c r="N1069" i="1"/>
  <c r="M1069" i="1"/>
  <c r="L1069" i="1"/>
  <c r="K1069" i="1"/>
  <c r="J1069" i="1"/>
  <c r="I1069" i="1"/>
  <c r="H1069" i="1"/>
  <c r="G1069" i="1"/>
  <c r="R1068" i="1"/>
  <c r="Q1068" i="1"/>
  <c r="P1068" i="1"/>
  <c r="O1068" i="1"/>
  <c r="N1068" i="1"/>
  <c r="M1068" i="1"/>
  <c r="L1068" i="1"/>
  <c r="K1068" i="1"/>
  <c r="J1068" i="1"/>
  <c r="I1068" i="1"/>
  <c r="H1068" i="1"/>
  <c r="G1068" i="1"/>
  <c r="R1067" i="1"/>
  <c r="Q1067" i="1"/>
  <c r="P1067" i="1"/>
  <c r="O1067" i="1"/>
  <c r="N1067" i="1"/>
  <c r="M1067" i="1"/>
  <c r="L1067" i="1"/>
  <c r="K1067" i="1"/>
  <c r="J1067" i="1"/>
  <c r="I1067" i="1"/>
  <c r="H1067" i="1"/>
  <c r="G1067" i="1"/>
  <c r="R1066" i="1"/>
  <c r="Q1066" i="1"/>
  <c r="P1066" i="1"/>
  <c r="O1066" i="1"/>
  <c r="N1066" i="1"/>
  <c r="M1066" i="1"/>
  <c r="L1066" i="1"/>
  <c r="K1066" i="1"/>
  <c r="J1066" i="1"/>
  <c r="I1066" i="1"/>
  <c r="H1066" i="1"/>
  <c r="G1066" i="1"/>
  <c r="R1065" i="1"/>
  <c r="Q1065" i="1"/>
  <c r="P1065" i="1"/>
  <c r="O1065" i="1"/>
  <c r="N1065" i="1"/>
  <c r="M1065" i="1"/>
  <c r="L1065" i="1"/>
  <c r="K1065" i="1"/>
  <c r="J1065" i="1"/>
  <c r="I1065" i="1"/>
  <c r="H1065" i="1"/>
  <c r="G1065" i="1"/>
  <c r="R1064" i="1"/>
  <c r="Q1064" i="1"/>
  <c r="P1064" i="1"/>
  <c r="O1064" i="1"/>
  <c r="N1064" i="1"/>
  <c r="M1064" i="1"/>
  <c r="L1064" i="1"/>
  <c r="K1064" i="1"/>
  <c r="J1064" i="1"/>
  <c r="I1064" i="1"/>
  <c r="H1064" i="1"/>
  <c r="G1064" i="1"/>
  <c r="R1063" i="1"/>
  <c r="Q1063" i="1"/>
  <c r="P1063" i="1"/>
  <c r="O1063" i="1"/>
  <c r="N1063" i="1"/>
  <c r="M1063" i="1"/>
  <c r="L1063" i="1"/>
  <c r="K1063" i="1"/>
  <c r="J1063" i="1"/>
  <c r="I1063" i="1"/>
  <c r="H1063" i="1"/>
  <c r="G1063" i="1"/>
  <c r="R1062" i="1"/>
  <c r="Q1062" i="1"/>
  <c r="P1062" i="1"/>
  <c r="O1062" i="1"/>
  <c r="N1062" i="1"/>
  <c r="M1062" i="1"/>
  <c r="L1062" i="1"/>
  <c r="K1062" i="1"/>
  <c r="J1062" i="1"/>
  <c r="I1062" i="1"/>
  <c r="H1062" i="1"/>
  <c r="G1062" i="1"/>
  <c r="R1061" i="1"/>
  <c r="Q1061" i="1"/>
  <c r="P1061" i="1"/>
  <c r="O1061" i="1"/>
  <c r="N1061" i="1"/>
  <c r="M1061" i="1"/>
  <c r="L1061" i="1"/>
  <c r="K1061" i="1"/>
  <c r="J1061" i="1"/>
  <c r="I1061" i="1"/>
  <c r="H1061" i="1"/>
  <c r="G1061" i="1"/>
  <c r="R1060" i="1"/>
  <c r="Q1060" i="1"/>
  <c r="P1060" i="1"/>
  <c r="O1060" i="1"/>
  <c r="N1060" i="1"/>
  <c r="M1060" i="1"/>
  <c r="L1060" i="1"/>
  <c r="K1060" i="1"/>
  <c r="J1060" i="1"/>
  <c r="I1060" i="1"/>
  <c r="H1060" i="1"/>
  <c r="G1060" i="1"/>
  <c r="R1059" i="1"/>
  <c r="Q1059" i="1"/>
  <c r="P1059" i="1"/>
  <c r="O1059" i="1"/>
  <c r="N1059" i="1"/>
  <c r="M1059" i="1"/>
  <c r="L1059" i="1"/>
  <c r="K1059" i="1"/>
  <c r="J1059" i="1"/>
  <c r="I1059" i="1"/>
  <c r="H1059" i="1"/>
  <c r="G1059" i="1"/>
  <c r="R1058" i="1"/>
  <c r="Q1058" i="1"/>
  <c r="P1058" i="1"/>
  <c r="O1058" i="1"/>
  <c r="N1058" i="1"/>
  <c r="M1058" i="1"/>
  <c r="L1058" i="1"/>
  <c r="K1058" i="1"/>
  <c r="J1058" i="1"/>
  <c r="I1058" i="1"/>
  <c r="H1058" i="1"/>
  <c r="G1058" i="1"/>
  <c r="R1057" i="1"/>
  <c r="Q1057" i="1"/>
  <c r="P1057" i="1"/>
  <c r="O1057" i="1"/>
  <c r="N1057" i="1"/>
  <c r="M1057" i="1"/>
  <c r="L1057" i="1"/>
  <c r="K1057" i="1"/>
  <c r="J1057" i="1"/>
  <c r="I1057" i="1"/>
  <c r="H1057" i="1"/>
  <c r="G1057" i="1"/>
  <c r="R1056" i="1"/>
  <c r="Q1056" i="1"/>
  <c r="P1056" i="1"/>
  <c r="O1056" i="1"/>
  <c r="N1056" i="1"/>
  <c r="M1056" i="1"/>
  <c r="L1056" i="1"/>
  <c r="K1056" i="1"/>
  <c r="J1056" i="1"/>
  <c r="I1056" i="1"/>
  <c r="H1056" i="1"/>
  <c r="G1056" i="1"/>
  <c r="R1055" i="1"/>
  <c r="Q1055" i="1"/>
  <c r="P1055" i="1"/>
  <c r="O1055" i="1"/>
  <c r="N1055" i="1"/>
  <c r="M1055" i="1"/>
  <c r="L1055" i="1"/>
  <c r="K1055" i="1"/>
  <c r="J1055" i="1"/>
  <c r="I1055" i="1"/>
  <c r="H1055" i="1"/>
  <c r="G1055" i="1"/>
  <c r="R1054" i="1"/>
  <c r="Q1054" i="1"/>
  <c r="P1054" i="1"/>
  <c r="O1054" i="1"/>
  <c r="N1054" i="1"/>
  <c r="M1054" i="1"/>
  <c r="L1054" i="1"/>
  <c r="K1054" i="1"/>
  <c r="J1054" i="1"/>
  <c r="I1054" i="1"/>
  <c r="H1054" i="1"/>
  <c r="G1054" i="1"/>
  <c r="R1053" i="1"/>
  <c r="Q1053" i="1"/>
  <c r="P1053" i="1"/>
  <c r="O1053" i="1"/>
  <c r="N1053" i="1"/>
  <c r="M1053" i="1"/>
  <c r="L1053" i="1"/>
  <c r="K1053" i="1"/>
  <c r="J1053" i="1"/>
  <c r="I1053" i="1"/>
  <c r="H1053" i="1"/>
  <c r="G1053" i="1"/>
  <c r="R1052" i="1"/>
  <c r="Q1052" i="1"/>
  <c r="P1052" i="1"/>
  <c r="O1052" i="1"/>
  <c r="N1052" i="1"/>
  <c r="M1052" i="1"/>
  <c r="L1052" i="1"/>
  <c r="K1052" i="1"/>
  <c r="J1052" i="1"/>
  <c r="I1052" i="1"/>
  <c r="H1052" i="1"/>
  <c r="G1052" i="1"/>
  <c r="R1051" i="1"/>
  <c r="Q1051" i="1"/>
  <c r="P1051" i="1"/>
  <c r="O1051" i="1"/>
  <c r="N1051" i="1"/>
  <c r="M1051" i="1"/>
  <c r="L1051" i="1"/>
  <c r="K1051" i="1"/>
  <c r="J1051" i="1"/>
  <c r="I1051" i="1"/>
  <c r="H1051" i="1"/>
  <c r="G1051" i="1"/>
  <c r="R1050" i="1"/>
  <c r="Q1050" i="1"/>
  <c r="P1050" i="1"/>
  <c r="O1050" i="1"/>
  <c r="N1050" i="1"/>
  <c r="M1050" i="1"/>
  <c r="L1050" i="1"/>
  <c r="K1050" i="1"/>
  <c r="J1050" i="1"/>
  <c r="I1050" i="1"/>
  <c r="H1050" i="1"/>
  <c r="G1050" i="1"/>
  <c r="R1049" i="1"/>
  <c r="Q1049" i="1"/>
  <c r="P1049" i="1"/>
  <c r="O1049" i="1"/>
  <c r="N1049" i="1"/>
  <c r="M1049" i="1"/>
  <c r="L1049" i="1"/>
  <c r="K1049" i="1"/>
  <c r="J1049" i="1"/>
  <c r="I1049" i="1"/>
  <c r="H1049" i="1"/>
  <c r="G1049" i="1"/>
  <c r="R1048" i="1"/>
  <c r="Q1048" i="1"/>
  <c r="P1048" i="1"/>
  <c r="O1048" i="1"/>
  <c r="N1048" i="1"/>
  <c r="M1048" i="1"/>
  <c r="L1048" i="1"/>
  <c r="K1048" i="1"/>
  <c r="J1048" i="1"/>
  <c r="I1048" i="1"/>
  <c r="H1048" i="1"/>
  <c r="G1048" i="1"/>
  <c r="R1047" i="1"/>
  <c r="Q1047" i="1"/>
  <c r="P1047" i="1"/>
  <c r="O1047" i="1"/>
  <c r="N1047" i="1"/>
  <c r="M1047" i="1"/>
  <c r="L1047" i="1"/>
  <c r="K1047" i="1"/>
  <c r="J1047" i="1"/>
  <c r="I1047" i="1"/>
  <c r="H1047" i="1"/>
  <c r="G1047" i="1"/>
  <c r="R1046" i="1"/>
  <c r="Q1046" i="1"/>
  <c r="P1046" i="1"/>
  <c r="O1046" i="1"/>
  <c r="N1046" i="1"/>
  <c r="M1046" i="1"/>
  <c r="L1046" i="1"/>
  <c r="K1046" i="1"/>
  <c r="J1046" i="1"/>
  <c r="I1046" i="1"/>
  <c r="H1046" i="1"/>
  <c r="G1046" i="1"/>
  <c r="R1045" i="1"/>
  <c r="Q1045" i="1"/>
  <c r="P1045" i="1"/>
  <c r="O1045" i="1"/>
  <c r="N1045" i="1"/>
  <c r="M1045" i="1"/>
  <c r="L1045" i="1"/>
  <c r="K1045" i="1"/>
  <c r="J1045" i="1"/>
  <c r="I1045" i="1"/>
  <c r="H1045" i="1"/>
  <c r="G1045" i="1"/>
  <c r="R1044" i="1"/>
  <c r="Q1044" i="1"/>
  <c r="P1044" i="1"/>
  <c r="O1044" i="1"/>
  <c r="N1044" i="1"/>
  <c r="M1044" i="1"/>
  <c r="L1044" i="1"/>
  <c r="K1044" i="1"/>
  <c r="J1044" i="1"/>
  <c r="I1044" i="1"/>
  <c r="H1044" i="1"/>
  <c r="G1044" i="1"/>
  <c r="R1043" i="1"/>
  <c r="Q1043" i="1"/>
  <c r="P1043" i="1"/>
  <c r="O1043" i="1"/>
  <c r="N1043" i="1"/>
  <c r="M1043" i="1"/>
  <c r="L1043" i="1"/>
  <c r="K1043" i="1"/>
  <c r="J1043" i="1"/>
  <c r="I1043" i="1"/>
  <c r="H1043" i="1"/>
  <c r="G1043" i="1"/>
  <c r="R1042" i="1"/>
  <c r="Q1042" i="1"/>
  <c r="P1042" i="1"/>
  <c r="O1042" i="1"/>
  <c r="N1042" i="1"/>
  <c r="M1042" i="1"/>
  <c r="L1042" i="1"/>
  <c r="K1042" i="1"/>
  <c r="J1042" i="1"/>
  <c r="I1042" i="1"/>
  <c r="H1042" i="1"/>
  <c r="G1042" i="1"/>
  <c r="R1041" i="1"/>
  <c r="Q1041" i="1"/>
  <c r="P1041" i="1"/>
  <c r="O1041" i="1"/>
  <c r="N1041" i="1"/>
  <c r="M1041" i="1"/>
  <c r="L1041" i="1"/>
  <c r="K1041" i="1"/>
  <c r="J1041" i="1"/>
  <c r="I1041" i="1"/>
  <c r="H1041" i="1"/>
  <c r="G1041" i="1"/>
  <c r="R1040" i="1"/>
  <c r="Q1040" i="1"/>
  <c r="P1040" i="1"/>
  <c r="O1040" i="1"/>
  <c r="N1040" i="1"/>
  <c r="M1040" i="1"/>
  <c r="L1040" i="1"/>
  <c r="K1040" i="1"/>
  <c r="J1040" i="1"/>
  <c r="I1040" i="1"/>
  <c r="H1040" i="1"/>
  <c r="G1040" i="1"/>
  <c r="R1039" i="1"/>
  <c r="Q1039" i="1"/>
  <c r="P1039" i="1"/>
  <c r="O1039" i="1"/>
  <c r="N1039" i="1"/>
  <c r="M1039" i="1"/>
  <c r="L1039" i="1"/>
  <c r="K1039" i="1"/>
  <c r="J1039" i="1"/>
  <c r="I1039" i="1"/>
  <c r="H1039" i="1"/>
  <c r="G1039" i="1"/>
  <c r="R1038" i="1"/>
  <c r="Q1038" i="1"/>
  <c r="P1038" i="1"/>
  <c r="O1038" i="1"/>
  <c r="N1038" i="1"/>
  <c r="M1038" i="1"/>
  <c r="L1038" i="1"/>
  <c r="K1038" i="1"/>
  <c r="J1038" i="1"/>
  <c r="I1038" i="1"/>
  <c r="H1038" i="1"/>
  <c r="G1038" i="1"/>
  <c r="R1037" i="1"/>
  <c r="Q1037" i="1"/>
  <c r="P1037" i="1"/>
  <c r="O1037" i="1"/>
  <c r="N1037" i="1"/>
  <c r="M1037" i="1"/>
  <c r="L1037" i="1"/>
  <c r="K1037" i="1"/>
  <c r="J1037" i="1"/>
  <c r="I1037" i="1"/>
  <c r="H1037" i="1"/>
  <c r="G1037" i="1"/>
  <c r="R1036" i="1"/>
  <c r="Q1036" i="1"/>
  <c r="P1036" i="1"/>
  <c r="O1036" i="1"/>
  <c r="N1036" i="1"/>
  <c r="M1036" i="1"/>
  <c r="L1036" i="1"/>
  <c r="K1036" i="1"/>
  <c r="J1036" i="1"/>
  <c r="I1036" i="1"/>
  <c r="H1036" i="1"/>
  <c r="G1036" i="1"/>
  <c r="R1035" i="1"/>
  <c r="Q1035" i="1"/>
  <c r="P1035" i="1"/>
  <c r="O1035" i="1"/>
  <c r="N1035" i="1"/>
  <c r="M1035" i="1"/>
  <c r="L1035" i="1"/>
  <c r="K1035" i="1"/>
  <c r="J1035" i="1"/>
  <c r="I1035" i="1"/>
  <c r="H1035" i="1"/>
  <c r="G1035" i="1"/>
  <c r="R1034" i="1"/>
  <c r="Q1034" i="1"/>
  <c r="P1034" i="1"/>
  <c r="O1034" i="1"/>
  <c r="N1034" i="1"/>
  <c r="M1034" i="1"/>
  <c r="L1034" i="1"/>
  <c r="K1034" i="1"/>
  <c r="J1034" i="1"/>
  <c r="I1034" i="1"/>
  <c r="H1034" i="1"/>
  <c r="G1034" i="1"/>
  <c r="R1033" i="1"/>
  <c r="Q1033" i="1"/>
  <c r="P1033" i="1"/>
  <c r="O1033" i="1"/>
  <c r="N1033" i="1"/>
  <c r="M1033" i="1"/>
  <c r="L1033" i="1"/>
  <c r="K1033" i="1"/>
  <c r="J1033" i="1"/>
  <c r="I1033" i="1"/>
  <c r="H1033" i="1"/>
  <c r="G1033" i="1"/>
  <c r="R1032" i="1"/>
  <c r="Q1032" i="1"/>
  <c r="P1032" i="1"/>
  <c r="O1032" i="1"/>
  <c r="N1032" i="1"/>
  <c r="M1032" i="1"/>
  <c r="L1032" i="1"/>
  <c r="K1032" i="1"/>
  <c r="J1032" i="1"/>
  <c r="I1032" i="1"/>
  <c r="H1032" i="1"/>
  <c r="G1032" i="1"/>
  <c r="R1031" i="1"/>
  <c r="Q1031" i="1"/>
  <c r="P1031" i="1"/>
  <c r="O1031" i="1"/>
  <c r="N1031" i="1"/>
  <c r="M1031" i="1"/>
  <c r="L1031" i="1"/>
  <c r="K1031" i="1"/>
  <c r="J1031" i="1"/>
  <c r="I1031" i="1"/>
  <c r="H1031" i="1"/>
  <c r="G1031" i="1"/>
  <c r="R1030" i="1"/>
  <c r="Q1030" i="1"/>
  <c r="P1030" i="1"/>
  <c r="O1030" i="1"/>
  <c r="N1030" i="1"/>
  <c r="M1030" i="1"/>
  <c r="L1030" i="1"/>
  <c r="K1030" i="1"/>
  <c r="J1030" i="1"/>
  <c r="I1030" i="1"/>
  <c r="H1030" i="1"/>
  <c r="G1030" i="1"/>
  <c r="R1029" i="1"/>
  <c r="Q1029" i="1"/>
  <c r="P1029" i="1"/>
  <c r="O1029" i="1"/>
  <c r="N1029" i="1"/>
  <c r="M1029" i="1"/>
  <c r="L1029" i="1"/>
  <c r="K1029" i="1"/>
  <c r="J1029" i="1"/>
  <c r="I1029" i="1"/>
  <c r="H1029" i="1"/>
  <c r="G1029" i="1"/>
  <c r="R1028" i="1"/>
  <c r="Q1028" i="1"/>
  <c r="P1028" i="1"/>
  <c r="O1028" i="1"/>
  <c r="N1028" i="1"/>
  <c r="M1028" i="1"/>
  <c r="L1028" i="1"/>
  <c r="K1028" i="1"/>
  <c r="J1028" i="1"/>
  <c r="I1028" i="1"/>
  <c r="H1028" i="1"/>
  <c r="G1028" i="1"/>
  <c r="R1027" i="1"/>
  <c r="Q1027" i="1"/>
  <c r="P1027" i="1"/>
  <c r="O1027" i="1"/>
  <c r="N1027" i="1"/>
  <c r="M1027" i="1"/>
  <c r="L1027" i="1"/>
  <c r="K1027" i="1"/>
  <c r="J1027" i="1"/>
  <c r="I1027" i="1"/>
  <c r="H1027" i="1"/>
  <c r="G1027" i="1"/>
  <c r="R1026" i="1"/>
  <c r="Q1026" i="1"/>
  <c r="P1026" i="1"/>
  <c r="O1026" i="1"/>
  <c r="N1026" i="1"/>
  <c r="M1026" i="1"/>
  <c r="L1026" i="1"/>
  <c r="K1026" i="1"/>
  <c r="J1026" i="1"/>
  <c r="I1026" i="1"/>
  <c r="H1026" i="1"/>
  <c r="G1026" i="1"/>
  <c r="R1025" i="1"/>
  <c r="Q1025" i="1"/>
  <c r="P1025" i="1"/>
  <c r="O1025" i="1"/>
  <c r="N1025" i="1"/>
  <c r="M1025" i="1"/>
  <c r="L1025" i="1"/>
  <c r="K1025" i="1"/>
  <c r="J1025" i="1"/>
  <c r="I1025" i="1"/>
  <c r="H1025" i="1"/>
  <c r="G1025" i="1"/>
  <c r="R1024" i="1"/>
  <c r="Q1024" i="1"/>
  <c r="P1024" i="1"/>
  <c r="O1024" i="1"/>
  <c r="N1024" i="1"/>
  <c r="M1024" i="1"/>
  <c r="L1024" i="1"/>
  <c r="K1024" i="1"/>
  <c r="J1024" i="1"/>
  <c r="I1024" i="1"/>
  <c r="H1024" i="1"/>
  <c r="G1024" i="1"/>
  <c r="R1023" i="1"/>
  <c r="Q1023" i="1"/>
  <c r="P1023" i="1"/>
  <c r="O1023" i="1"/>
  <c r="N1023" i="1"/>
  <c r="M1023" i="1"/>
  <c r="L1023" i="1"/>
  <c r="K1023" i="1"/>
  <c r="J1023" i="1"/>
  <c r="I1023" i="1"/>
  <c r="H1023" i="1"/>
  <c r="G1023" i="1"/>
  <c r="R1022" i="1"/>
  <c r="Q1022" i="1"/>
  <c r="P1022" i="1"/>
  <c r="O1022" i="1"/>
  <c r="N1022" i="1"/>
  <c r="M1022" i="1"/>
  <c r="L1022" i="1"/>
  <c r="K1022" i="1"/>
  <c r="J1022" i="1"/>
  <c r="I1022" i="1"/>
  <c r="H1022" i="1"/>
  <c r="G1022" i="1"/>
  <c r="R1021" i="1"/>
  <c r="Q1021" i="1"/>
  <c r="P1021" i="1"/>
  <c r="O1021" i="1"/>
  <c r="N1021" i="1"/>
  <c r="M1021" i="1"/>
  <c r="L1021" i="1"/>
  <c r="K1021" i="1"/>
  <c r="J1021" i="1"/>
  <c r="I1021" i="1"/>
  <c r="H1021" i="1"/>
  <c r="G1021" i="1"/>
  <c r="R1020" i="1"/>
  <c r="Q1020" i="1"/>
  <c r="P1020" i="1"/>
  <c r="O1020" i="1"/>
  <c r="N1020" i="1"/>
  <c r="M1020" i="1"/>
  <c r="L1020" i="1"/>
  <c r="K1020" i="1"/>
  <c r="J1020" i="1"/>
  <c r="I1020" i="1"/>
  <c r="H1020" i="1"/>
  <c r="G1020" i="1"/>
  <c r="R1019" i="1"/>
  <c r="Q1019" i="1"/>
  <c r="P1019" i="1"/>
  <c r="O1019" i="1"/>
  <c r="N1019" i="1"/>
  <c r="M1019" i="1"/>
  <c r="L1019" i="1"/>
  <c r="K1019" i="1"/>
  <c r="J1019" i="1"/>
  <c r="I1019" i="1"/>
  <c r="H1019" i="1"/>
  <c r="G1019" i="1"/>
  <c r="R1018" i="1"/>
  <c r="Q1018" i="1"/>
  <c r="P1018" i="1"/>
  <c r="O1018" i="1"/>
  <c r="N1018" i="1"/>
  <c r="M1018" i="1"/>
  <c r="L1018" i="1"/>
  <c r="K1018" i="1"/>
  <c r="J1018" i="1"/>
  <c r="I1018" i="1"/>
  <c r="H1018" i="1"/>
  <c r="G1018" i="1"/>
  <c r="R1017" i="1"/>
  <c r="Q1017" i="1"/>
  <c r="P1017" i="1"/>
  <c r="O1017" i="1"/>
  <c r="N1017" i="1"/>
  <c r="M1017" i="1"/>
  <c r="L1017" i="1"/>
  <c r="K1017" i="1"/>
  <c r="J1017" i="1"/>
  <c r="I1017" i="1"/>
  <c r="H1017" i="1"/>
  <c r="G1017" i="1"/>
  <c r="R1016" i="1"/>
  <c r="Q1016" i="1"/>
  <c r="P1016" i="1"/>
  <c r="O1016" i="1"/>
  <c r="N1016" i="1"/>
  <c r="M1016" i="1"/>
  <c r="L1016" i="1"/>
  <c r="K1016" i="1"/>
  <c r="J1016" i="1"/>
  <c r="I1016" i="1"/>
  <c r="H1016" i="1"/>
  <c r="G1016" i="1"/>
  <c r="R1015" i="1"/>
  <c r="Q1015" i="1"/>
  <c r="P1015" i="1"/>
  <c r="O1015" i="1"/>
  <c r="N1015" i="1"/>
  <c r="M1015" i="1"/>
  <c r="L1015" i="1"/>
  <c r="K1015" i="1"/>
  <c r="J1015" i="1"/>
  <c r="I1015" i="1"/>
  <c r="H1015" i="1"/>
  <c r="G1015" i="1"/>
  <c r="R1014" i="1"/>
  <c r="Q1014" i="1"/>
  <c r="P1014" i="1"/>
  <c r="O1014" i="1"/>
  <c r="N1014" i="1"/>
  <c r="M1014" i="1"/>
  <c r="L1014" i="1"/>
  <c r="K1014" i="1"/>
  <c r="J1014" i="1"/>
  <c r="I1014" i="1"/>
  <c r="H1014" i="1"/>
  <c r="G1014" i="1"/>
  <c r="R1013" i="1"/>
  <c r="Q1013" i="1"/>
  <c r="P1013" i="1"/>
  <c r="O1013" i="1"/>
  <c r="N1013" i="1"/>
  <c r="M1013" i="1"/>
  <c r="L1013" i="1"/>
  <c r="K1013" i="1"/>
  <c r="J1013" i="1"/>
  <c r="I1013" i="1"/>
  <c r="H1013" i="1"/>
  <c r="G1013" i="1"/>
  <c r="R1012" i="1"/>
  <c r="Q1012" i="1"/>
  <c r="P1012" i="1"/>
  <c r="O1012" i="1"/>
  <c r="N1012" i="1"/>
  <c r="M1012" i="1"/>
  <c r="L1012" i="1"/>
  <c r="K1012" i="1"/>
  <c r="J1012" i="1"/>
  <c r="I1012" i="1"/>
  <c r="H1012" i="1"/>
  <c r="G1012" i="1"/>
  <c r="R1011" i="1"/>
  <c r="Q1011" i="1"/>
  <c r="P1011" i="1"/>
  <c r="O1011" i="1"/>
  <c r="N1011" i="1"/>
  <c r="M1011" i="1"/>
  <c r="L1011" i="1"/>
  <c r="K1011" i="1"/>
  <c r="J1011" i="1"/>
  <c r="I1011" i="1"/>
  <c r="H1011" i="1"/>
  <c r="G1011" i="1"/>
  <c r="R1010" i="1"/>
  <c r="Q1010" i="1"/>
  <c r="P1010" i="1"/>
  <c r="O1010" i="1"/>
  <c r="N1010" i="1"/>
  <c r="M1010" i="1"/>
  <c r="L1010" i="1"/>
  <c r="K1010" i="1"/>
  <c r="J1010" i="1"/>
  <c r="I1010" i="1"/>
  <c r="H1010" i="1"/>
  <c r="G1010" i="1"/>
  <c r="R1009" i="1"/>
  <c r="Q1009" i="1"/>
  <c r="P1009" i="1"/>
  <c r="O1009" i="1"/>
  <c r="N1009" i="1"/>
  <c r="M1009" i="1"/>
  <c r="L1009" i="1"/>
  <c r="K1009" i="1"/>
  <c r="J1009" i="1"/>
  <c r="I1009" i="1"/>
  <c r="H1009" i="1"/>
  <c r="G1009" i="1"/>
  <c r="R1008" i="1"/>
  <c r="Q1008" i="1"/>
  <c r="P1008" i="1"/>
  <c r="O1008" i="1"/>
  <c r="N1008" i="1"/>
  <c r="M1008" i="1"/>
  <c r="L1008" i="1"/>
  <c r="K1008" i="1"/>
  <c r="J1008" i="1"/>
  <c r="I1008" i="1"/>
  <c r="H1008" i="1"/>
  <c r="G1008" i="1"/>
  <c r="R1007" i="1"/>
  <c r="Q1007" i="1"/>
  <c r="P1007" i="1"/>
  <c r="O1007" i="1"/>
  <c r="N1007" i="1"/>
  <c r="M1007" i="1"/>
  <c r="L1007" i="1"/>
  <c r="K1007" i="1"/>
  <c r="J1007" i="1"/>
  <c r="I1007" i="1"/>
  <c r="H1007" i="1"/>
  <c r="G1007" i="1"/>
  <c r="R1006" i="1"/>
  <c r="Q1006" i="1"/>
  <c r="P1006" i="1"/>
  <c r="O1006" i="1"/>
  <c r="N1006" i="1"/>
  <c r="M1006" i="1"/>
  <c r="L1006" i="1"/>
  <c r="K1006" i="1"/>
  <c r="J1006" i="1"/>
  <c r="I1006" i="1"/>
  <c r="H1006" i="1"/>
  <c r="G1006" i="1"/>
  <c r="R1005" i="1"/>
  <c r="Q1005" i="1"/>
  <c r="P1005" i="1"/>
  <c r="O1005" i="1"/>
  <c r="N1005" i="1"/>
  <c r="M1005" i="1"/>
  <c r="L1005" i="1"/>
  <c r="K1005" i="1"/>
  <c r="J1005" i="1"/>
  <c r="I1005" i="1"/>
  <c r="H1005" i="1"/>
  <c r="G1005" i="1"/>
  <c r="R1004" i="1"/>
  <c r="Q1004" i="1"/>
  <c r="P1004" i="1"/>
  <c r="O1004" i="1"/>
  <c r="N1004" i="1"/>
  <c r="M1004" i="1"/>
  <c r="L1004" i="1"/>
  <c r="K1004" i="1"/>
  <c r="J1004" i="1"/>
  <c r="I1004" i="1"/>
  <c r="H1004" i="1"/>
  <c r="G1004" i="1"/>
  <c r="R1003" i="1"/>
  <c r="Q1003" i="1"/>
  <c r="P1003" i="1"/>
  <c r="O1003" i="1"/>
  <c r="N1003" i="1"/>
  <c r="M1003" i="1"/>
  <c r="L1003" i="1"/>
  <c r="K1003" i="1"/>
  <c r="J1003" i="1"/>
  <c r="I1003" i="1"/>
  <c r="H1003" i="1"/>
  <c r="G1003" i="1"/>
  <c r="R1002" i="1"/>
  <c r="Q1002" i="1"/>
  <c r="P1002" i="1"/>
  <c r="O1002" i="1"/>
  <c r="N1002" i="1"/>
  <c r="M1002" i="1"/>
  <c r="L1002" i="1"/>
  <c r="K1002" i="1"/>
  <c r="J1002" i="1"/>
  <c r="I1002" i="1"/>
  <c r="H1002" i="1"/>
  <c r="G1002" i="1"/>
  <c r="R1001" i="1"/>
  <c r="Q1001" i="1"/>
  <c r="P1001" i="1"/>
  <c r="O1001" i="1"/>
  <c r="N1001" i="1"/>
  <c r="M1001" i="1"/>
  <c r="L1001" i="1"/>
  <c r="K1001" i="1"/>
  <c r="J1001" i="1"/>
  <c r="I1001" i="1"/>
  <c r="H1001" i="1"/>
  <c r="G1001" i="1"/>
  <c r="R1000" i="1"/>
  <c r="Q1000" i="1"/>
  <c r="P1000" i="1"/>
  <c r="O1000" i="1"/>
  <c r="N1000" i="1"/>
  <c r="M1000" i="1"/>
  <c r="L1000" i="1"/>
  <c r="K1000" i="1"/>
  <c r="J1000" i="1"/>
  <c r="I1000" i="1"/>
  <c r="H1000" i="1"/>
  <c r="G1000" i="1"/>
  <c r="R999" i="1"/>
  <c r="Q999" i="1"/>
  <c r="P999" i="1"/>
  <c r="O999" i="1"/>
  <c r="N999" i="1"/>
  <c r="M999" i="1"/>
  <c r="L999" i="1"/>
  <c r="K999" i="1"/>
  <c r="J999" i="1"/>
  <c r="I999" i="1"/>
  <c r="H999" i="1"/>
  <c r="G999" i="1"/>
  <c r="R998" i="1"/>
  <c r="Q998" i="1"/>
  <c r="P998" i="1"/>
  <c r="O998" i="1"/>
  <c r="N998" i="1"/>
  <c r="M998" i="1"/>
  <c r="L998" i="1"/>
  <c r="K998" i="1"/>
  <c r="J998" i="1"/>
  <c r="I998" i="1"/>
  <c r="H998" i="1"/>
  <c r="G998" i="1"/>
  <c r="R997" i="1"/>
  <c r="Q997" i="1"/>
  <c r="P997" i="1"/>
  <c r="O997" i="1"/>
  <c r="N997" i="1"/>
  <c r="M997" i="1"/>
  <c r="L997" i="1"/>
  <c r="K997" i="1"/>
  <c r="J997" i="1"/>
  <c r="I997" i="1"/>
  <c r="H997" i="1"/>
  <c r="G997" i="1"/>
  <c r="R996" i="1"/>
  <c r="Q996" i="1"/>
  <c r="P996" i="1"/>
  <c r="O996" i="1"/>
  <c r="N996" i="1"/>
  <c r="M996" i="1"/>
  <c r="L996" i="1"/>
  <c r="K996" i="1"/>
  <c r="J996" i="1"/>
  <c r="I996" i="1"/>
  <c r="H996" i="1"/>
  <c r="G996" i="1"/>
  <c r="R995" i="1"/>
  <c r="Q995" i="1"/>
  <c r="P995" i="1"/>
  <c r="O995" i="1"/>
  <c r="N995" i="1"/>
  <c r="M995" i="1"/>
  <c r="L995" i="1"/>
  <c r="K995" i="1"/>
  <c r="J995" i="1"/>
  <c r="I995" i="1"/>
  <c r="H995" i="1"/>
  <c r="G995" i="1"/>
  <c r="R994" i="1"/>
  <c r="Q994" i="1"/>
  <c r="P994" i="1"/>
  <c r="O994" i="1"/>
  <c r="N994" i="1"/>
  <c r="M994" i="1"/>
  <c r="L994" i="1"/>
  <c r="K994" i="1"/>
  <c r="J994" i="1"/>
  <c r="I994" i="1"/>
  <c r="H994" i="1"/>
  <c r="G994" i="1"/>
  <c r="R993" i="1"/>
  <c r="Q993" i="1"/>
  <c r="P993" i="1"/>
  <c r="O993" i="1"/>
  <c r="N993" i="1"/>
  <c r="M993" i="1"/>
  <c r="L993" i="1"/>
  <c r="K993" i="1"/>
  <c r="J993" i="1"/>
  <c r="I993" i="1"/>
  <c r="H993" i="1"/>
  <c r="G993" i="1"/>
  <c r="R992" i="1"/>
  <c r="Q992" i="1"/>
  <c r="P992" i="1"/>
  <c r="O992" i="1"/>
  <c r="N992" i="1"/>
  <c r="M992" i="1"/>
  <c r="L992" i="1"/>
  <c r="K992" i="1"/>
  <c r="J992" i="1"/>
  <c r="I992" i="1"/>
  <c r="H992" i="1"/>
  <c r="G992" i="1"/>
  <c r="R991" i="1"/>
  <c r="Q991" i="1"/>
  <c r="P991" i="1"/>
  <c r="O991" i="1"/>
  <c r="N991" i="1"/>
  <c r="M991" i="1"/>
  <c r="L991" i="1"/>
  <c r="K991" i="1"/>
  <c r="J991" i="1"/>
  <c r="I991" i="1"/>
  <c r="H991" i="1"/>
  <c r="G991" i="1"/>
  <c r="R990" i="1"/>
  <c r="Q990" i="1"/>
  <c r="P990" i="1"/>
  <c r="O990" i="1"/>
  <c r="N990" i="1"/>
  <c r="M990" i="1"/>
  <c r="L990" i="1"/>
  <c r="K990" i="1"/>
  <c r="J990" i="1"/>
  <c r="I990" i="1"/>
  <c r="H990" i="1"/>
  <c r="G990" i="1"/>
  <c r="R989" i="1"/>
  <c r="Q989" i="1"/>
  <c r="P989" i="1"/>
  <c r="O989" i="1"/>
  <c r="N989" i="1"/>
  <c r="M989" i="1"/>
  <c r="L989" i="1"/>
  <c r="K989" i="1"/>
  <c r="J989" i="1"/>
  <c r="I989" i="1"/>
  <c r="H989" i="1"/>
  <c r="G989" i="1"/>
  <c r="R988" i="1"/>
  <c r="Q988" i="1"/>
  <c r="P988" i="1"/>
  <c r="O988" i="1"/>
  <c r="N988" i="1"/>
  <c r="M988" i="1"/>
  <c r="L988" i="1"/>
  <c r="K988" i="1"/>
  <c r="J988" i="1"/>
  <c r="I988" i="1"/>
  <c r="H988" i="1"/>
  <c r="G988" i="1"/>
  <c r="R987" i="1"/>
  <c r="Q987" i="1"/>
  <c r="P987" i="1"/>
  <c r="O987" i="1"/>
  <c r="N987" i="1"/>
  <c r="M987" i="1"/>
  <c r="L987" i="1"/>
  <c r="K987" i="1"/>
  <c r="J987" i="1"/>
  <c r="I987" i="1"/>
  <c r="H987" i="1"/>
  <c r="G987" i="1"/>
  <c r="R986" i="1"/>
  <c r="Q986" i="1"/>
  <c r="P986" i="1"/>
  <c r="O986" i="1"/>
  <c r="N986" i="1"/>
  <c r="M986" i="1"/>
  <c r="L986" i="1"/>
  <c r="K986" i="1"/>
  <c r="J986" i="1"/>
  <c r="I986" i="1"/>
  <c r="H986" i="1"/>
  <c r="G986" i="1"/>
  <c r="R985" i="1"/>
  <c r="Q985" i="1"/>
  <c r="P985" i="1"/>
  <c r="O985" i="1"/>
  <c r="N985" i="1"/>
  <c r="M985" i="1"/>
  <c r="L985" i="1"/>
  <c r="K985" i="1"/>
  <c r="J985" i="1"/>
  <c r="I985" i="1"/>
  <c r="H985" i="1"/>
  <c r="G985" i="1"/>
  <c r="R984" i="1"/>
  <c r="Q984" i="1"/>
  <c r="P984" i="1"/>
  <c r="O984" i="1"/>
  <c r="N984" i="1"/>
  <c r="M984" i="1"/>
  <c r="L984" i="1"/>
  <c r="K984" i="1"/>
  <c r="J984" i="1"/>
  <c r="I984" i="1"/>
  <c r="H984" i="1"/>
  <c r="G984" i="1"/>
  <c r="R983" i="1"/>
  <c r="Q983" i="1"/>
  <c r="P983" i="1"/>
  <c r="O983" i="1"/>
  <c r="N983" i="1"/>
  <c r="M983" i="1"/>
  <c r="L983" i="1"/>
  <c r="K983" i="1"/>
  <c r="J983" i="1"/>
  <c r="I983" i="1"/>
  <c r="H983" i="1"/>
  <c r="G983" i="1"/>
  <c r="R982" i="1"/>
  <c r="Q982" i="1"/>
  <c r="P982" i="1"/>
  <c r="O982" i="1"/>
  <c r="N982" i="1"/>
  <c r="M982" i="1"/>
  <c r="L982" i="1"/>
  <c r="K982" i="1"/>
  <c r="J982" i="1"/>
  <c r="I982" i="1"/>
  <c r="H982" i="1"/>
  <c r="G982" i="1"/>
  <c r="R981" i="1"/>
  <c r="Q981" i="1"/>
  <c r="P981" i="1"/>
  <c r="O981" i="1"/>
  <c r="N981" i="1"/>
  <c r="M981" i="1"/>
  <c r="L981" i="1"/>
  <c r="K981" i="1"/>
  <c r="J981" i="1"/>
  <c r="I981" i="1"/>
  <c r="H981" i="1"/>
  <c r="G981" i="1"/>
  <c r="R980" i="1"/>
  <c r="Q980" i="1"/>
  <c r="P980" i="1"/>
  <c r="O980" i="1"/>
  <c r="N980" i="1"/>
  <c r="M980" i="1"/>
  <c r="L980" i="1"/>
  <c r="K980" i="1"/>
  <c r="J980" i="1"/>
  <c r="I980" i="1"/>
  <c r="H980" i="1"/>
  <c r="G980" i="1"/>
  <c r="R979" i="1"/>
  <c r="Q979" i="1"/>
  <c r="P979" i="1"/>
  <c r="O979" i="1"/>
  <c r="N979" i="1"/>
  <c r="M979" i="1"/>
  <c r="L979" i="1"/>
  <c r="K979" i="1"/>
  <c r="J979" i="1"/>
  <c r="I979" i="1"/>
  <c r="H979" i="1"/>
  <c r="G979" i="1"/>
  <c r="R978" i="1"/>
  <c r="Q978" i="1"/>
  <c r="P978" i="1"/>
  <c r="O978" i="1"/>
  <c r="N978" i="1"/>
  <c r="M978" i="1"/>
  <c r="L978" i="1"/>
  <c r="K978" i="1"/>
  <c r="J978" i="1"/>
  <c r="I978" i="1"/>
  <c r="H978" i="1"/>
  <c r="G978" i="1"/>
  <c r="R977" i="1"/>
  <c r="Q977" i="1"/>
  <c r="P977" i="1"/>
  <c r="O977" i="1"/>
  <c r="N977" i="1"/>
  <c r="M977" i="1"/>
  <c r="L977" i="1"/>
  <c r="K977" i="1"/>
  <c r="J977" i="1"/>
  <c r="I977" i="1"/>
  <c r="H977" i="1"/>
  <c r="G977" i="1"/>
  <c r="R976" i="1"/>
  <c r="Q976" i="1"/>
  <c r="P976" i="1"/>
  <c r="O976" i="1"/>
  <c r="N976" i="1"/>
  <c r="M976" i="1"/>
  <c r="L976" i="1"/>
  <c r="K976" i="1"/>
  <c r="J976" i="1"/>
  <c r="I976" i="1"/>
  <c r="H976" i="1"/>
  <c r="G976" i="1"/>
  <c r="R975" i="1"/>
  <c r="Q975" i="1"/>
  <c r="P975" i="1"/>
  <c r="O975" i="1"/>
  <c r="N975" i="1"/>
  <c r="M975" i="1"/>
  <c r="L975" i="1"/>
  <c r="K975" i="1"/>
  <c r="J975" i="1"/>
  <c r="I975" i="1"/>
  <c r="H975" i="1"/>
  <c r="G975" i="1"/>
  <c r="R974" i="1"/>
  <c r="Q974" i="1"/>
  <c r="P974" i="1"/>
  <c r="O974" i="1"/>
  <c r="N974" i="1"/>
  <c r="M974" i="1"/>
  <c r="L974" i="1"/>
  <c r="K974" i="1"/>
  <c r="J974" i="1"/>
  <c r="I974" i="1"/>
  <c r="H974" i="1"/>
  <c r="G974" i="1"/>
  <c r="R973" i="1"/>
  <c r="Q973" i="1"/>
  <c r="P973" i="1"/>
  <c r="O973" i="1"/>
  <c r="N973" i="1"/>
  <c r="M973" i="1"/>
  <c r="L973" i="1"/>
  <c r="K973" i="1"/>
  <c r="J973" i="1"/>
  <c r="I973" i="1"/>
  <c r="H973" i="1"/>
  <c r="G973" i="1"/>
  <c r="R972" i="1"/>
  <c r="Q972" i="1"/>
  <c r="P972" i="1"/>
  <c r="O972" i="1"/>
  <c r="N972" i="1"/>
  <c r="M972" i="1"/>
  <c r="L972" i="1"/>
  <c r="K972" i="1"/>
  <c r="J972" i="1"/>
  <c r="I972" i="1"/>
  <c r="H972" i="1"/>
  <c r="G972" i="1"/>
  <c r="R971" i="1"/>
  <c r="Q971" i="1"/>
  <c r="P971" i="1"/>
  <c r="O971" i="1"/>
  <c r="N971" i="1"/>
  <c r="M971" i="1"/>
  <c r="L971" i="1"/>
  <c r="K971" i="1"/>
  <c r="J971" i="1"/>
  <c r="I971" i="1"/>
  <c r="H971" i="1"/>
  <c r="G971" i="1"/>
  <c r="R970" i="1"/>
  <c r="Q970" i="1"/>
  <c r="P970" i="1"/>
  <c r="O970" i="1"/>
  <c r="N970" i="1"/>
  <c r="M970" i="1"/>
  <c r="L970" i="1"/>
  <c r="K970" i="1"/>
  <c r="J970" i="1"/>
  <c r="I970" i="1"/>
  <c r="H970" i="1"/>
  <c r="G970" i="1"/>
  <c r="R969" i="1"/>
  <c r="Q969" i="1"/>
  <c r="P969" i="1"/>
  <c r="O969" i="1"/>
  <c r="N969" i="1"/>
  <c r="M969" i="1"/>
  <c r="L969" i="1"/>
  <c r="K969" i="1"/>
  <c r="J969" i="1"/>
  <c r="I969" i="1"/>
  <c r="H969" i="1"/>
  <c r="G969" i="1"/>
  <c r="R968" i="1"/>
  <c r="Q968" i="1"/>
  <c r="P968" i="1"/>
  <c r="O968" i="1"/>
  <c r="N968" i="1"/>
  <c r="M968" i="1"/>
  <c r="L968" i="1"/>
  <c r="K968" i="1"/>
  <c r="J968" i="1"/>
  <c r="I968" i="1"/>
  <c r="H968" i="1"/>
  <c r="G968" i="1"/>
  <c r="R967" i="1"/>
  <c r="Q967" i="1"/>
  <c r="P967" i="1"/>
  <c r="O967" i="1"/>
  <c r="N967" i="1"/>
  <c r="M967" i="1"/>
  <c r="L967" i="1"/>
  <c r="K967" i="1"/>
  <c r="J967" i="1"/>
  <c r="I967" i="1"/>
  <c r="H967" i="1"/>
  <c r="G967" i="1"/>
  <c r="R966" i="1"/>
  <c r="Q966" i="1"/>
  <c r="P966" i="1"/>
  <c r="O966" i="1"/>
  <c r="N966" i="1"/>
  <c r="M966" i="1"/>
  <c r="L966" i="1"/>
  <c r="K966" i="1"/>
  <c r="J966" i="1"/>
  <c r="I966" i="1"/>
  <c r="H966" i="1"/>
  <c r="G966" i="1"/>
  <c r="R965" i="1"/>
  <c r="Q965" i="1"/>
  <c r="P965" i="1"/>
  <c r="O965" i="1"/>
  <c r="N965" i="1"/>
  <c r="M965" i="1"/>
  <c r="L965" i="1"/>
  <c r="K965" i="1"/>
  <c r="J965" i="1"/>
  <c r="I965" i="1"/>
  <c r="H965" i="1"/>
  <c r="G965" i="1"/>
  <c r="R964" i="1"/>
  <c r="Q964" i="1"/>
  <c r="P964" i="1"/>
  <c r="O964" i="1"/>
  <c r="N964" i="1"/>
  <c r="M964" i="1"/>
  <c r="L964" i="1"/>
  <c r="K964" i="1"/>
  <c r="J964" i="1"/>
  <c r="I964" i="1"/>
  <c r="H964" i="1"/>
  <c r="G964" i="1"/>
  <c r="R963" i="1"/>
  <c r="Q963" i="1"/>
  <c r="P963" i="1"/>
  <c r="O963" i="1"/>
  <c r="N963" i="1"/>
  <c r="M963" i="1"/>
  <c r="L963" i="1"/>
  <c r="K963" i="1"/>
  <c r="J963" i="1"/>
  <c r="I963" i="1"/>
  <c r="H963" i="1"/>
  <c r="G963" i="1"/>
  <c r="R962" i="1"/>
  <c r="Q962" i="1"/>
  <c r="P962" i="1"/>
  <c r="O962" i="1"/>
  <c r="N962" i="1"/>
  <c r="M962" i="1"/>
  <c r="L962" i="1"/>
  <c r="K962" i="1"/>
  <c r="J962" i="1"/>
  <c r="I962" i="1"/>
  <c r="H962" i="1"/>
  <c r="G962" i="1"/>
  <c r="R961" i="1"/>
  <c r="Q961" i="1"/>
  <c r="P961" i="1"/>
  <c r="O961" i="1"/>
  <c r="N961" i="1"/>
  <c r="M961" i="1"/>
  <c r="L961" i="1"/>
  <c r="K961" i="1"/>
  <c r="J961" i="1"/>
  <c r="I961" i="1"/>
  <c r="H961" i="1"/>
  <c r="G961" i="1"/>
  <c r="R960" i="1"/>
  <c r="Q960" i="1"/>
  <c r="P960" i="1"/>
  <c r="O960" i="1"/>
  <c r="N960" i="1"/>
  <c r="M960" i="1"/>
  <c r="L960" i="1"/>
  <c r="K960" i="1"/>
  <c r="J960" i="1"/>
  <c r="I960" i="1"/>
  <c r="H960" i="1"/>
  <c r="G960" i="1"/>
  <c r="R959" i="1"/>
  <c r="Q959" i="1"/>
  <c r="P959" i="1"/>
  <c r="O959" i="1"/>
  <c r="N959" i="1"/>
  <c r="M959" i="1"/>
  <c r="L959" i="1"/>
  <c r="K959" i="1"/>
  <c r="J959" i="1"/>
  <c r="I959" i="1"/>
  <c r="H959" i="1"/>
  <c r="G959" i="1"/>
  <c r="R958" i="1"/>
  <c r="Q958" i="1"/>
  <c r="P958" i="1"/>
  <c r="O958" i="1"/>
  <c r="N958" i="1"/>
  <c r="M958" i="1"/>
  <c r="L958" i="1"/>
  <c r="K958" i="1"/>
  <c r="J958" i="1"/>
  <c r="I958" i="1"/>
  <c r="H958" i="1"/>
  <c r="G958" i="1"/>
  <c r="R957" i="1"/>
  <c r="Q957" i="1"/>
  <c r="P957" i="1"/>
  <c r="O957" i="1"/>
  <c r="N957" i="1"/>
  <c r="M957" i="1"/>
  <c r="L957" i="1"/>
  <c r="K957" i="1"/>
  <c r="J957" i="1"/>
  <c r="I957" i="1"/>
  <c r="H957" i="1"/>
  <c r="G957" i="1"/>
  <c r="R956" i="1"/>
  <c r="Q956" i="1"/>
  <c r="P956" i="1"/>
  <c r="O956" i="1"/>
  <c r="N956" i="1"/>
  <c r="M956" i="1"/>
  <c r="L956" i="1"/>
  <c r="K956" i="1"/>
  <c r="J956" i="1"/>
  <c r="I956" i="1"/>
  <c r="H956" i="1"/>
  <c r="G956" i="1"/>
  <c r="R955" i="1"/>
  <c r="Q955" i="1"/>
  <c r="P955" i="1"/>
  <c r="O955" i="1"/>
  <c r="N955" i="1"/>
  <c r="M955" i="1"/>
  <c r="L955" i="1"/>
  <c r="K955" i="1"/>
  <c r="J955" i="1"/>
  <c r="I955" i="1"/>
  <c r="H955" i="1"/>
  <c r="G955" i="1"/>
  <c r="R954" i="1"/>
  <c r="Q954" i="1"/>
  <c r="P954" i="1"/>
  <c r="O954" i="1"/>
  <c r="N954" i="1"/>
  <c r="M954" i="1"/>
  <c r="L954" i="1"/>
  <c r="K954" i="1"/>
  <c r="J954" i="1"/>
  <c r="I954" i="1"/>
  <c r="H954" i="1"/>
  <c r="G954" i="1"/>
  <c r="R953" i="1"/>
  <c r="Q953" i="1"/>
  <c r="P953" i="1"/>
  <c r="O953" i="1"/>
  <c r="N953" i="1"/>
  <c r="M953" i="1"/>
  <c r="L953" i="1"/>
  <c r="K953" i="1"/>
  <c r="J953" i="1"/>
  <c r="I953" i="1"/>
  <c r="H953" i="1"/>
  <c r="G953" i="1"/>
  <c r="R952" i="1"/>
  <c r="Q952" i="1"/>
  <c r="P952" i="1"/>
  <c r="O952" i="1"/>
  <c r="N952" i="1"/>
  <c r="M952" i="1"/>
  <c r="L952" i="1"/>
  <c r="K952" i="1"/>
  <c r="J952" i="1"/>
  <c r="I952" i="1"/>
  <c r="H952" i="1"/>
  <c r="G952" i="1"/>
  <c r="R951" i="1"/>
  <c r="Q951" i="1"/>
  <c r="P951" i="1"/>
  <c r="O951" i="1"/>
  <c r="N951" i="1"/>
  <c r="M951" i="1"/>
  <c r="L951" i="1"/>
  <c r="K951" i="1"/>
  <c r="J951" i="1"/>
  <c r="I951" i="1"/>
  <c r="H951" i="1"/>
  <c r="G951" i="1"/>
  <c r="R950" i="1"/>
  <c r="Q950" i="1"/>
  <c r="P950" i="1"/>
  <c r="O950" i="1"/>
  <c r="N950" i="1"/>
  <c r="M950" i="1"/>
  <c r="L950" i="1"/>
  <c r="K950" i="1"/>
  <c r="J950" i="1"/>
  <c r="I950" i="1"/>
  <c r="H950" i="1"/>
  <c r="G950" i="1"/>
  <c r="R949" i="1"/>
  <c r="Q949" i="1"/>
  <c r="P949" i="1"/>
  <c r="O949" i="1"/>
  <c r="N949" i="1"/>
  <c r="M949" i="1"/>
  <c r="L949" i="1"/>
  <c r="K949" i="1"/>
  <c r="J949" i="1"/>
  <c r="I949" i="1"/>
  <c r="H949" i="1"/>
  <c r="G949" i="1"/>
  <c r="R948" i="1"/>
  <c r="Q948" i="1"/>
  <c r="P948" i="1"/>
  <c r="O948" i="1"/>
  <c r="N948" i="1"/>
  <c r="M948" i="1"/>
  <c r="L948" i="1"/>
  <c r="K948" i="1"/>
  <c r="J948" i="1"/>
  <c r="I948" i="1"/>
  <c r="H948" i="1"/>
  <c r="G948" i="1"/>
  <c r="R947" i="1"/>
  <c r="Q947" i="1"/>
  <c r="P947" i="1"/>
  <c r="O947" i="1"/>
  <c r="N947" i="1"/>
  <c r="M947" i="1"/>
  <c r="L947" i="1"/>
  <c r="K947" i="1"/>
  <c r="J947" i="1"/>
  <c r="I947" i="1"/>
  <c r="H947" i="1"/>
  <c r="G947" i="1"/>
  <c r="R946" i="1"/>
  <c r="Q946" i="1"/>
  <c r="P946" i="1"/>
  <c r="O946" i="1"/>
  <c r="N946" i="1"/>
  <c r="M946" i="1"/>
  <c r="L946" i="1"/>
  <c r="K946" i="1"/>
  <c r="J946" i="1"/>
  <c r="I946" i="1"/>
  <c r="H946" i="1"/>
  <c r="G946" i="1"/>
  <c r="R945" i="1"/>
  <c r="Q945" i="1"/>
  <c r="P945" i="1"/>
  <c r="O945" i="1"/>
  <c r="N945" i="1"/>
  <c r="M945" i="1"/>
  <c r="L945" i="1"/>
  <c r="K945" i="1"/>
  <c r="J945" i="1"/>
  <c r="I945" i="1"/>
  <c r="H945" i="1"/>
  <c r="G945" i="1"/>
  <c r="R944" i="1"/>
  <c r="Q944" i="1"/>
  <c r="P944" i="1"/>
  <c r="O944" i="1"/>
  <c r="N944" i="1"/>
  <c r="M944" i="1"/>
  <c r="L944" i="1"/>
  <c r="K944" i="1"/>
  <c r="J944" i="1"/>
  <c r="I944" i="1"/>
  <c r="H944" i="1"/>
  <c r="G944" i="1"/>
  <c r="R943" i="1"/>
  <c r="Q943" i="1"/>
  <c r="P943" i="1"/>
  <c r="O943" i="1"/>
  <c r="N943" i="1"/>
  <c r="M943" i="1"/>
  <c r="L943" i="1"/>
  <c r="K943" i="1"/>
  <c r="J943" i="1"/>
  <c r="I943" i="1"/>
  <c r="H943" i="1"/>
  <c r="G943" i="1"/>
  <c r="R942" i="1"/>
  <c r="Q942" i="1"/>
  <c r="P942" i="1"/>
  <c r="O942" i="1"/>
  <c r="N942" i="1"/>
  <c r="M942" i="1"/>
  <c r="L942" i="1"/>
  <c r="K942" i="1"/>
  <c r="J942" i="1"/>
  <c r="I942" i="1"/>
  <c r="H942" i="1"/>
  <c r="G942" i="1"/>
  <c r="R941" i="1"/>
  <c r="Q941" i="1"/>
  <c r="P941" i="1"/>
  <c r="O941" i="1"/>
  <c r="N941" i="1"/>
  <c r="M941" i="1"/>
  <c r="L941" i="1"/>
  <c r="K941" i="1"/>
  <c r="J941" i="1"/>
  <c r="I941" i="1"/>
  <c r="H941" i="1"/>
  <c r="G941" i="1"/>
  <c r="R940" i="1"/>
  <c r="Q940" i="1"/>
  <c r="P940" i="1"/>
  <c r="O940" i="1"/>
  <c r="N940" i="1"/>
  <c r="M940" i="1"/>
  <c r="L940" i="1"/>
  <c r="K940" i="1"/>
  <c r="J940" i="1"/>
  <c r="I940" i="1"/>
  <c r="H940" i="1"/>
  <c r="G940" i="1"/>
  <c r="R939" i="1"/>
  <c r="Q939" i="1"/>
  <c r="P939" i="1"/>
  <c r="O939" i="1"/>
  <c r="N939" i="1"/>
  <c r="M939" i="1"/>
  <c r="L939" i="1"/>
  <c r="K939" i="1"/>
  <c r="J939" i="1"/>
  <c r="I939" i="1"/>
  <c r="H939" i="1"/>
  <c r="G939" i="1"/>
  <c r="R938" i="1"/>
  <c r="Q938" i="1"/>
  <c r="P938" i="1"/>
  <c r="O938" i="1"/>
  <c r="N938" i="1"/>
  <c r="M938" i="1"/>
  <c r="L938" i="1"/>
  <c r="K938" i="1"/>
  <c r="J938" i="1"/>
  <c r="I938" i="1"/>
  <c r="H938" i="1"/>
  <c r="G938" i="1"/>
  <c r="R937" i="1"/>
  <c r="Q937" i="1"/>
  <c r="P937" i="1"/>
  <c r="O937" i="1"/>
  <c r="N937" i="1"/>
  <c r="M937" i="1"/>
  <c r="L937" i="1"/>
  <c r="K937" i="1"/>
  <c r="J937" i="1"/>
  <c r="I937" i="1"/>
  <c r="H937" i="1"/>
  <c r="G937" i="1"/>
  <c r="R936" i="1"/>
  <c r="Q936" i="1"/>
  <c r="P936" i="1"/>
  <c r="O936" i="1"/>
  <c r="N936" i="1"/>
  <c r="M936" i="1"/>
  <c r="L936" i="1"/>
  <c r="K936" i="1"/>
  <c r="J936" i="1"/>
  <c r="I936" i="1"/>
  <c r="H936" i="1"/>
  <c r="G936" i="1"/>
  <c r="R935" i="1"/>
  <c r="Q935" i="1"/>
  <c r="P935" i="1"/>
  <c r="O935" i="1"/>
  <c r="N935" i="1"/>
  <c r="M935" i="1"/>
  <c r="L935" i="1"/>
  <c r="K935" i="1"/>
  <c r="J935" i="1"/>
  <c r="I935" i="1"/>
  <c r="H935" i="1"/>
  <c r="G935" i="1"/>
  <c r="R934" i="1"/>
  <c r="Q934" i="1"/>
  <c r="P934" i="1"/>
  <c r="O934" i="1"/>
  <c r="N934" i="1"/>
  <c r="M934" i="1"/>
  <c r="L934" i="1"/>
  <c r="K934" i="1"/>
  <c r="J934" i="1"/>
  <c r="I934" i="1"/>
  <c r="H934" i="1"/>
  <c r="G934" i="1"/>
  <c r="R933" i="1"/>
  <c r="Q933" i="1"/>
  <c r="P933" i="1"/>
  <c r="O933" i="1"/>
  <c r="N933" i="1"/>
  <c r="M933" i="1"/>
  <c r="L933" i="1"/>
  <c r="K933" i="1"/>
  <c r="J933" i="1"/>
  <c r="I933" i="1"/>
  <c r="H933" i="1"/>
  <c r="G933" i="1"/>
  <c r="R932" i="1"/>
  <c r="Q932" i="1"/>
  <c r="P932" i="1"/>
  <c r="O932" i="1"/>
  <c r="N932" i="1"/>
  <c r="M932" i="1"/>
  <c r="L932" i="1"/>
  <c r="K932" i="1"/>
  <c r="J932" i="1"/>
  <c r="I932" i="1"/>
  <c r="H932" i="1"/>
  <c r="G932" i="1"/>
  <c r="R931" i="1"/>
  <c r="Q931" i="1"/>
  <c r="P931" i="1"/>
  <c r="O931" i="1"/>
  <c r="N931" i="1"/>
  <c r="M931" i="1"/>
  <c r="L931" i="1"/>
  <c r="K931" i="1"/>
  <c r="J931" i="1"/>
  <c r="I931" i="1"/>
  <c r="H931" i="1"/>
  <c r="G931" i="1"/>
  <c r="R930" i="1"/>
  <c r="Q930" i="1"/>
  <c r="P930" i="1"/>
  <c r="O930" i="1"/>
  <c r="N930" i="1"/>
  <c r="M930" i="1"/>
  <c r="L930" i="1"/>
  <c r="K930" i="1"/>
  <c r="J930" i="1"/>
  <c r="I930" i="1"/>
  <c r="H930" i="1"/>
  <c r="G930" i="1"/>
  <c r="R929" i="1"/>
  <c r="Q929" i="1"/>
  <c r="P929" i="1"/>
  <c r="O929" i="1"/>
  <c r="N929" i="1"/>
  <c r="M929" i="1"/>
  <c r="L929" i="1"/>
  <c r="K929" i="1"/>
  <c r="J929" i="1"/>
  <c r="I929" i="1"/>
  <c r="H929" i="1"/>
  <c r="G929" i="1"/>
  <c r="R928" i="1"/>
  <c r="Q928" i="1"/>
  <c r="P928" i="1"/>
  <c r="O928" i="1"/>
  <c r="N928" i="1"/>
  <c r="M928" i="1"/>
  <c r="L928" i="1"/>
  <c r="K928" i="1"/>
  <c r="J928" i="1"/>
  <c r="I928" i="1"/>
  <c r="H928" i="1"/>
  <c r="G928" i="1"/>
  <c r="R927" i="1"/>
  <c r="Q927" i="1"/>
  <c r="P927" i="1"/>
  <c r="O927" i="1"/>
  <c r="N927" i="1"/>
  <c r="M927" i="1"/>
  <c r="L927" i="1"/>
  <c r="K927" i="1"/>
  <c r="J927" i="1"/>
  <c r="I927" i="1"/>
  <c r="H927" i="1"/>
  <c r="G927" i="1"/>
  <c r="R926" i="1"/>
  <c r="Q926" i="1"/>
  <c r="P926" i="1"/>
  <c r="O926" i="1"/>
  <c r="N926" i="1"/>
  <c r="M926" i="1"/>
  <c r="L926" i="1"/>
  <c r="K926" i="1"/>
  <c r="J926" i="1"/>
  <c r="I926" i="1"/>
  <c r="H926" i="1"/>
  <c r="G926" i="1"/>
  <c r="R925" i="1"/>
  <c r="Q925" i="1"/>
  <c r="P925" i="1"/>
  <c r="O925" i="1"/>
  <c r="N925" i="1"/>
  <c r="M925" i="1"/>
  <c r="L925" i="1"/>
  <c r="K925" i="1"/>
  <c r="J925" i="1"/>
  <c r="I925" i="1"/>
  <c r="H925" i="1"/>
  <c r="G925" i="1"/>
  <c r="R924" i="1"/>
  <c r="Q924" i="1"/>
  <c r="P924" i="1"/>
  <c r="O924" i="1"/>
  <c r="N924" i="1"/>
  <c r="M924" i="1"/>
  <c r="L924" i="1"/>
  <c r="K924" i="1"/>
  <c r="J924" i="1"/>
  <c r="I924" i="1"/>
  <c r="H924" i="1"/>
  <c r="G924" i="1"/>
  <c r="R923" i="1"/>
  <c r="Q923" i="1"/>
  <c r="P923" i="1"/>
  <c r="O923" i="1"/>
  <c r="N923" i="1"/>
  <c r="M923" i="1"/>
  <c r="L923" i="1"/>
  <c r="K923" i="1"/>
  <c r="J923" i="1"/>
  <c r="I923" i="1"/>
  <c r="H923" i="1"/>
  <c r="G923" i="1"/>
  <c r="R922" i="1"/>
  <c r="Q922" i="1"/>
  <c r="P922" i="1"/>
  <c r="O922" i="1"/>
  <c r="N922" i="1"/>
  <c r="M922" i="1"/>
  <c r="L922" i="1"/>
  <c r="K922" i="1"/>
  <c r="J922" i="1"/>
  <c r="I922" i="1"/>
  <c r="H922" i="1"/>
  <c r="G922" i="1"/>
  <c r="R921" i="1"/>
  <c r="Q921" i="1"/>
  <c r="P921" i="1"/>
  <c r="O921" i="1"/>
  <c r="N921" i="1"/>
  <c r="M921" i="1"/>
  <c r="L921" i="1"/>
  <c r="K921" i="1"/>
  <c r="J921" i="1"/>
  <c r="I921" i="1"/>
  <c r="H921" i="1"/>
  <c r="G921" i="1"/>
  <c r="R920" i="1"/>
  <c r="Q920" i="1"/>
  <c r="P920" i="1"/>
  <c r="O920" i="1"/>
  <c r="N920" i="1"/>
  <c r="M920" i="1"/>
  <c r="L920" i="1"/>
  <c r="K920" i="1"/>
  <c r="J920" i="1"/>
  <c r="I920" i="1"/>
  <c r="H920" i="1"/>
  <c r="G920" i="1"/>
  <c r="R919" i="1"/>
  <c r="Q919" i="1"/>
  <c r="P919" i="1"/>
  <c r="O919" i="1"/>
  <c r="N919" i="1"/>
  <c r="M919" i="1"/>
  <c r="L919" i="1"/>
  <c r="K919" i="1"/>
  <c r="J919" i="1"/>
  <c r="I919" i="1"/>
  <c r="H919" i="1"/>
  <c r="G919" i="1"/>
  <c r="R918" i="1"/>
  <c r="Q918" i="1"/>
  <c r="P918" i="1"/>
  <c r="O918" i="1"/>
  <c r="N918" i="1"/>
  <c r="M918" i="1"/>
  <c r="L918" i="1"/>
  <c r="K918" i="1"/>
  <c r="J918" i="1"/>
  <c r="I918" i="1"/>
  <c r="H918" i="1"/>
  <c r="G918" i="1"/>
  <c r="R917" i="1"/>
  <c r="Q917" i="1"/>
  <c r="P917" i="1"/>
  <c r="O917" i="1"/>
  <c r="N917" i="1"/>
  <c r="M917" i="1"/>
  <c r="L917" i="1"/>
  <c r="K917" i="1"/>
  <c r="J917" i="1"/>
  <c r="I917" i="1"/>
  <c r="H917" i="1"/>
  <c r="G917" i="1"/>
  <c r="R916" i="1"/>
  <c r="Q916" i="1"/>
  <c r="P916" i="1"/>
  <c r="O916" i="1"/>
  <c r="N916" i="1"/>
  <c r="M916" i="1"/>
  <c r="L916" i="1"/>
  <c r="K916" i="1"/>
  <c r="J916" i="1"/>
  <c r="I916" i="1"/>
  <c r="H916" i="1"/>
  <c r="G916" i="1"/>
  <c r="R915" i="1"/>
  <c r="Q915" i="1"/>
  <c r="P915" i="1"/>
  <c r="O915" i="1"/>
  <c r="N915" i="1"/>
  <c r="M915" i="1"/>
  <c r="L915" i="1"/>
  <c r="K915" i="1"/>
  <c r="J915" i="1"/>
  <c r="I915" i="1"/>
  <c r="H915" i="1"/>
  <c r="G915" i="1"/>
  <c r="R914" i="1"/>
  <c r="Q914" i="1"/>
  <c r="P914" i="1"/>
  <c r="O914" i="1"/>
  <c r="N914" i="1"/>
  <c r="M914" i="1"/>
  <c r="L914" i="1"/>
  <c r="K914" i="1"/>
  <c r="J914" i="1"/>
  <c r="I914" i="1"/>
  <c r="H914" i="1"/>
  <c r="G914" i="1"/>
  <c r="R913" i="1"/>
  <c r="Q913" i="1"/>
  <c r="P913" i="1"/>
  <c r="O913" i="1"/>
  <c r="N913" i="1"/>
  <c r="M913" i="1"/>
  <c r="L913" i="1"/>
  <c r="K913" i="1"/>
  <c r="J913" i="1"/>
  <c r="I913" i="1"/>
  <c r="H913" i="1"/>
  <c r="G913" i="1"/>
  <c r="R912" i="1"/>
  <c r="Q912" i="1"/>
  <c r="P912" i="1"/>
  <c r="O912" i="1"/>
  <c r="N912" i="1"/>
  <c r="M912" i="1"/>
  <c r="L912" i="1"/>
  <c r="K912" i="1"/>
  <c r="J912" i="1"/>
  <c r="I912" i="1"/>
  <c r="H912" i="1"/>
  <c r="G912" i="1"/>
  <c r="R911" i="1"/>
  <c r="Q911" i="1"/>
  <c r="P911" i="1"/>
  <c r="O911" i="1"/>
  <c r="N911" i="1"/>
  <c r="M911" i="1"/>
  <c r="L911" i="1"/>
  <c r="K911" i="1"/>
  <c r="J911" i="1"/>
  <c r="I911" i="1"/>
  <c r="H911" i="1"/>
  <c r="G911" i="1"/>
  <c r="R910" i="1"/>
  <c r="Q910" i="1"/>
  <c r="P910" i="1"/>
  <c r="O910" i="1"/>
  <c r="N910" i="1"/>
  <c r="M910" i="1"/>
  <c r="L910" i="1"/>
  <c r="K910" i="1"/>
  <c r="J910" i="1"/>
  <c r="I910" i="1"/>
  <c r="H910" i="1"/>
  <c r="G910" i="1"/>
  <c r="R909" i="1"/>
  <c r="Q909" i="1"/>
  <c r="P909" i="1"/>
  <c r="O909" i="1"/>
  <c r="N909" i="1"/>
  <c r="M909" i="1"/>
  <c r="L909" i="1"/>
  <c r="K909" i="1"/>
  <c r="J909" i="1"/>
  <c r="I909" i="1"/>
  <c r="H909" i="1"/>
  <c r="G909" i="1"/>
  <c r="R908" i="1"/>
  <c r="Q908" i="1"/>
  <c r="P908" i="1"/>
  <c r="O908" i="1"/>
  <c r="N908" i="1"/>
  <c r="M908" i="1"/>
  <c r="L908" i="1"/>
  <c r="K908" i="1"/>
  <c r="J908" i="1"/>
  <c r="I908" i="1"/>
  <c r="H908" i="1"/>
  <c r="G908" i="1"/>
  <c r="R907" i="1"/>
  <c r="Q907" i="1"/>
  <c r="P907" i="1"/>
  <c r="O907" i="1"/>
  <c r="N907" i="1"/>
  <c r="M907" i="1"/>
  <c r="L907" i="1"/>
  <c r="K907" i="1"/>
  <c r="J907" i="1"/>
  <c r="I907" i="1"/>
  <c r="H907" i="1"/>
  <c r="G907" i="1"/>
  <c r="R906" i="1"/>
  <c r="Q906" i="1"/>
  <c r="P906" i="1"/>
  <c r="O906" i="1"/>
  <c r="N906" i="1"/>
  <c r="M906" i="1"/>
  <c r="L906" i="1"/>
  <c r="K906" i="1"/>
  <c r="J906" i="1"/>
  <c r="I906" i="1"/>
  <c r="H906" i="1"/>
  <c r="G906" i="1"/>
  <c r="R905" i="1"/>
  <c r="Q905" i="1"/>
  <c r="P905" i="1"/>
  <c r="O905" i="1"/>
  <c r="N905" i="1"/>
  <c r="M905" i="1"/>
  <c r="L905" i="1"/>
  <c r="K905" i="1"/>
  <c r="J905" i="1"/>
  <c r="I905" i="1"/>
  <c r="H905" i="1"/>
  <c r="G905" i="1"/>
  <c r="R904" i="1"/>
  <c r="Q904" i="1"/>
  <c r="P904" i="1"/>
  <c r="O904" i="1"/>
  <c r="N904" i="1"/>
  <c r="M904" i="1"/>
  <c r="L904" i="1"/>
  <c r="K904" i="1"/>
  <c r="J904" i="1"/>
  <c r="I904" i="1"/>
  <c r="H904" i="1"/>
  <c r="G904" i="1"/>
  <c r="R903" i="1"/>
  <c r="Q903" i="1"/>
  <c r="P903" i="1"/>
  <c r="O903" i="1"/>
  <c r="N903" i="1"/>
  <c r="M903" i="1"/>
  <c r="L903" i="1"/>
  <c r="K903" i="1"/>
  <c r="J903" i="1"/>
  <c r="I903" i="1"/>
  <c r="H903" i="1"/>
  <c r="G903" i="1"/>
  <c r="R902" i="1"/>
  <c r="Q902" i="1"/>
  <c r="P902" i="1"/>
  <c r="O902" i="1"/>
  <c r="N902" i="1"/>
  <c r="M902" i="1"/>
  <c r="L902" i="1"/>
  <c r="K902" i="1"/>
  <c r="J902" i="1"/>
  <c r="I902" i="1"/>
  <c r="H902" i="1"/>
  <c r="G902" i="1"/>
  <c r="R901" i="1"/>
  <c r="Q901" i="1"/>
  <c r="P901" i="1"/>
  <c r="O901" i="1"/>
  <c r="N901" i="1"/>
  <c r="M901" i="1"/>
  <c r="L901" i="1"/>
  <c r="K901" i="1"/>
  <c r="J901" i="1"/>
  <c r="I901" i="1"/>
  <c r="H901" i="1"/>
  <c r="G901" i="1"/>
  <c r="R900" i="1"/>
  <c r="Q900" i="1"/>
  <c r="P900" i="1"/>
  <c r="O900" i="1"/>
  <c r="N900" i="1"/>
  <c r="M900" i="1"/>
  <c r="L900" i="1"/>
  <c r="K900" i="1"/>
  <c r="J900" i="1"/>
  <c r="I900" i="1"/>
  <c r="H900" i="1"/>
  <c r="G900" i="1"/>
  <c r="R899" i="1"/>
  <c r="Q899" i="1"/>
  <c r="P899" i="1"/>
  <c r="O899" i="1"/>
  <c r="N899" i="1"/>
  <c r="M899" i="1"/>
  <c r="L899" i="1"/>
  <c r="K899" i="1"/>
  <c r="J899" i="1"/>
  <c r="I899" i="1"/>
  <c r="H899" i="1"/>
  <c r="G899" i="1"/>
  <c r="R898" i="1"/>
  <c r="Q898" i="1"/>
  <c r="P898" i="1"/>
  <c r="O898" i="1"/>
  <c r="N898" i="1"/>
  <c r="M898" i="1"/>
  <c r="L898" i="1"/>
  <c r="K898" i="1"/>
  <c r="J898" i="1"/>
  <c r="I898" i="1"/>
  <c r="H898" i="1"/>
  <c r="G898" i="1"/>
  <c r="R897" i="1"/>
  <c r="Q897" i="1"/>
  <c r="P897" i="1"/>
  <c r="O897" i="1"/>
  <c r="N897" i="1"/>
  <c r="M897" i="1"/>
  <c r="L897" i="1"/>
  <c r="K897" i="1"/>
  <c r="J897" i="1"/>
  <c r="I897" i="1"/>
  <c r="H897" i="1"/>
  <c r="G897" i="1"/>
  <c r="R896" i="1"/>
  <c r="Q896" i="1"/>
  <c r="P896" i="1"/>
  <c r="O896" i="1"/>
  <c r="N896" i="1"/>
  <c r="M896" i="1"/>
  <c r="L896" i="1"/>
  <c r="K896" i="1"/>
  <c r="J896" i="1"/>
  <c r="I896" i="1"/>
  <c r="H896" i="1"/>
  <c r="G896" i="1"/>
  <c r="R895" i="1"/>
  <c r="Q895" i="1"/>
  <c r="P895" i="1"/>
  <c r="O895" i="1"/>
  <c r="N895" i="1"/>
  <c r="M895" i="1"/>
  <c r="L895" i="1"/>
  <c r="K895" i="1"/>
  <c r="J895" i="1"/>
  <c r="I895" i="1"/>
  <c r="H895" i="1"/>
  <c r="G895" i="1"/>
  <c r="R894" i="1"/>
  <c r="Q894" i="1"/>
  <c r="P894" i="1"/>
  <c r="O894" i="1"/>
  <c r="N894" i="1"/>
  <c r="M894" i="1"/>
  <c r="L894" i="1"/>
  <c r="K894" i="1"/>
  <c r="J894" i="1"/>
  <c r="I894" i="1"/>
  <c r="H894" i="1"/>
  <c r="G894" i="1"/>
  <c r="R893" i="1"/>
  <c r="Q893" i="1"/>
  <c r="P893" i="1"/>
  <c r="O893" i="1"/>
  <c r="N893" i="1"/>
  <c r="M893" i="1"/>
  <c r="L893" i="1"/>
  <c r="K893" i="1"/>
  <c r="J893" i="1"/>
  <c r="I893" i="1"/>
  <c r="H893" i="1"/>
  <c r="G893" i="1"/>
  <c r="R892" i="1"/>
  <c r="Q892" i="1"/>
  <c r="P892" i="1"/>
  <c r="O892" i="1"/>
  <c r="N892" i="1"/>
  <c r="M892" i="1"/>
  <c r="L892" i="1"/>
  <c r="K892" i="1"/>
  <c r="J892" i="1"/>
  <c r="I892" i="1"/>
  <c r="H892" i="1"/>
  <c r="G892" i="1"/>
  <c r="R891" i="1"/>
  <c r="Q891" i="1"/>
  <c r="P891" i="1"/>
  <c r="O891" i="1"/>
  <c r="N891" i="1"/>
  <c r="M891" i="1"/>
  <c r="L891" i="1"/>
  <c r="K891" i="1"/>
  <c r="J891" i="1"/>
  <c r="I891" i="1"/>
  <c r="H891" i="1"/>
  <c r="G891" i="1"/>
  <c r="R890" i="1"/>
  <c r="Q890" i="1"/>
  <c r="P890" i="1"/>
  <c r="O890" i="1"/>
  <c r="N890" i="1"/>
  <c r="M890" i="1"/>
  <c r="L890" i="1"/>
  <c r="K890" i="1"/>
  <c r="J890" i="1"/>
  <c r="I890" i="1"/>
  <c r="H890" i="1"/>
  <c r="G890" i="1"/>
  <c r="R889" i="1"/>
  <c r="Q889" i="1"/>
  <c r="P889" i="1"/>
  <c r="O889" i="1"/>
  <c r="N889" i="1"/>
  <c r="M889" i="1"/>
  <c r="L889" i="1"/>
  <c r="K889" i="1"/>
  <c r="J889" i="1"/>
  <c r="I889" i="1"/>
  <c r="H889" i="1"/>
  <c r="G889" i="1"/>
  <c r="R888" i="1"/>
  <c r="Q888" i="1"/>
  <c r="P888" i="1"/>
  <c r="O888" i="1"/>
  <c r="N888" i="1"/>
  <c r="M888" i="1"/>
  <c r="L888" i="1"/>
  <c r="K888" i="1"/>
  <c r="J888" i="1"/>
  <c r="I888" i="1"/>
  <c r="H888" i="1"/>
  <c r="G888" i="1"/>
  <c r="R887" i="1"/>
  <c r="Q887" i="1"/>
  <c r="P887" i="1"/>
  <c r="O887" i="1"/>
  <c r="N887" i="1"/>
  <c r="M887" i="1"/>
  <c r="L887" i="1"/>
  <c r="K887" i="1"/>
  <c r="J887" i="1"/>
  <c r="I887" i="1"/>
  <c r="H887" i="1"/>
  <c r="G887" i="1"/>
  <c r="R886" i="1"/>
  <c r="Q886" i="1"/>
  <c r="P886" i="1"/>
  <c r="O886" i="1"/>
  <c r="N886" i="1"/>
  <c r="M886" i="1"/>
  <c r="L886" i="1"/>
  <c r="K886" i="1"/>
  <c r="J886" i="1"/>
  <c r="I886" i="1"/>
  <c r="H886" i="1"/>
  <c r="G886" i="1"/>
  <c r="R885" i="1"/>
  <c r="Q885" i="1"/>
  <c r="P885" i="1"/>
  <c r="O885" i="1"/>
  <c r="N885" i="1"/>
  <c r="M885" i="1"/>
  <c r="L885" i="1"/>
  <c r="K885" i="1"/>
  <c r="J885" i="1"/>
  <c r="I885" i="1"/>
  <c r="H885" i="1"/>
  <c r="G885" i="1"/>
  <c r="R884" i="1"/>
  <c r="Q884" i="1"/>
  <c r="P884" i="1"/>
  <c r="O884" i="1"/>
  <c r="N884" i="1"/>
  <c r="M884" i="1"/>
  <c r="L884" i="1"/>
  <c r="K884" i="1"/>
  <c r="J884" i="1"/>
  <c r="I884" i="1"/>
  <c r="H884" i="1"/>
  <c r="G884" i="1"/>
  <c r="R883" i="1"/>
  <c r="Q883" i="1"/>
  <c r="P883" i="1"/>
  <c r="O883" i="1"/>
  <c r="N883" i="1"/>
  <c r="M883" i="1"/>
  <c r="L883" i="1"/>
  <c r="K883" i="1"/>
  <c r="J883" i="1"/>
  <c r="I883" i="1"/>
  <c r="H883" i="1"/>
  <c r="G883" i="1"/>
  <c r="R882" i="1"/>
  <c r="Q882" i="1"/>
  <c r="P882" i="1"/>
  <c r="O882" i="1"/>
  <c r="N882" i="1"/>
  <c r="M882" i="1"/>
  <c r="L882" i="1"/>
  <c r="K882" i="1"/>
  <c r="J882" i="1"/>
  <c r="I882" i="1"/>
  <c r="H882" i="1"/>
  <c r="G882" i="1"/>
  <c r="R881" i="1"/>
  <c r="Q881" i="1"/>
  <c r="P881" i="1"/>
  <c r="O881" i="1"/>
  <c r="N881" i="1"/>
  <c r="M881" i="1"/>
  <c r="L881" i="1"/>
  <c r="K881" i="1"/>
  <c r="J881" i="1"/>
  <c r="I881" i="1"/>
  <c r="H881" i="1"/>
  <c r="G881" i="1"/>
  <c r="R880" i="1"/>
  <c r="Q880" i="1"/>
  <c r="P880" i="1"/>
  <c r="O880" i="1"/>
  <c r="N880" i="1"/>
  <c r="M880" i="1"/>
  <c r="L880" i="1"/>
  <c r="K880" i="1"/>
  <c r="J880" i="1"/>
  <c r="I880" i="1"/>
  <c r="H880" i="1"/>
  <c r="G880" i="1"/>
  <c r="R879" i="1"/>
  <c r="Q879" i="1"/>
  <c r="P879" i="1"/>
  <c r="O879" i="1"/>
  <c r="N879" i="1"/>
  <c r="M879" i="1"/>
  <c r="L879" i="1"/>
  <c r="K879" i="1"/>
  <c r="J879" i="1"/>
  <c r="I879" i="1"/>
  <c r="H879" i="1"/>
  <c r="G879" i="1"/>
  <c r="R878" i="1"/>
  <c r="Q878" i="1"/>
  <c r="P878" i="1"/>
  <c r="O878" i="1"/>
  <c r="N878" i="1"/>
  <c r="M878" i="1"/>
  <c r="L878" i="1"/>
  <c r="K878" i="1"/>
  <c r="J878" i="1"/>
  <c r="I878" i="1"/>
  <c r="H878" i="1"/>
  <c r="G878" i="1"/>
  <c r="R877" i="1"/>
  <c r="Q877" i="1"/>
  <c r="P877" i="1"/>
  <c r="O877" i="1"/>
  <c r="N877" i="1"/>
  <c r="M877" i="1"/>
  <c r="L877" i="1"/>
  <c r="K877" i="1"/>
  <c r="J877" i="1"/>
  <c r="I877" i="1"/>
  <c r="H877" i="1"/>
  <c r="G877" i="1"/>
  <c r="R876" i="1"/>
  <c r="Q876" i="1"/>
  <c r="P876" i="1"/>
  <c r="O876" i="1"/>
  <c r="N876" i="1"/>
  <c r="M876" i="1"/>
  <c r="L876" i="1"/>
  <c r="K876" i="1"/>
  <c r="J876" i="1"/>
  <c r="I876" i="1"/>
  <c r="H876" i="1"/>
  <c r="G876" i="1"/>
  <c r="R875" i="1"/>
  <c r="Q875" i="1"/>
  <c r="P875" i="1"/>
  <c r="O875" i="1"/>
  <c r="N875" i="1"/>
  <c r="M875" i="1"/>
  <c r="L875" i="1"/>
  <c r="K875" i="1"/>
  <c r="J875" i="1"/>
  <c r="I875" i="1"/>
  <c r="H875" i="1"/>
  <c r="G875" i="1"/>
  <c r="R874" i="1"/>
  <c r="Q874" i="1"/>
  <c r="P874" i="1"/>
  <c r="O874" i="1"/>
  <c r="N874" i="1"/>
  <c r="M874" i="1"/>
  <c r="L874" i="1"/>
  <c r="K874" i="1"/>
  <c r="J874" i="1"/>
  <c r="I874" i="1"/>
  <c r="H874" i="1"/>
  <c r="G874" i="1"/>
  <c r="R873" i="1"/>
  <c r="Q873" i="1"/>
  <c r="P873" i="1"/>
  <c r="O873" i="1"/>
  <c r="N873" i="1"/>
  <c r="M873" i="1"/>
  <c r="L873" i="1"/>
  <c r="K873" i="1"/>
  <c r="J873" i="1"/>
  <c r="I873" i="1"/>
  <c r="H873" i="1"/>
  <c r="G873" i="1"/>
  <c r="R872" i="1"/>
  <c r="Q872" i="1"/>
  <c r="P872" i="1"/>
  <c r="O872" i="1"/>
  <c r="N872" i="1"/>
  <c r="M872" i="1"/>
  <c r="L872" i="1"/>
  <c r="K872" i="1"/>
  <c r="J872" i="1"/>
  <c r="I872" i="1"/>
  <c r="H872" i="1"/>
  <c r="G872" i="1"/>
  <c r="R871" i="1"/>
  <c r="Q871" i="1"/>
  <c r="P871" i="1"/>
  <c r="O871" i="1"/>
  <c r="N871" i="1"/>
  <c r="M871" i="1"/>
  <c r="L871" i="1"/>
  <c r="K871" i="1"/>
  <c r="J871" i="1"/>
  <c r="I871" i="1"/>
  <c r="H871" i="1"/>
  <c r="G871" i="1"/>
  <c r="R870" i="1"/>
  <c r="Q870" i="1"/>
  <c r="P870" i="1"/>
  <c r="O870" i="1"/>
  <c r="N870" i="1"/>
  <c r="M870" i="1"/>
  <c r="L870" i="1"/>
  <c r="K870" i="1"/>
  <c r="J870" i="1"/>
  <c r="I870" i="1"/>
  <c r="H870" i="1"/>
  <c r="G870" i="1"/>
  <c r="R869" i="1"/>
  <c r="Q869" i="1"/>
  <c r="P869" i="1"/>
  <c r="O869" i="1"/>
  <c r="N869" i="1"/>
  <c r="M869" i="1"/>
  <c r="L869" i="1"/>
  <c r="K869" i="1"/>
  <c r="J869" i="1"/>
  <c r="I869" i="1"/>
  <c r="H869" i="1"/>
  <c r="G869" i="1"/>
  <c r="R868" i="1"/>
  <c r="Q868" i="1"/>
  <c r="P868" i="1"/>
  <c r="O868" i="1"/>
  <c r="N868" i="1"/>
  <c r="M868" i="1"/>
  <c r="L868" i="1"/>
  <c r="K868" i="1"/>
  <c r="J868" i="1"/>
  <c r="I868" i="1"/>
  <c r="H868" i="1"/>
  <c r="G868" i="1"/>
  <c r="R867" i="1"/>
  <c r="Q867" i="1"/>
  <c r="P867" i="1"/>
  <c r="O867" i="1"/>
  <c r="N867" i="1"/>
  <c r="M867" i="1"/>
  <c r="L867" i="1"/>
  <c r="K867" i="1"/>
  <c r="J867" i="1"/>
  <c r="I867" i="1"/>
  <c r="H867" i="1"/>
  <c r="G867" i="1"/>
  <c r="R866" i="1"/>
  <c r="Q866" i="1"/>
  <c r="P866" i="1"/>
  <c r="O866" i="1"/>
  <c r="N866" i="1"/>
  <c r="M866" i="1"/>
  <c r="L866" i="1"/>
  <c r="K866" i="1"/>
  <c r="J866" i="1"/>
  <c r="I866" i="1"/>
  <c r="H866" i="1"/>
  <c r="G866" i="1"/>
  <c r="R865" i="1"/>
  <c r="Q865" i="1"/>
  <c r="P865" i="1"/>
  <c r="O865" i="1"/>
  <c r="N865" i="1"/>
  <c r="M865" i="1"/>
  <c r="L865" i="1"/>
  <c r="K865" i="1"/>
  <c r="J865" i="1"/>
  <c r="I865" i="1"/>
  <c r="H865" i="1"/>
  <c r="G865" i="1"/>
  <c r="R864" i="1"/>
  <c r="Q864" i="1"/>
  <c r="P864" i="1"/>
  <c r="O864" i="1"/>
  <c r="N864" i="1"/>
  <c r="M864" i="1"/>
  <c r="L864" i="1"/>
  <c r="K864" i="1"/>
  <c r="J864" i="1"/>
  <c r="I864" i="1"/>
  <c r="H864" i="1"/>
  <c r="G864" i="1"/>
  <c r="R863" i="1"/>
  <c r="Q863" i="1"/>
  <c r="P863" i="1"/>
  <c r="O863" i="1"/>
  <c r="N863" i="1"/>
  <c r="M863" i="1"/>
  <c r="L863" i="1"/>
  <c r="K863" i="1"/>
  <c r="J863" i="1"/>
  <c r="I863" i="1"/>
  <c r="H863" i="1"/>
  <c r="G863" i="1"/>
  <c r="R862" i="1"/>
  <c r="Q862" i="1"/>
  <c r="P862" i="1"/>
  <c r="O862" i="1"/>
  <c r="N862" i="1"/>
  <c r="M862" i="1"/>
  <c r="L862" i="1"/>
  <c r="K862" i="1"/>
  <c r="J862" i="1"/>
  <c r="I862" i="1"/>
  <c r="H862" i="1"/>
  <c r="G862" i="1"/>
  <c r="R861" i="1"/>
  <c r="Q861" i="1"/>
  <c r="P861" i="1"/>
  <c r="O861" i="1"/>
  <c r="N861" i="1"/>
  <c r="M861" i="1"/>
  <c r="L861" i="1"/>
  <c r="K861" i="1"/>
  <c r="J861" i="1"/>
  <c r="I861" i="1"/>
  <c r="H861" i="1"/>
  <c r="G861" i="1"/>
  <c r="R860" i="1"/>
  <c r="Q860" i="1"/>
  <c r="P860" i="1"/>
  <c r="O860" i="1"/>
  <c r="N860" i="1"/>
  <c r="M860" i="1"/>
  <c r="L860" i="1"/>
  <c r="K860" i="1"/>
  <c r="J860" i="1"/>
  <c r="I860" i="1"/>
  <c r="H860" i="1"/>
  <c r="G860" i="1"/>
  <c r="R859" i="1"/>
  <c r="Q859" i="1"/>
  <c r="P859" i="1"/>
  <c r="O859" i="1"/>
  <c r="N859" i="1"/>
  <c r="M859" i="1"/>
  <c r="L859" i="1"/>
  <c r="K859" i="1"/>
  <c r="J859" i="1"/>
  <c r="I859" i="1"/>
  <c r="H859" i="1"/>
  <c r="G859" i="1"/>
  <c r="R858" i="1"/>
  <c r="Q858" i="1"/>
  <c r="P858" i="1"/>
  <c r="O858" i="1"/>
  <c r="N858" i="1"/>
  <c r="M858" i="1"/>
  <c r="L858" i="1"/>
  <c r="K858" i="1"/>
  <c r="J858" i="1"/>
  <c r="I858" i="1"/>
  <c r="H858" i="1"/>
  <c r="G858" i="1"/>
  <c r="R857" i="1"/>
  <c r="Q857" i="1"/>
  <c r="P857" i="1"/>
  <c r="O857" i="1"/>
  <c r="N857" i="1"/>
  <c r="M857" i="1"/>
  <c r="L857" i="1"/>
  <c r="K857" i="1"/>
  <c r="J857" i="1"/>
  <c r="I857" i="1"/>
  <c r="H857" i="1"/>
  <c r="G857" i="1"/>
  <c r="R856" i="1"/>
  <c r="Q856" i="1"/>
  <c r="P856" i="1"/>
  <c r="O856" i="1"/>
  <c r="N856" i="1"/>
  <c r="M856" i="1"/>
  <c r="L856" i="1"/>
  <c r="K856" i="1"/>
  <c r="J856" i="1"/>
  <c r="I856" i="1"/>
  <c r="H856" i="1"/>
  <c r="G856" i="1"/>
  <c r="R855" i="1"/>
  <c r="Q855" i="1"/>
  <c r="P855" i="1"/>
  <c r="O855" i="1"/>
  <c r="N855" i="1"/>
  <c r="M855" i="1"/>
  <c r="L855" i="1"/>
  <c r="K855" i="1"/>
  <c r="J855" i="1"/>
  <c r="I855" i="1"/>
  <c r="H855" i="1"/>
  <c r="G855" i="1"/>
  <c r="R854" i="1"/>
  <c r="Q854" i="1"/>
  <c r="P854" i="1"/>
  <c r="O854" i="1"/>
  <c r="N854" i="1"/>
  <c r="M854" i="1"/>
  <c r="L854" i="1"/>
  <c r="K854" i="1"/>
  <c r="J854" i="1"/>
  <c r="I854" i="1"/>
  <c r="H854" i="1"/>
  <c r="G854" i="1"/>
  <c r="R853" i="1"/>
  <c r="Q853" i="1"/>
  <c r="P853" i="1"/>
  <c r="O853" i="1"/>
  <c r="N853" i="1"/>
  <c r="M853" i="1"/>
  <c r="L853" i="1"/>
  <c r="K853" i="1"/>
  <c r="J853" i="1"/>
  <c r="I853" i="1"/>
  <c r="H853" i="1"/>
  <c r="G853" i="1"/>
  <c r="R852" i="1"/>
  <c r="Q852" i="1"/>
  <c r="P852" i="1"/>
  <c r="O852" i="1"/>
  <c r="N852" i="1"/>
  <c r="M852" i="1"/>
  <c r="L852" i="1"/>
  <c r="K852" i="1"/>
  <c r="J852" i="1"/>
  <c r="I852" i="1"/>
  <c r="H852" i="1"/>
  <c r="G852" i="1"/>
  <c r="R851" i="1"/>
  <c r="Q851" i="1"/>
  <c r="P851" i="1"/>
  <c r="O851" i="1"/>
  <c r="N851" i="1"/>
  <c r="M851" i="1"/>
  <c r="L851" i="1"/>
  <c r="K851" i="1"/>
  <c r="J851" i="1"/>
  <c r="I851" i="1"/>
  <c r="H851" i="1"/>
  <c r="G851" i="1"/>
  <c r="R850" i="1"/>
  <c r="Q850" i="1"/>
  <c r="P850" i="1"/>
  <c r="O850" i="1"/>
  <c r="N850" i="1"/>
  <c r="M850" i="1"/>
  <c r="L850" i="1"/>
  <c r="K850" i="1"/>
  <c r="J850" i="1"/>
  <c r="I850" i="1"/>
  <c r="H850" i="1"/>
  <c r="G850" i="1"/>
  <c r="R849" i="1"/>
  <c r="Q849" i="1"/>
  <c r="P849" i="1"/>
  <c r="O849" i="1"/>
  <c r="N849" i="1"/>
  <c r="M849" i="1"/>
  <c r="L849" i="1"/>
  <c r="K849" i="1"/>
  <c r="J849" i="1"/>
  <c r="I849" i="1"/>
  <c r="H849" i="1"/>
  <c r="G849" i="1"/>
  <c r="R848" i="1"/>
  <c r="Q848" i="1"/>
  <c r="P848" i="1"/>
  <c r="O848" i="1"/>
  <c r="N848" i="1"/>
  <c r="M848" i="1"/>
  <c r="L848" i="1"/>
  <c r="K848" i="1"/>
  <c r="J848" i="1"/>
  <c r="I848" i="1"/>
  <c r="H848" i="1"/>
  <c r="G848" i="1"/>
  <c r="R847" i="1"/>
  <c r="Q847" i="1"/>
  <c r="P847" i="1"/>
  <c r="O847" i="1"/>
  <c r="N847" i="1"/>
  <c r="M847" i="1"/>
  <c r="L847" i="1"/>
  <c r="K847" i="1"/>
  <c r="J847" i="1"/>
  <c r="I847" i="1"/>
  <c r="H847" i="1"/>
  <c r="G847" i="1"/>
  <c r="R846" i="1"/>
  <c r="Q846" i="1"/>
  <c r="P846" i="1"/>
  <c r="O846" i="1"/>
  <c r="N846" i="1"/>
  <c r="M846" i="1"/>
  <c r="L846" i="1"/>
  <c r="K846" i="1"/>
  <c r="J846" i="1"/>
  <c r="I846" i="1"/>
  <c r="H846" i="1"/>
  <c r="G846" i="1"/>
  <c r="R845" i="1"/>
  <c r="Q845" i="1"/>
  <c r="P845" i="1"/>
  <c r="O845" i="1"/>
  <c r="N845" i="1"/>
  <c r="M845" i="1"/>
  <c r="L845" i="1"/>
  <c r="K845" i="1"/>
  <c r="J845" i="1"/>
  <c r="I845" i="1"/>
  <c r="H845" i="1"/>
  <c r="G845" i="1"/>
  <c r="R844" i="1"/>
  <c r="Q844" i="1"/>
  <c r="P844" i="1"/>
  <c r="O844" i="1"/>
  <c r="N844" i="1"/>
  <c r="M844" i="1"/>
  <c r="L844" i="1"/>
  <c r="K844" i="1"/>
  <c r="J844" i="1"/>
  <c r="I844" i="1"/>
  <c r="H844" i="1"/>
  <c r="G844" i="1"/>
  <c r="R843" i="1"/>
  <c r="Q843" i="1"/>
  <c r="P843" i="1"/>
  <c r="O843" i="1"/>
  <c r="N843" i="1"/>
  <c r="M843" i="1"/>
  <c r="L843" i="1"/>
  <c r="K843" i="1"/>
  <c r="J843" i="1"/>
  <c r="I843" i="1"/>
  <c r="H843" i="1"/>
  <c r="G843" i="1"/>
  <c r="R842" i="1"/>
  <c r="Q842" i="1"/>
  <c r="P842" i="1"/>
  <c r="O842" i="1"/>
  <c r="N842" i="1"/>
  <c r="M842" i="1"/>
  <c r="L842" i="1"/>
  <c r="K842" i="1"/>
  <c r="J842" i="1"/>
  <c r="I842" i="1"/>
  <c r="H842" i="1"/>
  <c r="G842" i="1"/>
  <c r="R841" i="1"/>
  <c r="Q841" i="1"/>
  <c r="P841" i="1"/>
  <c r="O841" i="1"/>
  <c r="N841" i="1"/>
  <c r="M841" i="1"/>
  <c r="L841" i="1"/>
  <c r="K841" i="1"/>
  <c r="J841" i="1"/>
  <c r="I841" i="1"/>
  <c r="H841" i="1"/>
  <c r="G841" i="1"/>
  <c r="R840" i="1"/>
  <c r="Q840" i="1"/>
  <c r="P840" i="1"/>
  <c r="O840" i="1"/>
  <c r="N840" i="1"/>
  <c r="M840" i="1"/>
  <c r="L840" i="1"/>
  <c r="K840" i="1"/>
  <c r="J840" i="1"/>
  <c r="I840" i="1"/>
  <c r="H840" i="1"/>
  <c r="G840" i="1"/>
  <c r="R839" i="1"/>
  <c r="Q839" i="1"/>
  <c r="P839" i="1"/>
  <c r="O839" i="1"/>
  <c r="N839" i="1"/>
  <c r="M839" i="1"/>
  <c r="L839" i="1"/>
  <c r="K839" i="1"/>
  <c r="J839" i="1"/>
  <c r="I839" i="1"/>
  <c r="H839" i="1"/>
  <c r="G839" i="1"/>
  <c r="R838" i="1"/>
  <c r="Q838" i="1"/>
  <c r="P838" i="1"/>
  <c r="O838" i="1"/>
  <c r="N838" i="1"/>
  <c r="M838" i="1"/>
  <c r="L838" i="1"/>
  <c r="K838" i="1"/>
  <c r="J838" i="1"/>
  <c r="I838" i="1"/>
  <c r="H838" i="1"/>
  <c r="G838" i="1"/>
  <c r="R837" i="1"/>
  <c r="Q837" i="1"/>
  <c r="P837" i="1"/>
  <c r="O837" i="1"/>
  <c r="N837" i="1"/>
  <c r="M837" i="1"/>
  <c r="L837" i="1"/>
  <c r="K837" i="1"/>
  <c r="J837" i="1"/>
  <c r="I837" i="1"/>
  <c r="H837" i="1"/>
  <c r="G837" i="1"/>
  <c r="R836" i="1"/>
  <c r="Q836" i="1"/>
  <c r="P836" i="1"/>
  <c r="O836" i="1"/>
  <c r="N836" i="1"/>
  <c r="M836" i="1"/>
  <c r="L836" i="1"/>
  <c r="K836" i="1"/>
  <c r="J836" i="1"/>
  <c r="I836" i="1"/>
  <c r="H836" i="1"/>
  <c r="G836" i="1"/>
  <c r="R835" i="1"/>
  <c r="Q835" i="1"/>
  <c r="P835" i="1"/>
  <c r="O835" i="1"/>
  <c r="N835" i="1"/>
  <c r="M835" i="1"/>
  <c r="L835" i="1"/>
  <c r="K835" i="1"/>
  <c r="J835" i="1"/>
  <c r="I835" i="1"/>
  <c r="H835" i="1"/>
  <c r="G835" i="1"/>
  <c r="R834" i="1"/>
  <c r="Q834" i="1"/>
  <c r="P834" i="1"/>
  <c r="O834" i="1"/>
  <c r="N834" i="1"/>
  <c r="M834" i="1"/>
  <c r="L834" i="1"/>
  <c r="K834" i="1"/>
  <c r="J834" i="1"/>
  <c r="I834" i="1"/>
  <c r="H834" i="1"/>
  <c r="G834" i="1"/>
  <c r="R833" i="1"/>
  <c r="Q833" i="1"/>
  <c r="P833" i="1"/>
  <c r="O833" i="1"/>
  <c r="N833" i="1"/>
  <c r="M833" i="1"/>
  <c r="L833" i="1"/>
  <c r="K833" i="1"/>
  <c r="J833" i="1"/>
  <c r="I833" i="1"/>
  <c r="H833" i="1"/>
  <c r="G833" i="1"/>
  <c r="R832" i="1"/>
  <c r="Q832" i="1"/>
  <c r="P832" i="1"/>
  <c r="O832" i="1"/>
  <c r="N832" i="1"/>
  <c r="M832" i="1"/>
  <c r="L832" i="1"/>
  <c r="K832" i="1"/>
  <c r="J832" i="1"/>
  <c r="I832" i="1"/>
  <c r="H832" i="1"/>
  <c r="G832" i="1"/>
  <c r="R831" i="1"/>
  <c r="Q831" i="1"/>
  <c r="P831" i="1"/>
  <c r="O831" i="1"/>
  <c r="N831" i="1"/>
  <c r="M831" i="1"/>
  <c r="L831" i="1"/>
  <c r="K831" i="1"/>
  <c r="J831" i="1"/>
  <c r="I831" i="1"/>
  <c r="H831" i="1"/>
  <c r="G831" i="1"/>
  <c r="R830" i="1"/>
  <c r="Q830" i="1"/>
  <c r="P830" i="1"/>
  <c r="O830" i="1"/>
  <c r="N830" i="1"/>
  <c r="M830" i="1"/>
  <c r="L830" i="1"/>
  <c r="K830" i="1"/>
  <c r="J830" i="1"/>
  <c r="I830" i="1"/>
  <c r="H830" i="1"/>
  <c r="G830" i="1"/>
  <c r="R829" i="1"/>
  <c r="Q829" i="1"/>
  <c r="P829" i="1"/>
  <c r="O829" i="1"/>
  <c r="N829" i="1"/>
  <c r="M829" i="1"/>
  <c r="L829" i="1"/>
  <c r="K829" i="1"/>
  <c r="J829" i="1"/>
  <c r="I829" i="1"/>
  <c r="H829" i="1"/>
  <c r="G829" i="1"/>
  <c r="R828" i="1"/>
  <c r="Q828" i="1"/>
  <c r="P828" i="1"/>
  <c r="O828" i="1"/>
  <c r="N828" i="1"/>
  <c r="M828" i="1"/>
  <c r="L828" i="1"/>
  <c r="K828" i="1"/>
  <c r="J828" i="1"/>
  <c r="I828" i="1"/>
  <c r="H828" i="1"/>
  <c r="G828" i="1"/>
  <c r="R827" i="1"/>
  <c r="Q827" i="1"/>
  <c r="P827" i="1"/>
  <c r="O827" i="1"/>
  <c r="N827" i="1"/>
  <c r="M827" i="1"/>
  <c r="L827" i="1"/>
  <c r="K827" i="1"/>
  <c r="J827" i="1"/>
  <c r="I827" i="1"/>
  <c r="H827" i="1"/>
  <c r="G827" i="1"/>
  <c r="R826" i="1"/>
  <c r="Q826" i="1"/>
  <c r="P826" i="1"/>
  <c r="O826" i="1"/>
  <c r="N826" i="1"/>
  <c r="M826" i="1"/>
  <c r="L826" i="1"/>
  <c r="K826" i="1"/>
  <c r="J826" i="1"/>
  <c r="I826" i="1"/>
  <c r="H826" i="1"/>
  <c r="G826" i="1"/>
  <c r="R825" i="1"/>
  <c r="Q825" i="1"/>
  <c r="P825" i="1"/>
  <c r="O825" i="1"/>
  <c r="N825" i="1"/>
  <c r="M825" i="1"/>
  <c r="L825" i="1"/>
  <c r="K825" i="1"/>
  <c r="J825" i="1"/>
  <c r="I825" i="1"/>
  <c r="H825" i="1"/>
  <c r="G825" i="1"/>
  <c r="R824" i="1"/>
  <c r="Q824" i="1"/>
  <c r="P824" i="1"/>
  <c r="O824" i="1"/>
  <c r="N824" i="1"/>
  <c r="M824" i="1"/>
  <c r="L824" i="1"/>
  <c r="K824" i="1"/>
  <c r="J824" i="1"/>
  <c r="I824" i="1"/>
  <c r="H824" i="1"/>
  <c r="G824" i="1"/>
  <c r="R823" i="1"/>
  <c r="Q823" i="1"/>
  <c r="P823" i="1"/>
  <c r="O823" i="1"/>
  <c r="N823" i="1"/>
  <c r="M823" i="1"/>
  <c r="L823" i="1"/>
  <c r="K823" i="1"/>
  <c r="J823" i="1"/>
  <c r="I823" i="1"/>
  <c r="H823" i="1"/>
  <c r="G823" i="1"/>
  <c r="R822" i="1"/>
  <c r="Q822" i="1"/>
  <c r="P822" i="1"/>
  <c r="O822" i="1"/>
  <c r="N822" i="1"/>
  <c r="M822" i="1"/>
  <c r="L822" i="1"/>
  <c r="K822" i="1"/>
  <c r="J822" i="1"/>
  <c r="I822" i="1"/>
  <c r="H822" i="1"/>
  <c r="G822" i="1"/>
  <c r="R821" i="1"/>
  <c r="Q821" i="1"/>
  <c r="P821" i="1"/>
  <c r="O821" i="1"/>
  <c r="N821" i="1"/>
  <c r="M821" i="1"/>
  <c r="L821" i="1"/>
  <c r="K821" i="1"/>
  <c r="J821" i="1"/>
  <c r="I821" i="1"/>
  <c r="H821" i="1"/>
  <c r="G821" i="1"/>
  <c r="R820" i="1"/>
  <c r="Q820" i="1"/>
  <c r="P820" i="1"/>
  <c r="O820" i="1"/>
  <c r="N820" i="1"/>
  <c r="M820" i="1"/>
  <c r="L820" i="1"/>
  <c r="K820" i="1"/>
  <c r="J820" i="1"/>
  <c r="I820" i="1"/>
  <c r="H820" i="1"/>
  <c r="G820" i="1"/>
  <c r="R819" i="1"/>
  <c r="Q819" i="1"/>
  <c r="P819" i="1"/>
  <c r="O819" i="1"/>
  <c r="N819" i="1"/>
  <c r="M819" i="1"/>
  <c r="L819" i="1"/>
  <c r="K819" i="1"/>
  <c r="J819" i="1"/>
  <c r="I819" i="1"/>
  <c r="H819" i="1"/>
  <c r="G819" i="1"/>
  <c r="R818" i="1"/>
  <c r="Q818" i="1"/>
  <c r="P818" i="1"/>
  <c r="O818" i="1"/>
  <c r="N818" i="1"/>
  <c r="M818" i="1"/>
  <c r="L818" i="1"/>
  <c r="K818" i="1"/>
  <c r="J818" i="1"/>
  <c r="I818" i="1"/>
  <c r="H818" i="1"/>
  <c r="G818" i="1"/>
  <c r="R817" i="1"/>
  <c r="Q817" i="1"/>
  <c r="P817" i="1"/>
  <c r="O817" i="1"/>
  <c r="N817" i="1"/>
  <c r="M817" i="1"/>
  <c r="L817" i="1"/>
  <c r="K817" i="1"/>
  <c r="J817" i="1"/>
  <c r="I817" i="1"/>
  <c r="H817" i="1"/>
  <c r="G817" i="1"/>
  <c r="R816" i="1"/>
  <c r="Q816" i="1"/>
  <c r="P816" i="1"/>
  <c r="O816" i="1"/>
  <c r="N816" i="1"/>
  <c r="M816" i="1"/>
  <c r="L816" i="1"/>
  <c r="K816" i="1"/>
  <c r="J816" i="1"/>
  <c r="I816" i="1"/>
  <c r="H816" i="1"/>
  <c r="G816" i="1"/>
  <c r="R815" i="1"/>
  <c r="Q815" i="1"/>
  <c r="P815" i="1"/>
  <c r="O815" i="1"/>
  <c r="N815" i="1"/>
  <c r="M815" i="1"/>
  <c r="L815" i="1"/>
  <c r="K815" i="1"/>
  <c r="J815" i="1"/>
  <c r="I815" i="1"/>
  <c r="H815" i="1"/>
  <c r="G815" i="1"/>
  <c r="R814" i="1"/>
  <c r="Q814" i="1"/>
  <c r="P814" i="1"/>
  <c r="O814" i="1"/>
  <c r="N814" i="1"/>
  <c r="M814" i="1"/>
  <c r="L814" i="1"/>
  <c r="K814" i="1"/>
  <c r="J814" i="1"/>
  <c r="I814" i="1"/>
  <c r="H814" i="1"/>
  <c r="G814" i="1"/>
  <c r="R813" i="1"/>
  <c r="Q813" i="1"/>
  <c r="P813" i="1"/>
  <c r="O813" i="1"/>
  <c r="N813" i="1"/>
  <c r="M813" i="1"/>
  <c r="L813" i="1"/>
  <c r="K813" i="1"/>
  <c r="J813" i="1"/>
  <c r="I813" i="1"/>
  <c r="H813" i="1"/>
  <c r="G813" i="1"/>
  <c r="R812" i="1"/>
  <c r="Q812" i="1"/>
  <c r="P812" i="1"/>
  <c r="O812" i="1"/>
  <c r="N812" i="1"/>
  <c r="M812" i="1"/>
  <c r="L812" i="1"/>
  <c r="K812" i="1"/>
  <c r="J812" i="1"/>
  <c r="I812" i="1"/>
  <c r="H812" i="1"/>
  <c r="G812" i="1"/>
  <c r="R811" i="1"/>
  <c r="Q811" i="1"/>
  <c r="P811" i="1"/>
  <c r="O811" i="1"/>
  <c r="N811" i="1"/>
  <c r="M811" i="1"/>
  <c r="L811" i="1"/>
  <c r="K811" i="1"/>
  <c r="J811" i="1"/>
  <c r="I811" i="1"/>
  <c r="H811" i="1"/>
  <c r="G811" i="1"/>
  <c r="R810" i="1"/>
  <c r="Q810" i="1"/>
  <c r="P810" i="1"/>
  <c r="O810" i="1"/>
  <c r="N810" i="1"/>
  <c r="M810" i="1"/>
  <c r="L810" i="1"/>
  <c r="K810" i="1"/>
  <c r="J810" i="1"/>
  <c r="I810" i="1"/>
  <c r="H810" i="1"/>
  <c r="G810" i="1"/>
  <c r="R809" i="1"/>
  <c r="Q809" i="1"/>
  <c r="P809" i="1"/>
  <c r="O809" i="1"/>
  <c r="N809" i="1"/>
  <c r="M809" i="1"/>
  <c r="L809" i="1"/>
  <c r="K809" i="1"/>
  <c r="J809" i="1"/>
  <c r="I809" i="1"/>
  <c r="H809" i="1"/>
  <c r="G809" i="1"/>
  <c r="R808" i="1"/>
  <c r="Q808" i="1"/>
  <c r="P808" i="1"/>
  <c r="O808" i="1"/>
  <c r="N808" i="1"/>
  <c r="M808" i="1"/>
  <c r="L808" i="1"/>
  <c r="K808" i="1"/>
  <c r="J808" i="1"/>
  <c r="I808" i="1"/>
  <c r="H808" i="1"/>
  <c r="G808" i="1"/>
  <c r="R807" i="1"/>
  <c r="Q807" i="1"/>
  <c r="P807" i="1"/>
  <c r="O807" i="1"/>
  <c r="N807" i="1"/>
  <c r="M807" i="1"/>
  <c r="L807" i="1"/>
  <c r="K807" i="1"/>
  <c r="J807" i="1"/>
  <c r="I807" i="1"/>
  <c r="H807" i="1"/>
  <c r="G807" i="1"/>
  <c r="R806" i="1"/>
  <c r="Q806" i="1"/>
  <c r="P806" i="1"/>
  <c r="O806" i="1"/>
  <c r="N806" i="1"/>
  <c r="M806" i="1"/>
  <c r="L806" i="1"/>
  <c r="K806" i="1"/>
  <c r="J806" i="1"/>
  <c r="I806" i="1"/>
  <c r="H806" i="1"/>
  <c r="G806" i="1"/>
  <c r="R805" i="1"/>
  <c r="Q805" i="1"/>
  <c r="P805" i="1"/>
  <c r="O805" i="1"/>
  <c r="N805" i="1"/>
  <c r="M805" i="1"/>
  <c r="L805" i="1"/>
  <c r="K805" i="1"/>
  <c r="J805" i="1"/>
  <c r="I805" i="1"/>
  <c r="H805" i="1"/>
  <c r="G805" i="1"/>
  <c r="R804" i="1"/>
  <c r="Q804" i="1"/>
  <c r="P804" i="1"/>
  <c r="O804" i="1"/>
  <c r="N804" i="1"/>
  <c r="M804" i="1"/>
  <c r="L804" i="1"/>
  <c r="K804" i="1"/>
  <c r="J804" i="1"/>
  <c r="I804" i="1"/>
  <c r="H804" i="1"/>
  <c r="G804" i="1"/>
  <c r="R803" i="1"/>
  <c r="Q803" i="1"/>
  <c r="P803" i="1"/>
  <c r="O803" i="1"/>
  <c r="N803" i="1"/>
  <c r="M803" i="1"/>
  <c r="L803" i="1"/>
  <c r="K803" i="1"/>
  <c r="J803" i="1"/>
  <c r="I803" i="1"/>
  <c r="H803" i="1"/>
  <c r="G803" i="1"/>
  <c r="R802" i="1"/>
  <c r="Q802" i="1"/>
  <c r="P802" i="1"/>
  <c r="O802" i="1"/>
  <c r="N802" i="1"/>
  <c r="M802" i="1"/>
  <c r="L802" i="1"/>
  <c r="K802" i="1"/>
  <c r="J802" i="1"/>
  <c r="I802" i="1"/>
  <c r="H802" i="1"/>
  <c r="G802" i="1"/>
  <c r="R801" i="1"/>
  <c r="Q801" i="1"/>
  <c r="P801" i="1"/>
  <c r="O801" i="1"/>
  <c r="N801" i="1"/>
  <c r="M801" i="1"/>
  <c r="L801" i="1"/>
  <c r="K801" i="1"/>
  <c r="J801" i="1"/>
  <c r="I801" i="1"/>
  <c r="H801" i="1"/>
  <c r="G801" i="1"/>
  <c r="R800" i="1"/>
  <c r="Q800" i="1"/>
  <c r="P800" i="1"/>
  <c r="O800" i="1"/>
  <c r="N800" i="1"/>
  <c r="M800" i="1"/>
  <c r="L800" i="1"/>
  <c r="K800" i="1"/>
  <c r="J800" i="1"/>
  <c r="I800" i="1"/>
  <c r="H800" i="1"/>
  <c r="G800" i="1"/>
  <c r="R799" i="1"/>
  <c r="Q799" i="1"/>
  <c r="P799" i="1"/>
  <c r="O799" i="1"/>
  <c r="N799" i="1"/>
  <c r="M799" i="1"/>
  <c r="L799" i="1"/>
  <c r="K799" i="1"/>
  <c r="J799" i="1"/>
  <c r="I799" i="1"/>
  <c r="H799" i="1"/>
  <c r="G799" i="1"/>
  <c r="R798" i="1"/>
  <c r="Q798" i="1"/>
  <c r="P798" i="1"/>
  <c r="O798" i="1"/>
  <c r="N798" i="1"/>
  <c r="M798" i="1"/>
  <c r="L798" i="1"/>
  <c r="K798" i="1"/>
  <c r="J798" i="1"/>
  <c r="I798" i="1"/>
  <c r="H798" i="1"/>
  <c r="G798" i="1"/>
  <c r="R797" i="1"/>
  <c r="Q797" i="1"/>
  <c r="P797" i="1"/>
  <c r="O797" i="1"/>
  <c r="N797" i="1"/>
  <c r="M797" i="1"/>
  <c r="L797" i="1"/>
  <c r="K797" i="1"/>
  <c r="J797" i="1"/>
  <c r="I797" i="1"/>
  <c r="H797" i="1"/>
  <c r="G797" i="1"/>
  <c r="R796" i="1"/>
  <c r="Q796" i="1"/>
  <c r="P796" i="1"/>
  <c r="O796" i="1"/>
  <c r="N796" i="1"/>
  <c r="M796" i="1"/>
  <c r="L796" i="1"/>
  <c r="K796" i="1"/>
  <c r="J796" i="1"/>
  <c r="I796" i="1"/>
  <c r="H796" i="1"/>
  <c r="G796" i="1"/>
  <c r="R795" i="1"/>
  <c r="Q795" i="1"/>
  <c r="P795" i="1"/>
  <c r="O795" i="1"/>
  <c r="N795" i="1"/>
  <c r="M795" i="1"/>
  <c r="L795" i="1"/>
  <c r="K795" i="1"/>
  <c r="J795" i="1"/>
  <c r="I795" i="1"/>
  <c r="H795" i="1"/>
  <c r="G795" i="1"/>
  <c r="R794" i="1"/>
  <c r="Q794" i="1"/>
  <c r="P794" i="1"/>
  <c r="O794" i="1"/>
  <c r="N794" i="1"/>
  <c r="M794" i="1"/>
  <c r="L794" i="1"/>
  <c r="K794" i="1"/>
  <c r="J794" i="1"/>
  <c r="I794" i="1"/>
  <c r="H794" i="1"/>
  <c r="G794" i="1"/>
  <c r="R793" i="1"/>
  <c r="Q793" i="1"/>
  <c r="P793" i="1"/>
  <c r="O793" i="1"/>
  <c r="N793" i="1"/>
  <c r="M793" i="1"/>
  <c r="L793" i="1"/>
  <c r="K793" i="1"/>
  <c r="J793" i="1"/>
  <c r="I793" i="1"/>
  <c r="H793" i="1"/>
  <c r="G793" i="1"/>
  <c r="R792" i="1"/>
  <c r="Q792" i="1"/>
  <c r="P792" i="1"/>
  <c r="O792" i="1"/>
  <c r="N792" i="1"/>
  <c r="M792" i="1"/>
  <c r="L792" i="1"/>
  <c r="K792" i="1"/>
  <c r="J792" i="1"/>
  <c r="I792" i="1"/>
  <c r="H792" i="1"/>
  <c r="G792" i="1"/>
  <c r="R791" i="1"/>
  <c r="Q791" i="1"/>
  <c r="P791" i="1"/>
  <c r="O791" i="1"/>
  <c r="N791" i="1"/>
  <c r="M791" i="1"/>
  <c r="L791" i="1"/>
  <c r="K791" i="1"/>
  <c r="J791" i="1"/>
  <c r="I791" i="1"/>
  <c r="H791" i="1"/>
  <c r="G791" i="1"/>
  <c r="R790" i="1"/>
  <c r="Q790" i="1"/>
  <c r="P790" i="1"/>
  <c r="O790" i="1"/>
  <c r="N790" i="1"/>
  <c r="M790" i="1"/>
  <c r="L790" i="1"/>
  <c r="K790" i="1"/>
  <c r="J790" i="1"/>
  <c r="I790" i="1"/>
  <c r="H790" i="1"/>
  <c r="G790" i="1"/>
  <c r="R789" i="1"/>
  <c r="Q789" i="1"/>
  <c r="P789" i="1"/>
  <c r="O789" i="1"/>
  <c r="N789" i="1"/>
  <c r="M789" i="1"/>
  <c r="L789" i="1"/>
  <c r="K789" i="1"/>
  <c r="J789" i="1"/>
  <c r="I789" i="1"/>
  <c r="H789" i="1"/>
  <c r="G789" i="1"/>
  <c r="R788" i="1"/>
  <c r="Q788" i="1"/>
  <c r="P788" i="1"/>
  <c r="O788" i="1"/>
  <c r="N788" i="1"/>
  <c r="M788" i="1"/>
  <c r="L788" i="1"/>
  <c r="K788" i="1"/>
  <c r="J788" i="1"/>
  <c r="I788" i="1"/>
  <c r="H788" i="1"/>
  <c r="G788" i="1"/>
  <c r="R787" i="1"/>
  <c r="Q787" i="1"/>
  <c r="P787" i="1"/>
  <c r="O787" i="1"/>
  <c r="N787" i="1"/>
  <c r="M787" i="1"/>
  <c r="L787" i="1"/>
  <c r="K787" i="1"/>
  <c r="J787" i="1"/>
  <c r="I787" i="1"/>
  <c r="H787" i="1"/>
  <c r="G787" i="1"/>
  <c r="R786" i="1"/>
  <c r="Q786" i="1"/>
  <c r="P786" i="1"/>
  <c r="O786" i="1"/>
  <c r="N786" i="1"/>
  <c r="M786" i="1"/>
  <c r="L786" i="1"/>
  <c r="K786" i="1"/>
  <c r="J786" i="1"/>
  <c r="I786" i="1"/>
  <c r="H786" i="1"/>
  <c r="G786" i="1"/>
  <c r="R785" i="1"/>
  <c r="Q785" i="1"/>
  <c r="P785" i="1"/>
  <c r="O785" i="1"/>
  <c r="N785" i="1"/>
  <c r="M785" i="1"/>
  <c r="L785" i="1"/>
  <c r="K785" i="1"/>
  <c r="J785" i="1"/>
  <c r="I785" i="1"/>
  <c r="H785" i="1"/>
  <c r="G785" i="1"/>
  <c r="R784" i="1"/>
  <c r="Q784" i="1"/>
  <c r="P784" i="1"/>
  <c r="O784" i="1"/>
  <c r="N784" i="1"/>
  <c r="M784" i="1"/>
  <c r="L784" i="1"/>
  <c r="K784" i="1"/>
  <c r="J784" i="1"/>
  <c r="I784" i="1"/>
  <c r="H784" i="1"/>
  <c r="G784" i="1"/>
  <c r="R783" i="1"/>
  <c r="Q783" i="1"/>
  <c r="P783" i="1"/>
  <c r="O783" i="1"/>
  <c r="N783" i="1"/>
  <c r="M783" i="1"/>
  <c r="L783" i="1"/>
  <c r="K783" i="1"/>
  <c r="J783" i="1"/>
  <c r="I783" i="1"/>
  <c r="H783" i="1"/>
  <c r="G783" i="1"/>
  <c r="R782" i="1"/>
  <c r="Q782" i="1"/>
  <c r="P782" i="1"/>
  <c r="O782" i="1"/>
  <c r="N782" i="1"/>
  <c r="M782" i="1"/>
  <c r="L782" i="1"/>
  <c r="K782" i="1"/>
  <c r="J782" i="1"/>
  <c r="I782" i="1"/>
  <c r="H782" i="1"/>
  <c r="G782" i="1"/>
  <c r="R781" i="1"/>
  <c r="Q781" i="1"/>
  <c r="P781" i="1"/>
  <c r="O781" i="1"/>
  <c r="N781" i="1"/>
  <c r="M781" i="1"/>
  <c r="L781" i="1"/>
  <c r="K781" i="1"/>
  <c r="J781" i="1"/>
  <c r="I781" i="1"/>
  <c r="H781" i="1"/>
  <c r="G781" i="1"/>
  <c r="R780" i="1"/>
  <c r="Q780" i="1"/>
  <c r="P780" i="1"/>
  <c r="O780" i="1"/>
  <c r="N780" i="1"/>
  <c r="M780" i="1"/>
  <c r="L780" i="1"/>
  <c r="K780" i="1"/>
  <c r="J780" i="1"/>
  <c r="I780" i="1"/>
  <c r="H780" i="1"/>
  <c r="G780" i="1"/>
  <c r="R779" i="1"/>
  <c r="Q779" i="1"/>
  <c r="P779" i="1"/>
  <c r="O779" i="1"/>
  <c r="N779" i="1"/>
  <c r="M779" i="1"/>
  <c r="L779" i="1"/>
  <c r="K779" i="1"/>
  <c r="J779" i="1"/>
  <c r="I779" i="1"/>
  <c r="H779" i="1"/>
  <c r="G779" i="1"/>
  <c r="R778" i="1"/>
  <c r="Q778" i="1"/>
  <c r="P778" i="1"/>
  <c r="O778" i="1"/>
  <c r="N778" i="1"/>
  <c r="M778" i="1"/>
  <c r="L778" i="1"/>
  <c r="K778" i="1"/>
  <c r="J778" i="1"/>
  <c r="I778" i="1"/>
  <c r="H778" i="1"/>
  <c r="G778" i="1"/>
  <c r="R777" i="1"/>
  <c r="Q777" i="1"/>
  <c r="P777" i="1"/>
  <c r="O777" i="1"/>
  <c r="N777" i="1"/>
  <c r="M777" i="1"/>
  <c r="L777" i="1"/>
  <c r="K777" i="1"/>
  <c r="J777" i="1"/>
  <c r="I777" i="1"/>
  <c r="H777" i="1"/>
  <c r="G777" i="1"/>
  <c r="R776" i="1"/>
  <c r="Q776" i="1"/>
  <c r="P776" i="1"/>
  <c r="O776" i="1"/>
  <c r="N776" i="1"/>
  <c r="M776" i="1"/>
  <c r="L776" i="1"/>
  <c r="K776" i="1"/>
  <c r="J776" i="1"/>
  <c r="I776" i="1"/>
  <c r="H776" i="1"/>
  <c r="G776" i="1"/>
  <c r="R775" i="1"/>
  <c r="Q775" i="1"/>
  <c r="P775" i="1"/>
  <c r="O775" i="1"/>
  <c r="N775" i="1"/>
  <c r="M775" i="1"/>
  <c r="L775" i="1"/>
  <c r="K775" i="1"/>
  <c r="J775" i="1"/>
  <c r="I775" i="1"/>
  <c r="H775" i="1"/>
  <c r="G775" i="1"/>
  <c r="R774" i="1"/>
  <c r="Q774" i="1"/>
  <c r="P774" i="1"/>
  <c r="O774" i="1"/>
  <c r="N774" i="1"/>
  <c r="M774" i="1"/>
  <c r="L774" i="1"/>
  <c r="K774" i="1"/>
  <c r="J774" i="1"/>
  <c r="I774" i="1"/>
  <c r="H774" i="1"/>
  <c r="G774" i="1"/>
  <c r="R773" i="1"/>
  <c r="Q773" i="1"/>
  <c r="P773" i="1"/>
  <c r="O773" i="1"/>
  <c r="N773" i="1"/>
  <c r="M773" i="1"/>
  <c r="L773" i="1"/>
  <c r="K773" i="1"/>
  <c r="J773" i="1"/>
  <c r="I773" i="1"/>
  <c r="H773" i="1"/>
  <c r="G773" i="1"/>
  <c r="R772" i="1"/>
  <c r="Q772" i="1"/>
  <c r="P772" i="1"/>
  <c r="O772" i="1"/>
  <c r="N772" i="1"/>
  <c r="M772" i="1"/>
  <c r="L772" i="1"/>
  <c r="K772" i="1"/>
  <c r="J772" i="1"/>
  <c r="I772" i="1"/>
  <c r="H772" i="1"/>
  <c r="G772" i="1"/>
  <c r="R771" i="1"/>
  <c r="Q771" i="1"/>
  <c r="P771" i="1"/>
  <c r="O771" i="1"/>
  <c r="N771" i="1"/>
  <c r="M771" i="1"/>
  <c r="L771" i="1"/>
  <c r="K771" i="1"/>
  <c r="J771" i="1"/>
  <c r="I771" i="1"/>
  <c r="H771" i="1"/>
  <c r="G771" i="1"/>
  <c r="R770" i="1"/>
  <c r="Q770" i="1"/>
  <c r="P770" i="1"/>
  <c r="O770" i="1"/>
  <c r="N770" i="1"/>
  <c r="M770" i="1"/>
  <c r="L770" i="1"/>
  <c r="K770" i="1"/>
  <c r="J770" i="1"/>
  <c r="I770" i="1"/>
  <c r="H770" i="1"/>
  <c r="G770" i="1"/>
  <c r="R769" i="1"/>
  <c r="Q769" i="1"/>
  <c r="P769" i="1"/>
  <c r="O769" i="1"/>
  <c r="N769" i="1"/>
  <c r="M769" i="1"/>
  <c r="L769" i="1"/>
  <c r="K769" i="1"/>
  <c r="J769" i="1"/>
  <c r="I769" i="1"/>
  <c r="H769" i="1"/>
  <c r="G769" i="1"/>
  <c r="R768" i="1"/>
  <c r="Q768" i="1"/>
  <c r="P768" i="1"/>
  <c r="O768" i="1"/>
  <c r="N768" i="1"/>
  <c r="M768" i="1"/>
  <c r="L768" i="1"/>
  <c r="K768" i="1"/>
  <c r="J768" i="1"/>
  <c r="I768" i="1"/>
  <c r="H768" i="1"/>
  <c r="G768" i="1"/>
  <c r="R767" i="1"/>
  <c r="Q767" i="1"/>
  <c r="P767" i="1"/>
  <c r="O767" i="1"/>
  <c r="N767" i="1"/>
  <c r="M767" i="1"/>
  <c r="L767" i="1"/>
  <c r="K767" i="1"/>
  <c r="J767" i="1"/>
  <c r="I767" i="1"/>
  <c r="H767" i="1"/>
  <c r="G767" i="1"/>
  <c r="R766" i="1"/>
  <c r="Q766" i="1"/>
  <c r="P766" i="1"/>
  <c r="O766" i="1"/>
  <c r="N766" i="1"/>
  <c r="M766" i="1"/>
  <c r="L766" i="1"/>
  <c r="K766" i="1"/>
  <c r="J766" i="1"/>
  <c r="I766" i="1"/>
  <c r="H766" i="1"/>
  <c r="G766" i="1"/>
  <c r="R765" i="1"/>
  <c r="Q765" i="1"/>
  <c r="P765" i="1"/>
  <c r="O765" i="1"/>
  <c r="N765" i="1"/>
  <c r="M765" i="1"/>
  <c r="L765" i="1"/>
  <c r="K765" i="1"/>
  <c r="J765" i="1"/>
  <c r="I765" i="1"/>
  <c r="H765" i="1"/>
  <c r="G765" i="1"/>
  <c r="R764" i="1"/>
  <c r="Q764" i="1"/>
  <c r="P764" i="1"/>
  <c r="O764" i="1"/>
  <c r="N764" i="1"/>
  <c r="M764" i="1"/>
  <c r="L764" i="1"/>
  <c r="K764" i="1"/>
  <c r="J764" i="1"/>
  <c r="I764" i="1"/>
  <c r="H764" i="1"/>
  <c r="G764" i="1"/>
  <c r="R763" i="1"/>
  <c r="Q763" i="1"/>
  <c r="P763" i="1"/>
  <c r="O763" i="1"/>
  <c r="N763" i="1"/>
  <c r="M763" i="1"/>
  <c r="L763" i="1"/>
  <c r="K763" i="1"/>
  <c r="J763" i="1"/>
  <c r="I763" i="1"/>
  <c r="H763" i="1"/>
  <c r="G763" i="1"/>
  <c r="R762" i="1"/>
  <c r="Q762" i="1"/>
  <c r="P762" i="1"/>
  <c r="O762" i="1"/>
  <c r="N762" i="1"/>
  <c r="M762" i="1"/>
  <c r="L762" i="1"/>
  <c r="K762" i="1"/>
  <c r="J762" i="1"/>
  <c r="I762" i="1"/>
  <c r="H762" i="1"/>
  <c r="G762" i="1"/>
  <c r="R761" i="1"/>
  <c r="Q761" i="1"/>
  <c r="P761" i="1"/>
  <c r="O761" i="1"/>
  <c r="N761" i="1"/>
  <c r="M761" i="1"/>
  <c r="L761" i="1"/>
  <c r="K761" i="1"/>
  <c r="J761" i="1"/>
  <c r="I761" i="1"/>
  <c r="H761" i="1"/>
  <c r="G761" i="1"/>
  <c r="R760" i="1"/>
  <c r="Q760" i="1"/>
  <c r="P760" i="1"/>
  <c r="O760" i="1"/>
  <c r="N760" i="1"/>
  <c r="M760" i="1"/>
  <c r="L760" i="1"/>
  <c r="K760" i="1"/>
  <c r="J760" i="1"/>
  <c r="I760" i="1"/>
  <c r="H760" i="1"/>
  <c r="G760" i="1"/>
  <c r="R759" i="1"/>
  <c r="Q759" i="1"/>
  <c r="P759" i="1"/>
  <c r="O759" i="1"/>
  <c r="N759" i="1"/>
  <c r="M759" i="1"/>
  <c r="L759" i="1"/>
  <c r="K759" i="1"/>
  <c r="J759" i="1"/>
  <c r="I759" i="1"/>
  <c r="H759" i="1"/>
  <c r="G759" i="1"/>
  <c r="R758" i="1"/>
  <c r="Q758" i="1"/>
  <c r="P758" i="1"/>
  <c r="O758" i="1"/>
  <c r="N758" i="1"/>
  <c r="M758" i="1"/>
  <c r="L758" i="1"/>
  <c r="K758" i="1"/>
  <c r="J758" i="1"/>
  <c r="I758" i="1"/>
  <c r="H758" i="1"/>
  <c r="G758" i="1"/>
  <c r="R757" i="1"/>
  <c r="Q757" i="1"/>
  <c r="P757" i="1"/>
  <c r="O757" i="1"/>
  <c r="N757" i="1"/>
  <c r="M757" i="1"/>
  <c r="L757" i="1"/>
  <c r="K757" i="1"/>
  <c r="J757" i="1"/>
  <c r="I757" i="1"/>
  <c r="H757" i="1"/>
  <c r="G757" i="1"/>
  <c r="R756" i="1"/>
  <c r="Q756" i="1"/>
  <c r="P756" i="1"/>
  <c r="O756" i="1"/>
  <c r="N756" i="1"/>
  <c r="M756" i="1"/>
  <c r="L756" i="1"/>
  <c r="K756" i="1"/>
  <c r="J756" i="1"/>
  <c r="I756" i="1"/>
  <c r="H756" i="1"/>
  <c r="G756" i="1"/>
  <c r="R755" i="1"/>
  <c r="Q755" i="1"/>
  <c r="P755" i="1"/>
  <c r="O755" i="1"/>
  <c r="N755" i="1"/>
  <c r="M755" i="1"/>
  <c r="L755" i="1"/>
  <c r="K755" i="1"/>
  <c r="J755" i="1"/>
  <c r="I755" i="1"/>
  <c r="H755" i="1"/>
  <c r="G755" i="1"/>
  <c r="R754" i="1"/>
  <c r="Q754" i="1"/>
  <c r="P754" i="1"/>
  <c r="O754" i="1"/>
  <c r="N754" i="1"/>
  <c r="M754" i="1"/>
  <c r="L754" i="1"/>
  <c r="K754" i="1"/>
  <c r="J754" i="1"/>
  <c r="I754" i="1"/>
  <c r="H754" i="1"/>
  <c r="G754" i="1"/>
  <c r="R753" i="1"/>
  <c r="Q753" i="1"/>
  <c r="P753" i="1"/>
  <c r="O753" i="1"/>
  <c r="N753" i="1"/>
  <c r="M753" i="1"/>
  <c r="L753" i="1"/>
  <c r="K753" i="1"/>
  <c r="J753" i="1"/>
  <c r="I753" i="1"/>
  <c r="H753" i="1"/>
  <c r="G753" i="1"/>
  <c r="R752" i="1"/>
  <c r="Q752" i="1"/>
  <c r="P752" i="1"/>
  <c r="O752" i="1"/>
  <c r="N752" i="1"/>
  <c r="M752" i="1"/>
  <c r="L752" i="1"/>
  <c r="K752" i="1"/>
  <c r="J752" i="1"/>
  <c r="I752" i="1"/>
  <c r="H752" i="1"/>
  <c r="G752" i="1"/>
  <c r="R751" i="1"/>
  <c r="Q751" i="1"/>
  <c r="P751" i="1"/>
  <c r="O751" i="1"/>
  <c r="N751" i="1"/>
  <c r="M751" i="1"/>
  <c r="L751" i="1"/>
  <c r="K751" i="1"/>
  <c r="J751" i="1"/>
  <c r="I751" i="1"/>
  <c r="H751" i="1"/>
  <c r="G751" i="1"/>
  <c r="R750" i="1"/>
  <c r="Q750" i="1"/>
  <c r="P750" i="1"/>
  <c r="O750" i="1"/>
  <c r="N750" i="1"/>
  <c r="M750" i="1"/>
  <c r="L750" i="1"/>
  <c r="K750" i="1"/>
  <c r="J750" i="1"/>
  <c r="I750" i="1"/>
  <c r="H750" i="1"/>
  <c r="G750" i="1"/>
  <c r="R749" i="1"/>
  <c r="Q749" i="1"/>
  <c r="P749" i="1"/>
  <c r="O749" i="1"/>
  <c r="N749" i="1"/>
  <c r="M749" i="1"/>
  <c r="L749" i="1"/>
  <c r="K749" i="1"/>
  <c r="J749" i="1"/>
  <c r="I749" i="1"/>
  <c r="H749" i="1"/>
  <c r="G749" i="1"/>
  <c r="R748" i="1"/>
  <c r="Q748" i="1"/>
  <c r="P748" i="1"/>
  <c r="O748" i="1"/>
  <c r="N748" i="1"/>
  <c r="M748" i="1"/>
  <c r="L748" i="1"/>
  <c r="K748" i="1"/>
  <c r="J748" i="1"/>
  <c r="I748" i="1"/>
  <c r="H748" i="1"/>
  <c r="G748" i="1"/>
  <c r="R747" i="1"/>
  <c r="Q747" i="1"/>
  <c r="P747" i="1"/>
  <c r="O747" i="1"/>
  <c r="N747" i="1"/>
  <c r="M747" i="1"/>
  <c r="L747" i="1"/>
  <c r="K747" i="1"/>
  <c r="J747" i="1"/>
  <c r="I747" i="1"/>
  <c r="H747" i="1"/>
  <c r="G747" i="1"/>
  <c r="R746" i="1"/>
  <c r="Q746" i="1"/>
  <c r="P746" i="1"/>
  <c r="O746" i="1"/>
  <c r="N746" i="1"/>
  <c r="M746" i="1"/>
  <c r="L746" i="1"/>
  <c r="K746" i="1"/>
  <c r="J746" i="1"/>
  <c r="I746" i="1"/>
  <c r="H746" i="1"/>
  <c r="G746" i="1"/>
  <c r="R745" i="1"/>
  <c r="Q745" i="1"/>
  <c r="P745" i="1"/>
  <c r="O745" i="1"/>
  <c r="N745" i="1"/>
  <c r="M745" i="1"/>
  <c r="L745" i="1"/>
  <c r="K745" i="1"/>
  <c r="J745" i="1"/>
  <c r="I745" i="1"/>
  <c r="H745" i="1"/>
  <c r="G745" i="1"/>
  <c r="R744" i="1"/>
  <c r="Q744" i="1"/>
  <c r="P744" i="1"/>
  <c r="O744" i="1"/>
  <c r="N744" i="1"/>
  <c r="M744" i="1"/>
  <c r="L744" i="1"/>
  <c r="K744" i="1"/>
  <c r="J744" i="1"/>
  <c r="I744" i="1"/>
  <c r="H744" i="1"/>
  <c r="G744" i="1"/>
  <c r="R743" i="1"/>
  <c r="Q743" i="1"/>
  <c r="P743" i="1"/>
  <c r="O743" i="1"/>
  <c r="N743" i="1"/>
  <c r="M743" i="1"/>
  <c r="L743" i="1"/>
  <c r="K743" i="1"/>
  <c r="J743" i="1"/>
  <c r="I743" i="1"/>
  <c r="H743" i="1"/>
  <c r="G743" i="1"/>
  <c r="R742" i="1"/>
  <c r="Q742" i="1"/>
  <c r="P742" i="1"/>
  <c r="O742" i="1"/>
  <c r="N742" i="1"/>
  <c r="M742" i="1"/>
  <c r="L742" i="1"/>
  <c r="K742" i="1"/>
  <c r="J742" i="1"/>
  <c r="I742" i="1"/>
  <c r="H742" i="1"/>
  <c r="G742" i="1"/>
  <c r="R741" i="1"/>
  <c r="Q741" i="1"/>
  <c r="P741" i="1"/>
  <c r="O741" i="1"/>
  <c r="N741" i="1"/>
  <c r="M741" i="1"/>
  <c r="L741" i="1"/>
  <c r="K741" i="1"/>
  <c r="J741" i="1"/>
  <c r="I741" i="1"/>
  <c r="H741" i="1"/>
  <c r="G741" i="1"/>
  <c r="R740" i="1"/>
  <c r="Q740" i="1"/>
  <c r="P740" i="1"/>
  <c r="O740" i="1"/>
  <c r="N740" i="1"/>
  <c r="M740" i="1"/>
  <c r="L740" i="1"/>
  <c r="K740" i="1"/>
  <c r="J740" i="1"/>
  <c r="I740" i="1"/>
  <c r="H740" i="1"/>
  <c r="G740" i="1"/>
  <c r="R739" i="1"/>
  <c r="Q739" i="1"/>
  <c r="P739" i="1"/>
  <c r="O739" i="1"/>
  <c r="N739" i="1"/>
  <c r="M739" i="1"/>
  <c r="L739" i="1"/>
  <c r="K739" i="1"/>
  <c r="J739" i="1"/>
  <c r="I739" i="1"/>
  <c r="H739" i="1"/>
  <c r="G739" i="1"/>
  <c r="R738" i="1"/>
  <c r="Q738" i="1"/>
  <c r="P738" i="1"/>
  <c r="O738" i="1"/>
  <c r="N738" i="1"/>
  <c r="M738" i="1"/>
  <c r="L738" i="1"/>
  <c r="K738" i="1"/>
  <c r="J738" i="1"/>
  <c r="I738" i="1"/>
  <c r="H738" i="1"/>
  <c r="G738" i="1"/>
  <c r="R737" i="1"/>
  <c r="Q737" i="1"/>
  <c r="P737" i="1"/>
  <c r="O737" i="1"/>
  <c r="N737" i="1"/>
  <c r="M737" i="1"/>
  <c r="L737" i="1"/>
  <c r="K737" i="1"/>
  <c r="J737" i="1"/>
  <c r="I737" i="1"/>
  <c r="H737" i="1"/>
  <c r="G737" i="1"/>
  <c r="R736" i="1"/>
  <c r="Q736" i="1"/>
  <c r="P736" i="1"/>
  <c r="O736" i="1"/>
  <c r="N736" i="1"/>
  <c r="M736" i="1"/>
  <c r="L736" i="1"/>
  <c r="K736" i="1"/>
  <c r="J736" i="1"/>
  <c r="I736" i="1"/>
  <c r="H736" i="1"/>
  <c r="G736" i="1"/>
  <c r="R735" i="1"/>
  <c r="Q735" i="1"/>
  <c r="P735" i="1"/>
  <c r="O735" i="1"/>
  <c r="N735" i="1"/>
  <c r="M735" i="1"/>
  <c r="L735" i="1"/>
  <c r="K735" i="1"/>
  <c r="J735" i="1"/>
  <c r="I735" i="1"/>
  <c r="H735" i="1"/>
  <c r="G735" i="1"/>
  <c r="R734" i="1"/>
  <c r="Q734" i="1"/>
  <c r="P734" i="1"/>
  <c r="O734" i="1"/>
  <c r="N734" i="1"/>
  <c r="M734" i="1"/>
  <c r="L734" i="1"/>
  <c r="K734" i="1"/>
  <c r="J734" i="1"/>
  <c r="I734" i="1"/>
  <c r="H734" i="1"/>
  <c r="G734" i="1"/>
  <c r="R733" i="1"/>
  <c r="Q733" i="1"/>
  <c r="P733" i="1"/>
  <c r="O733" i="1"/>
  <c r="N733" i="1"/>
  <c r="M733" i="1"/>
  <c r="L733" i="1"/>
  <c r="K733" i="1"/>
  <c r="J733" i="1"/>
  <c r="I733" i="1"/>
  <c r="H733" i="1"/>
  <c r="G733" i="1"/>
  <c r="R732" i="1"/>
  <c r="Q732" i="1"/>
  <c r="P732" i="1"/>
  <c r="O732" i="1"/>
  <c r="N732" i="1"/>
  <c r="M732" i="1"/>
  <c r="L732" i="1"/>
  <c r="K732" i="1"/>
  <c r="J732" i="1"/>
  <c r="I732" i="1"/>
  <c r="H732" i="1"/>
  <c r="G732" i="1"/>
  <c r="R731" i="1"/>
  <c r="Q731" i="1"/>
  <c r="P731" i="1"/>
  <c r="O731" i="1"/>
  <c r="N731" i="1"/>
  <c r="M731" i="1"/>
  <c r="L731" i="1"/>
  <c r="K731" i="1"/>
  <c r="J731" i="1"/>
  <c r="I731" i="1"/>
  <c r="H731" i="1"/>
  <c r="G731" i="1"/>
  <c r="R730" i="1"/>
  <c r="Q730" i="1"/>
  <c r="P730" i="1"/>
  <c r="O730" i="1"/>
  <c r="N730" i="1"/>
  <c r="M730" i="1"/>
  <c r="L730" i="1"/>
  <c r="K730" i="1"/>
  <c r="J730" i="1"/>
  <c r="I730" i="1"/>
  <c r="H730" i="1"/>
  <c r="G730" i="1"/>
  <c r="R729" i="1"/>
  <c r="Q729" i="1"/>
  <c r="P729" i="1"/>
  <c r="O729" i="1"/>
  <c r="N729" i="1"/>
  <c r="M729" i="1"/>
  <c r="L729" i="1"/>
  <c r="K729" i="1"/>
  <c r="J729" i="1"/>
  <c r="I729" i="1"/>
  <c r="H729" i="1"/>
  <c r="G729" i="1"/>
  <c r="R728" i="1"/>
  <c r="Q728" i="1"/>
  <c r="P728" i="1"/>
  <c r="O728" i="1"/>
  <c r="N728" i="1"/>
  <c r="M728" i="1"/>
  <c r="L728" i="1"/>
  <c r="K728" i="1"/>
  <c r="J728" i="1"/>
  <c r="I728" i="1"/>
  <c r="H728" i="1"/>
  <c r="G728" i="1"/>
  <c r="R727" i="1"/>
  <c r="Q727" i="1"/>
  <c r="P727" i="1"/>
  <c r="O727" i="1"/>
  <c r="N727" i="1"/>
  <c r="M727" i="1"/>
  <c r="L727" i="1"/>
  <c r="K727" i="1"/>
  <c r="J727" i="1"/>
  <c r="I727" i="1"/>
  <c r="H727" i="1"/>
  <c r="G727" i="1"/>
  <c r="R726" i="1"/>
  <c r="Q726" i="1"/>
  <c r="P726" i="1"/>
  <c r="O726" i="1"/>
  <c r="N726" i="1"/>
  <c r="M726" i="1"/>
  <c r="L726" i="1"/>
  <c r="K726" i="1"/>
  <c r="J726" i="1"/>
  <c r="I726" i="1"/>
  <c r="H726" i="1"/>
  <c r="G726" i="1"/>
  <c r="R725" i="1"/>
  <c r="Q725" i="1"/>
  <c r="P725" i="1"/>
  <c r="O725" i="1"/>
  <c r="N725" i="1"/>
  <c r="M725" i="1"/>
  <c r="L725" i="1"/>
  <c r="K725" i="1"/>
  <c r="J725" i="1"/>
  <c r="I725" i="1"/>
  <c r="H725" i="1"/>
  <c r="G725" i="1"/>
  <c r="R724" i="1"/>
  <c r="Q724" i="1"/>
  <c r="P724" i="1"/>
  <c r="O724" i="1"/>
  <c r="N724" i="1"/>
  <c r="M724" i="1"/>
  <c r="L724" i="1"/>
  <c r="K724" i="1"/>
  <c r="J724" i="1"/>
  <c r="I724" i="1"/>
  <c r="H724" i="1"/>
  <c r="G724" i="1"/>
  <c r="R723" i="1"/>
  <c r="Q723" i="1"/>
  <c r="P723" i="1"/>
  <c r="O723" i="1"/>
  <c r="N723" i="1"/>
  <c r="M723" i="1"/>
  <c r="L723" i="1"/>
  <c r="K723" i="1"/>
  <c r="J723" i="1"/>
  <c r="I723" i="1"/>
  <c r="H723" i="1"/>
  <c r="G723" i="1"/>
  <c r="R722" i="1"/>
  <c r="Q722" i="1"/>
  <c r="P722" i="1"/>
  <c r="O722" i="1"/>
  <c r="N722" i="1"/>
  <c r="M722" i="1"/>
  <c r="L722" i="1"/>
  <c r="K722" i="1"/>
  <c r="J722" i="1"/>
  <c r="I722" i="1"/>
  <c r="H722" i="1"/>
  <c r="G722" i="1"/>
  <c r="R721" i="1"/>
  <c r="Q721" i="1"/>
  <c r="P721" i="1"/>
  <c r="O721" i="1"/>
  <c r="N721" i="1"/>
  <c r="M721" i="1"/>
  <c r="L721" i="1"/>
  <c r="K721" i="1"/>
  <c r="J721" i="1"/>
  <c r="I721" i="1"/>
  <c r="H721" i="1"/>
  <c r="G721" i="1"/>
  <c r="R720" i="1"/>
  <c r="Q720" i="1"/>
  <c r="P720" i="1"/>
  <c r="O720" i="1"/>
  <c r="N720" i="1"/>
  <c r="M720" i="1"/>
  <c r="L720" i="1"/>
  <c r="K720" i="1"/>
  <c r="J720" i="1"/>
  <c r="I720" i="1"/>
  <c r="H720" i="1"/>
  <c r="G720" i="1"/>
  <c r="R719" i="1"/>
  <c r="Q719" i="1"/>
  <c r="P719" i="1"/>
  <c r="O719" i="1"/>
  <c r="N719" i="1"/>
  <c r="M719" i="1"/>
  <c r="L719" i="1"/>
  <c r="K719" i="1"/>
  <c r="J719" i="1"/>
  <c r="I719" i="1"/>
  <c r="H719" i="1"/>
  <c r="G719" i="1"/>
  <c r="R718" i="1"/>
  <c r="Q718" i="1"/>
  <c r="P718" i="1"/>
  <c r="O718" i="1"/>
  <c r="N718" i="1"/>
  <c r="M718" i="1"/>
  <c r="L718" i="1"/>
  <c r="K718" i="1"/>
  <c r="J718" i="1"/>
  <c r="I718" i="1"/>
  <c r="H718" i="1"/>
  <c r="G718" i="1"/>
  <c r="R717" i="1"/>
  <c r="Q717" i="1"/>
  <c r="P717" i="1"/>
  <c r="O717" i="1"/>
  <c r="N717" i="1"/>
  <c r="M717" i="1"/>
  <c r="L717" i="1"/>
  <c r="K717" i="1"/>
  <c r="J717" i="1"/>
  <c r="I717" i="1"/>
  <c r="H717" i="1"/>
  <c r="G717" i="1"/>
  <c r="R716" i="1"/>
  <c r="Q716" i="1"/>
  <c r="P716" i="1"/>
  <c r="O716" i="1"/>
  <c r="N716" i="1"/>
  <c r="M716" i="1"/>
  <c r="L716" i="1"/>
  <c r="K716" i="1"/>
  <c r="J716" i="1"/>
  <c r="I716" i="1"/>
  <c r="H716" i="1"/>
  <c r="G716" i="1"/>
  <c r="R715" i="1"/>
  <c r="Q715" i="1"/>
  <c r="P715" i="1"/>
  <c r="O715" i="1"/>
  <c r="N715" i="1"/>
  <c r="M715" i="1"/>
  <c r="L715" i="1"/>
  <c r="K715" i="1"/>
  <c r="J715" i="1"/>
  <c r="I715" i="1"/>
  <c r="H715" i="1"/>
  <c r="G715" i="1"/>
  <c r="R714" i="1"/>
  <c r="Q714" i="1"/>
  <c r="P714" i="1"/>
  <c r="O714" i="1"/>
  <c r="N714" i="1"/>
  <c r="M714" i="1"/>
  <c r="L714" i="1"/>
  <c r="K714" i="1"/>
  <c r="J714" i="1"/>
  <c r="I714" i="1"/>
  <c r="H714" i="1"/>
  <c r="G714" i="1"/>
  <c r="R713" i="1"/>
  <c r="Q713" i="1"/>
  <c r="P713" i="1"/>
  <c r="O713" i="1"/>
  <c r="N713" i="1"/>
  <c r="M713" i="1"/>
  <c r="L713" i="1"/>
  <c r="K713" i="1"/>
  <c r="J713" i="1"/>
  <c r="I713" i="1"/>
  <c r="H713" i="1"/>
  <c r="G713" i="1"/>
  <c r="R712" i="1"/>
  <c r="Q712" i="1"/>
  <c r="P712" i="1"/>
  <c r="O712" i="1"/>
  <c r="N712" i="1"/>
  <c r="M712" i="1"/>
  <c r="L712" i="1"/>
  <c r="K712" i="1"/>
  <c r="J712" i="1"/>
  <c r="I712" i="1"/>
  <c r="H712" i="1"/>
  <c r="G712" i="1"/>
  <c r="R711" i="1"/>
  <c r="Q711" i="1"/>
  <c r="P711" i="1"/>
  <c r="O711" i="1"/>
  <c r="N711" i="1"/>
  <c r="M711" i="1"/>
  <c r="L711" i="1"/>
  <c r="K711" i="1"/>
  <c r="J711" i="1"/>
  <c r="I711" i="1"/>
  <c r="H711" i="1"/>
  <c r="G711" i="1"/>
  <c r="R710" i="1"/>
  <c r="Q710" i="1"/>
  <c r="P710" i="1"/>
  <c r="O710" i="1"/>
  <c r="N710" i="1"/>
  <c r="M710" i="1"/>
  <c r="L710" i="1"/>
  <c r="K710" i="1"/>
  <c r="J710" i="1"/>
  <c r="I710" i="1"/>
  <c r="H710" i="1"/>
  <c r="G710" i="1"/>
  <c r="R709" i="1"/>
  <c r="Q709" i="1"/>
  <c r="P709" i="1"/>
  <c r="O709" i="1"/>
  <c r="N709" i="1"/>
  <c r="M709" i="1"/>
  <c r="L709" i="1"/>
  <c r="K709" i="1"/>
  <c r="J709" i="1"/>
  <c r="I709" i="1"/>
  <c r="H709" i="1"/>
  <c r="G709" i="1"/>
  <c r="R708" i="1"/>
  <c r="Q708" i="1"/>
  <c r="P708" i="1"/>
  <c r="O708" i="1"/>
  <c r="N708" i="1"/>
  <c r="M708" i="1"/>
  <c r="L708" i="1"/>
  <c r="K708" i="1"/>
  <c r="J708" i="1"/>
  <c r="I708" i="1"/>
  <c r="H708" i="1"/>
  <c r="G708" i="1"/>
  <c r="R707" i="1"/>
  <c r="Q707" i="1"/>
  <c r="P707" i="1"/>
  <c r="O707" i="1"/>
  <c r="N707" i="1"/>
  <c r="M707" i="1"/>
  <c r="L707" i="1"/>
  <c r="K707" i="1"/>
  <c r="J707" i="1"/>
  <c r="I707" i="1"/>
  <c r="H707" i="1"/>
  <c r="G707" i="1"/>
  <c r="R706" i="1"/>
  <c r="Q706" i="1"/>
  <c r="P706" i="1"/>
  <c r="O706" i="1"/>
  <c r="N706" i="1"/>
  <c r="M706" i="1"/>
  <c r="L706" i="1"/>
  <c r="K706" i="1"/>
  <c r="J706" i="1"/>
  <c r="I706" i="1"/>
  <c r="H706" i="1"/>
  <c r="G706" i="1"/>
  <c r="R705" i="1"/>
  <c r="Q705" i="1"/>
  <c r="P705" i="1"/>
  <c r="O705" i="1"/>
  <c r="N705" i="1"/>
  <c r="M705" i="1"/>
  <c r="L705" i="1"/>
  <c r="K705" i="1"/>
  <c r="J705" i="1"/>
  <c r="I705" i="1"/>
  <c r="H705" i="1"/>
  <c r="G705" i="1"/>
  <c r="R704" i="1"/>
  <c r="Q704" i="1"/>
  <c r="P704" i="1"/>
  <c r="O704" i="1"/>
  <c r="N704" i="1"/>
  <c r="M704" i="1"/>
  <c r="L704" i="1"/>
  <c r="K704" i="1"/>
  <c r="J704" i="1"/>
  <c r="I704" i="1"/>
  <c r="H704" i="1"/>
  <c r="G704" i="1"/>
  <c r="R703" i="1"/>
  <c r="Q703" i="1"/>
  <c r="P703" i="1"/>
  <c r="O703" i="1"/>
  <c r="N703" i="1"/>
  <c r="M703" i="1"/>
  <c r="L703" i="1"/>
  <c r="K703" i="1"/>
  <c r="J703" i="1"/>
  <c r="I703" i="1"/>
  <c r="H703" i="1"/>
  <c r="G703" i="1"/>
  <c r="R702" i="1"/>
  <c r="Q702" i="1"/>
  <c r="P702" i="1"/>
  <c r="O702" i="1"/>
  <c r="N702" i="1"/>
  <c r="M702" i="1"/>
  <c r="L702" i="1"/>
  <c r="K702" i="1"/>
  <c r="J702" i="1"/>
  <c r="I702" i="1"/>
  <c r="H702" i="1"/>
  <c r="G702" i="1"/>
  <c r="R701" i="1"/>
  <c r="Q701" i="1"/>
  <c r="P701" i="1"/>
  <c r="O701" i="1"/>
  <c r="N701" i="1"/>
  <c r="M701" i="1"/>
  <c r="L701" i="1"/>
  <c r="K701" i="1"/>
  <c r="J701" i="1"/>
  <c r="I701" i="1"/>
  <c r="H701" i="1"/>
  <c r="G701" i="1"/>
  <c r="R700" i="1"/>
  <c r="Q700" i="1"/>
  <c r="P700" i="1"/>
  <c r="O700" i="1"/>
  <c r="N700" i="1"/>
  <c r="M700" i="1"/>
  <c r="L700" i="1"/>
  <c r="K700" i="1"/>
  <c r="J700" i="1"/>
  <c r="I700" i="1"/>
  <c r="H700" i="1"/>
  <c r="G700" i="1"/>
  <c r="R699" i="1"/>
  <c r="Q699" i="1"/>
  <c r="P699" i="1"/>
  <c r="O699" i="1"/>
  <c r="N699" i="1"/>
  <c r="M699" i="1"/>
  <c r="L699" i="1"/>
  <c r="K699" i="1"/>
  <c r="J699" i="1"/>
  <c r="I699" i="1"/>
  <c r="H699" i="1"/>
  <c r="G699" i="1"/>
  <c r="R698" i="1"/>
  <c r="Q698" i="1"/>
  <c r="P698" i="1"/>
  <c r="O698" i="1"/>
  <c r="N698" i="1"/>
  <c r="M698" i="1"/>
  <c r="L698" i="1"/>
  <c r="K698" i="1"/>
  <c r="J698" i="1"/>
  <c r="I698" i="1"/>
  <c r="H698" i="1"/>
  <c r="G698" i="1"/>
  <c r="R697" i="1"/>
  <c r="Q697" i="1"/>
  <c r="P697" i="1"/>
  <c r="O697" i="1"/>
  <c r="N697" i="1"/>
  <c r="M697" i="1"/>
  <c r="L697" i="1"/>
  <c r="K697" i="1"/>
  <c r="J697" i="1"/>
  <c r="I697" i="1"/>
  <c r="H697" i="1"/>
  <c r="G697" i="1"/>
  <c r="R696" i="1"/>
  <c r="Q696" i="1"/>
  <c r="P696" i="1"/>
  <c r="O696" i="1"/>
  <c r="N696" i="1"/>
  <c r="M696" i="1"/>
  <c r="L696" i="1"/>
  <c r="K696" i="1"/>
  <c r="J696" i="1"/>
  <c r="I696" i="1"/>
  <c r="H696" i="1"/>
  <c r="G696" i="1"/>
  <c r="R695" i="1"/>
  <c r="Q695" i="1"/>
  <c r="P695" i="1"/>
  <c r="O695" i="1"/>
  <c r="N695" i="1"/>
  <c r="M695" i="1"/>
  <c r="L695" i="1"/>
  <c r="K695" i="1"/>
  <c r="J695" i="1"/>
  <c r="I695" i="1"/>
  <c r="H695" i="1"/>
  <c r="G695" i="1"/>
  <c r="R694" i="1"/>
  <c r="Q694" i="1"/>
  <c r="P694" i="1"/>
  <c r="O694" i="1"/>
  <c r="N694" i="1"/>
  <c r="M694" i="1"/>
  <c r="L694" i="1"/>
  <c r="K694" i="1"/>
  <c r="J694" i="1"/>
  <c r="I694" i="1"/>
  <c r="H694" i="1"/>
  <c r="G694" i="1"/>
  <c r="R693" i="1"/>
  <c r="Q693" i="1"/>
  <c r="P693" i="1"/>
  <c r="O693" i="1"/>
  <c r="N693" i="1"/>
  <c r="M693" i="1"/>
  <c r="L693" i="1"/>
  <c r="K693" i="1"/>
  <c r="J693" i="1"/>
  <c r="I693" i="1"/>
  <c r="H693" i="1"/>
  <c r="G693" i="1"/>
  <c r="R692" i="1"/>
  <c r="Q692" i="1"/>
  <c r="P692" i="1"/>
  <c r="O692" i="1"/>
  <c r="N692" i="1"/>
  <c r="M692" i="1"/>
  <c r="L692" i="1"/>
  <c r="K692" i="1"/>
  <c r="J692" i="1"/>
  <c r="I692" i="1"/>
  <c r="H692" i="1"/>
  <c r="G692" i="1"/>
  <c r="R691" i="1"/>
  <c r="Q691" i="1"/>
  <c r="P691" i="1"/>
  <c r="O691" i="1"/>
  <c r="N691" i="1"/>
  <c r="M691" i="1"/>
  <c r="L691" i="1"/>
  <c r="K691" i="1"/>
  <c r="J691" i="1"/>
  <c r="I691" i="1"/>
  <c r="H691" i="1"/>
  <c r="G691" i="1"/>
  <c r="R690" i="1"/>
  <c r="Q690" i="1"/>
  <c r="P690" i="1"/>
  <c r="O690" i="1"/>
  <c r="N690" i="1"/>
  <c r="M690" i="1"/>
  <c r="L690" i="1"/>
  <c r="K690" i="1"/>
  <c r="J690" i="1"/>
  <c r="I690" i="1"/>
  <c r="H690" i="1"/>
  <c r="G690" i="1"/>
  <c r="R689" i="1"/>
  <c r="Q689" i="1"/>
  <c r="P689" i="1"/>
  <c r="O689" i="1"/>
  <c r="N689" i="1"/>
  <c r="M689" i="1"/>
  <c r="L689" i="1"/>
  <c r="K689" i="1"/>
  <c r="J689" i="1"/>
  <c r="I689" i="1"/>
  <c r="H689" i="1"/>
  <c r="G689" i="1"/>
  <c r="R688" i="1"/>
  <c r="Q688" i="1"/>
  <c r="P688" i="1"/>
  <c r="O688" i="1"/>
  <c r="N688" i="1"/>
  <c r="M688" i="1"/>
  <c r="L688" i="1"/>
  <c r="K688" i="1"/>
  <c r="J688" i="1"/>
  <c r="I688" i="1"/>
  <c r="H688" i="1"/>
  <c r="G688" i="1"/>
  <c r="R687" i="1"/>
  <c r="Q687" i="1"/>
  <c r="P687" i="1"/>
  <c r="O687" i="1"/>
  <c r="N687" i="1"/>
  <c r="M687" i="1"/>
  <c r="L687" i="1"/>
  <c r="K687" i="1"/>
  <c r="J687" i="1"/>
  <c r="I687" i="1"/>
  <c r="H687" i="1"/>
  <c r="G687" i="1"/>
  <c r="R686" i="1"/>
  <c r="Q686" i="1"/>
  <c r="P686" i="1"/>
  <c r="O686" i="1"/>
  <c r="N686" i="1"/>
  <c r="M686" i="1"/>
  <c r="L686" i="1"/>
  <c r="K686" i="1"/>
  <c r="J686" i="1"/>
  <c r="I686" i="1"/>
  <c r="H686" i="1"/>
  <c r="G686" i="1"/>
  <c r="R685" i="1"/>
  <c r="Q685" i="1"/>
  <c r="P685" i="1"/>
  <c r="O685" i="1"/>
  <c r="N685" i="1"/>
  <c r="M685" i="1"/>
  <c r="L685" i="1"/>
  <c r="K685" i="1"/>
  <c r="J685" i="1"/>
  <c r="I685" i="1"/>
  <c r="H685" i="1"/>
  <c r="G685" i="1"/>
  <c r="R684" i="1"/>
  <c r="Q684" i="1"/>
  <c r="P684" i="1"/>
  <c r="O684" i="1"/>
  <c r="N684" i="1"/>
  <c r="M684" i="1"/>
  <c r="L684" i="1"/>
  <c r="K684" i="1"/>
  <c r="J684" i="1"/>
  <c r="I684" i="1"/>
  <c r="H684" i="1"/>
  <c r="G684" i="1"/>
  <c r="R683" i="1"/>
  <c r="Q683" i="1"/>
  <c r="P683" i="1"/>
  <c r="O683" i="1"/>
  <c r="N683" i="1"/>
  <c r="M683" i="1"/>
  <c r="L683" i="1"/>
  <c r="K683" i="1"/>
  <c r="J683" i="1"/>
  <c r="I683" i="1"/>
  <c r="H683" i="1"/>
  <c r="G683" i="1"/>
  <c r="R682" i="1"/>
  <c r="Q682" i="1"/>
  <c r="P682" i="1"/>
  <c r="O682" i="1"/>
  <c r="N682" i="1"/>
  <c r="M682" i="1"/>
  <c r="L682" i="1"/>
  <c r="K682" i="1"/>
  <c r="J682" i="1"/>
  <c r="I682" i="1"/>
  <c r="H682" i="1"/>
  <c r="G682" i="1"/>
  <c r="R681" i="1"/>
  <c r="Q681" i="1"/>
  <c r="P681" i="1"/>
  <c r="O681" i="1"/>
  <c r="N681" i="1"/>
  <c r="M681" i="1"/>
  <c r="L681" i="1"/>
  <c r="K681" i="1"/>
  <c r="J681" i="1"/>
  <c r="I681" i="1"/>
  <c r="H681" i="1"/>
  <c r="G681" i="1"/>
  <c r="R680" i="1"/>
  <c r="Q680" i="1"/>
  <c r="P680" i="1"/>
  <c r="O680" i="1"/>
  <c r="N680" i="1"/>
  <c r="M680" i="1"/>
  <c r="L680" i="1"/>
  <c r="K680" i="1"/>
  <c r="J680" i="1"/>
  <c r="I680" i="1"/>
  <c r="H680" i="1"/>
  <c r="G680" i="1"/>
  <c r="R679" i="1"/>
  <c r="Q679" i="1"/>
  <c r="P679" i="1"/>
  <c r="O679" i="1"/>
  <c r="N679" i="1"/>
  <c r="M679" i="1"/>
  <c r="L679" i="1"/>
  <c r="K679" i="1"/>
  <c r="J679" i="1"/>
  <c r="I679" i="1"/>
  <c r="H679" i="1"/>
  <c r="G679" i="1"/>
  <c r="R678" i="1"/>
  <c r="Q678" i="1"/>
  <c r="P678" i="1"/>
  <c r="O678" i="1"/>
  <c r="N678" i="1"/>
  <c r="M678" i="1"/>
  <c r="L678" i="1"/>
  <c r="K678" i="1"/>
  <c r="J678" i="1"/>
  <c r="I678" i="1"/>
  <c r="H678" i="1"/>
  <c r="G678" i="1"/>
  <c r="R677" i="1"/>
  <c r="Q677" i="1"/>
  <c r="P677" i="1"/>
  <c r="O677" i="1"/>
  <c r="N677" i="1"/>
  <c r="M677" i="1"/>
  <c r="L677" i="1"/>
  <c r="K677" i="1"/>
  <c r="J677" i="1"/>
  <c r="I677" i="1"/>
  <c r="H677" i="1"/>
  <c r="G677" i="1"/>
  <c r="R676" i="1"/>
  <c r="Q676" i="1"/>
  <c r="P676" i="1"/>
  <c r="O676" i="1"/>
  <c r="N676" i="1"/>
  <c r="M676" i="1"/>
  <c r="L676" i="1"/>
  <c r="K676" i="1"/>
  <c r="J676" i="1"/>
  <c r="I676" i="1"/>
  <c r="H676" i="1"/>
  <c r="G676" i="1"/>
  <c r="R675" i="1"/>
  <c r="Q675" i="1"/>
  <c r="P675" i="1"/>
  <c r="O675" i="1"/>
  <c r="N675" i="1"/>
  <c r="M675" i="1"/>
  <c r="L675" i="1"/>
  <c r="K675" i="1"/>
  <c r="J675" i="1"/>
  <c r="I675" i="1"/>
  <c r="H675" i="1"/>
  <c r="G675" i="1"/>
  <c r="R674" i="1"/>
  <c r="Q674" i="1"/>
  <c r="P674" i="1"/>
  <c r="O674" i="1"/>
  <c r="N674" i="1"/>
  <c r="M674" i="1"/>
  <c r="L674" i="1"/>
  <c r="K674" i="1"/>
  <c r="J674" i="1"/>
  <c r="I674" i="1"/>
  <c r="H674" i="1"/>
  <c r="G674" i="1"/>
  <c r="R673" i="1"/>
  <c r="Q673" i="1"/>
  <c r="P673" i="1"/>
  <c r="O673" i="1"/>
  <c r="N673" i="1"/>
  <c r="M673" i="1"/>
  <c r="L673" i="1"/>
  <c r="K673" i="1"/>
  <c r="J673" i="1"/>
  <c r="I673" i="1"/>
  <c r="H673" i="1"/>
  <c r="G673" i="1"/>
  <c r="R672" i="1"/>
  <c r="Q672" i="1"/>
  <c r="P672" i="1"/>
  <c r="O672" i="1"/>
  <c r="N672" i="1"/>
  <c r="M672" i="1"/>
  <c r="L672" i="1"/>
  <c r="K672" i="1"/>
  <c r="J672" i="1"/>
  <c r="I672" i="1"/>
  <c r="H672" i="1"/>
  <c r="G672" i="1"/>
  <c r="R671" i="1"/>
  <c r="Q671" i="1"/>
  <c r="P671" i="1"/>
  <c r="O671" i="1"/>
  <c r="N671" i="1"/>
  <c r="M671" i="1"/>
  <c r="L671" i="1"/>
  <c r="K671" i="1"/>
  <c r="J671" i="1"/>
  <c r="I671" i="1"/>
  <c r="H671" i="1"/>
  <c r="G671" i="1"/>
  <c r="R670" i="1"/>
  <c r="Q670" i="1"/>
  <c r="P670" i="1"/>
  <c r="O670" i="1"/>
  <c r="N670" i="1"/>
  <c r="M670" i="1"/>
  <c r="L670" i="1"/>
  <c r="K670" i="1"/>
  <c r="J670" i="1"/>
  <c r="I670" i="1"/>
  <c r="H670" i="1"/>
  <c r="G670" i="1"/>
  <c r="R669" i="1"/>
  <c r="Q669" i="1"/>
  <c r="P669" i="1"/>
  <c r="O669" i="1"/>
  <c r="N669" i="1"/>
  <c r="M669" i="1"/>
  <c r="L669" i="1"/>
  <c r="K669" i="1"/>
  <c r="J669" i="1"/>
  <c r="I669" i="1"/>
  <c r="H669" i="1"/>
  <c r="G669" i="1"/>
  <c r="R668" i="1"/>
  <c r="Q668" i="1"/>
  <c r="P668" i="1"/>
  <c r="O668" i="1"/>
  <c r="N668" i="1"/>
  <c r="M668" i="1"/>
  <c r="L668" i="1"/>
  <c r="K668" i="1"/>
  <c r="J668" i="1"/>
  <c r="I668" i="1"/>
  <c r="H668" i="1"/>
  <c r="G668" i="1"/>
  <c r="R667" i="1"/>
  <c r="Q667" i="1"/>
  <c r="P667" i="1"/>
  <c r="O667" i="1"/>
  <c r="N667" i="1"/>
  <c r="M667" i="1"/>
  <c r="L667" i="1"/>
  <c r="K667" i="1"/>
  <c r="J667" i="1"/>
  <c r="I667" i="1"/>
  <c r="H667" i="1"/>
  <c r="G667" i="1"/>
  <c r="R666" i="1"/>
  <c r="Q666" i="1"/>
  <c r="P666" i="1"/>
  <c r="O666" i="1"/>
  <c r="N666" i="1"/>
  <c r="M666" i="1"/>
  <c r="L666" i="1"/>
  <c r="K666" i="1"/>
  <c r="J666" i="1"/>
  <c r="I666" i="1"/>
  <c r="H666" i="1"/>
  <c r="G666" i="1"/>
  <c r="R665" i="1"/>
  <c r="Q665" i="1"/>
  <c r="P665" i="1"/>
  <c r="O665" i="1"/>
  <c r="N665" i="1"/>
  <c r="M665" i="1"/>
  <c r="L665" i="1"/>
  <c r="K665" i="1"/>
  <c r="J665" i="1"/>
  <c r="I665" i="1"/>
  <c r="H665" i="1"/>
  <c r="G665" i="1"/>
  <c r="R664" i="1"/>
  <c r="Q664" i="1"/>
  <c r="P664" i="1"/>
  <c r="O664" i="1"/>
  <c r="N664" i="1"/>
  <c r="M664" i="1"/>
  <c r="L664" i="1"/>
  <c r="K664" i="1"/>
  <c r="J664" i="1"/>
  <c r="I664" i="1"/>
  <c r="H664" i="1"/>
  <c r="G664" i="1"/>
  <c r="R663" i="1"/>
  <c r="Q663" i="1"/>
  <c r="P663" i="1"/>
  <c r="O663" i="1"/>
  <c r="N663" i="1"/>
  <c r="M663" i="1"/>
  <c r="L663" i="1"/>
  <c r="K663" i="1"/>
  <c r="J663" i="1"/>
  <c r="I663" i="1"/>
  <c r="H663" i="1"/>
  <c r="G663" i="1"/>
  <c r="R662" i="1"/>
  <c r="Q662" i="1"/>
  <c r="P662" i="1"/>
  <c r="O662" i="1"/>
  <c r="N662" i="1"/>
  <c r="M662" i="1"/>
  <c r="L662" i="1"/>
  <c r="K662" i="1"/>
  <c r="J662" i="1"/>
  <c r="I662" i="1"/>
  <c r="H662" i="1"/>
  <c r="G662" i="1"/>
  <c r="R661" i="1"/>
  <c r="Q661" i="1"/>
  <c r="P661" i="1"/>
  <c r="O661" i="1"/>
  <c r="N661" i="1"/>
  <c r="M661" i="1"/>
  <c r="L661" i="1"/>
  <c r="K661" i="1"/>
  <c r="J661" i="1"/>
  <c r="I661" i="1"/>
  <c r="H661" i="1"/>
  <c r="G661" i="1"/>
  <c r="R660" i="1"/>
  <c r="Q660" i="1"/>
  <c r="P660" i="1"/>
  <c r="O660" i="1"/>
  <c r="N660" i="1"/>
  <c r="M660" i="1"/>
  <c r="L660" i="1"/>
  <c r="K660" i="1"/>
  <c r="J660" i="1"/>
  <c r="I660" i="1"/>
  <c r="H660" i="1"/>
  <c r="G660" i="1"/>
  <c r="R659" i="1"/>
  <c r="Q659" i="1"/>
  <c r="P659" i="1"/>
  <c r="O659" i="1"/>
  <c r="N659" i="1"/>
  <c r="M659" i="1"/>
  <c r="L659" i="1"/>
  <c r="K659" i="1"/>
  <c r="J659" i="1"/>
  <c r="I659" i="1"/>
  <c r="H659" i="1"/>
  <c r="G659" i="1"/>
  <c r="R658" i="1"/>
  <c r="Q658" i="1"/>
  <c r="P658" i="1"/>
  <c r="O658" i="1"/>
  <c r="N658" i="1"/>
  <c r="M658" i="1"/>
  <c r="L658" i="1"/>
  <c r="K658" i="1"/>
  <c r="J658" i="1"/>
  <c r="I658" i="1"/>
  <c r="H658" i="1"/>
  <c r="G658" i="1"/>
  <c r="R657" i="1"/>
  <c r="Q657" i="1"/>
  <c r="P657" i="1"/>
  <c r="O657" i="1"/>
  <c r="N657" i="1"/>
  <c r="M657" i="1"/>
  <c r="L657" i="1"/>
  <c r="K657" i="1"/>
  <c r="J657" i="1"/>
  <c r="I657" i="1"/>
  <c r="H657" i="1"/>
  <c r="G657" i="1"/>
  <c r="R656" i="1"/>
  <c r="Q656" i="1"/>
  <c r="P656" i="1"/>
  <c r="O656" i="1"/>
  <c r="N656" i="1"/>
  <c r="M656" i="1"/>
  <c r="L656" i="1"/>
  <c r="K656" i="1"/>
  <c r="J656" i="1"/>
  <c r="I656" i="1"/>
  <c r="H656" i="1"/>
  <c r="G656" i="1"/>
  <c r="R655" i="1"/>
  <c r="Q655" i="1"/>
  <c r="P655" i="1"/>
  <c r="O655" i="1"/>
  <c r="N655" i="1"/>
  <c r="M655" i="1"/>
  <c r="L655" i="1"/>
  <c r="K655" i="1"/>
  <c r="J655" i="1"/>
  <c r="I655" i="1"/>
  <c r="H655" i="1"/>
  <c r="G655" i="1"/>
  <c r="R654" i="1"/>
  <c r="Q654" i="1"/>
  <c r="P654" i="1"/>
  <c r="O654" i="1"/>
  <c r="N654" i="1"/>
  <c r="M654" i="1"/>
  <c r="L654" i="1"/>
  <c r="K654" i="1"/>
  <c r="J654" i="1"/>
  <c r="I654" i="1"/>
  <c r="H654" i="1"/>
  <c r="G654" i="1"/>
  <c r="R653" i="1"/>
  <c r="Q653" i="1"/>
  <c r="P653" i="1"/>
  <c r="O653" i="1"/>
  <c r="N653" i="1"/>
  <c r="M653" i="1"/>
  <c r="L653" i="1"/>
  <c r="K653" i="1"/>
  <c r="J653" i="1"/>
  <c r="I653" i="1"/>
  <c r="H653" i="1"/>
  <c r="G653" i="1"/>
  <c r="R652" i="1"/>
  <c r="Q652" i="1"/>
  <c r="P652" i="1"/>
  <c r="O652" i="1"/>
  <c r="N652" i="1"/>
  <c r="M652" i="1"/>
  <c r="L652" i="1"/>
  <c r="K652" i="1"/>
  <c r="J652" i="1"/>
  <c r="I652" i="1"/>
  <c r="H652" i="1"/>
  <c r="G652" i="1"/>
  <c r="R651" i="1"/>
  <c r="Q651" i="1"/>
  <c r="P651" i="1"/>
  <c r="O651" i="1"/>
  <c r="N651" i="1"/>
  <c r="M651" i="1"/>
  <c r="L651" i="1"/>
  <c r="K651" i="1"/>
  <c r="J651" i="1"/>
  <c r="I651" i="1"/>
  <c r="H651" i="1"/>
  <c r="G651" i="1"/>
  <c r="R650" i="1"/>
  <c r="Q650" i="1"/>
  <c r="P650" i="1"/>
  <c r="O650" i="1"/>
  <c r="N650" i="1"/>
  <c r="M650" i="1"/>
  <c r="L650" i="1"/>
  <c r="K650" i="1"/>
  <c r="J650" i="1"/>
  <c r="I650" i="1"/>
  <c r="H650" i="1"/>
  <c r="G650" i="1"/>
  <c r="R649" i="1"/>
  <c r="Q649" i="1"/>
  <c r="P649" i="1"/>
  <c r="O649" i="1"/>
  <c r="N649" i="1"/>
  <c r="M649" i="1"/>
  <c r="L649" i="1"/>
  <c r="K649" i="1"/>
  <c r="J649" i="1"/>
  <c r="I649" i="1"/>
  <c r="H649" i="1"/>
  <c r="G649" i="1"/>
  <c r="R648" i="1"/>
  <c r="Q648" i="1"/>
  <c r="P648" i="1"/>
  <c r="O648" i="1"/>
  <c r="N648" i="1"/>
  <c r="M648" i="1"/>
  <c r="L648" i="1"/>
  <c r="K648" i="1"/>
  <c r="J648" i="1"/>
  <c r="I648" i="1"/>
  <c r="H648" i="1"/>
  <c r="G648" i="1"/>
  <c r="R647" i="1"/>
  <c r="Q647" i="1"/>
  <c r="P647" i="1"/>
  <c r="O647" i="1"/>
  <c r="N647" i="1"/>
  <c r="M647" i="1"/>
  <c r="L647" i="1"/>
  <c r="K647" i="1"/>
  <c r="J647" i="1"/>
  <c r="I647" i="1"/>
  <c r="H647" i="1"/>
  <c r="G647" i="1"/>
  <c r="R646" i="1"/>
  <c r="Q646" i="1"/>
  <c r="P646" i="1"/>
  <c r="O646" i="1"/>
  <c r="N646" i="1"/>
  <c r="M646" i="1"/>
  <c r="L646" i="1"/>
  <c r="K646" i="1"/>
  <c r="J646" i="1"/>
  <c r="I646" i="1"/>
  <c r="H646" i="1"/>
  <c r="G646" i="1"/>
  <c r="R645" i="1"/>
  <c r="Q645" i="1"/>
  <c r="P645" i="1"/>
  <c r="O645" i="1"/>
  <c r="N645" i="1"/>
  <c r="M645" i="1"/>
  <c r="L645" i="1"/>
  <c r="K645" i="1"/>
  <c r="J645" i="1"/>
  <c r="I645" i="1"/>
  <c r="H645" i="1"/>
  <c r="G645" i="1"/>
  <c r="R644" i="1"/>
  <c r="Q644" i="1"/>
  <c r="P644" i="1"/>
  <c r="O644" i="1"/>
  <c r="N644" i="1"/>
  <c r="M644" i="1"/>
  <c r="L644" i="1"/>
  <c r="K644" i="1"/>
  <c r="J644" i="1"/>
  <c r="I644" i="1"/>
  <c r="H644" i="1"/>
  <c r="G644" i="1"/>
  <c r="R643" i="1"/>
  <c r="Q643" i="1"/>
  <c r="P643" i="1"/>
  <c r="O643" i="1"/>
  <c r="N643" i="1"/>
  <c r="M643" i="1"/>
  <c r="L643" i="1"/>
  <c r="K643" i="1"/>
  <c r="J643" i="1"/>
  <c r="I643" i="1"/>
  <c r="H643" i="1"/>
  <c r="G643" i="1"/>
  <c r="R642" i="1"/>
  <c r="Q642" i="1"/>
  <c r="P642" i="1"/>
  <c r="O642" i="1"/>
  <c r="N642" i="1"/>
  <c r="M642" i="1"/>
  <c r="L642" i="1"/>
  <c r="K642" i="1"/>
  <c r="J642" i="1"/>
  <c r="I642" i="1"/>
  <c r="H642" i="1"/>
  <c r="G642" i="1"/>
  <c r="R641" i="1"/>
  <c r="Q641" i="1"/>
  <c r="P641" i="1"/>
  <c r="O641" i="1"/>
  <c r="N641" i="1"/>
  <c r="M641" i="1"/>
  <c r="L641" i="1"/>
  <c r="K641" i="1"/>
  <c r="J641" i="1"/>
  <c r="I641" i="1"/>
  <c r="H641" i="1"/>
  <c r="G641" i="1"/>
  <c r="R640" i="1"/>
  <c r="Q640" i="1"/>
  <c r="P640" i="1"/>
  <c r="O640" i="1"/>
  <c r="N640" i="1"/>
  <c r="M640" i="1"/>
  <c r="L640" i="1"/>
  <c r="K640" i="1"/>
  <c r="J640" i="1"/>
  <c r="I640" i="1"/>
  <c r="H640" i="1"/>
  <c r="G640" i="1"/>
  <c r="R639" i="1"/>
  <c r="Q639" i="1"/>
  <c r="P639" i="1"/>
  <c r="O639" i="1"/>
  <c r="N639" i="1"/>
  <c r="M639" i="1"/>
  <c r="L639" i="1"/>
  <c r="K639" i="1"/>
  <c r="J639" i="1"/>
  <c r="I639" i="1"/>
  <c r="H639" i="1"/>
  <c r="G639" i="1"/>
  <c r="R638" i="1"/>
  <c r="Q638" i="1"/>
  <c r="P638" i="1"/>
  <c r="O638" i="1"/>
  <c r="N638" i="1"/>
  <c r="M638" i="1"/>
  <c r="L638" i="1"/>
  <c r="K638" i="1"/>
  <c r="J638" i="1"/>
  <c r="I638" i="1"/>
  <c r="H638" i="1"/>
  <c r="G638" i="1"/>
  <c r="R637" i="1"/>
  <c r="Q637" i="1"/>
  <c r="P637" i="1"/>
  <c r="O637" i="1"/>
  <c r="N637" i="1"/>
  <c r="M637" i="1"/>
  <c r="L637" i="1"/>
  <c r="K637" i="1"/>
  <c r="J637" i="1"/>
  <c r="I637" i="1"/>
  <c r="H637" i="1"/>
  <c r="G637" i="1"/>
  <c r="R636" i="1"/>
  <c r="Q636" i="1"/>
  <c r="P636" i="1"/>
  <c r="O636" i="1"/>
  <c r="N636" i="1"/>
  <c r="M636" i="1"/>
  <c r="L636" i="1"/>
  <c r="K636" i="1"/>
  <c r="J636" i="1"/>
  <c r="I636" i="1"/>
  <c r="H636" i="1"/>
  <c r="G636" i="1"/>
  <c r="R635" i="1"/>
  <c r="Q635" i="1"/>
  <c r="P635" i="1"/>
  <c r="O635" i="1"/>
  <c r="N635" i="1"/>
  <c r="M635" i="1"/>
  <c r="L635" i="1"/>
  <c r="K635" i="1"/>
  <c r="J635" i="1"/>
  <c r="I635" i="1"/>
  <c r="H635" i="1"/>
  <c r="G635" i="1"/>
  <c r="R634" i="1"/>
  <c r="Q634" i="1"/>
  <c r="P634" i="1"/>
  <c r="O634" i="1"/>
  <c r="N634" i="1"/>
  <c r="M634" i="1"/>
  <c r="L634" i="1"/>
  <c r="K634" i="1"/>
  <c r="J634" i="1"/>
  <c r="I634" i="1"/>
  <c r="H634" i="1"/>
  <c r="G634" i="1"/>
  <c r="R633" i="1"/>
  <c r="Q633" i="1"/>
  <c r="P633" i="1"/>
  <c r="O633" i="1"/>
  <c r="N633" i="1"/>
  <c r="M633" i="1"/>
  <c r="L633" i="1"/>
  <c r="K633" i="1"/>
  <c r="J633" i="1"/>
  <c r="I633" i="1"/>
  <c r="H633" i="1"/>
  <c r="G633" i="1"/>
  <c r="R632" i="1"/>
  <c r="Q632" i="1"/>
  <c r="P632" i="1"/>
  <c r="O632" i="1"/>
  <c r="N632" i="1"/>
  <c r="M632" i="1"/>
  <c r="L632" i="1"/>
  <c r="K632" i="1"/>
  <c r="J632" i="1"/>
  <c r="I632" i="1"/>
  <c r="H632" i="1"/>
  <c r="G632" i="1"/>
  <c r="R631" i="1"/>
  <c r="Q631" i="1"/>
  <c r="P631" i="1"/>
  <c r="O631" i="1"/>
  <c r="N631" i="1"/>
  <c r="M631" i="1"/>
  <c r="L631" i="1"/>
  <c r="K631" i="1"/>
  <c r="J631" i="1"/>
  <c r="I631" i="1"/>
  <c r="H631" i="1"/>
  <c r="G631" i="1"/>
  <c r="R630" i="1"/>
  <c r="Q630" i="1"/>
  <c r="P630" i="1"/>
  <c r="O630" i="1"/>
  <c r="N630" i="1"/>
  <c r="M630" i="1"/>
  <c r="L630" i="1"/>
  <c r="K630" i="1"/>
  <c r="J630" i="1"/>
  <c r="I630" i="1"/>
  <c r="H630" i="1"/>
  <c r="G630" i="1"/>
  <c r="R629" i="1"/>
  <c r="Q629" i="1"/>
  <c r="P629" i="1"/>
  <c r="O629" i="1"/>
  <c r="N629" i="1"/>
  <c r="M629" i="1"/>
  <c r="L629" i="1"/>
  <c r="K629" i="1"/>
  <c r="J629" i="1"/>
  <c r="I629" i="1"/>
  <c r="H629" i="1"/>
  <c r="G629" i="1"/>
  <c r="R628" i="1"/>
  <c r="Q628" i="1"/>
  <c r="P628" i="1"/>
  <c r="O628" i="1"/>
  <c r="N628" i="1"/>
  <c r="M628" i="1"/>
  <c r="L628" i="1"/>
  <c r="K628" i="1"/>
  <c r="J628" i="1"/>
  <c r="I628" i="1"/>
  <c r="H628" i="1"/>
  <c r="G628" i="1"/>
  <c r="R627" i="1"/>
  <c r="Q627" i="1"/>
  <c r="P627" i="1"/>
  <c r="O627" i="1"/>
  <c r="N627" i="1"/>
  <c r="M627" i="1"/>
  <c r="L627" i="1"/>
  <c r="K627" i="1"/>
  <c r="J627" i="1"/>
  <c r="I627" i="1"/>
  <c r="H627" i="1"/>
  <c r="G627" i="1"/>
  <c r="R626" i="1"/>
  <c r="Q626" i="1"/>
  <c r="P626" i="1"/>
  <c r="O626" i="1"/>
  <c r="N626" i="1"/>
  <c r="M626" i="1"/>
  <c r="L626" i="1"/>
  <c r="K626" i="1"/>
  <c r="J626" i="1"/>
  <c r="I626" i="1"/>
  <c r="H626" i="1"/>
  <c r="G626" i="1"/>
  <c r="R625" i="1"/>
  <c r="Q625" i="1"/>
  <c r="P625" i="1"/>
  <c r="O625" i="1"/>
  <c r="N625" i="1"/>
  <c r="M625" i="1"/>
  <c r="L625" i="1"/>
  <c r="K625" i="1"/>
  <c r="J625" i="1"/>
  <c r="I625" i="1"/>
  <c r="H625" i="1"/>
  <c r="G625" i="1"/>
  <c r="R624" i="1"/>
  <c r="Q624" i="1"/>
  <c r="P624" i="1"/>
  <c r="O624" i="1"/>
  <c r="N624" i="1"/>
  <c r="M624" i="1"/>
  <c r="L624" i="1"/>
  <c r="K624" i="1"/>
  <c r="J624" i="1"/>
  <c r="I624" i="1"/>
  <c r="H624" i="1"/>
  <c r="G624" i="1"/>
  <c r="R623" i="1"/>
  <c r="Q623" i="1"/>
  <c r="P623" i="1"/>
  <c r="O623" i="1"/>
  <c r="N623" i="1"/>
  <c r="M623" i="1"/>
  <c r="L623" i="1"/>
  <c r="K623" i="1"/>
  <c r="J623" i="1"/>
  <c r="I623" i="1"/>
  <c r="H623" i="1"/>
  <c r="G623" i="1"/>
  <c r="R622" i="1"/>
  <c r="Q622" i="1"/>
  <c r="P622" i="1"/>
  <c r="O622" i="1"/>
  <c r="N622" i="1"/>
  <c r="M622" i="1"/>
  <c r="L622" i="1"/>
  <c r="K622" i="1"/>
  <c r="J622" i="1"/>
  <c r="I622" i="1"/>
  <c r="H622" i="1"/>
  <c r="G622" i="1"/>
  <c r="R621" i="1"/>
  <c r="Q621" i="1"/>
  <c r="P621" i="1"/>
  <c r="O621" i="1"/>
  <c r="N621" i="1"/>
  <c r="M621" i="1"/>
  <c r="L621" i="1"/>
  <c r="K621" i="1"/>
  <c r="J621" i="1"/>
  <c r="I621" i="1"/>
  <c r="H621" i="1"/>
  <c r="G621" i="1"/>
  <c r="R620" i="1"/>
  <c r="Q620" i="1"/>
  <c r="P620" i="1"/>
  <c r="O620" i="1"/>
  <c r="N620" i="1"/>
  <c r="M620" i="1"/>
  <c r="L620" i="1"/>
  <c r="K620" i="1"/>
  <c r="J620" i="1"/>
  <c r="I620" i="1"/>
  <c r="H620" i="1"/>
  <c r="G620" i="1"/>
  <c r="R619" i="1"/>
  <c r="Q619" i="1"/>
  <c r="P619" i="1"/>
  <c r="O619" i="1"/>
  <c r="N619" i="1"/>
  <c r="M619" i="1"/>
  <c r="L619" i="1"/>
  <c r="K619" i="1"/>
  <c r="J619" i="1"/>
  <c r="I619" i="1"/>
  <c r="H619" i="1"/>
  <c r="G619" i="1"/>
  <c r="R618" i="1"/>
  <c r="Q618" i="1"/>
  <c r="P618" i="1"/>
  <c r="O618" i="1"/>
  <c r="N618" i="1"/>
  <c r="M618" i="1"/>
  <c r="L618" i="1"/>
  <c r="K618" i="1"/>
  <c r="J618" i="1"/>
  <c r="I618" i="1"/>
  <c r="H618" i="1"/>
  <c r="G618" i="1"/>
  <c r="R617" i="1"/>
  <c r="Q617" i="1"/>
  <c r="P617" i="1"/>
  <c r="O617" i="1"/>
  <c r="N617" i="1"/>
  <c r="M617" i="1"/>
  <c r="L617" i="1"/>
  <c r="K617" i="1"/>
  <c r="J617" i="1"/>
  <c r="I617" i="1"/>
  <c r="H617" i="1"/>
  <c r="G617" i="1"/>
  <c r="R616" i="1"/>
  <c r="Q616" i="1"/>
  <c r="P616" i="1"/>
  <c r="O616" i="1"/>
  <c r="N616" i="1"/>
  <c r="M616" i="1"/>
  <c r="L616" i="1"/>
  <c r="K616" i="1"/>
  <c r="J616" i="1"/>
  <c r="I616" i="1"/>
  <c r="H616" i="1"/>
  <c r="G616" i="1"/>
  <c r="R615" i="1"/>
  <c r="Q615" i="1"/>
  <c r="P615" i="1"/>
  <c r="O615" i="1"/>
  <c r="N615" i="1"/>
  <c r="M615" i="1"/>
  <c r="L615" i="1"/>
  <c r="K615" i="1"/>
  <c r="J615" i="1"/>
  <c r="I615" i="1"/>
  <c r="H615" i="1"/>
  <c r="G615" i="1"/>
  <c r="R614" i="1"/>
  <c r="Q614" i="1"/>
  <c r="P614" i="1"/>
  <c r="O614" i="1"/>
  <c r="N614" i="1"/>
  <c r="M614" i="1"/>
  <c r="L614" i="1"/>
  <c r="K614" i="1"/>
  <c r="J614" i="1"/>
  <c r="I614" i="1"/>
  <c r="H614" i="1"/>
  <c r="G614" i="1"/>
  <c r="R613" i="1"/>
  <c r="Q613" i="1"/>
  <c r="P613" i="1"/>
  <c r="O613" i="1"/>
  <c r="N613" i="1"/>
  <c r="M613" i="1"/>
  <c r="L613" i="1"/>
  <c r="K613" i="1"/>
  <c r="J613" i="1"/>
  <c r="I613" i="1"/>
  <c r="H613" i="1"/>
  <c r="G613" i="1"/>
  <c r="R612" i="1"/>
  <c r="Q612" i="1"/>
  <c r="P612" i="1"/>
  <c r="O612" i="1"/>
  <c r="N612" i="1"/>
  <c r="M612" i="1"/>
  <c r="L612" i="1"/>
  <c r="K612" i="1"/>
  <c r="J612" i="1"/>
  <c r="I612" i="1"/>
  <c r="H612" i="1"/>
  <c r="G612" i="1"/>
  <c r="R611" i="1"/>
  <c r="Q611" i="1"/>
  <c r="P611" i="1"/>
  <c r="O611" i="1"/>
  <c r="N611" i="1"/>
  <c r="M611" i="1"/>
  <c r="L611" i="1"/>
  <c r="K611" i="1"/>
  <c r="J611" i="1"/>
  <c r="I611" i="1"/>
  <c r="H611" i="1"/>
  <c r="G611" i="1"/>
  <c r="R610" i="1"/>
  <c r="Q610" i="1"/>
  <c r="P610" i="1"/>
  <c r="O610" i="1"/>
  <c r="N610" i="1"/>
  <c r="M610" i="1"/>
  <c r="L610" i="1"/>
  <c r="K610" i="1"/>
  <c r="J610" i="1"/>
  <c r="I610" i="1"/>
  <c r="H610" i="1"/>
  <c r="G610" i="1"/>
  <c r="R609" i="1"/>
  <c r="Q609" i="1"/>
  <c r="P609" i="1"/>
  <c r="O609" i="1"/>
  <c r="N609" i="1"/>
  <c r="M609" i="1"/>
  <c r="L609" i="1"/>
  <c r="K609" i="1"/>
  <c r="J609" i="1"/>
  <c r="I609" i="1"/>
  <c r="H609" i="1"/>
  <c r="G609" i="1"/>
  <c r="R608" i="1"/>
  <c r="Q608" i="1"/>
  <c r="P608" i="1"/>
  <c r="O608" i="1"/>
  <c r="N608" i="1"/>
  <c r="M608" i="1"/>
  <c r="L608" i="1"/>
  <c r="K608" i="1"/>
  <c r="J608" i="1"/>
  <c r="I608" i="1"/>
  <c r="H608" i="1"/>
  <c r="G608" i="1"/>
  <c r="R607" i="1"/>
  <c r="Q607" i="1"/>
  <c r="P607" i="1"/>
  <c r="O607" i="1"/>
  <c r="N607" i="1"/>
  <c r="M607" i="1"/>
  <c r="L607" i="1"/>
  <c r="K607" i="1"/>
  <c r="J607" i="1"/>
  <c r="I607" i="1"/>
  <c r="H607" i="1"/>
  <c r="G607" i="1"/>
  <c r="R606" i="1"/>
  <c r="Q606" i="1"/>
  <c r="P606" i="1"/>
  <c r="O606" i="1"/>
  <c r="N606" i="1"/>
  <c r="M606" i="1"/>
  <c r="L606" i="1"/>
  <c r="K606" i="1"/>
  <c r="J606" i="1"/>
  <c r="I606" i="1"/>
  <c r="H606" i="1"/>
  <c r="G606" i="1"/>
  <c r="R605" i="1"/>
  <c r="Q605" i="1"/>
  <c r="P605" i="1"/>
  <c r="O605" i="1"/>
  <c r="N605" i="1"/>
  <c r="M605" i="1"/>
  <c r="L605" i="1"/>
  <c r="K605" i="1"/>
  <c r="J605" i="1"/>
  <c r="I605" i="1"/>
  <c r="H605" i="1"/>
  <c r="G605" i="1"/>
  <c r="R604" i="1"/>
  <c r="Q604" i="1"/>
  <c r="P604" i="1"/>
  <c r="O604" i="1"/>
  <c r="N604" i="1"/>
  <c r="M604" i="1"/>
  <c r="L604" i="1"/>
  <c r="K604" i="1"/>
  <c r="J604" i="1"/>
  <c r="I604" i="1"/>
  <c r="H604" i="1"/>
  <c r="G604" i="1"/>
  <c r="R603" i="1"/>
  <c r="Q603" i="1"/>
  <c r="P603" i="1"/>
  <c r="O603" i="1"/>
  <c r="N603" i="1"/>
  <c r="M603" i="1"/>
  <c r="L603" i="1"/>
  <c r="K603" i="1"/>
  <c r="J603" i="1"/>
  <c r="I603" i="1"/>
  <c r="H603" i="1"/>
  <c r="G603" i="1"/>
  <c r="R602" i="1"/>
  <c r="Q602" i="1"/>
  <c r="P602" i="1"/>
  <c r="O602" i="1"/>
  <c r="N602" i="1"/>
  <c r="M602" i="1"/>
  <c r="L602" i="1"/>
  <c r="K602" i="1"/>
  <c r="J602" i="1"/>
  <c r="I602" i="1"/>
  <c r="H602" i="1"/>
  <c r="G602" i="1"/>
  <c r="R601" i="1"/>
  <c r="Q601" i="1"/>
  <c r="P601" i="1"/>
  <c r="O601" i="1"/>
  <c r="N601" i="1"/>
  <c r="M601" i="1"/>
  <c r="L601" i="1"/>
  <c r="K601" i="1"/>
  <c r="J601" i="1"/>
  <c r="I601" i="1"/>
  <c r="H601" i="1"/>
  <c r="G601" i="1"/>
  <c r="R600" i="1"/>
  <c r="Q600" i="1"/>
  <c r="P600" i="1"/>
  <c r="O600" i="1"/>
  <c r="N600" i="1"/>
  <c r="M600" i="1"/>
  <c r="L600" i="1"/>
  <c r="K600" i="1"/>
  <c r="J600" i="1"/>
  <c r="I600" i="1"/>
  <c r="H600" i="1"/>
  <c r="G600" i="1"/>
  <c r="R599" i="1"/>
  <c r="Q599" i="1"/>
  <c r="P599" i="1"/>
  <c r="O599" i="1"/>
  <c r="N599" i="1"/>
  <c r="M599" i="1"/>
  <c r="L599" i="1"/>
  <c r="K599" i="1"/>
  <c r="J599" i="1"/>
  <c r="I599" i="1"/>
  <c r="H599" i="1"/>
  <c r="G599" i="1"/>
  <c r="R598" i="1"/>
  <c r="Q598" i="1"/>
  <c r="P598" i="1"/>
  <c r="O598" i="1"/>
  <c r="N598" i="1"/>
  <c r="M598" i="1"/>
  <c r="L598" i="1"/>
  <c r="K598" i="1"/>
  <c r="J598" i="1"/>
  <c r="I598" i="1"/>
  <c r="H598" i="1"/>
  <c r="G598" i="1"/>
  <c r="R597" i="1"/>
  <c r="Q597" i="1"/>
  <c r="P597" i="1"/>
  <c r="O597" i="1"/>
  <c r="N597" i="1"/>
  <c r="M597" i="1"/>
  <c r="L597" i="1"/>
  <c r="K597" i="1"/>
  <c r="J597" i="1"/>
  <c r="I597" i="1"/>
  <c r="H597" i="1"/>
  <c r="G597" i="1"/>
  <c r="R596" i="1"/>
  <c r="Q596" i="1"/>
  <c r="P596" i="1"/>
  <c r="O596" i="1"/>
  <c r="N596" i="1"/>
  <c r="M596" i="1"/>
  <c r="L596" i="1"/>
  <c r="K596" i="1"/>
  <c r="J596" i="1"/>
  <c r="I596" i="1"/>
  <c r="H596" i="1"/>
  <c r="G596" i="1"/>
  <c r="R595" i="1"/>
  <c r="Q595" i="1"/>
  <c r="P595" i="1"/>
  <c r="O595" i="1"/>
  <c r="N595" i="1"/>
  <c r="M595" i="1"/>
  <c r="L595" i="1"/>
  <c r="K595" i="1"/>
  <c r="J595" i="1"/>
  <c r="I595" i="1"/>
  <c r="H595" i="1"/>
  <c r="G595" i="1"/>
  <c r="R594" i="1"/>
  <c r="Q594" i="1"/>
  <c r="P594" i="1"/>
  <c r="O594" i="1"/>
  <c r="N594" i="1"/>
  <c r="M594" i="1"/>
  <c r="L594" i="1"/>
  <c r="K594" i="1"/>
  <c r="J594" i="1"/>
  <c r="I594" i="1"/>
  <c r="H594" i="1"/>
  <c r="G594" i="1"/>
  <c r="R593" i="1"/>
  <c r="Q593" i="1"/>
  <c r="P593" i="1"/>
  <c r="O593" i="1"/>
  <c r="N593" i="1"/>
  <c r="M593" i="1"/>
  <c r="L593" i="1"/>
  <c r="K593" i="1"/>
  <c r="J593" i="1"/>
  <c r="I593" i="1"/>
  <c r="H593" i="1"/>
  <c r="G593" i="1"/>
  <c r="R592" i="1"/>
  <c r="Q592" i="1"/>
  <c r="P592" i="1"/>
  <c r="O592" i="1"/>
  <c r="N592" i="1"/>
  <c r="M592" i="1"/>
  <c r="L592" i="1"/>
  <c r="K592" i="1"/>
  <c r="J592" i="1"/>
  <c r="I592" i="1"/>
  <c r="H592" i="1"/>
  <c r="G592" i="1"/>
  <c r="R591" i="1"/>
  <c r="Q591" i="1"/>
  <c r="P591" i="1"/>
  <c r="O591" i="1"/>
  <c r="N591" i="1"/>
  <c r="M591" i="1"/>
  <c r="L591" i="1"/>
  <c r="K591" i="1"/>
  <c r="J591" i="1"/>
  <c r="I591" i="1"/>
  <c r="H591" i="1"/>
  <c r="G591" i="1"/>
  <c r="R590" i="1"/>
  <c r="Q590" i="1"/>
  <c r="P590" i="1"/>
  <c r="O590" i="1"/>
  <c r="N590" i="1"/>
  <c r="M590" i="1"/>
  <c r="L590" i="1"/>
  <c r="K590" i="1"/>
  <c r="J590" i="1"/>
  <c r="I590" i="1"/>
  <c r="H590" i="1"/>
  <c r="G590" i="1"/>
  <c r="R589" i="1"/>
  <c r="Q589" i="1"/>
  <c r="P589" i="1"/>
  <c r="O589" i="1"/>
  <c r="N589" i="1"/>
  <c r="M589" i="1"/>
  <c r="L589" i="1"/>
  <c r="K589" i="1"/>
  <c r="J589" i="1"/>
  <c r="I589" i="1"/>
  <c r="H589" i="1"/>
  <c r="G589" i="1"/>
  <c r="R588" i="1"/>
  <c r="Q588" i="1"/>
  <c r="P588" i="1"/>
  <c r="O588" i="1"/>
  <c r="N588" i="1"/>
  <c r="M588" i="1"/>
  <c r="L588" i="1"/>
  <c r="K588" i="1"/>
  <c r="J588" i="1"/>
  <c r="I588" i="1"/>
  <c r="H588" i="1"/>
  <c r="G588" i="1"/>
  <c r="R587" i="1"/>
  <c r="Q587" i="1"/>
  <c r="P587" i="1"/>
  <c r="O587" i="1"/>
  <c r="N587" i="1"/>
  <c r="M587" i="1"/>
  <c r="L587" i="1"/>
  <c r="K587" i="1"/>
  <c r="J587" i="1"/>
  <c r="I587" i="1"/>
  <c r="H587" i="1"/>
  <c r="G587" i="1"/>
  <c r="R586" i="1"/>
  <c r="Q586" i="1"/>
  <c r="P586" i="1"/>
  <c r="O586" i="1"/>
  <c r="N586" i="1"/>
  <c r="M586" i="1"/>
  <c r="L586" i="1"/>
  <c r="K586" i="1"/>
  <c r="J586" i="1"/>
  <c r="I586" i="1"/>
  <c r="H586" i="1"/>
  <c r="G586" i="1"/>
  <c r="R585" i="1"/>
  <c r="Q585" i="1"/>
  <c r="P585" i="1"/>
  <c r="O585" i="1"/>
  <c r="N585" i="1"/>
  <c r="M585" i="1"/>
  <c r="L585" i="1"/>
  <c r="K585" i="1"/>
  <c r="J585" i="1"/>
  <c r="I585" i="1"/>
  <c r="H585" i="1"/>
  <c r="G585" i="1"/>
  <c r="R584" i="1"/>
  <c r="Q584" i="1"/>
  <c r="P584" i="1"/>
  <c r="O584" i="1"/>
  <c r="N584" i="1"/>
  <c r="M584" i="1"/>
  <c r="L584" i="1"/>
  <c r="K584" i="1"/>
  <c r="J584" i="1"/>
  <c r="I584" i="1"/>
  <c r="H584" i="1"/>
  <c r="G584" i="1"/>
  <c r="R583" i="1"/>
  <c r="Q583" i="1"/>
  <c r="P583" i="1"/>
  <c r="O583" i="1"/>
  <c r="N583" i="1"/>
  <c r="M583" i="1"/>
  <c r="L583" i="1"/>
  <c r="K583" i="1"/>
  <c r="J583" i="1"/>
  <c r="I583" i="1"/>
  <c r="H583" i="1"/>
  <c r="G583" i="1"/>
  <c r="R582" i="1"/>
  <c r="Q582" i="1"/>
  <c r="P582" i="1"/>
  <c r="O582" i="1"/>
  <c r="N582" i="1"/>
  <c r="M582" i="1"/>
  <c r="L582" i="1"/>
  <c r="K582" i="1"/>
  <c r="J582" i="1"/>
  <c r="I582" i="1"/>
  <c r="H582" i="1"/>
  <c r="G582" i="1"/>
  <c r="R581" i="1"/>
  <c r="Q581" i="1"/>
  <c r="P581" i="1"/>
  <c r="O581" i="1"/>
  <c r="N581" i="1"/>
  <c r="M581" i="1"/>
  <c r="L581" i="1"/>
  <c r="K581" i="1"/>
  <c r="J581" i="1"/>
  <c r="I581" i="1"/>
  <c r="H581" i="1"/>
  <c r="G581" i="1"/>
  <c r="R580" i="1"/>
  <c r="Q580" i="1"/>
  <c r="P580" i="1"/>
  <c r="O580" i="1"/>
  <c r="N580" i="1"/>
  <c r="M580" i="1"/>
  <c r="L580" i="1"/>
  <c r="K580" i="1"/>
  <c r="J580" i="1"/>
  <c r="I580" i="1"/>
  <c r="H580" i="1"/>
  <c r="G580" i="1"/>
  <c r="R579" i="1"/>
  <c r="Q579" i="1"/>
  <c r="P579" i="1"/>
  <c r="O579" i="1"/>
  <c r="N579" i="1"/>
  <c r="M579" i="1"/>
  <c r="L579" i="1"/>
  <c r="K579" i="1"/>
  <c r="J579" i="1"/>
  <c r="I579" i="1"/>
  <c r="H579" i="1"/>
  <c r="G579" i="1"/>
  <c r="R578" i="1"/>
  <c r="Q578" i="1"/>
  <c r="P578" i="1"/>
  <c r="O578" i="1"/>
  <c r="N578" i="1"/>
  <c r="M578" i="1"/>
  <c r="L578" i="1"/>
  <c r="K578" i="1"/>
  <c r="J578" i="1"/>
  <c r="I578" i="1"/>
  <c r="H578" i="1"/>
  <c r="G578" i="1"/>
  <c r="R577" i="1"/>
  <c r="Q577" i="1"/>
  <c r="P577" i="1"/>
  <c r="O577" i="1"/>
  <c r="N577" i="1"/>
  <c r="M577" i="1"/>
  <c r="L577" i="1"/>
  <c r="K577" i="1"/>
  <c r="J577" i="1"/>
  <c r="I577" i="1"/>
  <c r="H577" i="1"/>
  <c r="G577" i="1"/>
  <c r="R576" i="1"/>
  <c r="Q576" i="1"/>
  <c r="P576" i="1"/>
  <c r="O576" i="1"/>
  <c r="N576" i="1"/>
  <c r="M576" i="1"/>
  <c r="L576" i="1"/>
  <c r="K576" i="1"/>
  <c r="J576" i="1"/>
  <c r="I576" i="1"/>
  <c r="H576" i="1"/>
  <c r="G576" i="1"/>
  <c r="R575" i="1"/>
  <c r="Q575" i="1"/>
  <c r="P575" i="1"/>
  <c r="O575" i="1"/>
  <c r="N575" i="1"/>
  <c r="M575" i="1"/>
  <c r="L575" i="1"/>
  <c r="K575" i="1"/>
  <c r="J575" i="1"/>
  <c r="I575" i="1"/>
  <c r="H575" i="1"/>
  <c r="G575" i="1"/>
  <c r="R574" i="1"/>
  <c r="Q574" i="1"/>
  <c r="P574" i="1"/>
  <c r="O574" i="1"/>
  <c r="N574" i="1"/>
  <c r="M574" i="1"/>
  <c r="L574" i="1"/>
  <c r="K574" i="1"/>
  <c r="J574" i="1"/>
  <c r="I574" i="1"/>
  <c r="H574" i="1"/>
  <c r="G574" i="1"/>
  <c r="R573" i="1"/>
  <c r="Q573" i="1"/>
  <c r="P573" i="1"/>
  <c r="O573" i="1"/>
  <c r="N573" i="1"/>
  <c r="M573" i="1"/>
  <c r="L573" i="1"/>
  <c r="K573" i="1"/>
  <c r="J573" i="1"/>
  <c r="I573" i="1"/>
  <c r="H573" i="1"/>
  <c r="G573" i="1"/>
  <c r="R572" i="1"/>
  <c r="Q572" i="1"/>
  <c r="P572" i="1"/>
  <c r="O572" i="1"/>
  <c r="N572" i="1"/>
  <c r="M572" i="1"/>
  <c r="L572" i="1"/>
  <c r="K572" i="1"/>
  <c r="J572" i="1"/>
  <c r="I572" i="1"/>
  <c r="H572" i="1"/>
  <c r="G572" i="1"/>
  <c r="R571" i="1"/>
  <c r="Q571" i="1"/>
  <c r="P571" i="1"/>
  <c r="O571" i="1"/>
  <c r="N571" i="1"/>
  <c r="M571" i="1"/>
  <c r="L571" i="1"/>
  <c r="K571" i="1"/>
  <c r="J571" i="1"/>
  <c r="I571" i="1"/>
  <c r="H571" i="1"/>
  <c r="G571" i="1"/>
  <c r="R570" i="1"/>
  <c r="Q570" i="1"/>
  <c r="P570" i="1"/>
  <c r="O570" i="1"/>
  <c r="N570" i="1"/>
  <c r="M570" i="1"/>
  <c r="L570" i="1"/>
  <c r="K570" i="1"/>
  <c r="J570" i="1"/>
  <c r="I570" i="1"/>
  <c r="H570" i="1"/>
  <c r="G570" i="1"/>
  <c r="R569" i="1"/>
  <c r="Q569" i="1"/>
  <c r="P569" i="1"/>
  <c r="O569" i="1"/>
  <c r="N569" i="1"/>
  <c r="M569" i="1"/>
  <c r="L569" i="1"/>
  <c r="K569" i="1"/>
  <c r="J569" i="1"/>
  <c r="I569" i="1"/>
  <c r="H569" i="1"/>
  <c r="G569" i="1"/>
  <c r="R568" i="1"/>
  <c r="Q568" i="1"/>
  <c r="P568" i="1"/>
  <c r="O568" i="1"/>
  <c r="N568" i="1"/>
  <c r="M568" i="1"/>
  <c r="L568" i="1"/>
  <c r="K568" i="1"/>
  <c r="J568" i="1"/>
  <c r="I568" i="1"/>
  <c r="H568" i="1"/>
  <c r="G568" i="1"/>
  <c r="R567" i="1"/>
  <c r="Q567" i="1"/>
  <c r="P567" i="1"/>
  <c r="O567" i="1"/>
  <c r="N567" i="1"/>
  <c r="M567" i="1"/>
  <c r="L567" i="1"/>
  <c r="K567" i="1"/>
  <c r="J567" i="1"/>
  <c r="I567" i="1"/>
  <c r="H567" i="1"/>
  <c r="G567" i="1"/>
  <c r="R566" i="1"/>
  <c r="Q566" i="1"/>
  <c r="P566" i="1"/>
  <c r="O566" i="1"/>
  <c r="N566" i="1"/>
  <c r="M566" i="1"/>
  <c r="L566" i="1"/>
  <c r="K566" i="1"/>
  <c r="J566" i="1"/>
  <c r="I566" i="1"/>
  <c r="H566" i="1"/>
  <c r="G566" i="1"/>
  <c r="R565" i="1"/>
  <c r="Q565" i="1"/>
  <c r="P565" i="1"/>
  <c r="O565" i="1"/>
  <c r="N565" i="1"/>
  <c r="M565" i="1"/>
  <c r="L565" i="1"/>
  <c r="K565" i="1"/>
  <c r="J565" i="1"/>
  <c r="I565" i="1"/>
  <c r="H565" i="1"/>
  <c r="G565" i="1"/>
  <c r="R564" i="1"/>
  <c r="Q564" i="1"/>
  <c r="P564" i="1"/>
  <c r="O564" i="1"/>
  <c r="N564" i="1"/>
  <c r="M564" i="1"/>
  <c r="L564" i="1"/>
  <c r="K564" i="1"/>
  <c r="J564" i="1"/>
  <c r="I564" i="1"/>
  <c r="H564" i="1"/>
  <c r="G564" i="1"/>
  <c r="R563" i="1"/>
  <c r="Q563" i="1"/>
  <c r="P563" i="1"/>
  <c r="O563" i="1"/>
  <c r="N563" i="1"/>
  <c r="M563" i="1"/>
  <c r="L563" i="1"/>
  <c r="K563" i="1"/>
  <c r="J563" i="1"/>
  <c r="I563" i="1"/>
  <c r="H563" i="1"/>
  <c r="G563" i="1"/>
  <c r="R562" i="1"/>
  <c r="Q562" i="1"/>
  <c r="P562" i="1"/>
  <c r="O562" i="1"/>
  <c r="N562" i="1"/>
  <c r="M562" i="1"/>
  <c r="L562" i="1"/>
  <c r="K562" i="1"/>
  <c r="J562" i="1"/>
  <c r="I562" i="1"/>
  <c r="H562" i="1"/>
  <c r="G562" i="1"/>
  <c r="R561" i="1"/>
  <c r="Q561" i="1"/>
  <c r="P561" i="1"/>
  <c r="O561" i="1"/>
  <c r="N561" i="1"/>
  <c r="M561" i="1"/>
  <c r="L561" i="1"/>
  <c r="K561" i="1"/>
  <c r="J561" i="1"/>
  <c r="I561" i="1"/>
  <c r="H561" i="1"/>
  <c r="G561" i="1"/>
  <c r="R560" i="1"/>
  <c r="Q560" i="1"/>
  <c r="P560" i="1"/>
  <c r="O560" i="1"/>
  <c r="N560" i="1"/>
  <c r="M560" i="1"/>
  <c r="L560" i="1"/>
  <c r="K560" i="1"/>
  <c r="J560" i="1"/>
  <c r="I560" i="1"/>
  <c r="H560" i="1"/>
  <c r="G560" i="1"/>
  <c r="R559" i="1"/>
  <c r="Q559" i="1"/>
  <c r="P559" i="1"/>
  <c r="O559" i="1"/>
  <c r="N559" i="1"/>
  <c r="M559" i="1"/>
  <c r="L559" i="1"/>
  <c r="K559" i="1"/>
  <c r="J559" i="1"/>
  <c r="I559" i="1"/>
  <c r="H559" i="1"/>
  <c r="G559" i="1"/>
  <c r="R558" i="1"/>
  <c r="Q558" i="1"/>
  <c r="P558" i="1"/>
  <c r="O558" i="1"/>
  <c r="N558" i="1"/>
  <c r="M558" i="1"/>
  <c r="L558" i="1"/>
  <c r="K558" i="1"/>
  <c r="J558" i="1"/>
  <c r="I558" i="1"/>
  <c r="H558" i="1"/>
  <c r="G558" i="1"/>
  <c r="R557" i="1"/>
  <c r="Q557" i="1"/>
  <c r="P557" i="1"/>
  <c r="O557" i="1"/>
  <c r="N557" i="1"/>
  <c r="M557" i="1"/>
  <c r="L557" i="1"/>
  <c r="K557" i="1"/>
  <c r="J557" i="1"/>
  <c r="I557" i="1"/>
  <c r="H557" i="1"/>
  <c r="G557" i="1"/>
  <c r="R556" i="1"/>
  <c r="Q556" i="1"/>
  <c r="P556" i="1"/>
  <c r="O556" i="1"/>
  <c r="N556" i="1"/>
  <c r="M556" i="1"/>
  <c r="L556" i="1"/>
  <c r="K556" i="1"/>
  <c r="J556" i="1"/>
  <c r="I556" i="1"/>
  <c r="H556" i="1"/>
  <c r="G556" i="1"/>
  <c r="R555" i="1"/>
  <c r="Q555" i="1"/>
  <c r="P555" i="1"/>
  <c r="O555" i="1"/>
  <c r="N555" i="1"/>
  <c r="M555" i="1"/>
  <c r="L555" i="1"/>
  <c r="K555" i="1"/>
  <c r="J555" i="1"/>
  <c r="I555" i="1"/>
  <c r="H555" i="1"/>
  <c r="G555" i="1"/>
  <c r="R554" i="1"/>
  <c r="Q554" i="1"/>
  <c r="P554" i="1"/>
  <c r="O554" i="1"/>
  <c r="N554" i="1"/>
  <c r="M554" i="1"/>
  <c r="L554" i="1"/>
  <c r="K554" i="1"/>
  <c r="J554" i="1"/>
  <c r="I554" i="1"/>
  <c r="H554" i="1"/>
  <c r="G554" i="1"/>
  <c r="R553" i="1"/>
  <c r="Q553" i="1"/>
  <c r="P553" i="1"/>
  <c r="O553" i="1"/>
  <c r="N553" i="1"/>
  <c r="M553" i="1"/>
  <c r="L553" i="1"/>
  <c r="K553" i="1"/>
  <c r="J553" i="1"/>
  <c r="I553" i="1"/>
  <c r="H553" i="1"/>
  <c r="G553" i="1"/>
  <c r="R552" i="1"/>
  <c r="Q552" i="1"/>
  <c r="P552" i="1"/>
  <c r="O552" i="1"/>
  <c r="N552" i="1"/>
  <c r="M552" i="1"/>
  <c r="L552" i="1"/>
  <c r="K552" i="1"/>
  <c r="J552" i="1"/>
  <c r="I552" i="1"/>
  <c r="H552" i="1"/>
  <c r="G552" i="1"/>
  <c r="R551" i="1"/>
  <c r="Q551" i="1"/>
  <c r="P551" i="1"/>
  <c r="O551" i="1"/>
  <c r="N551" i="1"/>
  <c r="M551" i="1"/>
  <c r="L551" i="1"/>
  <c r="K551" i="1"/>
  <c r="J551" i="1"/>
  <c r="I551" i="1"/>
  <c r="H551" i="1"/>
  <c r="G551" i="1"/>
  <c r="R550" i="1"/>
  <c r="Q550" i="1"/>
  <c r="P550" i="1"/>
  <c r="O550" i="1"/>
  <c r="N550" i="1"/>
  <c r="M550" i="1"/>
  <c r="L550" i="1"/>
  <c r="K550" i="1"/>
  <c r="J550" i="1"/>
  <c r="I550" i="1"/>
  <c r="H550" i="1"/>
  <c r="G550" i="1"/>
  <c r="R549" i="1"/>
  <c r="Q549" i="1"/>
  <c r="P549" i="1"/>
  <c r="O549" i="1"/>
  <c r="N549" i="1"/>
  <c r="M549" i="1"/>
  <c r="L549" i="1"/>
  <c r="K549" i="1"/>
  <c r="J549" i="1"/>
  <c r="I549" i="1"/>
  <c r="H549" i="1"/>
  <c r="G549" i="1"/>
  <c r="R548" i="1"/>
  <c r="Q548" i="1"/>
  <c r="P548" i="1"/>
  <c r="O548" i="1"/>
  <c r="N548" i="1"/>
  <c r="M548" i="1"/>
  <c r="L548" i="1"/>
  <c r="K548" i="1"/>
  <c r="J548" i="1"/>
  <c r="I548" i="1"/>
  <c r="H548" i="1"/>
  <c r="G548" i="1"/>
  <c r="R547" i="1"/>
  <c r="Q547" i="1"/>
  <c r="P547" i="1"/>
  <c r="O547" i="1"/>
  <c r="N547" i="1"/>
  <c r="M547" i="1"/>
  <c r="L547" i="1"/>
  <c r="K547" i="1"/>
  <c r="J547" i="1"/>
  <c r="I547" i="1"/>
  <c r="H547" i="1"/>
  <c r="G547" i="1"/>
  <c r="R546" i="1"/>
  <c r="Q546" i="1"/>
  <c r="P546" i="1"/>
  <c r="O546" i="1"/>
  <c r="N546" i="1"/>
  <c r="M546" i="1"/>
  <c r="L546" i="1"/>
  <c r="K546" i="1"/>
  <c r="J546" i="1"/>
  <c r="I546" i="1"/>
  <c r="H546" i="1"/>
  <c r="G546" i="1"/>
  <c r="R545" i="1"/>
  <c r="Q545" i="1"/>
  <c r="P545" i="1"/>
  <c r="O545" i="1"/>
  <c r="N545" i="1"/>
  <c r="M545" i="1"/>
  <c r="L545" i="1"/>
  <c r="K545" i="1"/>
  <c r="J545" i="1"/>
  <c r="I545" i="1"/>
  <c r="H545" i="1"/>
  <c r="G545" i="1"/>
  <c r="R544" i="1"/>
  <c r="Q544" i="1"/>
  <c r="P544" i="1"/>
  <c r="O544" i="1"/>
  <c r="N544" i="1"/>
  <c r="M544" i="1"/>
  <c r="L544" i="1"/>
  <c r="K544" i="1"/>
  <c r="J544" i="1"/>
  <c r="I544" i="1"/>
  <c r="H544" i="1"/>
  <c r="G544" i="1"/>
  <c r="R543" i="1"/>
  <c r="Q543" i="1"/>
  <c r="P543" i="1"/>
  <c r="O543" i="1"/>
  <c r="N543" i="1"/>
  <c r="M543" i="1"/>
  <c r="L543" i="1"/>
  <c r="K543" i="1"/>
  <c r="J543" i="1"/>
  <c r="I543" i="1"/>
  <c r="H543" i="1"/>
  <c r="G543" i="1"/>
  <c r="R542" i="1"/>
  <c r="Q542" i="1"/>
  <c r="P542" i="1"/>
  <c r="O542" i="1"/>
  <c r="N542" i="1"/>
  <c r="M542" i="1"/>
  <c r="L542" i="1"/>
  <c r="K542" i="1"/>
  <c r="J542" i="1"/>
  <c r="I542" i="1"/>
  <c r="H542" i="1"/>
  <c r="G542" i="1"/>
  <c r="R541" i="1"/>
  <c r="Q541" i="1"/>
  <c r="P541" i="1"/>
  <c r="O541" i="1"/>
  <c r="N541" i="1"/>
  <c r="M541" i="1"/>
  <c r="L541" i="1"/>
  <c r="K541" i="1"/>
  <c r="J541" i="1"/>
  <c r="I541" i="1"/>
  <c r="H541" i="1"/>
  <c r="G541" i="1"/>
  <c r="R540" i="1"/>
  <c r="Q540" i="1"/>
  <c r="P540" i="1"/>
  <c r="O540" i="1"/>
  <c r="N540" i="1"/>
  <c r="M540" i="1"/>
  <c r="L540" i="1"/>
  <c r="K540" i="1"/>
  <c r="J540" i="1"/>
  <c r="I540" i="1"/>
  <c r="H540" i="1"/>
  <c r="G540" i="1"/>
  <c r="R539" i="1"/>
  <c r="Q539" i="1"/>
  <c r="P539" i="1"/>
  <c r="O539" i="1"/>
  <c r="N539" i="1"/>
  <c r="M539" i="1"/>
  <c r="L539" i="1"/>
  <c r="K539" i="1"/>
  <c r="J539" i="1"/>
  <c r="I539" i="1"/>
  <c r="H539" i="1"/>
  <c r="G539" i="1"/>
  <c r="R538" i="1"/>
  <c r="Q538" i="1"/>
  <c r="P538" i="1"/>
  <c r="O538" i="1"/>
  <c r="N538" i="1"/>
  <c r="M538" i="1"/>
  <c r="L538" i="1"/>
  <c r="K538" i="1"/>
  <c r="J538" i="1"/>
  <c r="I538" i="1"/>
  <c r="H538" i="1"/>
  <c r="G538" i="1"/>
  <c r="R537" i="1"/>
  <c r="Q537" i="1"/>
  <c r="P537" i="1"/>
  <c r="O537" i="1"/>
  <c r="N537" i="1"/>
  <c r="M537" i="1"/>
  <c r="L537" i="1"/>
  <c r="K537" i="1"/>
  <c r="J537" i="1"/>
  <c r="I537" i="1"/>
  <c r="H537" i="1"/>
  <c r="G537" i="1"/>
  <c r="R536" i="1"/>
  <c r="Q536" i="1"/>
  <c r="P536" i="1"/>
  <c r="O536" i="1"/>
  <c r="N536" i="1"/>
  <c r="M536" i="1"/>
  <c r="L536" i="1"/>
  <c r="K536" i="1"/>
  <c r="J536" i="1"/>
  <c r="I536" i="1"/>
  <c r="H536" i="1"/>
  <c r="G536" i="1"/>
  <c r="R535" i="1"/>
  <c r="Q535" i="1"/>
  <c r="P535" i="1"/>
  <c r="O535" i="1"/>
  <c r="N535" i="1"/>
  <c r="M535" i="1"/>
  <c r="L535" i="1"/>
  <c r="K535" i="1"/>
  <c r="J535" i="1"/>
  <c r="I535" i="1"/>
  <c r="H535" i="1"/>
  <c r="G535" i="1"/>
  <c r="R534" i="1"/>
  <c r="Q534" i="1"/>
  <c r="P534" i="1"/>
  <c r="O534" i="1"/>
  <c r="N534" i="1"/>
  <c r="M534" i="1"/>
  <c r="L534" i="1"/>
  <c r="K534" i="1"/>
  <c r="J534" i="1"/>
  <c r="I534" i="1"/>
  <c r="H534" i="1"/>
  <c r="G534" i="1"/>
  <c r="R533" i="1"/>
  <c r="Q533" i="1"/>
  <c r="P533" i="1"/>
  <c r="O533" i="1"/>
  <c r="N533" i="1"/>
  <c r="M533" i="1"/>
  <c r="L533" i="1"/>
  <c r="K533" i="1"/>
  <c r="J533" i="1"/>
  <c r="I533" i="1"/>
  <c r="H533" i="1"/>
  <c r="G533" i="1"/>
  <c r="R532" i="1"/>
  <c r="Q532" i="1"/>
  <c r="P532" i="1"/>
  <c r="O532" i="1"/>
  <c r="N532" i="1"/>
  <c r="M532" i="1"/>
  <c r="L532" i="1"/>
  <c r="K532" i="1"/>
  <c r="J532" i="1"/>
  <c r="I532" i="1"/>
  <c r="H532" i="1"/>
  <c r="G532" i="1"/>
  <c r="R531" i="1"/>
  <c r="Q531" i="1"/>
  <c r="P531" i="1"/>
  <c r="O531" i="1"/>
  <c r="N531" i="1"/>
  <c r="M531" i="1"/>
  <c r="L531" i="1"/>
  <c r="K531" i="1"/>
  <c r="J531" i="1"/>
  <c r="I531" i="1"/>
  <c r="H531" i="1"/>
  <c r="G531" i="1"/>
  <c r="R530" i="1"/>
  <c r="Q530" i="1"/>
  <c r="P530" i="1"/>
  <c r="O530" i="1"/>
  <c r="N530" i="1"/>
  <c r="M530" i="1"/>
  <c r="L530" i="1"/>
  <c r="K530" i="1"/>
  <c r="J530" i="1"/>
  <c r="I530" i="1"/>
  <c r="H530" i="1"/>
  <c r="G530" i="1"/>
  <c r="R529" i="1"/>
  <c r="Q529" i="1"/>
  <c r="P529" i="1"/>
  <c r="O529" i="1"/>
  <c r="N529" i="1"/>
  <c r="M529" i="1"/>
  <c r="L529" i="1"/>
  <c r="K529" i="1"/>
  <c r="J529" i="1"/>
  <c r="I529" i="1"/>
  <c r="H529" i="1"/>
  <c r="G529" i="1"/>
  <c r="R528" i="1"/>
  <c r="Q528" i="1"/>
  <c r="P528" i="1"/>
  <c r="O528" i="1"/>
  <c r="N528" i="1"/>
  <c r="M528" i="1"/>
  <c r="L528" i="1"/>
  <c r="K528" i="1"/>
  <c r="J528" i="1"/>
  <c r="I528" i="1"/>
  <c r="H528" i="1"/>
  <c r="G528" i="1"/>
  <c r="R527" i="1"/>
  <c r="Q527" i="1"/>
  <c r="P527" i="1"/>
  <c r="O527" i="1"/>
  <c r="N527" i="1"/>
  <c r="M527" i="1"/>
  <c r="L527" i="1"/>
  <c r="K527" i="1"/>
  <c r="J527" i="1"/>
  <c r="I527" i="1"/>
  <c r="H527" i="1"/>
  <c r="G527" i="1"/>
  <c r="R526" i="1"/>
  <c r="Q526" i="1"/>
  <c r="P526" i="1"/>
  <c r="O526" i="1"/>
  <c r="N526" i="1"/>
  <c r="M526" i="1"/>
  <c r="L526" i="1"/>
  <c r="K526" i="1"/>
  <c r="J526" i="1"/>
  <c r="I526" i="1"/>
  <c r="H526" i="1"/>
  <c r="G526" i="1"/>
  <c r="R525" i="1"/>
  <c r="Q525" i="1"/>
  <c r="P525" i="1"/>
  <c r="O525" i="1"/>
  <c r="N525" i="1"/>
  <c r="M525" i="1"/>
  <c r="L525" i="1"/>
  <c r="K525" i="1"/>
  <c r="J525" i="1"/>
  <c r="I525" i="1"/>
  <c r="H525" i="1"/>
  <c r="G525" i="1"/>
  <c r="R524" i="1"/>
  <c r="Q524" i="1"/>
  <c r="P524" i="1"/>
  <c r="O524" i="1"/>
  <c r="N524" i="1"/>
  <c r="M524" i="1"/>
  <c r="L524" i="1"/>
  <c r="K524" i="1"/>
  <c r="J524" i="1"/>
  <c r="I524" i="1"/>
  <c r="H524" i="1"/>
  <c r="G524" i="1"/>
  <c r="R523" i="1"/>
  <c r="Q523" i="1"/>
  <c r="P523" i="1"/>
  <c r="O523" i="1"/>
  <c r="N523" i="1"/>
  <c r="M523" i="1"/>
  <c r="L523" i="1"/>
  <c r="K523" i="1"/>
  <c r="J523" i="1"/>
  <c r="I523" i="1"/>
  <c r="H523" i="1"/>
  <c r="G523" i="1"/>
  <c r="R522" i="1"/>
  <c r="Q522" i="1"/>
  <c r="P522" i="1"/>
  <c r="O522" i="1"/>
  <c r="N522" i="1"/>
  <c r="M522" i="1"/>
  <c r="L522" i="1"/>
  <c r="K522" i="1"/>
  <c r="J522" i="1"/>
  <c r="I522" i="1"/>
  <c r="H522" i="1"/>
  <c r="G522" i="1"/>
  <c r="R521" i="1"/>
  <c r="Q521" i="1"/>
  <c r="P521" i="1"/>
  <c r="O521" i="1"/>
  <c r="N521" i="1"/>
  <c r="M521" i="1"/>
  <c r="L521" i="1"/>
  <c r="K521" i="1"/>
  <c r="J521" i="1"/>
  <c r="I521" i="1"/>
  <c r="H521" i="1"/>
  <c r="G521" i="1"/>
  <c r="R520" i="1"/>
  <c r="Q520" i="1"/>
  <c r="P520" i="1"/>
  <c r="O520" i="1"/>
  <c r="N520" i="1"/>
  <c r="M520" i="1"/>
  <c r="L520" i="1"/>
  <c r="K520" i="1"/>
  <c r="J520" i="1"/>
  <c r="I520" i="1"/>
  <c r="H520" i="1"/>
  <c r="G520" i="1"/>
  <c r="R519" i="1"/>
  <c r="Q519" i="1"/>
  <c r="P519" i="1"/>
  <c r="O519" i="1"/>
  <c r="N519" i="1"/>
  <c r="M519" i="1"/>
  <c r="L519" i="1"/>
  <c r="K519" i="1"/>
  <c r="J519" i="1"/>
  <c r="I519" i="1"/>
  <c r="H519" i="1"/>
  <c r="G519" i="1"/>
  <c r="R518" i="1"/>
  <c r="Q518" i="1"/>
  <c r="P518" i="1"/>
  <c r="O518" i="1"/>
  <c r="N518" i="1"/>
  <c r="M518" i="1"/>
  <c r="L518" i="1"/>
  <c r="K518" i="1"/>
  <c r="J518" i="1"/>
  <c r="I518" i="1"/>
  <c r="H518" i="1"/>
  <c r="G518" i="1"/>
  <c r="R517" i="1"/>
  <c r="Q517" i="1"/>
  <c r="P517" i="1"/>
  <c r="O517" i="1"/>
  <c r="N517" i="1"/>
  <c r="M517" i="1"/>
  <c r="L517" i="1"/>
  <c r="K517" i="1"/>
  <c r="J517" i="1"/>
  <c r="I517" i="1"/>
  <c r="H517" i="1"/>
  <c r="G517" i="1"/>
  <c r="R516" i="1"/>
  <c r="Q516" i="1"/>
  <c r="P516" i="1"/>
  <c r="O516" i="1"/>
  <c r="N516" i="1"/>
  <c r="M516" i="1"/>
  <c r="L516" i="1"/>
  <c r="K516" i="1"/>
  <c r="J516" i="1"/>
  <c r="I516" i="1"/>
  <c r="H516" i="1"/>
  <c r="G516" i="1"/>
  <c r="R515" i="1"/>
  <c r="Q515" i="1"/>
  <c r="P515" i="1"/>
  <c r="O515" i="1"/>
  <c r="N515" i="1"/>
  <c r="M515" i="1"/>
  <c r="L515" i="1"/>
  <c r="K515" i="1"/>
  <c r="J515" i="1"/>
  <c r="I515" i="1"/>
  <c r="H515" i="1"/>
  <c r="G515" i="1"/>
  <c r="R514" i="1"/>
  <c r="Q514" i="1"/>
  <c r="P514" i="1"/>
  <c r="O514" i="1"/>
  <c r="N514" i="1"/>
  <c r="M514" i="1"/>
  <c r="L514" i="1"/>
  <c r="K514" i="1"/>
  <c r="J514" i="1"/>
  <c r="I514" i="1"/>
  <c r="H514" i="1"/>
  <c r="G514" i="1"/>
  <c r="R513" i="1"/>
  <c r="Q513" i="1"/>
  <c r="P513" i="1"/>
  <c r="O513" i="1"/>
  <c r="N513" i="1"/>
  <c r="M513" i="1"/>
  <c r="L513" i="1"/>
  <c r="K513" i="1"/>
  <c r="J513" i="1"/>
  <c r="I513" i="1"/>
  <c r="H513" i="1"/>
  <c r="G513" i="1"/>
  <c r="R512" i="1"/>
  <c r="Q512" i="1"/>
  <c r="P512" i="1"/>
  <c r="O512" i="1"/>
  <c r="N512" i="1"/>
  <c r="M512" i="1"/>
  <c r="L512" i="1"/>
  <c r="K512" i="1"/>
  <c r="J512" i="1"/>
  <c r="I512" i="1"/>
  <c r="H512" i="1"/>
  <c r="G512" i="1"/>
  <c r="R511" i="1"/>
  <c r="Q511" i="1"/>
  <c r="P511" i="1"/>
  <c r="O511" i="1"/>
  <c r="N511" i="1"/>
  <c r="M511" i="1"/>
  <c r="L511" i="1"/>
  <c r="K511" i="1"/>
  <c r="J511" i="1"/>
  <c r="I511" i="1"/>
  <c r="H511" i="1"/>
  <c r="G511" i="1"/>
  <c r="R510" i="1"/>
  <c r="Q510" i="1"/>
  <c r="P510" i="1"/>
  <c r="O510" i="1"/>
  <c r="N510" i="1"/>
  <c r="M510" i="1"/>
  <c r="L510" i="1"/>
  <c r="K510" i="1"/>
  <c r="J510" i="1"/>
  <c r="I510" i="1"/>
  <c r="H510" i="1"/>
  <c r="G510" i="1"/>
  <c r="R509" i="1"/>
  <c r="Q509" i="1"/>
  <c r="P509" i="1"/>
  <c r="O509" i="1"/>
  <c r="N509" i="1"/>
  <c r="M509" i="1"/>
  <c r="L509" i="1"/>
  <c r="K509" i="1"/>
  <c r="J509" i="1"/>
  <c r="I509" i="1"/>
  <c r="H509" i="1"/>
  <c r="G509" i="1"/>
  <c r="R508" i="1"/>
  <c r="Q508" i="1"/>
  <c r="P508" i="1"/>
  <c r="O508" i="1"/>
  <c r="N508" i="1"/>
  <c r="M508" i="1"/>
  <c r="L508" i="1"/>
  <c r="K508" i="1"/>
  <c r="J508" i="1"/>
  <c r="I508" i="1"/>
  <c r="H508" i="1"/>
  <c r="G508" i="1"/>
  <c r="R507" i="1"/>
  <c r="Q507" i="1"/>
  <c r="P507" i="1"/>
  <c r="O507" i="1"/>
  <c r="N507" i="1"/>
  <c r="M507" i="1"/>
  <c r="L507" i="1"/>
  <c r="K507" i="1"/>
  <c r="J507" i="1"/>
  <c r="I507" i="1"/>
  <c r="H507" i="1"/>
  <c r="G507" i="1"/>
  <c r="R506" i="1"/>
  <c r="Q506" i="1"/>
  <c r="P506" i="1"/>
  <c r="O506" i="1"/>
  <c r="N506" i="1"/>
  <c r="M506" i="1"/>
  <c r="L506" i="1"/>
  <c r="K506" i="1"/>
  <c r="J506" i="1"/>
  <c r="I506" i="1"/>
  <c r="H506" i="1"/>
  <c r="G506" i="1"/>
  <c r="R505" i="1"/>
  <c r="Q505" i="1"/>
  <c r="P505" i="1"/>
  <c r="O505" i="1"/>
  <c r="N505" i="1"/>
  <c r="M505" i="1"/>
  <c r="L505" i="1"/>
  <c r="K505" i="1"/>
  <c r="J505" i="1"/>
  <c r="I505" i="1"/>
  <c r="H505" i="1"/>
  <c r="G505" i="1"/>
  <c r="R504" i="1"/>
  <c r="Q504" i="1"/>
  <c r="P504" i="1"/>
  <c r="O504" i="1"/>
  <c r="N504" i="1"/>
  <c r="M504" i="1"/>
  <c r="L504" i="1"/>
  <c r="K504" i="1"/>
  <c r="J504" i="1"/>
  <c r="I504" i="1"/>
  <c r="H504" i="1"/>
  <c r="G504" i="1"/>
  <c r="R503" i="1"/>
  <c r="Q503" i="1"/>
  <c r="P503" i="1"/>
  <c r="O503" i="1"/>
  <c r="N503" i="1"/>
  <c r="M503" i="1"/>
  <c r="L503" i="1"/>
  <c r="K503" i="1"/>
  <c r="J503" i="1"/>
  <c r="I503" i="1"/>
  <c r="H503" i="1"/>
  <c r="G503" i="1"/>
  <c r="R502" i="1"/>
  <c r="Q502" i="1"/>
  <c r="P502" i="1"/>
  <c r="O502" i="1"/>
  <c r="N502" i="1"/>
  <c r="M502" i="1"/>
  <c r="L502" i="1"/>
  <c r="K502" i="1"/>
  <c r="J502" i="1"/>
  <c r="I502" i="1"/>
  <c r="H502" i="1"/>
  <c r="G502" i="1"/>
  <c r="R501" i="1"/>
  <c r="Q501" i="1"/>
  <c r="P501" i="1"/>
  <c r="O501" i="1"/>
  <c r="N501" i="1"/>
  <c r="M501" i="1"/>
  <c r="L501" i="1"/>
  <c r="K501" i="1"/>
  <c r="J501" i="1"/>
  <c r="I501" i="1"/>
  <c r="H501" i="1"/>
  <c r="G501" i="1"/>
  <c r="R500" i="1"/>
  <c r="Q500" i="1"/>
  <c r="P500" i="1"/>
  <c r="O500" i="1"/>
  <c r="N500" i="1"/>
  <c r="M500" i="1"/>
  <c r="L500" i="1"/>
  <c r="K500" i="1"/>
  <c r="J500" i="1"/>
  <c r="I500" i="1"/>
  <c r="H500" i="1"/>
  <c r="G500" i="1"/>
  <c r="R499" i="1"/>
  <c r="Q499" i="1"/>
  <c r="P499" i="1"/>
  <c r="O499" i="1"/>
  <c r="N499" i="1"/>
  <c r="M499" i="1"/>
  <c r="L499" i="1"/>
  <c r="K499" i="1"/>
  <c r="J499" i="1"/>
  <c r="I499" i="1"/>
  <c r="H499" i="1"/>
  <c r="G499" i="1"/>
  <c r="R498" i="1"/>
  <c r="Q498" i="1"/>
  <c r="P498" i="1"/>
  <c r="O498" i="1"/>
  <c r="N498" i="1"/>
  <c r="M498" i="1"/>
  <c r="L498" i="1"/>
  <c r="K498" i="1"/>
  <c r="J498" i="1"/>
  <c r="I498" i="1"/>
  <c r="H498" i="1"/>
  <c r="G498" i="1"/>
  <c r="R497" i="1"/>
  <c r="Q497" i="1"/>
  <c r="P497" i="1"/>
  <c r="O497" i="1"/>
  <c r="N497" i="1"/>
  <c r="M497" i="1"/>
  <c r="L497" i="1"/>
  <c r="K497" i="1"/>
  <c r="J497" i="1"/>
  <c r="I497" i="1"/>
  <c r="H497" i="1"/>
  <c r="G497" i="1"/>
  <c r="R496" i="1"/>
  <c r="Q496" i="1"/>
  <c r="P496" i="1"/>
  <c r="O496" i="1"/>
  <c r="N496" i="1"/>
  <c r="M496" i="1"/>
  <c r="L496" i="1"/>
  <c r="K496" i="1"/>
  <c r="J496" i="1"/>
  <c r="I496" i="1"/>
  <c r="H496" i="1"/>
  <c r="G496" i="1"/>
  <c r="R495" i="1"/>
  <c r="Q495" i="1"/>
  <c r="P495" i="1"/>
  <c r="O495" i="1"/>
  <c r="N495" i="1"/>
  <c r="M495" i="1"/>
  <c r="L495" i="1"/>
  <c r="K495" i="1"/>
  <c r="J495" i="1"/>
  <c r="I495" i="1"/>
  <c r="H495" i="1"/>
  <c r="G495" i="1"/>
  <c r="R494" i="1"/>
  <c r="Q494" i="1"/>
  <c r="P494" i="1"/>
  <c r="O494" i="1"/>
  <c r="N494" i="1"/>
  <c r="M494" i="1"/>
  <c r="L494" i="1"/>
  <c r="K494" i="1"/>
  <c r="J494" i="1"/>
  <c r="I494" i="1"/>
  <c r="H494" i="1"/>
  <c r="G494" i="1"/>
  <c r="R493" i="1"/>
  <c r="Q493" i="1"/>
  <c r="P493" i="1"/>
  <c r="O493" i="1"/>
  <c r="N493" i="1"/>
  <c r="M493" i="1"/>
  <c r="L493" i="1"/>
  <c r="K493" i="1"/>
  <c r="J493" i="1"/>
  <c r="I493" i="1"/>
  <c r="H493" i="1"/>
  <c r="G493" i="1"/>
  <c r="R492" i="1"/>
  <c r="Q492" i="1"/>
  <c r="P492" i="1"/>
  <c r="O492" i="1"/>
  <c r="N492" i="1"/>
  <c r="M492" i="1"/>
  <c r="L492" i="1"/>
  <c r="K492" i="1"/>
  <c r="J492" i="1"/>
  <c r="I492" i="1"/>
  <c r="H492" i="1"/>
  <c r="G492" i="1"/>
  <c r="R491" i="1"/>
  <c r="Q491" i="1"/>
  <c r="P491" i="1"/>
  <c r="O491" i="1"/>
  <c r="N491" i="1"/>
  <c r="M491" i="1"/>
  <c r="L491" i="1"/>
  <c r="K491" i="1"/>
  <c r="J491" i="1"/>
  <c r="I491" i="1"/>
  <c r="H491" i="1"/>
  <c r="G491" i="1"/>
  <c r="R490" i="1"/>
  <c r="Q490" i="1"/>
  <c r="P490" i="1"/>
  <c r="O490" i="1"/>
  <c r="N490" i="1"/>
  <c r="M490" i="1"/>
  <c r="L490" i="1"/>
  <c r="K490" i="1"/>
  <c r="J490" i="1"/>
  <c r="I490" i="1"/>
  <c r="H490" i="1"/>
  <c r="G490" i="1"/>
  <c r="R489" i="1"/>
  <c r="Q489" i="1"/>
  <c r="P489" i="1"/>
  <c r="O489" i="1"/>
  <c r="N489" i="1"/>
  <c r="M489" i="1"/>
  <c r="L489" i="1"/>
  <c r="K489" i="1"/>
  <c r="J489" i="1"/>
  <c r="I489" i="1"/>
  <c r="H489" i="1"/>
  <c r="G489" i="1"/>
  <c r="R488" i="1"/>
  <c r="Q488" i="1"/>
  <c r="P488" i="1"/>
  <c r="O488" i="1"/>
  <c r="N488" i="1"/>
  <c r="M488" i="1"/>
  <c r="L488" i="1"/>
  <c r="K488" i="1"/>
  <c r="J488" i="1"/>
  <c r="I488" i="1"/>
  <c r="H488" i="1"/>
  <c r="G488" i="1"/>
  <c r="R487" i="1"/>
  <c r="Q487" i="1"/>
  <c r="P487" i="1"/>
  <c r="O487" i="1"/>
  <c r="N487" i="1"/>
  <c r="M487" i="1"/>
  <c r="L487" i="1"/>
  <c r="K487" i="1"/>
  <c r="J487" i="1"/>
  <c r="I487" i="1"/>
  <c r="H487" i="1"/>
  <c r="G487" i="1"/>
  <c r="R486" i="1"/>
  <c r="Q486" i="1"/>
  <c r="P486" i="1"/>
  <c r="O486" i="1"/>
  <c r="N486" i="1"/>
  <c r="M486" i="1"/>
  <c r="L486" i="1"/>
  <c r="K486" i="1"/>
  <c r="J486" i="1"/>
  <c r="I486" i="1"/>
  <c r="H486" i="1"/>
  <c r="G486" i="1"/>
  <c r="R485" i="1"/>
  <c r="Q485" i="1"/>
  <c r="P485" i="1"/>
  <c r="O485" i="1"/>
  <c r="N485" i="1"/>
  <c r="M485" i="1"/>
  <c r="L485" i="1"/>
  <c r="K485" i="1"/>
  <c r="J485" i="1"/>
  <c r="I485" i="1"/>
  <c r="H485" i="1"/>
  <c r="G485" i="1"/>
  <c r="R484" i="1"/>
  <c r="Q484" i="1"/>
  <c r="P484" i="1"/>
  <c r="O484" i="1"/>
  <c r="N484" i="1"/>
  <c r="M484" i="1"/>
  <c r="L484" i="1"/>
  <c r="K484" i="1"/>
  <c r="J484" i="1"/>
  <c r="I484" i="1"/>
  <c r="H484" i="1"/>
  <c r="G484" i="1"/>
  <c r="R483" i="1"/>
  <c r="Q483" i="1"/>
  <c r="P483" i="1"/>
  <c r="O483" i="1"/>
  <c r="N483" i="1"/>
  <c r="M483" i="1"/>
  <c r="L483" i="1"/>
  <c r="K483" i="1"/>
  <c r="J483" i="1"/>
  <c r="I483" i="1"/>
  <c r="H483" i="1"/>
  <c r="G483" i="1"/>
  <c r="R482" i="1"/>
  <c r="Q482" i="1"/>
  <c r="P482" i="1"/>
  <c r="O482" i="1"/>
  <c r="N482" i="1"/>
  <c r="M482" i="1"/>
  <c r="L482" i="1"/>
  <c r="K482" i="1"/>
  <c r="J482" i="1"/>
  <c r="I482" i="1"/>
  <c r="H482" i="1"/>
  <c r="G482" i="1"/>
  <c r="R481" i="1"/>
  <c r="Q481" i="1"/>
  <c r="P481" i="1"/>
  <c r="O481" i="1"/>
  <c r="N481" i="1"/>
  <c r="M481" i="1"/>
  <c r="L481" i="1"/>
  <c r="K481" i="1"/>
  <c r="J481" i="1"/>
  <c r="I481" i="1"/>
  <c r="H481" i="1"/>
  <c r="G481" i="1"/>
  <c r="R480" i="1"/>
  <c r="Q480" i="1"/>
  <c r="P480" i="1"/>
  <c r="O480" i="1"/>
  <c r="N480" i="1"/>
  <c r="M480" i="1"/>
  <c r="L480" i="1"/>
  <c r="K480" i="1"/>
  <c r="J480" i="1"/>
  <c r="I480" i="1"/>
  <c r="H480" i="1"/>
  <c r="G480" i="1"/>
  <c r="R479" i="1"/>
  <c r="Q479" i="1"/>
  <c r="P479" i="1"/>
  <c r="O479" i="1"/>
  <c r="N479" i="1"/>
  <c r="M479" i="1"/>
  <c r="L479" i="1"/>
  <c r="K479" i="1"/>
  <c r="J479" i="1"/>
  <c r="I479" i="1"/>
  <c r="H479" i="1"/>
  <c r="G479" i="1"/>
  <c r="R478" i="1"/>
  <c r="Q478" i="1"/>
  <c r="P478" i="1"/>
  <c r="O478" i="1"/>
  <c r="N478" i="1"/>
  <c r="M478" i="1"/>
  <c r="L478" i="1"/>
  <c r="K478" i="1"/>
  <c r="J478" i="1"/>
  <c r="I478" i="1"/>
  <c r="H478" i="1"/>
  <c r="G478" i="1"/>
  <c r="R477" i="1"/>
  <c r="Q477" i="1"/>
  <c r="P477" i="1"/>
  <c r="O477" i="1"/>
  <c r="N477" i="1"/>
  <c r="M477" i="1"/>
  <c r="L477" i="1"/>
  <c r="K477" i="1"/>
  <c r="J477" i="1"/>
  <c r="I477" i="1"/>
  <c r="H477" i="1"/>
  <c r="G477" i="1"/>
  <c r="R476" i="1"/>
  <c r="Q476" i="1"/>
  <c r="P476" i="1"/>
  <c r="O476" i="1"/>
  <c r="N476" i="1"/>
  <c r="M476" i="1"/>
  <c r="L476" i="1"/>
  <c r="K476" i="1"/>
  <c r="J476" i="1"/>
  <c r="I476" i="1"/>
  <c r="H476" i="1"/>
  <c r="G476" i="1"/>
  <c r="R475" i="1"/>
  <c r="Q475" i="1"/>
  <c r="P475" i="1"/>
  <c r="O475" i="1"/>
  <c r="N475" i="1"/>
  <c r="M475" i="1"/>
  <c r="L475" i="1"/>
  <c r="K475" i="1"/>
  <c r="J475" i="1"/>
  <c r="I475" i="1"/>
  <c r="H475" i="1"/>
  <c r="G475" i="1"/>
  <c r="R474" i="1"/>
  <c r="Q474" i="1"/>
  <c r="P474" i="1"/>
  <c r="O474" i="1"/>
  <c r="N474" i="1"/>
  <c r="M474" i="1"/>
  <c r="L474" i="1"/>
  <c r="K474" i="1"/>
  <c r="J474" i="1"/>
  <c r="I474" i="1"/>
  <c r="H474" i="1"/>
  <c r="G474" i="1"/>
  <c r="R473" i="1"/>
  <c r="Q473" i="1"/>
  <c r="P473" i="1"/>
  <c r="O473" i="1"/>
  <c r="N473" i="1"/>
  <c r="M473" i="1"/>
  <c r="L473" i="1"/>
  <c r="K473" i="1"/>
  <c r="J473" i="1"/>
  <c r="I473" i="1"/>
  <c r="H473" i="1"/>
  <c r="G473" i="1"/>
  <c r="R472" i="1"/>
  <c r="Q472" i="1"/>
  <c r="P472" i="1"/>
  <c r="O472" i="1"/>
  <c r="N472" i="1"/>
  <c r="M472" i="1"/>
  <c r="L472" i="1"/>
  <c r="K472" i="1"/>
  <c r="J472" i="1"/>
  <c r="I472" i="1"/>
  <c r="H472" i="1"/>
  <c r="G472" i="1"/>
  <c r="R471" i="1"/>
  <c r="Q471" i="1"/>
  <c r="P471" i="1"/>
  <c r="O471" i="1"/>
  <c r="N471" i="1"/>
  <c r="M471" i="1"/>
  <c r="L471" i="1"/>
  <c r="K471" i="1"/>
  <c r="J471" i="1"/>
  <c r="I471" i="1"/>
  <c r="H471" i="1"/>
  <c r="G471" i="1"/>
  <c r="R470" i="1"/>
  <c r="Q470" i="1"/>
  <c r="P470" i="1"/>
  <c r="O470" i="1"/>
  <c r="N470" i="1"/>
  <c r="M470" i="1"/>
  <c r="L470" i="1"/>
  <c r="K470" i="1"/>
  <c r="J470" i="1"/>
  <c r="I470" i="1"/>
  <c r="H470" i="1"/>
  <c r="G470" i="1"/>
  <c r="R469" i="1"/>
  <c r="Q469" i="1"/>
  <c r="P469" i="1"/>
  <c r="O469" i="1"/>
  <c r="N469" i="1"/>
  <c r="M469" i="1"/>
  <c r="L469" i="1"/>
  <c r="K469" i="1"/>
  <c r="J469" i="1"/>
  <c r="I469" i="1"/>
  <c r="H469" i="1"/>
  <c r="G469" i="1"/>
  <c r="R468" i="1"/>
  <c r="Q468" i="1"/>
  <c r="P468" i="1"/>
  <c r="O468" i="1"/>
  <c r="N468" i="1"/>
  <c r="M468" i="1"/>
  <c r="L468" i="1"/>
  <c r="K468" i="1"/>
  <c r="J468" i="1"/>
  <c r="I468" i="1"/>
  <c r="H468" i="1"/>
  <c r="G468" i="1"/>
  <c r="R467" i="1"/>
  <c r="Q467" i="1"/>
  <c r="P467" i="1"/>
  <c r="O467" i="1"/>
  <c r="N467" i="1"/>
  <c r="M467" i="1"/>
  <c r="L467" i="1"/>
  <c r="K467" i="1"/>
  <c r="J467" i="1"/>
  <c r="I467" i="1"/>
  <c r="H467" i="1"/>
  <c r="G467" i="1"/>
  <c r="R466" i="1"/>
  <c r="Q466" i="1"/>
  <c r="P466" i="1"/>
  <c r="O466" i="1"/>
  <c r="N466" i="1"/>
  <c r="M466" i="1"/>
  <c r="L466" i="1"/>
  <c r="K466" i="1"/>
  <c r="J466" i="1"/>
  <c r="I466" i="1"/>
  <c r="H466" i="1"/>
  <c r="G466" i="1"/>
  <c r="R465" i="1"/>
  <c r="Q465" i="1"/>
  <c r="P465" i="1"/>
  <c r="O465" i="1"/>
  <c r="N465" i="1"/>
  <c r="M465" i="1"/>
  <c r="L465" i="1"/>
  <c r="K465" i="1"/>
  <c r="J465" i="1"/>
  <c r="I465" i="1"/>
  <c r="H465" i="1"/>
  <c r="G465" i="1"/>
  <c r="R464" i="1"/>
  <c r="Q464" i="1"/>
  <c r="P464" i="1"/>
  <c r="O464" i="1"/>
  <c r="N464" i="1"/>
  <c r="M464" i="1"/>
  <c r="L464" i="1"/>
  <c r="K464" i="1"/>
  <c r="J464" i="1"/>
  <c r="I464" i="1"/>
  <c r="H464" i="1"/>
  <c r="G464" i="1"/>
  <c r="R463" i="1"/>
  <c r="Q463" i="1"/>
  <c r="P463" i="1"/>
  <c r="O463" i="1"/>
  <c r="N463" i="1"/>
  <c r="M463" i="1"/>
  <c r="L463" i="1"/>
  <c r="K463" i="1"/>
  <c r="J463" i="1"/>
  <c r="I463" i="1"/>
  <c r="H463" i="1"/>
  <c r="G463" i="1"/>
  <c r="R462" i="1"/>
  <c r="Q462" i="1"/>
  <c r="P462" i="1"/>
  <c r="O462" i="1"/>
  <c r="N462" i="1"/>
  <c r="M462" i="1"/>
  <c r="L462" i="1"/>
  <c r="K462" i="1"/>
  <c r="J462" i="1"/>
  <c r="I462" i="1"/>
  <c r="H462" i="1"/>
  <c r="G462" i="1"/>
  <c r="R461" i="1"/>
  <c r="Q461" i="1"/>
  <c r="P461" i="1"/>
  <c r="O461" i="1"/>
  <c r="N461" i="1"/>
  <c r="M461" i="1"/>
  <c r="L461" i="1"/>
  <c r="K461" i="1"/>
  <c r="J461" i="1"/>
  <c r="I461" i="1"/>
  <c r="H461" i="1"/>
  <c r="G461" i="1"/>
  <c r="R460" i="1"/>
  <c r="Q460" i="1"/>
  <c r="P460" i="1"/>
  <c r="O460" i="1"/>
  <c r="N460" i="1"/>
  <c r="M460" i="1"/>
  <c r="L460" i="1"/>
  <c r="K460" i="1"/>
  <c r="J460" i="1"/>
  <c r="I460" i="1"/>
  <c r="H460" i="1"/>
  <c r="G460" i="1"/>
  <c r="R459" i="1"/>
  <c r="Q459" i="1"/>
  <c r="P459" i="1"/>
  <c r="O459" i="1"/>
  <c r="N459" i="1"/>
  <c r="M459" i="1"/>
  <c r="L459" i="1"/>
  <c r="K459" i="1"/>
  <c r="J459" i="1"/>
  <c r="I459" i="1"/>
  <c r="H459" i="1"/>
  <c r="G459" i="1"/>
  <c r="R458" i="1"/>
  <c r="Q458" i="1"/>
  <c r="P458" i="1"/>
  <c r="O458" i="1"/>
  <c r="N458" i="1"/>
  <c r="M458" i="1"/>
  <c r="L458" i="1"/>
  <c r="K458" i="1"/>
  <c r="J458" i="1"/>
  <c r="I458" i="1"/>
  <c r="H458" i="1"/>
  <c r="G458" i="1"/>
  <c r="R457" i="1"/>
  <c r="Q457" i="1"/>
  <c r="P457" i="1"/>
  <c r="O457" i="1"/>
  <c r="N457" i="1"/>
  <c r="M457" i="1"/>
  <c r="L457" i="1"/>
  <c r="K457" i="1"/>
  <c r="J457" i="1"/>
  <c r="I457" i="1"/>
  <c r="H457" i="1"/>
  <c r="G457" i="1"/>
  <c r="R456" i="1"/>
  <c r="Q456" i="1"/>
  <c r="P456" i="1"/>
  <c r="O456" i="1"/>
  <c r="N456" i="1"/>
  <c r="M456" i="1"/>
  <c r="L456" i="1"/>
  <c r="K456" i="1"/>
  <c r="J456" i="1"/>
  <c r="I456" i="1"/>
  <c r="H456" i="1"/>
  <c r="G456" i="1"/>
  <c r="R455" i="1"/>
  <c r="Q455" i="1"/>
  <c r="P455" i="1"/>
  <c r="O455" i="1"/>
  <c r="N455" i="1"/>
  <c r="M455" i="1"/>
  <c r="L455" i="1"/>
  <c r="K455" i="1"/>
  <c r="J455" i="1"/>
  <c r="I455" i="1"/>
  <c r="H455" i="1"/>
  <c r="G455" i="1"/>
  <c r="R454" i="1"/>
  <c r="Q454" i="1"/>
  <c r="P454" i="1"/>
  <c r="O454" i="1"/>
  <c r="N454" i="1"/>
  <c r="M454" i="1"/>
  <c r="L454" i="1"/>
  <c r="K454" i="1"/>
  <c r="J454" i="1"/>
  <c r="I454" i="1"/>
  <c r="H454" i="1"/>
  <c r="G454" i="1"/>
  <c r="R453" i="1"/>
  <c r="Q453" i="1"/>
  <c r="P453" i="1"/>
  <c r="O453" i="1"/>
  <c r="N453" i="1"/>
  <c r="M453" i="1"/>
  <c r="L453" i="1"/>
  <c r="K453" i="1"/>
  <c r="J453" i="1"/>
  <c r="I453" i="1"/>
  <c r="H453" i="1"/>
  <c r="G453" i="1"/>
  <c r="R452" i="1"/>
  <c r="Q452" i="1"/>
  <c r="P452" i="1"/>
  <c r="O452" i="1"/>
  <c r="N452" i="1"/>
  <c r="M452" i="1"/>
  <c r="L452" i="1"/>
  <c r="K452" i="1"/>
  <c r="J452" i="1"/>
  <c r="I452" i="1"/>
  <c r="H452" i="1"/>
  <c r="G452" i="1"/>
  <c r="R451" i="1"/>
  <c r="Q451" i="1"/>
  <c r="P451" i="1"/>
  <c r="O451" i="1"/>
  <c r="N451" i="1"/>
  <c r="M451" i="1"/>
  <c r="L451" i="1"/>
  <c r="K451" i="1"/>
  <c r="J451" i="1"/>
  <c r="I451" i="1"/>
  <c r="H451" i="1"/>
  <c r="G451" i="1"/>
  <c r="R450" i="1"/>
  <c r="Q450" i="1"/>
  <c r="P450" i="1"/>
  <c r="O450" i="1"/>
  <c r="N450" i="1"/>
  <c r="M450" i="1"/>
  <c r="L450" i="1"/>
  <c r="K450" i="1"/>
  <c r="J450" i="1"/>
  <c r="I450" i="1"/>
  <c r="H450" i="1"/>
  <c r="G450" i="1"/>
  <c r="R449" i="1"/>
  <c r="Q449" i="1"/>
  <c r="P449" i="1"/>
  <c r="O449" i="1"/>
  <c r="N449" i="1"/>
  <c r="M449" i="1"/>
  <c r="L449" i="1"/>
  <c r="K449" i="1"/>
  <c r="J449" i="1"/>
  <c r="I449" i="1"/>
  <c r="H449" i="1"/>
  <c r="G449" i="1"/>
  <c r="R448" i="1"/>
  <c r="Q448" i="1"/>
  <c r="P448" i="1"/>
  <c r="O448" i="1"/>
  <c r="N448" i="1"/>
  <c r="M448" i="1"/>
  <c r="L448" i="1"/>
  <c r="K448" i="1"/>
  <c r="J448" i="1"/>
  <c r="I448" i="1"/>
  <c r="H448" i="1"/>
  <c r="G448" i="1"/>
  <c r="R447" i="1"/>
  <c r="Q447" i="1"/>
  <c r="P447" i="1"/>
  <c r="O447" i="1"/>
  <c r="N447" i="1"/>
  <c r="M447" i="1"/>
  <c r="L447" i="1"/>
  <c r="K447" i="1"/>
  <c r="J447" i="1"/>
  <c r="I447" i="1"/>
  <c r="H447" i="1"/>
  <c r="G447" i="1"/>
  <c r="R446" i="1"/>
  <c r="Q446" i="1"/>
  <c r="P446" i="1"/>
  <c r="O446" i="1"/>
  <c r="N446" i="1"/>
  <c r="M446" i="1"/>
  <c r="L446" i="1"/>
  <c r="K446" i="1"/>
  <c r="J446" i="1"/>
  <c r="I446" i="1"/>
  <c r="H446" i="1"/>
  <c r="G446" i="1"/>
  <c r="R445" i="1"/>
  <c r="Q445" i="1"/>
  <c r="P445" i="1"/>
  <c r="O445" i="1"/>
  <c r="N445" i="1"/>
  <c r="M445" i="1"/>
  <c r="L445" i="1"/>
  <c r="K445" i="1"/>
  <c r="J445" i="1"/>
  <c r="I445" i="1"/>
  <c r="H445" i="1"/>
  <c r="G445" i="1"/>
  <c r="R444" i="1"/>
  <c r="Q444" i="1"/>
  <c r="P444" i="1"/>
  <c r="O444" i="1"/>
  <c r="N444" i="1"/>
  <c r="M444" i="1"/>
  <c r="L444" i="1"/>
  <c r="K444" i="1"/>
  <c r="J444" i="1"/>
  <c r="I444" i="1"/>
  <c r="H444" i="1"/>
  <c r="G444" i="1"/>
  <c r="R443" i="1"/>
  <c r="Q443" i="1"/>
  <c r="P443" i="1"/>
  <c r="O443" i="1"/>
  <c r="N443" i="1"/>
  <c r="M443" i="1"/>
  <c r="L443" i="1"/>
  <c r="K443" i="1"/>
  <c r="J443" i="1"/>
  <c r="I443" i="1"/>
  <c r="H443" i="1"/>
  <c r="G443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R441" i="1"/>
  <c r="Q441" i="1"/>
  <c r="P441" i="1"/>
  <c r="O441" i="1"/>
  <c r="N441" i="1"/>
  <c r="M441" i="1"/>
  <c r="L441" i="1"/>
  <c r="K441" i="1"/>
  <c r="J441" i="1"/>
  <c r="I441" i="1"/>
  <c r="H441" i="1"/>
  <c r="G441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R439" i="1"/>
  <c r="Q439" i="1"/>
  <c r="P439" i="1"/>
  <c r="O439" i="1"/>
  <c r="N439" i="1"/>
  <c r="M439" i="1"/>
  <c r="L439" i="1"/>
  <c r="K439" i="1"/>
  <c r="J439" i="1"/>
  <c r="I439" i="1"/>
  <c r="H439" i="1"/>
  <c r="G439" i="1"/>
  <c r="R438" i="1"/>
  <c r="Q438" i="1"/>
  <c r="P438" i="1"/>
  <c r="O438" i="1"/>
  <c r="N438" i="1"/>
  <c r="M438" i="1"/>
  <c r="L438" i="1"/>
  <c r="K438" i="1"/>
  <c r="J438" i="1"/>
  <c r="I438" i="1"/>
  <c r="H438" i="1"/>
  <c r="G438" i="1"/>
  <c r="R437" i="1"/>
  <c r="Q437" i="1"/>
  <c r="P437" i="1"/>
  <c r="O437" i="1"/>
  <c r="N437" i="1"/>
  <c r="M437" i="1"/>
  <c r="L437" i="1"/>
  <c r="K437" i="1"/>
  <c r="J437" i="1"/>
  <c r="I437" i="1"/>
  <c r="H437" i="1"/>
  <c r="G437" i="1"/>
  <c r="R436" i="1"/>
  <c r="Q436" i="1"/>
  <c r="P436" i="1"/>
  <c r="O436" i="1"/>
  <c r="N436" i="1"/>
  <c r="M436" i="1"/>
  <c r="L436" i="1"/>
  <c r="K436" i="1"/>
  <c r="J436" i="1"/>
  <c r="I436" i="1"/>
  <c r="H436" i="1"/>
  <c r="G436" i="1"/>
  <c r="R435" i="1"/>
  <c r="Q435" i="1"/>
  <c r="P435" i="1"/>
  <c r="O435" i="1"/>
  <c r="N435" i="1"/>
  <c r="M435" i="1"/>
  <c r="L435" i="1"/>
  <c r="K435" i="1"/>
  <c r="J435" i="1"/>
  <c r="I435" i="1"/>
  <c r="H435" i="1"/>
  <c r="G435" i="1"/>
  <c r="R434" i="1"/>
  <c r="Q434" i="1"/>
  <c r="P434" i="1"/>
  <c r="O434" i="1"/>
  <c r="N434" i="1"/>
  <c r="M434" i="1"/>
  <c r="L434" i="1"/>
  <c r="K434" i="1"/>
  <c r="J434" i="1"/>
  <c r="I434" i="1"/>
  <c r="H434" i="1"/>
  <c r="G434" i="1"/>
  <c r="R433" i="1"/>
  <c r="Q433" i="1"/>
  <c r="P433" i="1"/>
  <c r="O433" i="1"/>
  <c r="N433" i="1"/>
  <c r="M433" i="1"/>
  <c r="L433" i="1"/>
  <c r="K433" i="1"/>
  <c r="J433" i="1"/>
  <c r="I433" i="1"/>
  <c r="H433" i="1"/>
  <c r="G433" i="1"/>
  <c r="R432" i="1"/>
  <c r="Q432" i="1"/>
  <c r="P432" i="1"/>
  <c r="O432" i="1"/>
  <c r="N432" i="1"/>
  <c r="M432" i="1"/>
  <c r="L432" i="1"/>
  <c r="K432" i="1"/>
  <c r="J432" i="1"/>
  <c r="I432" i="1"/>
  <c r="H432" i="1"/>
  <c r="G432" i="1"/>
  <c r="R431" i="1"/>
  <c r="Q431" i="1"/>
  <c r="P431" i="1"/>
  <c r="O431" i="1"/>
  <c r="N431" i="1"/>
  <c r="M431" i="1"/>
  <c r="L431" i="1"/>
  <c r="K431" i="1"/>
  <c r="J431" i="1"/>
  <c r="I431" i="1"/>
  <c r="H431" i="1"/>
  <c r="G431" i="1"/>
  <c r="R430" i="1"/>
  <c r="Q430" i="1"/>
  <c r="P430" i="1"/>
  <c r="O430" i="1"/>
  <c r="N430" i="1"/>
  <c r="M430" i="1"/>
  <c r="L430" i="1"/>
  <c r="K430" i="1"/>
  <c r="J430" i="1"/>
  <c r="I430" i="1"/>
  <c r="H430" i="1"/>
  <c r="G430" i="1"/>
  <c r="R429" i="1"/>
  <c r="Q429" i="1"/>
  <c r="P429" i="1"/>
  <c r="O429" i="1"/>
  <c r="N429" i="1"/>
  <c r="M429" i="1"/>
  <c r="L429" i="1"/>
  <c r="K429" i="1"/>
  <c r="J429" i="1"/>
  <c r="I429" i="1"/>
  <c r="H429" i="1"/>
  <c r="G429" i="1"/>
  <c r="R428" i="1"/>
  <c r="Q428" i="1"/>
  <c r="P428" i="1"/>
  <c r="O428" i="1"/>
  <c r="N428" i="1"/>
  <c r="M428" i="1"/>
  <c r="L428" i="1"/>
  <c r="K428" i="1"/>
  <c r="J428" i="1"/>
  <c r="I428" i="1"/>
  <c r="H428" i="1"/>
  <c r="G428" i="1"/>
  <c r="R427" i="1"/>
  <c r="Q427" i="1"/>
  <c r="P427" i="1"/>
  <c r="O427" i="1"/>
  <c r="N427" i="1"/>
  <c r="M427" i="1"/>
  <c r="L427" i="1"/>
  <c r="K427" i="1"/>
  <c r="J427" i="1"/>
  <c r="I427" i="1"/>
  <c r="H427" i="1"/>
  <c r="G427" i="1"/>
  <c r="R426" i="1"/>
  <c r="Q426" i="1"/>
  <c r="P426" i="1"/>
  <c r="O426" i="1"/>
  <c r="N426" i="1"/>
  <c r="M426" i="1"/>
  <c r="L426" i="1"/>
  <c r="K426" i="1"/>
  <c r="J426" i="1"/>
  <c r="I426" i="1"/>
  <c r="H426" i="1"/>
  <c r="G426" i="1"/>
  <c r="R425" i="1"/>
  <c r="Q425" i="1"/>
  <c r="P425" i="1"/>
  <c r="O425" i="1"/>
  <c r="N425" i="1"/>
  <c r="M425" i="1"/>
  <c r="L425" i="1"/>
  <c r="K425" i="1"/>
  <c r="J425" i="1"/>
  <c r="I425" i="1"/>
  <c r="H425" i="1"/>
  <c r="G425" i="1"/>
  <c r="R424" i="1"/>
  <c r="Q424" i="1"/>
  <c r="P424" i="1"/>
  <c r="O424" i="1"/>
  <c r="N424" i="1"/>
  <c r="M424" i="1"/>
  <c r="L424" i="1"/>
  <c r="K424" i="1"/>
  <c r="J424" i="1"/>
  <c r="I424" i="1"/>
  <c r="H424" i="1"/>
  <c r="G424" i="1"/>
  <c r="R423" i="1"/>
  <c r="Q423" i="1"/>
  <c r="P423" i="1"/>
  <c r="O423" i="1"/>
  <c r="N423" i="1"/>
  <c r="M423" i="1"/>
  <c r="L423" i="1"/>
  <c r="K423" i="1"/>
  <c r="J423" i="1"/>
  <c r="I423" i="1"/>
  <c r="H423" i="1"/>
  <c r="G423" i="1"/>
  <c r="R422" i="1"/>
  <c r="Q422" i="1"/>
  <c r="P422" i="1"/>
  <c r="O422" i="1"/>
  <c r="N422" i="1"/>
  <c r="M422" i="1"/>
  <c r="L422" i="1"/>
  <c r="K422" i="1"/>
  <c r="J422" i="1"/>
  <c r="I422" i="1"/>
  <c r="H422" i="1"/>
  <c r="G422" i="1"/>
  <c r="R421" i="1"/>
  <c r="Q421" i="1"/>
  <c r="P421" i="1"/>
  <c r="O421" i="1"/>
  <c r="N421" i="1"/>
  <c r="M421" i="1"/>
  <c r="L421" i="1"/>
  <c r="K421" i="1"/>
  <c r="J421" i="1"/>
  <c r="I421" i="1"/>
  <c r="H421" i="1"/>
  <c r="G421" i="1"/>
  <c r="R420" i="1"/>
  <c r="Q420" i="1"/>
  <c r="P420" i="1"/>
  <c r="O420" i="1"/>
  <c r="N420" i="1"/>
  <c r="M420" i="1"/>
  <c r="L420" i="1"/>
  <c r="K420" i="1"/>
  <c r="J420" i="1"/>
  <c r="I420" i="1"/>
  <c r="H420" i="1"/>
  <c r="G420" i="1"/>
  <c r="R419" i="1"/>
  <c r="Q419" i="1"/>
  <c r="P419" i="1"/>
  <c r="O419" i="1"/>
  <c r="N419" i="1"/>
  <c r="M419" i="1"/>
  <c r="L419" i="1"/>
  <c r="K419" i="1"/>
  <c r="J419" i="1"/>
  <c r="I419" i="1"/>
  <c r="H419" i="1"/>
  <c r="G419" i="1"/>
  <c r="R418" i="1"/>
  <c r="Q418" i="1"/>
  <c r="P418" i="1"/>
  <c r="O418" i="1"/>
  <c r="N418" i="1"/>
  <c r="M418" i="1"/>
  <c r="L418" i="1"/>
  <c r="K418" i="1"/>
  <c r="J418" i="1"/>
  <c r="I418" i="1"/>
  <c r="H418" i="1"/>
  <c r="G418" i="1"/>
  <c r="R417" i="1"/>
  <c r="Q417" i="1"/>
  <c r="P417" i="1"/>
  <c r="O417" i="1"/>
  <c r="N417" i="1"/>
  <c r="M417" i="1"/>
  <c r="L417" i="1"/>
  <c r="K417" i="1"/>
  <c r="J417" i="1"/>
  <c r="I417" i="1"/>
  <c r="H417" i="1"/>
  <c r="G417" i="1"/>
  <c r="R416" i="1"/>
  <c r="Q416" i="1"/>
  <c r="P416" i="1"/>
  <c r="O416" i="1"/>
  <c r="N416" i="1"/>
  <c r="M416" i="1"/>
  <c r="L416" i="1"/>
  <c r="K416" i="1"/>
  <c r="J416" i="1"/>
  <c r="I416" i="1"/>
  <c r="H416" i="1"/>
  <c r="G416" i="1"/>
  <c r="R415" i="1"/>
  <c r="Q415" i="1"/>
  <c r="P415" i="1"/>
  <c r="O415" i="1"/>
  <c r="N415" i="1"/>
  <c r="M415" i="1"/>
  <c r="L415" i="1"/>
  <c r="K415" i="1"/>
  <c r="J415" i="1"/>
  <c r="I415" i="1"/>
  <c r="H415" i="1"/>
  <c r="G415" i="1"/>
  <c r="R414" i="1"/>
  <c r="Q414" i="1"/>
  <c r="P414" i="1"/>
  <c r="O414" i="1"/>
  <c r="N414" i="1"/>
  <c r="M414" i="1"/>
  <c r="L414" i="1"/>
  <c r="K414" i="1"/>
  <c r="J414" i="1"/>
  <c r="I414" i="1"/>
  <c r="H414" i="1"/>
  <c r="G414" i="1"/>
  <c r="R413" i="1"/>
  <c r="Q413" i="1"/>
  <c r="P413" i="1"/>
  <c r="O413" i="1"/>
  <c r="N413" i="1"/>
  <c r="M413" i="1"/>
  <c r="L413" i="1"/>
  <c r="K413" i="1"/>
  <c r="J413" i="1"/>
  <c r="I413" i="1"/>
  <c r="H413" i="1"/>
  <c r="G413" i="1"/>
  <c r="R412" i="1"/>
  <c r="Q412" i="1"/>
  <c r="P412" i="1"/>
  <c r="O412" i="1"/>
  <c r="N412" i="1"/>
  <c r="M412" i="1"/>
  <c r="L412" i="1"/>
  <c r="K412" i="1"/>
  <c r="J412" i="1"/>
  <c r="I412" i="1"/>
  <c r="H412" i="1"/>
  <c r="G412" i="1"/>
  <c r="R411" i="1"/>
  <c r="Q411" i="1"/>
  <c r="P411" i="1"/>
  <c r="O411" i="1"/>
  <c r="N411" i="1"/>
  <c r="M411" i="1"/>
  <c r="L411" i="1"/>
  <c r="K411" i="1"/>
  <c r="J411" i="1"/>
  <c r="I411" i="1"/>
  <c r="H411" i="1"/>
  <c r="G411" i="1"/>
  <c r="R410" i="1"/>
  <c r="Q410" i="1"/>
  <c r="P410" i="1"/>
  <c r="O410" i="1"/>
  <c r="N410" i="1"/>
  <c r="M410" i="1"/>
  <c r="L410" i="1"/>
  <c r="K410" i="1"/>
  <c r="J410" i="1"/>
  <c r="I410" i="1"/>
  <c r="H410" i="1"/>
  <c r="G410" i="1"/>
  <c r="R409" i="1"/>
  <c r="Q409" i="1"/>
  <c r="P409" i="1"/>
  <c r="O409" i="1"/>
  <c r="N409" i="1"/>
  <c r="M409" i="1"/>
  <c r="L409" i="1"/>
  <c r="K409" i="1"/>
  <c r="J409" i="1"/>
  <c r="I409" i="1"/>
  <c r="H409" i="1"/>
  <c r="G409" i="1"/>
  <c r="R408" i="1"/>
  <c r="Q408" i="1"/>
  <c r="P408" i="1"/>
  <c r="O408" i="1"/>
  <c r="N408" i="1"/>
  <c r="M408" i="1"/>
  <c r="L408" i="1"/>
  <c r="K408" i="1"/>
  <c r="J408" i="1"/>
  <c r="I408" i="1"/>
  <c r="H408" i="1"/>
  <c r="G408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R405" i="1"/>
  <c r="Q405" i="1"/>
  <c r="P405" i="1"/>
  <c r="O405" i="1"/>
  <c r="N405" i="1"/>
  <c r="M405" i="1"/>
  <c r="L405" i="1"/>
  <c r="K405" i="1"/>
  <c r="J405" i="1"/>
  <c r="I405" i="1"/>
  <c r="H405" i="1"/>
  <c r="G405" i="1"/>
  <c r="R404" i="1"/>
  <c r="Q404" i="1"/>
  <c r="P404" i="1"/>
  <c r="O404" i="1"/>
  <c r="N404" i="1"/>
  <c r="M404" i="1"/>
  <c r="L404" i="1"/>
  <c r="K404" i="1"/>
  <c r="J404" i="1"/>
  <c r="I404" i="1"/>
  <c r="H404" i="1"/>
  <c r="G404" i="1"/>
  <c r="R403" i="1"/>
  <c r="Q403" i="1"/>
  <c r="P403" i="1"/>
  <c r="O403" i="1"/>
  <c r="N403" i="1"/>
  <c r="M403" i="1"/>
  <c r="L403" i="1"/>
  <c r="K403" i="1"/>
  <c r="J403" i="1"/>
  <c r="I403" i="1"/>
  <c r="H403" i="1"/>
  <c r="G403" i="1"/>
  <c r="R402" i="1"/>
  <c r="Q402" i="1"/>
  <c r="P402" i="1"/>
  <c r="O402" i="1"/>
  <c r="N402" i="1"/>
  <c r="M402" i="1"/>
  <c r="L402" i="1"/>
  <c r="K402" i="1"/>
  <c r="J402" i="1"/>
  <c r="I402" i="1"/>
  <c r="H402" i="1"/>
  <c r="G402" i="1"/>
  <c r="R401" i="1"/>
  <c r="Q401" i="1"/>
  <c r="P401" i="1"/>
  <c r="O401" i="1"/>
  <c r="N401" i="1"/>
  <c r="M401" i="1"/>
  <c r="L401" i="1"/>
  <c r="K401" i="1"/>
  <c r="J401" i="1"/>
  <c r="I401" i="1"/>
  <c r="H401" i="1"/>
  <c r="G401" i="1"/>
  <c r="R400" i="1"/>
  <c r="Q400" i="1"/>
  <c r="P400" i="1"/>
  <c r="O400" i="1"/>
  <c r="N400" i="1"/>
  <c r="M400" i="1"/>
  <c r="L400" i="1"/>
  <c r="K400" i="1"/>
  <c r="J400" i="1"/>
  <c r="I400" i="1"/>
  <c r="H400" i="1"/>
  <c r="G400" i="1"/>
  <c r="R399" i="1"/>
  <c r="Q399" i="1"/>
  <c r="P399" i="1"/>
  <c r="O399" i="1"/>
  <c r="N399" i="1"/>
  <c r="M399" i="1"/>
  <c r="L399" i="1"/>
  <c r="K399" i="1"/>
  <c r="J399" i="1"/>
  <c r="I399" i="1"/>
  <c r="H399" i="1"/>
  <c r="G399" i="1"/>
  <c r="R398" i="1"/>
  <c r="Q398" i="1"/>
  <c r="P398" i="1"/>
  <c r="O398" i="1"/>
  <c r="N398" i="1"/>
  <c r="M398" i="1"/>
  <c r="L398" i="1"/>
  <c r="K398" i="1"/>
  <c r="J398" i="1"/>
  <c r="I398" i="1"/>
  <c r="H398" i="1"/>
  <c r="G398" i="1"/>
  <c r="R397" i="1"/>
  <c r="Q397" i="1"/>
  <c r="P397" i="1"/>
  <c r="O397" i="1"/>
  <c r="N397" i="1"/>
  <c r="M397" i="1"/>
  <c r="L397" i="1"/>
  <c r="K397" i="1"/>
  <c r="J397" i="1"/>
  <c r="I397" i="1"/>
  <c r="H397" i="1"/>
  <c r="G397" i="1"/>
  <c r="R396" i="1"/>
  <c r="Q396" i="1"/>
  <c r="P396" i="1"/>
  <c r="O396" i="1"/>
  <c r="N396" i="1"/>
  <c r="M396" i="1"/>
  <c r="L396" i="1"/>
  <c r="K396" i="1"/>
  <c r="J396" i="1"/>
  <c r="I396" i="1"/>
  <c r="H396" i="1"/>
  <c r="G396" i="1"/>
  <c r="R395" i="1"/>
  <c r="Q395" i="1"/>
  <c r="P395" i="1"/>
  <c r="O395" i="1"/>
  <c r="N395" i="1"/>
  <c r="M395" i="1"/>
  <c r="L395" i="1"/>
  <c r="K395" i="1"/>
  <c r="J395" i="1"/>
  <c r="I395" i="1"/>
  <c r="H395" i="1"/>
  <c r="G395" i="1"/>
  <c r="R394" i="1"/>
  <c r="Q394" i="1"/>
  <c r="P394" i="1"/>
  <c r="O394" i="1"/>
  <c r="N394" i="1"/>
  <c r="M394" i="1"/>
  <c r="L394" i="1"/>
  <c r="K394" i="1"/>
  <c r="J394" i="1"/>
  <c r="I394" i="1"/>
  <c r="H394" i="1"/>
  <c r="G394" i="1"/>
  <c r="R393" i="1"/>
  <c r="Q393" i="1"/>
  <c r="P393" i="1"/>
  <c r="O393" i="1"/>
  <c r="N393" i="1"/>
  <c r="M393" i="1"/>
  <c r="L393" i="1"/>
  <c r="K393" i="1"/>
  <c r="J393" i="1"/>
  <c r="I393" i="1"/>
  <c r="H393" i="1"/>
  <c r="G393" i="1"/>
  <c r="R392" i="1"/>
  <c r="Q392" i="1"/>
  <c r="P392" i="1"/>
  <c r="O392" i="1"/>
  <c r="N392" i="1"/>
  <c r="M392" i="1"/>
  <c r="L392" i="1"/>
  <c r="K392" i="1"/>
  <c r="J392" i="1"/>
  <c r="I392" i="1"/>
  <c r="H392" i="1"/>
  <c r="G392" i="1"/>
  <c r="R391" i="1"/>
  <c r="Q391" i="1"/>
  <c r="P391" i="1"/>
  <c r="O391" i="1"/>
  <c r="N391" i="1"/>
  <c r="M391" i="1"/>
  <c r="L391" i="1"/>
  <c r="K391" i="1"/>
  <c r="J391" i="1"/>
  <c r="I391" i="1"/>
  <c r="H391" i="1"/>
  <c r="G391" i="1"/>
  <c r="R390" i="1"/>
  <c r="Q390" i="1"/>
  <c r="P390" i="1"/>
  <c r="O390" i="1"/>
  <c r="N390" i="1"/>
  <c r="M390" i="1"/>
  <c r="L390" i="1"/>
  <c r="K390" i="1"/>
  <c r="J390" i="1"/>
  <c r="I390" i="1"/>
  <c r="H390" i="1"/>
  <c r="G390" i="1"/>
  <c r="R389" i="1"/>
  <c r="Q389" i="1"/>
  <c r="P389" i="1"/>
  <c r="O389" i="1"/>
  <c r="N389" i="1"/>
  <c r="M389" i="1"/>
  <c r="L389" i="1"/>
  <c r="K389" i="1"/>
  <c r="J389" i="1"/>
  <c r="I389" i="1"/>
  <c r="H389" i="1"/>
  <c r="G389" i="1"/>
  <c r="R388" i="1"/>
  <c r="Q388" i="1"/>
  <c r="P388" i="1"/>
  <c r="O388" i="1"/>
  <c r="N388" i="1"/>
  <c r="M388" i="1"/>
  <c r="L388" i="1"/>
  <c r="K388" i="1"/>
  <c r="J388" i="1"/>
  <c r="I388" i="1"/>
  <c r="H388" i="1"/>
  <c r="G388" i="1"/>
  <c r="R387" i="1"/>
  <c r="Q387" i="1"/>
  <c r="P387" i="1"/>
  <c r="O387" i="1"/>
  <c r="N387" i="1"/>
  <c r="M387" i="1"/>
  <c r="L387" i="1"/>
  <c r="K387" i="1"/>
  <c r="J387" i="1"/>
  <c r="I387" i="1"/>
  <c r="H387" i="1"/>
  <c r="G387" i="1"/>
  <c r="R386" i="1"/>
  <c r="Q386" i="1"/>
  <c r="P386" i="1"/>
  <c r="O386" i="1"/>
  <c r="N386" i="1"/>
  <c r="M386" i="1"/>
  <c r="L386" i="1"/>
  <c r="K386" i="1"/>
  <c r="J386" i="1"/>
  <c r="I386" i="1"/>
  <c r="H386" i="1"/>
  <c r="G386" i="1"/>
  <c r="R385" i="1"/>
  <c r="Q385" i="1"/>
  <c r="P385" i="1"/>
  <c r="O385" i="1"/>
  <c r="N385" i="1"/>
  <c r="M385" i="1"/>
  <c r="L385" i="1"/>
  <c r="K385" i="1"/>
  <c r="J385" i="1"/>
  <c r="I385" i="1"/>
  <c r="H385" i="1"/>
  <c r="G385" i="1"/>
  <c r="R384" i="1"/>
  <c r="Q384" i="1"/>
  <c r="P384" i="1"/>
  <c r="O384" i="1"/>
  <c r="N384" i="1"/>
  <c r="M384" i="1"/>
  <c r="L384" i="1"/>
  <c r="K384" i="1"/>
  <c r="J384" i="1"/>
  <c r="I384" i="1"/>
  <c r="H384" i="1"/>
  <c r="G384" i="1"/>
  <c r="R383" i="1"/>
  <c r="Q383" i="1"/>
  <c r="P383" i="1"/>
  <c r="O383" i="1"/>
  <c r="N383" i="1"/>
  <c r="M383" i="1"/>
  <c r="L383" i="1"/>
  <c r="K383" i="1"/>
  <c r="J383" i="1"/>
  <c r="I383" i="1"/>
  <c r="H383" i="1"/>
  <c r="G383" i="1"/>
  <c r="R382" i="1"/>
  <c r="Q382" i="1"/>
  <c r="P382" i="1"/>
  <c r="O382" i="1"/>
  <c r="N382" i="1"/>
  <c r="M382" i="1"/>
  <c r="L382" i="1"/>
  <c r="K382" i="1"/>
  <c r="J382" i="1"/>
  <c r="I382" i="1"/>
  <c r="H382" i="1"/>
  <c r="G382" i="1"/>
  <c r="R381" i="1"/>
  <c r="Q381" i="1"/>
  <c r="P381" i="1"/>
  <c r="O381" i="1"/>
  <c r="N381" i="1"/>
  <c r="M381" i="1"/>
  <c r="L381" i="1"/>
  <c r="K381" i="1"/>
  <c r="J381" i="1"/>
  <c r="I381" i="1"/>
  <c r="H381" i="1"/>
  <c r="G381" i="1"/>
  <c r="R380" i="1"/>
  <c r="Q380" i="1"/>
  <c r="P380" i="1"/>
  <c r="O380" i="1"/>
  <c r="N380" i="1"/>
  <c r="M380" i="1"/>
  <c r="L380" i="1"/>
  <c r="K380" i="1"/>
  <c r="J380" i="1"/>
  <c r="I380" i="1"/>
  <c r="H380" i="1"/>
  <c r="G380" i="1"/>
  <c r="R379" i="1"/>
  <c r="Q379" i="1"/>
  <c r="P379" i="1"/>
  <c r="O379" i="1"/>
  <c r="N379" i="1"/>
  <c r="M379" i="1"/>
  <c r="L379" i="1"/>
  <c r="K379" i="1"/>
  <c r="J379" i="1"/>
  <c r="I379" i="1"/>
  <c r="H379" i="1"/>
  <c r="G379" i="1"/>
  <c r="R378" i="1"/>
  <c r="Q378" i="1"/>
  <c r="P378" i="1"/>
  <c r="O378" i="1"/>
  <c r="N378" i="1"/>
  <c r="M378" i="1"/>
  <c r="L378" i="1"/>
  <c r="K378" i="1"/>
  <c r="J378" i="1"/>
  <c r="I378" i="1"/>
  <c r="H378" i="1"/>
  <c r="G378" i="1"/>
  <c r="R377" i="1"/>
  <c r="Q377" i="1"/>
  <c r="P377" i="1"/>
  <c r="O377" i="1"/>
  <c r="N377" i="1"/>
  <c r="M377" i="1"/>
  <c r="L377" i="1"/>
  <c r="K377" i="1"/>
  <c r="J377" i="1"/>
  <c r="I377" i="1"/>
  <c r="H377" i="1"/>
  <c r="G377" i="1"/>
  <c r="R376" i="1"/>
  <c r="Q376" i="1"/>
  <c r="P376" i="1"/>
  <c r="O376" i="1"/>
  <c r="N376" i="1"/>
  <c r="M376" i="1"/>
  <c r="L376" i="1"/>
  <c r="K376" i="1"/>
  <c r="J376" i="1"/>
  <c r="I376" i="1"/>
  <c r="H376" i="1"/>
  <c r="G376" i="1"/>
  <c r="R375" i="1"/>
  <c r="Q375" i="1"/>
  <c r="P375" i="1"/>
  <c r="O375" i="1"/>
  <c r="N375" i="1"/>
  <c r="M375" i="1"/>
  <c r="L375" i="1"/>
  <c r="K375" i="1"/>
  <c r="J375" i="1"/>
  <c r="I375" i="1"/>
  <c r="H375" i="1"/>
  <c r="G375" i="1"/>
  <c r="R374" i="1"/>
  <c r="Q374" i="1"/>
  <c r="P374" i="1"/>
  <c r="O374" i="1"/>
  <c r="N374" i="1"/>
  <c r="M374" i="1"/>
  <c r="L374" i="1"/>
  <c r="K374" i="1"/>
  <c r="J374" i="1"/>
  <c r="I374" i="1"/>
  <c r="H374" i="1"/>
  <c r="G374" i="1"/>
  <c r="R373" i="1"/>
  <c r="Q373" i="1"/>
  <c r="P373" i="1"/>
  <c r="O373" i="1"/>
  <c r="N373" i="1"/>
  <c r="M373" i="1"/>
  <c r="L373" i="1"/>
  <c r="K373" i="1"/>
  <c r="J373" i="1"/>
  <c r="I373" i="1"/>
  <c r="H373" i="1"/>
  <c r="G373" i="1"/>
  <c r="R372" i="1"/>
  <c r="Q372" i="1"/>
  <c r="P372" i="1"/>
  <c r="O372" i="1"/>
  <c r="N372" i="1"/>
  <c r="M372" i="1"/>
  <c r="L372" i="1"/>
  <c r="K372" i="1"/>
  <c r="J372" i="1"/>
  <c r="I372" i="1"/>
  <c r="H372" i="1"/>
  <c r="G372" i="1"/>
  <c r="R371" i="1"/>
  <c r="Q371" i="1"/>
  <c r="P371" i="1"/>
  <c r="O371" i="1"/>
  <c r="N371" i="1"/>
  <c r="M371" i="1"/>
  <c r="L371" i="1"/>
  <c r="K371" i="1"/>
  <c r="J371" i="1"/>
  <c r="I371" i="1"/>
  <c r="H371" i="1"/>
  <c r="G371" i="1"/>
  <c r="R370" i="1"/>
  <c r="Q370" i="1"/>
  <c r="P370" i="1"/>
  <c r="O370" i="1"/>
  <c r="N370" i="1"/>
  <c r="M370" i="1"/>
  <c r="L370" i="1"/>
  <c r="K370" i="1"/>
  <c r="J370" i="1"/>
  <c r="I370" i="1"/>
  <c r="H370" i="1"/>
  <c r="G370" i="1"/>
  <c r="R369" i="1"/>
  <c r="Q369" i="1"/>
  <c r="P369" i="1"/>
  <c r="O369" i="1"/>
  <c r="N369" i="1"/>
  <c r="M369" i="1"/>
  <c r="L369" i="1"/>
  <c r="K369" i="1"/>
  <c r="J369" i="1"/>
  <c r="I369" i="1"/>
  <c r="H369" i="1"/>
  <c r="G369" i="1"/>
  <c r="R368" i="1"/>
  <c r="Q368" i="1"/>
  <c r="P368" i="1"/>
  <c r="O368" i="1"/>
  <c r="N368" i="1"/>
  <c r="M368" i="1"/>
  <c r="L368" i="1"/>
  <c r="K368" i="1"/>
  <c r="J368" i="1"/>
  <c r="I368" i="1"/>
  <c r="H368" i="1"/>
  <c r="G368" i="1"/>
  <c r="R367" i="1"/>
  <c r="Q367" i="1"/>
  <c r="P367" i="1"/>
  <c r="O367" i="1"/>
  <c r="N367" i="1"/>
  <c r="M367" i="1"/>
  <c r="L367" i="1"/>
  <c r="K367" i="1"/>
  <c r="J367" i="1"/>
  <c r="I367" i="1"/>
  <c r="H367" i="1"/>
  <c r="G367" i="1"/>
  <c r="R366" i="1"/>
  <c r="Q366" i="1"/>
  <c r="P366" i="1"/>
  <c r="O366" i="1"/>
  <c r="N366" i="1"/>
  <c r="M366" i="1"/>
  <c r="L366" i="1"/>
  <c r="K366" i="1"/>
  <c r="J366" i="1"/>
  <c r="I366" i="1"/>
  <c r="H366" i="1"/>
  <c r="G366" i="1"/>
  <c r="R365" i="1"/>
  <c r="Q365" i="1"/>
  <c r="P365" i="1"/>
  <c r="O365" i="1"/>
  <c r="N365" i="1"/>
  <c r="M365" i="1"/>
  <c r="L365" i="1"/>
  <c r="K365" i="1"/>
  <c r="J365" i="1"/>
  <c r="I365" i="1"/>
  <c r="H365" i="1"/>
  <c r="G365" i="1"/>
  <c r="R364" i="1"/>
  <c r="Q364" i="1"/>
  <c r="P364" i="1"/>
  <c r="O364" i="1"/>
  <c r="N364" i="1"/>
  <c r="M364" i="1"/>
  <c r="L364" i="1"/>
  <c r="K364" i="1"/>
  <c r="J364" i="1"/>
  <c r="I364" i="1"/>
  <c r="H364" i="1"/>
  <c r="G364" i="1"/>
  <c r="R363" i="1"/>
  <c r="Q363" i="1"/>
  <c r="P363" i="1"/>
  <c r="O363" i="1"/>
  <c r="N363" i="1"/>
  <c r="M363" i="1"/>
  <c r="L363" i="1"/>
  <c r="K363" i="1"/>
  <c r="J363" i="1"/>
  <c r="I363" i="1"/>
  <c r="H363" i="1"/>
  <c r="G363" i="1"/>
  <c r="R362" i="1"/>
  <c r="Q362" i="1"/>
  <c r="P362" i="1"/>
  <c r="O362" i="1"/>
  <c r="N362" i="1"/>
  <c r="M362" i="1"/>
  <c r="L362" i="1"/>
  <c r="K362" i="1"/>
  <c r="J362" i="1"/>
  <c r="I362" i="1"/>
  <c r="H362" i="1"/>
  <c r="G362" i="1"/>
  <c r="R361" i="1"/>
  <c r="Q361" i="1"/>
  <c r="P361" i="1"/>
  <c r="O361" i="1"/>
  <c r="N361" i="1"/>
  <c r="M361" i="1"/>
  <c r="L361" i="1"/>
  <c r="K361" i="1"/>
  <c r="J361" i="1"/>
  <c r="I361" i="1"/>
  <c r="H361" i="1"/>
  <c r="G361" i="1"/>
  <c r="R360" i="1"/>
  <c r="Q360" i="1"/>
  <c r="P360" i="1"/>
  <c r="O360" i="1"/>
  <c r="N360" i="1"/>
  <c r="M360" i="1"/>
  <c r="L360" i="1"/>
  <c r="K360" i="1"/>
  <c r="J360" i="1"/>
  <c r="I360" i="1"/>
  <c r="H360" i="1"/>
  <c r="G360" i="1"/>
  <c r="R359" i="1"/>
  <c r="Q359" i="1"/>
  <c r="P359" i="1"/>
  <c r="O359" i="1"/>
  <c r="N359" i="1"/>
  <c r="M359" i="1"/>
  <c r="L359" i="1"/>
  <c r="K359" i="1"/>
  <c r="J359" i="1"/>
  <c r="I359" i="1"/>
  <c r="H359" i="1"/>
  <c r="G359" i="1"/>
  <c r="R358" i="1"/>
  <c r="Q358" i="1"/>
  <c r="P358" i="1"/>
  <c r="O358" i="1"/>
  <c r="N358" i="1"/>
  <c r="M358" i="1"/>
  <c r="L358" i="1"/>
  <c r="K358" i="1"/>
  <c r="J358" i="1"/>
  <c r="I358" i="1"/>
  <c r="H358" i="1"/>
  <c r="G358" i="1"/>
  <c r="R357" i="1"/>
  <c r="Q357" i="1"/>
  <c r="P357" i="1"/>
  <c r="O357" i="1"/>
  <c r="N357" i="1"/>
  <c r="M357" i="1"/>
  <c r="L357" i="1"/>
  <c r="K357" i="1"/>
  <c r="J357" i="1"/>
  <c r="I357" i="1"/>
  <c r="H357" i="1"/>
  <c r="G357" i="1"/>
  <c r="R356" i="1"/>
  <c r="Q356" i="1"/>
  <c r="P356" i="1"/>
  <c r="O356" i="1"/>
  <c r="N356" i="1"/>
  <c r="M356" i="1"/>
  <c r="L356" i="1"/>
  <c r="K356" i="1"/>
  <c r="J356" i="1"/>
  <c r="I356" i="1"/>
  <c r="H356" i="1"/>
  <c r="G356" i="1"/>
  <c r="R355" i="1"/>
  <c r="Q355" i="1"/>
  <c r="P355" i="1"/>
  <c r="O355" i="1"/>
  <c r="N355" i="1"/>
  <c r="M355" i="1"/>
  <c r="L355" i="1"/>
  <c r="K355" i="1"/>
  <c r="J355" i="1"/>
  <c r="I355" i="1"/>
  <c r="H355" i="1"/>
  <c r="G355" i="1"/>
  <c r="R354" i="1"/>
  <c r="Q354" i="1"/>
  <c r="P354" i="1"/>
  <c r="O354" i="1"/>
  <c r="N354" i="1"/>
  <c r="M354" i="1"/>
  <c r="L354" i="1"/>
  <c r="K354" i="1"/>
  <c r="J354" i="1"/>
  <c r="I354" i="1"/>
  <c r="H354" i="1"/>
  <c r="G354" i="1"/>
  <c r="R353" i="1"/>
  <c r="Q353" i="1"/>
  <c r="P353" i="1"/>
  <c r="O353" i="1"/>
  <c r="N353" i="1"/>
  <c r="M353" i="1"/>
  <c r="L353" i="1"/>
  <c r="K353" i="1"/>
  <c r="J353" i="1"/>
  <c r="I353" i="1"/>
  <c r="H353" i="1"/>
  <c r="G353" i="1"/>
  <c r="R352" i="1"/>
  <c r="Q352" i="1"/>
  <c r="P352" i="1"/>
  <c r="O352" i="1"/>
  <c r="N352" i="1"/>
  <c r="M352" i="1"/>
  <c r="L352" i="1"/>
  <c r="K352" i="1"/>
  <c r="J352" i="1"/>
  <c r="I352" i="1"/>
  <c r="H352" i="1"/>
  <c r="G352" i="1"/>
  <c r="R351" i="1"/>
  <c r="Q351" i="1"/>
  <c r="P351" i="1"/>
  <c r="O351" i="1"/>
  <c r="N351" i="1"/>
  <c r="M351" i="1"/>
  <c r="L351" i="1"/>
  <c r="K351" i="1"/>
  <c r="J351" i="1"/>
  <c r="I351" i="1"/>
  <c r="H351" i="1"/>
  <c r="G351" i="1"/>
  <c r="R350" i="1"/>
  <c r="Q350" i="1"/>
  <c r="P350" i="1"/>
  <c r="O350" i="1"/>
  <c r="N350" i="1"/>
  <c r="M350" i="1"/>
  <c r="L350" i="1"/>
  <c r="K350" i="1"/>
  <c r="J350" i="1"/>
  <c r="I350" i="1"/>
  <c r="H350" i="1"/>
  <c r="G350" i="1"/>
  <c r="R349" i="1"/>
  <c r="Q349" i="1"/>
  <c r="P349" i="1"/>
  <c r="O349" i="1"/>
  <c r="N349" i="1"/>
  <c r="M349" i="1"/>
  <c r="L349" i="1"/>
  <c r="K349" i="1"/>
  <c r="J349" i="1"/>
  <c r="I349" i="1"/>
  <c r="H349" i="1"/>
  <c r="G349" i="1"/>
  <c r="R348" i="1"/>
  <c r="Q348" i="1"/>
  <c r="P348" i="1"/>
  <c r="O348" i="1"/>
  <c r="N348" i="1"/>
  <c r="M348" i="1"/>
  <c r="L348" i="1"/>
  <c r="K348" i="1"/>
  <c r="J348" i="1"/>
  <c r="I348" i="1"/>
  <c r="H348" i="1"/>
  <c r="G348" i="1"/>
  <c r="R347" i="1"/>
  <c r="Q347" i="1"/>
  <c r="P347" i="1"/>
  <c r="O347" i="1"/>
  <c r="N347" i="1"/>
  <c r="M347" i="1"/>
  <c r="L347" i="1"/>
  <c r="K347" i="1"/>
  <c r="J347" i="1"/>
  <c r="I347" i="1"/>
  <c r="H347" i="1"/>
  <c r="G347" i="1"/>
  <c r="R346" i="1"/>
  <c r="Q346" i="1"/>
  <c r="P346" i="1"/>
  <c r="O346" i="1"/>
  <c r="N346" i="1"/>
  <c r="M346" i="1"/>
  <c r="L346" i="1"/>
  <c r="K346" i="1"/>
  <c r="J346" i="1"/>
  <c r="I346" i="1"/>
  <c r="H346" i="1"/>
  <c r="G346" i="1"/>
  <c r="R345" i="1"/>
  <c r="Q345" i="1"/>
  <c r="P345" i="1"/>
  <c r="O345" i="1"/>
  <c r="N345" i="1"/>
  <c r="M345" i="1"/>
  <c r="L345" i="1"/>
  <c r="K345" i="1"/>
  <c r="J345" i="1"/>
  <c r="I345" i="1"/>
  <c r="H345" i="1"/>
  <c r="G345" i="1"/>
  <c r="R344" i="1"/>
  <c r="Q344" i="1"/>
  <c r="P344" i="1"/>
  <c r="O344" i="1"/>
  <c r="N344" i="1"/>
  <c r="M344" i="1"/>
  <c r="L344" i="1"/>
  <c r="K344" i="1"/>
  <c r="J344" i="1"/>
  <c r="I344" i="1"/>
  <c r="H344" i="1"/>
  <c r="G344" i="1"/>
  <c r="R343" i="1"/>
  <c r="Q343" i="1"/>
  <c r="P343" i="1"/>
  <c r="O343" i="1"/>
  <c r="N343" i="1"/>
  <c r="M343" i="1"/>
  <c r="L343" i="1"/>
  <c r="K343" i="1"/>
  <c r="J343" i="1"/>
  <c r="I343" i="1"/>
  <c r="H343" i="1"/>
  <c r="G343" i="1"/>
  <c r="R342" i="1"/>
  <c r="Q342" i="1"/>
  <c r="P342" i="1"/>
  <c r="O342" i="1"/>
  <c r="N342" i="1"/>
  <c r="M342" i="1"/>
  <c r="L342" i="1"/>
  <c r="K342" i="1"/>
  <c r="J342" i="1"/>
  <c r="I342" i="1"/>
  <c r="H342" i="1"/>
  <c r="G342" i="1"/>
  <c r="R341" i="1"/>
  <c r="Q341" i="1"/>
  <c r="P341" i="1"/>
  <c r="O341" i="1"/>
  <c r="N341" i="1"/>
  <c r="M341" i="1"/>
  <c r="L341" i="1"/>
  <c r="K341" i="1"/>
  <c r="J341" i="1"/>
  <c r="I341" i="1"/>
  <c r="H341" i="1"/>
  <c r="G341" i="1"/>
  <c r="R340" i="1"/>
  <c r="Q340" i="1"/>
  <c r="P340" i="1"/>
  <c r="O340" i="1"/>
  <c r="N340" i="1"/>
  <c r="M340" i="1"/>
  <c r="L340" i="1"/>
  <c r="K340" i="1"/>
  <c r="J340" i="1"/>
  <c r="I340" i="1"/>
  <c r="H340" i="1"/>
  <c r="G340" i="1"/>
  <c r="R339" i="1"/>
  <c r="Q339" i="1"/>
  <c r="P339" i="1"/>
  <c r="O339" i="1"/>
  <c r="N339" i="1"/>
  <c r="M339" i="1"/>
  <c r="L339" i="1"/>
  <c r="K339" i="1"/>
  <c r="J339" i="1"/>
  <c r="I339" i="1"/>
  <c r="H339" i="1"/>
  <c r="G339" i="1"/>
  <c r="R338" i="1"/>
  <c r="Q338" i="1"/>
  <c r="P338" i="1"/>
  <c r="O338" i="1"/>
  <c r="N338" i="1"/>
  <c r="M338" i="1"/>
  <c r="L338" i="1"/>
  <c r="K338" i="1"/>
  <c r="J338" i="1"/>
  <c r="I338" i="1"/>
  <c r="H338" i="1"/>
  <c r="G338" i="1"/>
  <c r="R337" i="1"/>
  <c r="Q337" i="1"/>
  <c r="P337" i="1"/>
  <c r="O337" i="1"/>
  <c r="N337" i="1"/>
  <c r="M337" i="1"/>
  <c r="L337" i="1"/>
  <c r="K337" i="1"/>
  <c r="J337" i="1"/>
  <c r="I337" i="1"/>
  <c r="H337" i="1"/>
  <c r="G337" i="1"/>
  <c r="R336" i="1"/>
  <c r="Q336" i="1"/>
  <c r="P336" i="1"/>
  <c r="O336" i="1"/>
  <c r="N336" i="1"/>
  <c r="M336" i="1"/>
  <c r="L336" i="1"/>
  <c r="K336" i="1"/>
  <c r="J336" i="1"/>
  <c r="I336" i="1"/>
  <c r="H336" i="1"/>
  <c r="G336" i="1"/>
  <c r="R335" i="1"/>
  <c r="Q335" i="1"/>
  <c r="P335" i="1"/>
  <c r="O335" i="1"/>
  <c r="N335" i="1"/>
  <c r="M335" i="1"/>
  <c r="L335" i="1"/>
  <c r="K335" i="1"/>
  <c r="J335" i="1"/>
  <c r="I335" i="1"/>
  <c r="H335" i="1"/>
  <c r="G335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R333" i="1"/>
  <c r="Q333" i="1"/>
  <c r="P333" i="1"/>
  <c r="O333" i="1"/>
  <c r="N333" i="1"/>
  <c r="M333" i="1"/>
  <c r="L333" i="1"/>
  <c r="K333" i="1"/>
  <c r="J333" i="1"/>
  <c r="I333" i="1"/>
  <c r="H333" i="1"/>
  <c r="G333" i="1"/>
  <c r="R332" i="1"/>
  <c r="Q332" i="1"/>
  <c r="P332" i="1"/>
  <c r="O332" i="1"/>
  <c r="N332" i="1"/>
  <c r="M332" i="1"/>
  <c r="L332" i="1"/>
  <c r="K332" i="1"/>
  <c r="J332" i="1"/>
  <c r="I332" i="1"/>
  <c r="H332" i="1"/>
  <c r="G332" i="1"/>
  <c r="R331" i="1"/>
  <c r="Q331" i="1"/>
  <c r="P331" i="1"/>
  <c r="O331" i="1"/>
  <c r="N331" i="1"/>
  <c r="M331" i="1"/>
  <c r="L331" i="1"/>
  <c r="K331" i="1"/>
  <c r="J331" i="1"/>
  <c r="I331" i="1"/>
  <c r="H331" i="1"/>
  <c r="G331" i="1"/>
  <c r="R330" i="1"/>
  <c r="Q330" i="1"/>
  <c r="P330" i="1"/>
  <c r="O330" i="1"/>
  <c r="N330" i="1"/>
  <c r="M330" i="1"/>
  <c r="L330" i="1"/>
  <c r="K330" i="1"/>
  <c r="J330" i="1"/>
  <c r="I330" i="1"/>
  <c r="H330" i="1"/>
  <c r="G330" i="1"/>
  <c r="R329" i="1"/>
  <c r="Q329" i="1"/>
  <c r="P329" i="1"/>
  <c r="O329" i="1"/>
  <c r="N329" i="1"/>
  <c r="M329" i="1"/>
  <c r="L329" i="1"/>
  <c r="K329" i="1"/>
  <c r="J329" i="1"/>
  <c r="I329" i="1"/>
  <c r="H329" i="1"/>
  <c r="G329" i="1"/>
  <c r="R328" i="1"/>
  <c r="Q328" i="1"/>
  <c r="P328" i="1"/>
  <c r="O328" i="1"/>
  <c r="N328" i="1"/>
  <c r="M328" i="1"/>
  <c r="L328" i="1"/>
  <c r="K328" i="1"/>
  <c r="J328" i="1"/>
  <c r="I328" i="1"/>
  <c r="H328" i="1"/>
  <c r="G328" i="1"/>
  <c r="R327" i="1"/>
  <c r="Q327" i="1"/>
  <c r="P327" i="1"/>
  <c r="O327" i="1"/>
  <c r="N327" i="1"/>
  <c r="M327" i="1"/>
  <c r="L327" i="1"/>
  <c r="K327" i="1"/>
  <c r="J327" i="1"/>
  <c r="I327" i="1"/>
  <c r="H327" i="1"/>
  <c r="G327" i="1"/>
  <c r="R326" i="1"/>
  <c r="Q326" i="1"/>
  <c r="P326" i="1"/>
  <c r="O326" i="1"/>
  <c r="N326" i="1"/>
  <c r="M326" i="1"/>
  <c r="L326" i="1"/>
  <c r="K326" i="1"/>
  <c r="J326" i="1"/>
  <c r="I326" i="1"/>
  <c r="H326" i="1"/>
  <c r="G326" i="1"/>
  <c r="R325" i="1"/>
  <c r="Q325" i="1"/>
  <c r="P325" i="1"/>
  <c r="O325" i="1"/>
  <c r="N325" i="1"/>
  <c r="M325" i="1"/>
  <c r="L325" i="1"/>
  <c r="K325" i="1"/>
  <c r="J325" i="1"/>
  <c r="I325" i="1"/>
  <c r="H325" i="1"/>
  <c r="G325" i="1"/>
  <c r="R324" i="1"/>
  <c r="Q324" i="1"/>
  <c r="P324" i="1"/>
  <c r="O324" i="1"/>
  <c r="N324" i="1"/>
  <c r="M324" i="1"/>
  <c r="L324" i="1"/>
  <c r="K324" i="1"/>
  <c r="J324" i="1"/>
  <c r="I324" i="1"/>
  <c r="H324" i="1"/>
  <c r="G324" i="1"/>
  <c r="R323" i="1"/>
  <c r="Q323" i="1"/>
  <c r="P323" i="1"/>
  <c r="O323" i="1"/>
  <c r="N323" i="1"/>
  <c r="M323" i="1"/>
  <c r="L323" i="1"/>
  <c r="K323" i="1"/>
  <c r="J323" i="1"/>
  <c r="I323" i="1"/>
  <c r="H323" i="1"/>
  <c r="G323" i="1"/>
  <c r="R322" i="1"/>
  <c r="Q322" i="1"/>
  <c r="P322" i="1"/>
  <c r="O322" i="1"/>
  <c r="N322" i="1"/>
  <c r="M322" i="1"/>
  <c r="L322" i="1"/>
  <c r="K322" i="1"/>
  <c r="J322" i="1"/>
  <c r="I322" i="1"/>
  <c r="H322" i="1"/>
  <c r="G322" i="1"/>
  <c r="R321" i="1"/>
  <c r="Q321" i="1"/>
  <c r="P321" i="1"/>
  <c r="O321" i="1"/>
  <c r="N321" i="1"/>
  <c r="M321" i="1"/>
  <c r="L321" i="1"/>
  <c r="K321" i="1"/>
  <c r="J321" i="1"/>
  <c r="I321" i="1"/>
  <c r="H321" i="1"/>
  <c r="G321" i="1"/>
  <c r="R320" i="1"/>
  <c r="Q320" i="1"/>
  <c r="P320" i="1"/>
  <c r="O320" i="1"/>
  <c r="N320" i="1"/>
  <c r="M320" i="1"/>
  <c r="L320" i="1"/>
  <c r="K320" i="1"/>
  <c r="J320" i="1"/>
  <c r="I320" i="1"/>
  <c r="H320" i="1"/>
  <c r="G320" i="1"/>
  <c r="R319" i="1"/>
  <c r="Q319" i="1"/>
  <c r="P319" i="1"/>
  <c r="O319" i="1"/>
  <c r="N319" i="1"/>
  <c r="M319" i="1"/>
  <c r="L319" i="1"/>
  <c r="K319" i="1"/>
  <c r="J319" i="1"/>
  <c r="I319" i="1"/>
  <c r="H319" i="1"/>
  <c r="G319" i="1"/>
  <c r="R318" i="1"/>
  <c r="Q318" i="1"/>
  <c r="P318" i="1"/>
  <c r="O318" i="1"/>
  <c r="N318" i="1"/>
  <c r="M318" i="1"/>
  <c r="L318" i="1"/>
  <c r="K318" i="1"/>
  <c r="J318" i="1"/>
  <c r="I318" i="1"/>
  <c r="H318" i="1"/>
  <c r="G318" i="1"/>
  <c r="R317" i="1"/>
  <c r="Q317" i="1"/>
  <c r="P317" i="1"/>
  <c r="O317" i="1"/>
  <c r="N317" i="1"/>
  <c r="M317" i="1"/>
  <c r="L317" i="1"/>
  <c r="K317" i="1"/>
  <c r="J317" i="1"/>
  <c r="I317" i="1"/>
  <c r="H317" i="1"/>
  <c r="G317" i="1"/>
  <c r="R316" i="1"/>
  <c r="Q316" i="1"/>
  <c r="P316" i="1"/>
  <c r="O316" i="1"/>
  <c r="N316" i="1"/>
  <c r="M316" i="1"/>
  <c r="L316" i="1"/>
  <c r="K316" i="1"/>
  <c r="J316" i="1"/>
  <c r="I316" i="1"/>
  <c r="H316" i="1"/>
  <c r="G316" i="1"/>
  <c r="R315" i="1"/>
  <c r="Q315" i="1"/>
  <c r="P315" i="1"/>
  <c r="O315" i="1"/>
  <c r="N315" i="1"/>
  <c r="M315" i="1"/>
  <c r="L315" i="1"/>
  <c r="K315" i="1"/>
  <c r="J315" i="1"/>
  <c r="I315" i="1"/>
  <c r="H315" i="1"/>
  <c r="G315" i="1"/>
  <c r="R314" i="1"/>
  <c r="Q314" i="1"/>
  <c r="P314" i="1"/>
  <c r="O314" i="1"/>
  <c r="N314" i="1"/>
  <c r="M314" i="1"/>
  <c r="L314" i="1"/>
  <c r="K314" i="1"/>
  <c r="J314" i="1"/>
  <c r="I314" i="1"/>
  <c r="H314" i="1"/>
  <c r="G314" i="1"/>
  <c r="R313" i="1"/>
  <c r="Q313" i="1"/>
  <c r="P313" i="1"/>
  <c r="O313" i="1"/>
  <c r="N313" i="1"/>
  <c r="M313" i="1"/>
  <c r="L313" i="1"/>
  <c r="K313" i="1"/>
  <c r="J313" i="1"/>
  <c r="I313" i="1"/>
  <c r="H313" i="1"/>
  <c r="G313" i="1"/>
  <c r="R312" i="1"/>
  <c r="Q312" i="1"/>
  <c r="P312" i="1"/>
  <c r="O312" i="1"/>
  <c r="N312" i="1"/>
  <c r="M312" i="1"/>
  <c r="L312" i="1"/>
  <c r="K312" i="1"/>
  <c r="J312" i="1"/>
  <c r="I312" i="1"/>
  <c r="H312" i="1"/>
  <c r="G312" i="1"/>
  <c r="R311" i="1"/>
  <c r="Q311" i="1"/>
  <c r="P311" i="1"/>
  <c r="O311" i="1"/>
  <c r="N311" i="1"/>
  <c r="M311" i="1"/>
  <c r="L311" i="1"/>
  <c r="K311" i="1"/>
  <c r="J311" i="1"/>
  <c r="I311" i="1"/>
  <c r="H311" i="1"/>
  <c r="G311" i="1"/>
  <c r="R310" i="1"/>
  <c r="Q310" i="1"/>
  <c r="P310" i="1"/>
  <c r="O310" i="1"/>
  <c r="N310" i="1"/>
  <c r="M310" i="1"/>
  <c r="L310" i="1"/>
  <c r="K310" i="1"/>
  <c r="J310" i="1"/>
  <c r="I310" i="1"/>
  <c r="H310" i="1"/>
  <c r="G310" i="1"/>
  <c r="R309" i="1"/>
  <c r="Q309" i="1"/>
  <c r="P309" i="1"/>
  <c r="O309" i="1"/>
  <c r="N309" i="1"/>
  <c r="M309" i="1"/>
  <c r="L309" i="1"/>
  <c r="K309" i="1"/>
  <c r="J309" i="1"/>
  <c r="I309" i="1"/>
  <c r="H309" i="1"/>
  <c r="G309" i="1"/>
  <c r="R308" i="1"/>
  <c r="Q308" i="1"/>
  <c r="P308" i="1"/>
  <c r="O308" i="1"/>
  <c r="N308" i="1"/>
  <c r="M308" i="1"/>
  <c r="L308" i="1"/>
  <c r="K308" i="1"/>
  <c r="J308" i="1"/>
  <c r="I308" i="1"/>
  <c r="H308" i="1"/>
  <c r="G308" i="1"/>
  <c r="R307" i="1"/>
  <c r="Q307" i="1"/>
  <c r="P307" i="1"/>
  <c r="O307" i="1"/>
  <c r="N307" i="1"/>
  <c r="M307" i="1"/>
  <c r="L307" i="1"/>
  <c r="K307" i="1"/>
  <c r="J307" i="1"/>
  <c r="I307" i="1"/>
  <c r="H307" i="1"/>
  <c r="G307" i="1"/>
  <c r="R306" i="1"/>
  <c r="Q306" i="1"/>
  <c r="P306" i="1"/>
  <c r="O306" i="1"/>
  <c r="N306" i="1"/>
  <c r="M306" i="1"/>
  <c r="L306" i="1"/>
  <c r="K306" i="1"/>
  <c r="J306" i="1"/>
  <c r="I306" i="1"/>
  <c r="H306" i="1"/>
  <c r="G306" i="1"/>
  <c r="R305" i="1"/>
  <c r="Q305" i="1"/>
  <c r="P305" i="1"/>
  <c r="O305" i="1"/>
  <c r="N305" i="1"/>
  <c r="M305" i="1"/>
  <c r="L305" i="1"/>
  <c r="K305" i="1"/>
  <c r="J305" i="1"/>
  <c r="I305" i="1"/>
  <c r="H305" i="1"/>
  <c r="G305" i="1"/>
  <c r="R304" i="1"/>
  <c r="Q304" i="1"/>
  <c r="P304" i="1"/>
  <c r="O304" i="1"/>
  <c r="N304" i="1"/>
  <c r="M304" i="1"/>
  <c r="L304" i="1"/>
  <c r="K304" i="1"/>
  <c r="J304" i="1"/>
  <c r="I304" i="1"/>
  <c r="H304" i="1"/>
  <c r="G304" i="1"/>
  <c r="R303" i="1"/>
  <c r="Q303" i="1"/>
  <c r="P303" i="1"/>
  <c r="O303" i="1"/>
  <c r="N303" i="1"/>
  <c r="M303" i="1"/>
  <c r="L303" i="1"/>
  <c r="K303" i="1"/>
  <c r="J303" i="1"/>
  <c r="I303" i="1"/>
  <c r="H303" i="1"/>
  <c r="G303" i="1"/>
  <c r="R302" i="1"/>
  <c r="Q302" i="1"/>
  <c r="P302" i="1"/>
  <c r="O302" i="1"/>
  <c r="N302" i="1"/>
  <c r="M302" i="1"/>
  <c r="L302" i="1"/>
  <c r="K302" i="1"/>
  <c r="J302" i="1"/>
  <c r="I302" i="1"/>
  <c r="H302" i="1"/>
  <c r="G302" i="1"/>
  <c r="R301" i="1"/>
  <c r="Q301" i="1"/>
  <c r="P301" i="1"/>
  <c r="O301" i="1"/>
  <c r="N301" i="1"/>
  <c r="M301" i="1"/>
  <c r="L301" i="1"/>
  <c r="K301" i="1"/>
  <c r="J301" i="1"/>
  <c r="I301" i="1"/>
  <c r="H301" i="1"/>
  <c r="G301" i="1"/>
  <c r="R300" i="1"/>
  <c r="Q300" i="1"/>
  <c r="P300" i="1"/>
  <c r="O300" i="1"/>
  <c r="N300" i="1"/>
  <c r="M300" i="1"/>
  <c r="L300" i="1"/>
  <c r="K300" i="1"/>
  <c r="J300" i="1"/>
  <c r="I300" i="1"/>
  <c r="H300" i="1"/>
  <c r="G300" i="1"/>
  <c r="R299" i="1"/>
  <c r="Q299" i="1"/>
  <c r="P299" i="1"/>
  <c r="O299" i="1"/>
  <c r="N299" i="1"/>
  <c r="M299" i="1"/>
  <c r="L299" i="1"/>
  <c r="K299" i="1"/>
  <c r="J299" i="1"/>
  <c r="I299" i="1"/>
  <c r="H299" i="1"/>
  <c r="G299" i="1"/>
  <c r="R298" i="1"/>
  <c r="Q298" i="1"/>
  <c r="P298" i="1"/>
  <c r="O298" i="1"/>
  <c r="N298" i="1"/>
  <c r="M298" i="1"/>
  <c r="L298" i="1"/>
  <c r="K298" i="1"/>
  <c r="J298" i="1"/>
  <c r="I298" i="1"/>
  <c r="H298" i="1"/>
  <c r="G298" i="1"/>
  <c r="R297" i="1"/>
  <c r="Q297" i="1"/>
  <c r="P297" i="1"/>
  <c r="O297" i="1"/>
  <c r="N297" i="1"/>
  <c r="M297" i="1"/>
  <c r="L297" i="1"/>
  <c r="K297" i="1"/>
  <c r="J297" i="1"/>
  <c r="I297" i="1"/>
  <c r="H297" i="1"/>
  <c r="G297" i="1"/>
  <c r="R296" i="1"/>
  <c r="Q296" i="1"/>
  <c r="P296" i="1"/>
  <c r="O296" i="1"/>
  <c r="N296" i="1"/>
  <c r="M296" i="1"/>
  <c r="L296" i="1"/>
  <c r="K296" i="1"/>
  <c r="J296" i="1"/>
  <c r="I296" i="1"/>
  <c r="H296" i="1"/>
  <c r="G296" i="1"/>
  <c r="R295" i="1"/>
  <c r="Q295" i="1"/>
  <c r="P295" i="1"/>
  <c r="O295" i="1"/>
  <c r="N295" i="1"/>
  <c r="M295" i="1"/>
  <c r="L295" i="1"/>
  <c r="K295" i="1"/>
  <c r="J295" i="1"/>
  <c r="I295" i="1"/>
  <c r="H295" i="1"/>
  <c r="G295" i="1"/>
  <c r="R294" i="1"/>
  <c r="Q294" i="1"/>
  <c r="P294" i="1"/>
  <c r="O294" i="1"/>
  <c r="N294" i="1"/>
  <c r="M294" i="1"/>
  <c r="L294" i="1"/>
  <c r="K294" i="1"/>
  <c r="J294" i="1"/>
  <c r="I294" i="1"/>
  <c r="H294" i="1"/>
  <c r="G294" i="1"/>
  <c r="R293" i="1"/>
  <c r="Q293" i="1"/>
  <c r="P293" i="1"/>
  <c r="O293" i="1"/>
  <c r="N293" i="1"/>
  <c r="M293" i="1"/>
  <c r="L293" i="1"/>
  <c r="K293" i="1"/>
  <c r="J293" i="1"/>
  <c r="I293" i="1"/>
  <c r="H293" i="1"/>
  <c r="G293" i="1"/>
  <c r="R292" i="1"/>
  <c r="Q292" i="1"/>
  <c r="P292" i="1"/>
  <c r="O292" i="1"/>
  <c r="N292" i="1"/>
  <c r="M292" i="1"/>
  <c r="L292" i="1"/>
  <c r="K292" i="1"/>
  <c r="J292" i="1"/>
  <c r="I292" i="1"/>
  <c r="H292" i="1"/>
  <c r="G292" i="1"/>
  <c r="R291" i="1"/>
  <c r="Q291" i="1"/>
  <c r="P291" i="1"/>
  <c r="O291" i="1"/>
  <c r="N291" i="1"/>
  <c r="M291" i="1"/>
  <c r="L291" i="1"/>
  <c r="K291" i="1"/>
  <c r="J291" i="1"/>
  <c r="I291" i="1"/>
  <c r="H291" i="1"/>
  <c r="G291" i="1"/>
  <c r="R290" i="1"/>
  <c r="Q290" i="1"/>
  <c r="P290" i="1"/>
  <c r="O290" i="1"/>
  <c r="N290" i="1"/>
  <c r="M290" i="1"/>
  <c r="L290" i="1"/>
  <c r="K290" i="1"/>
  <c r="J290" i="1"/>
  <c r="I290" i="1"/>
  <c r="H290" i="1"/>
  <c r="G290" i="1"/>
  <c r="R289" i="1"/>
  <c r="Q289" i="1"/>
  <c r="P289" i="1"/>
  <c r="O289" i="1"/>
  <c r="N289" i="1"/>
  <c r="M289" i="1"/>
  <c r="L289" i="1"/>
  <c r="K289" i="1"/>
  <c r="J289" i="1"/>
  <c r="I289" i="1"/>
  <c r="H289" i="1"/>
  <c r="G289" i="1"/>
  <c r="R288" i="1"/>
  <c r="Q288" i="1"/>
  <c r="P288" i="1"/>
  <c r="O288" i="1"/>
  <c r="N288" i="1"/>
  <c r="M288" i="1"/>
  <c r="L288" i="1"/>
  <c r="K288" i="1"/>
  <c r="J288" i="1"/>
  <c r="I288" i="1"/>
  <c r="H288" i="1"/>
  <c r="G288" i="1"/>
  <c r="R287" i="1"/>
  <c r="Q287" i="1"/>
  <c r="P287" i="1"/>
  <c r="O287" i="1"/>
  <c r="N287" i="1"/>
  <c r="M287" i="1"/>
  <c r="L287" i="1"/>
  <c r="K287" i="1"/>
  <c r="J287" i="1"/>
  <c r="I287" i="1"/>
  <c r="H287" i="1"/>
  <c r="G287" i="1"/>
  <c r="R286" i="1"/>
  <c r="Q286" i="1"/>
  <c r="P286" i="1"/>
  <c r="O286" i="1"/>
  <c r="N286" i="1"/>
  <c r="M286" i="1"/>
  <c r="L286" i="1"/>
  <c r="K286" i="1"/>
  <c r="J286" i="1"/>
  <c r="I286" i="1"/>
  <c r="H286" i="1"/>
  <c r="G286" i="1"/>
  <c r="R285" i="1"/>
  <c r="Q285" i="1"/>
  <c r="P285" i="1"/>
  <c r="O285" i="1"/>
  <c r="N285" i="1"/>
  <c r="M285" i="1"/>
  <c r="L285" i="1"/>
  <c r="K285" i="1"/>
  <c r="J285" i="1"/>
  <c r="I285" i="1"/>
  <c r="H285" i="1"/>
  <c r="G285" i="1"/>
  <c r="R284" i="1"/>
  <c r="Q284" i="1"/>
  <c r="P284" i="1"/>
  <c r="O284" i="1"/>
  <c r="N284" i="1"/>
  <c r="M284" i="1"/>
  <c r="L284" i="1"/>
  <c r="K284" i="1"/>
  <c r="J284" i="1"/>
  <c r="I284" i="1"/>
  <c r="H284" i="1"/>
  <c r="G284" i="1"/>
  <c r="R283" i="1"/>
  <c r="Q283" i="1"/>
  <c r="P283" i="1"/>
  <c r="O283" i="1"/>
  <c r="N283" i="1"/>
  <c r="M283" i="1"/>
  <c r="L283" i="1"/>
  <c r="K283" i="1"/>
  <c r="J283" i="1"/>
  <c r="I283" i="1"/>
  <c r="H283" i="1"/>
  <c r="G283" i="1"/>
  <c r="R282" i="1"/>
  <c r="Q282" i="1"/>
  <c r="P282" i="1"/>
  <c r="O282" i="1"/>
  <c r="N282" i="1"/>
  <c r="M282" i="1"/>
  <c r="L282" i="1"/>
  <c r="K282" i="1"/>
  <c r="J282" i="1"/>
  <c r="I282" i="1"/>
  <c r="H282" i="1"/>
  <c r="G282" i="1"/>
  <c r="R281" i="1"/>
  <c r="Q281" i="1"/>
  <c r="P281" i="1"/>
  <c r="O281" i="1"/>
  <c r="N281" i="1"/>
  <c r="M281" i="1"/>
  <c r="L281" i="1"/>
  <c r="K281" i="1"/>
  <c r="J281" i="1"/>
  <c r="I281" i="1"/>
  <c r="H281" i="1"/>
  <c r="G281" i="1"/>
  <c r="R280" i="1"/>
  <c r="Q280" i="1"/>
  <c r="P280" i="1"/>
  <c r="O280" i="1"/>
  <c r="N280" i="1"/>
  <c r="M280" i="1"/>
  <c r="L280" i="1"/>
  <c r="K280" i="1"/>
  <c r="J280" i="1"/>
  <c r="I280" i="1"/>
  <c r="H280" i="1"/>
  <c r="G280" i="1"/>
  <c r="R279" i="1"/>
  <c r="Q279" i="1"/>
  <c r="P279" i="1"/>
  <c r="O279" i="1"/>
  <c r="N279" i="1"/>
  <c r="M279" i="1"/>
  <c r="L279" i="1"/>
  <c r="K279" i="1"/>
  <c r="J279" i="1"/>
  <c r="I279" i="1"/>
  <c r="H279" i="1"/>
  <c r="G279" i="1"/>
  <c r="R278" i="1"/>
  <c r="Q278" i="1"/>
  <c r="P278" i="1"/>
  <c r="O278" i="1"/>
  <c r="N278" i="1"/>
  <c r="M278" i="1"/>
  <c r="L278" i="1"/>
  <c r="K278" i="1"/>
  <c r="J278" i="1"/>
  <c r="I278" i="1"/>
  <c r="H278" i="1"/>
  <c r="G278" i="1"/>
  <c r="R277" i="1"/>
  <c r="Q277" i="1"/>
  <c r="P277" i="1"/>
  <c r="O277" i="1"/>
  <c r="N277" i="1"/>
  <c r="M277" i="1"/>
  <c r="L277" i="1"/>
  <c r="K277" i="1"/>
  <c r="J277" i="1"/>
  <c r="I277" i="1"/>
  <c r="H277" i="1"/>
  <c r="G277" i="1"/>
  <c r="R276" i="1"/>
  <c r="Q276" i="1"/>
  <c r="P276" i="1"/>
  <c r="O276" i="1"/>
  <c r="N276" i="1"/>
  <c r="M276" i="1"/>
  <c r="L276" i="1"/>
  <c r="K276" i="1"/>
  <c r="J276" i="1"/>
  <c r="I276" i="1"/>
  <c r="H276" i="1"/>
  <c r="G276" i="1"/>
  <c r="R275" i="1"/>
  <c r="Q275" i="1"/>
  <c r="P275" i="1"/>
  <c r="O275" i="1"/>
  <c r="N275" i="1"/>
  <c r="M275" i="1"/>
  <c r="L275" i="1"/>
  <c r="K275" i="1"/>
  <c r="J275" i="1"/>
  <c r="I275" i="1"/>
  <c r="H275" i="1"/>
  <c r="G275" i="1"/>
  <c r="R274" i="1"/>
  <c r="Q274" i="1"/>
  <c r="P274" i="1"/>
  <c r="O274" i="1"/>
  <c r="N274" i="1"/>
  <c r="M274" i="1"/>
  <c r="L274" i="1"/>
  <c r="K274" i="1"/>
  <c r="J274" i="1"/>
  <c r="I274" i="1"/>
  <c r="H274" i="1"/>
  <c r="G274" i="1"/>
  <c r="R273" i="1"/>
  <c r="Q273" i="1"/>
  <c r="P273" i="1"/>
  <c r="O273" i="1"/>
  <c r="N273" i="1"/>
  <c r="M273" i="1"/>
  <c r="L273" i="1"/>
  <c r="K273" i="1"/>
  <c r="J273" i="1"/>
  <c r="I273" i="1"/>
  <c r="H273" i="1"/>
  <c r="G273" i="1"/>
  <c r="R272" i="1"/>
  <c r="Q272" i="1"/>
  <c r="P272" i="1"/>
  <c r="O272" i="1"/>
  <c r="N272" i="1"/>
  <c r="M272" i="1"/>
  <c r="L272" i="1"/>
  <c r="K272" i="1"/>
  <c r="J272" i="1"/>
  <c r="I272" i="1"/>
  <c r="H272" i="1"/>
  <c r="G272" i="1"/>
  <c r="R271" i="1"/>
  <c r="Q271" i="1"/>
  <c r="P271" i="1"/>
  <c r="O271" i="1"/>
  <c r="N271" i="1"/>
  <c r="M271" i="1"/>
  <c r="L271" i="1"/>
  <c r="K271" i="1"/>
  <c r="J271" i="1"/>
  <c r="I271" i="1"/>
  <c r="H271" i="1"/>
  <c r="G271" i="1"/>
  <c r="R270" i="1"/>
  <c r="Q270" i="1"/>
  <c r="P270" i="1"/>
  <c r="O270" i="1"/>
  <c r="N270" i="1"/>
  <c r="M270" i="1"/>
  <c r="L270" i="1"/>
  <c r="K270" i="1"/>
  <c r="J270" i="1"/>
  <c r="I270" i="1"/>
  <c r="H270" i="1"/>
  <c r="G270" i="1"/>
  <c r="R269" i="1"/>
  <c r="Q269" i="1"/>
  <c r="P269" i="1"/>
  <c r="O269" i="1"/>
  <c r="N269" i="1"/>
  <c r="M269" i="1"/>
  <c r="L269" i="1"/>
  <c r="K269" i="1"/>
  <c r="J269" i="1"/>
  <c r="I269" i="1"/>
  <c r="H269" i="1"/>
  <c r="G269" i="1"/>
  <c r="R268" i="1"/>
  <c r="Q268" i="1"/>
  <c r="P268" i="1"/>
  <c r="O268" i="1"/>
  <c r="N268" i="1"/>
  <c r="M268" i="1"/>
  <c r="L268" i="1"/>
  <c r="K268" i="1"/>
  <c r="J268" i="1"/>
  <c r="I268" i="1"/>
  <c r="H268" i="1"/>
  <c r="G268" i="1"/>
  <c r="R267" i="1"/>
  <c r="Q267" i="1"/>
  <c r="P267" i="1"/>
  <c r="O267" i="1"/>
  <c r="N267" i="1"/>
  <c r="M267" i="1"/>
  <c r="L267" i="1"/>
  <c r="K267" i="1"/>
  <c r="J267" i="1"/>
  <c r="I267" i="1"/>
  <c r="H267" i="1"/>
  <c r="G267" i="1"/>
  <c r="R266" i="1"/>
  <c r="Q266" i="1"/>
  <c r="P266" i="1"/>
  <c r="O266" i="1"/>
  <c r="N266" i="1"/>
  <c r="M266" i="1"/>
  <c r="L266" i="1"/>
  <c r="K266" i="1"/>
  <c r="J266" i="1"/>
  <c r="I266" i="1"/>
  <c r="H266" i="1"/>
  <c r="G266" i="1"/>
  <c r="R265" i="1"/>
  <c r="Q265" i="1"/>
  <c r="P265" i="1"/>
  <c r="O265" i="1"/>
  <c r="N265" i="1"/>
  <c r="M265" i="1"/>
  <c r="L265" i="1"/>
  <c r="K265" i="1"/>
  <c r="J265" i="1"/>
  <c r="I265" i="1"/>
  <c r="H265" i="1"/>
  <c r="G265" i="1"/>
  <c r="R264" i="1"/>
  <c r="Q264" i="1"/>
  <c r="P264" i="1"/>
  <c r="O264" i="1"/>
  <c r="N264" i="1"/>
  <c r="M264" i="1"/>
  <c r="L264" i="1"/>
  <c r="K264" i="1"/>
  <c r="J264" i="1"/>
  <c r="I264" i="1"/>
  <c r="H264" i="1"/>
  <c r="G264" i="1"/>
  <c r="R263" i="1"/>
  <c r="Q263" i="1"/>
  <c r="P263" i="1"/>
  <c r="O263" i="1"/>
  <c r="N263" i="1"/>
  <c r="M263" i="1"/>
  <c r="L263" i="1"/>
  <c r="K263" i="1"/>
  <c r="J263" i="1"/>
  <c r="I263" i="1"/>
  <c r="H263" i="1"/>
  <c r="G263" i="1"/>
  <c r="R262" i="1"/>
  <c r="Q262" i="1"/>
  <c r="P262" i="1"/>
  <c r="O262" i="1"/>
  <c r="N262" i="1"/>
  <c r="M262" i="1"/>
  <c r="L262" i="1"/>
  <c r="K262" i="1"/>
  <c r="J262" i="1"/>
  <c r="I262" i="1"/>
  <c r="H262" i="1"/>
  <c r="G262" i="1"/>
  <c r="R261" i="1"/>
  <c r="Q261" i="1"/>
  <c r="P261" i="1"/>
  <c r="O261" i="1"/>
  <c r="N261" i="1"/>
  <c r="M261" i="1"/>
  <c r="L261" i="1"/>
  <c r="K261" i="1"/>
  <c r="J261" i="1"/>
  <c r="I261" i="1"/>
  <c r="H261" i="1"/>
  <c r="G261" i="1"/>
  <c r="R260" i="1"/>
  <c r="Q260" i="1"/>
  <c r="P260" i="1"/>
  <c r="O260" i="1"/>
  <c r="N260" i="1"/>
  <c r="M260" i="1"/>
  <c r="L260" i="1"/>
  <c r="K260" i="1"/>
  <c r="J260" i="1"/>
  <c r="I260" i="1"/>
  <c r="H260" i="1"/>
  <c r="G260" i="1"/>
  <c r="R259" i="1"/>
  <c r="Q259" i="1"/>
  <c r="P259" i="1"/>
  <c r="O259" i="1"/>
  <c r="N259" i="1"/>
  <c r="M259" i="1"/>
  <c r="L259" i="1"/>
  <c r="K259" i="1"/>
  <c r="J259" i="1"/>
  <c r="I259" i="1"/>
  <c r="H259" i="1"/>
  <c r="G259" i="1"/>
  <c r="R258" i="1"/>
  <c r="Q258" i="1"/>
  <c r="P258" i="1"/>
  <c r="O258" i="1"/>
  <c r="N258" i="1"/>
  <c r="M258" i="1"/>
  <c r="L258" i="1"/>
  <c r="K258" i="1"/>
  <c r="J258" i="1"/>
  <c r="I258" i="1"/>
  <c r="H258" i="1"/>
  <c r="G258" i="1"/>
  <c r="R257" i="1"/>
  <c r="Q257" i="1"/>
  <c r="P257" i="1"/>
  <c r="O257" i="1"/>
  <c r="N257" i="1"/>
  <c r="M257" i="1"/>
  <c r="L257" i="1"/>
  <c r="K257" i="1"/>
  <c r="J257" i="1"/>
  <c r="I257" i="1"/>
  <c r="H257" i="1"/>
  <c r="G257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R255" i="1"/>
  <c r="Q255" i="1"/>
  <c r="P255" i="1"/>
  <c r="O255" i="1"/>
  <c r="N255" i="1"/>
  <c r="M255" i="1"/>
  <c r="L255" i="1"/>
  <c r="K255" i="1"/>
  <c r="J255" i="1"/>
  <c r="I255" i="1"/>
  <c r="H255" i="1"/>
  <c r="G255" i="1"/>
  <c r="R254" i="1"/>
  <c r="Q254" i="1"/>
  <c r="P254" i="1"/>
  <c r="O254" i="1"/>
  <c r="N254" i="1"/>
  <c r="M254" i="1"/>
  <c r="L254" i="1"/>
  <c r="K254" i="1"/>
  <c r="J254" i="1"/>
  <c r="I254" i="1"/>
  <c r="H254" i="1"/>
  <c r="G254" i="1"/>
  <c r="R253" i="1"/>
  <c r="Q253" i="1"/>
  <c r="P253" i="1"/>
  <c r="O253" i="1"/>
  <c r="N253" i="1"/>
  <c r="M253" i="1"/>
  <c r="L253" i="1"/>
  <c r="K253" i="1"/>
  <c r="J253" i="1"/>
  <c r="I253" i="1"/>
  <c r="H253" i="1"/>
  <c r="G253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R251" i="1"/>
  <c r="Q251" i="1"/>
  <c r="P251" i="1"/>
  <c r="O251" i="1"/>
  <c r="N251" i="1"/>
  <c r="M251" i="1"/>
  <c r="L251" i="1"/>
  <c r="K251" i="1"/>
  <c r="J251" i="1"/>
  <c r="I251" i="1"/>
  <c r="H251" i="1"/>
  <c r="G251" i="1"/>
  <c r="R250" i="1"/>
  <c r="Q250" i="1"/>
  <c r="P250" i="1"/>
  <c r="O250" i="1"/>
  <c r="N250" i="1"/>
  <c r="M250" i="1"/>
  <c r="L250" i="1"/>
  <c r="K250" i="1"/>
  <c r="J250" i="1"/>
  <c r="I250" i="1"/>
  <c r="H250" i="1"/>
  <c r="G250" i="1"/>
  <c r="R249" i="1"/>
  <c r="Q249" i="1"/>
  <c r="P249" i="1"/>
  <c r="O249" i="1"/>
  <c r="N249" i="1"/>
  <c r="M249" i="1"/>
  <c r="L249" i="1"/>
  <c r="K249" i="1"/>
  <c r="J249" i="1"/>
  <c r="I249" i="1"/>
  <c r="H249" i="1"/>
  <c r="G249" i="1"/>
  <c r="R248" i="1"/>
  <c r="Q248" i="1"/>
  <c r="P248" i="1"/>
  <c r="O248" i="1"/>
  <c r="N248" i="1"/>
  <c r="M248" i="1"/>
  <c r="L248" i="1"/>
  <c r="K248" i="1"/>
  <c r="J248" i="1"/>
  <c r="I248" i="1"/>
  <c r="H248" i="1"/>
  <c r="G248" i="1"/>
  <c r="R247" i="1"/>
  <c r="Q247" i="1"/>
  <c r="P247" i="1"/>
  <c r="O247" i="1"/>
  <c r="N247" i="1"/>
  <c r="M247" i="1"/>
  <c r="L247" i="1"/>
  <c r="K247" i="1"/>
  <c r="J247" i="1"/>
  <c r="I247" i="1"/>
  <c r="H247" i="1"/>
  <c r="G247" i="1"/>
  <c r="R246" i="1"/>
  <c r="Q246" i="1"/>
  <c r="P246" i="1"/>
  <c r="O246" i="1"/>
  <c r="N246" i="1"/>
  <c r="M246" i="1"/>
  <c r="L246" i="1"/>
  <c r="K246" i="1"/>
  <c r="J246" i="1"/>
  <c r="I246" i="1"/>
  <c r="H246" i="1"/>
  <c r="G246" i="1"/>
  <c r="R245" i="1"/>
  <c r="Q245" i="1"/>
  <c r="P245" i="1"/>
  <c r="O245" i="1"/>
  <c r="N245" i="1"/>
  <c r="M245" i="1"/>
  <c r="L245" i="1"/>
  <c r="K245" i="1"/>
  <c r="J245" i="1"/>
  <c r="I245" i="1"/>
  <c r="H245" i="1"/>
  <c r="G245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R243" i="1"/>
  <c r="Q243" i="1"/>
  <c r="P243" i="1"/>
  <c r="O243" i="1"/>
  <c r="N243" i="1"/>
  <c r="M243" i="1"/>
  <c r="L243" i="1"/>
  <c r="K243" i="1"/>
  <c r="J243" i="1"/>
  <c r="I243" i="1"/>
  <c r="H243" i="1"/>
  <c r="G243" i="1"/>
  <c r="R242" i="1"/>
  <c r="Q242" i="1"/>
  <c r="P242" i="1"/>
  <c r="O242" i="1"/>
  <c r="N242" i="1"/>
  <c r="M242" i="1"/>
  <c r="L242" i="1"/>
  <c r="K242" i="1"/>
  <c r="J242" i="1"/>
  <c r="I242" i="1"/>
  <c r="H242" i="1"/>
  <c r="G242" i="1"/>
  <c r="R241" i="1"/>
  <c r="Q241" i="1"/>
  <c r="P241" i="1"/>
  <c r="O241" i="1"/>
  <c r="N241" i="1"/>
  <c r="M241" i="1"/>
  <c r="L241" i="1"/>
  <c r="K241" i="1"/>
  <c r="J241" i="1"/>
  <c r="I241" i="1"/>
  <c r="H241" i="1"/>
  <c r="G241" i="1"/>
  <c r="R240" i="1"/>
  <c r="Q240" i="1"/>
  <c r="P240" i="1"/>
  <c r="O240" i="1"/>
  <c r="N240" i="1"/>
  <c r="M240" i="1"/>
  <c r="L240" i="1"/>
  <c r="K240" i="1"/>
  <c r="J240" i="1"/>
  <c r="I240" i="1"/>
  <c r="H240" i="1"/>
  <c r="G240" i="1"/>
  <c r="R239" i="1"/>
  <c r="Q239" i="1"/>
  <c r="P239" i="1"/>
  <c r="O239" i="1"/>
  <c r="N239" i="1"/>
  <c r="M239" i="1"/>
  <c r="L239" i="1"/>
  <c r="K239" i="1"/>
  <c r="J239" i="1"/>
  <c r="I239" i="1"/>
  <c r="H239" i="1"/>
  <c r="G239" i="1"/>
  <c r="R238" i="1"/>
  <c r="Q238" i="1"/>
  <c r="P238" i="1"/>
  <c r="O238" i="1"/>
  <c r="N238" i="1"/>
  <c r="M238" i="1"/>
  <c r="L238" i="1"/>
  <c r="K238" i="1"/>
  <c r="J238" i="1"/>
  <c r="I238" i="1"/>
  <c r="H238" i="1"/>
  <c r="G238" i="1"/>
  <c r="R237" i="1"/>
  <c r="Q237" i="1"/>
  <c r="P237" i="1"/>
  <c r="O237" i="1"/>
  <c r="N237" i="1"/>
  <c r="M237" i="1"/>
  <c r="L237" i="1"/>
  <c r="K237" i="1"/>
  <c r="J237" i="1"/>
  <c r="I237" i="1"/>
  <c r="H237" i="1"/>
  <c r="G237" i="1"/>
  <c r="R236" i="1"/>
  <c r="Q236" i="1"/>
  <c r="P236" i="1"/>
  <c r="O236" i="1"/>
  <c r="N236" i="1"/>
  <c r="M236" i="1"/>
  <c r="L236" i="1"/>
  <c r="K236" i="1"/>
  <c r="J236" i="1"/>
  <c r="I236" i="1"/>
  <c r="H236" i="1"/>
  <c r="G236" i="1"/>
  <c r="R235" i="1"/>
  <c r="Q235" i="1"/>
  <c r="P235" i="1"/>
  <c r="O235" i="1"/>
  <c r="N235" i="1"/>
  <c r="M235" i="1"/>
  <c r="L235" i="1"/>
  <c r="K235" i="1"/>
  <c r="J235" i="1"/>
  <c r="I235" i="1"/>
  <c r="H235" i="1"/>
  <c r="G235" i="1"/>
  <c r="R234" i="1"/>
  <c r="Q234" i="1"/>
  <c r="P234" i="1"/>
  <c r="O234" i="1"/>
  <c r="N234" i="1"/>
  <c r="M234" i="1"/>
  <c r="L234" i="1"/>
  <c r="K234" i="1"/>
  <c r="J234" i="1"/>
  <c r="I234" i="1"/>
  <c r="H234" i="1"/>
  <c r="G234" i="1"/>
  <c r="R233" i="1"/>
  <c r="Q233" i="1"/>
  <c r="P233" i="1"/>
  <c r="O233" i="1"/>
  <c r="N233" i="1"/>
  <c r="M233" i="1"/>
  <c r="L233" i="1"/>
  <c r="K233" i="1"/>
  <c r="J233" i="1"/>
  <c r="I233" i="1"/>
  <c r="H233" i="1"/>
  <c r="G233" i="1"/>
  <c r="R232" i="1"/>
  <c r="Q232" i="1"/>
  <c r="P232" i="1"/>
  <c r="O232" i="1"/>
  <c r="N232" i="1"/>
  <c r="M232" i="1"/>
  <c r="L232" i="1"/>
  <c r="K232" i="1"/>
  <c r="J232" i="1"/>
  <c r="I232" i="1"/>
  <c r="H232" i="1"/>
  <c r="G232" i="1"/>
  <c r="R231" i="1"/>
  <c r="Q231" i="1"/>
  <c r="P231" i="1"/>
  <c r="O231" i="1"/>
  <c r="N231" i="1"/>
  <c r="M231" i="1"/>
  <c r="L231" i="1"/>
  <c r="K231" i="1"/>
  <c r="J231" i="1"/>
  <c r="I231" i="1"/>
  <c r="H231" i="1"/>
  <c r="G231" i="1"/>
  <c r="R230" i="1"/>
  <c r="Q230" i="1"/>
  <c r="P230" i="1"/>
  <c r="O230" i="1"/>
  <c r="N230" i="1"/>
  <c r="M230" i="1"/>
  <c r="L230" i="1"/>
  <c r="K230" i="1"/>
  <c r="J230" i="1"/>
  <c r="I230" i="1"/>
  <c r="H230" i="1"/>
  <c r="G230" i="1"/>
  <c r="R229" i="1"/>
  <c r="Q229" i="1"/>
  <c r="P229" i="1"/>
  <c r="O229" i="1"/>
  <c r="N229" i="1"/>
  <c r="M229" i="1"/>
  <c r="L229" i="1"/>
  <c r="K229" i="1"/>
  <c r="J229" i="1"/>
  <c r="I229" i="1"/>
  <c r="H229" i="1"/>
  <c r="G229" i="1"/>
  <c r="R228" i="1"/>
  <c r="Q228" i="1"/>
  <c r="P228" i="1"/>
  <c r="O228" i="1"/>
  <c r="N228" i="1"/>
  <c r="M228" i="1"/>
  <c r="L228" i="1"/>
  <c r="K228" i="1"/>
  <c r="J228" i="1"/>
  <c r="I228" i="1"/>
  <c r="H228" i="1"/>
  <c r="G228" i="1"/>
  <c r="R227" i="1"/>
  <c r="Q227" i="1"/>
  <c r="P227" i="1"/>
  <c r="O227" i="1"/>
  <c r="N227" i="1"/>
  <c r="M227" i="1"/>
  <c r="L227" i="1"/>
  <c r="K227" i="1"/>
  <c r="J227" i="1"/>
  <c r="I227" i="1"/>
  <c r="H227" i="1"/>
  <c r="G227" i="1"/>
  <c r="R226" i="1"/>
  <c r="Q226" i="1"/>
  <c r="P226" i="1"/>
  <c r="O226" i="1"/>
  <c r="N226" i="1"/>
  <c r="M226" i="1"/>
  <c r="L226" i="1"/>
  <c r="K226" i="1"/>
  <c r="J226" i="1"/>
  <c r="I226" i="1"/>
  <c r="H226" i="1"/>
  <c r="G226" i="1"/>
  <c r="R225" i="1"/>
  <c r="Q225" i="1"/>
  <c r="P225" i="1"/>
  <c r="O225" i="1"/>
  <c r="N225" i="1"/>
  <c r="M225" i="1"/>
  <c r="L225" i="1"/>
  <c r="K225" i="1"/>
  <c r="J225" i="1"/>
  <c r="I225" i="1"/>
  <c r="H225" i="1"/>
  <c r="G225" i="1"/>
  <c r="R224" i="1"/>
  <c r="Q224" i="1"/>
  <c r="P224" i="1"/>
  <c r="O224" i="1"/>
  <c r="N224" i="1"/>
  <c r="M224" i="1"/>
  <c r="L224" i="1"/>
  <c r="K224" i="1"/>
  <c r="J224" i="1"/>
  <c r="I224" i="1"/>
  <c r="H224" i="1"/>
  <c r="G224" i="1"/>
  <c r="R223" i="1"/>
  <c r="Q223" i="1"/>
  <c r="P223" i="1"/>
  <c r="O223" i="1"/>
  <c r="N223" i="1"/>
  <c r="M223" i="1"/>
  <c r="L223" i="1"/>
  <c r="K223" i="1"/>
  <c r="J223" i="1"/>
  <c r="I223" i="1"/>
  <c r="H223" i="1"/>
  <c r="G223" i="1"/>
  <c r="R222" i="1"/>
  <c r="Q222" i="1"/>
  <c r="P222" i="1"/>
  <c r="O222" i="1"/>
  <c r="N222" i="1"/>
  <c r="M222" i="1"/>
  <c r="L222" i="1"/>
  <c r="K222" i="1"/>
  <c r="J222" i="1"/>
  <c r="I222" i="1"/>
  <c r="H222" i="1"/>
  <c r="G222" i="1"/>
  <c r="R221" i="1"/>
  <c r="Q221" i="1"/>
  <c r="P221" i="1"/>
  <c r="O221" i="1"/>
  <c r="N221" i="1"/>
  <c r="M221" i="1"/>
  <c r="L221" i="1"/>
  <c r="K221" i="1"/>
  <c r="J221" i="1"/>
  <c r="I221" i="1"/>
  <c r="H221" i="1"/>
  <c r="G221" i="1"/>
  <c r="R220" i="1"/>
  <c r="Q220" i="1"/>
  <c r="P220" i="1"/>
  <c r="O220" i="1"/>
  <c r="N220" i="1"/>
  <c r="M220" i="1"/>
  <c r="L220" i="1"/>
  <c r="K220" i="1"/>
  <c r="J220" i="1"/>
  <c r="I220" i="1"/>
  <c r="H220" i="1"/>
  <c r="G220" i="1"/>
  <c r="R219" i="1"/>
  <c r="Q219" i="1"/>
  <c r="P219" i="1"/>
  <c r="O219" i="1"/>
  <c r="N219" i="1"/>
  <c r="M219" i="1"/>
  <c r="L219" i="1"/>
  <c r="K219" i="1"/>
  <c r="J219" i="1"/>
  <c r="I219" i="1"/>
  <c r="H219" i="1"/>
  <c r="G219" i="1"/>
  <c r="R218" i="1"/>
  <c r="Q218" i="1"/>
  <c r="P218" i="1"/>
  <c r="O218" i="1"/>
  <c r="N218" i="1"/>
  <c r="M218" i="1"/>
  <c r="L218" i="1"/>
  <c r="K218" i="1"/>
  <c r="J218" i="1"/>
  <c r="I218" i="1"/>
  <c r="H218" i="1"/>
  <c r="G218" i="1"/>
  <c r="R217" i="1"/>
  <c r="Q217" i="1"/>
  <c r="P217" i="1"/>
  <c r="O217" i="1"/>
  <c r="N217" i="1"/>
  <c r="M217" i="1"/>
  <c r="L217" i="1"/>
  <c r="K217" i="1"/>
  <c r="J217" i="1"/>
  <c r="I217" i="1"/>
  <c r="H217" i="1"/>
  <c r="G217" i="1"/>
  <c r="R216" i="1"/>
  <c r="Q216" i="1"/>
  <c r="P216" i="1"/>
  <c r="O216" i="1"/>
  <c r="N216" i="1"/>
  <c r="M216" i="1"/>
  <c r="L216" i="1"/>
  <c r="K216" i="1"/>
  <c r="J216" i="1"/>
  <c r="I216" i="1"/>
  <c r="H216" i="1"/>
  <c r="G216" i="1"/>
  <c r="R215" i="1"/>
  <c r="Q215" i="1"/>
  <c r="P215" i="1"/>
  <c r="O215" i="1"/>
  <c r="N215" i="1"/>
  <c r="M215" i="1"/>
  <c r="L215" i="1"/>
  <c r="K215" i="1"/>
  <c r="J215" i="1"/>
  <c r="I215" i="1"/>
  <c r="H215" i="1"/>
  <c r="G215" i="1"/>
  <c r="R214" i="1"/>
  <c r="Q214" i="1"/>
  <c r="P214" i="1"/>
  <c r="O214" i="1"/>
  <c r="N214" i="1"/>
  <c r="M214" i="1"/>
  <c r="L214" i="1"/>
  <c r="K214" i="1"/>
  <c r="J214" i="1"/>
  <c r="I214" i="1"/>
  <c r="H214" i="1"/>
  <c r="G214" i="1"/>
  <c r="R213" i="1"/>
  <c r="Q213" i="1"/>
  <c r="P213" i="1"/>
  <c r="O213" i="1"/>
  <c r="N213" i="1"/>
  <c r="M213" i="1"/>
  <c r="L213" i="1"/>
  <c r="K213" i="1"/>
  <c r="J213" i="1"/>
  <c r="I213" i="1"/>
  <c r="H213" i="1"/>
  <c r="G213" i="1"/>
  <c r="R212" i="1"/>
  <c r="Q212" i="1"/>
  <c r="P212" i="1"/>
  <c r="O212" i="1"/>
  <c r="N212" i="1"/>
  <c r="M212" i="1"/>
  <c r="L212" i="1"/>
  <c r="K212" i="1"/>
  <c r="J212" i="1"/>
  <c r="I212" i="1"/>
  <c r="H212" i="1"/>
  <c r="G212" i="1"/>
  <c r="R211" i="1"/>
  <c r="Q211" i="1"/>
  <c r="P211" i="1"/>
  <c r="O211" i="1"/>
  <c r="N211" i="1"/>
  <c r="M211" i="1"/>
  <c r="L211" i="1"/>
  <c r="K211" i="1"/>
  <c r="J211" i="1"/>
  <c r="I211" i="1"/>
  <c r="H211" i="1"/>
  <c r="G211" i="1"/>
  <c r="R210" i="1"/>
  <c r="Q210" i="1"/>
  <c r="P210" i="1"/>
  <c r="O210" i="1"/>
  <c r="N210" i="1"/>
  <c r="M210" i="1"/>
  <c r="L210" i="1"/>
  <c r="K210" i="1"/>
  <c r="J210" i="1"/>
  <c r="I210" i="1"/>
  <c r="H210" i="1"/>
  <c r="G210" i="1"/>
  <c r="R209" i="1"/>
  <c r="Q209" i="1"/>
  <c r="P209" i="1"/>
  <c r="O209" i="1"/>
  <c r="N209" i="1"/>
  <c r="M209" i="1"/>
  <c r="L209" i="1"/>
  <c r="K209" i="1"/>
  <c r="J209" i="1"/>
  <c r="I209" i="1"/>
  <c r="H209" i="1"/>
  <c r="G209" i="1"/>
  <c r="R208" i="1"/>
  <c r="Q208" i="1"/>
  <c r="P208" i="1"/>
  <c r="O208" i="1"/>
  <c r="N208" i="1"/>
  <c r="M208" i="1"/>
  <c r="L208" i="1"/>
  <c r="K208" i="1"/>
  <c r="J208" i="1"/>
  <c r="I208" i="1"/>
  <c r="H208" i="1"/>
  <c r="G208" i="1"/>
  <c r="R207" i="1"/>
  <c r="Q207" i="1"/>
  <c r="P207" i="1"/>
  <c r="O207" i="1"/>
  <c r="N207" i="1"/>
  <c r="M207" i="1"/>
  <c r="L207" i="1"/>
  <c r="K207" i="1"/>
  <c r="J207" i="1"/>
  <c r="I207" i="1"/>
  <c r="H207" i="1"/>
  <c r="G207" i="1"/>
  <c r="R206" i="1"/>
  <c r="Q206" i="1"/>
  <c r="P206" i="1"/>
  <c r="O206" i="1"/>
  <c r="N206" i="1"/>
  <c r="M206" i="1"/>
  <c r="L206" i="1"/>
  <c r="K206" i="1"/>
  <c r="J206" i="1"/>
  <c r="I206" i="1"/>
  <c r="H206" i="1"/>
  <c r="G206" i="1"/>
  <c r="R205" i="1"/>
  <c r="Q205" i="1"/>
  <c r="P205" i="1"/>
  <c r="O205" i="1"/>
  <c r="N205" i="1"/>
  <c r="M205" i="1"/>
  <c r="L205" i="1"/>
  <c r="K205" i="1"/>
  <c r="J205" i="1"/>
  <c r="I205" i="1"/>
  <c r="H205" i="1"/>
  <c r="G205" i="1"/>
  <c r="R204" i="1"/>
  <c r="Q204" i="1"/>
  <c r="P204" i="1"/>
  <c r="O204" i="1"/>
  <c r="N204" i="1"/>
  <c r="M204" i="1"/>
  <c r="L204" i="1"/>
  <c r="K204" i="1"/>
  <c r="J204" i="1"/>
  <c r="I204" i="1"/>
  <c r="H204" i="1"/>
  <c r="G204" i="1"/>
  <c r="R203" i="1"/>
  <c r="Q203" i="1"/>
  <c r="P203" i="1"/>
  <c r="O203" i="1"/>
  <c r="N203" i="1"/>
  <c r="M203" i="1"/>
  <c r="L203" i="1"/>
  <c r="K203" i="1"/>
  <c r="J203" i="1"/>
  <c r="I203" i="1"/>
  <c r="H203" i="1"/>
  <c r="G203" i="1"/>
  <c r="R202" i="1"/>
  <c r="Q202" i="1"/>
  <c r="P202" i="1"/>
  <c r="O202" i="1"/>
  <c r="N202" i="1"/>
  <c r="M202" i="1"/>
  <c r="L202" i="1"/>
  <c r="K202" i="1"/>
  <c r="J202" i="1"/>
  <c r="I202" i="1"/>
  <c r="H202" i="1"/>
  <c r="G202" i="1"/>
  <c r="R201" i="1"/>
  <c r="Q201" i="1"/>
  <c r="P201" i="1"/>
  <c r="O201" i="1"/>
  <c r="N201" i="1"/>
  <c r="M201" i="1"/>
  <c r="L201" i="1"/>
  <c r="K201" i="1"/>
  <c r="J201" i="1"/>
  <c r="I201" i="1"/>
  <c r="H201" i="1"/>
  <c r="G201" i="1"/>
  <c r="R200" i="1"/>
  <c r="Q200" i="1"/>
  <c r="P200" i="1"/>
  <c r="O200" i="1"/>
  <c r="N200" i="1"/>
  <c r="M200" i="1"/>
  <c r="L200" i="1"/>
  <c r="K200" i="1"/>
  <c r="J200" i="1"/>
  <c r="I200" i="1"/>
  <c r="H200" i="1"/>
  <c r="G200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R198" i="1"/>
  <c r="Q198" i="1"/>
  <c r="P198" i="1"/>
  <c r="O198" i="1"/>
  <c r="N198" i="1"/>
  <c r="M198" i="1"/>
  <c r="L198" i="1"/>
  <c r="K198" i="1"/>
  <c r="J198" i="1"/>
  <c r="I198" i="1"/>
  <c r="H198" i="1"/>
  <c r="G198" i="1"/>
  <c r="R197" i="1"/>
  <c r="Q197" i="1"/>
  <c r="P197" i="1"/>
  <c r="O197" i="1"/>
  <c r="N197" i="1"/>
  <c r="M197" i="1"/>
  <c r="L197" i="1"/>
  <c r="K197" i="1"/>
  <c r="J197" i="1"/>
  <c r="I197" i="1"/>
  <c r="H197" i="1"/>
  <c r="G197" i="1"/>
  <c r="R196" i="1"/>
  <c r="Q196" i="1"/>
  <c r="P196" i="1"/>
  <c r="O196" i="1"/>
  <c r="N196" i="1"/>
  <c r="M196" i="1"/>
  <c r="L196" i="1"/>
  <c r="K196" i="1"/>
  <c r="J196" i="1"/>
  <c r="I196" i="1"/>
  <c r="H196" i="1"/>
  <c r="G196" i="1"/>
  <c r="R195" i="1"/>
  <c r="Q195" i="1"/>
  <c r="P195" i="1"/>
  <c r="O195" i="1"/>
  <c r="N195" i="1"/>
  <c r="M195" i="1"/>
  <c r="L195" i="1"/>
  <c r="K195" i="1"/>
  <c r="J195" i="1"/>
  <c r="I195" i="1"/>
  <c r="H195" i="1"/>
  <c r="G195" i="1"/>
  <c r="R194" i="1"/>
  <c r="Q194" i="1"/>
  <c r="P194" i="1"/>
  <c r="O194" i="1"/>
  <c r="N194" i="1"/>
  <c r="M194" i="1"/>
  <c r="L194" i="1"/>
  <c r="K194" i="1"/>
  <c r="J194" i="1"/>
  <c r="I194" i="1"/>
  <c r="H194" i="1"/>
  <c r="G194" i="1"/>
  <c r="R193" i="1"/>
  <c r="Q193" i="1"/>
  <c r="P193" i="1"/>
  <c r="O193" i="1"/>
  <c r="N193" i="1"/>
  <c r="M193" i="1"/>
  <c r="L193" i="1"/>
  <c r="K193" i="1"/>
  <c r="J193" i="1"/>
  <c r="I193" i="1"/>
  <c r="H193" i="1"/>
  <c r="G193" i="1"/>
  <c r="R192" i="1"/>
  <c r="Q192" i="1"/>
  <c r="P192" i="1"/>
  <c r="O192" i="1"/>
  <c r="N192" i="1"/>
  <c r="M192" i="1"/>
  <c r="L192" i="1"/>
  <c r="K192" i="1"/>
  <c r="J192" i="1"/>
  <c r="I192" i="1"/>
  <c r="H192" i="1"/>
  <c r="G192" i="1"/>
  <c r="R191" i="1"/>
  <c r="Q191" i="1"/>
  <c r="P191" i="1"/>
  <c r="O191" i="1"/>
  <c r="N191" i="1"/>
  <c r="M191" i="1"/>
  <c r="L191" i="1"/>
  <c r="K191" i="1"/>
  <c r="J191" i="1"/>
  <c r="I191" i="1"/>
  <c r="H191" i="1"/>
  <c r="G191" i="1"/>
  <c r="R190" i="1"/>
  <c r="Q190" i="1"/>
  <c r="P190" i="1"/>
  <c r="O190" i="1"/>
  <c r="N190" i="1"/>
  <c r="M190" i="1"/>
  <c r="L190" i="1"/>
  <c r="K190" i="1"/>
  <c r="J190" i="1"/>
  <c r="I190" i="1"/>
  <c r="H190" i="1"/>
  <c r="G190" i="1"/>
  <c r="R189" i="1"/>
  <c r="Q189" i="1"/>
  <c r="P189" i="1"/>
  <c r="O189" i="1"/>
  <c r="N189" i="1"/>
  <c r="M189" i="1"/>
  <c r="L189" i="1"/>
  <c r="K189" i="1"/>
  <c r="J189" i="1"/>
  <c r="I189" i="1"/>
  <c r="H189" i="1"/>
  <c r="G189" i="1"/>
  <c r="R188" i="1"/>
  <c r="Q188" i="1"/>
  <c r="P188" i="1"/>
  <c r="O188" i="1"/>
  <c r="N188" i="1"/>
  <c r="M188" i="1"/>
  <c r="L188" i="1"/>
  <c r="K188" i="1"/>
  <c r="J188" i="1"/>
  <c r="I188" i="1"/>
  <c r="H188" i="1"/>
  <c r="G188" i="1"/>
  <c r="R187" i="1"/>
  <c r="Q187" i="1"/>
  <c r="P187" i="1"/>
  <c r="O187" i="1"/>
  <c r="N187" i="1"/>
  <c r="M187" i="1"/>
  <c r="L187" i="1"/>
  <c r="K187" i="1"/>
  <c r="J187" i="1"/>
  <c r="I187" i="1"/>
  <c r="H187" i="1"/>
  <c r="G187" i="1"/>
  <c r="R186" i="1"/>
  <c r="Q186" i="1"/>
  <c r="P186" i="1"/>
  <c r="O186" i="1"/>
  <c r="N186" i="1"/>
  <c r="M186" i="1"/>
  <c r="L186" i="1"/>
  <c r="K186" i="1"/>
  <c r="J186" i="1"/>
  <c r="I186" i="1"/>
  <c r="H186" i="1"/>
  <c r="G186" i="1"/>
  <c r="R185" i="1"/>
  <c r="Q185" i="1"/>
  <c r="P185" i="1"/>
  <c r="O185" i="1"/>
  <c r="N185" i="1"/>
  <c r="M185" i="1"/>
  <c r="L185" i="1"/>
  <c r="K185" i="1"/>
  <c r="J185" i="1"/>
  <c r="I185" i="1"/>
  <c r="H185" i="1"/>
  <c r="G185" i="1"/>
  <c r="R184" i="1"/>
  <c r="Q184" i="1"/>
  <c r="P184" i="1"/>
  <c r="O184" i="1"/>
  <c r="N184" i="1"/>
  <c r="M184" i="1"/>
  <c r="L184" i="1"/>
  <c r="K184" i="1"/>
  <c r="J184" i="1"/>
  <c r="I184" i="1"/>
  <c r="H184" i="1"/>
  <c r="G184" i="1"/>
  <c r="R183" i="1"/>
  <c r="Q183" i="1"/>
  <c r="P183" i="1"/>
  <c r="O183" i="1"/>
  <c r="N183" i="1"/>
  <c r="M183" i="1"/>
  <c r="L183" i="1"/>
  <c r="K183" i="1"/>
  <c r="J183" i="1"/>
  <c r="I183" i="1"/>
  <c r="H183" i="1"/>
  <c r="G183" i="1"/>
  <c r="R182" i="1"/>
  <c r="Q182" i="1"/>
  <c r="P182" i="1"/>
  <c r="O182" i="1"/>
  <c r="N182" i="1"/>
  <c r="M182" i="1"/>
  <c r="L182" i="1"/>
  <c r="K182" i="1"/>
  <c r="J182" i="1"/>
  <c r="I182" i="1"/>
  <c r="H182" i="1"/>
  <c r="G182" i="1"/>
  <c r="R181" i="1"/>
  <c r="Q181" i="1"/>
  <c r="P181" i="1"/>
  <c r="O181" i="1"/>
  <c r="N181" i="1"/>
  <c r="M181" i="1"/>
  <c r="L181" i="1"/>
  <c r="K181" i="1"/>
  <c r="J181" i="1"/>
  <c r="I181" i="1"/>
  <c r="H181" i="1"/>
  <c r="G181" i="1"/>
  <c r="R180" i="1"/>
  <c r="Q180" i="1"/>
  <c r="P180" i="1"/>
  <c r="O180" i="1"/>
  <c r="N180" i="1"/>
  <c r="M180" i="1"/>
  <c r="L180" i="1"/>
  <c r="K180" i="1"/>
  <c r="J180" i="1"/>
  <c r="I180" i="1"/>
  <c r="H180" i="1"/>
  <c r="G180" i="1"/>
  <c r="R179" i="1"/>
  <c r="Q179" i="1"/>
  <c r="P179" i="1"/>
  <c r="O179" i="1"/>
  <c r="N179" i="1"/>
  <c r="M179" i="1"/>
  <c r="L179" i="1"/>
  <c r="K179" i="1"/>
  <c r="J179" i="1"/>
  <c r="I179" i="1"/>
  <c r="H179" i="1"/>
  <c r="G179" i="1"/>
  <c r="R178" i="1"/>
  <c r="Q178" i="1"/>
  <c r="P178" i="1"/>
  <c r="O178" i="1"/>
  <c r="N178" i="1"/>
  <c r="M178" i="1"/>
  <c r="L178" i="1"/>
  <c r="K178" i="1"/>
  <c r="J178" i="1"/>
  <c r="I178" i="1"/>
  <c r="H178" i="1"/>
  <c r="G178" i="1"/>
  <c r="R177" i="1"/>
  <c r="Q177" i="1"/>
  <c r="P177" i="1"/>
  <c r="O177" i="1"/>
  <c r="N177" i="1"/>
  <c r="M177" i="1"/>
  <c r="L177" i="1"/>
  <c r="K177" i="1"/>
  <c r="J177" i="1"/>
  <c r="I177" i="1"/>
  <c r="H177" i="1"/>
  <c r="G177" i="1"/>
  <c r="R176" i="1"/>
  <c r="Q176" i="1"/>
  <c r="P176" i="1"/>
  <c r="O176" i="1"/>
  <c r="N176" i="1"/>
  <c r="M176" i="1"/>
  <c r="L176" i="1"/>
  <c r="K176" i="1"/>
  <c r="J176" i="1"/>
  <c r="I176" i="1"/>
  <c r="H176" i="1"/>
  <c r="G176" i="1"/>
  <c r="R175" i="1"/>
  <c r="Q175" i="1"/>
  <c r="P175" i="1"/>
  <c r="O175" i="1"/>
  <c r="N175" i="1"/>
  <c r="M175" i="1"/>
  <c r="L175" i="1"/>
  <c r="K175" i="1"/>
  <c r="J175" i="1"/>
  <c r="I175" i="1"/>
  <c r="H175" i="1"/>
  <c r="G175" i="1"/>
  <c r="R174" i="1"/>
  <c r="Q174" i="1"/>
  <c r="P174" i="1"/>
  <c r="O174" i="1"/>
  <c r="N174" i="1"/>
  <c r="M174" i="1"/>
  <c r="L174" i="1"/>
  <c r="K174" i="1"/>
  <c r="J174" i="1"/>
  <c r="I174" i="1"/>
  <c r="H174" i="1"/>
  <c r="G174" i="1"/>
  <c r="R173" i="1"/>
  <c r="Q173" i="1"/>
  <c r="P173" i="1"/>
  <c r="O173" i="1"/>
  <c r="N173" i="1"/>
  <c r="M173" i="1"/>
  <c r="L173" i="1"/>
  <c r="K173" i="1"/>
  <c r="J173" i="1"/>
  <c r="I173" i="1"/>
  <c r="H173" i="1"/>
  <c r="G173" i="1"/>
  <c r="R172" i="1"/>
  <c r="Q172" i="1"/>
  <c r="P172" i="1"/>
  <c r="O172" i="1"/>
  <c r="N172" i="1"/>
  <c r="M172" i="1"/>
  <c r="L172" i="1"/>
  <c r="K172" i="1"/>
  <c r="J172" i="1"/>
  <c r="I172" i="1"/>
  <c r="H172" i="1"/>
  <c r="G172" i="1"/>
  <c r="R171" i="1"/>
  <c r="Q171" i="1"/>
  <c r="P171" i="1"/>
  <c r="O171" i="1"/>
  <c r="N171" i="1"/>
  <c r="M171" i="1"/>
  <c r="L171" i="1"/>
  <c r="K171" i="1"/>
  <c r="J171" i="1"/>
  <c r="I171" i="1"/>
  <c r="H171" i="1"/>
  <c r="G171" i="1"/>
  <c r="R170" i="1"/>
  <c r="Q170" i="1"/>
  <c r="P170" i="1"/>
  <c r="O170" i="1"/>
  <c r="N170" i="1"/>
  <c r="M170" i="1"/>
  <c r="L170" i="1"/>
  <c r="K170" i="1"/>
  <c r="J170" i="1"/>
  <c r="I170" i="1"/>
  <c r="H170" i="1"/>
  <c r="G170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R168" i="1"/>
  <c r="Q168" i="1"/>
  <c r="P168" i="1"/>
  <c r="O168" i="1"/>
  <c r="N168" i="1"/>
  <c r="M168" i="1"/>
  <c r="L168" i="1"/>
  <c r="K168" i="1"/>
  <c r="J168" i="1"/>
  <c r="I168" i="1"/>
  <c r="H168" i="1"/>
  <c r="G168" i="1"/>
  <c r="R167" i="1"/>
  <c r="Q167" i="1"/>
  <c r="P167" i="1"/>
  <c r="O167" i="1"/>
  <c r="N167" i="1"/>
  <c r="M167" i="1"/>
  <c r="L167" i="1"/>
  <c r="K167" i="1"/>
  <c r="J167" i="1"/>
  <c r="I167" i="1"/>
  <c r="H167" i="1"/>
  <c r="G167" i="1"/>
  <c r="R166" i="1"/>
  <c r="Q166" i="1"/>
  <c r="P166" i="1"/>
  <c r="O166" i="1"/>
  <c r="N166" i="1"/>
  <c r="M166" i="1"/>
  <c r="L166" i="1"/>
  <c r="K166" i="1"/>
  <c r="J166" i="1"/>
  <c r="I166" i="1"/>
  <c r="H166" i="1"/>
  <c r="G166" i="1"/>
  <c r="R165" i="1"/>
  <c r="Q165" i="1"/>
  <c r="P165" i="1"/>
  <c r="O165" i="1"/>
  <c r="N165" i="1"/>
  <c r="M165" i="1"/>
  <c r="L165" i="1"/>
  <c r="K165" i="1"/>
  <c r="J165" i="1"/>
  <c r="I165" i="1"/>
  <c r="H165" i="1"/>
  <c r="G165" i="1"/>
  <c r="R164" i="1"/>
  <c r="Q164" i="1"/>
  <c r="P164" i="1"/>
  <c r="O164" i="1"/>
  <c r="N164" i="1"/>
  <c r="M164" i="1"/>
  <c r="L164" i="1"/>
  <c r="K164" i="1"/>
  <c r="J164" i="1"/>
  <c r="I164" i="1"/>
  <c r="H164" i="1"/>
  <c r="G164" i="1"/>
  <c r="R163" i="1"/>
  <c r="Q163" i="1"/>
  <c r="P163" i="1"/>
  <c r="O163" i="1"/>
  <c r="N163" i="1"/>
  <c r="M163" i="1"/>
  <c r="L163" i="1"/>
  <c r="K163" i="1"/>
  <c r="J163" i="1"/>
  <c r="I163" i="1"/>
  <c r="H163" i="1"/>
  <c r="G163" i="1"/>
  <c r="R162" i="1"/>
  <c r="Q162" i="1"/>
  <c r="P162" i="1"/>
  <c r="O162" i="1"/>
  <c r="N162" i="1"/>
  <c r="M162" i="1"/>
  <c r="L162" i="1"/>
  <c r="K162" i="1"/>
  <c r="J162" i="1"/>
  <c r="I162" i="1"/>
  <c r="H162" i="1"/>
  <c r="G162" i="1"/>
  <c r="R161" i="1"/>
  <c r="Q161" i="1"/>
  <c r="P161" i="1"/>
  <c r="O161" i="1"/>
  <c r="N161" i="1"/>
  <c r="M161" i="1"/>
  <c r="L161" i="1"/>
  <c r="K161" i="1"/>
  <c r="J161" i="1"/>
  <c r="I161" i="1"/>
  <c r="H161" i="1"/>
  <c r="G161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R156" i="1"/>
  <c r="Q156" i="1"/>
  <c r="P156" i="1"/>
  <c r="O156" i="1"/>
  <c r="N156" i="1"/>
  <c r="M156" i="1"/>
  <c r="L156" i="1"/>
  <c r="K156" i="1"/>
  <c r="J156" i="1"/>
  <c r="I156" i="1"/>
  <c r="H156" i="1"/>
  <c r="G156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R154" i="1"/>
  <c r="Q154" i="1"/>
  <c r="P154" i="1"/>
  <c r="O154" i="1"/>
  <c r="N154" i="1"/>
  <c r="M154" i="1"/>
  <c r="L154" i="1"/>
  <c r="K154" i="1"/>
  <c r="J154" i="1"/>
  <c r="I154" i="1"/>
  <c r="H154" i="1"/>
  <c r="G154" i="1"/>
  <c r="R153" i="1"/>
  <c r="Q153" i="1"/>
  <c r="P153" i="1"/>
  <c r="O153" i="1"/>
  <c r="N153" i="1"/>
  <c r="M153" i="1"/>
  <c r="L153" i="1"/>
  <c r="K153" i="1"/>
  <c r="J153" i="1"/>
  <c r="I153" i="1"/>
  <c r="H153" i="1"/>
  <c r="G153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R149" i="1"/>
  <c r="Q149" i="1"/>
  <c r="P149" i="1"/>
  <c r="O149" i="1"/>
  <c r="N149" i="1"/>
  <c r="M149" i="1"/>
  <c r="L149" i="1"/>
  <c r="K149" i="1"/>
  <c r="J149" i="1"/>
  <c r="I149" i="1"/>
  <c r="H149" i="1"/>
  <c r="G149" i="1"/>
  <c r="R148" i="1"/>
  <c r="Q148" i="1"/>
  <c r="P148" i="1"/>
  <c r="O148" i="1"/>
  <c r="N148" i="1"/>
  <c r="M148" i="1"/>
  <c r="L148" i="1"/>
  <c r="K148" i="1"/>
  <c r="J148" i="1"/>
  <c r="I148" i="1"/>
  <c r="H148" i="1"/>
  <c r="G148" i="1"/>
  <c r="R147" i="1"/>
  <c r="Q147" i="1"/>
  <c r="P147" i="1"/>
  <c r="O147" i="1"/>
  <c r="N147" i="1"/>
  <c r="M147" i="1"/>
  <c r="L147" i="1"/>
  <c r="K147" i="1"/>
  <c r="J147" i="1"/>
  <c r="I147" i="1"/>
  <c r="H147" i="1"/>
  <c r="G147" i="1"/>
  <c r="R146" i="1"/>
  <c r="Q146" i="1"/>
  <c r="P146" i="1"/>
  <c r="O146" i="1"/>
  <c r="N146" i="1"/>
  <c r="M146" i="1"/>
  <c r="L146" i="1"/>
  <c r="K146" i="1"/>
  <c r="J146" i="1"/>
  <c r="I146" i="1"/>
  <c r="H146" i="1"/>
  <c r="G146" i="1"/>
  <c r="R145" i="1"/>
  <c r="Q145" i="1"/>
  <c r="P145" i="1"/>
  <c r="O145" i="1"/>
  <c r="N145" i="1"/>
  <c r="M145" i="1"/>
  <c r="L145" i="1"/>
  <c r="K145" i="1"/>
  <c r="J145" i="1"/>
  <c r="I145" i="1"/>
  <c r="H145" i="1"/>
  <c r="G145" i="1"/>
  <c r="R144" i="1"/>
  <c r="Q144" i="1"/>
  <c r="P144" i="1"/>
  <c r="O144" i="1"/>
  <c r="N144" i="1"/>
  <c r="M144" i="1"/>
  <c r="L144" i="1"/>
  <c r="K144" i="1"/>
  <c r="J144" i="1"/>
  <c r="I144" i="1"/>
  <c r="H144" i="1"/>
  <c r="G144" i="1"/>
  <c r="R143" i="1"/>
  <c r="Q143" i="1"/>
  <c r="P143" i="1"/>
  <c r="O143" i="1"/>
  <c r="N143" i="1"/>
  <c r="M143" i="1"/>
  <c r="L143" i="1"/>
  <c r="K143" i="1"/>
  <c r="J143" i="1"/>
  <c r="I143" i="1"/>
  <c r="H143" i="1"/>
  <c r="G143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R99" i="1"/>
  <c r="Q99" i="1"/>
  <c r="P99" i="1"/>
  <c r="O99" i="1"/>
  <c r="N99" i="1"/>
  <c r="M99" i="1"/>
  <c r="L99" i="1"/>
  <c r="K99" i="1"/>
  <c r="J99" i="1"/>
  <c r="I99" i="1"/>
  <c r="H99" i="1"/>
  <c r="G99" i="1"/>
  <c r="R98" i="1"/>
  <c r="Q98" i="1"/>
  <c r="P98" i="1"/>
  <c r="O98" i="1"/>
  <c r="N98" i="1"/>
  <c r="M98" i="1"/>
  <c r="L98" i="1"/>
  <c r="K98" i="1"/>
  <c r="J98" i="1"/>
  <c r="I98" i="1"/>
  <c r="H98" i="1"/>
  <c r="G98" i="1"/>
  <c r="R97" i="1"/>
  <c r="Q97" i="1"/>
  <c r="P97" i="1"/>
  <c r="O97" i="1"/>
  <c r="N97" i="1"/>
  <c r="M97" i="1"/>
  <c r="L97" i="1"/>
  <c r="K97" i="1"/>
  <c r="J97" i="1"/>
  <c r="I97" i="1"/>
  <c r="H97" i="1"/>
  <c r="G97" i="1"/>
  <c r="R96" i="1"/>
  <c r="Q96" i="1"/>
  <c r="P96" i="1"/>
  <c r="O96" i="1"/>
  <c r="N96" i="1"/>
  <c r="M96" i="1"/>
  <c r="L96" i="1"/>
  <c r="K96" i="1"/>
  <c r="J96" i="1"/>
  <c r="I96" i="1"/>
  <c r="H96" i="1"/>
  <c r="G96" i="1"/>
  <c r="R95" i="1"/>
  <c r="Q95" i="1"/>
  <c r="P95" i="1"/>
  <c r="O95" i="1"/>
  <c r="N95" i="1"/>
  <c r="M95" i="1"/>
  <c r="L95" i="1"/>
  <c r="K95" i="1"/>
  <c r="J95" i="1"/>
  <c r="I95" i="1"/>
  <c r="H95" i="1"/>
  <c r="G95" i="1"/>
  <c r="R94" i="1"/>
  <c r="Q94" i="1"/>
  <c r="P94" i="1"/>
  <c r="O94" i="1"/>
  <c r="N94" i="1"/>
  <c r="M94" i="1"/>
  <c r="L94" i="1"/>
  <c r="K94" i="1"/>
  <c r="J94" i="1"/>
  <c r="I94" i="1"/>
  <c r="H94" i="1"/>
  <c r="G94" i="1"/>
  <c r="R93" i="1"/>
  <c r="Q93" i="1"/>
  <c r="P93" i="1"/>
  <c r="O93" i="1"/>
  <c r="N93" i="1"/>
  <c r="M93" i="1"/>
  <c r="L93" i="1"/>
  <c r="K93" i="1"/>
  <c r="J93" i="1"/>
  <c r="I93" i="1"/>
  <c r="H93" i="1"/>
  <c r="G93" i="1"/>
  <c r="R92" i="1"/>
  <c r="Q92" i="1"/>
  <c r="P92" i="1"/>
  <c r="O92" i="1"/>
  <c r="N92" i="1"/>
  <c r="M92" i="1"/>
  <c r="L92" i="1"/>
  <c r="K92" i="1"/>
  <c r="J92" i="1"/>
  <c r="I92" i="1"/>
  <c r="H92" i="1"/>
  <c r="G92" i="1"/>
  <c r="R91" i="1"/>
  <c r="Q91" i="1"/>
  <c r="P91" i="1"/>
  <c r="O91" i="1"/>
  <c r="N91" i="1"/>
  <c r="M91" i="1"/>
  <c r="L91" i="1"/>
  <c r="K91" i="1"/>
  <c r="J91" i="1"/>
  <c r="I91" i="1"/>
  <c r="H91" i="1"/>
  <c r="G91" i="1"/>
  <c r="R90" i="1"/>
  <c r="Q90" i="1"/>
  <c r="P90" i="1"/>
  <c r="O90" i="1"/>
  <c r="N90" i="1"/>
  <c r="M90" i="1"/>
  <c r="L90" i="1"/>
  <c r="K90" i="1"/>
  <c r="J90" i="1"/>
  <c r="I90" i="1"/>
  <c r="H90" i="1"/>
  <c r="G90" i="1"/>
  <c r="R89" i="1"/>
  <c r="Q89" i="1"/>
  <c r="P89" i="1"/>
  <c r="O89" i="1"/>
  <c r="N89" i="1"/>
  <c r="M89" i="1"/>
  <c r="L89" i="1"/>
  <c r="K89" i="1"/>
  <c r="J89" i="1"/>
  <c r="I89" i="1"/>
  <c r="H89" i="1"/>
  <c r="G89" i="1"/>
  <c r="R88" i="1"/>
  <c r="Q88" i="1"/>
  <c r="P88" i="1"/>
  <c r="O88" i="1"/>
  <c r="N88" i="1"/>
  <c r="M88" i="1"/>
  <c r="L88" i="1"/>
  <c r="K88" i="1"/>
  <c r="J88" i="1"/>
  <c r="I88" i="1"/>
  <c r="H88" i="1"/>
  <c r="G88" i="1"/>
  <c r="R87" i="1"/>
  <c r="Q87" i="1"/>
  <c r="P87" i="1"/>
  <c r="O87" i="1"/>
  <c r="N87" i="1"/>
  <c r="M87" i="1"/>
  <c r="L87" i="1"/>
  <c r="K87" i="1"/>
  <c r="J87" i="1"/>
  <c r="I87" i="1"/>
  <c r="H87" i="1"/>
  <c r="G87" i="1"/>
  <c r="R86" i="1"/>
  <c r="Q86" i="1"/>
  <c r="P86" i="1"/>
  <c r="O86" i="1"/>
  <c r="N86" i="1"/>
  <c r="M86" i="1"/>
  <c r="L86" i="1"/>
  <c r="K86" i="1"/>
  <c r="J86" i="1"/>
  <c r="I86" i="1"/>
  <c r="H86" i="1"/>
  <c r="G86" i="1"/>
  <c r="R85" i="1"/>
  <c r="Q85" i="1"/>
  <c r="P85" i="1"/>
  <c r="O85" i="1"/>
  <c r="N85" i="1"/>
  <c r="M85" i="1"/>
  <c r="L85" i="1"/>
  <c r="K85" i="1"/>
  <c r="J85" i="1"/>
  <c r="I85" i="1"/>
  <c r="H85" i="1"/>
  <c r="G85" i="1"/>
  <c r="R84" i="1"/>
  <c r="Q84" i="1"/>
  <c r="P84" i="1"/>
  <c r="O84" i="1"/>
  <c r="N84" i="1"/>
  <c r="M84" i="1"/>
  <c r="L84" i="1"/>
  <c r="K84" i="1"/>
  <c r="J84" i="1"/>
  <c r="I84" i="1"/>
  <c r="H84" i="1"/>
  <c r="G84" i="1"/>
  <c r="R83" i="1"/>
  <c r="Q83" i="1"/>
  <c r="P83" i="1"/>
  <c r="O83" i="1"/>
  <c r="N83" i="1"/>
  <c r="M83" i="1"/>
  <c r="L83" i="1"/>
  <c r="K83" i="1"/>
  <c r="J83" i="1"/>
  <c r="I83" i="1"/>
  <c r="H83" i="1"/>
  <c r="G83" i="1"/>
  <c r="R82" i="1"/>
  <c r="Q82" i="1"/>
  <c r="P82" i="1"/>
  <c r="O82" i="1"/>
  <c r="N82" i="1"/>
  <c r="M82" i="1"/>
  <c r="L82" i="1"/>
  <c r="K82" i="1"/>
  <c r="J82" i="1"/>
  <c r="I82" i="1"/>
  <c r="H82" i="1"/>
  <c r="G82" i="1"/>
  <c r="R81" i="1"/>
  <c r="Q81" i="1"/>
  <c r="P81" i="1"/>
  <c r="O81" i="1"/>
  <c r="N81" i="1"/>
  <c r="M81" i="1"/>
  <c r="L81" i="1"/>
  <c r="K81" i="1"/>
  <c r="J81" i="1"/>
  <c r="I81" i="1"/>
  <c r="H81" i="1"/>
  <c r="G81" i="1"/>
  <c r="R80" i="1"/>
  <c r="Q80" i="1"/>
  <c r="P80" i="1"/>
  <c r="O80" i="1"/>
  <c r="N80" i="1"/>
  <c r="M80" i="1"/>
  <c r="L80" i="1"/>
  <c r="K80" i="1"/>
  <c r="J80" i="1"/>
  <c r="I80" i="1"/>
  <c r="H80" i="1"/>
  <c r="G80" i="1"/>
  <c r="R79" i="1"/>
  <c r="Q79" i="1"/>
  <c r="P79" i="1"/>
  <c r="O79" i="1"/>
  <c r="N79" i="1"/>
  <c r="M79" i="1"/>
  <c r="L79" i="1"/>
  <c r="K79" i="1"/>
  <c r="J79" i="1"/>
  <c r="I79" i="1"/>
  <c r="H79" i="1"/>
  <c r="G79" i="1"/>
  <c r="R78" i="1"/>
  <c r="Q78" i="1"/>
  <c r="P78" i="1"/>
  <c r="O78" i="1"/>
  <c r="N78" i="1"/>
  <c r="M78" i="1"/>
  <c r="L78" i="1"/>
  <c r="K78" i="1"/>
  <c r="J78" i="1"/>
  <c r="I78" i="1"/>
  <c r="H78" i="1"/>
  <c r="G78" i="1"/>
  <c r="R77" i="1"/>
  <c r="Q77" i="1"/>
  <c r="P77" i="1"/>
  <c r="O77" i="1"/>
  <c r="N77" i="1"/>
  <c r="M77" i="1"/>
  <c r="L77" i="1"/>
  <c r="K77" i="1"/>
  <c r="J77" i="1"/>
  <c r="I77" i="1"/>
  <c r="H77" i="1"/>
  <c r="G77" i="1"/>
  <c r="R76" i="1"/>
  <c r="Q76" i="1"/>
  <c r="P76" i="1"/>
  <c r="O76" i="1"/>
  <c r="N76" i="1"/>
  <c r="M76" i="1"/>
  <c r="L76" i="1"/>
  <c r="K76" i="1"/>
  <c r="J76" i="1"/>
  <c r="I76" i="1"/>
  <c r="H76" i="1"/>
  <c r="G76" i="1"/>
  <c r="R75" i="1"/>
  <c r="Q75" i="1"/>
  <c r="P75" i="1"/>
  <c r="O75" i="1"/>
  <c r="N75" i="1"/>
  <c r="M75" i="1"/>
  <c r="L75" i="1"/>
  <c r="K75" i="1"/>
  <c r="J75" i="1"/>
  <c r="I75" i="1"/>
  <c r="H75" i="1"/>
  <c r="G75" i="1"/>
  <c r="R74" i="1"/>
  <c r="Q74" i="1"/>
  <c r="P74" i="1"/>
  <c r="O74" i="1"/>
  <c r="N74" i="1"/>
  <c r="M74" i="1"/>
  <c r="L74" i="1"/>
  <c r="K74" i="1"/>
  <c r="J74" i="1"/>
  <c r="I74" i="1"/>
  <c r="H74" i="1"/>
  <c r="G74" i="1"/>
  <c r="R73" i="1"/>
  <c r="Q73" i="1"/>
  <c r="P73" i="1"/>
  <c r="O73" i="1"/>
  <c r="N73" i="1"/>
  <c r="M73" i="1"/>
  <c r="L73" i="1"/>
  <c r="K73" i="1"/>
  <c r="J73" i="1"/>
  <c r="I73" i="1"/>
  <c r="H73" i="1"/>
  <c r="G73" i="1"/>
  <c r="R72" i="1"/>
  <c r="Q72" i="1"/>
  <c r="P72" i="1"/>
  <c r="O72" i="1"/>
  <c r="N72" i="1"/>
  <c r="M72" i="1"/>
  <c r="L72" i="1"/>
  <c r="K72" i="1"/>
  <c r="J72" i="1"/>
  <c r="I72" i="1"/>
  <c r="H72" i="1"/>
  <c r="G72" i="1"/>
  <c r="R71" i="1"/>
  <c r="Q71" i="1"/>
  <c r="P71" i="1"/>
  <c r="O71" i="1"/>
  <c r="N71" i="1"/>
  <c r="M71" i="1"/>
  <c r="L71" i="1"/>
  <c r="K71" i="1"/>
  <c r="J71" i="1"/>
  <c r="I71" i="1"/>
  <c r="H71" i="1"/>
  <c r="G71" i="1"/>
  <c r="R70" i="1"/>
  <c r="Q70" i="1"/>
  <c r="P70" i="1"/>
  <c r="O70" i="1"/>
  <c r="N70" i="1"/>
  <c r="M70" i="1"/>
  <c r="L70" i="1"/>
  <c r="K70" i="1"/>
  <c r="J70" i="1"/>
  <c r="I70" i="1"/>
  <c r="H70" i="1"/>
  <c r="G70" i="1"/>
  <c r="R69" i="1"/>
  <c r="Q69" i="1"/>
  <c r="P69" i="1"/>
  <c r="O69" i="1"/>
  <c r="N69" i="1"/>
  <c r="M69" i="1"/>
  <c r="L69" i="1"/>
  <c r="K69" i="1"/>
  <c r="J69" i="1"/>
  <c r="I69" i="1"/>
  <c r="H69" i="1"/>
  <c r="G69" i="1"/>
  <c r="R68" i="1"/>
  <c r="Q68" i="1"/>
  <c r="P68" i="1"/>
  <c r="O68" i="1"/>
  <c r="N68" i="1"/>
  <c r="M68" i="1"/>
  <c r="L68" i="1"/>
  <c r="K68" i="1"/>
  <c r="J68" i="1"/>
  <c r="I68" i="1"/>
  <c r="H68" i="1"/>
  <c r="G68" i="1"/>
  <c r="R67" i="1"/>
  <c r="Q67" i="1"/>
  <c r="P67" i="1"/>
  <c r="O67" i="1"/>
  <c r="N67" i="1"/>
  <c r="M67" i="1"/>
  <c r="L67" i="1"/>
  <c r="K67" i="1"/>
  <c r="J67" i="1"/>
  <c r="I67" i="1"/>
  <c r="H67" i="1"/>
  <c r="G67" i="1"/>
  <c r="R66" i="1"/>
  <c r="Q66" i="1"/>
  <c r="P66" i="1"/>
  <c r="O66" i="1"/>
  <c r="N66" i="1"/>
  <c r="M66" i="1"/>
  <c r="L66" i="1"/>
  <c r="K66" i="1"/>
  <c r="J66" i="1"/>
  <c r="I66" i="1"/>
  <c r="H66" i="1"/>
  <c r="G66" i="1"/>
  <c r="R65" i="1"/>
  <c r="Q65" i="1"/>
  <c r="P65" i="1"/>
  <c r="O65" i="1"/>
  <c r="N65" i="1"/>
  <c r="M65" i="1"/>
  <c r="L65" i="1"/>
  <c r="K65" i="1"/>
  <c r="J65" i="1"/>
  <c r="I65" i="1"/>
  <c r="H65" i="1"/>
  <c r="G65" i="1"/>
  <c r="R64" i="1"/>
  <c r="Q64" i="1"/>
  <c r="P64" i="1"/>
  <c r="O64" i="1"/>
  <c r="N64" i="1"/>
  <c r="M64" i="1"/>
  <c r="L64" i="1"/>
  <c r="K64" i="1"/>
  <c r="J64" i="1"/>
  <c r="I64" i="1"/>
  <c r="H64" i="1"/>
  <c r="G64" i="1"/>
  <c r="R63" i="1"/>
  <c r="Q63" i="1"/>
  <c r="P63" i="1"/>
  <c r="O63" i="1"/>
  <c r="N63" i="1"/>
  <c r="M63" i="1"/>
  <c r="L63" i="1"/>
  <c r="K63" i="1"/>
  <c r="J63" i="1"/>
  <c r="I63" i="1"/>
  <c r="H63" i="1"/>
  <c r="G63" i="1"/>
  <c r="R62" i="1"/>
  <c r="Q62" i="1"/>
  <c r="P62" i="1"/>
  <c r="O62" i="1"/>
  <c r="N62" i="1"/>
  <c r="M62" i="1"/>
  <c r="L62" i="1"/>
  <c r="K62" i="1"/>
  <c r="J62" i="1"/>
  <c r="I62" i="1"/>
  <c r="H62" i="1"/>
  <c r="G62" i="1"/>
  <c r="R61" i="1"/>
  <c r="Q61" i="1"/>
  <c r="P61" i="1"/>
  <c r="O61" i="1"/>
  <c r="N61" i="1"/>
  <c r="M61" i="1"/>
  <c r="L61" i="1"/>
  <c r="K61" i="1"/>
  <c r="J61" i="1"/>
  <c r="I61" i="1"/>
  <c r="H61" i="1"/>
  <c r="G61" i="1"/>
  <c r="R60" i="1"/>
  <c r="Q60" i="1"/>
  <c r="P60" i="1"/>
  <c r="O60" i="1"/>
  <c r="N60" i="1"/>
  <c r="M60" i="1"/>
  <c r="L60" i="1"/>
  <c r="K60" i="1"/>
  <c r="J60" i="1"/>
  <c r="I60" i="1"/>
  <c r="H60" i="1"/>
  <c r="G60" i="1"/>
  <c r="R59" i="1"/>
  <c r="Q59" i="1"/>
  <c r="P59" i="1"/>
  <c r="O59" i="1"/>
  <c r="N59" i="1"/>
  <c r="M59" i="1"/>
  <c r="L59" i="1"/>
  <c r="K59" i="1"/>
  <c r="J59" i="1"/>
  <c r="I59" i="1"/>
  <c r="H59" i="1"/>
  <c r="G59" i="1"/>
  <c r="R58" i="1"/>
  <c r="Q58" i="1"/>
  <c r="P58" i="1"/>
  <c r="O58" i="1"/>
  <c r="N58" i="1"/>
  <c r="M58" i="1"/>
  <c r="L58" i="1"/>
  <c r="K58" i="1"/>
  <c r="J58" i="1"/>
  <c r="I58" i="1"/>
  <c r="H58" i="1"/>
  <c r="G58" i="1"/>
  <c r="R57" i="1"/>
  <c r="Q57" i="1"/>
  <c r="P57" i="1"/>
  <c r="O57" i="1"/>
  <c r="N57" i="1"/>
  <c r="M57" i="1"/>
  <c r="L57" i="1"/>
  <c r="K57" i="1"/>
  <c r="J57" i="1"/>
  <c r="I57" i="1"/>
  <c r="H57" i="1"/>
  <c r="G57" i="1"/>
  <c r="R56" i="1"/>
  <c r="Q56" i="1"/>
  <c r="P56" i="1"/>
  <c r="O56" i="1"/>
  <c r="N56" i="1"/>
  <c r="M56" i="1"/>
  <c r="L56" i="1"/>
  <c r="K56" i="1"/>
  <c r="J56" i="1"/>
  <c r="I56" i="1"/>
  <c r="H56" i="1"/>
  <c r="G56" i="1"/>
  <c r="R55" i="1"/>
  <c r="Q55" i="1"/>
  <c r="P55" i="1"/>
  <c r="O55" i="1"/>
  <c r="N55" i="1"/>
  <c r="M55" i="1"/>
  <c r="L55" i="1"/>
  <c r="K55" i="1"/>
  <c r="J55" i="1"/>
  <c r="I55" i="1"/>
  <c r="H55" i="1"/>
  <c r="G55" i="1"/>
  <c r="R54" i="1"/>
  <c r="Q54" i="1"/>
  <c r="P54" i="1"/>
  <c r="O54" i="1"/>
  <c r="N54" i="1"/>
  <c r="M54" i="1"/>
  <c r="L54" i="1"/>
  <c r="K54" i="1"/>
  <c r="J54" i="1"/>
  <c r="I54" i="1"/>
  <c r="H54" i="1"/>
  <c r="G54" i="1"/>
  <c r="R53" i="1"/>
  <c r="Q53" i="1"/>
  <c r="P53" i="1"/>
  <c r="O53" i="1"/>
  <c r="N53" i="1"/>
  <c r="M53" i="1"/>
  <c r="L53" i="1"/>
  <c r="K53" i="1"/>
  <c r="J53" i="1"/>
  <c r="I53" i="1"/>
  <c r="H53" i="1"/>
  <c r="G53" i="1"/>
  <c r="R52" i="1"/>
  <c r="Q52" i="1"/>
  <c r="P52" i="1"/>
  <c r="O52" i="1"/>
  <c r="N52" i="1"/>
  <c r="M52" i="1"/>
  <c r="L52" i="1"/>
  <c r="K52" i="1"/>
  <c r="J52" i="1"/>
  <c r="I52" i="1"/>
  <c r="H52" i="1"/>
  <c r="G52" i="1"/>
  <c r="R51" i="1"/>
  <c r="Q51" i="1"/>
  <c r="P51" i="1"/>
  <c r="O51" i="1"/>
  <c r="N51" i="1"/>
  <c r="M51" i="1"/>
  <c r="L51" i="1"/>
  <c r="K51" i="1"/>
  <c r="J51" i="1"/>
  <c r="I51" i="1"/>
  <c r="H51" i="1"/>
  <c r="G51" i="1"/>
  <c r="R50" i="1"/>
  <c r="Q50" i="1"/>
  <c r="P50" i="1"/>
  <c r="O50" i="1"/>
  <c r="N50" i="1"/>
  <c r="M50" i="1"/>
  <c r="L50" i="1"/>
  <c r="K50" i="1"/>
  <c r="J50" i="1"/>
  <c r="I50" i="1"/>
  <c r="H50" i="1"/>
  <c r="G50" i="1"/>
  <c r="R49" i="1"/>
  <c r="Q49" i="1"/>
  <c r="P49" i="1"/>
  <c r="O49" i="1"/>
  <c r="N49" i="1"/>
  <c r="M49" i="1"/>
  <c r="L49" i="1"/>
  <c r="K49" i="1"/>
  <c r="J49" i="1"/>
  <c r="I49" i="1"/>
  <c r="H49" i="1"/>
  <c r="G49" i="1"/>
  <c r="R48" i="1"/>
  <c r="Q48" i="1"/>
  <c r="P48" i="1"/>
  <c r="O48" i="1"/>
  <c r="N48" i="1"/>
  <c r="M48" i="1"/>
  <c r="L48" i="1"/>
  <c r="K48" i="1"/>
  <c r="J48" i="1"/>
  <c r="I48" i="1"/>
  <c r="H48" i="1"/>
  <c r="G48" i="1"/>
  <c r="R47" i="1"/>
  <c r="Q47" i="1"/>
  <c r="P47" i="1"/>
  <c r="O47" i="1"/>
  <c r="N47" i="1"/>
  <c r="M47" i="1"/>
  <c r="L47" i="1"/>
  <c r="K47" i="1"/>
  <c r="J47" i="1"/>
  <c r="I47" i="1"/>
  <c r="H47" i="1"/>
  <c r="G47" i="1"/>
  <c r="R46" i="1"/>
  <c r="Q46" i="1"/>
  <c r="P46" i="1"/>
  <c r="O46" i="1"/>
  <c r="N46" i="1"/>
  <c r="M46" i="1"/>
  <c r="L46" i="1"/>
  <c r="K46" i="1"/>
  <c r="J46" i="1"/>
  <c r="I46" i="1"/>
  <c r="H46" i="1"/>
  <c r="G46" i="1"/>
  <c r="R45" i="1"/>
  <c r="Q45" i="1"/>
  <c r="P45" i="1"/>
  <c r="O45" i="1"/>
  <c r="N45" i="1"/>
  <c r="M45" i="1"/>
  <c r="L45" i="1"/>
  <c r="K45" i="1"/>
  <c r="J45" i="1"/>
  <c r="I45" i="1"/>
  <c r="H45" i="1"/>
  <c r="G45" i="1"/>
  <c r="R44" i="1"/>
  <c r="Q44" i="1"/>
  <c r="P44" i="1"/>
  <c r="O44" i="1"/>
  <c r="N44" i="1"/>
  <c r="M44" i="1"/>
  <c r="L44" i="1"/>
  <c r="K44" i="1"/>
  <c r="J44" i="1"/>
  <c r="I44" i="1"/>
  <c r="H44" i="1"/>
  <c r="G44" i="1"/>
  <c r="R43" i="1"/>
  <c r="Q43" i="1"/>
  <c r="P43" i="1"/>
  <c r="O43" i="1"/>
  <c r="N43" i="1"/>
  <c r="M43" i="1"/>
  <c r="L43" i="1"/>
  <c r="K43" i="1"/>
  <c r="J43" i="1"/>
  <c r="I43" i="1"/>
  <c r="H43" i="1"/>
  <c r="G43" i="1"/>
  <c r="R42" i="1"/>
  <c r="Q42" i="1"/>
  <c r="P42" i="1"/>
  <c r="O42" i="1"/>
  <c r="N42" i="1"/>
  <c r="M42" i="1"/>
  <c r="L42" i="1"/>
  <c r="K42" i="1"/>
  <c r="J42" i="1"/>
  <c r="I42" i="1"/>
  <c r="H42" i="1"/>
  <c r="G42" i="1"/>
  <c r="R41" i="1"/>
  <c r="Q41" i="1"/>
  <c r="P41" i="1"/>
  <c r="O41" i="1"/>
  <c r="N41" i="1"/>
  <c r="M41" i="1"/>
  <c r="L41" i="1"/>
  <c r="K41" i="1"/>
  <c r="J41" i="1"/>
  <c r="I41" i="1"/>
  <c r="H41" i="1"/>
  <c r="G41" i="1"/>
  <c r="R40" i="1"/>
  <c r="Q40" i="1"/>
  <c r="P40" i="1"/>
  <c r="O40" i="1"/>
  <c r="N40" i="1"/>
  <c r="M40" i="1"/>
  <c r="L40" i="1"/>
  <c r="K40" i="1"/>
  <c r="J40" i="1"/>
  <c r="I40" i="1"/>
  <c r="H40" i="1"/>
  <c r="G40" i="1"/>
  <c r="R39" i="1"/>
  <c r="Q39" i="1"/>
  <c r="P39" i="1"/>
  <c r="O39" i="1"/>
  <c r="N39" i="1"/>
  <c r="M39" i="1"/>
  <c r="L39" i="1"/>
  <c r="K39" i="1"/>
  <c r="J39" i="1"/>
  <c r="I39" i="1"/>
  <c r="H39" i="1"/>
  <c r="G39" i="1"/>
  <c r="R38" i="1"/>
  <c r="Q38" i="1"/>
  <c r="P38" i="1"/>
  <c r="O38" i="1"/>
  <c r="N38" i="1"/>
  <c r="M38" i="1"/>
  <c r="L38" i="1"/>
  <c r="K38" i="1"/>
  <c r="J38" i="1"/>
  <c r="I38" i="1"/>
  <c r="H38" i="1"/>
  <c r="G38" i="1"/>
  <c r="R37" i="1"/>
  <c r="Q37" i="1"/>
  <c r="P37" i="1"/>
  <c r="O37" i="1"/>
  <c r="N37" i="1"/>
  <c r="M37" i="1"/>
  <c r="L37" i="1"/>
  <c r="K37" i="1"/>
  <c r="J37" i="1"/>
  <c r="I37" i="1"/>
  <c r="H37" i="1"/>
  <c r="G37" i="1"/>
  <c r="R36" i="1"/>
  <c r="Q36" i="1"/>
  <c r="P36" i="1"/>
  <c r="O36" i="1"/>
  <c r="N36" i="1"/>
  <c r="M36" i="1"/>
  <c r="L36" i="1"/>
  <c r="K36" i="1"/>
  <c r="J36" i="1"/>
  <c r="I36" i="1"/>
  <c r="H36" i="1"/>
  <c r="G36" i="1"/>
  <c r="R35" i="1"/>
  <c r="Q35" i="1"/>
  <c r="P35" i="1"/>
  <c r="O35" i="1"/>
  <c r="N35" i="1"/>
  <c r="M35" i="1"/>
  <c r="L35" i="1"/>
  <c r="K35" i="1"/>
  <c r="J35" i="1"/>
  <c r="I35" i="1"/>
  <c r="H35" i="1"/>
  <c r="G35" i="1"/>
  <c r="R34" i="1"/>
  <c r="Q34" i="1"/>
  <c r="P34" i="1"/>
  <c r="O34" i="1"/>
  <c r="N34" i="1"/>
  <c r="M34" i="1"/>
  <c r="L34" i="1"/>
  <c r="K34" i="1"/>
  <c r="J34" i="1"/>
  <c r="I34" i="1"/>
  <c r="H34" i="1"/>
  <c r="G34" i="1"/>
  <c r="R33" i="1"/>
  <c r="Q33" i="1"/>
  <c r="P33" i="1"/>
  <c r="O33" i="1"/>
  <c r="N33" i="1"/>
  <c r="M33" i="1"/>
  <c r="L33" i="1"/>
  <c r="K33" i="1"/>
  <c r="J33" i="1"/>
  <c r="I33" i="1"/>
  <c r="H33" i="1"/>
  <c r="G33" i="1"/>
  <c r="R32" i="1"/>
  <c r="Q32" i="1"/>
  <c r="P32" i="1"/>
  <c r="O32" i="1"/>
  <c r="N32" i="1"/>
  <c r="M32" i="1"/>
  <c r="L32" i="1"/>
  <c r="K32" i="1"/>
  <c r="J32" i="1"/>
  <c r="I32" i="1"/>
  <c r="H32" i="1"/>
  <c r="G32" i="1"/>
  <c r="R31" i="1"/>
  <c r="Q31" i="1"/>
  <c r="P31" i="1"/>
  <c r="O31" i="1"/>
  <c r="N31" i="1"/>
  <c r="M31" i="1"/>
  <c r="L31" i="1"/>
  <c r="K31" i="1"/>
  <c r="J31" i="1"/>
  <c r="I31" i="1"/>
  <c r="H31" i="1"/>
  <c r="G31" i="1"/>
  <c r="R30" i="1"/>
  <c r="Q30" i="1"/>
  <c r="P30" i="1"/>
  <c r="O30" i="1"/>
  <c r="N30" i="1"/>
  <c r="M30" i="1"/>
  <c r="L30" i="1"/>
  <c r="K30" i="1"/>
  <c r="J30" i="1"/>
  <c r="I30" i="1"/>
  <c r="H30" i="1"/>
  <c r="G30" i="1"/>
  <c r="R29" i="1"/>
  <c r="Q29" i="1"/>
  <c r="P29" i="1"/>
  <c r="O29" i="1"/>
  <c r="N29" i="1"/>
  <c r="M29" i="1"/>
  <c r="L29" i="1"/>
  <c r="K29" i="1"/>
  <c r="J29" i="1"/>
  <c r="I29" i="1"/>
  <c r="H29" i="1"/>
  <c r="G29" i="1"/>
  <c r="R28" i="1"/>
  <c r="Q28" i="1"/>
  <c r="P28" i="1"/>
  <c r="O28" i="1"/>
  <c r="N28" i="1"/>
  <c r="M28" i="1"/>
  <c r="L28" i="1"/>
  <c r="K28" i="1"/>
  <c r="J28" i="1"/>
  <c r="I28" i="1"/>
  <c r="H28" i="1"/>
  <c r="G28" i="1"/>
  <c r="R27" i="1"/>
  <c r="Q27" i="1"/>
  <c r="P27" i="1"/>
  <c r="O27" i="1"/>
  <c r="N27" i="1"/>
  <c r="M27" i="1"/>
  <c r="L27" i="1"/>
  <c r="K27" i="1"/>
  <c r="J27" i="1"/>
  <c r="I27" i="1"/>
  <c r="H27" i="1"/>
  <c r="G27" i="1"/>
  <c r="R26" i="1"/>
  <c r="Q26" i="1"/>
  <c r="P26" i="1"/>
  <c r="O26" i="1"/>
  <c r="N26" i="1"/>
  <c r="M26" i="1"/>
  <c r="L26" i="1"/>
  <c r="K26" i="1"/>
  <c r="J26" i="1"/>
  <c r="I26" i="1"/>
  <c r="H26" i="1"/>
  <c r="G26" i="1"/>
  <c r="R25" i="1"/>
  <c r="Q25" i="1"/>
  <c r="P25" i="1"/>
  <c r="O25" i="1"/>
  <c r="N25" i="1"/>
  <c r="M25" i="1"/>
  <c r="L25" i="1"/>
  <c r="K25" i="1"/>
  <c r="J25" i="1"/>
  <c r="I25" i="1"/>
  <c r="H25" i="1"/>
  <c r="G25" i="1"/>
  <c r="R24" i="1"/>
  <c r="Q24" i="1"/>
  <c r="P24" i="1"/>
  <c r="O24" i="1"/>
  <c r="N24" i="1"/>
  <c r="M24" i="1"/>
  <c r="L24" i="1"/>
  <c r="K24" i="1"/>
  <c r="J24" i="1"/>
  <c r="I24" i="1"/>
  <c r="H24" i="1"/>
  <c r="G24" i="1"/>
  <c r="R23" i="1"/>
  <c r="Q23" i="1"/>
  <c r="P23" i="1"/>
  <c r="O23" i="1"/>
  <c r="N23" i="1"/>
  <c r="M23" i="1"/>
  <c r="L23" i="1"/>
  <c r="K23" i="1"/>
  <c r="J23" i="1"/>
  <c r="I23" i="1"/>
  <c r="H23" i="1"/>
  <c r="G23" i="1"/>
  <c r="R22" i="1"/>
  <c r="Q22" i="1"/>
  <c r="P22" i="1"/>
  <c r="O22" i="1"/>
  <c r="N22" i="1"/>
  <c r="M22" i="1"/>
  <c r="L22" i="1"/>
  <c r="K22" i="1"/>
  <c r="J22" i="1"/>
  <c r="I22" i="1"/>
  <c r="H22" i="1"/>
  <c r="G22" i="1"/>
  <c r="R21" i="1"/>
  <c r="Q21" i="1"/>
  <c r="P21" i="1"/>
  <c r="O21" i="1"/>
  <c r="N21" i="1"/>
  <c r="M21" i="1"/>
  <c r="L21" i="1"/>
  <c r="K21" i="1"/>
  <c r="J21" i="1"/>
  <c r="I21" i="1"/>
  <c r="H21" i="1"/>
  <c r="G21" i="1"/>
  <c r="R20" i="1"/>
  <c r="Q20" i="1"/>
  <c r="P20" i="1"/>
  <c r="O20" i="1"/>
  <c r="N20" i="1"/>
  <c r="M20" i="1"/>
  <c r="L20" i="1"/>
  <c r="K20" i="1"/>
  <c r="J20" i="1"/>
  <c r="I20" i="1"/>
  <c r="H20" i="1"/>
  <c r="G20" i="1"/>
  <c r="R19" i="1"/>
  <c r="Q19" i="1"/>
  <c r="P19" i="1"/>
  <c r="O19" i="1"/>
  <c r="N19" i="1"/>
  <c r="M19" i="1"/>
  <c r="L19" i="1"/>
  <c r="K19" i="1"/>
  <c r="J19" i="1"/>
  <c r="I19" i="1"/>
  <c r="H19" i="1"/>
  <c r="G19" i="1"/>
  <c r="R18" i="1"/>
  <c r="Q18" i="1"/>
  <c r="P18" i="1"/>
  <c r="O18" i="1"/>
  <c r="N18" i="1"/>
  <c r="M18" i="1"/>
  <c r="L18" i="1"/>
  <c r="K18" i="1"/>
  <c r="J18" i="1"/>
  <c r="I18" i="1"/>
  <c r="H18" i="1"/>
  <c r="G18" i="1"/>
  <c r="R17" i="1"/>
  <c r="Q17" i="1"/>
  <c r="P17" i="1"/>
  <c r="O17" i="1"/>
  <c r="N17" i="1"/>
  <c r="M17" i="1"/>
  <c r="L17" i="1"/>
  <c r="K17" i="1"/>
  <c r="J17" i="1"/>
  <c r="I17" i="1"/>
  <c r="H17" i="1"/>
  <c r="G17" i="1"/>
  <c r="R16" i="1"/>
  <c r="Q16" i="1"/>
  <c r="P16" i="1"/>
  <c r="O16" i="1"/>
  <c r="N16" i="1"/>
  <c r="M16" i="1"/>
  <c r="L16" i="1"/>
  <c r="K16" i="1"/>
  <c r="J16" i="1"/>
  <c r="I16" i="1"/>
  <c r="H16" i="1"/>
  <c r="G16" i="1"/>
  <c r="R15" i="1"/>
  <c r="Q15" i="1"/>
  <c r="P15" i="1"/>
  <c r="O15" i="1"/>
  <c r="N15" i="1"/>
  <c r="M15" i="1"/>
  <c r="L15" i="1"/>
  <c r="K15" i="1"/>
  <c r="J15" i="1"/>
  <c r="I15" i="1"/>
  <c r="H15" i="1"/>
  <c r="G15" i="1"/>
  <c r="R14" i="1"/>
  <c r="Q14" i="1"/>
  <c r="P14" i="1"/>
  <c r="O14" i="1"/>
  <c r="N14" i="1"/>
  <c r="M14" i="1"/>
  <c r="L14" i="1"/>
  <c r="K14" i="1"/>
  <c r="J14" i="1"/>
  <c r="I14" i="1"/>
  <c r="H14" i="1"/>
  <c r="G14" i="1"/>
  <c r="R13" i="1"/>
  <c r="Q13" i="1"/>
  <c r="P13" i="1"/>
  <c r="O13" i="1"/>
  <c r="N13" i="1"/>
  <c r="M13" i="1"/>
  <c r="L13" i="1"/>
  <c r="K13" i="1"/>
  <c r="J13" i="1"/>
  <c r="I13" i="1"/>
  <c r="H13" i="1"/>
  <c r="G13" i="1"/>
  <c r="R12" i="1"/>
  <c r="Q12" i="1"/>
  <c r="P12" i="1"/>
  <c r="O12" i="1"/>
  <c r="N12" i="1"/>
  <c r="M12" i="1"/>
  <c r="L12" i="1"/>
  <c r="K12" i="1"/>
  <c r="J12" i="1"/>
  <c r="I12" i="1"/>
  <c r="H12" i="1"/>
  <c r="G12" i="1"/>
  <c r="R11" i="1"/>
  <c r="Q11" i="1"/>
  <c r="P11" i="1"/>
  <c r="O11" i="1"/>
  <c r="N11" i="1"/>
  <c r="M11" i="1"/>
  <c r="L11" i="1"/>
  <c r="K11" i="1"/>
  <c r="J11" i="1"/>
  <c r="I11" i="1"/>
  <c r="H11" i="1"/>
  <c r="G11" i="1"/>
  <c r="R10" i="1"/>
  <c r="Q10" i="1"/>
  <c r="P10" i="1"/>
  <c r="O10" i="1"/>
  <c r="N10" i="1"/>
  <c r="M10" i="1"/>
  <c r="L10" i="1"/>
  <c r="K10" i="1"/>
  <c r="J10" i="1"/>
  <c r="I10" i="1"/>
  <c r="H10" i="1"/>
  <c r="G10" i="1"/>
  <c r="R9" i="1"/>
  <c r="Q9" i="1"/>
  <c r="P9" i="1"/>
  <c r="O9" i="1"/>
  <c r="N9" i="1"/>
  <c r="M9" i="1"/>
  <c r="L9" i="1"/>
  <c r="K9" i="1"/>
  <c r="J9" i="1"/>
  <c r="I9" i="1"/>
  <c r="H9" i="1"/>
  <c r="G9" i="1"/>
  <c r="R8" i="1"/>
  <c r="Q8" i="1"/>
  <c r="P8" i="1"/>
  <c r="O8" i="1"/>
  <c r="N8" i="1"/>
  <c r="M8" i="1"/>
  <c r="L8" i="1"/>
  <c r="K8" i="1"/>
  <c r="J8" i="1"/>
  <c r="I8" i="1"/>
  <c r="H8" i="1"/>
  <c r="G8" i="1"/>
  <c r="R7" i="1"/>
  <c r="Q7" i="1"/>
  <c r="P7" i="1"/>
  <c r="O7" i="1"/>
  <c r="N7" i="1"/>
  <c r="M7" i="1"/>
  <c r="L7" i="1"/>
  <c r="K7" i="1"/>
  <c r="J7" i="1"/>
  <c r="I7" i="1"/>
  <c r="H7" i="1"/>
  <c r="G7" i="1"/>
  <c r="R6" i="1"/>
  <c r="Q6" i="1"/>
  <c r="P6" i="1"/>
  <c r="O6" i="1"/>
  <c r="N6" i="1"/>
  <c r="M6" i="1"/>
  <c r="L6" i="1"/>
  <c r="K6" i="1"/>
  <c r="J6" i="1"/>
  <c r="I6" i="1"/>
  <c r="H6" i="1"/>
  <c r="G6" i="1"/>
  <c r="R5" i="1"/>
  <c r="Q5" i="1"/>
  <c r="P5" i="1"/>
  <c r="O5" i="1"/>
  <c r="N5" i="1"/>
  <c r="M5" i="1"/>
  <c r="L5" i="1"/>
  <c r="K5" i="1"/>
  <c r="J5" i="1"/>
  <c r="I5" i="1"/>
  <c r="H5" i="1"/>
  <c r="G5" i="1"/>
  <c r="R4" i="1"/>
  <c r="Q4" i="1"/>
  <c r="P4" i="1"/>
  <c r="O4" i="1"/>
  <c r="N4" i="1"/>
  <c r="M4" i="1"/>
  <c r="L4" i="1"/>
  <c r="K4" i="1"/>
  <c r="J4" i="1"/>
  <c r="I4" i="1"/>
  <c r="H4" i="1"/>
  <c r="G4" i="1"/>
  <c r="R3" i="1"/>
  <c r="Q3" i="1"/>
  <c r="P3" i="1"/>
  <c r="O3" i="1"/>
  <c r="N3" i="1"/>
  <c r="M3" i="1"/>
  <c r="L3" i="1"/>
  <c r="K3" i="1"/>
  <c r="J3" i="1"/>
  <c r="I3" i="1"/>
  <c r="H3" i="1"/>
  <c r="G3" i="1"/>
  <c r="G2" i="1"/>
  <c r="H2" i="1"/>
  <c r="I2" i="1"/>
  <c r="J2" i="1"/>
  <c r="K2" i="1"/>
  <c r="L2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BJ1285" i="1"/>
  <c r="BK1285" i="1" s="1"/>
  <c r="BJ1284" i="1"/>
  <c r="BK1284" i="1" s="1"/>
  <c r="BJ1283" i="1"/>
  <c r="BK1283" i="1" s="1"/>
  <c r="BJ1282" i="1"/>
  <c r="BK1282" i="1" s="1"/>
  <c r="BJ1281" i="1"/>
  <c r="BK1281" i="1" s="1"/>
  <c r="BJ1280" i="1"/>
  <c r="BK1280" i="1" s="1"/>
  <c r="BJ1279" i="1"/>
  <c r="BK1279" i="1" s="1"/>
  <c r="BJ1278" i="1"/>
  <c r="BK1278" i="1" s="1"/>
  <c r="BJ1277" i="1"/>
  <c r="BK1277" i="1" s="1"/>
  <c r="BJ1276" i="1"/>
  <c r="BK1276" i="1" s="1"/>
  <c r="BJ1275" i="1"/>
  <c r="BK1275" i="1" s="1"/>
  <c r="BJ1274" i="1"/>
  <c r="BK1274" i="1" s="1"/>
  <c r="BJ1273" i="1"/>
  <c r="BK1273" i="1" s="1"/>
  <c r="BJ1272" i="1"/>
  <c r="BK1272" i="1" s="1"/>
  <c r="BJ1271" i="1"/>
  <c r="BK1271" i="1" s="1"/>
  <c r="BJ1270" i="1"/>
  <c r="BK1270" i="1" s="1"/>
  <c r="BJ1269" i="1"/>
  <c r="BK1269" i="1" s="1"/>
  <c r="BJ1268" i="1"/>
  <c r="BK1268" i="1" s="1"/>
  <c r="BJ1267" i="1"/>
  <c r="BK1267" i="1" s="1"/>
  <c r="BJ1266" i="1"/>
  <c r="BK1266" i="1" s="1"/>
  <c r="BJ1265" i="1"/>
  <c r="BK1265" i="1" s="1"/>
  <c r="BJ1264" i="1"/>
  <c r="BK1264" i="1" s="1"/>
  <c r="BJ1263" i="1"/>
  <c r="BK1263" i="1" s="1"/>
  <c r="BJ1262" i="1"/>
  <c r="BK1262" i="1" s="1"/>
  <c r="BJ1261" i="1"/>
  <c r="BK1261" i="1" s="1"/>
  <c r="BJ1260" i="1"/>
  <c r="BK1260" i="1" s="1"/>
  <c r="BJ1259" i="1"/>
  <c r="BK1259" i="1" s="1"/>
  <c r="BJ1258" i="1"/>
  <c r="BK1258" i="1" s="1"/>
  <c r="BJ1257" i="1"/>
  <c r="BK1257" i="1" s="1"/>
  <c r="BJ1256" i="1"/>
  <c r="BK1256" i="1" s="1"/>
  <c r="BJ1255" i="1"/>
  <c r="BK1255" i="1" s="1"/>
  <c r="BJ1254" i="1"/>
  <c r="BK1254" i="1" s="1"/>
  <c r="BJ1253" i="1"/>
  <c r="BK1253" i="1" s="1"/>
  <c r="BJ1252" i="1"/>
  <c r="BK1252" i="1" s="1"/>
  <c r="BJ1251" i="1"/>
  <c r="BK1251" i="1" s="1"/>
  <c r="BJ1250" i="1"/>
  <c r="BK1250" i="1" s="1"/>
  <c r="BJ1249" i="1"/>
  <c r="BK1249" i="1" s="1"/>
  <c r="BJ1248" i="1"/>
  <c r="BK1248" i="1" s="1"/>
  <c r="BJ1247" i="1"/>
  <c r="BK1247" i="1" s="1"/>
  <c r="BJ1246" i="1"/>
  <c r="BK1246" i="1" s="1"/>
  <c r="BJ1245" i="1"/>
  <c r="BK1245" i="1" s="1"/>
  <c r="BJ1244" i="1"/>
  <c r="BK1244" i="1" s="1"/>
  <c r="BJ1243" i="1"/>
  <c r="BK1243" i="1" s="1"/>
  <c r="BJ1242" i="1"/>
  <c r="BK1242" i="1" s="1"/>
  <c r="BJ1241" i="1"/>
  <c r="BK1241" i="1" s="1"/>
  <c r="BJ1240" i="1"/>
  <c r="BK1240" i="1" s="1"/>
  <c r="BJ1239" i="1"/>
  <c r="BK1239" i="1" s="1"/>
  <c r="BJ1238" i="1"/>
  <c r="BK1238" i="1" s="1"/>
  <c r="BJ1237" i="1"/>
  <c r="BK1237" i="1" s="1"/>
  <c r="BJ1236" i="1"/>
  <c r="BK1236" i="1" s="1"/>
  <c r="BJ1235" i="1"/>
  <c r="BK1235" i="1" s="1"/>
  <c r="BJ1234" i="1"/>
  <c r="BK1234" i="1" s="1"/>
  <c r="BJ1233" i="1"/>
  <c r="BK1233" i="1" s="1"/>
  <c r="BJ1232" i="1"/>
  <c r="BK1232" i="1" s="1"/>
  <c r="BJ1231" i="1"/>
  <c r="BK1231" i="1" s="1"/>
  <c r="BJ1230" i="1"/>
  <c r="BK1230" i="1" s="1"/>
  <c r="BJ1229" i="1"/>
  <c r="BK1229" i="1" s="1"/>
  <c r="BJ1228" i="1"/>
  <c r="BK1228" i="1" s="1"/>
  <c r="BJ1227" i="1"/>
  <c r="BK1227" i="1" s="1"/>
  <c r="BJ1226" i="1"/>
  <c r="BK1226" i="1" s="1"/>
  <c r="BJ1225" i="1"/>
  <c r="BK1225" i="1" s="1"/>
  <c r="BJ1224" i="1"/>
  <c r="BK1224" i="1" s="1"/>
  <c r="BJ1223" i="1"/>
  <c r="BK1223" i="1" s="1"/>
  <c r="BJ1222" i="1"/>
  <c r="BK1222" i="1" s="1"/>
  <c r="BJ1221" i="1"/>
  <c r="BK1221" i="1" s="1"/>
  <c r="BJ1220" i="1"/>
  <c r="BK1220" i="1" s="1"/>
  <c r="BJ1219" i="1"/>
  <c r="BK1219" i="1" s="1"/>
  <c r="BJ1218" i="1"/>
  <c r="BK1218" i="1" s="1"/>
  <c r="BJ1217" i="1"/>
  <c r="BK1217" i="1" s="1"/>
  <c r="BJ1216" i="1"/>
  <c r="BK1216" i="1" s="1"/>
  <c r="BJ1215" i="1"/>
  <c r="BK1215" i="1" s="1"/>
  <c r="BJ1214" i="1"/>
  <c r="BK1214" i="1" s="1"/>
  <c r="BJ1213" i="1"/>
  <c r="BK1213" i="1" s="1"/>
  <c r="BJ1212" i="1"/>
  <c r="BK1212" i="1" s="1"/>
  <c r="BJ1211" i="1"/>
  <c r="BK1211" i="1" s="1"/>
  <c r="BJ1210" i="1"/>
  <c r="BK1210" i="1" s="1"/>
  <c r="BJ1209" i="1"/>
  <c r="BK1209" i="1" s="1"/>
  <c r="BJ1208" i="1"/>
  <c r="BK1208" i="1" s="1"/>
  <c r="BJ1207" i="1"/>
  <c r="BK1207" i="1" s="1"/>
  <c r="BJ1206" i="1"/>
  <c r="BK1206" i="1" s="1"/>
  <c r="BJ1205" i="1"/>
  <c r="BK1205" i="1" s="1"/>
  <c r="BJ1204" i="1"/>
  <c r="BK1204" i="1" s="1"/>
  <c r="BJ1203" i="1"/>
  <c r="BK1203" i="1" s="1"/>
  <c r="BJ1202" i="1"/>
  <c r="BK1202" i="1" s="1"/>
  <c r="BJ1201" i="1"/>
  <c r="BK1201" i="1" s="1"/>
  <c r="BJ1200" i="1"/>
  <c r="BK1200" i="1" s="1"/>
  <c r="BJ1199" i="1"/>
  <c r="BK1199" i="1" s="1"/>
  <c r="BJ1198" i="1"/>
  <c r="BK1198" i="1" s="1"/>
  <c r="BJ1197" i="1"/>
  <c r="BK1197" i="1" s="1"/>
  <c r="BJ1196" i="1"/>
  <c r="BK1196" i="1" s="1"/>
  <c r="BJ1195" i="1"/>
  <c r="BK1195" i="1" s="1"/>
  <c r="BJ1194" i="1"/>
  <c r="BK1194" i="1" s="1"/>
  <c r="BJ1193" i="1"/>
  <c r="BK1193" i="1" s="1"/>
  <c r="BJ1192" i="1"/>
  <c r="BK1192" i="1" s="1"/>
  <c r="BJ1191" i="1"/>
  <c r="BK1191" i="1" s="1"/>
  <c r="BJ1190" i="1"/>
  <c r="BK1190" i="1" s="1"/>
  <c r="BJ1189" i="1"/>
  <c r="BK1189" i="1" s="1"/>
  <c r="BJ1188" i="1"/>
  <c r="BK1188" i="1" s="1"/>
  <c r="BJ1187" i="1"/>
  <c r="BK1187" i="1" s="1"/>
  <c r="BJ1186" i="1"/>
  <c r="BK1186" i="1" s="1"/>
  <c r="BJ1185" i="1"/>
  <c r="BK1185" i="1" s="1"/>
  <c r="BJ1184" i="1"/>
  <c r="BK1184" i="1" s="1"/>
  <c r="BJ1183" i="1"/>
  <c r="BK1183" i="1" s="1"/>
  <c r="BJ1182" i="1"/>
  <c r="BK1182" i="1" s="1"/>
  <c r="BJ1181" i="1"/>
  <c r="BK1181" i="1" s="1"/>
  <c r="BJ1180" i="1"/>
  <c r="BK1180" i="1" s="1"/>
  <c r="BJ1179" i="1"/>
  <c r="BK1179" i="1" s="1"/>
  <c r="BJ1178" i="1"/>
  <c r="BK1178" i="1" s="1"/>
  <c r="BJ1177" i="1"/>
  <c r="BK1177" i="1" s="1"/>
  <c r="BJ1176" i="1"/>
  <c r="BK1176" i="1" s="1"/>
  <c r="BJ1175" i="1"/>
  <c r="BK1175" i="1" s="1"/>
  <c r="BJ1174" i="1"/>
  <c r="BK1174" i="1" s="1"/>
  <c r="BJ1173" i="1"/>
  <c r="BK1173" i="1" s="1"/>
  <c r="BJ1172" i="1"/>
  <c r="BK1172" i="1" s="1"/>
  <c r="BJ1171" i="1"/>
  <c r="BK1171" i="1" s="1"/>
  <c r="BJ1170" i="1"/>
  <c r="BK1170" i="1" s="1"/>
  <c r="BJ1169" i="1"/>
  <c r="BK1169" i="1" s="1"/>
  <c r="BJ1168" i="1"/>
  <c r="BK1168" i="1" s="1"/>
  <c r="BJ1167" i="1"/>
  <c r="BK1167" i="1" s="1"/>
  <c r="BJ1166" i="1"/>
  <c r="BK1166" i="1" s="1"/>
  <c r="BJ1165" i="1"/>
  <c r="BK1165" i="1" s="1"/>
  <c r="BJ1164" i="1"/>
  <c r="BK1164" i="1" s="1"/>
  <c r="BJ1163" i="1"/>
  <c r="BK1163" i="1" s="1"/>
  <c r="BJ1162" i="1"/>
  <c r="BK1162" i="1" s="1"/>
  <c r="BJ1161" i="1"/>
  <c r="BK1161" i="1" s="1"/>
  <c r="BJ1160" i="1"/>
  <c r="BK1160" i="1" s="1"/>
  <c r="BJ1159" i="1"/>
  <c r="BK1159" i="1" s="1"/>
  <c r="BJ1158" i="1"/>
  <c r="BK1158" i="1" s="1"/>
  <c r="BJ1157" i="1"/>
  <c r="BK1157" i="1" s="1"/>
  <c r="BJ1156" i="1"/>
  <c r="BK1156" i="1" s="1"/>
  <c r="BJ1155" i="1"/>
  <c r="BK1155" i="1" s="1"/>
  <c r="BJ1154" i="1"/>
  <c r="BK1154" i="1" s="1"/>
  <c r="BJ1153" i="1"/>
  <c r="BK1153" i="1" s="1"/>
  <c r="BJ1152" i="1"/>
  <c r="BK1152" i="1" s="1"/>
  <c r="BJ1151" i="1"/>
  <c r="BK1151" i="1" s="1"/>
  <c r="BJ1150" i="1"/>
  <c r="BK1150" i="1" s="1"/>
  <c r="BJ1149" i="1"/>
  <c r="BK1149" i="1" s="1"/>
  <c r="BJ1148" i="1"/>
  <c r="BK1148" i="1" s="1"/>
  <c r="BJ1147" i="1"/>
  <c r="BK1147" i="1" s="1"/>
  <c r="BJ1146" i="1"/>
  <c r="BK1146" i="1" s="1"/>
  <c r="BJ1145" i="1"/>
  <c r="BK1145" i="1" s="1"/>
  <c r="BJ1144" i="1"/>
  <c r="BK1144" i="1" s="1"/>
  <c r="BJ1143" i="1"/>
  <c r="BK1143" i="1" s="1"/>
  <c r="BJ1142" i="1"/>
  <c r="BK1142" i="1" s="1"/>
  <c r="BJ1141" i="1"/>
  <c r="BK1141" i="1" s="1"/>
  <c r="BJ1140" i="1"/>
  <c r="BK1140" i="1" s="1"/>
  <c r="BJ1139" i="1"/>
  <c r="BK1139" i="1" s="1"/>
  <c r="BJ1138" i="1"/>
  <c r="BK1138" i="1" s="1"/>
  <c r="BJ1137" i="1"/>
  <c r="BK1137" i="1" s="1"/>
  <c r="BJ1136" i="1"/>
  <c r="BK1136" i="1" s="1"/>
  <c r="BJ1135" i="1"/>
  <c r="BK1135" i="1" s="1"/>
  <c r="BJ1134" i="1"/>
  <c r="BK1134" i="1" s="1"/>
  <c r="BJ1133" i="1"/>
  <c r="BK1133" i="1" s="1"/>
  <c r="BJ1132" i="1"/>
  <c r="BK1132" i="1" s="1"/>
  <c r="BJ1131" i="1"/>
  <c r="BK1131" i="1" s="1"/>
  <c r="BJ1130" i="1"/>
  <c r="BK1130" i="1" s="1"/>
  <c r="BJ1129" i="1"/>
  <c r="BK1129" i="1" s="1"/>
  <c r="BJ1128" i="1"/>
  <c r="BK1128" i="1" s="1"/>
  <c r="BJ1127" i="1"/>
  <c r="BK1127" i="1" s="1"/>
  <c r="BJ1126" i="1"/>
  <c r="BK1126" i="1" s="1"/>
  <c r="BJ1125" i="1"/>
  <c r="BK1125" i="1" s="1"/>
  <c r="BJ1124" i="1"/>
  <c r="BK1124" i="1" s="1"/>
  <c r="BJ1123" i="1"/>
  <c r="BK1123" i="1" s="1"/>
  <c r="BJ1122" i="1"/>
  <c r="BK1122" i="1" s="1"/>
  <c r="BJ1121" i="1"/>
  <c r="BK1121" i="1" s="1"/>
  <c r="BJ1120" i="1"/>
  <c r="BK1120" i="1" s="1"/>
  <c r="BJ1119" i="1"/>
  <c r="BK1119" i="1" s="1"/>
  <c r="BJ1118" i="1"/>
  <c r="BK1118" i="1" s="1"/>
  <c r="BJ1117" i="1"/>
  <c r="BK1117" i="1" s="1"/>
  <c r="BJ1116" i="1"/>
  <c r="BK1116" i="1" s="1"/>
  <c r="BJ1115" i="1"/>
  <c r="BK1115" i="1" s="1"/>
  <c r="BJ1114" i="1"/>
  <c r="BK1114" i="1" s="1"/>
  <c r="BJ1113" i="1"/>
  <c r="BK1113" i="1" s="1"/>
  <c r="BJ1112" i="1"/>
  <c r="BK1112" i="1" s="1"/>
  <c r="BJ1111" i="1"/>
  <c r="BK1111" i="1" s="1"/>
  <c r="BJ1110" i="1"/>
  <c r="BK1110" i="1" s="1"/>
  <c r="BJ1109" i="1"/>
  <c r="BK1109" i="1" s="1"/>
  <c r="BJ1108" i="1"/>
  <c r="BK1108" i="1" s="1"/>
  <c r="BJ1107" i="1"/>
  <c r="BK1107" i="1" s="1"/>
  <c r="BJ1106" i="1"/>
  <c r="BK1106" i="1" s="1"/>
  <c r="BJ1105" i="1"/>
  <c r="BK1105" i="1" s="1"/>
  <c r="BJ1104" i="1"/>
  <c r="BK1104" i="1" s="1"/>
  <c r="BJ1103" i="1"/>
  <c r="BK1103" i="1" s="1"/>
  <c r="BJ1102" i="1"/>
  <c r="BK1102" i="1" s="1"/>
  <c r="BJ1101" i="1"/>
  <c r="BK1101" i="1" s="1"/>
  <c r="BJ1100" i="1"/>
  <c r="BK1100" i="1" s="1"/>
  <c r="BJ1099" i="1"/>
  <c r="BK1099" i="1" s="1"/>
  <c r="BJ1098" i="1"/>
  <c r="BK1098" i="1" s="1"/>
  <c r="BJ1097" i="1"/>
  <c r="BK1097" i="1" s="1"/>
  <c r="BJ1096" i="1"/>
  <c r="BK1096" i="1" s="1"/>
  <c r="BJ1095" i="1"/>
  <c r="BK1095" i="1" s="1"/>
  <c r="BJ1094" i="1"/>
  <c r="BK1094" i="1" s="1"/>
  <c r="BJ1093" i="1"/>
  <c r="BK1093" i="1" s="1"/>
  <c r="BJ1092" i="1"/>
  <c r="BK1092" i="1" s="1"/>
  <c r="BJ1091" i="1"/>
  <c r="BK1091" i="1" s="1"/>
  <c r="BJ1090" i="1"/>
  <c r="BK1090" i="1" s="1"/>
  <c r="BJ1089" i="1"/>
  <c r="BK1089" i="1" s="1"/>
  <c r="BJ1088" i="1"/>
  <c r="BK1088" i="1" s="1"/>
  <c r="BJ1087" i="1"/>
  <c r="BK1087" i="1" s="1"/>
  <c r="BJ1086" i="1"/>
  <c r="BK1086" i="1" s="1"/>
  <c r="BJ1085" i="1"/>
  <c r="BK1085" i="1" s="1"/>
  <c r="BJ1084" i="1"/>
  <c r="BK1084" i="1" s="1"/>
  <c r="BJ1083" i="1"/>
  <c r="BK1083" i="1" s="1"/>
  <c r="BJ1082" i="1"/>
  <c r="BK1082" i="1" s="1"/>
  <c r="BJ1081" i="1"/>
  <c r="BK1081" i="1" s="1"/>
  <c r="BJ1080" i="1"/>
  <c r="BK1080" i="1" s="1"/>
  <c r="BJ1079" i="1"/>
  <c r="BK1079" i="1" s="1"/>
  <c r="BJ1078" i="1"/>
  <c r="BK1078" i="1" s="1"/>
  <c r="BJ1077" i="1"/>
  <c r="BK1077" i="1" s="1"/>
  <c r="BJ1076" i="1"/>
  <c r="BK1076" i="1" s="1"/>
  <c r="BJ1075" i="1"/>
  <c r="BK1075" i="1" s="1"/>
  <c r="BJ1074" i="1"/>
  <c r="BK1074" i="1" s="1"/>
  <c r="BJ1073" i="1"/>
  <c r="BK1073" i="1" s="1"/>
  <c r="BJ1072" i="1"/>
  <c r="BK1072" i="1" s="1"/>
  <c r="BJ1071" i="1"/>
  <c r="BK1071" i="1" s="1"/>
  <c r="BJ1070" i="1"/>
  <c r="BK1070" i="1" s="1"/>
  <c r="BJ1069" i="1"/>
  <c r="BK1069" i="1" s="1"/>
  <c r="BJ1068" i="1"/>
  <c r="BK1068" i="1" s="1"/>
  <c r="BJ1067" i="1"/>
  <c r="BK1067" i="1" s="1"/>
  <c r="BJ1066" i="1"/>
  <c r="BK1066" i="1" s="1"/>
  <c r="BJ1065" i="1"/>
  <c r="BK1065" i="1" s="1"/>
  <c r="BJ1064" i="1"/>
  <c r="BK1064" i="1" s="1"/>
  <c r="BJ1063" i="1"/>
  <c r="BK1063" i="1" s="1"/>
  <c r="BJ1062" i="1"/>
  <c r="BK1062" i="1" s="1"/>
  <c r="BJ1061" i="1"/>
  <c r="BK1061" i="1" s="1"/>
  <c r="BJ1060" i="1"/>
  <c r="BK1060" i="1" s="1"/>
  <c r="BJ1059" i="1"/>
  <c r="BK1059" i="1" s="1"/>
  <c r="BJ1058" i="1"/>
  <c r="BK1058" i="1" s="1"/>
  <c r="BJ1057" i="1"/>
  <c r="BK1057" i="1" s="1"/>
  <c r="BJ1056" i="1"/>
  <c r="BK1056" i="1" s="1"/>
  <c r="BJ1055" i="1"/>
  <c r="BK1055" i="1" s="1"/>
  <c r="BJ1054" i="1"/>
  <c r="BK1054" i="1" s="1"/>
  <c r="BJ1053" i="1"/>
  <c r="BK1053" i="1" s="1"/>
  <c r="BJ1052" i="1"/>
  <c r="BK1052" i="1" s="1"/>
  <c r="BJ1051" i="1"/>
  <c r="BK1051" i="1" s="1"/>
  <c r="BJ1050" i="1"/>
  <c r="BK1050" i="1" s="1"/>
  <c r="BJ1049" i="1"/>
  <c r="BK1049" i="1" s="1"/>
  <c r="BJ1048" i="1"/>
  <c r="BJ1047" i="1"/>
  <c r="BJ1046" i="1"/>
  <c r="BJ1045" i="1"/>
  <c r="BJ1044" i="1"/>
  <c r="BJ1043" i="1"/>
  <c r="BJ1042" i="1"/>
  <c r="BJ1041" i="1"/>
  <c r="BJ1040" i="1"/>
  <c r="BJ1039" i="1"/>
  <c r="BJ1038" i="1"/>
  <c r="BJ1037" i="1"/>
  <c r="BJ1036" i="1"/>
  <c r="BJ1035" i="1"/>
  <c r="BJ1034" i="1"/>
  <c r="BJ1033" i="1"/>
  <c r="BJ1032" i="1"/>
  <c r="BJ1031" i="1"/>
  <c r="BJ1030" i="1"/>
  <c r="BJ1029" i="1"/>
  <c r="BJ1028" i="1"/>
  <c r="BJ1027" i="1"/>
  <c r="BJ1026" i="1"/>
  <c r="BJ1025" i="1"/>
  <c r="BJ1024" i="1"/>
  <c r="BJ1023" i="1"/>
  <c r="BJ1022" i="1"/>
  <c r="BJ1021" i="1"/>
  <c r="BJ1020" i="1"/>
  <c r="BJ1019" i="1"/>
  <c r="BJ1018" i="1"/>
  <c r="BJ1017" i="1"/>
  <c r="BJ1016" i="1"/>
  <c r="BJ1015" i="1"/>
  <c r="BJ1014" i="1"/>
  <c r="BJ1013" i="1"/>
  <c r="BJ1012" i="1"/>
  <c r="BJ1011" i="1"/>
  <c r="BJ1010" i="1"/>
  <c r="BJ1009" i="1"/>
  <c r="BJ1008" i="1"/>
  <c r="BJ1007" i="1"/>
  <c r="BJ1006" i="1"/>
  <c r="BJ1005" i="1"/>
  <c r="BJ1004" i="1"/>
  <c r="BJ1003" i="1"/>
  <c r="BJ1002" i="1"/>
  <c r="BJ1001" i="1"/>
  <c r="BJ1000" i="1"/>
  <c r="BJ999" i="1"/>
  <c r="BJ998" i="1"/>
  <c r="BJ997" i="1"/>
  <c r="BJ996" i="1"/>
  <c r="BJ995" i="1"/>
  <c r="BJ994" i="1"/>
  <c r="BJ993" i="1"/>
  <c r="BJ992" i="1"/>
  <c r="BJ991" i="1"/>
  <c r="BJ990" i="1"/>
  <c r="BJ989" i="1"/>
  <c r="BJ988" i="1"/>
  <c r="BJ987" i="1"/>
  <c r="BJ986" i="1"/>
  <c r="BJ985" i="1"/>
  <c r="BJ984" i="1"/>
  <c r="BJ983" i="1"/>
  <c r="BJ982" i="1"/>
  <c r="BJ981" i="1"/>
  <c r="BJ980" i="1"/>
  <c r="BJ979" i="1"/>
  <c r="BJ978" i="1"/>
  <c r="BJ977" i="1"/>
  <c r="BJ976" i="1"/>
  <c r="BJ975" i="1"/>
  <c r="BJ974" i="1"/>
  <c r="BJ973" i="1"/>
  <c r="BJ972" i="1"/>
  <c r="BJ971" i="1"/>
  <c r="BJ970" i="1"/>
  <c r="BJ969" i="1"/>
  <c r="BJ968" i="1"/>
  <c r="BJ967" i="1"/>
  <c r="BJ966" i="1"/>
  <c r="BJ965" i="1"/>
  <c r="BJ964" i="1"/>
  <c r="BJ963" i="1"/>
  <c r="BJ962" i="1"/>
  <c r="BJ961" i="1"/>
  <c r="BJ960" i="1"/>
  <c r="BJ959" i="1"/>
  <c r="BJ958" i="1"/>
  <c r="BJ957" i="1"/>
  <c r="BJ956" i="1"/>
  <c r="BJ955" i="1"/>
  <c r="BJ954" i="1"/>
  <c r="BJ953" i="1"/>
  <c r="BJ952" i="1"/>
  <c r="BJ951" i="1"/>
  <c r="BJ950" i="1"/>
  <c r="BJ949" i="1"/>
  <c r="BJ948" i="1"/>
  <c r="BJ947" i="1"/>
  <c r="BJ946" i="1"/>
  <c r="BJ945" i="1"/>
  <c r="BJ944" i="1"/>
  <c r="BJ943" i="1"/>
  <c r="BJ942" i="1"/>
  <c r="BJ941" i="1"/>
  <c r="BJ940" i="1"/>
  <c r="BJ939" i="1"/>
  <c r="BJ938" i="1"/>
  <c r="BJ937" i="1"/>
  <c r="BJ936" i="1"/>
  <c r="BJ935" i="1"/>
  <c r="BJ934" i="1"/>
  <c r="BJ933" i="1"/>
  <c r="BJ932" i="1"/>
  <c r="BJ931" i="1"/>
  <c r="BJ930" i="1"/>
  <c r="BJ929" i="1"/>
  <c r="BJ928" i="1"/>
  <c r="BJ927" i="1"/>
  <c r="BJ926" i="1"/>
  <c r="BJ925" i="1"/>
  <c r="BJ924" i="1"/>
  <c r="BJ923" i="1"/>
  <c r="BJ922" i="1"/>
  <c r="BJ921" i="1"/>
  <c r="BJ920" i="1"/>
  <c r="BJ919" i="1"/>
  <c r="BJ918" i="1"/>
  <c r="BJ917" i="1"/>
  <c r="BJ916" i="1"/>
  <c r="BJ915" i="1"/>
  <c r="BJ914" i="1"/>
  <c r="BJ913" i="1"/>
  <c r="BJ912" i="1"/>
  <c r="BJ911" i="1"/>
  <c r="BJ910" i="1"/>
  <c r="BJ909" i="1"/>
  <c r="BJ908" i="1"/>
  <c r="BJ907" i="1"/>
  <c r="BJ906" i="1"/>
  <c r="BJ905" i="1"/>
  <c r="BJ904" i="1"/>
  <c r="BJ903" i="1"/>
  <c r="BJ902" i="1"/>
  <c r="BJ901" i="1"/>
  <c r="BJ900" i="1"/>
  <c r="BJ899" i="1"/>
  <c r="BJ898" i="1"/>
  <c r="BJ897" i="1"/>
  <c r="BJ896" i="1"/>
  <c r="BJ895" i="1"/>
  <c r="BJ894" i="1"/>
  <c r="BJ893" i="1"/>
  <c r="BJ892" i="1"/>
  <c r="BJ891" i="1"/>
  <c r="BJ890" i="1"/>
  <c r="BJ889" i="1"/>
  <c r="BJ888" i="1"/>
  <c r="BJ887" i="1"/>
  <c r="BJ886" i="1"/>
  <c r="BJ885" i="1"/>
  <c r="BJ884" i="1"/>
  <c r="BJ883" i="1"/>
  <c r="BJ882" i="1"/>
  <c r="BJ881" i="1"/>
  <c r="BJ880" i="1"/>
  <c r="BJ879" i="1"/>
  <c r="BJ878" i="1"/>
  <c r="BJ877" i="1"/>
  <c r="BJ876" i="1"/>
  <c r="BJ875" i="1"/>
  <c r="BJ874" i="1"/>
  <c r="BJ873" i="1"/>
  <c r="BJ872" i="1"/>
  <c r="BJ871" i="1"/>
  <c r="BJ870" i="1"/>
  <c r="BJ869" i="1"/>
  <c r="BJ868" i="1"/>
  <c r="BJ867" i="1"/>
  <c r="BJ866" i="1"/>
  <c r="BJ865" i="1"/>
  <c r="BJ864" i="1"/>
  <c r="BJ863" i="1"/>
  <c r="BJ862" i="1"/>
  <c r="BJ861" i="1"/>
  <c r="BJ860" i="1"/>
  <c r="BJ859" i="1"/>
  <c r="BJ858" i="1"/>
  <c r="BJ857" i="1"/>
  <c r="BJ856" i="1"/>
  <c r="BJ855" i="1"/>
  <c r="BJ854" i="1"/>
  <c r="BJ853" i="1"/>
  <c r="BJ852" i="1"/>
  <c r="BJ851" i="1"/>
  <c r="BJ850" i="1"/>
  <c r="BJ849" i="1"/>
  <c r="BJ848" i="1"/>
  <c r="BJ847" i="1"/>
  <c r="BJ846" i="1"/>
  <c r="BJ845" i="1"/>
  <c r="BJ844" i="1"/>
  <c r="BJ843" i="1"/>
  <c r="BJ842" i="1"/>
  <c r="BJ841" i="1"/>
  <c r="BJ840" i="1"/>
  <c r="BJ839" i="1"/>
  <c r="BJ838" i="1"/>
  <c r="BJ837" i="1"/>
  <c r="BJ836" i="1"/>
  <c r="BJ835" i="1"/>
  <c r="BJ834" i="1"/>
  <c r="BJ833" i="1"/>
  <c r="BJ832" i="1"/>
  <c r="BJ831" i="1"/>
  <c r="BJ830" i="1"/>
  <c r="BJ829" i="1"/>
  <c r="BJ828" i="1"/>
  <c r="BJ827" i="1"/>
  <c r="BJ826" i="1"/>
  <c r="BJ825" i="1"/>
  <c r="BJ824" i="1"/>
  <c r="BJ823" i="1"/>
  <c r="BJ822" i="1"/>
  <c r="BJ821" i="1"/>
  <c r="BJ820" i="1"/>
  <c r="BJ819" i="1"/>
  <c r="BJ818" i="1"/>
  <c r="BJ817" i="1"/>
  <c r="BJ816" i="1"/>
  <c r="BJ815" i="1"/>
  <c r="BJ814" i="1"/>
  <c r="BJ813" i="1"/>
  <c r="BJ812" i="1"/>
  <c r="BJ811" i="1"/>
  <c r="BJ810" i="1"/>
  <c r="BJ809" i="1"/>
  <c r="BJ808" i="1"/>
  <c r="BJ807" i="1"/>
  <c r="BJ806" i="1"/>
  <c r="BJ805" i="1"/>
  <c r="BJ804" i="1"/>
  <c r="BJ803" i="1"/>
  <c r="BJ802" i="1"/>
  <c r="BJ801" i="1"/>
  <c r="BJ800" i="1"/>
  <c r="BJ799" i="1"/>
  <c r="BJ798" i="1"/>
  <c r="BJ797" i="1"/>
  <c r="BJ796" i="1"/>
  <c r="BJ795" i="1"/>
  <c r="BJ794" i="1"/>
  <c r="BJ793" i="1"/>
  <c r="BJ792" i="1"/>
  <c r="BJ791" i="1"/>
  <c r="BJ790" i="1"/>
  <c r="BJ789" i="1"/>
  <c r="BJ788" i="1"/>
  <c r="BJ787" i="1"/>
  <c r="BJ786" i="1"/>
  <c r="BJ785" i="1"/>
  <c r="BJ784" i="1"/>
  <c r="BJ783" i="1"/>
  <c r="BJ782" i="1"/>
  <c r="BJ781" i="1"/>
  <c r="BJ780" i="1"/>
  <c r="BJ779" i="1"/>
  <c r="BJ778" i="1"/>
  <c r="BJ777" i="1"/>
  <c r="BJ776" i="1"/>
  <c r="BJ775" i="1"/>
  <c r="BJ774" i="1"/>
  <c r="BJ773" i="1"/>
  <c r="BJ772" i="1"/>
  <c r="BJ771" i="1"/>
  <c r="BJ770" i="1"/>
  <c r="BJ769" i="1"/>
  <c r="BJ768" i="1"/>
  <c r="BJ767" i="1"/>
  <c r="BJ766" i="1"/>
  <c r="BJ765" i="1"/>
  <c r="BJ764" i="1"/>
  <c r="BJ763" i="1"/>
  <c r="BJ762" i="1"/>
  <c r="BJ761" i="1"/>
  <c r="BJ760" i="1"/>
  <c r="BJ759" i="1"/>
  <c r="BJ758" i="1"/>
  <c r="BJ757" i="1"/>
  <c r="BJ756" i="1"/>
  <c r="BJ755" i="1"/>
  <c r="BJ754" i="1"/>
  <c r="BJ753" i="1"/>
  <c r="BJ752" i="1"/>
  <c r="BJ751" i="1"/>
  <c r="BJ750" i="1"/>
  <c r="BJ749" i="1"/>
  <c r="BJ748" i="1"/>
  <c r="BJ747" i="1"/>
  <c r="BJ746" i="1"/>
  <c r="BJ745" i="1"/>
  <c r="BJ744" i="1"/>
  <c r="BJ743" i="1"/>
  <c r="BJ742" i="1"/>
  <c r="BJ741" i="1"/>
  <c r="BJ740" i="1"/>
  <c r="BJ739" i="1"/>
  <c r="BJ738" i="1"/>
  <c r="BJ737" i="1"/>
  <c r="BJ736" i="1"/>
  <c r="BJ735" i="1"/>
  <c r="BJ734" i="1"/>
  <c r="BJ733" i="1"/>
  <c r="BJ732" i="1"/>
  <c r="BJ731" i="1"/>
  <c r="BJ730" i="1"/>
  <c r="BJ729" i="1"/>
  <c r="BJ728" i="1"/>
  <c r="BJ727" i="1"/>
  <c r="BJ726" i="1"/>
  <c r="BJ725" i="1"/>
  <c r="BJ724" i="1"/>
  <c r="BJ723" i="1"/>
  <c r="BJ722" i="1"/>
  <c r="BJ721" i="1"/>
  <c r="BJ720" i="1"/>
  <c r="BJ719" i="1"/>
  <c r="BJ718" i="1"/>
  <c r="BJ717" i="1"/>
  <c r="BJ716" i="1"/>
  <c r="BJ715" i="1"/>
  <c r="BJ714" i="1"/>
  <c r="BJ713" i="1"/>
  <c r="BJ712" i="1"/>
  <c r="BJ711" i="1"/>
  <c r="BJ710" i="1"/>
  <c r="BJ709" i="1"/>
  <c r="BJ708" i="1"/>
  <c r="BJ707" i="1"/>
  <c r="BJ706" i="1"/>
  <c r="BJ705" i="1"/>
  <c r="BJ704" i="1"/>
  <c r="BJ703" i="1"/>
  <c r="BJ702" i="1"/>
  <c r="BJ701" i="1"/>
  <c r="BJ700" i="1"/>
  <c r="BJ699" i="1"/>
  <c r="BJ698" i="1"/>
  <c r="BJ697" i="1"/>
  <c r="BJ696" i="1"/>
  <c r="BJ695" i="1"/>
  <c r="BJ694" i="1"/>
  <c r="BJ693" i="1"/>
  <c r="BJ692" i="1"/>
  <c r="BJ691" i="1"/>
  <c r="BJ690" i="1"/>
  <c r="BJ689" i="1"/>
  <c r="BJ688" i="1"/>
  <c r="BJ687" i="1"/>
  <c r="BJ686" i="1"/>
  <c r="BJ685" i="1"/>
  <c r="BJ684" i="1"/>
  <c r="BJ683" i="1"/>
  <c r="BJ682" i="1"/>
  <c r="BJ681" i="1"/>
  <c r="BJ680" i="1"/>
  <c r="BJ679" i="1"/>
  <c r="BJ678" i="1"/>
  <c r="BJ677" i="1"/>
  <c r="BJ676" i="1"/>
  <c r="BJ675" i="1"/>
  <c r="BJ674" i="1"/>
  <c r="BJ673" i="1"/>
  <c r="BJ672" i="1"/>
  <c r="BJ671" i="1"/>
  <c r="BJ670" i="1"/>
  <c r="BJ669" i="1"/>
  <c r="BJ668" i="1"/>
  <c r="BJ667" i="1"/>
  <c r="BJ666" i="1"/>
  <c r="BJ665" i="1"/>
  <c r="BJ664" i="1"/>
  <c r="BJ663" i="1"/>
  <c r="BJ662" i="1"/>
  <c r="BJ661" i="1"/>
  <c r="BJ660" i="1"/>
  <c r="BJ659" i="1"/>
  <c r="BJ658" i="1"/>
  <c r="BJ657" i="1"/>
  <c r="BJ656" i="1"/>
  <c r="BJ655" i="1"/>
  <c r="BJ654" i="1"/>
  <c r="BJ653" i="1"/>
  <c r="BJ652" i="1"/>
  <c r="BJ651" i="1"/>
  <c r="BJ650" i="1"/>
  <c r="BJ649" i="1"/>
  <c r="BJ648" i="1"/>
  <c r="BJ647" i="1"/>
  <c r="BJ646" i="1"/>
  <c r="BJ645" i="1"/>
  <c r="BJ644" i="1"/>
  <c r="BJ643" i="1"/>
  <c r="BJ642" i="1"/>
  <c r="BJ641" i="1"/>
  <c r="BJ640" i="1"/>
  <c r="BJ639" i="1"/>
  <c r="BJ638" i="1"/>
  <c r="BJ637" i="1"/>
  <c r="BJ636" i="1"/>
  <c r="BJ635" i="1"/>
  <c r="BJ634" i="1"/>
  <c r="BJ633" i="1"/>
  <c r="BJ632" i="1"/>
  <c r="BJ631" i="1"/>
  <c r="BJ630" i="1"/>
  <c r="BJ629" i="1"/>
  <c r="BJ628" i="1"/>
  <c r="BJ627" i="1"/>
  <c r="BJ626" i="1"/>
  <c r="BJ625" i="1"/>
  <c r="BJ624" i="1"/>
  <c r="BJ623" i="1"/>
  <c r="BJ622" i="1"/>
  <c r="BJ621" i="1"/>
  <c r="BJ620" i="1"/>
  <c r="BJ619" i="1"/>
  <c r="BJ618" i="1"/>
  <c r="BJ617" i="1"/>
  <c r="BJ616" i="1"/>
  <c r="BJ615" i="1"/>
  <c r="BJ614" i="1"/>
  <c r="BJ613" i="1"/>
  <c r="BJ612" i="1"/>
  <c r="BJ611" i="1"/>
  <c r="BJ610" i="1"/>
  <c r="BJ609" i="1"/>
  <c r="BJ608" i="1"/>
  <c r="BJ607" i="1"/>
  <c r="BJ606" i="1"/>
  <c r="BJ605" i="1"/>
  <c r="BJ604" i="1"/>
  <c r="BJ603" i="1"/>
  <c r="BJ602" i="1"/>
  <c r="BJ601" i="1"/>
  <c r="BJ600" i="1"/>
  <c r="BJ599" i="1"/>
  <c r="BJ598" i="1"/>
  <c r="BJ597" i="1"/>
  <c r="BJ596" i="1"/>
  <c r="BJ595" i="1"/>
  <c r="BJ594" i="1"/>
  <c r="BJ593" i="1"/>
  <c r="BJ592" i="1"/>
  <c r="BJ591" i="1"/>
  <c r="BJ590" i="1"/>
  <c r="BJ589" i="1"/>
  <c r="BJ588" i="1"/>
  <c r="BJ587" i="1"/>
  <c r="BJ586" i="1"/>
  <c r="BJ585" i="1"/>
  <c r="BJ584" i="1"/>
  <c r="BJ583" i="1"/>
  <c r="BJ582" i="1"/>
  <c r="BJ581" i="1"/>
  <c r="BJ580" i="1"/>
  <c r="BJ579" i="1"/>
  <c r="BJ578" i="1"/>
  <c r="BJ577" i="1"/>
  <c r="BJ576" i="1"/>
  <c r="BJ575" i="1"/>
  <c r="BJ574" i="1"/>
  <c r="BJ573" i="1"/>
  <c r="BJ572" i="1"/>
  <c r="BJ571" i="1"/>
  <c r="BJ570" i="1"/>
  <c r="BJ569" i="1"/>
  <c r="BJ568" i="1"/>
  <c r="BJ567" i="1"/>
  <c r="BJ566" i="1"/>
  <c r="BJ565" i="1"/>
  <c r="BJ564" i="1"/>
  <c r="BJ563" i="1"/>
  <c r="BJ562" i="1"/>
  <c r="BJ561" i="1"/>
  <c r="BJ560" i="1"/>
  <c r="BJ559" i="1"/>
  <c r="BJ558" i="1"/>
  <c r="BJ557" i="1"/>
  <c r="BJ556" i="1"/>
  <c r="BJ555" i="1"/>
  <c r="BJ554" i="1"/>
  <c r="BJ553" i="1"/>
  <c r="BJ552" i="1"/>
  <c r="BJ551" i="1"/>
  <c r="BJ550" i="1"/>
  <c r="BJ549" i="1"/>
  <c r="BJ548" i="1"/>
  <c r="BJ547" i="1"/>
  <c r="BJ546" i="1"/>
  <c r="BJ545" i="1"/>
  <c r="BJ544" i="1"/>
  <c r="BJ543" i="1"/>
  <c r="BJ542" i="1"/>
  <c r="BJ541" i="1"/>
  <c r="BJ540" i="1"/>
  <c r="BJ539" i="1"/>
  <c r="BJ538" i="1"/>
  <c r="BJ537" i="1"/>
  <c r="BJ536" i="1"/>
  <c r="BJ535" i="1"/>
  <c r="BJ534" i="1"/>
  <c r="BJ533" i="1"/>
  <c r="BJ532" i="1"/>
  <c r="BJ531" i="1"/>
  <c r="BJ530" i="1"/>
  <c r="BJ529" i="1"/>
  <c r="BJ528" i="1"/>
  <c r="BJ527" i="1"/>
  <c r="BJ526" i="1"/>
  <c r="BJ525" i="1"/>
  <c r="BJ524" i="1"/>
  <c r="BJ523" i="1"/>
  <c r="BJ522" i="1"/>
  <c r="BJ521" i="1"/>
  <c r="BJ520" i="1"/>
  <c r="BJ519" i="1"/>
  <c r="BJ518" i="1"/>
  <c r="BJ517" i="1"/>
  <c r="BJ516" i="1"/>
  <c r="BJ515" i="1"/>
  <c r="BJ514" i="1"/>
  <c r="BJ513" i="1"/>
  <c r="BJ512" i="1"/>
  <c r="BJ511" i="1"/>
  <c r="BJ510" i="1"/>
  <c r="BJ509" i="1"/>
  <c r="BJ508" i="1"/>
  <c r="BJ507" i="1"/>
  <c r="BJ506" i="1"/>
  <c r="BJ505" i="1"/>
  <c r="BJ504" i="1"/>
  <c r="BJ503" i="1"/>
  <c r="BJ502" i="1"/>
  <c r="BJ501" i="1"/>
  <c r="BJ500" i="1"/>
  <c r="BJ499" i="1"/>
  <c r="BJ498" i="1"/>
  <c r="BJ497" i="1"/>
  <c r="BJ496" i="1"/>
  <c r="BJ495" i="1"/>
  <c r="BJ494" i="1"/>
  <c r="BJ493" i="1"/>
  <c r="BJ492" i="1"/>
  <c r="BJ491" i="1"/>
  <c r="BJ490" i="1"/>
  <c r="BJ489" i="1"/>
  <c r="BJ488" i="1"/>
  <c r="BJ487" i="1"/>
  <c r="BJ486" i="1"/>
  <c r="BJ485" i="1"/>
  <c r="BJ484" i="1"/>
  <c r="BJ483" i="1"/>
  <c r="BJ482" i="1"/>
  <c r="BJ481" i="1"/>
  <c r="BJ480" i="1"/>
  <c r="BJ479" i="1"/>
  <c r="BJ478" i="1"/>
  <c r="BJ477" i="1"/>
  <c r="BJ476" i="1"/>
  <c r="BJ475" i="1"/>
  <c r="BJ474" i="1"/>
  <c r="BJ473" i="1"/>
  <c r="BJ472" i="1"/>
  <c r="BJ471" i="1"/>
  <c r="BJ470" i="1"/>
  <c r="BJ469" i="1"/>
  <c r="BJ468" i="1"/>
  <c r="BJ467" i="1"/>
  <c r="BJ466" i="1"/>
  <c r="BJ465" i="1"/>
  <c r="BJ464" i="1"/>
  <c r="BJ463" i="1"/>
  <c r="BJ462" i="1"/>
  <c r="BJ461" i="1"/>
  <c r="BJ460" i="1"/>
  <c r="BJ459" i="1"/>
  <c r="BJ458" i="1"/>
  <c r="BJ457" i="1"/>
  <c r="BJ456" i="1"/>
  <c r="BJ455" i="1"/>
  <c r="BJ454" i="1"/>
  <c r="BJ453" i="1"/>
  <c r="BJ452" i="1"/>
  <c r="BJ451" i="1"/>
  <c r="BJ450" i="1"/>
  <c r="BJ449" i="1"/>
  <c r="BJ448" i="1"/>
  <c r="BJ447" i="1"/>
  <c r="BJ446" i="1"/>
  <c r="BJ445" i="1"/>
  <c r="BJ444" i="1"/>
  <c r="BJ443" i="1"/>
  <c r="BJ442" i="1"/>
  <c r="BJ441" i="1"/>
  <c r="BJ440" i="1"/>
  <c r="BJ439" i="1"/>
  <c r="BJ438" i="1"/>
  <c r="BJ437" i="1"/>
  <c r="BJ436" i="1"/>
  <c r="BJ435" i="1"/>
  <c r="BJ434" i="1"/>
  <c r="BJ433" i="1"/>
  <c r="BJ432" i="1"/>
  <c r="BJ431" i="1"/>
  <c r="BJ430" i="1"/>
  <c r="BJ429" i="1"/>
  <c r="BJ428" i="1"/>
  <c r="BJ427" i="1"/>
  <c r="BJ426" i="1"/>
  <c r="BJ425" i="1"/>
  <c r="BJ424" i="1"/>
  <c r="BJ423" i="1"/>
  <c r="BJ422" i="1"/>
  <c r="BJ421" i="1"/>
  <c r="BJ420" i="1"/>
  <c r="BJ419" i="1"/>
  <c r="BJ418" i="1"/>
  <c r="BJ417" i="1"/>
  <c r="BJ416" i="1"/>
  <c r="BJ415" i="1"/>
  <c r="BJ414" i="1"/>
  <c r="BJ413" i="1"/>
  <c r="BJ412" i="1"/>
  <c r="BJ411" i="1"/>
  <c r="BJ410" i="1"/>
  <c r="BJ409" i="1"/>
  <c r="BJ408" i="1"/>
  <c r="BJ407" i="1"/>
  <c r="BJ406" i="1"/>
  <c r="BJ405" i="1"/>
  <c r="BJ404" i="1"/>
  <c r="BJ403" i="1"/>
  <c r="BJ402" i="1"/>
  <c r="BJ401" i="1"/>
  <c r="BJ400" i="1"/>
  <c r="BJ399" i="1"/>
  <c r="BJ398" i="1"/>
  <c r="BJ397" i="1"/>
  <c r="BJ396" i="1"/>
  <c r="BJ395" i="1"/>
  <c r="BJ394" i="1"/>
  <c r="BJ393" i="1"/>
  <c r="BJ392" i="1"/>
  <c r="BJ391" i="1"/>
  <c r="BJ390" i="1"/>
  <c r="BJ389" i="1"/>
  <c r="BJ388" i="1"/>
  <c r="BJ387" i="1"/>
  <c r="BJ386" i="1"/>
  <c r="BJ385" i="1"/>
  <c r="BJ384" i="1"/>
  <c r="BJ383" i="1"/>
  <c r="BJ382" i="1"/>
  <c r="BJ381" i="1"/>
  <c r="BJ380" i="1"/>
  <c r="BJ379" i="1"/>
  <c r="BJ378" i="1"/>
  <c r="BJ377" i="1"/>
  <c r="BJ376" i="1"/>
  <c r="BJ375" i="1"/>
  <c r="BJ374" i="1"/>
  <c r="BJ373" i="1"/>
  <c r="BJ372" i="1"/>
  <c r="BJ371" i="1"/>
  <c r="BJ370" i="1"/>
  <c r="BJ369" i="1"/>
  <c r="BJ368" i="1"/>
  <c r="BJ367" i="1"/>
  <c r="BJ366" i="1"/>
  <c r="BJ365" i="1"/>
  <c r="BJ364" i="1"/>
  <c r="BJ363" i="1"/>
  <c r="BJ362" i="1"/>
  <c r="BJ361" i="1"/>
  <c r="BJ360" i="1"/>
  <c r="BJ359" i="1"/>
  <c r="BJ358" i="1"/>
  <c r="BJ357" i="1"/>
  <c r="BJ356" i="1"/>
  <c r="BJ355" i="1"/>
  <c r="BJ354" i="1"/>
  <c r="BJ353" i="1"/>
  <c r="BJ352" i="1"/>
  <c r="BJ351" i="1"/>
  <c r="BJ350" i="1"/>
  <c r="BJ349" i="1"/>
  <c r="BJ348" i="1"/>
  <c r="BJ347" i="1"/>
  <c r="BJ346" i="1"/>
  <c r="BJ345" i="1"/>
  <c r="BJ344" i="1"/>
  <c r="BJ343" i="1"/>
  <c r="BJ342" i="1"/>
  <c r="BJ341" i="1"/>
  <c r="BJ340" i="1"/>
  <c r="BJ339" i="1"/>
  <c r="BJ338" i="1"/>
  <c r="BJ337" i="1"/>
  <c r="BJ336" i="1"/>
  <c r="BJ335" i="1"/>
  <c r="BJ334" i="1"/>
  <c r="BJ333" i="1"/>
  <c r="BJ332" i="1"/>
  <c r="BJ331" i="1"/>
  <c r="BJ330" i="1"/>
  <c r="BJ329" i="1"/>
  <c r="BJ328" i="1"/>
  <c r="BJ327" i="1"/>
  <c r="BJ326" i="1"/>
  <c r="BJ325" i="1"/>
  <c r="BJ324" i="1"/>
  <c r="BJ323" i="1"/>
  <c r="BJ322" i="1"/>
  <c r="BJ321" i="1"/>
  <c r="BJ320" i="1"/>
  <c r="BJ319" i="1"/>
  <c r="BJ318" i="1"/>
  <c r="BJ317" i="1"/>
  <c r="BJ316" i="1"/>
  <c r="BJ315" i="1"/>
  <c r="BJ314" i="1"/>
  <c r="BJ313" i="1"/>
  <c r="BJ312" i="1"/>
  <c r="BJ311" i="1"/>
  <c r="BJ310" i="1"/>
  <c r="BJ309" i="1"/>
  <c r="BJ308" i="1"/>
  <c r="BJ307" i="1"/>
  <c r="BJ306" i="1"/>
  <c r="BJ305" i="1"/>
  <c r="BJ304" i="1"/>
  <c r="BJ303" i="1"/>
  <c r="BJ302" i="1"/>
  <c r="BJ301" i="1"/>
  <c r="BJ300" i="1"/>
  <c r="BJ299" i="1"/>
  <c r="BJ298" i="1"/>
  <c r="BJ297" i="1"/>
  <c r="BJ296" i="1"/>
  <c r="BJ295" i="1"/>
  <c r="BJ294" i="1"/>
  <c r="BJ293" i="1"/>
  <c r="BJ292" i="1"/>
  <c r="BJ291" i="1"/>
  <c r="BJ290" i="1"/>
  <c r="BJ289" i="1"/>
  <c r="BJ288" i="1"/>
  <c r="BJ287" i="1"/>
  <c r="BJ286" i="1"/>
  <c r="BJ285" i="1"/>
  <c r="BJ284" i="1"/>
  <c r="BJ283" i="1"/>
  <c r="BJ282" i="1"/>
  <c r="BJ281" i="1"/>
  <c r="BJ280" i="1"/>
  <c r="BJ279" i="1"/>
  <c r="BJ278" i="1"/>
  <c r="BJ277" i="1"/>
  <c r="BJ276" i="1"/>
  <c r="BJ275" i="1"/>
  <c r="BJ274" i="1"/>
  <c r="BJ273" i="1"/>
  <c r="BJ272" i="1"/>
  <c r="BJ271" i="1"/>
  <c r="BJ270" i="1"/>
  <c r="BJ269" i="1"/>
  <c r="BJ268" i="1"/>
  <c r="BJ267" i="1"/>
  <c r="BJ266" i="1"/>
  <c r="BJ265" i="1"/>
  <c r="BJ264" i="1"/>
  <c r="BJ263" i="1"/>
  <c r="BJ262" i="1"/>
  <c r="BJ261" i="1"/>
  <c r="BJ260" i="1"/>
  <c r="BJ259" i="1"/>
  <c r="BJ258" i="1"/>
  <c r="BJ257" i="1"/>
  <c r="BJ256" i="1"/>
  <c r="BJ255" i="1"/>
  <c r="BJ254" i="1"/>
  <c r="BJ253" i="1"/>
  <c r="BJ252" i="1"/>
  <c r="BJ251" i="1"/>
  <c r="BJ250" i="1"/>
  <c r="BJ249" i="1"/>
  <c r="BJ248" i="1"/>
  <c r="BJ247" i="1"/>
  <c r="BJ246" i="1"/>
  <c r="BJ245" i="1"/>
  <c r="BJ244" i="1"/>
  <c r="BJ243" i="1"/>
  <c r="BJ242" i="1"/>
  <c r="BJ241" i="1"/>
  <c r="BJ240" i="1"/>
  <c r="BJ239" i="1"/>
  <c r="BJ238" i="1"/>
  <c r="BJ237" i="1"/>
  <c r="BJ236" i="1"/>
  <c r="BJ235" i="1"/>
  <c r="BJ234" i="1"/>
  <c r="BJ233" i="1"/>
  <c r="BJ232" i="1"/>
  <c r="BJ231" i="1"/>
  <c r="BJ230" i="1"/>
  <c r="BJ229" i="1"/>
  <c r="BJ228" i="1"/>
  <c r="BJ227" i="1"/>
  <c r="BJ226" i="1"/>
  <c r="BJ225" i="1"/>
  <c r="BJ224" i="1"/>
  <c r="BJ223" i="1"/>
  <c r="BJ222" i="1"/>
  <c r="BJ221" i="1"/>
  <c r="BJ220" i="1"/>
  <c r="BJ219" i="1"/>
  <c r="BJ218" i="1"/>
  <c r="BJ217" i="1"/>
  <c r="BJ216" i="1"/>
  <c r="BJ215" i="1"/>
  <c r="BJ214" i="1"/>
  <c r="BJ213" i="1"/>
  <c r="BJ212" i="1"/>
  <c r="BJ211" i="1"/>
  <c r="BJ210" i="1"/>
  <c r="BJ209" i="1"/>
  <c r="BJ208" i="1"/>
  <c r="BJ207" i="1"/>
  <c r="BJ206" i="1"/>
  <c r="BJ205" i="1"/>
  <c r="BJ204" i="1"/>
  <c r="BJ203" i="1"/>
  <c r="BJ202" i="1"/>
  <c r="BJ201" i="1"/>
  <c r="BJ200" i="1"/>
  <c r="BJ199" i="1"/>
  <c r="BJ198" i="1"/>
  <c r="BJ197" i="1"/>
  <c r="BJ196" i="1"/>
  <c r="BJ195" i="1"/>
  <c r="BJ194" i="1"/>
  <c r="BJ193" i="1"/>
  <c r="BJ192" i="1"/>
  <c r="BJ191" i="1"/>
  <c r="BJ190" i="1"/>
  <c r="BJ189" i="1"/>
  <c r="BJ188" i="1"/>
  <c r="BJ187" i="1"/>
  <c r="BJ186" i="1"/>
  <c r="BJ185" i="1"/>
  <c r="BJ184" i="1"/>
  <c r="BJ183" i="1"/>
  <c r="BJ182" i="1"/>
  <c r="BJ181" i="1"/>
  <c r="BJ180" i="1"/>
  <c r="BJ179" i="1"/>
  <c r="BJ178" i="1"/>
  <c r="BJ177" i="1"/>
  <c r="BJ176" i="1"/>
  <c r="BJ175" i="1"/>
  <c r="BJ174" i="1"/>
  <c r="BJ173" i="1"/>
  <c r="BJ172" i="1"/>
  <c r="BJ171" i="1"/>
  <c r="BJ170" i="1"/>
  <c r="BJ169" i="1"/>
  <c r="BJ168" i="1"/>
  <c r="BJ167" i="1"/>
  <c r="BJ166" i="1"/>
  <c r="BJ165" i="1"/>
  <c r="BJ164" i="1"/>
  <c r="BJ163" i="1"/>
  <c r="BJ162" i="1"/>
  <c r="BJ161" i="1"/>
  <c r="BJ160" i="1"/>
  <c r="BJ159" i="1"/>
  <c r="BJ158" i="1"/>
  <c r="BJ157" i="1"/>
  <c r="BJ156" i="1"/>
  <c r="BJ155" i="1"/>
  <c r="BJ154" i="1"/>
  <c r="BJ153" i="1"/>
  <c r="BJ152" i="1"/>
  <c r="BJ151" i="1"/>
  <c r="BJ150" i="1"/>
  <c r="BJ149" i="1"/>
  <c r="BJ148" i="1"/>
  <c r="BJ147" i="1"/>
  <c r="BJ146" i="1"/>
  <c r="BJ145" i="1"/>
  <c r="BJ144" i="1"/>
  <c r="BJ143" i="1"/>
  <c r="BJ142" i="1"/>
  <c r="BJ141" i="1"/>
  <c r="BJ140" i="1"/>
  <c r="BJ139" i="1"/>
  <c r="BJ138" i="1"/>
  <c r="BJ137" i="1"/>
  <c r="BJ136" i="1"/>
  <c r="BJ135" i="1"/>
  <c r="BJ134" i="1"/>
  <c r="BJ133" i="1"/>
  <c r="BJ132" i="1"/>
  <c r="BJ131" i="1"/>
  <c r="BJ130" i="1"/>
  <c r="BJ129" i="1"/>
  <c r="BJ128" i="1"/>
  <c r="BJ127" i="1"/>
  <c r="BJ126" i="1"/>
  <c r="BJ125" i="1"/>
  <c r="BJ124" i="1"/>
  <c r="BJ123" i="1"/>
  <c r="BJ122" i="1"/>
  <c r="BJ121" i="1"/>
  <c r="BJ120" i="1"/>
  <c r="BJ119" i="1"/>
  <c r="BJ118" i="1"/>
  <c r="BJ117" i="1"/>
  <c r="BJ116" i="1"/>
  <c r="BJ115" i="1"/>
  <c r="BJ114" i="1"/>
  <c r="BJ113" i="1"/>
  <c r="BJ112" i="1"/>
  <c r="BJ111" i="1"/>
  <c r="BJ110" i="1"/>
  <c r="BJ109" i="1"/>
  <c r="BJ108" i="1"/>
  <c r="BJ107" i="1"/>
  <c r="BJ106" i="1"/>
  <c r="BJ105" i="1"/>
  <c r="BJ104" i="1"/>
  <c r="BJ103" i="1"/>
  <c r="BJ102" i="1"/>
  <c r="BJ101" i="1"/>
  <c r="BJ100" i="1"/>
  <c r="BJ99" i="1"/>
  <c r="BJ98" i="1"/>
  <c r="BJ97" i="1"/>
  <c r="BJ96" i="1"/>
  <c r="BJ95" i="1"/>
  <c r="BJ94" i="1"/>
  <c r="BJ93" i="1"/>
  <c r="BJ92" i="1"/>
  <c r="BJ91" i="1"/>
  <c r="BJ90" i="1"/>
  <c r="BJ89" i="1"/>
  <c r="BJ88" i="1"/>
  <c r="BJ87" i="1"/>
  <c r="BJ86" i="1"/>
  <c r="BJ85" i="1"/>
  <c r="BJ84" i="1"/>
  <c r="BJ83" i="1"/>
  <c r="BJ82" i="1"/>
  <c r="BJ81" i="1"/>
  <c r="BJ80" i="1"/>
  <c r="BJ79" i="1"/>
  <c r="BJ78" i="1"/>
  <c r="BJ77" i="1"/>
  <c r="BJ76" i="1"/>
  <c r="BJ75" i="1"/>
  <c r="BJ74" i="1"/>
  <c r="BJ73" i="1"/>
  <c r="BJ72" i="1"/>
  <c r="BJ71" i="1"/>
  <c r="BJ70" i="1"/>
  <c r="BJ69" i="1"/>
  <c r="BJ68" i="1"/>
  <c r="BJ67" i="1"/>
  <c r="BJ66" i="1"/>
  <c r="BJ65" i="1"/>
  <c r="BJ64" i="1"/>
  <c r="BJ63" i="1"/>
  <c r="BJ62" i="1"/>
  <c r="BJ61" i="1"/>
  <c r="BJ60" i="1"/>
  <c r="BJ59" i="1"/>
  <c r="BJ58" i="1"/>
  <c r="BJ57" i="1"/>
  <c r="BJ56" i="1"/>
  <c r="BJ55" i="1"/>
  <c r="BJ54" i="1"/>
  <c r="BJ53" i="1"/>
  <c r="BJ52" i="1"/>
  <c r="BJ51" i="1"/>
  <c r="BJ50" i="1"/>
  <c r="BJ49" i="1"/>
  <c r="BJ48" i="1"/>
  <c r="BJ47" i="1"/>
  <c r="BJ46" i="1"/>
  <c r="BJ45" i="1"/>
  <c r="BJ44" i="1"/>
  <c r="BJ43" i="1"/>
  <c r="BJ42" i="1"/>
  <c r="BJ41" i="1"/>
  <c r="BJ40" i="1"/>
  <c r="BJ39" i="1"/>
  <c r="BJ38" i="1"/>
  <c r="BJ37" i="1"/>
  <c r="BJ36" i="1"/>
  <c r="BJ35" i="1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J13" i="1"/>
  <c r="BJ12" i="1"/>
  <c r="BJ11" i="1"/>
  <c r="BJ10" i="1"/>
  <c r="BJ9" i="1"/>
  <c r="BJ8" i="1"/>
  <c r="BJ7" i="1"/>
  <c r="BJ6" i="1"/>
  <c r="BJ5" i="1"/>
  <c r="BJ4" i="1"/>
  <c r="BJ3" i="1"/>
  <c r="BJ2" i="1"/>
  <c r="E1255" i="1"/>
  <c r="E1254" i="1"/>
  <c r="E1253" i="1"/>
  <c r="E1252" i="1"/>
  <c r="E1251" i="1"/>
  <c r="T1251" i="1" s="1"/>
  <c r="E1250" i="1"/>
  <c r="E1249" i="1"/>
  <c r="E1248" i="1"/>
  <c r="E1247" i="1"/>
  <c r="T1247" i="1" s="1"/>
  <c r="E1246" i="1"/>
  <c r="E1245" i="1"/>
  <c r="E1244" i="1"/>
  <c r="E1243" i="1"/>
  <c r="T1243" i="1" s="1"/>
  <c r="E1242" i="1"/>
  <c r="E1241" i="1"/>
  <c r="E1240" i="1"/>
  <c r="E1239" i="1"/>
  <c r="T1239" i="1" s="1"/>
  <c r="E1238" i="1"/>
  <c r="E1237" i="1"/>
  <c r="E1236" i="1"/>
  <c r="E1235" i="1"/>
  <c r="T1235" i="1" s="1"/>
  <c r="E1234" i="1"/>
  <c r="E1233" i="1"/>
  <c r="E1232" i="1"/>
  <c r="E1231" i="1"/>
  <c r="T1231" i="1" s="1"/>
  <c r="E1230" i="1"/>
  <c r="E1229" i="1"/>
  <c r="E1228" i="1"/>
  <c r="E1227" i="1"/>
  <c r="T1227" i="1" s="1"/>
  <c r="E1226" i="1"/>
  <c r="E1225" i="1"/>
  <c r="E1224" i="1"/>
  <c r="E1223" i="1"/>
  <c r="T1223" i="1" s="1"/>
  <c r="E1222" i="1"/>
  <c r="E1221" i="1"/>
  <c r="E1220" i="1"/>
  <c r="E1219" i="1"/>
  <c r="T1219" i="1" s="1"/>
  <c r="E1218" i="1"/>
  <c r="E1217" i="1"/>
  <c r="E1216" i="1"/>
  <c r="E1215" i="1"/>
  <c r="T1215" i="1" s="1"/>
  <c r="E1214" i="1"/>
  <c r="E1213" i="1"/>
  <c r="E1212" i="1"/>
  <c r="E1211" i="1"/>
  <c r="T1211" i="1" s="1"/>
  <c r="E1210" i="1"/>
  <c r="E1209" i="1"/>
  <c r="E1208" i="1"/>
  <c r="E1207" i="1"/>
  <c r="T1207" i="1" s="1"/>
  <c r="E1206" i="1"/>
  <c r="E1205" i="1"/>
  <c r="E1204" i="1"/>
  <c r="E1203" i="1"/>
  <c r="T1203" i="1" s="1"/>
  <c r="E1202" i="1"/>
  <c r="E1201" i="1"/>
  <c r="E1200" i="1"/>
  <c r="E1199" i="1"/>
  <c r="T1199" i="1" s="1"/>
  <c r="E1198" i="1"/>
  <c r="E1197" i="1"/>
  <c r="E1196" i="1"/>
  <c r="E1195" i="1"/>
  <c r="T1195" i="1" s="1"/>
  <c r="E1194" i="1"/>
  <c r="E1193" i="1"/>
  <c r="E1192" i="1"/>
  <c r="E1191" i="1"/>
  <c r="T1191" i="1" s="1"/>
  <c r="E1190" i="1"/>
  <c r="E1189" i="1"/>
  <c r="E1188" i="1"/>
  <c r="E1187" i="1"/>
  <c r="T1187" i="1" s="1"/>
  <c r="E1186" i="1"/>
  <c r="E1185" i="1"/>
  <c r="E1184" i="1"/>
  <c r="E1183" i="1"/>
  <c r="T1183" i="1" s="1"/>
  <c r="E1182" i="1"/>
  <c r="E1181" i="1"/>
  <c r="E1180" i="1"/>
  <c r="E1179" i="1"/>
  <c r="T1179" i="1" s="1"/>
  <c r="E1178" i="1"/>
  <c r="E1177" i="1"/>
  <c r="E1176" i="1"/>
  <c r="E1175" i="1"/>
  <c r="T1175" i="1" s="1"/>
  <c r="E1174" i="1"/>
  <c r="E1173" i="1"/>
  <c r="E1172" i="1"/>
  <c r="E1171" i="1"/>
  <c r="T1171" i="1" s="1"/>
  <c r="E1170" i="1"/>
  <c r="E1169" i="1"/>
  <c r="E1168" i="1"/>
  <c r="E1167" i="1"/>
  <c r="T1167" i="1" s="1"/>
  <c r="E1166" i="1"/>
  <c r="E1165" i="1"/>
  <c r="E1164" i="1"/>
  <c r="E1163" i="1"/>
  <c r="T1163" i="1" s="1"/>
  <c r="E1162" i="1"/>
  <c r="E1161" i="1"/>
  <c r="E1160" i="1"/>
  <c r="E1159" i="1"/>
  <c r="T1159" i="1" s="1"/>
  <c r="E1158" i="1"/>
  <c r="E1157" i="1"/>
  <c r="E1156" i="1"/>
  <c r="E1155" i="1"/>
  <c r="T1155" i="1" s="1"/>
  <c r="E1154" i="1"/>
  <c r="E1153" i="1"/>
  <c r="E1152" i="1"/>
  <c r="E1151" i="1"/>
  <c r="T1151" i="1" s="1"/>
  <c r="E1150" i="1"/>
  <c r="E1149" i="1"/>
  <c r="E1148" i="1"/>
  <c r="E1147" i="1"/>
  <c r="T1147" i="1" s="1"/>
  <c r="E1146" i="1"/>
  <c r="E1145" i="1"/>
  <c r="E1144" i="1"/>
  <c r="E1143" i="1"/>
  <c r="T1143" i="1" s="1"/>
  <c r="E1142" i="1"/>
  <c r="E1141" i="1"/>
  <c r="E1140" i="1"/>
  <c r="E1139" i="1"/>
  <c r="T1139" i="1" s="1"/>
  <c r="E1138" i="1"/>
  <c r="E1137" i="1"/>
  <c r="E1136" i="1"/>
  <c r="E1135" i="1"/>
  <c r="T1135" i="1" s="1"/>
  <c r="E1134" i="1"/>
  <c r="E1133" i="1"/>
  <c r="E1132" i="1"/>
  <c r="E1131" i="1"/>
  <c r="T1131" i="1" s="1"/>
  <c r="E1130" i="1"/>
  <c r="E1129" i="1"/>
  <c r="E1128" i="1"/>
  <c r="E1127" i="1"/>
  <c r="T1127" i="1" s="1"/>
  <c r="E1126" i="1"/>
  <c r="E1125" i="1"/>
  <c r="E1124" i="1"/>
  <c r="E1123" i="1"/>
  <c r="T1123" i="1" s="1"/>
  <c r="E1122" i="1"/>
  <c r="E1121" i="1"/>
  <c r="E1120" i="1"/>
  <c r="E1119" i="1"/>
  <c r="T1119" i="1" s="1"/>
  <c r="E1118" i="1"/>
  <c r="E1117" i="1"/>
  <c r="E1116" i="1"/>
  <c r="E1115" i="1"/>
  <c r="T1115" i="1" s="1"/>
  <c r="E1114" i="1"/>
  <c r="E1113" i="1"/>
  <c r="E1112" i="1"/>
  <c r="E1111" i="1"/>
  <c r="T1111" i="1" s="1"/>
  <c r="E1110" i="1"/>
  <c r="E1109" i="1"/>
  <c r="E1108" i="1"/>
  <c r="E1107" i="1"/>
  <c r="T1107" i="1" s="1"/>
  <c r="E1106" i="1"/>
  <c r="E1105" i="1"/>
  <c r="E1104" i="1"/>
  <c r="E1103" i="1"/>
  <c r="T1103" i="1" s="1"/>
  <c r="E1102" i="1"/>
  <c r="E1101" i="1"/>
  <c r="E1100" i="1"/>
  <c r="E1099" i="1"/>
  <c r="T1099" i="1" s="1"/>
  <c r="E1098" i="1"/>
  <c r="E1097" i="1"/>
  <c r="E1096" i="1"/>
  <c r="E1095" i="1"/>
  <c r="T1095" i="1" s="1"/>
  <c r="E1094" i="1"/>
  <c r="E1093" i="1"/>
  <c r="E1092" i="1"/>
  <c r="E1091" i="1"/>
  <c r="T1091" i="1" s="1"/>
  <c r="E1090" i="1"/>
  <c r="E1089" i="1"/>
  <c r="E1088" i="1"/>
  <c r="E1087" i="1"/>
  <c r="T1087" i="1" s="1"/>
  <c r="E1086" i="1"/>
  <c r="E1085" i="1"/>
  <c r="E1084" i="1"/>
  <c r="E1083" i="1"/>
  <c r="T1083" i="1" s="1"/>
  <c r="E1082" i="1"/>
  <c r="E1081" i="1"/>
  <c r="E1080" i="1"/>
  <c r="E1079" i="1"/>
  <c r="T1079" i="1" s="1"/>
  <c r="E1078" i="1"/>
  <c r="E1077" i="1"/>
  <c r="E1076" i="1"/>
  <c r="E1075" i="1"/>
  <c r="T1075" i="1" s="1"/>
  <c r="E1074" i="1"/>
  <c r="E1073" i="1"/>
  <c r="E1072" i="1"/>
  <c r="E1071" i="1"/>
  <c r="T1071" i="1" s="1"/>
  <c r="E1070" i="1"/>
  <c r="E1069" i="1"/>
  <c r="E1068" i="1"/>
  <c r="E1067" i="1"/>
  <c r="T1067" i="1" s="1"/>
  <c r="E1066" i="1"/>
  <c r="E1065" i="1"/>
  <c r="E1064" i="1"/>
  <c r="E1063" i="1"/>
  <c r="T1063" i="1" s="1"/>
  <c r="E1062" i="1"/>
  <c r="E1061" i="1"/>
  <c r="E1060" i="1"/>
  <c r="E1059" i="1"/>
  <c r="T1059" i="1" s="1"/>
  <c r="E1058" i="1"/>
  <c r="E1057" i="1"/>
  <c r="E1056" i="1"/>
  <c r="E1055" i="1"/>
  <c r="T1055" i="1" s="1"/>
  <c r="E1054" i="1"/>
  <c r="E1053" i="1"/>
  <c r="E1052" i="1"/>
  <c r="E1051" i="1"/>
  <c r="T1051" i="1" s="1"/>
  <c r="E1050" i="1"/>
  <c r="E1049" i="1"/>
  <c r="E1048" i="1"/>
  <c r="E1047" i="1"/>
  <c r="T1047" i="1" s="1"/>
  <c r="E1046" i="1"/>
  <c r="E1045" i="1"/>
  <c r="E1044" i="1"/>
  <c r="E1043" i="1"/>
  <c r="T1043" i="1" s="1"/>
  <c r="E1042" i="1"/>
  <c r="E1041" i="1"/>
  <c r="E1040" i="1"/>
  <c r="E1039" i="1"/>
  <c r="T1039" i="1" s="1"/>
  <c r="E1038" i="1"/>
  <c r="E1037" i="1"/>
  <c r="E1036" i="1"/>
  <c r="E1035" i="1"/>
  <c r="T1035" i="1" s="1"/>
  <c r="E1034" i="1"/>
  <c r="E1033" i="1"/>
  <c r="E1032" i="1"/>
  <c r="E1031" i="1"/>
  <c r="T1031" i="1" s="1"/>
  <c r="E1030" i="1"/>
  <c r="E1029" i="1"/>
  <c r="E1028" i="1"/>
  <c r="E1027" i="1"/>
  <c r="T1027" i="1" s="1"/>
  <c r="E1026" i="1"/>
  <c r="E1025" i="1"/>
  <c r="E1024" i="1"/>
  <c r="E1023" i="1"/>
  <c r="T1023" i="1" s="1"/>
  <c r="E1022" i="1"/>
  <c r="E1021" i="1"/>
  <c r="E1020" i="1"/>
  <c r="E1019" i="1"/>
  <c r="T1019" i="1" s="1"/>
  <c r="E1018" i="1"/>
  <c r="E1017" i="1"/>
  <c r="E1016" i="1"/>
  <c r="E1015" i="1"/>
  <c r="T1015" i="1" s="1"/>
  <c r="E1014" i="1"/>
  <c r="E1013" i="1"/>
  <c r="E1012" i="1"/>
  <c r="E1011" i="1"/>
  <c r="T1011" i="1" s="1"/>
  <c r="E1010" i="1"/>
  <c r="E1009" i="1"/>
  <c r="E1008" i="1"/>
  <c r="E1007" i="1"/>
  <c r="T1007" i="1" s="1"/>
  <c r="E1006" i="1"/>
  <c r="E1005" i="1"/>
  <c r="E1004" i="1"/>
  <c r="E1003" i="1"/>
  <c r="T1003" i="1" s="1"/>
  <c r="E1002" i="1"/>
  <c r="E1001" i="1"/>
  <c r="E1000" i="1"/>
  <c r="E999" i="1"/>
  <c r="T999" i="1" s="1"/>
  <c r="E998" i="1"/>
  <c r="E997" i="1"/>
  <c r="E996" i="1"/>
  <c r="E995" i="1"/>
  <c r="T995" i="1" s="1"/>
  <c r="E994" i="1"/>
  <c r="T994" i="1" s="1"/>
  <c r="E993" i="1"/>
  <c r="E992" i="1"/>
  <c r="E991" i="1"/>
  <c r="T991" i="1" s="1"/>
  <c r="E990" i="1"/>
  <c r="E989" i="1"/>
  <c r="E988" i="1"/>
  <c r="E987" i="1"/>
  <c r="T987" i="1" s="1"/>
  <c r="E986" i="1"/>
  <c r="T986" i="1" s="1"/>
  <c r="E985" i="1"/>
  <c r="E984" i="1"/>
  <c r="E983" i="1"/>
  <c r="T983" i="1" s="1"/>
  <c r="E982" i="1"/>
  <c r="E981" i="1"/>
  <c r="E980" i="1"/>
  <c r="E979" i="1"/>
  <c r="T979" i="1" s="1"/>
  <c r="E978" i="1"/>
  <c r="E977" i="1"/>
  <c r="E976" i="1"/>
  <c r="E975" i="1"/>
  <c r="T975" i="1" s="1"/>
  <c r="E974" i="1"/>
  <c r="E973" i="1"/>
  <c r="E972" i="1"/>
  <c r="E971" i="1"/>
  <c r="T971" i="1" s="1"/>
  <c r="E970" i="1"/>
  <c r="E969" i="1"/>
  <c r="E968" i="1"/>
  <c r="E967" i="1"/>
  <c r="T967" i="1" s="1"/>
  <c r="E966" i="1"/>
  <c r="T966" i="1" s="1"/>
  <c r="E965" i="1"/>
  <c r="E964" i="1"/>
  <c r="E963" i="1"/>
  <c r="T963" i="1" s="1"/>
  <c r="E962" i="1"/>
  <c r="E961" i="1"/>
  <c r="E960" i="1"/>
  <c r="E959" i="1"/>
  <c r="T959" i="1" s="1"/>
  <c r="E958" i="1"/>
  <c r="T958" i="1" s="1"/>
  <c r="E957" i="1"/>
  <c r="E956" i="1"/>
  <c r="E955" i="1"/>
  <c r="T955" i="1" s="1"/>
  <c r="E954" i="1"/>
  <c r="E953" i="1"/>
  <c r="E952" i="1"/>
  <c r="E951" i="1"/>
  <c r="T951" i="1" s="1"/>
  <c r="E950" i="1"/>
  <c r="E949" i="1"/>
  <c r="E948" i="1"/>
  <c r="E947" i="1"/>
  <c r="T947" i="1" s="1"/>
  <c r="E946" i="1"/>
  <c r="E945" i="1"/>
  <c r="E944" i="1"/>
  <c r="E943" i="1"/>
  <c r="E942" i="1"/>
  <c r="E941" i="1"/>
  <c r="E940" i="1"/>
  <c r="E939" i="1"/>
  <c r="T939" i="1" s="1"/>
  <c r="E938" i="1"/>
  <c r="E937" i="1"/>
  <c r="E936" i="1"/>
  <c r="E935" i="1"/>
  <c r="T935" i="1" s="1"/>
  <c r="E934" i="1"/>
  <c r="E933" i="1"/>
  <c r="E932" i="1"/>
  <c r="E931" i="1"/>
  <c r="T931" i="1" s="1"/>
  <c r="E930" i="1"/>
  <c r="E929" i="1"/>
  <c r="E928" i="1"/>
  <c r="E927" i="1"/>
  <c r="T927" i="1" s="1"/>
  <c r="E926" i="1"/>
  <c r="E925" i="1"/>
  <c r="E924" i="1"/>
  <c r="E923" i="1"/>
  <c r="T923" i="1" s="1"/>
  <c r="E922" i="1"/>
  <c r="E921" i="1"/>
  <c r="E920" i="1"/>
  <c r="E919" i="1"/>
  <c r="T919" i="1" s="1"/>
  <c r="E918" i="1"/>
  <c r="E917" i="1"/>
  <c r="E916" i="1"/>
  <c r="E915" i="1"/>
  <c r="T915" i="1" s="1"/>
  <c r="E914" i="1"/>
  <c r="E913" i="1"/>
  <c r="E912" i="1"/>
  <c r="E911" i="1"/>
  <c r="E910" i="1"/>
  <c r="T910" i="1" s="1"/>
  <c r="E909" i="1"/>
  <c r="E908" i="1"/>
  <c r="E907" i="1"/>
  <c r="T907" i="1" s="1"/>
  <c r="E906" i="1"/>
  <c r="E905" i="1"/>
  <c r="E904" i="1"/>
  <c r="E903" i="1"/>
  <c r="T903" i="1" s="1"/>
  <c r="E902" i="1"/>
  <c r="E901" i="1"/>
  <c r="E900" i="1"/>
  <c r="E899" i="1"/>
  <c r="T899" i="1" s="1"/>
  <c r="E898" i="1"/>
  <c r="E897" i="1"/>
  <c r="E896" i="1"/>
  <c r="E895" i="1"/>
  <c r="T895" i="1" s="1"/>
  <c r="E894" i="1"/>
  <c r="T894" i="1" s="1"/>
  <c r="E893" i="1"/>
  <c r="E892" i="1"/>
  <c r="E891" i="1"/>
  <c r="T891" i="1" s="1"/>
  <c r="E890" i="1"/>
  <c r="E889" i="1"/>
  <c r="E888" i="1"/>
  <c r="E887" i="1"/>
  <c r="T887" i="1" s="1"/>
  <c r="E886" i="1"/>
  <c r="E885" i="1"/>
  <c r="E884" i="1"/>
  <c r="E883" i="1"/>
  <c r="T883" i="1" s="1"/>
  <c r="E882" i="1"/>
  <c r="E881" i="1"/>
  <c r="E880" i="1"/>
  <c r="E879" i="1"/>
  <c r="T879" i="1" s="1"/>
  <c r="E878" i="1"/>
  <c r="E877" i="1"/>
  <c r="E876" i="1"/>
  <c r="E875" i="1"/>
  <c r="T875" i="1" s="1"/>
  <c r="E874" i="1"/>
  <c r="E873" i="1"/>
  <c r="E872" i="1"/>
  <c r="E871" i="1"/>
  <c r="T871" i="1" s="1"/>
  <c r="E870" i="1"/>
  <c r="E869" i="1"/>
  <c r="E868" i="1"/>
  <c r="E867" i="1"/>
  <c r="E866" i="1"/>
  <c r="E865" i="1"/>
  <c r="E864" i="1"/>
  <c r="E863" i="1"/>
  <c r="T863" i="1" s="1"/>
  <c r="E862" i="1"/>
  <c r="E861" i="1"/>
  <c r="E860" i="1"/>
  <c r="E859" i="1"/>
  <c r="T859" i="1" s="1"/>
  <c r="E858" i="1"/>
  <c r="E857" i="1"/>
  <c r="E856" i="1"/>
  <c r="E855" i="1"/>
  <c r="T855" i="1" s="1"/>
  <c r="E854" i="1"/>
  <c r="E853" i="1"/>
  <c r="E852" i="1"/>
  <c r="T852" i="1" s="1"/>
  <c r="E851" i="1"/>
  <c r="T851" i="1" s="1"/>
  <c r="E850" i="1"/>
  <c r="E849" i="1"/>
  <c r="E848" i="1"/>
  <c r="E847" i="1"/>
  <c r="T847" i="1" s="1"/>
  <c r="E846" i="1"/>
  <c r="E845" i="1"/>
  <c r="E844" i="1"/>
  <c r="E843" i="1"/>
  <c r="T843" i="1" s="1"/>
  <c r="E842" i="1"/>
  <c r="E841" i="1"/>
  <c r="E840" i="1"/>
  <c r="E839" i="1"/>
  <c r="T839" i="1" s="1"/>
  <c r="E838" i="1"/>
  <c r="T838" i="1" s="1"/>
  <c r="E837" i="1"/>
  <c r="E836" i="1"/>
  <c r="E835" i="1"/>
  <c r="T835" i="1" s="1"/>
  <c r="E834" i="1"/>
  <c r="E833" i="1"/>
  <c r="E832" i="1"/>
  <c r="E831" i="1"/>
  <c r="T831" i="1" s="1"/>
  <c r="E830" i="1"/>
  <c r="E829" i="1"/>
  <c r="E828" i="1"/>
  <c r="E827" i="1"/>
  <c r="E826" i="1"/>
  <c r="E825" i="1"/>
  <c r="E824" i="1"/>
  <c r="E823" i="1"/>
  <c r="T823" i="1" s="1"/>
  <c r="E822" i="1"/>
  <c r="E821" i="1"/>
  <c r="E820" i="1"/>
  <c r="E819" i="1"/>
  <c r="T819" i="1" s="1"/>
  <c r="E818" i="1"/>
  <c r="E817" i="1"/>
  <c r="E816" i="1"/>
  <c r="E815" i="1"/>
  <c r="T815" i="1" s="1"/>
  <c r="E814" i="1"/>
  <c r="T814" i="1" s="1"/>
  <c r="E813" i="1"/>
  <c r="E812" i="1"/>
  <c r="E811" i="1"/>
  <c r="T811" i="1" s="1"/>
  <c r="E810" i="1"/>
  <c r="E809" i="1"/>
  <c r="E808" i="1"/>
  <c r="E807" i="1"/>
  <c r="T807" i="1" s="1"/>
  <c r="E806" i="1"/>
  <c r="E805" i="1"/>
  <c r="E804" i="1"/>
  <c r="E803" i="1"/>
  <c r="T803" i="1" s="1"/>
  <c r="E802" i="1"/>
  <c r="E801" i="1"/>
  <c r="E800" i="1"/>
  <c r="E799" i="1"/>
  <c r="T799" i="1" s="1"/>
  <c r="E798" i="1"/>
  <c r="T798" i="1" s="1"/>
  <c r="E797" i="1"/>
  <c r="E796" i="1"/>
  <c r="E795" i="1"/>
  <c r="E794" i="1"/>
  <c r="E793" i="1"/>
  <c r="E792" i="1"/>
  <c r="T792" i="1" s="1"/>
  <c r="E791" i="1"/>
  <c r="T791" i="1" s="1"/>
  <c r="E790" i="1"/>
  <c r="E789" i="1"/>
  <c r="E788" i="1"/>
  <c r="E787" i="1"/>
  <c r="T787" i="1" s="1"/>
  <c r="E786" i="1"/>
  <c r="E785" i="1"/>
  <c r="E784" i="1"/>
  <c r="E783" i="1"/>
  <c r="T783" i="1" s="1"/>
  <c r="E782" i="1"/>
  <c r="T782" i="1" s="1"/>
  <c r="E781" i="1"/>
  <c r="E780" i="1"/>
  <c r="E779" i="1"/>
  <c r="T779" i="1" s="1"/>
  <c r="E778" i="1"/>
  <c r="E777" i="1"/>
  <c r="E776" i="1"/>
  <c r="E775" i="1"/>
  <c r="T775" i="1" s="1"/>
  <c r="E774" i="1"/>
  <c r="E773" i="1"/>
  <c r="E772" i="1"/>
  <c r="E771" i="1"/>
  <c r="T771" i="1" s="1"/>
  <c r="E770" i="1"/>
  <c r="E769" i="1"/>
  <c r="E768" i="1"/>
  <c r="E767" i="1"/>
  <c r="E766" i="1"/>
  <c r="E765" i="1"/>
  <c r="E764" i="1"/>
  <c r="E763" i="1"/>
  <c r="T763" i="1" s="1"/>
  <c r="E762" i="1"/>
  <c r="E761" i="1"/>
  <c r="E760" i="1"/>
  <c r="E759" i="1"/>
  <c r="T759" i="1" s="1"/>
  <c r="E758" i="1"/>
  <c r="T758" i="1" s="1"/>
  <c r="E757" i="1"/>
  <c r="E756" i="1"/>
  <c r="E755" i="1"/>
  <c r="T755" i="1" s="1"/>
  <c r="E754" i="1"/>
  <c r="E753" i="1"/>
  <c r="E752" i="1"/>
  <c r="E751" i="1"/>
  <c r="T751" i="1" s="1"/>
  <c r="E750" i="1"/>
  <c r="E749" i="1"/>
  <c r="E748" i="1"/>
  <c r="E747" i="1"/>
  <c r="T747" i="1" s="1"/>
  <c r="E746" i="1"/>
  <c r="E745" i="1"/>
  <c r="E744" i="1"/>
  <c r="E743" i="1"/>
  <c r="T743" i="1" s="1"/>
  <c r="E742" i="1"/>
  <c r="E741" i="1"/>
  <c r="E740" i="1"/>
  <c r="E739" i="1"/>
  <c r="T739" i="1" s="1"/>
  <c r="E738" i="1"/>
  <c r="E737" i="1"/>
  <c r="E736" i="1"/>
  <c r="E735" i="1"/>
  <c r="T735" i="1" s="1"/>
  <c r="E734" i="1"/>
  <c r="E733" i="1"/>
  <c r="E732" i="1"/>
  <c r="E731" i="1"/>
  <c r="T731" i="1" s="1"/>
  <c r="E730" i="1"/>
  <c r="E729" i="1"/>
  <c r="E728" i="1"/>
  <c r="T728" i="1" s="1"/>
  <c r="E727" i="1"/>
  <c r="T727" i="1" s="1"/>
  <c r="E726" i="1"/>
  <c r="E725" i="1"/>
  <c r="E724" i="1"/>
  <c r="E723" i="1"/>
  <c r="E722" i="1"/>
  <c r="T722" i="1" s="1"/>
  <c r="E721" i="1"/>
  <c r="E720" i="1"/>
  <c r="E719" i="1"/>
  <c r="T719" i="1" s="1"/>
  <c r="E718" i="1"/>
  <c r="E717" i="1"/>
  <c r="E716" i="1"/>
  <c r="E715" i="1"/>
  <c r="T715" i="1" s="1"/>
  <c r="E714" i="1"/>
  <c r="E713" i="1"/>
  <c r="E712" i="1"/>
  <c r="E711" i="1"/>
  <c r="T711" i="1" s="1"/>
  <c r="E710" i="1"/>
  <c r="E709" i="1"/>
  <c r="E708" i="1"/>
  <c r="E707" i="1"/>
  <c r="T707" i="1" s="1"/>
  <c r="E706" i="1"/>
  <c r="E705" i="1"/>
  <c r="E704" i="1"/>
  <c r="E703" i="1"/>
  <c r="T703" i="1" s="1"/>
  <c r="E702" i="1"/>
  <c r="E701" i="1"/>
  <c r="E700" i="1"/>
  <c r="E699" i="1"/>
  <c r="T699" i="1" s="1"/>
  <c r="E698" i="1"/>
  <c r="T698" i="1" s="1"/>
  <c r="E697" i="1"/>
  <c r="E696" i="1"/>
  <c r="E695" i="1"/>
  <c r="E694" i="1"/>
  <c r="E693" i="1"/>
  <c r="E692" i="1"/>
  <c r="E691" i="1"/>
  <c r="T691" i="1" s="1"/>
  <c r="E690" i="1"/>
  <c r="E689" i="1"/>
  <c r="E688" i="1"/>
  <c r="E687" i="1"/>
  <c r="T687" i="1" s="1"/>
  <c r="E686" i="1"/>
  <c r="E685" i="1"/>
  <c r="E684" i="1"/>
  <c r="E683" i="1"/>
  <c r="T683" i="1" s="1"/>
  <c r="E682" i="1"/>
  <c r="E681" i="1"/>
  <c r="E680" i="1"/>
  <c r="E679" i="1"/>
  <c r="T679" i="1" s="1"/>
  <c r="E678" i="1"/>
  <c r="E677" i="1"/>
  <c r="E676" i="1"/>
  <c r="T676" i="1" s="1"/>
  <c r="E675" i="1"/>
  <c r="T675" i="1" s="1"/>
  <c r="E674" i="1"/>
  <c r="E673" i="1"/>
  <c r="E672" i="1"/>
  <c r="E671" i="1"/>
  <c r="T671" i="1" s="1"/>
  <c r="E670" i="1"/>
  <c r="E669" i="1"/>
  <c r="E668" i="1"/>
  <c r="E667" i="1"/>
  <c r="E666" i="1"/>
  <c r="E665" i="1"/>
  <c r="E664" i="1"/>
  <c r="E663" i="1"/>
  <c r="T663" i="1" s="1"/>
  <c r="E662" i="1"/>
  <c r="E661" i="1"/>
  <c r="E660" i="1"/>
  <c r="E659" i="1"/>
  <c r="T659" i="1" s="1"/>
  <c r="E658" i="1"/>
  <c r="E657" i="1"/>
  <c r="E656" i="1"/>
  <c r="E655" i="1"/>
  <c r="T655" i="1" s="1"/>
  <c r="E654" i="1"/>
  <c r="E653" i="1"/>
  <c r="E652" i="1"/>
  <c r="E651" i="1"/>
  <c r="T651" i="1" s="1"/>
  <c r="E650" i="1"/>
  <c r="E649" i="1"/>
  <c r="E648" i="1"/>
  <c r="E647" i="1"/>
  <c r="T647" i="1" s="1"/>
  <c r="E646" i="1"/>
  <c r="E645" i="1"/>
  <c r="E644" i="1"/>
  <c r="E643" i="1"/>
  <c r="E642" i="1"/>
  <c r="E641" i="1"/>
  <c r="E640" i="1"/>
  <c r="T640" i="1" s="1"/>
  <c r="E639" i="1"/>
  <c r="E638" i="1"/>
  <c r="E637" i="1"/>
  <c r="E636" i="1"/>
  <c r="E635" i="1"/>
  <c r="T635" i="1" s="1"/>
  <c r="E634" i="1"/>
  <c r="E633" i="1"/>
  <c r="E632" i="1"/>
  <c r="E631" i="1"/>
  <c r="T631" i="1" s="1"/>
  <c r="E630" i="1"/>
  <c r="T630" i="1" s="1"/>
  <c r="E629" i="1"/>
  <c r="E628" i="1"/>
  <c r="E627" i="1"/>
  <c r="T627" i="1" s="1"/>
  <c r="E626" i="1"/>
  <c r="E625" i="1"/>
  <c r="E624" i="1"/>
  <c r="E623" i="1"/>
  <c r="T623" i="1" s="1"/>
  <c r="E622" i="1"/>
  <c r="E621" i="1"/>
  <c r="E620" i="1"/>
  <c r="E619" i="1"/>
  <c r="T619" i="1" s="1"/>
  <c r="E618" i="1"/>
  <c r="E617" i="1"/>
  <c r="E616" i="1"/>
  <c r="E615" i="1"/>
  <c r="T615" i="1" s="1"/>
  <c r="E614" i="1"/>
  <c r="E613" i="1"/>
  <c r="E612" i="1"/>
  <c r="E611" i="1"/>
  <c r="T611" i="1" s="1"/>
  <c r="E610" i="1"/>
  <c r="E609" i="1"/>
  <c r="E608" i="1"/>
  <c r="E607" i="1"/>
  <c r="T607" i="1" s="1"/>
  <c r="E606" i="1"/>
  <c r="E605" i="1"/>
  <c r="E604" i="1"/>
  <c r="T604" i="1" s="1"/>
  <c r="E603" i="1"/>
  <c r="T603" i="1" s="1"/>
  <c r="E602" i="1"/>
  <c r="E601" i="1"/>
  <c r="E600" i="1"/>
  <c r="E599" i="1"/>
  <c r="T599" i="1" s="1"/>
  <c r="E598" i="1"/>
  <c r="E597" i="1"/>
  <c r="E596" i="1"/>
  <c r="E595" i="1"/>
  <c r="T595" i="1" s="1"/>
  <c r="E594" i="1"/>
  <c r="T594" i="1" s="1"/>
  <c r="E593" i="1"/>
  <c r="E592" i="1"/>
  <c r="T592" i="1" s="1"/>
  <c r="E591" i="1"/>
  <c r="E590" i="1"/>
  <c r="E589" i="1"/>
  <c r="E588" i="1"/>
  <c r="E587" i="1"/>
  <c r="T587" i="1" s="1"/>
  <c r="E586" i="1"/>
  <c r="E585" i="1"/>
  <c r="E584" i="1"/>
  <c r="E583" i="1"/>
  <c r="T583" i="1" s="1"/>
  <c r="E582" i="1"/>
  <c r="E581" i="1"/>
  <c r="E580" i="1"/>
  <c r="E579" i="1"/>
  <c r="T579" i="1" s="1"/>
  <c r="E578" i="1"/>
  <c r="E577" i="1"/>
  <c r="E576" i="1"/>
  <c r="E575" i="1"/>
  <c r="T575" i="1" s="1"/>
  <c r="E574" i="1"/>
  <c r="E573" i="1"/>
  <c r="E572" i="1"/>
  <c r="E571" i="1"/>
  <c r="T571" i="1" s="1"/>
  <c r="E570" i="1"/>
  <c r="E569" i="1"/>
  <c r="E568" i="1"/>
  <c r="E567" i="1"/>
  <c r="E566" i="1"/>
  <c r="T566" i="1" s="1"/>
  <c r="E565" i="1"/>
  <c r="E564" i="1"/>
  <c r="E563" i="1"/>
  <c r="T563" i="1" s="1"/>
  <c r="E562" i="1"/>
  <c r="E561" i="1"/>
  <c r="E560" i="1"/>
  <c r="E559" i="1"/>
  <c r="T559" i="1" s="1"/>
  <c r="E558" i="1"/>
  <c r="E557" i="1"/>
  <c r="E556" i="1"/>
  <c r="E555" i="1"/>
  <c r="T555" i="1" s="1"/>
  <c r="E554" i="1"/>
  <c r="E553" i="1"/>
  <c r="E552" i="1"/>
  <c r="T552" i="1" s="1"/>
  <c r="E551" i="1"/>
  <c r="T551" i="1" s="1"/>
  <c r="E550" i="1"/>
  <c r="E549" i="1"/>
  <c r="E548" i="1"/>
  <c r="E547" i="1"/>
  <c r="T547" i="1" s="1"/>
  <c r="E546" i="1"/>
  <c r="E545" i="1"/>
  <c r="E544" i="1"/>
  <c r="E543" i="1"/>
  <c r="T543" i="1" s="1"/>
  <c r="E542" i="1"/>
  <c r="T542" i="1" s="1"/>
  <c r="E541" i="1"/>
  <c r="E540" i="1"/>
  <c r="E539" i="1"/>
  <c r="E538" i="1"/>
  <c r="E537" i="1"/>
  <c r="E536" i="1"/>
  <c r="E535" i="1"/>
  <c r="T535" i="1" s="1"/>
  <c r="E534" i="1"/>
  <c r="T534" i="1" s="1"/>
  <c r="E533" i="1"/>
  <c r="E532" i="1"/>
  <c r="E531" i="1"/>
  <c r="T531" i="1" s="1"/>
  <c r="E530" i="1"/>
  <c r="E529" i="1"/>
  <c r="E528" i="1"/>
  <c r="E527" i="1"/>
  <c r="T527" i="1" s="1"/>
  <c r="E526" i="1"/>
  <c r="T526" i="1" s="1"/>
  <c r="E525" i="1"/>
  <c r="E524" i="1"/>
  <c r="E523" i="1"/>
  <c r="T523" i="1" s="1"/>
  <c r="E522" i="1"/>
  <c r="E521" i="1"/>
  <c r="E520" i="1"/>
  <c r="T520" i="1" s="1"/>
  <c r="E519" i="1"/>
  <c r="T519" i="1" s="1"/>
  <c r="E518" i="1"/>
  <c r="T518" i="1" s="1"/>
  <c r="E517" i="1"/>
  <c r="E516" i="1"/>
  <c r="E515" i="1"/>
  <c r="T515" i="1" s="1"/>
  <c r="E514" i="1"/>
  <c r="E513" i="1"/>
  <c r="E512" i="1"/>
  <c r="E511" i="1"/>
  <c r="T511" i="1" s="1"/>
  <c r="E510" i="1"/>
  <c r="E509" i="1"/>
  <c r="E508" i="1"/>
  <c r="E507" i="1"/>
  <c r="T507" i="1" s="1"/>
  <c r="E506" i="1"/>
  <c r="E505" i="1"/>
  <c r="E504" i="1"/>
  <c r="T504" i="1" s="1"/>
  <c r="E503" i="1"/>
  <c r="T503" i="1" s="1"/>
  <c r="E502" i="1"/>
  <c r="E501" i="1"/>
  <c r="E500" i="1"/>
  <c r="E499" i="1"/>
  <c r="T499" i="1" s="1"/>
  <c r="E498" i="1"/>
  <c r="T498" i="1" s="1"/>
  <c r="E497" i="1"/>
  <c r="E496" i="1"/>
  <c r="E495" i="1"/>
  <c r="T495" i="1" s="1"/>
  <c r="E494" i="1"/>
  <c r="E493" i="1"/>
  <c r="E492" i="1"/>
  <c r="E491" i="1"/>
  <c r="T491" i="1" s="1"/>
  <c r="E490" i="1"/>
  <c r="E489" i="1"/>
  <c r="E488" i="1"/>
  <c r="T488" i="1" s="1"/>
  <c r="E487" i="1"/>
  <c r="T487" i="1" s="1"/>
  <c r="E486" i="1"/>
  <c r="E485" i="1"/>
  <c r="E484" i="1"/>
  <c r="E483" i="1"/>
  <c r="E482" i="1"/>
  <c r="T482" i="1" s="1"/>
  <c r="E481" i="1"/>
  <c r="E480" i="1"/>
  <c r="E479" i="1"/>
  <c r="T479" i="1" s="1"/>
  <c r="E478" i="1"/>
  <c r="E477" i="1"/>
  <c r="E476" i="1"/>
  <c r="E475" i="1"/>
  <c r="T475" i="1" s="1"/>
  <c r="E474" i="1"/>
  <c r="E473" i="1"/>
  <c r="E472" i="1"/>
  <c r="E471" i="1"/>
  <c r="T471" i="1" s="1"/>
  <c r="E470" i="1"/>
  <c r="E469" i="1"/>
  <c r="E468" i="1"/>
  <c r="E467" i="1"/>
  <c r="T467" i="1" s="1"/>
  <c r="E466" i="1"/>
  <c r="T466" i="1" s="1"/>
  <c r="E465" i="1"/>
  <c r="E464" i="1"/>
  <c r="E463" i="1"/>
  <c r="T463" i="1" s="1"/>
  <c r="E462" i="1"/>
  <c r="E461" i="1"/>
  <c r="E460" i="1"/>
  <c r="E459" i="1"/>
  <c r="T459" i="1" s="1"/>
  <c r="E458" i="1"/>
  <c r="E457" i="1"/>
  <c r="E456" i="1"/>
  <c r="E455" i="1"/>
  <c r="T455" i="1" s="1"/>
  <c r="E454" i="1"/>
  <c r="E453" i="1"/>
  <c r="E452" i="1"/>
  <c r="E451" i="1"/>
  <c r="T451" i="1" s="1"/>
  <c r="E450" i="1"/>
  <c r="E449" i="1"/>
  <c r="E448" i="1"/>
  <c r="E447" i="1"/>
  <c r="T447" i="1" s="1"/>
  <c r="E446" i="1"/>
  <c r="E445" i="1"/>
  <c r="E444" i="1"/>
  <c r="E443" i="1"/>
  <c r="T443" i="1" s="1"/>
  <c r="E442" i="1"/>
  <c r="E441" i="1"/>
  <c r="E440" i="1"/>
  <c r="E439" i="1"/>
  <c r="T439" i="1" s="1"/>
  <c r="E438" i="1"/>
  <c r="E437" i="1"/>
  <c r="E436" i="1"/>
  <c r="E435" i="1"/>
  <c r="T435" i="1" s="1"/>
  <c r="E434" i="1"/>
  <c r="E433" i="1"/>
  <c r="E432" i="1"/>
  <c r="E431" i="1"/>
  <c r="T431" i="1" s="1"/>
  <c r="E430" i="1"/>
  <c r="E429" i="1"/>
  <c r="E428" i="1"/>
  <c r="T428" i="1" s="1"/>
  <c r="E427" i="1"/>
  <c r="T427" i="1" s="1"/>
  <c r="E426" i="1"/>
  <c r="E425" i="1"/>
  <c r="E424" i="1"/>
  <c r="E423" i="1"/>
  <c r="T423" i="1" s="1"/>
  <c r="E422" i="1"/>
  <c r="E421" i="1"/>
  <c r="E420" i="1"/>
  <c r="E419" i="1"/>
  <c r="T419" i="1" s="1"/>
  <c r="E418" i="1"/>
  <c r="E417" i="1"/>
  <c r="E416" i="1"/>
  <c r="T416" i="1" s="1"/>
  <c r="E415" i="1"/>
  <c r="T415" i="1" s="1"/>
  <c r="E414" i="1"/>
  <c r="T414" i="1" s="1"/>
  <c r="E413" i="1"/>
  <c r="E412" i="1"/>
  <c r="E411" i="1"/>
  <c r="T411" i="1" s="1"/>
  <c r="E410" i="1"/>
  <c r="E409" i="1"/>
  <c r="E408" i="1"/>
  <c r="E407" i="1"/>
  <c r="T407" i="1" s="1"/>
  <c r="E406" i="1"/>
  <c r="E405" i="1"/>
  <c r="E404" i="1"/>
  <c r="E403" i="1"/>
  <c r="T403" i="1" s="1"/>
  <c r="E402" i="1"/>
  <c r="T402" i="1" s="1"/>
  <c r="E401" i="1"/>
  <c r="E400" i="1"/>
  <c r="E399" i="1"/>
  <c r="T399" i="1" s="1"/>
  <c r="E398" i="1"/>
  <c r="E397" i="1"/>
  <c r="E396" i="1"/>
  <c r="E395" i="1"/>
  <c r="T395" i="1" s="1"/>
  <c r="E394" i="1"/>
  <c r="E393" i="1"/>
  <c r="E392" i="1"/>
  <c r="E391" i="1"/>
  <c r="T391" i="1" s="1"/>
  <c r="E390" i="1"/>
  <c r="E389" i="1"/>
  <c r="E388" i="1"/>
  <c r="E387" i="1"/>
  <c r="T387" i="1" s="1"/>
  <c r="E386" i="1"/>
  <c r="E385" i="1"/>
  <c r="E384" i="1"/>
  <c r="E383" i="1"/>
  <c r="E382" i="1"/>
  <c r="E381" i="1"/>
  <c r="E380" i="1"/>
  <c r="T380" i="1" s="1"/>
  <c r="E379" i="1"/>
  <c r="E378" i="1"/>
  <c r="E377" i="1"/>
  <c r="E376" i="1"/>
  <c r="E375" i="1"/>
  <c r="T375" i="1" s="1"/>
  <c r="E374" i="1"/>
  <c r="T374" i="1" s="1"/>
  <c r="E373" i="1"/>
  <c r="E372" i="1"/>
  <c r="E371" i="1"/>
  <c r="T371" i="1" s="1"/>
  <c r="E370" i="1"/>
  <c r="E369" i="1"/>
  <c r="E368" i="1"/>
  <c r="T368" i="1" s="1"/>
  <c r="E367" i="1"/>
  <c r="T367" i="1" s="1"/>
  <c r="E366" i="1"/>
  <c r="E365" i="1"/>
  <c r="E364" i="1"/>
  <c r="T364" i="1" s="1"/>
  <c r="E363" i="1"/>
  <c r="T363" i="1" s="1"/>
  <c r="E362" i="1"/>
  <c r="E361" i="1"/>
  <c r="E360" i="1"/>
  <c r="E359" i="1"/>
  <c r="T359" i="1" s="1"/>
  <c r="E358" i="1"/>
  <c r="E357" i="1"/>
  <c r="E356" i="1"/>
  <c r="E355" i="1"/>
  <c r="T355" i="1" s="1"/>
  <c r="E354" i="1"/>
  <c r="E353" i="1"/>
  <c r="E352" i="1"/>
  <c r="E351" i="1"/>
  <c r="E350" i="1"/>
  <c r="E349" i="1"/>
  <c r="E348" i="1"/>
  <c r="E347" i="1"/>
  <c r="E346" i="1"/>
  <c r="E345" i="1"/>
  <c r="E344" i="1"/>
  <c r="E343" i="1"/>
  <c r="T343" i="1" s="1"/>
  <c r="E342" i="1"/>
  <c r="T342" i="1" s="1"/>
  <c r="E341" i="1"/>
  <c r="E340" i="1"/>
  <c r="E339" i="1"/>
  <c r="T339" i="1" s="1"/>
  <c r="E338" i="1"/>
  <c r="E337" i="1"/>
  <c r="E336" i="1"/>
  <c r="E335" i="1"/>
  <c r="E334" i="1"/>
  <c r="E333" i="1"/>
  <c r="E332" i="1"/>
  <c r="E331" i="1"/>
  <c r="T331" i="1" s="1"/>
  <c r="E330" i="1"/>
  <c r="E329" i="1"/>
  <c r="E328" i="1"/>
  <c r="E327" i="1"/>
  <c r="T327" i="1" s="1"/>
  <c r="E326" i="1"/>
  <c r="E325" i="1"/>
  <c r="E324" i="1"/>
  <c r="E323" i="1"/>
  <c r="T323" i="1" s="1"/>
  <c r="E322" i="1"/>
  <c r="E321" i="1"/>
  <c r="E320" i="1"/>
  <c r="E319" i="1"/>
  <c r="T319" i="1" s="1"/>
  <c r="E318" i="1"/>
  <c r="E317" i="1"/>
  <c r="E316" i="1"/>
  <c r="E315" i="1"/>
  <c r="T315" i="1" s="1"/>
  <c r="E314" i="1"/>
  <c r="E313" i="1"/>
  <c r="E312" i="1"/>
  <c r="E311" i="1"/>
  <c r="T311" i="1" s="1"/>
  <c r="E310" i="1"/>
  <c r="E309" i="1"/>
  <c r="E308" i="1"/>
  <c r="E307" i="1"/>
  <c r="T307" i="1" s="1"/>
  <c r="E306" i="1"/>
  <c r="E305" i="1"/>
  <c r="E304" i="1"/>
  <c r="E303" i="1"/>
  <c r="T303" i="1" s="1"/>
  <c r="E302" i="1"/>
  <c r="E301" i="1"/>
  <c r="E300" i="1"/>
  <c r="E299" i="1"/>
  <c r="T299" i="1" s="1"/>
  <c r="E298" i="1"/>
  <c r="E297" i="1"/>
  <c r="E296" i="1"/>
  <c r="E295" i="1"/>
  <c r="T295" i="1" s="1"/>
  <c r="E294" i="1"/>
  <c r="E293" i="1"/>
  <c r="E292" i="1"/>
  <c r="T292" i="1" s="1"/>
  <c r="E291" i="1"/>
  <c r="T291" i="1" s="1"/>
  <c r="E290" i="1"/>
  <c r="T290" i="1" s="1"/>
  <c r="E289" i="1"/>
  <c r="E288" i="1"/>
  <c r="E287" i="1"/>
  <c r="T287" i="1" s="1"/>
  <c r="E286" i="1"/>
  <c r="T286" i="1" s="1"/>
  <c r="E285" i="1"/>
  <c r="E284" i="1"/>
  <c r="E283" i="1"/>
  <c r="T283" i="1" s="1"/>
  <c r="E282" i="1"/>
  <c r="T282" i="1" s="1"/>
  <c r="E281" i="1"/>
  <c r="E280" i="1"/>
  <c r="E279" i="1"/>
  <c r="T279" i="1" s="1"/>
  <c r="E278" i="1"/>
  <c r="E277" i="1"/>
  <c r="E276" i="1"/>
  <c r="E275" i="1"/>
  <c r="T275" i="1" s="1"/>
  <c r="E274" i="1"/>
  <c r="E273" i="1"/>
  <c r="E272" i="1"/>
  <c r="T272" i="1" s="1"/>
  <c r="E271" i="1"/>
  <c r="T271" i="1" s="1"/>
  <c r="E270" i="1"/>
  <c r="E269" i="1"/>
  <c r="E268" i="1"/>
  <c r="T268" i="1" s="1"/>
  <c r="E267" i="1"/>
  <c r="T267" i="1" s="1"/>
  <c r="E266" i="1"/>
  <c r="E265" i="1"/>
  <c r="E264" i="1"/>
  <c r="T264" i="1" s="1"/>
  <c r="E263" i="1"/>
  <c r="T263" i="1" s="1"/>
  <c r="E262" i="1"/>
  <c r="E261" i="1"/>
  <c r="E260" i="1"/>
  <c r="E259" i="1"/>
  <c r="T259" i="1" s="1"/>
  <c r="E258" i="1"/>
  <c r="E257" i="1"/>
  <c r="E256" i="1"/>
  <c r="E255" i="1"/>
  <c r="T255" i="1" s="1"/>
  <c r="E254" i="1"/>
  <c r="E253" i="1"/>
  <c r="E252" i="1"/>
  <c r="T252" i="1" s="1"/>
  <c r="E251" i="1"/>
  <c r="T251" i="1" s="1"/>
  <c r="E250" i="1"/>
  <c r="E249" i="1"/>
  <c r="E248" i="1"/>
  <c r="E247" i="1"/>
  <c r="T247" i="1" s="1"/>
  <c r="E246" i="1"/>
  <c r="T246" i="1" s="1"/>
  <c r="E245" i="1"/>
  <c r="E244" i="1"/>
  <c r="E243" i="1"/>
  <c r="T243" i="1" s="1"/>
  <c r="E242" i="1"/>
  <c r="E241" i="1"/>
  <c r="E240" i="1"/>
  <c r="E239" i="1"/>
  <c r="T239" i="1" s="1"/>
  <c r="E238" i="1"/>
  <c r="T238" i="1" s="1"/>
  <c r="E237" i="1"/>
  <c r="E236" i="1"/>
  <c r="E235" i="1"/>
  <c r="T235" i="1" s="1"/>
  <c r="E234" i="1"/>
  <c r="T234" i="1" s="1"/>
  <c r="E233" i="1"/>
  <c r="E232" i="1"/>
  <c r="E231" i="1"/>
  <c r="T231" i="1" s="1"/>
  <c r="E230" i="1"/>
  <c r="E229" i="1"/>
  <c r="E228" i="1"/>
  <c r="E227" i="1"/>
  <c r="T227" i="1" s="1"/>
  <c r="E226" i="1"/>
  <c r="E225" i="1"/>
  <c r="E224" i="1"/>
  <c r="E223" i="1"/>
  <c r="T223" i="1" s="1"/>
  <c r="E222" i="1"/>
  <c r="E221" i="1"/>
  <c r="E220" i="1"/>
  <c r="E219" i="1"/>
  <c r="T219" i="1" s="1"/>
  <c r="E218" i="1"/>
  <c r="E217" i="1"/>
  <c r="E216" i="1"/>
  <c r="E215" i="1"/>
  <c r="T215" i="1" s="1"/>
  <c r="E214" i="1"/>
  <c r="E213" i="1"/>
  <c r="E212" i="1"/>
  <c r="E211" i="1"/>
  <c r="T211" i="1" s="1"/>
  <c r="E210" i="1"/>
  <c r="E209" i="1"/>
  <c r="E208" i="1"/>
  <c r="T208" i="1" s="1"/>
  <c r="E207" i="1"/>
  <c r="T207" i="1" s="1"/>
  <c r="E206" i="1"/>
  <c r="E205" i="1"/>
  <c r="E204" i="1"/>
  <c r="E203" i="1"/>
  <c r="T203" i="1" s="1"/>
  <c r="E202" i="1"/>
  <c r="E201" i="1"/>
  <c r="E200" i="1"/>
  <c r="E199" i="1"/>
  <c r="T199" i="1" s="1"/>
  <c r="E198" i="1"/>
  <c r="E197" i="1"/>
  <c r="E196" i="1"/>
  <c r="E195" i="1"/>
  <c r="T195" i="1" s="1"/>
  <c r="E194" i="1"/>
  <c r="T194" i="1" s="1"/>
  <c r="E193" i="1"/>
  <c r="E192" i="1"/>
  <c r="E191" i="1"/>
  <c r="T191" i="1" s="1"/>
  <c r="E190" i="1"/>
  <c r="E189" i="1"/>
  <c r="E188" i="1"/>
  <c r="E187" i="1"/>
  <c r="T187" i="1" s="1"/>
  <c r="E186" i="1"/>
  <c r="E185" i="1"/>
  <c r="E184" i="1"/>
  <c r="E183" i="1"/>
  <c r="T183" i="1" s="1"/>
  <c r="E182" i="1"/>
  <c r="E181" i="1"/>
  <c r="E180" i="1"/>
  <c r="E179" i="1"/>
  <c r="T179" i="1" s="1"/>
  <c r="E178" i="1"/>
  <c r="E177" i="1"/>
  <c r="E176" i="1"/>
  <c r="E175" i="1"/>
  <c r="T175" i="1" s="1"/>
  <c r="E174" i="1"/>
  <c r="E173" i="1"/>
  <c r="E172" i="1"/>
  <c r="E171" i="1"/>
  <c r="T171" i="1" s="1"/>
  <c r="E170" i="1"/>
  <c r="E169" i="1"/>
  <c r="E168" i="1"/>
  <c r="E167" i="1"/>
  <c r="T167" i="1" s="1"/>
  <c r="E166" i="1"/>
  <c r="E165" i="1"/>
  <c r="E164" i="1"/>
  <c r="E163" i="1"/>
  <c r="T163" i="1" s="1"/>
  <c r="E162" i="1"/>
  <c r="E161" i="1"/>
  <c r="E160" i="1"/>
  <c r="E159" i="1"/>
  <c r="T159" i="1" s="1"/>
  <c r="E158" i="1"/>
  <c r="E157" i="1"/>
  <c r="E156" i="1"/>
  <c r="E155" i="1"/>
  <c r="T155" i="1" s="1"/>
  <c r="E154" i="1"/>
  <c r="E153" i="1"/>
  <c r="E152" i="1"/>
  <c r="E151" i="1"/>
  <c r="T151" i="1" s="1"/>
  <c r="E150" i="1"/>
  <c r="E149" i="1"/>
  <c r="E148" i="1"/>
  <c r="E147" i="1"/>
  <c r="T147" i="1" s="1"/>
  <c r="E146" i="1"/>
  <c r="E145" i="1"/>
  <c r="E144" i="1"/>
  <c r="E143" i="1"/>
  <c r="T143" i="1" s="1"/>
  <c r="E142" i="1"/>
  <c r="E141" i="1"/>
  <c r="E140" i="1"/>
  <c r="E139" i="1"/>
  <c r="T139" i="1" s="1"/>
  <c r="E138" i="1"/>
  <c r="E137" i="1"/>
  <c r="E136" i="1"/>
  <c r="E135" i="1"/>
  <c r="T135" i="1" s="1"/>
  <c r="E134" i="1"/>
  <c r="T134" i="1" s="1"/>
  <c r="E133" i="1"/>
  <c r="E132" i="1"/>
  <c r="E131" i="1"/>
  <c r="T131" i="1" s="1"/>
  <c r="E130" i="1"/>
  <c r="E129" i="1"/>
  <c r="E128" i="1"/>
  <c r="E127" i="1"/>
  <c r="T127" i="1" s="1"/>
  <c r="E126" i="1"/>
  <c r="E125" i="1"/>
  <c r="E124" i="1"/>
  <c r="T124" i="1" s="1"/>
  <c r="E123" i="1"/>
  <c r="T123" i="1" s="1"/>
  <c r="E122" i="1"/>
  <c r="E121" i="1"/>
  <c r="E120" i="1"/>
  <c r="T120" i="1" s="1"/>
  <c r="E119" i="1"/>
  <c r="T119" i="1" s="1"/>
  <c r="E118" i="1"/>
  <c r="E117" i="1"/>
  <c r="E116" i="1"/>
  <c r="T116" i="1" s="1"/>
  <c r="E115" i="1"/>
  <c r="T115" i="1" s="1"/>
  <c r="E114" i="1"/>
  <c r="E113" i="1"/>
  <c r="E112" i="1"/>
  <c r="T112" i="1" s="1"/>
  <c r="E111" i="1"/>
  <c r="T111" i="1" s="1"/>
  <c r="E110" i="1"/>
  <c r="E109" i="1"/>
  <c r="E108" i="1"/>
  <c r="E107" i="1"/>
  <c r="T107" i="1" s="1"/>
  <c r="E106" i="1"/>
  <c r="E105" i="1"/>
  <c r="E104" i="1"/>
  <c r="E103" i="1"/>
  <c r="T103" i="1" s="1"/>
  <c r="E102" i="1"/>
  <c r="E101" i="1"/>
  <c r="E100" i="1"/>
  <c r="E99" i="1"/>
  <c r="T99" i="1" s="1"/>
  <c r="E98" i="1"/>
  <c r="E97" i="1"/>
  <c r="E96" i="1"/>
  <c r="E95" i="1"/>
  <c r="T95" i="1" s="1"/>
  <c r="E94" i="1"/>
  <c r="E93" i="1"/>
  <c r="E92" i="1"/>
  <c r="E91" i="1"/>
  <c r="T91" i="1" s="1"/>
  <c r="E90" i="1"/>
  <c r="T90" i="1" s="1"/>
  <c r="E89" i="1"/>
  <c r="E88" i="1"/>
  <c r="E87" i="1"/>
  <c r="T87" i="1" s="1"/>
  <c r="E86" i="1"/>
  <c r="E85" i="1"/>
  <c r="E84" i="1"/>
  <c r="E83" i="1"/>
  <c r="T83" i="1" s="1"/>
  <c r="E82" i="1"/>
  <c r="T82" i="1" s="1"/>
  <c r="E81" i="1"/>
  <c r="E80" i="1"/>
  <c r="E79" i="1"/>
  <c r="T79" i="1" s="1"/>
  <c r="E78" i="1"/>
  <c r="E77" i="1"/>
  <c r="E76" i="1"/>
  <c r="E75" i="1"/>
  <c r="T75" i="1" s="1"/>
  <c r="E74" i="1"/>
  <c r="E73" i="1"/>
  <c r="E72" i="1"/>
  <c r="E71" i="1"/>
  <c r="T71" i="1" s="1"/>
  <c r="E70" i="1"/>
  <c r="E69" i="1"/>
  <c r="E68" i="1"/>
  <c r="E67" i="1"/>
  <c r="T67" i="1" s="1"/>
  <c r="E66" i="1"/>
  <c r="E65" i="1"/>
  <c r="E64" i="1"/>
  <c r="T64" i="1" s="1"/>
  <c r="E63" i="1"/>
  <c r="T63" i="1" s="1"/>
  <c r="E62" i="1"/>
  <c r="T62" i="1" s="1"/>
  <c r="E61" i="1"/>
  <c r="E60" i="1"/>
  <c r="T60" i="1" s="1"/>
  <c r="E59" i="1"/>
  <c r="T59" i="1" s="1"/>
  <c r="E58" i="1"/>
  <c r="E57" i="1"/>
  <c r="E56" i="1"/>
  <c r="E55" i="1"/>
  <c r="T55" i="1" s="1"/>
  <c r="E54" i="1"/>
  <c r="E53" i="1"/>
  <c r="E52" i="1"/>
  <c r="E51" i="1"/>
  <c r="T51" i="1" s="1"/>
  <c r="E50" i="1"/>
  <c r="E49" i="1"/>
  <c r="E48" i="1"/>
  <c r="E47" i="1"/>
  <c r="T47" i="1" s="1"/>
  <c r="E46" i="1"/>
  <c r="T46" i="1" s="1"/>
  <c r="E45" i="1"/>
  <c r="E44" i="1"/>
  <c r="E43" i="1"/>
  <c r="T43" i="1" s="1"/>
  <c r="E42" i="1"/>
  <c r="E41" i="1"/>
  <c r="E40" i="1"/>
  <c r="T40" i="1" s="1"/>
  <c r="E39" i="1"/>
  <c r="T39" i="1" s="1"/>
  <c r="E38" i="1"/>
  <c r="E37" i="1"/>
  <c r="E36" i="1"/>
  <c r="E35" i="1"/>
  <c r="T35" i="1" s="1"/>
  <c r="E34" i="1"/>
  <c r="E33" i="1"/>
  <c r="E32" i="1"/>
  <c r="E31" i="1"/>
  <c r="T31" i="1" s="1"/>
  <c r="E30" i="1"/>
  <c r="T30" i="1" s="1"/>
  <c r="E29" i="1"/>
  <c r="E28" i="1"/>
  <c r="E27" i="1"/>
  <c r="T27" i="1" s="1"/>
  <c r="E26" i="1"/>
  <c r="E25" i="1"/>
  <c r="E24" i="1"/>
  <c r="E23" i="1"/>
  <c r="T23" i="1" s="1"/>
  <c r="E22" i="1"/>
  <c r="E21" i="1"/>
  <c r="E20" i="1"/>
  <c r="T20" i="1" s="1"/>
  <c r="E19" i="1"/>
  <c r="T19" i="1" s="1"/>
  <c r="E18" i="1"/>
  <c r="E17" i="1"/>
  <c r="E16" i="1"/>
  <c r="E15" i="1"/>
  <c r="T15" i="1" s="1"/>
  <c r="E14" i="1"/>
  <c r="E13" i="1"/>
  <c r="E12" i="1"/>
  <c r="E11" i="1"/>
  <c r="T11" i="1" s="1"/>
  <c r="E10" i="1"/>
  <c r="E9" i="1"/>
  <c r="E8" i="1"/>
  <c r="E7" i="1"/>
  <c r="T7" i="1" s="1"/>
  <c r="E6" i="1"/>
  <c r="E5" i="1"/>
  <c r="E4" i="1"/>
  <c r="T4" i="1" s="1"/>
  <c r="E3" i="1"/>
  <c r="T3" i="1" s="1"/>
  <c r="E2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009" i="1"/>
  <c r="T981" i="1"/>
  <c r="T977" i="1"/>
  <c r="T957" i="1"/>
  <c r="T953" i="1"/>
  <c r="T911" i="1"/>
  <c r="T881" i="1"/>
  <c r="T827" i="1"/>
  <c r="T761" i="1"/>
  <c r="T757" i="1"/>
  <c r="T745" i="1"/>
  <c r="T741" i="1"/>
  <c r="T723" i="1"/>
  <c r="T709" i="1"/>
  <c r="T705" i="1"/>
  <c r="T695" i="1"/>
  <c r="T657" i="1"/>
  <c r="T653" i="1"/>
  <c r="T633" i="1"/>
  <c r="T621" i="1"/>
  <c r="T617" i="1"/>
  <c r="T585" i="1"/>
  <c r="T573" i="1"/>
  <c r="T569" i="1"/>
  <c r="T537" i="1"/>
  <c r="T533" i="1"/>
  <c r="T483" i="1"/>
  <c r="T433" i="1"/>
  <c r="T429" i="1"/>
  <c r="T397" i="1"/>
  <c r="T373" i="1"/>
  <c r="T369" i="1"/>
  <c r="T365" i="1"/>
  <c r="T349" i="1"/>
  <c r="T347" i="1"/>
  <c r="T345" i="1"/>
  <c r="T341" i="1"/>
  <c r="T337" i="1"/>
  <c r="T309" i="1"/>
  <c r="T305" i="1"/>
  <c r="T269" i="1"/>
  <c r="T265" i="1"/>
  <c r="T229" i="1"/>
  <c r="T217" i="1"/>
  <c r="T213" i="1"/>
  <c r="T185" i="1"/>
  <c r="T181" i="1"/>
  <c r="T169" i="1"/>
  <c r="T141" i="1"/>
  <c r="T137" i="1"/>
  <c r="T133" i="1"/>
  <c r="T129" i="1"/>
  <c r="T125" i="1"/>
  <c r="T121" i="1"/>
  <c r="T117" i="1"/>
  <c r="T113" i="1"/>
  <c r="T101" i="1"/>
  <c r="T97" i="1"/>
  <c r="T93" i="1"/>
  <c r="T89" i="1"/>
  <c r="T73" i="1"/>
  <c r="T69" i="1"/>
  <c r="T61" i="1"/>
  <c r="T21" i="1"/>
  <c r="T5" i="1"/>
  <c r="O2" i="1" l="1"/>
  <c r="M2" i="1"/>
  <c r="R2" i="1"/>
  <c r="N2" i="1"/>
  <c r="P2" i="1"/>
  <c r="Q2" i="1"/>
  <c r="U1270" i="1"/>
  <c r="U1318" i="1"/>
  <c r="U1334" i="1"/>
  <c r="U1261" i="1"/>
  <c r="U1265" i="1"/>
  <c r="U1269" i="1"/>
  <c r="U1273" i="1"/>
  <c r="U1277" i="1"/>
  <c r="U1281" i="1"/>
  <c r="U1285" i="1"/>
  <c r="U1289" i="1"/>
  <c r="U1293" i="1"/>
  <c r="U1297" i="1"/>
  <c r="U1301" i="1"/>
  <c r="U1305" i="1"/>
  <c r="U1309" i="1"/>
  <c r="U1313" i="1"/>
  <c r="U1317" i="1"/>
  <c r="U1321" i="1"/>
  <c r="U1325" i="1"/>
  <c r="U1329" i="1"/>
  <c r="U1333" i="1"/>
  <c r="U1337" i="1"/>
  <c r="Y8" i="1"/>
  <c r="U1258" i="1"/>
  <c r="U1262" i="1"/>
  <c r="U1274" i="1"/>
  <c r="U1278" i="1"/>
  <c r="U1290" i="1"/>
  <c r="U1294" i="1"/>
  <c r="U1306" i="1"/>
  <c r="U1310" i="1"/>
  <c r="U1322" i="1"/>
  <c r="U1326" i="1"/>
  <c r="U1338" i="1"/>
  <c r="U1257" i="1"/>
  <c r="U1259" i="1"/>
  <c r="U1263" i="1"/>
  <c r="U1267" i="1"/>
  <c r="U1266" i="1"/>
  <c r="U1271" i="1"/>
  <c r="U1275" i="1"/>
  <c r="U1279" i="1"/>
  <c r="U1283" i="1"/>
  <c r="U1282" i="1"/>
  <c r="U1287" i="1"/>
  <c r="U1291" i="1"/>
  <c r="U1295" i="1"/>
  <c r="U1299" i="1"/>
  <c r="U1298" i="1"/>
  <c r="U1303" i="1"/>
  <c r="U1307" i="1"/>
  <c r="U1311" i="1"/>
  <c r="U1315" i="1"/>
  <c r="U1314" i="1"/>
  <c r="U1286" i="1"/>
  <c r="U1256" i="1"/>
  <c r="U1255" i="1"/>
  <c r="U1260" i="1"/>
  <c r="U1264" i="1"/>
  <c r="U1268" i="1"/>
  <c r="U1272" i="1"/>
  <c r="U1276" i="1"/>
  <c r="U1280" i="1"/>
  <c r="U1284" i="1"/>
  <c r="U1288" i="1"/>
  <c r="U1292" i="1"/>
  <c r="U1296" i="1"/>
  <c r="U1300" i="1"/>
  <c r="U1304" i="1"/>
  <c r="U1308" i="1"/>
  <c r="U1312" i="1"/>
  <c r="U1316" i="1"/>
  <c r="U1320" i="1"/>
  <c r="U1324" i="1"/>
  <c r="U1328" i="1"/>
  <c r="U1332" i="1"/>
  <c r="U1336" i="1"/>
  <c r="U1340" i="1"/>
  <c r="T222" i="1"/>
  <c r="T298" i="1"/>
  <c r="T386" i="1"/>
  <c r="U1302" i="1"/>
  <c r="U1319" i="1"/>
  <c r="U1323" i="1"/>
  <c r="U1327" i="1"/>
  <c r="U1331" i="1"/>
  <c r="U1335" i="1"/>
  <c r="U1339" i="1"/>
  <c r="U1330" i="1"/>
  <c r="T170" i="1"/>
  <c r="T214" i="1"/>
  <c r="T274" i="1"/>
  <c r="T306" i="1"/>
  <c r="T334" i="1"/>
  <c r="T350" i="1"/>
  <c r="T506" i="1"/>
  <c r="T562" i="1"/>
  <c r="T574" i="1"/>
  <c r="T590" i="1"/>
  <c r="T606" i="1"/>
  <c r="T654" i="1"/>
  <c r="T670" i="1"/>
  <c r="T706" i="1"/>
  <c r="T726" i="1"/>
  <c r="T746" i="1"/>
  <c r="T818" i="1"/>
  <c r="T846" i="1"/>
  <c r="T874" i="1"/>
  <c r="T922" i="1"/>
  <c r="T934" i="1"/>
  <c r="T950" i="1"/>
  <c r="T982" i="1"/>
  <c r="T1006" i="1"/>
  <c r="T1022" i="1"/>
  <c r="T1034" i="1"/>
  <c r="T1046" i="1"/>
  <c r="T1058" i="1"/>
  <c r="T1066" i="1"/>
  <c r="T1078" i="1"/>
  <c r="T1090" i="1"/>
  <c r="T1098" i="1"/>
  <c r="T1110" i="1"/>
  <c r="T1118" i="1"/>
  <c r="T1126" i="1"/>
  <c r="T1134" i="1"/>
  <c r="T1142" i="1"/>
  <c r="T1154" i="1"/>
  <c r="T1162" i="1"/>
  <c r="T1178" i="1"/>
  <c r="T1186" i="1"/>
  <c r="T1194" i="1"/>
  <c r="T1202" i="1"/>
  <c r="T1210" i="1"/>
  <c r="T1222" i="1"/>
  <c r="T1230" i="1"/>
  <c r="T1238" i="1"/>
  <c r="T1250" i="1"/>
  <c r="T14" i="1"/>
  <c r="U59" i="1"/>
  <c r="T146" i="1"/>
  <c r="T158" i="1"/>
  <c r="T202" i="1"/>
  <c r="T210" i="1"/>
  <c r="T254" i="1"/>
  <c r="T314" i="1"/>
  <c r="T326" i="1"/>
  <c r="T338" i="1"/>
  <c r="T418" i="1"/>
  <c r="T458" i="1"/>
  <c r="T490" i="1"/>
  <c r="T510" i="1"/>
  <c r="T638" i="1"/>
  <c r="T774" i="1"/>
  <c r="T806" i="1"/>
  <c r="T886" i="1"/>
  <c r="T122" i="1"/>
  <c r="T138" i="1"/>
  <c r="T162" i="1"/>
  <c r="T258" i="1"/>
  <c r="T322" i="1"/>
  <c r="T354" i="1"/>
  <c r="T398" i="1"/>
  <c r="T406" i="1"/>
  <c r="T430" i="1"/>
  <c r="U427" i="1" s="1"/>
  <c r="T446" i="1"/>
  <c r="T454" i="1"/>
  <c r="T478" i="1"/>
  <c r="T494" i="1"/>
  <c r="T502" i="1"/>
  <c r="T530" i="1"/>
  <c r="T546" i="1"/>
  <c r="T570" i="1"/>
  <c r="T582" i="1"/>
  <c r="T614" i="1"/>
  <c r="T626" i="1"/>
  <c r="T646" i="1"/>
  <c r="T658" i="1"/>
  <c r="T674" i="1"/>
  <c r="T694" i="1"/>
  <c r="T702" i="1"/>
  <c r="T718" i="1"/>
  <c r="T750" i="1"/>
  <c r="T762" i="1"/>
  <c r="T770" i="1"/>
  <c r="T794" i="1"/>
  <c r="T802" i="1"/>
  <c r="T826" i="1"/>
  <c r="T850" i="1"/>
  <c r="T858" i="1"/>
  <c r="T870" i="1"/>
  <c r="T882" i="1"/>
  <c r="T906" i="1"/>
  <c r="T914" i="1"/>
  <c r="T926" i="1"/>
  <c r="T938" i="1"/>
  <c r="T970" i="1"/>
  <c r="T978" i="1"/>
  <c r="T990" i="1"/>
  <c r="T1014" i="1"/>
  <c r="T1026" i="1"/>
  <c r="T1038" i="1"/>
  <c r="T1042" i="1"/>
  <c r="T1054" i="1"/>
  <c r="T1062" i="1"/>
  <c r="T1070" i="1"/>
  <c r="T1082" i="1"/>
  <c r="T1086" i="1"/>
  <c r="T1094" i="1"/>
  <c r="T1102" i="1"/>
  <c r="T1114" i="1"/>
  <c r="T1122" i="1"/>
  <c r="T1130" i="1"/>
  <c r="T1138" i="1"/>
  <c r="T1146" i="1"/>
  <c r="T1150" i="1"/>
  <c r="T1158" i="1"/>
  <c r="T1166" i="1"/>
  <c r="T1174" i="1"/>
  <c r="T1182" i="1"/>
  <c r="T1190" i="1"/>
  <c r="T1198" i="1"/>
  <c r="T1206" i="1"/>
  <c r="T1214" i="1"/>
  <c r="T1218" i="1"/>
  <c r="T1226" i="1"/>
  <c r="T1234" i="1"/>
  <c r="T1242" i="1"/>
  <c r="T1246" i="1"/>
  <c r="T1254" i="1"/>
  <c r="U1254" i="1" s="1"/>
  <c r="U60" i="1"/>
  <c r="T70" i="1"/>
  <c r="T78" i="1"/>
  <c r="T98" i="1"/>
  <c r="T186" i="1"/>
  <c r="T218" i="1"/>
  <c r="T226" i="1"/>
  <c r="T242" i="1"/>
  <c r="T250" i="1"/>
  <c r="T302" i="1"/>
  <c r="T366" i="1"/>
  <c r="U365" i="1" s="1"/>
  <c r="T370" i="1"/>
  <c r="T438" i="1"/>
  <c r="T450" i="1"/>
  <c r="T622" i="1"/>
  <c r="T666" i="1"/>
  <c r="T690" i="1"/>
  <c r="T830" i="1"/>
  <c r="T862" i="1"/>
  <c r="T2" i="1"/>
  <c r="T118" i="1"/>
  <c r="T154" i="1"/>
  <c r="T178" i="1"/>
  <c r="T346" i="1"/>
  <c r="T382" i="1"/>
  <c r="T390" i="1"/>
  <c r="T422" i="1"/>
  <c r="T434" i="1"/>
  <c r="T462" i="1"/>
  <c r="T470" i="1"/>
  <c r="T486" i="1"/>
  <c r="T514" i="1"/>
  <c r="T598" i="1"/>
  <c r="T642" i="1"/>
  <c r="T678" i="1"/>
  <c r="T686" i="1"/>
  <c r="T734" i="1"/>
  <c r="T742" i="1"/>
  <c r="T754" i="1"/>
  <c r="T766" i="1"/>
  <c r="T778" i="1"/>
  <c r="T786" i="1"/>
  <c r="T810" i="1"/>
  <c r="T834" i="1"/>
  <c r="T866" i="1"/>
  <c r="T878" i="1"/>
  <c r="T890" i="1"/>
  <c r="T898" i="1"/>
  <c r="T930" i="1"/>
  <c r="T942" i="1"/>
  <c r="T954" i="1"/>
  <c r="T962" i="1"/>
  <c r="T998" i="1"/>
  <c r="T1010" i="1"/>
  <c r="T1018" i="1"/>
  <c r="T1030" i="1"/>
  <c r="T1050" i="1"/>
  <c r="T1074" i="1"/>
  <c r="T1106" i="1"/>
  <c r="T1170" i="1"/>
  <c r="T18" i="1"/>
  <c r="T34" i="1"/>
  <c r="T54" i="1"/>
  <c r="T66" i="1"/>
  <c r="T94" i="1"/>
  <c r="T110" i="1"/>
  <c r="T114" i="1"/>
  <c r="T130" i="1"/>
  <c r="T142" i="1"/>
  <c r="T174" i="1"/>
  <c r="T182" i="1"/>
  <c r="T198" i="1"/>
  <c r="T266" i="1"/>
  <c r="U265" i="1" s="1"/>
  <c r="T270" i="1"/>
  <c r="U267" i="1" s="1"/>
  <c r="T310" i="1"/>
  <c r="U367" i="1"/>
  <c r="T538" i="1"/>
  <c r="T550" i="1"/>
  <c r="T558" i="1"/>
  <c r="T578" i="1"/>
  <c r="T610" i="1"/>
  <c r="T618" i="1"/>
  <c r="T682" i="1"/>
  <c r="T790" i="1"/>
  <c r="T822" i="1"/>
  <c r="T854" i="1"/>
  <c r="T902" i="1"/>
  <c r="T946" i="1"/>
  <c r="T974" i="1"/>
  <c r="T1002" i="1"/>
  <c r="T8" i="1"/>
  <c r="T12" i="1"/>
  <c r="T16" i="1"/>
  <c r="T28" i="1"/>
  <c r="T32" i="1"/>
  <c r="T36" i="1"/>
  <c r="T44" i="1"/>
  <c r="T48" i="1"/>
  <c r="T52" i="1"/>
  <c r="T56" i="1"/>
  <c r="T68" i="1"/>
  <c r="T72" i="1"/>
  <c r="T76" i="1"/>
  <c r="T80" i="1"/>
  <c r="T84" i="1"/>
  <c r="T92" i="1"/>
  <c r="T96" i="1"/>
  <c r="T100" i="1"/>
  <c r="T104" i="1"/>
  <c r="T108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12" i="1"/>
  <c r="T216" i="1"/>
  <c r="T220" i="1"/>
  <c r="T224" i="1"/>
  <c r="T228" i="1"/>
  <c r="T232" i="1"/>
  <c r="T236" i="1"/>
  <c r="T240" i="1"/>
  <c r="T244" i="1"/>
  <c r="T248" i="1"/>
  <c r="T256" i="1"/>
  <c r="T260" i="1"/>
  <c r="T276" i="1"/>
  <c r="T280" i="1"/>
  <c r="T284" i="1"/>
  <c r="T288" i="1"/>
  <c r="T296" i="1"/>
  <c r="T300" i="1"/>
  <c r="T304" i="1"/>
  <c r="T308" i="1"/>
  <c r="T312" i="1"/>
  <c r="T316" i="1"/>
  <c r="T320" i="1"/>
  <c r="T324" i="1"/>
  <c r="T328" i="1"/>
  <c r="T332" i="1"/>
  <c r="T336" i="1"/>
  <c r="T340" i="1"/>
  <c r="T344" i="1"/>
  <c r="T348" i="1"/>
  <c r="T352" i="1"/>
  <c r="T360" i="1"/>
  <c r="T376" i="1"/>
  <c r="T384" i="1"/>
  <c r="T388" i="1"/>
  <c r="T392" i="1"/>
  <c r="T396" i="1"/>
  <c r="T404" i="1"/>
  <c r="T408" i="1"/>
  <c r="T412" i="1"/>
  <c r="T420" i="1"/>
  <c r="T424" i="1"/>
  <c r="T436" i="1"/>
  <c r="T440" i="1"/>
  <c r="T444" i="1"/>
  <c r="T448" i="1"/>
  <c r="T452" i="1"/>
  <c r="T456" i="1"/>
  <c r="T460" i="1"/>
  <c r="T464" i="1"/>
  <c r="T468" i="1"/>
  <c r="T472" i="1"/>
  <c r="T476" i="1"/>
  <c r="T480" i="1"/>
  <c r="T484" i="1"/>
  <c r="T492" i="1"/>
  <c r="T496" i="1"/>
  <c r="T500" i="1"/>
  <c r="T508" i="1"/>
  <c r="T512" i="1"/>
  <c r="T516" i="1"/>
  <c r="T524" i="1"/>
  <c r="T528" i="1"/>
  <c r="T532" i="1"/>
  <c r="T536" i="1"/>
  <c r="T540" i="1"/>
  <c r="T544" i="1"/>
  <c r="T548" i="1"/>
  <c r="T556" i="1"/>
  <c r="T560" i="1"/>
  <c r="T564" i="1"/>
  <c r="T568" i="1"/>
  <c r="T572" i="1"/>
  <c r="T576" i="1"/>
  <c r="T580" i="1"/>
  <c r="T584" i="1"/>
  <c r="T588" i="1"/>
  <c r="T596" i="1"/>
  <c r="T600" i="1"/>
  <c r="T608" i="1"/>
  <c r="T612" i="1"/>
  <c r="T616" i="1"/>
  <c r="T620" i="1"/>
  <c r="U617" i="1" s="1"/>
  <c r="X617" i="1" s="1"/>
  <c r="BK617" i="1" s="1"/>
  <c r="T624" i="1"/>
  <c r="T628" i="1"/>
  <c r="T632" i="1"/>
  <c r="T636" i="1"/>
  <c r="T644" i="1"/>
  <c r="T648" i="1"/>
  <c r="T652" i="1"/>
  <c r="T656" i="1"/>
  <c r="T660" i="1"/>
  <c r="T664" i="1"/>
  <c r="T668" i="1"/>
  <c r="T672" i="1"/>
  <c r="T680" i="1"/>
  <c r="T684" i="1"/>
  <c r="T688" i="1"/>
  <c r="T692" i="1"/>
  <c r="T696" i="1"/>
  <c r="T704" i="1"/>
  <c r="T708" i="1"/>
  <c r="T712" i="1"/>
  <c r="T716" i="1"/>
  <c r="T720" i="1"/>
  <c r="T724" i="1"/>
  <c r="T732" i="1"/>
  <c r="T736" i="1"/>
  <c r="T740" i="1"/>
  <c r="T744" i="1"/>
  <c r="T748" i="1"/>
  <c r="T752" i="1"/>
  <c r="T756" i="1"/>
  <c r="T760" i="1"/>
  <c r="T764" i="1"/>
  <c r="T768" i="1"/>
  <c r="T772" i="1"/>
  <c r="T780" i="1"/>
  <c r="T784" i="1"/>
  <c r="T788" i="1"/>
  <c r="T796" i="1"/>
  <c r="T800" i="1"/>
  <c r="T804" i="1"/>
  <c r="T808" i="1"/>
  <c r="T812" i="1"/>
  <c r="T816" i="1"/>
  <c r="T820" i="1"/>
  <c r="T824" i="1"/>
  <c r="T828" i="1"/>
  <c r="T832" i="1"/>
  <c r="T836" i="1"/>
  <c r="T840" i="1"/>
  <c r="T844" i="1"/>
  <c r="T848" i="1"/>
  <c r="T856" i="1"/>
  <c r="T860" i="1"/>
  <c r="T864" i="1"/>
  <c r="T868" i="1"/>
  <c r="T872" i="1"/>
  <c r="T876" i="1"/>
  <c r="T884" i="1"/>
  <c r="T888" i="1"/>
  <c r="T896" i="1"/>
  <c r="T900" i="1"/>
  <c r="T904" i="1"/>
  <c r="T908" i="1"/>
  <c r="T912" i="1"/>
  <c r="T916" i="1"/>
  <c r="T920" i="1"/>
  <c r="T924" i="1"/>
  <c r="T928" i="1"/>
  <c r="T932" i="1"/>
  <c r="T936" i="1"/>
  <c r="T940" i="1"/>
  <c r="T944" i="1"/>
  <c r="T948" i="1"/>
  <c r="T952" i="1"/>
  <c r="T956" i="1"/>
  <c r="T960" i="1"/>
  <c r="T964" i="1"/>
  <c r="T972" i="1"/>
  <c r="T976" i="1"/>
  <c r="T980" i="1"/>
  <c r="T984" i="1"/>
  <c r="T988" i="1"/>
  <c r="T992" i="1"/>
  <c r="T996" i="1"/>
  <c r="T1000" i="1"/>
  <c r="T1004" i="1"/>
  <c r="T1008" i="1"/>
  <c r="T1012" i="1"/>
  <c r="T1016" i="1"/>
  <c r="T1020" i="1"/>
  <c r="T1024" i="1"/>
  <c r="T1028" i="1"/>
  <c r="T1032" i="1"/>
  <c r="T1036" i="1"/>
  <c r="T1040" i="1"/>
  <c r="T1044" i="1"/>
  <c r="T1048" i="1"/>
  <c r="T1052" i="1"/>
  <c r="T1056" i="1"/>
  <c r="T1060" i="1"/>
  <c r="T1064" i="1"/>
  <c r="T1068" i="1"/>
  <c r="T1072" i="1"/>
  <c r="T1076" i="1"/>
  <c r="T1080" i="1"/>
  <c r="T1084" i="1"/>
  <c r="T1088" i="1"/>
  <c r="T1092" i="1"/>
  <c r="T1096" i="1"/>
  <c r="T1100" i="1"/>
  <c r="T1104" i="1"/>
  <c r="T1108" i="1"/>
  <c r="T1112" i="1"/>
  <c r="T1116" i="1"/>
  <c r="T1120" i="1"/>
  <c r="T1124" i="1"/>
  <c r="T1128" i="1"/>
  <c r="T1132" i="1"/>
  <c r="T1136" i="1"/>
  <c r="T1140" i="1"/>
  <c r="T1144" i="1"/>
  <c r="T1148" i="1"/>
  <c r="T1152" i="1"/>
  <c r="T1156" i="1"/>
  <c r="T1160" i="1"/>
  <c r="T1164" i="1"/>
  <c r="T1168" i="1"/>
  <c r="T1172" i="1"/>
  <c r="T1176" i="1"/>
  <c r="T1180" i="1"/>
  <c r="T1184" i="1"/>
  <c r="T1188" i="1"/>
  <c r="T1192" i="1"/>
  <c r="T1196" i="1"/>
  <c r="T1200" i="1"/>
  <c r="T1204" i="1"/>
  <c r="T1208" i="1"/>
  <c r="T1212" i="1"/>
  <c r="T1216" i="1"/>
  <c r="T1220" i="1"/>
  <c r="T1224" i="1"/>
  <c r="T1228" i="1"/>
  <c r="T1232" i="1"/>
  <c r="T1236" i="1"/>
  <c r="T1240" i="1"/>
  <c r="T1244" i="1"/>
  <c r="T1248" i="1"/>
  <c r="T1252" i="1"/>
  <c r="T9" i="1"/>
  <c r="T13" i="1"/>
  <c r="T25" i="1"/>
  <c r="T29" i="1"/>
  <c r="T33" i="1"/>
  <c r="T37" i="1"/>
  <c r="T41" i="1"/>
  <c r="T49" i="1"/>
  <c r="T53" i="1"/>
  <c r="T57" i="1"/>
  <c r="T77" i="1"/>
  <c r="T85" i="1"/>
  <c r="T105" i="1"/>
  <c r="T149" i="1"/>
  <c r="T153" i="1"/>
  <c r="T161" i="1"/>
  <c r="T165" i="1"/>
  <c r="T177" i="1"/>
  <c r="T189" i="1"/>
  <c r="T193" i="1"/>
  <c r="T197" i="1"/>
  <c r="T201" i="1"/>
  <c r="T205" i="1"/>
  <c r="T225" i="1"/>
  <c r="T233" i="1"/>
  <c r="T241" i="1"/>
  <c r="T245" i="1"/>
  <c r="T249" i="1"/>
  <c r="T253" i="1"/>
  <c r="T257" i="1"/>
  <c r="T261" i="1"/>
  <c r="T277" i="1"/>
  <c r="T281" i="1"/>
  <c r="T289" i="1"/>
  <c r="T293" i="1"/>
  <c r="T297" i="1"/>
  <c r="T313" i="1"/>
  <c r="T317" i="1"/>
  <c r="T321" i="1"/>
  <c r="T325" i="1"/>
  <c r="T329" i="1"/>
  <c r="T333" i="1"/>
  <c r="T353" i="1"/>
  <c r="T357" i="1"/>
  <c r="T361" i="1"/>
  <c r="T377" i="1"/>
  <c r="T381" i="1"/>
  <c r="T385" i="1"/>
  <c r="T389" i="1"/>
  <c r="T393" i="1"/>
  <c r="T401" i="1"/>
  <c r="T405" i="1"/>
  <c r="T409" i="1"/>
  <c r="T413" i="1"/>
  <c r="T417" i="1"/>
  <c r="T421" i="1"/>
  <c r="T425" i="1"/>
  <c r="T437" i="1"/>
  <c r="T441" i="1"/>
  <c r="T445" i="1"/>
  <c r="T449" i="1"/>
  <c r="T453" i="1"/>
  <c r="T457" i="1"/>
  <c r="T461" i="1"/>
  <c r="T465" i="1"/>
  <c r="T469" i="1"/>
  <c r="T473" i="1"/>
  <c r="T477" i="1"/>
  <c r="T481" i="1"/>
  <c r="T485" i="1"/>
  <c r="T489" i="1"/>
  <c r="T493" i="1"/>
  <c r="T497" i="1"/>
  <c r="T501" i="1"/>
  <c r="T505" i="1"/>
  <c r="T509" i="1"/>
  <c r="T513" i="1"/>
  <c r="T517" i="1"/>
  <c r="T521" i="1"/>
  <c r="T525" i="1"/>
  <c r="T541" i="1"/>
  <c r="T545" i="1"/>
  <c r="T553" i="1"/>
  <c r="T557" i="1"/>
  <c r="T561" i="1"/>
  <c r="T565" i="1"/>
  <c r="T577" i="1"/>
  <c r="T581" i="1"/>
  <c r="T589" i="1"/>
  <c r="T593" i="1"/>
  <c r="T597" i="1"/>
  <c r="T601" i="1"/>
  <c r="T609" i="1"/>
  <c r="T613" i="1"/>
  <c r="T625" i="1"/>
  <c r="T629" i="1"/>
  <c r="U629" i="1" s="1"/>
  <c r="T637" i="1"/>
  <c r="T641" i="1"/>
  <c r="T645" i="1"/>
  <c r="T649" i="1"/>
  <c r="T661" i="1"/>
  <c r="T665" i="1"/>
  <c r="T669" i="1"/>
  <c r="T673" i="1"/>
  <c r="T677" i="1"/>
  <c r="U675" i="1" s="1"/>
  <c r="T685" i="1"/>
  <c r="T689" i="1"/>
  <c r="T693" i="1"/>
  <c r="T697" i="1"/>
  <c r="T701" i="1"/>
  <c r="T713" i="1"/>
  <c r="T717" i="1"/>
  <c r="T721" i="1"/>
  <c r="T725" i="1"/>
  <c r="T729" i="1"/>
  <c r="T733" i="1"/>
  <c r="T737" i="1"/>
  <c r="T749" i="1"/>
  <c r="T753" i="1"/>
  <c r="T765" i="1"/>
  <c r="T769" i="1"/>
  <c r="T773" i="1"/>
  <c r="T777" i="1"/>
  <c r="T781" i="1"/>
  <c r="T785" i="1"/>
  <c r="T789" i="1"/>
  <c r="T793" i="1"/>
  <c r="T797" i="1"/>
  <c r="T801" i="1"/>
  <c r="T805" i="1"/>
  <c r="T809" i="1"/>
  <c r="T813" i="1"/>
  <c r="T821" i="1"/>
  <c r="T825" i="1"/>
  <c r="T829" i="1"/>
  <c r="T833" i="1"/>
  <c r="T837" i="1"/>
  <c r="T841" i="1"/>
  <c r="T845" i="1"/>
  <c r="T849" i="1"/>
  <c r="T853" i="1"/>
  <c r="T857" i="1"/>
  <c r="T861" i="1"/>
  <c r="T865" i="1"/>
  <c r="T869" i="1"/>
  <c r="T873" i="1"/>
  <c r="T877" i="1"/>
  <c r="T885" i="1"/>
  <c r="T889" i="1"/>
  <c r="T893" i="1"/>
  <c r="T897" i="1"/>
  <c r="T901" i="1"/>
  <c r="T905" i="1"/>
  <c r="T909" i="1"/>
  <c r="T913" i="1"/>
  <c r="T917" i="1"/>
  <c r="T921" i="1"/>
  <c r="T925" i="1"/>
  <c r="T929" i="1"/>
  <c r="T933" i="1"/>
  <c r="T937" i="1"/>
  <c r="T941" i="1"/>
  <c r="T945" i="1"/>
  <c r="T949" i="1"/>
  <c r="T961" i="1"/>
  <c r="T965" i="1"/>
  <c r="T969" i="1"/>
  <c r="T973" i="1"/>
  <c r="T985" i="1"/>
  <c r="T989" i="1"/>
  <c r="T993" i="1"/>
  <c r="T997" i="1"/>
  <c r="T1001" i="1"/>
  <c r="T1005" i="1"/>
  <c r="T1017" i="1"/>
  <c r="T1021" i="1"/>
  <c r="T1025" i="1"/>
  <c r="T1029" i="1"/>
  <c r="T1033" i="1"/>
  <c r="T1037" i="1"/>
  <c r="T1041" i="1"/>
  <c r="T1045" i="1"/>
  <c r="T1049" i="1"/>
  <c r="T1053" i="1"/>
  <c r="T1057" i="1"/>
  <c r="T1061" i="1"/>
  <c r="T1065" i="1"/>
  <c r="T1069" i="1"/>
  <c r="T1073" i="1"/>
  <c r="T1077" i="1"/>
  <c r="T1081" i="1"/>
  <c r="T1085" i="1"/>
  <c r="T1089" i="1"/>
  <c r="T1093" i="1"/>
  <c r="T1097" i="1"/>
  <c r="T1101" i="1"/>
  <c r="T1105" i="1"/>
  <c r="T1109" i="1"/>
  <c r="T1113" i="1"/>
  <c r="T1117" i="1"/>
  <c r="T1121" i="1"/>
  <c r="T1125" i="1"/>
  <c r="T1129" i="1"/>
  <c r="T1133" i="1"/>
  <c r="T1137" i="1"/>
  <c r="T1141" i="1"/>
  <c r="T1145" i="1"/>
  <c r="T1149" i="1"/>
  <c r="T1153" i="1"/>
  <c r="T1157" i="1"/>
  <c r="T1161" i="1"/>
  <c r="T1165" i="1"/>
  <c r="T1169" i="1"/>
  <c r="T1173" i="1"/>
  <c r="T1177" i="1"/>
  <c r="T1181" i="1"/>
  <c r="T1185" i="1"/>
  <c r="T1189" i="1"/>
  <c r="T1193" i="1"/>
  <c r="T1197" i="1"/>
  <c r="T1201" i="1"/>
  <c r="T1205" i="1"/>
  <c r="T1209" i="1"/>
  <c r="T1213" i="1"/>
  <c r="T1217" i="1"/>
  <c r="T1221" i="1"/>
  <c r="T1225" i="1"/>
  <c r="T1229" i="1"/>
  <c r="T1233" i="1"/>
  <c r="T1237" i="1"/>
  <c r="T1241" i="1"/>
  <c r="T1245" i="1"/>
  <c r="T1249" i="1"/>
  <c r="T1253" i="1"/>
  <c r="U1253" i="1" s="1"/>
  <c r="T356" i="1"/>
  <c r="T432" i="1"/>
  <c r="T400" i="1"/>
  <c r="T335" i="1"/>
  <c r="T591" i="1"/>
  <c r="T17" i="1"/>
  <c r="T65" i="1"/>
  <c r="T81" i="1"/>
  <c r="T157" i="1"/>
  <c r="T173" i="1"/>
  <c r="T221" i="1"/>
  <c r="T237" i="1"/>
  <c r="T285" i="1"/>
  <c r="T301" i="1"/>
  <c r="T880" i="1"/>
  <c r="T26" i="1"/>
  <c r="T58" i="1"/>
  <c r="T410" i="1"/>
  <c r="T442" i="1"/>
  <c r="T634" i="1"/>
  <c r="T842" i="1"/>
  <c r="T42" i="1"/>
  <c r="T106" i="1"/>
  <c r="T378" i="1"/>
  <c r="T602" i="1"/>
  <c r="T730" i="1"/>
  <c r="T6" i="1"/>
  <c r="T22" i="1"/>
  <c r="T86" i="1"/>
  <c r="T126" i="1"/>
  <c r="T150" i="1"/>
  <c r="T166" i="1"/>
  <c r="T190" i="1"/>
  <c r="T206" i="1"/>
  <c r="T262" i="1"/>
  <c r="T278" i="1"/>
  <c r="T318" i="1"/>
  <c r="T358" i="1"/>
  <c r="T667" i="1"/>
  <c r="T710" i="1"/>
  <c r="T767" i="1"/>
  <c r="T867" i="1"/>
  <c r="T700" i="1"/>
  <c r="T776" i="1"/>
  <c r="T892" i="1"/>
  <c r="T968" i="1"/>
  <c r="T24" i="1"/>
  <c r="T45" i="1"/>
  <c r="T50" i="1"/>
  <c r="T88" i="1"/>
  <c r="T109" i="1"/>
  <c r="T145" i="1"/>
  <c r="T209" i="1"/>
  <c r="T273" i="1"/>
  <c r="T330" i="1"/>
  <c r="T351" i="1"/>
  <c r="T362" i="1"/>
  <c r="T372" i="1"/>
  <c r="T383" i="1"/>
  <c r="T394" i="1"/>
  <c r="T426" i="1"/>
  <c r="U426" i="1" s="1"/>
  <c r="T522" i="1"/>
  <c r="T554" i="1"/>
  <c r="T586" i="1"/>
  <c r="T639" i="1"/>
  <c r="T650" i="1"/>
  <c r="T714" i="1"/>
  <c r="T738" i="1"/>
  <c r="T918" i="1"/>
  <c r="T10" i="1"/>
  <c r="T74" i="1"/>
  <c r="T474" i="1"/>
  <c r="T567" i="1"/>
  <c r="T643" i="1"/>
  <c r="T943" i="1"/>
  <c r="T38" i="1"/>
  <c r="T102" i="1"/>
  <c r="T230" i="1"/>
  <c r="T294" i="1"/>
  <c r="T379" i="1"/>
  <c r="T539" i="1"/>
  <c r="T795" i="1"/>
  <c r="T529" i="1"/>
  <c r="T549" i="1"/>
  <c r="U549" i="1" s="1"/>
  <c r="T605" i="1"/>
  <c r="T681" i="1"/>
  <c r="T817" i="1"/>
  <c r="T1013" i="1"/>
  <c r="T662" i="1"/>
  <c r="U701" i="1" l="1"/>
  <c r="X701" i="1" s="1"/>
  <c r="BK701" i="1" s="1"/>
  <c r="U973" i="1"/>
  <c r="X973" i="1" s="1"/>
  <c r="BK973" i="1" s="1"/>
  <c r="U403" i="1"/>
  <c r="X403" i="1" s="1"/>
  <c r="BK403" i="1" s="1"/>
  <c r="U487" i="1"/>
  <c r="X487" i="1" s="1"/>
  <c r="BK487" i="1" s="1"/>
  <c r="U345" i="1"/>
  <c r="X345" i="1" s="1"/>
  <c r="BK345" i="1" s="1"/>
  <c r="U53" i="1"/>
  <c r="X53" i="1" s="1"/>
  <c r="BK53" i="1" s="1"/>
  <c r="U509" i="1"/>
  <c r="X509" i="1" s="1"/>
  <c r="BK509" i="1" s="1"/>
  <c r="U477" i="1"/>
  <c r="X477" i="1" s="1"/>
  <c r="BK477" i="1" s="1"/>
  <c r="U110" i="1"/>
  <c r="X110" i="1" s="1"/>
  <c r="BK110" i="1" s="1"/>
  <c r="U10" i="1"/>
  <c r="X10" i="1" s="1"/>
  <c r="BK10" i="1" s="1"/>
  <c r="U42" i="1"/>
  <c r="X42" i="1" s="1"/>
  <c r="BK42" i="1" s="1"/>
  <c r="U225" i="1"/>
  <c r="X225" i="1" s="1"/>
  <c r="BK225" i="1" s="1"/>
  <c r="U363" i="1"/>
  <c r="X363" i="1" s="1"/>
  <c r="BK363" i="1" s="1"/>
  <c r="U394" i="1"/>
  <c r="X394" i="1" s="1"/>
  <c r="BK394" i="1" s="1"/>
  <c r="U114" i="1"/>
  <c r="X114" i="1" s="1"/>
  <c r="BK114" i="1" s="1"/>
  <c r="U457" i="1"/>
  <c r="X457" i="1" s="1"/>
  <c r="BK457" i="1" s="1"/>
  <c r="U401" i="1"/>
  <c r="X401" i="1" s="1"/>
  <c r="BK401" i="1" s="1"/>
  <c r="U321" i="1"/>
  <c r="X321" i="1" s="1"/>
  <c r="BK321" i="1" s="1"/>
  <c r="U245" i="1"/>
  <c r="X245" i="1" s="1"/>
  <c r="BK245" i="1" s="1"/>
  <c r="U947" i="1"/>
  <c r="X947" i="1" s="1"/>
  <c r="BK947" i="1" s="1"/>
  <c r="U568" i="1"/>
  <c r="X568" i="1" s="1"/>
  <c r="BK568" i="1" s="1"/>
  <c r="U532" i="1"/>
  <c r="X532" i="1" s="1"/>
  <c r="BK532" i="1" s="1"/>
  <c r="U513" i="1"/>
  <c r="X513" i="1" s="1"/>
  <c r="BK513" i="1" s="1"/>
  <c r="U481" i="1"/>
  <c r="X481" i="1" s="1"/>
  <c r="BK481" i="1" s="1"/>
  <c r="U45" i="1"/>
  <c r="X45" i="1" s="1"/>
  <c r="BK45" i="1" s="1"/>
  <c r="U81" i="1"/>
  <c r="X81" i="1" s="1"/>
  <c r="BK81" i="1" s="1"/>
  <c r="U1005" i="1"/>
  <c r="X1005" i="1" s="1"/>
  <c r="BK1005" i="1" s="1"/>
  <c r="U177" i="1"/>
  <c r="X177" i="1" s="1"/>
  <c r="BK177" i="1" s="1"/>
  <c r="U1023" i="1"/>
  <c r="X1023" i="1" s="1"/>
  <c r="BK1023" i="1" s="1"/>
  <c r="U233" i="1"/>
  <c r="X233" i="1" s="1"/>
  <c r="BK233" i="1" s="1"/>
  <c r="U197" i="1"/>
  <c r="X197" i="1" s="1"/>
  <c r="BK197" i="1" s="1"/>
  <c r="U33" i="1"/>
  <c r="X33" i="1" s="1"/>
  <c r="BK33" i="1" s="1"/>
  <c r="U1237" i="1"/>
  <c r="U1221" i="1"/>
  <c r="U1213" i="1"/>
  <c r="U1197" i="1"/>
  <c r="U1181" i="1"/>
  <c r="U1165" i="1"/>
  <c r="U1149" i="1"/>
  <c r="U1133" i="1"/>
  <c r="U1117" i="1"/>
  <c r="U1101" i="1"/>
  <c r="U1085" i="1"/>
  <c r="U1069" i="1"/>
  <c r="U1061" i="1"/>
  <c r="U1053" i="1"/>
  <c r="U1045" i="1"/>
  <c r="X1045" i="1" s="1"/>
  <c r="BK1045" i="1" s="1"/>
  <c r="U1037" i="1"/>
  <c r="X1037" i="1" s="1"/>
  <c r="BK1037" i="1" s="1"/>
  <c r="U1029" i="1"/>
  <c r="X1029" i="1" s="1"/>
  <c r="BK1029" i="1" s="1"/>
  <c r="U869" i="1"/>
  <c r="X869" i="1" s="1"/>
  <c r="BK869" i="1" s="1"/>
  <c r="U809" i="1"/>
  <c r="X809" i="1" s="1"/>
  <c r="BK809" i="1" s="1"/>
  <c r="U801" i="1"/>
  <c r="X801" i="1" s="1"/>
  <c r="BK801" i="1" s="1"/>
  <c r="U777" i="1"/>
  <c r="X777" i="1" s="1"/>
  <c r="BK777" i="1" s="1"/>
  <c r="U689" i="1"/>
  <c r="X689" i="1" s="1"/>
  <c r="BK689" i="1" s="1"/>
  <c r="U525" i="1"/>
  <c r="X525" i="1" s="1"/>
  <c r="BK525" i="1" s="1"/>
  <c r="U963" i="1"/>
  <c r="X963" i="1" s="1"/>
  <c r="BK963" i="1" s="1"/>
  <c r="U287" i="1"/>
  <c r="X287" i="1" s="1"/>
  <c r="BK287" i="1" s="1"/>
  <c r="U282" i="1"/>
  <c r="X282" i="1" s="1"/>
  <c r="BK282" i="1" s="1"/>
  <c r="U1245" i="1"/>
  <c r="U1229" i="1"/>
  <c r="U1205" i="1"/>
  <c r="U1189" i="1"/>
  <c r="U1173" i="1"/>
  <c r="U1157" i="1"/>
  <c r="U1141" i="1"/>
  <c r="U1125" i="1"/>
  <c r="U1109" i="1"/>
  <c r="U1093" i="1"/>
  <c r="U1077" i="1"/>
  <c r="U1021" i="1"/>
  <c r="X1021" i="1" s="1"/>
  <c r="BK1021" i="1" s="1"/>
  <c r="U861" i="1"/>
  <c r="X861" i="1" s="1"/>
  <c r="BK861" i="1" s="1"/>
  <c r="U845" i="1"/>
  <c r="X845" i="1" s="1"/>
  <c r="BK845" i="1" s="1"/>
  <c r="U837" i="1"/>
  <c r="X837" i="1" s="1"/>
  <c r="BK837" i="1" s="1"/>
  <c r="U785" i="1"/>
  <c r="X785" i="1" s="1"/>
  <c r="BK785" i="1" s="1"/>
  <c r="U697" i="1"/>
  <c r="X697" i="1" s="1"/>
  <c r="BK697" i="1" s="1"/>
  <c r="U557" i="1"/>
  <c r="X557" i="1" s="1"/>
  <c r="BK557" i="1" s="1"/>
  <c r="U441" i="1"/>
  <c r="X441" i="1" s="1"/>
  <c r="BK441" i="1" s="1"/>
  <c r="U261" i="1"/>
  <c r="X261" i="1" s="1"/>
  <c r="BK261" i="1" s="1"/>
  <c r="U379" i="1"/>
  <c r="X379" i="1" s="1"/>
  <c r="BK379" i="1" s="1"/>
  <c r="U278" i="1"/>
  <c r="X278" i="1" s="1"/>
  <c r="BK278" i="1" s="1"/>
  <c r="U997" i="1"/>
  <c r="X997" i="1" s="1"/>
  <c r="BK997" i="1" s="1"/>
  <c r="U989" i="1"/>
  <c r="X989" i="1" s="1"/>
  <c r="BK989" i="1" s="1"/>
  <c r="U969" i="1"/>
  <c r="X969" i="1" s="1"/>
  <c r="BK969" i="1" s="1"/>
  <c r="U961" i="1"/>
  <c r="X961" i="1" s="1"/>
  <c r="BK961" i="1" s="1"/>
  <c r="U949" i="1"/>
  <c r="X949" i="1" s="1"/>
  <c r="BK949" i="1" s="1"/>
  <c r="U941" i="1"/>
  <c r="X941" i="1" s="1"/>
  <c r="BK941" i="1" s="1"/>
  <c r="U933" i="1"/>
  <c r="X933" i="1" s="1"/>
  <c r="BK933" i="1" s="1"/>
  <c r="U925" i="1"/>
  <c r="X925" i="1" s="1"/>
  <c r="BK925" i="1" s="1"/>
  <c r="U909" i="1"/>
  <c r="X909" i="1" s="1"/>
  <c r="BK909" i="1" s="1"/>
  <c r="U901" i="1"/>
  <c r="X901" i="1" s="1"/>
  <c r="BK901" i="1" s="1"/>
  <c r="U893" i="1"/>
  <c r="X893" i="1" s="1"/>
  <c r="BK893" i="1" s="1"/>
  <c r="U885" i="1"/>
  <c r="X885" i="1" s="1"/>
  <c r="BK885" i="1" s="1"/>
  <c r="U833" i="1"/>
  <c r="X833" i="1" s="1"/>
  <c r="BK833" i="1" s="1"/>
  <c r="U825" i="1"/>
  <c r="X825" i="1" s="1"/>
  <c r="BK825" i="1" s="1"/>
  <c r="U753" i="1"/>
  <c r="X753" i="1" s="1"/>
  <c r="BK753" i="1" s="1"/>
  <c r="U733" i="1"/>
  <c r="X733" i="1" s="1"/>
  <c r="BK733" i="1" s="1"/>
  <c r="U725" i="1"/>
  <c r="X725" i="1" s="1"/>
  <c r="BK725" i="1" s="1"/>
  <c r="U717" i="1"/>
  <c r="X717" i="1" s="1"/>
  <c r="BK717" i="1" s="1"/>
  <c r="U669" i="1"/>
  <c r="X669" i="1" s="1"/>
  <c r="BK669" i="1" s="1"/>
  <c r="U613" i="1"/>
  <c r="X613" i="1" s="1"/>
  <c r="BK613" i="1" s="1"/>
  <c r="U581" i="1"/>
  <c r="X581" i="1" s="1"/>
  <c r="BK581" i="1" s="1"/>
  <c r="U541" i="1"/>
  <c r="X541" i="1" s="1"/>
  <c r="BK541" i="1" s="1"/>
  <c r="U501" i="1"/>
  <c r="X501" i="1" s="1"/>
  <c r="BK501" i="1" s="1"/>
  <c r="U469" i="1"/>
  <c r="X469" i="1" s="1"/>
  <c r="BK469" i="1" s="1"/>
  <c r="U453" i="1"/>
  <c r="X453" i="1" s="1"/>
  <c r="BK453" i="1" s="1"/>
  <c r="U437" i="1"/>
  <c r="X437" i="1" s="1"/>
  <c r="BK437" i="1" s="1"/>
  <c r="U413" i="1"/>
  <c r="X413" i="1" s="1"/>
  <c r="BK413" i="1" s="1"/>
  <c r="U289" i="1"/>
  <c r="X289" i="1" s="1"/>
  <c r="BK289" i="1" s="1"/>
  <c r="U257" i="1"/>
  <c r="X257" i="1" s="1"/>
  <c r="BK257" i="1" s="1"/>
  <c r="U241" i="1"/>
  <c r="X241" i="1" s="1"/>
  <c r="BK241" i="1" s="1"/>
  <c r="U201" i="1"/>
  <c r="X201" i="1" s="1"/>
  <c r="BK201" i="1" s="1"/>
  <c r="U149" i="1"/>
  <c r="X149" i="1" s="1"/>
  <c r="BK149" i="1" s="1"/>
  <c r="U1123" i="1"/>
  <c r="U1059" i="1"/>
  <c r="U980" i="1"/>
  <c r="X980" i="1" s="1"/>
  <c r="BK980" i="1" s="1"/>
  <c r="U814" i="1"/>
  <c r="X814" i="1" s="1"/>
  <c r="BK814" i="1" s="1"/>
  <c r="U375" i="1"/>
  <c r="X375" i="1" s="1"/>
  <c r="BK375" i="1" s="1"/>
  <c r="U309" i="1"/>
  <c r="X309" i="1" s="1"/>
  <c r="BK309" i="1" s="1"/>
  <c r="U259" i="1"/>
  <c r="X259" i="1" s="1"/>
  <c r="BK259" i="1" s="1"/>
  <c r="U105" i="1"/>
  <c r="X105" i="1" s="1"/>
  <c r="BK105" i="1" s="1"/>
  <c r="U944" i="1"/>
  <c r="X944" i="1" s="1"/>
  <c r="BK944" i="1" s="1"/>
  <c r="U813" i="1"/>
  <c r="X813" i="1" s="1"/>
  <c r="BK813" i="1" s="1"/>
  <c r="U281" i="1"/>
  <c r="X281" i="1" s="1"/>
  <c r="BK281" i="1" s="1"/>
  <c r="U643" i="1"/>
  <c r="X643" i="1" s="1"/>
  <c r="BK643" i="1" s="1"/>
  <c r="U358" i="1"/>
  <c r="X358" i="1" s="1"/>
  <c r="BK358" i="1" s="1"/>
  <c r="U206" i="1"/>
  <c r="X206" i="1" s="1"/>
  <c r="BK206" i="1" s="1"/>
  <c r="U266" i="1"/>
  <c r="X266" i="1" s="1"/>
  <c r="BK266" i="1" s="1"/>
  <c r="U795" i="1"/>
  <c r="X795" i="1" s="1"/>
  <c r="BK795" i="1" s="1"/>
  <c r="U650" i="1"/>
  <c r="X650" i="1" s="1"/>
  <c r="BK650" i="1" s="1"/>
  <c r="X367" i="1"/>
  <c r="BK367" i="1" s="1"/>
  <c r="U372" i="1"/>
  <c r="X372" i="1" s="1"/>
  <c r="BK372" i="1" s="1"/>
  <c r="U371" i="1"/>
  <c r="X371" i="1" s="1"/>
  <c r="BK371" i="1" s="1"/>
  <c r="U968" i="1"/>
  <c r="X968" i="1" s="1"/>
  <c r="BK968" i="1" s="1"/>
  <c r="U967" i="1"/>
  <c r="X967" i="1" s="1"/>
  <c r="BK967" i="1" s="1"/>
  <c r="U966" i="1"/>
  <c r="X966" i="1" s="1"/>
  <c r="BK966" i="1" s="1"/>
  <c r="U126" i="1"/>
  <c r="X126" i="1" s="1"/>
  <c r="BK126" i="1" s="1"/>
  <c r="U125" i="1"/>
  <c r="X125" i="1" s="1"/>
  <c r="BK125" i="1" s="1"/>
  <c r="U124" i="1"/>
  <c r="X124" i="1" s="1"/>
  <c r="BK124" i="1" s="1"/>
  <c r="U123" i="1"/>
  <c r="X123" i="1" s="1"/>
  <c r="BK123" i="1" s="1"/>
  <c r="U730" i="1"/>
  <c r="X730" i="1" s="1"/>
  <c r="BK730" i="1" s="1"/>
  <c r="U410" i="1"/>
  <c r="X410" i="1" s="1"/>
  <c r="BK410" i="1" s="1"/>
  <c r="U65" i="1"/>
  <c r="X65" i="1" s="1"/>
  <c r="BK65" i="1" s="1"/>
  <c r="U61" i="1"/>
  <c r="X61" i="1" s="1"/>
  <c r="BK61" i="1" s="1"/>
  <c r="U63" i="1"/>
  <c r="X63" i="1" s="1"/>
  <c r="BK63" i="1" s="1"/>
  <c r="U64" i="1"/>
  <c r="X64" i="1" s="1"/>
  <c r="BK64" i="1" s="1"/>
  <c r="U62" i="1"/>
  <c r="X62" i="1" s="1"/>
  <c r="BK62" i="1" s="1"/>
  <c r="U400" i="1"/>
  <c r="X400" i="1" s="1"/>
  <c r="BK400" i="1" s="1"/>
  <c r="U399" i="1"/>
  <c r="X399" i="1" s="1"/>
  <c r="BK399" i="1" s="1"/>
  <c r="U273" i="1"/>
  <c r="X273" i="1" s="1"/>
  <c r="BK273" i="1" s="1"/>
  <c r="U272" i="1"/>
  <c r="X272" i="1" s="1"/>
  <c r="BK272" i="1" s="1"/>
  <c r="U271" i="1"/>
  <c r="X271" i="1" s="1"/>
  <c r="BK271" i="1" s="1"/>
  <c r="U662" i="1"/>
  <c r="X662" i="1" s="1"/>
  <c r="BK662" i="1" s="1"/>
  <c r="U605" i="1"/>
  <c r="X605" i="1" s="1"/>
  <c r="BK605" i="1" s="1"/>
  <c r="U604" i="1"/>
  <c r="X604" i="1" s="1"/>
  <c r="BK604" i="1" s="1"/>
  <c r="U603" i="1"/>
  <c r="X603" i="1" s="1"/>
  <c r="BK603" i="1" s="1"/>
  <c r="U539" i="1"/>
  <c r="X539" i="1" s="1"/>
  <c r="BK539" i="1" s="1"/>
  <c r="U102" i="1"/>
  <c r="U101" i="1"/>
  <c r="X101" i="1" s="1"/>
  <c r="BK101" i="1" s="1"/>
  <c r="U99" i="1"/>
  <c r="X99" i="1" s="1"/>
  <c r="BK99" i="1" s="1"/>
  <c r="U567" i="1"/>
  <c r="X567" i="1" s="1"/>
  <c r="BK567" i="1" s="1"/>
  <c r="U566" i="1"/>
  <c r="X566" i="1" s="1"/>
  <c r="BK566" i="1" s="1"/>
  <c r="U918" i="1"/>
  <c r="X918" i="1" s="1"/>
  <c r="BK918" i="1" s="1"/>
  <c r="U639" i="1"/>
  <c r="X639" i="1" s="1"/>
  <c r="BK639" i="1" s="1"/>
  <c r="U362" i="1"/>
  <c r="X362" i="1" s="1"/>
  <c r="BK362" i="1" s="1"/>
  <c r="U209" i="1"/>
  <c r="X209" i="1" s="1"/>
  <c r="BK209" i="1" s="1"/>
  <c r="U208" i="1"/>
  <c r="X208" i="1" s="1"/>
  <c r="BK208" i="1" s="1"/>
  <c r="U207" i="1"/>
  <c r="X207" i="1" s="1"/>
  <c r="BK207" i="1" s="1"/>
  <c r="U50" i="1"/>
  <c r="X50" i="1" s="1"/>
  <c r="BK50" i="1" s="1"/>
  <c r="U892" i="1"/>
  <c r="X892" i="1" s="1"/>
  <c r="BK892" i="1" s="1"/>
  <c r="U891" i="1"/>
  <c r="X891" i="1" s="1"/>
  <c r="BK891" i="1" s="1"/>
  <c r="U767" i="1"/>
  <c r="X767" i="1" s="1"/>
  <c r="BK767" i="1" s="1"/>
  <c r="U318" i="1"/>
  <c r="X318" i="1" s="1"/>
  <c r="BK318" i="1" s="1"/>
  <c r="U190" i="1"/>
  <c r="X190" i="1" s="1"/>
  <c r="BK190" i="1" s="1"/>
  <c r="U86" i="1"/>
  <c r="X86" i="1" s="1"/>
  <c r="BK86" i="1" s="1"/>
  <c r="U602" i="1"/>
  <c r="X602" i="1" s="1"/>
  <c r="BK602" i="1" s="1"/>
  <c r="U842" i="1"/>
  <c r="X842" i="1" s="1"/>
  <c r="BK842" i="1" s="1"/>
  <c r="U58" i="1"/>
  <c r="X58" i="1" s="1"/>
  <c r="BK58" i="1" s="1"/>
  <c r="U221" i="1"/>
  <c r="X221" i="1" s="1"/>
  <c r="BK221" i="1" s="1"/>
  <c r="U157" i="1"/>
  <c r="X157" i="1" s="1"/>
  <c r="BK157" i="1" s="1"/>
  <c r="U356" i="1"/>
  <c r="X356" i="1" s="1"/>
  <c r="BK356" i="1" s="1"/>
  <c r="U355" i="1"/>
  <c r="X355" i="1" s="1"/>
  <c r="BK355" i="1" s="1"/>
  <c r="U681" i="1"/>
  <c r="X681" i="1" s="1"/>
  <c r="BK681" i="1" s="1"/>
  <c r="U230" i="1"/>
  <c r="X230" i="1" s="1"/>
  <c r="BK230" i="1" s="1"/>
  <c r="U229" i="1"/>
  <c r="X229" i="1" s="1"/>
  <c r="BK229" i="1" s="1"/>
  <c r="U522" i="1"/>
  <c r="X522" i="1" s="1"/>
  <c r="BK522" i="1" s="1"/>
  <c r="U88" i="1"/>
  <c r="X88" i="1" s="1"/>
  <c r="BK88" i="1" s="1"/>
  <c r="U87" i="1"/>
  <c r="X87" i="1" s="1"/>
  <c r="BK87" i="1" s="1"/>
  <c r="U867" i="1"/>
  <c r="X867" i="1" s="1"/>
  <c r="BK867" i="1" s="1"/>
  <c r="U880" i="1"/>
  <c r="X880" i="1" s="1"/>
  <c r="BK880" i="1" s="1"/>
  <c r="U879" i="1"/>
  <c r="X879" i="1" s="1"/>
  <c r="BK879" i="1" s="1"/>
  <c r="U591" i="1"/>
  <c r="X591" i="1" s="1"/>
  <c r="BK591" i="1" s="1"/>
  <c r="U1187" i="1"/>
  <c r="U227" i="1"/>
  <c r="X227" i="1" s="1"/>
  <c r="BK227" i="1" s="1"/>
  <c r="U1013" i="1"/>
  <c r="X1013" i="1" s="1"/>
  <c r="BK1013" i="1" s="1"/>
  <c r="U38" i="1"/>
  <c r="X38" i="1" s="1"/>
  <c r="BK38" i="1" s="1"/>
  <c r="U474" i="1"/>
  <c r="X474" i="1" s="1"/>
  <c r="BK474" i="1" s="1"/>
  <c r="U738" i="1"/>
  <c r="X738" i="1" s="1"/>
  <c r="BK738" i="1" s="1"/>
  <c r="U586" i="1"/>
  <c r="X586" i="1" s="1"/>
  <c r="BK586" i="1" s="1"/>
  <c r="U585" i="1"/>
  <c r="X585" i="1" s="1"/>
  <c r="BK585" i="1" s="1"/>
  <c r="U351" i="1"/>
  <c r="X351" i="1" s="1"/>
  <c r="BK351" i="1" s="1"/>
  <c r="U145" i="1"/>
  <c r="X145" i="1" s="1"/>
  <c r="BK145" i="1" s="1"/>
  <c r="U776" i="1"/>
  <c r="X776" i="1" s="1"/>
  <c r="BK776" i="1" s="1"/>
  <c r="U775" i="1"/>
  <c r="X775" i="1" s="1"/>
  <c r="BK775" i="1" s="1"/>
  <c r="U710" i="1"/>
  <c r="X710" i="1" s="1"/>
  <c r="BK710" i="1" s="1"/>
  <c r="U166" i="1"/>
  <c r="X166" i="1" s="1"/>
  <c r="BK166" i="1" s="1"/>
  <c r="U22" i="1"/>
  <c r="X22" i="1" s="1"/>
  <c r="BK22" i="1" s="1"/>
  <c r="U19" i="1"/>
  <c r="X19" i="1" s="1"/>
  <c r="BK19" i="1" s="1"/>
  <c r="U21" i="1"/>
  <c r="X21" i="1" s="1"/>
  <c r="BK21" i="1" s="1"/>
  <c r="U20" i="1"/>
  <c r="X20" i="1" s="1"/>
  <c r="BK20" i="1" s="1"/>
  <c r="U378" i="1"/>
  <c r="X378" i="1" s="1"/>
  <c r="BK378" i="1" s="1"/>
  <c r="U634" i="1"/>
  <c r="X634" i="1" s="1"/>
  <c r="BK634" i="1" s="1"/>
  <c r="U633" i="1"/>
  <c r="X633" i="1" s="1"/>
  <c r="BK633" i="1" s="1"/>
  <c r="U26" i="1"/>
  <c r="X26" i="1" s="1"/>
  <c r="BK26" i="1" s="1"/>
  <c r="U301" i="1"/>
  <c r="X301" i="1" s="1"/>
  <c r="BK301" i="1" s="1"/>
  <c r="U17" i="1"/>
  <c r="X17" i="1" s="1"/>
  <c r="BK17" i="1" s="1"/>
  <c r="U335" i="1"/>
  <c r="X335" i="1" s="1"/>
  <c r="BK335" i="1" s="1"/>
  <c r="U1249" i="1"/>
  <c r="U1185" i="1"/>
  <c r="U1177" i="1"/>
  <c r="U1153" i="1"/>
  <c r="U1145" i="1"/>
  <c r="U1113" i="1"/>
  <c r="U1097" i="1"/>
  <c r="U1081" i="1"/>
  <c r="U1073" i="1"/>
  <c r="U1065" i="1"/>
  <c r="U1049" i="1"/>
  <c r="U1033" i="1"/>
  <c r="X1033" i="1" s="1"/>
  <c r="BK1033" i="1" s="1"/>
  <c r="U1017" i="1"/>
  <c r="X1017" i="1" s="1"/>
  <c r="BK1017" i="1" s="1"/>
  <c r="U873" i="1"/>
  <c r="X873" i="1" s="1"/>
  <c r="BK873" i="1" s="1"/>
  <c r="U857" i="1"/>
  <c r="X857" i="1" s="1"/>
  <c r="BK857" i="1" s="1"/>
  <c r="U805" i="1"/>
  <c r="X805" i="1" s="1"/>
  <c r="BK805" i="1" s="1"/>
  <c r="U645" i="1"/>
  <c r="X645" i="1" s="1"/>
  <c r="BK645" i="1" s="1"/>
  <c r="U625" i="1"/>
  <c r="X625" i="1" s="1"/>
  <c r="BK625" i="1" s="1"/>
  <c r="U589" i="1"/>
  <c r="X589" i="1" s="1"/>
  <c r="BK589" i="1" s="1"/>
  <c r="U577" i="1"/>
  <c r="X577" i="1" s="1"/>
  <c r="BK577" i="1" s="1"/>
  <c r="U465" i="1"/>
  <c r="X465" i="1" s="1"/>
  <c r="BK465" i="1" s="1"/>
  <c r="U425" i="1"/>
  <c r="X425" i="1" s="1"/>
  <c r="BK425" i="1" s="1"/>
  <c r="U313" i="1"/>
  <c r="X313" i="1" s="1"/>
  <c r="BK313" i="1" s="1"/>
  <c r="U253" i="1"/>
  <c r="X253" i="1" s="1"/>
  <c r="BK253" i="1" s="1"/>
  <c r="U252" i="1"/>
  <c r="X252" i="1" s="1"/>
  <c r="BK252" i="1" s="1"/>
  <c r="U251" i="1"/>
  <c r="X251" i="1" s="1"/>
  <c r="BK251" i="1" s="1"/>
  <c r="U165" i="1"/>
  <c r="X165" i="1" s="1"/>
  <c r="BK165" i="1" s="1"/>
  <c r="U960" i="1"/>
  <c r="X960" i="1" s="1"/>
  <c r="BK960" i="1" s="1"/>
  <c r="U959" i="1"/>
  <c r="X959" i="1" s="1"/>
  <c r="BK959" i="1" s="1"/>
  <c r="U958" i="1"/>
  <c r="X958" i="1" s="1"/>
  <c r="BK958" i="1" s="1"/>
  <c r="U957" i="1"/>
  <c r="X957" i="1" s="1"/>
  <c r="BK957" i="1" s="1"/>
  <c r="U952" i="1"/>
  <c r="X952" i="1" s="1"/>
  <c r="BK952" i="1" s="1"/>
  <c r="U951" i="1"/>
  <c r="X951" i="1" s="1"/>
  <c r="BK951" i="1" s="1"/>
  <c r="U936" i="1"/>
  <c r="X936" i="1" s="1"/>
  <c r="BK936" i="1" s="1"/>
  <c r="U935" i="1"/>
  <c r="X935" i="1" s="1"/>
  <c r="BK935" i="1" s="1"/>
  <c r="U928" i="1"/>
  <c r="X928" i="1" s="1"/>
  <c r="BK928" i="1" s="1"/>
  <c r="U927" i="1"/>
  <c r="X927" i="1" s="1"/>
  <c r="BK927" i="1" s="1"/>
  <c r="U920" i="1"/>
  <c r="X920" i="1" s="1"/>
  <c r="BK920" i="1" s="1"/>
  <c r="U919" i="1"/>
  <c r="X919" i="1" s="1"/>
  <c r="BK919" i="1" s="1"/>
  <c r="U884" i="1"/>
  <c r="X884" i="1" s="1"/>
  <c r="BK884" i="1" s="1"/>
  <c r="U881" i="1"/>
  <c r="X881" i="1" s="1"/>
  <c r="BK881" i="1" s="1"/>
  <c r="U883" i="1"/>
  <c r="X883" i="1" s="1"/>
  <c r="BK883" i="1" s="1"/>
  <c r="U848" i="1"/>
  <c r="X848" i="1" s="1"/>
  <c r="BK848" i="1" s="1"/>
  <c r="U847" i="1"/>
  <c r="X847" i="1" s="1"/>
  <c r="BK847" i="1" s="1"/>
  <c r="U840" i="1"/>
  <c r="X840" i="1" s="1"/>
  <c r="BK840" i="1" s="1"/>
  <c r="U838" i="1"/>
  <c r="X838" i="1" s="1"/>
  <c r="BK838" i="1" s="1"/>
  <c r="U839" i="1"/>
  <c r="X839" i="1" s="1"/>
  <c r="BK839" i="1" s="1"/>
  <c r="U832" i="1"/>
  <c r="X832" i="1" s="1"/>
  <c r="BK832" i="1" s="1"/>
  <c r="U831" i="1"/>
  <c r="X831" i="1" s="1"/>
  <c r="BK831" i="1" s="1"/>
  <c r="U824" i="1"/>
  <c r="X824" i="1" s="1"/>
  <c r="BK824" i="1" s="1"/>
  <c r="U823" i="1"/>
  <c r="X823" i="1" s="1"/>
  <c r="BK823" i="1" s="1"/>
  <c r="U788" i="1"/>
  <c r="X788" i="1" s="1"/>
  <c r="BK788" i="1" s="1"/>
  <c r="U787" i="1"/>
  <c r="X787" i="1" s="1"/>
  <c r="BK787" i="1" s="1"/>
  <c r="U780" i="1"/>
  <c r="X780" i="1" s="1"/>
  <c r="BK780" i="1" s="1"/>
  <c r="U752" i="1"/>
  <c r="X752" i="1" s="1"/>
  <c r="BK752" i="1" s="1"/>
  <c r="U751" i="1"/>
  <c r="X751" i="1" s="1"/>
  <c r="BK751" i="1" s="1"/>
  <c r="U744" i="1"/>
  <c r="X744" i="1" s="1"/>
  <c r="BK744" i="1" s="1"/>
  <c r="U743" i="1"/>
  <c r="X743" i="1" s="1"/>
  <c r="BK743" i="1" s="1"/>
  <c r="U736" i="1"/>
  <c r="X736" i="1" s="1"/>
  <c r="BK736" i="1" s="1"/>
  <c r="U660" i="1"/>
  <c r="X660" i="1" s="1"/>
  <c r="BK660" i="1" s="1"/>
  <c r="U659" i="1"/>
  <c r="X659" i="1" s="1"/>
  <c r="BK659" i="1" s="1"/>
  <c r="U636" i="1"/>
  <c r="X636" i="1" s="1"/>
  <c r="BK636" i="1" s="1"/>
  <c r="U635" i="1"/>
  <c r="X635" i="1" s="1"/>
  <c r="BK635" i="1" s="1"/>
  <c r="U624" i="1"/>
  <c r="X624" i="1" s="1"/>
  <c r="BK624" i="1" s="1"/>
  <c r="U623" i="1"/>
  <c r="X623" i="1" s="1"/>
  <c r="BK623" i="1" s="1"/>
  <c r="U616" i="1"/>
  <c r="X616" i="1" s="1"/>
  <c r="BK616" i="1" s="1"/>
  <c r="U615" i="1"/>
  <c r="X615" i="1" s="1"/>
  <c r="BK615" i="1" s="1"/>
  <c r="U588" i="1"/>
  <c r="X588" i="1" s="1"/>
  <c r="BK588" i="1" s="1"/>
  <c r="U587" i="1"/>
  <c r="X587" i="1" s="1"/>
  <c r="BK587" i="1" s="1"/>
  <c r="U576" i="1"/>
  <c r="X576" i="1" s="1"/>
  <c r="BK576" i="1" s="1"/>
  <c r="U573" i="1"/>
  <c r="X573" i="1" s="1"/>
  <c r="BK573" i="1" s="1"/>
  <c r="U560" i="1"/>
  <c r="X560" i="1" s="1"/>
  <c r="BK560" i="1" s="1"/>
  <c r="U559" i="1"/>
  <c r="X559" i="1" s="1"/>
  <c r="BK559" i="1" s="1"/>
  <c r="U540" i="1"/>
  <c r="X540" i="1" s="1"/>
  <c r="BK540" i="1" s="1"/>
  <c r="U524" i="1"/>
  <c r="X524" i="1" s="1"/>
  <c r="BK524" i="1" s="1"/>
  <c r="U523" i="1"/>
  <c r="X523" i="1" s="1"/>
  <c r="BK523" i="1" s="1"/>
  <c r="U500" i="1"/>
  <c r="X500" i="1" s="1"/>
  <c r="BK500" i="1" s="1"/>
  <c r="U498" i="1"/>
  <c r="X498" i="1" s="1"/>
  <c r="BK498" i="1" s="1"/>
  <c r="U499" i="1"/>
  <c r="X499" i="1" s="1"/>
  <c r="BK499" i="1" s="1"/>
  <c r="U480" i="1"/>
  <c r="X480" i="1" s="1"/>
  <c r="BK480" i="1" s="1"/>
  <c r="U479" i="1"/>
  <c r="X479" i="1" s="1"/>
  <c r="BK479" i="1" s="1"/>
  <c r="U464" i="1"/>
  <c r="X464" i="1" s="1"/>
  <c r="BK464" i="1" s="1"/>
  <c r="U463" i="1"/>
  <c r="X463" i="1" s="1"/>
  <c r="BK463" i="1" s="1"/>
  <c r="U448" i="1"/>
  <c r="X448" i="1" s="1"/>
  <c r="BK448" i="1" s="1"/>
  <c r="U447" i="1"/>
  <c r="X447" i="1" s="1"/>
  <c r="BK447" i="1" s="1"/>
  <c r="U396" i="1"/>
  <c r="X396" i="1" s="1"/>
  <c r="BK396" i="1" s="1"/>
  <c r="U395" i="1"/>
  <c r="X395" i="1" s="1"/>
  <c r="BK395" i="1" s="1"/>
  <c r="U392" i="1"/>
  <c r="X392" i="1" s="1"/>
  <c r="BK392" i="1" s="1"/>
  <c r="U391" i="1"/>
  <c r="X391" i="1" s="1"/>
  <c r="BK391" i="1" s="1"/>
  <c r="U388" i="1"/>
  <c r="X388" i="1" s="1"/>
  <c r="BK388" i="1" s="1"/>
  <c r="U387" i="1"/>
  <c r="X387" i="1" s="1"/>
  <c r="BK387" i="1" s="1"/>
  <c r="U386" i="1"/>
  <c r="X386" i="1" s="1"/>
  <c r="BK386" i="1" s="1"/>
  <c r="U384" i="1"/>
  <c r="X384" i="1" s="1"/>
  <c r="BK384" i="1" s="1"/>
  <c r="U360" i="1"/>
  <c r="X360" i="1" s="1"/>
  <c r="BK360" i="1" s="1"/>
  <c r="U359" i="1"/>
  <c r="X359" i="1" s="1"/>
  <c r="BK359" i="1" s="1"/>
  <c r="U84" i="1"/>
  <c r="X84" i="1" s="1"/>
  <c r="BK84" i="1" s="1"/>
  <c r="U82" i="1"/>
  <c r="X82" i="1" s="1"/>
  <c r="BK82" i="1" s="1"/>
  <c r="U83" i="1"/>
  <c r="X83" i="1" s="1"/>
  <c r="BK83" i="1" s="1"/>
  <c r="U80" i="1"/>
  <c r="X80" i="1" s="1"/>
  <c r="BK80" i="1" s="1"/>
  <c r="U79" i="1"/>
  <c r="X79" i="1" s="1"/>
  <c r="BK79" i="1" s="1"/>
  <c r="U76" i="1"/>
  <c r="X76" i="1" s="1"/>
  <c r="BK76" i="1" s="1"/>
  <c r="U75" i="1"/>
  <c r="X75" i="1" s="1"/>
  <c r="BK75" i="1" s="1"/>
  <c r="U72" i="1"/>
  <c r="X72" i="1" s="1"/>
  <c r="BK72" i="1" s="1"/>
  <c r="U68" i="1"/>
  <c r="X68" i="1" s="1"/>
  <c r="BK68" i="1" s="1"/>
  <c r="U67" i="1"/>
  <c r="X67" i="1" s="1"/>
  <c r="BK67" i="1" s="1"/>
  <c r="U12" i="1"/>
  <c r="X12" i="1" s="1"/>
  <c r="BK12" i="1" s="1"/>
  <c r="U11" i="1"/>
  <c r="X11" i="1" s="1"/>
  <c r="BK11" i="1" s="1"/>
  <c r="U71" i="1"/>
  <c r="X71" i="1" s="1"/>
  <c r="BK71" i="1" s="1"/>
  <c r="U709" i="1"/>
  <c r="X709" i="1" s="1"/>
  <c r="BK709" i="1" s="1"/>
  <c r="U349" i="1"/>
  <c r="X349" i="1" s="1"/>
  <c r="BK349" i="1" s="1"/>
  <c r="U917" i="1"/>
  <c r="X917" i="1" s="1"/>
  <c r="BK917" i="1" s="1"/>
  <c r="U1241" i="1"/>
  <c r="U1233" i="1"/>
  <c r="U1225" i="1"/>
  <c r="U1217" i="1"/>
  <c r="U1209" i="1"/>
  <c r="U1201" i="1"/>
  <c r="U1193" i="1"/>
  <c r="U1169" i="1"/>
  <c r="U1161" i="1"/>
  <c r="U1137" i="1"/>
  <c r="U1129" i="1"/>
  <c r="U1121" i="1"/>
  <c r="U1105" i="1"/>
  <c r="U1089" i="1"/>
  <c r="U1057" i="1"/>
  <c r="U1041" i="1"/>
  <c r="X1041" i="1" s="1"/>
  <c r="BK1041" i="1" s="1"/>
  <c r="U1025" i="1"/>
  <c r="X1025" i="1" s="1"/>
  <c r="BK1025" i="1" s="1"/>
  <c r="U865" i="1"/>
  <c r="X865" i="1" s="1"/>
  <c r="BK865" i="1" s="1"/>
  <c r="U849" i="1"/>
  <c r="X849" i="1" s="1"/>
  <c r="BK849" i="1" s="1"/>
  <c r="U841" i="1"/>
  <c r="X841" i="1" s="1"/>
  <c r="BK841" i="1" s="1"/>
  <c r="U797" i="1"/>
  <c r="X797" i="1" s="1"/>
  <c r="BK797" i="1" s="1"/>
  <c r="U789" i="1"/>
  <c r="X789" i="1" s="1"/>
  <c r="BK789" i="1" s="1"/>
  <c r="U781" i="1"/>
  <c r="X781" i="1" s="1"/>
  <c r="BK781" i="1" s="1"/>
  <c r="U773" i="1"/>
  <c r="X773" i="1" s="1"/>
  <c r="BK773" i="1" s="1"/>
  <c r="U693" i="1"/>
  <c r="X693" i="1" s="1"/>
  <c r="BK693" i="1" s="1"/>
  <c r="U685" i="1"/>
  <c r="X685" i="1" s="1"/>
  <c r="BK685" i="1" s="1"/>
  <c r="U561" i="1"/>
  <c r="X561" i="1" s="1"/>
  <c r="BK561" i="1" s="1"/>
  <c r="U497" i="1"/>
  <c r="X497" i="1" s="1"/>
  <c r="BK497" i="1" s="1"/>
  <c r="U449" i="1"/>
  <c r="X449" i="1" s="1"/>
  <c r="BK449" i="1" s="1"/>
  <c r="U409" i="1"/>
  <c r="X409" i="1" s="1"/>
  <c r="BK409" i="1" s="1"/>
  <c r="U389" i="1"/>
  <c r="X389" i="1" s="1"/>
  <c r="BK389" i="1" s="1"/>
  <c r="U361" i="1"/>
  <c r="X361" i="1" s="1"/>
  <c r="BK361" i="1" s="1"/>
  <c r="U329" i="1"/>
  <c r="X329" i="1" s="1"/>
  <c r="BK329" i="1" s="1"/>
  <c r="U817" i="1"/>
  <c r="X817" i="1" s="1"/>
  <c r="BK817" i="1" s="1"/>
  <c r="U529" i="1"/>
  <c r="X529" i="1" s="1"/>
  <c r="BK529" i="1" s="1"/>
  <c r="U294" i="1"/>
  <c r="X294" i="1" s="1"/>
  <c r="BK294" i="1" s="1"/>
  <c r="U943" i="1"/>
  <c r="X943" i="1" s="1"/>
  <c r="BK943" i="1" s="1"/>
  <c r="U74" i="1"/>
  <c r="X74" i="1" s="1"/>
  <c r="BK74" i="1" s="1"/>
  <c r="U73" i="1"/>
  <c r="X73" i="1" s="1"/>
  <c r="BK73" i="1" s="1"/>
  <c r="U714" i="1"/>
  <c r="X714" i="1" s="1"/>
  <c r="BK714" i="1" s="1"/>
  <c r="U554" i="1"/>
  <c r="X554" i="1" s="1"/>
  <c r="BK554" i="1" s="1"/>
  <c r="U383" i="1"/>
  <c r="X383" i="1" s="1"/>
  <c r="BK383" i="1" s="1"/>
  <c r="U330" i="1"/>
  <c r="X330" i="1" s="1"/>
  <c r="BK330" i="1" s="1"/>
  <c r="U109" i="1"/>
  <c r="X109" i="1" s="1"/>
  <c r="BK109" i="1" s="1"/>
  <c r="U24" i="1"/>
  <c r="X24" i="1" s="1"/>
  <c r="BK24" i="1" s="1"/>
  <c r="U23" i="1"/>
  <c r="X23" i="1" s="1"/>
  <c r="BK23" i="1" s="1"/>
  <c r="U700" i="1"/>
  <c r="X700" i="1" s="1"/>
  <c r="BK700" i="1" s="1"/>
  <c r="U698" i="1"/>
  <c r="X698" i="1" s="1"/>
  <c r="BK698" i="1" s="1"/>
  <c r="U699" i="1"/>
  <c r="X699" i="1" s="1"/>
  <c r="BK699" i="1" s="1"/>
  <c r="U667" i="1"/>
  <c r="X667" i="1" s="1"/>
  <c r="BK667" i="1" s="1"/>
  <c r="U262" i="1"/>
  <c r="X262" i="1" s="1"/>
  <c r="BK262" i="1" s="1"/>
  <c r="U150" i="1"/>
  <c r="X150" i="1" s="1"/>
  <c r="BK150" i="1" s="1"/>
  <c r="U2" i="1"/>
  <c r="X2" i="1" s="1"/>
  <c r="U6" i="1"/>
  <c r="X6" i="1" s="1"/>
  <c r="BK6" i="1" s="1"/>
  <c r="U3" i="1"/>
  <c r="X3" i="1" s="1"/>
  <c r="BK3" i="1" s="1"/>
  <c r="U4" i="1"/>
  <c r="X4" i="1" s="1"/>
  <c r="BK4" i="1" s="1"/>
  <c r="U5" i="1"/>
  <c r="X5" i="1" s="1"/>
  <c r="BK5" i="1" s="1"/>
  <c r="U106" i="1"/>
  <c r="X106" i="1" s="1"/>
  <c r="BK106" i="1" s="1"/>
  <c r="U442" i="1"/>
  <c r="X442" i="1" s="1"/>
  <c r="BK442" i="1" s="1"/>
  <c r="U285" i="1"/>
  <c r="X285" i="1" s="1"/>
  <c r="BK285" i="1" s="1"/>
  <c r="U237" i="1"/>
  <c r="X237" i="1" s="1"/>
  <c r="BK237" i="1" s="1"/>
  <c r="U173" i="1"/>
  <c r="X173" i="1" s="1"/>
  <c r="BK173" i="1" s="1"/>
  <c r="U432" i="1"/>
  <c r="X432" i="1" s="1"/>
  <c r="BK432" i="1" s="1"/>
  <c r="U431" i="1"/>
  <c r="X431" i="1" s="1"/>
  <c r="BK431" i="1" s="1"/>
  <c r="U1001" i="1"/>
  <c r="X1001" i="1" s="1"/>
  <c r="BK1001" i="1" s="1"/>
  <c r="U993" i="1"/>
  <c r="X993" i="1" s="1"/>
  <c r="BK993" i="1" s="1"/>
  <c r="U985" i="1"/>
  <c r="X985" i="1" s="1"/>
  <c r="BK985" i="1" s="1"/>
  <c r="U965" i="1"/>
  <c r="X965" i="1" s="1"/>
  <c r="BK965" i="1" s="1"/>
  <c r="U945" i="1"/>
  <c r="X945" i="1" s="1"/>
  <c r="BK945" i="1" s="1"/>
  <c r="U937" i="1"/>
  <c r="X937" i="1" s="1"/>
  <c r="BK937" i="1" s="1"/>
  <c r="U929" i="1"/>
  <c r="X929" i="1" s="1"/>
  <c r="BK929" i="1" s="1"/>
  <c r="U921" i="1"/>
  <c r="X921" i="1" s="1"/>
  <c r="BK921" i="1" s="1"/>
  <c r="U913" i="1"/>
  <c r="X913" i="1" s="1"/>
  <c r="BK913" i="1" s="1"/>
  <c r="U905" i="1"/>
  <c r="X905" i="1" s="1"/>
  <c r="BK905" i="1" s="1"/>
  <c r="U897" i="1"/>
  <c r="X897" i="1" s="1"/>
  <c r="BK897" i="1" s="1"/>
  <c r="U889" i="1"/>
  <c r="X889" i="1" s="1"/>
  <c r="BK889" i="1" s="1"/>
  <c r="U829" i="1"/>
  <c r="X829" i="1" s="1"/>
  <c r="BK829" i="1" s="1"/>
  <c r="U821" i="1"/>
  <c r="X821" i="1" s="1"/>
  <c r="BK821" i="1" s="1"/>
  <c r="U769" i="1"/>
  <c r="X769" i="1" s="1"/>
  <c r="BK769" i="1" s="1"/>
  <c r="U749" i="1"/>
  <c r="X749" i="1" s="1"/>
  <c r="BK749" i="1" s="1"/>
  <c r="U737" i="1"/>
  <c r="X737" i="1" s="1"/>
  <c r="BK737" i="1" s="1"/>
  <c r="U729" i="1"/>
  <c r="X729" i="1" s="1"/>
  <c r="BK729" i="1" s="1"/>
  <c r="U727" i="1"/>
  <c r="X727" i="1" s="1"/>
  <c r="BK727" i="1" s="1"/>
  <c r="U728" i="1"/>
  <c r="X728" i="1" s="1"/>
  <c r="BK728" i="1" s="1"/>
  <c r="U721" i="1"/>
  <c r="X721" i="1" s="1"/>
  <c r="BK721" i="1" s="1"/>
  <c r="U713" i="1"/>
  <c r="X713" i="1" s="1"/>
  <c r="BK713" i="1" s="1"/>
  <c r="U673" i="1"/>
  <c r="X673" i="1" s="1"/>
  <c r="BK673" i="1" s="1"/>
  <c r="U665" i="1"/>
  <c r="X665" i="1" s="1"/>
  <c r="BK665" i="1" s="1"/>
  <c r="U609" i="1"/>
  <c r="X609" i="1" s="1"/>
  <c r="BK609" i="1" s="1"/>
  <c r="U597" i="1"/>
  <c r="X597" i="1" s="1"/>
  <c r="BK597" i="1" s="1"/>
  <c r="U545" i="1"/>
  <c r="X545" i="1" s="1"/>
  <c r="BK545" i="1" s="1"/>
  <c r="U517" i="1"/>
  <c r="X517" i="1" s="1"/>
  <c r="BK517" i="1" s="1"/>
  <c r="U505" i="1"/>
  <c r="X505" i="1" s="1"/>
  <c r="BK505" i="1" s="1"/>
  <c r="U503" i="1"/>
  <c r="X503" i="1" s="1"/>
  <c r="BK503" i="1" s="1"/>
  <c r="U504" i="1"/>
  <c r="X504" i="1" s="1"/>
  <c r="BK504" i="1" s="1"/>
  <c r="U485" i="1"/>
  <c r="X485" i="1" s="1"/>
  <c r="BK485" i="1" s="1"/>
  <c r="U473" i="1"/>
  <c r="X473" i="1" s="1"/>
  <c r="BK473" i="1" s="1"/>
  <c r="U461" i="1"/>
  <c r="X461" i="1" s="1"/>
  <c r="BK461" i="1" s="1"/>
  <c r="U445" i="1"/>
  <c r="X445" i="1" s="1"/>
  <c r="BK445" i="1" s="1"/>
  <c r="U421" i="1"/>
  <c r="X421" i="1" s="1"/>
  <c r="BK421" i="1" s="1"/>
  <c r="U405" i="1"/>
  <c r="X405" i="1" s="1"/>
  <c r="BK405" i="1" s="1"/>
  <c r="U385" i="1"/>
  <c r="X385" i="1" s="1"/>
  <c r="BK385" i="1" s="1"/>
  <c r="U357" i="1"/>
  <c r="X357" i="1" s="1"/>
  <c r="BK357" i="1" s="1"/>
  <c r="U325" i="1"/>
  <c r="X325" i="1" s="1"/>
  <c r="BK325" i="1" s="1"/>
  <c r="U297" i="1"/>
  <c r="X297" i="1" s="1"/>
  <c r="BK297" i="1" s="1"/>
  <c r="U277" i="1"/>
  <c r="X277" i="1" s="1"/>
  <c r="BK277" i="1" s="1"/>
  <c r="U249" i="1"/>
  <c r="X249" i="1" s="1"/>
  <c r="BK249" i="1" s="1"/>
  <c r="U193" i="1"/>
  <c r="X193" i="1" s="1"/>
  <c r="BK193" i="1" s="1"/>
  <c r="U161" i="1"/>
  <c r="X161" i="1" s="1"/>
  <c r="BK161" i="1" s="1"/>
  <c r="U85" i="1"/>
  <c r="X85" i="1" s="1"/>
  <c r="BK85" i="1" s="1"/>
  <c r="U49" i="1"/>
  <c r="X49" i="1" s="1"/>
  <c r="BK49" i="1" s="1"/>
  <c r="U29" i="1"/>
  <c r="X29" i="1" s="1"/>
  <c r="BK29" i="1" s="1"/>
  <c r="U25" i="1"/>
  <c r="X25" i="1" s="1"/>
  <c r="BK25" i="1" s="1"/>
  <c r="U13" i="1"/>
  <c r="X13" i="1" s="1"/>
  <c r="BK13" i="1" s="1"/>
  <c r="U1248" i="1"/>
  <c r="U1247" i="1"/>
  <c r="U1240" i="1"/>
  <c r="U1239" i="1"/>
  <c r="U1232" i="1"/>
  <c r="U1231" i="1"/>
  <c r="U1224" i="1"/>
  <c r="U1223" i="1"/>
  <c r="U1216" i="1"/>
  <c r="U1208" i="1"/>
  <c r="U1207" i="1"/>
  <c r="U1200" i="1"/>
  <c r="U1199" i="1"/>
  <c r="U1192" i="1"/>
  <c r="U1191" i="1"/>
  <c r="U1184" i="1"/>
  <c r="U1183" i="1"/>
  <c r="U1176" i="1"/>
  <c r="U1175" i="1"/>
  <c r="U1168" i="1"/>
  <c r="U1167" i="1"/>
  <c r="U1160" i="1"/>
  <c r="U1159" i="1"/>
  <c r="U1152" i="1"/>
  <c r="U1144" i="1"/>
  <c r="U1143" i="1"/>
  <c r="U1136" i="1"/>
  <c r="U1135" i="1"/>
  <c r="U1128" i="1"/>
  <c r="U1127" i="1"/>
  <c r="U1120" i="1"/>
  <c r="U1119" i="1"/>
  <c r="U1112" i="1"/>
  <c r="U1111" i="1"/>
  <c r="U1104" i="1"/>
  <c r="U1103" i="1"/>
  <c r="U1096" i="1"/>
  <c r="U1088" i="1"/>
  <c r="U1080" i="1"/>
  <c r="U1079" i="1"/>
  <c r="U1072" i="1"/>
  <c r="U1071" i="1"/>
  <c r="U1064" i="1"/>
  <c r="U1063" i="1"/>
  <c r="U1056" i="1"/>
  <c r="U1055" i="1"/>
  <c r="U1048" i="1"/>
  <c r="X1048" i="1" s="1"/>
  <c r="BK1048" i="1" s="1"/>
  <c r="U1047" i="1"/>
  <c r="X1047" i="1" s="1"/>
  <c r="BK1047" i="1" s="1"/>
  <c r="U1040" i="1"/>
  <c r="X1040" i="1" s="1"/>
  <c r="BK1040" i="1" s="1"/>
  <c r="U1039" i="1"/>
  <c r="X1039" i="1" s="1"/>
  <c r="BK1039" i="1" s="1"/>
  <c r="U1032" i="1"/>
  <c r="X1032" i="1" s="1"/>
  <c r="BK1032" i="1" s="1"/>
  <c r="U1031" i="1"/>
  <c r="X1031" i="1" s="1"/>
  <c r="BK1031" i="1" s="1"/>
  <c r="U1024" i="1"/>
  <c r="X1024" i="1" s="1"/>
  <c r="BK1024" i="1" s="1"/>
  <c r="U1016" i="1"/>
  <c r="X1016" i="1" s="1"/>
  <c r="BK1016" i="1" s="1"/>
  <c r="U1015" i="1"/>
  <c r="X1015" i="1" s="1"/>
  <c r="BK1015" i="1" s="1"/>
  <c r="U1008" i="1"/>
  <c r="X1008" i="1" s="1"/>
  <c r="BK1008" i="1" s="1"/>
  <c r="U1007" i="1"/>
  <c r="X1007" i="1" s="1"/>
  <c r="BK1007" i="1" s="1"/>
  <c r="U1000" i="1"/>
  <c r="X1000" i="1" s="1"/>
  <c r="BK1000" i="1" s="1"/>
  <c r="U999" i="1"/>
  <c r="X999" i="1" s="1"/>
  <c r="BK999" i="1" s="1"/>
  <c r="U992" i="1"/>
  <c r="X992" i="1" s="1"/>
  <c r="BK992" i="1" s="1"/>
  <c r="U991" i="1"/>
  <c r="X991" i="1" s="1"/>
  <c r="BK991" i="1" s="1"/>
  <c r="U984" i="1"/>
  <c r="X984" i="1" s="1"/>
  <c r="BK984" i="1" s="1"/>
  <c r="U983" i="1"/>
  <c r="X983" i="1" s="1"/>
  <c r="BK983" i="1" s="1"/>
  <c r="U981" i="1"/>
  <c r="X981" i="1" s="1"/>
  <c r="BK981" i="1" s="1"/>
  <c r="U976" i="1"/>
  <c r="X976" i="1" s="1"/>
  <c r="BK976" i="1" s="1"/>
  <c r="U975" i="1"/>
  <c r="X975" i="1" s="1"/>
  <c r="BK975" i="1" s="1"/>
  <c r="U916" i="1"/>
  <c r="X916" i="1" s="1"/>
  <c r="BK916" i="1" s="1"/>
  <c r="U915" i="1"/>
  <c r="X915" i="1" s="1"/>
  <c r="BK915" i="1" s="1"/>
  <c r="U908" i="1"/>
  <c r="X908" i="1" s="1"/>
  <c r="BK908" i="1" s="1"/>
  <c r="U907" i="1"/>
  <c r="X907" i="1" s="1"/>
  <c r="BK907" i="1" s="1"/>
  <c r="U900" i="1"/>
  <c r="X900" i="1" s="1"/>
  <c r="BK900" i="1" s="1"/>
  <c r="U899" i="1"/>
  <c r="X899" i="1" s="1"/>
  <c r="BK899" i="1" s="1"/>
  <c r="U872" i="1"/>
  <c r="X872" i="1" s="1"/>
  <c r="BK872" i="1" s="1"/>
  <c r="U871" i="1"/>
  <c r="X871" i="1" s="1"/>
  <c r="BK871" i="1" s="1"/>
  <c r="U864" i="1"/>
  <c r="X864" i="1" s="1"/>
  <c r="BK864" i="1" s="1"/>
  <c r="U856" i="1"/>
  <c r="X856" i="1" s="1"/>
  <c r="BK856" i="1" s="1"/>
  <c r="U855" i="1"/>
  <c r="X855" i="1" s="1"/>
  <c r="BK855" i="1" s="1"/>
  <c r="U820" i="1"/>
  <c r="X820" i="1" s="1"/>
  <c r="BK820" i="1" s="1"/>
  <c r="U812" i="1"/>
  <c r="X812" i="1" s="1"/>
  <c r="BK812" i="1" s="1"/>
  <c r="U811" i="1"/>
  <c r="X811" i="1" s="1"/>
  <c r="BK811" i="1" s="1"/>
  <c r="U804" i="1"/>
  <c r="X804" i="1" s="1"/>
  <c r="BK804" i="1" s="1"/>
  <c r="U803" i="1"/>
  <c r="X803" i="1" s="1"/>
  <c r="BK803" i="1" s="1"/>
  <c r="U796" i="1"/>
  <c r="X796" i="1" s="1"/>
  <c r="BK796" i="1" s="1"/>
  <c r="U768" i="1"/>
  <c r="X768" i="1" s="1"/>
  <c r="BK768" i="1" s="1"/>
  <c r="U760" i="1"/>
  <c r="X760" i="1" s="1"/>
  <c r="BK760" i="1" s="1"/>
  <c r="U758" i="1"/>
  <c r="X758" i="1" s="1"/>
  <c r="BK758" i="1" s="1"/>
  <c r="U759" i="1"/>
  <c r="X759" i="1" s="1"/>
  <c r="BK759" i="1" s="1"/>
  <c r="U757" i="1"/>
  <c r="X757" i="1" s="1"/>
  <c r="BK757" i="1" s="1"/>
  <c r="U724" i="1"/>
  <c r="X724" i="1" s="1"/>
  <c r="BK724" i="1" s="1"/>
  <c r="U722" i="1"/>
  <c r="X722" i="1" s="1"/>
  <c r="BK722" i="1" s="1"/>
  <c r="U723" i="1"/>
  <c r="X723" i="1" s="1"/>
  <c r="BK723" i="1" s="1"/>
  <c r="U716" i="1"/>
  <c r="X716" i="1" s="1"/>
  <c r="BK716" i="1" s="1"/>
  <c r="U715" i="1"/>
  <c r="X715" i="1" s="1"/>
  <c r="BK715" i="1" s="1"/>
  <c r="U708" i="1"/>
  <c r="X708" i="1" s="1"/>
  <c r="BK708" i="1" s="1"/>
  <c r="U707" i="1"/>
  <c r="X707" i="1" s="1"/>
  <c r="BK707" i="1" s="1"/>
  <c r="U688" i="1"/>
  <c r="X688" i="1" s="1"/>
  <c r="BK688" i="1" s="1"/>
  <c r="U687" i="1"/>
  <c r="X687" i="1" s="1"/>
  <c r="BK687" i="1" s="1"/>
  <c r="U680" i="1"/>
  <c r="X680" i="1" s="1"/>
  <c r="BK680" i="1" s="1"/>
  <c r="U679" i="1"/>
  <c r="X679" i="1" s="1"/>
  <c r="BK679" i="1" s="1"/>
  <c r="U668" i="1"/>
  <c r="X668" i="1" s="1"/>
  <c r="BK668" i="1" s="1"/>
  <c r="U656" i="1"/>
  <c r="X656" i="1" s="1"/>
  <c r="BK656" i="1" s="1"/>
  <c r="U653" i="1"/>
  <c r="X653" i="1" s="1"/>
  <c r="BK653" i="1" s="1"/>
  <c r="U655" i="1"/>
  <c r="X655" i="1" s="1"/>
  <c r="BK655" i="1" s="1"/>
  <c r="U648" i="1"/>
  <c r="X648" i="1" s="1"/>
  <c r="BK648" i="1" s="1"/>
  <c r="U612" i="1"/>
  <c r="X612" i="1" s="1"/>
  <c r="BK612" i="1" s="1"/>
  <c r="U611" i="1"/>
  <c r="X611" i="1" s="1"/>
  <c r="BK611" i="1" s="1"/>
  <c r="U600" i="1"/>
  <c r="X600" i="1" s="1"/>
  <c r="BK600" i="1" s="1"/>
  <c r="U599" i="1"/>
  <c r="X599" i="1" s="1"/>
  <c r="BK599" i="1" s="1"/>
  <c r="U572" i="1"/>
  <c r="X572" i="1" s="1"/>
  <c r="BK572" i="1" s="1"/>
  <c r="U571" i="1"/>
  <c r="X571" i="1" s="1"/>
  <c r="BK571" i="1" s="1"/>
  <c r="U556" i="1"/>
  <c r="X556" i="1" s="1"/>
  <c r="BK556" i="1" s="1"/>
  <c r="U555" i="1"/>
  <c r="X555" i="1" s="1"/>
  <c r="BK555" i="1" s="1"/>
  <c r="U536" i="1"/>
  <c r="X536" i="1" s="1"/>
  <c r="BK536" i="1" s="1"/>
  <c r="U535" i="1"/>
  <c r="X535" i="1" s="1"/>
  <c r="BK535" i="1" s="1"/>
  <c r="U534" i="1"/>
  <c r="X534" i="1" s="1"/>
  <c r="BK534" i="1" s="1"/>
  <c r="U516" i="1"/>
  <c r="X516" i="1" s="1"/>
  <c r="BK516" i="1" s="1"/>
  <c r="U515" i="1"/>
  <c r="X515" i="1" s="1"/>
  <c r="BK515" i="1" s="1"/>
  <c r="U496" i="1"/>
  <c r="X496" i="1" s="1"/>
  <c r="BK496" i="1" s="1"/>
  <c r="U495" i="1"/>
  <c r="X495" i="1" s="1"/>
  <c r="BK495" i="1" s="1"/>
  <c r="U476" i="1"/>
  <c r="X476" i="1" s="1"/>
  <c r="BK476" i="1" s="1"/>
  <c r="U475" i="1"/>
  <c r="X475" i="1" s="1"/>
  <c r="BK475" i="1" s="1"/>
  <c r="U460" i="1"/>
  <c r="X460" i="1" s="1"/>
  <c r="BK460" i="1" s="1"/>
  <c r="U459" i="1"/>
  <c r="X459" i="1" s="1"/>
  <c r="BK459" i="1" s="1"/>
  <c r="U444" i="1"/>
  <c r="X444" i="1" s="1"/>
  <c r="BK444" i="1" s="1"/>
  <c r="U443" i="1"/>
  <c r="X443" i="1" s="1"/>
  <c r="BK443" i="1" s="1"/>
  <c r="U412" i="1"/>
  <c r="X412" i="1" s="1"/>
  <c r="BK412" i="1" s="1"/>
  <c r="U411" i="1"/>
  <c r="X411" i="1" s="1"/>
  <c r="BK411" i="1" s="1"/>
  <c r="U408" i="1"/>
  <c r="X408" i="1" s="1"/>
  <c r="BK408" i="1" s="1"/>
  <c r="U407" i="1"/>
  <c r="X407" i="1" s="1"/>
  <c r="BK407" i="1" s="1"/>
  <c r="U404" i="1"/>
  <c r="X404" i="1" s="1"/>
  <c r="BK404" i="1" s="1"/>
  <c r="U402" i="1"/>
  <c r="X402" i="1" s="1"/>
  <c r="BK402" i="1" s="1"/>
  <c r="U204" i="1"/>
  <c r="X204" i="1" s="1"/>
  <c r="BK204" i="1" s="1"/>
  <c r="U203" i="1"/>
  <c r="X203" i="1" s="1"/>
  <c r="BK203" i="1" s="1"/>
  <c r="U200" i="1"/>
  <c r="X200" i="1" s="1"/>
  <c r="BK200" i="1" s="1"/>
  <c r="U199" i="1"/>
  <c r="X199" i="1" s="1"/>
  <c r="BK199" i="1" s="1"/>
  <c r="U196" i="1"/>
  <c r="X196" i="1" s="1"/>
  <c r="BK196" i="1" s="1"/>
  <c r="U194" i="1"/>
  <c r="X194" i="1" s="1"/>
  <c r="BK194" i="1" s="1"/>
  <c r="U192" i="1"/>
  <c r="X192" i="1" s="1"/>
  <c r="BK192" i="1" s="1"/>
  <c r="U188" i="1"/>
  <c r="X188" i="1" s="1"/>
  <c r="BK188" i="1" s="1"/>
  <c r="U187" i="1"/>
  <c r="X187" i="1" s="1"/>
  <c r="BK187" i="1" s="1"/>
  <c r="U184" i="1"/>
  <c r="X184" i="1" s="1"/>
  <c r="BK184" i="1" s="1"/>
  <c r="U183" i="1"/>
  <c r="X183" i="1" s="1"/>
  <c r="BK183" i="1" s="1"/>
  <c r="U180" i="1"/>
  <c r="X180" i="1" s="1"/>
  <c r="BK180" i="1" s="1"/>
  <c r="U179" i="1"/>
  <c r="X179" i="1" s="1"/>
  <c r="BK179" i="1" s="1"/>
  <c r="U176" i="1"/>
  <c r="X176" i="1" s="1"/>
  <c r="BK176" i="1" s="1"/>
  <c r="U175" i="1"/>
  <c r="X175" i="1" s="1"/>
  <c r="BK175" i="1" s="1"/>
  <c r="U172" i="1"/>
  <c r="X172" i="1" s="1"/>
  <c r="BK172" i="1" s="1"/>
  <c r="U171" i="1"/>
  <c r="X171" i="1" s="1"/>
  <c r="BK171" i="1" s="1"/>
  <c r="U169" i="1"/>
  <c r="X169" i="1" s="1"/>
  <c r="BK169" i="1" s="1"/>
  <c r="U168" i="1"/>
  <c r="X168" i="1" s="1"/>
  <c r="BK168" i="1" s="1"/>
  <c r="U167" i="1"/>
  <c r="X167" i="1" s="1"/>
  <c r="BK167" i="1" s="1"/>
  <c r="U164" i="1"/>
  <c r="X164" i="1" s="1"/>
  <c r="BK164" i="1" s="1"/>
  <c r="U160" i="1"/>
  <c r="X160" i="1" s="1"/>
  <c r="BK160" i="1" s="1"/>
  <c r="U156" i="1"/>
  <c r="X156" i="1" s="1"/>
  <c r="BK156" i="1" s="1"/>
  <c r="U155" i="1"/>
  <c r="X155" i="1" s="1"/>
  <c r="BK155" i="1" s="1"/>
  <c r="U152" i="1"/>
  <c r="X152" i="1" s="1"/>
  <c r="BK152" i="1" s="1"/>
  <c r="U151" i="1"/>
  <c r="X151" i="1" s="1"/>
  <c r="BK151" i="1" s="1"/>
  <c r="U148" i="1"/>
  <c r="X148" i="1" s="1"/>
  <c r="BK148" i="1" s="1"/>
  <c r="U147" i="1"/>
  <c r="X147" i="1" s="1"/>
  <c r="BK147" i="1" s="1"/>
  <c r="U144" i="1"/>
  <c r="X144" i="1" s="1"/>
  <c r="BK144" i="1" s="1"/>
  <c r="U143" i="1"/>
  <c r="X143" i="1" s="1"/>
  <c r="BK143" i="1" s="1"/>
  <c r="U140" i="1"/>
  <c r="X140" i="1" s="1"/>
  <c r="BK140" i="1" s="1"/>
  <c r="U139" i="1"/>
  <c r="X139" i="1" s="1"/>
  <c r="BK139" i="1" s="1"/>
  <c r="U137" i="1"/>
  <c r="X137" i="1" s="1"/>
  <c r="BK137" i="1" s="1"/>
  <c r="U136" i="1"/>
  <c r="X136" i="1" s="1"/>
  <c r="BK136" i="1" s="1"/>
  <c r="U134" i="1"/>
  <c r="X134" i="1" s="1"/>
  <c r="BK134" i="1" s="1"/>
  <c r="U135" i="1"/>
  <c r="X135" i="1" s="1"/>
  <c r="BK135" i="1" s="1"/>
  <c r="U133" i="1"/>
  <c r="X133" i="1" s="1"/>
  <c r="BK133" i="1" s="1"/>
  <c r="U132" i="1"/>
  <c r="X132" i="1" s="1"/>
  <c r="BK132" i="1" s="1"/>
  <c r="U131" i="1"/>
  <c r="X131" i="1" s="1"/>
  <c r="BK131" i="1" s="1"/>
  <c r="U128" i="1"/>
  <c r="X128" i="1" s="1"/>
  <c r="BK128" i="1" s="1"/>
  <c r="U127" i="1"/>
  <c r="X127" i="1" s="1"/>
  <c r="BK127" i="1" s="1"/>
  <c r="U108" i="1"/>
  <c r="X108" i="1" s="1"/>
  <c r="BK108" i="1" s="1"/>
  <c r="U107" i="1"/>
  <c r="X107" i="1" s="1"/>
  <c r="BK107" i="1" s="1"/>
  <c r="U104" i="1"/>
  <c r="X104" i="1" s="1"/>
  <c r="BK104" i="1" s="1"/>
  <c r="U103" i="1"/>
  <c r="X103" i="1" s="1"/>
  <c r="BK103" i="1" s="1"/>
  <c r="U100" i="1"/>
  <c r="X100" i="1" s="1"/>
  <c r="BK100" i="1" s="1"/>
  <c r="U96" i="1"/>
  <c r="X96" i="1" s="1"/>
  <c r="BK96" i="1" s="1"/>
  <c r="U92" i="1"/>
  <c r="X92" i="1" s="1"/>
  <c r="BK92" i="1" s="1"/>
  <c r="U89" i="1"/>
  <c r="X89" i="1" s="1"/>
  <c r="BK89" i="1" s="1"/>
  <c r="U91" i="1"/>
  <c r="X91" i="1" s="1"/>
  <c r="BK91" i="1" s="1"/>
  <c r="U90" i="1"/>
  <c r="X90" i="1" s="1"/>
  <c r="BK90" i="1" s="1"/>
  <c r="U36" i="1"/>
  <c r="X36" i="1" s="1"/>
  <c r="BK36" i="1" s="1"/>
  <c r="U35" i="1"/>
  <c r="X35" i="1" s="1"/>
  <c r="BK35" i="1" s="1"/>
  <c r="U32" i="1"/>
  <c r="X32" i="1" s="1"/>
  <c r="BK32" i="1" s="1"/>
  <c r="U30" i="1"/>
  <c r="X30" i="1" s="1"/>
  <c r="BK30" i="1" s="1"/>
  <c r="U31" i="1"/>
  <c r="X31" i="1" s="1"/>
  <c r="BK31" i="1" s="1"/>
  <c r="U28" i="1"/>
  <c r="X28" i="1" s="1"/>
  <c r="BK28" i="1" s="1"/>
  <c r="U27" i="1"/>
  <c r="X27" i="1" s="1"/>
  <c r="BK27" i="1" s="1"/>
  <c r="U863" i="1"/>
  <c r="X863" i="1" s="1"/>
  <c r="BK863" i="1" s="1"/>
  <c r="U779" i="1"/>
  <c r="X779" i="1" s="1"/>
  <c r="BK779" i="1" s="1"/>
  <c r="U647" i="1"/>
  <c r="X647" i="1" s="1"/>
  <c r="BK647" i="1" s="1"/>
  <c r="U569" i="1"/>
  <c r="X569" i="1" s="1"/>
  <c r="BK569" i="1" s="1"/>
  <c r="U533" i="1"/>
  <c r="X533" i="1" s="1"/>
  <c r="BK533" i="1" s="1"/>
  <c r="U163" i="1"/>
  <c r="X163" i="1" s="1"/>
  <c r="BK163" i="1" s="1"/>
  <c r="U1215" i="1"/>
  <c r="U979" i="1"/>
  <c r="X979" i="1" s="1"/>
  <c r="BK979" i="1" s="1"/>
  <c r="U575" i="1"/>
  <c r="X575" i="1" s="1"/>
  <c r="BK575" i="1" s="1"/>
  <c r="U438" i="1"/>
  <c r="X438" i="1" s="1"/>
  <c r="BK438" i="1" s="1"/>
  <c r="U195" i="1"/>
  <c r="X195" i="1" s="1"/>
  <c r="BK195" i="1" s="1"/>
  <c r="U877" i="1"/>
  <c r="X877" i="1" s="1"/>
  <c r="BK877" i="1" s="1"/>
  <c r="U853" i="1"/>
  <c r="X853" i="1" s="1"/>
  <c r="BK853" i="1" s="1"/>
  <c r="U852" i="1"/>
  <c r="X852" i="1" s="1"/>
  <c r="BK852" i="1" s="1"/>
  <c r="U851" i="1"/>
  <c r="X851" i="1" s="1"/>
  <c r="BK851" i="1" s="1"/>
  <c r="U793" i="1"/>
  <c r="X793" i="1" s="1"/>
  <c r="BK793" i="1" s="1"/>
  <c r="U792" i="1"/>
  <c r="X792" i="1" s="1"/>
  <c r="BK792" i="1" s="1"/>
  <c r="U791" i="1"/>
  <c r="X791" i="1" s="1"/>
  <c r="BK791" i="1" s="1"/>
  <c r="U649" i="1"/>
  <c r="X649" i="1" s="1"/>
  <c r="BK649" i="1" s="1"/>
  <c r="U641" i="1"/>
  <c r="X641" i="1" s="1"/>
  <c r="BK641" i="1" s="1"/>
  <c r="U640" i="1"/>
  <c r="X640" i="1" s="1"/>
  <c r="BK640" i="1" s="1"/>
  <c r="U493" i="1"/>
  <c r="X493" i="1" s="1"/>
  <c r="BK493" i="1" s="1"/>
  <c r="U417" i="1"/>
  <c r="X417" i="1" s="1"/>
  <c r="BK417" i="1" s="1"/>
  <c r="U416" i="1"/>
  <c r="X416" i="1" s="1"/>
  <c r="BK416" i="1" s="1"/>
  <c r="U415" i="1"/>
  <c r="X415" i="1" s="1"/>
  <c r="BK415" i="1" s="1"/>
  <c r="U414" i="1"/>
  <c r="X414" i="1" s="1"/>
  <c r="BK414" i="1" s="1"/>
  <c r="U381" i="1"/>
  <c r="X381" i="1" s="1"/>
  <c r="BK381" i="1" s="1"/>
  <c r="U380" i="1"/>
  <c r="X380" i="1" s="1"/>
  <c r="BK380" i="1" s="1"/>
  <c r="U353" i="1"/>
  <c r="X353" i="1" s="1"/>
  <c r="BK353" i="1" s="1"/>
  <c r="U293" i="1"/>
  <c r="X293" i="1" s="1"/>
  <c r="BK293" i="1" s="1"/>
  <c r="U292" i="1"/>
  <c r="X292" i="1" s="1"/>
  <c r="BK292" i="1" s="1"/>
  <c r="U291" i="1"/>
  <c r="X291" i="1" s="1"/>
  <c r="BK291" i="1" s="1"/>
  <c r="U290" i="1"/>
  <c r="X290" i="1" s="1"/>
  <c r="BK290" i="1" s="1"/>
  <c r="U205" i="1"/>
  <c r="X205" i="1" s="1"/>
  <c r="BK205" i="1" s="1"/>
  <c r="U189" i="1"/>
  <c r="X189" i="1" s="1"/>
  <c r="BK189" i="1" s="1"/>
  <c r="U153" i="1"/>
  <c r="X153" i="1" s="1"/>
  <c r="BK153" i="1" s="1"/>
  <c r="U77" i="1"/>
  <c r="X77" i="1" s="1"/>
  <c r="BK77" i="1" s="1"/>
  <c r="U41" i="1"/>
  <c r="X41" i="1" s="1"/>
  <c r="BK41" i="1" s="1"/>
  <c r="U40" i="1"/>
  <c r="X40" i="1" s="1"/>
  <c r="BK40" i="1" s="1"/>
  <c r="U39" i="1"/>
  <c r="X39" i="1" s="1"/>
  <c r="BK39" i="1" s="1"/>
  <c r="U964" i="1"/>
  <c r="X964" i="1" s="1"/>
  <c r="BK964" i="1" s="1"/>
  <c r="U956" i="1"/>
  <c r="X956" i="1" s="1"/>
  <c r="BK956" i="1" s="1"/>
  <c r="U955" i="1"/>
  <c r="X955" i="1" s="1"/>
  <c r="BK955" i="1" s="1"/>
  <c r="U948" i="1"/>
  <c r="X948" i="1" s="1"/>
  <c r="BK948" i="1" s="1"/>
  <c r="U940" i="1"/>
  <c r="X940" i="1" s="1"/>
  <c r="BK940" i="1" s="1"/>
  <c r="U932" i="1"/>
  <c r="X932" i="1" s="1"/>
  <c r="BK932" i="1" s="1"/>
  <c r="U931" i="1"/>
  <c r="X931" i="1" s="1"/>
  <c r="BK931" i="1" s="1"/>
  <c r="U924" i="1"/>
  <c r="X924" i="1" s="1"/>
  <c r="BK924" i="1" s="1"/>
  <c r="U923" i="1"/>
  <c r="X923" i="1" s="1"/>
  <c r="BK923" i="1" s="1"/>
  <c r="U888" i="1"/>
  <c r="X888" i="1" s="1"/>
  <c r="BK888" i="1" s="1"/>
  <c r="U887" i="1"/>
  <c r="X887" i="1" s="1"/>
  <c r="BK887" i="1" s="1"/>
  <c r="U844" i="1"/>
  <c r="X844" i="1" s="1"/>
  <c r="BK844" i="1" s="1"/>
  <c r="U843" i="1"/>
  <c r="X843" i="1" s="1"/>
  <c r="BK843" i="1" s="1"/>
  <c r="U836" i="1"/>
  <c r="X836" i="1" s="1"/>
  <c r="BK836" i="1" s="1"/>
  <c r="U835" i="1"/>
  <c r="X835" i="1" s="1"/>
  <c r="BK835" i="1" s="1"/>
  <c r="U828" i="1"/>
  <c r="X828" i="1" s="1"/>
  <c r="BK828" i="1" s="1"/>
  <c r="U827" i="1"/>
  <c r="X827" i="1" s="1"/>
  <c r="BK827" i="1" s="1"/>
  <c r="U784" i="1"/>
  <c r="X784" i="1" s="1"/>
  <c r="BK784" i="1" s="1"/>
  <c r="U782" i="1"/>
  <c r="X782" i="1" s="1"/>
  <c r="BK782" i="1" s="1"/>
  <c r="U783" i="1"/>
  <c r="X783" i="1" s="1"/>
  <c r="BK783" i="1" s="1"/>
  <c r="U756" i="1"/>
  <c r="X756" i="1" s="1"/>
  <c r="BK756" i="1" s="1"/>
  <c r="U755" i="1"/>
  <c r="X755" i="1" s="1"/>
  <c r="BK755" i="1" s="1"/>
  <c r="U748" i="1"/>
  <c r="X748" i="1" s="1"/>
  <c r="BK748" i="1" s="1"/>
  <c r="U747" i="1"/>
  <c r="X747" i="1" s="1"/>
  <c r="BK747" i="1" s="1"/>
  <c r="U740" i="1"/>
  <c r="X740" i="1" s="1"/>
  <c r="BK740" i="1" s="1"/>
  <c r="U739" i="1"/>
  <c r="X739" i="1" s="1"/>
  <c r="BK739" i="1" s="1"/>
  <c r="U732" i="1"/>
  <c r="X732" i="1" s="1"/>
  <c r="BK732" i="1" s="1"/>
  <c r="U731" i="1"/>
  <c r="X731" i="1" s="1"/>
  <c r="BK731" i="1" s="1"/>
  <c r="U696" i="1"/>
  <c r="X696" i="1" s="1"/>
  <c r="BK696" i="1" s="1"/>
  <c r="U695" i="1"/>
  <c r="X695" i="1" s="1"/>
  <c r="BK695" i="1" s="1"/>
  <c r="U644" i="1"/>
  <c r="X644" i="1" s="1"/>
  <c r="BK644" i="1" s="1"/>
  <c r="U632" i="1"/>
  <c r="X632" i="1" s="1"/>
  <c r="BK632" i="1" s="1"/>
  <c r="U630" i="1"/>
  <c r="X630" i="1" s="1"/>
  <c r="BK630" i="1" s="1"/>
  <c r="U631" i="1"/>
  <c r="X631" i="1" s="1"/>
  <c r="BK631" i="1" s="1"/>
  <c r="U620" i="1"/>
  <c r="X620" i="1" s="1"/>
  <c r="BK620" i="1" s="1"/>
  <c r="U619" i="1"/>
  <c r="X619" i="1" s="1"/>
  <c r="BK619" i="1" s="1"/>
  <c r="U608" i="1"/>
  <c r="X608" i="1" s="1"/>
  <c r="BK608" i="1" s="1"/>
  <c r="U607" i="1"/>
  <c r="X607" i="1" s="1"/>
  <c r="BK607" i="1" s="1"/>
  <c r="U596" i="1"/>
  <c r="X596" i="1" s="1"/>
  <c r="BK596" i="1" s="1"/>
  <c r="U595" i="1"/>
  <c r="X595" i="1" s="1"/>
  <c r="BK595" i="1" s="1"/>
  <c r="U594" i="1"/>
  <c r="X594" i="1" s="1"/>
  <c r="BK594" i="1" s="1"/>
  <c r="U584" i="1"/>
  <c r="X584" i="1" s="1"/>
  <c r="BK584" i="1" s="1"/>
  <c r="U583" i="1"/>
  <c r="X583" i="1" s="1"/>
  <c r="BK583" i="1" s="1"/>
  <c r="U548" i="1"/>
  <c r="X548" i="1" s="1"/>
  <c r="BK548" i="1" s="1"/>
  <c r="U547" i="1"/>
  <c r="X547" i="1" s="1"/>
  <c r="BK547" i="1" s="1"/>
  <c r="U512" i="1"/>
  <c r="X512" i="1" s="1"/>
  <c r="BK512" i="1" s="1"/>
  <c r="U511" i="1"/>
  <c r="X511" i="1" s="1"/>
  <c r="BK511" i="1" s="1"/>
  <c r="U492" i="1"/>
  <c r="X492" i="1" s="1"/>
  <c r="BK492" i="1" s="1"/>
  <c r="U491" i="1"/>
  <c r="X491" i="1" s="1"/>
  <c r="BK491" i="1" s="1"/>
  <c r="U472" i="1"/>
  <c r="X472" i="1" s="1"/>
  <c r="BK472" i="1" s="1"/>
  <c r="U471" i="1"/>
  <c r="X471" i="1" s="1"/>
  <c r="BK471" i="1" s="1"/>
  <c r="U456" i="1"/>
  <c r="X456" i="1" s="1"/>
  <c r="BK456" i="1" s="1"/>
  <c r="U455" i="1"/>
  <c r="X455" i="1" s="1"/>
  <c r="BK455" i="1" s="1"/>
  <c r="U440" i="1"/>
  <c r="X440" i="1" s="1"/>
  <c r="BK440" i="1" s="1"/>
  <c r="U424" i="1"/>
  <c r="X424" i="1" s="1"/>
  <c r="BK424" i="1" s="1"/>
  <c r="U423" i="1"/>
  <c r="X423" i="1" s="1"/>
  <c r="BK423" i="1" s="1"/>
  <c r="U420" i="1"/>
  <c r="X420" i="1" s="1"/>
  <c r="BK420" i="1" s="1"/>
  <c r="U419" i="1"/>
  <c r="X419" i="1" s="1"/>
  <c r="BK419" i="1" s="1"/>
  <c r="U288" i="1"/>
  <c r="X288" i="1" s="1"/>
  <c r="BK288" i="1" s="1"/>
  <c r="U286" i="1"/>
  <c r="X286" i="1" s="1"/>
  <c r="BK286" i="1" s="1"/>
  <c r="U284" i="1"/>
  <c r="X284" i="1" s="1"/>
  <c r="BK284" i="1" s="1"/>
  <c r="U283" i="1"/>
  <c r="X283" i="1" s="1"/>
  <c r="BK283" i="1" s="1"/>
  <c r="U280" i="1"/>
  <c r="X280" i="1" s="1"/>
  <c r="BK280" i="1" s="1"/>
  <c r="U279" i="1"/>
  <c r="X279" i="1" s="1"/>
  <c r="BK279" i="1" s="1"/>
  <c r="U276" i="1"/>
  <c r="X276" i="1" s="1"/>
  <c r="BK276" i="1" s="1"/>
  <c r="U275" i="1"/>
  <c r="X275" i="1" s="1"/>
  <c r="BK275" i="1" s="1"/>
  <c r="U248" i="1"/>
  <c r="X248" i="1" s="1"/>
  <c r="BK248" i="1" s="1"/>
  <c r="U247" i="1"/>
  <c r="X247" i="1" s="1"/>
  <c r="BK247" i="1" s="1"/>
  <c r="U246" i="1"/>
  <c r="X246" i="1" s="1"/>
  <c r="BK246" i="1" s="1"/>
  <c r="U244" i="1"/>
  <c r="X244" i="1" s="1"/>
  <c r="BK244" i="1" s="1"/>
  <c r="U243" i="1"/>
  <c r="X243" i="1" s="1"/>
  <c r="BK243" i="1" s="1"/>
  <c r="U240" i="1"/>
  <c r="X240" i="1" s="1"/>
  <c r="BK240" i="1" s="1"/>
  <c r="U238" i="1"/>
  <c r="X238" i="1" s="1"/>
  <c r="BK238" i="1" s="1"/>
  <c r="U239" i="1"/>
  <c r="X239" i="1" s="1"/>
  <c r="BK239" i="1" s="1"/>
  <c r="U236" i="1"/>
  <c r="X236" i="1" s="1"/>
  <c r="BK236" i="1" s="1"/>
  <c r="U235" i="1"/>
  <c r="X235" i="1" s="1"/>
  <c r="BK235" i="1" s="1"/>
  <c r="U234" i="1"/>
  <c r="X234" i="1" s="1"/>
  <c r="BK234" i="1" s="1"/>
  <c r="U232" i="1"/>
  <c r="X232" i="1" s="1"/>
  <c r="BK232" i="1" s="1"/>
  <c r="U231" i="1"/>
  <c r="X231" i="1" s="1"/>
  <c r="BK231" i="1" s="1"/>
  <c r="U228" i="1"/>
  <c r="X228" i="1" s="1"/>
  <c r="BK228" i="1" s="1"/>
  <c r="U224" i="1"/>
  <c r="X224" i="1" s="1"/>
  <c r="BK224" i="1" s="1"/>
  <c r="U222" i="1"/>
  <c r="X222" i="1" s="1"/>
  <c r="BK222" i="1" s="1"/>
  <c r="U223" i="1"/>
  <c r="X223" i="1" s="1"/>
  <c r="BK223" i="1" s="1"/>
  <c r="U220" i="1"/>
  <c r="X220" i="1" s="1"/>
  <c r="BK220" i="1" s="1"/>
  <c r="U219" i="1"/>
  <c r="X219" i="1" s="1"/>
  <c r="BK219" i="1" s="1"/>
  <c r="U216" i="1"/>
  <c r="X216" i="1" s="1"/>
  <c r="BK216" i="1" s="1"/>
  <c r="U215" i="1"/>
  <c r="X215" i="1" s="1"/>
  <c r="BK215" i="1" s="1"/>
  <c r="U213" i="1"/>
  <c r="X213" i="1" s="1"/>
  <c r="BK213" i="1" s="1"/>
  <c r="U212" i="1"/>
  <c r="X212" i="1" s="1"/>
  <c r="BK212" i="1" s="1"/>
  <c r="U211" i="1"/>
  <c r="X211" i="1" s="1"/>
  <c r="BK211" i="1" s="1"/>
  <c r="U56" i="1"/>
  <c r="X56" i="1" s="1"/>
  <c r="BK56" i="1" s="1"/>
  <c r="U55" i="1"/>
  <c r="X55" i="1" s="1"/>
  <c r="BK55" i="1" s="1"/>
  <c r="U52" i="1"/>
  <c r="X52" i="1" s="1"/>
  <c r="BK52" i="1" s="1"/>
  <c r="U51" i="1"/>
  <c r="X51" i="1" s="1"/>
  <c r="BK51" i="1" s="1"/>
  <c r="U48" i="1"/>
  <c r="X48" i="1" s="1"/>
  <c r="BK48" i="1" s="1"/>
  <c r="U47" i="1"/>
  <c r="X47" i="1" s="1"/>
  <c r="BK47" i="1" s="1"/>
  <c r="U46" i="1"/>
  <c r="X46" i="1" s="1"/>
  <c r="BK46" i="1" s="1"/>
  <c r="U44" i="1"/>
  <c r="X44" i="1" s="1"/>
  <c r="BK44" i="1" s="1"/>
  <c r="U16" i="1"/>
  <c r="X16" i="1" s="1"/>
  <c r="BK16" i="1" s="1"/>
  <c r="U15" i="1"/>
  <c r="X15" i="1" s="1"/>
  <c r="BK15" i="1" s="1"/>
  <c r="U8" i="1"/>
  <c r="X8" i="1" s="1"/>
  <c r="BK8" i="1" s="1"/>
  <c r="U735" i="1"/>
  <c r="X735" i="1" s="1"/>
  <c r="BK735" i="1" s="1"/>
  <c r="U198" i="1"/>
  <c r="X198" i="1" s="1"/>
  <c r="BK198" i="1" s="1"/>
  <c r="U7" i="1"/>
  <c r="X7" i="1" s="1"/>
  <c r="BK7" i="1" s="1"/>
  <c r="U878" i="1"/>
  <c r="X878" i="1" s="1"/>
  <c r="BK878" i="1" s="1"/>
  <c r="U786" i="1"/>
  <c r="X786" i="1" s="1"/>
  <c r="BK786" i="1" s="1"/>
  <c r="U766" i="1"/>
  <c r="X766" i="1" s="1"/>
  <c r="BK766" i="1" s="1"/>
  <c r="U742" i="1"/>
  <c r="X742" i="1" s="1"/>
  <c r="BK742" i="1" s="1"/>
  <c r="U741" i="1"/>
  <c r="X741" i="1" s="1"/>
  <c r="BK741" i="1" s="1"/>
  <c r="U434" i="1"/>
  <c r="X434" i="1" s="1"/>
  <c r="BK434" i="1" s="1"/>
  <c r="U433" i="1"/>
  <c r="X433" i="1" s="1"/>
  <c r="BK433" i="1" s="1"/>
  <c r="U178" i="1"/>
  <c r="X178" i="1" s="1"/>
  <c r="BK178" i="1" s="1"/>
  <c r="U191" i="1"/>
  <c r="X191" i="1" s="1"/>
  <c r="BK191" i="1" s="1"/>
  <c r="U1151" i="1"/>
  <c r="U939" i="1"/>
  <c r="X939" i="1" s="1"/>
  <c r="BK939" i="1" s="1"/>
  <c r="U819" i="1"/>
  <c r="X819" i="1" s="1"/>
  <c r="BK819" i="1" s="1"/>
  <c r="U666" i="1"/>
  <c r="X666" i="1" s="1"/>
  <c r="BK666" i="1" s="1"/>
  <c r="U531" i="1"/>
  <c r="X531" i="1" s="1"/>
  <c r="BK531" i="1" s="1"/>
  <c r="U765" i="1"/>
  <c r="X765" i="1" s="1"/>
  <c r="BK765" i="1" s="1"/>
  <c r="U677" i="1"/>
  <c r="X677" i="1" s="1"/>
  <c r="BK677" i="1" s="1"/>
  <c r="U676" i="1"/>
  <c r="X676" i="1" s="1"/>
  <c r="BK676" i="1" s="1"/>
  <c r="U661" i="1"/>
  <c r="X661" i="1" s="1"/>
  <c r="BK661" i="1" s="1"/>
  <c r="U637" i="1"/>
  <c r="X637" i="1" s="1"/>
  <c r="BK637" i="1" s="1"/>
  <c r="U601" i="1"/>
  <c r="X601" i="1" s="1"/>
  <c r="BK601" i="1" s="1"/>
  <c r="U593" i="1"/>
  <c r="X593" i="1" s="1"/>
  <c r="BK593" i="1" s="1"/>
  <c r="U592" i="1"/>
  <c r="X592" i="1" s="1"/>
  <c r="BK592" i="1" s="1"/>
  <c r="U565" i="1"/>
  <c r="X565" i="1" s="1"/>
  <c r="BK565" i="1" s="1"/>
  <c r="U553" i="1"/>
  <c r="X553" i="1" s="1"/>
  <c r="BK553" i="1" s="1"/>
  <c r="U552" i="1"/>
  <c r="X552" i="1" s="1"/>
  <c r="BK552" i="1" s="1"/>
  <c r="U551" i="1"/>
  <c r="X551" i="1" s="1"/>
  <c r="BK551" i="1" s="1"/>
  <c r="U521" i="1"/>
  <c r="X521" i="1" s="1"/>
  <c r="BK521" i="1" s="1"/>
  <c r="U520" i="1"/>
  <c r="X520" i="1" s="1"/>
  <c r="BK520" i="1" s="1"/>
  <c r="U519" i="1"/>
  <c r="X519" i="1" s="1"/>
  <c r="BK519" i="1" s="1"/>
  <c r="U518" i="1"/>
  <c r="X518" i="1" s="1"/>
  <c r="BK518" i="1" s="1"/>
  <c r="U489" i="1"/>
  <c r="X489" i="1" s="1"/>
  <c r="BK489" i="1" s="1"/>
  <c r="U488" i="1"/>
  <c r="X488" i="1" s="1"/>
  <c r="BK488" i="1" s="1"/>
  <c r="U393" i="1"/>
  <c r="X393" i="1" s="1"/>
  <c r="BK393" i="1" s="1"/>
  <c r="U377" i="1"/>
  <c r="X377" i="1" s="1"/>
  <c r="BK377" i="1" s="1"/>
  <c r="U333" i="1"/>
  <c r="X333" i="1" s="1"/>
  <c r="BK333" i="1" s="1"/>
  <c r="U317" i="1"/>
  <c r="X317" i="1" s="1"/>
  <c r="BK317" i="1" s="1"/>
  <c r="U57" i="1"/>
  <c r="X57" i="1" s="1"/>
  <c r="BK57" i="1" s="1"/>
  <c r="U37" i="1"/>
  <c r="X37" i="1" s="1"/>
  <c r="BK37" i="1" s="1"/>
  <c r="U9" i="1"/>
  <c r="X9" i="1" s="1"/>
  <c r="BK9" i="1" s="1"/>
  <c r="U1252" i="1"/>
  <c r="U1244" i="1"/>
  <c r="U1243" i="1"/>
  <c r="U1236" i="1"/>
  <c r="U1235" i="1"/>
  <c r="U1228" i="1"/>
  <c r="U1227" i="1"/>
  <c r="U1220" i="1"/>
  <c r="U1219" i="1"/>
  <c r="U1212" i="1"/>
  <c r="U1211" i="1"/>
  <c r="U1204" i="1"/>
  <c r="U1203" i="1"/>
  <c r="U1196" i="1"/>
  <c r="U1195" i="1"/>
  <c r="U1188" i="1"/>
  <c r="U1180" i="1"/>
  <c r="U1179" i="1"/>
  <c r="U1172" i="1"/>
  <c r="U1171" i="1"/>
  <c r="U1164" i="1"/>
  <c r="U1163" i="1"/>
  <c r="U1156" i="1"/>
  <c r="U1155" i="1"/>
  <c r="U1148" i="1"/>
  <c r="U1147" i="1"/>
  <c r="U1140" i="1"/>
  <c r="U1139" i="1"/>
  <c r="U1132" i="1"/>
  <c r="U1131" i="1"/>
  <c r="U1124" i="1"/>
  <c r="U1116" i="1"/>
  <c r="U1115" i="1"/>
  <c r="U1108" i="1"/>
  <c r="U1107" i="1"/>
  <c r="U1100" i="1"/>
  <c r="U1099" i="1"/>
  <c r="U1092" i="1"/>
  <c r="U1091" i="1"/>
  <c r="U1084" i="1"/>
  <c r="U1083" i="1"/>
  <c r="U1076" i="1"/>
  <c r="U1075" i="1"/>
  <c r="U1068" i="1"/>
  <c r="U1067" i="1"/>
  <c r="U1060" i="1"/>
  <c r="U1052" i="1"/>
  <c r="U1051" i="1"/>
  <c r="U1044" i="1"/>
  <c r="X1044" i="1" s="1"/>
  <c r="BK1044" i="1" s="1"/>
  <c r="U1043" i="1"/>
  <c r="X1043" i="1" s="1"/>
  <c r="BK1043" i="1" s="1"/>
  <c r="U1036" i="1"/>
  <c r="X1036" i="1" s="1"/>
  <c r="BK1036" i="1" s="1"/>
  <c r="U1035" i="1"/>
  <c r="X1035" i="1" s="1"/>
  <c r="BK1035" i="1" s="1"/>
  <c r="U1028" i="1"/>
  <c r="X1028" i="1" s="1"/>
  <c r="BK1028" i="1" s="1"/>
  <c r="U1027" i="1"/>
  <c r="X1027" i="1" s="1"/>
  <c r="BK1027" i="1" s="1"/>
  <c r="U1020" i="1"/>
  <c r="X1020" i="1" s="1"/>
  <c r="BK1020" i="1" s="1"/>
  <c r="U1019" i="1"/>
  <c r="X1019" i="1" s="1"/>
  <c r="BK1019" i="1" s="1"/>
  <c r="U1012" i="1"/>
  <c r="X1012" i="1" s="1"/>
  <c r="BK1012" i="1" s="1"/>
  <c r="U1011" i="1"/>
  <c r="X1011" i="1" s="1"/>
  <c r="BK1011" i="1" s="1"/>
  <c r="U1004" i="1"/>
  <c r="X1004" i="1" s="1"/>
  <c r="BK1004" i="1" s="1"/>
  <c r="U1003" i="1"/>
  <c r="X1003" i="1" s="1"/>
  <c r="BK1003" i="1" s="1"/>
  <c r="U996" i="1"/>
  <c r="X996" i="1" s="1"/>
  <c r="BK996" i="1" s="1"/>
  <c r="U994" i="1"/>
  <c r="X994" i="1" s="1"/>
  <c r="BK994" i="1" s="1"/>
  <c r="U995" i="1"/>
  <c r="X995" i="1" s="1"/>
  <c r="BK995" i="1" s="1"/>
  <c r="U988" i="1"/>
  <c r="X988" i="1" s="1"/>
  <c r="BK988" i="1" s="1"/>
  <c r="U987" i="1"/>
  <c r="X987" i="1" s="1"/>
  <c r="BK987" i="1" s="1"/>
  <c r="U986" i="1"/>
  <c r="X986" i="1" s="1"/>
  <c r="BK986" i="1" s="1"/>
  <c r="U972" i="1"/>
  <c r="X972" i="1" s="1"/>
  <c r="BK972" i="1" s="1"/>
  <c r="U971" i="1"/>
  <c r="X971" i="1" s="1"/>
  <c r="BK971" i="1" s="1"/>
  <c r="U912" i="1"/>
  <c r="X912" i="1" s="1"/>
  <c r="BK912" i="1" s="1"/>
  <c r="U910" i="1"/>
  <c r="X910" i="1" s="1"/>
  <c r="BK910" i="1" s="1"/>
  <c r="U904" i="1"/>
  <c r="X904" i="1" s="1"/>
  <c r="BK904" i="1" s="1"/>
  <c r="U903" i="1"/>
  <c r="X903" i="1" s="1"/>
  <c r="BK903" i="1" s="1"/>
  <c r="U896" i="1"/>
  <c r="X896" i="1" s="1"/>
  <c r="BK896" i="1" s="1"/>
  <c r="U894" i="1"/>
  <c r="X894" i="1" s="1"/>
  <c r="BK894" i="1" s="1"/>
  <c r="U895" i="1"/>
  <c r="X895" i="1" s="1"/>
  <c r="BK895" i="1" s="1"/>
  <c r="U876" i="1"/>
  <c r="X876" i="1" s="1"/>
  <c r="BK876" i="1" s="1"/>
  <c r="U875" i="1"/>
  <c r="X875" i="1" s="1"/>
  <c r="BK875" i="1" s="1"/>
  <c r="U868" i="1"/>
  <c r="X868" i="1" s="1"/>
  <c r="BK868" i="1" s="1"/>
  <c r="U860" i="1"/>
  <c r="X860" i="1" s="1"/>
  <c r="BK860" i="1" s="1"/>
  <c r="U859" i="1"/>
  <c r="X859" i="1" s="1"/>
  <c r="BK859" i="1" s="1"/>
  <c r="U816" i="1"/>
  <c r="X816" i="1" s="1"/>
  <c r="BK816" i="1" s="1"/>
  <c r="U815" i="1"/>
  <c r="X815" i="1" s="1"/>
  <c r="BK815" i="1" s="1"/>
  <c r="U808" i="1"/>
  <c r="X808" i="1" s="1"/>
  <c r="BK808" i="1" s="1"/>
  <c r="U807" i="1"/>
  <c r="X807" i="1" s="1"/>
  <c r="BK807" i="1" s="1"/>
  <c r="U800" i="1"/>
  <c r="X800" i="1" s="1"/>
  <c r="BK800" i="1" s="1"/>
  <c r="U799" i="1"/>
  <c r="X799" i="1" s="1"/>
  <c r="BK799" i="1" s="1"/>
  <c r="U798" i="1"/>
  <c r="X798" i="1" s="1"/>
  <c r="BK798" i="1" s="1"/>
  <c r="U772" i="1"/>
  <c r="X772" i="1" s="1"/>
  <c r="BK772" i="1" s="1"/>
  <c r="U771" i="1"/>
  <c r="X771" i="1" s="1"/>
  <c r="BK771" i="1" s="1"/>
  <c r="U764" i="1"/>
  <c r="X764" i="1" s="1"/>
  <c r="BK764" i="1" s="1"/>
  <c r="U763" i="1"/>
  <c r="X763" i="1" s="1"/>
  <c r="BK763" i="1" s="1"/>
  <c r="U720" i="1"/>
  <c r="X720" i="1" s="1"/>
  <c r="BK720" i="1" s="1"/>
  <c r="U719" i="1"/>
  <c r="X719" i="1" s="1"/>
  <c r="BK719" i="1" s="1"/>
  <c r="U712" i="1"/>
  <c r="X712" i="1" s="1"/>
  <c r="BK712" i="1" s="1"/>
  <c r="U711" i="1"/>
  <c r="X711" i="1" s="1"/>
  <c r="BK711" i="1" s="1"/>
  <c r="U704" i="1"/>
  <c r="X704" i="1" s="1"/>
  <c r="BK704" i="1" s="1"/>
  <c r="U703" i="1"/>
  <c r="X703" i="1" s="1"/>
  <c r="BK703" i="1" s="1"/>
  <c r="U692" i="1"/>
  <c r="X692" i="1" s="1"/>
  <c r="BK692" i="1" s="1"/>
  <c r="U684" i="1"/>
  <c r="X684" i="1" s="1"/>
  <c r="BK684" i="1" s="1"/>
  <c r="U683" i="1"/>
  <c r="X683" i="1" s="1"/>
  <c r="BK683" i="1" s="1"/>
  <c r="U672" i="1"/>
  <c r="X672" i="1" s="1"/>
  <c r="BK672" i="1" s="1"/>
  <c r="U671" i="1"/>
  <c r="X671" i="1" s="1"/>
  <c r="BK671" i="1" s="1"/>
  <c r="U664" i="1"/>
  <c r="X664" i="1" s="1"/>
  <c r="BK664" i="1" s="1"/>
  <c r="U663" i="1"/>
  <c r="X663" i="1" s="1"/>
  <c r="BK663" i="1" s="1"/>
  <c r="U652" i="1"/>
  <c r="X652" i="1" s="1"/>
  <c r="BK652" i="1" s="1"/>
  <c r="U651" i="1"/>
  <c r="X651" i="1" s="1"/>
  <c r="BK651" i="1" s="1"/>
  <c r="U628" i="1"/>
  <c r="X628" i="1" s="1"/>
  <c r="BK628" i="1" s="1"/>
  <c r="U627" i="1"/>
  <c r="X627" i="1" s="1"/>
  <c r="BK627" i="1" s="1"/>
  <c r="U580" i="1"/>
  <c r="X580" i="1" s="1"/>
  <c r="BK580" i="1" s="1"/>
  <c r="U579" i="1"/>
  <c r="X579" i="1" s="1"/>
  <c r="BK579" i="1" s="1"/>
  <c r="U564" i="1"/>
  <c r="X564" i="1" s="1"/>
  <c r="BK564" i="1" s="1"/>
  <c r="U563" i="1"/>
  <c r="X563" i="1" s="1"/>
  <c r="BK563" i="1" s="1"/>
  <c r="U544" i="1"/>
  <c r="X544" i="1" s="1"/>
  <c r="BK544" i="1" s="1"/>
  <c r="U543" i="1"/>
  <c r="X543" i="1" s="1"/>
  <c r="BK543" i="1" s="1"/>
  <c r="U528" i="1"/>
  <c r="X528" i="1" s="1"/>
  <c r="BK528" i="1" s="1"/>
  <c r="U527" i="1"/>
  <c r="X527" i="1" s="1"/>
  <c r="BK527" i="1" s="1"/>
  <c r="U526" i="1"/>
  <c r="X526" i="1" s="1"/>
  <c r="BK526" i="1" s="1"/>
  <c r="U508" i="1"/>
  <c r="X508" i="1" s="1"/>
  <c r="BK508" i="1" s="1"/>
  <c r="U507" i="1"/>
  <c r="X507" i="1" s="1"/>
  <c r="BK507" i="1" s="1"/>
  <c r="U484" i="1"/>
  <c r="X484" i="1" s="1"/>
  <c r="BK484" i="1" s="1"/>
  <c r="U482" i="1"/>
  <c r="X482" i="1" s="1"/>
  <c r="BK482" i="1" s="1"/>
  <c r="U468" i="1"/>
  <c r="X468" i="1" s="1"/>
  <c r="BK468" i="1" s="1"/>
  <c r="U467" i="1"/>
  <c r="X467" i="1" s="1"/>
  <c r="BK467" i="1" s="1"/>
  <c r="U466" i="1"/>
  <c r="X466" i="1" s="1"/>
  <c r="BK466" i="1" s="1"/>
  <c r="U452" i="1"/>
  <c r="X452" i="1" s="1"/>
  <c r="BK452" i="1" s="1"/>
  <c r="U451" i="1"/>
  <c r="X451" i="1" s="1"/>
  <c r="BK451" i="1" s="1"/>
  <c r="U436" i="1"/>
  <c r="X436" i="1" s="1"/>
  <c r="BK436" i="1" s="1"/>
  <c r="U435" i="1"/>
  <c r="X435" i="1" s="1"/>
  <c r="BK435" i="1" s="1"/>
  <c r="U376" i="1"/>
  <c r="X376" i="1" s="1"/>
  <c r="BK376" i="1" s="1"/>
  <c r="U374" i="1"/>
  <c r="X374" i="1" s="1"/>
  <c r="BK374" i="1" s="1"/>
  <c r="U373" i="1"/>
  <c r="X373" i="1" s="1"/>
  <c r="BK373" i="1" s="1"/>
  <c r="U352" i="1"/>
  <c r="X352" i="1" s="1"/>
  <c r="BK352" i="1" s="1"/>
  <c r="U348" i="1"/>
  <c r="X348" i="1" s="1"/>
  <c r="BK348" i="1" s="1"/>
  <c r="U347" i="1"/>
  <c r="X347" i="1" s="1"/>
  <c r="BK347" i="1" s="1"/>
  <c r="U344" i="1"/>
  <c r="X344" i="1" s="1"/>
  <c r="BK344" i="1" s="1"/>
  <c r="U343" i="1"/>
  <c r="X343" i="1" s="1"/>
  <c r="BK343" i="1" s="1"/>
  <c r="U342" i="1"/>
  <c r="X342" i="1" s="1"/>
  <c r="BK342" i="1" s="1"/>
  <c r="U341" i="1"/>
  <c r="X341" i="1" s="1"/>
  <c r="BK341" i="1" s="1"/>
  <c r="U340" i="1"/>
  <c r="X340" i="1" s="1"/>
  <c r="BK340" i="1" s="1"/>
  <c r="U337" i="1"/>
  <c r="X337" i="1" s="1"/>
  <c r="BK337" i="1" s="1"/>
  <c r="U339" i="1"/>
  <c r="X339" i="1" s="1"/>
  <c r="BK339" i="1" s="1"/>
  <c r="U336" i="1"/>
  <c r="X336" i="1" s="1"/>
  <c r="BK336" i="1" s="1"/>
  <c r="U332" i="1"/>
  <c r="X332" i="1" s="1"/>
  <c r="BK332" i="1" s="1"/>
  <c r="U331" i="1"/>
  <c r="X331" i="1" s="1"/>
  <c r="BK331" i="1" s="1"/>
  <c r="U328" i="1"/>
  <c r="X328" i="1" s="1"/>
  <c r="BK328" i="1" s="1"/>
  <c r="U327" i="1"/>
  <c r="X327" i="1" s="1"/>
  <c r="BK327" i="1" s="1"/>
  <c r="U324" i="1"/>
  <c r="X324" i="1" s="1"/>
  <c r="BK324" i="1" s="1"/>
  <c r="U323" i="1"/>
  <c r="X323" i="1" s="1"/>
  <c r="BK323" i="1" s="1"/>
  <c r="U320" i="1"/>
  <c r="X320" i="1" s="1"/>
  <c r="BK320" i="1" s="1"/>
  <c r="U316" i="1"/>
  <c r="X316" i="1" s="1"/>
  <c r="BK316" i="1" s="1"/>
  <c r="U315" i="1"/>
  <c r="X315" i="1" s="1"/>
  <c r="BK315" i="1" s="1"/>
  <c r="U312" i="1"/>
  <c r="X312" i="1" s="1"/>
  <c r="BK312" i="1" s="1"/>
  <c r="U311" i="1"/>
  <c r="X311" i="1" s="1"/>
  <c r="BK311" i="1" s="1"/>
  <c r="U308" i="1"/>
  <c r="X308" i="1" s="1"/>
  <c r="BK308" i="1" s="1"/>
  <c r="U305" i="1"/>
  <c r="X305" i="1" s="1"/>
  <c r="BK305" i="1" s="1"/>
  <c r="U307" i="1"/>
  <c r="X307" i="1" s="1"/>
  <c r="BK307" i="1" s="1"/>
  <c r="U304" i="1"/>
  <c r="X304" i="1" s="1"/>
  <c r="BK304" i="1" s="1"/>
  <c r="U303" i="1"/>
  <c r="X303" i="1" s="1"/>
  <c r="BK303" i="1" s="1"/>
  <c r="U300" i="1"/>
  <c r="X300" i="1" s="1"/>
  <c r="BK300" i="1" s="1"/>
  <c r="U298" i="1"/>
  <c r="X298" i="1" s="1"/>
  <c r="BK298" i="1" s="1"/>
  <c r="U299" i="1"/>
  <c r="X299" i="1" s="1"/>
  <c r="BK299" i="1" s="1"/>
  <c r="U296" i="1"/>
  <c r="X296" i="1" s="1"/>
  <c r="BK296" i="1" s="1"/>
  <c r="U295" i="1"/>
  <c r="X295" i="1" s="1"/>
  <c r="BK295" i="1" s="1"/>
  <c r="U260" i="1"/>
  <c r="X260" i="1" s="1"/>
  <c r="BK260" i="1" s="1"/>
  <c r="U256" i="1"/>
  <c r="X256" i="1" s="1"/>
  <c r="BK256" i="1" s="1"/>
  <c r="U255" i="1"/>
  <c r="X255" i="1" s="1"/>
  <c r="BK255" i="1" s="1"/>
  <c r="U1251" i="1"/>
  <c r="U1002" i="1"/>
  <c r="X1002" i="1" s="1"/>
  <c r="BK1002" i="1" s="1"/>
  <c r="U911" i="1"/>
  <c r="X911" i="1" s="1"/>
  <c r="BK911" i="1" s="1"/>
  <c r="U822" i="1"/>
  <c r="X822" i="1" s="1"/>
  <c r="BK822" i="1" s="1"/>
  <c r="U691" i="1"/>
  <c r="X691" i="1" s="1"/>
  <c r="BK691" i="1" s="1"/>
  <c r="U610" i="1"/>
  <c r="X610" i="1" s="1"/>
  <c r="BK610" i="1" s="1"/>
  <c r="U439" i="1"/>
  <c r="X439" i="1" s="1"/>
  <c r="BK439" i="1" s="1"/>
  <c r="U319" i="1"/>
  <c r="X319" i="1" s="1"/>
  <c r="BK319" i="1" s="1"/>
  <c r="U130" i="1"/>
  <c r="X130" i="1" s="1"/>
  <c r="BK130" i="1" s="1"/>
  <c r="U129" i="1"/>
  <c r="X129" i="1" s="1"/>
  <c r="BK129" i="1" s="1"/>
  <c r="U43" i="1"/>
  <c r="X43" i="1" s="1"/>
  <c r="BK43" i="1" s="1"/>
  <c r="U1095" i="1"/>
  <c r="U542" i="1"/>
  <c r="X542" i="1" s="1"/>
  <c r="BK542" i="1" s="1"/>
  <c r="U95" i="1"/>
  <c r="X95" i="1" s="1"/>
  <c r="BK95" i="1" s="1"/>
  <c r="U1087" i="1"/>
  <c r="U761" i="1"/>
  <c r="X761" i="1" s="1"/>
  <c r="BK761" i="1" s="1"/>
  <c r="U483" i="1"/>
  <c r="X483" i="1" s="1"/>
  <c r="BK483" i="1" s="1"/>
  <c r="U226" i="1"/>
  <c r="X226" i="1" s="1"/>
  <c r="BK226" i="1" s="1"/>
  <c r="U159" i="1"/>
  <c r="X159" i="1" s="1"/>
  <c r="BK159" i="1" s="1"/>
  <c r="U98" i="1"/>
  <c r="X98" i="1" s="1"/>
  <c r="BK98" i="1" s="1"/>
  <c r="U70" i="1"/>
  <c r="X70" i="1" s="1"/>
  <c r="BK70" i="1" s="1"/>
  <c r="U978" i="1"/>
  <c r="X978" i="1" s="1"/>
  <c r="BK978" i="1" s="1"/>
  <c r="U926" i="1"/>
  <c r="X926" i="1" s="1"/>
  <c r="BK926" i="1" s="1"/>
  <c r="U906" i="1"/>
  <c r="X906" i="1" s="1"/>
  <c r="BK906" i="1" s="1"/>
  <c r="U826" i="1"/>
  <c r="X826" i="1" s="1"/>
  <c r="BK826" i="1" s="1"/>
  <c r="U658" i="1"/>
  <c r="X658" i="1" s="1"/>
  <c r="BK658" i="1" s="1"/>
  <c r="U626" i="1"/>
  <c r="X626" i="1" s="1"/>
  <c r="BK626" i="1" s="1"/>
  <c r="U570" i="1"/>
  <c r="X570" i="1" s="1"/>
  <c r="BK570" i="1" s="1"/>
  <c r="U502" i="1"/>
  <c r="X502" i="1" s="1"/>
  <c r="BK502" i="1" s="1"/>
  <c r="U430" i="1"/>
  <c r="X430" i="1" s="1"/>
  <c r="BK430" i="1" s="1"/>
  <c r="U428" i="1"/>
  <c r="X428" i="1" s="1"/>
  <c r="BK428" i="1" s="1"/>
  <c r="U398" i="1"/>
  <c r="X398" i="1" s="1"/>
  <c r="BK398" i="1" s="1"/>
  <c r="U354" i="1"/>
  <c r="X354" i="1" s="1"/>
  <c r="BK354" i="1" s="1"/>
  <c r="U162" i="1"/>
  <c r="X162" i="1" s="1"/>
  <c r="BK162" i="1" s="1"/>
  <c r="U122" i="1"/>
  <c r="X122" i="1" s="1"/>
  <c r="BK122" i="1" s="1"/>
  <c r="U510" i="1"/>
  <c r="X510" i="1" s="1"/>
  <c r="BK510" i="1" s="1"/>
  <c r="U458" i="1"/>
  <c r="X458" i="1" s="1"/>
  <c r="BK458" i="1" s="1"/>
  <c r="U326" i="1"/>
  <c r="X326" i="1" s="1"/>
  <c r="BK326" i="1" s="1"/>
  <c r="U210" i="1"/>
  <c r="X210" i="1" s="1"/>
  <c r="BK210" i="1" s="1"/>
  <c r="U97" i="1"/>
  <c r="X97" i="1" s="1"/>
  <c r="BK97" i="1" s="1"/>
  <c r="U69" i="1"/>
  <c r="X69" i="1" s="1"/>
  <c r="BK69" i="1" s="1"/>
  <c r="U1238" i="1"/>
  <c r="U1222" i="1"/>
  <c r="U1202" i="1"/>
  <c r="U1186" i="1"/>
  <c r="U1162" i="1"/>
  <c r="U1142" i="1"/>
  <c r="U1126" i="1"/>
  <c r="U1110" i="1"/>
  <c r="U1090" i="1"/>
  <c r="U1066" i="1"/>
  <c r="U1046" i="1"/>
  <c r="X1046" i="1" s="1"/>
  <c r="BK1046" i="1" s="1"/>
  <c r="U1022" i="1"/>
  <c r="X1022" i="1" s="1"/>
  <c r="BK1022" i="1" s="1"/>
  <c r="U950" i="1"/>
  <c r="X950" i="1" s="1"/>
  <c r="BK950" i="1" s="1"/>
  <c r="U922" i="1"/>
  <c r="X922" i="1" s="1"/>
  <c r="BK922" i="1" s="1"/>
  <c r="U874" i="1"/>
  <c r="X874" i="1" s="1"/>
  <c r="BK874" i="1" s="1"/>
  <c r="U846" i="1"/>
  <c r="X846" i="1" s="1"/>
  <c r="BK846" i="1" s="1"/>
  <c r="U746" i="1"/>
  <c r="X746" i="1" s="1"/>
  <c r="BK746" i="1" s="1"/>
  <c r="U706" i="1"/>
  <c r="X706" i="1" s="1"/>
  <c r="BK706" i="1" s="1"/>
  <c r="U334" i="1"/>
  <c r="X334" i="1" s="1"/>
  <c r="BK334" i="1" s="1"/>
  <c r="U274" i="1"/>
  <c r="X274" i="1" s="1"/>
  <c r="BK274" i="1" s="1"/>
  <c r="U397" i="1"/>
  <c r="X397" i="1" s="1"/>
  <c r="BK397" i="1" s="1"/>
  <c r="U120" i="1"/>
  <c r="X120" i="1" s="1"/>
  <c r="BK120" i="1" s="1"/>
  <c r="U902" i="1"/>
  <c r="X902" i="1" s="1"/>
  <c r="BK902" i="1" s="1"/>
  <c r="U854" i="1"/>
  <c r="X854" i="1" s="1"/>
  <c r="BK854" i="1" s="1"/>
  <c r="U682" i="1"/>
  <c r="X682" i="1" s="1"/>
  <c r="BK682" i="1" s="1"/>
  <c r="U558" i="1"/>
  <c r="X558" i="1" s="1"/>
  <c r="BK558" i="1" s="1"/>
  <c r="U310" i="1"/>
  <c r="X310" i="1" s="1"/>
  <c r="BK310" i="1" s="1"/>
  <c r="U119" i="1"/>
  <c r="X119" i="1" s="1"/>
  <c r="BK119" i="1" s="1"/>
  <c r="U94" i="1"/>
  <c r="X94" i="1" s="1"/>
  <c r="BK94" i="1" s="1"/>
  <c r="U66" i="1"/>
  <c r="X66" i="1" s="1"/>
  <c r="BK66" i="1" s="1"/>
  <c r="U34" i="1"/>
  <c r="X34" i="1" s="1"/>
  <c r="BK34" i="1" s="1"/>
  <c r="U1170" i="1"/>
  <c r="U1074" i="1"/>
  <c r="U1030" i="1"/>
  <c r="X1030" i="1" s="1"/>
  <c r="BK1030" i="1" s="1"/>
  <c r="U1010" i="1"/>
  <c r="X1010" i="1" s="1"/>
  <c r="BK1010" i="1" s="1"/>
  <c r="U954" i="1"/>
  <c r="X954" i="1" s="1"/>
  <c r="BK954" i="1" s="1"/>
  <c r="U930" i="1"/>
  <c r="X930" i="1" s="1"/>
  <c r="BK930" i="1" s="1"/>
  <c r="U898" i="1"/>
  <c r="X898" i="1" s="1"/>
  <c r="BK898" i="1" s="1"/>
  <c r="U810" i="1"/>
  <c r="X810" i="1" s="1"/>
  <c r="BK810" i="1" s="1"/>
  <c r="U678" i="1"/>
  <c r="X678" i="1" s="1"/>
  <c r="BK678" i="1" s="1"/>
  <c r="U642" i="1"/>
  <c r="X642" i="1" s="1"/>
  <c r="BK642" i="1" s="1"/>
  <c r="U486" i="1"/>
  <c r="X486" i="1" s="1"/>
  <c r="BK486" i="1" s="1"/>
  <c r="U462" i="1"/>
  <c r="X462" i="1" s="1"/>
  <c r="BK462" i="1" s="1"/>
  <c r="U390" i="1"/>
  <c r="X390" i="1" s="1"/>
  <c r="BK390" i="1" s="1"/>
  <c r="U118" i="1"/>
  <c r="X118" i="1" s="1"/>
  <c r="BK118" i="1" s="1"/>
  <c r="U263" i="1"/>
  <c r="X263" i="1" s="1"/>
  <c r="BK263" i="1" s="1"/>
  <c r="U1009" i="1"/>
  <c r="X1009" i="1" s="1"/>
  <c r="BK1009" i="1" s="1"/>
  <c r="U862" i="1"/>
  <c r="X862" i="1" s="1"/>
  <c r="BK862" i="1" s="1"/>
  <c r="U429" i="1"/>
  <c r="X429" i="1" s="1"/>
  <c r="BK429" i="1" s="1"/>
  <c r="U370" i="1"/>
  <c r="X370" i="1" s="1"/>
  <c r="BK370" i="1" s="1"/>
  <c r="U302" i="1"/>
  <c r="X302" i="1" s="1"/>
  <c r="BK302" i="1" s="1"/>
  <c r="U218" i="1"/>
  <c r="X218" i="1" s="1"/>
  <c r="BK218" i="1" s="1"/>
  <c r="U186" i="1"/>
  <c r="X186" i="1" s="1"/>
  <c r="BK186" i="1" s="1"/>
  <c r="U117" i="1"/>
  <c r="X117" i="1" s="1"/>
  <c r="BK117" i="1" s="1"/>
  <c r="U93" i="1"/>
  <c r="X93" i="1" s="1"/>
  <c r="BK93" i="1" s="1"/>
  <c r="U1246" i="1"/>
  <c r="U1234" i="1"/>
  <c r="U1218" i="1"/>
  <c r="U1206" i="1"/>
  <c r="U1190" i="1"/>
  <c r="U1174" i="1"/>
  <c r="U1158" i="1"/>
  <c r="U1146" i="1"/>
  <c r="U1130" i="1"/>
  <c r="U1114" i="1"/>
  <c r="U1094" i="1"/>
  <c r="U1082" i="1"/>
  <c r="U1062" i="1"/>
  <c r="U1042" i="1"/>
  <c r="X1042" i="1" s="1"/>
  <c r="BK1042" i="1" s="1"/>
  <c r="U1026" i="1"/>
  <c r="X1026" i="1" s="1"/>
  <c r="BK1026" i="1" s="1"/>
  <c r="U870" i="1"/>
  <c r="X870" i="1" s="1"/>
  <c r="BK870" i="1" s="1"/>
  <c r="U850" i="1"/>
  <c r="X850" i="1" s="1"/>
  <c r="BK850" i="1" s="1"/>
  <c r="U762" i="1"/>
  <c r="X762" i="1" s="1"/>
  <c r="BK762" i="1" s="1"/>
  <c r="U702" i="1"/>
  <c r="X702" i="1" s="1"/>
  <c r="BK702" i="1" s="1"/>
  <c r="U674" i="1"/>
  <c r="X674" i="1" s="1"/>
  <c r="BK674" i="1" s="1"/>
  <c r="U530" i="1"/>
  <c r="X530" i="1" s="1"/>
  <c r="BK530" i="1" s="1"/>
  <c r="U478" i="1"/>
  <c r="X478" i="1" s="1"/>
  <c r="BK478" i="1" s="1"/>
  <c r="U446" i="1"/>
  <c r="X446" i="1" s="1"/>
  <c r="BK446" i="1" s="1"/>
  <c r="U258" i="1"/>
  <c r="X258" i="1" s="1"/>
  <c r="BK258" i="1" s="1"/>
  <c r="U886" i="1"/>
  <c r="X886" i="1" s="1"/>
  <c r="BK886" i="1" s="1"/>
  <c r="U774" i="1"/>
  <c r="X774" i="1" s="1"/>
  <c r="BK774" i="1" s="1"/>
  <c r="U314" i="1"/>
  <c r="X314" i="1" s="1"/>
  <c r="BK314" i="1" s="1"/>
  <c r="U202" i="1"/>
  <c r="X202" i="1" s="1"/>
  <c r="BK202" i="1" s="1"/>
  <c r="U158" i="1"/>
  <c r="X158" i="1" s="1"/>
  <c r="BK158" i="1" s="1"/>
  <c r="U14" i="1"/>
  <c r="X14" i="1" s="1"/>
  <c r="BK14" i="1" s="1"/>
  <c r="U982" i="1"/>
  <c r="X982" i="1" s="1"/>
  <c r="BK982" i="1" s="1"/>
  <c r="U654" i="1"/>
  <c r="X654" i="1" s="1"/>
  <c r="BK654" i="1" s="1"/>
  <c r="U606" i="1"/>
  <c r="X606" i="1" s="1"/>
  <c r="BK606" i="1" s="1"/>
  <c r="U574" i="1"/>
  <c r="X574" i="1" s="1"/>
  <c r="BK574" i="1" s="1"/>
  <c r="U946" i="1"/>
  <c r="X946" i="1" s="1"/>
  <c r="BK946" i="1" s="1"/>
  <c r="U550" i="1"/>
  <c r="X550" i="1" s="1"/>
  <c r="BK550" i="1" s="1"/>
  <c r="U270" i="1"/>
  <c r="X270" i="1" s="1"/>
  <c r="BK270" i="1" s="1"/>
  <c r="U268" i="1"/>
  <c r="X268" i="1" s="1"/>
  <c r="BK268" i="1" s="1"/>
  <c r="U182" i="1"/>
  <c r="X182" i="1" s="1"/>
  <c r="BK182" i="1" s="1"/>
  <c r="U142" i="1"/>
  <c r="X142" i="1" s="1"/>
  <c r="BK142" i="1" s="1"/>
  <c r="U866" i="1"/>
  <c r="X866" i="1" s="1"/>
  <c r="BK866" i="1" s="1"/>
  <c r="U834" i="1"/>
  <c r="X834" i="1" s="1"/>
  <c r="BK834" i="1" s="1"/>
  <c r="U778" i="1"/>
  <c r="X778" i="1" s="1"/>
  <c r="BK778" i="1" s="1"/>
  <c r="U754" i="1"/>
  <c r="X754" i="1" s="1"/>
  <c r="BK754" i="1" s="1"/>
  <c r="U734" i="1"/>
  <c r="X734" i="1" s="1"/>
  <c r="BK734" i="1" s="1"/>
  <c r="U598" i="1"/>
  <c r="X598" i="1" s="1"/>
  <c r="BK598" i="1" s="1"/>
  <c r="U514" i="1"/>
  <c r="X514" i="1" s="1"/>
  <c r="BK514" i="1" s="1"/>
  <c r="U422" i="1"/>
  <c r="X422" i="1" s="1"/>
  <c r="BK422" i="1" s="1"/>
  <c r="U346" i="1"/>
  <c r="X346" i="1" s="1"/>
  <c r="BK346" i="1" s="1"/>
  <c r="U154" i="1"/>
  <c r="X154" i="1" s="1"/>
  <c r="BK154" i="1" s="1"/>
  <c r="U690" i="1"/>
  <c r="X690" i="1" s="1"/>
  <c r="BK690" i="1" s="1"/>
  <c r="U366" i="1"/>
  <c r="X366" i="1" s="1"/>
  <c r="BK366" i="1" s="1"/>
  <c r="U364" i="1"/>
  <c r="X364" i="1" s="1"/>
  <c r="BK364" i="1" s="1"/>
  <c r="U250" i="1"/>
  <c r="X250" i="1" s="1"/>
  <c r="BK250" i="1" s="1"/>
  <c r="U181" i="1"/>
  <c r="X181" i="1" s="1"/>
  <c r="BK181" i="1" s="1"/>
  <c r="U141" i="1"/>
  <c r="X141" i="1" s="1"/>
  <c r="BK141" i="1" s="1"/>
  <c r="U113" i="1"/>
  <c r="X113" i="1" s="1"/>
  <c r="BK113" i="1" s="1"/>
  <c r="U990" i="1"/>
  <c r="X990" i="1" s="1"/>
  <c r="BK990" i="1" s="1"/>
  <c r="U970" i="1"/>
  <c r="X970" i="1" s="1"/>
  <c r="BK970" i="1" s="1"/>
  <c r="U938" i="1"/>
  <c r="X938" i="1" s="1"/>
  <c r="BK938" i="1" s="1"/>
  <c r="U914" i="1"/>
  <c r="X914" i="1" s="1"/>
  <c r="BK914" i="1" s="1"/>
  <c r="U794" i="1"/>
  <c r="X794" i="1" s="1"/>
  <c r="BK794" i="1" s="1"/>
  <c r="U718" i="1"/>
  <c r="X718" i="1" s="1"/>
  <c r="BK718" i="1" s="1"/>
  <c r="U646" i="1"/>
  <c r="X646" i="1" s="1"/>
  <c r="BK646" i="1" s="1"/>
  <c r="U614" i="1"/>
  <c r="X614" i="1" s="1"/>
  <c r="BK614" i="1" s="1"/>
  <c r="U582" i="1"/>
  <c r="X582" i="1" s="1"/>
  <c r="BK582" i="1" s="1"/>
  <c r="U494" i="1"/>
  <c r="X494" i="1" s="1"/>
  <c r="BK494" i="1" s="1"/>
  <c r="U406" i="1"/>
  <c r="X406" i="1" s="1"/>
  <c r="BK406" i="1" s="1"/>
  <c r="U138" i="1"/>
  <c r="X138" i="1" s="1"/>
  <c r="BK138" i="1" s="1"/>
  <c r="U977" i="1"/>
  <c r="X977" i="1" s="1"/>
  <c r="BK977" i="1" s="1"/>
  <c r="U638" i="1"/>
  <c r="X638" i="1" s="1"/>
  <c r="BK638" i="1" s="1"/>
  <c r="U490" i="1"/>
  <c r="X490" i="1" s="1"/>
  <c r="BK490" i="1" s="1"/>
  <c r="U254" i="1"/>
  <c r="U185" i="1"/>
  <c r="X185" i="1" s="1"/>
  <c r="BK185" i="1" s="1"/>
  <c r="U146" i="1"/>
  <c r="X146" i="1" s="1"/>
  <c r="BK146" i="1" s="1"/>
  <c r="U121" i="1"/>
  <c r="X121" i="1" s="1"/>
  <c r="BK121" i="1" s="1"/>
  <c r="U1250" i="1"/>
  <c r="U1230" i="1"/>
  <c r="U1210" i="1"/>
  <c r="U1194" i="1"/>
  <c r="U1178" i="1"/>
  <c r="U1154" i="1"/>
  <c r="U1134" i="1"/>
  <c r="U1118" i="1"/>
  <c r="U1098" i="1"/>
  <c r="U1078" i="1"/>
  <c r="U1058" i="1"/>
  <c r="U1034" i="1"/>
  <c r="X1034" i="1" s="1"/>
  <c r="BK1034" i="1" s="1"/>
  <c r="U1006" i="1"/>
  <c r="X1006" i="1" s="1"/>
  <c r="BK1006" i="1" s="1"/>
  <c r="U934" i="1"/>
  <c r="X934" i="1" s="1"/>
  <c r="BK934" i="1" s="1"/>
  <c r="U818" i="1"/>
  <c r="X818" i="1" s="1"/>
  <c r="BK818" i="1" s="1"/>
  <c r="U726" i="1"/>
  <c r="X726" i="1" s="1"/>
  <c r="BK726" i="1" s="1"/>
  <c r="U562" i="1"/>
  <c r="X562" i="1" s="1"/>
  <c r="BK562" i="1" s="1"/>
  <c r="U350" i="1"/>
  <c r="X350" i="1" s="1"/>
  <c r="BK350" i="1" s="1"/>
  <c r="U264" i="1"/>
  <c r="X264" i="1" s="1"/>
  <c r="BK264" i="1" s="1"/>
  <c r="U112" i="1"/>
  <c r="X112" i="1" s="1"/>
  <c r="BK112" i="1" s="1"/>
  <c r="U974" i="1"/>
  <c r="X974" i="1" s="1"/>
  <c r="BK974" i="1" s="1"/>
  <c r="U790" i="1"/>
  <c r="X790" i="1" s="1"/>
  <c r="BK790" i="1" s="1"/>
  <c r="U745" i="1"/>
  <c r="X745" i="1" s="1"/>
  <c r="BK745" i="1" s="1"/>
  <c r="U657" i="1"/>
  <c r="X657" i="1" s="1"/>
  <c r="BK657" i="1" s="1"/>
  <c r="U618" i="1"/>
  <c r="X618" i="1" s="1"/>
  <c r="BK618" i="1" s="1"/>
  <c r="U578" i="1"/>
  <c r="X578" i="1" s="1"/>
  <c r="BK578" i="1" s="1"/>
  <c r="U538" i="1"/>
  <c r="X538" i="1" s="1"/>
  <c r="BK538" i="1" s="1"/>
  <c r="U174" i="1"/>
  <c r="X174" i="1" s="1"/>
  <c r="BK174" i="1" s="1"/>
  <c r="U54" i="1"/>
  <c r="X54" i="1" s="1"/>
  <c r="BK54" i="1" s="1"/>
  <c r="U18" i="1"/>
  <c r="X18" i="1" s="1"/>
  <c r="BK18" i="1" s="1"/>
  <c r="U1106" i="1"/>
  <c r="U1050" i="1"/>
  <c r="U1018" i="1"/>
  <c r="X1018" i="1" s="1"/>
  <c r="BK1018" i="1" s="1"/>
  <c r="U998" i="1"/>
  <c r="X998" i="1" s="1"/>
  <c r="BK998" i="1" s="1"/>
  <c r="U962" i="1"/>
  <c r="X962" i="1" s="1"/>
  <c r="BK962" i="1" s="1"/>
  <c r="U942" i="1"/>
  <c r="X942" i="1" s="1"/>
  <c r="BK942" i="1" s="1"/>
  <c r="U890" i="1"/>
  <c r="X890" i="1" s="1"/>
  <c r="BK890" i="1" s="1"/>
  <c r="U686" i="1"/>
  <c r="X686" i="1" s="1"/>
  <c r="BK686" i="1" s="1"/>
  <c r="U470" i="1"/>
  <c r="X470" i="1" s="1"/>
  <c r="BK470" i="1" s="1"/>
  <c r="U382" i="1"/>
  <c r="X382" i="1" s="1"/>
  <c r="BK382" i="1" s="1"/>
  <c r="U705" i="1"/>
  <c r="X705" i="1" s="1"/>
  <c r="BK705" i="1" s="1"/>
  <c r="U115" i="1"/>
  <c r="X115" i="1" s="1"/>
  <c r="BK115" i="1" s="1"/>
  <c r="U953" i="1"/>
  <c r="X953" i="1" s="1"/>
  <c r="BK953" i="1" s="1"/>
  <c r="U830" i="1"/>
  <c r="X830" i="1" s="1"/>
  <c r="BK830" i="1" s="1"/>
  <c r="U622" i="1"/>
  <c r="X622" i="1" s="1"/>
  <c r="BK622" i="1" s="1"/>
  <c r="U537" i="1"/>
  <c r="X537" i="1" s="1"/>
  <c r="BK537" i="1" s="1"/>
  <c r="U450" i="1"/>
  <c r="X450" i="1" s="1"/>
  <c r="BK450" i="1" s="1"/>
  <c r="U269" i="1"/>
  <c r="X269" i="1" s="1"/>
  <c r="BK269" i="1" s="1"/>
  <c r="U242" i="1"/>
  <c r="X242" i="1" s="1"/>
  <c r="BK242" i="1" s="1"/>
  <c r="U78" i="1"/>
  <c r="X78" i="1" s="1"/>
  <c r="BK78" i="1" s="1"/>
  <c r="U1242" i="1"/>
  <c r="U1226" i="1"/>
  <c r="U1214" i="1"/>
  <c r="U1198" i="1"/>
  <c r="U1182" i="1"/>
  <c r="U1166" i="1"/>
  <c r="U1150" i="1"/>
  <c r="U1138" i="1"/>
  <c r="U1122" i="1"/>
  <c r="U1102" i="1"/>
  <c r="U1086" i="1"/>
  <c r="U1070" i="1"/>
  <c r="U1054" i="1"/>
  <c r="U1038" i="1"/>
  <c r="X1038" i="1" s="1"/>
  <c r="BK1038" i="1" s="1"/>
  <c r="U1014" i="1"/>
  <c r="X1014" i="1" s="1"/>
  <c r="BK1014" i="1" s="1"/>
  <c r="U882" i="1"/>
  <c r="X882" i="1" s="1"/>
  <c r="BK882" i="1" s="1"/>
  <c r="U858" i="1"/>
  <c r="X858" i="1" s="1"/>
  <c r="BK858" i="1" s="1"/>
  <c r="U802" i="1"/>
  <c r="X802" i="1" s="1"/>
  <c r="BK802" i="1" s="1"/>
  <c r="U770" i="1"/>
  <c r="X770" i="1" s="1"/>
  <c r="BK770" i="1" s="1"/>
  <c r="U750" i="1"/>
  <c r="X750" i="1" s="1"/>
  <c r="BK750" i="1" s="1"/>
  <c r="U694" i="1"/>
  <c r="X694" i="1" s="1"/>
  <c r="BK694" i="1" s="1"/>
  <c r="U546" i="1"/>
  <c r="X546" i="1" s="1"/>
  <c r="BK546" i="1" s="1"/>
  <c r="U454" i="1"/>
  <c r="X454" i="1" s="1"/>
  <c r="BK454" i="1" s="1"/>
  <c r="U322" i="1"/>
  <c r="X322" i="1" s="1"/>
  <c r="BK322" i="1" s="1"/>
  <c r="U111" i="1"/>
  <c r="X111" i="1" s="1"/>
  <c r="BK111" i="1" s="1"/>
  <c r="U368" i="1"/>
  <c r="X368" i="1" s="1"/>
  <c r="BK368" i="1" s="1"/>
  <c r="U806" i="1"/>
  <c r="X806" i="1" s="1"/>
  <c r="BK806" i="1" s="1"/>
  <c r="U621" i="1"/>
  <c r="X621" i="1" s="1"/>
  <c r="BK621" i="1" s="1"/>
  <c r="U418" i="1"/>
  <c r="X418" i="1" s="1"/>
  <c r="BK418" i="1" s="1"/>
  <c r="U369" i="1"/>
  <c r="X369" i="1" s="1"/>
  <c r="BK369" i="1" s="1"/>
  <c r="U338" i="1"/>
  <c r="X338" i="1" s="1"/>
  <c r="BK338" i="1" s="1"/>
  <c r="U217" i="1"/>
  <c r="X217" i="1" s="1"/>
  <c r="BK217" i="1" s="1"/>
  <c r="U670" i="1"/>
  <c r="X670" i="1" s="1"/>
  <c r="BK670" i="1" s="1"/>
  <c r="U590" i="1"/>
  <c r="X590" i="1" s="1"/>
  <c r="BK590" i="1" s="1"/>
  <c r="U506" i="1"/>
  <c r="X506" i="1" s="1"/>
  <c r="BK506" i="1" s="1"/>
  <c r="U306" i="1"/>
  <c r="X306" i="1" s="1"/>
  <c r="BK306" i="1" s="1"/>
  <c r="U214" i="1"/>
  <c r="X214" i="1" s="1"/>
  <c r="BK214" i="1" s="1"/>
  <c r="U170" i="1"/>
  <c r="X170" i="1" s="1"/>
  <c r="BK170" i="1" s="1"/>
  <c r="U116" i="1"/>
  <c r="X116" i="1" s="1"/>
  <c r="BK116" i="1" s="1"/>
  <c r="X549" i="1"/>
  <c r="BK549" i="1" s="1"/>
  <c r="X426" i="1"/>
  <c r="BK426" i="1" s="1"/>
  <c r="X675" i="1"/>
  <c r="BK675" i="1" s="1"/>
  <c r="X629" i="1"/>
  <c r="BK629" i="1" s="1"/>
  <c r="X427" i="1"/>
  <c r="BK427" i="1" s="1"/>
  <c r="X60" i="1"/>
  <c r="BK60" i="1" s="1"/>
  <c r="X59" i="1"/>
  <c r="BK59" i="1" s="1"/>
  <c r="X365" i="1"/>
  <c r="BK365" i="1" s="1"/>
  <c r="X265" i="1"/>
  <c r="BK265" i="1" s="1"/>
  <c r="X267" i="1"/>
  <c r="BK267" i="1" s="1"/>
  <c r="X254" i="1" l="1"/>
  <c r="BK254" i="1" s="1"/>
  <c r="Z2" i="1" a="1"/>
  <c r="BK2" i="1"/>
  <c r="Z19" i="1"/>
  <c r="X102" i="1"/>
  <c r="AC2" i="1" l="1"/>
  <c r="AG2" i="1"/>
  <c r="AK2" i="1"/>
  <c r="AB3" i="1"/>
  <c r="AF3" i="1"/>
  <c r="AJ3" i="1"/>
  <c r="AA4" i="1"/>
  <c r="AE4" i="1"/>
  <c r="AI4" i="1"/>
  <c r="Z5" i="1"/>
  <c r="AD5" i="1"/>
  <c r="AH5" i="1"/>
  <c r="AL5" i="1"/>
  <c r="AC6" i="1"/>
  <c r="AG6" i="1"/>
  <c r="AK6" i="1"/>
  <c r="Z2" i="1"/>
  <c r="AD2" i="1"/>
  <c r="AH2" i="1"/>
  <c r="AL2" i="1"/>
  <c r="AC3" i="1"/>
  <c r="AG3" i="1"/>
  <c r="AK3" i="1"/>
  <c r="AB4" i="1"/>
  <c r="AF4" i="1"/>
  <c r="AJ4" i="1"/>
  <c r="AA5" i="1"/>
  <c r="AE5" i="1"/>
  <c r="AI5" i="1"/>
  <c r="Z6" i="1"/>
  <c r="AD6" i="1"/>
  <c r="AH6" i="1"/>
  <c r="AL6" i="1"/>
  <c r="AA2" i="1"/>
  <c r="AE2" i="1"/>
  <c r="AI2" i="1"/>
  <c r="Z3" i="1"/>
  <c r="AD3" i="1"/>
  <c r="AH3" i="1"/>
  <c r="AL3" i="1"/>
  <c r="AC4" i="1"/>
  <c r="AG4" i="1"/>
  <c r="AK4" i="1"/>
  <c r="AB5" i="1"/>
  <c r="AF5" i="1"/>
  <c r="AJ5" i="1"/>
  <c r="AA6" i="1"/>
  <c r="AE6" i="1"/>
  <c r="AI6" i="1"/>
  <c r="AB2" i="1"/>
  <c r="AF2" i="1"/>
  <c r="AJ2" i="1"/>
  <c r="AA3" i="1"/>
  <c r="AE3" i="1"/>
  <c r="AI3" i="1"/>
  <c r="Z4" i="1"/>
  <c r="AD4" i="1"/>
  <c r="AH4" i="1"/>
  <c r="AL4" i="1"/>
  <c r="AC5" i="1"/>
  <c r="AG5" i="1"/>
  <c r="AK5" i="1"/>
  <c r="AB6" i="1"/>
  <c r="AF6" i="1"/>
  <c r="AJ6" i="1"/>
  <c r="Y2" i="1"/>
  <c r="Y4" i="1" s="1"/>
  <c r="BK102" i="1"/>
  <c r="Y6" i="1" l="1"/>
  <c r="Y10" i="1" l="1"/>
  <c r="AL14" i="1" l="1"/>
  <c r="AL15" i="1" s="1"/>
  <c r="V1050" i="1"/>
  <c r="V1046" i="1"/>
  <c r="V1042" i="1"/>
  <c r="V1038" i="1"/>
  <c r="V1034" i="1"/>
  <c r="V1030" i="1"/>
  <c r="V1026" i="1"/>
  <c r="V1022" i="1"/>
  <c r="V1018" i="1"/>
  <c r="V1014" i="1"/>
  <c r="V1010" i="1"/>
  <c r="V1006" i="1"/>
  <c r="V1002" i="1"/>
  <c r="V998" i="1"/>
  <c r="V994" i="1"/>
  <c r="V990" i="1"/>
  <c r="V986" i="1"/>
  <c r="V982" i="1"/>
  <c r="V978" i="1"/>
  <c r="V974" i="1"/>
  <c r="V970" i="1"/>
  <c r="V966" i="1"/>
  <c r="V962" i="1"/>
  <c r="V958" i="1"/>
  <c r="V954" i="1"/>
  <c r="V950" i="1"/>
  <c r="V946" i="1"/>
  <c r="V942" i="1"/>
  <c r="V938" i="1"/>
  <c r="V934" i="1"/>
  <c r="V930" i="1"/>
  <c r="V926" i="1"/>
  <c r="V922" i="1"/>
  <c r="V918" i="1"/>
  <c r="V914" i="1"/>
  <c r="V910" i="1"/>
  <c r="V906" i="1"/>
  <c r="V902" i="1"/>
  <c r="V898" i="1"/>
  <c r="V894" i="1"/>
  <c r="V1049" i="1"/>
  <c r="V1045" i="1"/>
  <c r="V1041" i="1"/>
  <c r="V1037" i="1"/>
  <c r="V1033" i="1"/>
  <c r="V1029" i="1"/>
  <c r="V1025" i="1"/>
  <c r="V1021" i="1"/>
  <c r="V1017" i="1"/>
  <c r="V1013" i="1"/>
  <c r="V1009" i="1"/>
  <c r="V1005" i="1"/>
  <c r="V1001" i="1"/>
  <c r="V997" i="1"/>
  <c r="V993" i="1"/>
  <c r="V989" i="1"/>
  <c r="V985" i="1"/>
  <c r="V981" i="1"/>
  <c r="V977" i="1"/>
  <c r="V973" i="1"/>
  <c r="V969" i="1"/>
  <c r="V965" i="1"/>
  <c r="V961" i="1"/>
  <c r="V957" i="1"/>
  <c r="V953" i="1"/>
  <c r="V949" i="1"/>
  <c r="V945" i="1"/>
  <c r="V941" i="1"/>
  <c r="V937" i="1"/>
  <c r="V933" i="1"/>
  <c r="V929" i="1"/>
  <c r="V925" i="1"/>
  <c r="V921" i="1"/>
  <c r="V917" i="1"/>
  <c r="V913" i="1"/>
  <c r="V909" i="1"/>
  <c r="V905" i="1"/>
  <c r="V901" i="1"/>
  <c r="V897" i="1"/>
  <c r="V893" i="1"/>
  <c r="V889" i="1"/>
  <c r="V885" i="1"/>
  <c r="V881" i="1"/>
  <c r="V877" i="1"/>
  <c r="V873" i="1"/>
  <c r="V869" i="1"/>
  <c r="V865" i="1"/>
  <c r="V861" i="1"/>
  <c r="V857" i="1"/>
  <c r="V853" i="1"/>
  <c r="V849" i="1"/>
  <c r="V845" i="1"/>
  <c r="V841" i="1"/>
  <c r="V837" i="1"/>
  <c r="V833" i="1"/>
  <c r="V829" i="1"/>
  <c r="V825" i="1"/>
  <c r="V821" i="1"/>
  <c r="V817" i="1"/>
  <c r="V813" i="1"/>
  <c r="V809" i="1"/>
  <c r="V805" i="1"/>
  <c r="V801" i="1"/>
  <c r="V797" i="1"/>
  <c r="V793" i="1"/>
  <c r="V789" i="1"/>
  <c r="V785" i="1"/>
  <c r="V781" i="1"/>
  <c r="V777" i="1"/>
  <c r="V773" i="1"/>
  <c r="V769" i="1"/>
  <c r="V765" i="1"/>
  <c r="V761" i="1"/>
  <c r="V757" i="1"/>
  <c r="V753" i="1"/>
  <c r="V749" i="1"/>
  <c r="V745" i="1"/>
  <c r="V741" i="1"/>
  <c r="V737" i="1"/>
  <c r="V733" i="1"/>
  <c r="V729" i="1"/>
  <c r="V725" i="1"/>
  <c r="V721" i="1"/>
  <c r="V717" i="1"/>
  <c r="V713" i="1"/>
  <c r="V1048" i="1"/>
  <c r="V1044" i="1"/>
  <c r="V1040" i="1"/>
  <c r="V1036" i="1"/>
  <c r="V1032" i="1"/>
  <c r="V1028" i="1"/>
  <c r="V1024" i="1"/>
  <c r="V1020" i="1"/>
  <c r="V1016" i="1"/>
  <c r="V1012" i="1"/>
  <c r="V1008" i="1"/>
  <c r="V1004" i="1"/>
  <c r="V1000" i="1"/>
  <c r="V996" i="1"/>
  <c r="V992" i="1"/>
  <c r="V988" i="1"/>
  <c r="V984" i="1"/>
  <c r="V980" i="1"/>
  <c r="V976" i="1"/>
  <c r="V972" i="1"/>
  <c r="V968" i="1"/>
  <c r="V964" i="1"/>
  <c r="V960" i="1"/>
  <c r="V956" i="1"/>
  <c r="V952" i="1"/>
  <c r="V948" i="1"/>
  <c r="V944" i="1"/>
  <c r="V940" i="1"/>
  <c r="V936" i="1"/>
  <c r="V932" i="1"/>
  <c r="V928" i="1"/>
  <c r="V924" i="1"/>
  <c r="V920" i="1"/>
  <c r="V916" i="1"/>
  <c r="V912" i="1"/>
  <c r="V908" i="1"/>
  <c r="V904" i="1"/>
  <c r="V900" i="1"/>
  <c r="V896" i="1"/>
  <c r="V892" i="1"/>
  <c r="V888" i="1"/>
  <c r="V884" i="1"/>
  <c r="V880" i="1"/>
  <c r="V876" i="1"/>
  <c r="V1047" i="1"/>
  <c r="V1031" i="1"/>
  <c r="V1015" i="1"/>
  <c r="V999" i="1"/>
  <c r="V983" i="1"/>
  <c r="V967" i="1"/>
  <c r="V951" i="1"/>
  <c r="V935" i="1"/>
  <c r="V919" i="1"/>
  <c r="V903" i="1"/>
  <c r="V890" i="1"/>
  <c r="V882" i="1"/>
  <c r="V874" i="1"/>
  <c r="V868" i="1"/>
  <c r="V863" i="1"/>
  <c r="V858" i="1"/>
  <c r="V852" i="1"/>
  <c r="V847" i="1"/>
  <c r="V842" i="1"/>
  <c r="V836" i="1"/>
  <c r="V831" i="1"/>
  <c r="V826" i="1"/>
  <c r="V820" i="1"/>
  <c r="V815" i="1"/>
  <c r="V810" i="1"/>
  <c r="V804" i="1"/>
  <c r="V799" i="1"/>
  <c r="V794" i="1"/>
  <c r="V788" i="1"/>
  <c r="V783" i="1"/>
  <c r="V778" i="1"/>
  <c r="V772" i="1"/>
  <c r="V767" i="1"/>
  <c r="V762" i="1"/>
  <c r="V756" i="1"/>
  <c r="V751" i="1"/>
  <c r="V746" i="1"/>
  <c r="V740" i="1"/>
  <c r="V735" i="1"/>
  <c r="V730" i="1"/>
  <c r="V724" i="1"/>
  <c r="V719" i="1"/>
  <c r="V714" i="1"/>
  <c r="V709" i="1"/>
  <c r="V705" i="1"/>
  <c r="V701" i="1"/>
  <c r="V697" i="1"/>
  <c r="V693" i="1"/>
  <c r="V689" i="1"/>
  <c r="V685" i="1"/>
  <c r="V681" i="1"/>
  <c r="V677" i="1"/>
  <c r="V673" i="1"/>
  <c r="V669" i="1"/>
  <c r="V665" i="1"/>
  <c r="V661" i="1"/>
  <c r="V657" i="1"/>
  <c r="V653" i="1"/>
  <c r="V649" i="1"/>
  <c r="V645" i="1"/>
  <c r="V641" i="1"/>
  <c r="V637" i="1"/>
  <c r="V633" i="1"/>
  <c r="V629" i="1"/>
  <c r="V625" i="1"/>
  <c r="V621" i="1"/>
  <c r="V617" i="1"/>
  <c r="V613" i="1"/>
  <c r="V609" i="1"/>
  <c r="V605" i="1"/>
  <c r="V601" i="1"/>
  <c r="V597" i="1"/>
  <c r="V593" i="1"/>
  <c r="V589" i="1"/>
  <c r="V585" i="1"/>
  <c r="V581" i="1"/>
  <c r="V577" i="1"/>
  <c r="V573" i="1"/>
  <c r="V569" i="1"/>
  <c r="V565" i="1"/>
  <c r="V561" i="1"/>
  <c r="V557" i="1"/>
  <c r="V553" i="1"/>
  <c r="V549" i="1"/>
  <c r="V545" i="1"/>
  <c r="V1043" i="1"/>
  <c r="V1027" i="1"/>
  <c r="V1011" i="1"/>
  <c r="V995" i="1"/>
  <c r="V1039" i="1"/>
  <c r="V1007" i="1"/>
  <c r="V979" i="1"/>
  <c r="V959" i="1"/>
  <c r="V939" i="1"/>
  <c r="V915" i="1"/>
  <c r="V895" i="1"/>
  <c r="V883" i="1"/>
  <c r="V872" i="1"/>
  <c r="V866" i="1"/>
  <c r="V859" i="1"/>
  <c r="V851" i="1"/>
  <c r="V844" i="1"/>
  <c r="V838" i="1"/>
  <c r="V830" i="1"/>
  <c r="V823" i="1"/>
  <c r="V816" i="1"/>
  <c r="V808" i="1"/>
  <c r="V802" i="1"/>
  <c r="V795" i="1"/>
  <c r="V787" i="1"/>
  <c r="V780" i="1"/>
  <c r="V774" i="1"/>
  <c r="V766" i="1"/>
  <c r="V759" i="1"/>
  <c r="V752" i="1"/>
  <c r="V744" i="1"/>
  <c r="V738" i="1"/>
  <c r="V731" i="1"/>
  <c r="V723" i="1"/>
  <c r="V716" i="1"/>
  <c r="V710" i="1"/>
  <c r="V704" i="1"/>
  <c r="V699" i="1"/>
  <c r="V694" i="1"/>
  <c r="V688" i="1"/>
  <c r="V683" i="1"/>
  <c r="V678" i="1"/>
  <c r="V672" i="1"/>
  <c r="V667" i="1"/>
  <c r="V662" i="1"/>
  <c r="V656" i="1"/>
  <c r="V651" i="1"/>
  <c r="V646" i="1"/>
  <c r="V640" i="1"/>
  <c r="V635" i="1"/>
  <c r="V630" i="1"/>
  <c r="V624" i="1"/>
  <c r="V619" i="1"/>
  <c r="V614" i="1"/>
  <c r="V608" i="1"/>
  <c r="V603" i="1"/>
  <c r="V598" i="1"/>
  <c r="V592" i="1"/>
  <c r="V587" i="1"/>
  <c r="V582" i="1"/>
  <c r="V576" i="1"/>
  <c r="V571" i="1"/>
  <c r="V566" i="1"/>
  <c r="V560" i="1"/>
  <c r="V555" i="1"/>
  <c r="V550" i="1"/>
  <c r="V544" i="1"/>
  <c r="V540" i="1"/>
  <c r="V536" i="1"/>
  <c r="V532" i="1"/>
  <c r="V528" i="1"/>
  <c r="V524" i="1"/>
  <c r="V520" i="1"/>
  <c r="V516" i="1"/>
  <c r="V512" i="1"/>
  <c r="V508" i="1"/>
  <c r="V504" i="1"/>
  <c r="V500" i="1"/>
  <c r="V496" i="1"/>
  <c r="V492" i="1"/>
  <c r="V488" i="1"/>
  <c r="V484" i="1"/>
  <c r="V480" i="1"/>
  <c r="V476" i="1"/>
  <c r="V472" i="1"/>
  <c r="V468" i="1"/>
  <c r="V464" i="1"/>
  <c r="V460" i="1"/>
  <c r="V456" i="1"/>
  <c r="V452" i="1"/>
  <c r="V448" i="1"/>
  <c r="V444" i="1"/>
  <c r="V440" i="1"/>
  <c r="V436" i="1"/>
  <c r="V432" i="1"/>
  <c r="V428" i="1"/>
  <c r="V424" i="1"/>
  <c r="V420" i="1"/>
  <c r="V416" i="1"/>
  <c r="V412" i="1"/>
  <c r="V408" i="1"/>
  <c r="V404" i="1"/>
  <c r="V400" i="1"/>
  <c r="V396" i="1"/>
  <c r="V392" i="1"/>
  <c r="V388" i="1"/>
  <c r="V384" i="1"/>
  <c r="V380" i="1"/>
  <c r="V376" i="1"/>
  <c r="V372" i="1"/>
  <c r="V368" i="1"/>
  <c r="V364" i="1"/>
  <c r="V360" i="1"/>
  <c r="V356" i="1"/>
  <c r="V352" i="1"/>
  <c r="V348" i="1"/>
  <c r="V344" i="1"/>
  <c r="V340" i="1"/>
  <c r="V336" i="1"/>
  <c r="V332" i="1"/>
  <c r="V328" i="1"/>
  <c r="V324" i="1"/>
  <c r="V320" i="1"/>
  <c r="V316" i="1"/>
  <c r="V312" i="1"/>
  <c r="V308" i="1"/>
  <c r="V304" i="1"/>
  <c r="V300" i="1"/>
  <c r="V296" i="1"/>
  <c r="V292" i="1"/>
  <c r="V288" i="1"/>
  <c r="V284" i="1"/>
  <c r="V280" i="1"/>
  <c r="V276" i="1"/>
  <c r="V272" i="1"/>
  <c r="V268" i="1"/>
  <c r="V264" i="1"/>
  <c r="V260" i="1"/>
  <c r="V256" i="1"/>
  <c r="V252" i="1"/>
  <c r="V248" i="1"/>
  <c r="V244" i="1"/>
  <c r="V240" i="1"/>
  <c r="V236" i="1"/>
  <c r="V232" i="1"/>
  <c r="V228" i="1"/>
  <c r="V224" i="1"/>
  <c r="V220" i="1"/>
  <c r="V216" i="1"/>
  <c r="V212" i="1"/>
  <c r="V208" i="1"/>
  <c r="V204" i="1"/>
  <c r="V200" i="1"/>
  <c r="V196" i="1"/>
  <c r="V192" i="1"/>
  <c r="V188" i="1"/>
  <c r="V184" i="1"/>
  <c r="V180" i="1"/>
  <c r="V176" i="1"/>
  <c r="V172" i="1"/>
  <c r="V168" i="1"/>
  <c r="V164" i="1"/>
  <c r="V160" i="1"/>
  <c r="V156" i="1"/>
  <c r="V152" i="1"/>
  <c r="V148" i="1"/>
  <c r="V144" i="1"/>
  <c r="V140" i="1"/>
  <c r="V136" i="1"/>
  <c r="V132" i="1"/>
  <c r="V128" i="1"/>
  <c r="V124" i="1"/>
  <c r="V120" i="1"/>
  <c r="V116" i="1"/>
  <c r="V1035" i="1"/>
  <c r="V1003" i="1"/>
  <c r="V975" i="1"/>
  <c r="V955" i="1"/>
  <c r="V931" i="1"/>
  <c r="V911" i="1"/>
  <c r="V891" i="1"/>
  <c r="V879" i="1"/>
  <c r="V871" i="1"/>
  <c r="V864" i="1"/>
  <c r="V856" i="1"/>
  <c r="V850" i="1"/>
  <c r="V843" i="1"/>
  <c r="V835" i="1"/>
  <c r="V828" i="1"/>
  <c r="V822" i="1"/>
  <c r="V814" i="1"/>
  <c r="V807" i="1"/>
  <c r="V800" i="1"/>
  <c r="V1023" i="1"/>
  <c r="V1019" i="1"/>
  <c r="V963" i="1"/>
  <c r="V923" i="1"/>
  <c r="V886" i="1"/>
  <c r="V867" i="1"/>
  <c r="V854" i="1"/>
  <c r="V839" i="1"/>
  <c r="V824" i="1"/>
  <c r="V811" i="1"/>
  <c r="V796" i="1"/>
  <c r="V991" i="1"/>
  <c r="V947" i="1"/>
  <c r="V907" i="1"/>
  <c r="V878" i="1"/>
  <c r="V862" i="1"/>
  <c r="V848" i="1"/>
  <c r="V834" i="1"/>
  <c r="V819" i="1"/>
  <c r="V806" i="1"/>
  <c r="V792" i="1"/>
  <c r="V784" i="1"/>
  <c r="V775" i="1"/>
  <c r="V764" i="1"/>
  <c r="V755" i="1"/>
  <c r="V747" i="1"/>
  <c r="V736" i="1"/>
  <c r="V727" i="1"/>
  <c r="V718" i="1"/>
  <c r="V708" i="1"/>
  <c r="V702" i="1"/>
  <c r="V695" i="1"/>
  <c r="V687" i="1"/>
  <c r="V680" i="1"/>
  <c r="V674" i="1"/>
  <c r="V666" i="1"/>
  <c r="V659" i="1"/>
  <c r="V652" i="1"/>
  <c r="V644" i="1"/>
  <c r="V638" i="1"/>
  <c r="V631" i="1"/>
  <c r="V623" i="1"/>
  <c r="V616" i="1"/>
  <c r="V610" i="1"/>
  <c r="V602" i="1"/>
  <c r="V595" i="1"/>
  <c r="V588" i="1"/>
  <c r="V580" i="1"/>
  <c r="V574" i="1"/>
  <c r="V567" i="1"/>
  <c r="V559" i="1"/>
  <c r="V552" i="1"/>
  <c r="V546" i="1"/>
  <c r="V539" i="1"/>
  <c r="V534" i="1"/>
  <c r="V529" i="1"/>
  <c r="V523" i="1"/>
  <c r="V518" i="1"/>
  <c r="V513" i="1"/>
  <c r="V507" i="1"/>
  <c r="V502" i="1"/>
  <c r="V497" i="1"/>
  <c r="V491" i="1"/>
  <c r="V987" i="1"/>
  <c r="V943" i="1"/>
  <c r="V899" i="1"/>
  <c r="V875" i="1"/>
  <c r="V860" i="1"/>
  <c r="V846" i="1"/>
  <c r="V832" i="1"/>
  <c r="V818" i="1"/>
  <c r="V803" i="1"/>
  <c r="V791" i="1"/>
  <c r="V782" i="1"/>
  <c r="V771" i="1"/>
  <c r="V763" i="1"/>
  <c r="V754" i="1"/>
  <c r="V743" i="1"/>
  <c r="V734" i="1"/>
  <c r="V726" i="1"/>
  <c r="V715" i="1"/>
  <c r="V707" i="1"/>
  <c r="V700" i="1"/>
  <c r="V692" i="1"/>
  <c r="V686" i="1"/>
  <c r="V679" i="1"/>
  <c r="V671" i="1"/>
  <c r="V664" i="1"/>
  <c r="V658" i="1"/>
  <c r="V650" i="1"/>
  <c r="V643" i="1"/>
  <c r="V636" i="1"/>
  <c r="V628" i="1"/>
  <c r="V622" i="1"/>
  <c r="V615" i="1"/>
  <c r="V607" i="1"/>
  <c r="V600" i="1"/>
  <c r="V594" i="1"/>
  <c r="V586" i="1"/>
  <c r="V579" i="1"/>
  <c r="V572" i="1"/>
  <c r="V564" i="1"/>
  <c r="V558" i="1"/>
  <c r="V551" i="1"/>
  <c r="V543" i="1"/>
  <c r="V538" i="1"/>
  <c r="V533" i="1"/>
  <c r="V527" i="1"/>
  <c r="V522" i="1"/>
  <c r="V517" i="1"/>
  <c r="V511" i="1"/>
  <c r="V506" i="1"/>
  <c r="V501" i="1"/>
  <c r="V495" i="1"/>
  <c r="V490" i="1"/>
  <c r="V485" i="1"/>
  <c r="V479" i="1"/>
  <c r="V474" i="1"/>
  <c r="V469" i="1"/>
  <c r="V463" i="1"/>
  <c r="V458" i="1"/>
  <c r="V453" i="1"/>
  <c r="V447" i="1"/>
  <c r="V442" i="1"/>
  <c r="V437" i="1"/>
  <c r="V431" i="1"/>
  <c r="V426" i="1"/>
  <c r="V421" i="1"/>
  <c r="V415" i="1"/>
  <c r="V410" i="1"/>
  <c r="V405" i="1"/>
  <c r="V399" i="1"/>
  <c r="V394" i="1"/>
  <c r="V389" i="1"/>
  <c r="V383" i="1"/>
  <c r="V378" i="1"/>
  <c r="V373" i="1"/>
  <c r="V367" i="1"/>
  <c r="V362" i="1"/>
  <c r="V357" i="1"/>
  <c r="V351" i="1"/>
  <c r="V346" i="1"/>
  <c r="V341" i="1"/>
  <c r="V335" i="1"/>
  <c r="V330" i="1"/>
  <c r="V325" i="1"/>
  <c r="V319" i="1"/>
  <c r="V314" i="1"/>
  <c r="V971" i="1"/>
  <c r="V855" i="1"/>
  <c r="V798" i="1"/>
  <c r="V776" i="1"/>
  <c r="V758" i="1"/>
  <c r="V739" i="1"/>
  <c r="V720" i="1"/>
  <c r="V703" i="1"/>
  <c r="V690" i="1"/>
  <c r="V675" i="1"/>
  <c r="V660" i="1"/>
  <c r="V647" i="1"/>
  <c r="V632" i="1"/>
  <c r="V618" i="1"/>
  <c r="V604" i="1"/>
  <c r="V590" i="1"/>
  <c r="V575" i="1"/>
  <c r="V562" i="1"/>
  <c r="V547" i="1"/>
  <c r="V535" i="1"/>
  <c r="V525" i="1"/>
  <c r="V514" i="1"/>
  <c r="V503" i="1"/>
  <c r="V493" i="1"/>
  <c r="V483" i="1"/>
  <c r="V477" i="1"/>
  <c r="V470" i="1"/>
  <c r="V462" i="1"/>
  <c r="V455" i="1"/>
  <c r="V449" i="1"/>
  <c r="V441" i="1"/>
  <c r="V434" i="1"/>
  <c r="V427" i="1"/>
  <c r="V419" i="1"/>
  <c r="V413" i="1"/>
  <c r="V406" i="1"/>
  <c r="V398" i="1"/>
  <c r="V391" i="1"/>
  <c r="V385" i="1"/>
  <c r="V377" i="1"/>
  <c r="V370" i="1"/>
  <c r="V363" i="1"/>
  <c r="V355" i="1"/>
  <c r="V349" i="1"/>
  <c r="V342" i="1"/>
  <c r="V334" i="1"/>
  <c r="V327" i="1"/>
  <c r="V321" i="1"/>
  <c r="V313" i="1"/>
  <c r="V307" i="1"/>
  <c r="V302" i="1"/>
  <c r="V297" i="1"/>
  <c r="V291" i="1"/>
  <c r="V286" i="1"/>
  <c r="V281" i="1"/>
  <c r="V275" i="1"/>
  <c r="V270" i="1"/>
  <c r="V265" i="1"/>
  <c r="V259" i="1"/>
  <c r="V254" i="1"/>
  <c r="V249" i="1"/>
  <c r="V243" i="1"/>
  <c r="V238" i="1"/>
  <c r="V233" i="1"/>
  <c r="V227" i="1"/>
  <c r="V222" i="1"/>
  <c r="V217" i="1"/>
  <c r="V211" i="1"/>
  <c r="V206" i="1"/>
  <c r="V201" i="1"/>
  <c r="V195" i="1"/>
  <c r="V190" i="1"/>
  <c r="V185" i="1"/>
  <c r="V179" i="1"/>
  <c r="V174" i="1"/>
  <c r="V169" i="1"/>
  <c r="V163" i="1"/>
  <c r="V158" i="1"/>
  <c r="V153" i="1"/>
  <c r="V147" i="1"/>
  <c r="V142" i="1"/>
  <c r="V137" i="1"/>
  <c r="V131" i="1"/>
  <c r="V126" i="1"/>
  <c r="V121" i="1"/>
  <c r="V115" i="1"/>
  <c r="V111" i="1"/>
  <c r="V107" i="1"/>
  <c r="V103" i="1"/>
  <c r="V99" i="1"/>
  <c r="V95" i="1"/>
  <c r="V91" i="1"/>
  <c r="V87" i="1"/>
  <c r="V83" i="1"/>
  <c r="V79" i="1"/>
  <c r="V75" i="1"/>
  <c r="V71" i="1"/>
  <c r="V67" i="1"/>
  <c r="V63" i="1"/>
  <c r="V59" i="1"/>
  <c r="V55" i="1"/>
  <c r="V51" i="1"/>
  <c r="V47" i="1"/>
  <c r="V43" i="1"/>
  <c r="V39" i="1"/>
  <c r="V35" i="1"/>
  <c r="V31" i="1"/>
  <c r="V27" i="1"/>
  <c r="V23" i="1"/>
  <c r="V19" i="1"/>
  <c r="V15" i="1"/>
  <c r="V11" i="1"/>
  <c r="V7" i="1"/>
  <c r="V3" i="1"/>
  <c r="V827" i="1"/>
  <c r="V639" i="1"/>
  <c r="V554" i="1"/>
  <c r="V509" i="1"/>
  <c r="V481" i="1"/>
  <c r="V466" i="1"/>
  <c r="V451" i="1"/>
  <c r="V438" i="1"/>
  <c r="V423" i="1"/>
  <c r="V417" i="1"/>
  <c r="V402" i="1"/>
  <c r="V387" i="1"/>
  <c r="V374" i="1"/>
  <c r="V359" i="1"/>
  <c r="V345" i="1"/>
  <c r="V338" i="1"/>
  <c r="V323" i="1"/>
  <c r="V310" i="1"/>
  <c r="V299" i="1"/>
  <c r="V289" i="1"/>
  <c r="V278" i="1"/>
  <c r="V273" i="1"/>
  <c r="V262" i="1"/>
  <c r="V251" i="1"/>
  <c r="V241" i="1"/>
  <c r="V230" i="1"/>
  <c r="V219" i="1"/>
  <c r="V209" i="1"/>
  <c r="V198" i="1"/>
  <c r="V187" i="1"/>
  <c r="V177" i="1"/>
  <c r="V166" i="1"/>
  <c r="V155" i="1"/>
  <c r="V145" i="1"/>
  <c r="V139" i="1"/>
  <c r="V129" i="1"/>
  <c r="V118" i="1"/>
  <c r="V105" i="1"/>
  <c r="V81" i="1"/>
  <c r="V73" i="1"/>
  <c r="V69" i="1"/>
  <c r="V61" i="1"/>
  <c r="V53" i="1"/>
  <c r="V49" i="1"/>
  <c r="V45" i="1"/>
  <c r="V927" i="1"/>
  <c r="V840" i="1"/>
  <c r="V790" i="1"/>
  <c r="V770" i="1"/>
  <c r="V750" i="1"/>
  <c r="V732" i="1"/>
  <c r="V712" i="1"/>
  <c r="V698" i="1"/>
  <c r="V684" i="1"/>
  <c r="V670" i="1"/>
  <c r="V655" i="1"/>
  <c r="V642" i="1"/>
  <c r="V627" i="1"/>
  <c r="V612" i="1"/>
  <c r="V599" i="1"/>
  <c r="V584" i="1"/>
  <c r="V570" i="1"/>
  <c r="V556" i="1"/>
  <c r="V542" i="1"/>
  <c r="V531" i="1"/>
  <c r="V521" i="1"/>
  <c r="V510" i="1"/>
  <c r="V499" i="1"/>
  <c r="V489" i="1"/>
  <c r="V482" i="1"/>
  <c r="V475" i="1"/>
  <c r="V467" i="1"/>
  <c r="V461" i="1"/>
  <c r="V454" i="1"/>
  <c r="V446" i="1"/>
  <c r="V439" i="1"/>
  <c r="V433" i="1"/>
  <c r="V425" i="1"/>
  <c r="V418" i="1"/>
  <c r="V411" i="1"/>
  <c r="V403" i="1"/>
  <c r="V397" i="1"/>
  <c r="V390" i="1"/>
  <c r="V382" i="1"/>
  <c r="V375" i="1"/>
  <c r="V369" i="1"/>
  <c r="V361" i="1"/>
  <c r="V354" i="1"/>
  <c r="V347" i="1"/>
  <c r="V339" i="1"/>
  <c r="V333" i="1"/>
  <c r="V326" i="1"/>
  <c r="V318" i="1"/>
  <c r="V311" i="1"/>
  <c r="V306" i="1"/>
  <c r="V301" i="1"/>
  <c r="V295" i="1"/>
  <c r="V290" i="1"/>
  <c r="V285" i="1"/>
  <c r="V279" i="1"/>
  <c r="V274" i="1"/>
  <c r="V269" i="1"/>
  <c r="V263" i="1"/>
  <c r="V258" i="1"/>
  <c r="V253" i="1"/>
  <c r="V247" i="1"/>
  <c r="V242" i="1"/>
  <c r="V237" i="1"/>
  <c r="V231" i="1"/>
  <c r="V226" i="1"/>
  <c r="V221" i="1"/>
  <c r="V215" i="1"/>
  <c r="V210" i="1"/>
  <c r="V205" i="1"/>
  <c r="V199" i="1"/>
  <c r="V194" i="1"/>
  <c r="V189" i="1"/>
  <c r="V183" i="1"/>
  <c r="V178" i="1"/>
  <c r="V173" i="1"/>
  <c r="V167" i="1"/>
  <c r="V162" i="1"/>
  <c r="V157" i="1"/>
  <c r="V151" i="1"/>
  <c r="V146" i="1"/>
  <c r="V141" i="1"/>
  <c r="V135" i="1"/>
  <c r="V130" i="1"/>
  <c r="V125" i="1"/>
  <c r="V119" i="1"/>
  <c r="V114" i="1"/>
  <c r="V110" i="1"/>
  <c r="V106" i="1"/>
  <c r="V102" i="1"/>
  <c r="V98" i="1"/>
  <c r="V94" i="1"/>
  <c r="V90" i="1"/>
  <c r="V86" i="1"/>
  <c r="V82" i="1"/>
  <c r="V78" i="1"/>
  <c r="V74" i="1"/>
  <c r="V70" i="1"/>
  <c r="V66" i="1"/>
  <c r="V62" i="1"/>
  <c r="V58" i="1"/>
  <c r="V54" i="1"/>
  <c r="V50" i="1"/>
  <c r="V46" i="1"/>
  <c r="V42" i="1"/>
  <c r="V38" i="1"/>
  <c r="V34" i="1"/>
  <c r="V30" i="1"/>
  <c r="V26" i="1"/>
  <c r="V22" i="1"/>
  <c r="V18" i="1"/>
  <c r="V14" i="1"/>
  <c r="V10" i="1"/>
  <c r="V6" i="1"/>
  <c r="V887" i="1"/>
  <c r="V786" i="1"/>
  <c r="V768" i="1"/>
  <c r="V748" i="1"/>
  <c r="V728" i="1"/>
  <c r="V711" i="1"/>
  <c r="V696" i="1"/>
  <c r="V682" i="1"/>
  <c r="V668" i="1"/>
  <c r="V654" i="1"/>
  <c r="V626" i="1"/>
  <c r="V611" i="1"/>
  <c r="V596" i="1"/>
  <c r="V583" i="1"/>
  <c r="V568" i="1"/>
  <c r="V541" i="1"/>
  <c r="V530" i="1"/>
  <c r="V519" i="1"/>
  <c r="V498" i="1"/>
  <c r="V487" i="1"/>
  <c r="V473" i="1"/>
  <c r="V459" i="1"/>
  <c r="V445" i="1"/>
  <c r="V430" i="1"/>
  <c r="V409" i="1"/>
  <c r="V395" i="1"/>
  <c r="V381" i="1"/>
  <c r="V366" i="1"/>
  <c r="V353" i="1"/>
  <c r="V331" i="1"/>
  <c r="V317" i="1"/>
  <c r="V305" i="1"/>
  <c r="V294" i="1"/>
  <c r="V283" i="1"/>
  <c r="V267" i="1"/>
  <c r="V257" i="1"/>
  <c r="V246" i="1"/>
  <c r="V235" i="1"/>
  <c r="V225" i="1"/>
  <c r="V214" i="1"/>
  <c r="V203" i="1"/>
  <c r="V193" i="1"/>
  <c r="V182" i="1"/>
  <c r="V171" i="1"/>
  <c r="V161" i="1"/>
  <c r="V150" i="1"/>
  <c r="V134" i="1"/>
  <c r="V123" i="1"/>
  <c r="V113" i="1"/>
  <c r="V109" i="1"/>
  <c r="V101" i="1"/>
  <c r="V97" i="1"/>
  <c r="V93" i="1"/>
  <c r="V89" i="1"/>
  <c r="V85" i="1"/>
  <c r="V77" i="1"/>
  <c r="V65" i="1"/>
  <c r="V870" i="1"/>
  <c r="V742" i="1"/>
  <c r="V676" i="1"/>
  <c r="V620" i="1"/>
  <c r="V563" i="1"/>
  <c r="V515" i="1"/>
  <c r="V478" i="1"/>
  <c r="V450" i="1"/>
  <c r="V422" i="1"/>
  <c r="V393" i="1"/>
  <c r="V365" i="1"/>
  <c r="V337" i="1"/>
  <c r="V309" i="1"/>
  <c r="V287" i="1"/>
  <c r="V266" i="1"/>
  <c r="V245" i="1"/>
  <c r="V223" i="1"/>
  <c r="V202" i="1"/>
  <c r="V181" i="1"/>
  <c r="V159" i="1"/>
  <c r="V138" i="1"/>
  <c r="V117" i="1"/>
  <c r="V100" i="1"/>
  <c r="V84" i="1"/>
  <c r="V68" i="1"/>
  <c r="V56" i="1"/>
  <c r="V41" i="1"/>
  <c r="V33" i="1"/>
  <c r="V25" i="1"/>
  <c r="V17" i="1"/>
  <c r="V9" i="1"/>
  <c r="V706" i="1"/>
  <c r="V760" i="1"/>
  <c r="V634" i="1"/>
  <c r="V578" i="1"/>
  <c r="V526" i="1"/>
  <c r="V486" i="1"/>
  <c r="V457" i="1"/>
  <c r="V429" i="1"/>
  <c r="V401" i="1"/>
  <c r="V343" i="1"/>
  <c r="V315" i="1"/>
  <c r="V293" i="1"/>
  <c r="V250" i="1"/>
  <c r="V229" i="1"/>
  <c r="V186" i="1"/>
  <c r="V143" i="1"/>
  <c r="V122" i="1"/>
  <c r="V88" i="1"/>
  <c r="V57" i="1"/>
  <c r="V36" i="1"/>
  <c r="V20" i="1"/>
  <c r="V4" i="1"/>
  <c r="V812" i="1"/>
  <c r="V722" i="1"/>
  <c r="V663" i="1"/>
  <c r="V606" i="1"/>
  <c r="V548" i="1"/>
  <c r="V505" i="1"/>
  <c r="V471" i="1"/>
  <c r="V443" i="1"/>
  <c r="V414" i="1"/>
  <c r="V386" i="1"/>
  <c r="V358" i="1"/>
  <c r="V329" i="1"/>
  <c r="V303" i="1"/>
  <c r="V282" i="1"/>
  <c r="V261" i="1"/>
  <c r="V239" i="1"/>
  <c r="V218" i="1"/>
  <c r="V197" i="1"/>
  <c r="V175" i="1"/>
  <c r="V154" i="1"/>
  <c r="V133" i="1"/>
  <c r="V112" i="1"/>
  <c r="V96" i="1"/>
  <c r="V80" i="1"/>
  <c r="V64" i="1"/>
  <c r="V52" i="1"/>
  <c r="V40" i="1"/>
  <c r="V32" i="1"/>
  <c r="V24" i="1"/>
  <c r="V16" i="1"/>
  <c r="V8" i="1"/>
  <c r="V779" i="1"/>
  <c r="V648" i="1"/>
  <c r="V591" i="1"/>
  <c r="V537" i="1"/>
  <c r="V494" i="1"/>
  <c r="V465" i="1"/>
  <c r="V435" i="1"/>
  <c r="V407" i="1"/>
  <c r="V379" i="1"/>
  <c r="V350" i="1"/>
  <c r="V322" i="1"/>
  <c r="V298" i="1"/>
  <c r="V277" i="1"/>
  <c r="V255" i="1"/>
  <c r="V234" i="1"/>
  <c r="V213" i="1"/>
  <c r="V191" i="1"/>
  <c r="V170" i="1"/>
  <c r="V149" i="1"/>
  <c r="V127" i="1"/>
  <c r="V108" i="1"/>
  <c r="V92" i="1"/>
  <c r="V76" i="1"/>
  <c r="V60" i="1"/>
  <c r="V48" i="1"/>
  <c r="V37" i="1"/>
  <c r="V29" i="1"/>
  <c r="V21" i="1"/>
  <c r="V13" i="1"/>
  <c r="V5" i="1"/>
  <c r="V691" i="1"/>
  <c r="V371" i="1"/>
  <c r="V271" i="1"/>
  <c r="V207" i="1"/>
  <c r="V165" i="1"/>
  <c r="V104" i="1"/>
  <c r="V72" i="1"/>
  <c r="V44" i="1"/>
  <c r="V28" i="1"/>
  <c r="V12" i="1"/>
  <c r="V2" i="1"/>
  <c r="AH14" i="1"/>
  <c r="AH15" i="1" s="1"/>
  <c r="AK14" i="1"/>
  <c r="AK15" i="1" s="1"/>
  <c r="AJ14" i="1"/>
  <c r="AJ15" i="1" s="1"/>
  <c r="AG14" i="1"/>
  <c r="AG15" i="1" s="1"/>
  <c r="AI14" i="1"/>
  <c r="AI15" i="1" s="1"/>
  <c r="Z14" i="1"/>
  <c r="Z15" i="1" s="1"/>
  <c r="AB14" i="1"/>
  <c r="AB15" i="1" s="1"/>
  <c r="AE14" i="1"/>
  <c r="AE15" i="1" s="1"/>
  <c r="AD14" i="1"/>
  <c r="AD15" i="1" s="1"/>
  <c r="AF14" i="1"/>
  <c r="AF15" i="1" s="1"/>
  <c r="AA14" i="1"/>
  <c r="AA15" i="1" s="1"/>
  <c r="AC14" i="1"/>
  <c r="AC15" i="1" s="1"/>
  <c r="AJ21" i="1" l="1"/>
  <c r="AF21" i="1"/>
  <c r="AB21" i="1"/>
  <c r="AI21" i="1"/>
  <c r="AE21" i="1"/>
  <c r="AA21" i="1"/>
  <c r="AC21" i="1"/>
  <c r="AH21" i="1"/>
  <c r="AD21" i="1"/>
  <c r="Z21" i="1"/>
  <c r="AG21" i="1"/>
  <c r="AK21" i="1"/>
  <c r="Z17" i="1"/>
</calcChain>
</file>

<file path=xl/sharedStrings.xml><?xml version="1.0" encoding="utf-8"?>
<sst xmlns="http://schemas.openxmlformats.org/spreadsheetml/2006/main" count="69" uniqueCount="54">
  <si>
    <t>date</t>
  </si>
  <si>
    <t>forward return days cumulative</t>
  </si>
  <si>
    <t>cumulativeReturnOver (Y)</t>
  </si>
  <si>
    <t>fit_cumulativeReturnOver (Yhat)</t>
  </si>
  <si>
    <t>T scores</t>
  </si>
  <si>
    <t>correl of fit</t>
  </si>
  <si>
    <t>n points in regression</t>
  </si>
  <si>
    <t>windowsize for stat computation</t>
  </si>
  <si>
    <t>const</t>
  </si>
  <si>
    <t>push down regression back in time
(rolling window macro will modify this)</t>
  </si>
  <si>
    <t>tslaclosertnPlus1</t>
  </si>
  <si>
    <t>n points to backtest</t>
  </si>
  <si>
    <t>direction correct backtest</t>
  </si>
  <si>
    <t>n direction correct backtest</t>
  </si>
  <si>
    <t>R2 of fit during backtest</t>
  </si>
  <si>
    <t>% direction correct backtest</t>
  </si>
  <si>
    <t>backtest macro output</t>
  </si>
  <si>
    <t>correl of 1 step ahead backtest</t>
  </si>
  <si>
    <t>mask 7505</t>
  </si>
  <si>
    <t>mask 9505</t>
  </si>
  <si>
    <t>mask kurt</t>
  </si>
  <si>
    <t>mask skew</t>
  </si>
  <si>
    <t>mask stdev</t>
  </si>
  <si>
    <t>mask mean</t>
  </si>
  <si>
    <t>min abs(T)</t>
  </si>
  <si>
    <t>abs (T)</t>
  </si>
  <si>
    <t>|T| cutoff (0 = keep all variables) bkwd step</t>
  </si>
  <si>
    <t>correct and outside of ztol</t>
  </si>
  <si>
    <t>% direction correct and outside of ztol</t>
  </si>
  <si>
    <t>outside of ztol (denom)</t>
  </si>
  <si>
    <t>forecast outside of ztol</t>
  </si>
  <si>
    <t>forecast correct and outside of ztol</t>
  </si>
  <si>
    <t>zero tol for directional forecast</t>
  </si>
  <si>
    <t>array formula (7505)SPY</t>
  </si>
  <si>
    <t>9505SPY</t>
  </si>
  <si>
    <t>kurtSPY</t>
  </si>
  <si>
    <t>skewSPY</t>
  </si>
  <si>
    <t>stdevSPY</t>
  </si>
  <si>
    <t>meanSPY</t>
  </si>
  <si>
    <t>(7505)TSLA</t>
  </si>
  <si>
    <t>T scores Z to AL</t>
  </si>
  <si>
    <t>9505TSLA</t>
  </si>
  <si>
    <t>kurtTSLA</t>
  </si>
  <si>
    <t>skewTSLA</t>
  </si>
  <si>
    <t>stdevTSLA</t>
  </si>
  <si>
    <t>meanTSLA</t>
  </si>
  <si>
    <t>tail9505TSLA</t>
  </si>
  <si>
    <t>tail7525TSLA</t>
  </si>
  <si>
    <t>tail9505SPY</t>
  </si>
  <si>
    <t>tail7525SPY</t>
  </si>
  <si>
    <t>TSLAclose</t>
  </si>
  <si>
    <t>SPYclose</t>
  </si>
  <si>
    <t>TSLAclosetrn</t>
  </si>
  <si>
    <t>SPYclosertn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</si>
</sst>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10" xfId="0" applyBorder="1"/>
    <xf numFmtId="0" fontId="0" fillId="0" borderId="11" xfId="0" applyBorder="1"/>
    <xf numFmtId="0" fontId="0" fillId="33" borderId="0" xfId="0" applyFill="1"/>
    <xf numFmtId="0" fontId="0" fillId="0" borderId="10" xfId="0" applyBorder="1" applyAlignment="1">
      <alignment wrapText="1"/>
    </xf>
    <xf numFmtId="0" fontId="0" fillId="34" borderId="0" xfId="0" applyFill="1"/>
    <xf numFmtId="0" fontId="0" fillId="0" borderId="0" xfId="0" applyAlignment="1">
      <alignment horizontal="right"/>
    </xf>
    <xf numFmtId="0" fontId="19" fillId="35" borderId="0" xfId="0" applyFont="1" applyFill="1"/>
    <xf numFmtId="0" fontId="0" fillId="36" borderId="0" xfId="0" applyFill="1"/>
    <xf numFmtId="0" fontId="0" fillId="37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6480</xdr:colOff>
      <xdr:row>27</xdr:row>
      <xdr:rowOff>49320</xdr:rowOff>
    </xdr:from>
    <xdr:to>
      <xdr:col>13</xdr:col>
      <xdr:colOff>6480</xdr:colOff>
      <xdr:row>27</xdr:row>
      <xdr:rowOff>49680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14522050" y="5056560"/>
            <a:ext cx="6480" cy="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070E73D-6055-9784-F85F-8952BA1743D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4513524" y="5047920"/>
              <a:ext cx="19099" cy="18000"/>
            </a:xfrm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571500</xdr:colOff>
          <xdr:row>23</xdr:row>
          <xdr:rowOff>61913</xdr:rowOff>
        </xdr:from>
        <xdr:to>
          <xdr:col>18</xdr:col>
          <xdr:colOff>1919288</xdr:colOff>
          <xdr:row>26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backtest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21T21:58:30.309"/>
    </inkml:context>
    <inkml:brush xml:id="br0">
      <inkml:brushProperty name="width" value="0.02646" units="cm"/>
      <inkml:brushProperty name="height" value="0.02646" units="cm"/>
    </inkml:brush>
    <inkml:brush xml:id="br1">
      <inkml:brushProperty name="width" value="0.05" units="cm"/>
      <inkml:brushProperty name="height" value="0.05" units="cm"/>
    </inkml:brush>
  </inkml:definitions>
  <inkml:trace contextRef="#ctx0" brushRef="#br0">18 1 32767</inkml:trace>
  <inkml:trace contextRef="#ctx0" brushRef="#br1" timeOffset="625.62">0 1 32767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1399"/>
  <sheetViews>
    <sheetView tabSelected="1" topLeftCell="S1" zoomScale="68" zoomScaleNormal="68" workbookViewId="0">
      <selection activeCell="Z28" sqref="Z28"/>
    </sheetView>
  </sheetViews>
  <sheetFormatPr defaultRowHeight="14.25" x14ac:dyDescent="0.45"/>
  <cols>
    <col min="1" max="1" width="16.59765625" customWidth="1"/>
    <col min="3" max="4" width="14.53125" customWidth="1"/>
    <col min="5" max="6" width="11.86328125" customWidth="1"/>
    <col min="7" max="17" width="10.86328125" customWidth="1"/>
    <col min="18" max="18" width="12.265625" customWidth="1"/>
    <col min="19" max="19" width="35.6640625" customWidth="1"/>
    <col min="20" max="20" width="24.19921875" customWidth="1"/>
    <col min="21" max="21" width="23" customWidth="1"/>
    <col min="22" max="22" width="28.46484375" customWidth="1"/>
    <col min="23" max="23" width="21.33203125" customWidth="1"/>
    <col min="24" max="24" width="24.19921875" customWidth="1"/>
    <col min="25" max="25" width="39.33203125" customWidth="1"/>
    <col min="26" max="26" width="22" customWidth="1"/>
    <col min="27" max="27" width="11.06640625" customWidth="1"/>
    <col min="28" max="28" width="16.3984375" customWidth="1"/>
    <col min="29" max="31" width="11.06640625" customWidth="1"/>
    <col min="32" max="38" width="14.3984375" customWidth="1"/>
    <col min="39" max="39" width="19.86328125" customWidth="1"/>
    <col min="40" max="42" width="24.19921875" customWidth="1"/>
    <col min="45" max="45" width="22.53125" customWidth="1"/>
    <col min="62" max="62" width="23.19921875" customWidth="1"/>
    <col min="63" max="63" width="32.86328125" customWidth="1"/>
  </cols>
  <sheetData>
    <row r="1" spans="1:63" x14ac:dyDescent="0.45">
      <c r="A1" t="s">
        <v>0</v>
      </c>
      <c r="B1" t="s">
        <v>50</v>
      </c>
      <c r="C1" t="s">
        <v>0</v>
      </c>
      <c r="D1" t="s">
        <v>51</v>
      </c>
      <c r="E1" t="s">
        <v>52</v>
      </c>
      <c r="F1" t="s">
        <v>53</v>
      </c>
      <c r="G1" t="s">
        <v>45</v>
      </c>
      <c r="H1" t="s">
        <v>44</v>
      </c>
      <c r="I1" t="s">
        <v>43</v>
      </c>
      <c r="J1" t="s">
        <v>42</v>
      </c>
      <c r="K1" t="s">
        <v>46</v>
      </c>
      <c r="L1" t="s">
        <v>47</v>
      </c>
      <c r="M1" s="9" t="s">
        <v>38</v>
      </c>
      <c r="N1" s="9" t="s">
        <v>37</v>
      </c>
      <c r="O1" s="9" t="s">
        <v>36</v>
      </c>
      <c r="P1" s="9" t="s">
        <v>35</v>
      </c>
      <c r="Q1" s="9" t="s">
        <v>48</v>
      </c>
      <c r="R1" s="9" t="s">
        <v>49</v>
      </c>
      <c r="T1" t="s">
        <v>10</v>
      </c>
      <c r="U1" t="s">
        <v>2</v>
      </c>
      <c r="V1" t="s">
        <v>3</v>
      </c>
      <c r="W1" t="s">
        <v>16</v>
      </c>
      <c r="X1" t="s">
        <v>12</v>
      </c>
      <c r="Y1" s="2" t="s">
        <v>13</v>
      </c>
      <c r="Z1" s="8" t="s">
        <v>33</v>
      </c>
      <c r="AA1" s="8" t="s">
        <v>34</v>
      </c>
      <c r="AB1" s="8" t="s">
        <v>35</v>
      </c>
      <c r="AC1" s="8" t="s">
        <v>36</v>
      </c>
      <c r="AD1" s="8" t="s">
        <v>37</v>
      </c>
      <c r="AE1" s="8" t="s">
        <v>38</v>
      </c>
      <c r="AF1" t="s">
        <v>39</v>
      </c>
      <c r="AG1" t="s">
        <v>41</v>
      </c>
      <c r="AH1" t="s">
        <v>42</v>
      </c>
      <c r="AI1" t="s">
        <v>43</v>
      </c>
      <c r="AJ1" t="s">
        <v>44</v>
      </c>
      <c r="AK1" t="s">
        <v>45</v>
      </c>
      <c r="AL1" t="s">
        <v>8</v>
      </c>
      <c r="AS1" t="s">
        <v>14</v>
      </c>
      <c r="AT1" t="s">
        <v>40</v>
      </c>
      <c r="BJ1" t="s">
        <v>30</v>
      </c>
      <c r="BK1" t="s">
        <v>31</v>
      </c>
    </row>
    <row r="2" spans="1:63" x14ac:dyDescent="0.45">
      <c r="A2" s="1">
        <v>45233</v>
      </c>
      <c r="B2">
        <v>219.96</v>
      </c>
      <c r="C2" s="1">
        <v>45233</v>
      </c>
      <c r="D2">
        <v>434.69</v>
      </c>
      <c r="E2" s="4">
        <f>(B2-B3)/B3</f>
        <v>6.6358519060913329E-3</v>
      </c>
      <c r="F2" s="4">
        <f>(D2-D3)/D3</f>
        <v>9.1234097873526022E-3</v>
      </c>
      <c r="G2">
        <f ca="1">AVERAGE(OFFSET(E2,0,0,$S$3,1))*$AK$25</f>
        <v>3.329171677312965E-3</v>
      </c>
      <c r="H2">
        <f ca="1">STDEV(OFFSET(E2,0,0,$S$3,1))*$AJ$25</f>
        <v>3.4405734484130666E-2</v>
      </c>
      <c r="I2">
        <f ca="1">SKEW(OFFSET(E2,0,0,$S$3,1))*$AI$25</f>
        <v>0.17506750901624674</v>
      </c>
      <c r="J2">
        <f ca="1">KURT(OFFSET(E2,0,0,$S$3,1))*$AH$25</f>
        <v>0.98825595606083105</v>
      </c>
      <c r="K2">
        <f ca="1">PERCENTILE(OFFSET(E2,0,0,$S$3,1), 0.95)/ABS(PERCENTILE(OFFSET(E2,0,0,$S$3,1), 0.05))*$AG$25</f>
        <v>1.2294289327198666</v>
      </c>
      <c r="L2">
        <f ca="1">PERCENTILE(OFFSET(E2,0,0,$S$3,1), 0.75)/ABS(PERCENTILE(OFFSET(E2,0,0,$S$3,1), 0.25))*$AF$25</f>
        <v>1.3216932020662171</v>
      </c>
      <c r="M2">
        <f ca="1">AVERAGE(OFFSET(F2,0,0,$S$3,1))*$AE$25</f>
        <v>5.9612894063072112E-4</v>
      </c>
      <c r="N2">
        <f ca="1">STDEV(OFFSET(F2,0,0,$S$3,1))*$AD$25</f>
        <v>8.5162866611944929E-3</v>
      </c>
      <c r="O2">
        <f ca="1">SKEW(OFFSET(F2,0,0,$S$3,1))*$AC$25</f>
        <v>-5.1240814925195437E-2</v>
      </c>
      <c r="P2">
        <f ca="1">KURT(OFFSET(F2,0,0,$S$3,1))*$AB$25</f>
        <v>-0.41033150975125832</v>
      </c>
      <c r="Q2">
        <f ca="1">PERCENTILE(OFFSET(F2,0,0,$S$3,1), 0.95)/ABS(PERCENTILE(OFFSET(F2,0,0,$S$3,1), 0.05))*$AA$25</f>
        <v>1.0075800201504361</v>
      </c>
      <c r="R2">
        <f ca="1">PERCENTILE(OFFSET(F2,0,0,$S$3,1), 0.75)/ABS(PERCENTILE(OFFSET(F2,0,0,$S$3,1), 0.25))*$Z$25</f>
        <v>1.2997368264769744</v>
      </c>
      <c r="S2" s="2" t="s">
        <v>7</v>
      </c>
      <c r="T2">
        <f t="shared" ref="T2:T66" si="0">E2+1</f>
        <v>1.0066358519060914</v>
      </c>
      <c r="U2" s="6">
        <f ca="1">PRODUCT(OFFSET(T2,0,0,$S$6,1))</f>
        <v>1.0610709117221417</v>
      </c>
      <c r="V2">
        <f ca="1">OFFSET(G2,$S$6,0) * $AK$2+ OFFSET(H2,$S$6,0)  * $AJ$2 + OFFSET(I2,$S$6,0) * $AI$2 + OFFSET(J2,$S$6,0) * $AH$2 + OFFSET(K2,$S$6,0) * $AG$2 + OFFSET(L2,$S$6,0) * $AF$2 + OFFSET(M2,$S$6,0) * $AE$2 + OFFSET(N2,$S$6,0) * $AD$2 + OFFSET(O2,$S$6,0) * $AC$2 + OFFSET(P2,$S$6,0) * $AB$2 +  OFFSET(Q2,$S$6,0) * $AA$2 + OFFSET(R2,$S$6,0)  * $Z$2  + AL$2</f>
        <v>0.65276687294815872</v>
      </c>
      <c r="W2">
        <v>1.0258972886251128</v>
      </c>
      <c r="X2" t="b">
        <f t="shared" ref="X2:X66" ca="1" si="1">OR(AND(U2&gt;1, W2&gt;1), AND(U2&lt;1, W2&lt;1))</f>
        <v>1</v>
      </c>
      <c r="Y2" s="3">
        <f ca="1">COUNTIF(OFFSET(X2,0,0,$S$15,1),"=true")</f>
        <v>180</v>
      </c>
      <c r="Z2" s="10">
        <f t="array" aca="1" ref="Z2:AL6" ca="1">LINEST(OFFSET(OFFSET(U2,0,0,$S$12,1),$S$9,0),OFFSET(OFFSET(OFFSET(G2:R2,0,0,$S$12),$S$6,0),$S$9,0),TRUE,TRUE)</f>
        <v>0.13738254221350965</v>
      </c>
      <c r="AA2" s="10">
        <f ca="1"/>
        <v>-0.71003298082765032</v>
      </c>
      <c r="AB2" s="10">
        <f ca="1"/>
        <v>0.1221143006410589</v>
      </c>
      <c r="AC2" s="10">
        <f ca="1"/>
        <v>0.33675091343328012</v>
      </c>
      <c r="AD2" s="10">
        <f ca="1"/>
        <v>-87.58215684386164</v>
      </c>
      <c r="AE2" s="10">
        <f ca="1"/>
        <v>-68.449992985661126</v>
      </c>
      <c r="AF2" s="10">
        <f ca="1"/>
        <v>0.39338053439306025</v>
      </c>
      <c r="AG2" s="10">
        <f ca="1"/>
        <v>9.3581661583265252E-2</v>
      </c>
      <c r="AH2" s="10">
        <f ca="1"/>
        <v>2.0972809484315773E-2</v>
      </c>
      <c r="AI2" s="10">
        <f ca="1"/>
        <v>-0.39334784147946406</v>
      </c>
      <c r="AJ2" s="10">
        <f ca="1"/>
        <v>65.371886990722544</v>
      </c>
      <c r="AK2" s="10">
        <f ca="1"/>
        <v>-95.654041118839345</v>
      </c>
      <c r="AL2" s="10">
        <f ca="1"/>
        <v>-0.48735595263193965</v>
      </c>
      <c r="AS2">
        <v>0.66220111514209223</v>
      </c>
      <c r="AT2">
        <v>999</v>
      </c>
      <c r="AU2">
        <v>2.3339580012715819</v>
      </c>
      <c r="AV2">
        <v>999</v>
      </c>
      <c r="AW2">
        <v>999</v>
      </c>
      <c r="AX2">
        <v>-4.1203100236748131</v>
      </c>
      <c r="AY2">
        <v>-4.3916756569714499</v>
      </c>
      <c r="AZ2">
        <v>2.1399098818172684</v>
      </c>
      <c r="BA2">
        <v>5.2298151977738714</v>
      </c>
      <c r="BB2">
        <v>999</v>
      </c>
      <c r="BC2">
        <v>999</v>
      </c>
      <c r="BD2">
        <v>999</v>
      </c>
      <c r="BE2">
        <v>-7.5960981510582926</v>
      </c>
      <c r="BF2">
        <v>-0.14882084877933513</v>
      </c>
      <c r="BJ2" t="b">
        <f t="shared" ref="BJ2:BJ65" si="2">ABS(W2-1)&gt;$S$21</f>
        <v>1</v>
      </c>
      <c r="BK2" t="b">
        <f t="shared" ref="BK2:BK65" ca="1" si="3">AND(X2,BJ2)</f>
        <v>1</v>
      </c>
    </row>
    <row r="3" spans="1:63" x14ac:dyDescent="0.45">
      <c r="A3" s="1">
        <v>45232</v>
      </c>
      <c r="B3">
        <v>218.51</v>
      </c>
      <c r="C3" s="1">
        <v>45232</v>
      </c>
      <c r="D3">
        <v>430.76</v>
      </c>
      <c r="E3" s="4">
        <f t="shared" ref="E3:E66" si="4">(B3-B4)/B4</f>
        <v>6.2481766021589003E-2</v>
      </c>
      <c r="F3" s="4">
        <f t="shared" ref="F3:F66" si="5">(D3-D4)/D4</f>
        <v>1.9164340131547733E-2</v>
      </c>
      <c r="G3">
        <f t="shared" ref="G3:G66" ca="1" si="6">AVERAGE(OFFSET(E3,0,0,$S$3,1))*$AK$25</f>
        <v>3.2334827113063474E-3</v>
      </c>
      <c r="H3">
        <f t="shared" ref="H3:H66" ca="1" si="7">STDEV(OFFSET(E3,0,0,$S$3,1))*$AJ$25</f>
        <v>3.4423100316260113E-2</v>
      </c>
      <c r="I3">
        <f t="shared" ref="I3:I66" ca="1" si="8">SKEW(OFFSET(E3,0,0,$S$3,1))*$AI$25</f>
        <v>0.18272807648009132</v>
      </c>
      <c r="J3">
        <f t="shared" ref="J3:J66" ca="1" si="9">KURT(OFFSET(E3,0,0,$S$3,1))*$AH$25</f>
        <v>0.98237824937459006</v>
      </c>
      <c r="K3">
        <f t="shared" ref="K3:K66" ca="1" si="10">PERCENTILE(OFFSET(E3,0,0,$S$3,1), 0.95)/ABS(PERCENTILE(OFFSET(E3,0,0,$S$3,1), 0.05))*$AG$25</f>
        <v>1.2294289327198666</v>
      </c>
      <c r="L3">
        <f t="shared" ref="L3:L66" ca="1" si="11">PERCENTILE(OFFSET(E3,0,0,$S$3,1), 0.75)/ABS(PERCENTILE(OFFSET(E3,0,0,$S$3,1), 0.25))*$AF$25</f>
        <v>1.3216932020662171</v>
      </c>
      <c r="M3">
        <f t="shared" ref="M3:M66" ca="1" si="12">AVERAGE(OFFSET(F3,0,0,$S$3,1))*$AE$25</f>
        <v>5.1411249451906204E-4</v>
      </c>
      <c r="N3">
        <f t="shared" ref="N3:N66" ca="1" si="13">STDEV(OFFSET(F3,0,0,$S$3,1))*$AD$25</f>
        <v>8.5127371934543717E-3</v>
      </c>
      <c r="O3">
        <f t="shared" ref="O3:O66" ca="1" si="14">SKEW(OFFSET(F3,0,0,$S$3,1))*$AC$25</f>
        <v>-3.1230316939786673E-2</v>
      </c>
      <c r="P3">
        <f t="shared" ref="P3:P66" ca="1" si="15">KURT(OFFSET(F3,0,0,$S$3,1))*$AB$25</f>
        <v>-0.40915491852719832</v>
      </c>
      <c r="Q3">
        <f t="shared" ref="Q3:Q66" ca="1" si="16">PERCENTILE(OFFSET(F3,0,0,$S$3,1), 0.95)/ABS(PERCENTILE(OFFSET(F3,0,0,$S$3,1), 0.05))*$AA$25</f>
        <v>1.0075800201504361</v>
      </c>
      <c r="R3">
        <f t="shared" ref="R3:R66" ca="1" si="17">PERCENTILE(OFFSET(F3,0,0,$S$3,1), 0.75)/ABS(PERCENTILE(OFFSET(F3,0,0,$S$3,1), 0.25))*$Z$25</f>
        <v>1.2506618681460926</v>
      </c>
      <c r="S3" s="3">
        <v>200</v>
      </c>
      <c r="T3">
        <f t="shared" si="0"/>
        <v>1.0624817660215891</v>
      </c>
      <c r="U3" s="6">
        <f t="shared" ref="U3:U66" ca="1" si="18">PRODUCT(OFFSET(T3,0,0,$S$6,1))</f>
        <v>1.0619653965785383</v>
      </c>
      <c r="V3">
        <f t="shared" ref="V3:V66" ca="1" si="19">OFFSET(G3,$S$6,0) * $AK$2+ OFFSET(H3,$S$6,0)  * $AJ$2 + OFFSET(I3,$S$6,0) * $AI$2 + OFFSET(J3,$S$6,0) * $AH$2 + OFFSET(K3,$S$6,0) * $AG$2 + OFFSET(L3,$S$6,0) * $AF$2 + OFFSET(M3,$S$6,0) * $AE$2 + OFFSET(N3,$S$6,0) * $AD$2 + OFFSET(O3,$S$6,0) * $AC$2 + OFFSET(P3,$S$6,0) * $AB$2 +  OFFSET(Q3,$S$6,0) * $AA$2 + OFFSET(R3,$S$6,0)  * $Z$2  + AL$2</f>
        <v>0.64490435429673887</v>
      </c>
      <c r="W3">
        <v>0.96485859886329894</v>
      </c>
      <c r="X3" t="b">
        <f t="shared" ca="1" si="1"/>
        <v>0</v>
      </c>
      <c r="Y3" s="2" t="s">
        <v>15</v>
      </c>
      <c r="Z3" s="10">
        <f ca="1"/>
        <v>0.40182362373405667</v>
      </c>
      <c r="AA3" s="10">
        <f ca="1"/>
        <v>0.7284404410273817</v>
      </c>
      <c r="AB3" s="10">
        <f ca="1"/>
        <v>0.31446543795372001</v>
      </c>
      <c r="AC3" s="10">
        <f ca="1"/>
        <v>0.77070062880258894</v>
      </c>
      <c r="AD3" s="10">
        <f ca="1"/>
        <v>51.517437169068579</v>
      </c>
      <c r="AE3" s="10">
        <f ca="1"/>
        <v>137.72184596938749</v>
      </c>
      <c r="AF3" s="10">
        <f ca="1"/>
        <v>0.25010756538881357</v>
      </c>
      <c r="AG3" s="10">
        <f ca="1"/>
        <v>0.20993439102356021</v>
      </c>
      <c r="AH3" s="10">
        <f ca="1"/>
        <v>0.23396428167989453</v>
      </c>
      <c r="AI3" s="10">
        <f ca="1"/>
        <v>0.47814256971013996</v>
      </c>
      <c r="AJ3" s="10">
        <f ca="1"/>
        <v>35.860382973748195</v>
      </c>
      <c r="AK3" s="10">
        <f ca="1"/>
        <v>35.133042165720546</v>
      </c>
      <c r="AL3" s="10">
        <f ca="1"/>
        <v>1.8187795484613627</v>
      </c>
      <c r="AS3">
        <v>0.66402451152188635</v>
      </c>
      <c r="AT3">
        <v>999</v>
      </c>
      <c r="AU3">
        <v>999</v>
      </c>
      <c r="AV3">
        <v>999</v>
      </c>
      <c r="AW3">
        <v>999</v>
      </c>
      <c r="AX3">
        <v>-3.7981463388699805</v>
      </c>
      <c r="AY3">
        <v>-3.6187900234486863</v>
      </c>
      <c r="AZ3">
        <v>2.4342256858891251</v>
      </c>
      <c r="BA3">
        <v>4.7727104079213971</v>
      </c>
      <c r="BB3">
        <v>999</v>
      </c>
      <c r="BC3">
        <v>999</v>
      </c>
      <c r="BD3">
        <v>999</v>
      </c>
      <c r="BE3">
        <v>-7.6965601126253533</v>
      </c>
      <c r="BF3">
        <v>0.70362251239666207</v>
      </c>
      <c r="BJ3" t="b">
        <f t="shared" si="2"/>
        <v>1</v>
      </c>
      <c r="BK3" t="b">
        <f t="shared" ca="1" si="3"/>
        <v>0</v>
      </c>
    </row>
    <row r="4" spans="1:63" x14ac:dyDescent="0.45">
      <c r="A4" s="1">
        <v>45231</v>
      </c>
      <c r="B4">
        <v>205.66</v>
      </c>
      <c r="C4" s="1">
        <v>45231</v>
      </c>
      <c r="D4">
        <v>422.66</v>
      </c>
      <c r="E4" s="4">
        <f t="shared" si="4"/>
        <v>2.3999203345946987E-2</v>
      </c>
      <c r="F4" s="4">
        <f t="shared" si="5"/>
        <v>1.0664753706360681E-2</v>
      </c>
      <c r="G4">
        <f t="shared" ca="1" si="6"/>
        <v>2.8180242196271803E-3</v>
      </c>
      <c r="H4">
        <f t="shared" ca="1" si="7"/>
        <v>3.4205163254084917E-2</v>
      </c>
      <c r="I4">
        <f t="shared" ca="1" si="8"/>
        <v>0.19495261423038607</v>
      </c>
      <c r="J4">
        <f t="shared" ca="1" si="9"/>
        <v>1.0493780661396661</v>
      </c>
      <c r="K4">
        <f t="shared" ca="1" si="10"/>
        <v>1.1726189842638752</v>
      </c>
      <c r="L4">
        <f t="shared" ca="1" si="11"/>
        <v>1.2443465495352686</v>
      </c>
      <c r="M4">
        <f t="shared" ca="1" si="12"/>
        <v>3.393507028539578E-4</v>
      </c>
      <c r="N4">
        <f t="shared" ca="1" si="13"/>
        <v>8.486670704000665E-3</v>
      </c>
      <c r="O4">
        <f t="shared" ca="1" si="14"/>
        <v>-5.8956864498491725E-2</v>
      </c>
      <c r="P4">
        <f t="shared" ca="1" si="15"/>
        <v>-0.43446596496879675</v>
      </c>
      <c r="Q4">
        <f t="shared" ca="1" si="16"/>
        <v>1.0008689947362757</v>
      </c>
      <c r="R4">
        <f t="shared" ca="1" si="17"/>
        <v>1.2134096191645056</v>
      </c>
      <c r="T4">
        <f t="shared" si="0"/>
        <v>1.0239992033459471</v>
      </c>
      <c r="U4" s="6">
        <f t="shared" ca="1" si="18"/>
        <v>0.96817625458996348</v>
      </c>
      <c r="V4">
        <f t="shared" ca="1" si="19"/>
        <v>0.64019585186956707</v>
      </c>
      <c r="W4">
        <v>0.94869558448502911</v>
      </c>
      <c r="X4" t="b">
        <f t="shared" ca="1" si="1"/>
        <v>1</v>
      </c>
      <c r="Y4" s="3">
        <f ca="1">Y2/S15</f>
        <v>0.7142857142857143</v>
      </c>
      <c r="Z4" s="10">
        <f ca="1"/>
        <v>0.2702090636090661</v>
      </c>
      <c r="AA4" s="10">
        <f ca="1"/>
        <v>6.8762530860485671E-2</v>
      </c>
      <c r="AB4" s="10" t="e">
        <f ca="1"/>
        <v>#N/A</v>
      </c>
      <c r="AC4" s="10" t="e">
        <f ca="1"/>
        <v>#N/A</v>
      </c>
      <c r="AD4" s="10" t="e">
        <f ca="1"/>
        <v>#N/A</v>
      </c>
      <c r="AE4" s="10" t="e">
        <f ca="1"/>
        <v>#N/A</v>
      </c>
      <c r="AF4" s="10" t="e">
        <f ca="1"/>
        <v>#N/A</v>
      </c>
      <c r="AG4" s="10" t="e">
        <f ca="1"/>
        <v>#N/A</v>
      </c>
      <c r="AH4" s="10" t="e">
        <f ca="1"/>
        <v>#N/A</v>
      </c>
      <c r="AI4" s="10" t="e">
        <f ca="1"/>
        <v>#N/A</v>
      </c>
      <c r="AJ4" s="10" t="e">
        <f ca="1"/>
        <v>#N/A</v>
      </c>
      <c r="AK4" s="10" t="e">
        <f ca="1"/>
        <v>#N/A</v>
      </c>
      <c r="AL4" s="10" t="e">
        <f ca="1"/>
        <v>#N/A</v>
      </c>
      <c r="AS4">
        <v>0.67463531762696061</v>
      </c>
      <c r="AT4">
        <v>999</v>
      </c>
      <c r="AU4">
        <v>999</v>
      </c>
      <c r="AV4">
        <v>999</v>
      </c>
      <c r="AW4">
        <v>999</v>
      </c>
      <c r="AX4">
        <v>-3.8222621434298376</v>
      </c>
      <c r="AY4">
        <v>-3.5385332607412039</v>
      </c>
      <c r="AZ4">
        <v>2.4465960351036942</v>
      </c>
      <c r="BA4">
        <v>4.733152781298271</v>
      </c>
      <c r="BB4">
        <v>999</v>
      </c>
      <c r="BC4">
        <v>999</v>
      </c>
      <c r="BD4">
        <v>999</v>
      </c>
      <c r="BE4">
        <v>-7.6207043054364032</v>
      </c>
      <c r="BF4">
        <v>0.72934568109377973</v>
      </c>
      <c r="BJ4" t="b">
        <f t="shared" si="2"/>
        <v>1</v>
      </c>
      <c r="BK4" t="b">
        <f t="shared" ca="1" si="3"/>
        <v>1</v>
      </c>
    </row>
    <row r="5" spans="1:63" x14ac:dyDescent="0.45">
      <c r="A5" s="1">
        <v>45230</v>
      </c>
      <c r="B5">
        <v>200.84</v>
      </c>
      <c r="C5" s="1">
        <v>45230</v>
      </c>
      <c r="D5">
        <v>418.2</v>
      </c>
      <c r="E5" s="4">
        <f t="shared" si="4"/>
        <v>1.7632752330766058E-2</v>
      </c>
      <c r="F5" s="4">
        <f t="shared" si="5"/>
        <v>6.2802281094348125E-3</v>
      </c>
      <c r="G5">
        <f t="shared" ca="1" si="6"/>
        <v>3.0693517323092108E-3</v>
      </c>
      <c r="H5">
        <f t="shared" ca="1" si="7"/>
        <v>3.4544559987567044E-2</v>
      </c>
      <c r="I5">
        <f t="shared" ca="1" si="8"/>
        <v>0.21095288611428212</v>
      </c>
      <c r="J5">
        <f t="shared" ca="1" si="9"/>
        <v>0.97823962552872867</v>
      </c>
      <c r="K5">
        <f t="shared" ca="1" si="10"/>
        <v>1.2358068251981897</v>
      </c>
      <c r="L5">
        <f t="shared" ca="1" si="11"/>
        <v>1.2443465495352686</v>
      </c>
      <c r="M5">
        <f t="shared" ca="1" si="12"/>
        <v>2.7686758676882881E-4</v>
      </c>
      <c r="N5">
        <f t="shared" ca="1" si="13"/>
        <v>8.4562164609524385E-3</v>
      </c>
      <c r="O5">
        <f t="shared" ca="1" si="14"/>
        <v>-4.6531389409981819E-2</v>
      </c>
      <c r="P5">
        <f t="shared" ca="1" si="15"/>
        <v>-0.40987564373682872</v>
      </c>
      <c r="Q5">
        <f t="shared" ca="1" si="16"/>
        <v>1.0008689947362757</v>
      </c>
      <c r="R5">
        <f t="shared" ca="1" si="17"/>
        <v>1.2079253499800628</v>
      </c>
      <c r="S5" s="2" t="s">
        <v>1</v>
      </c>
      <c r="T5">
        <f t="shared" si="0"/>
        <v>1.017632752330766</v>
      </c>
      <c r="U5" s="6">
        <f t="shared" ca="1" si="18"/>
        <v>0.92758174764455947</v>
      </c>
      <c r="V5">
        <f t="shared" ca="1" si="19"/>
        <v>0.63953437084353981</v>
      </c>
      <c r="W5">
        <v>0.89736980359965512</v>
      </c>
      <c r="X5" t="b">
        <f t="shared" ca="1" si="1"/>
        <v>1</v>
      </c>
      <c r="Y5" s="2" t="s">
        <v>27</v>
      </c>
      <c r="Z5" s="10">
        <f ca="1"/>
        <v>2.6843519335191157</v>
      </c>
      <c r="AA5" s="10">
        <f ca="1"/>
        <v>87</v>
      </c>
      <c r="AB5" s="10" t="e">
        <f ca="1"/>
        <v>#N/A</v>
      </c>
      <c r="AC5" s="10" t="e">
        <f ca="1"/>
        <v>#N/A</v>
      </c>
      <c r="AD5" s="10" t="e">
        <f ca="1"/>
        <v>#N/A</v>
      </c>
      <c r="AE5" s="10" t="e">
        <f ca="1"/>
        <v>#N/A</v>
      </c>
      <c r="AF5" s="10" t="e">
        <f ca="1"/>
        <v>#N/A</v>
      </c>
      <c r="AG5" s="10" t="e">
        <f ca="1"/>
        <v>#N/A</v>
      </c>
      <c r="AH5" s="10" t="e">
        <f ca="1"/>
        <v>#N/A</v>
      </c>
      <c r="AI5" s="10" t="e">
        <f ca="1"/>
        <v>#N/A</v>
      </c>
      <c r="AJ5" s="10" t="e">
        <f ca="1"/>
        <v>#N/A</v>
      </c>
      <c r="AK5" s="10" t="e">
        <f ca="1"/>
        <v>#N/A</v>
      </c>
      <c r="AL5" s="10" t="e">
        <f ca="1"/>
        <v>#N/A</v>
      </c>
      <c r="AS5">
        <v>0.6780978878517343</v>
      </c>
      <c r="AT5">
        <v>999</v>
      </c>
      <c r="AU5">
        <v>999</v>
      </c>
      <c r="AV5">
        <v>999</v>
      </c>
      <c r="AW5">
        <v>999</v>
      </c>
      <c r="AX5">
        <v>-3.829208800968734</v>
      </c>
      <c r="AY5">
        <v>-3.3398816474101709</v>
      </c>
      <c r="AZ5">
        <v>2.4213922243168811</v>
      </c>
      <c r="BA5">
        <v>4.5791257611349261</v>
      </c>
      <c r="BB5">
        <v>999</v>
      </c>
      <c r="BC5">
        <v>999</v>
      </c>
      <c r="BD5">
        <v>999</v>
      </c>
      <c r="BE5">
        <v>-7.3236548130586456</v>
      </c>
      <c r="BF5">
        <v>0.7726751202036497</v>
      </c>
      <c r="BJ5" t="b">
        <f t="shared" si="2"/>
        <v>1</v>
      </c>
      <c r="BK5" t="b">
        <f t="shared" ca="1" si="3"/>
        <v>1</v>
      </c>
    </row>
    <row r="6" spans="1:63" x14ac:dyDescent="0.45">
      <c r="A6" s="1">
        <v>45229</v>
      </c>
      <c r="B6">
        <v>197.36</v>
      </c>
      <c r="C6" s="1">
        <v>45229</v>
      </c>
      <c r="D6">
        <v>415.59</v>
      </c>
      <c r="E6" s="4">
        <f t="shared" si="4"/>
        <v>-4.7949831162566313E-2</v>
      </c>
      <c r="F6" s="4">
        <f t="shared" si="5"/>
        <v>1.1955780656472115E-2</v>
      </c>
      <c r="G6">
        <f t="shared" ca="1" si="6"/>
        <v>2.9342472131286728E-3</v>
      </c>
      <c r="H6">
        <f t="shared" ca="1" si="7"/>
        <v>3.4540155381793801E-2</v>
      </c>
      <c r="I6">
        <f t="shared" ca="1" si="8"/>
        <v>0.22226813622268207</v>
      </c>
      <c r="J6">
        <f t="shared" ca="1" si="9"/>
        <v>0.98367018198539036</v>
      </c>
      <c r="K6">
        <f t="shared" ca="1" si="10"/>
        <v>1.2358068251981897</v>
      </c>
      <c r="L6">
        <f t="shared" ca="1" si="11"/>
        <v>1.2443465495352686</v>
      </c>
      <c r="M6">
        <f t="shared" ca="1" si="12"/>
        <v>2.6486386661665696E-4</v>
      </c>
      <c r="N6">
        <f t="shared" ca="1" si="13"/>
        <v>8.4493529413069198E-3</v>
      </c>
      <c r="O6">
        <f t="shared" ca="1" si="14"/>
        <v>-4.3767007137133739E-2</v>
      </c>
      <c r="P6">
        <f t="shared" ca="1" si="15"/>
        <v>-0.40271547181338185</v>
      </c>
      <c r="Q6">
        <f t="shared" ca="1" si="16"/>
        <v>1.0008689947362757</v>
      </c>
      <c r="R6">
        <f t="shared" ca="1" si="17"/>
        <v>1.2079253499800628</v>
      </c>
      <c r="S6" s="3">
        <v>5</v>
      </c>
      <c r="T6">
        <f t="shared" si="0"/>
        <v>0.95205016883743365</v>
      </c>
      <c r="U6" s="6">
        <f t="shared" ca="1" si="18"/>
        <v>0.93059222934741626</v>
      </c>
      <c r="V6">
        <f t="shared" ca="1" si="19"/>
        <v>0.67090789453167254</v>
      </c>
      <c r="W6">
        <v>0.9153434020698894</v>
      </c>
      <c r="X6" t="b">
        <f t="shared" ca="1" si="1"/>
        <v>1</v>
      </c>
      <c r="Y6" s="3">
        <f ca="1">COUNTIF(OFFSET(BK2,0,0,$S$15,1),"=true")</f>
        <v>180</v>
      </c>
      <c r="Z6" s="10">
        <f ca="1"/>
        <v>0.15230859273262609</v>
      </c>
      <c r="AA6" s="10">
        <f ca="1"/>
        <v>0.4113608515795143</v>
      </c>
      <c r="AB6" s="10" t="e">
        <f ca="1"/>
        <v>#N/A</v>
      </c>
      <c r="AC6" s="10" t="e">
        <f ca="1"/>
        <v>#N/A</v>
      </c>
      <c r="AD6" s="10" t="e">
        <f ca="1"/>
        <v>#N/A</v>
      </c>
      <c r="AE6" s="10" t="e">
        <f ca="1"/>
        <v>#N/A</v>
      </c>
      <c r="AF6" s="10" t="e">
        <f ca="1"/>
        <v>#N/A</v>
      </c>
      <c r="AG6" s="10" t="e">
        <f ca="1"/>
        <v>#N/A</v>
      </c>
      <c r="AH6" s="10" t="e">
        <f ca="1"/>
        <v>#N/A</v>
      </c>
      <c r="AI6" s="10" t="e">
        <f ca="1"/>
        <v>#N/A</v>
      </c>
      <c r="AJ6" s="10" t="e">
        <f ca="1"/>
        <v>#N/A</v>
      </c>
      <c r="AK6" s="10" t="e">
        <f ca="1"/>
        <v>#N/A</v>
      </c>
      <c r="AL6" s="10" t="e">
        <f ca="1"/>
        <v>#N/A</v>
      </c>
      <c r="AS6">
        <v>0.67702511360403284</v>
      </c>
      <c r="AT6">
        <v>999</v>
      </c>
      <c r="AU6">
        <v>2.9841007127276309</v>
      </c>
      <c r="AV6">
        <v>2.4598873675434971</v>
      </c>
      <c r="AW6">
        <v>-2.0121571573039216</v>
      </c>
      <c r="AX6">
        <v>-4.343795912917682</v>
      </c>
      <c r="AY6">
        <v>-3.1202774907383168</v>
      </c>
      <c r="AZ6">
        <v>999</v>
      </c>
      <c r="BA6">
        <v>5.2162381337652768</v>
      </c>
      <c r="BB6">
        <v>-3.0458209495357891</v>
      </c>
      <c r="BC6">
        <v>-2.5126341472162763</v>
      </c>
      <c r="BD6">
        <v>999</v>
      </c>
      <c r="BE6">
        <v>-5.9545659220963856</v>
      </c>
      <c r="BF6">
        <v>0.65376251379438888</v>
      </c>
      <c r="BJ6" t="b">
        <f t="shared" si="2"/>
        <v>1</v>
      </c>
      <c r="BK6" t="b">
        <f t="shared" ca="1" si="3"/>
        <v>1</v>
      </c>
    </row>
    <row r="7" spans="1:63" x14ac:dyDescent="0.45">
      <c r="A7" s="1">
        <v>45226</v>
      </c>
      <c r="B7">
        <v>207.3</v>
      </c>
      <c r="C7" s="1">
        <v>45226</v>
      </c>
      <c r="D7">
        <v>410.68</v>
      </c>
      <c r="E7" s="4">
        <f t="shared" si="4"/>
        <v>7.484447900466663E-3</v>
      </c>
      <c r="F7" s="4">
        <f t="shared" si="5"/>
        <v>-4.5327839049812257E-3</v>
      </c>
      <c r="G7">
        <f t="shared" ca="1" si="6"/>
        <v>3.187792830554878E-3</v>
      </c>
      <c r="H7">
        <f t="shared" ca="1" si="7"/>
        <v>3.4350354831061046E-2</v>
      </c>
      <c r="I7">
        <f t="shared" ca="1" si="8"/>
        <v>0.22010457420275295</v>
      </c>
      <c r="J7">
        <f t="shared" ca="1" si="9"/>
        <v>1.0415640783590394</v>
      </c>
      <c r="K7">
        <f t="shared" ca="1" si="10"/>
        <v>1.2358068251981897</v>
      </c>
      <c r="L7">
        <f t="shared" ca="1" si="11"/>
        <v>1.300149554421165</v>
      </c>
      <c r="M7">
        <f t="shared" ca="1" si="12"/>
        <v>2.2328884682944203E-4</v>
      </c>
      <c r="N7">
        <f t="shared" ca="1" si="13"/>
        <v>8.411912770678192E-3</v>
      </c>
      <c r="O7">
        <f t="shared" ca="1" si="14"/>
        <v>-4.2674981107241099E-2</v>
      </c>
      <c r="P7">
        <f t="shared" ca="1" si="15"/>
        <v>-0.3755448671738213</v>
      </c>
      <c r="Q7">
        <f t="shared" ca="1" si="16"/>
        <v>1.0008689947362757</v>
      </c>
      <c r="R7">
        <f t="shared" ca="1" si="17"/>
        <v>1.164843392995363</v>
      </c>
      <c r="T7">
        <f t="shared" si="0"/>
        <v>1.0074844479004668</v>
      </c>
      <c r="U7" s="6">
        <f t="shared" ca="1" si="18"/>
        <v>0.97787631492051541</v>
      </c>
      <c r="V7">
        <f t="shared" ca="1" si="19"/>
        <v>0.67513672532168056</v>
      </c>
      <c r="W7">
        <v>0.89887795598296161</v>
      </c>
      <c r="X7" t="b">
        <f t="shared" ca="1" si="1"/>
        <v>1</v>
      </c>
      <c r="Y7" s="2" t="s">
        <v>29</v>
      </c>
      <c r="AS7">
        <v>0.67906530766331374</v>
      </c>
      <c r="AT7">
        <v>999</v>
      </c>
      <c r="AU7">
        <v>999</v>
      </c>
      <c r="AV7">
        <v>999</v>
      </c>
      <c r="AW7">
        <v>999</v>
      </c>
      <c r="AX7">
        <v>-3.7051487914422458</v>
      </c>
      <c r="AY7">
        <v>-3.5062978789680268</v>
      </c>
      <c r="AZ7">
        <v>999</v>
      </c>
      <c r="BA7">
        <v>4.5768156509918416</v>
      </c>
      <c r="BB7">
        <v>-2.1624300078794723</v>
      </c>
      <c r="BC7">
        <v>-2.2805946558521422</v>
      </c>
      <c r="BD7">
        <v>999</v>
      </c>
      <c r="BE7">
        <v>-6.7831215208636744</v>
      </c>
      <c r="BF7">
        <v>2.0845581548570906</v>
      </c>
      <c r="BJ7" t="b">
        <f t="shared" si="2"/>
        <v>1</v>
      </c>
      <c r="BK7" t="b">
        <f t="shared" ca="1" si="3"/>
        <v>1</v>
      </c>
    </row>
    <row r="8" spans="1:63" ht="28.5" x14ac:dyDescent="0.45">
      <c r="A8" s="1">
        <v>45225</v>
      </c>
      <c r="B8">
        <v>205.76</v>
      </c>
      <c r="C8" s="1">
        <v>45225</v>
      </c>
      <c r="D8">
        <v>412.55</v>
      </c>
      <c r="E8" s="4">
        <f t="shared" si="4"/>
        <v>-3.1352979945391192E-2</v>
      </c>
      <c r="F8" s="4">
        <f t="shared" si="5"/>
        <v>-1.1974613818704346E-2</v>
      </c>
      <c r="G8">
        <f t="shared" ca="1" si="6"/>
        <v>3.3342157740563309E-3</v>
      </c>
      <c r="H8">
        <f t="shared" ca="1" si="7"/>
        <v>3.443108179196467E-2</v>
      </c>
      <c r="I8">
        <f t="shared" ca="1" si="8"/>
        <v>0.21037253894307881</v>
      </c>
      <c r="J8">
        <f t="shared" ca="1" si="9"/>
        <v>1.0042881253509854</v>
      </c>
      <c r="K8">
        <f t="shared" ca="1" si="10"/>
        <v>1.2358068251981897</v>
      </c>
      <c r="L8">
        <f t="shared" ca="1" si="11"/>
        <v>1.3216932020662171</v>
      </c>
      <c r="M8">
        <f t="shared" ca="1" si="12"/>
        <v>3.0919205151999917E-4</v>
      </c>
      <c r="N8">
        <f t="shared" ca="1" si="13"/>
        <v>8.4507347991057517E-3</v>
      </c>
      <c r="O8">
        <f t="shared" ca="1" si="14"/>
        <v>-5.585792118203578E-2</v>
      </c>
      <c r="P8">
        <f t="shared" ca="1" si="15"/>
        <v>-0.39891757855499632</v>
      </c>
      <c r="Q8">
        <f t="shared" ca="1" si="16"/>
        <v>1.0008689947362757</v>
      </c>
      <c r="R8">
        <f t="shared" ca="1" si="17"/>
        <v>1.2079253499800628</v>
      </c>
      <c r="S8" s="5" t="s">
        <v>9</v>
      </c>
      <c r="T8">
        <f t="shared" si="0"/>
        <v>0.96864702005460879</v>
      </c>
      <c r="U8" s="6">
        <f t="shared" ca="1" si="18"/>
        <v>0.93480532461042209</v>
      </c>
      <c r="V8">
        <f t="shared" ca="1" si="19"/>
        <v>0.65829620950730583</v>
      </c>
      <c r="W8">
        <v>0.72933433643856105</v>
      </c>
      <c r="X8" t="b">
        <f t="shared" ca="1" si="1"/>
        <v>1</v>
      </c>
      <c r="Y8" s="3">
        <f ca="1">COUNTIF(OFFSET(BJ2,0,0,$S$15,1),"=true")</f>
        <v>252</v>
      </c>
      <c r="AS8">
        <v>0.69307078258489074</v>
      </c>
      <c r="AT8">
        <v>999</v>
      </c>
      <c r="AU8">
        <v>2.2002537046477677</v>
      </c>
      <c r="AV8">
        <v>999</v>
      </c>
      <c r="AW8">
        <v>999</v>
      </c>
      <c r="AX8">
        <v>-3.34459920200349</v>
      </c>
      <c r="AY8">
        <v>-4.0556399226566135</v>
      </c>
      <c r="AZ8">
        <v>999</v>
      </c>
      <c r="BA8">
        <v>5.4971553336950425</v>
      </c>
      <c r="BB8">
        <v>999</v>
      </c>
      <c r="BC8">
        <v>-3.8731352325135435</v>
      </c>
      <c r="BD8">
        <v>999</v>
      </c>
      <c r="BE8">
        <v>-7.6522194170877462</v>
      </c>
      <c r="BF8">
        <v>-0.54244176261230181</v>
      </c>
      <c r="BJ8" t="b">
        <f t="shared" si="2"/>
        <v>1</v>
      </c>
      <c r="BK8" t="b">
        <f t="shared" ca="1" si="3"/>
        <v>1</v>
      </c>
    </row>
    <row r="9" spans="1:63" x14ac:dyDescent="0.45">
      <c r="A9" s="1">
        <v>45224</v>
      </c>
      <c r="B9">
        <v>212.42</v>
      </c>
      <c r="C9" s="1">
        <v>45224</v>
      </c>
      <c r="D9">
        <v>417.55</v>
      </c>
      <c r="E9" s="4">
        <f t="shared" si="4"/>
        <v>-1.8935895067430365E-2</v>
      </c>
      <c r="F9" s="4">
        <f t="shared" si="5"/>
        <v>-1.4352146920661861E-2</v>
      </c>
      <c r="G9">
        <f t="shared" ca="1" si="6"/>
        <v>3.4525737271355449E-3</v>
      </c>
      <c r="H9">
        <f t="shared" ca="1" si="7"/>
        <v>3.4351838990771877E-2</v>
      </c>
      <c r="I9">
        <f t="shared" ca="1" si="8"/>
        <v>0.20644955192690015</v>
      </c>
      <c r="J9">
        <f t="shared" ca="1" si="9"/>
        <v>1.033482409283045</v>
      </c>
      <c r="K9">
        <f t="shared" ca="1" si="10"/>
        <v>1.2358068251981897</v>
      </c>
      <c r="L9">
        <f t="shared" ca="1" si="11"/>
        <v>1.3514836230478569</v>
      </c>
      <c r="M9">
        <f t="shared" ca="1" si="12"/>
        <v>4.0412931903563161E-4</v>
      </c>
      <c r="N9">
        <f t="shared" ca="1" si="13"/>
        <v>8.4186360627633485E-3</v>
      </c>
      <c r="O9">
        <f t="shared" ca="1" si="14"/>
        <v>-7.2342434073697837E-2</v>
      </c>
      <c r="P9">
        <f t="shared" ca="1" si="15"/>
        <v>-0.37716812914222864</v>
      </c>
      <c r="Q9">
        <f t="shared" ca="1" si="16"/>
        <v>1.0008689947362757</v>
      </c>
      <c r="R9">
        <f t="shared" ca="1" si="17"/>
        <v>1.2406896576128033</v>
      </c>
      <c r="S9" s="3">
        <v>252</v>
      </c>
      <c r="T9">
        <f t="shared" si="0"/>
        <v>0.98106410493256968</v>
      </c>
      <c r="U9" s="6">
        <f t="shared" ca="1" si="18"/>
        <v>0.87530904895335437</v>
      </c>
      <c r="V9">
        <f t="shared" ca="1" si="19"/>
        <v>0.775771593974378</v>
      </c>
      <c r="W9">
        <v>0.78948759326132678</v>
      </c>
      <c r="X9" t="b">
        <f t="shared" ca="1" si="1"/>
        <v>1</v>
      </c>
      <c r="Y9" s="2" t="s">
        <v>28</v>
      </c>
      <c r="AS9">
        <v>0.7076410288739623</v>
      </c>
      <c r="AT9">
        <v>999</v>
      </c>
      <c r="AU9">
        <v>2.3586392499855222</v>
      </c>
      <c r="AV9">
        <v>999</v>
      </c>
      <c r="AW9">
        <v>999</v>
      </c>
      <c r="AX9">
        <v>-3.4357146155569906</v>
      </c>
      <c r="AY9">
        <v>-4.3404183514217474</v>
      </c>
      <c r="AZ9">
        <v>999</v>
      </c>
      <c r="BA9">
        <v>5.8251476648605696</v>
      </c>
      <c r="BB9">
        <v>999</v>
      </c>
      <c r="BC9">
        <v>-4.2512711275181196</v>
      </c>
      <c r="BD9">
        <v>999</v>
      </c>
      <c r="BE9">
        <v>-8.0764526271477841</v>
      </c>
      <c r="BF9">
        <v>-1.0281769076539087</v>
      </c>
      <c r="BJ9" t="b">
        <f t="shared" si="2"/>
        <v>1</v>
      </c>
      <c r="BK9" t="b">
        <f t="shared" ca="1" si="3"/>
        <v>1</v>
      </c>
    </row>
    <row r="10" spans="1:63" x14ac:dyDescent="0.45">
      <c r="A10" s="1">
        <v>45223</v>
      </c>
      <c r="B10">
        <v>216.52</v>
      </c>
      <c r="C10" s="1">
        <v>45223</v>
      </c>
      <c r="D10">
        <v>423.63</v>
      </c>
      <c r="E10" s="4">
        <f t="shared" si="4"/>
        <v>2.0935496039230467E-2</v>
      </c>
      <c r="F10" s="4">
        <f t="shared" si="5"/>
        <v>7.5393616515245588E-3</v>
      </c>
      <c r="G10">
        <f t="shared" ca="1" si="6"/>
        <v>3.8439982935747673E-3</v>
      </c>
      <c r="H10">
        <f t="shared" ca="1" si="7"/>
        <v>3.4540941107176495E-2</v>
      </c>
      <c r="I10">
        <f t="shared" ca="1" si="8"/>
        <v>0.19162916159045101</v>
      </c>
      <c r="J10">
        <f t="shared" ca="1" si="9"/>
        <v>0.96982889674540917</v>
      </c>
      <c r="K10">
        <f t="shared" ca="1" si="10"/>
        <v>1.2358068251981897</v>
      </c>
      <c r="L10">
        <f t="shared" ca="1" si="11"/>
        <v>1.3767297958610754</v>
      </c>
      <c r="M10">
        <f t="shared" ca="1" si="12"/>
        <v>4.7305558651876016E-4</v>
      </c>
      <c r="N10">
        <f t="shared" ca="1" si="13"/>
        <v>8.3533937462597126E-3</v>
      </c>
      <c r="O10">
        <f t="shared" ca="1" si="14"/>
        <v>-7.1082846580440243E-2</v>
      </c>
      <c r="P10">
        <f t="shared" ca="1" si="15"/>
        <v>-0.34127373464244037</v>
      </c>
      <c r="Q10">
        <f t="shared" ca="1" si="16"/>
        <v>1.0008689947362757</v>
      </c>
      <c r="R10">
        <f t="shared" ca="1" si="17"/>
        <v>1.2711776904811658</v>
      </c>
      <c r="T10">
        <f t="shared" si="0"/>
        <v>1.0209354960392305</v>
      </c>
      <c r="U10" s="6">
        <f t="shared" ca="1" si="18"/>
        <v>0.84959780262899764</v>
      </c>
      <c r="V10">
        <f t="shared" ca="1" si="19"/>
        <v>0.75735803215807651</v>
      </c>
      <c r="W10">
        <v>0.67663408937323932</v>
      </c>
      <c r="X10" t="b">
        <f t="shared" ca="1" si="1"/>
        <v>1</v>
      </c>
      <c r="Y10" s="3">
        <f ca="1">Y6/Y8</f>
        <v>0.7142857142857143</v>
      </c>
      <c r="AS10">
        <v>0.72500515401297194</v>
      </c>
      <c r="AT10">
        <v>999</v>
      </c>
      <c r="AU10">
        <v>2.8936194794051753</v>
      </c>
      <c r="AV10">
        <v>999</v>
      </c>
      <c r="AW10">
        <v>999</v>
      </c>
      <c r="AX10">
        <v>-3.7660966054158975</v>
      </c>
      <c r="AY10">
        <v>-5.1277563647841582</v>
      </c>
      <c r="AZ10">
        <v>999</v>
      </c>
      <c r="BA10">
        <v>6.5949292840861942</v>
      </c>
      <c r="BB10">
        <v>999</v>
      </c>
      <c r="BC10">
        <v>-5.3643890208294298</v>
      </c>
      <c r="BD10">
        <v>999</v>
      </c>
      <c r="BE10">
        <v>-8.7923769464732153</v>
      </c>
      <c r="BF10">
        <v>-2.3189037298172366</v>
      </c>
      <c r="BJ10" t="b">
        <f t="shared" si="2"/>
        <v>1</v>
      </c>
      <c r="BK10" t="b">
        <f t="shared" ca="1" si="3"/>
        <v>1</v>
      </c>
    </row>
    <row r="11" spans="1:63" x14ac:dyDescent="0.45">
      <c r="A11" s="1">
        <v>45222</v>
      </c>
      <c r="B11">
        <v>212.08</v>
      </c>
      <c r="C11" s="1">
        <v>45222</v>
      </c>
      <c r="D11">
        <v>420.46</v>
      </c>
      <c r="E11" s="4">
        <f t="shared" si="4"/>
        <v>4.2454832775132512E-4</v>
      </c>
      <c r="F11" s="4">
        <f t="shared" si="5"/>
        <v>-1.7331845485410817E-3</v>
      </c>
      <c r="G11">
        <f t="shared" ca="1" si="6"/>
        <v>3.8625762058020325E-3</v>
      </c>
      <c r="H11">
        <f t="shared" ca="1" si="7"/>
        <v>3.4551177696618814E-2</v>
      </c>
      <c r="I11">
        <f t="shared" ca="1" si="8"/>
        <v>0.19032365251110819</v>
      </c>
      <c r="J11">
        <f t="shared" ca="1" si="9"/>
        <v>0.96502375170453991</v>
      </c>
      <c r="K11">
        <f t="shared" ca="1" si="10"/>
        <v>1.2358068251981897</v>
      </c>
      <c r="L11">
        <f t="shared" ca="1" si="11"/>
        <v>1.4200006490036898</v>
      </c>
      <c r="M11">
        <f t="shared" ca="1" si="12"/>
        <v>5.5001954055751542E-4</v>
      </c>
      <c r="N11">
        <f t="shared" ca="1" si="13"/>
        <v>8.4886420982669183E-3</v>
      </c>
      <c r="O11">
        <f t="shared" ca="1" si="14"/>
        <v>-4.1326832172862123E-3</v>
      </c>
      <c r="P11">
        <f t="shared" ca="1" si="15"/>
        <v>-0.25862102499831652</v>
      </c>
      <c r="Q11">
        <f t="shared" ca="1" si="16"/>
        <v>1.0015426877076414</v>
      </c>
      <c r="R11">
        <f t="shared" ca="1" si="17"/>
        <v>1.2711776904811658</v>
      </c>
      <c r="S11" s="2" t="s">
        <v>6</v>
      </c>
      <c r="T11">
        <f t="shared" si="0"/>
        <v>1.0004245483277514</v>
      </c>
      <c r="U11" s="6">
        <f t="shared" ca="1" si="18"/>
        <v>0.83522369250157547</v>
      </c>
      <c r="V11">
        <f t="shared" ca="1" si="19"/>
        <v>0.75437573539852865</v>
      </c>
      <c r="W11">
        <v>0.81500161141967187</v>
      </c>
      <c r="X11" t="b">
        <f t="shared" ca="1" si="1"/>
        <v>1</v>
      </c>
      <c r="AS11">
        <v>0.7220828880813025</v>
      </c>
      <c r="AT11">
        <v>999</v>
      </c>
      <c r="AU11">
        <v>2.8181463651377694</v>
      </c>
      <c r="AV11">
        <v>999</v>
      </c>
      <c r="AW11">
        <v>999</v>
      </c>
      <c r="AX11">
        <v>-3.6941479875247039</v>
      </c>
      <c r="AY11">
        <v>-4.9929587656145227</v>
      </c>
      <c r="AZ11">
        <v>999</v>
      </c>
      <c r="BA11">
        <v>6.5775494805194858</v>
      </c>
      <c r="BB11">
        <v>999</v>
      </c>
      <c r="BC11">
        <v>-5.0325514819453812</v>
      </c>
      <c r="BD11">
        <v>999</v>
      </c>
      <c r="BE11">
        <v>-8.6791328697270647</v>
      </c>
      <c r="BF11">
        <v>-2.2736361274964851</v>
      </c>
      <c r="BJ11" t="b">
        <f t="shared" si="2"/>
        <v>1</v>
      </c>
      <c r="BK11" t="b">
        <f t="shared" ca="1" si="3"/>
        <v>1</v>
      </c>
    </row>
    <row r="12" spans="1:63" x14ac:dyDescent="0.45">
      <c r="A12" s="1">
        <v>45219</v>
      </c>
      <c r="B12">
        <v>211.99</v>
      </c>
      <c r="C12" s="1">
        <v>45219</v>
      </c>
      <c r="D12">
        <v>421.19</v>
      </c>
      <c r="E12" s="4">
        <f t="shared" si="4"/>
        <v>-3.6890645586297781E-2</v>
      </c>
      <c r="F12" s="4">
        <f t="shared" si="5"/>
        <v>-1.2288066036629713E-2</v>
      </c>
      <c r="G12">
        <f t="shared" ca="1" si="6"/>
        <v>3.7152581104145967E-3</v>
      </c>
      <c r="H12">
        <f t="shared" ca="1" si="7"/>
        <v>3.4628636447244704E-2</v>
      </c>
      <c r="I12">
        <f t="shared" ca="1" si="8"/>
        <v>0.19759228023197792</v>
      </c>
      <c r="J12">
        <f t="shared" ca="1" si="9"/>
        <v>0.93679684731191193</v>
      </c>
      <c r="K12">
        <f t="shared" ca="1" si="10"/>
        <v>1.2358068251981897</v>
      </c>
      <c r="L12">
        <f t="shared" ca="1" si="11"/>
        <v>1.4094304320673203</v>
      </c>
      <c r="M12">
        <f t="shared" ca="1" si="12"/>
        <v>5.0161854647720659E-4</v>
      </c>
      <c r="N12">
        <f t="shared" ca="1" si="13"/>
        <v>8.5292265335124365E-3</v>
      </c>
      <c r="O12">
        <f t="shared" ca="1" si="14"/>
        <v>-7.873468595739517E-4</v>
      </c>
      <c r="P12">
        <f t="shared" ca="1" si="15"/>
        <v>-0.29148980350433673</v>
      </c>
      <c r="Q12">
        <f t="shared" ca="1" si="16"/>
        <v>1.0015426877076414</v>
      </c>
      <c r="R12">
        <f t="shared" ca="1" si="17"/>
        <v>1.2406896576128033</v>
      </c>
      <c r="S12" s="3">
        <v>100</v>
      </c>
      <c r="T12">
        <f t="shared" si="0"/>
        <v>0.96310935441370227</v>
      </c>
      <c r="U12" s="6">
        <f t="shared" ca="1" si="18"/>
        <v>0.84417808219178081</v>
      </c>
      <c r="V12">
        <f t="shared" ca="1" si="19"/>
        <v>0.76953535506728576</v>
      </c>
      <c r="W12">
        <v>0.7843401262992391</v>
      </c>
      <c r="X12" t="b">
        <f t="shared" ca="1" si="1"/>
        <v>1</v>
      </c>
      <c r="AS12">
        <v>0.68216495331895732</v>
      </c>
      <c r="AT12">
        <v>999</v>
      </c>
      <c r="AU12">
        <v>2.4407429598757329</v>
      </c>
      <c r="AV12">
        <v>999</v>
      </c>
      <c r="AW12">
        <v>999</v>
      </c>
      <c r="AX12">
        <v>-3.2969140505456793</v>
      </c>
      <c r="AY12">
        <v>-4.5986537030991075</v>
      </c>
      <c r="AZ12">
        <v>999</v>
      </c>
      <c r="BA12">
        <v>6.0191808295230143</v>
      </c>
      <c r="BB12">
        <v>999</v>
      </c>
      <c r="BC12">
        <v>-4.2767127160675678</v>
      </c>
      <c r="BD12">
        <v>999</v>
      </c>
      <c r="BE12">
        <v>-7.6123270599304949</v>
      </c>
      <c r="BF12">
        <v>-1.9672558092368935</v>
      </c>
      <c r="BJ12" t="b">
        <f t="shared" si="2"/>
        <v>1</v>
      </c>
      <c r="BK12" t="b">
        <f t="shared" ca="1" si="3"/>
        <v>1</v>
      </c>
    </row>
    <row r="13" spans="1:63" x14ac:dyDescent="0.45">
      <c r="A13" s="1">
        <v>45218</v>
      </c>
      <c r="B13">
        <v>220.11</v>
      </c>
      <c r="C13" s="1">
        <v>45218</v>
      </c>
      <c r="D13">
        <v>426.43</v>
      </c>
      <c r="E13" s="4">
        <f t="shared" si="4"/>
        <v>-9.3003131696060629E-2</v>
      </c>
      <c r="F13" s="4">
        <f t="shared" si="5"/>
        <v>-8.7864066386182868E-3</v>
      </c>
      <c r="G13">
        <f t="shared" ca="1" si="6"/>
        <v>4.1559555566624594E-3</v>
      </c>
      <c r="H13">
        <f t="shared" ca="1" si="7"/>
        <v>3.4670096992583326E-2</v>
      </c>
      <c r="I13">
        <f t="shared" ca="1" si="8"/>
        <v>0.17959950842470129</v>
      </c>
      <c r="J13">
        <f t="shared" ca="1" si="9"/>
        <v>0.9160183667498436</v>
      </c>
      <c r="K13">
        <f t="shared" ca="1" si="10"/>
        <v>1.2358068251981897</v>
      </c>
      <c r="L13">
        <f t="shared" ca="1" si="11"/>
        <v>1.4526917461674471</v>
      </c>
      <c r="M13">
        <f t="shared" ca="1" si="12"/>
        <v>6.016597904779067E-4</v>
      </c>
      <c r="N13">
        <f t="shared" ca="1" si="13"/>
        <v>8.4957344704406218E-3</v>
      </c>
      <c r="O13">
        <f t="shared" ca="1" si="14"/>
        <v>-1.6050368060650366E-2</v>
      </c>
      <c r="P13">
        <f t="shared" ca="1" si="15"/>
        <v>-0.27178709238869514</v>
      </c>
      <c r="Q13">
        <f t="shared" ca="1" si="16"/>
        <v>1.0015426877076414</v>
      </c>
      <c r="R13">
        <f t="shared" ca="1" si="17"/>
        <v>1.2813949526924826</v>
      </c>
      <c r="T13">
        <f t="shared" si="0"/>
        <v>0.90699686830393933</v>
      </c>
      <c r="U13" s="6">
        <f t="shared" ca="1" si="18"/>
        <v>0.85027233746668207</v>
      </c>
      <c r="V13">
        <f t="shared" ca="1" si="19"/>
        <v>0.93330833185626261</v>
      </c>
      <c r="W13">
        <v>0.94733353566978451</v>
      </c>
      <c r="X13" t="b">
        <f t="shared" ca="1" si="1"/>
        <v>1</v>
      </c>
      <c r="Z13" t="s">
        <v>4</v>
      </c>
      <c r="AS13">
        <v>0.68291969303262756</v>
      </c>
      <c r="AT13">
        <v>999</v>
      </c>
      <c r="AU13">
        <v>3.0068603654401831</v>
      </c>
      <c r="AV13">
        <v>2.3008297696714739</v>
      </c>
      <c r="AW13">
        <v>999</v>
      </c>
      <c r="AX13">
        <v>-3.6057261055999166</v>
      </c>
      <c r="AY13">
        <v>-4.6946809796784024</v>
      </c>
      <c r="AZ13">
        <v>999</v>
      </c>
      <c r="BA13">
        <v>6.3479533313672363</v>
      </c>
      <c r="BB13">
        <v>999</v>
      </c>
      <c r="BC13">
        <v>-3.7442761647412119</v>
      </c>
      <c r="BD13">
        <v>2.0747125793468948</v>
      </c>
      <c r="BE13">
        <v>-6.4251132667086299</v>
      </c>
      <c r="BF13">
        <v>-3.0393300062956925</v>
      </c>
      <c r="BJ13" t="b">
        <f t="shared" si="2"/>
        <v>1</v>
      </c>
      <c r="BK13" t="b">
        <f t="shared" ca="1" si="3"/>
        <v>1</v>
      </c>
    </row>
    <row r="14" spans="1:63" x14ac:dyDescent="0.45">
      <c r="A14" s="1">
        <v>45217</v>
      </c>
      <c r="B14">
        <v>242.68</v>
      </c>
      <c r="C14" s="1">
        <v>45217</v>
      </c>
      <c r="D14">
        <v>430.21</v>
      </c>
      <c r="E14" s="4">
        <f t="shared" si="4"/>
        <v>-4.7753580537571075E-2</v>
      </c>
      <c r="F14" s="4">
        <f t="shared" si="5"/>
        <v>-1.3325076831338017E-2</v>
      </c>
      <c r="G14">
        <f t="shared" ca="1" si="6"/>
        <v>4.0088588592408301E-3</v>
      </c>
      <c r="H14">
        <f t="shared" ca="1" si="7"/>
        <v>3.5143567133415654E-2</v>
      </c>
      <c r="I14">
        <f t="shared" ca="1" si="8"/>
        <v>5.5211863060442082E-2</v>
      </c>
      <c r="J14">
        <f t="shared" ca="1" si="9"/>
        <v>1.2766424774603315</v>
      </c>
      <c r="K14">
        <f t="shared" ca="1" si="10"/>
        <v>1.2358068251981897</v>
      </c>
      <c r="L14">
        <f t="shared" ca="1" si="11"/>
        <v>1.4526917461674471</v>
      </c>
      <c r="M14">
        <f t="shared" ca="1" si="12"/>
        <v>6.2454221982192755E-4</v>
      </c>
      <c r="N14">
        <f t="shared" ca="1" si="13"/>
        <v>8.4764628684703865E-3</v>
      </c>
      <c r="O14">
        <f t="shared" ca="1" si="14"/>
        <v>-1.8372899563503301E-2</v>
      </c>
      <c r="P14">
        <f t="shared" ca="1" si="15"/>
        <v>-0.25357156643822742</v>
      </c>
      <c r="Q14">
        <f t="shared" ca="1" si="16"/>
        <v>1.0015426877076414</v>
      </c>
      <c r="R14">
        <f t="shared" ca="1" si="17"/>
        <v>1.3862018198961688</v>
      </c>
      <c r="S14" s="2" t="s">
        <v>11</v>
      </c>
      <c r="T14">
        <f t="shared" si="0"/>
        <v>0.95224641946242894</v>
      </c>
      <c r="U14" s="6">
        <f t="shared" ca="1" si="18"/>
        <v>0.92277272900110263</v>
      </c>
      <c r="V14">
        <f t="shared" ca="1" si="19"/>
        <v>0.92851471014335829</v>
      </c>
      <c r="W14">
        <v>0.95302533237865128</v>
      </c>
      <c r="X14" t="b">
        <f t="shared" ca="1" si="1"/>
        <v>1</v>
      </c>
      <c r="Z14">
        <f ca="1">IF(ABS(Z2)&gt;0, Z2/Z3,999)</f>
        <v>0.34189762397950757</v>
      </c>
      <c r="AA14">
        <f t="shared" ref="AA14:AF14" ca="1" si="20">IF(ABS(AA2)&gt;0, AA2/AA3,999)</f>
        <v>-0.97473031539301991</v>
      </c>
      <c r="AB14">
        <f t="shared" ca="1" si="20"/>
        <v>0.38832344004376884</v>
      </c>
      <c r="AC14">
        <f t="shared" ca="1" si="20"/>
        <v>0.43694127245812481</v>
      </c>
      <c r="AD14">
        <f t="shared" ca="1" si="20"/>
        <v>-1.7000487923426162</v>
      </c>
      <c r="AE14">
        <f t="shared" ca="1" si="20"/>
        <v>-0.49701623227498737</v>
      </c>
      <c r="AF14">
        <f t="shared" ca="1" si="20"/>
        <v>1.5728454026631167</v>
      </c>
      <c r="AG14">
        <f ca="1">IF(ABS(AG2)&gt;0, AG2/AG3,999)</f>
        <v>0.44576622785336256</v>
      </c>
      <c r="AH14">
        <f t="shared" ref="AH14:AK14" ca="1" si="21">IF(ABS(AH2)&gt;0, AH2/AH3,999)</f>
        <v>8.9641073986713796E-2</v>
      </c>
      <c r="AI14">
        <f t="shared" ca="1" si="21"/>
        <v>-0.82265806560147903</v>
      </c>
      <c r="AJ14">
        <f t="shared" ca="1" si="21"/>
        <v>1.8229556287387789</v>
      </c>
      <c r="AK14">
        <f t="shared" ca="1" si="21"/>
        <v>-2.7226233546085967</v>
      </c>
      <c r="AL14">
        <f t="shared" ref="AL14" ca="1" si="22">IF(ABS(AL2)&gt;0, AL2/AL3,999)</f>
        <v>-0.26795768241633755</v>
      </c>
      <c r="AS14">
        <v>0.65505251180427948</v>
      </c>
      <c r="AT14">
        <v>999</v>
      </c>
      <c r="AU14">
        <v>3.1035798093098297</v>
      </c>
      <c r="AV14">
        <v>2.5818425935657818</v>
      </c>
      <c r="AW14">
        <v>999</v>
      </c>
      <c r="AX14">
        <v>-3.5772148780013358</v>
      </c>
      <c r="AY14">
        <v>-5.0129367960807665</v>
      </c>
      <c r="AZ14">
        <v>999</v>
      </c>
      <c r="BA14">
        <v>5.9032669316594193</v>
      </c>
      <c r="BB14">
        <v>-2.3671122961268551</v>
      </c>
      <c r="BC14">
        <v>-3.2099608614978403</v>
      </c>
      <c r="BD14">
        <v>999</v>
      </c>
      <c r="BE14">
        <v>-5.3896993575702137</v>
      </c>
      <c r="BF14">
        <v>-1.692369366956844</v>
      </c>
      <c r="BJ14" t="b">
        <f t="shared" si="2"/>
        <v>1</v>
      </c>
      <c r="BK14" t="b">
        <f t="shared" ca="1" si="3"/>
        <v>1</v>
      </c>
    </row>
    <row r="15" spans="1:63" x14ac:dyDescent="0.45">
      <c r="A15" s="1">
        <v>45216</v>
      </c>
      <c r="B15">
        <v>254.85</v>
      </c>
      <c r="C15" s="1">
        <v>45216</v>
      </c>
      <c r="D15">
        <v>436.02</v>
      </c>
      <c r="E15" s="4">
        <f t="shared" si="4"/>
        <v>3.6625708884688362E-3</v>
      </c>
      <c r="F15" s="4">
        <f t="shared" si="5"/>
        <v>-4.5867351619206157E-5</v>
      </c>
      <c r="G15">
        <f t="shared" ca="1" si="6"/>
        <v>4.3034468243158134E-3</v>
      </c>
      <c r="H15">
        <f t="shared" ca="1" si="7"/>
        <v>3.4953916649469591E-2</v>
      </c>
      <c r="I15">
        <f t="shared" ca="1" si="8"/>
        <v>4.7103515095824812E-2</v>
      </c>
      <c r="J15">
        <f t="shared" ca="1" si="9"/>
        <v>1.3442604389415145</v>
      </c>
      <c r="K15">
        <f t="shared" ca="1" si="10"/>
        <v>1.2358068251981897</v>
      </c>
      <c r="L15">
        <f t="shared" ca="1" si="11"/>
        <v>1.4570519428799351</v>
      </c>
      <c r="M15">
        <f t="shared" ca="1" si="12"/>
        <v>6.7799735569987793E-4</v>
      </c>
      <c r="N15">
        <f t="shared" ca="1" si="13"/>
        <v>8.4215830606922497E-3</v>
      </c>
      <c r="O15">
        <f t="shared" ca="1" si="14"/>
        <v>-1.5194872426171581E-2</v>
      </c>
      <c r="P15">
        <f t="shared" ca="1" si="15"/>
        <v>-0.21880113503266863</v>
      </c>
      <c r="Q15">
        <f t="shared" ca="1" si="16"/>
        <v>1.0015426877076414</v>
      </c>
      <c r="R15">
        <f t="shared" ca="1" si="17"/>
        <v>1.4544518489229501</v>
      </c>
      <c r="S15" s="3">
        <v>252</v>
      </c>
      <c r="T15">
        <f t="shared" si="0"/>
        <v>1.0036625708884688</v>
      </c>
      <c r="U15" s="6">
        <f t="shared" ca="1" si="18"/>
        <v>0.96673241787421271</v>
      </c>
      <c r="V15">
        <f t="shared" ca="1" si="19"/>
        <v>1.0126119278676224</v>
      </c>
      <c r="W15">
        <v>0.98419108494471952</v>
      </c>
      <c r="X15" t="b">
        <f t="shared" ca="1" si="1"/>
        <v>1</v>
      </c>
      <c r="Y15" s="7" t="s">
        <v>25</v>
      </c>
      <c r="Z15">
        <f t="shared" ref="Z15:AF15" ca="1" si="23">ABS(Z14)</f>
        <v>0.34189762397950757</v>
      </c>
      <c r="AA15">
        <f t="shared" ca="1" si="23"/>
        <v>0.97473031539301991</v>
      </c>
      <c r="AB15">
        <f t="shared" ca="1" si="23"/>
        <v>0.38832344004376884</v>
      </c>
      <c r="AC15">
        <f t="shared" ca="1" si="23"/>
        <v>0.43694127245812481</v>
      </c>
      <c r="AD15">
        <f t="shared" ca="1" si="23"/>
        <v>1.7000487923426162</v>
      </c>
      <c r="AE15">
        <f t="shared" ca="1" si="23"/>
        <v>0.49701623227498737</v>
      </c>
      <c r="AF15">
        <f t="shared" ca="1" si="23"/>
        <v>1.5728454026631167</v>
      </c>
      <c r="AG15">
        <f t="shared" ref="AG15:AK15" ca="1" si="24">ABS(AG14)</f>
        <v>0.44576622785336256</v>
      </c>
      <c r="AH15">
        <f t="shared" ca="1" si="24"/>
        <v>8.9641073986713796E-2</v>
      </c>
      <c r="AI15">
        <f t="shared" ca="1" si="24"/>
        <v>0.82265806560147903</v>
      </c>
      <c r="AJ15">
        <f t="shared" ca="1" si="24"/>
        <v>1.8229556287387789</v>
      </c>
      <c r="AK15">
        <f t="shared" ca="1" si="24"/>
        <v>2.7226233546085967</v>
      </c>
      <c r="AL15">
        <f t="shared" ref="AL15" ca="1" si="25">ABS(AL14)</f>
        <v>0.26795768241633755</v>
      </c>
      <c r="AS15">
        <v>0.62904600993720261</v>
      </c>
      <c r="AT15">
        <v>999</v>
      </c>
      <c r="AU15">
        <v>2.9214417960345469</v>
      </c>
      <c r="AV15">
        <v>2.6654228076743602</v>
      </c>
      <c r="AW15">
        <v>999</v>
      </c>
      <c r="AX15">
        <v>-3.4199129456442163</v>
      </c>
      <c r="AY15">
        <v>-5.0329915461406527</v>
      </c>
      <c r="AZ15">
        <v>999</v>
      </c>
      <c r="BA15">
        <v>5.4923770841112098</v>
      </c>
      <c r="BB15">
        <v>-2.4143743531408779</v>
      </c>
      <c r="BC15">
        <v>-3.086777522884371</v>
      </c>
      <c r="BD15">
        <v>999</v>
      </c>
      <c r="BE15">
        <v>-4.9137360177480272</v>
      </c>
      <c r="BF15">
        <v>-1.4661783816374534</v>
      </c>
      <c r="BJ15" t="b">
        <f t="shared" si="2"/>
        <v>1</v>
      </c>
      <c r="BK15" t="b">
        <f t="shared" ca="1" si="3"/>
        <v>1</v>
      </c>
    </row>
    <row r="16" spans="1:63" x14ac:dyDescent="0.45">
      <c r="A16" s="1">
        <v>45215</v>
      </c>
      <c r="B16">
        <v>253.92</v>
      </c>
      <c r="C16" s="1">
        <v>45215</v>
      </c>
      <c r="D16">
        <v>436.04</v>
      </c>
      <c r="E16" s="4">
        <f t="shared" si="4"/>
        <v>1.1150047785919014E-2</v>
      </c>
      <c r="F16" s="4">
        <f t="shared" si="5"/>
        <v>1.0521436848203987E-2</v>
      </c>
      <c r="G16">
        <f t="shared" ca="1" si="6"/>
        <v>4.6892684743539944E-3</v>
      </c>
      <c r="H16">
        <f t="shared" ca="1" si="7"/>
        <v>3.5370198551608389E-2</v>
      </c>
      <c r="I16">
        <f t="shared" ca="1" si="8"/>
        <v>6.3806098107593648E-2</v>
      </c>
      <c r="J16">
        <f t="shared" ca="1" si="9"/>
        <v>1.2511014767590014</v>
      </c>
      <c r="K16">
        <f t="shared" ca="1" si="10"/>
        <v>1.3633008789485728</v>
      </c>
      <c r="L16">
        <f t="shared" ca="1" si="11"/>
        <v>1.5013778957682085</v>
      </c>
      <c r="M16">
        <f t="shared" ca="1" si="12"/>
        <v>7.6822828540652126E-4</v>
      </c>
      <c r="N16">
        <f t="shared" ca="1" si="13"/>
        <v>8.509999940083543E-3</v>
      </c>
      <c r="O16">
        <f t="shared" ca="1" si="14"/>
        <v>-4.0447234534275031E-3</v>
      </c>
      <c r="P16">
        <f t="shared" ca="1" si="15"/>
        <v>-0.24607966402663628</v>
      </c>
      <c r="Q16">
        <f t="shared" ca="1" si="16"/>
        <v>1.0064695260069714</v>
      </c>
      <c r="R16">
        <f t="shared" ca="1" si="17"/>
        <v>1.4752708572876316</v>
      </c>
      <c r="T16">
        <f t="shared" si="0"/>
        <v>1.011150047785919</v>
      </c>
      <c r="U16" s="6">
        <f t="shared" ca="1" si="18"/>
        <v>0.97785651018600506</v>
      </c>
      <c r="V16">
        <f t="shared" ca="1" si="19"/>
        <v>1.0092872427406308</v>
      </c>
      <c r="W16">
        <v>0.96178680403379246</v>
      </c>
      <c r="X16" t="b">
        <f t="shared" ca="1" si="1"/>
        <v>1</v>
      </c>
      <c r="AS16">
        <v>0.63886920572457473</v>
      </c>
      <c r="AT16">
        <v>999</v>
      </c>
      <c r="AU16">
        <v>2.6913282549050654</v>
      </c>
      <c r="AV16">
        <v>2.6286498464052581</v>
      </c>
      <c r="AW16">
        <v>999</v>
      </c>
      <c r="AX16">
        <v>-3.3738320934316501</v>
      </c>
      <c r="AY16">
        <v>-5.0634778903358795</v>
      </c>
      <c r="AZ16">
        <v>999</v>
      </c>
      <c r="BA16">
        <v>5.2738601317485445</v>
      </c>
      <c r="BB16">
        <v>-2.5670722204192877</v>
      </c>
      <c r="BC16">
        <v>-3.0727327834272922</v>
      </c>
      <c r="BD16">
        <v>999</v>
      </c>
      <c r="BE16">
        <v>-4.8548062972466042</v>
      </c>
      <c r="BF16">
        <v>-1.1588502888770129</v>
      </c>
      <c r="BJ16" t="b">
        <f t="shared" si="2"/>
        <v>1</v>
      </c>
      <c r="BK16" t="b">
        <f t="shared" ca="1" si="3"/>
        <v>1</v>
      </c>
    </row>
    <row r="17" spans="1:63" x14ac:dyDescent="0.45">
      <c r="A17" s="1">
        <v>45212</v>
      </c>
      <c r="B17">
        <v>251.12</v>
      </c>
      <c r="C17" s="1">
        <v>45212</v>
      </c>
      <c r="D17">
        <v>431.5</v>
      </c>
      <c r="E17" s="4">
        <f t="shared" si="4"/>
        <v>-2.9937806621083942E-2</v>
      </c>
      <c r="F17" s="4">
        <f t="shared" si="5"/>
        <v>-4.9808605820228398E-3</v>
      </c>
      <c r="G17">
        <f t="shared" ca="1" si="6"/>
        <v>4.7989627817122101E-3</v>
      </c>
      <c r="H17">
        <f t="shared" ca="1" si="7"/>
        <v>3.5424314502011639E-2</v>
      </c>
      <c r="I17">
        <f t="shared" ca="1" si="8"/>
        <v>5.6715164579619864E-2</v>
      </c>
      <c r="J17">
        <f t="shared" ca="1" si="9"/>
        <v>1.2262627631550433</v>
      </c>
      <c r="K17">
        <f t="shared" ca="1" si="10"/>
        <v>1.3633008789485728</v>
      </c>
      <c r="L17">
        <f t="shared" ca="1" si="11"/>
        <v>1.5584874544446077</v>
      </c>
      <c r="M17">
        <f t="shared" ca="1" si="12"/>
        <v>6.5348161506167415E-4</v>
      </c>
      <c r="N17">
        <f t="shared" ca="1" si="13"/>
        <v>8.5325209941181507E-3</v>
      </c>
      <c r="O17">
        <f t="shared" ca="1" si="14"/>
        <v>1.0384064862306617E-2</v>
      </c>
      <c r="P17">
        <f t="shared" ca="1" si="15"/>
        <v>-0.25528199317461553</v>
      </c>
      <c r="Q17">
        <f t="shared" ca="1" si="16"/>
        <v>1.0064695260069714</v>
      </c>
      <c r="R17">
        <f t="shared" ca="1" si="17"/>
        <v>1.3862018198961688</v>
      </c>
      <c r="S17" s="2" t="s">
        <v>26</v>
      </c>
      <c r="T17">
        <f t="shared" si="0"/>
        <v>0.97006219337891608</v>
      </c>
      <c r="U17" s="6">
        <f t="shared" ca="1" si="18"/>
        <v>0.96388131885003647</v>
      </c>
      <c r="V17">
        <f t="shared" ca="1" si="19"/>
        <v>1.0741376161955118</v>
      </c>
      <c r="W17">
        <v>0.95838325745833153</v>
      </c>
      <c r="X17" t="b">
        <f t="shared" ca="1" si="1"/>
        <v>1</v>
      </c>
      <c r="Z17">
        <f ca="1">POWER(CORREL(OFFSET(U2,$S$9,0,$S$12,1),OFFSET(V2,$S$9,0,$S$12,1)),2)</f>
        <v>0.27020906360906549</v>
      </c>
      <c r="AA17" t="s">
        <v>5</v>
      </c>
      <c r="AS17">
        <v>0.65614454050993265</v>
      </c>
      <c r="AT17">
        <v>999</v>
      </c>
      <c r="AU17">
        <v>2.6329213961266156</v>
      </c>
      <c r="AV17">
        <v>2.6135086879346878</v>
      </c>
      <c r="AW17">
        <v>999</v>
      </c>
      <c r="AX17">
        <v>-3.4089617922905986</v>
      </c>
      <c r="AY17">
        <v>-5.1026132060129692</v>
      </c>
      <c r="AZ17">
        <v>999</v>
      </c>
      <c r="BA17">
        <v>5.3576001721128863</v>
      </c>
      <c r="BB17">
        <v>-2.5337889714131734</v>
      </c>
      <c r="BC17">
        <v>-3.1000530832321349</v>
      </c>
      <c r="BD17">
        <v>999</v>
      </c>
      <c r="BE17">
        <v>-5.0013065870182887</v>
      </c>
      <c r="BF17">
        <v>-1.1531218944649289</v>
      </c>
      <c r="BJ17" t="b">
        <f t="shared" si="2"/>
        <v>1</v>
      </c>
      <c r="BK17" t="b">
        <f t="shared" ca="1" si="3"/>
        <v>1</v>
      </c>
    </row>
    <row r="18" spans="1:63" x14ac:dyDescent="0.45">
      <c r="A18" s="1">
        <v>45211</v>
      </c>
      <c r="B18">
        <v>258.87</v>
      </c>
      <c r="C18" s="1">
        <v>45211</v>
      </c>
      <c r="D18">
        <v>433.66</v>
      </c>
      <c r="E18" s="4">
        <f t="shared" si="4"/>
        <v>-1.5665994904749247E-2</v>
      </c>
      <c r="F18" s="4">
        <f t="shared" si="5"/>
        <v>-6.0964429776310235E-3</v>
      </c>
      <c r="G18">
        <f t="shared" ca="1" si="6"/>
        <v>4.3782092650815349E-3</v>
      </c>
      <c r="H18">
        <f t="shared" ca="1" si="7"/>
        <v>3.6327219666333739E-2</v>
      </c>
      <c r="I18">
        <f t="shared" ca="1" si="8"/>
        <v>-8.5791539138456788E-2</v>
      </c>
      <c r="J18">
        <f t="shared" ca="1" si="9"/>
        <v>1.4019976957601301</v>
      </c>
      <c r="K18">
        <f t="shared" ca="1" si="10"/>
        <v>1.3144413553978307</v>
      </c>
      <c r="L18">
        <f t="shared" ca="1" si="11"/>
        <v>1.5584874544446077</v>
      </c>
      <c r="M18">
        <f t="shared" ca="1" si="12"/>
        <v>6.5866849090015197E-4</v>
      </c>
      <c r="N18">
        <f t="shared" ca="1" si="13"/>
        <v>8.5293934291680792E-3</v>
      </c>
      <c r="O18">
        <f t="shared" ca="1" si="14"/>
        <v>9.2212122653045885E-3</v>
      </c>
      <c r="P18">
        <f t="shared" ca="1" si="15"/>
        <v>-0.25176122628082354</v>
      </c>
      <c r="Q18">
        <f t="shared" ca="1" si="16"/>
        <v>1.0064695260069714</v>
      </c>
      <c r="R18">
        <f t="shared" ca="1" si="17"/>
        <v>1.4544518489229501</v>
      </c>
      <c r="S18" s="3">
        <v>0</v>
      </c>
      <c r="T18">
        <f t="shared" si="0"/>
        <v>0.98433400509525071</v>
      </c>
      <c r="U18" s="6">
        <f t="shared" ca="1" si="18"/>
        <v>0.99546241107479327</v>
      </c>
      <c r="V18">
        <f t="shared" ca="1" si="19"/>
        <v>1.0766010737407328</v>
      </c>
      <c r="W18">
        <v>0.98767769574716324</v>
      </c>
      <c r="X18" t="b">
        <f t="shared" ca="1" si="1"/>
        <v>1</v>
      </c>
      <c r="AS18">
        <v>0.66153514124587465</v>
      </c>
      <c r="AT18">
        <v>999</v>
      </c>
      <c r="AU18">
        <v>2.4685380481561561</v>
      </c>
      <c r="AV18">
        <v>2.6084740091337704</v>
      </c>
      <c r="AW18">
        <v>999</v>
      </c>
      <c r="AX18">
        <v>-3.4421445829925221</v>
      </c>
      <c r="AY18">
        <v>-5.1046121296591478</v>
      </c>
      <c r="AZ18">
        <v>999</v>
      </c>
      <c r="BA18">
        <v>5.3118775723668392</v>
      </c>
      <c r="BB18">
        <v>-2.5464004788979437</v>
      </c>
      <c r="BC18">
        <v>-3.1550742203078328</v>
      </c>
      <c r="BD18">
        <v>999</v>
      </c>
      <c r="BE18">
        <v>-5.001869041624996</v>
      </c>
      <c r="BF18">
        <v>-1.0723648009075946</v>
      </c>
      <c r="BJ18" t="b">
        <f t="shared" si="2"/>
        <v>1</v>
      </c>
      <c r="BK18" t="b">
        <f t="shared" ca="1" si="3"/>
        <v>1</v>
      </c>
    </row>
    <row r="19" spans="1:63" x14ac:dyDescent="0.45">
      <c r="A19" s="1">
        <v>45210</v>
      </c>
      <c r="B19">
        <v>262.99</v>
      </c>
      <c r="C19" s="1">
        <v>45210</v>
      </c>
      <c r="D19">
        <v>436.32</v>
      </c>
      <c r="E19" s="4">
        <f t="shared" si="4"/>
        <v>-2.3898035050451236E-3</v>
      </c>
      <c r="F19" s="4">
        <f t="shared" si="5"/>
        <v>4.0962857274358467E-3</v>
      </c>
      <c r="G19">
        <f t="shared" ca="1" si="6"/>
        <v>4.3687849516116642E-3</v>
      </c>
      <c r="H19">
        <f t="shared" ca="1" si="7"/>
        <v>3.6332689915156043E-2</v>
      </c>
      <c r="I19">
        <f t="shared" ca="1" si="8"/>
        <v>-8.5230519317344489E-2</v>
      </c>
      <c r="J19">
        <f t="shared" ca="1" si="9"/>
        <v>1.3994365754888882</v>
      </c>
      <c r="K19">
        <f t="shared" ca="1" si="10"/>
        <v>1.3144413553978307</v>
      </c>
      <c r="L19">
        <f t="shared" ca="1" si="11"/>
        <v>1.5584874544446077</v>
      </c>
      <c r="M19">
        <f t="shared" ca="1" si="12"/>
        <v>7.1791200017788464E-4</v>
      </c>
      <c r="N19">
        <f t="shared" ca="1" si="13"/>
        <v>8.5233852344277355E-3</v>
      </c>
      <c r="O19">
        <f t="shared" ca="1" si="14"/>
        <v>-8.2122386432986541E-3</v>
      </c>
      <c r="P19">
        <f t="shared" ca="1" si="15"/>
        <v>-0.24532337085067191</v>
      </c>
      <c r="Q19">
        <f t="shared" ca="1" si="16"/>
        <v>1.0064695260069714</v>
      </c>
      <c r="R19">
        <f t="shared" ca="1" si="17"/>
        <v>1.4750896778151692</v>
      </c>
      <c r="T19">
        <f t="shared" si="0"/>
        <v>0.99761019649495486</v>
      </c>
      <c r="U19" s="6">
        <f t="shared" ca="1" si="18"/>
        <v>1.0070071986521671</v>
      </c>
      <c r="V19">
        <f t="shared" ca="1" si="19"/>
        <v>1.0603716700293759</v>
      </c>
      <c r="W19">
        <v>1.0143729450776813</v>
      </c>
      <c r="X19" t="b">
        <f t="shared" ca="1" si="1"/>
        <v>1</v>
      </c>
      <c r="Z19">
        <f ca="1">POWER(CORREL(OFFSET(U2,0,0,$S$15,1),OFFSET(W2,0,0,$S$15,1)),2)</f>
        <v>0.35359623469468315</v>
      </c>
      <c r="AA19" t="s">
        <v>17</v>
      </c>
      <c r="AS19">
        <v>0.66237663554827531</v>
      </c>
      <c r="AT19">
        <v>999</v>
      </c>
      <c r="AU19">
        <v>2.3226941052177628</v>
      </c>
      <c r="AV19">
        <v>2.5825122552977868</v>
      </c>
      <c r="AW19">
        <v>999</v>
      </c>
      <c r="AX19">
        <v>-3.4684361206121785</v>
      </c>
      <c r="AY19">
        <v>-5.0362914552955766</v>
      </c>
      <c r="AZ19">
        <v>999</v>
      </c>
      <c r="BA19">
        <v>5.2380083820542014</v>
      </c>
      <c r="BB19">
        <v>-2.5478436908100255</v>
      </c>
      <c r="BC19">
        <v>-3.3155916475440845</v>
      </c>
      <c r="BD19">
        <v>999</v>
      </c>
      <c r="BE19">
        <v>-5.010059310261247</v>
      </c>
      <c r="BF19">
        <v>-0.99848338683802373</v>
      </c>
      <c r="BJ19" t="b">
        <f t="shared" si="2"/>
        <v>1</v>
      </c>
      <c r="BK19" t="b">
        <f t="shared" ca="1" si="3"/>
        <v>1</v>
      </c>
    </row>
    <row r="20" spans="1:63" x14ac:dyDescent="0.45">
      <c r="A20" s="1">
        <v>45209</v>
      </c>
      <c r="B20">
        <v>263.62</v>
      </c>
      <c r="C20" s="1">
        <v>45209</v>
      </c>
      <c r="D20">
        <v>434.54</v>
      </c>
      <c r="E20" s="4">
        <f t="shared" si="4"/>
        <v>1.5211614741787609E-2</v>
      </c>
      <c r="F20" s="4">
        <f t="shared" si="5"/>
        <v>5.2048393439589162E-3</v>
      </c>
      <c r="G20">
        <f t="shared" ca="1" si="6"/>
        <v>3.9365964391521553E-3</v>
      </c>
      <c r="H20">
        <f t="shared" ca="1" si="7"/>
        <v>3.6922798698637883E-2</v>
      </c>
      <c r="I20">
        <f t="shared" ca="1" si="8"/>
        <v>-0.12733102712871949</v>
      </c>
      <c r="J20">
        <f t="shared" ca="1" si="9"/>
        <v>1.3252763358611981</v>
      </c>
      <c r="K20">
        <f t="shared" ca="1" si="10"/>
        <v>1.263727402199234</v>
      </c>
      <c r="L20">
        <f t="shared" ca="1" si="11"/>
        <v>1.5538237141376618</v>
      </c>
      <c r="M20">
        <f t="shared" ca="1" si="12"/>
        <v>6.2610001720779518E-4</v>
      </c>
      <c r="N20">
        <f t="shared" ca="1" si="13"/>
        <v>8.5854828738405487E-3</v>
      </c>
      <c r="O20">
        <f t="shared" ca="1" si="14"/>
        <v>-2.9214962826709856E-3</v>
      </c>
      <c r="P20">
        <f t="shared" ca="1" si="15"/>
        <v>-0.2783778833650592</v>
      </c>
      <c r="Q20">
        <f t="shared" ca="1" si="16"/>
        <v>1.0064695260069714</v>
      </c>
      <c r="R20">
        <f t="shared" ca="1" si="17"/>
        <v>1.4544518489229501</v>
      </c>
      <c r="S20" s="2" t="s">
        <v>32</v>
      </c>
      <c r="T20">
        <f t="shared" si="0"/>
        <v>1.0152116147417876</v>
      </c>
      <c r="U20" s="6">
        <f t="shared" ca="1" si="18"/>
        <v>1.0693221920253113</v>
      </c>
      <c r="V20">
        <f t="shared" ca="1" si="19"/>
        <v>1.0653186997302937</v>
      </c>
      <c r="W20">
        <v>0.99366881772504656</v>
      </c>
      <c r="X20" t="b">
        <f t="shared" ca="1" si="1"/>
        <v>0</v>
      </c>
      <c r="AS20">
        <v>0.65899679545860901</v>
      </c>
      <c r="AT20">
        <v>999</v>
      </c>
      <c r="AU20">
        <v>999</v>
      </c>
      <c r="AV20">
        <v>999</v>
      </c>
      <c r="AW20">
        <v>999</v>
      </c>
      <c r="AX20">
        <v>-2.8163682156473127</v>
      </c>
      <c r="AY20">
        <v>-5.3292697510125331</v>
      </c>
      <c r="AZ20">
        <v>999</v>
      </c>
      <c r="BA20">
        <v>5.0976665918290118</v>
      </c>
      <c r="BB20">
        <v>-3.1639334736043878</v>
      </c>
      <c r="BC20">
        <v>-3.5300933437573496</v>
      </c>
      <c r="BD20">
        <v>999</v>
      </c>
      <c r="BE20">
        <v>-5.9021031822240442</v>
      </c>
      <c r="BF20">
        <v>0.46335752598892799</v>
      </c>
      <c r="BJ20" t="b">
        <f t="shared" si="2"/>
        <v>1</v>
      </c>
      <c r="BK20" t="b">
        <f t="shared" ca="1" si="3"/>
        <v>0</v>
      </c>
    </row>
    <row r="21" spans="1:63" x14ac:dyDescent="0.45">
      <c r="A21" s="1">
        <v>45208</v>
      </c>
      <c r="B21">
        <v>259.67</v>
      </c>
      <c r="C21" s="1">
        <v>45208</v>
      </c>
      <c r="D21">
        <v>432.29</v>
      </c>
      <c r="E21" s="4">
        <f t="shared" si="4"/>
        <v>-3.3009634207191376E-3</v>
      </c>
      <c r="F21" s="4">
        <f t="shared" si="5"/>
        <v>6.4021976998649716E-3</v>
      </c>
      <c r="G21">
        <f t="shared" ca="1" si="6"/>
        <v>3.8521929372864667E-3</v>
      </c>
      <c r="H21">
        <f t="shared" ca="1" si="7"/>
        <v>3.6916188692455054E-2</v>
      </c>
      <c r="I21">
        <f t="shared" ca="1" si="8"/>
        <v>-0.12063346446302221</v>
      </c>
      <c r="J21">
        <f t="shared" ca="1" si="9"/>
        <v>1.3272075106480843</v>
      </c>
      <c r="K21">
        <f t="shared" ca="1" si="10"/>
        <v>1.263727402199234</v>
      </c>
      <c r="L21">
        <f t="shared" ca="1" si="11"/>
        <v>1.5538237141376618</v>
      </c>
      <c r="M21">
        <f t="shared" ca="1" si="12"/>
        <v>6.7483800054791532E-4</v>
      </c>
      <c r="N21">
        <f t="shared" ca="1" si="13"/>
        <v>8.6391061008810367E-3</v>
      </c>
      <c r="O21">
        <f t="shared" ca="1" si="14"/>
        <v>2.4289312269319976E-3</v>
      </c>
      <c r="P21">
        <f t="shared" ca="1" si="15"/>
        <v>-0.30794539951981603</v>
      </c>
      <c r="Q21">
        <f t="shared" ca="1" si="16"/>
        <v>1.0084284540558686</v>
      </c>
      <c r="R21">
        <f t="shared" ca="1" si="17"/>
        <v>1.4752708572876316</v>
      </c>
      <c r="S21" s="3">
        <v>0</v>
      </c>
      <c r="T21">
        <f t="shared" si="0"/>
        <v>0.99669903657928083</v>
      </c>
      <c r="U21" s="6">
        <f t="shared" ca="1" si="18"/>
        <v>1.0320747217806043</v>
      </c>
      <c r="V21">
        <f t="shared" ca="1" si="19"/>
        <v>1.0741948358452582</v>
      </c>
      <c r="W21">
        <v>0.9905092431251814</v>
      </c>
      <c r="X21" t="b">
        <f t="shared" ca="1" si="1"/>
        <v>0</v>
      </c>
      <c r="Y21" s="7" t="s">
        <v>24</v>
      </c>
      <c r="Z21">
        <f t="shared" ref="Z21:AJ21" ca="1" si="26">MIN($Z$15:$AK$15)</f>
        <v>8.9641073986713796E-2</v>
      </c>
      <c r="AA21">
        <f t="shared" ca="1" si="26"/>
        <v>8.9641073986713796E-2</v>
      </c>
      <c r="AB21">
        <f t="shared" ca="1" si="26"/>
        <v>8.9641073986713796E-2</v>
      </c>
      <c r="AC21">
        <f t="shared" ca="1" si="26"/>
        <v>8.9641073986713796E-2</v>
      </c>
      <c r="AD21">
        <f t="shared" ca="1" si="26"/>
        <v>8.9641073986713796E-2</v>
      </c>
      <c r="AE21">
        <f t="shared" ca="1" si="26"/>
        <v>8.9641073986713796E-2</v>
      </c>
      <c r="AF21">
        <f t="shared" ca="1" si="26"/>
        <v>8.9641073986713796E-2</v>
      </c>
      <c r="AG21">
        <f t="shared" ca="1" si="26"/>
        <v>8.9641073986713796E-2</v>
      </c>
      <c r="AH21">
        <f t="shared" ca="1" si="26"/>
        <v>8.9641073986713796E-2</v>
      </c>
      <c r="AI21">
        <f t="shared" ca="1" si="26"/>
        <v>8.9641073986713796E-2</v>
      </c>
      <c r="AJ21">
        <f t="shared" ca="1" si="26"/>
        <v>8.9641073986713796E-2</v>
      </c>
      <c r="AK21">
        <f ca="1">MIN($Z$15:$AK$15)</f>
        <v>8.9641073986713796E-2</v>
      </c>
      <c r="AS21">
        <v>0.64540570503151073</v>
      </c>
      <c r="AT21">
        <v>999</v>
      </c>
      <c r="AU21">
        <v>999</v>
      </c>
      <c r="AV21">
        <v>999</v>
      </c>
      <c r="AW21">
        <v>999</v>
      </c>
      <c r="AX21">
        <v>-2.9791516107156091</v>
      </c>
      <c r="AY21">
        <v>-5.5446112295347101</v>
      </c>
      <c r="AZ21">
        <v>999</v>
      </c>
      <c r="BA21">
        <v>4.9743328442947341</v>
      </c>
      <c r="BB21">
        <v>-3.1619692321258954</v>
      </c>
      <c r="BC21">
        <v>-3.8344427150589344</v>
      </c>
      <c r="BD21">
        <v>999</v>
      </c>
      <c r="BE21">
        <v>-5.9229615110242131</v>
      </c>
      <c r="BF21">
        <v>0.56618652638460565</v>
      </c>
      <c r="BJ21" t="b">
        <f t="shared" si="2"/>
        <v>1</v>
      </c>
      <c r="BK21" t="b">
        <f t="shared" ca="1" si="3"/>
        <v>0</v>
      </c>
    </row>
    <row r="22" spans="1:63" x14ac:dyDescent="0.45">
      <c r="A22" s="1">
        <v>45205</v>
      </c>
      <c r="B22">
        <v>260.52999999999997</v>
      </c>
      <c r="C22" s="1">
        <v>45205</v>
      </c>
      <c r="D22">
        <v>429.54</v>
      </c>
      <c r="E22" s="4">
        <f t="shared" si="4"/>
        <v>1.8457988848296918E-3</v>
      </c>
      <c r="F22" s="4">
        <f t="shared" si="5"/>
        <v>1.1872791519434676E-2</v>
      </c>
      <c r="G22">
        <f t="shared" ca="1" si="6"/>
        <v>3.4660154297086725E-3</v>
      </c>
      <c r="H22">
        <f t="shared" ca="1" si="7"/>
        <v>3.7392300543433434E-2</v>
      </c>
      <c r="I22">
        <f t="shared" ca="1" si="8"/>
        <v>-0.14309790385346968</v>
      </c>
      <c r="J22">
        <f t="shared" ca="1" si="9"/>
        <v>1.236358784662702</v>
      </c>
      <c r="K22">
        <f t="shared" ca="1" si="10"/>
        <v>1.2129682839809366</v>
      </c>
      <c r="L22">
        <f t="shared" ca="1" si="11"/>
        <v>1.5238908487003555</v>
      </c>
      <c r="M22">
        <f t="shared" ca="1" si="12"/>
        <v>6.4966875721989784E-4</v>
      </c>
      <c r="N22">
        <f t="shared" ca="1" si="13"/>
        <v>8.6296637818305908E-3</v>
      </c>
      <c r="O22">
        <f t="shared" ca="1" si="14"/>
        <v>9.7938805553061357E-3</v>
      </c>
      <c r="P22">
        <f t="shared" ca="1" si="15"/>
        <v>-0.29688378729777654</v>
      </c>
      <c r="Q22">
        <f t="shared" ca="1" si="16"/>
        <v>1.0084284540558686</v>
      </c>
      <c r="R22">
        <f t="shared" ca="1" si="17"/>
        <v>1.4752708572876316</v>
      </c>
      <c r="T22">
        <f t="shared" si="0"/>
        <v>1.0018457988848297</v>
      </c>
      <c r="U22" s="6">
        <f t="shared" ca="1" si="18"/>
        <v>1.0412037407081767</v>
      </c>
      <c r="V22">
        <f t="shared" ca="1" si="19"/>
        <v>1.0722126737238185</v>
      </c>
      <c r="W22">
        <v>1.000178861937622</v>
      </c>
      <c r="X22" t="b">
        <f t="shared" ca="1" si="1"/>
        <v>1</v>
      </c>
      <c r="AS22">
        <v>0.61790141981198554</v>
      </c>
      <c r="AT22">
        <v>999</v>
      </c>
      <c r="AU22">
        <v>999</v>
      </c>
      <c r="AV22">
        <v>999</v>
      </c>
      <c r="AW22">
        <v>999</v>
      </c>
      <c r="AX22">
        <v>-3.0642639175905928</v>
      </c>
      <c r="AY22">
        <v>-5.5893161392453905</v>
      </c>
      <c r="AZ22">
        <v>999</v>
      </c>
      <c r="BA22">
        <v>4.7408583311801591</v>
      </c>
      <c r="BB22">
        <v>-3.0872679799188041</v>
      </c>
      <c r="BC22">
        <v>-4.0287313854200217</v>
      </c>
      <c r="BD22">
        <v>999</v>
      </c>
      <c r="BE22">
        <v>-5.8181885230722941</v>
      </c>
      <c r="BF22">
        <v>0.6519652874558397</v>
      </c>
      <c r="BJ22" t="b">
        <f t="shared" si="2"/>
        <v>1</v>
      </c>
      <c r="BK22" t="b">
        <f t="shared" ca="1" si="3"/>
        <v>1</v>
      </c>
    </row>
    <row r="23" spans="1:63" x14ac:dyDescent="0.45">
      <c r="A23" s="1">
        <v>45204</v>
      </c>
      <c r="B23">
        <v>260.05</v>
      </c>
      <c r="C23" s="1">
        <v>45204</v>
      </c>
      <c r="D23">
        <v>424.5</v>
      </c>
      <c r="E23" s="4">
        <f t="shared" si="4"/>
        <v>-4.2502680349211733E-3</v>
      </c>
      <c r="F23" s="4">
        <f t="shared" si="5"/>
        <v>-3.7677200584002496E-4</v>
      </c>
      <c r="G23">
        <f t="shared" ca="1" si="6"/>
        <v>3.4448048071143854E-3</v>
      </c>
      <c r="H23">
        <f t="shared" ca="1" si="7"/>
        <v>3.7394427325750955E-2</v>
      </c>
      <c r="I23">
        <f t="shared" ca="1" si="8"/>
        <v>-0.14137380482527706</v>
      </c>
      <c r="J23">
        <f t="shared" ca="1" si="9"/>
        <v>1.2350585482092109</v>
      </c>
      <c r="K23">
        <f t="shared" ca="1" si="10"/>
        <v>1.2129682839809366</v>
      </c>
      <c r="L23">
        <f t="shared" ca="1" si="11"/>
        <v>1.5238908487003555</v>
      </c>
      <c r="M23">
        <f t="shared" ca="1" si="12"/>
        <v>5.4790649033684244E-4</v>
      </c>
      <c r="N23">
        <f t="shared" ca="1" si="13"/>
        <v>8.6166437582436174E-3</v>
      </c>
      <c r="O23">
        <f t="shared" ca="1" si="14"/>
        <v>2.8374877540110345E-2</v>
      </c>
      <c r="P23">
        <f t="shared" ca="1" si="15"/>
        <v>-0.28810580885284409</v>
      </c>
      <c r="Q23">
        <f t="shared" ca="1" si="16"/>
        <v>1.0084284540558686</v>
      </c>
      <c r="R23">
        <f t="shared" ca="1" si="17"/>
        <v>1.3702062098666694</v>
      </c>
      <c r="T23">
        <f t="shared" si="0"/>
        <v>0.99574973196507888</v>
      </c>
      <c r="U23" s="6">
        <f t="shared" ca="1" si="18"/>
        <v>1.0554833996265931</v>
      </c>
      <c r="V23">
        <f t="shared" ca="1" si="19"/>
        <v>1.093481804280406</v>
      </c>
      <c r="W23">
        <v>0.97933865222719108</v>
      </c>
      <c r="X23" t="b">
        <f t="shared" ca="1" si="1"/>
        <v>0</v>
      </c>
      <c r="AS23">
        <v>0.60914818827637918</v>
      </c>
      <c r="AT23">
        <v>999</v>
      </c>
      <c r="AU23">
        <v>999</v>
      </c>
      <c r="AV23">
        <v>999</v>
      </c>
      <c r="AW23">
        <v>999</v>
      </c>
      <c r="AX23">
        <v>-3.3071324329157905</v>
      </c>
      <c r="AY23">
        <v>-5.9686352221571637</v>
      </c>
      <c r="AZ23">
        <v>999</v>
      </c>
      <c r="BA23">
        <v>4.7619406673605775</v>
      </c>
      <c r="BB23">
        <v>-3.103789675359466</v>
      </c>
      <c r="BC23">
        <v>-4.721517713027847</v>
      </c>
      <c r="BD23">
        <v>999</v>
      </c>
      <c r="BE23">
        <v>-6.1935332476478253</v>
      </c>
      <c r="BF23">
        <v>0.64397666004969845</v>
      </c>
      <c r="BJ23" t="b">
        <f t="shared" si="2"/>
        <v>1</v>
      </c>
      <c r="BK23" t="b">
        <f t="shared" ca="1" si="3"/>
        <v>0</v>
      </c>
    </row>
    <row r="24" spans="1:63" x14ac:dyDescent="0.45">
      <c r="A24" s="1">
        <v>45203</v>
      </c>
      <c r="B24">
        <v>261.16000000000003</v>
      </c>
      <c r="C24" s="1">
        <v>45203</v>
      </c>
      <c r="D24">
        <v>424.66</v>
      </c>
      <c r="E24" s="4">
        <f t="shared" si="4"/>
        <v>5.9343690423072339E-2</v>
      </c>
      <c r="F24" s="4">
        <f t="shared" si="5"/>
        <v>7.2819564031406112E-3</v>
      </c>
      <c r="G24">
        <f t="shared" ca="1" si="6"/>
        <v>3.2301203319785323E-3</v>
      </c>
      <c r="H24">
        <f t="shared" ca="1" si="7"/>
        <v>3.7561705343136971E-2</v>
      </c>
      <c r="I24">
        <f t="shared" ca="1" si="8"/>
        <v>-0.13456210443088687</v>
      </c>
      <c r="J24">
        <f t="shared" ca="1" si="9"/>
        <v>1.1730578939636578</v>
      </c>
      <c r="K24">
        <f t="shared" ca="1" si="10"/>
        <v>1.2129682839809366</v>
      </c>
      <c r="L24">
        <f t="shared" ca="1" si="11"/>
        <v>1.4435264705062079</v>
      </c>
      <c r="M24">
        <f t="shared" ca="1" si="12"/>
        <v>4.6817445836593968E-4</v>
      </c>
      <c r="N24">
        <f t="shared" ca="1" si="13"/>
        <v>8.698631099291641E-3</v>
      </c>
      <c r="O24">
        <f t="shared" ca="1" si="14"/>
        <v>1.8329932680431461E-2</v>
      </c>
      <c r="P24">
        <f t="shared" ca="1" si="15"/>
        <v>-0.31716263031327685</v>
      </c>
      <c r="Q24">
        <f t="shared" ca="1" si="16"/>
        <v>0.98921117218390364</v>
      </c>
      <c r="R24">
        <f t="shared" ca="1" si="17"/>
        <v>1.2457531453868564</v>
      </c>
      <c r="T24">
        <f t="shared" si="0"/>
        <v>1.0593436904230724</v>
      </c>
      <c r="U24" s="6">
        <f t="shared" ca="1" si="18"/>
        <v>1.0859043659043661</v>
      </c>
      <c r="V24">
        <f t="shared" ca="1" si="19"/>
        <v>1.0937682087953253</v>
      </c>
      <c r="W24">
        <v>0.97875790016399544</v>
      </c>
      <c r="X24" t="b">
        <f t="shared" ca="1" si="1"/>
        <v>0</v>
      </c>
      <c r="Z24" t="s">
        <v>18</v>
      </c>
      <c r="AA24" t="s">
        <v>19</v>
      </c>
      <c r="AB24" t="s">
        <v>20</v>
      </c>
      <c r="AC24" t="s">
        <v>21</v>
      </c>
      <c r="AD24" t="s">
        <v>22</v>
      </c>
      <c r="AE24" t="s">
        <v>23</v>
      </c>
      <c r="AF24" t="s">
        <v>18</v>
      </c>
      <c r="AG24" t="s">
        <v>19</v>
      </c>
      <c r="AH24" t="s">
        <v>20</v>
      </c>
      <c r="AI24" t="s">
        <v>21</v>
      </c>
      <c r="AJ24" t="s">
        <v>22</v>
      </c>
      <c r="AK24" t="s">
        <v>23</v>
      </c>
      <c r="AS24">
        <v>0.62372011756620516</v>
      </c>
      <c r="AT24">
        <v>999</v>
      </c>
      <c r="AU24">
        <v>999</v>
      </c>
      <c r="AV24">
        <v>999</v>
      </c>
      <c r="AW24">
        <v>2.0186588393766458</v>
      </c>
      <c r="AX24">
        <v>-3.0854140137106025</v>
      </c>
      <c r="AY24">
        <v>-6.0162941529887446</v>
      </c>
      <c r="AZ24">
        <v>999</v>
      </c>
      <c r="BA24">
        <v>4.8486643504799218</v>
      </c>
      <c r="BB24">
        <v>-3.277618969995983</v>
      </c>
      <c r="BC24">
        <v>-4.592732535381284</v>
      </c>
      <c r="BD24">
        <v>999</v>
      </c>
      <c r="BE24">
        <v>-4.8983257893938745</v>
      </c>
      <c r="BF24">
        <v>0.51424826056456452</v>
      </c>
      <c r="BJ24" t="b">
        <f t="shared" si="2"/>
        <v>1</v>
      </c>
      <c r="BK24" t="b">
        <f t="shared" ca="1" si="3"/>
        <v>0</v>
      </c>
    </row>
    <row r="25" spans="1:63" x14ac:dyDescent="0.45">
      <c r="A25" s="1">
        <v>45202</v>
      </c>
      <c r="B25">
        <v>246.53</v>
      </c>
      <c r="C25" s="1">
        <v>45202</v>
      </c>
      <c r="D25">
        <v>421.59</v>
      </c>
      <c r="E25" s="4">
        <f t="shared" si="4"/>
        <v>-2.0151033386327476E-2</v>
      </c>
      <c r="F25" s="4">
        <f t="shared" si="5"/>
        <v>-1.3386066321874113E-2</v>
      </c>
      <c r="G25">
        <f t="shared" ca="1" si="6"/>
        <v>2.9611442268019472E-3</v>
      </c>
      <c r="H25">
        <f t="shared" ca="1" si="7"/>
        <v>3.7349875872705107E-2</v>
      </c>
      <c r="I25">
        <f t="shared" ca="1" si="8"/>
        <v>-0.13225287575070474</v>
      </c>
      <c r="J25">
        <f t="shared" ca="1" si="9"/>
        <v>1.2389905498611267</v>
      </c>
      <c r="K25">
        <f t="shared" ca="1" si="10"/>
        <v>1.2129682839809366</v>
      </c>
      <c r="L25">
        <f t="shared" ca="1" si="11"/>
        <v>1.390629567529412</v>
      </c>
      <c r="M25">
        <f t="shared" ca="1" si="12"/>
        <v>3.0945621365619576E-4</v>
      </c>
      <c r="N25">
        <f t="shared" ca="1" si="13"/>
        <v>8.8617530523982576E-3</v>
      </c>
      <c r="O25">
        <f t="shared" ca="1" si="14"/>
        <v>-4.3700037423340519E-2</v>
      </c>
      <c r="P25">
        <f t="shared" ca="1" si="15"/>
        <v>-0.19520560385622554</v>
      </c>
      <c r="Q25">
        <f t="shared" ca="1" si="16"/>
        <v>0.94975475139164711</v>
      </c>
      <c r="R25">
        <f t="shared" ca="1" si="17"/>
        <v>1.2079253499800628</v>
      </c>
      <c r="T25">
        <f t="shared" si="0"/>
        <v>0.97984896661367249</v>
      </c>
      <c r="U25" s="6">
        <f t="shared" ca="1" si="18"/>
        <v>1.0098721940029494</v>
      </c>
      <c r="V25">
        <f t="shared" ca="1" si="19"/>
        <v>1.081087361843097</v>
      </c>
      <c r="W25">
        <v>0.96267697489460113</v>
      </c>
      <c r="X25" t="b">
        <f t="shared" ca="1" si="1"/>
        <v>0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S25">
        <v>0.62537012124006419</v>
      </c>
      <c r="AT25">
        <v>999</v>
      </c>
      <c r="AU25">
        <v>999</v>
      </c>
      <c r="AV25">
        <v>999</v>
      </c>
      <c r="AW25">
        <v>2.0333708911608208</v>
      </c>
      <c r="AX25">
        <v>-2.9965732188643059</v>
      </c>
      <c r="AY25">
        <v>-6.0641632100557139</v>
      </c>
      <c r="AZ25">
        <v>999</v>
      </c>
      <c r="BA25">
        <v>5.0169512141374231</v>
      </c>
      <c r="BB25">
        <v>-3.3272618659973294</v>
      </c>
      <c r="BC25">
        <v>-4.6020223072543764</v>
      </c>
      <c r="BD25">
        <v>999</v>
      </c>
      <c r="BE25">
        <v>-4.9163208128972746</v>
      </c>
      <c r="BF25">
        <v>0.33151757627143302</v>
      </c>
      <c r="BJ25" t="b">
        <f t="shared" si="2"/>
        <v>1</v>
      </c>
      <c r="BK25" t="b">
        <f t="shared" ca="1" si="3"/>
        <v>0</v>
      </c>
    </row>
    <row r="26" spans="1:63" x14ac:dyDescent="0.45">
      <c r="A26" s="1">
        <v>45201</v>
      </c>
      <c r="B26">
        <v>251.6</v>
      </c>
      <c r="C26" s="1">
        <v>45201</v>
      </c>
      <c r="D26">
        <v>427.31</v>
      </c>
      <c r="E26" s="4">
        <f t="shared" si="4"/>
        <v>5.5151466709295639E-3</v>
      </c>
      <c r="F26" s="4">
        <f t="shared" si="5"/>
        <v>-3.9767942359880204E-4</v>
      </c>
      <c r="G26">
        <f t="shared" ca="1" si="6"/>
        <v>2.9329773682598348E-3</v>
      </c>
      <c r="H26">
        <f t="shared" ca="1" si="7"/>
        <v>3.7369512167717382E-2</v>
      </c>
      <c r="I26">
        <f t="shared" ca="1" si="8"/>
        <v>-0.13086992933846278</v>
      </c>
      <c r="J26">
        <f t="shared" ca="1" si="9"/>
        <v>1.230641107943641</v>
      </c>
      <c r="K26">
        <f t="shared" ca="1" si="10"/>
        <v>1.2129682839809366</v>
      </c>
      <c r="L26">
        <f t="shared" ca="1" si="11"/>
        <v>1.390629567529412</v>
      </c>
      <c r="M26">
        <f t="shared" ca="1" si="12"/>
        <v>3.444189854974241E-4</v>
      </c>
      <c r="N26">
        <f t="shared" ca="1" si="13"/>
        <v>8.8211488474610814E-3</v>
      </c>
      <c r="O26">
        <f t="shared" ca="1" si="14"/>
        <v>-3.9547655526235528E-2</v>
      </c>
      <c r="P26">
        <f t="shared" ca="1" si="15"/>
        <v>-0.1701801147755071</v>
      </c>
      <c r="Q26">
        <f t="shared" ca="1" si="16"/>
        <v>0.94975475139164711</v>
      </c>
      <c r="R26">
        <f t="shared" ca="1" si="17"/>
        <v>1.2079253499800628</v>
      </c>
      <c r="T26">
        <f t="shared" si="0"/>
        <v>1.0055151466709296</v>
      </c>
      <c r="U26" s="6">
        <f t="shared" ca="1" si="18"/>
        <v>1.0186647232681485</v>
      </c>
      <c r="V26">
        <f t="shared" ca="1" si="19"/>
        <v>1.1035059691840838</v>
      </c>
      <c r="W26">
        <v>0.95362835886842423</v>
      </c>
      <c r="X26" t="b">
        <f t="shared" ca="1" si="1"/>
        <v>0</v>
      </c>
      <c r="AS26">
        <v>0.64162939495204496</v>
      </c>
      <c r="AT26">
        <v>999</v>
      </c>
      <c r="AU26">
        <v>999</v>
      </c>
      <c r="AV26">
        <v>999</v>
      </c>
      <c r="AW26">
        <v>2.1878152181798147</v>
      </c>
      <c r="AX26">
        <v>-2.8930940626012935</v>
      </c>
      <c r="AY26">
        <v>-6.2736562199400705</v>
      </c>
      <c r="AZ26">
        <v>999</v>
      </c>
      <c r="BA26">
        <v>5.3199514871563176</v>
      </c>
      <c r="BB26">
        <v>-3.4473316113698123</v>
      </c>
      <c r="BC26">
        <v>-4.7544437366748369</v>
      </c>
      <c r="BD26">
        <v>999</v>
      </c>
      <c r="BE26">
        <v>-5.025634715043747</v>
      </c>
      <c r="BF26">
        <v>8.4871109333133937E-2</v>
      </c>
      <c r="BJ26" t="b">
        <f t="shared" si="2"/>
        <v>1</v>
      </c>
      <c r="BK26" t="b">
        <f t="shared" ca="1" si="3"/>
        <v>0</v>
      </c>
    </row>
    <row r="27" spans="1:63" x14ac:dyDescent="0.45">
      <c r="A27" s="1">
        <v>45198</v>
      </c>
      <c r="B27">
        <v>250.22</v>
      </c>
      <c r="C27" s="1">
        <v>45198</v>
      </c>
      <c r="D27">
        <v>427.48</v>
      </c>
      <c r="E27" s="4">
        <f t="shared" si="4"/>
        <v>1.5585680655897409E-2</v>
      </c>
      <c r="F27" s="4">
        <f t="shared" si="5"/>
        <v>-2.4269579016147754E-3</v>
      </c>
      <c r="G27">
        <f t="shared" ca="1" si="6"/>
        <v>2.7007180453449435E-3</v>
      </c>
      <c r="H27">
        <f t="shared" ca="1" si="7"/>
        <v>3.7497517584705584E-2</v>
      </c>
      <c r="I27">
        <f t="shared" ca="1" si="8"/>
        <v>-0.11889425777127373</v>
      </c>
      <c r="J27">
        <f t="shared" ca="1" si="9"/>
        <v>1.1790056905251189</v>
      </c>
      <c r="K27">
        <f t="shared" ca="1" si="10"/>
        <v>1.2129682839809366</v>
      </c>
      <c r="L27">
        <f t="shared" ca="1" si="11"/>
        <v>1.3431832364535849</v>
      </c>
      <c r="M27">
        <f t="shared" ca="1" si="12"/>
        <v>3.8425673717112739E-4</v>
      </c>
      <c r="N27">
        <f t="shared" ca="1" si="13"/>
        <v>8.8357598482271468E-3</v>
      </c>
      <c r="O27">
        <f t="shared" ca="1" si="14"/>
        <v>-5.0235872807884122E-2</v>
      </c>
      <c r="P27">
        <f t="shared" ca="1" si="15"/>
        <v>-0.18603912269799627</v>
      </c>
      <c r="Q27">
        <f t="shared" ca="1" si="16"/>
        <v>0.94975475139164711</v>
      </c>
      <c r="R27">
        <f t="shared" ca="1" si="17"/>
        <v>1.2183617719723074</v>
      </c>
      <c r="T27">
        <f t="shared" si="0"/>
        <v>1.0155856806558974</v>
      </c>
      <c r="U27" s="6">
        <f t="shared" ca="1" si="18"/>
        <v>1.0218065991506042</v>
      </c>
      <c r="V27">
        <f t="shared" ca="1" si="19"/>
        <v>1.1050336525128057</v>
      </c>
      <c r="W27">
        <v>0.96733031706367445</v>
      </c>
      <c r="X27" t="b">
        <f t="shared" ca="1" si="1"/>
        <v>0</v>
      </c>
      <c r="AS27">
        <v>0.6405422354144118</v>
      </c>
      <c r="AT27">
        <v>999</v>
      </c>
      <c r="AU27">
        <v>999</v>
      </c>
      <c r="AV27">
        <v>999</v>
      </c>
      <c r="AW27">
        <v>2.1213391955368834</v>
      </c>
      <c r="AX27">
        <v>-2.572002255529918</v>
      </c>
      <c r="AY27">
        <v>-6.1444053558463176</v>
      </c>
      <c r="AZ27">
        <v>999</v>
      </c>
      <c r="BA27">
        <v>5.5048027469194256</v>
      </c>
      <c r="BB27">
        <v>-3.3711354489963723</v>
      </c>
      <c r="BC27">
        <v>-4.6695840622453044</v>
      </c>
      <c r="BD27">
        <v>999</v>
      </c>
      <c r="BE27">
        <v>-5.0346347661667084</v>
      </c>
      <c r="BF27">
        <v>-0.25864205548437325</v>
      </c>
      <c r="BJ27" t="b">
        <f t="shared" si="2"/>
        <v>1</v>
      </c>
      <c r="BK27" t="b">
        <f t="shared" ca="1" si="3"/>
        <v>0</v>
      </c>
    </row>
    <row r="28" spans="1:63" x14ac:dyDescent="0.45">
      <c r="A28" s="1">
        <v>45197</v>
      </c>
      <c r="B28">
        <v>246.38</v>
      </c>
      <c r="C28" s="1">
        <v>45197</v>
      </c>
      <c r="D28">
        <v>428.52</v>
      </c>
      <c r="E28" s="4">
        <f t="shared" si="4"/>
        <v>2.4449064449064431E-2</v>
      </c>
      <c r="F28" s="4">
        <f t="shared" si="5"/>
        <v>5.79744161483387E-3</v>
      </c>
      <c r="G28">
        <f t="shared" ca="1" si="6"/>
        <v>2.3091900888680254E-3</v>
      </c>
      <c r="H28">
        <f t="shared" ca="1" si="7"/>
        <v>3.7770124506758262E-2</v>
      </c>
      <c r="I28">
        <f t="shared" ca="1" si="8"/>
        <v>-0.11150256684168987</v>
      </c>
      <c r="J28">
        <f t="shared" ca="1" si="9"/>
        <v>1.099511400198665</v>
      </c>
      <c r="K28">
        <f t="shared" ca="1" si="10"/>
        <v>1.1795196939692505</v>
      </c>
      <c r="L28">
        <f t="shared" ca="1" si="11"/>
        <v>1.3121789545191656</v>
      </c>
      <c r="M28">
        <f t="shared" ca="1" si="12"/>
        <v>4.6847757224470168E-4</v>
      </c>
      <c r="N28">
        <f t="shared" ca="1" si="13"/>
        <v>8.8889468832177732E-3</v>
      </c>
      <c r="O28">
        <f t="shared" ca="1" si="14"/>
        <v>-5.7919886545767865E-2</v>
      </c>
      <c r="P28">
        <f t="shared" ca="1" si="15"/>
        <v>-0.22007022922536423</v>
      </c>
      <c r="Q28">
        <f t="shared" ca="1" si="16"/>
        <v>0.94975475139164711</v>
      </c>
      <c r="R28">
        <f t="shared" ca="1" si="17"/>
        <v>1.2406708986786419</v>
      </c>
      <c r="T28">
        <f t="shared" si="0"/>
        <v>1.0244490644490645</v>
      </c>
      <c r="U28" s="6">
        <f t="shared" ca="1" si="18"/>
        <v>0.96355103637074691</v>
      </c>
      <c r="V28">
        <f t="shared" ca="1" si="19"/>
        <v>1.1175370521987187</v>
      </c>
      <c r="W28">
        <v>0.94183456495173123</v>
      </c>
      <c r="X28" t="b">
        <f t="shared" ca="1" si="1"/>
        <v>1</v>
      </c>
      <c r="AS28">
        <v>0.65563751353371136</v>
      </c>
      <c r="AT28">
        <v>999</v>
      </c>
      <c r="AU28">
        <v>999</v>
      </c>
      <c r="AV28">
        <v>999</v>
      </c>
      <c r="AW28">
        <v>2.1561015930699989</v>
      </c>
      <c r="AX28">
        <v>-2.4481140368827758</v>
      </c>
      <c r="AY28">
        <v>-6.3228254561296797</v>
      </c>
      <c r="AZ28">
        <v>999</v>
      </c>
      <c r="BA28">
        <v>5.5135605603033939</v>
      </c>
      <c r="BB28">
        <v>-3.419294256343119</v>
      </c>
      <c r="BC28">
        <v>-4.7118525216217195</v>
      </c>
      <c r="BD28">
        <v>999</v>
      </c>
      <c r="BE28">
        <v>-5.151668512056208</v>
      </c>
      <c r="BF28">
        <v>-0.4662585185426793</v>
      </c>
      <c r="BJ28" t="b">
        <f t="shared" si="2"/>
        <v>1</v>
      </c>
      <c r="BK28" t="b">
        <f t="shared" ca="1" si="3"/>
        <v>1</v>
      </c>
    </row>
    <row r="29" spans="1:63" x14ac:dyDescent="0.45">
      <c r="A29" s="1">
        <v>45196</v>
      </c>
      <c r="B29">
        <v>240.5</v>
      </c>
      <c r="C29" s="1">
        <v>45196</v>
      </c>
      <c r="D29">
        <v>426.05</v>
      </c>
      <c r="E29" s="4">
        <f t="shared" si="4"/>
        <v>-1.4828772734720648E-2</v>
      </c>
      <c r="F29" s="4">
        <f t="shared" si="5"/>
        <v>3.9917347609659038E-4</v>
      </c>
      <c r="G29">
        <f t="shared" ca="1" si="6"/>
        <v>2.3486721651466884E-3</v>
      </c>
      <c r="H29">
        <f t="shared" ca="1" si="7"/>
        <v>3.7797501422054049E-2</v>
      </c>
      <c r="I29">
        <f t="shared" ca="1" si="8"/>
        <v>-0.11289873907288438</v>
      </c>
      <c r="J29">
        <f t="shared" ca="1" si="9"/>
        <v>1.0894448220975468</v>
      </c>
      <c r="K29">
        <f t="shared" ca="1" si="10"/>
        <v>1.1795196939692505</v>
      </c>
      <c r="L29">
        <f t="shared" ca="1" si="11"/>
        <v>1.3121789545191656</v>
      </c>
      <c r="M29">
        <f t="shared" ca="1" si="12"/>
        <v>4.0213926382730547E-4</v>
      </c>
      <c r="N29">
        <f t="shared" ca="1" si="13"/>
        <v>8.8984801565127145E-3</v>
      </c>
      <c r="O29">
        <f t="shared" ca="1" si="14"/>
        <v>-3.9836945519584943E-2</v>
      </c>
      <c r="P29">
        <f t="shared" ca="1" si="15"/>
        <v>-0.23110094434072215</v>
      </c>
      <c r="Q29">
        <f t="shared" ca="1" si="16"/>
        <v>0.94975475139164711</v>
      </c>
      <c r="R29">
        <f t="shared" ca="1" si="17"/>
        <v>1.1932626639121326</v>
      </c>
      <c r="T29">
        <f t="shared" si="0"/>
        <v>0.98517122726527939</v>
      </c>
      <c r="U29" s="6">
        <f t="shared" ca="1" si="18"/>
        <v>0.91587646140370926</v>
      </c>
      <c r="V29">
        <f t="shared" ca="1" si="19"/>
        <v>1.1114863864652142</v>
      </c>
      <c r="W29">
        <v>0.92609240799907988</v>
      </c>
      <c r="X29" t="b">
        <f t="shared" ca="1" si="1"/>
        <v>1</v>
      </c>
      <c r="AS29">
        <v>0.64146974606076057</v>
      </c>
      <c r="AT29">
        <v>999</v>
      </c>
      <c r="AU29">
        <v>999</v>
      </c>
      <c r="AV29">
        <v>999</v>
      </c>
      <c r="AW29">
        <v>2.0947035921885098</v>
      </c>
      <c r="AX29">
        <v>-2.4967897575488274</v>
      </c>
      <c r="AY29">
        <v>-6.3740082809727179</v>
      </c>
      <c r="AZ29">
        <v>999</v>
      </c>
      <c r="BA29">
        <v>4.948438395289676</v>
      </c>
      <c r="BB29">
        <v>-3.3924734612069911</v>
      </c>
      <c r="BC29">
        <v>-4.4783495477718889</v>
      </c>
      <c r="BD29">
        <v>999</v>
      </c>
      <c r="BE29">
        <v>-5.0020662391221471</v>
      </c>
      <c r="BF29">
        <v>-0.32273687223544778</v>
      </c>
      <c r="BJ29" t="b">
        <f t="shared" si="2"/>
        <v>1</v>
      </c>
      <c r="BK29" t="b">
        <f t="shared" ca="1" si="3"/>
        <v>1</v>
      </c>
    </row>
    <row r="30" spans="1:63" x14ac:dyDescent="0.45">
      <c r="A30" s="1">
        <v>45195</v>
      </c>
      <c r="B30">
        <v>244.12</v>
      </c>
      <c r="C30" s="1">
        <v>45195</v>
      </c>
      <c r="D30">
        <v>425.88</v>
      </c>
      <c r="E30" s="4">
        <f t="shared" si="4"/>
        <v>-1.1619903639823492E-2</v>
      </c>
      <c r="F30" s="4">
        <f t="shared" si="5"/>
        <v>-1.4691252342502886E-2</v>
      </c>
      <c r="G30">
        <f t="shared" ca="1" si="6"/>
        <v>2.4055786121344731E-3</v>
      </c>
      <c r="H30">
        <f t="shared" ca="1" si="7"/>
        <v>3.7780073366554284E-2</v>
      </c>
      <c r="I30">
        <f t="shared" ca="1" si="8"/>
        <v>-0.11716070766593445</v>
      </c>
      <c r="J30">
        <f t="shared" ca="1" si="9"/>
        <v>1.0975681810442603</v>
      </c>
      <c r="K30">
        <f t="shared" ca="1" si="10"/>
        <v>1.1795196939692505</v>
      </c>
      <c r="L30">
        <f t="shared" ca="1" si="11"/>
        <v>1.3121789545191656</v>
      </c>
      <c r="M30">
        <f t="shared" ca="1" si="12"/>
        <v>4.3931320008910537E-4</v>
      </c>
      <c r="N30">
        <f t="shared" ca="1" si="13"/>
        <v>8.9139838341361962E-3</v>
      </c>
      <c r="O30">
        <f t="shared" ca="1" si="14"/>
        <v>-4.9325187276032023E-2</v>
      </c>
      <c r="P30">
        <f t="shared" ca="1" si="15"/>
        <v>-0.24739731261030373</v>
      </c>
      <c r="Q30">
        <f t="shared" ca="1" si="16"/>
        <v>0.94975475139164711</v>
      </c>
      <c r="R30">
        <f t="shared" ca="1" si="17"/>
        <v>1.2015794311825656</v>
      </c>
      <c r="T30">
        <f t="shared" si="0"/>
        <v>0.98838009636017654</v>
      </c>
      <c r="U30" s="6">
        <f t="shared" ca="1" si="18"/>
        <v>0.91602251407129442</v>
      </c>
      <c r="V30">
        <f t="shared" ca="1" si="19"/>
        <v>1.1119555309860556</v>
      </c>
      <c r="W30">
        <v>0.91633705283198463</v>
      </c>
      <c r="X30" t="b">
        <f t="shared" ca="1" si="1"/>
        <v>1</v>
      </c>
      <c r="AS30">
        <v>0.62609741559732213</v>
      </c>
      <c r="AT30">
        <v>999</v>
      </c>
      <c r="AU30">
        <v>999</v>
      </c>
      <c r="AV30">
        <v>999</v>
      </c>
      <c r="AW30">
        <v>2.012356586363973</v>
      </c>
      <c r="AX30">
        <v>-2.4410370903321597</v>
      </c>
      <c r="AY30">
        <v>-6.2945860965912761</v>
      </c>
      <c r="AZ30">
        <v>999</v>
      </c>
      <c r="BA30">
        <v>4.3298461179595478</v>
      </c>
      <c r="BB30">
        <v>-3.3442128881075042</v>
      </c>
      <c r="BC30">
        <v>-4.1653005246852537</v>
      </c>
      <c r="BD30">
        <v>999</v>
      </c>
      <c r="BE30">
        <v>-4.8288347402863048</v>
      </c>
      <c r="BF30">
        <v>-0.27224340768235661</v>
      </c>
      <c r="BJ30" t="b">
        <f t="shared" si="2"/>
        <v>1</v>
      </c>
      <c r="BK30" t="b">
        <f t="shared" ca="1" si="3"/>
        <v>1</v>
      </c>
    </row>
    <row r="31" spans="1:63" x14ac:dyDescent="0.45">
      <c r="A31" s="1">
        <v>45194</v>
      </c>
      <c r="B31">
        <v>246.99</v>
      </c>
      <c r="C31" s="1">
        <v>45194</v>
      </c>
      <c r="D31">
        <v>432.23</v>
      </c>
      <c r="E31" s="4">
        <f t="shared" si="4"/>
        <v>8.6164652074486019E-3</v>
      </c>
      <c r="F31" s="4">
        <f t="shared" si="5"/>
        <v>4.2051949258863483E-3</v>
      </c>
      <c r="G31">
        <f t="shared" ca="1" si="6"/>
        <v>2.3029618585062085E-3</v>
      </c>
      <c r="H31">
        <f t="shared" ca="1" si="7"/>
        <v>3.7846174799303821E-2</v>
      </c>
      <c r="I31">
        <f t="shared" ca="1" si="8"/>
        <v>-0.11193451770629208</v>
      </c>
      <c r="J31">
        <f t="shared" ca="1" si="9"/>
        <v>1.0709120296763999</v>
      </c>
      <c r="K31">
        <f t="shared" ca="1" si="10"/>
        <v>1.1795196939692505</v>
      </c>
      <c r="L31">
        <f t="shared" ca="1" si="11"/>
        <v>1.3067402861562893</v>
      </c>
      <c r="M31">
        <f t="shared" ca="1" si="12"/>
        <v>5.0426325353917177E-4</v>
      </c>
      <c r="N31">
        <f t="shared" ca="1" si="13"/>
        <v>8.8502808378353726E-3</v>
      </c>
      <c r="O31">
        <f t="shared" ca="1" si="14"/>
        <v>-4.7345532847846337E-2</v>
      </c>
      <c r="P31">
        <f t="shared" ca="1" si="15"/>
        <v>-0.20909359206858769</v>
      </c>
      <c r="Q31">
        <f t="shared" ca="1" si="16"/>
        <v>0.94975475139164711</v>
      </c>
      <c r="R31">
        <f t="shared" ca="1" si="17"/>
        <v>1.2493180904793812</v>
      </c>
      <c r="T31">
        <f t="shared" si="0"/>
        <v>1.0086164652074485</v>
      </c>
      <c r="U31" s="6">
        <f t="shared" ca="1" si="18"/>
        <v>0.93105398069963829</v>
      </c>
      <c r="V31">
        <f t="shared" ca="1" si="19"/>
        <v>1.1729691263685229</v>
      </c>
      <c r="W31">
        <v>0.97856086305760537</v>
      </c>
      <c r="X31" t="b">
        <f t="shared" ca="1" si="1"/>
        <v>1</v>
      </c>
      <c r="AS31">
        <v>0.60429886821998391</v>
      </c>
      <c r="AT31">
        <v>999</v>
      </c>
      <c r="AU31">
        <v>999</v>
      </c>
      <c r="AV31">
        <v>999</v>
      </c>
      <c r="AW31">
        <v>999</v>
      </c>
      <c r="AX31">
        <v>-3.2937450908421018</v>
      </c>
      <c r="AY31">
        <v>-6.4792214591865722</v>
      </c>
      <c r="AZ31">
        <v>999</v>
      </c>
      <c r="BA31">
        <v>3.6161585868334138</v>
      </c>
      <c r="BB31">
        <v>-3.1835362265271119</v>
      </c>
      <c r="BC31">
        <v>-3.8591579983549669</v>
      </c>
      <c r="BD31">
        <v>999</v>
      </c>
      <c r="BE31">
        <v>-5.2250200842327477</v>
      </c>
      <c r="BF31">
        <v>0.53858840797331653</v>
      </c>
      <c r="BJ31" t="b">
        <f t="shared" si="2"/>
        <v>1</v>
      </c>
      <c r="BK31" t="b">
        <f t="shared" ca="1" si="3"/>
        <v>1</v>
      </c>
    </row>
    <row r="32" spans="1:63" x14ac:dyDescent="0.45">
      <c r="A32" s="1">
        <v>45191</v>
      </c>
      <c r="B32">
        <v>244.88</v>
      </c>
      <c r="C32" s="1">
        <v>45191</v>
      </c>
      <c r="D32">
        <v>430.42</v>
      </c>
      <c r="E32" s="4">
        <f t="shared" si="4"/>
        <v>-4.2315213140398877E-2</v>
      </c>
      <c r="F32" s="4">
        <f t="shared" si="5"/>
        <v>-2.2485453997542143E-3</v>
      </c>
      <c r="G32">
        <f t="shared" ca="1" si="6"/>
        <v>2.1878049914988359E-3</v>
      </c>
      <c r="H32">
        <f t="shared" ca="1" si="7"/>
        <v>3.7861903996560295E-2</v>
      </c>
      <c r="I32">
        <f t="shared" ca="1" si="8"/>
        <v>-0.10303888531197215</v>
      </c>
      <c r="J32">
        <f t="shared" ca="1" si="9"/>
        <v>1.0629320615957036</v>
      </c>
      <c r="K32">
        <f t="shared" ca="1" si="10"/>
        <v>1.1795196939692505</v>
      </c>
      <c r="L32">
        <f t="shared" ca="1" si="11"/>
        <v>1.3067402861562893</v>
      </c>
      <c r="M32">
        <f t="shared" ca="1" si="12"/>
        <v>4.1116340318712467E-4</v>
      </c>
      <c r="N32">
        <f t="shared" ca="1" si="13"/>
        <v>8.9088951104906167E-3</v>
      </c>
      <c r="O32">
        <f t="shared" ca="1" si="14"/>
        <v>-3.8950197842425711E-2</v>
      </c>
      <c r="P32">
        <f t="shared" ca="1" si="15"/>
        <v>-0.24477443806924137</v>
      </c>
      <c r="Q32">
        <f t="shared" ca="1" si="16"/>
        <v>0.94975475139164711</v>
      </c>
      <c r="R32">
        <f t="shared" ca="1" si="17"/>
        <v>1.2015794311825656</v>
      </c>
      <c r="T32">
        <f t="shared" si="0"/>
        <v>0.95768478685960112</v>
      </c>
      <c r="U32" s="6">
        <f t="shared" ca="1" si="18"/>
        <v>0.89245234884653235</v>
      </c>
      <c r="V32">
        <f t="shared" ca="1" si="19"/>
        <v>1.1749246163104092</v>
      </c>
      <c r="W32">
        <v>0.98167754159333342</v>
      </c>
      <c r="X32" t="b">
        <f t="shared" ca="1" si="1"/>
        <v>1</v>
      </c>
      <c r="AS32">
        <v>0.60124706074375367</v>
      </c>
      <c r="AT32">
        <v>999</v>
      </c>
      <c r="AU32">
        <v>999</v>
      </c>
      <c r="AV32">
        <v>999</v>
      </c>
      <c r="AW32">
        <v>999</v>
      </c>
      <c r="AX32">
        <v>-3.4562319958574972</v>
      </c>
      <c r="AY32">
        <v>-6.7444940705564651</v>
      </c>
      <c r="AZ32">
        <v>999</v>
      </c>
      <c r="BA32">
        <v>3.1797004020567932</v>
      </c>
      <c r="BB32">
        <v>-3.0606438119075117</v>
      </c>
      <c r="BC32">
        <v>-3.4266186143087869</v>
      </c>
      <c r="BD32">
        <v>999</v>
      </c>
      <c r="BE32">
        <v>-4.6428250204271064</v>
      </c>
      <c r="BF32">
        <v>0.97654033827965203</v>
      </c>
      <c r="BJ32" t="b">
        <f t="shared" si="2"/>
        <v>1</v>
      </c>
      <c r="BK32" t="b">
        <f t="shared" ca="1" si="3"/>
        <v>1</v>
      </c>
    </row>
    <row r="33" spans="1:63" x14ac:dyDescent="0.45">
      <c r="A33" s="1">
        <v>45190</v>
      </c>
      <c r="B33">
        <v>255.7</v>
      </c>
      <c r="C33" s="1">
        <v>45190</v>
      </c>
      <c r="D33">
        <v>431.39</v>
      </c>
      <c r="E33" s="4">
        <f t="shared" si="4"/>
        <v>-2.6238622948322431E-2</v>
      </c>
      <c r="F33" s="4">
        <f t="shared" si="5"/>
        <v>-1.6528360386649645E-2</v>
      </c>
      <c r="G33">
        <f t="shared" ca="1" si="6"/>
        <v>2.0809473098950702E-3</v>
      </c>
      <c r="H33">
        <f t="shared" ca="1" si="7"/>
        <v>3.8017972849889267E-2</v>
      </c>
      <c r="I33">
        <f t="shared" ca="1" si="8"/>
        <v>-0.11152183156232096</v>
      </c>
      <c r="J33">
        <f t="shared" ca="1" si="9"/>
        <v>1.0315100668329276</v>
      </c>
      <c r="K33">
        <f t="shared" ca="1" si="10"/>
        <v>1.1408766985472349</v>
      </c>
      <c r="L33">
        <f t="shared" ca="1" si="11"/>
        <v>1.3067402861562893</v>
      </c>
      <c r="M33">
        <f t="shared" ca="1" si="12"/>
        <v>3.3245995044098845E-4</v>
      </c>
      <c r="N33">
        <f t="shared" ca="1" si="13"/>
        <v>9.0015564830981908E-3</v>
      </c>
      <c r="O33">
        <f t="shared" ca="1" si="14"/>
        <v>-5.4488318691123541E-2</v>
      </c>
      <c r="P33">
        <f t="shared" ca="1" si="15"/>
        <v>-0.27037172261531817</v>
      </c>
      <c r="Q33">
        <f t="shared" ca="1" si="16"/>
        <v>0.9424408195376951</v>
      </c>
      <c r="R33">
        <f t="shared" ca="1" si="17"/>
        <v>1.1936557165544408</v>
      </c>
      <c r="T33">
        <f t="shared" si="0"/>
        <v>0.97376137705167753</v>
      </c>
      <c r="U33" s="6">
        <f t="shared" ca="1" si="18"/>
        <v>0.92631502680770894</v>
      </c>
      <c r="V33">
        <f t="shared" ca="1" si="19"/>
        <v>1.1718933360185502</v>
      </c>
      <c r="W33">
        <v>0.99055105469995564</v>
      </c>
      <c r="X33" t="b">
        <f t="shared" ca="1" si="1"/>
        <v>1</v>
      </c>
      <c r="AS33">
        <v>0.59525463099830833</v>
      </c>
      <c r="AT33">
        <v>999</v>
      </c>
      <c r="AU33">
        <v>999</v>
      </c>
      <c r="AV33">
        <v>999</v>
      </c>
      <c r="AW33">
        <v>999</v>
      </c>
      <c r="AX33">
        <v>-3.5290753763058382</v>
      </c>
      <c r="AY33">
        <v>-6.8615856255438485</v>
      </c>
      <c r="AZ33">
        <v>999</v>
      </c>
      <c r="BA33">
        <v>2.8420565768656103</v>
      </c>
      <c r="BB33">
        <v>-2.8935799449123061</v>
      </c>
      <c r="BC33">
        <v>-3.0760532955448108</v>
      </c>
      <c r="BD33">
        <v>999</v>
      </c>
      <c r="BE33">
        <v>-4.1506215193536358</v>
      </c>
      <c r="BF33">
        <v>1.2552374889850764</v>
      </c>
      <c r="BJ33" t="b">
        <f t="shared" si="2"/>
        <v>1</v>
      </c>
      <c r="BK33" t="b">
        <f t="shared" ca="1" si="3"/>
        <v>1</v>
      </c>
    </row>
    <row r="34" spans="1:63" x14ac:dyDescent="0.45">
      <c r="A34" s="1">
        <v>45189</v>
      </c>
      <c r="B34">
        <v>262.58999999999997</v>
      </c>
      <c r="C34" s="1">
        <v>45189</v>
      </c>
      <c r="D34">
        <v>438.64</v>
      </c>
      <c r="E34" s="4">
        <f t="shared" si="4"/>
        <v>-1.4671669793621106E-2</v>
      </c>
      <c r="F34" s="4">
        <f t="shared" si="5"/>
        <v>-9.1933771543448155E-3</v>
      </c>
      <c r="G34">
        <f t="shared" ca="1" si="6"/>
        <v>2.2162493101015018E-3</v>
      </c>
      <c r="H34">
        <f t="shared" ca="1" si="7"/>
        <v>3.7964795368506485E-2</v>
      </c>
      <c r="I34">
        <f t="shared" ca="1" si="8"/>
        <v>-0.12068416013680401</v>
      </c>
      <c r="J34">
        <f t="shared" ca="1" si="9"/>
        <v>1.0544756648896456</v>
      </c>
      <c r="K34">
        <f t="shared" ca="1" si="10"/>
        <v>1.1408766985472349</v>
      </c>
      <c r="L34">
        <f t="shared" ca="1" si="11"/>
        <v>1.3121789545191656</v>
      </c>
      <c r="M34">
        <f t="shared" ca="1" si="12"/>
        <v>4.0933318248862643E-4</v>
      </c>
      <c r="N34">
        <f t="shared" ca="1" si="13"/>
        <v>8.9221409863568246E-3</v>
      </c>
      <c r="O34">
        <f t="shared" ca="1" si="14"/>
        <v>-4.7833211835786593E-2</v>
      </c>
      <c r="P34">
        <f t="shared" ca="1" si="15"/>
        <v>-0.23505432524266645</v>
      </c>
      <c r="Q34">
        <f t="shared" ca="1" si="16"/>
        <v>0.94975475139164711</v>
      </c>
      <c r="R34">
        <f t="shared" ca="1" si="17"/>
        <v>1.2015794311825656</v>
      </c>
      <c r="T34">
        <f t="shared" si="0"/>
        <v>0.98532833020637889</v>
      </c>
      <c r="U34" s="6">
        <f t="shared" ca="1" si="18"/>
        <v>0.96789531883523761</v>
      </c>
      <c r="V34">
        <f t="shared" ca="1" si="19"/>
        <v>1.1885333644762297</v>
      </c>
      <c r="W34">
        <v>1.0051317184035045</v>
      </c>
      <c r="X34" t="b">
        <f t="shared" ca="1" si="1"/>
        <v>0</v>
      </c>
      <c r="AS34">
        <v>0.60302537357578379</v>
      </c>
      <c r="AT34">
        <v>999</v>
      </c>
      <c r="AU34">
        <v>999</v>
      </c>
      <c r="AV34">
        <v>999</v>
      </c>
      <c r="AW34">
        <v>999</v>
      </c>
      <c r="AX34">
        <v>-3.6623012595170019</v>
      </c>
      <c r="AY34">
        <v>-7.053983283528555</v>
      </c>
      <c r="AZ34">
        <v>999</v>
      </c>
      <c r="BA34">
        <v>2.5681885543456273</v>
      </c>
      <c r="BB34">
        <v>-2.801345957007725</v>
      </c>
      <c r="BC34">
        <v>-2.8212094327666519</v>
      </c>
      <c r="BD34">
        <v>999</v>
      </c>
      <c r="BE34">
        <v>-3.7789115786574516</v>
      </c>
      <c r="BF34">
        <v>1.4917038440771755</v>
      </c>
      <c r="BJ34" t="b">
        <f t="shared" si="2"/>
        <v>1</v>
      </c>
      <c r="BK34" t="b">
        <f t="shared" ca="1" si="3"/>
        <v>0</v>
      </c>
    </row>
    <row r="35" spans="1:63" x14ac:dyDescent="0.45">
      <c r="A35" s="1">
        <v>45188</v>
      </c>
      <c r="B35">
        <v>266.5</v>
      </c>
      <c r="C35" s="1">
        <v>45188</v>
      </c>
      <c r="D35">
        <v>442.71</v>
      </c>
      <c r="E35" s="4">
        <f t="shared" si="4"/>
        <v>4.5989143546442532E-3</v>
      </c>
      <c r="F35" s="4">
        <f t="shared" si="5"/>
        <v>-2.0738002389378896E-3</v>
      </c>
      <c r="G35">
        <f t="shared" ca="1" si="6"/>
        <v>2.289607659069607E-3</v>
      </c>
      <c r="H35">
        <f t="shared" ca="1" si="7"/>
        <v>3.7946169584899186E-2</v>
      </c>
      <c r="I35">
        <f t="shared" ca="1" si="8"/>
        <v>-0.1262737838016374</v>
      </c>
      <c r="J35">
        <f t="shared" ca="1" si="9"/>
        <v>1.0633020207914665</v>
      </c>
      <c r="K35">
        <f t="shared" ca="1" si="10"/>
        <v>1.1408766985472349</v>
      </c>
      <c r="L35">
        <f t="shared" ca="1" si="11"/>
        <v>1.3121789545191656</v>
      </c>
      <c r="M35">
        <f t="shared" ca="1" si="12"/>
        <v>4.5162071190242245E-4</v>
      </c>
      <c r="N35">
        <f t="shared" ca="1" si="13"/>
        <v>8.8964046593463242E-3</v>
      </c>
      <c r="O35">
        <f t="shared" ca="1" si="14"/>
        <v>-5.6281138930532736E-2</v>
      </c>
      <c r="P35">
        <f t="shared" ca="1" si="15"/>
        <v>-0.20846516556090489</v>
      </c>
      <c r="Q35">
        <f t="shared" ca="1" si="16"/>
        <v>0.94975475139164711</v>
      </c>
      <c r="R35">
        <f t="shared" ca="1" si="17"/>
        <v>1.2493180904793812</v>
      </c>
      <c r="T35">
        <f t="shared" si="0"/>
        <v>1.0045989143546443</v>
      </c>
      <c r="U35" s="6">
        <f t="shared" ca="1" si="18"/>
        <v>0.99633617466726487</v>
      </c>
      <c r="V35">
        <f t="shared" ca="1" si="19"/>
        <v>1.1762430717397678</v>
      </c>
      <c r="W35">
        <v>0.97340429486306013</v>
      </c>
      <c r="X35" t="b">
        <f t="shared" ca="1" si="1"/>
        <v>1</v>
      </c>
      <c r="AS35">
        <v>0.58842360780779968</v>
      </c>
      <c r="AT35">
        <v>999</v>
      </c>
      <c r="AU35">
        <v>999</v>
      </c>
      <c r="AV35">
        <v>999</v>
      </c>
      <c r="AW35">
        <v>999</v>
      </c>
      <c r="AX35">
        <v>-3.7429876501756594</v>
      </c>
      <c r="AY35">
        <v>-6.8040357298534087</v>
      </c>
      <c r="AZ35">
        <v>999</v>
      </c>
      <c r="BA35">
        <v>2.8644428233040546</v>
      </c>
      <c r="BB35">
        <v>-2.7332907596939715</v>
      </c>
      <c r="BC35">
        <v>-3.3575462650269641</v>
      </c>
      <c r="BD35">
        <v>999</v>
      </c>
      <c r="BE35">
        <v>-4.1832775766772947</v>
      </c>
      <c r="BF35">
        <v>1.0355875462044883</v>
      </c>
      <c r="BJ35" t="b">
        <f t="shared" si="2"/>
        <v>1</v>
      </c>
      <c r="BK35" t="b">
        <f t="shared" ca="1" si="3"/>
        <v>1</v>
      </c>
    </row>
    <row r="36" spans="1:63" x14ac:dyDescent="0.45">
      <c r="A36" s="1">
        <v>45187</v>
      </c>
      <c r="B36">
        <v>265.27999999999997</v>
      </c>
      <c r="C36" s="1">
        <v>45187</v>
      </c>
      <c r="D36">
        <v>443.63</v>
      </c>
      <c r="E36" s="4">
        <f t="shared" si="4"/>
        <v>-3.3200918400816411E-2</v>
      </c>
      <c r="F36" s="4">
        <f t="shared" si="5"/>
        <v>5.8641766470440241E-4</v>
      </c>
      <c r="G36">
        <f t="shared" ca="1" si="6"/>
        <v>2.6501224607410577E-3</v>
      </c>
      <c r="H36">
        <f t="shared" ca="1" si="7"/>
        <v>3.8308999155943414E-2</v>
      </c>
      <c r="I36">
        <f t="shared" ca="1" si="8"/>
        <v>-0.11403904729562905</v>
      </c>
      <c r="J36">
        <f t="shared" ca="1" si="9"/>
        <v>0.98738718772481349</v>
      </c>
      <c r="K36">
        <f t="shared" ca="1" si="10"/>
        <v>1.2094026852362736</v>
      </c>
      <c r="L36">
        <f t="shared" ca="1" si="11"/>
        <v>1.362091745434943</v>
      </c>
      <c r="M36">
        <f t="shared" ca="1" si="12"/>
        <v>6.1949293906680026E-4</v>
      </c>
      <c r="N36">
        <f t="shared" ca="1" si="13"/>
        <v>9.1613359249651648E-3</v>
      </c>
      <c r="O36">
        <f t="shared" ca="1" si="14"/>
        <v>9.0631014108054395E-2</v>
      </c>
      <c r="P36">
        <f t="shared" ca="1" si="15"/>
        <v>0.15169351352888416</v>
      </c>
      <c r="Q36">
        <f t="shared" ca="1" si="16"/>
        <v>0.95963355209288637</v>
      </c>
      <c r="R36">
        <f t="shared" ca="1" si="17"/>
        <v>1.2521688863895808</v>
      </c>
      <c r="T36">
        <f t="shared" si="0"/>
        <v>0.9667990815991836</v>
      </c>
      <c r="U36" s="6">
        <f t="shared" ca="1" si="18"/>
        <v>0.96966152496527525</v>
      </c>
      <c r="V36">
        <f t="shared" ca="1" si="19"/>
        <v>1.1671534414472982</v>
      </c>
      <c r="W36">
        <v>0.93028090132874752</v>
      </c>
      <c r="X36" t="b">
        <f t="shared" ca="1" si="1"/>
        <v>1</v>
      </c>
      <c r="AS36">
        <v>0.59830571479538952</v>
      </c>
      <c r="AT36">
        <v>999</v>
      </c>
      <c r="AU36">
        <v>999</v>
      </c>
      <c r="AV36">
        <v>999</v>
      </c>
      <c r="AW36">
        <v>999</v>
      </c>
      <c r="AX36">
        <v>-3.8847519035069391</v>
      </c>
      <c r="AY36">
        <v>-6.604534638689997</v>
      </c>
      <c r="AZ36">
        <v>999</v>
      </c>
      <c r="BA36">
        <v>3.0973853045814606</v>
      </c>
      <c r="BB36">
        <v>-2.7962850347766697</v>
      </c>
      <c r="BC36">
        <v>-3.6712368265161803</v>
      </c>
      <c r="BD36">
        <v>999</v>
      </c>
      <c r="BE36">
        <v>-4.3838274213762256</v>
      </c>
      <c r="BF36">
        <v>0.70635652276650784</v>
      </c>
      <c r="BJ36" t="b">
        <f t="shared" si="2"/>
        <v>1</v>
      </c>
      <c r="BK36" t="b">
        <f t="shared" ca="1" si="3"/>
        <v>1</v>
      </c>
    </row>
    <row r="37" spans="1:63" x14ac:dyDescent="0.45">
      <c r="A37" s="1">
        <v>45184</v>
      </c>
      <c r="B37">
        <v>274.39</v>
      </c>
      <c r="C37" s="1">
        <v>45184</v>
      </c>
      <c r="D37">
        <v>443.37</v>
      </c>
      <c r="E37" s="4">
        <f t="shared" si="4"/>
        <v>-5.9773945804957032E-3</v>
      </c>
      <c r="F37" s="4">
        <f t="shared" si="5"/>
        <v>-1.552091660005331E-2</v>
      </c>
      <c r="G37">
        <f t="shared" ca="1" si="6"/>
        <v>2.7589982532699592E-3</v>
      </c>
      <c r="H37">
        <f t="shared" ca="1" si="7"/>
        <v>3.8237473161090711E-2</v>
      </c>
      <c r="I37">
        <f t="shared" ca="1" si="8"/>
        <v>-0.11937819347383473</v>
      </c>
      <c r="J37">
        <f t="shared" ca="1" si="9"/>
        <v>1.0150792602382825</v>
      </c>
      <c r="K37">
        <f t="shared" ca="1" si="10"/>
        <v>1.2094026852362736</v>
      </c>
      <c r="L37">
        <f t="shared" ca="1" si="11"/>
        <v>1.3942753712662883</v>
      </c>
      <c r="M37">
        <f t="shared" ca="1" si="12"/>
        <v>6.0797304038233749E-4</v>
      </c>
      <c r="N37">
        <f t="shared" ca="1" si="13"/>
        <v>9.1628261699216815E-3</v>
      </c>
      <c r="O37">
        <f t="shared" ca="1" si="14"/>
        <v>9.4312407032794268E-2</v>
      </c>
      <c r="P37">
        <f t="shared" ca="1" si="15"/>
        <v>0.15010994854215687</v>
      </c>
      <c r="Q37">
        <f t="shared" ca="1" si="16"/>
        <v>0.95963355209288637</v>
      </c>
      <c r="R37">
        <f t="shared" ca="1" si="17"/>
        <v>1.2521688863895808</v>
      </c>
      <c r="T37">
        <f t="shared" si="0"/>
        <v>0.99402260541950427</v>
      </c>
      <c r="U37" s="6">
        <f t="shared" ca="1" si="18"/>
        <v>1.1041851106639839</v>
      </c>
      <c r="V37">
        <f t="shared" ca="1" si="19"/>
        <v>1.2283952406660537</v>
      </c>
      <c r="W37">
        <v>1.0687590232407937</v>
      </c>
      <c r="X37" t="b">
        <f t="shared" ca="1" si="1"/>
        <v>1</v>
      </c>
      <c r="AS37">
        <v>0.61707687181474147</v>
      </c>
      <c r="AT37">
        <v>999</v>
      </c>
      <c r="AU37">
        <v>999</v>
      </c>
      <c r="AV37">
        <v>999</v>
      </c>
      <c r="AW37">
        <v>999</v>
      </c>
      <c r="AX37">
        <v>-4.0028851129212333</v>
      </c>
      <c r="AY37">
        <v>-6.4174243867459833</v>
      </c>
      <c r="AZ37">
        <v>999</v>
      </c>
      <c r="BA37">
        <v>3.3143103446961431</v>
      </c>
      <c r="BB37">
        <v>-2.8210565516214823</v>
      </c>
      <c r="BC37">
        <v>-4.1318948194098466</v>
      </c>
      <c r="BD37">
        <v>999</v>
      </c>
      <c r="BE37">
        <v>-4.9844277853362584</v>
      </c>
      <c r="BF37">
        <v>0.61377127890075678</v>
      </c>
      <c r="BJ37" t="b">
        <f t="shared" si="2"/>
        <v>1</v>
      </c>
      <c r="BK37" t="b">
        <f t="shared" ca="1" si="3"/>
        <v>1</v>
      </c>
    </row>
    <row r="38" spans="1:63" x14ac:dyDescent="0.45">
      <c r="A38" s="1">
        <v>45183</v>
      </c>
      <c r="B38">
        <v>276.04000000000002</v>
      </c>
      <c r="C38" s="1">
        <v>45183</v>
      </c>
      <c r="D38">
        <v>450.36</v>
      </c>
      <c r="E38" s="4">
        <f t="shared" si="4"/>
        <v>1.7471433837080757E-2</v>
      </c>
      <c r="F38" s="4">
        <f t="shared" si="5"/>
        <v>8.6224272692661374E-3</v>
      </c>
      <c r="G38">
        <f t="shared" ca="1" si="6"/>
        <v>2.7905258255380722E-3</v>
      </c>
      <c r="H38">
        <f t="shared" ca="1" si="7"/>
        <v>3.8232832861053674E-2</v>
      </c>
      <c r="I38">
        <f t="shared" ca="1" si="8"/>
        <v>-0.12186125834790305</v>
      </c>
      <c r="J38">
        <f t="shared" ca="1" si="9"/>
        <v>1.0174429472136222</v>
      </c>
      <c r="K38">
        <f t="shared" ca="1" si="10"/>
        <v>1.2094026852362736</v>
      </c>
      <c r="L38">
        <f t="shared" ca="1" si="11"/>
        <v>1.3942753712662883</v>
      </c>
      <c r="M38">
        <f t="shared" ca="1" si="12"/>
        <v>6.0579237246917482E-4</v>
      </c>
      <c r="N38">
        <f t="shared" ca="1" si="13"/>
        <v>9.166735049726522E-3</v>
      </c>
      <c r="O38">
        <f t="shared" ca="1" si="14"/>
        <v>9.2608549286585753E-2</v>
      </c>
      <c r="P38">
        <f t="shared" ca="1" si="15"/>
        <v>0.15034235604752055</v>
      </c>
      <c r="Q38">
        <f t="shared" ca="1" si="16"/>
        <v>0.95963355209288637</v>
      </c>
      <c r="R38">
        <f t="shared" ca="1" si="17"/>
        <v>1.2521688863895808</v>
      </c>
      <c r="T38">
        <f t="shared" si="0"/>
        <v>1.0174714338370807</v>
      </c>
      <c r="U38" s="6">
        <f t="shared" ca="1" si="18"/>
        <v>1.0976181955544952</v>
      </c>
      <c r="V38">
        <f t="shared" ca="1" si="19"/>
        <v>1.2267135275149905</v>
      </c>
      <c r="W38">
        <v>1.0371610169886696</v>
      </c>
      <c r="X38" t="b">
        <f t="shared" ca="1" si="1"/>
        <v>1</v>
      </c>
      <c r="AS38">
        <v>0.63622683316882478</v>
      </c>
      <c r="AT38">
        <v>999</v>
      </c>
      <c r="AU38">
        <v>999</v>
      </c>
      <c r="AV38">
        <v>999</v>
      </c>
      <c r="AW38">
        <v>2.0376071437024939</v>
      </c>
      <c r="AX38">
        <v>-3.1502670618839779</v>
      </c>
      <c r="AY38">
        <v>-6.3294422920162692</v>
      </c>
      <c r="AZ38">
        <v>999</v>
      </c>
      <c r="BA38">
        <v>3.8653133154749395</v>
      </c>
      <c r="BB38">
        <v>-2.9157237548283375</v>
      </c>
      <c r="BC38">
        <v>-4.7166235941603709</v>
      </c>
      <c r="BD38">
        <v>999</v>
      </c>
      <c r="BE38">
        <v>-5.2563042434829237</v>
      </c>
      <c r="BF38">
        <v>-9.0977458417102836E-2</v>
      </c>
      <c r="BJ38" t="b">
        <f t="shared" si="2"/>
        <v>1</v>
      </c>
      <c r="BK38" t="b">
        <f t="shared" ca="1" si="3"/>
        <v>1</v>
      </c>
    </row>
    <row r="39" spans="1:63" x14ac:dyDescent="0.45">
      <c r="A39" s="1">
        <v>45182</v>
      </c>
      <c r="B39">
        <v>271.3</v>
      </c>
      <c r="C39" s="1">
        <v>45182</v>
      </c>
      <c r="D39">
        <v>446.51</v>
      </c>
      <c r="E39" s="4">
        <f t="shared" si="4"/>
        <v>1.4281441603110486E-2</v>
      </c>
      <c r="F39" s="4">
        <f t="shared" si="5"/>
        <v>1.1659454247852682E-3</v>
      </c>
      <c r="G39">
        <f t="shared" ca="1" si="6"/>
        <v>2.6938891803701365E-3</v>
      </c>
      <c r="H39">
        <f t="shared" ca="1" si="7"/>
        <v>3.8219962728834406E-2</v>
      </c>
      <c r="I39">
        <f t="shared" ca="1" si="8"/>
        <v>-0.11461926238690735</v>
      </c>
      <c r="J39">
        <f t="shared" ca="1" si="9"/>
        <v>1.0215847513699616</v>
      </c>
      <c r="K39">
        <f t="shared" ca="1" si="10"/>
        <v>1.2094026852362736</v>
      </c>
      <c r="L39">
        <f t="shared" ca="1" si="11"/>
        <v>1.3942753712662883</v>
      </c>
      <c r="M39">
        <f t="shared" ca="1" si="12"/>
        <v>5.6156200144265919E-4</v>
      </c>
      <c r="N39">
        <f t="shared" ca="1" si="13"/>
        <v>9.1491844193342647E-3</v>
      </c>
      <c r="O39">
        <f t="shared" ca="1" si="14"/>
        <v>0.10437379119919855</v>
      </c>
      <c r="P39">
        <f t="shared" ca="1" si="15"/>
        <v>0.17379946819017134</v>
      </c>
      <c r="Q39">
        <f t="shared" ca="1" si="16"/>
        <v>0.95963355209288637</v>
      </c>
      <c r="R39">
        <f t="shared" ca="1" si="17"/>
        <v>1.2493180904793812</v>
      </c>
      <c r="T39">
        <f t="shared" si="0"/>
        <v>1.0142814416031105</v>
      </c>
      <c r="U39" s="6">
        <f t="shared" ca="1" si="18"/>
        <v>1.0769291838678947</v>
      </c>
      <c r="V39">
        <f t="shared" ca="1" si="19"/>
        <v>1.2219867263059871</v>
      </c>
      <c r="W39">
        <v>1.0296952418960061</v>
      </c>
      <c r="X39" t="b">
        <f t="shared" ca="1" si="1"/>
        <v>1</v>
      </c>
      <c r="AS39">
        <v>0.65270505944273294</v>
      </c>
      <c r="AT39">
        <v>999</v>
      </c>
      <c r="AU39">
        <v>999</v>
      </c>
      <c r="AV39">
        <v>999</v>
      </c>
      <c r="AW39">
        <v>2.1983830972705598</v>
      </c>
      <c r="AX39">
        <v>-2.9636807114485939</v>
      </c>
      <c r="AY39">
        <v>-6.310698449332599</v>
      </c>
      <c r="AZ39">
        <v>999</v>
      </c>
      <c r="BA39">
        <v>4.0924676666812454</v>
      </c>
      <c r="BB39">
        <v>-2.7735647772334944</v>
      </c>
      <c r="BC39">
        <v>-5.2206992045806473</v>
      </c>
      <c r="BD39">
        <v>999</v>
      </c>
      <c r="BE39">
        <v>-5.776957062385085</v>
      </c>
      <c r="BF39">
        <v>-0.31878254395316252</v>
      </c>
      <c r="BJ39" t="b">
        <f t="shared" si="2"/>
        <v>1</v>
      </c>
      <c r="BK39" t="b">
        <f t="shared" ca="1" si="3"/>
        <v>1</v>
      </c>
    </row>
    <row r="40" spans="1:63" x14ac:dyDescent="0.45">
      <c r="A40" s="1">
        <v>45181</v>
      </c>
      <c r="B40">
        <v>267.48</v>
      </c>
      <c r="C40" s="1">
        <v>45181</v>
      </c>
      <c r="D40">
        <v>445.99</v>
      </c>
      <c r="E40" s="4">
        <f t="shared" si="4"/>
        <v>-2.2296951531544582E-2</v>
      </c>
      <c r="F40" s="4">
        <f t="shared" si="5"/>
        <v>-5.4855613780800082E-3</v>
      </c>
      <c r="G40">
        <f t="shared" ca="1" si="6"/>
        <v>3.0135713726253156E-3</v>
      </c>
      <c r="H40">
        <f t="shared" ca="1" si="7"/>
        <v>3.8583037589260807E-2</v>
      </c>
      <c r="I40">
        <f t="shared" ca="1" si="8"/>
        <v>-9.8590172837285078E-2</v>
      </c>
      <c r="J40">
        <f t="shared" ca="1" si="9"/>
        <v>0.94953280536859719</v>
      </c>
      <c r="K40">
        <f t="shared" ca="1" si="10"/>
        <v>1.2255699654321934</v>
      </c>
      <c r="L40">
        <f t="shared" ca="1" si="11"/>
        <v>1.4133636908043634</v>
      </c>
      <c r="M40">
        <f t="shared" ca="1" si="12"/>
        <v>5.8724015128797558E-4</v>
      </c>
      <c r="N40">
        <f t="shared" ca="1" si="13"/>
        <v>9.158091716370536E-3</v>
      </c>
      <c r="O40">
        <f t="shared" ca="1" si="14"/>
        <v>9.6821252257674795E-2</v>
      </c>
      <c r="P40">
        <f t="shared" ca="1" si="15"/>
        <v>0.16093472726344915</v>
      </c>
      <c r="Q40">
        <f t="shared" ca="1" si="16"/>
        <v>0.95963355209288637</v>
      </c>
      <c r="R40">
        <f t="shared" ca="1" si="17"/>
        <v>1.2493180904793812</v>
      </c>
      <c r="T40">
        <f t="shared" si="0"/>
        <v>0.97770304846845546</v>
      </c>
      <c r="U40" s="6">
        <f t="shared" ca="1" si="18"/>
        <v>1.04284767437327</v>
      </c>
      <c r="V40">
        <f t="shared" ca="1" si="19"/>
        <v>1.2347904037871995</v>
      </c>
      <c r="W40">
        <v>1.0427076926314545</v>
      </c>
      <c r="X40" t="b">
        <f t="shared" ca="1" si="1"/>
        <v>1</v>
      </c>
      <c r="AS40">
        <v>0.64515464977180126</v>
      </c>
      <c r="AT40">
        <v>999</v>
      </c>
      <c r="AU40">
        <v>999</v>
      </c>
      <c r="AV40">
        <v>999</v>
      </c>
      <c r="AW40">
        <v>2.071913589730916</v>
      </c>
      <c r="AX40">
        <v>-2.8155434786901483</v>
      </c>
      <c r="AY40">
        <v>-6.3142243273358956</v>
      </c>
      <c r="AZ40">
        <v>999</v>
      </c>
      <c r="BA40">
        <v>3.9701147341086678</v>
      </c>
      <c r="BB40">
        <v>-2.7655051595392606</v>
      </c>
      <c r="BC40">
        <v>-5.0812060696682488</v>
      </c>
      <c r="BD40">
        <v>999</v>
      </c>
      <c r="BE40">
        <v>-5.65156648179393</v>
      </c>
      <c r="BF40">
        <v>-0.21409264050429222</v>
      </c>
      <c r="BJ40" t="b">
        <f t="shared" si="2"/>
        <v>1</v>
      </c>
      <c r="BK40" t="b">
        <f t="shared" ca="1" si="3"/>
        <v>1</v>
      </c>
    </row>
    <row r="41" spans="1:63" x14ac:dyDescent="0.45">
      <c r="A41" s="1">
        <v>45180</v>
      </c>
      <c r="B41">
        <v>273.58</v>
      </c>
      <c r="C41" s="1">
        <v>45180</v>
      </c>
      <c r="D41">
        <v>448.45</v>
      </c>
      <c r="E41" s="4">
        <f t="shared" si="4"/>
        <v>0.10092555331991945</v>
      </c>
      <c r="F41" s="4">
        <f t="shared" si="5"/>
        <v>6.5765846651104484E-3</v>
      </c>
      <c r="G41">
        <f t="shared" ca="1" si="6"/>
        <v>3.1858174336725654E-3</v>
      </c>
      <c r="H41">
        <f t="shared" ca="1" si="7"/>
        <v>3.8546354425820599E-2</v>
      </c>
      <c r="I41">
        <f t="shared" ca="1" si="8"/>
        <v>-0.11090837700435373</v>
      </c>
      <c r="J41">
        <f t="shared" ca="1" si="9"/>
        <v>0.96571602335728901</v>
      </c>
      <c r="K41">
        <f t="shared" ca="1" si="10"/>
        <v>1.2255699654321934</v>
      </c>
      <c r="L41">
        <f t="shared" ca="1" si="11"/>
        <v>1.463289061955892</v>
      </c>
      <c r="M41">
        <f t="shared" ca="1" si="12"/>
        <v>6.8195298820954706E-4</v>
      </c>
      <c r="N41">
        <f t="shared" ca="1" si="13"/>
        <v>9.1928571746463621E-3</v>
      </c>
      <c r="O41">
        <f t="shared" ca="1" si="14"/>
        <v>7.9895738416163195E-2</v>
      </c>
      <c r="P41">
        <f t="shared" ca="1" si="15"/>
        <v>0.12759283319019854</v>
      </c>
      <c r="Q41">
        <f t="shared" ca="1" si="16"/>
        <v>0.95963355209288637</v>
      </c>
      <c r="R41">
        <f t="shared" ca="1" si="17"/>
        <v>1.2803203159027159</v>
      </c>
      <c r="T41">
        <f t="shared" si="0"/>
        <v>1.1009255533199194</v>
      </c>
      <c r="U41" s="6">
        <f t="shared" ca="1" si="18"/>
        <v>1.1166074854087589</v>
      </c>
      <c r="V41">
        <f t="shared" ca="1" si="19"/>
        <v>1.2118162505647105</v>
      </c>
      <c r="W41">
        <v>0.95494087976335573</v>
      </c>
      <c r="X41" t="b">
        <f t="shared" ca="1" si="1"/>
        <v>0</v>
      </c>
      <c r="AS41">
        <v>0.6256043387424165</v>
      </c>
      <c r="AT41">
        <v>999</v>
      </c>
      <c r="AU41">
        <v>999</v>
      </c>
      <c r="AV41">
        <v>999</v>
      </c>
      <c r="AW41">
        <v>4.0885169024408263</v>
      </c>
      <c r="AX41">
        <v>999</v>
      </c>
      <c r="AY41">
        <v>-6.4619527674898141</v>
      </c>
      <c r="AZ41">
        <v>999</v>
      </c>
      <c r="BA41">
        <v>4.6740683523719406</v>
      </c>
      <c r="BB41">
        <v>999</v>
      </c>
      <c r="BC41">
        <v>-6.0394597741019247</v>
      </c>
      <c r="BD41">
        <v>999</v>
      </c>
      <c r="BE41">
        <v>-4.9936299030128453</v>
      </c>
      <c r="BF41">
        <v>-1.9361750973025751</v>
      </c>
      <c r="BJ41" t="b">
        <f t="shared" si="2"/>
        <v>1</v>
      </c>
      <c r="BK41" t="b">
        <f t="shared" ca="1" si="3"/>
        <v>0</v>
      </c>
    </row>
    <row r="42" spans="1:63" x14ac:dyDescent="0.45">
      <c r="A42" s="1">
        <v>45177</v>
      </c>
      <c r="B42">
        <v>248.5</v>
      </c>
      <c r="C42" s="1">
        <v>45177</v>
      </c>
      <c r="D42">
        <v>445.52</v>
      </c>
      <c r="E42" s="4">
        <f t="shared" si="4"/>
        <v>-1.1889140721301081E-2</v>
      </c>
      <c r="F42" s="4">
        <f t="shared" si="5"/>
        <v>1.5061256603348522E-3</v>
      </c>
      <c r="G42">
        <f t="shared" ca="1" si="6"/>
        <v>2.3393282985175543E-3</v>
      </c>
      <c r="H42">
        <f t="shared" ca="1" si="7"/>
        <v>3.8246927300016421E-2</v>
      </c>
      <c r="I42">
        <f t="shared" ca="1" si="8"/>
        <v>-0.16440836737397765</v>
      </c>
      <c r="J42">
        <f t="shared" ca="1" si="9"/>
        <v>0.91752626228274936</v>
      </c>
      <c r="K42">
        <f t="shared" ca="1" si="10"/>
        <v>1.1972106415306949</v>
      </c>
      <c r="L42">
        <f t="shared" ca="1" si="11"/>
        <v>1.3942753712662883</v>
      </c>
      <c r="M42">
        <f t="shared" ca="1" si="12"/>
        <v>6.3088962400830383E-4</v>
      </c>
      <c r="N42">
        <f t="shared" ca="1" si="13"/>
        <v>9.1883127882654032E-3</v>
      </c>
      <c r="O42">
        <f t="shared" ca="1" si="14"/>
        <v>9.4988162160955097E-2</v>
      </c>
      <c r="P42">
        <f t="shared" ca="1" si="15"/>
        <v>0.13521424924256031</v>
      </c>
      <c r="Q42">
        <f t="shared" ca="1" si="16"/>
        <v>0.95963355209288637</v>
      </c>
      <c r="R42">
        <f t="shared" ca="1" si="17"/>
        <v>1.2781989952492101</v>
      </c>
      <c r="T42">
        <f t="shared" si="0"/>
        <v>0.98811085927869891</v>
      </c>
      <c r="U42" s="6">
        <f t="shared" ca="1" si="18"/>
        <v>0.96287972721636716</v>
      </c>
      <c r="V42">
        <f t="shared" ca="1" si="19"/>
        <v>1.1906238075098114</v>
      </c>
      <c r="W42">
        <v>0.9581696550444847</v>
      </c>
      <c r="X42" t="b">
        <f t="shared" ca="1" si="1"/>
        <v>1</v>
      </c>
      <c r="AS42">
        <v>0.62695795728280135</v>
      </c>
      <c r="AT42">
        <v>999</v>
      </c>
      <c r="AU42">
        <v>-2.1159229717271408</v>
      </c>
      <c r="AV42">
        <v>999</v>
      </c>
      <c r="AW42">
        <v>2.1443549458741487</v>
      </c>
      <c r="AX42">
        <v>999</v>
      </c>
      <c r="AY42">
        <v>-3.2133894629013042</v>
      </c>
      <c r="AZ42">
        <v>999</v>
      </c>
      <c r="BA42">
        <v>3.3990569262770349</v>
      </c>
      <c r="BB42">
        <v>999</v>
      </c>
      <c r="BC42">
        <v>-4.228900779229039</v>
      </c>
      <c r="BD42">
        <v>2.4910771364941184</v>
      </c>
      <c r="BE42">
        <v>-4.3167974598293988</v>
      </c>
      <c r="BF42">
        <v>-2.5616328055659223</v>
      </c>
      <c r="BJ42" t="b">
        <f t="shared" si="2"/>
        <v>1</v>
      </c>
      <c r="BK42" t="b">
        <f t="shared" ca="1" si="3"/>
        <v>1</v>
      </c>
    </row>
    <row r="43" spans="1:63" x14ac:dyDescent="0.45">
      <c r="A43" s="1">
        <v>45176</v>
      </c>
      <c r="B43">
        <v>251.49</v>
      </c>
      <c r="C43" s="1">
        <v>45176</v>
      </c>
      <c r="D43">
        <v>444.85</v>
      </c>
      <c r="E43" s="4">
        <f t="shared" si="4"/>
        <v>-1.7068910765321468E-3</v>
      </c>
      <c r="F43" s="4">
        <f t="shared" si="5"/>
        <v>-3.0702344135180057E-3</v>
      </c>
      <c r="G43">
        <f t="shared" ca="1" si="6"/>
        <v>2.3174288036745326E-3</v>
      </c>
      <c r="H43">
        <f t="shared" ca="1" si="7"/>
        <v>3.825636796216296E-2</v>
      </c>
      <c r="I43">
        <f t="shared" ca="1" si="8"/>
        <v>-0.16287502441615381</v>
      </c>
      <c r="J43">
        <f t="shared" ca="1" si="9"/>
        <v>0.91342383724795129</v>
      </c>
      <c r="K43">
        <f t="shared" ca="1" si="10"/>
        <v>1.1972106415306949</v>
      </c>
      <c r="L43">
        <f t="shared" ca="1" si="11"/>
        <v>1.3942753712662883</v>
      </c>
      <c r="M43">
        <f t="shared" ca="1" si="12"/>
        <v>6.4606090317416171E-4</v>
      </c>
      <c r="N43">
        <f t="shared" ca="1" si="13"/>
        <v>9.192269349271415E-3</v>
      </c>
      <c r="O43">
        <f t="shared" ca="1" si="14"/>
        <v>9.0250328748355854E-2</v>
      </c>
      <c r="P43">
        <f t="shared" ca="1" si="15"/>
        <v>0.12928539507421766</v>
      </c>
      <c r="Q43">
        <f t="shared" ca="1" si="16"/>
        <v>0.95963355209288637</v>
      </c>
      <c r="R43">
        <f t="shared" ca="1" si="17"/>
        <v>1.2781989952492101</v>
      </c>
      <c r="T43">
        <f t="shared" si="0"/>
        <v>0.9982931089234679</v>
      </c>
      <c r="U43" s="6">
        <f t="shared" ca="1" si="18"/>
        <v>0.9789412222654732</v>
      </c>
      <c r="V43">
        <f t="shared" ca="1" si="19"/>
        <v>1.1995479069135828</v>
      </c>
      <c r="W43">
        <v>0.91158637054053837</v>
      </c>
      <c r="X43" t="b">
        <f t="shared" ca="1" si="1"/>
        <v>1</v>
      </c>
      <c r="AS43">
        <v>0.61939179940129718</v>
      </c>
      <c r="AT43">
        <v>999</v>
      </c>
      <c r="AU43">
        <v>999</v>
      </c>
      <c r="AV43">
        <v>999</v>
      </c>
      <c r="AW43">
        <v>3.5096907942943396</v>
      </c>
      <c r="AX43">
        <v>999</v>
      </c>
      <c r="AY43">
        <v>-6.1787360737889605</v>
      </c>
      <c r="AZ43">
        <v>999</v>
      </c>
      <c r="BA43">
        <v>3.302966513250301</v>
      </c>
      <c r="BB43">
        <v>999</v>
      </c>
      <c r="BC43">
        <v>-4.8955579277811161</v>
      </c>
      <c r="BD43">
        <v>999</v>
      </c>
      <c r="BE43">
        <v>-4.4950120889213858</v>
      </c>
      <c r="BF43">
        <v>-0.85370638844467195</v>
      </c>
      <c r="BJ43" t="b">
        <f t="shared" si="2"/>
        <v>1</v>
      </c>
      <c r="BK43" t="b">
        <f t="shared" ca="1" si="3"/>
        <v>1</v>
      </c>
    </row>
    <row r="44" spans="1:63" x14ac:dyDescent="0.45">
      <c r="A44" s="1">
        <v>45175</v>
      </c>
      <c r="B44">
        <v>251.92</v>
      </c>
      <c r="C44" s="1">
        <v>45175</v>
      </c>
      <c r="D44">
        <v>446.22</v>
      </c>
      <c r="E44" s="4">
        <f t="shared" si="4"/>
        <v>-1.7817458770322512E-2</v>
      </c>
      <c r="F44" s="4">
        <f t="shared" si="5"/>
        <v>-6.7224646068915987E-3</v>
      </c>
      <c r="G44">
        <f t="shared" ca="1" si="6"/>
        <v>2.2256529658836429E-3</v>
      </c>
      <c r="H44">
        <f t="shared" ca="1" si="7"/>
        <v>3.8288074293528936E-2</v>
      </c>
      <c r="I44">
        <f t="shared" ca="1" si="8"/>
        <v>-0.15621485018449949</v>
      </c>
      <c r="J44">
        <f t="shared" ca="1" si="9"/>
        <v>0.89936585929486323</v>
      </c>
      <c r="K44">
        <f t="shared" ca="1" si="10"/>
        <v>1.1972106415306949</v>
      </c>
      <c r="L44">
        <f t="shared" ca="1" si="11"/>
        <v>1.362091745434943</v>
      </c>
      <c r="M44">
        <f t="shared" ca="1" si="12"/>
        <v>6.4611304881616067E-4</v>
      </c>
      <c r="N44">
        <f t="shared" ca="1" si="13"/>
        <v>9.1922481911964199E-3</v>
      </c>
      <c r="O44">
        <f t="shared" ca="1" si="14"/>
        <v>9.0236577587457942E-2</v>
      </c>
      <c r="P44">
        <f t="shared" ca="1" si="15"/>
        <v>0.12931099168929006</v>
      </c>
      <c r="Q44">
        <f t="shared" ca="1" si="16"/>
        <v>0.95963355209288637</v>
      </c>
      <c r="R44">
        <f t="shared" ca="1" si="17"/>
        <v>1.2781989952492101</v>
      </c>
      <c r="T44">
        <f t="shared" si="0"/>
        <v>0.98218254122967752</v>
      </c>
      <c r="U44" s="6">
        <f t="shared" ca="1" si="18"/>
        <v>0.97954739870907537</v>
      </c>
      <c r="V44">
        <f t="shared" ca="1" si="19"/>
        <v>1.7679255244802929</v>
      </c>
      <c r="W44">
        <v>0.98725296056018585</v>
      </c>
      <c r="X44" t="b">
        <f t="shared" ca="1" si="1"/>
        <v>1</v>
      </c>
      <c r="AS44">
        <v>0.60843767411068128</v>
      </c>
      <c r="AT44">
        <v>999</v>
      </c>
      <c r="AU44">
        <v>-4.4264109759196169</v>
      </c>
      <c r="AV44">
        <v>999</v>
      </c>
      <c r="AW44">
        <v>999</v>
      </c>
      <c r="AX44">
        <v>999</v>
      </c>
      <c r="AY44">
        <v>-2.2448384898443723</v>
      </c>
      <c r="AZ44">
        <v>999</v>
      </c>
      <c r="BA44">
        <v>2.5692142891687566</v>
      </c>
      <c r="BB44">
        <v>999</v>
      </c>
      <c r="BC44">
        <v>-3.3380492037555842</v>
      </c>
      <c r="BD44">
        <v>3.4091826797035947</v>
      </c>
      <c r="BE44">
        <v>-3.676898242435807</v>
      </c>
      <c r="BF44">
        <v>-2.5085505144664197</v>
      </c>
      <c r="BJ44" t="b">
        <f t="shared" si="2"/>
        <v>1</v>
      </c>
      <c r="BK44" t="b">
        <f t="shared" ca="1" si="3"/>
        <v>1</v>
      </c>
    </row>
    <row r="45" spans="1:63" x14ac:dyDescent="0.45">
      <c r="A45" s="1">
        <v>45174</v>
      </c>
      <c r="B45">
        <v>256.49</v>
      </c>
      <c r="C45" s="1">
        <v>45174</v>
      </c>
      <c r="D45">
        <v>449.24</v>
      </c>
      <c r="E45" s="4">
        <f t="shared" si="4"/>
        <v>4.6855230398759308E-2</v>
      </c>
      <c r="F45" s="4">
        <f t="shared" si="5"/>
        <v>-4.3219042975242991E-3</v>
      </c>
      <c r="G45">
        <f t="shared" ca="1" si="6"/>
        <v>2.1218588689318391E-3</v>
      </c>
      <c r="H45">
        <f t="shared" ca="1" si="7"/>
        <v>3.8370729697154458E-2</v>
      </c>
      <c r="I45">
        <f t="shared" ca="1" si="8"/>
        <v>-0.15239011113927159</v>
      </c>
      <c r="J45">
        <f t="shared" ca="1" si="9"/>
        <v>0.86999076362907202</v>
      </c>
      <c r="K45">
        <f t="shared" ca="1" si="10"/>
        <v>1.1972106415306949</v>
      </c>
      <c r="L45">
        <f t="shared" ca="1" si="11"/>
        <v>1.362091745434943</v>
      </c>
      <c r="M45">
        <f t="shared" ca="1" si="12"/>
        <v>6.4158137827486988E-4</v>
      </c>
      <c r="N45">
        <f t="shared" ca="1" si="13"/>
        <v>9.1961216578713856E-3</v>
      </c>
      <c r="O45">
        <f t="shared" ca="1" si="14"/>
        <v>9.052894928258573E-2</v>
      </c>
      <c r="P45">
        <f t="shared" ca="1" si="15"/>
        <v>0.12540597325455138</v>
      </c>
      <c r="Q45">
        <f t="shared" ca="1" si="16"/>
        <v>0.95963355209288637</v>
      </c>
      <c r="R45">
        <f t="shared" ca="1" si="17"/>
        <v>1.2781989952492101</v>
      </c>
      <c r="T45">
        <f t="shared" si="0"/>
        <v>1.0468552303987593</v>
      </c>
      <c r="U45" s="6">
        <f t="shared" ca="1" si="18"/>
        <v>1.0739887781592832</v>
      </c>
      <c r="V45">
        <f t="shared" ca="1" si="19"/>
        <v>1.8024418400575568</v>
      </c>
      <c r="W45">
        <v>1.0280363158177614</v>
      </c>
      <c r="X45" t="b">
        <f t="shared" ca="1" si="1"/>
        <v>1</v>
      </c>
      <c r="AS45">
        <v>0.61524119125640686</v>
      </c>
      <c r="AT45">
        <v>999</v>
      </c>
      <c r="AU45">
        <v>-4.5809982471396369</v>
      </c>
      <c r="AV45">
        <v>999</v>
      </c>
      <c r="AW45">
        <v>999</v>
      </c>
      <c r="AX45">
        <v>999</v>
      </c>
      <c r="AY45">
        <v>-2.0554450043456942</v>
      </c>
      <c r="AZ45">
        <v>999</v>
      </c>
      <c r="BA45">
        <v>2.3601737872464934</v>
      </c>
      <c r="BB45">
        <v>999</v>
      </c>
      <c r="BC45">
        <v>-3.3764634374337281</v>
      </c>
      <c r="BD45">
        <v>3.5386413518952931</v>
      </c>
      <c r="BE45">
        <v>-3.8644333345059616</v>
      </c>
      <c r="BF45">
        <v>-2.4461821245351225</v>
      </c>
      <c r="BJ45" t="b">
        <f t="shared" si="2"/>
        <v>1</v>
      </c>
      <c r="BK45" t="b">
        <f t="shared" ca="1" si="3"/>
        <v>1</v>
      </c>
    </row>
    <row r="46" spans="1:63" x14ac:dyDescent="0.45">
      <c r="A46" s="1">
        <v>45170</v>
      </c>
      <c r="B46">
        <v>245.01</v>
      </c>
      <c r="C46" s="1">
        <v>45170</v>
      </c>
      <c r="D46">
        <v>451.19</v>
      </c>
      <c r="E46" s="4">
        <f t="shared" si="4"/>
        <v>-5.0643211407315536E-2</v>
      </c>
      <c r="F46" s="4">
        <f t="shared" si="5"/>
        <v>1.865215943155268E-3</v>
      </c>
      <c r="G46">
        <f t="shared" ca="1" si="6"/>
        <v>1.9784441990014115E-3</v>
      </c>
      <c r="H46">
        <f t="shared" ca="1" si="7"/>
        <v>3.8256125404653334E-2</v>
      </c>
      <c r="I46">
        <f t="shared" ca="1" si="8"/>
        <v>-0.15014412909879463</v>
      </c>
      <c r="J46">
        <f t="shared" ca="1" si="9"/>
        <v>0.90521831430984978</v>
      </c>
      <c r="K46">
        <f t="shared" ca="1" si="10"/>
        <v>1.1972106415306949</v>
      </c>
      <c r="L46">
        <f t="shared" ca="1" si="11"/>
        <v>1.3121789545191656</v>
      </c>
      <c r="M46">
        <f t="shared" ca="1" si="12"/>
        <v>7.0583617208482376E-4</v>
      </c>
      <c r="N46">
        <f t="shared" ca="1" si="13"/>
        <v>9.2061570946036994E-3</v>
      </c>
      <c r="O46">
        <f t="shared" ca="1" si="14"/>
        <v>7.3070432471159269E-2</v>
      </c>
      <c r="P46">
        <f t="shared" ca="1" si="15"/>
        <v>0.11157151115380737</v>
      </c>
      <c r="Q46">
        <f t="shared" ca="1" si="16"/>
        <v>0.95963355209288637</v>
      </c>
      <c r="R46">
        <f t="shared" ca="1" si="17"/>
        <v>1.3031266695736159</v>
      </c>
      <c r="T46">
        <f t="shared" si="0"/>
        <v>0.94935678859268446</v>
      </c>
      <c r="U46" s="6">
        <f t="shared" ca="1" si="18"/>
        <v>1.0269080849993713</v>
      </c>
      <c r="V46">
        <f t="shared" ca="1" si="19"/>
        <v>1.7699030009040615</v>
      </c>
      <c r="W46">
        <v>0.9990691659845341</v>
      </c>
      <c r="X46" t="b">
        <f t="shared" ca="1" si="1"/>
        <v>0</v>
      </c>
      <c r="AS46">
        <v>0.58944340153276165</v>
      </c>
      <c r="AT46">
        <v>999</v>
      </c>
      <c r="AU46">
        <v>-5.792199778106303</v>
      </c>
      <c r="AV46">
        <v>999</v>
      </c>
      <c r="AW46">
        <v>999</v>
      </c>
      <c r="AX46">
        <v>999</v>
      </c>
      <c r="AY46">
        <v>999</v>
      </c>
      <c r="AZ46">
        <v>999</v>
      </c>
      <c r="BA46">
        <v>999</v>
      </c>
      <c r="BB46">
        <v>999</v>
      </c>
      <c r="BC46">
        <v>-2.8268742852542394</v>
      </c>
      <c r="BD46">
        <v>3.1148963283998437</v>
      </c>
      <c r="BE46">
        <v>-7.2541651409996897</v>
      </c>
      <c r="BF46">
        <v>-0.98241348173466847</v>
      </c>
      <c r="BJ46" t="b">
        <f t="shared" si="2"/>
        <v>1</v>
      </c>
      <c r="BK46" t="b">
        <f t="shared" ca="1" si="3"/>
        <v>0</v>
      </c>
    </row>
    <row r="47" spans="1:63" x14ac:dyDescent="0.45">
      <c r="A47" s="1">
        <v>45169</v>
      </c>
      <c r="B47">
        <v>258.08</v>
      </c>
      <c r="C47" s="1">
        <v>45169</v>
      </c>
      <c r="D47">
        <v>450.35</v>
      </c>
      <c r="E47" s="4">
        <f t="shared" si="4"/>
        <v>4.5932269365512139E-3</v>
      </c>
      <c r="F47" s="4">
        <f t="shared" si="5"/>
        <v>-1.4633821866476757E-3</v>
      </c>
      <c r="G47">
        <f t="shared" ca="1" si="6"/>
        <v>2.103579427339717E-3</v>
      </c>
      <c r="H47">
        <f t="shared" ca="1" si="7"/>
        <v>3.8123838620299305E-2</v>
      </c>
      <c r="I47">
        <f t="shared" ca="1" si="8"/>
        <v>-0.15023589650764252</v>
      </c>
      <c r="J47">
        <f t="shared" ca="1" si="9"/>
        <v>0.94491217718303444</v>
      </c>
      <c r="K47">
        <f t="shared" ca="1" si="10"/>
        <v>1.1972106415306949</v>
      </c>
      <c r="L47">
        <f t="shared" ca="1" si="11"/>
        <v>1.3121789545191656</v>
      </c>
      <c r="M47">
        <f t="shared" ca="1" si="12"/>
        <v>6.5397665531602509E-4</v>
      </c>
      <c r="N47">
        <f t="shared" ca="1" si="13"/>
        <v>9.2287787018090848E-3</v>
      </c>
      <c r="O47">
        <f t="shared" ca="1" si="14"/>
        <v>8.4503684028489734E-2</v>
      </c>
      <c r="P47">
        <f t="shared" ca="1" si="15"/>
        <v>8.7612075817702806E-2</v>
      </c>
      <c r="Q47">
        <f t="shared" ca="1" si="16"/>
        <v>0.95963355209288637</v>
      </c>
      <c r="R47">
        <f t="shared" ca="1" si="17"/>
        <v>1.2744737784732176</v>
      </c>
      <c r="T47">
        <f t="shared" si="0"/>
        <v>1.0045932269365512</v>
      </c>
      <c r="U47" s="6">
        <f t="shared" ca="1" si="18"/>
        <v>1.1218918448965396</v>
      </c>
      <c r="V47">
        <f t="shared" ca="1" si="19"/>
        <v>1.7870463069681644</v>
      </c>
      <c r="W47">
        <v>1.0091729532338725</v>
      </c>
      <c r="X47" t="b">
        <f t="shared" ca="1" si="1"/>
        <v>1</v>
      </c>
      <c r="AS47">
        <v>0.61938387075945167</v>
      </c>
      <c r="AT47">
        <v>999</v>
      </c>
      <c r="AU47">
        <v>-5.3651687701614401</v>
      </c>
      <c r="AV47">
        <v>999</v>
      </c>
      <c r="AW47">
        <v>999</v>
      </c>
      <c r="AX47">
        <v>999</v>
      </c>
      <c r="AY47">
        <v>999</v>
      </c>
      <c r="AZ47">
        <v>999</v>
      </c>
      <c r="BA47">
        <v>999</v>
      </c>
      <c r="BB47">
        <v>999</v>
      </c>
      <c r="BC47">
        <v>-3.6960809843643485</v>
      </c>
      <c r="BD47">
        <v>2.7975963772064643</v>
      </c>
      <c r="BE47">
        <v>-8.3146888799620218</v>
      </c>
      <c r="BF47">
        <v>-0.56268845355185704</v>
      </c>
      <c r="BJ47" t="b">
        <f t="shared" si="2"/>
        <v>1</v>
      </c>
      <c r="BK47" t="b">
        <f t="shared" ca="1" si="3"/>
        <v>1</v>
      </c>
    </row>
    <row r="48" spans="1:63" x14ac:dyDescent="0.45">
      <c r="A48" s="1">
        <v>45168</v>
      </c>
      <c r="B48">
        <v>256.89999999999998</v>
      </c>
      <c r="C48" s="1">
        <v>45168</v>
      </c>
      <c r="D48">
        <v>451.01</v>
      </c>
      <c r="E48" s="4">
        <f t="shared" si="4"/>
        <v>-1.0887316276538982E-3</v>
      </c>
      <c r="F48" s="4">
        <f t="shared" si="5"/>
        <v>4.1187995369132736E-3</v>
      </c>
      <c r="G48">
        <f t="shared" ca="1" si="6"/>
        <v>2.218249618160317E-3</v>
      </c>
      <c r="H48">
        <f t="shared" ca="1" si="7"/>
        <v>3.8165832463327769E-2</v>
      </c>
      <c r="I48">
        <f t="shared" ca="1" si="8"/>
        <v>-0.15734619958249044</v>
      </c>
      <c r="J48">
        <f t="shared" ca="1" si="9"/>
        <v>0.93027063761754425</v>
      </c>
      <c r="K48">
        <f t="shared" ca="1" si="10"/>
        <v>1.1972106415306949</v>
      </c>
      <c r="L48">
        <f t="shared" ca="1" si="11"/>
        <v>1.362091745434943</v>
      </c>
      <c r="M48">
        <f t="shared" ca="1" si="12"/>
        <v>7.0968597548182546E-4</v>
      </c>
      <c r="N48">
        <f t="shared" ca="1" si="13"/>
        <v>9.2495385431210393E-3</v>
      </c>
      <c r="O48">
        <f t="shared" ca="1" si="14"/>
        <v>7.0459688631331591E-2</v>
      </c>
      <c r="P48">
        <f t="shared" ca="1" si="15"/>
        <v>6.2298763883535724E-2</v>
      </c>
      <c r="Q48">
        <f t="shared" ca="1" si="16"/>
        <v>0.95963355209288637</v>
      </c>
      <c r="R48">
        <f t="shared" ca="1" si="17"/>
        <v>1.3361629935535775</v>
      </c>
      <c r="T48">
        <f t="shared" si="0"/>
        <v>0.99891126837234612</v>
      </c>
      <c r="U48" s="6">
        <f t="shared" ca="1" si="18"/>
        <v>1.0846069408089165</v>
      </c>
      <c r="V48">
        <f t="shared" ca="1" si="19"/>
        <v>1.7924139450042818</v>
      </c>
      <c r="W48">
        <v>1.0047252572419243</v>
      </c>
      <c r="X48" t="b">
        <f t="shared" ca="1" si="1"/>
        <v>1</v>
      </c>
      <c r="AS48">
        <v>0.60875786702782497</v>
      </c>
      <c r="AT48">
        <v>999</v>
      </c>
      <c r="AU48">
        <v>-4.979999498431563</v>
      </c>
      <c r="AV48">
        <v>999</v>
      </c>
      <c r="AW48">
        <v>999</v>
      </c>
      <c r="AX48">
        <v>999</v>
      </c>
      <c r="AY48">
        <v>999</v>
      </c>
      <c r="AZ48">
        <v>999</v>
      </c>
      <c r="BA48">
        <v>999</v>
      </c>
      <c r="BB48">
        <v>999</v>
      </c>
      <c r="BC48">
        <v>-3.9629275033703002</v>
      </c>
      <c r="BD48">
        <v>2.7117691309141301</v>
      </c>
      <c r="BE48">
        <v>-8.5010860494693734</v>
      </c>
      <c r="BF48">
        <v>-0.51724418202986633</v>
      </c>
      <c r="BJ48" t="b">
        <f t="shared" si="2"/>
        <v>1</v>
      </c>
      <c r="BK48" t="b">
        <f t="shared" ca="1" si="3"/>
        <v>1</v>
      </c>
    </row>
    <row r="49" spans="1:63" x14ac:dyDescent="0.45">
      <c r="A49" s="1">
        <v>45167</v>
      </c>
      <c r="B49">
        <v>257.18</v>
      </c>
      <c r="C49" s="1">
        <v>45167</v>
      </c>
      <c r="D49">
        <v>449.16</v>
      </c>
      <c r="E49" s="4">
        <f t="shared" si="4"/>
        <v>7.6877983418474224E-2</v>
      </c>
      <c r="F49" s="4">
        <f t="shared" si="5"/>
        <v>1.4454783629957616E-2</v>
      </c>
      <c r="G49">
        <f t="shared" ca="1" si="6"/>
        <v>2.5933649920483475E-3</v>
      </c>
      <c r="H49">
        <f t="shared" ca="1" si="7"/>
        <v>3.850038454378843E-2</v>
      </c>
      <c r="I49">
        <f t="shared" ca="1" si="8"/>
        <v>-0.14999537908084237</v>
      </c>
      <c r="J49">
        <f t="shared" ca="1" si="9"/>
        <v>0.86159012903587051</v>
      </c>
      <c r="K49">
        <f t="shared" ca="1" si="10"/>
        <v>1.2074399989143951</v>
      </c>
      <c r="L49">
        <f t="shared" ca="1" si="11"/>
        <v>1.3807394552151306</v>
      </c>
      <c r="M49">
        <f t="shared" ca="1" si="12"/>
        <v>9.6386277939028843E-4</v>
      </c>
      <c r="N49">
        <f t="shared" ca="1" si="13"/>
        <v>1.0010837961310066E-2</v>
      </c>
      <c r="O49">
        <f t="shared" ca="1" si="14"/>
        <v>0.78596473920441356</v>
      </c>
      <c r="P49">
        <f t="shared" ca="1" si="15"/>
        <v>3.5984338649865153</v>
      </c>
      <c r="Q49">
        <f t="shared" ca="1" si="16"/>
        <v>0.97860583532554413</v>
      </c>
      <c r="R49">
        <f t="shared" ca="1" si="17"/>
        <v>1.3595538300952481</v>
      </c>
      <c r="T49">
        <f t="shared" si="0"/>
        <v>1.0768779834184743</v>
      </c>
      <c r="U49" s="6">
        <f t="shared" ca="1" si="18"/>
        <v>1.1028774818817271</v>
      </c>
      <c r="V49">
        <f t="shared" ca="1" si="19"/>
        <v>1.7956255331628146</v>
      </c>
      <c r="W49">
        <v>0.99300132121878304</v>
      </c>
      <c r="X49" t="b">
        <f t="shared" ca="1" si="1"/>
        <v>0</v>
      </c>
      <c r="AS49">
        <v>0.61488177686494139</v>
      </c>
      <c r="AT49">
        <v>999</v>
      </c>
      <c r="AU49">
        <v>-4.5157035345800356</v>
      </c>
      <c r="AV49">
        <v>999</v>
      </c>
      <c r="AW49">
        <v>999</v>
      </c>
      <c r="AX49">
        <v>999</v>
      </c>
      <c r="AY49">
        <v>999</v>
      </c>
      <c r="AZ49">
        <v>999</v>
      </c>
      <c r="BA49">
        <v>999</v>
      </c>
      <c r="BB49">
        <v>999</v>
      </c>
      <c r="BC49">
        <v>-4.4776330151741899</v>
      </c>
      <c r="BD49">
        <v>2.5504561467966398</v>
      </c>
      <c r="BE49">
        <v>-8.9717806743861992</v>
      </c>
      <c r="BF49">
        <v>-0.30689914338287883</v>
      </c>
      <c r="BJ49" t="b">
        <f t="shared" si="2"/>
        <v>1</v>
      </c>
      <c r="BK49" t="b">
        <f t="shared" ca="1" si="3"/>
        <v>0</v>
      </c>
    </row>
    <row r="50" spans="1:63" x14ac:dyDescent="0.45">
      <c r="A50" s="1">
        <v>45166</v>
      </c>
      <c r="B50">
        <v>238.82</v>
      </c>
      <c r="C50" s="1">
        <v>45166</v>
      </c>
      <c r="D50">
        <v>442.76</v>
      </c>
      <c r="E50" s="4">
        <f t="shared" si="4"/>
        <v>9.6399681461917838E-4</v>
      </c>
      <c r="F50" s="4">
        <f t="shared" si="5"/>
        <v>6.341341455099128E-3</v>
      </c>
      <c r="G50">
        <f t="shared" ca="1" si="6"/>
        <v>1.8506373854630339E-3</v>
      </c>
      <c r="H50">
        <f t="shared" ca="1" si="7"/>
        <v>3.8492953783042981E-2</v>
      </c>
      <c r="I50">
        <f t="shared" ca="1" si="8"/>
        <v>-0.16453152555854006</v>
      </c>
      <c r="J50">
        <f t="shared" ca="1" si="9"/>
        <v>0.84925762359904455</v>
      </c>
      <c r="K50">
        <f t="shared" ca="1" si="10"/>
        <v>1.168382829951939</v>
      </c>
      <c r="L50">
        <f t="shared" ca="1" si="11"/>
        <v>1.3145967213997225</v>
      </c>
      <c r="M50">
        <f t="shared" ca="1" si="12"/>
        <v>7.8857839003631223E-4</v>
      </c>
      <c r="N50">
        <f t="shared" ca="1" si="13"/>
        <v>1.0080106059056963E-2</v>
      </c>
      <c r="O50">
        <f t="shared" ca="1" si="14"/>
        <v>0.76069644487772714</v>
      </c>
      <c r="P50">
        <f t="shared" ca="1" si="15"/>
        <v>3.56168400804789</v>
      </c>
      <c r="Q50">
        <f t="shared" ca="1" si="16"/>
        <v>0.97023125653754005</v>
      </c>
      <c r="R50">
        <f t="shared" ca="1" si="17"/>
        <v>1.2816063491701195</v>
      </c>
      <c r="T50">
        <f t="shared" si="0"/>
        <v>1.0009639968146191</v>
      </c>
      <c r="U50" s="6">
        <f t="shared" ca="1" si="18"/>
        <v>1.0326011760636455</v>
      </c>
      <c r="V50">
        <f t="shared" ca="1" si="19"/>
        <v>1.7880124928726144</v>
      </c>
      <c r="W50">
        <v>1.0314610076646291</v>
      </c>
      <c r="X50" t="b">
        <f t="shared" ca="1" si="1"/>
        <v>1</v>
      </c>
      <c r="AS50">
        <v>0.61072903098608489</v>
      </c>
      <c r="AT50">
        <v>999</v>
      </c>
      <c r="AU50">
        <v>-4.4671059948271123</v>
      </c>
      <c r="AV50">
        <v>999</v>
      </c>
      <c r="AW50">
        <v>999</v>
      </c>
      <c r="AX50">
        <v>999</v>
      </c>
      <c r="AY50">
        <v>999</v>
      </c>
      <c r="AZ50">
        <v>999</v>
      </c>
      <c r="BA50">
        <v>999</v>
      </c>
      <c r="BB50">
        <v>999</v>
      </c>
      <c r="BC50">
        <v>-4.3881422995581225</v>
      </c>
      <c r="BD50">
        <v>2.6906762795692032</v>
      </c>
      <c r="BE50">
        <v>-8.7890476526505577</v>
      </c>
      <c r="BF50">
        <v>-0.3530794967449748</v>
      </c>
      <c r="BJ50" t="b">
        <f t="shared" si="2"/>
        <v>1</v>
      </c>
      <c r="BK50" t="b">
        <f t="shared" ca="1" si="3"/>
        <v>1</v>
      </c>
    </row>
    <row r="51" spans="1:63" x14ac:dyDescent="0.45">
      <c r="A51" s="1">
        <v>45163</v>
      </c>
      <c r="B51">
        <v>238.59</v>
      </c>
      <c r="C51" s="1">
        <v>45163</v>
      </c>
      <c r="D51">
        <v>439.97</v>
      </c>
      <c r="E51" s="4">
        <f t="shared" si="4"/>
        <v>3.7167449139280176E-2</v>
      </c>
      <c r="F51" s="4">
        <f t="shared" si="5"/>
        <v>7.0498294765273658E-3</v>
      </c>
      <c r="G51">
        <f t="shared" ca="1" si="6"/>
        <v>1.6991764434033329E-3</v>
      </c>
      <c r="H51">
        <f t="shared" ca="1" si="7"/>
        <v>3.8556004809006547E-2</v>
      </c>
      <c r="I51">
        <f t="shared" ca="1" si="8"/>
        <v>-0.15450569393528032</v>
      </c>
      <c r="J51">
        <f t="shared" ca="1" si="9"/>
        <v>0.82348395609816727</v>
      </c>
      <c r="K51">
        <f t="shared" ca="1" si="10"/>
        <v>1.168382829951939</v>
      </c>
      <c r="L51">
        <f t="shared" ca="1" si="11"/>
        <v>1.1909192877931749</v>
      </c>
      <c r="M51">
        <f t="shared" ca="1" si="12"/>
        <v>7.8384891660737569E-4</v>
      </c>
      <c r="N51">
        <f t="shared" ca="1" si="13"/>
        <v>1.0077709289255108E-2</v>
      </c>
      <c r="O51">
        <f t="shared" ca="1" si="14"/>
        <v>0.76229724384149034</v>
      </c>
      <c r="P51">
        <f t="shared" ca="1" si="15"/>
        <v>3.5691795125369739</v>
      </c>
      <c r="Q51">
        <f t="shared" ca="1" si="16"/>
        <v>0.97023125653754005</v>
      </c>
      <c r="R51">
        <f t="shared" ca="1" si="17"/>
        <v>1.2816063491701195</v>
      </c>
      <c r="T51">
        <f t="shared" si="0"/>
        <v>1.0371674491392802</v>
      </c>
      <c r="U51" s="6">
        <f t="shared" ca="1" si="18"/>
        <v>1.1071975497702908</v>
      </c>
      <c r="V51">
        <f t="shared" ca="1" si="19"/>
        <v>1.7968738094822179</v>
      </c>
      <c r="W51">
        <v>1.0377261542489524</v>
      </c>
      <c r="X51" t="b">
        <f t="shared" ca="1" si="1"/>
        <v>1</v>
      </c>
      <c r="AS51">
        <v>0.59380807456359774</v>
      </c>
      <c r="AT51">
        <v>999</v>
      </c>
      <c r="AU51">
        <v>-4.1430437951211179</v>
      </c>
      <c r="AV51">
        <v>999</v>
      </c>
      <c r="AW51">
        <v>999</v>
      </c>
      <c r="AX51">
        <v>999</v>
      </c>
      <c r="AY51">
        <v>999</v>
      </c>
      <c r="AZ51">
        <v>999</v>
      </c>
      <c r="BA51">
        <v>999</v>
      </c>
      <c r="BB51">
        <v>999</v>
      </c>
      <c r="BC51">
        <v>-4.519395847041646</v>
      </c>
      <c r="BD51">
        <v>2.7499787986091753</v>
      </c>
      <c r="BE51">
        <v>-8.8009531466321889</v>
      </c>
      <c r="BF51">
        <v>-0.40131398018902065</v>
      </c>
      <c r="BJ51" t="b">
        <f t="shared" si="2"/>
        <v>1</v>
      </c>
      <c r="BK51" t="b">
        <f t="shared" ca="1" si="3"/>
        <v>1</v>
      </c>
    </row>
    <row r="52" spans="1:63" x14ac:dyDescent="0.45">
      <c r="A52" s="1">
        <v>45162</v>
      </c>
      <c r="B52">
        <v>230.04</v>
      </c>
      <c r="C52" s="1">
        <v>45162</v>
      </c>
      <c r="D52">
        <v>436.89</v>
      </c>
      <c r="E52" s="4">
        <f t="shared" si="4"/>
        <v>-2.8793380055729213E-2</v>
      </c>
      <c r="F52" s="4">
        <f t="shared" si="5"/>
        <v>-1.3859106606776035E-2</v>
      </c>
      <c r="G52">
        <f t="shared" ca="1" si="6"/>
        <v>1.262941549854231E-3</v>
      </c>
      <c r="H52">
        <f t="shared" ca="1" si="7"/>
        <v>3.8646153553494475E-2</v>
      </c>
      <c r="I52">
        <f t="shared" ca="1" si="8"/>
        <v>-0.1353515979824701</v>
      </c>
      <c r="J52">
        <f t="shared" ca="1" si="9"/>
        <v>0.79349834547123876</v>
      </c>
      <c r="K52">
        <f t="shared" ca="1" si="10"/>
        <v>1.168382829951939</v>
      </c>
      <c r="L52">
        <f t="shared" ca="1" si="11"/>
        <v>1.1438333892425339</v>
      </c>
      <c r="M52">
        <f t="shared" ca="1" si="12"/>
        <v>7.9642758907328391E-4</v>
      </c>
      <c r="N52">
        <f t="shared" ca="1" si="13"/>
        <v>1.0087135207336237E-2</v>
      </c>
      <c r="O52">
        <f t="shared" ca="1" si="14"/>
        <v>0.75851602363102832</v>
      </c>
      <c r="P52">
        <f t="shared" ca="1" si="15"/>
        <v>3.5428227890459558</v>
      </c>
      <c r="Q52">
        <f t="shared" ca="1" si="16"/>
        <v>0.97023125653754005</v>
      </c>
      <c r="R52">
        <f t="shared" ca="1" si="17"/>
        <v>1.2989788425686069</v>
      </c>
      <c r="T52">
        <f t="shared" si="0"/>
        <v>0.97120661994427082</v>
      </c>
      <c r="U52" s="6">
        <f t="shared" ca="1" si="18"/>
        <v>1.0493568105099897</v>
      </c>
      <c r="V52">
        <f t="shared" ca="1" si="19"/>
        <v>1.7873847798129634</v>
      </c>
      <c r="W52">
        <v>0.97233938700351152</v>
      </c>
      <c r="X52" t="b">
        <f t="shared" ca="1" si="1"/>
        <v>0</v>
      </c>
      <c r="AS52">
        <v>0.58575128002200727</v>
      </c>
      <c r="AT52">
        <v>999</v>
      </c>
      <c r="AU52">
        <v>999</v>
      </c>
      <c r="AV52">
        <v>999</v>
      </c>
      <c r="AW52">
        <v>999</v>
      </c>
      <c r="AX52">
        <v>999</v>
      </c>
      <c r="AY52">
        <v>-4.8335533914282474</v>
      </c>
      <c r="AZ52">
        <v>6.6566016101679821</v>
      </c>
      <c r="BA52">
        <v>999</v>
      </c>
      <c r="BB52">
        <v>999</v>
      </c>
      <c r="BC52">
        <v>999</v>
      </c>
      <c r="BD52">
        <v>999</v>
      </c>
      <c r="BE52">
        <v>-5.8879738132212625</v>
      </c>
      <c r="BF52">
        <v>5.6013977303264957</v>
      </c>
      <c r="BJ52" t="b">
        <f t="shared" si="2"/>
        <v>1</v>
      </c>
      <c r="BK52" t="b">
        <f t="shared" ca="1" si="3"/>
        <v>0</v>
      </c>
    </row>
    <row r="53" spans="1:63" x14ac:dyDescent="0.45">
      <c r="A53" s="1">
        <v>45161</v>
      </c>
      <c r="B53">
        <v>236.86</v>
      </c>
      <c r="C53" s="1">
        <v>45161</v>
      </c>
      <c r="D53">
        <v>443.03</v>
      </c>
      <c r="E53" s="4">
        <f t="shared" si="4"/>
        <v>1.5738239204082575E-2</v>
      </c>
      <c r="F53" s="4">
        <f t="shared" si="5"/>
        <v>1.1137738217505411E-2</v>
      </c>
      <c r="G53">
        <f t="shared" ca="1" si="6"/>
        <v>1.224845378282987E-3</v>
      </c>
      <c r="H53">
        <f t="shared" ca="1" si="7"/>
        <v>3.8679671890469891E-2</v>
      </c>
      <c r="I53">
        <f t="shared" ca="1" si="8"/>
        <v>-0.13432458050819315</v>
      </c>
      <c r="J53">
        <f t="shared" ca="1" si="9"/>
        <v>0.78243539308119736</v>
      </c>
      <c r="K53">
        <f t="shared" ca="1" si="10"/>
        <v>1.168382829951939</v>
      </c>
      <c r="L53">
        <f t="shared" ca="1" si="11"/>
        <v>1.1438333892425339</v>
      </c>
      <c r="M53">
        <f t="shared" ca="1" si="12"/>
        <v>9.3768883731699688E-4</v>
      </c>
      <c r="N53">
        <f t="shared" ca="1" si="13"/>
        <v>1.0078686422849377E-2</v>
      </c>
      <c r="O53">
        <f t="shared" ca="1" si="14"/>
        <v>0.74601902488021654</v>
      </c>
      <c r="P53">
        <f t="shared" ca="1" si="15"/>
        <v>3.5150541412530121</v>
      </c>
      <c r="Q53">
        <f t="shared" ca="1" si="16"/>
        <v>0.97023125653754005</v>
      </c>
      <c r="R53">
        <f t="shared" ca="1" si="17"/>
        <v>1.4205162504561444</v>
      </c>
      <c r="T53">
        <f t="shared" si="0"/>
        <v>1.0157382392040826</v>
      </c>
      <c r="U53" s="6">
        <f t="shared" ca="1" si="18"/>
        <v>1.0499113475177304</v>
      </c>
      <c r="V53">
        <f t="shared" ca="1" si="19"/>
        <v>1.6918317960181328</v>
      </c>
      <c r="W53">
        <v>0.93280135174635337</v>
      </c>
      <c r="X53" t="b">
        <f t="shared" ca="1" si="1"/>
        <v>0</v>
      </c>
      <c r="AS53">
        <v>0.58977844902290288</v>
      </c>
      <c r="AT53">
        <v>999</v>
      </c>
      <c r="AU53">
        <v>999</v>
      </c>
      <c r="AV53">
        <v>999</v>
      </c>
      <c r="AW53">
        <v>999</v>
      </c>
      <c r="AX53">
        <v>999</v>
      </c>
      <c r="AY53">
        <v>-5.0308305784728491</v>
      </c>
      <c r="AZ53">
        <v>6.9846009903447568</v>
      </c>
      <c r="BA53">
        <v>999</v>
      </c>
      <c r="BB53">
        <v>999</v>
      </c>
      <c r="BC53">
        <v>999</v>
      </c>
      <c r="BD53">
        <v>999</v>
      </c>
      <c r="BE53">
        <v>-6.4370797016139356</v>
      </c>
      <c r="BF53">
        <v>5.3348389102803493</v>
      </c>
      <c r="BJ53" t="b">
        <f t="shared" si="2"/>
        <v>1</v>
      </c>
      <c r="BK53" t="b">
        <f t="shared" ca="1" si="3"/>
        <v>0</v>
      </c>
    </row>
    <row r="54" spans="1:63" x14ac:dyDescent="0.45">
      <c r="A54" s="1">
        <v>45160</v>
      </c>
      <c r="B54">
        <v>233.19</v>
      </c>
      <c r="C54" s="1">
        <v>45160</v>
      </c>
      <c r="D54">
        <v>438.15</v>
      </c>
      <c r="E54" s="4">
        <f t="shared" si="4"/>
        <v>8.2583881010030984E-3</v>
      </c>
      <c r="F54" s="4">
        <f t="shared" si="5"/>
        <v>-2.7086083670960935E-3</v>
      </c>
      <c r="G54">
        <f t="shared" ca="1" si="6"/>
        <v>1.1538293148330462E-3</v>
      </c>
      <c r="H54">
        <f t="shared" ca="1" si="7"/>
        <v>3.866592746825348E-2</v>
      </c>
      <c r="I54">
        <f t="shared" ca="1" si="8"/>
        <v>-0.1291706688047761</v>
      </c>
      <c r="J54">
        <f t="shared" ca="1" si="9"/>
        <v>0.78678957283624085</v>
      </c>
      <c r="K54">
        <f t="shared" ca="1" si="10"/>
        <v>1.168382829951939</v>
      </c>
      <c r="L54">
        <f t="shared" ca="1" si="11"/>
        <v>1.1438333892425339</v>
      </c>
      <c r="M54">
        <f t="shared" ca="1" si="12"/>
        <v>8.305156315977307E-4</v>
      </c>
      <c r="N54">
        <f t="shared" ca="1" si="13"/>
        <v>1.0083640641189393E-2</v>
      </c>
      <c r="O54">
        <f t="shared" ca="1" si="14"/>
        <v>0.7648549188274717</v>
      </c>
      <c r="P54">
        <f t="shared" ca="1" si="15"/>
        <v>3.5372062044728629</v>
      </c>
      <c r="Q54">
        <f t="shared" ca="1" si="16"/>
        <v>0.97023125653754005</v>
      </c>
      <c r="R54">
        <f t="shared" ca="1" si="17"/>
        <v>1.2989788425686069</v>
      </c>
      <c r="T54">
        <f t="shared" si="0"/>
        <v>1.008258388101003</v>
      </c>
      <c r="U54" s="6">
        <f t="shared" ca="1" si="18"/>
        <v>1.0009872939560436</v>
      </c>
      <c r="V54">
        <f t="shared" ca="1" si="19"/>
        <v>1.6811634483860809</v>
      </c>
      <c r="W54">
        <v>0.91427521302811199</v>
      </c>
      <c r="X54" t="b">
        <f t="shared" ca="1" si="1"/>
        <v>0</v>
      </c>
      <c r="AS54">
        <v>0.6069943870601382</v>
      </c>
      <c r="AT54">
        <v>999</v>
      </c>
      <c r="AU54">
        <v>999</v>
      </c>
      <c r="AV54">
        <v>999</v>
      </c>
      <c r="AW54">
        <v>999</v>
      </c>
      <c r="AX54">
        <v>999</v>
      </c>
      <c r="AY54">
        <v>-5.3189182701659785</v>
      </c>
      <c r="AZ54">
        <v>7.3634306234421558</v>
      </c>
      <c r="BA54">
        <v>999</v>
      </c>
      <c r="BB54">
        <v>999</v>
      </c>
      <c r="BC54">
        <v>999</v>
      </c>
      <c r="BD54">
        <v>999</v>
      </c>
      <c r="BE54">
        <v>-7.0118028700177026</v>
      </c>
      <c r="BF54">
        <v>5.1564056198762094</v>
      </c>
      <c r="BJ54" t="b">
        <f t="shared" si="2"/>
        <v>1</v>
      </c>
      <c r="BK54" t="b">
        <f t="shared" ca="1" si="3"/>
        <v>0</v>
      </c>
    </row>
    <row r="55" spans="1:63" x14ac:dyDescent="0.45">
      <c r="A55" s="1">
        <v>45159</v>
      </c>
      <c r="B55">
        <v>231.28</v>
      </c>
      <c r="C55" s="1">
        <v>45159</v>
      </c>
      <c r="D55">
        <v>439.34</v>
      </c>
      <c r="E55" s="4">
        <f t="shared" si="4"/>
        <v>7.3274861942549493E-2</v>
      </c>
      <c r="F55" s="4">
        <f t="shared" si="5"/>
        <v>6.5063001145474796E-3</v>
      </c>
      <c r="G55">
        <f t="shared" ca="1" si="6"/>
        <v>8.3073595215262832E-4</v>
      </c>
      <c r="H55">
        <f t="shared" ca="1" si="7"/>
        <v>3.8875671954299133E-2</v>
      </c>
      <c r="I55">
        <f t="shared" ca="1" si="8"/>
        <v>-0.11837312702372983</v>
      </c>
      <c r="J55">
        <f t="shared" ca="1" si="9"/>
        <v>0.72510811577899359</v>
      </c>
      <c r="K55">
        <f t="shared" ca="1" si="10"/>
        <v>1.168382829951939</v>
      </c>
      <c r="L55">
        <f t="shared" ca="1" si="11"/>
        <v>1.1352412637115574</v>
      </c>
      <c r="M55">
        <f t="shared" ca="1" si="12"/>
        <v>7.1857755411562055E-4</v>
      </c>
      <c r="N55">
        <f t="shared" ca="1" si="13"/>
        <v>1.0246079358785624E-2</v>
      </c>
      <c r="O55">
        <f t="shared" ca="1" si="14"/>
        <v>0.68012776728199287</v>
      </c>
      <c r="P55">
        <f t="shared" ca="1" si="15"/>
        <v>3.3714091104861748</v>
      </c>
      <c r="Q55">
        <f t="shared" ca="1" si="16"/>
        <v>0.95025413233446854</v>
      </c>
      <c r="R55">
        <f t="shared" ca="1" si="17"/>
        <v>1.2833253008113772</v>
      </c>
      <c r="T55">
        <f t="shared" si="0"/>
        <v>1.0732748619425494</v>
      </c>
      <c r="U55" s="6">
        <f t="shared" ca="1" si="18"/>
        <v>0.96463129796463098</v>
      </c>
      <c r="V55">
        <f t="shared" ca="1" si="19"/>
        <v>1.716960849879646</v>
      </c>
      <c r="W55">
        <v>0.96197856953983552</v>
      </c>
      <c r="X55" t="b">
        <f t="shared" ca="1" si="1"/>
        <v>1</v>
      </c>
      <c r="AS55">
        <v>0.59565864342153907</v>
      </c>
      <c r="AT55">
        <v>999</v>
      </c>
      <c r="AU55">
        <v>999</v>
      </c>
      <c r="AV55">
        <v>999</v>
      </c>
      <c r="AW55">
        <v>999</v>
      </c>
      <c r="AX55">
        <v>999</v>
      </c>
      <c r="AY55">
        <v>-4.9877395017601112</v>
      </c>
      <c r="AZ55">
        <v>7.330398771189012</v>
      </c>
      <c r="BA55">
        <v>999</v>
      </c>
      <c r="BB55">
        <v>999</v>
      </c>
      <c r="BC55">
        <v>999</v>
      </c>
      <c r="BD55">
        <v>999</v>
      </c>
      <c r="BE55">
        <v>-7.2431214590304229</v>
      </c>
      <c r="BF55">
        <v>4.9505301005784315</v>
      </c>
      <c r="BJ55" t="b">
        <f t="shared" si="2"/>
        <v>1</v>
      </c>
      <c r="BK55" t="b">
        <f t="shared" ca="1" si="3"/>
        <v>1</v>
      </c>
    </row>
    <row r="56" spans="1:63" x14ac:dyDescent="0.45">
      <c r="A56" s="1">
        <v>45156</v>
      </c>
      <c r="B56">
        <v>215.49</v>
      </c>
      <c r="C56" s="1">
        <v>45156</v>
      </c>
      <c r="D56">
        <v>436.5</v>
      </c>
      <c r="E56" s="4">
        <f t="shared" si="4"/>
        <v>-1.7014870905939193E-2</v>
      </c>
      <c r="F56" s="4">
        <f t="shared" si="5"/>
        <v>4.8133122464411179E-4</v>
      </c>
      <c r="G56">
        <f t="shared" ca="1" si="6"/>
        <v>4.7051440678900461E-4</v>
      </c>
      <c r="H56">
        <f t="shared" ca="1" si="7"/>
        <v>3.8533305613584076E-2</v>
      </c>
      <c r="I56">
        <f t="shared" ca="1" si="8"/>
        <v>-0.1269570915289607</v>
      </c>
      <c r="J56">
        <f t="shared" ca="1" si="9"/>
        <v>0.79083585093498554</v>
      </c>
      <c r="K56">
        <f t="shared" ca="1" si="10"/>
        <v>1.102954961395153</v>
      </c>
      <c r="L56">
        <f t="shared" ca="1" si="11"/>
        <v>1.1017249511869516</v>
      </c>
      <c r="M56">
        <f t="shared" ca="1" si="12"/>
        <v>6.6416676507287994E-4</v>
      </c>
      <c r="N56">
        <f t="shared" ca="1" si="13"/>
        <v>1.024408389981612E-2</v>
      </c>
      <c r="O56">
        <f t="shared" ca="1" si="14"/>
        <v>0.69508101325905114</v>
      </c>
      <c r="P56">
        <f t="shared" ca="1" si="15"/>
        <v>3.3910925894700652</v>
      </c>
      <c r="Q56">
        <f t="shared" ca="1" si="16"/>
        <v>0.95025413233446854</v>
      </c>
      <c r="R56">
        <f t="shared" ca="1" si="17"/>
        <v>1.2833253008113772</v>
      </c>
      <c r="T56">
        <f t="shared" si="0"/>
        <v>0.98298512909406077</v>
      </c>
      <c r="U56" s="6">
        <f t="shared" ca="1" si="18"/>
        <v>0.88806923552441785</v>
      </c>
      <c r="V56">
        <f t="shared" ca="1" si="19"/>
        <v>1.6933316592159593</v>
      </c>
      <c r="W56">
        <v>0.94875002976483791</v>
      </c>
      <c r="X56" t="b">
        <f t="shared" ca="1" si="1"/>
        <v>1</v>
      </c>
      <c r="AS56">
        <v>0.58826004056035042</v>
      </c>
      <c r="AT56">
        <v>999</v>
      </c>
      <c r="AU56">
        <v>999</v>
      </c>
      <c r="AV56">
        <v>999</v>
      </c>
      <c r="AW56">
        <v>999</v>
      </c>
      <c r="AX56">
        <v>999</v>
      </c>
      <c r="AY56">
        <v>-5.1254061106246391</v>
      </c>
      <c r="AZ56">
        <v>7.32952716727773</v>
      </c>
      <c r="BA56">
        <v>999</v>
      </c>
      <c r="BB56">
        <v>999</v>
      </c>
      <c r="BC56">
        <v>999</v>
      </c>
      <c r="BD56">
        <v>999</v>
      </c>
      <c r="BE56">
        <v>-7.1541079840047717</v>
      </c>
      <c r="BF56">
        <v>5.0097350272593495</v>
      </c>
      <c r="BJ56" t="b">
        <f t="shared" si="2"/>
        <v>1</v>
      </c>
      <c r="BK56" t="b">
        <f t="shared" ca="1" si="3"/>
        <v>1</v>
      </c>
    </row>
    <row r="57" spans="1:63" x14ac:dyDescent="0.45">
      <c r="A57" s="1">
        <v>45155</v>
      </c>
      <c r="B57">
        <v>219.22</v>
      </c>
      <c r="C57" s="1">
        <v>45155</v>
      </c>
      <c r="D57">
        <v>436.29</v>
      </c>
      <c r="E57" s="4">
        <f t="shared" si="4"/>
        <v>-2.8280141843971613E-2</v>
      </c>
      <c r="F57" s="4">
        <f t="shared" si="5"/>
        <v>-7.6198708033845099E-3</v>
      </c>
      <c r="G57">
        <f t="shared" ca="1" si="6"/>
        <v>5.3414643679568327E-4</v>
      </c>
      <c r="H57">
        <f t="shared" ca="1" si="7"/>
        <v>3.8514789434915986E-2</v>
      </c>
      <c r="I57">
        <f t="shared" ca="1" si="8"/>
        <v>-0.13168140915372162</v>
      </c>
      <c r="J57">
        <f t="shared" ca="1" si="9"/>
        <v>0.79887124866284287</v>
      </c>
      <c r="K57">
        <f t="shared" ca="1" si="10"/>
        <v>1.102954961395153</v>
      </c>
      <c r="L57">
        <f t="shared" ca="1" si="11"/>
        <v>1.1017249511869516</v>
      </c>
      <c r="M57">
        <f t="shared" ca="1" si="12"/>
        <v>6.2564371390570273E-4</v>
      </c>
      <c r="N57">
        <f t="shared" ca="1" si="13"/>
        <v>1.0259250342702603E-2</v>
      </c>
      <c r="O57">
        <f t="shared" ca="1" si="14"/>
        <v>0.70107504720043945</v>
      </c>
      <c r="P57">
        <f t="shared" ca="1" si="15"/>
        <v>3.3655800217410539</v>
      </c>
      <c r="Q57">
        <f t="shared" ca="1" si="16"/>
        <v>0.95025413233446854</v>
      </c>
      <c r="R57">
        <f t="shared" ca="1" si="17"/>
        <v>1.2510766898070438</v>
      </c>
      <c r="T57">
        <f t="shared" si="0"/>
        <v>0.97171985815602835</v>
      </c>
      <c r="U57" s="6">
        <f t="shared" ca="1" si="18"/>
        <v>0.8935355017526696</v>
      </c>
      <c r="V57">
        <f t="shared" ca="1" si="19"/>
        <v>1.6751652030824187</v>
      </c>
      <c r="W57">
        <v>0.94406438216067823</v>
      </c>
      <c r="X57" t="b">
        <f t="shared" ca="1" si="1"/>
        <v>1</v>
      </c>
      <c r="AS57">
        <v>0.58185793460975477</v>
      </c>
      <c r="AT57">
        <v>999</v>
      </c>
      <c r="AU57">
        <v>999</v>
      </c>
      <c r="AV57">
        <v>999</v>
      </c>
      <c r="AW57">
        <v>999</v>
      </c>
      <c r="AX57">
        <v>999</v>
      </c>
      <c r="AY57">
        <v>-5.1679793053849457</v>
      </c>
      <c r="AZ57">
        <v>7.3062329550333187</v>
      </c>
      <c r="BA57">
        <v>999</v>
      </c>
      <c r="BB57">
        <v>999</v>
      </c>
      <c r="BC57">
        <v>999</v>
      </c>
      <c r="BD57">
        <v>999</v>
      </c>
      <c r="BE57">
        <v>-7.0902287110942357</v>
      </c>
      <c r="BF57">
        <v>5.0669363993019214</v>
      </c>
      <c r="BJ57" t="b">
        <f t="shared" si="2"/>
        <v>1</v>
      </c>
      <c r="BK57" t="b">
        <f t="shared" ca="1" si="3"/>
        <v>1</v>
      </c>
    </row>
    <row r="58" spans="1:63" x14ac:dyDescent="0.45">
      <c r="A58" s="1">
        <v>45154</v>
      </c>
      <c r="B58">
        <v>225.6</v>
      </c>
      <c r="C58" s="1">
        <v>45154</v>
      </c>
      <c r="D58">
        <v>439.64</v>
      </c>
      <c r="E58" s="4">
        <f t="shared" si="4"/>
        <v>-3.1593406593406648E-2</v>
      </c>
      <c r="F58" s="4">
        <f t="shared" si="5"/>
        <v>-7.338165232902075E-3</v>
      </c>
      <c r="G58">
        <f t="shared" ca="1" si="6"/>
        <v>7.5173889153955535E-4</v>
      </c>
      <c r="H58">
        <f t="shared" ca="1" si="7"/>
        <v>3.8474091857634486E-2</v>
      </c>
      <c r="I58">
        <f t="shared" ca="1" si="8"/>
        <v>-0.14682239716194898</v>
      </c>
      <c r="J58">
        <f t="shared" ca="1" si="9"/>
        <v>0.81683666562943369</v>
      </c>
      <c r="K58">
        <f t="shared" ca="1" si="10"/>
        <v>1.102954961395153</v>
      </c>
      <c r="L58">
        <f t="shared" ca="1" si="11"/>
        <v>1.1100634069705784</v>
      </c>
      <c r="M58">
        <f t="shared" ca="1" si="12"/>
        <v>7.8269669706100054E-4</v>
      </c>
      <c r="N58">
        <f t="shared" ca="1" si="13"/>
        <v>1.0372191923196687E-2</v>
      </c>
      <c r="O58">
        <f t="shared" ca="1" si="14"/>
        <v>0.69163021841987538</v>
      </c>
      <c r="P58">
        <f t="shared" ca="1" si="15"/>
        <v>3.1734850682132523</v>
      </c>
      <c r="Q58">
        <f t="shared" ca="1" si="16"/>
        <v>1.0171038971383515</v>
      </c>
      <c r="R58">
        <f t="shared" ca="1" si="17"/>
        <v>1.3460961939594063</v>
      </c>
      <c r="T58">
        <f t="shared" si="0"/>
        <v>0.9684065934065933</v>
      </c>
      <c r="U58" s="6">
        <f t="shared" ca="1" si="18"/>
        <v>0.93150006193484447</v>
      </c>
      <c r="V58">
        <f t="shared" ca="1" si="19"/>
        <v>1.6220201456722623</v>
      </c>
      <c r="W58">
        <v>0.94854768516605126</v>
      </c>
      <c r="X58" t="b">
        <f t="shared" ca="1" si="1"/>
        <v>1</v>
      </c>
      <c r="AS58">
        <v>0.58011211154325992</v>
      </c>
      <c r="AT58">
        <v>999</v>
      </c>
      <c r="AU58">
        <v>999</v>
      </c>
      <c r="AV58">
        <v>999</v>
      </c>
      <c r="AW58">
        <v>999</v>
      </c>
      <c r="AX58">
        <v>999</v>
      </c>
      <c r="AY58">
        <v>-5.1938819333439081</v>
      </c>
      <c r="AZ58">
        <v>7.3281252351931556</v>
      </c>
      <c r="BA58">
        <v>999</v>
      </c>
      <c r="BB58">
        <v>999</v>
      </c>
      <c r="BC58">
        <v>999</v>
      </c>
      <c r="BD58">
        <v>999</v>
      </c>
      <c r="BE58">
        <v>-7.1370433491940402</v>
      </c>
      <c r="BF58">
        <v>5.0772287174535293</v>
      </c>
      <c r="BJ58" t="b">
        <f t="shared" si="2"/>
        <v>1</v>
      </c>
      <c r="BK58" t="b">
        <f t="shared" ca="1" si="3"/>
        <v>1</v>
      </c>
    </row>
    <row r="59" spans="1:63" x14ac:dyDescent="0.45">
      <c r="A59" s="1">
        <v>45153</v>
      </c>
      <c r="B59">
        <v>232.96</v>
      </c>
      <c r="C59" s="1">
        <v>45153</v>
      </c>
      <c r="D59">
        <v>442.89</v>
      </c>
      <c r="E59" s="4">
        <f t="shared" si="4"/>
        <v>-2.8361695028361625E-2</v>
      </c>
      <c r="F59" s="4">
        <f t="shared" si="5"/>
        <v>-1.1648925487045651E-2</v>
      </c>
      <c r="G59">
        <f t="shared" ca="1" si="6"/>
        <v>9.1972195014761377E-4</v>
      </c>
      <c r="H59">
        <f t="shared" ca="1" si="7"/>
        <v>3.8405441353075047E-2</v>
      </c>
      <c r="I59">
        <f t="shared" ca="1" si="8"/>
        <v>-0.15783319895446332</v>
      </c>
      <c r="J59">
        <f t="shared" ca="1" si="9"/>
        <v>0.84462228892418656</v>
      </c>
      <c r="K59">
        <f t="shared" ca="1" si="10"/>
        <v>1.102954961395153</v>
      </c>
      <c r="L59">
        <f t="shared" ca="1" si="11"/>
        <v>1.1134072700704618</v>
      </c>
      <c r="M59">
        <f t="shared" ca="1" si="12"/>
        <v>7.9268735045968735E-4</v>
      </c>
      <c r="N59">
        <f t="shared" ca="1" si="13"/>
        <v>1.0365290496885367E-2</v>
      </c>
      <c r="O59">
        <f t="shared" ca="1" si="14"/>
        <v>0.69148672709939685</v>
      </c>
      <c r="P59">
        <f t="shared" ca="1" si="15"/>
        <v>3.1860185992428605</v>
      </c>
      <c r="Q59">
        <f t="shared" ca="1" si="16"/>
        <v>1.0171038971383515</v>
      </c>
      <c r="R59">
        <f t="shared" ca="1" si="17"/>
        <v>1.3625153925585998</v>
      </c>
      <c r="T59">
        <f t="shared" si="0"/>
        <v>0.97163830497163839</v>
      </c>
      <c r="U59" s="6">
        <f t="shared" ca="1" si="18"/>
        <v>0.93295955146175424</v>
      </c>
      <c r="V59">
        <f t="shared" ca="1" si="19"/>
        <v>1.6541468372988106</v>
      </c>
      <c r="W59">
        <v>0.96825893789284756</v>
      </c>
      <c r="X59" t="b">
        <f t="shared" ca="1" si="1"/>
        <v>1</v>
      </c>
      <c r="AS59">
        <v>0.58306489427350905</v>
      </c>
      <c r="AT59">
        <v>999</v>
      </c>
      <c r="AU59">
        <v>999</v>
      </c>
      <c r="AV59">
        <v>999</v>
      </c>
      <c r="AW59">
        <v>999</v>
      </c>
      <c r="AX59">
        <v>999</v>
      </c>
      <c r="AY59">
        <v>-5.3751810145172527</v>
      </c>
      <c r="AZ59">
        <v>7.4058232557484747</v>
      </c>
      <c r="BA59">
        <v>999</v>
      </c>
      <c r="BB59">
        <v>999</v>
      </c>
      <c r="BC59">
        <v>999</v>
      </c>
      <c r="BD59">
        <v>999</v>
      </c>
      <c r="BE59">
        <v>-7.2037362379957388</v>
      </c>
      <c r="BF59">
        <v>5.1164218774907182</v>
      </c>
      <c r="BJ59" t="b">
        <f t="shared" si="2"/>
        <v>1</v>
      </c>
      <c r="BK59" t="b">
        <f t="shared" ca="1" si="3"/>
        <v>1</v>
      </c>
    </row>
    <row r="60" spans="1:63" x14ac:dyDescent="0.45">
      <c r="A60" s="1">
        <v>45152</v>
      </c>
      <c r="B60">
        <v>239.76</v>
      </c>
      <c r="C60" s="1">
        <v>45152</v>
      </c>
      <c r="D60">
        <v>448.11</v>
      </c>
      <c r="E60" s="4">
        <f t="shared" si="4"/>
        <v>-1.1910158664743518E-2</v>
      </c>
      <c r="F60" s="4">
        <f t="shared" si="5"/>
        <v>5.5200269269607008E-3</v>
      </c>
      <c r="G60">
        <f t="shared" ca="1" si="6"/>
        <v>1.1115495337128644E-3</v>
      </c>
      <c r="H60">
        <f t="shared" ca="1" si="7"/>
        <v>3.83542314597487E-2</v>
      </c>
      <c r="I60">
        <f t="shared" ca="1" si="8"/>
        <v>-0.17129626619800375</v>
      </c>
      <c r="J60">
        <f t="shared" ca="1" si="9"/>
        <v>0.86704019100655483</v>
      </c>
      <c r="K60">
        <f t="shared" ca="1" si="10"/>
        <v>1.102954961395153</v>
      </c>
      <c r="L60">
        <f t="shared" ca="1" si="11"/>
        <v>1.2290350503345278</v>
      </c>
      <c r="M60">
        <f t="shared" ca="1" si="12"/>
        <v>8.1326181266577649E-4</v>
      </c>
      <c r="N60">
        <f t="shared" ca="1" si="13"/>
        <v>1.0344533683999379E-2</v>
      </c>
      <c r="O60">
        <f t="shared" ca="1" si="14"/>
        <v>0.6958142450329472</v>
      </c>
      <c r="P60">
        <f t="shared" ca="1" si="15"/>
        <v>3.2218515795785452</v>
      </c>
      <c r="Q60">
        <f t="shared" ca="1" si="16"/>
        <v>1.0171038971383515</v>
      </c>
      <c r="R60">
        <f t="shared" ca="1" si="17"/>
        <v>1.3625153925585998</v>
      </c>
      <c r="T60">
        <f t="shared" si="0"/>
        <v>0.98808984133525646</v>
      </c>
      <c r="U60" s="6">
        <f t="shared" ca="1" si="18"/>
        <v>0.9535096440644264</v>
      </c>
      <c r="V60">
        <f t="shared" ca="1" si="19"/>
        <v>1.6453467384371114</v>
      </c>
      <c r="W60">
        <v>0.96361282596737774</v>
      </c>
      <c r="X60" t="b">
        <f t="shared" ca="1" si="1"/>
        <v>1</v>
      </c>
      <c r="AS60">
        <v>0.5792242953852289</v>
      </c>
      <c r="AT60">
        <v>999</v>
      </c>
      <c r="AU60">
        <v>999</v>
      </c>
      <c r="AV60">
        <v>999</v>
      </c>
      <c r="AW60">
        <v>999</v>
      </c>
      <c r="AX60">
        <v>999</v>
      </c>
      <c r="AY60">
        <v>-5.6415422733469072</v>
      </c>
      <c r="AZ60">
        <v>7.2899352530728159</v>
      </c>
      <c r="BA60">
        <v>999</v>
      </c>
      <c r="BB60">
        <v>999</v>
      </c>
      <c r="BC60">
        <v>999</v>
      </c>
      <c r="BD60">
        <v>999</v>
      </c>
      <c r="BE60">
        <v>-7.0317609604940419</v>
      </c>
      <c r="BF60">
        <v>5.2821980170326901</v>
      </c>
      <c r="BJ60" t="b">
        <f t="shared" si="2"/>
        <v>1</v>
      </c>
      <c r="BK60" t="b">
        <f t="shared" ca="1" si="3"/>
        <v>1</v>
      </c>
    </row>
    <row r="61" spans="1:63" x14ac:dyDescent="0.45">
      <c r="A61" s="1">
        <v>45149</v>
      </c>
      <c r="B61">
        <v>242.65</v>
      </c>
      <c r="C61" s="1">
        <v>45149</v>
      </c>
      <c r="D61">
        <v>445.65</v>
      </c>
      <c r="E61" s="4">
        <f t="shared" si="4"/>
        <v>-1.0964375968044338E-2</v>
      </c>
      <c r="F61" s="4">
        <f t="shared" si="5"/>
        <v>-5.8307730259480109E-4</v>
      </c>
      <c r="G61">
        <f t="shared" ca="1" si="6"/>
        <v>1.4353606820661682E-3</v>
      </c>
      <c r="H61">
        <f t="shared" ca="1" si="7"/>
        <v>3.8516779156959877E-2</v>
      </c>
      <c r="I61">
        <f t="shared" ca="1" si="8"/>
        <v>-0.18211274568335231</v>
      </c>
      <c r="J61">
        <f t="shared" ca="1" si="9"/>
        <v>0.82401413488444986</v>
      </c>
      <c r="K61">
        <f t="shared" ca="1" si="10"/>
        <v>1.102954961395153</v>
      </c>
      <c r="L61">
        <f t="shared" ca="1" si="11"/>
        <v>1.2664243486401778</v>
      </c>
      <c r="M61">
        <f t="shared" ca="1" si="12"/>
        <v>8.6550436813575854E-4</v>
      </c>
      <c r="N61">
        <f t="shared" ca="1" si="13"/>
        <v>1.0394685768495837E-2</v>
      </c>
      <c r="O61">
        <f t="shared" ca="1" si="14"/>
        <v>0.68582142687523506</v>
      </c>
      <c r="P61">
        <f t="shared" ca="1" si="15"/>
        <v>3.1107253189776509</v>
      </c>
      <c r="Q61">
        <f t="shared" ca="1" si="16"/>
        <v>1.0171038971383515</v>
      </c>
      <c r="R61">
        <f t="shared" ca="1" si="17"/>
        <v>1.3884411563554331</v>
      </c>
      <c r="T61">
        <f t="shared" si="0"/>
        <v>0.98903562403195566</v>
      </c>
      <c r="U61" s="6">
        <f t="shared" ca="1" si="18"/>
        <v>0.95584180256834472</v>
      </c>
      <c r="V61">
        <f t="shared" ca="1" si="19"/>
        <v>1.633720134857918</v>
      </c>
      <c r="W61">
        <v>1.055556865623577</v>
      </c>
      <c r="X61" t="b">
        <f t="shared" ca="1" si="1"/>
        <v>0</v>
      </c>
      <c r="AS61">
        <v>0.57717787286417988</v>
      </c>
      <c r="AT61">
        <v>999</v>
      </c>
      <c r="AU61">
        <v>999</v>
      </c>
      <c r="AV61">
        <v>4.2925470868157358</v>
      </c>
      <c r="AW61">
        <v>2.7991995702607202</v>
      </c>
      <c r="AX61">
        <v>999</v>
      </c>
      <c r="AY61">
        <v>-6.5906781705144901</v>
      </c>
      <c r="AZ61">
        <v>999</v>
      </c>
      <c r="BA61">
        <v>999</v>
      </c>
      <c r="BB61">
        <v>999</v>
      </c>
      <c r="BC61">
        <v>999</v>
      </c>
      <c r="BD61">
        <v>999</v>
      </c>
      <c r="BE61">
        <v>-2.2967765479559721</v>
      </c>
      <c r="BF61">
        <v>37.46752323981103</v>
      </c>
      <c r="BJ61" t="b">
        <f t="shared" si="2"/>
        <v>1</v>
      </c>
      <c r="BK61" t="b">
        <f t="shared" ca="1" si="3"/>
        <v>0</v>
      </c>
    </row>
    <row r="62" spans="1:63" x14ac:dyDescent="0.45">
      <c r="A62" s="1">
        <v>45148</v>
      </c>
      <c r="B62">
        <v>245.34</v>
      </c>
      <c r="C62" s="1">
        <v>45148</v>
      </c>
      <c r="D62">
        <v>445.91</v>
      </c>
      <c r="E62" s="4">
        <f t="shared" si="4"/>
        <v>1.3006317354143464E-2</v>
      </c>
      <c r="F62" s="4">
        <f t="shared" si="5"/>
        <v>3.5894559730796416E-4</v>
      </c>
      <c r="G62">
        <f t="shared" ca="1" si="6"/>
        <v>1.4158027820145795E-3</v>
      </c>
      <c r="H62">
        <f t="shared" ca="1" si="7"/>
        <v>3.8524099494364777E-2</v>
      </c>
      <c r="I62">
        <f t="shared" ca="1" si="8"/>
        <v>-0.18068655251854371</v>
      </c>
      <c r="J62">
        <f t="shared" ca="1" si="9"/>
        <v>0.82080852918252978</v>
      </c>
      <c r="K62">
        <f t="shared" ca="1" si="10"/>
        <v>1.102954961395153</v>
      </c>
      <c r="L62">
        <f t="shared" ca="1" si="11"/>
        <v>1.2664243486401778</v>
      </c>
      <c r="M62">
        <f t="shared" ca="1" si="12"/>
        <v>9.2960226019256212E-4</v>
      </c>
      <c r="N62">
        <f t="shared" ca="1" si="13"/>
        <v>1.0425188964218656E-2</v>
      </c>
      <c r="O62">
        <f t="shared" ca="1" si="14"/>
        <v>0.66778753962971371</v>
      </c>
      <c r="P62">
        <f t="shared" ca="1" si="15"/>
        <v>3.0293251124914455</v>
      </c>
      <c r="Q62">
        <f t="shared" ca="1" si="16"/>
        <v>1.0171038971383515</v>
      </c>
      <c r="R62">
        <f t="shared" ca="1" si="17"/>
        <v>1.4116211117844879</v>
      </c>
      <c r="T62">
        <f t="shared" si="0"/>
        <v>1.0130063173541435</v>
      </c>
      <c r="U62" s="6">
        <f t="shared" ca="1" si="18"/>
        <v>0.9460897732531236</v>
      </c>
      <c r="V62">
        <f t="shared" ca="1" si="19"/>
        <v>1.5466136184683426</v>
      </c>
      <c r="W62">
        <v>1.0039082214576616</v>
      </c>
      <c r="X62" t="b">
        <f t="shared" ca="1" si="1"/>
        <v>0</v>
      </c>
      <c r="AS62">
        <v>0.57602742516987893</v>
      </c>
      <c r="AT62">
        <v>999</v>
      </c>
      <c r="AU62">
        <v>999</v>
      </c>
      <c r="AV62">
        <v>4.4205145425334154</v>
      </c>
      <c r="AW62">
        <v>2.8378401634770358</v>
      </c>
      <c r="AX62">
        <v>999</v>
      </c>
      <c r="AY62">
        <v>-6.7414533037739002</v>
      </c>
      <c r="AZ62">
        <v>999</v>
      </c>
      <c r="BA62">
        <v>999</v>
      </c>
      <c r="BB62">
        <v>999</v>
      </c>
      <c r="BC62">
        <v>999</v>
      </c>
      <c r="BD62">
        <v>999</v>
      </c>
      <c r="BE62">
        <v>-2.1199658770540086</v>
      </c>
      <c r="BF62">
        <v>37.679763551140447</v>
      </c>
      <c r="BJ62" t="b">
        <f t="shared" si="2"/>
        <v>1</v>
      </c>
      <c r="BK62" t="b">
        <f t="shared" ca="1" si="3"/>
        <v>0</v>
      </c>
    </row>
    <row r="63" spans="1:63" x14ac:dyDescent="0.45">
      <c r="A63" s="1">
        <v>45147</v>
      </c>
      <c r="B63">
        <v>242.19</v>
      </c>
      <c r="C63" s="1">
        <v>45147</v>
      </c>
      <c r="D63">
        <v>445.75</v>
      </c>
      <c r="E63" s="4">
        <f t="shared" si="4"/>
        <v>-3.0076091309571451E-2</v>
      </c>
      <c r="F63" s="4">
        <f t="shared" si="5"/>
        <v>-6.6852367688022283E-3</v>
      </c>
      <c r="G63">
        <f t="shared" ca="1" si="6"/>
        <v>1.5234844333758574E-3</v>
      </c>
      <c r="H63">
        <f t="shared" ca="1" si="7"/>
        <v>3.8586707873742888E-2</v>
      </c>
      <c r="I63">
        <f t="shared" ca="1" si="8"/>
        <v>-0.18519081333193729</v>
      </c>
      <c r="J63">
        <f t="shared" ca="1" si="9"/>
        <v>0.80060704357038892</v>
      </c>
      <c r="K63">
        <f t="shared" ca="1" si="10"/>
        <v>1.102954961395153</v>
      </c>
      <c r="L63">
        <f t="shared" ca="1" si="11"/>
        <v>1.3145967213997225</v>
      </c>
      <c r="M63">
        <f t="shared" ca="1" si="12"/>
        <v>1.0493148801165885E-3</v>
      </c>
      <c r="N63">
        <f t="shared" ca="1" si="13"/>
        <v>1.0555257979990478E-2</v>
      </c>
      <c r="O63">
        <f t="shared" ca="1" si="14"/>
        <v>0.66413909308494956</v>
      </c>
      <c r="P63">
        <f t="shared" ca="1" si="15"/>
        <v>2.8283243466849335</v>
      </c>
      <c r="Q63">
        <f t="shared" ca="1" si="16"/>
        <v>1.0499263395027079</v>
      </c>
      <c r="R63">
        <f t="shared" ca="1" si="17"/>
        <v>1.4220221558276411</v>
      </c>
      <c r="T63">
        <f t="shared" si="0"/>
        <v>0.96992390869042855</v>
      </c>
      <c r="U63" s="6">
        <f t="shared" ca="1" si="18"/>
        <v>0.95309118098461298</v>
      </c>
      <c r="V63">
        <f t="shared" ca="1" si="19"/>
        <v>1.5566026591219884</v>
      </c>
      <c r="W63">
        <v>1.0308855040692706</v>
      </c>
      <c r="X63" t="b">
        <f t="shared" ca="1" si="1"/>
        <v>0</v>
      </c>
      <c r="AS63">
        <v>0.58233846969367398</v>
      </c>
      <c r="AT63">
        <v>999</v>
      </c>
      <c r="AU63">
        <v>999</v>
      </c>
      <c r="AV63">
        <v>3.0353232801175443</v>
      </c>
      <c r="AW63">
        <v>3.1493191932999252</v>
      </c>
      <c r="AX63">
        <v>2.1111919772146828</v>
      </c>
      <c r="AY63">
        <v>-4.36301065651271</v>
      </c>
      <c r="AZ63">
        <v>999</v>
      </c>
      <c r="BA63">
        <v>999</v>
      </c>
      <c r="BB63">
        <v>999</v>
      </c>
      <c r="BC63">
        <v>999</v>
      </c>
      <c r="BD63">
        <v>999</v>
      </c>
      <c r="BE63">
        <v>-2.7798984609155002</v>
      </c>
      <c r="BF63">
        <v>-1.2774408290824046</v>
      </c>
      <c r="BJ63" t="b">
        <f t="shared" si="2"/>
        <v>1</v>
      </c>
      <c r="BK63" t="b">
        <f t="shared" ca="1" si="3"/>
        <v>0</v>
      </c>
    </row>
    <row r="64" spans="1:63" x14ac:dyDescent="0.45">
      <c r="A64" s="1">
        <v>45146</v>
      </c>
      <c r="B64">
        <v>249.7</v>
      </c>
      <c r="C64" s="1">
        <v>45146</v>
      </c>
      <c r="D64">
        <v>448.75</v>
      </c>
      <c r="E64" s="4">
        <f t="shared" si="4"/>
        <v>-6.9596341220918671E-3</v>
      </c>
      <c r="F64" s="4">
        <f t="shared" si="5"/>
        <v>-4.348694282354462E-3</v>
      </c>
      <c r="G64">
        <f t="shared" ca="1" si="6"/>
        <v>1.3414923444364153E-3</v>
      </c>
      <c r="H64">
        <f t="shared" ca="1" si="7"/>
        <v>3.8821615009367802E-2</v>
      </c>
      <c r="I64">
        <f t="shared" ca="1" si="8"/>
        <v>-0.19218203054760427</v>
      </c>
      <c r="J64">
        <f t="shared" ca="1" si="9"/>
        <v>0.75101106756872182</v>
      </c>
      <c r="K64">
        <f t="shared" ca="1" si="10"/>
        <v>1.0948611792555716</v>
      </c>
      <c r="L64">
        <f t="shared" ca="1" si="11"/>
        <v>1.3145967213997225</v>
      </c>
      <c r="M64">
        <f t="shared" ca="1" si="12"/>
        <v>1.0408143339741681E-3</v>
      </c>
      <c r="N64">
        <f t="shared" ca="1" si="13"/>
        <v>1.0562200504180401E-2</v>
      </c>
      <c r="O64">
        <f t="shared" ca="1" si="14"/>
        <v>0.66364471019822102</v>
      </c>
      <c r="P64">
        <f t="shared" ca="1" si="15"/>
        <v>2.816879080201284</v>
      </c>
      <c r="Q64">
        <f t="shared" ca="1" si="16"/>
        <v>1.0499263395027079</v>
      </c>
      <c r="R64">
        <f t="shared" ca="1" si="17"/>
        <v>1.4220221558276411</v>
      </c>
      <c r="T64">
        <f t="shared" si="0"/>
        <v>0.99304036587790812</v>
      </c>
      <c r="U64" s="6">
        <f t="shared" ca="1" si="18"/>
        <v>0.95644846209828771</v>
      </c>
      <c r="V64">
        <f t="shared" ca="1" si="19"/>
        <v>1.5114725170861654</v>
      </c>
      <c r="W64">
        <v>0.97995608640273035</v>
      </c>
      <c r="X64" t="b">
        <f t="shared" ca="1" si="1"/>
        <v>1</v>
      </c>
      <c r="AS64">
        <v>0.58115668073602655</v>
      </c>
      <c r="AT64">
        <v>999</v>
      </c>
      <c r="AU64">
        <v>999</v>
      </c>
      <c r="AV64">
        <v>3.1126633952565803</v>
      </c>
      <c r="AW64">
        <v>3.213226120225523</v>
      </c>
      <c r="AX64">
        <v>2.2067978885510269</v>
      </c>
      <c r="AY64">
        <v>-4.2939224193690988</v>
      </c>
      <c r="AZ64">
        <v>999</v>
      </c>
      <c r="BA64">
        <v>999</v>
      </c>
      <c r="BB64">
        <v>999</v>
      </c>
      <c r="BC64">
        <v>999</v>
      </c>
      <c r="BD64">
        <v>999</v>
      </c>
      <c r="BE64">
        <v>-2.8169873140376316</v>
      </c>
      <c r="BF64">
        <v>-1.3737290813265719</v>
      </c>
      <c r="BJ64" t="b">
        <f t="shared" si="2"/>
        <v>1</v>
      </c>
      <c r="BK64" t="b">
        <f t="shared" ca="1" si="3"/>
        <v>1</v>
      </c>
    </row>
    <row r="65" spans="1:63" x14ac:dyDescent="0.45">
      <c r="A65" s="1">
        <v>45145</v>
      </c>
      <c r="B65">
        <v>251.45</v>
      </c>
      <c r="C65" s="1">
        <v>45145</v>
      </c>
      <c r="D65">
        <v>450.71</v>
      </c>
      <c r="E65" s="4">
        <f t="shared" si="4"/>
        <v>-9.4934215709447135E-3</v>
      </c>
      <c r="F65" s="4">
        <f t="shared" si="5"/>
        <v>8.7285423334302666E-3</v>
      </c>
      <c r="G65">
        <f t="shared" ca="1" si="6"/>
        <v>1.4182996889421469E-3</v>
      </c>
      <c r="H65">
        <f t="shared" ca="1" si="7"/>
        <v>3.8820305030931944E-2</v>
      </c>
      <c r="I65">
        <f t="shared" ca="1" si="8"/>
        <v>-0.19811688979154085</v>
      </c>
      <c r="J65">
        <f t="shared" ca="1" si="9"/>
        <v>0.75309396974838894</v>
      </c>
      <c r="K65">
        <f t="shared" ca="1" si="10"/>
        <v>1.0948611792555716</v>
      </c>
      <c r="L65">
        <f t="shared" ca="1" si="11"/>
        <v>1.3145967213997225</v>
      </c>
      <c r="M65">
        <f t="shared" ca="1" si="12"/>
        <v>1.027125477091273E-3</v>
      </c>
      <c r="N65">
        <f t="shared" ca="1" si="13"/>
        <v>1.0570990982153255E-2</v>
      </c>
      <c r="O65">
        <f t="shared" ca="1" si="14"/>
        <v>0.66428050945174444</v>
      </c>
      <c r="P65">
        <f t="shared" ca="1" si="15"/>
        <v>2.8023625978343247</v>
      </c>
      <c r="Q65">
        <f t="shared" ca="1" si="16"/>
        <v>1.0499263395027079</v>
      </c>
      <c r="R65">
        <f t="shared" ca="1" si="17"/>
        <v>1.4048858619431792</v>
      </c>
      <c r="T65">
        <f t="shared" si="0"/>
        <v>0.99050657842905532</v>
      </c>
      <c r="U65" s="6">
        <f t="shared" ca="1" si="18"/>
        <v>0.94024604569420034</v>
      </c>
      <c r="V65">
        <f t="shared" ca="1" si="19"/>
        <v>1.5278798712174253</v>
      </c>
      <c r="W65">
        <v>0.9813105743934496</v>
      </c>
      <c r="X65" t="b">
        <f t="shared" ca="1" si="1"/>
        <v>1</v>
      </c>
      <c r="AS65">
        <v>0.59944381528012647</v>
      </c>
      <c r="AT65">
        <v>999</v>
      </c>
      <c r="AU65">
        <v>999</v>
      </c>
      <c r="AV65">
        <v>3.2758119163512216</v>
      </c>
      <c r="AW65">
        <v>3.3612593767022063</v>
      </c>
      <c r="AX65">
        <v>2.3511769670055314</v>
      </c>
      <c r="AY65">
        <v>-4.3118504776279902</v>
      </c>
      <c r="AZ65">
        <v>999</v>
      </c>
      <c r="BA65">
        <v>999</v>
      </c>
      <c r="BB65">
        <v>999</v>
      </c>
      <c r="BC65">
        <v>999</v>
      </c>
      <c r="BD65">
        <v>999</v>
      </c>
      <c r="BE65">
        <v>-2.8988584887639202</v>
      </c>
      <c r="BF65">
        <v>-1.5031101181542068</v>
      </c>
      <c r="BJ65" t="b">
        <f t="shared" si="2"/>
        <v>1</v>
      </c>
      <c r="BK65" t="b">
        <f t="shared" ca="1" si="3"/>
        <v>1</v>
      </c>
    </row>
    <row r="66" spans="1:63" x14ac:dyDescent="0.45">
      <c r="A66" s="1">
        <v>45142</v>
      </c>
      <c r="B66">
        <v>253.86</v>
      </c>
      <c r="C66" s="1">
        <v>45142</v>
      </c>
      <c r="D66">
        <v>446.81</v>
      </c>
      <c r="E66" s="4">
        <f t="shared" si="4"/>
        <v>-2.1055067098565399E-2</v>
      </c>
      <c r="F66" s="4">
        <f t="shared" si="5"/>
        <v>-4.5227698066125409E-3</v>
      </c>
      <c r="G66">
        <f t="shared" ca="1" si="6"/>
        <v>1.4849142779913076E-3</v>
      </c>
      <c r="H66">
        <f t="shared" ca="1" si="7"/>
        <v>3.8812916901586322E-2</v>
      </c>
      <c r="I66">
        <f t="shared" ca="1" si="8"/>
        <v>-0.20331695509579162</v>
      </c>
      <c r="J66">
        <f t="shared" ca="1" si="9"/>
        <v>0.75736094216206729</v>
      </c>
      <c r="K66">
        <f t="shared" ca="1" si="10"/>
        <v>1.0948611792555716</v>
      </c>
      <c r="L66">
        <f t="shared" ca="1" si="11"/>
        <v>1.3145967213997225</v>
      </c>
      <c r="M66">
        <f t="shared" ca="1" si="12"/>
        <v>1.0422309252845442E-3</v>
      </c>
      <c r="N66">
        <f t="shared" ca="1" si="13"/>
        <v>1.0584201488251076E-2</v>
      </c>
      <c r="O66">
        <f t="shared" ca="1" si="14"/>
        <v>0.66079353567370891</v>
      </c>
      <c r="P66">
        <f t="shared" ca="1" si="15"/>
        <v>2.7733620321215575</v>
      </c>
      <c r="Q66">
        <f t="shared" ca="1" si="16"/>
        <v>1.0499263395027079</v>
      </c>
      <c r="R66">
        <f t="shared" ca="1" si="17"/>
        <v>1.4048858619431792</v>
      </c>
      <c r="T66">
        <f t="shared" si="0"/>
        <v>0.97894493290143458</v>
      </c>
      <c r="U66" s="6">
        <f t="shared" ca="1" si="18"/>
        <v>0.95278486713706667</v>
      </c>
      <c r="V66">
        <f t="shared" ca="1" si="19"/>
        <v>1.5120159517893903</v>
      </c>
      <c r="W66">
        <v>0.98320686752055131</v>
      </c>
      <c r="X66" t="b">
        <f t="shared" ca="1" si="1"/>
        <v>1</v>
      </c>
      <c r="AS66">
        <v>0.56451836679163681</v>
      </c>
      <c r="AT66">
        <v>999</v>
      </c>
      <c r="AU66">
        <v>999</v>
      </c>
      <c r="AV66">
        <v>4.4828056180336935</v>
      </c>
      <c r="AW66">
        <v>2.9834057969600813</v>
      </c>
      <c r="AX66">
        <v>999</v>
      </c>
      <c r="AY66">
        <v>-8.8620619911251612</v>
      </c>
      <c r="AZ66">
        <v>999</v>
      </c>
      <c r="BA66">
        <v>999</v>
      </c>
      <c r="BB66">
        <v>999</v>
      </c>
      <c r="BC66">
        <v>999</v>
      </c>
      <c r="BD66">
        <v>999</v>
      </c>
      <c r="BE66">
        <v>999</v>
      </c>
      <c r="BF66">
        <v>41.503289902994133</v>
      </c>
      <c r="BJ66" t="b">
        <f t="shared" ref="BJ66:BJ129" si="27">ABS(W66-1)&gt;$S$21</f>
        <v>1</v>
      </c>
      <c r="BK66" t="b">
        <f t="shared" ref="BK66:BK129" ca="1" si="28">AND(X66,BJ66)</f>
        <v>1</v>
      </c>
    </row>
    <row r="67" spans="1:63" x14ac:dyDescent="0.45">
      <c r="A67" s="1">
        <v>45141</v>
      </c>
      <c r="B67">
        <v>259.32</v>
      </c>
      <c r="C67" s="1">
        <v>45141</v>
      </c>
      <c r="D67">
        <v>448.84</v>
      </c>
      <c r="E67" s="4">
        <f t="shared" ref="E67:E130" si="29">(B67-B68)/B68</f>
        <v>2.0502931801188382E-2</v>
      </c>
      <c r="F67" s="4">
        <f t="shared" ref="F67:F130" si="30">(D67-D68)/D68</f>
        <v>-2.8658387576922678E-3</v>
      </c>
      <c r="G67">
        <f t="shared" ref="G67:G130" ca="1" si="31">AVERAGE(OFFSET(E67,0,0,$S$3,1))*$AK$25</f>
        <v>1.9404506018250278E-3</v>
      </c>
      <c r="H67">
        <f t="shared" ref="H67:H130" ca="1" si="32">STDEV(OFFSET(E67,0,0,$S$3,1))*$AJ$25</f>
        <v>3.9080768065549921E-2</v>
      </c>
      <c r="I67">
        <f t="shared" ref="I67:I130" ca="1" si="33">SKEW(OFFSET(E67,0,0,$S$3,1))*$AI$25</f>
        <v>-0.20610084886120106</v>
      </c>
      <c r="J67">
        <f t="shared" ref="J67:J130" ca="1" si="34">KURT(OFFSET(E67,0,0,$S$3,1))*$AH$25</f>
        <v>0.71163076666068736</v>
      </c>
      <c r="K67">
        <f t="shared" ref="K67:K130" ca="1" si="35">PERCENTILE(OFFSET(E67,0,0,$S$3,1), 0.95)/ABS(PERCENTILE(OFFSET(E67,0,0,$S$3,1), 0.05))*$AG$25</f>
        <v>1.1113722016536287</v>
      </c>
      <c r="L67">
        <f t="shared" ref="L67:L130" ca="1" si="36">PERCENTILE(OFFSET(E67,0,0,$S$3,1), 0.75)/ABS(PERCENTILE(OFFSET(E67,0,0,$S$3,1), 0.25))*$AF$25</f>
        <v>1.3807394552151306</v>
      </c>
      <c r="M67">
        <f t="shared" ref="M67:M130" ca="1" si="37">AVERAGE(OFFSET(F67,0,0,$S$3,1))*$AE$25</f>
        <v>1.1933295211229639E-3</v>
      </c>
      <c r="N67">
        <f t="shared" ref="N67:N130" ca="1" si="38">STDEV(OFFSET(F67,0,0,$S$3,1))*$AD$25</f>
        <v>1.0719202385974408E-2</v>
      </c>
      <c r="O67">
        <f t="shared" ref="O67:O130" ca="1" si="39">SKEW(OFFSET(F67,0,0,$S$3,1))*$AC$25</f>
        <v>0.65589445712116945</v>
      </c>
      <c r="P67">
        <f t="shared" ref="P67:P130" ca="1" si="40">KURT(OFFSET(F67,0,0,$S$3,1))*$AB$25</f>
        <v>2.591305658045413</v>
      </c>
      <c r="Q67">
        <f t="shared" ref="Q67:Q130" ca="1" si="41">PERCENTILE(OFFSET(F67,0,0,$S$3,1), 0.95)/ABS(PERCENTILE(OFFSET(F67,0,0,$S$3,1), 0.05))*$AA$25</f>
        <v>1.1124383230375481</v>
      </c>
      <c r="R67">
        <f t="shared" ref="R67:R130" ca="1" si="42">PERCENTILE(OFFSET(F67,0,0,$S$3,1), 0.75)/ABS(PERCENTILE(OFFSET(F67,0,0,$S$3,1), 0.25))*$Z$25</f>
        <v>1.4171908476339192</v>
      </c>
      <c r="T67">
        <f t="shared" ref="T67:T130" si="43">E67+1</f>
        <v>1.0205029318011885</v>
      </c>
      <c r="U67" s="6">
        <f t="shared" ref="U67:U130" ca="1" si="44">PRODUCT(OFFSET(T67,0,0,$S$6,1))</f>
        <v>1.0141175550428221</v>
      </c>
      <c r="V67">
        <f t="shared" ref="V67:V130" ca="1" si="45">OFFSET(G67,$S$6,0) * $AK$2+ OFFSET(H67,$S$6,0)  * $AJ$2 + OFFSET(I67,$S$6,0) * $AI$2 + OFFSET(J67,$S$6,0) * $AH$2 + OFFSET(K67,$S$6,0) * $AG$2 + OFFSET(L67,$S$6,0) * $AF$2 + OFFSET(M67,$S$6,0) * $AE$2 + OFFSET(N67,$S$6,0) * $AD$2 + OFFSET(O67,$S$6,0) * $AC$2 + OFFSET(P67,$S$6,0) * $AB$2 +  OFFSET(Q67,$S$6,0) * $AA$2 + OFFSET(R67,$S$6,0)  * $Z$2  + AL$2</f>
        <v>1.5129945797221591</v>
      </c>
      <c r="W67">
        <v>1.0006220504241243</v>
      </c>
      <c r="X67" t="b">
        <f t="shared" ref="X67:X130" ca="1" si="46">OR(AND(U67&gt;1, W67&gt;1), AND(U67&lt;1, W67&lt;1))</f>
        <v>1</v>
      </c>
      <c r="AS67">
        <v>0.59530631523069755</v>
      </c>
      <c r="AT67">
        <v>999</v>
      </c>
      <c r="AU67">
        <v>999</v>
      </c>
      <c r="AV67">
        <v>4.2819264497430254</v>
      </c>
      <c r="AW67">
        <v>3.3540522253644971</v>
      </c>
      <c r="AX67">
        <v>999</v>
      </c>
      <c r="AY67">
        <v>-7.0201644001378991</v>
      </c>
      <c r="AZ67">
        <v>999</v>
      </c>
      <c r="BA67">
        <v>999</v>
      </c>
      <c r="BB67">
        <v>999</v>
      </c>
      <c r="BC67">
        <v>999</v>
      </c>
      <c r="BD67">
        <v>999</v>
      </c>
      <c r="BE67">
        <v>-2.0379032713320631</v>
      </c>
      <c r="BF67">
        <v>40.204995664881721</v>
      </c>
      <c r="BJ67" t="b">
        <f t="shared" si="27"/>
        <v>1</v>
      </c>
      <c r="BK67" t="b">
        <f t="shared" ca="1" si="28"/>
        <v>1</v>
      </c>
    </row>
    <row r="68" spans="1:63" x14ac:dyDescent="0.45">
      <c r="A68" s="1">
        <v>45140</v>
      </c>
      <c r="B68">
        <v>254.11</v>
      </c>
      <c r="C68" s="1">
        <v>45140</v>
      </c>
      <c r="D68">
        <v>450.13</v>
      </c>
      <c r="E68" s="4">
        <f t="shared" si="29"/>
        <v>-2.6659516604741945E-2</v>
      </c>
      <c r="F68" s="4">
        <f t="shared" si="30"/>
        <v>-1.3910795653697912E-2</v>
      </c>
      <c r="G68">
        <f t="shared" ca="1" si="31"/>
        <v>1.4606582953357746E-3</v>
      </c>
      <c r="H68">
        <f t="shared" ca="1" si="32"/>
        <v>3.9439127574374108E-2</v>
      </c>
      <c r="I68">
        <f t="shared" ca="1" si="33"/>
        <v>-0.2025567515603848</v>
      </c>
      <c r="J68">
        <f t="shared" ca="1" si="34"/>
        <v>0.64249793102773323</v>
      </c>
      <c r="K68">
        <f t="shared" ca="1" si="35"/>
        <v>1.1005883758050872</v>
      </c>
      <c r="L68">
        <f t="shared" ca="1" si="36"/>
        <v>1.3325942008065301</v>
      </c>
      <c r="M68">
        <f t="shared" ca="1" si="37"/>
        <v>1.0937149490289754E-3</v>
      </c>
      <c r="N68">
        <f t="shared" ca="1" si="38"/>
        <v>1.0848902287826158E-2</v>
      </c>
      <c r="O68">
        <f t="shared" ca="1" si="39"/>
        <v>0.60591197030314592</v>
      </c>
      <c r="P68">
        <f t="shared" ca="1" si="40"/>
        <v>2.4722817702169531</v>
      </c>
      <c r="Q68">
        <f t="shared" ca="1" si="41"/>
        <v>1.1064380919256382</v>
      </c>
      <c r="R68">
        <f t="shared" ca="1" si="42"/>
        <v>1.3815783366553291</v>
      </c>
      <c r="T68">
        <f t="shared" si="43"/>
        <v>0.97334048339525803</v>
      </c>
      <c r="U68" s="6">
        <f t="shared" ca="1" si="44"/>
        <v>0.96126347645167398</v>
      </c>
      <c r="V68">
        <f t="shared" ca="1" si="45"/>
        <v>1.4979606262907974</v>
      </c>
      <c r="W68">
        <v>1.0113807820717589</v>
      </c>
      <c r="X68" t="b">
        <f t="shared" ca="1" si="46"/>
        <v>0</v>
      </c>
      <c r="AS68">
        <v>0.5702964803816597</v>
      </c>
      <c r="AT68">
        <v>999</v>
      </c>
      <c r="AU68">
        <v>999</v>
      </c>
      <c r="AV68">
        <v>4.4568068287314064</v>
      </c>
      <c r="AW68">
        <v>3.424458635661888</v>
      </c>
      <c r="AX68">
        <v>999</v>
      </c>
      <c r="AY68">
        <v>-9.0762630383462461</v>
      </c>
      <c r="AZ68">
        <v>999</v>
      </c>
      <c r="BA68">
        <v>999</v>
      </c>
      <c r="BB68">
        <v>999</v>
      </c>
      <c r="BC68">
        <v>999</v>
      </c>
      <c r="BD68">
        <v>999</v>
      </c>
      <c r="BE68">
        <v>999</v>
      </c>
      <c r="BF68">
        <v>40.047532073563772</v>
      </c>
      <c r="BJ68" t="b">
        <f t="shared" si="27"/>
        <v>1</v>
      </c>
      <c r="BK68" t="b">
        <f t="shared" ca="1" si="28"/>
        <v>0</v>
      </c>
    </row>
    <row r="69" spans="1:63" x14ac:dyDescent="0.45">
      <c r="A69" s="1">
        <v>45139</v>
      </c>
      <c r="B69">
        <v>261.07</v>
      </c>
      <c r="C69" s="1">
        <v>45139</v>
      </c>
      <c r="D69">
        <v>456.48</v>
      </c>
      <c r="E69" s="4">
        <f t="shared" si="29"/>
        <v>-2.3781924241857731E-2</v>
      </c>
      <c r="F69" s="4">
        <f t="shared" si="30"/>
        <v>-2.8615740841870774E-3</v>
      </c>
      <c r="G69">
        <f t="shared" ca="1" si="31"/>
        <v>1.6970676441484729E-3</v>
      </c>
      <c r="H69">
        <f t="shared" ca="1" si="32"/>
        <v>3.9411420966636239E-2</v>
      </c>
      <c r="I69">
        <f t="shared" ca="1" si="33"/>
        <v>-0.21873462378648312</v>
      </c>
      <c r="J69">
        <f t="shared" ca="1" si="34"/>
        <v>0.65695995131965113</v>
      </c>
      <c r="K69">
        <f t="shared" ca="1" si="35"/>
        <v>1.1005883758050872</v>
      </c>
      <c r="L69">
        <f t="shared" ca="1" si="36"/>
        <v>1.3807394552151306</v>
      </c>
      <c r="M69">
        <f t="shared" ca="1" si="37"/>
        <v>1.2952242784305145E-3</v>
      </c>
      <c r="N69">
        <f t="shared" ca="1" si="38"/>
        <v>1.0942686948507618E-2</v>
      </c>
      <c r="O69">
        <f t="shared" ca="1" si="39"/>
        <v>0.61045688997747116</v>
      </c>
      <c r="P69">
        <f t="shared" ca="1" si="40"/>
        <v>2.3671721261955652</v>
      </c>
      <c r="Q69">
        <f t="shared" ca="1" si="41"/>
        <v>1.1352808893854167</v>
      </c>
      <c r="R69">
        <f t="shared" ca="1" si="42"/>
        <v>1.4360230407753405</v>
      </c>
      <c r="T69">
        <f t="shared" si="43"/>
        <v>0.97621807575814223</v>
      </c>
      <c r="U69" s="6">
        <f t="shared" ca="1" si="44"/>
        <v>0.98412997587454787</v>
      </c>
      <c r="V69">
        <f t="shared" ca="1" si="45"/>
        <v>1.495228027010981</v>
      </c>
      <c r="W69">
        <v>1.0261819656547577</v>
      </c>
      <c r="X69" t="b">
        <f t="shared" ca="1" si="46"/>
        <v>0</v>
      </c>
      <c r="AS69">
        <v>0.57434917608826852</v>
      </c>
      <c r="AT69">
        <v>999</v>
      </c>
      <c r="AU69">
        <v>999</v>
      </c>
      <c r="AV69">
        <v>4.5264964620230446</v>
      </c>
      <c r="AW69">
        <v>3.5338040113217883</v>
      </c>
      <c r="AX69">
        <v>999</v>
      </c>
      <c r="AY69">
        <v>-9.1213486755247999</v>
      </c>
      <c r="AZ69">
        <v>999</v>
      </c>
      <c r="BA69">
        <v>999</v>
      </c>
      <c r="BB69">
        <v>999</v>
      </c>
      <c r="BC69">
        <v>999</v>
      </c>
      <c r="BD69">
        <v>999</v>
      </c>
      <c r="BE69">
        <v>999</v>
      </c>
      <c r="BF69">
        <v>39.473210406606107</v>
      </c>
      <c r="BJ69" t="b">
        <f t="shared" si="27"/>
        <v>1</v>
      </c>
      <c r="BK69" t="b">
        <f t="shared" ca="1" si="28"/>
        <v>0</v>
      </c>
    </row>
    <row r="70" spans="1:63" x14ac:dyDescent="0.45">
      <c r="A70" s="1">
        <v>45138</v>
      </c>
      <c r="B70">
        <v>267.43</v>
      </c>
      <c r="C70" s="1">
        <v>45138</v>
      </c>
      <c r="D70">
        <v>457.79</v>
      </c>
      <c r="E70" s="4">
        <f t="shared" si="29"/>
        <v>3.715658309563163E-3</v>
      </c>
      <c r="F70" s="4">
        <f t="shared" si="30"/>
        <v>1.9040532259476594E-3</v>
      </c>
      <c r="G70">
        <f t="shared" ca="1" si="31"/>
        <v>1.833067334641828E-3</v>
      </c>
      <c r="H70">
        <f t="shared" ca="1" si="32"/>
        <v>3.9369965586391102E-2</v>
      </c>
      <c r="I70">
        <f t="shared" ca="1" si="33"/>
        <v>-0.22851799186233895</v>
      </c>
      <c r="J70">
        <f t="shared" ca="1" si="34"/>
        <v>0.67481946295426676</v>
      </c>
      <c r="K70">
        <f t="shared" ca="1" si="35"/>
        <v>1.1005883758050872</v>
      </c>
      <c r="L70">
        <f t="shared" ca="1" si="36"/>
        <v>1.451546423343818</v>
      </c>
      <c r="M70">
        <f t="shared" ca="1" si="37"/>
        <v>1.293039724185491E-3</v>
      </c>
      <c r="N70">
        <f t="shared" ca="1" si="38"/>
        <v>1.0943564541562345E-2</v>
      </c>
      <c r="O70">
        <f t="shared" ca="1" si="39"/>
        <v>0.61081769236633765</v>
      </c>
      <c r="P70">
        <f t="shared" ca="1" si="40"/>
        <v>2.3659863926304583</v>
      </c>
      <c r="Q70">
        <f t="shared" ca="1" si="41"/>
        <v>1.1352808893854167</v>
      </c>
      <c r="R70">
        <f t="shared" ca="1" si="42"/>
        <v>1.4360230407753405</v>
      </c>
      <c r="T70">
        <f t="shared" si="43"/>
        <v>1.0037156583095632</v>
      </c>
      <c r="U70" s="6">
        <f t="shared" ca="1" si="44"/>
        <v>0.9939418717014793</v>
      </c>
      <c r="V70">
        <f t="shared" ca="1" si="45"/>
        <v>1.4920515135082586</v>
      </c>
      <c r="W70">
        <v>1.0389871929029868</v>
      </c>
      <c r="X70" t="b">
        <f t="shared" ca="1" si="46"/>
        <v>0</v>
      </c>
      <c r="AS70">
        <v>0.58914770734994037</v>
      </c>
      <c r="AT70">
        <v>999</v>
      </c>
      <c r="AU70">
        <v>999</v>
      </c>
      <c r="AV70">
        <v>4.6600899620653911</v>
      </c>
      <c r="AW70">
        <v>3.6514551359203855</v>
      </c>
      <c r="AX70">
        <v>999</v>
      </c>
      <c r="AY70">
        <v>-9.2792604348751127</v>
      </c>
      <c r="AZ70">
        <v>999</v>
      </c>
      <c r="BA70">
        <v>999</v>
      </c>
      <c r="BB70">
        <v>999</v>
      </c>
      <c r="BC70">
        <v>999</v>
      </c>
      <c r="BD70">
        <v>999</v>
      </c>
      <c r="BE70">
        <v>999</v>
      </c>
      <c r="BF70">
        <v>39.425137260124352</v>
      </c>
      <c r="BJ70" t="b">
        <f t="shared" si="27"/>
        <v>1</v>
      </c>
      <c r="BK70" t="b">
        <f t="shared" ca="1" si="28"/>
        <v>0</v>
      </c>
    </row>
    <row r="71" spans="1:63" x14ac:dyDescent="0.45">
      <c r="A71" s="1">
        <v>45135</v>
      </c>
      <c r="B71">
        <v>266.44</v>
      </c>
      <c r="C71" s="1">
        <v>45135</v>
      </c>
      <c r="D71">
        <v>456.92</v>
      </c>
      <c r="E71" s="4">
        <f t="shared" si="29"/>
        <v>4.1961597121739427E-2</v>
      </c>
      <c r="F71" s="4">
        <f t="shared" si="30"/>
        <v>9.7902716082123517E-3</v>
      </c>
      <c r="G71">
        <f t="shared" ca="1" si="31"/>
        <v>1.6696200082895627E-3</v>
      </c>
      <c r="H71">
        <f t="shared" ca="1" si="32"/>
        <v>3.9429921310368835E-2</v>
      </c>
      <c r="I71">
        <f t="shared" ca="1" si="33"/>
        <v>-0.21733712998445173</v>
      </c>
      <c r="J71">
        <f t="shared" ca="1" si="34"/>
        <v>0.65038823477462948</v>
      </c>
      <c r="K71">
        <f t="shared" ca="1" si="35"/>
        <v>1.1005883758050872</v>
      </c>
      <c r="L71">
        <f t="shared" ca="1" si="36"/>
        <v>1.3807394552151306</v>
      </c>
      <c r="M71">
        <f t="shared" ca="1" si="37"/>
        <v>1.2518545505506148E-3</v>
      </c>
      <c r="N71">
        <f t="shared" ca="1" si="38"/>
        <v>1.0956745240944123E-2</v>
      </c>
      <c r="O71">
        <f t="shared" ca="1" si="39"/>
        <v>0.61829425091289092</v>
      </c>
      <c r="P71">
        <f t="shared" ca="1" si="40"/>
        <v>2.3506056339036574</v>
      </c>
      <c r="Q71">
        <f t="shared" ca="1" si="41"/>
        <v>1.1352808893854167</v>
      </c>
      <c r="R71">
        <f t="shared" ca="1" si="42"/>
        <v>1.3999372966495567</v>
      </c>
      <c r="T71">
        <f t="shared" si="43"/>
        <v>1.0419615971217395</v>
      </c>
      <c r="U71" s="6">
        <f t="shared" ca="1" si="44"/>
        <v>1.0246904084301209</v>
      </c>
      <c r="V71">
        <f t="shared" ca="1" si="45"/>
        <v>1.4406031297470987</v>
      </c>
      <c r="W71">
        <v>0.98662674072780621</v>
      </c>
      <c r="X71" t="b">
        <f t="shared" ca="1" si="46"/>
        <v>0</v>
      </c>
      <c r="AS71">
        <v>0.61891611328090512</v>
      </c>
      <c r="AT71">
        <v>999</v>
      </c>
      <c r="AU71">
        <v>999</v>
      </c>
      <c r="AV71">
        <v>4.266686527140739</v>
      </c>
      <c r="AW71">
        <v>3.7689841727148874</v>
      </c>
      <c r="AX71">
        <v>999</v>
      </c>
      <c r="AY71">
        <v>-7.2154880167972992</v>
      </c>
      <c r="AZ71">
        <v>999</v>
      </c>
      <c r="BA71">
        <v>999</v>
      </c>
      <c r="BB71">
        <v>999</v>
      </c>
      <c r="BC71">
        <v>999</v>
      </c>
      <c r="BD71">
        <v>999</v>
      </c>
      <c r="BE71">
        <v>-2.0204115514730465</v>
      </c>
      <c r="BF71">
        <v>40.35828734930034</v>
      </c>
      <c r="BJ71" t="b">
        <f t="shared" si="27"/>
        <v>1</v>
      </c>
      <c r="BK71" t="b">
        <f t="shared" ca="1" si="28"/>
        <v>0</v>
      </c>
    </row>
    <row r="72" spans="1:63" x14ac:dyDescent="0.45">
      <c r="A72" s="1">
        <v>45134</v>
      </c>
      <c r="B72">
        <v>255.71</v>
      </c>
      <c r="C72" s="1">
        <v>45134</v>
      </c>
      <c r="D72">
        <v>452.49</v>
      </c>
      <c r="E72" s="4">
        <f t="shared" si="29"/>
        <v>-3.2683941743900186E-2</v>
      </c>
      <c r="F72" s="4">
        <f t="shared" si="30"/>
        <v>-6.6299312858114686E-3</v>
      </c>
      <c r="G72">
        <f t="shared" ca="1" si="31"/>
        <v>1.4573464289210586E-3</v>
      </c>
      <c r="H72">
        <f t="shared" ca="1" si="32"/>
        <v>3.9326058862043975E-2</v>
      </c>
      <c r="I72">
        <f t="shared" ca="1" si="33"/>
        <v>-0.20816660994859715</v>
      </c>
      <c r="J72">
        <f t="shared" ca="1" si="34"/>
        <v>0.67911744844188737</v>
      </c>
      <c r="K72">
        <f t="shared" ca="1" si="35"/>
        <v>1.1005883758050872</v>
      </c>
      <c r="L72">
        <f t="shared" ca="1" si="36"/>
        <v>1.362091745434943</v>
      </c>
      <c r="M72">
        <f t="shared" ca="1" si="37"/>
        <v>1.1647268370422023E-3</v>
      </c>
      <c r="N72">
        <f t="shared" ca="1" si="38"/>
        <v>1.0957790459105075E-2</v>
      </c>
      <c r="O72">
        <f t="shared" ca="1" si="39"/>
        <v>0.63710310959824568</v>
      </c>
      <c r="P72">
        <f t="shared" ca="1" si="40"/>
        <v>2.3691619557018191</v>
      </c>
      <c r="Q72">
        <f t="shared" ca="1" si="41"/>
        <v>1.1352808893854167</v>
      </c>
      <c r="R72">
        <f t="shared" ca="1" si="42"/>
        <v>1.2786086562129266</v>
      </c>
      <c r="T72">
        <f t="shared" si="43"/>
        <v>0.96731605825609979</v>
      </c>
      <c r="U72" s="6">
        <f t="shared" ca="1" si="44"/>
        <v>0.97265119817421086</v>
      </c>
      <c r="V72">
        <f t="shared" ca="1" si="45"/>
        <v>1.4157883606028059</v>
      </c>
      <c r="W72">
        <v>0.94503166238471481</v>
      </c>
      <c r="X72" t="b">
        <f t="shared" ca="1" si="46"/>
        <v>1</v>
      </c>
      <c r="AS72">
        <v>0.6162430210985882</v>
      </c>
      <c r="AT72">
        <v>999</v>
      </c>
      <c r="AU72">
        <v>999</v>
      </c>
      <c r="AV72">
        <v>4.1870308066309967</v>
      </c>
      <c r="AW72">
        <v>3.7133154943966238</v>
      </c>
      <c r="AX72">
        <v>999</v>
      </c>
      <c r="AY72">
        <v>-7.1591900640604624</v>
      </c>
      <c r="AZ72">
        <v>999</v>
      </c>
      <c r="BA72">
        <v>999</v>
      </c>
      <c r="BB72">
        <v>999</v>
      </c>
      <c r="BC72">
        <v>999</v>
      </c>
      <c r="BD72">
        <v>999</v>
      </c>
      <c r="BE72">
        <v>-2.0080154351970023</v>
      </c>
      <c r="BF72">
        <v>40.938384859469224</v>
      </c>
      <c r="BJ72" t="b">
        <f t="shared" si="27"/>
        <v>1</v>
      </c>
      <c r="BK72" t="b">
        <f t="shared" ca="1" si="28"/>
        <v>1</v>
      </c>
    </row>
    <row r="73" spans="1:63" x14ac:dyDescent="0.45">
      <c r="A73" s="1">
        <v>45133</v>
      </c>
      <c r="B73">
        <v>264.35000000000002</v>
      </c>
      <c r="C73" s="1">
        <v>45133</v>
      </c>
      <c r="D73">
        <v>455.51</v>
      </c>
      <c r="E73" s="4">
        <f t="shared" si="29"/>
        <v>-3.5057297949334667E-3</v>
      </c>
      <c r="F73" s="4">
        <f t="shared" si="30"/>
        <v>1.5369752327418139E-4</v>
      </c>
      <c r="G73">
        <f t="shared" ca="1" si="31"/>
        <v>1.3045523048601459E-3</v>
      </c>
      <c r="H73">
        <f t="shared" ca="1" si="32"/>
        <v>3.9518270697920591E-2</v>
      </c>
      <c r="I73">
        <f t="shared" ca="1" si="33"/>
        <v>-0.21243009667704449</v>
      </c>
      <c r="J73">
        <f t="shared" ca="1" si="34"/>
        <v>0.63805630254174517</v>
      </c>
      <c r="K73">
        <f t="shared" ca="1" si="35"/>
        <v>1.1005883758050872</v>
      </c>
      <c r="L73">
        <f t="shared" ca="1" si="36"/>
        <v>1.362091745434943</v>
      </c>
      <c r="M73">
        <f t="shared" ca="1" si="37"/>
        <v>1.0584070400950539E-3</v>
      </c>
      <c r="N73">
        <f t="shared" ca="1" si="38"/>
        <v>1.1135516756633001E-2</v>
      </c>
      <c r="O73">
        <f t="shared" ca="1" si="39"/>
        <v>0.54755706021315587</v>
      </c>
      <c r="P73">
        <f t="shared" ca="1" si="40"/>
        <v>2.2913438724829387</v>
      </c>
      <c r="Q73">
        <f t="shared" ca="1" si="41"/>
        <v>1.1283586294408205</v>
      </c>
      <c r="R73">
        <f t="shared" ca="1" si="42"/>
        <v>1.2786086562129266</v>
      </c>
      <c r="T73">
        <f t="shared" si="43"/>
        <v>0.99649427020506653</v>
      </c>
      <c r="U73" s="6">
        <f t="shared" ca="1" si="44"/>
        <v>0.90760832246103151</v>
      </c>
      <c r="V73">
        <f t="shared" ca="1" si="45"/>
        <v>1.3646256738962417</v>
      </c>
      <c r="W73">
        <v>0.95266140461507898</v>
      </c>
      <c r="X73" t="b">
        <f t="shared" ca="1" si="46"/>
        <v>1</v>
      </c>
      <c r="AS73">
        <v>0.59794129027178822</v>
      </c>
      <c r="AT73">
        <v>999</v>
      </c>
      <c r="AU73">
        <v>999</v>
      </c>
      <c r="AV73">
        <v>4.6627739220459832</v>
      </c>
      <c r="AW73">
        <v>3.7658018109227767</v>
      </c>
      <c r="AX73">
        <v>999</v>
      </c>
      <c r="AY73">
        <v>-9.0948021874852714</v>
      </c>
      <c r="AZ73">
        <v>999</v>
      </c>
      <c r="BA73">
        <v>999</v>
      </c>
      <c r="BB73">
        <v>999</v>
      </c>
      <c r="BC73">
        <v>999</v>
      </c>
      <c r="BD73">
        <v>999</v>
      </c>
      <c r="BE73">
        <v>999</v>
      </c>
      <c r="BF73">
        <v>41.06900132018793</v>
      </c>
      <c r="BJ73" t="b">
        <f t="shared" si="27"/>
        <v>1</v>
      </c>
      <c r="BK73" t="b">
        <f t="shared" ca="1" si="28"/>
        <v>1</v>
      </c>
    </row>
    <row r="74" spans="1:63" x14ac:dyDescent="0.45">
      <c r="A74" s="1">
        <v>45132</v>
      </c>
      <c r="B74">
        <v>265.27999999999997</v>
      </c>
      <c r="C74" s="1">
        <v>45132</v>
      </c>
      <c r="D74">
        <v>455.44</v>
      </c>
      <c r="E74" s="4">
        <f t="shared" si="29"/>
        <v>-1.4048911023563627E-2</v>
      </c>
      <c r="F74" s="4">
        <f t="shared" si="30"/>
        <v>2.7300748568912575E-3</v>
      </c>
      <c r="G74">
        <f t="shared" ca="1" si="31"/>
        <v>1.2664354241641185E-3</v>
      </c>
      <c r="H74">
        <f t="shared" ca="1" si="32"/>
        <v>3.9526609352611534E-2</v>
      </c>
      <c r="I74">
        <f t="shared" ca="1" si="33"/>
        <v>-0.20952229818966267</v>
      </c>
      <c r="J74">
        <f t="shared" ca="1" si="34"/>
        <v>0.6341679008072596</v>
      </c>
      <c r="K74">
        <f t="shared" ca="1" si="35"/>
        <v>1.1005883758050872</v>
      </c>
      <c r="L74">
        <f t="shared" ca="1" si="36"/>
        <v>1.362091745434943</v>
      </c>
      <c r="M74">
        <f t="shared" ca="1" si="37"/>
        <v>1.0060593538788797E-3</v>
      </c>
      <c r="N74">
        <f t="shared" ca="1" si="38"/>
        <v>1.1164362246087741E-2</v>
      </c>
      <c r="O74">
        <f t="shared" ca="1" si="39"/>
        <v>0.5521676075030898</v>
      </c>
      <c r="P74">
        <f t="shared" ca="1" si="40"/>
        <v>2.2524087845711298</v>
      </c>
      <c r="Q74">
        <f t="shared" ca="1" si="41"/>
        <v>1.1283586294408205</v>
      </c>
      <c r="R74">
        <f t="shared" ca="1" si="42"/>
        <v>1.2527440661852265</v>
      </c>
      <c r="T74">
        <f t="shared" si="43"/>
        <v>0.98595108897643635</v>
      </c>
      <c r="U74" s="6">
        <f t="shared" ca="1" si="44"/>
        <v>0.90434308311174771</v>
      </c>
      <c r="V74">
        <f t="shared" ca="1" si="45"/>
        <v>1.3576246704770747</v>
      </c>
      <c r="W74">
        <v>0.97065761166431042</v>
      </c>
      <c r="X74" t="b">
        <f t="shared" ca="1" si="46"/>
        <v>1</v>
      </c>
      <c r="AS74">
        <v>0.57656766866026876</v>
      </c>
      <c r="AT74">
        <v>999</v>
      </c>
      <c r="AU74">
        <v>999</v>
      </c>
      <c r="AV74">
        <v>4.5988562556719161</v>
      </c>
      <c r="AW74">
        <v>3.7091438442741178</v>
      </c>
      <c r="AX74">
        <v>999</v>
      </c>
      <c r="AY74">
        <v>-8.6942850930893023</v>
      </c>
      <c r="AZ74">
        <v>999</v>
      </c>
      <c r="BA74">
        <v>999</v>
      </c>
      <c r="BB74">
        <v>999</v>
      </c>
      <c r="BC74">
        <v>999</v>
      </c>
      <c r="BD74">
        <v>999</v>
      </c>
      <c r="BE74">
        <v>999</v>
      </c>
      <c r="BF74">
        <v>40.899921554057897</v>
      </c>
      <c r="BJ74" t="b">
        <f t="shared" si="27"/>
        <v>1</v>
      </c>
      <c r="BK74" t="b">
        <f t="shared" ca="1" si="28"/>
        <v>1</v>
      </c>
    </row>
    <row r="75" spans="1:63" x14ac:dyDescent="0.45">
      <c r="A75" s="1">
        <v>45131</v>
      </c>
      <c r="B75">
        <v>269.06</v>
      </c>
      <c r="C75" s="1">
        <v>45131</v>
      </c>
      <c r="D75">
        <v>454.2</v>
      </c>
      <c r="E75" s="4">
        <f t="shared" si="29"/>
        <v>3.4766556418737105E-2</v>
      </c>
      <c r="F75" s="4">
        <f t="shared" si="30"/>
        <v>4.4672475562828563E-3</v>
      </c>
      <c r="G75">
        <f t="shared" ca="1" si="31"/>
        <v>1.1636924872998975E-3</v>
      </c>
      <c r="H75">
        <f t="shared" ca="1" si="32"/>
        <v>3.9593269263658908E-2</v>
      </c>
      <c r="I75">
        <f t="shared" ca="1" si="33"/>
        <v>-0.20408092890093155</v>
      </c>
      <c r="J75">
        <f t="shared" ca="1" si="34"/>
        <v>0.61061559999449466</v>
      </c>
      <c r="K75">
        <f t="shared" ca="1" si="35"/>
        <v>1.1005883758050872</v>
      </c>
      <c r="L75">
        <f t="shared" ca="1" si="36"/>
        <v>1.3145967213997225</v>
      </c>
      <c r="M75">
        <f t="shared" ca="1" si="37"/>
        <v>9.8076784405456475E-4</v>
      </c>
      <c r="N75">
        <f t="shared" ca="1" si="38"/>
        <v>1.1166166411306569E-2</v>
      </c>
      <c r="O75">
        <f t="shared" ca="1" si="39"/>
        <v>0.5586098599192274</v>
      </c>
      <c r="P75">
        <f t="shared" ca="1" si="40"/>
        <v>2.2541557262522929</v>
      </c>
      <c r="Q75">
        <f t="shared" ca="1" si="41"/>
        <v>1.1283586294408205</v>
      </c>
      <c r="R75">
        <f t="shared" ca="1" si="42"/>
        <v>1.2527440661852265</v>
      </c>
      <c r="T75">
        <f t="shared" si="43"/>
        <v>1.0347665564187372</v>
      </c>
      <c r="U75" s="6">
        <f t="shared" ca="1" si="44"/>
        <v>0.92657896549349128</v>
      </c>
      <c r="V75">
        <f t="shared" ca="1" si="45"/>
        <v>1.2979868558997438</v>
      </c>
      <c r="W75">
        <v>0.94498197839142883</v>
      </c>
      <c r="X75" t="b">
        <f t="shared" ca="1" si="46"/>
        <v>1</v>
      </c>
      <c r="AS75">
        <v>0.61233187033843062</v>
      </c>
      <c r="AT75">
        <v>999</v>
      </c>
      <c r="AU75">
        <v>999</v>
      </c>
      <c r="AV75">
        <v>4.8130383354758814</v>
      </c>
      <c r="AW75">
        <v>3.8932850866450557</v>
      </c>
      <c r="AX75">
        <v>999</v>
      </c>
      <c r="AY75">
        <v>-8.9768162100617719</v>
      </c>
      <c r="AZ75">
        <v>999</v>
      </c>
      <c r="BA75">
        <v>999</v>
      </c>
      <c r="BB75">
        <v>999</v>
      </c>
      <c r="BC75">
        <v>999</v>
      </c>
      <c r="BD75">
        <v>999</v>
      </c>
      <c r="BE75">
        <v>999</v>
      </c>
      <c r="BF75">
        <v>43.634458504977061</v>
      </c>
      <c r="BJ75" t="b">
        <f t="shared" si="27"/>
        <v>1</v>
      </c>
      <c r="BK75" t="b">
        <f t="shared" ca="1" si="28"/>
        <v>1</v>
      </c>
    </row>
    <row r="76" spans="1:63" x14ac:dyDescent="0.45">
      <c r="A76" s="1">
        <v>45128</v>
      </c>
      <c r="B76">
        <v>260.02</v>
      </c>
      <c r="C76" s="1">
        <v>45128</v>
      </c>
      <c r="D76">
        <v>452.18</v>
      </c>
      <c r="E76" s="4">
        <f t="shared" si="29"/>
        <v>-1.0954735640928094E-2</v>
      </c>
      <c r="F76" s="4">
        <f t="shared" si="30"/>
        <v>0</v>
      </c>
      <c r="G76">
        <f t="shared" ca="1" si="31"/>
        <v>1.1350742266583553E-3</v>
      </c>
      <c r="H76">
        <f t="shared" ca="1" si="32"/>
        <v>3.9570921091590244E-2</v>
      </c>
      <c r="I76">
        <f t="shared" ca="1" si="33"/>
        <v>-0.20356845170746823</v>
      </c>
      <c r="J76">
        <f t="shared" ca="1" si="34"/>
        <v>0.61686144255742459</v>
      </c>
      <c r="K76">
        <f t="shared" ca="1" si="35"/>
        <v>1.1005883758050872</v>
      </c>
      <c r="L76">
        <f t="shared" ca="1" si="36"/>
        <v>1.3145967213997225</v>
      </c>
      <c r="M76">
        <f t="shared" ca="1" si="37"/>
        <v>1.1133646413785765E-3</v>
      </c>
      <c r="N76">
        <f t="shared" ca="1" si="38"/>
        <v>1.136348946125511E-2</v>
      </c>
      <c r="O76">
        <f t="shared" ca="1" si="39"/>
        <v>0.58795737839214002</v>
      </c>
      <c r="P76">
        <f t="shared" ca="1" si="40"/>
        <v>2.1183990318961037</v>
      </c>
      <c r="Q76">
        <f t="shared" ca="1" si="41"/>
        <v>1.1591854343974906</v>
      </c>
      <c r="R76">
        <f t="shared" ca="1" si="42"/>
        <v>1.2693910253795775</v>
      </c>
      <c r="T76">
        <f t="shared" si="43"/>
        <v>0.98904526435907192</v>
      </c>
      <c r="U76" s="6">
        <f t="shared" ca="1" si="44"/>
        <v>0.92408842135190827</v>
      </c>
      <c r="V76">
        <f t="shared" ca="1" si="45"/>
        <v>1.3042047521798708</v>
      </c>
      <c r="W76">
        <v>0.97794186102033098</v>
      </c>
      <c r="X76" t="b">
        <f t="shared" ca="1" si="46"/>
        <v>1</v>
      </c>
      <c r="AS76">
        <v>0.6243972853563976</v>
      </c>
      <c r="AT76">
        <v>999</v>
      </c>
      <c r="AU76">
        <v>999</v>
      </c>
      <c r="AV76">
        <v>3.2376048770061638</v>
      </c>
      <c r="AW76">
        <v>3.4892205322086416</v>
      </c>
      <c r="AX76">
        <v>2.6300295465151735</v>
      </c>
      <c r="AY76">
        <v>-2.6170588761275626</v>
      </c>
      <c r="AZ76">
        <v>999</v>
      </c>
      <c r="BA76">
        <v>999</v>
      </c>
      <c r="BB76">
        <v>2.0815790719247742</v>
      </c>
      <c r="BC76">
        <v>999</v>
      </c>
      <c r="BD76">
        <v>999</v>
      </c>
      <c r="BE76">
        <v>-2.1452533846239747</v>
      </c>
      <c r="BF76">
        <v>-2.1652229731823485</v>
      </c>
      <c r="BJ76" t="b">
        <f t="shared" si="27"/>
        <v>1</v>
      </c>
      <c r="BK76" t="b">
        <f t="shared" ca="1" si="28"/>
        <v>1</v>
      </c>
    </row>
    <row r="77" spans="1:63" x14ac:dyDescent="0.45">
      <c r="A77" s="1">
        <v>45127</v>
      </c>
      <c r="B77">
        <v>262.89999999999998</v>
      </c>
      <c r="C77" s="1">
        <v>45127</v>
      </c>
      <c r="D77">
        <v>452.18</v>
      </c>
      <c r="E77" s="4">
        <f t="shared" si="29"/>
        <v>-9.7370047380347505E-2</v>
      </c>
      <c r="F77" s="4">
        <f t="shared" si="30"/>
        <v>-6.6344463971880095E-3</v>
      </c>
      <c r="G77">
        <f t="shared" ca="1" si="31"/>
        <v>7.591221744200177E-4</v>
      </c>
      <c r="H77">
        <f t="shared" ca="1" si="32"/>
        <v>4.004075227945704E-2</v>
      </c>
      <c r="I77">
        <f t="shared" ca="1" si="33"/>
        <v>-0.22046526936818825</v>
      </c>
      <c r="J77">
        <f t="shared" ca="1" si="34"/>
        <v>0.5558427989976642</v>
      </c>
      <c r="K77">
        <f t="shared" ca="1" si="35"/>
        <v>1.0552342031279303</v>
      </c>
      <c r="L77">
        <f t="shared" ca="1" si="36"/>
        <v>1.1909192877931749</v>
      </c>
      <c r="M77">
        <f t="shared" ca="1" si="37"/>
        <v>1.2453709127263563E-3</v>
      </c>
      <c r="N77">
        <f t="shared" ca="1" si="38"/>
        <v>1.1502982419552514E-2</v>
      </c>
      <c r="O77">
        <f t="shared" ca="1" si="39"/>
        <v>0.58598210844061516</v>
      </c>
      <c r="P77">
        <f t="shared" ca="1" si="40"/>
        <v>1.9651251685326505</v>
      </c>
      <c r="Q77">
        <f t="shared" ca="1" si="41"/>
        <v>1.1701154972728178</v>
      </c>
      <c r="R77">
        <f t="shared" ca="1" si="42"/>
        <v>1.30167968457505</v>
      </c>
      <c r="T77">
        <f t="shared" si="43"/>
        <v>0.90262995261965251</v>
      </c>
      <c r="U77" s="6">
        <f t="shared" ca="1" si="44"/>
        <v>0.94602374955019797</v>
      </c>
      <c r="V77">
        <f t="shared" ca="1" si="45"/>
        <v>1.3026923295160451</v>
      </c>
      <c r="W77">
        <v>0.98878869551650439</v>
      </c>
      <c r="X77" t="b">
        <f t="shared" ca="1" si="46"/>
        <v>1</v>
      </c>
      <c r="AS77">
        <v>0.61148622763290639</v>
      </c>
      <c r="AT77">
        <v>999</v>
      </c>
      <c r="AU77">
        <v>999</v>
      </c>
      <c r="AV77">
        <v>3.3304246233960377</v>
      </c>
      <c r="AW77">
        <v>3.5601521869402148</v>
      </c>
      <c r="AX77">
        <v>2.7147492897061416</v>
      </c>
      <c r="AY77">
        <v>-2.5216471491691266</v>
      </c>
      <c r="AZ77">
        <v>999</v>
      </c>
      <c r="BA77">
        <v>999</v>
      </c>
      <c r="BB77">
        <v>2.123679583912395</v>
      </c>
      <c r="BC77">
        <v>999</v>
      </c>
      <c r="BD77">
        <v>999</v>
      </c>
      <c r="BE77">
        <v>-2.0864160439510275</v>
      </c>
      <c r="BF77">
        <v>-2.2472546370283237</v>
      </c>
      <c r="BJ77" t="b">
        <f t="shared" si="27"/>
        <v>1</v>
      </c>
      <c r="BK77" t="b">
        <f t="shared" ca="1" si="28"/>
        <v>1</v>
      </c>
    </row>
    <row r="78" spans="1:63" x14ac:dyDescent="0.45">
      <c r="A78" s="1">
        <v>45126</v>
      </c>
      <c r="B78">
        <v>291.26</v>
      </c>
      <c r="C78" s="1">
        <v>45126</v>
      </c>
      <c r="D78">
        <v>455.2</v>
      </c>
      <c r="E78" s="4">
        <f t="shared" si="29"/>
        <v>-7.0907479375468202E-3</v>
      </c>
      <c r="F78" s="4">
        <f t="shared" si="30"/>
        <v>2.2237389638697261E-3</v>
      </c>
      <c r="G78">
        <f t="shared" ca="1" si="31"/>
        <v>1.1907917692875294E-3</v>
      </c>
      <c r="H78">
        <f t="shared" ca="1" si="32"/>
        <v>3.9438370792896721E-2</v>
      </c>
      <c r="I78">
        <f t="shared" ca="1" si="33"/>
        <v>-0.18583794178600693</v>
      </c>
      <c r="J78">
        <f t="shared" ca="1" si="34"/>
        <v>0.5900825053687373</v>
      </c>
      <c r="K78">
        <f t="shared" ca="1" si="35"/>
        <v>1.1005883758050872</v>
      </c>
      <c r="L78">
        <f t="shared" ca="1" si="36"/>
        <v>1.3145967213997225</v>
      </c>
      <c r="M78">
        <f t="shared" ca="1" si="37"/>
        <v>1.2012256883325721E-3</v>
      </c>
      <c r="N78">
        <f t="shared" ca="1" si="38"/>
        <v>1.155021962396368E-2</v>
      </c>
      <c r="O78">
        <f t="shared" ca="1" si="39"/>
        <v>0.57664889009097875</v>
      </c>
      <c r="P78">
        <f t="shared" ca="1" si="40"/>
        <v>1.9141180602484145</v>
      </c>
      <c r="Q78">
        <f t="shared" ca="1" si="41"/>
        <v>1.1701154972728178</v>
      </c>
      <c r="R78">
        <f t="shared" ca="1" si="42"/>
        <v>1.30167968457505</v>
      </c>
      <c r="T78">
        <f t="shared" si="43"/>
        <v>0.99290925206245317</v>
      </c>
      <c r="U78" s="6">
        <f t="shared" ca="1" si="44"/>
        <v>1.0708481929482701</v>
      </c>
      <c r="V78">
        <f t="shared" ca="1" si="45"/>
        <v>1.3467818283494282</v>
      </c>
      <c r="W78">
        <v>0.99737441892122503</v>
      </c>
      <c r="X78" t="b">
        <f t="shared" ca="1" si="46"/>
        <v>0</v>
      </c>
      <c r="AS78">
        <v>0.62886863728904097</v>
      </c>
      <c r="AT78">
        <v>999</v>
      </c>
      <c r="AU78">
        <v>999</v>
      </c>
      <c r="AV78">
        <v>3.2823548578051764</v>
      </c>
      <c r="AW78">
        <v>3.4294265569401379</v>
      </c>
      <c r="AX78">
        <v>2.6277384641892425</v>
      </c>
      <c r="AY78">
        <v>-2.9002814558935879</v>
      </c>
      <c r="AZ78">
        <v>999</v>
      </c>
      <c r="BA78">
        <v>999</v>
      </c>
      <c r="BB78">
        <v>2.1100450981788015</v>
      </c>
      <c r="BC78">
        <v>999</v>
      </c>
      <c r="BD78">
        <v>999</v>
      </c>
      <c r="BE78">
        <v>-2.0872615191347021</v>
      </c>
      <c r="BF78">
        <v>-2.1390555554613422</v>
      </c>
      <c r="BJ78" t="b">
        <f t="shared" si="27"/>
        <v>1</v>
      </c>
      <c r="BK78" t="b">
        <f t="shared" ca="1" si="28"/>
        <v>0</v>
      </c>
    </row>
    <row r="79" spans="1:63" x14ac:dyDescent="0.45">
      <c r="A79" s="1">
        <v>45125</v>
      </c>
      <c r="B79">
        <v>293.33999999999997</v>
      </c>
      <c r="C79" s="1">
        <v>45125</v>
      </c>
      <c r="D79">
        <v>454.19</v>
      </c>
      <c r="E79" s="4">
        <f t="shared" si="29"/>
        <v>1.0193539499965492E-2</v>
      </c>
      <c r="F79" s="4">
        <f t="shared" si="30"/>
        <v>7.4305740395706303E-3</v>
      </c>
      <c r="G79">
        <f t="shared" ca="1" si="31"/>
        <v>8.8574309418772981E-4</v>
      </c>
      <c r="H79">
        <f t="shared" ca="1" si="32"/>
        <v>3.9737563648772956E-2</v>
      </c>
      <c r="I79">
        <f t="shared" ca="1" si="33"/>
        <v>-0.18527490564170163</v>
      </c>
      <c r="J79">
        <f t="shared" ca="1" si="34"/>
        <v>0.52351352034531207</v>
      </c>
      <c r="K79">
        <f t="shared" ca="1" si="35"/>
        <v>1.0554496635879476</v>
      </c>
      <c r="L79">
        <f t="shared" ca="1" si="36"/>
        <v>1.1909192877931749</v>
      </c>
      <c r="M79">
        <f t="shared" ca="1" si="37"/>
        <v>1.0856620093014197E-3</v>
      </c>
      <c r="N79">
        <f t="shared" ca="1" si="38"/>
        <v>1.1655086776174632E-2</v>
      </c>
      <c r="O79">
        <f t="shared" ca="1" si="39"/>
        <v>0.55670783138487923</v>
      </c>
      <c r="P79">
        <f t="shared" ca="1" si="40"/>
        <v>1.8267569329497304</v>
      </c>
      <c r="Q79">
        <f t="shared" ca="1" si="41"/>
        <v>1.1426506186559784</v>
      </c>
      <c r="R79">
        <f t="shared" ca="1" si="42"/>
        <v>1.2864777256297752</v>
      </c>
      <c r="T79">
        <f t="shared" si="43"/>
        <v>1.0101935394999655</v>
      </c>
      <c r="U79" s="6">
        <f t="shared" ca="1" si="44"/>
        <v>1.0872901145335259</v>
      </c>
      <c r="V79">
        <f t="shared" ca="1" si="45"/>
        <v>1.373311969538249</v>
      </c>
      <c r="W79">
        <v>1.0110565848972897</v>
      </c>
      <c r="X79" t="b">
        <f t="shared" ca="1" si="46"/>
        <v>1</v>
      </c>
      <c r="AS79">
        <v>0.61970333538698019</v>
      </c>
      <c r="AT79">
        <v>999</v>
      </c>
      <c r="AU79">
        <v>999</v>
      </c>
      <c r="AV79">
        <v>2.8180706489439067</v>
      </c>
      <c r="AW79">
        <v>2.8718343728612483</v>
      </c>
      <c r="AX79">
        <v>2.1775312714476556</v>
      </c>
      <c r="AY79">
        <v>-4.1391546510773551</v>
      </c>
      <c r="AZ79">
        <v>999</v>
      </c>
      <c r="BA79">
        <v>999</v>
      </c>
      <c r="BB79">
        <v>2.4142531079537197</v>
      </c>
      <c r="BC79">
        <v>999</v>
      </c>
      <c r="BD79">
        <v>999</v>
      </c>
      <c r="BE79">
        <v>999</v>
      </c>
      <c r="BF79">
        <v>-1.6776989230611186</v>
      </c>
      <c r="BJ79" t="b">
        <f t="shared" si="27"/>
        <v>1</v>
      </c>
      <c r="BK79" t="b">
        <f t="shared" ca="1" si="28"/>
        <v>1</v>
      </c>
    </row>
    <row r="80" spans="1:63" x14ac:dyDescent="0.45">
      <c r="A80" s="1">
        <v>45124</v>
      </c>
      <c r="B80">
        <v>290.38</v>
      </c>
      <c r="C80" s="1">
        <v>45124</v>
      </c>
      <c r="D80">
        <v>450.84</v>
      </c>
      <c r="E80" s="4">
        <f t="shared" si="29"/>
        <v>3.1985215722510486E-2</v>
      </c>
      <c r="F80" s="4">
        <f t="shared" si="30"/>
        <v>3.4722222222222277E-3</v>
      </c>
      <c r="G80">
        <f t="shared" ca="1" si="31"/>
        <v>9.2083604558872839E-4</v>
      </c>
      <c r="H80">
        <f t="shared" ca="1" si="32"/>
        <v>3.9748922333519517E-2</v>
      </c>
      <c r="I80">
        <f t="shared" ca="1" si="33"/>
        <v>-0.18750491587487564</v>
      </c>
      <c r="J80">
        <f t="shared" ca="1" si="34"/>
        <v>0.52023805335722662</v>
      </c>
      <c r="K80">
        <f t="shared" ca="1" si="35"/>
        <v>1.0554496635879476</v>
      </c>
      <c r="L80">
        <f t="shared" ca="1" si="36"/>
        <v>1.1909192877931749</v>
      </c>
      <c r="M80">
        <f t="shared" ca="1" si="37"/>
        <v>1.1468909983143099E-3</v>
      </c>
      <c r="N80">
        <f t="shared" ca="1" si="38"/>
        <v>1.1720568890842102E-2</v>
      </c>
      <c r="O80">
        <f t="shared" ca="1" si="39"/>
        <v>0.55104907007737169</v>
      </c>
      <c r="P80">
        <f t="shared" ca="1" si="40"/>
        <v>1.7391956275470859</v>
      </c>
      <c r="Q80">
        <f t="shared" ca="1" si="41"/>
        <v>1.2034685329929526</v>
      </c>
      <c r="R80">
        <f t="shared" ca="1" si="42"/>
        <v>1.3437990534468087</v>
      </c>
      <c r="T80">
        <f t="shared" si="43"/>
        <v>1.0319852157225105</v>
      </c>
      <c r="U80" s="6">
        <f t="shared" ca="1" si="44"/>
        <v>1.0770372018842029</v>
      </c>
      <c r="V80">
        <f t="shared" ca="1" si="45"/>
        <v>1.3830341645415105</v>
      </c>
      <c r="W80">
        <v>1.0232134843196969</v>
      </c>
      <c r="X80" t="b">
        <f t="shared" ca="1" si="46"/>
        <v>1</v>
      </c>
      <c r="AS80">
        <v>0.65737269783603924</v>
      </c>
      <c r="AT80">
        <v>999</v>
      </c>
      <c r="AU80">
        <v>999</v>
      </c>
      <c r="AV80">
        <v>3.5494913598651636</v>
      </c>
      <c r="AW80">
        <v>3.3826429883286906</v>
      </c>
      <c r="AX80">
        <v>2.7806491858295703</v>
      </c>
      <c r="AY80">
        <v>-3.552583804286666</v>
      </c>
      <c r="AZ80">
        <v>999</v>
      </c>
      <c r="BA80">
        <v>999</v>
      </c>
      <c r="BB80">
        <v>2.4170800866626379</v>
      </c>
      <c r="BC80">
        <v>999</v>
      </c>
      <c r="BD80">
        <v>999</v>
      </c>
      <c r="BE80">
        <v>-2.0492784588190762</v>
      </c>
      <c r="BF80">
        <v>-2.205503410589261</v>
      </c>
      <c r="BJ80" t="b">
        <f t="shared" si="27"/>
        <v>1</v>
      </c>
      <c r="BK80" t="b">
        <f t="shared" ca="1" si="28"/>
        <v>1</v>
      </c>
    </row>
    <row r="81" spans="1:63" x14ac:dyDescent="0.45">
      <c r="A81" s="1">
        <v>45121</v>
      </c>
      <c r="B81">
        <v>281.38</v>
      </c>
      <c r="C81" s="1">
        <v>45121</v>
      </c>
      <c r="D81">
        <v>449.28</v>
      </c>
      <c r="E81" s="4">
        <f t="shared" si="29"/>
        <v>1.2522490104354151E-2</v>
      </c>
      <c r="F81" s="4">
        <f t="shared" si="30"/>
        <v>-6.2283121274141282E-4</v>
      </c>
      <c r="G81">
        <f t="shared" ca="1" si="31"/>
        <v>8.8644889672509942E-4</v>
      </c>
      <c r="H81">
        <f t="shared" ca="1" si="32"/>
        <v>3.9724880807213196E-2</v>
      </c>
      <c r="I81">
        <f t="shared" ca="1" si="33"/>
        <v>-0.18650397230251833</v>
      </c>
      <c r="J81">
        <f t="shared" ca="1" si="34"/>
        <v>0.52699007716562996</v>
      </c>
      <c r="K81">
        <f t="shared" ca="1" si="35"/>
        <v>1.0554496635879476</v>
      </c>
      <c r="L81">
        <f t="shared" ca="1" si="36"/>
        <v>1.1909192877931749</v>
      </c>
      <c r="M81">
        <f t="shared" ca="1" si="37"/>
        <v>1.1167660322445095E-3</v>
      </c>
      <c r="N81">
        <f t="shared" ca="1" si="38"/>
        <v>1.1722304925538551E-2</v>
      </c>
      <c r="O81">
        <f t="shared" ca="1" si="39"/>
        <v>0.55839263181114174</v>
      </c>
      <c r="P81">
        <f t="shared" ca="1" si="40"/>
        <v>1.742220804594071</v>
      </c>
      <c r="Q81">
        <f t="shared" ca="1" si="41"/>
        <v>1.2034685329929526</v>
      </c>
      <c r="R81">
        <f t="shared" ca="1" si="42"/>
        <v>1.3437990534468087</v>
      </c>
      <c r="T81">
        <f t="shared" si="43"/>
        <v>1.0125224901043541</v>
      </c>
      <c r="U81" s="6">
        <f t="shared" ca="1" si="44"/>
        <v>1.0253252195459679</v>
      </c>
      <c r="V81">
        <f t="shared" ca="1" si="45"/>
        <v>1.3775838132751912</v>
      </c>
      <c r="W81">
        <v>1.0386421282577691</v>
      </c>
      <c r="X81" t="b">
        <f t="shared" ca="1" si="46"/>
        <v>1</v>
      </c>
      <c r="AS81">
        <v>0.64547480670871304</v>
      </c>
      <c r="AT81">
        <v>999</v>
      </c>
      <c r="AU81">
        <v>999</v>
      </c>
      <c r="AV81">
        <v>4.1245931832988481</v>
      </c>
      <c r="AW81">
        <v>3.7910906028479334</v>
      </c>
      <c r="AX81">
        <v>3.3278818760838718</v>
      </c>
      <c r="AY81">
        <v>-3.3382089075451389</v>
      </c>
      <c r="AZ81">
        <v>999</v>
      </c>
      <c r="BA81">
        <v>999</v>
      </c>
      <c r="BB81">
        <v>2.7095771492140743</v>
      </c>
      <c r="BC81">
        <v>999</v>
      </c>
      <c r="BD81">
        <v>999</v>
      </c>
      <c r="BE81">
        <v>-2.1135374265979672</v>
      </c>
      <c r="BF81">
        <v>-2.7227977070084286</v>
      </c>
      <c r="BJ81" t="b">
        <f t="shared" si="27"/>
        <v>1</v>
      </c>
      <c r="BK81" t="b">
        <f t="shared" ca="1" si="28"/>
        <v>1</v>
      </c>
    </row>
    <row r="82" spans="1:63" x14ac:dyDescent="0.45">
      <c r="A82" s="1">
        <v>45120</v>
      </c>
      <c r="B82">
        <v>277.89999999999998</v>
      </c>
      <c r="C82" s="1">
        <v>45120</v>
      </c>
      <c r="D82">
        <v>449.56</v>
      </c>
      <c r="E82" s="4">
        <f t="shared" si="29"/>
        <v>2.1728740027206764E-2</v>
      </c>
      <c r="F82" s="4">
        <f t="shared" si="30"/>
        <v>7.9368638177660655E-3</v>
      </c>
      <c r="G82">
        <f t="shared" ca="1" si="31"/>
        <v>8.3618526398562658E-4</v>
      </c>
      <c r="H82">
        <f t="shared" ca="1" si="32"/>
        <v>3.971644274367319E-2</v>
      </c>
      <c r="I82">
        <f t="shared" ca="1" si="33"/>
        <v>-0.18291515795409377</v>
      </c>
      <c r="J82">
        <f t="shared" ca="1" si="34"/>
        <v>0.52903446767192719</v>
      </c>
      <c r="K82">
        <f t="shared" ca="1" si="35"/>
        <v>1.0554496635879476</v>
      </c>
      <c r="L82">
        <f t="shared" ca="1" si="36"/>
        <v>1.1909192877931749</v>
      </c>
      <c r="M82">
        <f t="shared" ca="1" si="37"/>
        <v>1.0704169460198623E-3</v>
      </c>
      <c r="N82">
        <f t="shared" ca="1" si="38"/>
        <v>1.1747516680158748E-2</v>
      </c>
      <c r="O82">
        <f t="shared" ca="1" si="39"/>
        <v>0.56259962023648225</v>
      </c>
      <c r="P82">
        <f t="shared" ca="1" si="40"/>
        <v>1.7142056180822722</v>
      </c>
      <c r="Q82">
        <f t="shared" ca="1" si="41"/>
        <v>1.2034685329929526</v>
      </c>
      <c r="R82">
        <f t="shared" ca="1" si="42"/>
        <v>1.3193410592367452</v>
      </c>
      <c r="T82">
        <f t="shared" si="43"/>
        <v>1.0217287400272068</v>
      </c>
      <c r="U82" s="6">
        <f t="shared" ca="1" si="44"/>
        <v>1.0049179142257898</v>
      </c>
      <c r="V82">
        <f t="shared" ca="1" si="45"/>
        <v>1.3582119688411942</v>
      </c>
      <c r="W82">
        <v>1.0052335520604654</v>
      </c>
      <c r="X82" t="b">
        <f t="shared" ca="1" si="46"/>
        <v>1</v>
      </c>
      <c r="AS82">
        <v>0.62277431403751171</v>
      </c>
      <c r="AT82">
        <v>999</v>
      </c>
      <c r="AU82">
        <v>999</v>
      </c>
      <c r="AV82">
        <v>3.6353118649204057</v>
      </c>
      <c r="AW82">
        <v>3.1926159127084768</v>
      </c>
      <c r="AX82">
        <v>2.830556409894498</v>
      </c>
      <c r="AY82">
        <v>-4.6699508427765748</v>
      </c>
      <c r="AZ82">
        <v>999</v>
      </c>
      <c r="BA82">
        <v>999</v>
      </c>
      <c r="BB82">
        <v>2.9715162026131483</v>
      </c>
      <c r="BC82">
        <v>999</v>
      </c>
      <c r="BD82">
        <v>999</v>
      </c>
      <c r="BE82">
        <v>999</v>
      </c>
      <c r="BF82">
        <v>-2.1835478495144218</v>
      </c>
      <c r="BJ82" t="b">
        <f t="shared" si="27"/>
        <v>1</v>
      </c>
      <c r="BK82" t="b">
        <f t="shared" ca="1" si="28"/>
        <v>1</v>
      </c>
    </row>
    <row r="83" spans="1:63" x14ac:dyDescent="0.45">
      <c r="A83" s="1">
        <v>45119</v>
      </c>
      <c r="B83">
        <v>271.99</v>
      </c>
      <c r="C83" s="1">
        <v>45119</v>
      </c>
      <c r="D83">
        <v>446.02</v>
      </c>
      <c r="E83" s="4">
        <f t="shared" si="29"/>
        <v>8.1544905296711823E-3</v>
      </c>
      <c r="F83" s="4">
        <f t="shared" si="30"/>
        <v>8.0459250553722422E-3</v>
      </c>
      <c r="G83">
        <f t="shared" ca="1" si="31"/>
        <v>4.9780387370094048E-4</v>
      </c>
      <c r="H83">
        <f t="shared" ca="1" si="32"/>
        <v>3.9825693490995989E-2</v>
      </c>
      <c r="I83">
        <f t="shared" ca="1" si="33"/>
        <v>-0.16462721968445185</v>
      </c>
      <c r="J83">
        <f t="shared" ca="1" si="34"/>
        <v>0.49328445795864395</v>
      </c>
      <c r="K83">
        <f t="shared" ca="1" si="35"/>
        <v>1.0554496635879476</v>
      </c>
      <c r="L83">
        <f t="shared" ca="1" si="36"/>
        <v>1.1873426351446439</v>
      </c>
      <c r="M83">
        <f t="shared" ca="1" si="37"/>
        <v>9.4695837649011471E-4</v>
      </c>
      <c r="N83">
        <f t="shared" ca="1" si="38"/>
        <v>1.1804600314937923E-2</v>
      </c>
      <c r="O83">
        <f t="shared" ca="1" si="39"/>
        <v>0.56769500467351519</v>
      </c>
      <c r="P83">
        <f t="shared" ca="1" si="40"/>
        <v>1.6726884761818557</v>
      </c>
      <c r="Q83">
        <f t="shared" ca="1" si="41"/>
        <v>1.174038306453806</v>
      </c>
      <c r="R83">
        <f t="shared" ca="1" si="42"/>
        <v>1.2679270169595569</v>
      </c>
      <c r="T83">
        <f t="shared" si="43"/>
        <v>1.0081544905296711</v>
      </c>
      <c r="U83" s="6">
        <f t="shared" ca="1" si="44"/>
        <v>0.96286462758425362</v>
      </c>
      <c r="V83">
        <f t="shared" ca="1" si="45"/>
        <v>1.3565815625800286</v>
      </c>
      <c r="W83">
        <v>1.0217492887024906</v>
      </c>
      <c r="X83" t="b">
        <f t="shared" ca="1" si="46"/>
        <v>0</v>
      </c>
      <c r="AS83">
        <v>0.63232357453124632</v>
      </c>
      <c r="AT83">
        <v>999</v>
      </c>
      <c r="AU83">
        <v>999</v>
      </c>
      <c r="AV83">
        <v>4.1645116802037832</v>
      </c>
      <c r="AW83">
        <v>3.7215909523108039</v>
      </c>
      <c r="AX83">
        <v>3.3060912846601727</v>
      </c>
      <c r="AY83">
        <v>-3.9048298146113951</v>
      </c>
      <c r="AZ83">
        <v>999</v>
      </c>
      <c r="BA83">
        <v>999</v>
      </c>
      <c r="BB83">
        <v>2.2749962939462098</v>
      </c>
      <c r="BC83">
        <v>999</v>
      </c>
      <c r="BD83">
        <v>999</v>
      </c>
      <c r="BE83">
        <v>-2.0824885070620525</v>
      </c>
      <c r="BF83">
        <v>-2.6143334944159555</v>
      </c>
      <c r="BJ83" t="b">
        <f t="shared" si="27"/>
        <v>1</v>
      </c>
      <c r="BK83" t="b">
        <f t="shared" ca="1" si="28"/>
        <v>0</v>
      </c>
    </row>
    <row r="84" spans="1:63" x14ac:dyDescent="0.45">
      <c r="A84" s="1">
        <v>45118</v>
      </c>
      <c r="B84">
        <v>269.79000000000002</v>
      </c>
      <c r="C84" s="1">
        <v>45118</v>
      </c>
      <c r="D84">
        <v>442.46</v>
      </c>
      <c r="E84" s="4">
        <f t="shared" si="29"/>
        <v>6.6763102258820823E-4</v>
      </c>
      <c r="F84" s="4">
        <f t="shared" si="30"/>
        <v>6.3685575217212265E-3</v>
      </c>
      <c r="G84">
        <f t="shared" ca="1" si="31"/>
        <v>2.5407264445683804E-4</v>
      </c>
      <c r="H84">
        <f t="shared" ca="1" si="32"/>
        <v>3.9927631305215927E-2</v>
      </c>
      <c r="I84">
        <f t="shared" ca="1" si="33"/>
        <v>-0.15043917679297988</v>
      </c>
      <c r="J84">
        <f t="shared" ca="1" si="34"/>
        <v>0.45910427000036513</v>
      </c>
      <c r="K84">
        <f t="shared" ca="1" si="35"/>
        <v>1.0554496635879476</v>
      </c>
      <c r="L84">
        <f t="shared" ca="1" si="36"/>
        <v>1.1784236815056011</v>
      </c>
      <c r="M84">
        <f t="shared" ca="1" si="37"/>
        <v>8.6472975812917701E-4</v>
      </c>
      <c r="N84">
        <f t="shared" ca="1" si="38"/>
        <v>1.1812178231450613E-2</v>
      </c>
      <c r="O84">
        <f t="shared" ca="1" si="39"/>
        <v>0.58408182002218878</v>
      </c>
      <c r="P84">
        <f t="shared" ca="1" si="40"/>
        <v>1.6782411802996364</v>
      </c>
      <c r="Q84">
        <f t="shared" ca="1" si="41"/>
        <v>1.174038306453806</v>
      </c>
      <c r="R84">
        <f t="shared" ca="1" si="42"/>
        <v>1.2329693916426248</v>
      </c>
      <c r="T84">
        <f t="shared" si="43"/>
        <v>1.0006676310225882</v>
      </c>
      <c r="U84" s="6">
        <f t="shared" ca="1" si="44"/>
        <v>0.9641555285540705</v>
      </c>
      <c r="V84">
        <f t="shared" ca="1" si="45"/>
        <v>1.3554928047913251</v>
      </c>
      <c r="W84">
        <v>1.0561515083311388</v>
      </c>
      <c r="X84" t="b">
        <f t="shared" ca="1" si="46"/>
        <v>0</v>
      </c>
      <c r="AS84">
        <v>0.62724410137127906</v>
      </c>
      <c r="AT84">
        <v>999</v>
      </c>
      <c r="AU84">
        <v>999</v>
      </c>
      <c r="AV84">
        <v>4.553858093110005</v>
      </c>
      <c r="AW84">
        <v>4.1534452383771727</v>
      </c>
      <c r="AX84">
        <v>3.7473902602521543</v>
      </c>
      <c r="AY84">
        <v>-3.9453244031167887</v>
      </c>
      <c r="AZ84">
        <v>999</v>
      </c>
      <c r="BA84">
        <v>999</v>
      </c>
      <c r="BB84">
        <v>2.1038282658996224</v>
      </c>
      <c r="BC84">
        <v>999</v>
      </c>
      <c r="BD84">
        <v>999</v>
      </c>
      <c r="BE84">
        <v>-2.1612723135907279</v>
      </c>
      <c r="BF84">
        <v>-3.0368565196272628</v>
      </c>
      <c r="BJ84" t="b">
        <f t="shared" si="27"/>
        <v>1</v>
      </c>
      <c r="BK84" t="b">
        <f t="shared" ca="1" si="28"/>
        <v>0</v>
      </c>
    </row>
    <row r="85" spans="1:63" x14ac:dyDescent="0.45">
      <c r="A85" s="1">
        <v>45117</v>
      </c>
      <c r="B85">
        <v>269.61</v>
      </c>
      <c r="C85" s="1">
        <v>45117</v>
      </c>
      <c r="D85">
        <v>439.66</v>
      </c>
      <c r="E85" s="4">
        <f t="shared" si="29"/>
        <v>-1.7563677440513039E-2</v>
      </c>
      <c r="F85" s="4">
        <f t="shared" si="30"/>
        <v>2.5310682932391144E-3</v>
      </c>
      <c r="G85">
        <f t="shared" ca="1" si="31"/>
        <v>1.2230511740077534E-4</v>
      </c>
      <c r="H85">
        <f t="shared" ca="1" si="32"/>
        <v>3.996972282964914E-2</v>
      </c>
      <c r="I85">
        <f t="shared" ca="1" si="33"/>
        <v>-0.14136189675402816</v>
      </c>
      <c r="J85">
        <f t="shared" ca="1" si="34"/>
        <v>0.44331346748670386</v>
      </c>
      <c r="K85">
        <f t="shared" ca="1" si="35"/>
        <v>1.0554496635879476</v>
      </c>
      <c r="L85">
        <f t="shared" ca="1" si="36"/>
        <v>1.1542779946020436</v>
      </c>
      <c r="M85">
        <f t="shared" ca="1" si="37"/>
        <v>7.4566782917349071E-4</v>
      </c>
      <c r="N85">
        <f t="shared" ca="1" si="38"/>
        <v>1.1876258862266884E-2</v>
      </c>
      <c r="O85">
        <f t="shared" ca="1" si="39"/>
        <v>0.58595672318257275</v>
      </c>
      <c r="P85">
        <f t="shared" ca="1" si="40"/>
        <v>1.629471334262508</v>
      </c>
      <c r="Q85">
        <f t="shared" ca="1" si="41"/>
        <v>1.1536144236005004</v>
      </c>
      <c r="R85">
        <f t="shared" ca="1" si="42"/>
        <v>1.204229691394181</v>
      </c>
      <c r="T85">
        <f t="shared" si="43"/>
        <v>0.98243632255948699</v>
      </c>
      <c r="U85" s="6">
        <f t="shared" ca="1" si="44"/>
        <v>1.0299499560683045</v>
      </c>
      <c r="V85">
        <f t="shared" ca="1" si="45"/>
        <v>1.3596977402154997</v>
      </c>
      <c r="W85">
        <v>1.1611460372503677</v>
      </c>
      <c r="X85" t="b">
        <f t="shared" ca="1" si="46"/>
        <v>1</v>
      </c>
      <c r="AS85">
        <v>0.62625420991791969</v>
      </c>
      <c r="AT85">
        <v>2.0454106834432562</v>
      </c>
      <c r="AU85">
        <v>999</v>
      </c>
      <c r="AV85">
        <v>4.0692015717649737</v>
      </c>
      <c r="AW85">
        <v>4.0320010820948262</v>
      </c>
      <c r="AX85">
        <v>3.1344533708845956</v>
      </c>
      <c r="AY85">
        <v>-4.6038753253213116</v>
      </c>
      <c r="AZ85">
        <v>999</v>
      </c>
      <c r="BA85">
        <v>999</v>
      </c>
      <c r="BB85">
        <v>999</v>
      </c>
      <c r="BC85">
        <v>999</v>
      </c>
      <c r="BD85">
        <v>999</v>
      </c>
      <c r="BE85">
        <v>-3.6637120540747365</v>
      </c>
      <c r="BF85">
        <v>-2.7134373748691321</v>
      </c>
      <c r="BJ85" t="b">
        <f t="shared" si="27"/>
        <v>1</v>
      </c>
      <c r="BK85" t="b">
        <f t="shared" ca="1" si="28"/>
        <v>1</v>
      </c>
    </row>
    <row r="86" spans="1:63" x14ac:dyDescent="0.45">
      <c r="A86" s="1">
        <v>45114</v>
      </c>
      <c r="B86">
        <v>274.43</v>
      </c>
      <c r="C86" s="1">
        <v>45114</v>
      </c>
      <c r="D86">
        <v>438.55</v>
      </c>
      <c r="E86" s="4">
        <f t="shared" si="29"/>
        <v>-7.6299992767773685E-3</v>
      </c>
      <c r="F86" s="4">
        <f t="shared" si="30"/>
        <v>-2.5246781603967009E-3</v>
      </c>
      <c r="G86">
        <f t="shared" ca="1" si="31"/>
        <v>2.0462313251934754E-4</v>
      </c>
      <c r="H86">
        <f t="shared" ca="1" si="32"/>
        <v>3.9950063984092288E-2</v>
      </c>
      <c r="I86">
        <f t="shared" ca="1" si="33"/>
        <v>-0.14737444888646534</v>
      </c>
      <c r="J86">
        <f t="shared" ca="1" si="34"/>
        <v>0.45120039464435413</v>
      </c>
      <c r="K86">
        <f t="shared" ca="1" si="35"/>
        <v>1.0554496635879476</v>
      </c>
      <c r="L86">
        <f t="shared" ca="1" si="36"/>
        <v>1.1542779946020436</v>
      </c>
      <c r="M86">
        <f t="shared" ca="1" si="37"/>
        <v>6.7561961677691245E-4</v>
      </c>
      <c r="N86">
        <f t="shared" ca="1" si="38"/>
        <v>1.1906951323827035E-2</v>
      </c>
      <c r="O86">
        <f t="shared" ca="1" si="39"/>
        <v>0.59375484102478815</v>
      </c>
      <c r="P86">
        <f t="shared" ca="1" si="40"/>
        <v>1.601244802317896</v>
      </c>
      <c r="Q86">
        <f t="shared" ca="1" si="41"/>
        <v>1.1536144236005004</v>
      </c>
      <c r="R86">
        <f t="shared" ca="1" si="42"/>
        <v>1.2034475845945711</v>
      </c>
      <c r="T86">
        <f t="shared" si="43"/>
        <v>0.99237000072322268</v>
      </c>
      <c r="U86" s="6">
        <f t="shared" ca="1" si="44"/>
        <v>1.0657475728155343</v>
      </c>
      <c r="V86">
        <f t="shared" ca="1" si="45"/>
        <v>1.3330982402200822</v>
      </c>
      <c r="W86">
        <v>1.1244782105419286</v>
      </c>
      <c r="X86" t="b">
        <f t="shared" ca="1" si="46"/>
        <v>1</v>
      </c>
      <c r="AS86">
        <v>0.63600620055779833</v>
      </c>
      <c r="AT86">
        <v>2.0217898868585125</v>
      </c>
      <c r="AU86">
        <v>999</v>
      </c>
      <c r="AV86">
        <v>4.2293815348049666</v>
      </c>
      <c r="AW86">
        <v>4.2214110253386767</v>
      </c>
      <c r="AX86">
        <v>3.348322720372622</v>
      </c>
      <c r="AY86">
        <v>-4.557234757781643</v>
      </c>
      <c r="AZ86">
        <v>999</v>
      </c>
      <c r="BA86">
        <v>999</v>
      </c>
      <c r="BB86">
        <v>999</v>
      </c>
      <c r="BC86">
        <v>999</v>
      </c>
      <c r="BD86">
        <v>999</v>
      </c>
      <c r="BE86">
        <v>-3.6381204662172499</v>
      </c>
      <c r="BF86">
        <v>-2.944818719788536</v>
      </c>
      <c r="BJ86" t="b">
        <f t="shared" si="27"/>
        <v>1</v>
      </c>
      <c r="BK86" t="b">
        <f t="shared" ca="1" si="28"/>
        <v>1</v>
      </c>
    </row>
    <row r="87" spans="1:63" x14ac:dyDescent="0.45">
      <c r="A87" s="1">
        <v>45113</v>
      </c>
      <c r="B87">
        <v>276.54000000000002</v>
      </c>
      <c r="C87" s="1">
        <v>45113</v>
      </c>
      <c r="D87">
        <v>439.66</v>
      </c>
      <c r="E87" s="4">
        <f t="shared" si="29"/>
        <v>-2.1028037383177562E-2</v>
      </c>
      <c r="F87" s="4">
        <f t="shared" si="30"/>
        <v>-7.8306591745085433E-3</v>
      </c>
      <c r="G87">
        <f t="shared" ca="1" si="31"/>
        <v>3.3705366293982562E-4</v>
      </c>
      <c r="H87">
        <f t="shared" ca="1" si="32"/>
        <v>3.9967857929066958E-2</v>
      </c>
      <c r="I87">
        <f t="shared" ca="1" si="33"/>
        <v>-0.15666434385524206</v>
      </c>
      <c r="J87">
        <f t="shared" ca="1" si="34"/>
        <v>0.44726569208202127</v>
      </c>
      <c r="K87">
        <f t="shared" ca="1" si="35"/>
        <v>1.0554496635879476</v>
      </c>
      <c r="L87">
        <f t="shared" ca="1" si="36"/>
        <v>1.1542779946020436</v>
      </c>
      <c r="M87">
        <f t="shared" ca="1" si="37"/>
        <v>7.2701777674582201E-4</v>
      </c>
      <c r="N87">
        <f t="shared" ca="1" si="38"/>
        <v>1.1915251235431624E-2</v>
      </c>
      <c r="O87">
        <f t="shared" ca="1" si="39"/>
        <v>0.5806061143626946</v>
      </c>
      <c r="P87">
        <f t="shared" ca="1" si="40"/>
        <v>1.5785921106975529</v>
      </c>
      <c r="Q87">
        <f t="shared" ca="1" si="41"/>
        <v>1.1536144236005004</v>
      </c>
      <c r="R87">
        <f t="shared" ca="1" si="42"/>
        <v>1.2034475845945711</v>
      </c>
      <c r="T87">
        <f t="shared" si="43"/>
        <v>0.9789719626168224</v>
      </c>
      <c r="U87" s="6">
        <f t="shared" ca="1" si="44"/>
        <v>1.0792226038089292</v>
      </c>
      <c r="V87">
        <f t="shared" ca="1" si="45"/>
        <v>1.3297905613364049</v>
      </c>
      <c r="W87">
        <v>1.1305199823804362</v>
      </c>
      <c r="X87" t="b">
        <f t="shared" ca="1" si="46"/>
        <v>1</v>
      </c>
      <c r="AS87">
        <v>0.60371435875718138</v>
      </c>
      <c r="AT87">
        <v>2.1773239498663037</v>
      </c>
      <c r="AU87">
        <v>999</v>
      </c>
      <c r="AV87">
        <v>4.2013346704614012</v>
      </c>
      <c r="AW87">
        <v>4.123451553182834</v>
      </c>
      <c r="AX87">
        <v>3.4013499884441467</v>
      </c>
      <c r="AY87">
        <v>-4.3673592850873337</v>
      </c>
      <c r="AZ87">
        <v>999</v>
      </c>
      <c r="BA87">
        <v>999</v>
      </c>
      <c r="BB87">
        <v>999</v>
      </c>
      <c r="BC87">
        <v>999</v>
      </c>
      <c r="BD87">
        <v>999</v>
      </c>
      <c r="BE87">
        <v>-3.8570455654013815</v>
      </c>
      <c r="BF87">
        <v>-3.0493825383227477</v>
      </c>
      <c r="BJ87" t="b">
        <f t="shared" si="27"/>
        <v>1</v>
      </c>
      <c r="BK87" t="b">
        <f t="shared" ca="1" si="28"/>
        <v>1</v>
      </c>
    </row>
    <row r="88" spans="1:63" x14ac:dyDescent="0.45">
      <c r="A88" s="1">
        <v>45112</v>
      </c>
      <c r="B88">
        <v>282.48</v>
      </c>
      <c r="C88" s="1">
        <v>45112</v>
      </c>
      <c r="D88">
        <v>443.13</v>
      </c>
      <c r="E88" s="4">
        <f t="shared" si="29"/>
        <v>9.5061110714031345E-3</v>
      </c>
      <c r="F88" s="4">
        <f t="shared" si="30"/>
        <v>-1.487189887108824E-3</v>
      </c>
      <c r="G88">
        <f t="shared" ca="1" si="31"/>
        <v>4.3560948771579407E-4</v>
      </c>
      <c r="H88">
        <f t="shared" ca="1" si="32"/>
        <v>3.9939201880672896E-2</v>
      </c>
      <c r="I88">
        <f t="shared" ca="1" si="33"/>
        <v>-0.16370288166873437</v>
      </c>
      <c r="J88">
        <f t="shared" ca="1" si="34"/>
        <v>0.45848827985775564</v>
      </c>
      <c r="K88">
        <f t="shared" ca="1" si="35"/>
        <v>1.0554496635879476</v>
      </c>
      <c r="L88">
        <f t="shared" ca="1" si="36"/>
        <v>1.1784236815056011</v>
      </c>
      <c r="M88">
        <f t="shared" ca="1" si="37"/>
        <v>7.0772751678938896E-4</v>
      </c>
      <c r="N88">
        <f t="shared" ca="1" si="38"/>
        <v>1.1932286182828338E-2</v>
      </c>
      <c r="O88">
        <f t="shared" ca="1" si="39"/>
        <v>0.57917617551373257</v>
      </c>
      <c r="P88">
        <f t="shared" ca="1" si="40"/>
        <v>1.5607467235791903</v>
      </c>
      <c r="Q88">
        <f t="shared" ca="1" si="41"/>
        <v>1.1536144236005004</v>
      </c>
      <c r="R88">
        <f t="shared" ca="1" si="42"/>
        <v>1.2034475845945711</v>
      </c>
      <c r="T88">
        <f t="shared" si="43"/>
        <v>1.0095061110714032</v>
      </c>
      <c r="U88" s="6">
        <f t="shared" ca="1" si="44"/>
        <v>1.1289716638024061</v>
      </c>
      <c r="V88">
        <f t="shared" ca="1" si="45"/>
        <v>1.3085324330451136</v>
      </c>
      <c r="W88">
        <v>1.0402750572176753</v>
      </c>
      <c r="X88" t="b">
        <f t="shared" ca="1" si="46"/>
        <v>1</v>
      </c>
      <c r="AS88">
        <v>0.62804935094486281</v>
      </c>
      <c r="AT88">
        <v>2.0761470026744622</v>
      </c>
      <c r="AU88">
        <v>999</v>
      </c>
      <c r="AV88">
        <v>4.2464873543691075</v>
      </c>
      <c r="AW88">
        <v>3.8807130828569694</v>
      </c>
      <c r="AX88">
        <v>3.6404367678146312</v>
      </c>
      <c r="AY88">
        <v>-4.1091858042018634</v>
      </c>
      <c r="AZ88">
        <v>999</v>
      </c>
      <c r="BA88">
        <v>999</v>
      </c>
      <c r="BB88">
        <v>2.0626711991576481</v>
      </c>
      <c r="BC88">
        <v>999</v>
      </c>
      <c r="BD88">
        <v>999</v>
      </c>
      <c r="BE88">
        <v>-2.8516707898995439</v>
      </c>
      <c r="BF88">
        <v>-3.2511079299293426</v>
      </c>
      <c r="BJ88" t="b">
        <f t="shared" si="27"/>
        <v>1</v>
      </c>
      <c r="BK88" t="b">
        <f t="shared" ca="1" si="28"/>
        <v>1</v>
      </c>
    </row>
    <row r="89" spans="1:63" x14ac:dyDescent="0.45">
      <c r="A89" s="1">
        <v>45110</v>
      </c>
      <c r="B89">
        <v>279.82</v>
      </c>
      <c r="C89" s="1">
        <v>45110</v>
      </c>
      <c r="D89">
        <v>443.79</v>
      </c>
      <c r="E89" s="4">
        <f t="shared" si="29"/>
        <v>6.8953661611338243E-2</v>
      </c>
      <c r="F89" s="4">
        <f t="shared" si="30"/>
        <v>1.1505143475907954E-3</v>
      </c>
      <c r="G89">
        <f t="shared" ca="1" si="31"/>
        <v>4.0691505806513364E-4</v>
      </c>
      <c r="H89">
        <f t="shared" ca="1" si="32"/>
        <v>3.9934713713470231E-2</v>
      </c>
      <c r="I89">
        <f t="shared" ca="1" si="33"/>
        <v>-0.16163723814255596</v>
      </c>
      <c r="J89">
        <f t="shared" ca="1" si="34"/>
        <v>0.45957315758676653</v>
      </c>
      <c r="K89">
        <f t="shared" ca="1" si="35"/>
        <v>1.0554496635879476</v>
      </c>
      <c r="L89">
        <f t="shared" ca="1" si="36"/>
        <v>1.1784236815056011</v>
      </c>
      <c r="M89">
        <f t="shared" ca="1" si="37"/>
        <v>6.5839712055843522E-4</v>
      </c>
      <c r="N89">
        <f t="shared" ca="1" si="38"/>
        <v>1.1961763734512493E-2</v>
      </c>
      <c r="O89">
        <f t="shared" ca="1" si="39"/>
        <v>0.58223006186285142</v>
      </c>
      <c r="P89">
        <f t="shared" ca="1" si="40"/>
        <v>1.5305481546356798</v>
      </c>
      <c r="Q89">
        <f t="shared" ca="1" si="41"/>
        <v>1.1536144236005004</v>
      </c>
      <c r="R89">
        <f t="shared" ca="1" si="42"/>
        <v>1.1969983509999225</v>
      </c>
      <c r="T89">
        <f t="shared" si="43"/>
        <v>1.0689536616113382</v>
      </c>
      <c r="U89" s="6">
        <f t="shared" ca="1" si="44"/>
        <v>1.1608380004148515</v>
      </c>
      <c r="V89">
        <f t="shared" ca="1" si="45"/>
        <v>1.2996760647834962</v>
      </c>
      <c r="W89">
        <v>1.0185139283044533</v>
      </c>
      <c r="X89" t="b">
        <f t="shared" ca="1" si="46"/>
        <v>1</v>
      </c>
      <c r="AS89">
        <v>0.65514008305494753</v>
      </c>
      <c r="AT89">
        <v>999</v>
      </c>
      <c r="AU89">
        <v>999</v>
      </c>
      <c r="AV89">
        <v>3.372396838905654</v>
      </c>
      <c r="AW89">
        <v>2.7480349228085461</v>
      </c>
      <c r="AX89">
        <v>3.0276803174164613</v>
      </c>
      <c r="AY89">
        <v>-4.3664394323359383</v>
      </c>
      <c r="AZ89">
        <v>999</v>
      </c>
      <c r="BA89">
        <v>999</v>
      </c>
      <c r="BB89">
        <v>2.7989424226915811</v>
      </c>
      <c r="BC89">
        <v>999</v>
      </c>
      <c r="BD89">
        <v>999</v>
      </c>
      <c r="BE89">
        <v>-2.4431175086000883</v>
      </c>
      <c r="BF89">
        <v>-2.340261663969625</v>
      </c>
      <c r="BJ89" t="b">
        <f t="shared" si="27"/>
        <v>1</v>
      </c>
      <c r="BK89" t="b">
        <f t="shared" ca="1" si="28"/>
        <v>1</v>
      </c>
    </row>
    <row r="90" spans="1:63" x14ac:dyDescent="0.45">
      <c r="A90" s="1">
        <v>45107</v>
      </c>
      <c r="B90">
        <v>261.77</v>
      </c>
      <c r="C90" s="1">
        <v>45107</v>
      </c>
      <c r="D90">
        <v>443.28</v>
      </c>
      <c r="E90" s="4">
        <f t="shared" si="29"/>
        <v>1.658252427184459E-2</v>
      </c>
      <c r="F90" s="4">
        <f t="shared" si="30"/>
        <v>1.1800689324598752E-2</v>
      </c>
      <c r="G90">
        <f t="shared" ca="1" si="31"/>
        <v>2.4151894731785928E-4</v>
      </c>
      <c r="H90">
        <f t="shared" ca="1" si="32"/>
        <v>3.971729925521901E-2</v>
      </c>
      <c r="I90">
        <f t="shared" ca="1" si="33"/>
        <v>-0.17416586460265956</v>
      </c>
      <c r="J90">
        <f t="shared" ca="1" si="34"/>
        <v>0.49123696679191786</v>
      </c>
      <c r="K90">
        <f t="shared" ca="1" si="35"/>
        <v>1.0554496635879476</v>
      </c>
      <c r="L90">
        <f t="shared" ca="1" si="36"/>
        <v>1.1784236815056011</v>
      </c>
      <c r="M90">
        <f t="shared" ca="1" si="37"/>
        <v>6.7172366354955779E-4</v>
      </c>
      <c r="N90">
        <f t="shared" ca="1" si="38"/>
        <v>1.1963799285530296E-2</v>
      </c>
      <c r="O90">
        <f t="shared" ca="1" si="39"/>
        <v>0.57865040473187668</v>
      </c>
      <c r="P90">
        <f t="shared" ca="1" si="40"/>
        <v>1.5248212886018946</v>
      </c>
      <c r="Q90">
        <f t="shared" ca="1" si="41"/>
        <v>1.1536144236005004</v>
      </c>
      <c r="R90">
        <f t="shared" ca="1" si="42"/>
        <v>1.1969983509999225</v>
      </c>
      <c r="T90">
        <f t="shared" si="43"/>
        <v>1.0165825242718447</v>
      </c>
      <c r="U90" s="6">
        <f t="shared" ca="1" si="44"/>
        <v>1.0201480904130944</v>
      </c>
      <c r="V90">
        <f t="shared" ca="1" si="45"/>
        <v>1.2562966819724863</v>
      </c>
      <c r="W90">
        <v>0.96077363890572753</v>
      </c>
      <c r="X90" t="b">
        <f t="shared" ca="1" si="46"/>
        <v>0</v>
      </c>
      <c r="AS90">
        <v>0.67560856412965098</v>
      </c>
      <c r="AT90">
        <v>999</v>
      </c>
      <c r="AU90">
        <v>999</v>
      </c>
      <c r="AV90">
        <v>3.3195040385907637</v>
      </c>
      <c r="AW90">
        <v>2.7831573617075338</v>
      </c>
      <c r="AX90">
        <v>3.0866730511150937</v>
      </c>
      <c r="AY90">
        <v>-4.4644449856810331</v>
      </c>
      <c r="AZ90">
        <v>999</v>
      </c>
      <c r="BA90">
        <v>999</v>
      </c>
      <c r="BB90">
        <v>3.032212783207239</v>
      </c>
      <c r="BC90">
        <v>999</v>
      </c>
      <c r="BD90">
        <v>999</v>
      </c>
      <c r="BE90">
        <v>-2.6645877332903023</v>
      </c>
      <c r="BF90">
        <v>-2.386974346548064</v>
      </c>
      <c r="BJ90" t="b">
        <f t="shared" si="27"/>
        <v>1</v>
      </c>
      <c r="BK90" t="b">
        <f t="shared" ca="1" si="28"/>
        <v>0</v>
      </c>
    </row>
    <row r="91" spans="1:63" x14ac:dyDescent="0.45">
      <c r="A91" s="1">
        <v>45106</v>
      </c>
      <c r="B91">
        <v>257.5</v>
      </c>
      <c r="C91" s="1">
        <v>45106</v>
      </c>
      <c r="D91">
        <v>438.11</v>
      </c>
      <c r="E91" s="4">
        <f t="shared" si="29"/>
        <v>4.9172650640024618E-3</v>
      </c>
      <c r="F91" s="4">
        <f t="shared" si="30"/>
        <v>3.9414285386925162E-3</v>
      </c>
      <c r="G91">
        <f t="shared" ca="1" si="31"/>
        <v>-4.3252947413679117E-5</v>
      </c>
      <c r="H91">
        <f t="shared" ca="1" si="32"/>
        <v>3.9803632748853554E-2</v>
      </c>
      <c r="I91">
        <f t="shared" ca="1" si="33"/>
        <v>-0.15709783171028135</v>
      </c>
      <c r="J91">
        <f t="shared" ca="1" si="34"/>
        <v>0.46121258160204937</v>
      </c>
      <c r="K91">
        <f t="shared" ca="1" si="35"/>
        <v>1.0554496635879476</v>
      </c>
      <c r="L91">
        <f t="shared" ca="1" si="36"/>
        <v>1.144666403600568</v>
      </c>
      <c r="M91">
        <f t="shared" ca="1" si="37"/>
        <v>3.9530775372973695E-4</v>
      </c>
      <c r="N91">
        <f t="shared" ca="1" si="38"/>
        <v>1.2338163608571977E-2</v>
      </c>
      <c r="O91">
        <f t="shared" ca="1" si="39"/>
        <v>0.35909964019712493</v>
      </c>
      <c r="P91">
        <f t="shared" ca="1" si="40"/>
        <v>1.8705719201799251</v>
      </c>
      <c r="Q91">
        <f t="shared" ca="1" si="41"/>
        <v>1.126886967964474</v>
      </c>
      <c r="R91">
        <f t="shared" ca="1" si="42"/>
        <v>1.1077757803448143</v>
      </c>
      <c r="T91">
        <f t="shared" si="43"/>
        <v>1.0049172650640024</v>
      </c>
      <c r="U91" s="6">
        <f t="shared" ca="1" si="44"/>
        <v>0.97313026718566931</v>
      </c>
      <c r="V91">
        <f t="shared" ca="1" si="45"/>
        <v>1.2438107556789886</v>
      </c>
      <c r="W91">
        <v>0.95575278332922586</v>
      </c>
      <c r="X91" t="b">
        <f t="shared" ca="1" si="46"/>
        <v>1</v>
      </c>
      <c r="AS91">
        <v>0.64882140494715768</v>
      </c>
      <c r="AT91">
        <v>999</v>
      </c>
      <c r="AU91">
        <v>999</v>
      </c>
      <c r="AV91">
        <v>2.9632673137978363</v>
      </c>
      <c r="AW91">
        <v>2.5652122724847062</v>
      </c>
      <c r="AX91">
        <v>2.7792186357855337</v>
      </c>
      <c r="AY91">
        <v>-4.3696842967324185</v>
      </c>
      <c r="AZ91">
        <v>999</v>
      </c>
      <c r="BA91">
        <v>999</v>
      </c>
      <c r="BB91">
        <v>2.8069421130920587</v>
      </c>
      <c r="BC91">
        <v>999</v>
      </c>
      <c r="BD91">
        <v>999</v>
      </c>
      <c r="BE91">
        <v>-2.5814855519603186</v>
      </c>
      <c r="BF91">
        <v>-2.1089862019725807</v>
      </c>
      <c r="BJ91" t="b">
        <f t="shared" si="27"/>
        <v>1</v>
      </c>
      <c r="BK91" t="b">
        <f t="shared" ca="1" si="28"/>
        <v>1</v>
      </c>
    </row>
    <row r="92" spans="1:63" x14ac:dyDescent="0.45">
      <c r="A92" s="1">
        <v>45105</v>
      </c>
      <c r="B92">
        <v>256.24</v>
      </c>
      <c r="C92" s="1">
        <v>45105</v>
      </c>
      <c r="D92">
        <v>436.39</v>
      </c>
      <c r="E92" s="4">
        <f t="shared" si="29"/>
        <v>2.4099756204787982E-2</v>
      </c>
      <c r="F92" s="4">
        <f t="shared" si="30"/>
        <v>5.0439048994651268E-4</v>
      </c>
      <c r="G92">
        <f t="shared" ca="1" si="31"/>
        <v>1.1245083913399446E-5</v>
      </c>
      <c r="H92">
        <f t="shared" ca="1" si="32"/>
        <v>3.98179178384655E-2</v>
      </c>
      <c r="I92">
        <f t="shared" ca="1" si="33"/>
        <v>-0.16076537471468288</v>
      </c>
      <c r="J92">
        <f t="shared" ca="1" si="34"/>
        <v>0.45719818407080526</v>
      </c>
      <c r="K92">
        <f t="shared" ca="1" si="35"/>
        <v>1.0554496635879476</v>
      </c>
      <c r="L92">
        <f t="shared" ca="1" si="36"/>
        <v>1.144666403600568</v>
      </c>
      <c r="M92">
        <f t="shared" ca="1" si="37"/>
        <v>4.293389287932839E-4</v>
      </c>
      <c r="N92">
        <f t="shared" ca="1" si="38"/>
        <v>1.2357365235858999E-2</v>
      </c>
      <c r="O92">
        <f t="shared" ca="1" si="39"/>
        <v>0.35194745344092099</v>
      </c>
      <c r="P92">
        <f t="shared" ca="1" si="40"/>
        <v>1.8385991035009148</v>
      </c>
      <c r="Q92">
        <f t="shared" ca="1" si="41"/>
        <v>1.126886967964474</v>
      </c>
      <c r="R92">
        <f t="shared" ca="1" si="42"/>
        <v>1.1801066958366586</v>
      </c>
      <c r="T92">
        <f t="shared" si="43"/>
        <v>1.024099756204788</v>
      </c>
      <c r="U92" s="6">
        <f t="shared" ca="1" si="44"/>
        <v>0.9875896091883144</v>
      </c>
      <c r="V92">
        <f t="shared" ca="1" si="45"/>
        <v>1.2581031616357974</v>
      </c>
      <c r="W92">
        <v>0.974425909449673</v>
      </c>
      <c r="X92" t="b">
        <f t="shared" ca="1" si="46"/>
        <v>1</v>
      </c>
      <c r="AS92">
        <v>0.69097224074433117</v>
      </c>
      <c r="AT92">
        <v>999</v>
      </c>
      <c r="AU92">
        <v>999</v>
      </c>
      <c r="AV92">
        <v>3.0138044586103887</v>
      </c>
      <c r="AW92">
        <v>2.6983197532886924</v>
      </c>
      <c r="AX92">
        <v>2.8992907386679412</v>
      </c>
      <c r="AY92">
        <v>-4.5428943502907675</v>
      </c>
      <c r="AZ92">
        <v>999</v>
      </c>
      <c r="BA92">
        <v>999</v>
      </c>
      <c r="BB92">
        <v>2.9367603284442958</v>
      </c>
      <c r="BC92">
        <v>999</v>
      </c>
      <c r="BD92">
        <v>999</v>
      </c>
      <c r="BE92">
        <v>-2.8802448322424001</v>
      </c>
      <c r="BF92">
        <v>-2.208206821843008</v>
      </c>
      <c r="BJ92" t="b">
        <f t="shared" si="27"/>
        <v>1</v>
      </c>
      <c r="BK92" t="b">
        <f t="shared" ca="1" si="28"/>
        <v>1</v>
      </c>
    </row>
    <row r="93" spans="1:63" x14ac:dyDescent="0.45">
      <c r="A93" s="1">
        <v>45104</v>
      </c>
      <c r="B93">
        <v>250.21</v>
      </c>
      <c r="C93" s="1">
        <v>45104</v>
      </c>
      <c r="D93">
        <v>436.17</v>
      </c>
      <c r="E93" s="4">
        <f t="shared" si="29"/>
        <v>3.8000414851690506E-2</v>
      </c>
      <c r="F93" s="4">
        <f t="shared" si="30"/>
        <v>1.0963285740775121E-2</v>
      </c>
      <c r="G93">
        <f t="shared" ca="1" si="31"/>
        <v>7.0861078523838295E-5</v>
      </c>
      <c r="H93">
        <f t="shared" ca="1" si="32"/>
        <v>3.9863064962708486E-2</v>
      </c>
      <c r="I93">
        <f t="shared" ca="1" si="33"/>
        <v>-0.1621294430824865</v>
      </c>
      <c r="J93">
        <f t="shared" ca="1" si="34"/>
        <v>0.44509043831507844</v>
      </c>
      <c r="K93">
        <f t="shared" ca="1" si="35"/>
        <v>1.0554496635879476</v>
      </c>
      <c r="L93">
        <f t="shared" ca="1" si="36"/>
        <v>1.1512648316528802</v>
      </c>
      <c r="M93">
        <f t="shared" ca="1" si="37"/>
        <v>5.0449318394632915E-4</v>
      </c>
      <c r="N93">
        <f t="shared" ca="1" si="38"/>
        <v>1.2403444907047903E-2</v>
      </c>
      <c r="O93">
        <f t="shared" ca="1" si="39"/>
        <v>0.33884727041344187</v>
      </c>
      <c r="P93">
        <f t="shared" ca="1" si="40"/>
        <v>1.7692068705689268</v>
      </c>
      <c r="Q93">
        <f t="shared" ca="1" si="41"/>
        <v>1.126886967964474</v>
      </c>
      <c r="R93">
        <f t="shared" ca="1" si="42"/>
        <v>1.1850568485972419</v>
      </c>
      <c r="T93">
        <f t="shared" si="43"/>
        <v>1.0380004148516906</v>
      </c>
      <c r="U93" s="6">
        <f t="shared" ca="1" si="44"/>
        <v>0.91167790125705983</v>
      </c>
      <c r="V93">
        <f t="shared" ca="1" si="45"/>
        <v>1.221045023738812</v>
      </c>
      <c r="W93">
        <v>0.99535604381499754</v>
      </c>
      <c r="X93" t="b">
        <f t="shared" ca="1" si="46"/>
        <v>1</v>
      </c>
      <c r="AS93">
        <v>0.69184734100215872</v>
      </c>
      <c r="AT93">
        <v>999</v>
      </c>
      <c r="AU93">
        <v>999</v>
      </c>
      <c r="AV93">
        <v>999</v>
      </c>
      <c r="AW93">
        <v>2.5431161707694829</v>
      </c>
      <c r="AX93">
        <v>2.1245527166630787</v>
      </c>
      <c r="AY93">
        <v>-6.4418941394690883</v>
      </c>
      <c r="AZ93">
        <v>3.7837700967943455</v>
      </c>
      <c r="BA93">
        <v>999</v>
      </c>
      <c r="BB93">
        <v>2.8351940470595394</v>
      </c>
      <c r="BC93">
        <v>999</v>
      </c>
      <c r="BD93">
        <v>999</v>
      </c>
      <c r="BE93">
        <v>-5.504665894416676</v>
      </c>
      <c r="BF93">
        <v>-0.94250047930754377</v>
      </c>
      <c r="BJ93" t="b">
        <f t="shared" si="27"/>
        <v>1</v>
      </c>
      <c r="BK93" t="b">
        <f t="shared" ca="1" si="28"/>
        <v>1</v>
      </c>
    </row>
    <row r="94" spans="1:63" x14ac:dyDescent="0.45">
      <c r="A94" s="1">
        <v>45103</v>
      </c>
      <c r="B94">
        <v>241.05</v>
      </c>
      <c r="C94" s="1">
        <v>45103</v>
      </c>
      <c r="D94">
        <v>431.44</v>
      </c>
      <c r="E94" s="4">
        <f t="shared" si="29"/>
        <v>-6.0600155884645401E-2</v>
      </c>
      <c r="F94" s="4">
        <f t="shared" si="30"/>
        <v>-4.085778259966256E-3</v>
      </c>
      <c r="G94">
        <f t="shared" ca="1" si="31"/>
        <v>-2.115016034511837E-5</v>
      </c>
      <c r="H94">
        <f t="shared" ca="1" si="32"/>
        <v>3.9796258574713639E-2</v>
      </c>
      <c r="I94">
        <f t="shared" ca="1" si="33"/>
        <v>-0.159735990932491</v>
      </c>
      <c r="J94">
        <f t="shared" ca="1" si="34"/>
        <v>0.46307644714645368</v>
      </c>
      <c r="K94">
        <f t="shared" ca="1" si="35"/>
        <v>1.0554496635879476</v>
      </c>
      <c r="L94">
        <f t="shared" ca="1" si="36"/>
        <v>1.102720994957785</v>
      </c>
      <c r="M94">
        <f t="shared" ca="1" si="37"/>
        <v>4.8235813691071221E-4</v>
      </c>
      <c r="N94">
        <f t="shared" ca="1" si="38"/>
        <v>1.2388627817524896E-2</v>
      </c>
      <c r="O94">
        <f t="shared" ca="1" si="39"/>
        <v>0.34301056676857727</v>
      </c>
      <c r="P94">
        <f t="shared" ca="1" si="40"/>
        <v>1.7924252922581747</v>
      </c>
      <c r="Q94">
        <f t="shared" ca="1" si="41"/>
        <v>1.126886967964474</v>
      </c>
      <c r="R94">
        <f t="shared" ca="1" si="42"/>
        <v>1.1801066958366586</v>
      </c>
      <c r="T94">
        <f t="shared" si="43"/>
        <v>0.9393998441153546</v>
      </c>
      <c r="U94" s="6">
        <f t="shared" ca="1" si="44"/>
        <v>0.92519382820296303</v>
      </c>
      <c r="V94">
        <f t="shared" ca="1" si="45"/>
        <v>1.2156054989599405</v>
      </c>
      <c r="W94">
        <v>1.0193256098083299</v>
      </c>
      <c r="X94" t="b">
        <f t="shared" ca="1" si="46"/>
        <v>0</v>
      </c>
      <c r="AS94">
        <v>0.70078239583306157</v>
      </c>
      <c r="AT94">
        <v>999</v>
      </c>
      <c r="AU94">
        <v>999</v>
      </c>
      <c r="AV94">
        <v>999</v>
      </c>
      <c r="AW94">
        <v>2.7879514222240473</v>
      </c>
      <c r="AX94">
        <v>2.3347240225171584</v>
      </c>
      <c r="AY94">
        <v>-6.2764674539272631</v>
      </c>
      <c r="AZ94">
        <v>4.2526565686503428</v>
      </c>
      <c r="BA94">
        <v>999</v>
      </c>
      <c r="BB94">
        <v>2.8970344184461032</v>
      </c>
      <c r="BC94">
        <v>999</v>
      </c>
      <c r="BD94">
        <v>999</v>
      </c>
      <c r="BE94">
        <v>-6.0989878774412327</v>
      </c>
      <c r="BF94">
        <v>-1.2902923576181005</v>
      </c>
      <c r="BJ94" t="b">
        <f t="shared" si="27"/>
        <v>1</v>
      </c>
      <c r="BK94" t="b">
        <f t="shared" ca="1" si="28"/>
        <v>0</v>
      </c>
    </row>
    <row r="95" spans="1:63" x14ac:dyDescent="0.45">
      <c r="A95" s="1">
        <v>45100</v>
      </c>
      <c r="B95">
        <v>256.60000000000002</v>
      </c>
      <c r="C95" s="1">
        <v>45100</v>
      </c>
      <c r="D95">
        <v>433.21</v>
      </c>
      <c r="E95" s="4">
        <f t="shared" si="29"/>
        <v>-3.0270964816144479E-2</v>
      </c>
      <c r="F95" s="4">
        <f t="shared" si="30"/>
        <v>-7.5599642619871513E-3</v>
      </c>
      <c r="G95">
        <f t="shared" ca="1" si="31"/>
        <v>4.5093450509224559E-4</v>
      </c>
      <c r="H95">
        <f t="shared" ca="1" si="32"/>
        <v>3.9633706894648506E-2</v>
      </c>
      <c r="I95">
        <f t="shared" ca="1" si="33"/>
        <v>-0.17652159467476813</v>
      </c>
      <c r="J95">
        <f t="shared" ca="1" si="34"/>
        <v>0.5031844284388769</v>
      </c>
      <c r="K95">
        <f t="shared" ca="1" si="35"/>
        <v>1.0554496635879476</v>
      </c>
      <c r="L95">
        <f t="shared" ca="1" si="36"/>
        <v>1.185216703344188</v>
      </c>
      <c r="M95">
        <f t="shared" ca="1" si="37"/>
        <v>5.9261198470557884E-4</v>
      </c>
      <c r="N95">
        <f t="shared" ca="1" si="38"/>
        <v>1.2445758727631847E-2</v>
      </c>
      <c r="O95">
        <f t="shared" ca="1" si="39"/>
        <v>0.32578331335200816</v>
      </c>
      <c r="P95">
        <f t="shared" ca="1" si="40"/>
        <v>1.7120049122523744</v>
      </c>
      <c r="Q95">
        <f t="shared" ca="1" si="41"/>
        <v>1.126886967964474</v>
      </c>
      <c r="R95">
        <f t="shared" ca="1" si="42"/>
        <v>1.1850568485972419</v>
      </c>
      <c r="T95">
        <f t="shared" si="43"/>
        <v>0.96972903518385556</v>
      </c>
      <c r="U95" s="6">
        <f t="shared" ca="1" si="44"/>
        <v>1.0027354435326299</v>
      </c>
      <c r="V95">
        <f t="shared" ca="1" si="45"/>
        <v>1.2245072689646932</v>
      </c>
      <c r="W95">
        <v>1.0404588647410891</v>
      </c>
      <c r="X95" t="b">
        <f t="shared" ca="1" si="46"/>
        <v>1</v>
      </c>
      <c r="AS95">
        <v>0.70063004789005934</v>
      </c>
      <c r="AT95">
        <v>999</v>
      </c>
      <c r="AU95">
        <v>999</v>
      </c>
      <c r="AV95">
        <v>999</v>
      </c>
      <c r="AW95">
        <v>2.6826558403969494</v>
      </c>
      <c r="AX95">
        <v>2.275690864789826</v>
      </c>
      <c r="AY95">
        <v>-6.0644977264161852</v>
      </c>
      <c r="AZ95">
        <v>4.0209797466798189</v>
      </c>
      <c r="BA95">
        <v>999</v>
      </c>
      <c r="BB95">
        <v>3.0749677795373174</v>
      </c>
      <c r="BC95">
        <v>999</v>
      </c>
      <c r="BD95">
        <v>999</v>
      </c>
      <c r="BE95">
        <v>-5.9836305407277299</v>
      </c>
      <c r="BF95">
        <v>-1.2800478648001423</v>
      </c>
      <c r="BJ95" t="b">
        <f t="shared" si="27"/>
        <v>1</v>
      </c>
      <c r="BK95" t="b">
        <f t="shared" ca="1" si="28"/>
        <v>1</v>
      </c>
    </row>
    <row r="96" spans="1:63" x14ac:dyDescent="0.45">
      <c r="A96" s="1">
        <v>45099</v>
      </c>
      <c r="B96">
        <v>264.61</v>
      </c>
      <c r="C96" s="1">
        <v>45099</v>
      </c>
      <c r="D96">
        <v>436.51</v>
      </c>
      <c r="E96" s="4">
        <f t="shared" si="29"/>
        <v>1.984891698142309E-2</v>
      </c>
      <c r="F96" s="4">
        <f t="shared" si="30"/>
        <v>3.6096932910286319E-3</v>
      </c>
      <c r="G96">
        <f t="shared" ca="1" si="31"/>
        <v>6.8019170140197613E-4</v>
      </c>
      <c r="H96">
        <f t="shared" ca="1" si="32"/>
        <v>3.9587690959690489E-2</v>
      </c>
      <c r="I96">
        <f t="shared" ca="1" si="33"/>
        <v>-0.19203124935523985</v>
      </c>
      <c r="J96">
        <f t="shared" ca="1" si="34"/>
        <v>0.52227742498499063</v>
      </c>
      <c r="K96">
        <f t="shared" ca="1" si="35"/>
        <v>1.0554496635879476</v>
      </c>
      <c r="L96">
        <f t="shared" ca="1" si="36"/>
        <v>1.1941870702803312</v>
      </c>
      <c r="M96">
        <f t="shared" ca="1" si="37"/>
        <v>6.1154580560760104E-4</v>
      </c>
      <c r="N96">
        <f t="shared" ca="1" si="38"/>
        <v>1.2436170553397222E-2</v>
      </c>
      <c r="O96">
        <f t="shared" ca="1" si="39"/>
        <v>0.32313423666507335</v>
      </c>
      <c r="P96">
        <f t="shared" ca="1" si="40"/>
        <v>1.7237947022127633</v>
      </c>
      <c r="Q96">
        <f t="shared" ca="1" si="41"/>
        <v>1.126886967964474</v>
      </c>
      <c r="R96">
        <f t="shared" ca="1" si="42"/>
        <v>1.2020193586024723</v>
      </c>
      <c r="T96">
        <f t="shared" si="43"/>
        <v>1.0198489169814231</v>
      </c>
      <c r="U96" s="6">
        <f t="shared" ca="1" si="44"/>
        <v>1.0304528992562014</v>
      </c>
      <c r="V96">
        <f t="shared" ca="1" si="45"/>
        <v>1.2456664842985026</v>
      </c>
      <c r="W96">
        <v>1.0903027471436775</v>
      </c>
      <c r="X96" t="b">
        <f t="shared" ca="1" si="46"/>
        <v>1</v>
      </c>
      <c r="AS96">
        <v>0.73276487801105994</v>
      </c>
      <c r="AT96">
        <v>999</v>
      </c>
      <c r="AU96">
        <v>999</v>
      </c>
      <c r="AV96">
        <v>999</v>
      </c>
      <c r="AW96">
        <v>3.3183557141913198</v>
      </c>
      <c r="AX96">
        <v>2.6582535921523576</v>
      </c>
      <c r="AY96">
        <v>-6.1189472828079117</v>
      </c>
      <c r="AZ96">
        <v>4.0958800199617436</v>
      </c>
      <c r="BA96">
        <v>999</v>
      </c>
      <c r="BB96">
        <v>2.8070128112636947</v>
      </c>
      <c r="BC96">
        <v>999</v>
      </c>
      <c r="BD96">
        <v>999</v>
      </c>
      <c r="BE96">
        <v>-6.5555875770033856</v>
      </c>
      <c r="BF96">
        <v>-1.7694137426901173</v>
      </c>
      <c r="BJ96" t="b">
        <f t="shared" si="27"/>
        <v>1</v>
      </c>
      <c r="BK96" t="b">
        <f t="shared" ca="1" si="28"/>
        <v>1</v>
      </c>
    </row>
    <row r="97" spans="1:63" x14ac:dyDescent="0.45">
      <c r="A97" s="1">
        <v>45098</v>
      </c>
      <c r="B97">
        <v>259.45999999999998</v>
      </c>
      <c r="C97" s="1">
        <v>45098</v>
      </c>
      <c r="D97">
        <v>434.94</v>
      </c>
      <c r="E97" s="4">
        <f t="shared" si="29"/>
        <v>-5.4618327564219381E-2</v>
      </c>
      <c r="F97" s="4">
        <f t="shared" si="30"/>
        <v>-5.1237476554279911E-3</v>
      </c>
      <c r="G97">
        <f t="shared" ca="1" si="31"/>
        <v>4.5556827394903782E-4</v>
      </c>
      <c r="H97">
        <f t="shared" ca="1" si="32"/>
        <v>3.9605828472469677E-2</v>
      </c>
      <c r="I97">
        <f t="shared" ca="1" si="33"/>
        <v>-0.17655247912068867</v>
      </c>
      <c r="J97">
        <f t="shared" ca="1" si="34"/>
        <v>0.51210254561328483</v>
      </c>
      <c r="K97">
        <f t="shared" ca="1" si="35"/>
        <v>1.0554496635879476</v>
      </c>
      <c r="L97">
        <f t="shared" ca="1" si="36"/>
        <v>1.185216703344188</v>
      </c>
      <c r="M97">
        <f t="shared" ca="1" si="37"/>
        <v>5.4077547849961489E-4</v>
      </c>
      <c r="N97">
        <f t="shared" ca="1" si="38"/>
        <v>1.2459275005206681E-2</v>
      </c>
      <c r="O97">
        <f t="shared" ca="1" si="39"/>
        <v>0.33483813265939838</v>
      </c>
      <c r="P97">
        <f t="shared" ca="1" si="40"/>
        <v>1.6993884924988114</v>
      </c>
      <c r="Q97">
        <f t="shared" ca="1" si="41"/>
        <v>1.126886967964474</v>
      </c>
      <c r="R97">
        <f t="shared" ca="1" si="42"/>
        <v>1.1850568485972419</v>
      </c>
      <c r="T97">
        <f t="shared" si="43"/>
        <v>0.94538167243578064</v>
      </c>
      <c r="U97" s="6">
        <f t="shared" ca="1" si="44"/>
        <v>1.0028989988790535</v>
      </c>
      <c r="V97">
        <f t="shared" ca="1" si="45"/>
        <v>1.2221598019390973</v>
      </c>
      <c r="W97">
        <v>1.0780758674487179</v>
      </c>
      <c r="X97" t="b">
        <f t="shared" ca="1" si="46"/>
        <v>1</v>
      </c>
      <c r="AS97">
        <v>0.76008718547169696</v>
      </c>
      <c r="AT97">
        <v>999</v>
      </c>
      <c r="AU97">
        <v>999</v>
      </c>
      <c r="AV97">
        <v>999</v>
      </c>
      <c r="AW97">
        <v>3.5082826538853591</v>
      </c>
      <c r="AX97">
        <v>2.7524323292192534</v>
      </c>
      <c r="AY97">
        <v>-6.2795526499490375</v>
      </c>
      <c r="AZ97">
        <v>4.3959999708655948</v>
      </c>
      <c r="BA97">
        <v>999</v>
      </c>
      <c r="BB97">
        <v>2.9691338512223377</v>
      </c>
      <c r="BC97">
        <v>999</v>
      </c>
      <c r="BD97">
        <v>999</v>
      </c>
      <c r="BE97">
        <v>-6.9253830795363918</v>
      </c>
      <c r="BF97">
        <v>-2.0012030023779914</v>
      </c>
      <c r="BJ97" t="b">
        <f t="shared" si="27"/>
        <v>1</v>
      </c>
      <c r="BK97" t="b">
        <f t="shared" ca="1" si="28"/>
        <v>1</v>
      </c>
    </row>
    <row r="98" spans="1:63" x14ac:dyDescent="0.45">
      <c r="A98" s="1">
        <v>45097</v>
      </c>
      <c r="B98">
        <v>274.45</v>
      </c>
      <c r="C98" s="1">
        <v>45097</v>
      </c>
      <c r="D98">
        <v>437.18</v>
      </c>
      <c r="E98" s="4">
        <f t="shared" si="29"/>
        <v>5.3389114915176047E-2</v>
      </c>
      <c r="F98" s="4">
        <f t="shared" si="30"/>
        <v>-5.1881855003867768E-3</v>
      </c>
      <c r="G98">
        <f t="shared" ca="1" si="31"/>
        <v>7.5677935591222196E-4</v>
      </c>
      <c r="H98">
        <f t="shared" ca="1" si="32"/>
        <v>3.9413485184318746E-2</v>
      </c>
      <c r="I98">
        <f t="shared" ca="1" si="33"/>
        <v>-0.18844863789671173</v>
      </c>
      <c r="J98">
        <f t="shared" ca="1" si="34"/>
        <v>0.56783772300651014</v>
      </c>
      <c r="K98">
        <f t="shared" ca="1" si="35"/>
        <v>1.0554496635879476</v>
      </c>
      <c r="L98">
        <f t="shared" ca="1" si="36"/>
        <v>1.1941870702803312</v>
      </c>
      <c r="M98">
        <f t="shared" ca="1" si="37"/>
        <v>5.8208326986648599E-4</v>
      </c>
      <c r="N98">
        <f t="shared" ca="1" si="38"/>
        <v>1.2454094541701346E-2</v>
      </c>
      <c r="O98">
        <f t="shared" ca="1" si="39"/>
        <v>0.32572881824573113</v>
      </c>
      <c r="P98">
        <f t="shared" ca="1" si="40"/>
        <v>1.7025995452258842</v>
      </c>
      <c r="Q98">
        <f t="shared" ca="1" si="41"/>
        <v>1.126886967964474</v>
      </c>
      <c r="R98">
        <f t="shared" ca="1" si="42"/>
        <v>1.1850568485972419</v>
      </c>
      <c r="T98">
        <f t="shared" si="43"/>
        <v>1.053389114915176</v>
      </c>
      <c r="U98" s="6">
        <f t="shared" ca="1" si="44"/>
        <v>1.098547011968138</v>
      </c>
      <c r="V98">
        <f t="shared" ca="1" si="45"/>
        <v>1.2080352074583862</v>
      </c>
      <c r="W98">
        <v>1.0612252000625062</v>
      </c>
      <c r="X98" t="b">
        <f t="shared" ca="1" si="46"/>
        <v>1</v>
      </c>
      <c r="AS98">
        <v>0.74749274398478505</v>
      </c>
      <c r="AT98">
        <v>999</v>
      </c>
      <c r="AU98">
        <v>999</v>
      </c>
      <c r="AV98">
        <v>999</v>
      </c>
      <c r="AW98">
        <v>3.1680764677789672</v>
      </c>
      <c r="AX98">
        <v>2.6170008083559644</v>
      </c>
      <c r="AY98">
        <v>-5.9869348843776127</v>
      </c>
      <c r="AZ98">
        <v>3.7294776252861652</v>
      </c>
      <c r="BA98">
        <v>999</v>
      </c>
      <c r="BB98">
        <v>3.2142069737461454</v>
      </c>
      <c r="BC98">
        <v>999</v>
      </c>
      <c r="BD98">
        <v>999</v>
      </c>
      <c r="BE98">
        <v>-6.0333448675423753</v>
      </c>
      <c r="BF98">
        <v>-1.7908539237237753</v>
      </c>
      <c r="BJ98" t="b">
        <f t="shared" si="27"/>
        <v>1</v>
      </c>
      <c r="BK98" t="b">
        <f t="shared" ca="1" si="28"/>
        <v>1</v>
      </c>
    </row>
    <row r="99" spans="1:63" x14ac:dyDescent="0.45">
      <c r="A99" s="1">
        <v>45093</v>
      </c>
      <c r="B99">
        <v>260.54000000000002</v>
      </c>
      <c r="C99" s="1">
        <v>45093</v>
      </c>
      <c r="D99">
        <v>439.46</v>
      </c>
      <c r="E99" s="4">
        <f t="shared" si="29"/>
        <v>1.8132082844861331E-2</v>
      </c>
      <c r="F99" s="4">
        <f t="shared" si="30"/>
        <v>-7.0944419340263059E-3</v>
      </c>
      <c r="G99">
        <f t="shared" ca="1" si="31"/>
        <v>4.522032447861063E-4</v>
      </c>
      <c r="H99">
        <f t="shared" ca="1" si="32"/>
        <v>3.9239698273862686E-2</v>
      </c>
      <c r="I99">
        <f t="shared" ca="1" si="33"/>
        <v>-0.17973859399591002</v>
      </c>
      <c r="J99">
        <f t="shared" ca="1" si="34"/>
        <v>0.6094617156434361</v>
      </c>
      <c r="K99">
        <f t="shared" ca="1" si="35"/>
        <v>1.0554496635879476</v>
      </c>
      <c r="L99">
        <f t="shared" ca="1" si="36"/>
        <v>1.1438333892425339</v>
      </c>
      <c r="M99">
        <f t="shared" ca="1" si="37"/>
        <v>5.6997894486346065E-4</v>
      </c>
      <c r="N99">
        <f t="shared" ca="1" si="38"/>
        <v>1.2460905511614551E-2</v>
      </c>
      <c r="O99">
        <f t="shared" ca="1" si="39"/>
        <v>0.32720083879396983</v>
      </c>
      <c r="P99">
        <f t="shared" ca="1" si="40"/>
        <v>1.6942466578729984</v>
      </c>
      <c r="Q99">
        <f t="shared" ca="1" si="41"/>
        <v>1.126886967964474</v>
      </c>
      <c r="R99">
        <f t="shared" ca="1" si="42"/>
        <v>1.1809869115124727</v>
      </c>
      <c r="T99">
        <f t="shared" si="43"/>
        <v>1.0181320828448612</v>
      </c>
      <c r="U99" s="6">
        <f t="shared" ca="1" si="44"/>
        <v>1.0660392798690672</v>
      </c>
      <c r="V99">
        <f t="shared" ca="1" si="45"/>
        <v>1.2033110107618703</v>
      </c>
      <c r="W99">
        <v>1.0485557785938577</v>
      </c>
      <c r="X99" t="b">
        <f t="shared" ca="1" si="46"/>
        <v>1</v>
      </c>
      <c r="AS99">
        <v>0.72248125069383196</v>
      </c>
      <c r="AT99">
        <v>999</v>
      </c>
      <c r="AU99">
        <v>999</v>
      </c>
      <c r="AV99">
        <v>999</v>
      </c>
      <c r="AW99">
        <v>2.8360370630164033</v>
      </c>
      <c r="AX99">
        <v>2.4592718321002724</v>
      </c>
      <c r="AY99">
        <v>-5.5686690052529455</v>
      </c>
      <c r="AZ99">
        <v>3.4155155485855779</v>
      </c>
      <c r="BA99">
        <v>999</v>
      </c>
      <c r="BB99">
        <v>3.3626985136008343</v>
      </c>
      <c r="BC99">
        <v>999</v>
      </c>
      <c r="BD99">
        <v>999</v>
      </c>
      <c r="BE99">
        <v>-5.3887494731341885</v>
      </c>
      <c r="BF99">
        <v>-1.6766378646780233</v>
      </c>
      <c r="BJ99" t="b">
        <f t="shared" si="27"/>
        <v>1</v>
      </c>
      <c r="BK99" t="b">
        <f t="shared" ca="1" si="28"/>
        <v>1</v>
      </c>
    </row>
    <row r="100" spans="1:63" x14ac:dyDescent="0.45">
      <c r="A100" s="1">
        <v>45092</v>
      </c>
      <c r="B100">
        <v>255.9</v>
      </c>
      <c r="C100" s="1">
        <v>45092</v>
      </c>
      <c r="D100">
        <v>442.6</v>
      </c>
      <c r="E100" s="4">
        <f t="shared" si="29"/>
        <v>-3.4658670508976781E-3</v>
      </c>
      <c r="F100" s="4">
        <f t="shared" si="30"/>
        <v>1.2397639416258785E-2</v>
      </c>
      <c r="G100">
        <f t="shared" ca="1" si="31"/>
        <v>2.3655160803529211E-4</v>
      </c>
      <c r="H100">
        <f t="shared" ca="1" si="32"/>
        <v>3.926055702382953E-2</v>
      </c>
      <c r="I100">
        <f t="shared" ca="1" si="33"/>
        <v>-0.16465338770124843</v>
      </c>
      <c r="J100">
        <f t="shared" ca="1" si="34"/>
        <v>0.59852383906967876</v>
      </c>
      <c r="K100">
        <f t="shared" ca="1" si="35"/>
        <v>1.0554496635879476</v>
      </c>
      <c r="L100">
        <f t="shared" ca="1" si="36"/>
        <v>1.1352412637115574</v>
      </c>
      <c r="M100">
        <f t="shared" ca="1" si="37"/>
        <v>5.505620503933144E-4</v>
      </c>
      <c r="N100">
        <f t="shared" ca="1" si="38"/>
        <v>1.2475924955737244E-2</v>
      </c>
      <c r="O100">
        <f t="shared" ca="1" si="39"/>
        <v>0.32788839163462941</v>
      </c>
      <c r="P100">
        <f t="shared" ca="1" si="40"/>
        <v>1.6765938041263659</v>
      </c>
      <c r="Q100">
        <f t="shared" ca="1" si="41"/>
        <v>1.126886967964474</v>
      </c>
      <c r="R100">
        <f t="shared" ca="1" si="42"/>
        <v>1.1690773252449365</v>
      </c>
      <c r="T100">
        <f t="shared" si="43"/>
        <v>0.99653413294910231</v>
      </c>
      <c r="U100" s="6">
        <f t="shared" ca="1" si="44"/>
        <v>1.0895852848505492</v>
      </c>
      <c r="V100">
        <f t="shared" ca="1" si="45"/>
        <v>1.2090880578130498</v>
      </c>
      <c r="W100">
        <v>1.0644675601087907</v>
      </c>
      <c r="X100" t="b">
        <f t="shared" ca="1" si="46"/>
        <v>1</v>
      </c>
      <c r="AS100">
        <v>0.71933108465561324</v>
      </c>
      <c r="AT100">
        <v>999</v>
      </c>
      <c r="AU100">
        <v>999</v>
      </c>
      <c r="AV100">
        <v>999</v>
      </c>
      <c r="AW100">
        <v>2.653227150571805</v>
      </c>
      <c r="AX100">
        <v>2.3358825591167984</v>
      </c>
      <c r="AY100">
        <v>-5.4418095509733391</v>
      </c>
      <c r="AZ100">
        <v>3.017999740179917</v>
      </c>
      <c r="BA100">
        <v>999</v>
      </c>
      <c r="BB100">
        <v>3.3644784224198592</v>
      </c>
      <c r="BC100">
        <v>999</v>
      </c>
      <c r="BD100">
        <v>999</v>
      </c>
      <c r="BE100">
        <v>-4.9015973111392706</v>
      </c>
      <c r="BF100">
        <v>-1.5052095479374812</v>
      </c>
      <c r="BJ100" t="b">
        <f t="shared" si="27"/>
        <v>1</v>
      </c>
      <c r="BK100" t="b">
        <f t="shared" ca="1" si="28"/>
        <v>1</v>
      </c>
    </row>
    <row r="101" spans="1:63" x14ac:dyDescent="0.45">
      <c r="A101">
        <v>45091</v>
      </c>
      <c r="B101">
        <v>256.79000000000002</v>
      </c>
      <c r="C101" s="1">
        <v>45091</v>
      </c>
      <c r="D101">
        <v>437.18</v>
      </c>
      <c r="E101" s="4">
        <f t="shared" si="29"/>
        <v>-7.4214371303774852E-3</v>
      </c>
      <c r="F101" s="4">
        <f t="shared" si="30"/>
        <v>1.1908578756927169E-3</v>
      </c>
      <c r="G101">
        <f t="shared" ca="1" si="31"/>
        <v>1.9712784529956896E-4</v>
      </c>
      <c r="H101">
        <f t="shared" ca="1" si="32"/>
        <v>3.9268251526546491E-2</v>
      </c>
      <c r="I101">
        <f t="shared" ca="1" si="33"/>
        <v>-0.16164046989780875</v>
      </c>
      <c r="J101">
        <f t="shared" ca="1" si="34"/>
        <v>0.59503864693759745</v>
      </c>
      <c r="K101">
        <f t="shared" ca="1" si="35"/>
        <v>1.0554496635879476</v>
      </c>
      <c r="L101">
        <f t="shared" ca="1" si="36"/>
        <v>1.1352412637115574</v>
      </c>
      <c r="M101">
        <f t="shared" ca="1" si="37"/>
        <v>4.5551273959659278E-4</v>
      </c>
      <c r="N101">
        <f t="shared" ca="1" si="38"/>
        <v>1.245761403999459E-2</v>
      </c>
      <c r="O101">
        <f t="shared" ca="1" si="39"/>
        <v>0.34712706992372505</v>
      </c>
      <c r="P101">
        <f t="shared" ca="1" si="40"/>
        <v>1.7111991347835476</v>
      </c>
      <c r="Q101">
        <f t="shared" ca="1" si="41"/>
        <v>1.126886967964474</v>
      </c>
      <c r="R101">
        <f t="shared" ca="1" si="42"/>
        <v>1.1641939212498058</v>
      </c>
      <c r="T101">
        <f t="shared" si="43"/>
        <v>0.99257856286962254</v>
      </c>
      <c r="U101" s="6">
        <f t="shared" ca="1" si="44"/>
        <v>1.1434741951284677</v>
      </c>
      <c r="V101">
        <f t="shared" ca="1" si="45"/>
        <v>1.2124088235612822</v>
      </c>
      <c r="W101">
        <v>1.0441184476070005</v>
      </c>
      <c r="X101" t="b">
        <f t="shared" ca="1" si="46"/>
        <v>1</v>
      </c>
      <c r="AS101">
        <v>0.73081679443805037</v>
      </c>
      <c r="AT101">
        <v>999</v>
      </c>
      <c r="AU101">
        <v>999</v>
      </c>
      <c r="AV101">
        <v>2.2958245683253926</v>
      </c>
      <c r="AW101">
        <v>3.3440246950270116</v>
      </c>
      <c r="AX101">
        <v>2.9753304072441327</v>
      </c>
      <c r="AY101">
        <v>-3.1817898032150089</v>
      </c>
      <c r="AZ101">
        <v>3.2608190945451829</v>
      </c>
      <c r="BA101">
        <v>2.5696581070490634</v>
      </c>
      <c r="BB101">
        <v>3.535277323279792</v>
      </c>
      <c r="BC101">
        <v>999</v>
      </c>
      <c r="BD101">
        <v>999</v>
      </c>
      <c r="BE101">
        <v>-4.0376940313762724</v>
      </c>
      <c r="BF101">
        <v>-3.10133641240999</v>
      </c>
      <c r="BJ101" t="b">
        <f t="shared" si="27"/>
        <v>1</v>
      </c>
      <c r="BK101" t="b">
        <f t="shared" ca="1" si="28"/>
        <v>1</v>
      </c>
    </row>
    <row r="102" spans="1:63" x14ac:dyDescent="0.45">
      <c r="A102">
        <v>45090</v>
      </c>
      <c r="B102">
        <v>258.70999999999998</v>
      </c>
      <c r="C102">
        <v>45090</v>
      </c>
      <c r="D102">
        <v>436.66</v>
      </c>
      <c r="E102">
        <f t="shared" si="29"/>
        <v>3.5544170035624094E-2</v>
      </c>
      <c r="F102">
        <f t="shared" si="30"/>
        <v>6.5928999538958357E-3</v>
      </c>
      <c r="G102">
        <f t="shared" ca="1" si="31"/>
        <v>9.9469603856511567E-5</v>
      </c>
      <c r="H102">
        <f t="shared" ca="1" si="32"/>
        <v>3.9311556993287096E-2</v>
      </c>
      <c r="I102">
        <f t="shared" ca="1" si="33"/>
        <v>-0.15521412619391464</v>
      </c>
      <c r="J102">
        <f t="shared" ca="1" si="34"/>
        <v>0.57858153627033326</v>
      </c>
      <c r="K102">
        <f t="shared" ca="1" si="35"/>
        <v>1.0554496635879476</v>
      </c>
      <c r="L102">
        <f t="shared" ca="1" si="36"/>
        <v>1.102720994957785</v>
      </c>
      <c r="M102">
        <f t="shared" ca="1" si="37"/>
        <v>2.8031337858694052E-4</v>
      </c>
      <c r="N102">
        <f t="shared" ca="1" si="38"/>
        <v>1.2691420409049092E-2</v>
      </c>
      <c r="O102">
        <f t="shared" ca="1" si="39"/>
        <v>0.26988856611649931</v>
      </c>
      <c r="P102">
        <f t="shared" ca="1" si="40"/>
        <v>1.6606992244895888</v>
      </c>
      <c r="Q102">
        <f t="shared" ca="1" si="41"/>
        <v>1.0930304169704419</v>
      </c>
      <c r="R102">
        <f t="shared" ca="1" si="42"/>
        <v>1.1395127231503095</v>
      </c>
      <c r="T102">
        <f t="shared" si="43"/>
        <v>1.035544170035624</v>
      </c>
      <c r="U102">
        <f t="shared" ca="1" si="44"/>
        <v>1.1689937192173872</v>
      </c>
      <c r="V102">
        <f t="shared" ca="1" si="45"/>
        <v>1.2206764464767375</v>
      </c>
      <c r="W102">
        <v>1.055274487290542</v>
      </c>
      <c r="X102" t="b">
        <f t="shared" ca="1" si="46"/>
        <v>1</v>
      </c>
      <c r="AS102">
        <v>0.72525405975772272</v>
      </c>
      <c r="AT102">
        <v>999</v>
      </c>
      <c r="AU102">
        <v>999</v>
      </c>
      <c r="AV102">
        <v>2.5204308073042516</v>
      </c>
      <c r="AW102">
        <v>3.5396804616179041</v>
      </c>
      <c r="AX102">
        <v>3.2950774395202425</v>
      </c>
      <c r="AY102">
        <v>-2.86331197080646</v>
      </c>
      <c r="AZ102">
        <v>3.5387951159168263</v>
      </c>
      <c r="BA102">
        <v>3.4223199627304237</v>
      </c>
      <c r="BB102">
        <v>3.646215857669366</v>
      </c>
      <c r="BC102">
        <v>999</v>
      </c>
      <c r="BD102">
        <v>999</v>
      </c>
      <c r="BE102">
        <v>-4.5782108546785016</v>
      </c>
      <c r="BF102">
        <v>-3.5521547154122466</v>
      </c>
      <c r="BJ102" t="b">
        <f t="shared" si="27"/>
        <v>1</v>
      </c>
      <c r="BK102" t="b">
        <f t="shared" ca="1" si="28"/>
        <v>1</v>
      </c>
    </row>
    <row r="103" spans="1:63" x14ac:dyDescent="0.45">
      <c r="A103" s="1">
        <v>45089</v>
      </c>
      <c r="B103">
        <v>249.83</v>
      </c>
      <c r="C103" s="1">
        <v>45089</v>
      </c>
      <c r="D103">
        <v>433.8</v>
      </c>
      <c r="E103" s="4">
        <f t="shared" si="29"/>
        <v>2.2217675941080223E-2</v>
      </c>
      <c r="F103" s="4">
        <f t="shared" si="30"/>
        <v>9.0718771807397867E-3</v>
      </c>
      <c r="G103">
        <f t="shared" ca="1" si="31"/>
        <v>-9.5530132287018771E-5</v>
      </c>
      <c r="H103">
        <f t="shared" ca="1" si="32"/>
        <v>3.9231500274621363E-2</v>
      </c>
      <c r="I103">
        <f t="shared" ca="1" si="33"/>
        <v>-0.14485118675597397</v>
      </c>
      <c r="J103">
        <f t="shared" ca="1" si="34"/>
        <v>0.60171437276750916</v>
      </c>
      <c r="K103">
        <f t="shared" ca="1" si="35"/>
        <v>1.0554496635879476</v>
      </c>
      <c r="L103">
        <f t="shared" ca="1" si="36"/>
        <v>1.0701647950768758</v>
      </c>
      <c r="M103">
        <f t="shared" ca="1" si="37"/>
        <v>3.1793654531491063E-4</v>
      </c>
      <c r="N103">
        <f t="shared" ca="1" si="38"/>
        <v>1.2721345780152007E-2</v>
      </c>
      <c r="O103">
        <f t="shared" ca="1" si="39"/>
        <v>0.26493829947778619</v>
      </c>
      <c r="P103">
        <f t="shared" ca="1" si="40"/>
        <v>1.6202533115525775</v>
      </c>
      <c r="Q103">
        <f t="shared" ca="1" si="41"/>
        <v>1.0930304169704419</v>
      </c>
      <c r="R103">
        <f t="shared" ca="1" si="42"/>
        <v>1.1442925977770042</v>
      </c>
      <c r="T103">
        <f t="shared" si="43"/>
        <v>1.0222176759410802</v>
      </c>
      <c r="U103" s="6">
        <f t="shared" ca="1" si="44"/>
        <v>1.1480630485731351</v>
      </c>
      <c r="V103">
        <f t="shared" ca="1" si="45"/>
        <v>1.2257286733255439</v>
      </c>
      <c r="W103">
        <v>1.0569595958766209</v>
      </c>
      <c r="X103" t="b">
        <f t="shared" ca="1" si="46"/>
        <v>1</v>
      </c>
      <c r="AS103">
        <v>0.72086506050951349</v>
      </c>
      <c r="AT103">
        <v>999</v>
      </c>
      <c r="AU103">
        <v>999</v>
      </c>
      <c r="AV103">
        <v>2.6553591057463559</v>
      </c>
      <c r="AW103">
        <v>3.6521066489453449</v>
      </c>
      <c r="AX103">
        <v>3.4784829420778309</v>
      </c>
      <c r="AY103">
        <v>-2.5946046189237193</v>
      </c>
      <c r="AZ103">
        <v>3.5568434486106471</v>
      </c>
      <c r="BA103">
        <v>3.8685522198707436</v>
      </c>
      <c r="BB103">
        <v>3.6165854105438644</v>
      </c>
      <c r="BC103">
        <v>999</v>
      </c>
      <c r="BD103">
        <v>999</v>
      </c>
      <c r="BE103">
        <v>-4.8011980076507399</v>
      </c>
      <c r="BF103">
        <v>-3.7882799267511307</v>
      </c>
      <c r="BJ103" t="b">
        <f t="shared" si="27"/>
        <v>1</v>
      </c>
      <c r="BK103" t="b">
        <f t="shared" ca="1" si="28"/>
        <v>1</v>
      </c>
    </row>
    <row r="104" spans="1:63" x14ac:dyDescent="0.45">
      <c r="A104" s="1">
        <v>45086</v>
      </c>
      <c r="B104">
        <v>244.4</v>
      </c>
      <c r="C104" s="1">
        <v>45086</v>
      </c>
      <c r="D104">
        <v>429.9</v>
      </c>
      <c r="E104" s="4">
        <f t="shared" si="29"/>
        <v>4.0619943796304146E-2</v>
      </c>
      <c r="F104" s="4">
        <f t="shared" si="30"/>
        <v>1.7943280590962689E-3</v>
      </c>
      <c r="G104">
        <f t="shared" ca="1" si="31"/>
        <v>-1.9576181632734011E-4</v>
      </c>
      <c r="H104">
        <f t="shared" ca="1" si="32"/>
        <v>3.9199801455669758E-2</v>
      </c>
      <c r="I104">
        <f t="shared" ca="1" si="33"/>
        <v>-0.13838971021708008</v>
      </c>
      <c r="J104">
        <f t="shared" ca="1" si="34"/>
        <v>0.61149855927601582</v>
      </c>
      <c r="K104">
        <f t="shared" ca="1" si="35"/>
        <v>1.0554496635879476</v>
      </c>
      <c r="L104">
        <f t="shared" ca="1" si="36"/>
        <v>1.0265846168069097</v>
      </c>
      <c r="M104">
        <f t="shared" ca="1" si="37"/>
        <v>2.8858297970950136E-4</v>
      </c>
      <c r="N104">
        <f t="shared" ca="1" si="38"/>
        <v>1.2707811124391455E-2</v>
      </c>
      <c r="O104">
        <f t="shared" ca="1" si="39"/>
        <v>0.27118543145055013</v>
      </c>
      <c r="P104">
        <f t="shared" ca="1" si="40"/>
        <v>1.6415345807084103</v>
      </c>
      <c r="Q104">
        <f t="shared" ca="1" si="41"/>
        <v>1.0930304169704419</v>
      </c>
      <c r="R104">
        <f t="shared" ca="1" si="42"/>
        <v>1.1395127231503095</v>
      </c>
      <c r="T104">
        <f t="shared" si="43"/>
        <v>1.0406199437963042</v>
      </c>
      <c r="U104" s="6">
        <f t="shared" ca="1" si="44"/>
        <v>1.1422161985325046</v>
      </c>
      <c r="V104">
        <f t="shared" ca="1" si="45"/>
        <v>1.2344708487291269</v>
      </c>
      <c r="W104">
        <v>1.0745133881444389</v>
      </c>
      <c r="X104" t="b">
        <f t="shared" ca="1" si="46"/>
        <v>1</v>
      </c>
      <c r="AS104">
        <v>0.72832845716224537</v>
      </c>
      <c r="AT104">
        <v>999</v>
      </c>
      <c r="AU104">
        <v>999</v>
      </c>
      <c r="AV104">
        <v>2.806493446273461</v>
      </c>
      <c r="AW104">
        <v>3.8004862389666063</v>
      </c>
      <c r="AX104">
        <v>3.6698149027136</v>
      </c>
      <c r="AY104">
        <v>-2.4243953075372868</v>
      </c>
      <c r="AZ104">
        <v>3.4944931312150689</v>
      </c>
      <c r="BA104">
        <v>4.2210303493300048</v>
      </c>
      <c r="BB104">
        <v>3.5926370933407066</v>
      </c>
      <c r="BC104">
        <v>999</v>
      </c>
      <c r="BD104">
        <v>999</v>
      </c>
      <c r="BE104">
        <v>-4.9903780025956452</v>
      </c>
      <c r="BF104">
        <v>-4.0070150205288089</v>
      </c>
      <c r="BJ104" t="b">
        <f t="shared" si="27"/>
        <v>1</v>
      </c>
      <c r="BK104" t="b">
        <f t="shared" ca="1" si="28"/>
        <v>1</v>
      </c>
    </row>
    <row r="105" spans="1:63" x14ac:dyDescent="0.45">
      <c r="A105" s="1">
        <v>45085</v>
      </c>
      <c r="B105">
        <v>234.86</v>
      </c>
      <c r="C105" s="1">
        <v>45085</v>
      </c>
      <c r="D105">
        <v>429.13</v>
      </c>
      <c r="E105" s="4">
        <f t="shared" si="29"/>
        <v>4.5820902168588952E-2</v>
      </c>
      <c r="F105" s="4">
        <f t="shared" si="30"/>
        <v>6.0485288946195851E-3</v>
      </c>
      <c r="G105">
        <f t="shared" ca="1" si="31"/>
        <v>-2.8606907688167818E-4</v>
      </c>
      <c r="H105">
        <f t="shared" ca="1" si="32"/>
        <v>3.9126034306242882E-2</v>
      </c>
      <c r="I105">
        <f t="shared" ca="1" si="33"/>
        <v>-0.13694355460937238</v>
      </c>
      <c r="J105">
        <f t="shared" ca="1" si="34"/>
        <v>0.63229412929566475</v>
      </c>
      <c r="K105">
        <f t="shared" ca="1" si="35"/>
        <v>1.0554496635879476</v>
      </c>
      <c r="L105">
        <f t="shared" ca="1" si="36"/>
        <v>1.0241361364539774</v>
      </c>
      <c r="M105">
        <f t="shared" ca="1" si="37"/>
        <v>2.6751505297395727E-4</v>
      </c>
      <c r="N105">
        <f t="shared" ca="1" si="38"/>
        <v>1.270879500201247E-2</v>
      </c>
      <c r="O105">
        <f t="shared" ca="1" si="39"/>
        <v>0.27608838342481562</v>
      </c>
      <c r="P105">
        <f t="shared" ca="1" si="40"/>
        <v>1.6419438095355181</v>
      </c>
      <c r="Q105">
        <f t="shared" ca="1" si="41"/>
        <v>1.0930304169704419</v>
      </c>
      <c r="R105">
        <f t="shared" ca="1" si="42"/>
        <v>1.1395127231503095</v>
      </c>
      <c r="T105">
        <f t="shared" si="43"/>
        <v>1.0458209021685889</v>
      </c>
      <c r="U105" s="6">
        <f t="shared" ca="1" si="44"/>
        <v>1.1317463377023902</v>
      </c>
      <c r="V105">
        <f t="shared" ca="1" si="45"/>
        <v>1.2488552718153878</v>
      </c>
      <c r="W105">
        <v>1.1280434343588031</v>
      </c>
      <c r="X105" t="b">
        <f t="shared" ca="1" si="46"/>
        <v>1</v>
      </c>
      <c r="AS105">
        <v>0.71897315458404065</v>
      </c>
      <c r="AT105">
        <v>999</v>
      </c>
      <c r="AU105">
        <v>999</v>
      </c>
      <c r="AV105">
        <v>2.7995715431161554</v>
      </c>
      <c r="AW105">
        <v>3.7124261126402849</v>
      </c>
      <c r="AX105">
        <v>3.6322682258888794</v>
      </c>
      <c r="AY105">
        <v>-2.3414429574955959</v>
      </c>
      <c r="AZ105">
        <v>3.5788903500387277</v>
      </c>
      <c r="BA105">
        <v>4.3096068135725796</v>
      </c>
      <c r="BB105">
        <v>3.5252646799421479</v>
      </c>
      <c r="BC105">
        <v>999</v>
      </c>
      <c r="BD105">
        <v>999</v>
      </c>
      <c r="BE105">
        <v>-5.0421242954815613</v>
      </c>
      <c r="BF105">
        <v>-3.9988132061178772</v>
      </c>
      <c r="BJ105" t="b">
        <f t="shared" si="27"/>
        <v>1</v>
      </c>
      <c r="BK105" t="b">
        <f t="shared" ca="1" si="28"/>
        <v>1</v>
      </c>
    </row>
    <row r="106" spans="1:63" x14ac:dyDescent="0.45">
      <c r="A106" s="1">
        <v>45084</v>
      </c>
      <c r="B106">
        <v>224.57</v>
      </c>
      <c r="C106" s="1">
        <v>45084</v>
      </c>
      <c r="D106">
        <v>426.55</v>
      </c>
      <c r="E106" s="4">
        <f t="shared" si="29"/>
        <v>1.4730468573494153E-2</v>
      </c>
      <c r="F106" s="4">
        <f t="shared" si="30"/>
        <v>-3.4577015629744679E-3</v>
      </c>
      <c r="G106">
        <f t="shared" ca="1" si="31"/>
        <v>-6.2900492049840575E-4</v>
      </c>
      <c r="H106">
        <f t="shared" ca="1" si="32"/>
        <v>3.9020317541623169E-2</v>
      </c>
      <c r="I106">
        <f t="shared" ca="1" si="33"/>
        <v>-0.12077138707976583</v>
      </c>
      <c r="J106">
        <f t="shared" ca="1" si="34"/>
        <v>0.65798099678367317</v>
      </c>
      <c r="K106">
        <f t="shared" ca="1" si="35"/>
        <v>1.0554496635879476</v>
      </c>
      <c r="L106">
        <f t="shared" ca="1" si="36"/>
        <v>0.9423837279392292</v>
      </c>
      <c r="M106">
        <f t="shared" ca="1" si="37"/>
        <v>1.3316002872163985E-4</v>
      </c>
      <c r="N106">
        <f t="shared" ca="1" si="38"/>
        <v>1.2789155651904319E-2</v>
      </c>
      <c r="O106">
        <f t="shared" ca="1" si="39"/>
        <v>0.27952122830235732</v>
      </c>
      <c r="P106">
        <f t="shared" ca="1" si="40"/>
        <v>1.5746129115927179</v>
      </c>
      <c r="Q106">
        <f t="shared" ca="1" si="41"/>
        <v>1.0624696090406549</v>
      </c>
      <c r="R106">
        <f t="shared" ca="1" si="42"/>
        <v>1.1294624454728392</v>
      </c>
      <c r="T106">
        <f t="shared" si="43"/>
        <v>1.0147304685734941</v>
      </c>
      <c r="U106" s="6">
        <f t="shared" ca="1" si="44"/>
        <v>1.1012111999215415</v>
      </c>
      <c r="V106">
        <f t="shared" ca="1" si="45"/>
        <v>1.2545876380871102</v>
      </c>
      <c r="W106">
        <v>1.1653088279807662</v>
      </c>
      <c r="X106" t="b">
        <f t="shared" ca="1" si="46"/>
        <v>1</v>
      </c>
      <c r="AS106">
        <v>0.70725558841471081</v>
      </c>
      <c r="AT106">
        <v>999</v>
      </c>
      <c r="AU106">
        <v>999</v>
      </c>
      <c r="AV106">
        <v>2.8435795073402224</v>
      </c>
      <c r="AW106">
        <v>3.7290886314091845</v>
      </c>
      <c r="AX106">
        <v>3.599874915578543</v>
      </c>
      <c r="AY106">
        <v>-2.2990033737012774</v>
      </c>
      <c r="AZ106">
        <v>3.7716991899015286</v>
      </c>
      <c r="BA106">
        <v>3.8122441304482098</v>
      </c>
      <c r="BB106">
        <v>3.6498857137972194</v>
      </c>
      <c r="BC106">
        <v>999</v>
      </c>
      <c r="BD106">
        <v>999</v>
      </c>
      <c r="BE106">
        <v>-4.7454567831604315</v>
      </c>
      <c r="BF106">
        <v>-3.9173214198283155</v>
      </c>
      <c r="BJ106" t="b">
        <f t="shared" si="27"/>
        <v>1</v>
      </c>
      <c r="BK106" t="b">
        <f t="shared" ca="1" si="28"/>
        <v>1</v>
      </c>
    </row>
    <row r="107" spans="1:63" x14ac:dyDescent="0.45">
      <c r="A107" s="1">
        <v>45083</v>
      </c>
      <c r="B107">
        <v>221.31</v>
      </c>
      <c r="C107" s="1">
        <v>45083</v>
      </c>
      <c r="D107">
        <v>428.03</v>
      </c>
      <c r="E107" s="4">
        <f t="shared" si="29"/>
        <v>1.7002895087541881E-2</v>
      </c>
      <c r="F107" s="4">
        <f t="shared" si="30"/>
        <v>2.1774760009364317E-3</v>
      </c>
      <c r="G107">
        <f t="shared" ca="1" si="31"/>
        <v>-8.0506093490812446E-4</v>
      </c>
      <c r="H107">
        <f t="shared" ca="1" si="32"/>
        <v>3.9030102389755815E-2</v>
      </c>
      <c r="I107">
        <f t="shared" ca="1" si="33"/>
        <v>-0.10798870721557384</v>
      </c>
      <c r="J107">
        <f t="shared" ca="1" si="34"/>
        <v>0.65237684396104179</v>
      </c>
      <c r="K107">
        <f t="shared" ca="1" si="35"/>
        <v>1.0554496635879476</v>
      </c>
      <c r="L107">
        <f t="shared" ca="1" si="36"/>
        <v>0.9423837279392292</v>
      </c>
      <c r="M107">
        <f t="shared" ca="1" si="37"/>
        <v>8.3258370839720986E-5</v>
      </c>
      <c r="N107">
        <f t="shared" ca="1" si="38"/>
        <v>1.2822664238675037E-2</v>
      </c>
      <c r="O107">
        <f t="shared" ca="1" si="39"/>
        <v>0.28322237435867287</v>
      </c>
      <c r="P107">
        <f t="shared" ca="1" si="40"/>
        <v>1.5373766301097618</v>
      </c>
      <c r="Q107">
        <f t="shared" ca="1" si="41"/>
        <v>1.0624696090406549</v>
      </c>
      <c r="R107">
        <f t="shared" ca="1" si="42"/>
        <v>1.1203839875897479</v>
      </c>
      <c r="T107">
        <f t="shared" si="43"/>
        <v>1.0170028950875418</v>
      </c>
      <c r="U107" s="6">
        <f t="shared" ca="1" si="44"/>
        <v>1.1001690196858223</v>
      </c>
      <c r="V107">
        <f t="shared" ca="1" si="45"/>
        <v>1.2375502843738313</v>
      </c>
      <c r="W107">
        <v>1.1265877425600515</v>
      </c>
      <c r="X107" t="b">
        <f t="shared" ca="1" si="46"/>
        <v>1</v>
      </c>
      <c r="AS107">
        <v>0.69470823098718915</v>
      </c>
      <c r="AT107">
        <v>999</v>
      </c>
      <c r="AU107">
        <v>999</v>
      </c>
      <c r="AV107">
        <v>2.7946092917772898</v>
      </c>
      <c r="AW107">
        <v>3.7166431152520913</v>
      </c>
      <c r="AX107">
        <v>3.5174242190730078</v>
      </c>
      <c r="AY107">
        <v>-2.2471790073667397</v>
      </c>
      <c r="AZ107">
        <v>3.7195288255159644</v>
      </c>
      <c r="BA107">
        <v>3.4496805690763344</v>
      </c>
      <c r="BB107">
        <v>3.6626279763641607</v>
      </c>
      <c r="BC107">
        <v>999</v>
      </c>
      <c r="BD107">
        <v>999</v>
      </c>
      <c r="BE107">
        <v>-4.5369431353651457</v>
      </c>
      <c r="BF107">
        <v>-3.8289025368279064</v>
      </c>
      <c r="BJ107" t="b">
        <f t="shared" si="27"/>
        <v>1</v>
      </c>
      <c r="BK107" t="b">
        <f t="shared" ca="1" si="28"/>
        <v>1</v>
      </c>
    </row>
    <row r="108" spans="1:63" x14ac:dyDescent="0.45">
      <c r="A108" s="1">
        <v>45082</v>
      </c>
      <c r="B108">
        <v>217.61</v>
      </c>
      <c r="C108" s="1">
        <v>45082</v>
      </c>
      <c r="D108">
        <v>427.1</v>
      </c>
      <c r="E108" s="4">
        <f t="shared" si="29"/>
        <v>1.7011730616441626E-2</v>
      </c>
      <c r="F108" s="4">
        <f t="shared" si="30"/>
        <v>-1.9162460272948054E-3</v>
      </c>
      <c r="G108">
        <f t="shared" ca="1" si="31"/>
        <v>-9.0861177748103607E-4</v>
      </c>
      <c r="H108">
        <f t="shared" ca="1" si="32"/>
        <v>3.9010086609745045E-2</v>
      </c>
      <c r="I108">
        <f t="shared" ca="1" si="33"/>
        <v>-0.10059612227178126</v>
      </c>
      <c r="J108">
        <f t="shared" ca="1" si="34"/>
        <v>0.65861452057795322</v>
      </c>
      <c r="K108">
        <f t="shared" ca="1" si="35"/>
        <v>1.0554496635879476</v>
      </c>
      <c r="L108">
        <f t="shared" ca="1" si="36"/>
        <v>0.9423837279392292</v>
      </c>
      <c r="M108">
        <f t="shared" ca="1" si="37"/>
        <v>8.6902808484165889E-5</v>
      </c>
      <c r="N108">
        <f t="shared" ca="1" si="38"/>
        <v>1.2823366007412552E-2</v>
      </c>
      <c r="O108">
        <f t="shared" ca="1" si="39"/>
        <v>0.28234670922540966</v>
      </c>
      <c r="P108">
        <f t="shared" ca="1" si="40"/>
        <v>1.5360539391292338</v>
      </c>
      <c r="Q108">
        <f t="shared" ca="1" si="41"/>
        <v>1.0624696090406549</v>
      </c>
      <c r="R108">
        <f t="shared" ca="1" si="42"/>
        <v>1.1203839875897479</v>
      </c>
      <c r="T108">
        <f t="shared" si="43"/>
        <v>1.0170117306164417</v>
      </c>
      <c r="U108" s="6">
        <f t="shared" ca="1" si="44"/>
        <v>1.1265206812652069</v>
      </c>
      <c r="V108">
        <f t="shared" ca="1" si="45"/>
        <v>1.2296826859761678</v>
      </c>
      <c r="W108">
        <v>1.079317021493992</v>
      </c>
      <c r="X108" t="b">
        <f t="shared" ca="1" si="46"/>
        <v>1</v>
      </c>
      <c r="AS108">
        <v>0.69098510101706667</v>
      </c>
      <c r="AT108">
        <v>999</v>
      </c>
      <c r="AU108">
        <v>999</v>
      </c>
      <c r="AV108">
        <v>2.7666609412353464</v>
      </c>
      <c r="AW108">
        <v>3.7509652043926338</v>
      </c>
      <c r="AX108">
        <v>3.5072943514530035</v>
      </c>
      <c r="AY108">
        <v>-2.0648323413151539</v>
      </c>
      <c r="AZ108">
        <v>3.674985864233193</v>
      </c>
      <c r="BA108">
        <v>3.3036180678293259</v>
      </c>
      <c r="BB108">
        <v>3.5930702956804219</v>
      </c>
      <c r="BC108">
        <v>999</v>
      </c>
      <c r="BD108">
        <v>999</v>
      </c>
      <c r="BE108">
        <v>-4.420384742238971</v>
      </c>
      <c r="BF108">
        <v>-3.7924033036157749</v>
      </c>
      <c r="BJ108" t="b">
        <f t="shared" si="27"/>
        <v>1</v>
      </c>
      <c r="BK108" t="b">
        <f t="shared" ca="1" si="28"/>
        <v>1</v>
      </c>
    </row>
    <row r="109" spans="1:63" x14ac:dyDescent="0.45">
      <c r="A109" s="1">
        <v>45079</v>
      </c>
      <c r="B109">
        <v>213.97</v>
      </c>
      <c r="C109" s="1">
        <v>45079</v>
      </c>
      <c r="D109">
        <v>427.92</v>
      </c>
      <c r="E109" s="4">
        <f t="shared" si="29"/>
        <v>3.108134155744019E-2</v>
      </c>
      <c r="F109" s="4">
        <f t="shared" si="30"/>
        <v>1.4461144564032106E-2</v>
      </c>
      <c r="G109">
        <f t="shared" ca="1" si="31"/>
        <v>-1.0355215345777533E-3</v>
      </c>
      <c r="H109">
        <f t="shared" ca="1" si="32"/>
        <v>3.899277734453821E-2</v>
      </c>
      <c r="I109">
        <f t="shared" ca="1" si="33"/>
        <v>-9.13956743866432E-2</v>
      </c>
      <c r="J109">
        <f t="shared" ca="1" si="34"/>
        <v>0.66369291155399512</v>
      </c>
      <c r="K109">
        <f t="shared" ca="1" si="35"/>
        <v>1.0554496635879476</v>
      </c>
      <c r="L109">
        <f t="shared" ca="1" si="36"/>
        <v>0.9423837279392292</v>
      </c>
      <c r="M109">
        <f t="shared" ca="1" si="37"/>
        <v>6.0994161962506374E-5</v>
      </c>
      <c r="N109">
        <f t="shared" ca="1" si="38"/>
        <v>1.28326648323701E-2</v>
      </c>
      <c r="O109">
        <f t="shared" ca="1" si="39"/>
        <v>0.28697986759315036</v>
      </c>
      <c r="P109">
        <f t="shared" ca="1" si="40"/>
        <v>1.5256333411008658</v>
      </c>
      <c r="Q109">
        <f t="shared" ca="1" si="41"/>
        <v>1.0624696090406549</v>
      </c>
      <c r="R109">
        <f t="shared" ca="1" si="42"/>
        <v>1.1203839875897479</v>
      </c>
      <c r="T109">
        <f t="shared" si="43"/>
        <v>1.0310813415574402</v>
      </c>
      <c r="U109" s="6">
        <f t="shared" ca="1" si="44"/>
        <v>1.1599176017780668</v>
      </c>
      <c r="V109">
        <f t="shared" ca="1" si="45"/>
        <v>1.2087055874737715</v>
      </c>
      <c r="W109">
        <v>1.0659777306826115</v>
      </c>
      <c r="X109" t="b">
        <f t="shared" ca="1" si="46"/>
        <v>1</v>
      </c>
      <c r="AS109">
        <v>0.71571964681862454</v>
      </c>
      <c r="AT109">
        <v>2.9316429107017128</v>
      </c>
      <c r="AU109">
        <v>999</v>
      </c>
      <c r="AV109">
        <v>3.4707707386168076</v>
      </c>
      <c r="AW109">
        <v>4.5821779013021029</v>
      </c>
      <c r="AX109">
        <v>4.0950851125547691</v>
      </c>
      <c r="AY109">
        <v>-3.4276472102339692</v>
      </c>
      <c r="AZ109">
        <v>2.8468342490629586</v>
      </c>
      <c r="BA109">
        <v>999</v>
      </c>
      <c r="BB109">
        <v>2.9139428583098366</v>
      </c>
      <c r="BC109">
        <v>2.6435132731362203</v>
      </c>
      <c r="BD109">
        <v>999</v>
      </c>
      <c r="BE109">
        <v>-4.0008876652491701</v>
      </c>
      <c r="BF109">
        <v>-4.2660157286841631</v>
      </c>
      <c r="BJ109" t="b">
        <f t="shared" si="27"/>
        <v>1</v>
      </c>
      <c r="BK109" t="b">
        <f t="shared" ca="1" si="28"/>
        <v>1</v>
      </c>
    </row>
    <row r="110" spans="1:63" x14ac:dyDescent="0.45">
      <c r="A110" s="1">
        <v>45078</v>
      </c>
      <c r="B110">
        <v>207.52</v>
      </c>
      <c r="C110" s="1">
        <v>45078</v>
      </c>
      <c r="D110">
        <v>421.82</v>
      </c>
      <c r="E110" s="4">
        <f t="shared" si="29"/>
        <v>1.7604079831314682E-2</v>
      </c>
      <c r="F110" s="4">
        <f t="shared" si="30"/>
        <v>9.5010171114035431E-3</v>
      </c>
      <c r="G110">
        <f t="shared" ca="1" si="31"/>
        <v>-1.2354937408778207E-3</v>
      </c>
      <c r="H110">
        <f t="shared" ca="1" si="32"/>
        <v>3.8929743824201217E-2</v>
      </c>
      <c r="I110">
        <f t="shared" ca="1" si="33"/>
        <v>-7.9166511299436068E-2</v>
      </c>
      <c r="J110">
        <f t="shared" ca="1" si="34"/>
        <v>0.68356290482975046</v>
      </c>
      <c r="K110">
        <f t="shared" ca="1" si="35"/>
        <v>1.0554496635879476</v>
      </c>
      <c r="L110">
        <f t="shared" ca="1" si="36"/>
        <v>0.93023602586406895</v>
      </c>
      <c r="M110">
        <f t="shared" ca="1" si="37"/>
        <v>-1.5181550842090522E-6</v>
      </c>
      <c r="N110">
        <f t="shared" ca="1" si="38"/>
        <v>1.2792553459663888E-2</v>
      </c>
      <c r="O110">
        <f t="shared" ca="1" si="39"/>
        <v>0.29727241671615146</v>
      </c>
      <c r="P110">
        <f t="shared" ca="1" si="40"/>
        <v>1.5807065726322627</v>
      </c>
      <c r="Q110">
        <f t="shared" ca="1" si="41"/>
        <v>1.0624696090406549</v>
      </c>
      <c r="R110">
        <f t="shared" ca="1" si="42"/>
        <v>1.0517135870143866</v>
      </c>
      <c r="T110">
        <f t="shared" si="43"/>
        <v>1.0176040798313146</v>
      </c>
      <c r="U110" s="6">
        <f t="shared" ca="1" si="44"/>
        <v>1.1346090759978129</v>
      </c>
      <c r="V110">
        <f t="shared" ca="1" si="45"/>
        <v>1.2161193991635062</v>
      </c>
      <c r="W110">
        <v>1.0912943280893685</v>
      </c>
      <c r="X110" t="b">
        <f t="shared" ca="1" si="46"/>
        <v>1</v>
      </c>
      <c r="AS110">
        <v>0.71575572335911997</v>
      </c>
      <c r="AT110">
        <v>3.234288409873149</v>
      </c>
      <c r="AU110">
        <v>999</v>
      </c>
      <c r="AV110">
        <v>3.4188126626277877</v>
      </c>
      <c r="AW110">
        <v>4.7346762146879131</v>
      </c>
      <c r="AX110">
        <v>4.0989408693860669</v>
      </c>
      <c r="AY110">
        <v>-3.6733136886083155</v>
      </c>
      <c r="AZ110">
        <v>3.1264251742627098</v>
      </c>
      <c r="BA110">
        <v>999</v>
      </c>
      <c r="BB110">
        <v>3.007592081558788</v>
      </c>
      <c r="BC110">
        <v>2.6688475686533772</v>
      </c>
      <c r="BD110">
        <v>999</v>
      </c>
      <c r="BE110">
        <v>-4.2110108815387948</v>
      </c>
      <c r="BF110">
        <v>-4.3564989834771213</v>
      </c>
      <c r="BJ110" t="b">
        <f t="shared" si="27"/>
        <v>1</v>
      </c>
      <c r="BK110" t="b">
        <f t="shared" ca="1" si="28"/>
        <v>1</v>
      </c>
    </row>
    <row r="111" spans="1:63" x14ac:dyDescent="0.45">
      <c r="A111" s="1">
        <v>45077</v>
      </c>
      <c r="B111">
        <v>203.93</v>
      </c>
      <c r="C111" s="1">
        <v>45077</v>
      </c>
      <c r="D111">
        <v>417.85</v>
      </c>
      <c r="E111" s="4">
        <f t="shared" si="29"/>
        <v>1.3770133227281817E-2</v>
      </c>
      <c r="F111" s="4">
        <f t="shared" si="30"/>
        <v>-5.5452425151125331E-3</v>
      </c>
      <c r="G111">
        <f t="shared" ca="1" si="31"/>
        <v>-1.1686962884862153E-3</v>
      </c>
      <c r="H111">
        <f t="shared" ca="1" si="32"/>
        <v>3.8973668710782422E-2</v>
      </c>
      <c r="I111">
        <f t="shared" ca="1" si="33"/>
        <v>-8.1803776650472171E-2</v>
      </c>
      <c r="J111">
        <f t="shared" ca="1" si="34"/>
        <v>0.66946302122326262</v>
      </c>
      <c r="K111">
        <f t="shared" ca="1" si="35"/>
        <v>1.0554496635879476</v>
      </c>
      <c r="L111">
        <f t="shared" ca="1" si="36"/>
        <v>0.9423837279392292</v>
      </c>
      <c r="M111">
        <f t="shared" ca="1" si="37"/>
        <v>-2.8419166653870608E-5</v>
      </c>
      <c r="N111">
        <f t="shared" ca="1" si="38"/>
        <v>1.2778119273078996E-2</v>
      </c>
      <c r="O111">
        <f t="shared" ca="1" si="39"/>
        <v>0.30274339271443534</v>
      </c>
      <c r="P111">
        <f t="shared" ca="1" si="40"/>
        <v>1.6026922209945438</v>
      </c>
      <c r="Q111">
        <f t="shared" ca="1" si="41"/>
        <v>1.0624696090406549</v>
      </c>
      <c r="R111">
        <f t="shared" ca="1" si="42"/>
        <v>1.0233065739450138</v>
      </c>
      <c r="T111">
        <f t="shared" si="43"/>
        <v>1.0137701332272817</v>
      </c>
      <c r="U111" s="6">
        <f t="shared" ca="1" si="44"/>
        <v>1.0977552887979758</v>
      </c>
      <c r="V111">
        <f t="shared" ca="1" si="45"/>
        <v>1.2063418954438889</v>
      </c>
      <c r="W111">
        <v>1.04960402774873</v>
      </c>
      <c r="X111" t="b">
        <f t="shared" ca="1" si="46"/>
        <v>1</v>
      </c>
      <c r="AS111">
        <v>0.6953343979230282</v>
      </c>
      <c r="AT111">
        <v>3.2582444176087293</v>
      </c>
      <c r="AU111">
        <v>999</v>
      </c>
      <c r="AV111">
        <v>3.1437609071410653</v>
      </c>
      <c r="AW111">
        <v>4.5531380391670391</v>
      </c>
      <c r="AX111">
        <v>3.8648545310491365</v>
      </c>
      <c r="AY111">
        <v>-3.6214513972654232</v>
      </c>
      <c r="AZ111">
        <v>3.0931433182452204</v>
      </c>
      <c r="BA111">
        <v>999</v>
      </c>
      <c r="BB111">
        <v>2.828784853384898</v>
      </c>
      <c r="BC111">
        <v>2.700897607282474</v>
      </c>
      <c r="BD111">
        <v>999</v>
      </c>
      <c r="BE111">
        <v>-4.2083016822015784</v>
      </c>
      <c r="BF111">
        <v>-4.1474641111826038</v>
      </c>
      <c r="BJ111" t="b">
        <f t="shared" si="27"/>
        <v>1</v>
      </c>
      <c r="BK111" t="b">
        <f t="shared" ca="1" si="28"/>
        <v>1</v>
      </c>
    </row>
    <row r="112" spans="1:63" x14ac:dyDescent="0.45">
      <c r="A112" s="1">
        <v>45076</v>
      </c>
      <c r="B112">
        <v>201.16</v>
      </c>
      <c r="C112" s="1">
        <v>45076</v>
      </c>
      <c r="D112">
        <v>420.18</v>
      </c>
      <c r="E112" s="4">
        <f t="shared" si="29"/>
        <v>4.1362530413625351E-2</v>
      </c>
      <c r="F112" s="4">
        <f t="shared" si="30"/>
        <v>3.809342412266678E-4</v>
      </c>
      <c r="G112">
        <f t="shared" ca="1" si="31"/>
        <v>-1.0037961260282694E-3</v>
      </c>
      <c r="H112">
        <f t="shared" ca="1" si="32"/>
        <v>3.9106736686478662E-2</v>
      </c>
      <c r="I112">
        <f t="shared" ca="1" si="33"/>
        <v>-8.4693879582765766E-2</v>
      </c>
      <c r="J112">
        <f t="shared" ca="1" si="34"/>
        <v>0.63206593818783885</v>
      </c>
      <c r="K112">
        <f t="shared" ca="1" si="35"/>
        <v>1.0554496635879476</v>
      </c>
      <c r="L112">
        <f t="shared" ca="1" si="36"/>
        <v>0.9730789457433574</v>
      </c>
      <c r="M112">
        <f t="shared" ca="1" si="37"/>
        <v>8.3951918418656606E-5</v>
      </c>
      <c r="N112">
        <f t="shared" ca="1" si="38"/>
        <v>1.2828082124420534E-2</v>
      </c>
      <c r="O112">
        <f t="shared" ca="1" si="39"/>
        <v>0.28480281552265141</v>
      </c>
      <c r="P112">
        <f t="shared" ca="1" si="40"/>
        <v>1.5356750567271105</v>
      </c>
      <c r="Q112">
        <f t="shared" ca="1" si="41"/>
        <v>1.0624696090406549</v>
      </c>
      <c r="R112">
        <f t="shared" ca="1" si="42"/>
        <v>1.0517135870143866</v>
      </c>
      <c r="T112">
        <f t="shared" si="43"/>
        <v>1.0413625304136254</v>
      </c>
      <c r="U112" s="6">
        <f t="shared" ca="1" si="44"/>
        <v>1.065071213003653</v>
      </c>
      <c r="V112">
        <f t="shared" ca="1" si="45"/>
        <v>1.2396618371063211</v>
      </c>
      <c r="W112">
        <v>1.0176156875922544</v>
      </c>
      <c r="X112" t="b">
        <f t="shared" ca="1" si="46"/>
        <v>1</v>
      </c>
      <c r="AS112">
        <v>0.69205356766803205</v>
      </c>
      <c r="AT112">
        <v>3.2800697714303757</v>
      </c>
      <c r="AU112">
        <v>999</v>
      </c>
      <c r="AV112">
        <v>2.880878200773473</v>
      </c>
      <c r="AW112">
        <v>4.4506441841717139</v>
      </c>
      <c r="AX112">
        <v>3.6894900285497498</v>
      </c>
      <c r="AY112">
        <v>-3.6333913353506713</v>
      </c>
      <c r="AZ112">
        <v>3.1976492015311422</v>
      </c>
      <c r="BA112">
        <v>999</v>
      </c>
      <c r="BB112">
        <v>2.8795051651112602</v>
      </c>
      <c r="BC112">
        <v>2.7807387597597173</v>
      </c>
      <c r="BD112">
        <v>999</v>
      </c>
      <c r="BE112">
        <v>-4.2724432916502444</v>
      </c>
      <c r="BF112">
        <v>-3.9954485422273556</v>
      </c>
      <c r="BJ112" t="b">
        <f t="shared" si="27"/>
        <v>1</v>
      </c>
      <c r="BK112" t="b">
        <f t="shared" ca="1" si="28"/>
        <v>1</v>
      </c>
    </row>
    <row r="113" spans="1:63" x14ac:dyDescent="0.45">
      <c r="A113" s="1">
        <v>45072</v>
      </c>
      <c r="B113">
        <v>193.17</v>
      </c>
      <c r="C113" s="1">
        <v>45072</v>
      </c>
      <c r="D113">
        <v>420.02</v>
      </c>
      <c r="E113" s="4">
        <f t="shared" si="29"/>
        <v>4.716214018539594E-2</v>
      </c>
      <c r="F113" s="4">
        <f t="shared" si="30"/>
        <v>1.2950681297479814E-2</v>
      </c>
      <c r="G113">
        <f t="shared" ca="1" si="31"/>
        <v>-1.3418609650666402E-3</v>
      </c>
      <c r="H113">
        <f t="shared" ca="1" si="32"/>
        <v>3.9030825577219194E-2</v>
      </c>
      <c r="I113">
        <f t="shared" ca="1" si="33"/>
        <v>-6.6806738164421536E-2</v>
      </c>
      <c r="J113">
        <f t="shared" ca="1" si="34"/>
        <v>0.65165327994019817</v>
      </c>
      <c r="K113">
        <f t="shared" ca="1" si="35"/>
        <v>1.0554496635879476</v>
      </c>
      <c r="L113">
        <f t="shared" ca="1" si="36"/>
        <v>0.89954997104699308</v>
      </c>
      <c r="M113">
        <f t="shared" ca="1" si="37"/>
        <v>8.2047247212523085E-5</v>
      </c>
      <c r="N113">
        <f t="shared" ca="1" si="38"/>
        <v>1.2828066087802899E-2</v>
      </c>
      <c r="O113">
        <f t="shared" ca="1" si="39"/>
        <v>0.28525374916883267</v>
      </c>
      <c r="P113">
        <f t="shared" ca="1" si="40"/>
        <v>1.5358706825795938</v>
      </c>
      <c r="Q113">
        <f t="shared" ca="1" si="41"/>
        <v>1.0624696090406549</v>
      </c>
      <c r="R113">
        <f t="shared" ca="1" si="42"/>
        <v>1.0517135870143866</v>
      </c>
      <c r="T113">
        <f t="shared" si="43"/>
        <v>1.0471621401853959</v>
      </c>
      <c r="U113" s="6">
        <f t="shared" ca="1" si="44"/>
        <v>1.0723326301765292</v>
      </c>
      <c r="V113">
        <f t="shared" ca="1" si="45"/>
        <v>1.2457060501602646</v>
      </c>
      <c r="W113">
        <v>1.047358495546904</v>
      </c>
      <c r="X113" t="b">
        <f t="shared" ca="1" si="46"/>
        <v>1</v>
      </c>
      <c r="AS113">
        <v>0.68482027204367302</v>
      </c>
      <c r="AT113">
        <v>2.9550526417701617</v>
      </c>
      <c r="AU113">
        <v>999</v>
      </c>
      <c r="AV113">
        <v>2.6058116110925731</v>
      </c>
      <c r="AW113">
        <v>4.4884802804513795</v>
      </c>
      <c r="AX113">
        <v>3.5049589541002009</v>
      </c>
      <c r="AY113">
        <v>-3.5786068640571909</v>
      </c>
      <c r="AZ113">
        <v>3.6730764277364467</v>
      </c>
      <c r="BA113">
        <v>2.2520930444688569</v>
      </c>
      <c r="BB113">
        <v>3.6942949466234802</v>
      </c>
      <c r="BC113">
        <v>999</v>
      </c>
      <c r="BD113">
        <v>999</v>
      </c>
      <c r="BE113">
        <v>-4.0451273332051798</v>
      </c>
      <c r="BF113">
        <v>-4.0396410197920485</v>
      </c>
      <c r="BJ113" t="b">
        <f t="shared" si="27"/>
        <v>1</v>
      </c>
      <c r="BK113" t="b">
        <f t="shared" ca="1" si="28"/>
        <v>1</v>
      </c>
    </row>
    <row r="114" spans="1:63" x14ac:dyDescent="0.45">
      <c r="A114" s="1">
        <v>45071</v>
      </c>
      <c r="B114">
        <v>184.47</v>
      </c>
      <c r="C114" s="1">
        <v>45071</v>
      </c>
      <c r="D114">
        <v>414.65</v>
      </c>
      <c r="E114" s="4">
        <f t="shared" si="29"/>
        <v>8.5839256424275184E-3</v>
      </c>
      <c r="F114" s="4">
        <f t="shared" si="30"/>
        <v>8.6599041572405135E-3</v>
      </c>
      <c r="G114">
        <f t="shared" ca="1" si="31"/>
        <v>-1.3831302606507898E-3</v>
      </c>
      <c r="H114">
        <f t="shared" ca="1" si="32"/>
        <v>3.8983617154146652E-2</v>
      </c>
      <c r="I114">
        <f t="shared" ca="1" si="33"/>
        <v>-6.8031732838157777E-2</v>
      </c>
      <c r="J114">
        <f t="shared" ca="1" si="34"/>
        <v>0.66276899742543227</v>
      </c>
      <c r="K114">
        <f t="shared" ca="1" si="35"/>
        <v>1.0554496635879476</v>
      </c>
      <c r="L114">
        <f t="shared" ca="1" si="36"/>
        <v>0.89954997104699308</v>
      </c>
      <c r="M114">
        <f t="shared" ca="1" si="37"/>
        <v>1.2231389663857969E-4</v>
      </c>
      <c r="N114">
        <f t="shared" ca="1" si="38"/>
        <v>1.2881192550490835E-2</v>
      </c>
      <c r="O114">
        <f t="shared" ca="1" si="39"/>
        <v>0.28895459093665954</v>
      </c>
      <c r="P114">
        <f t="shared" ca="1" si="40"/>
        <v>1.4878899425025649</v>
      </c>
      <c r="Q114">
        <f t="shared" ca="1" si="41"/>
        <v>1.0773020070979646</v>
      </c>
      <c r="R114">
        <f t="shared" ca="1" si="42"/>
        <v>1.0517135870143866</v>
      </c>
      <c r="T114">
        <f t="shared" si="43"/>
        <v>1.0085839256424276</v>
      </c>
      <c r="U114" s="6">
        <f t="shared" ca="1" si="44"/>
        <v>1.0428514896263215</v>
      </c>
      <c r="V114">
        <f t="shared" ca="1" si="45"/>
        <v>1.2306018709037594</v>
      </c>
      <c r="W114">
        <v>0.99983986039323725</v>
      </c>
      <c r="X114" t="b">
        <f t="shared" ca="1" si="46"/>
        <v>0</v>
      </c>
      <c r="AS114">
        <v>0.6968933867500664</v>
      </c>
      <c r="AT114">
        <v>3.0859611261566036</v>
      </c>
      <c r="AU114">
        <v>999</v>
      </c>
      <c r="AV114">
        <v>2.6373547752655484</v>
      </c>
      <c r="AW114">
        <v>4.6278306594063272</v>
      </c>
      <c r="AX114">
        <v>3.6001747999666915</v>
      </c>
      <c r="AY114">
        <v>-3.6990446511027004</v>
      </c>
      <c r="AZ114">
        <v>3.8619775518050958</v>
      </c>
      <c r="BA114">
        <v>2.325022251952793</v>
      </c>
      <c r="BB114">
        <v>3.8602027619038424</v>
      </c>
      <c r="BC114">
        <v>999</v>
      </c>
      <c r="BD114">
        <v>999</v>
      </c>
      <c r="BE114">
        <v>-4.1931064631101318</v>
      </c>
      <c r="BF114">
        <v>-4.1559838208786539</v>
      </c>
      <c r="BJ114" t="b">
        <f t="shared" si="27"/>
        <v>1</v>
      </c>
      <c r="BK114" t="b">
        <f t="shared" ca="1" si="28"/>
        <v>0</v>
      </c>
    </row>
    <row r="115" spans="1:63" x14ac:dyDescent="0.45">
      <c r="A115" s="1">
        <v>45070</v>
      </c>
      <c r="B115">
        <v>182.9</v>
      </c>
      <c r="C115" s="1">
        <v>45070</v>
      </c>
      <c r="D115">
        <v>411.09</v>
      </c>
      <c r="E115" s="4">
        <f t="shared" si="29"/>
        <v>-1.5449211390429049E-2</v>
      </c>
      <c r="F115" s="4">
        <f t="shared" si="30"/>
        <v>-7.244801854669275E-3</v>
      </c>
      <c r="G115">
        <f t="shared" ca="1" si="31"/>
        <v>-1.548113224067095E-3</v>
      </c>
      <c r="H115">
        <f t="shared" ca="1" si="32"/>
        <v>3.9011036472371134E-2</v>
      </c>
      <c r="I115">
        <f t="shared" ca="1" si="33"/>
        <v>-5.6201649350491378E-2</v>
      </c>
      <c r="J115">
        <f t="shared" ca="1" si="34"/>
        <v>0.65187992878010892</v>
      </c>
      <c r="K115">
        <f t="shared" ca="1" si="35"/>
        <v>1.0554496635879476</v>
      </c>
      <c r="L115">
        <f t="shared" ca="1" si="36"/>
        <v>0.86422013481858284</v>
      </c>
      <c r="M115">
        <f t="shared" ca="1" si="37"/>
        <v>5.9159173547236512E-5</v>
      </c>
      <c r="N115">
        <f t="shared" ca="1" si="38"/>
        <v>1.2870082674505174E-2</v>
      </c>
      <c r="O115">
        <f t="shared" ca="1" si="39"/>
        <v>0.30292859519915216</v>
      </c>
      <c r="P115">
        <f t="shared" ca="1" si="40"/>
        <v>1.508532534553507</v>
      </c>
      <c r="Q115">
        <f t="shared" ca="1" si="41"/>
        <v>1.0773020070979646</v>
      </c>
      <c r="R115">
        <f t="shared" ca="1" si="42"/>
        <v>1.0233065739450138</v>
      </c>
      <c r="T115">
        <f t="shared" si="43"/>
        <v>0.9845507886095709</v>
      </c>
      <c r="U115" s="6">
        <f t="shared" ca="1" si="44"/>
        <v>1.0519958587369145</v>
      </c>
      <c r="V115">
        <f t="shared" ca="1" si="45"/>
        <v>1.2423708192205849</v>
      </c>
      <c r="W115">
        <v>1.0425879692654618</v>
      </c>
      <c r="X115" t="b">
        <f t="shared" ca="1" si="46"/>
        <v>1</v>
      </c>
      <c r="AS115">
        <v>0.70355430621155757</v>
      </c>
      <c r="AT115">
        <v>2.1345468393435283</v>
      </c>
      <c r="AU115">
        <v>2.0967587317109069</v>
      </c>
      <c r="AV115">
        <v>2.8870471879106674</v>
      </c>
      <c r="AW115">
        <v>4.1371315465949605</v>
      </c>
      <c r="AX115">
        <v>3.812439489183244</v>
      </c>
      <c r="AY115">
        <v>-2.9817571303397679</v>
      </c>
      <c r="AZ115">
        <v>5.1807909406971238</v>
      </c>
      <c r="BA115">
        <v>2.4791588577643728</v>
      </c>
      <c r="BB115">
        <v>4.5640989990065393</v>
      </c>
      <c r="BC115">
        <v>999</v>
      </c>
      <c r="BD115">
        <v>999</v>
      </c>
      <c r="BE115">
        <v>-5.2299717251922404</v>
      </c>
      <c r="BF115">
        <v>-4.4559211383109476</v>
      </c>
      <c r="BJ115" t="b">
        <f t="shared" si="27"/>
        <v>1</v>
      </c>
      <c r="BK115" t="b">
        <f t="shared" ca="1" si="28"/>
        <v>1</v>
      </c>
    </row>
    <row r="116" spans="1:63" x14ac:dyDescent="0.45">
      <c r="A116" s="1">
        <v>45069</v>
      </c>
      <c r="B116">
        <v>185.77</v>
      </c>
      <c r="C116" s="1">
        <v>45069</v>
      </c>
      <c r="D116">
        <v>414.09</v>
      </c>
      <c r="E116" s="4">
        <f t="shared" si="29"/>
        <v>-1.6413406046486972E-2</v>
      </c>
      <c r="F116" s="4">
        <f t="shared" si="30"/>
        <v>-1.1222808567539926E-2</v>
      </c>
      <c r="G116">
        <f t="shared" ca="1" si="31"/>
        <v>-1.4317756586303759E-3</v>
      </c>
      <c r="H116">
        <f t="shared" ca="1" si="32"/>
        <v>3.9004065931302193E-2</v>
      </c>
      <c r="I116">
        <f t="shared" ca="1" si="33"/>
        <v>-6.4970228665479038E-2</v>
      </c>
      <c r="J116">
        <f t="shared" ca="1" si="34"/>
        <v>0.65519344318528505</v>
      </c>
      <c r="K116">
        <f t="shared" ca="1" si="35"/>
        <v>1.0554496635879476</v>
      </c>
      <c r="L116">
        <f t="shared" ca="1" si="36"/>
        <v>0.86422013481858284</v>
      </c>
      <c r="M116">
        <f t="shared" ca="1" si="37"/>
        <v>8.9578650448222087E-5</v>
      </c>
      <c r="N116">
        <f t="shared" ca="1" si="38"/>
        <v>1.2859918297731162E-2</v>
      </c>
      <c r="O116">
        <f t="shared" ca="1" si="39"/>
        <v>0.29740506326972033</v>
      </c>
      <c r="P116">
        <f t="shared" ca="1" si="40"/>
        <v>1.519504106874348</v>
      </c>
      <c r="Q116">
        <f t="shared" ca="1" si="41"/>
        <v>1.0773020070979646</v>
      </c>
      <c r="R116">
        <f t="shared" ca="1" si="42"/>
        <v>1.0233065739450138</v>
      </c>
      <c r="T116">
        <f t="shared" si="43"/>
        <v>0.983586593953513</v>
      </c>
      <c r="U116" s="6">
        <f t="shared" ca="1" si="44"/>
        <v>1.1156017295219793</v>
      </c>
      <c r="V116">
        <f t="shared" ca="1" si="45"/>
        <v>1.2648792207772108</v>
      </c>
      <c r="W116">
        <v>1.1024246217236666</v>
      </c>
      <c r="X116" t="b">
        <f t="shared" ca="1" si="46"/>
        <v>1</v>
      </c>
      <c r="AS116">
        <v>0.64197796587974576</v>
      </c>
      <c r="AT116">
        <v>999</v>
      </c>
      <c r="AU116">
        <v>999</v>
      </c>
      <c r="AV116">
        <v>999</v>
      </c>
      <c r="AW116">
        <v>3.4723018784774924</v>
      </c>
      <c r="AX116">
        <v>999</v>
      </c>
      <c r="AY116">
        <v>-3.7242968051826777</v>
      </c>
      <c r="AZ116">
        <v>999</v>
      </c>
      <c r="BA116">
        <v>999</v>
      </c>
      <c r="BB116">
        <v>3.4287198479811365</v>
      </c>
      <c r="BC116">
        <v>999</v>
      </c>
      <c r="BD116">
        <v>6.4229431396071011</v>
      </c>
      <c r="BE116">
        <v>-5.0195121392989117</v>
      </c>
      <c r="BF116">
        <v>-4.271301027139808</v>
      </c>
      <c r="BJ116" t="b">
        <f t="shared" si="27"/>
        <v>1</v>
      </c>
      <c r="BK116" t="b">
        <f t="shared" ca="1" si="28"/>
        <v>1</v>
      </c>
    </row>
    <row r="117" spans="1:63" x14ac:dyDescent="0.45">
      <c r="A117" s="1">
        <v>45068</v>
      </c>
      <c r="B117">
        <v>188.87</v>
      </c>
      <c r="C117" s="1">
        <v>45068</v>
      </c>
      <c r="D117">
        <v>418.79</v>
      </c>
      <c r="E117" s="4">
        <f t="shared" si="29"/>
        <v>4.8462307094482175E-2</v>
      </c>
      <c r="F117" s="4">
        <f t="shared" si="30"/>
        <v>4.0609622091638219E-4</v>
      </c>
      <c r="G117">
        <f t="shared" ca="1" si="31"/>
        <v>-1.6812188687157276E-3</v>
      </c>
      <c r="H117">
        <f t="shared" ca="1" si="32"/>
        <v>3.9259052874330104E-2</v>
      </c>
      <c r="I117">
        <f t="shared" ca="1" si="33"/>
        <v>-6.7075968744764514E-2</v>
      </c>
      <c r="J117">
        <f t="shared" ca="1" si="34"/>
        <v>0.59648363614026501</v>
      </c>
      <c r="K117">
        <f t="shared" ca="1" si="35"/>
        <v>1.0554496635879476</v>
      </c>
      <c r="L117">
        <f t="shared" ca="1" si="36"/>
        <v>0.84358858513090496</v>
      </c>
      <c r="M117">
        <f t="shared" ca="1" si="37"/>
        <v>1.3724205707373822E-4</v>
      </c>
      <c r="N117">
        <f t="shared" ca="1" si="38"/>
        <v>1.2835422311044528E-2</v>
      </c>
      <c r="O117">
        <f t="shared" ca="1" si="39"/>
        <v>0.29131959984294326</v>
      </c>
      <c r="P117">
        <f t="shared" ca="1" si="40"/>
        <v>1.5468314876546998</v>
      </c>
      <c r="Q117">
        <f t="shared" ca="1" si="41"/>
        <v>1.0773020070979646</v>
      </c>
      <c r="R117">
        <f t="shared" ca="1" si="42"/>
        <v>1.0315984147209925</v>
      </c>
      <c r="T117">
        <f t="shared" si="43"/>
        <v>1.0484623070944821</v>
      </c>
      <c r="U117" s="6">
        <f t="shared" ca="1" si="44"/>
        <v>1.1353772167117526</v>
      </c>
      <c r="V117">
        <f t="shared" ca="1" si="45"/>
        <v>1.2351164630268516</v>
      </c>
      <c r="W117">
        <v>0.97822853687633327</v>
      </c>
      <c r="X117" t="b">
        <f t="shared" ca="1" si="46"/>
        <v>0</v>
      </c>
      <c r="AS117">
        <v>0.69476138312944857</v>
      </c>
      <c r="AT117">
        <v>999</v>
      </c>
      <c r="AU117">
        <v>2.60177600473583</v>
      </c>
      <c r="AV117">
        <v>999</v>
      </c>
      <c r="AW117">
        <v>2.4137247910842397</v>
      </c>
      <c r="AX117">
        <v>2.5575418318677028</v>
      </c>
      <c r="AY117">
        <v>-2.5156217828598204</v>
      </c>
      <c r="AZ117">
        <v>2.4159985172209981</v>
      </c>
      <c r="BA117">
        <v>999</v>
      </c>
      <c r="BB117">
        <v>4.548121104325241</v>
      </c>
      <c r="BC117">
        <v>999</v>
      </c>
      <c r="BD117">
        <v>3.8677355756060532</v>
      </c>
      <c r="BE117">
        <v>-4.6904655725187565</v>
      </c>
      <c r="BF117">
        <v>-5.4026124101946333</v>
      </c>
      <c r="BJ117" t="b">
        <f t="shared" si="27"/>
        <v>1</v>
      </c>
      <c r="BK117" t="b">
        <f t="shared" ca="1" si="28"/>
        <v>0</v>
      </c>
    </row>
    <row r="118" spans="1:63" x14ac:dyDescent="0.45">
      <c r="A118" s="1">
        <v>45065</v>
      </c>
      <c r="B118">
        <v>180.14</v>
      </c>
      <c r="C118" s="1">
        <v>45065</v>
      </c>
      <c r="D118">
        <v>418.62</v>
      </c>
      <c r="E118" s="4">
        <f t="shared" si="29"/>
        <v>1.8373000169596927E-2</v>
      </c>
      <c r="F118" s="4">
        <f t="shared" si="30"/>
        <v>-1.4550485413735029E-3</v>
      </c>
      <c r="G118">
        <f t="shared" ca="1" si="31"/>
        <v>-1.9034261090909196E-3</v>
      </c>
      <c r="H118">
        <f t="shared" ca="1" si="32"/>
        <v>3.9099257699002327E-2</v>
      </c>
      <c r="I118">
        <f t="shared" ca="1" si="33"/>
        <v>-6.1370696249043212E-2</v>
      </c>
      <c r="J118">
        <f t="shared" ca="1" si="34"/>
        <v>0.64076131561948335</v>
      </c>
      <c r="K118">
        <f t="shared" ca="1" si="35"/>
        <v>1.0554496635879476</v>
      </c>
      <c r="L118">
        <f t="shared" ca="1" si="36"/>
        <v>0.83271439184598328</v>
      </c>
      <c r="M118">
        <f t="shared" ca="1" si="37"/>
        <v>1.3183360516447613E-4</v>
      </c>
      <c r="N118">
        <f t="shared" ca="1" si="38"/>
        <v>1.2835536349904563E-2</v>
      </c>
      <c r="O118">
        <f t="shared" ca="1" si="39"/>
        <v>0.29258736455761325</v>
      </c>
      <c r="P118">
        <f t="shared" ca="1" si="40"/>
        <v>1.5471704183793458</v>
      </c>
      <c r="Q118">
        <f t="shared" ca="1" si="41"/>
        <v>1.0773020070979646</v>
      </c>
      <c r="R118">
        <f t="shared" ca="1" si="42"/>
        <v>1.0315984147209925</v>
      </c>
      <c r="T118">
        <f t="shared" si="43"/>
        <v>1.018373000169597</v>
      </c>
      <c r="U118" s="6">
        <f t="shared" ca="1" si="44"/>
        <v>1.072389570186927</v>
      </c>
      <c r="V118">
        <f t="shared" ca="1" si="45"/>
        <v>1.226119638400494</v>
      </c>
      <c r="W118">
        <v>0.90471719587473487</v>
      </c>
      <c r="X118" t="b">
        <f t="shared" ca="1" si="46"/>
        <v>0</v>
      </c>
      <c r="AS118">
        <v>0.72784000365975421</v>
      </c>
      <c r="AT118">
        <v>999</v>
      </c>
      <c r="AU118">
        <v>3.6276649879496987</v>
      </c>
      <c r="AV118">
        <v>999</v>
      </c>
      <c r="AW118">
        <v>3.1354115300422136</v>
      </c>
      <c r="AX118">
        <v>5.1188675970680739</v>
      </c>
      <c r="AY118">
        <v>999</v>
      </c>
      <c r="AZ118">
        <v>3.0533811600260226</v>
      </c>
      <c r="BA118">
        <v>2.4908843913027394</v>
      </c>
      <c r="BB118">
        <v>4.8680259026814836</v>
      </c>
      <c r="BC118">
        <v>999</v>
      </c>
      <c r="BD118">
        <v>3.7093681246130328</v>
      </c>
      <c r="BE118">
        <v>-5.4973176734895386</v>
      </c>
      <c r="BF118">
        <v>-7.2315050811354533</v>
      </c>
      <c r="BJ118" t="b">
        <f t="shared" si="27"/>
        <v>1</v>
      </c>
      <c r="BK118" t="b">
        <f t="shared" ca="1" si="28"/>
        <v>0</v>
      </c>
    </row>
    <row r="119" spans="1:63" x14ac:dyDescent="0.45">
      <c r="A119" s="1">
        <v>45064</v>
      </c>
      <c r="B119">
        <v>176.89</v>
      </c>
      <c r="C119" s="1">
        <v>45064</v>
      </c>
      <c r="D119">
        <v>419.23</v>
      </c>
      <c r="E119" s="4">
        <f t="shared" si="29"/>
        <v>1.7427815483722377E-2</v>
      </c>
      <c r="F119" s="4">
        <f t="shared" si="30"/>
        <v>9.6332153264455846E-3</v>
      </c>
      <c r="G119">
        <f t="shared" ca="1" si="31"/>
        <v>-1.8820127579143653E-3</v>
      </c>
      <c r="H119">
        <f t="shared" ca="1" si="32"/>
        <v>3.911158901257409E-2</v>
      </c>
      <c r="I119">
        <f t="shared" ca="1" si="33"/>
        <v>-6.242228081636228E-2</v>
      </c>
      <c r="J119">
        <f t="shared" ca="1" si="34"/>
        <v>0.63668294896639654</v>
      </c>
      <c r="K119">
        <f t="shared" ca="1" si="35"/>
        <v>1.0554496635879476</v>
      </c>
      <c r="L119">
        <f t="shared" ca="1" si="36"/>
        <v>0.84358858513090496</v>
      </c>
      <c r="M119">
        <f t="shared" ca="1" si="37"/>
        <v>2.1740615709057575E-4</v>
      </c>
      <c r="N119">
        <f t="shared" ca="1" si="38"/>
        <v>1.2881869967098503E-2</v>
      </c>
      <c r="O119">
        <f t="shared" ca="1" si="39"/>
        <v>0.27821062185565737</v>
      </c>
      <c r="P119">
        <f t="shared" ca="1" si="40"/>
        <v>1.4845630314427094</v>
      </c>
      <c r="Q119">
        <f t="shared" ca="1" si="41"/>
        <v>1.0773020070979646</v>
      </c>
      <c r="R119">
        <f t="shared" ca="1" si="42"/>
        <v>1.0602356094732448</v>
      </c>
      <c r="T119">
        <f t="shared" si="43"/>
        <v>1.0174278154837224</v>
      </c>
      <c r="U119" s="6">
        <f t="shared" ca="1" si="44"/>
        <v>1.0279521152952114</v>
      </c>
      <c r="V119">
        <f t="shared" ca="1" si="45"/>
        <v>1.1499784698497297</v>
      </c>
      <c r="W119">
        <v>0.93031040266791276</v>
      </c>
      <c r="X119" t="b">
        <f t="shared" ca="1" si="46"/>
        <v>0</v>
      </c>
      <c r="AS119">
        <v>0.75191410482262733</v>
      </c>
      <c r="AT119">
        <v>999</v>
      </c>
      <c r="AU119">
        <v>3.9573455660284704</v>
      </c>
      <c r="AV119">
        <v>999</v>
      </c>
      <c r="AW119">
        <v>3.34986037238115</v>
      </c>
      <c r="AX119">
        <v>5.4287324231694374</v>
      </c>
      <c r="AY119">
        <v>999</v>
      </c>
      <c r="AZ119">
        <v>2.9178593363739105</v>
      </c>
      <c r="BA119">
        <v>2.6665930265054323</v>
      </c>
      <c r="BB119">
        <v>4.9864310083476697</v>
      </c>
      <c r="BC119">
        <v>999</v>
      </c>
      <c r="BD119">
        <v>4.1671577516110769</v>
      </c>
      <c r="BE119">
        <v>-5.5870496331562389</v>
      </c>
      <c r="BF119">
        <v>-7.6337633259168136</v>
      </c>
      <c r="BJ119" t="b">
        <f t="shared" si="27"/>
        <v>1</v>
      </c>
      <c r="BK119" t="b">
        <f t="shared" ca="1" si="28"/>
        <v>0</v>
      </c>
    </row>
    <row r="120" spans="1:63" x14ac:dyDescent="0.45">
      <c r="A120" s="1">
        <v>45063</v>
      </c>
      <c r="B120">
        <v>173.86</v>
      </c>
      <c r="C120" s="1">
        <v>45063</v>
      </c>
      <c r="D120">
        <v>415.23</v>
      </c>
      <c r="E120" s="4">
        <f t="shared" si="29"/>
        <v>4.4078789334614475E-2</v>
      </c>
      <c r="F120" s="4">
        <f t="shared" si="30"/>
        <v>1.2138939670932403E-2</v>
      </c>
      <c r="G120">
        <f t="shared" ca="1" si="31"/>
        <v>-1.9134798526367037E-3</v>
      </c>
      <c r="H120">
        <f t="shared" ca="1" si="32"/>
        <v>3.9098504773635953E-2</v>
      </c>
      <c r="I120">
        <f t="shared" ca="1" si="33"/>
        <v>-6.0470305990702487E-2</v>
      </c>
      <c r="J120">
        <f t="shared" ca="1" si="34"/>
        <v>0.64116758823941078</v>
      </c>
      <c r="K120">
        <f t="shared" ca="1" si="35"/>
        <v>1.0554496635879476</v>
      </c>
      <c r="L120">
        <f t="shared" ca="1" si="36"/>
        <v>0.84358858513090496</v>
      </c>
      <c r="M120">
        <f t="shared" ca="1" si="37"/>
        <v>1.3625325084566948E-4</v>
      </c>
      <c r="N120">
        <f t="shared" ca="1" si="38"/>
        <v>1.2873376112324255E-2</v>
      </c>
      <c r="O120">
        <f t="shared" ca="1" si="39"/>
        <v>0.29512564157815235</v>
      </c>
      <c r="P120">
        <f t="shared" ca="1" si="40"/>
        <v>1.5028029985183977</v>
      </c>
      <c r="Q120">
        <f t="shared" ca="1" si="41"/>
        <v>1.0773020070979646</v>
      </c>
      <c r="R120">
        <f t="shared" ca="1" si="42"/>
        <v>1.0315984147209925</v>
      </c>
      <c r="T120">
        <f t="shared" si="43"/>
        <v>1.0440787893346144</v>
      </c>
      <c r="U120" s="6">
        <f t="shared" ca="1" si="44"/>
        <v>1.031565207072505</v>
      </c>
      <c r="V120">
        <f t="shared" ca="1" si="45"/>
        <v>1.164296190149368</v>
      </c>
      <c r="W120">
        <v>0.95815659111238283</v>
      </c>
      <c r="X120" t="b">
        <f t="shared" ca="1" si="46"/>
        <v>0</v>
      </c>
      <c r="AS120">
        <v>0.7686820142932046</v>
      </c>
      <c r="AT120">
        <v>2.4662106334826803</v>
      </c>
      <c r="AU120">
        <v>3.7462937192076748</v>
      </c>
      <c r="AV120">
        <v>999</v>
      </c>
      <c r="AW120">
        <v>3.9270635038023149</v>
      </c>
      <c r="AX120">
        <v>4.5736901901456095</v>
      </c>
      <c r="AY120">
        <v>-2.5934403842216343</v>
      </c>
      <c r="AZ120">
        <v>2.3413405938046905</v>
      </c>
      <c r="BA120">
        <v>2.249857774889052</v>
      </c>
      <c r="BB120">
        <v>4.5087841964817184</v>
      </c>
      <c r="BC120">
        <v>999</v>
      </c>
      <c r="BD120">
        <v>4.1290097083034807</v>
      </c>
      <c r="BE120">
        <v>-5.0919465632131224</v>
      </c>
      <c r="BF120">
        <v>-6.9650823569686491</v>
      </c>
      <c r="BJ120" t="b">
        <f t="shared" si="27"/>
        <v>1</v>
      </c>
      <c r="BK120" t="b">
        <f t="shared" ca="1" si="28"/>
        <v>0</v>
      </c>
    </row>
    <row r="121" spans="1:63" x14ac:dyDescent="0.45">
      <c r="A121" s="1">
        <v>45062</v>
      </c>
      <c r="B121">
        <v>166.52</v>
      </c>
      <c r="C121" s="1">
        <v>45062</v>
      </c>
      <c r="D121">
        <v>410.25</v>
      </c>
      <c r="E121" s="4">
        <f t="shared" si="29"/>
        <v>1.0219416892095939E-3</v>
      </c>
      <c r="F121" s="4">
        <f t="shared" si="30"/>
        <v>-6.6826469092757827E-3</v>
      </c>
      <c r="G121">
        <f t="shared" ca="1" si="31"/>
        <v>-2.1317368314484253E-3</v>
      </c>
      <c r="H121">
        <f t="shared" ca="1" si="32"/>
        <v>3.896207314921759E-2</v>
      </c>
      <c r="I121">
        <f t="shared" ca="1" si="33"/>
        <v>-5.2480507218651953E-2</v>
      </c>
      <c r="J121">
        <f t="shared" ca="1" si="34"/>
        <v>0.68163134930567626</v>
      </c>
      <c r="K121">
        <f t="shared" ca="1" si="35"/>
        <v>1.0554496635879476</v>
      </c>
      <c r="L121">
        <f t="shared" ca="1" si="36"/>
        <v>0.83271439184598328</v>
      </c>
      <c r="M121">
        <f t="shared" ca="1" si="37"/>
        <v>6.0752367874875484E-5</v>
      </c>
      <c r="N121">
        <f t="shared" ca="1" si="38"/>
        <v>1.2846881126451201E-2</v>
      </c>
      <c r="O121">
        <f t="shared" ca="1" si="39"/>
        <v>0.31055391941507282</v>
      </c>
      <c r="P121">
        <f t="shared" ca="1" si="40"/>
        <v>1.5437490517156469</v>
      </c>
      <c r="Q121">
        <f t="shared" ca="1" si="41"/>
        <v>1.0773020070979646</v>
      </c>
      <c r="R121">
        <f t="shared" ca="1" si="42"/>
        <v>1.0275058376390462</v>
      </c>
      <c r="T121">
        <f t="shared" si="43"/>
        <v>1.0010219416892097</v>
      </c>
      <c r="U121" s="6">
        <f t="shared" ca="1" si="44"/>
        <v>0.98445167011528234</v>
      </c>
      <c r="V121">
        <f t="shared" ca="1" si="45"/>
        <v>1.1719084014076557</v>
      </c>
      <c r="W121">
        <v>0.96987042831276593</v>
      </c>
      <c r="X121" t="b">
        <f t="shared" ca="1" si="46"/>
        <v>1</v>
      </c>
      <c r="AS121">
        <v>0.77682678626737955</v>
      </c>
      <c r="AT121">
        <v>2.591557019815661</v>
      </c>
      <c r="AU121">
        <v>3.7082010328798902</v>
      </c>
      <c r="AV121">
        <v>999</v>
      </c>
      <c r="AW121">
        <v>3.9934416776308668</v>
      </c>
      <c r="AX121">
        <v>4.5729882181750954</v>
      </c>
      <c r="AY121">
        <v>-2.6060044570524097</v>
      </c>
      <c r="AZ121">
        <v>2.2327990409440783</v>
      </c>
      <c r="BA121">
        <v>2.2580110959706365</v>
      </c>
      <c r="BB121">
        <v>4.5282072429304341</v>
      </c>
      <c r="BC121">
        <v>999</v>
      </c>
      <c r="BD121">
        <v>4.0743810198786443</v>
      </c>
      <c r="BE121">
        <v>-5.0445395359128167</v>
      </c>
      <c r="BF121">
        <v>-6.8799202190195752</v>
      </c>
      <c r="BJ121" t="b">
        <f t="shared" si="27"/>
        <v>1</v>
      </c>
      <c r="BK121" t="b">
        <f t="shared" ca="1" si="28"/>
        <v>1</v>
      </c>
    </row>
    <row r="122" spans="1:63" x14ac:dyDescent="0.45">
      <c r="A122" s="1">
        <v>45061</v>
      </c>
      <c r="B122">
        <v>166.35</v>
      </c>
      <c r="C122" s="1">
        <v>45061</v>
      </c>
      <c r="D122">
        <v>413.01</v>
      </c>
      <c r="E122" s="4">
        <f t="shared" si="29"/>
        <v>-9.7035361352541712E-3</v>
      </c>
      <c r="F122" s="4">
        <f t="shared" si="30"/>
        <v>3.4500352292330134E-3</v>
      </c>
      <c r="G122">
        <f t="shared" ca="1" si="31"/>
        <v>-1.8475976968898456E-3</v>
      </c>
      <c r="H122">
        <f t="shared" ca="1" si="32"/>
        <v>3.9191725229667677E-2</v>
      </c>
      <c r="I122">
        <f t="shared" ca="1" si="33"/>
        <v>-5.5339803599008933E-2</v>
      </c>
      <c r="J122">
        <f t="shared" ca="1" si="34"/>
        <v>0.62475676467943764</v>
      </c>
      <c r="K122">
        <f t="shared" ca="1" si="35"/>
        <v>1.0554496635879476</v>
      </c>
      <c r="L122">
        <f t="shared" ca="1" si="36"/>
        <v>0.84358858513090496</v>
      </c>
      <c r="M122">
        <f t="shared" ca="1" si="37"/>
        <v>1.6705943845937612E-4</v>
      </c>
      <c r="N122">
        <f t="shared" ca="1" si="38"/>
        <v>1.2878728452322061E-2</v>
      </c>
      <c r="O122">
        <f t="shared" ca="1" si="39"/>
        <v>0.29124163353526722</v>
      </c>
      <c r="P122">
        <f t="shared" ca="1" si="40"/>
        <v>1.4962615067298497</v>
      </c>
      <c r="Q122">
        <f t="shared" ca="1" si="41"/>
        <v>1.0773020070979646</v>
      </c>
      <c r="R122">
        <f t="shared" ca="1" si="42"/>
        <v>1.0315984147209925</v>
      </c>
      <c r="T122">
        <f t="shared" si="43"/>
        <v>0.99029646386474579</v>
      </c>
      <c r="U122" s="6">
        <f t="shared" ca="1" si="44"/>
        <v>0.96833343035100994</v>
      </c>
      <c r="V122">
        <f t="shared" ca="1" si="45"/>
        <v>1.1649714643426283</v>
      </c>
      <c r="W122">
        <v>0.96677276196666107</v>
      </c>
      <c r="X122" t="b">
        <f t="shared" ca="1" si="46"/>
        <v>1</v>
      </c>
      <c r="AS122">
        <v>0.78691304851830879</v>
      </c>
      <c r="AT122">
        <v>2.7148170823298892</v>
      </c>
      <c r="AU122">
        <v>3.6156151059376636</v>
      </c>
      <c r="AV122">
        <v>999</v>
      </c>
      <c r="AW122">
        <v>4.1796047749112955</v>
      </c>
      <c r="AX122">
        <v>4.6963807029362092</v>
      </c>
      <c r="AY122">
        <v>-2.6399871038836547</v>
      </c>
      <c r="AZ122">
        <v>2.2646891118870767</v>
      </c>
      <c r="BA122">
        <v>2.6521726474636949</v>
      </c>
      <c r="BB122">
        <v>4.583559117021422</v>
      </c>
      <c r="BC122">
        <v>999</v>
      </c>
      <c r="BD122">
        <v>4.0401992664911255</v>
      </c>
      <c r="BE122">
        <v>-5.2557759610144927</v>
      </c>
      <c r="BF122">
        <v>-6.9727782467369339</v>
      </c>
      <c r="BJ122" t="b">
        <f t="shared" si="27"/>
        <v>1</v>
      </c>
      <c r="BK122" t="b">
        <f t="shared" ca="1" si="28"/>
        <v>1</v>
      </c>
    </row>
    <row r="123" spans="1:63" x14ac:dyDescent="0.45">
      <c r="A123" s="1">
        <v>45058</v>
      </c>
      <c r="B123">
        <v>167.98</v>
      </c>
      <c r="C123" s="1">
        <v>45058</v>
      </c>
      <c r="D123">
        <v>411.59</v>
      </c>
      <c r="E123" s="4">
        <f t="shared" si="29"/>
        <v>-2.3826127382612868E-2</v>
      </c>
      <c r="F123" s="4">
        <f t="shared" si="30"/>
        <v>-1.3102661781477214E-3</v>
      </c>
      <c r="G123">
        <f t="shared" ca="1" si="31"/>
        <v>-1.6884621572513449E-3</v>
      </c>
      <c r="H123">
        <f t="shared" ca="1" si="32"/>
        <v>3.9224268865784832E-2</v>
      </c>
      <c r="I123">
        <f t="shared" ca="1" si="33"/>
        <v>-6.6297059405809322E-2</v>
      </c>
      <c r="J123">
        <f t="shared" ca="1" si="34"/>
        <v>0.614300493889405</v>
      </c>
      <c r="K123">
        <f t="shared" ca="1" si="35"/>
        <v>1.0554496635879476</v>
      </c>
      <c r="L123">
        <f t="shared" ca="1" si="36"/>
        <v>0.86663857318016435</v>
      </c>
      <c r="M123">
        <f t="shared" ca="1" si="37"/>
        <v>2.1252121124598538E-4</v>
      </c>
      <c r="N123">
        <f t="shared" ca="1" si="38"/>
        <v>1.2906393799336353E-2</v>
      </c>
      <c r="O123">
        <f t="shared" ca="1" si="39"/>
        <v>0.28308992514041087</v>
      </c>
      <c r="P123">
        <f t="shared" ca="1" si="40"/>
        <v>1.4576522300701376</v>
      </c>
      <c r="Q123">
        <f t="shared" ca="1" si="41"/>
        <v>1.0773020070979646</v>
      </c>
      <c r="R123">
        <f t="shared" ca="1" si="42"/>
        <v>1.0602356094732448</v>
      </c>
      <c r="T123">
        <f t="shared" si="43"/>
        <v>0.97617387261738708</v>
      </c>
      <c r="U123" s="6">
        <f t="shared" ca="1" si="44"/>
        <v>0.98776902269787115</v>
      </c>
      <c r="V123">
        <f t="shared" ca="1" si="45"/>
        <v>1.1477432803559124</v>
      </c>
      <c r="W123">
        <v>0.96159310427218792</v>
      </c>
      <c r="X123" t="b">
        <f t="shared" ca="1" si="46"/>
        <v>1</v>
      </c>
      <c r="AS123">
        <v>0.79026514411371418</v>
      </c>
      <c r="AT123">
        <v>2.7013628783533012</v>
      </c>
      <c r="AU123">
        <v>3.5349333886177532</v>
      </c>
      <c r="AV123">
        <v>999</v>
      </c>
      <c r="AW123">
        <v>4.2079523897456097</v>
      </c>
      <c r="AX123">
        <v>4.6981353774877723</v>
      </c>
      <c r="AY123">
        <v>-2.5090605123953238</v>
      </c>
      <c r="AZ123">
        <v>2.20014538307111</v>
      </c>
      <c r="BA123">
        <v>2.7327167231745024</v>
      </c>
      <c r="BB123">
        <v>4.6028535868274298</v>
      </c>
      <c r="BC123">
        <v>999</v>
      </c>
      <c r="BD123">
        <v>4.0297540597647092</v>
      </c>
      <c r="BE123">
        <v>-5.2247601189078976</v>
      </c>
      <c r="BF123">
        <v>-6.8857089448818734</v>
      </c>
      <c r="BJ123" t="b">
        <f t="shared" si="27"/>
        <v>1</v>
      </c>
      <c r="BK123" t="b">
        <f t="shared" ca="1" si="28"/>
        <v>1</v>
      </c>
    </row>
    <row r="124" spans="1:63" x14ac:dyDescent="0.45">
      <c r="A124" s="1">
        <v>45057</v>
      </c>
      <c r="B124">
        <v>172.08</v>
      </c>
      <c r="C124" s="1">
        <v>45057</v>
      </c>
      <c r="D124">
        <v>412.13</v>
      </c>
      <c r="E124" s="4">
        <f t="shared" si="29"/>
        <v>2.1003915984336183E-2</v>
      </c>
      <c r="F124" s="4">
        <f t="shared" si="30"/>
        <v>-1.7439748092528211E-3</v>
      </c>
      <c r="G124">
        <f t="shared" ca="1" si="31"/>
        <v>-1.2610567772339014E-3</v>
      </c>
      <c r="H124">
        <f t="shared" ca="1" si="32"/>
        <v>3.9446922977019246E-2</v>
      </c>
      <c r="I124">
        <f t="shared" ca="1" si="33"/>
        <v>-7.6100788601110234E-2</v>
      </c>
      <c r="J124">
        <f t="shared" ca="1" si="34"/>
        <v>0.5689221937065434</v>
      </c>
      <c r="K124">
        <f t="shared" ca="1" si="35"/>
        <v>1.0554496635879476</v>
      </c>
      <c r="L124">
        <f t="shared" ca="1" si="36"/>
        <v>0.90525860892230881</v>
      </c>
      <c r="M124">
        <f t="shared" ca="1" si="37"/>
        <v>3.4890446416082325E-4</v>
      </c>
      <c r="N124">
        <f t="shared" ca="1" si="38"/>
        <v>1.3033711159146302E-2</v>
      </c>
      <c r="O124">
        <f t="shared" ca="1" si="39"/>
        <v>0.28233222786689555</v>
      </c>
      <c r="P124">
        <f t="shared" ca="1" si="40"/>
        <v>1.3504631493667238</v>
      </c>
      <c r="Q124">
        <f t="shared" ca="1" si="41"/>
        <v>1.1386939354515966</v>
      </c>
      <c r="R124">
        <f t="shared" ca="1" si="42"/>
        <v>1.1294624454728392</v>
      </c>
      <c r="T124">
        <f t="shared" si="43"/>
        <v>1.0210039159843363</v>
      </c>
      <c r="U124" s="6">
        <f t="shared" ca="1" si="44"/>
        <v>1.0674937965260547</v>
      </c>
      <c r="V124">
        <f t="shared" ca="1" si="45"/>
        <v>1.1651864981678823</v>
      </c>
      <c r="W124">
        <v>0.89632206611987186</v>
      </c>
      <c r="X124" t="b">
        <f t="shared" ca="1" si="46"/>
        <v>0</v>
      </c>
      <c r="AS124">
        <v>0.77768831091505575</v>
      </c>
      <c r="AT124">
        <v>2.7024021538987362</v>
      </c>
      <c r="AU124">
        <v>4.421538401087111</v>
      </c>
      <c r="AV124">
        <v>999</v>
      </c>
      <c r="AW124">
        <v>4.6780014563809349</v>
      </c>
      <c r="AX124">
        <v>6.4839718468783909</v>
      </c>
      <c r="AY124">
        <v>999</v>
      </c>
      <c r="AZ124">
        <v>999</v>
      </c>
      <c r="BA124">
        <v>2.9700441476712403</v>
      </c>
      <c r="BB124">
        <v>4.9830945222166436</v>
      </c>
      <c r="BC124">
        <v>999</v>
      </c>
      <c r="BD124">
        <v>9.6848275495098886</v>
      </c>
      <c r="BE124">
        <v>-7.3260847475202411</v>
      </c>
      <c r="BF124">
        <v>-7.7830101103355807</v>
      </c>
      <c r="BJ124" t="b">
        <f t="shared" si="27"/>
        <v>1</v>
      </c>
      <c r="BK124" t="b">
        <f t="shared" ca="1" si="28"/>
        <v>0</v>
      </c>
    </row>
    <row r="125" spans="1:63" x14ac:dyDescent="0.45">
      <c r="A125" s="1">
        <v>45056</v>
      </c>
      <c r="B125">
        <v>168.54</v>
      </c>
      <c r="C125" s="1">
        <v>45056</v>
      </c>
      <c r="D125">
        <v>412.85</v>
      </c>
      <c r="E125" s="4">
        <f t="shared" si="29"/>
        <v>-3.6062666272539973E-3</v>
      </c>
      <c r="F125" s="4">
        <f t="shared" si="30"/>
        <v>4.6723286204463435E-3</v>
      </c>
      <c r="G125">
        <f t="shared" ca="1" si="31"/>
        <v>-1.5443890087297168E-3</v>
      </c>
      <c r="H125">
        <f t="shared" ca="1" si="32"/>
        <v>3.9489682112596208E-2</v>
      </c>
      <c r="I125">
        <f t="shared" ca="1" si="33"/>
        <v>-5.8377060714369405E-2</v>
      </c>
      <c r="J125">
        <f t="shared" ca="1" si="34"/>
        <v>0.55372344341271162</v>
      </c>
      <c r="K125">
        <f t="shared" ca="1" si="35"/>
        <v>1.0554496635879476</v>
      </c>
      <c r="L125">
        <f t="shared" ca="1" si="36"/>
        <v>0.88866554342353521</v>
      </c>
      <c r="M125">
        <f t="shared" ca="1" si="37"/>
        <v>2.9846919499602501E-4</v>
      </c>
      <c r="N125">
        <f t="shared" ca="1" si="38"/>
        <v>1.3061337625516414E-2</v>
      </c>
      <c r="O125">
        <f t="shared" ca="1" si="39"/>
        <v>0.28815063108704603</v>
      </c>
      <c r="P125">
        <f t="shared" ca="1" si="40"/>
        <v>1.3217482675429686</v>
      </c>
      <c r="Q125">
        <f t="shared" ca="1" si="41"/>
        <v>1.1386939354515966</v>
      </c>
      <c r="R125">
        <f t="shared" ca="1" si="42"/>
        <v>1.1203839875897479</v>
      </c>
      <c r="T125">
        <f t="shared" si="43"/>
        <v>0.99639373337274595</v>
      </c>
      <c r="U125" s="6">
        <f t="shared" ca="1" si="44"/>
        <v>1.0493742606313428</v>
      </c>
      <c r="V125">
        <f t="shared" ca="1" si="45"/>
        <v>1.0583205690468191</v>
      </c>
      <c r="W125">
        <v>1.0277697980377685</v>
      </c>
      <c r="X125" t="b">
        <f t="shared" ca="1" si="46"/>
        <v>1</v>
      </c>
      <c r="AS125">
        <v>0.78059683037469396</v>
      </c>
      <c r="AT125">
        <v>2.7230293615974093</v>
      </c>
      <c r="AU125">
        <v>4.4043955173387914</v>
      </c>
      <c r="AV125">
        <v>999</v>
      </c>
      <c r="AW125">
        <v>4.8125418279831411</v>
      </c>
      <c r="AX125">
        <v>6.6403528478051692</v>
      </c>
      <c r="AY125">
        <v>999</v>
      </c>
      <c r="AZ125">
        <v>999</v>
      </c>
      <c r="BA125">
        <v>3.06467095398183</v>
      </c>
      <c r="BB125">
        <v>4.9824028761399175</v>
      </c>
      <c r="BC125">
        <v>999</v>
      </c>
      <c r="BD125">
        <v>9.7133135602691194</v>
      </c>
      <c r="BE125">
        <v>-7.3056278156169192</v>
      </c>
      <c r="BF125">
        <v>-7.9149494184858558</v>
      </c>
      <c r="BJ125" t="b">
        <f t="shared" si="27"/>
        <v>1</v>
      </c>
      <c r="BK125" t="b">
        <f t="shared" ca="1" si="28"/>
        <v>1</v>
      </c>
    </row>
    <row r="126" spans="1:63" x14ac:dyDescent="0.45">
      <c r="A126" s="1">
        <v>45055</v>
      </c>
      <c r="B126">
        <v>169.15</v>
      </c>
      <c r="C126" s="1">
        <v>45055</v>
      </c>
      <c r="D126">
        <v>410.93</v>
      </c>
      <c r="E126" s="4">
        <f t="shared" si="29"/>
        <v>-1.536759997671568E-2</v>
      </c>
      <c r="F126" s="4">
        <f t="shared" si="30"/>
        <v>-4.3853273247080543E-3</v>
      </c>
      <c r="G126">
        <f t="shared" ca="1" si="31"/>
        <v>-1.5963319265383758E-3</v>
      </c>
      <c r="H126">
        <f t="shared" ca="1" si="32"/>
        <v>3.9499239017437293E-2</v>
      </c>
      <c r="I126">
        <f t="shared" ca="1" si="33"/>
        <v>-5.4507981205623154E-2</v>
      </c>
      <c r="J126">
        <f t="shared" ca="1" si="34"/>
        <v>0.54998895289401561</v>
      </c>
      <c r="K126">
        <f t="shared" ca="1" si="35"/>
        <v>1.0554496635879476</v>
      </c>
      <c r="L126">
        <f t="shared" ca="1" si="36"/>
        <v>0.88866554342353521</v>
      </c>
      <c r="M126">
        <f t="shared" ca="1" si="37"/>
        <v>2.8118211718271486E-4</v>
      </c>
      <c r="N126">
        <f t="shared" ca="1" si="38"/>
        <v>1.305780711953919E-2</v>
      </c>
      <c r="O126">
        <f t="shared" ca="1" si="39"/>
        <v>0.29220719677416784</v>
      </c>
      <c r="P126">
        <f t="shared" ca="1" si="40"/>
        <v>1.327976557782101</v>
      </c>
      <c r="Q126">
        <f t="shared" ca="1" si="41"/>
        <v>1.1386939354515966</v>
      </c>
      <c r="R126">
        <f t="shared" ca="1" si="42"/>
        <v>1.1203839875897479</v>
      </c>
      <c r="T126">
        <f t="shared" si="43"/>
        <v>0.98463240002328434</v>
      </c>
      <c r="U126" s="6">
        <f t="shared" ca="1" si="44"/>
        <v>1.0551431601272534</v>
      </c>
      <c r="V126">
        <f t="shared" ca="1" si="45"/>
        <v>1.0548360865470894</v>
      </c>
      <c r="W126">
        <v>1.0184690805923342</v>
      </c>
      <c r="X126" t="b">
        <f t="shared" ca="1" si="46"/>
        <v>1</v>
      </c>
      <c r="AS126">
        <v>0.77552104534374733</v>
      </c>
      <c r="AT126">
        <v>2.7036512576362282</v>
      </c>
      <c r="AU126">
        <v>4.331624916906347</v>
      </c>
      <c r="AV126">
        <v>999</v>
      </c>
      <c r="AW126">
        <v>4.8449114781976625</v>
      </c>
      <c r="AX126">
        <v>6.623819216678636</v>
      </c>
      <c r="AY126">
        <v>999</v>
      </c>
      <c r="AZ126">
        <v>999</v>
      </c>
      <c r="BA126">
        <v>3.0256639374623493</v>
      </c>
      <c r="BB126">
        <v>4.8969721318912312</v>
      </c>
      <c r="BC126">
        <v>999</v>
      </c>
      <c r="BD126">
        <v>9.5928430450043702</v>
      </c>
      <c r="BE126">
        <v>-7.1112499019703863</v>
      </c>
      <c r="BF126">
        <v>-7.8537116095526835</v>
      </c>
      <c r="BJ126" t="b">
        <f t="shared" si="27"/>
        <v>1</v>
      </c>
      <c r="BK126" t="b">
        <f t="shared" ca="1" si="28"/>
        <v>1</v>
      </c>
    </row>
    <row r="127" spans="1:63" x14ac:dyDescent="0.45">
      <c r="A127" s="1">
        <v>45054</v>
      </c>
      <c r="B127">
        <v>171.79</v>
      </c>
      <c r="C127" s="1">
        <v>45054</v>
      </c>
      <c r="D127">
        <v>412.74</v>
      </c>
      <c r="E127" s="4">
        <f t="shared" si="29"/>
        <v>1.0172880159943489E-2</v>
      </c>
      <c r="F127" s="4">
        <f t="shared" si="30"/>
        <v>2.6658265273977571E-4</v>
      </c>
      <c r="G127">
        <f t="shared" ca="1" si="31"/>
        <v>-1.5096303603867221E-3</v>
      </c>
      <c r="H127">
        <f t="shared" ca="1" si="32"/>
        <v>3.9487888451409749E-2</v>
      </c>
      <c r="I127">
        <f t="shared" ca="1" si="33"/>
        <v>-6.0989446402458028E-2</v>
      </c>
      <c r="J127">
        <f t="shared" ca="1" si="34"/>
        <v>0.55456549506017527</v>
      </c>
      <c r="K127">
        <f t="shared" ca="1" si="35"/>
        <v>1.0554496635879476</v>
      </c>
      <c r="L127">
        <f t="shared" ca="1" si="36"/>
        <v>0.88866554342353521</v>
      </c>
      <c r="M127">
        <f t="shared" ca="1" si="37"/>
        <v>2.5671842305573423E-4</v>
      </c>
      <c r="N127">
        <f t="shared" ca="1" si="38"/>
        <v>1.3071170134830811E-2</v>
      </c>
      <c r="O127">
        <f t="shared" ca="1" si="39"/>
        <v>0.2952289717944091</v>
      </c>
      <c r="P127">
        <f t="shared" ca="1" si="40"/>
        <v>1.3137490768443065</v>
      </c>
      <c r="Q127">
        <f t="shared" ca="1" si="41"/>
        <v>1.1386939354515966</v>
      </c>
      <c r="R127">
        <f t="shared" ca="1" si="42"/>
        <v>1.1179716587600881</v>
      </c>
      <c r="T127">
        <f t="shared" si="43"/>
        <v>1.0101728801599434</v>
      </c>
      <c r="U127" s="6">
        <f t="shared" ca="1" si="44"/>
        <v>1.0615460668602854</v>
      </c>
      <c r="V127">
        <f t="shared" ca="1" si="45"/>
        <v>1.0404820156297454</v>
      </c>
      <c r="W127">
        <v>1.0334532619291625</v>
      </c>
      <c r="X127" t="b">
        <f t="shared" ca="1" si="46"/>
        <v>1</v>
      </c>
      <c r="AS127">
        <v>0.78625160664335514</v>
      </c>
      <c r="AT127">
        <v>2.5838190901196754</v>
      </c>
      <c r="AU127">
        <v>4.2802508432892044</v>
      </c>
      <c r="AV127">
        <v>999</v>
      </c>
      <c r="AW127">
        <v>5.0922377749868284</v>
      </c>
      <c r="AX127">
        <v>6.8613275729389658</v>
      </c>
      <c r="AY127">
        <v>999</v>
      </c>
      <c r="AZ127">
        <v>999</v>
      </c>
      <c r="BA127">
        <v>3.121480066614192</v>
      </c>
      <c r="BB127">
        <v>4.9757924295825724</v>
      </c>
      <c r="BC127">
        <v>999</v>
      </c>
      <c r="BD127">
        <v>9.7991244470326766</v>
      </c>
      <c r="BE127">
        <v>-6.9605696880918497</v>
      </c>
      <c r="BF127">
        <v>-8.0623247937806184</v>
      </c>
      <c r="BJ127" t="b">
        <f t="shared" si="27"/>
        <v>1</v>
      </c>
      <c r="BK127" t="b">
        <f t="shared" ca="1" si="28"/>
        <v>1</v>
      </c>
    </row>
    <row r="128" spans="1:63" x14ac:dyDescent="0.45">
      <c r="A128" s="1">
        <v>45051</v>
      </c>
      <c r="B128">
        <v>170.06</v>
      </c>
      <c r="C128" s="1">
        <v>45051</v>
      </c>
      <c r="D128">
        <v>412.63</v>
      </c>
      <c r="E128" s="4">
        <f t="shared" si="29"/>
        <v>5.4962779156327635E-2</v>
      </c>
      <c r="F128" s="4">
        <f t="shared" si="30"/>
        <v>1.8512576210105398E-2</v>
      </c>
      <c r="G128">
        <f t="shared" ca="1" si="31"/>
        <v>-1.0714644581561363E-3</v>
      </c>
      <c r="H128">
        <f t="shared" ca="1" si="32"/>
        <v>4.009963101400147E-2</v>
      </c>
      <c r="I128">
        <f t="shared" ca="1" si="33"/>
        <v>-1.4363331010795283E-2</v>
      </c>
      <c r="J128">
        <f t="shared" ca="1" si="34"/>
        <v>0.53457971987094544</v>
      </c>
      <c r="K128">
        <f t="shared" ca="1" si="35"/>
        <v>1.1111105663294147</v>
      </c>
      <c r="L128">
        <f t="shared" ca="1" si="36"/>
        <v>0.90267505042183027</v>
      </c>
      <c r="M128">
        <f t="shared" ca="1" si="37"/>
        <v>3.063012328712972E-4</v>
      </c>
      <c r="N128">
        <f t="shared" ca="1" si="38"/>
        <v>1.309000239906483E-2</v>
      </c>
      <c r="O128">
        <f t="shared" ca="1" si="39"/>
        <v>0.28469169378098047</v>
      </c>
      <c r="P128">
        <f t="shared" ca="1" si="40"/>
        <v>1.28593830305251</v>
      </c>
      <c r="Q128">
        <f t="shared" ca="1" si="41"/>
        <v>1.1386939354515966</v>
      </c>
      <c r="R128">
        <f t="shared" ca="1" si="42"/>
        <v>1.1523338606587232</v>
      </c>
      <c r="T128">
        <f t="shared" si="43"/>
        <v>1.0549627791563276</v>
      </c>
      <c r="U128" s="6">
        <f t="shared" ca="1" si="44"/>
        <v>1.0349948268516826</v>
      </c>
      <c r="V128">
        <f t="shared" ca="1" si="45"/>
        <v>1.033868566001662</v>
      </c>
      <c r="W128">
        <v>1.0238339225414403</v>
      </c>
      <c r="X128" t="b">
        <f t="shared" ca="1" si="46"/>
        <v>1</v>
      </c>
      <c r="AS128">
        <v>0.78691071475352592</v>
      </c>
      <c r="AT128">
        <v>2.4530402502955004</v>
      </c>
      <c r="AU128">
        <v>4.1654926477981329</v>
      </c>
      <c r="AV128">
        <v>999</v>
      </c>
      <c r="AW128">
        <v>5.1828342394832365</v>
      </c>
      <c r="AX128">
        <v>6.9407314897699175</v>
      </c>
      <c r="AY128">
        <v>999</v>
      </c>
      <c r="AZ128">
        <v>999</v>
      </c>
      <c r="BA128">
        <v>3.157248414576697</v>
      </c>
      <c r="BB128">
        <v>4.9445220101382281</v>
      </c>
      <c r="BC128">
        <v>999</v>
      </c>
      <c r="BD128">
        <v>9.6962351172125683</v>
      </c>
      <c r="BE128">
        <v>-6.6860278796246702</v>
      </c>
      <c r="BF128">
        <v>-8.0820495065591249</v>
      </c>
      <c r="BJ128" t="b">
        <f t="shared" si="27"/>
        <v>1</v>
      </c>
      <c r="BK128" t="b">
        <f t="shared" ca="1" si="28"/>
        <v>1</v>
      </c>
    </row>
    <row r="129" spans="1:63" x14ac:dyDescent="0.45">
      <c r="A129" s="1">
        <v>45050</v>
      </c>
      <c r="B129">
        <v>161.19999999999999</v>
      </c>
      <c r="C129" s="1">
        <v>45050</v>
      </c>
      <c r="D129">
        <v>405.13</v>
      </c>
      <c r="E129" s="4">
        <f t="shared" si="29"/>
        <v>3.6734948010707612E-3</v>
      </c>
      <c r="F129" s="4">
        <f t="shared" si="30"/>
        <v>-7.0829861281309411E-3</v>
      </c>
      <c r="G129">
        <f t="shared" ca="1" si="31"/>
        <v>-1.3061610566624914E-3</v>
      </c>
      <c r="H129">
        <f t="shared" ca="1" si="32"/>
        <v>3.9906924738150454E-2</v>
      </c>
      <c r="I129">
        <f t="shared" ca="1" si="33"/>
        <v>-1.0742264466302489E-2</v>
      </c>
      <c r="J129">
        <f t="shared" ca="1" si="34"/>
        <v>0.5836499980038683</v>
      </c>
      <c r="K129">
        <f t="shared" ca="1" si="35"/>
        <v>1.1111105663294147</v>
      </c>
      <c r="L129">
        <f t="shared" ca="1" si="36"/>
        <v>0.88866554342353521</v>
      </c>
      <c r="M129">
        <f t="shared" ca="1" si="37"/>
        <v>2.4560415853553297E-4</v>
      </c>
      <c r="N129">
        <f t="shared" ca="1" si="38"/>
        <v>1.303317874946373E-2</v>
      </c>
      <c r="O129">
        <f t="shared" ca="1" si="39"/>
        <v>0.28921979247402002</v>
      </c>
      <c r="P129">
        <f t="shared" ca="1" si="40"/>
        <v>1.3478626658606458</v>
      </c>
      <c r="Q129">
        <f t="shared" ca="1" si="41"/>
        <v>1.1386939354515966</v>
      </c>
      <c r="R129">
        <f t="shared" ca="1" si="42"/>
        <v>1.1179716587600881</v>
      </c>
      <c r="T129">
        <f t="shared" si="43"/>
        <v>1.0036734948010708</v>
      </c>
      <c r="U129" s="6">
        <f t="shared" ca="1" si="44"/>
        <v>1.0063050127973032</v>
      </c>
      <c r="V129">
        <f t="shared" ca="1" si="45"/>
        <v>1.0291517752922168</v>
      </c>
      <c r="W129">
        <v>1.0767055330546231</v>
      </c>
      <c r="X129" t="b">
        <f t="shared" ca="1" si="46"/>
        <v>1</v>
      </c>
      <c r="AS129">
        <v>0.80289223880163307</v>
      </c>
      <c r="AT129">
        <v>3.4630402904391944</v>
      </c>
      <c r="AU129">
        <v>3.6550905696602829</v>
      </c>
      <c r="AV129">
        <v>999</v>
      </c>
      <c r="AW129">
        <v>5.7847202527382873</v>
      </c>
      <c r="AX129">
        <v>6.0295335530212917</v>
      </c>
      <c r="AY129">
        <v>-2.1248072855250717</v>
      </c>
      <c r="AZ129">
        <v>999</v>
      </c>
      <c r="BA129">
        <v>2.8919621186875868</v>
      </c>
      <c r="BB129">
        <v>4.6078165007482079</v>
      </c>
      <c r="BC129">
        <v>999</v>
      </c>
      <c r="BD129">
        <v>9.3582244761971456</v>
      </c>
      <c r="BE129">
        <v>-6.2259037878412151</v>
      </c>
      <c r="BF129">
        <v>-7.7502422668865343</v>
      </c>
      <c r="BJ129" t="b">
        <f t="shared" si="27"/>
        <v>1</v>
      </c>
      <c r="BK129" t="b">
        <f t="shared" ca="1" si="28"/>
        <v>1</v>
      </c>
    </row>
    <row r="130" spans="1:63" x14ac:dyDescent="0.45">
      <c r="A130" s="1">
        <v>45049</v>
      </c>
      <c r="B130">
        <v>160.61000000000001</v>
      </c>
      <c r="C130" s="1">
        <v>45049</v>
      </c>
      <c r="D130">
        <v>408.02</v>
      </c>
      <c r="E130" s="4">
        <f t="shared" si="29"/>
        <v>1.8713742124634232E-3</v>
      </c>
      <c r="F130" s="4">
        <f t="shared" si="30"/>
        <v>-6.8639859799435139E-3</v>
      </c>
      <c r="G130">
        <f t="shared" ca="1" si="31"/>
        <v>-1.2209520986192224E-3</v>
      </c>
      <c r="H130">
        <f t="shared" ca="1" si="32"/>
        <v>3.9935793999515232E-2</v>
      </c>
      <c r="I130">
        <f t="shared" ca="1" si="33"/>
        <v>-1.6343373416951693E-2</v>
      </c>
      <c r="J130">
        <f t="shared" ca="1" si="34"/>
        <v>0.57375841902819946</v>
      </c>
      <c r="K130">
        <f t="shared" ca="1" si="35"/>
        <v>1.1111105663294147</v>
      </c>
      <c r="L130">
        <f t="shared" ca="1" si="36"/>
        <v>0.88866554342353521</v>
      </c>
      <c r="M130">
        <f t="shared" ca="1" si="37"/>
        <v>4.1611530595848912E-4</v>
      </c>
      <c r="N130">
        <f t="shared" ca="1" si="38"/>
        <v>1.3159285203207317E-2</v>
      </c>
      <c r="O130">
        <f t="shared" ca="1" si="39"/>
        <v>0.28534392173997514</v>
      </c>
      <c r="P130">
        <f t="shared" ca="1" si="40"/>
        <v>1.2539689192335111</v>
      </c>
      <c r="Q130">
        <f t="shared" ca="1" si="41"/>
        <v>1.2398609942686676</v>
      </c>
      <c r="R130">
        <f t="shared" ca="1" si="42"/>
        <v>1.1523338606587232</v>
      </c>
      <c r="T130">
        <f t="shared" si="43"/>
        <v>1.0018713742124634</v>
      </c>
      <c r="U130" s="6">
        <f t="shared" ca="1" si="44"/>
        <v>1.044617886178862</v>
      </c>
      <c r="V130">
        <f t="shared" ca="1" si="45"/>
        <v>1.0450128141760859</v>
      </c>
      <c r="W130">
        <v>1.0545809798422496</v>
      </c>
      <c r="X130" t="b">
        <f t="shared" ca="1" si="46"/>
        <v>1</v>
      </c>
      <c r="AS130">
        <v>0.79619840247433127</v>
      </c>
      <c r="AT130">
        <v>3.4072387043503594</v>
      </c>
      <c r="AU130">
        <v>3.5790934312991172</v>
      </c>
      <c r="AV130">
        <v>999</v>
      </c>
      <c r="AW130">
        <v>5.716591987496316</v>
      </c>
      <c r="AX130">
        <v>5.9933593419101623</v>
      </c>
      <c r="AY130">
        <v>-2.0527045727218933</v>
      </c>
      <c r="AZ130">
        <v>999</v>
      </c>
      <c r="BA130">
        <v>2.8813080745295112</v>
      </c>
      <c r="BB130">
        <v>4.495757586378943</v>
      </c>
      <c r="BC130">
        <v>999</v>
      </c>
      <c r="BD130">
        <v>9.1371684121902526</v>
      </c>
      <c r="BE130">
        <v>-6.0476464166290116</v>
      </c>
      <c r="BF130">
        <v>-7.6545709466480902</v>
      </c>
      <c r="BJ130" t="b">
        <f t="shared" ref="BJ130:BJ193" si="47">ABS(W130-1)&gt;$S$21</f>
        <v>1</v>
      </c>
      <c r="BK130" t="b">
        <f t="shared" ref="BK130:BK193" ca="1" si="48">AND(X130,BJ130)</f>
        <v>1</v>
      </c>
    </row>
    <row r="131" spans="1:63" x14ac:dyDescent="0.45">
      <c r="A131" s="1">
        <v>45048</v>
      </c>
      <c r="B131">
        <v>160.31</v>
      </c>
      <c r="C131" s="1">
        <v>45048</v>
      </c>
      <c r="D131">
        <v>410.84</v>
      </c>
      <c r="E131" s="4">
        <f t="shared" ref="E131:E194" si="49">(B131-B132)/B132</f>
        <v>-9.3925724525737511E-3</v>
      </c>
      <c r="F131" s="4">
        <f t="shared" ref="F131:F194" si="50">(D131-D132)/D132</f>
        <v>-1.1239200019253485E-2</v>
      </c>
      <c r="G131">
        <f t="shared" ref="G131:G194" ca="1" si="51">AVERAGE(OFFSET(E131,0,0,$S$3,1))*$AK$25</f>
        <v>-1.2203117605690838E-3</v>
      </c>
      <c r="H131">
        <f t="shared" ref="H131:H194" ca="1" si="52">STDEV(OFFSET(E131,0,0,$S$3,1))*$AJ$25</f>
        <v>3.9935844858316541E-2</v>
      </c>
      <c r="I131">
        <f t="shared" ref="I131:I194" ca="1" si="53">SKEW(OFFSET(E131,0,0,$S$3,1))*$AI$25</f>
        <v>-1.6391594282956147E-2</v>
      </c>
      <c r="J131">
        <f t="shared" ref="J131:J194" ca="1" si="54">KURT(OFFSET(E131,0,0,$S$3,1))*$AH$25</f>
        <v>0.5737410849135105</v>
      </c>
      <c r="K131">
        <f t="shared" ref="K131:K194" ca="1" si="55">PERCENTILE(OFFSET(E131,0,0,$S$3,1), 0.95)/ABS(PERCENTILE(OFFSET(E131,0,0,$S$3,1), 0.05))*$AG$25</f>
        <v>1.1111105663294147</v>
      </c>
      <c r="L131">
        <f t="shared" ref="L131:L194" ca="1" si="56">PERCENTILE(OFFSET(E131,0,0,$S$3,1), 0.75)/ABS(PERCENTILE(OFFSET(E131,0,0,$S$3,1), 0.25))*$AF$25</f>
        <v>0.88866554342353521</v>
      </c>
      <c r="M131">
        <f t="shared" ref="M131:M194" ca="1" si="57">AVERAGE(OFFSET(F131,0,0,$S$3,1))*$AE$25</f>
        <v>4.0915047486841076E-4</v>
      </c>
      <c r="N131">
        <f t="shared" ref="N131:N194" ca="1" si="58">STDEV(OFFSET(F131,0,0,$S$3,1))*$AD$25</f>
        <v>1.3163525659186258E-2</v>
      </c>
      <c r="O131">
        <f t="shared" ref="O131:O194" ca="1" si="59">SKEW(OFFSET(F131,0,0,$S$3,1))*$AC$25</f>
        <v>0.2860783978958617</v>
      </c>
      <c r="P131">
        <f t="shared" ref="P131:P194" ca="1" si="60">KURT(OFFSET(F131,0,0,$S$3,1))*$AB$25</f>
        <v>1.2495386854052439</v>
      </c>
      <c r="Q131">
        <f t="shared" ref="Q131:Q194" ca="1" si="61">PERCENTILE(OFFSET(F131,0,0,$S$3,1), 0.95)/ABS(PERCENTILE(OFFSET(F131,0,0,$S$3,1), 0.05))*$AA$25</f>
        <v>1.2398609942686676</v>
      </c>
      <c r="R131">
        <f t="shared" ref="R131:R194" ca="1" si="62">PERCENTILE(OFFSET(F131,0,0,$S$3,1), 0.75)/ABS(PERCENTILE(OFFSET(F131,0,0,$S$3,1), 0.25))*$Z$25</f>
        <v>1.1286273892340357</v>
      </c>
      <c r="T131">
        <f t="shared" ref="T131:T194" si="63">E131+1</f>
        <v>0.99060742754742626</v>
      </c>
      <c r="U131" s="6">
        <f t="shared" ref="U131:U194" ca="1" si="64">PRODUCT(OFFSET(T131,0,0,$S$6,1))</f>
        <v>0.99775938258542363</v>
      </c>
      <c r="V131">
        <f t="shared" ref="V131:V194" ca="1" si="65">OFFSET(G131,$S$6,0) * $AK$2+ OFFSET(H131,$S$6,0)  * $AJ$2 + OFFSET(I131,$S$6,0) * $AI$2 + OFFSET(J131,$S$6,0) * $AH$2 + OFFSET(K131,$S$6,0) * $AG$2 + OFFSET(L131,$S$6,0) * $AF$2 + OFFSET(M131,$S$6,0) * $AE$2 + OFFSET(N131,$S$6,0) * $AD$2 + OFFSET(O131,$S$6,0) * $AC$2 + OFFSET(P131,$S$6,0) * $AB$2 +  OFFSET(Q131,$S$6,0) * $AA$2 + OFFSET(R131,$S$6,0)  * $Z$2  + AL$2</f>
        <v>1.057051563744527</v>
      </c>
      <c r="W131">
        <v>0.98100931350606801</v>
      </c>
      <c r="X131" t="b">
        <f t="shared" ref="X131:X194" ca="1" si="66">OR(AND(U131&gt;1, W131&gt;1), AND(U131&lt;1, W131&lt;1))</f>
        <v>1</v>
      </c>
      <c r="AS131">
        <v>0.73865948245717084</v>
      </c>
      <c r="AT131">
        <v>2.9104829267291543</v>
      </c>
      <c r="AU131">
        <v>999</v>
      </c>
      <c r="AV131">
        <v>-4.0328450312376614</v>
      </c>
      <c r="AW131">
        <v>5.6550537295136243</v>
      </c>
      <c r="AX131">
        <v>999</v>
      </c>
      <c r="AY131">
        <v>-3.6755944859389467</v>
      </c>
      <c r="AZ131">
        <v>999</v>
      </c>
      <c r="BA131">
        <v>999</v>
      </c>
      <c r="BB131">
        <v>3.0909168476844537</v>
      </c>
      <c r="BC131">
        <v>999</v>
      </c>
      <c r="BD131">
        <v>8.8563910278953202</v>
      </c>
      <c r="BE131">
        <v>-5.6402714318029492</v>
      </c>
      <c r="BF131">
        <v>-6.7334974646334764</v>
      </c>
      <c r="BJ131" t="b">
        <f t="shared" si="47"/>
        <v>1</v>
      </c>
      <c r="BK131" t="b">
        <f t="shared" ca="1" si="48"/>
        <v>1</v>
      </c>
    </row>
    <row r="132" spans="1:63" x14ac:dyDescent="0.45">
      <c r="A132" s="1">
        <v>45047</v>
      </c>
      <c r="B132">
        <v>161.83000000000001</v>
      </c>
      <c r="C132" s="1">
        <v>45047</v>
      </c>
      <c r="D132">
        <v>415.51</v>
      </c>
      <c r="E132" s="4">
        <f t="shared" si="49"/>
        <v>-1.5093420972551822E-2</v>
      </c>
      <c r="F132" s="4">
        <f t="shared" si="50"/>
        <v>-1.0097853004111652E-3</v>
      </c>
      <c r="G132">
        <f t="shared" ca="1" si="51"/>
        <v>-1.1365485558993804E-3</v>
      </c>
      <c r="H132">
        <f t="shared" ca="1" si="52"/>
        <v>3.9936186725859767E-2</v>
      </c>
      <c r="I132">
        <f t="shared" ca="1" si="53"/>
        <v>-2.2653182642972274E-2</v>
      </c>
      <c r="J132">
        <f t="shared" ca="1" si="54"/>
        <v>0.57378581353122016</v>
      </c>
      <c r="K132">
        <f t="shared" ca="1" si="55"/>
        <v>1.1111105663294147</v>
      </c>
      <c r="L132">
        <f t="shared" ca="1" si="56"/>
        <v>0.88866554342353521</v>
      </c>
      <c r="M132">
        <f t="shared" ca="1" si="57"/>
        <v>5.6087186460771453E-4</v>
      </c>
      <c r="N132">
        <f t="shared" ca="1" si="58"/>
        <v>1.3203405397933099E-2</v>
      </c>
      <c r="O132">
        <f t="shared" ca="1" si="59"/>
        <v>0.26656738124729457</v>
      </c>
      <c r="P132">
        <f t="shared" ca="1" si="60"/>
        <v>1.2022440288229506</v>
      </c>
      <c r="Q132">
        <f t="shared" ca="1" si="61"/>
        <v>1.2398609942686676</v>
      </c>
      <c r="R132">
        <f t="shared" ca="1" si="62"/>
        <v>1.2552500090920105</v>
      </c>
      <c r="T132">
        <f t="shared" si="63"/>
        <v>0.98490657902744816</v>
      </c>
      <c r="U132" s="6">
        <f t="shared" ca="1" si="64"/>
        <v>0.9955705936634881</v>
      </c>
      <c r="V132">
        <f t="shared" ca="1" si="65"/>
        <v>1.0658809521730062</v>
      </c>
      <c r="W132">
        <v>0.97026836677629857</v>
      </c>
      <c r="X132" t="b">
        <f t="shared" ca="1" si="66"/>
        <v>1</v>
      </c>
      <c r="AS132">
        <v>0.72868824934543253</v>
      </c>
      <c r="AT132">
        <v>2.7797827651821652</v>
      </c>
      <c r="AU132">
        <v>999</v>
      </c>
      <c r="AV132">
        <v>-3.9994823601509548</v>
      </c>
      <c r="AW132">
        <v>5.5603962806212905</v>
      </c>
      <c r="AX132">
        <v>999</v>
      </c>
      <c r="AY132">
        <v>-3.6639502937514279</v>
      </c>
      <c r="AZ132">
        <v>999</v>
      </c>
      <c r="BA132">
        <v>999</v>
      </c>
      <c r="BB132">
        <v>2.9389625749929293</v>
      </c>
      <c r="BC132">
        <v>999</v>
      </c>
      <c r="BD132">
        <v>8.6078835269496263</v>
      </c>
      <c r="BE132">
        <v>-5.3180292207082056</v>
      </c>
      <c r="BF132">
        <v>-6.4700852277102721</v>
      </c>
      <c r="BJ132" t="b">
        <f t="shared" si="47"/>
        <v>1</v>
      </c>
      <c r="BK132" t="b">
        <f t="shared" ca="1" si="48"/>
        <v>1</v>
      </c>
    </row>
    <row r="133" spans="1:63" x14ac:dyDescent="0.45">
      <c r="A133" s="1">
        <v>45044</v>
      </c>
      <c r="B133">
        <v>164.31</v>
      </c>
      <c r="C133" s="1">
        <v>45044</v>
      </c>
      <c r="D133">
        <v>415.93</v>
      </c>
      <c r="E133" s="4">
        <f t="shared" si="49"/>
        <v>2.5719458143454676E-2</v>
      </c>
      <c r="F133" s="4">
        <f t="shared" si="50"/>
        <v>8.5351955578186305E-3</v>
      </c>
      <c r="G133">
        <f t="shared" ca="1" si="51"/>
        <v>-1.0342294429367229E-3</v>
      </c>
      <c r="H133">
        <f t="shared" ca="1" si="52"/>
        <v>3.9926462258229434E-2</v>
      </c>
      <c r="I133">
        <f t="shared" ca="1" si="53"/>
        <v>-3.0196692033974702E-2</v>
      </c>
      <c r="J133">
        <f t="shared" ca="1" si="54"/>
        <v>0.57751493920735086</v>
      </c>
      <c r="K133">
        <f t="shared" ca="1" si="55"/>
        <v>1.1111105663294147</v>
      </c>
      <c r="L133">
        <f t="shared" ca="1" si="56"/>
        <v>0.88866554342353521</v>
      </c>
      <c r="M133">
        <f t="shared" ca="1" si="57"/>
        <v>5.5377814137242169E-4</v>
      </c>
      <c r="N133">
        <f t="shared" ca="1" si="58"/>
        <v>1.3204634560503789E-2</v>
      </c>
      <c r="O133">
        <f t="shared" ca="1" si="59"/>
        <v>0.26807051709587154</v>
      </c>
      <c r="P133">
        <f t="shared" ca="1" si="60"/>
        <v>1.2012610601202516</v>
      </c>
      <c r="Q133">
        <f t="shared" ca="1" si="61"/>
        <v>1.2398609942686676</v>
      </c>
      <c r="R133">
        <f t="shared" ca="1" si="62"/>
        <v>1.2552500090920105</v>
      </c>
      <c r="T133">
        <f t="shared" si="63"/>
        <v>1.0257194581434548</v>
      </c>
      <c r="U133" s="6">
        <f t="shared" ca="1" si="64"/>
        <v>0.99533559486309675</v>
      </c>
      <c r="V133">
        <f t="shared" ca="1" si="65"/>
        <v>1.0615781782806479</v>
      </c>
      <c r="W133">
        <v>0.99930187931644809</v>
      </c>
      <c r="X133" t="b">
        <f t="shared" ca="1" si="66"/>
        <v>1</v>
      </c>
      <c r="AS133">
        <v>0.70832406135201242</v>
      </c>
      <c r="AT133">
        <v>2.5413383516732608</v>
      </c>
      <c r="AU133">
        <v>999</v>
      </c>
      <c r="AV133">
        <v>-3.911416741693071</v>
      </c>
      <c r="AW133">
        <v>5.4137041925817346</v>
      </c>
      <c r="AX133">
        <v>999</v>
      </c>
      <c r="AY133">
        <v>-3.5722440771353599</v>
      </c>
      <c r="AZ133">
        <v>999</v>
      </c>
      <c r="BA133">
        <v>999</v>
      </c>
      <c r="BB133">
        <v>2.6083427668134087</v>
      </c>
      <c r="BC133">
        <v>999</v>
      </c>
      <c r="BD133">
        <v>8.136111515666931</v>
      </c>
      <c r="BE133">
        <v>-4.7791366137259432</v>
      </c>
      <c r="BF133">
        <v>-6.0533756077162151</v>
      </c>
      <c r="BJ133" t="b">
        <f t="shared" si="47"/>
        <v>1</v>
      </c>
      <c r="BK133" t="b">
        <f t="shared" ca="1" si="48"/>
        <v>1</v>
      </c>
    </row>
    <row r="134" spans="1:63" x14ac:dyDescent="0.45">
      <c r="A134" s="1">
        <v>45043</v>
      </c>
      <c r="B134">
        <v>160.19</v>
      </c>
      <c r="C134" s="1">
        <v>45043</v>
      </c>
      <c r="D134">
        <v>412.41</v>
      </c>
      <c r="E134" s="4">
        <f t="shared" si="49"/>
        <v>4.1886178861788602E-2</v>
      </c>
      <c r="F134" s="4">
        <f t="shared" si="50"/>
        <v>1.990800276980911E-2</v>
      </c>
      <c r="G134">
        <f t="shared" ca="1" si="51"/>
        <v>-1.0776591874232489E-3</v>
      </c>
      <c r="H134">
        <f t="shared" ca="1" si="52"/>
        <v>3.9901931380846301E-2</v>
      </c>
      <c r="I134">
        <f t="shared" ca="1" si="53"/>
        <v>-2.8012923256450998E-2</v>
      </c>
      <c r="J134">
        <f t="shared" ca="1" si="54"/>
        <v>0.58547252436654595</v>
      </c>
      <c r="K134">
        <f t="shared" ca="1" si="55"/>
        <v>1.1111105663294147</v>
      </c>
      <c r="L134">
        <f t="shared" ca="1" si="56"/>
        <v>0.84210061223144994</v>
      </c>
      <c r="M134">
        <f t="shared" ca="1" si="57"/>
        <v>4.8484372806091689E-4</v>
      </c>
      <c r="N134">
        <f t="shared" ca="1" si="58"/>
        <v>1.3198744118246682E-2</v>
      </c>
      <c r="O134">
        <f t="shared" ca="1" si="59"/>
        <v>0.28270204362244578</v>
      </c>
      <c r="P134">
        <f t="shared" ca="1" si="60"/>
        <v>1.2142062772418463</v>
      </c>
      <c r="Q134">
        <f t="shared" ca="1" si="61"/>
        <v>1.2398609942686676</v>
      </c>
      <c r="R134">
        <f t="shared" ca="1" si="62"/>
        <v>1.2552500090920105</v>
      </c>
      <c r="T134">
        <f t="shared" si="63"/>
        <v>1.0418861788617886</v>
      </c>
      <c r="U134" s="6">
        <f t="shared" ca="1" si="64"/>
        <v>0.98282103196515114</v>
      </c>
      <c r="V134">
        <f t="shared" ca="1" si="65"/>
        <v>1.0647277271324462</v>
      </c>
      <c r="W134">
        <v>0.9781143190396282</v>
      </c>
      <c r="X134" t="b">
        <f t="shared" ca="1" si="66"/>
        <v>1</v>
      </c>
      <c r="AS134">
        <v>0.7051015185991143</v>
      </c>
      <c r="AT134">
        <v>2.5350975587732028</v>
      </c>
      <c r="AU134">
        <v>999</v>
      </c>
      <c r="AV134">
        <v>-5.7051230990812476</v>
      </c>
      <c r="AW134">
        <v>999</v>
      </c>
      <c r="AX134">
        <v>-5.6866118763835534</v>
      </c>
      <c r="AY134">
        <v>-3.8335400552807406</v>
      </c>
      <c r="AZ134">
        <v>999</v>
      </c>
      <c r="BA134">
        <v>999</v>
      </c>
      <c r="BB134">
        <v>2.3272473182924056</v>
      </c>
      <c r="BC134">
        <v>999</v>
      </c>
      <c r="BD134">
        <v>7.217013107325787</v>
      </c>
      <c r="BE134">
        <v>-5.2590123311281669</v>
      </c>
      <c r="BF134">
        <v>5.1384831783768483</v>
      </c>
      <c r="BJ134" t="b">
        <f t="shared" si="47"/>
        <v>1</v>
      </c>
      <c r="BK134" t="b">
        <f t="shared" ca="1" si="48"/>
        <v>1</v>
      </c>
    </row>
    <row r="135" spans="1:63" x14ac:dyDescent="0.45">
      <c r="A135" s="1">
        <v>45042</v>
      </c>
      <c r="B135">
        <v>153.75</v>
      </c>
      <c r="C135" s="1">
        <v>45042</v>
      </c>
      <c r="D135">
        <v>404.36</v>
      </c>
      <c r="E135" s="4">
        <f t="shared" si="49"/>
        <v>-4.3069645857969678E-2</v>
      </c>
      <c r="F135" s="4">
        <f t="shared" si="50"/>
        <v>-4.2356185973206522E-3</v>
      </c>
      <c r="G135">
        <f t="shared" ca="1" si="51"/>
        <v>-1.3142511234530898E-3</v>
      </c>
      <c r="H135">
        <f t="shared" ca="1" si="52"/>
        <v>3.9786019174313687E-2</v>
      </c>
      <c r="I135">
        <f t="shared" ca="1" si="53"/>
        <v>-1.6636779255610797E-2</v>
      </c>
      <c r="J135">
        <f t="shared" ca="1" si="54"/>
        <v>0.62031035698167614</v>
      </c>
      <c r="K135">
        <f t="shared" ca="1" si="55"/>
        <v>1.1111105663294147</v>
      </c>
      <c r="L135">
        <f t="shared" ca="1" si="56"/>
        <v>0.82524164675849798</v>
      </c>
      <c r="M135">
        <f t="shared" ca="1" si="57"/>
        <v>3.4105938139038379E-4</v>
      </c>
      <c r="N135">
        <f t="shared" ca="1" si="58"/>
        <v>1.3142605285898111E-2</v>
      </c>
      <c r="O135">
        <f t="shared" ca="1" si="59"/>
        <v>0.30129164486828547</v>
      </c>
      <c r="P135">
        <f t="shared" ca="1" si="60"/>
        <v>1.2767843834013703</v>
      </c>
      <c r="Q135">
        <f t="shared" ca="1" si="61"/>
        <v>1.2398609942686676</v>
      </c>
      <c r="R135">
        <f t="shared" ca="1" si="62"/>
        <v>1.1280361939478163</v>
      </c>
      <c r="T135">
        <f t="shared" si="63"/>
        <v>0.95693035414203031</v>
      </c>
      <c r="U135" s="6">
        <f t="shared" ca="1" si="64"/>
        <v>0.85137604518522625</v>
      </c>
      <c r="V135">
        <f t="shared" ca="1" si="65"/>
        <v>0.96890062746656203</v>
      </c>
      <c r="W135">
        <v>0.91083226342617962</v>
      </c>
      <c r="X135" t="b">
        <f t="shared" ca="1" si="66"/>
        <v>1</v>
      </c>
      <c r="AS135">
        <v>0.67804068711530674</v>
      </c>
      <c r="AT135">
        <v>3.3616546502630715</v>
      </c>
      <c r="AU135">
        <v>999</v>
      </c>
      <c r="AV135">
        <v>-6.3380731299902289</v>
      </c>
      <c r="AW135">
        <v>999</v>
      </c>
      <c r="AX135">
        <v>-7.6279068374717953</v>
      </c>
      <c r="AY135">
        <v>-4.36386364955339</v>
      </c>
      <c r="AZ135">
        <v>-3.2193878160239864</v>
      </c>
      <c r="BA135">
        <v>999</v>
      </c>
      <c r="BB135">
        <v>999</v>
      </c>
      <c r="BC135">
        <v>-3.0073058981667509</v>
      </c>
      <c r="BD135">
        <v>6.2916201875763162</v>
      </c>
      <c r="BE135">
        <v>999</v>
      </c>
      <c r="BF135">
        <v>7.1591289445876907</v>
      </c>
      <c r="BJ135" t="b">
        <f t="shared" si="47"/>
        <v>1</v>
      </c>
      <c r="BK135" t="b">
        <f t="shared" ca="1" si="48"/>
        <v>1</v>
      </c>
    </row>
    <row r="136" spans="1:63" x14ac:dyDescent="0.45">
      <c r="A136" s="1">
        <v>45041</v>
      </c>
      <c r="B136">
        <v>160.66999999999999</v>
      </c>
      <c r="C136" s="1">
        <v>45041</v>
      </c>
      <c r="D136">
        <v>406.08</v>
      </c>
      <c r="E136" s="4">
        <f t="shared" si="49"/>
        <v>-1.1565672100892179E-2</v>
      </c>
      <c r="F136" s="4">
        <f t="shared" si="50"/>
        <v>-1.5873785231321064E-2</v>
      </c>
      <c r="G136">
        <f t="shared" ca="1" si="51"/>
        <v>-1.4263036670045287E-3</v>
      </c>
      <c r="H136">
        <f t="shared" ca="1" si="52"/>
        <v>3.9935486671799518E-2</v>
      </c>
      <c r="I136">
        <f t="shared" ca="1" si="53"/>
        <v>-2.3200816574747016E-2</v>
      </c>
      <c r="J136">
        <f t="shared" ca="1" si="54"/>
        <v>0.5937456524124296</v>
      </c>
      <c r="K136">
        <f t="shared" ca="1" si="55"/>
        <v>1.1111105663294147</v>
      </c>
      <c r="L136">
        <f t="shared" ca="1" si="56"/>
        <v>0.82524164675849798</v>
      </c>
      <c r="M136">
        <f t="shared" ca="1" si="57"/>
        <v>3.0511961089382648E-4</v>
      </c>
      <c r="N136">
        <f t="shared" ca="1" si="58"/>
        <v>1.3164992584392009E-2</v>
      </c>
      <c r="O136">
        <f t="shared" ca="1" si="59"/>
        <v>0.30462074995589278</v>
      </c>
      <c r="P136">
        <f t="shared" ca="1" si="60"/>
        <v>1.2540319729793854</v>
      </c>
      <c r="Q136">
        <f t="shared" ca="1" si="61"/>
        <v>1.2398609942686676</v>
      </c>
      <c r="R136">
        <f t="shared" ca="1" si="62"/>
        <v>1.0602157248392756</v>
      </c>
      <c r="T136">
        <f t="shared" si="63"/>
        <v>0.98843432789910779</v>
      </c>
      <c r="U136" s="6">
        <f t="shared" ca="1" si="64"/>
        <v>0.87173783299875196</v>
      </c>
      <c r="V136">
        <f t="shared" ca="1" si="65"/>
        <v>0.94543075527934584</v>
      </c>
      <c r="W136">
        <v>0.9491006155620898</v>
      </c>
      <c r="X136" t="b">
        <f t="shared" ca="1" si="66"/>
        <v>1</v>
      </c>
      <c r="AS136">
        <v>0.68071525220008289</v>
      </c>
      <c r="AT136">
        <v>3.6183919117357868</v>
      </c>
      <c r="AU136">
        <v>999</v>
      </c>
      <c r="AV136">
        <v>-6.5254582769620777</v>
      </c>
      <c r="AW136">
        <v>999</v>
      </c>
      <c r="AX136">
        <v>-7.9448074665632022</v>
      </c>
      <c r="AY136">
        <v>-4.6195817414589158</v>
      </c>
      <c r="AZ136">
        <v>-3.308371808427097</v>
      </c>
      <c r="BA136">
        <v>999</v>
      </c>
      <c r="BB136">
        <v>999</v>
      </c>
      <c r="BC136">
        <v>-3.2121584137804033</v>
      </c>
      <c r="BD136">
        <v>5.9422282097783761</v>
      </c>
      <c r="BE136">
        <v>999</v>
      </c>
      <c r="BF136">
        <v>7.5344009941290011</v>
      </c>
      <c r="BJ136" t="b">
        <f t="shared" si="47"/>
        <v>1</v>
      </c>
      <c r="BK136" t="b">
        <f t="shared" ca="1" si="48"/>
        <v>1</v>
      </c>
    </row>
    <row r="137" spans="1:63" x14ac:dyDescent="0.45">
      <c r="A137" s="1">
        <v>45040</v>
      </c>
      <c r="B137">
        <v>162.55000000000001</v>
      </c>
      <c r="C137" s="1">
        <v>45040</v>
      </c>
      <c r="D137">
        <v>412.63</v>
      </c>
      <c r="E137" s="4">
        <f t="shared" si="49"/>
        <v>-1.5325902592682341E-2</v>
      </c>
      <c r="F137" s="4">
        <f t="shared" si="50"/>
        <v>1.0431829209121952E-3</v>
      </c>
      <c r="G137">
        <f t="shared" ca="1" si="51"/>
        <v>-1.2412993088227683E-3</v>
      </c>
      <c r="H137">
        <f t="shared" ca="1" si="52"/>
        <v>3.9973965414849585E-2</v>
      </c>
      <c r="I137">
        <f t="shared" ca="1" si="53"/>
        <v>-3.5535579533290104E-2</v>
      </c>
      <c r="J137">
        <f t="shared" ca="1" si="54"/>
        <v>0.58132567957456693</v>
      </c>
      <c r="K137">
        <f t="shared" ca="1" si="55"/>
        <v>1.1111105663294147</v>
      </c>
      <c r="L137">
        <f t="shared" ca="1" si="56"/>
        <v>0.84210061223144994</v>
      </c>
      <c r="M137">
        <f t="shared" ca="1" si="57"/>
        <v>3.8037532077237884E-4</v>
      </c>
      <c r="N137">
        <f t="shared" ca="1" si="58"/>
        <v>1.3114967306466619E-2</v>
      </c>
      <c r="O137">
        <f t="shared" ca="1" si="59"/>
        <v>0.30025732324118398</v>
      </c>
      <c r="P137">
        <f t="shared" ca="1" si="60"/>
        <v>1.3007831387369642</v>
      </c>
      <c r="Q137">
        <f t="shared" ca="1" si="61"/>
        <v>1.2398609942686676</v>
      </c>
      <c r="R137">
        <f t="shared" ca="1" si="62"/>
        <v>1.1280361939478163</v>
      </c>
      <c r="T137">
        <f t="shared" si="63"/>
        <v>0.98467409740731771</v>
      </c>
      <c r="U137" s="6">
        <f t="shared" ca="1" si="64"/>
        <v>0.86906544054747659</v>
      </c>
      <c r="V137">
        <f t="shared" ca="1" si="65"/>
        <v>0.9418699479371172</v>
      </c>
      <c r="W137">
        <v>0.92192768905013356</v>
      </c>
      <c r="X137" t="b">
        <f t="shared" ca="1" si="66"/>
        <v>1</v>
      </c>
      <c r="AS137">
        <v>0.68279057808492394</v>
      </c>
      <c r="AT137">
        <v>3.6800718197056095</v>
      </c>
      <c r="AU137">
        <v>999</v>
      </c>
      <c r="AV137">
        <v>-6.4752696490805155</v>
      </c>
      <c r="AW137">
        <v>999</v>
      </c>
      <c r="AX137">
        <v>-8.0153769662564009</v>
      </c>
      <c r="AY137">
        <v>-4.7158730560749378</v>
      </c>
      <c r="AZ137">
        <v>-3.2493485682670631</v>
      </c>
      <c r="BA137">
        <v>999</v>
      </c>
      <c r="BB137">
        <v>999</v>
      </c>
      <c r="BC137">
        <v>-3.4825379983488975</v>
      </c>
      <c r="BD137">
        <v>5.6623470275525651</v>
      </c>
      <c r="BE137">
        <v>999</v>
      </c>
      <c r="BF137">
        <v>7.6866400092448828</v>
      </c>
      <c r="BJ137" t="b">
        <f t="shared" si="47"/>
        <v>1</v>
      </c>
      <c r="BK137" t="b">
        <f t="shared" ca="1" si="48"/>
        <v>1</v>
      </c>
    </row>
    <row r="138" spans="1:63" x14ac:dyDescent="0.45">
      <c r="A138" s="1">
        <v>45037</v>
      </c>
      <c r="B138">
        <v>165.08</v>
      </c>
      <c r="C138" s="1">
        <v>45037</v>
      </c>
      <c r="D138">
        <v>412.2</v>
      </c>
      <c r="E138" s="4">
        <f t="shared" si="49"/>
        <v>1.2822872568869275E-2</v>
      </c>
      <c r="F138" s="4">
        <f t="shared" si="50"/>
        <v>7.7692531805378549E-4</v>
      </c>
      <c r="G138">
        <f t="shared" ca="1" si="51"/>
        <v>-8.882741163488857E-4</v>
      </c>
      <c r="H138">
        <f t="shared" ca="1" si="52"/>
        <v>4.0160289549046914E-2</v>
      </c>
      <c r="I138">
        <f t="shared" ca="1" si="53"/>
        <v>-4.7313201595876909E-2</v>
      </c>
      <c r="J138">
        <f t="shared" ca="1" si="54"/>
        <v>0.53593999668014947</v>
      </c>
      <c r="K138">
        <f t="shared" ca="1" si="55"/>
        <v>1.1111105663294147</v>
      </c>
      <c r="L138">
        <f t="shared" ca="1" si="56"/>
        <v>0.88866554342353521</v>
      </c>
      <c r="M138">
        <f t="shared" ca="1" si="57"/>
        <v>4.5004525091667637E-4</v>
      </c>
      <c r="N138">
        <f t="shared" ca="1" si="58"/>
        <v>1.3155453884204631E-2</v>
      </c>
      <c r="O138">
        <f t="shared" ca="1" si="59"/>
        <v>0.28837842664858976</v>
      </c>
      <c r="P138">
        <f t="shared" ca="1" si="60"/>
        <v>1.2489659984386607</v>
      </c>
      <c r="Q138">
        <f t="shared" ca="1" si="61"/>
        <v>1.2398609942686676</v>
      </c>
      <c r="R138">
        <f t="shared" ca="1" si="62"/>
        <v>1.2294262877840487</v>
      </c>
      <c r="T138">
        <f t="shared" si="63"/>
        <v>1.0128228725688693</v>
      </c>
      <c r="U138" s="6">
        <f t="shared" ca="1" si="64"/>
        <v>0.89232432432432429</v>
      </c>
      <c r="V138">
        <f t="shared" ca="1" si="65"/>
        <v>0.9560609225604958</v>
      </c>
      <c r="W138">
        <v>0.92226534623239775</v>
      </c>
      <c r="X138" t="b">
        <f t="shared" ca="1" si="66"/>
        <v>1</v>
      </c>
      <c r="AS138">
        <v>0.67092350024685987</v>
      </c>
      <c r="AT138">
        <v>3.6560672888655388</v>
      </c>
      <c r="AU138">
        <v>999</v>
      </c>
      <c r="AV138">
        <v>-6.2249680714187203</v>
      </c>
      <c r="AW138">
        <v>999</v>
      </c>
      <c r="AX138">
        <v>-7.870983649943204</v>
      </c>
      <c r="AY138">
        <v>-4.6685803754152539</v>
      </c>
      <c r="AZ138">
        <v>-3.2999222623442299</v>
      </c>
      <c r="BA138">
        <v>999</v>
      </c>
      <c r="BB138">
        <v>999</v>
      </c>
      <c r="BC138">
        <v>-3.4561389968646474</v>
      </c>
      <c r="BD138">
        <v>5.4048367867463023</v>
      </c>
      <c r="BE138">
        <v>999</v>
      </c>
      <c r="BF138">
        <v>7.5999997388989327</v>
      </c>
      <c r="BJ138" t="b">
        <f t="shared" si="47"/>
        <v>1</v>
      </c>
      <c r="BK138" t="b">
        <f t="shared" ca="1" si="48"/>
        <v>1</v>
      </c>
    </row>
    <row r="139" spans="1:63" x14ac:dyDescent="0.45">
      <c r="A139" s="1">
        <v>45036</v>
      </c>
      <c r="B139">
        <v>162.99</v>
      </c>
      <c r="C139" s="1">
        <v>45036</v>
      </c>
      <c r="D139">
        <v>411.88</v>
      </c>
      <c r="E139" s="4">
        <f t="shared" si="49"/>
        <v>-9.7458331026081146E-2</v>
      </c>
      <c r="F139" s="4">
        <f t="shared" si="50"/>
        <v>-5.457091804703702E-3</v>
      </c>
      <c r="G139">
        <f t="shared" ca="1" si="51"/>
        <v>-9.8100685931568629E-4</v>
      </c>
      <c r="H139">
        <f t="shared" ca="1" si="52"/>
        <v>4.0149881766809031E-2</v>
      </c>
      <c r="I139">
        <f t="shared" ca="1" si="53"/>
        <v>-4.0562029982546002E-2</v>
      </c>
      <c r="J139">
        <f t="shared" ca="1" si="54"/>
        <v>0.53917060077626688</v>
      </c>
      <c r="K139">
        <f t="shared" ca="1" si="55"/>
        <v>1.1111105663294147</v>
      </c>
      <c r="L139">
        <f t="shared" ca="1" si="56"/>
        <v>0.88866554342353521</v>
      </c>
      <c r="M139">
        <f t="shared" ca="1" si="57"/>
        <v>4.6304720930912842E-4</v>
      </c>
      <c r="N139">
        <f t="shared" ca="1" si="58"/>
        <v>1.3157063500655807E-2</v>
      </c>
      <c r="O139">
        <f t="shared" ca="1" si="59"/>
        <v>0.285333843320838</v>
      </c>
      <c r="P139">
        <f t="shared" ca="1" si="60"/>
        <v>1.2457206078871463</v>
      </c>
      <c r="Q139">
        <f t="shared" ca="1" si="61"/>
        <v>1.2398609942686676</v>
      </c>
      <c r="R139">
        <f t="shared" ca="1" si="62"/>
        <v>1.2294262877840487</v>
      </c>
      <c r="T139">
        <f t="shared" si="63"/>
        <v>0.90254166897391885</v>
      </c>
      <c r="U139" s="6">
        <f t="shared" ca="1" si="64"/>
        <v>0.87676169983862284</v>
      </c>
      <c r="V139">
        <f t="shared" ca="1" si="65"/>
        <v>1.0323684536341413</v>
      </c>
      <c r="W139">
        <v>1.0119967472878155</v>
      </c>
      <c r="X139" t="b">
        <f t="shared" ca="1" si="66"/>
        <v>0</v>
      </c>
      <c r="AS139">
        <v>0.67835719958134832</v>
      </c>
      <c r="AT139">
        <v>3.9577501253757772</v>
      </c>
      <c r="AU139">
        <v>999</v>
      </c>
      <c r="AV139">
        <v>-6.3736357204068312</v>
      </c>
      <c r="AW139">
        <v>999</v>
      </c>
      <c r="AX139">
        <v>-8.166216238319473</v>
      </c>
      <c r="AY139">
        <v>-5.0756613013033833</v>
      </c>
      <c r="AZ139">
        <v>999</v>
      </c>
      <c r="BA139">
        <v>999</v>
      </c>
      <c r="BB139">
        <v>999</v>
      </c>
      <c r="BC139">
        <v>-2.1952659797023393</v>
      </c>
      <c r="BD139">
        <v>4.1367159530389026</v>
      </c>
      <c r="BE139">
        <v>-3.7381615534273296</v>
      </c>
      <c r="BF139">
        <v>7.8762574175221571</v>
      </c>
      <c r="BJ139" t="b">
        <f t="shared" si="47"/>
        <v>1</v>
      </c>
      <c r="BK139" t="b">
        <f t="shared" ca="1" si="48"/>
        <v>0</v>
      </c>
    </row>
    <row r="140" spans="1:63" x14ac:dyDescent="0.45">
      <c r="A140" s="1">
        <v>45035</v>
      </c>
      <c r="B140">
        <v>180.59</v>
      </c>
      <c r="C140" s="1">
        <v>45035</v>
      </c>
      <c r="D140">
        <v>414.14</v>
      </c>
      <c r="E140" s="4">
        <f t="shared" si="49"/>
        <v>-2.0183386685475552E-2</v>
      </c>
      <c r="F140" s="4">
        <f t="shared" si="50"/>
        <v>-1.6899640279083842E-4</v>
      </c>
      <c r="G140">
        <f t="shared" ca="1" si="51"/>
        <v>-3.6602173890496777E-4</v>
      </c>
      <c r="H140">
        <f t="shared" ca="1" si="52"/>
        <v>3.960295197599735E-2</v>
      </c>
      <c r="I140">
        <f t="shared" ca="1" si="53"/>
        <v>-1.4417796668679853E-2</v>
      </c>
      <c r="J140">
        <f t="shared" ca="1" si="54"/>
        <v>0.55940809428257676</v>
      </c>
      <c r="K140">
        <f t="shared" ca="1" si="55"/>
        <v>1.1152181095866192</v>
      </c>
      <c r="L140">
        <f t="shared" ca="1" si="56"/>
        <v>0.91952969989778</v>
      </c>
      <c r="M140">
        <f t="shared" ca="1" si="57"/>
        <v>4.9977553896531882E-4</v>
      </c>
      <c r="N140">
        <f t="shared" ca="1" si="58"/>
        <v>1.3150705497077916E-2</v>
      </c>
      <c r="O140">
        <f t="shared" ca="1" si="59"/>
        <v>0.2777541545452249</v>
      </c>
      <c r="P140">
        <f t="shared" ca="1" si="60"/>
        <v>1.2505997229249433</v>
      </c>
      <c r="Q140">
        <f t="shared" ca="1" si="61"/>
        <v>1.2398609942686676</v>
      </c>
      <c r="R140">
        <f t="shared" ca="1" si="62"/>
        <v>1.2294262877840487</v>
      </c>
      <c r="T140">
        <f t="shared" si="63"/>
        <v>0.97981661331452441</v>
      </c>
      <c r="U140" s="6">
        <f t="shared" ca="1" si="64"/>
        <v>1.0002769469369668</v>
      </c>
      <c r="V140">
        <f t="shared" ca="1" si="65"/>
        <v>1.0529323501963943</v>
      </c>
      <c r="W140">
        <v>1.0117092534060497</v>
      </c>
      <c r="X140" t="b">
        <f t="shared" ca="1" si="66"/>
        <v>1</v>
      </c>
      <c r="AS140">
        <v>0.66624181165923624</v>
      </c>
      <c r="AT140">
        <v>4.0080873892157181</v>
      </c>
      <c r="AU140">
        <v>999</v>
      </c>
      <c r="AV140">
        <v>-6.0121570538109799</v>
      </c>
      <c r="AW140">
        <v>999</v>
      </c>
      <c r="AX140">
        <v>-7.8607257599690881</v>
      </c>
      <c r="AY140">
        <v>-4.778962149250475</v>
      </c>
      <c r="AZ140">
        <v>-3.7969132577816795</v>
      </c>
      <c r="BA140">
        <v>999</v>
      </c>
      <c r="BB140">
        <v>999</v>
      </c>
      <c r="BC140">
        <v>-3.3730628147859925</v>
      </c>
      <c r="BD140">
        <v>5.1435517618682152</v>
      </c>
      <c r="BE140">
        <v>999</v>
      </c>
      <c r="BF140">
        <v>7.6129402908756134</v>
      </c>
      <c r="BJ140" t="b">
        <f t="shared" si="47"/>
        <v>1</v>
      </c>
      <c r="BK140" t="b">
        <f t="shared" ca="1" si="48"/>
        <v>1</v>
      </c>
    </row>
    <row r="141" spans="1:63" x14ac:dyDescent="0.45">
      <c r="A141" s="1">
        <v>45034</v>
      </c>
      <c r="B141">
        <v>184.31</v>
      </c>
      <c r="C141" s="1">
        <v>45034</v>
      </c>
      <c r="D141">
        <v>414.21</v>
      </c>
      <c r="E141" s="4">
        <f t="shared" si="49"/>
        <v>-1.4595808383233478E-2</v>
      </c>
      <c r="F141" s="4">
        <f t="shared" si="50"/>
        <v>6.522684447020868E-4</v>
      </c>
      <c r="G141">
        <f t="shared" ca="1" si="51"/>
        <v>-2.0295924676896941E-4</v>
      </c>
      <c r="H141">
        <f t="shared" ca="1" si="52"/>
        <v>3.9588082367998455E-2</v>
      </c>
      <c r="I141">
        <f t="shared" ca="1" si="53"/>
        <v>-2.6107767331435137E-2</v>
      </c>
      <c r="J141">
        <f t="shared" ca="1" si="54"/>
        <v>0.56489294619492236</v>
      </c>
      <c r="K141">
        <f t="shared" ca="1" si="55"/>
        <v>1.1152181095866192</v>
      </c>
      <c r="L141">
        <f t="shared" ca="1" si="56"/>
        <v>0.91952969989778</v>
      </c>
      <c r="M141">
        <f t="shared" ca="1" si="57"/>
        <v>5.5350322475660905E-4</v>
      </c>
      <c r="N141">
        <f t="shared" ca="1" si="58"/>
        <v>1.3169896114099513E-2</v>
      </c>
      <c r="O141">
        <f t="shared" ca="1" si="59"/>
        <v>0.26645362421585167</v>
      </c>
      <c r="P141">
        <f t="shared" ca="1" si="60"/>
        <v>1.2228481746688384</v>
      </c>
      <c r="Q141">
        <f t="shared" ca="1" si="61"/>
        <v>1.2398609942686676</v>
      </c>
      <c r="R141">
        <f t="shared" ca="1" si="62"/>
        <v>1.2362630455035599</v>
      </c>
      <c r="T141">
        <f t="shared" si="63"/>
        <v>0.98540419161676651</v>
      </c>
      <c r="U141" s="6">
        <f t="shared" ca="1" si="64"/>
        <v>0.98672305797954918</v>
      </c>
      <c r="V141">
        <f t="shared" ca="1" si="65"/>
        <v>0.97587460877655852</v>
      </c>
      <c r="W141">
        <v>0.93157808890837046</v>
      </c>
      <c r="X141" t="b">
        <f t="shared" ca="1" si="66"/>
        <v>1</v>
      </c>
      <c r="AS141">
        <v>0.67488936812473344</v>
      </c>
      <c r="AT141">
        <v>4.1808319899793025</v>
      </c>
      <c r="AU141">
        <v>999</v>
      </c>
      <c r="AV141">
        <v>-6.1045781401375514</v>
      </c>
      <c r="AW141">
        <v>999</v>
      </c>
      <c r="AX141">
        <v>-7.9298242759196773</v>
      </c>
      <c r="AY141">
        <v>-4.9342935486687454</v>
      </c>
      <c r="AZ141">
        <v>-3.8501034643925682</v>
      </c>
      <c r="BA141">
        <v>999</v>
      </c>
      <c r="BB141">
        <v>999</v>
      </c>
      <c r="BC141">
        <v>-3.4044923638417814</v>
      </c>
      <c r="BD141">
        <v>5.2351813130159295</v>
      </c>
      <c r="BE141">
        <v>999</v>
      </c>
      <c r="BF141">
        <v>7.6555366236977083</v>
      </c>
      <c r="BJ141" t="b">
        <f t="shared" si="47"/>
        <v>1</v>
      </c>
      <c r="BK141" t="b">
        <f t="shared" ca="1" si="48"/>
        <v>1</v>
      </c>
    </row>
    <row r="142" spans="1:63" x14ac:dyDescent="0.45">
      <c r="A142" s="1">
        <v>45033</v>
      </c>
      <c r="B142">
        <v>187.04</v>
      </c>
      <c r="C142" s="1">
        <v>45033</v>
      </c>
      <c r="D142">
        <v>413.94</v>
      </c>
      <c r="E142" s="4">
        <f t="shared" si="49"/>
        <v>1.1027027027026985E-2</v>
      </c>
      <c r="F142" s="4">
        <f t="shared" si="50"/>
        <v>3.5882267371381911E-3</v>
      </c>
      <c r="G142">
        <f t="shared" ca="1" si="51"/>
        <v>-2.1788339536442277E-4</v>
      </c>
      <c r="H142">
        <f t="shared" ca="1" si="52"/>
        <v>3.9594097697262305E-2</v>
      </c>
      <c r="I142">
        <f t="shared" ca="1" si="53"/>
        <v>-2.5138983452732744E-2</v>
      </c>
      <c r="J142">
        <f t="shared" ca="1" si="54"/>
        <v>0.56276144369954162</v>
      </c>
      <c r="K142">
        <f t="shared" ca="1" si="55"/>
        <v>1.1152181095866192</v>
      </c>
      <c r="L142">
        <f t="shared" ca="1" si="56"/>
        <v>0.91952969989778</v>
      </c>
      <c r="M142">
        <f t="shared" ca="1" si="57"/>
        <v>5.0962033339285609E-4</v>
      </c>
      <c r="N142">
        <f t="shared" ca="1" si="58"/>
        <v>1.3184179668124935E-2</v>
      </c>
      <c r="O142">
        <f t="shared" ca="1" si="59"/>
        <v>0.27422741290497837</v>
      </c>
      <c r="P142">
        <f t="shared" ca="1" si="60"/>
        <v>1.2090086497026071</v>
      </c>
      <c r="Q142">
        <f t="shared" ca="1" si="61"/>
        <v>1.2398609942686676</v>
      </c>
      <c r="R142">
        <f t="shared" ca="1" si="62"/>
        <v>1.1806777521271552</v>
      </c>
      <c r="T142">
        <f t="shared" si="63"/>
        <v>1.011027027027027</v>
      </c>
      <c r="U142" s="6">
        <f t="shared" ca="1" si="64"/>
        <v>1.013711993929868</v>
      </c>
      <c r="V142">
        <f t="shared" ca="1" si="65"/>
        <v>0.97126094845924815</v>
      </c>
      <c r="W142">
        <v>0.92924197944612796</v>
      </c>
      <c r="X142" t="b">
        <f t="shared" ca="1" si="66"/>
        <v>0</v>
      </c>
      <c r="AS142">
        <v>0.6901352507903834</v>
      </c>
      <c r="AT142">
        <v>4.2497063096193237</v>
      </c>
      <c r="AU142">
        <v>999</v>
      </c>
      <c r="AV142">
        <v>-6.4152669804026274</v>
      </c>
      <c r="AW142">
        <v>999</v>
      </c>
      <c r="AX142">
        <v>-8.1528244122606353</v>
      </c>
      <c r="AY142">
        <v>-5.1675366260927413</v>
      </c>
      <c r="AZ142">
        <v>-3.8134771208111378</v>
      </c>
      <c r="BA142">
        <v>999</v>
      </c>
      <c r="BB142">
        <v>999</v>
      </c>
      <c r="BC142">
        <v>-3.3984228181864693</v>
      </c>
      <c r="BD142">
        <v>5.4873813844772856</v>
      </c>
      <c r="BE142">
        <v>999</v>
      </c>
      <c r="BF142">
        <v>7.8083526472419242</v>
      </c>
      <c r="BJ142" t="b">
        <f t="shared" si="47"/>
        <v>1</v>
      </c>
      <c r="BK142" t="b">
        <f t="shared" ca="1" si="48"/>
        <v>0</v>
      </c>
    </row>
    <row r="143" spans="1:63" x14ac:dyDescent="0.45">
      <c r="A143" s="1">
        <v>45030</v>
      </c>
      <c r="B143">
        <v>185</v>
      </c>
      <c r="C143" s="1">
        <v>45030</v>
      </c>
      <c r="D143">
        <v>412.46</v>
      </c>
      <c r="E143" s="4">
        <f t="shared" si="49"/>
        <v>-4.841312533620256E-3</v>
      </c>
      <c r="F143" s="4">
        <f t="shared" si="50"/>
        <v>-2.4427407067019315E-3</v>
      </c>
      <c r="G143">
        <f t="shared" ca="1" si="51"/>
        <v>-3.6269759420973067E-4</v>
      </c>
      <c r="H143">
        <f t="shared" ca="1" si="52"/>
        <v>3.960572675072075E-2</v>
      </c>
      <c r="I143">
        <f t="shared" ca="1" si="53"/>
        <v>-1.4607423442327568E-2</v>
      </c>
      <c r="J143">
        <f t="shared" ca="1" si="54"/>
        <v>0.55839828427289184</v>
      </c>
      <c r="K143">
        <f t="shared" ca="1" si="55"/>
        <v>1.1152181095866192</v>
      </c>
      <c r="L143">
        <f t="shared" ca="1" si="56"/>
        <v>0.91952969989778</v>
      </c>
      <c r="M143">
        <f t="shared" ca="1" si="57"/>
        <v>4.8760721757134487E-4</v>
      </c>
      <c r="N143">
        <f t="shared" ca="1" si="58"/>
        <v>1.3182688968251406E-2</v>
      </c>
      <c r="O143">
        <f t="shared" ca="1" si="59"/>
        <v>0.27931081764116311</v>
      </c>
      <c r="P143">
        <f t="shared" ca="1" si="60"/>
        <v>1.2128048857572891</v>
      </c>
      <c r="Q143">
        <f t="shared" ca="1" si="61"/>
        <v>1.2398609942686676</v>
      </c>
      <c r="R143">
        <f t="shared" ca="1" si="62"/>
        <v>1.1806777521271552</v>
      </c>
      <c r="T143">
        <f t="shared" si="63"/>
        <v>0.9951586874663797</v>
      </c>
      <c r="U143" s="6">
        <f t="shared" ca="1" si="64"/>
        <v>0.99967578082783948</v>
      </c>
      <c r="V143">
        <f t="shared" ca="1" si="65"/>
        <v>0.97356713902457737</v>
      </c>
      <c r="W143">
        <v>0.93950571792543514</v>
      </c>
      <c r="X143" t="b">
        <f t="shared" ca="1" si="66"/>
        <v>1</v>
      </c>
      <c r="AS143">
        <v>0.68668730057499372</v>
      </c>
      <c r="AT143">
        <v>4.0104079227535028</v>
      </c>
      <c r="AU143">
        <v>999</v>
      </c>
      <c r="AV143">
        <v>-6.2101203223152126</v>
      </c>
      <c r="AW143">
        <v>999</v>
      </c>
      <c r="AX143">
        <v>-7.9418186023327992</v>
      </c>
      <c r="AY143">
        <v>-5.3840489827842051</v>
      </c>
      <c r="AZ143">
        <v>999</v>
      </c>
      <c r="BA143">
        <v>999</v>
      </c>
      <c r="BB143">
        <v>999</v>
      </c>
      <c r="BC143">
        <v>-2.0989506416981278</v>
      </c>
      <c r="BD143">
        <v>3.9448191966017885</v>
      </c>
      <c r="BE143">
        <v>-3.5310429860640196</v>
      </c>
      <c r="BF143">
        <v>7.4581897752631168</v>
      </c>
      <c r="BJ143" t="b">
        <f t="shared" si="47"/>
        <v>1</v>
      </c>
      <c r="BK143" t="b">
        <f t="shared" ca="1" si="48"/>
        <v>1</v>
      </c>
    </row>
    <row r="144" spans="1:63" x14ac:dyDescent="0.45">
      <c r="A144" s="1">
        <v>45029</v>
      </c>
      <c r="B144">
        <v>185.9</v>
      </c>
      <c r="C144" s="1">
        <v>45029</v>
      </c>
      <c r="D144">
        <v>413.47</v>
      </c>
      <c r="E144" s="4">
        <f t="shared" si="49"/>
        <v>2.9688711642849308E-2</v>
      </c>
      <c r="F144" s="4">
        <f t="shared" si="50"/>
        <v>1.3282685945349874E-2</v>
      </c>
      <c r="G144">
        <f t="shared" ca="1" si="51"/>
        <v>-5.88715594664281E-4</v>
      </c>
      <c r="H144">
        <f t="shared" ca="1" si="52"/>
        <v>3.9760094155926268E-2</v>
      </c>
      <c r="I144">
        <f t="shared" ca="1" si="53"/>
        <v>-7.1077404271768369E-3</v>
      </c>
      <c r="J144">
        <f t="shared" ca="1" si="54"/>
        <v>0.51501137105398209</v>
      </c>
      <c r="K144">
        <f t="shared" ca="1" si="55"/>
        <v>1.1152181095866192</v>
      </c>
      <c r="L144">
        <f t="shared" ca="1" si="56"/>
        <v>0.90267505042183027</v>
      </c>
      <c r="M144">
        <f t="shared" ca="1" si="57"/>
        <v>3.9765668630725276E-4</v>
      </c>
      <c r="N144">
        <f t="shared" ca="1" si="58"/>
        <v>1.3263910805747335E-2</v>
      </c>
      <c r="O144">
        <f t="shared" ca="1" si="59"/>
        <v>0.27490005455698041</v>
      </c>
      <c r="P144">
        <f t="shared" ca="1" si="60"/>
        <v>1.1488119819351787</v>
      </c>
      <c r="Q144">
        <f t="shared" ca="1" si="61"/>
        <v>1.1442062729601674</v>
      </c>
      <c r="R144">
        <f t="shared" ca="1" si="62"/>
        <v>1.1619356966671954</v>
      </c>
      <c r="T144">
        <f t="shared" si="63"/>
        <v>1.0296887116428493</v>
      </c>
      <c r="U144" s="6">
        <f t="shared" ca="1" si="64"/>
        <v>1.0020482966796032</v>
      </c>
      <c r="V144">
        <f t="shared" ca="1" si="65"/>
        <v>0.91041807712776979</v>
      </c>
      <c r="W144">
        <v>0.9264079852791296</v>
      </c>
      <c r="X144" t="b">
        <f t="shared" ca="1" si="66"/>
        <v>0</v>
      </c>
      <c r="AS144">
        <v>0.64588702320508351</v>
      </c>
      <c r="AT144">
        <v>3.1950672419321715</v>
      </c>
      <c r="AU144">
        <v>999</v>
      </c>
      <c r="AV144">
        <v>-3.4884005021565274</v>
      </c>
      <c r="AW144">
        <v>4.1853871411698771</v>
      </c>
      <c r="AX144">
        <v>-3.8912092675102201</v>
      </c>
      <c r="AY144">
        <v>-4.7730210695356226</v>
      </c>
      <c r="AZ144">
        <v>999</v>
      </c>
      <c r="BA144">
        <v>-2.1061266245321892</v>
      </c>
      <c r="BB144">
        <v>999</v>
      </c>
      <c r="BC144">
        <v>-2.918622609247238</v>
      </c>
      <c r="BD144">
        <v>4.0846757544695036</v>
      </c>
      <c r="BE144">
        <v>999</v>
      </c>
      <c r="BF144">
        <v>0.94729488992249966</v>
      </c>
      <c r="BJ144" t="b">
        <f t="shared" si="47"/>
        <v>1</v>
      </c>
      <c r="BK144" t="b">
        <f t="shared" ca="1" si="48"/>
        <v>0</v>
      </c>
    </row>
    <row r="145" spans="1:63" x14ac:dyDescent="0.45">
      <c r="A145" s="1">
        <v>45028</v>
      </c>
      <c r="B145">
        <v>180.54</v>
      </c>
      <c r="C145" s="1">
        <v>45028</v>
      </c>
      <c r="D145">
        <v>408.05</v>
      </c>
      <c r="E145" s="4">
        <f t="shared" si="49"/>
        <v>-3.3460035333797315E-2</v>
      </c>
      <c r="F145" s="4">
        <f t="shared" si="50"/>
        <v>-4.075954310260704E-3</v>
      </c>
      <c r="G145">
        <f t="shared" ca="1" si="51"/>
        <v>-7.5317416262590971E-4</v>
      </c>
      <c r="H145">
        <f t="shared" ca="1" si="52"/>
        <v>3.9702211559430343E-2</v>
      </c>
      <c r="I145">
        <f t="shared" ca="1" si="53"/>
        <v>3.1609270982477324E-3</v>
      </c>
      <c r="J145">
        <f t="shared" ca="1" si="54"/>
        <v>0.53401783521917867</v>
      </c>
      <c r="K145">
        <f t="shared" ca="1" si="55"/>
        <v>1.1152181095866192</v>
      </c>
      <c r="L145">
        <f t="shared" ca="1" si="56"/>
        <v>0.88866554342353521</v>
      </c>
      <c r="M145">
        <f t="shared" ca="1" si="57"/>
        <v>3.1214461014900205E-4</v>
      </c>
      <c r="N145">
        <f t="shared" ca="1" si="58"/>
        <v>1.3235522961554825E-2</v>
      </c>
      <c r="O145">
        <f t="shared" ca="1" si="59"/>
        <v>0.29140370613953021</v>
      </c>
      <c r="P145">
        <f t="shared" ca="1" si="60"/>
        <v>1.1877415964747708</v>
      </c>
      <c r="Q145">
        <f t="shared" ca="1" si="61"/>
        <v>1.1442062729601674</v>
      </c>
      <c r="R145">
        <f t="shared" ca="1" si="62"/>
        <v>1.1555099825987711</v>
      </c>
      <c r="T145">
        <f t="shared" si="63"/>
        <v>0.96653996466620273</v>
      </c>
      <c r="U145" s="6">
        <f t="shared" ca="1" si="64"/>
        <v>0.93748052757295652</v>
      </c>
      <c r="V145">
        <f t="shared" ca="1" si="65"/>
        <v>0.90843128637312487</v>
      </c>
      <c r="W145">
        <v>0.93385820703472811</v>
      </c>
      <c r="X145" t="b">
        <f t="shared" ca="1" si="66"/>
        <v>1</v>
      </c>
      <c r="AS145">
        <v>0.64636613000334198</v>
      </c>
      <c r="AT145">
        <v>3.2085162561892639</v>
      </c>
      <c r="AU145">
        <v>999</v>
      </c>
      <c r="AV145">
        <v>-3.4856851634980393</v>
      </c>
      <c r="AW145">
        <v>4.4159052946214219</v>
      </c>
      <c r="AX145">
        <v>-4.5663712223999289</v>
      </c>
      <c r="AY145">
        <v>-4.6176251441771905</v>
      </c>
      <c r="AZ145">
        <v>999</v>
      </c>
      <c r="BA145">
        <v>-2.1164402617046503</v>
      </c>
      <c r="BB145">
        <v>999</v>
      </c>
      <c r="BC145">
        <v>-2.9008140079223987</v>
      </c>
      <c r="BD145">
        <v>4.1254144278807292</v>
      </c>
      <c r="BE145">
        <v>999</v>
      </c>
      <c r="BF145">
        <v>0.90777281376143504</v>
      </c>
      <c r="BJ145" t="b">
        <f t="shared" si="47"/>
        <v>1</v>
      </c>
      <c r="BK145" t="b">
        <f t="shared" ca="1" si="48"/>
        <v>1</v>
      </c>
    </row>
    <row r="146" spans="1:63" x14ac:dyDescent="0.45">
      <c r="A146" s="1">
        <v>45027</v>
      </c>
      <c r="B146">
        <v>186.79</v>
      </c>
      <c r="C146" s="1">
        <v>45027</v>
      </c>
      <c r="D146">
        <v>409.72</v>
      </c>
      <c r="E146" s="4">
        <f t="shared" si="49"/>
        <v>1.2357053818221241E-2</v>
      </c>
      <c r="F146" s="4">
        <f t="shared" si="50"/>
        <v>2.6854813114917514E-4</v>
      </c>
      <c r="G146">
        <f t="shared" ca="1" si="51"/>
        <v>-3.5962223116047898E-4</v>
      </c>
      <c r="H146">
        <f t="shared" ca="1" si="52"/>
        <v>3.9766432643364089E-2</v>
      </c>
      <c r="I146">
        <f t="shared" ca="1" si="53"/>
        <v>-1.616249380279592E-2</v>
      </c>
      <c r="J146">
        <f t="shared" ca="1" si="54"/>
        <v>0.51790182353764491</v>
      </c>
      <c r="K146">
        <f t="shared" ca="1" si="55"/>
        <v>1.1152181095866192</v>
      </c>
      <c r="L146">
        <f t="shared" ca="1" si="56"/>
        <v>0.91952969989778</v>
      </c>
      <c r="M146">
        <f t="shared" ca="1" si="57"/>
        <v>4.9149385744489608E-4</v>
      </c>
      <c r="N146">
        <f t="shared" ca="1" si="58"/>
        <v>1.3417540181414007E-2</v>
      </c>
      <c r="O146">
        <f t="shared" ca="1" si="59"/>
        <v>0.30493902139477302</v>
      </c>
      <c r="P146">
        <f t="shared" ca="1" si="60"/>
        <v>1.101812880246861</v>
      </c>
      <c r="Q146">
        <f t="shared" ca="1" si="61"/>
        <v>1.1860988602924545</v>
      </c>
      <c r="R146">
        <f t="shared" ca="1" si="62"/>
        <v>1.1619356966671954</v>
      </c>
      <c r="T146">
        <f t="shared" si="63"/>
        <v>1.0123570538182212</v>
      </c>
      <c r="U146" s="6">
        <f t="shared" ca="1" si="64"/>
        <v>0.9590285978333416</v>
      </c>
      <c r="V146">
        <f t="shared" ca="1" si="65"/>
        <v>0.93926025389698753</v>
      </c>
      <c r="W146">
        <v>0.90248153807784603</v>
      </c>
      <c r="X146" t="b">
        <f t="shared" ca="1" si="66"/>
        <v>1</v>
      </c>
      <c r="AS146">
        <v>0.63579003686868307</v>
      </c>
      <c r="AT146">
        <v>3.2423851119897429</v>
      </c>
      <c r="AU146">
        <v>999</v>
      </c>
      <c r="AV146">
        <v>-3.2261079858033641</v>
      </c>
      <c r="AW146">
        <v>4.5293439567860192</v>
      </c>
      <c r="AX146">
        <v>-4.5966919256006999</v>
      </c>
      <c r="AY146">
        <v>-4.5452964025010889</v>
      </c>
      <c r="AZ146">
        <v>999</v>
      </c>
      <c r="BA146">
        <v>-2.0728040535963359</v>
      </c>
      <c r="BB146">
        <v>999</v>
      </c>
      <c r="BC146">
        <v>-2.7588460454933101</v>
      </c>
      <c r="BD146">
        <v>4.1031335418719372</v>
      </c>
      <c r="BE146">
        <v>999</v>
      </c>
      <c r="BF146">
        <v>0.54948045872652396</v>
      </c>
      <c r="BJ146" t="b">
        <f t="shared" si="47"/>
        <v>1</v>
      </c>
      <c r="BK146" t="b">
        <f t="shared" ca="1" si="48"/>
        <v>1</v>
      </c>
    </row>
    <row r="147" spans="1:63" x14ac:dyDescent="0.45">
      <c r="A147" s="1">
        <v>45026</v>
      </c>
      <c r="B147">
        <v>184.51</v>
      </c>
      <c r="C147" s="1">
        <v>45026</v>
      </c>
      <c r="D147">
        <v>409.61</v>
      </c>
      <c r="E147" s="4">
        <f t="shared" si="49"/>
        <v>-2.9720090781368818E-3</v>
      </c>
      <c r="F147" s="4">
        <f t="shared" si="50"/>
        <v>1.0264180454068181E-3</v>
      </c>
      <c r="G147">
        <f t="shared" ca="1" si="51"/>
        <v>-4.4294617031812852E-4</v>
      </c>
      <c r="H147">
        <f t="shared" ca="1" si="52"/>
        <v>3.9757111119671236E-2</v>
      </c>
      <c r="I147">
        <f t="shared" ca="1" si="53"/>
        <v>-9.9939493330236141E-3</v>
      </c>
      <c r="J147">
        <f t="shared" ca="1" si="54"/>
        <v>0.52107882032387254</v>
      </c>
      <c r="K147">
        <f t="shared" ca="1" si="55"/>
        <v>1.1152181095866192</v>
      </c>
      <c r="L147">
        <f t="shared" ca="1" si="56"/>
        <v>0.91952969989778</v>
      </c>
      <c r="M147">
        <f t="shared" ca="1" si="57"/>
        <v>5.3916417803544442E-4</v>
      </c>
      <c r="N147">
        <f t="shared" ca="1" si="58"/>
        <v>1.3433670898581645E-2</v>
      </c>
      <c r="O147">
        <f t="shared" ca="1" si="59"/>
        <v>0.2947787735905168</v>
      </c>
      <c r="P147">
        <f t="shared" ca="1" si="60"/>
        <v>1.078775920630898</v>
      </c>
      <c r="Q147">
        <f t="shared" ca="1" si="61"/>
        <v>1.1860988602924545</v>
      </c>
      <c r="R147">
        <f t="shared" ca="1" si="62"/>
        <v>1.1713662830358842</v>
      </c>
      <c r="T147">
        <f t="shared" si="63"/>
        <v>0.99702799092186312</v>
      </c>
      <c r="U147" s="6">
        <f t="shared" ca="1" si="64"/>
        <v>0.88937626530415492</v>
      </c>
      <c r="V147">
        <f t="shared" ca="1" si="65"/>
        <v>0.90641631461279848</v>
      </c>
      <c r="W147">
        <v>0.94548545264048189</v>
      </c>
      <c r="X147" t="b">
        <f t="shared" ca="1" si="66"/>
        <v>1</v>
      </c>
      <c r="AS147">
        <v>0.6238934015861316</v>
      </c>
      <c r="AT147">
        <v>3.0687090518114983</v>
      </c>
      <c r="AU147">
        <v>999</v>
      </c>
      <c r="AV147">
        <v>-2.9544888994408853</v>
      </c>
      <c r="AW147">
        <v>4.5748785977808275</v>
      </c>
      <c r="AX147">
        <v>-4.2302856108925964</v>
      </c>
      <c r="AY147">
        <v>-3.9200693692064363</v>
      </c>
      <c r="AZ147">
        <v>999</v>
      </c>
      <c r="BA147">
        <v>-2.2110644373631945</v>
      </c>
      <c r="BB147">
        <v>999</v>
      </c>
      <c r="BC147">
        <v>-2.7307181177834856</v>
      </c>
      <c r="BD147">
        <v>3.9667963241549629</v>
      </c>
      <c r="BE147">
        <v>999</v>
      </c>
      <c r="BF147">
        <v>0.31246745136826365</v>
      </c>
      <c r="BJ147" t="b">
        <f t="shared" si="47"/>
        <v>1</v>
      </c>
      <c r="BK147" t="b">
        <f t="shared" ca="1" si="48"/>
        <v>1</v>
      </c>
    </row>
    <row r="148" spans="1:63" x14ac:dyDescent="0.45">
      <c r="A148" s="1">
        <v>45022</v>
      </c>
      <c r="B148">
        <v>185.06</v>
      </c>
      <c r="C148" s="1">
        <v>45022</v>
      </c>
      <c r="D148">
        <v>409.19</v>
      </c>
      <c r="E148" s="4">
        <f t="shared" si="49"/>
        <v>-2.4795170332040099E-3</v>
      </c>
      <c r="F148" s="4">
        <f t="shared" si="50"/>
        <v>3.9008832188419402E-3</v>
      </c>
      <c r="G148">
        <f t="shared" ca="1" si="51"/>
        <v>-4.4812519055854844E-4</v>
      </c>
      <c r="H148">
        <f t="shared" ca="1" si="52"/>
        <v>3.9757509690709611E-2</v>
      </c>
      <c r="I148">
        <f t="shared" ca="1" si="53"/>
        <v>-9.6012583241348939E-3</v>
      </c>
      <c r="J148">
        <f t="shared" ca="1" si="54"/>
        <v>0.52093083204232649</v>
      </c>
      <c r="K148">
        <f t="shared" ca="1" si="55"/>
        <v>1.1152181095866192</v>
      </c>
      <c r="L148">
        <f t="shared" ca="1" si="56"/>
        <v>0.91952969989778</v>
      </c>
      <c r="M148">
        <f t="shared" ca="1" si="57"/>
        <v>5.2496711327032399E-4</v>
      </c>
      <c r="N148">
        <f t="shared" ca="1" si="58"/>
        <v>1.3434653715976465E-2</v>
      </c>
      <c r="O148">
        <f t="shared" ca="1" si="59"/>
        <v>0.29788887328148206</v>
      </c>
      <c r="P148">
        <f t="shared" ca="1" si="60"/>
        <v>1.0788518189650862</v>
      </c>
      <c r="Q148">
        <f t="shared" ca="1" si="61"/>
        <v>1.1860988602924545</v>
      </c>
      <c r="R148">
        <f t="shared" ca="1" si="62"/>
        <v>1.1713662830358842</v>
      </c>
      <c r="T148">
        <f t="shared" si="63"/>
        <v>0.99752048296679596</v>
      </c>
      <c r="U148" s="6">
        <f t="shared" ca="1" si="64"/>
        <v>0.9476648914379352</v>
      </c>
      <c r="V148">
        <f t="shared" ca="1" si="65"/>
        <v>0.92580479112780101</v>
      </c>
      <c r="W148">
        <v>0.91159301948998617</v>
      </c>
      <c r="X148" t="b">
        <f t="shared" ca="1" si="66"/>
        <v>1</v>
      </c>
      <c r="AS148">
        <v>0.60822177689038681</v>
      </c>
      <c r="AT148">
        <v>3.3956815696021989</v>
      </c>
      <c r="AU148">
        <v>999</v>
      </c>
      <c r="AV148">
        <v>-3.3210371277486197</v>
      </c>
      <c r="AW148">
        <v>4.8178659758897497</v>
      </c>
      <c r="AX148">
        <v>-3.778247152881208</v>
      </c>
      <c r="AY148">
        <v>-2.8547701330344522</v>
      </c>
      <c r="AZ148">
        <v>-3.0296921416265006</v>
      </c>
      <c r="BA148">
        <v>-2.5776922350469067</v>
      </c>
      <c r="BB148">
        <v>999</v>
      </c>
      <c r="BC148">
        <v>999</v>
      </c>
      <c r="BD148">
        <v>5.8090130998475535</v>
      </c>
      <c r="BE148">
        <v>999</v>
      </c>
      <c r="BF148">
        <v>-0.18191652950218806</v>
      </c>
      <c r="BJ148" t="b">
        <f t="shared" si="47"/>
        <v>1</v>
      </c>
      <c r="BK148" t="b">
        <f t="shared" ca="1" si="48"/>
        <v>1</v>
      </c>
    </row>
    <row r="149" spans="1:63" x14ac:dyDescent="0.45">
      <c r="A149" s="1">
        <v>45021</v>
      </c>
      <c r="B149">
        <v>185.52</v>
      </c>
      <c r="C149" s="1">
        <v>45021</v>
      </c>
      <c r="D149">
        <v>407.6</v>
      </c>
      <c r="E149" s="4">
        <f t="shared" si="49"/>
        <v>-3.6660089313532047E-2</v>
      </c>
      <c r="F149" s="4">
        <f t="shared" si="50"/>
        <v>-2.6182494433161061E-3</v>
      </c>
      <c r="G149">
        <f t="shared" ca="1" si="51"/>
        <v>3.2001680453568607E-5</v>
      </c>
      <c r="H149">
        <f t="shared" ca="1" si="52"/>
        <v>4.0308851203831007E-2</v>
      </c>
      <c r="I149">
        <f t="shared" ca="1" si="53"/>
        <v>1.9050932832819615E-2</v>
      </c>
      <c r="J149">
        <f t="shared" ca="1" si="54"/>
        <v>0.48107764445890622</v>
      </c>
      <c r="K149">
        <f t="shared" ca="1" si="55"/>
        <v>1.1205519707852962</v>
      </c>
      <c r="L149">
        <f t="shared" ca="1" si="56"/>
        <v>0.92359069320144149</v>
      </c>
      <c r="M149">
        <f t="shared" ca="1" si="57"/>
        <v>6.3133051546726386E-4</v>
      </c>
      <c r="N149">
        <f t="shared" ca="1" si="58"/>
        <v>1.3545268980783025E-2</v>
      </c>
      <c r="O149">
        <f t="shared" ca="1" si="59"/>
        <v>0.29736217211725785</v>
      </c>
      <c r="P149">
        <f t="shared" ca="1" si="60"/>
        <v>0.99261868709892553</v>
      </c>
      <c r="Q149">
        <f t="shared" ca="1" si="61"/>
        <v>1.212434748709146</v>
      </c>
      <c r="R149">
        <f t="shared" ca="1" si="62"/>
        <v>1.1940746608352584</v>
      </c>
      <c r="T149">
        <f t="shared" si="63"/>
        <v>0.96333991068646796</v>
      </c>
      <c r="U149" s="6">
        <f t="shared" ca="1" si="64"/>
        <v>0.95688054466680417</v>
      </c>
      <c r="V149">
        <f t="shared" ca="1" si="65"/>
        <v>0.93315021435898837</v>
      </c>
      <c r="W149">
        <v>0.88005793728569426</v>
      </c>
      <c r="X149" t="b">
        <f t="shared" ca="1" si="66"/>
        <v>1</v>
      </c>
      <c r="AS149">
        <v>0.58984115192143682</v>
      </c>
      <c r="AT149">
        <v>3.2564406459121651</v>
      </c>
      <c r="AU149">
        <v>3.0421777010440825</v>
      </c>
      <c r="AV149">
        <v>-2.6430650081447395</v>
      </c>
      <c r="AW149">
        <v>3.9014731736343649</v>
      </c>
      <c r="AX149">
        <v>999</v>
      </c>
      <c r="AY149">
        <v>-2.8983460637247571</v>
      </c>
      <c r="AZ149">
        <v>-3.0821187978660145</v>
      </c>
      <c r="BA149">
        <v>-2.3400154045433794</v>
      </c>
      <c r="BB149">
        <v>999</v>
      </c>
      <c r="BC149">
        <v>999</v>
      </c>
      <c r="BD149">
        <v>5.6398636726753875</v>
      </c>
      <c r="BE149">
        <v>999</v>
      </c>
      <c r="BF149">
        <v>-4.5723107083521146</v>
      </c>
      <c r="BJ149" t="b">
        <f t="shared" si="47"/>
        <v>1</v>
      </c>
      <c r="BK149" t="b">
        <f t="shared" ca="1" si="48"/>
        <v>1</v>
      </c>
    </row>
    <row r="150" spans="1:63" x14ac:dyDescent="0.45">
      <c r="A150" s="1">
        <v>45020</v>
      </c>
      <c r="B150">
        <v>192.58</v>
      </c>
      <c r="C150" s="1">
        <v>45020</v>
      </c>
      <c r="D150">
        <v>408.67</v>
      </c>
      <c r="E150" s="4">
        <f t="shared" si="49"/>
        <v>-1.1244031421676837E-2</v>
      </c>
      <c r="F150" s="4">
        <f t="shared" si="50"/>
        <v>-5.5481202092711344E-3</v>
      </c>
      <c r="G150">
        <f t="shared" ca="1" si="51"/>
        <v>3.0117730299495071E-4</v>
      </c>
      <c r="H150">
        <f t="shared" ca="1" si="52"/>
        <v>4.024229234497774E-2</v>
      </c>
      <c r="I150">
        <f t="shared" ca="1" si="53"/>
        <v>3.1159170507190624E-3</v>
      </c>
      <c r="J150">
        <f t="shared" ca="1" si="54"/>
        <v>0.50069801172768047</v>
      </c>
      <c r="K150">
        <f t="shared" ca="1" si="55"/>
        <v>1.1205519707852962</v>
      </c>
      <c r="L150">
        <f t="shared" ca="1" si="56"/>
        <v>0.97862848492606846</v>
      </c>
      <c r="M150">
        <f t="shared" ca="1" si="57"/>
        <v>6.3364854571943741E-4</v>
      </c>
      <c r="N150">
        <f t="shared" ca="1" si="58"/>
        <v>1.3544749737833468E-2</v>
      </c>
      <c r="O150">
        <f t="shared" ca="1" si="59"/>
        <v>0.29690369358451491</v>
      </c>
      <c r="P150">
        <f t="shared" ca="1" si="60"/>
        <v>0.99302253092206705</v>
      </c>
      <c r="Q150">
        <f t="shared" ca="1" si="61"/>
        <v>1.212434748709146</v>
      </c>
      <c r="R150">
        <f t="shared" ca="1" si="62"/>
        <v>1.1940746608352584</v>
      </c>
      <c r="T150">
        <f t="shared" si="63"/>
        <v>0.98875596857832315</v>
      </c>
      <c r="U150" s="6">
        <f t="shared" ca="1" si="64"/>
        <v>1.017918494635023</v>
      </c>
      <c r="V150">
        <f t="shared" ca="1" si="65"/>
        <v>0.94479433821345926</v>
      </c>
      <c r="W150">
        <v>0.93699928900110807</v>
      </c>
      <c r="X150" t="b">
        <f t="shared" ca="1" si="66"/>
        <v>0</v>
      </c>
      <c r="AS150">
        <v>0.59547652995483258</v>
      </c>
      <c r="AT150">
        <v>3.3320165551015695</v>
      </c>
      <c r="AU150">
        <v>2.7743729240700317</v>
      </c>
      <c r="AV150">
        <v>-2.7683851206193659</v>
      </c>
      <c r="AW150">
        <v>4.1150858347925112</v>
      </c>
      <c r="AX150">
        <v>999</v>
      </c>
      <c r="AY150">
        <v>-2.7319529234799353</v>
      </c>
      <c r="AZ150">
        <v>-3.3087787705423839</v>
      </c>
      <c r="BA150">
        <v>-2.3375740577436286</v>
      </c>
      <c r="BB150">
        <v>999</v>
      </c>
      <c r="BC150">
        <v>999</v>
      </c>
      <c r="BD150">
        <v>5.7332391803556488</v>
      </c>
      <c r="BE150">
        <v>999</v>
      </c>
      <c r="BF150">
        <v>-4.5710458771239288</v>
      </c>
      <c r="BJ150" t="b">
        <f t="shared" si="47"/>
        <v>1</v>
      </c>
      <c r="BK150" t="b">
        <f t="shared" ca="1" si="48"/>
        <v>0</v>
      </c>
    </row>
    <row r="151" spans="1:63" x14ac:dyDescent="0.45">
      <c r="A151" s="1">
        <v>45019</v>
      </c>
      <c r="B151">
        <v>194.77</v>
      </c>
      <c r="C151" s="1">
        <v>45019</v>
      </c>
      <c r="D151">
        <v>410.95</v>
      </c>
      <c r="E151" s="4">
        <f t="shared" si="49"/>
        <v>-6.1168418008290738E-2</v>
      </c>
      <c r="F151" s="4">
        <f t="shared" si="50"/>
        <v>3.8105473997899369E-3</v>
      </c>
      <c r="G151">
        <f t="shared" ca="1" si="51"/>
        <v>-6.9641166506107248E-5</v>
      </c>
      <c r="H151">
        <f t="shared" ca="1" si="52"/>
        <v>4.0688434976081093E-2</v>
      </c>
      <c r="I151">
        <f t="shared" ca="1" si="53"/>
        <v>-1.6695221120633329E-2</v>
      </c>
      <c r="J151">
        <f t="shared" ca="1" si="54"/>
        <v>0.4484912817651443</v>
      </c>
      <c r="K151">
        <f t="shared" ca="1" si="55"/>
        <v>1.116424781984845</v>
      </c>
      <c r="L151">
        <f t="shared" ca="1" si="56"/>
        <v>0.92359069320144149</v>
      </c>
      <c r="M151">
        <f t="shared" ca="1" si="57"/>
        <v>4.959091889598855E-4</v>
      </c>
      <c r="N151">
        <f t="shared" ca="1" si="58"/>
        <v>1.3746496817758486E-2</v>
      </c>
      <c r="O151">
        <f t="shared" ca="1" si="59"/>
        <v>0.23986408284594607</v>
      </c>
      <c r="P151">
        <f t="shared" ca="1" si="60"/>
        <v>0.95779473137631754</v>
      </c>
      <c r="Q151">
        <f t="shared" ca="1" si="61"/>
        <v>1.190974310917966</v>
      </c>
      <c r="R151">
        <f t="shared" ca="1" si="62"/>
        <v>1.1798538008554595</v>
      </c>
      <c r="T151">
        <f t="shared" si="63"/>
        <v>0.93883158199170924</v>
      </c>
      <c r="U151" s="6">
        <f t="shared" ca="1" si="64"/>
        <v>1.0154319378551693</v>
      </c>
      <c r="V151">
        <f t="shared" ca="1" si="65"/>
        <v>0.93726263361061257</v>
      </c>
      <c r="W151">
        <v>0.96944711946481954</v>
      </c>
      <c r="X151" t="b">
        <f t="shared" ca="1" si="66"/>
        <v>0</v>
      </c>
      <c r="AS151">
        <v>0.60056320335393831</v>
      </c>
      <c r="AT151">
        <v>3.3302778117250345</v>
      </c>
      <c r="AU151">
        <v>2.608857158184942</v>
      </c>
      <c r="AV151">
        <v>-2.8252861835715586</v>
      </c>
      <c r="AW151">
        <v>4.2180493663125853</v>
      </c>
      <c r="AX151">
        <v>999</v>
      </c>
      <c r="AY151">
        <v>-2.5907111424207363</v>
      </c>
      <c r="AZ151">
        <v>-3.4112686416873528</v>
      </c>
      <c r="BA151">
        <v>-2.3554226326393284</v>
      </c>
      <c r="BB151">
        <v>999</v>
      </c>
      <c r="BC151">
        <v>999</v>
      </c>
      <c r="BD151">
        <v>5.7580071798295513</v>
      </c>
      <c r="BE151">
        <v>999</v>
      </c>
      <c r="BF151">
        <v>-4.5556482563720788</v>
      </c>
      <c r="BJ151" t="b">
        <f t="shared" si="47"/>
        <v>1</v>
      </c>
      <c r="BK151" t="b">
        <f t="shared" ca="1" si="48"/>
        <v>0</v>
      </c>
    </row>
    <row r="152" spans="1:63" x14ac:dyDescent="0.45">
      <c r="A152" s="1">
        <v>45016</v>
      </c>
      <c r="B152">
        <v>207.46</v>
      </c>
      <c r="C152" s="1">
        <v>45016</v>
      </c>
      <c r="D152">
        <v>409.39</v>
      </c>
      <c r="E152" s="4">
        <f t="shared" si="49"/>
        <v>6.2371978697255255E-2</v>
      </c>
      <c r="F152" s="4">
        <f t="shared" si="50"/>
        <v>1.4094624721327713E-2</v>
      </c>
      <c r="G152">
        <f t="shared" ca="1" si="51"/>
        <v>5.1031926298031826E-4</v>
      </c>
      <c r="H152">
        <f t="shared" ca="1" si="52"/>
        <v>4.0639804203081761E-2</v>
      </c>
      <c r="I152">
        <f t="shared" ca="1" si="53"/>
        <v>-3.0245460531061641E-2</v>
      </c>
      <c r="J152">
        <f t="shared" ca="1" si="54"/>
        <v>0.4565293427966246</v>
      </c>
      <c r="K152">
        <f t="shared" ca="1" si="55"/>
        <v>1.116424781984845</v>
      </c>
      <c r="L152">
        <f t="shared" ca="1" si="56"/>
        <v>0.99379601143507723</v>
      </c>
      <c r="M152">
        <f t="shared" ca="1" si="57"/>
        <v>5.4813791343150033E-4</v>
      </c>
      <c r="N152">
        <f t="shared" ca="1" si="58"/>
        <v>1.3778959366985069E-2</v>
      </c>
      <c r="O152">
        <f t="shared" ca="1" si="59"/>
        <v>0.23167114685162071</v>
      </c>
      <c r="P152">
        <f t="shared" ca="1" si="60"/>
        <v>0.92166011905149103</v>
      </c>
      <c r="Q152">
        <f t="shared" ca="1" si="61"/>
        <v>1.190974310917966</v>
      </c>
      <c r="R152">
        <f t="shared" ca="1" si="62"/>
        <v>1.2255982493487703</v>
      </c>
      <c r="T152">
        <f t="shared" si="63"/>
        <v>1.0623719786972552</v>
      </c>
      <c r="U152" s="6">
        <f t="shared" ca="1" si="64"/>
        <v>1.0895436164067014</v>
      </c>
      <c r="V152">
        <f t="shared" ca="1" si="65"/>
        <v>0.93705232921421555</v>
      </c>
      <c r="W152">
        <v>0.9778671460109285</v>
      </c>
      <c r="X152" t="b">
        <f t="shared" ca="1" si="66"/>
        <v>0</v>
      </c>
      <c r="AS152">
        <v>0.60965526855185059</v>
      </c>
      <c r="AT152">
        <v>3.2926770438732809</v>
      </c>
      <c r="AU152">
        <v>2.392594207745864</v>
      </c>
      <c r="AV152">
        <v>-2.9644309596406142</v>
      </c>
      <c r="AW152">
        <v>4.3660254535491463</v>
      </c>
      <c r="AX152">
        <v>999</v>
      </c>
      <c r="AY152">
        <v>-2.3374510925217518</v>
      </c>
      <c r="AZ152">
        <v>-3.4899066385231752</v>
      </c>
      <c r="BA152">
        <v>-2.488399576713288</v>
      </c>
      <c r="BB152">
        <v>999</v>
      </c>
      <c r="BC152">
        <v>999</v>
      </c>
      <c r="BD152">
        <v>5.9335917162527698</v>
      </c>
      <c r="BE152">
        <v>999</v>
      </c>
      <c r="BF152">
        <v>-4.526534380440042</v>
      </c>
      <c r="BJ152" t="b">
        <f t="shared" si="47"/>
        <v>1</v>
      </c>
      <c r="BK152" t="b">
        <f t="shared" ca="1" si="48"/>
        <v>0</v>
      </c>
    </row>
    <row r="153" spans="1:63" x14ac:dyDescent="0.45">
      <c r="A153" s="1">
        <v>45015</v>
      </c>
      <c r="B153">
        <v>195.28</v>
      </c>
      <c r="C153" s="1">
        <v>45015</v>
      </c>
      <c r="D153">
        <v>403.7</v>
      </c>
      <c r="E153" s="4">
        <f t="shared" si="49"/>
        <v>7.2209614194347314E-3</v>
      </c>
      <c r="F153" s="4">
        <f t="shared" si="50"/>
        <v>5.8552385698267487E-3</v>
      </c>
      <c r="G153">
        <f t="shared" ca="1" si="51"/>
        <v>3.178871913326698E-4</v>
      </c>
      <c r="H153">
        <f t="shared" ca="1" si="52"/>
        <v>4.0436020225429942E-2</v>
      </c>
      <c r="I153">
        <f t="shared" ca="1" si="53"/>
        <v>-3.3478253084622073E-2</v>
      </c>
      <c r="J153">
        <f t="shared" ca="1" si="54"/>
        <v>0.49908476939785373</v>
      </c>
      <c r="K153">
        <f t="shared" ca="1" si="55"/>
        <v>1.116424781984845</v>
      </c>
      <c r="L153">
        <f t="shared" ca="1" si="56"/>
        <v>0.99379601143507723</v>
      </c>
      <c r="M153">
        <f t="shared" ca="1" si="57"/>
        <v>4.6259812315819501E-4</v>
      </c>
      <c r="N153">
        <f t="shared" ca="1" si="58"/>
        <v>1.3747507382588205E-2</v>
      </c>
      <c r="O153">
        <f t="shared" ca="1" si="59"/>
        <v>0.24717555490024154</v>
      </c>
      <c r="P153">
        <f t="shared" ca="1" si="60"/>
        <v>0.95927020980929356</v>
      </c>
      <c r="Q153">
        <f t="shared" ca="1" si="61"/>
        <v>1.190974310917966</v>
      </c>
      <c r="R153">
        <f t="shared" ca="1" si="62"/>
        <v>1.1798538008554595</v>
      </c>
      <c r="T153">
        <f t="shared" si="63"/>
        <v>1.0072209614194347</v>
      </c>
      <c r="U153" s="6">
        <f t="shared" ca="1" si="64"/>
        <v>1.0159192591821873</v>
      </c>
      <c r="V153">
        <f t="shared" ca="1" si="65"/>
        <v>0.92899730220351506</v>
      </c>
      <c r="W153">
        <v>0.94669832008827592</v>
      </c>
      <c r="X153" t="b">
        <f t="shared" ca="1" si="66"/>
        <v>0</v>
      </c>
      <c r="AS153">
        <v>0.61440778469790458</v>
      </c>
      <c r="AT153">
        <v>3.1190857255854745</v>
      </c>
      <c r="AU153">
        <v>2.5996205218488924</v>
      </c>
      <c r="AV153">
        <v>-2.8862686295574043</v>
      </c>
      <c r="AW153">
        <v>4.2034991799285795</v>
      </c>
      <c r="AX153">
        <v>999</v>
      </c>
      <c r="AY153">
        <v>-2.2464355082189313</v>
      </c>
      <c r="AZ153">
        <v>-2.8355653992977166</v>
      </c>
      <c r="BA153">
        <v>999</v>
      </c>
      <c r="BB153">
        <v>999</v>
      </c>
      <c r="BC153">
        <v>-2.5232237243862525</v>
      </c>
      <c r="BD153">
        <v>4.7423885858066486</v>
      </c>
      <c r="BE153">
        <v>999</v>
      </c>
      <c r="BF153">
        <v>-5.4630545096694556</v>
      </c>
      <c r="BJ153" t="b">
        <f t="shared" si="47"/>
        <v>1</v>
      </c>
      <c r="BK153" t="b">
        <f t="shared" ca="1" si="48"/>
        <v>0</v>
      </c>
    </row>
    <row r="154" spans="1:63" x14ac:dyDescent="0.45">
      <c r="A154" s="1">
        <v>45014</v>
      </c>
      <c r="B154">
        <v>193.88</v>
      </c>
      <c r="C154" s="1">
        <v>45014</v>
      </c>
      <c r="D154">
        <v>401.35</v>
      </c>
      <c r="E154" s="4">
        <f t="shared" si="49"/>
        <v>2.4789893757598169E-2</v>
      </c>
      <c r="F154" s="4">
        <f t="shared" si="50"/>
        <v>1.4534883720930232E-2</v>
      </c>
      <c r="G154">
        <f t="shared" ca="1" si="51"/>
        <v>-7.3318162636138503E-5</v>
      </c>
      <c r="H154">
        <f t="shared" ca="1" si="52"/>
        <v>4.0746188501158305E-2</v>
      </c>
      <c r="I154">
        <f t="shared" ca="1" si="53"/>
        <v>-3.0889683455325133E-2</v>
      </c>
      <c r="J154">
        <f t="shared" ca="1" si="54"/>
        <v>0.43925050543171151</v>
      </c>
      <c r="K154">
        <f t="shared" ca="1" si="55"/>
        <v>1.0908840197089082</v>
      </c>
      <c r="L154">
        <f t="shared" ca="1" si="56"/>
        <v>0.9379052022703912</v>
      </c>
      <c r="M154">
        <f t="shared" ca="1" si="57"/>
        <v>2.4348098623517704E-4</v>
      </c>
      <c r="N154">
        <f t="shared" ca="1" si="58"/>
        <v>1.4007901617497508E-2</v>
      </c>
      <c r="O154">
        <f t="shared" ca="1" si="59"/>
        <v>0.17594472033071595</v>
      </c>
      <c r="P154">
        <f t="shared" ca="1" si="60"/>
        <v>0.97268145362690372</v>
      </c>
      <c r="Q154">
        <f t="shared" ca="1" si="61"/>
        <v>1.1810479038368902</v>
      </c>
      <c r="R154">
        <f t="shared" ca="1" si="62"/>
        <v>1.1755370862014431</v>
      </c>
      <c r="T154">
        <f t="shared" si="63"/>
        <v>1.0247898937575981</v>
      </c>
      <c r="U154" s="6">
        <f t="shared" ca="1" si="64"/>
        <v>1.0142819775045773</v>
      </c>
      <c r="V154">
        <f t="shared" ca="1" si="65"/>
        <v>0.92590237623430804</v>
      </c>
      <c r="W154">
        <v>0.93984285337287332</v>
      </c>
      <c r="X154" t="b">
        <f t="shared" ca="1" si="66"/>
        <v>0</v>
      </c>
      <c r="AS154">
        <v>0.61229326375807103</v>
      </c>
      <c r="AT154">
        <v>2.9031773713785061</v>
      </c>
      <c r="AU154">
        <v>2.4376150619226467</v>
      </c>
      <c r="AV154">
        <v>-2.8942882890900385</v>
      </c>
      <c r="AW154">
        <v>4.1731442445006026</v>
      </c>
      <c r="AX154">
        <v>999</v>
      </c>
      <c r="AY154">
        <v>-2.009491753693359</v>
      </c>
      <c r="AZ154">
        <v>-2.6205375558575472</v>
      </c>
      <c r="BA154">
        <v>999</v>
      </c>
      <c r="BB154">
        <v>999</v>
      </c>
      <c r="BC154">
        <v>-2.6620965414465778</v>
      </c>
      <c r="BD154">
        <v>4.7353033198982155</v>
      </c>
      <c r="BE154">
        <v>999</v>
      </c>
      <c r="BF154">
        <v>-5.3692442332123749</v>
      </c>
      <c r="BJ154" t="b">
        <f t="shared" si="47"/>
        <v>1</v>
      </c>
      <c r="BK154" t="b">
        <f t="shared" ca="1" si="48"/>
        <v>0</v>
      </c>
    </row>
    <row r="155" spans="1:63" x14ac:dyDescent="0.45">
      <c r="A155" s="1">
        <v>45013</v>
      </c>
      <c r="B155">
        <v>189.19</v>
      </c>
      <c r="C155" s="1">
        <v>45013</v>
      </c>
      <c r="D155">
        <v>395.6</v>
      </c>
      <c r="E155" s="4">
        <f t="shared" si="49"/>
        <v>-1.3659350398832201E-2</v>
      </c>
      <c r="F155" s="4">
        <f t="shared" si="50"/>
        <v>-2.2446972180886942E-3</v>
      </c>
      <c r="G155">
        <f t="shared" ca="1" si="51"/>
        <v>-3.5322886743309169E-4</v>
      </c>
      <c r="H155">
        <f t="shared" ca="1" si="52"/>
        <v>4.0766812176639473E-2</v>
      </c>
      <c r="I155">
        <f t="shared" ca="1" si="53"/>
        <v>-1.3445201787468225E-2</v>
      </c>
      <c r="J155">
        <f t="shared" ca="1" si="54"/>
        <v>0.43257721830990459</v>
      </c>
      <c r="K155">
        <f t="shared" ca="1" si="55"/>
        <v>1.0908840197089082</v>
      </c>
      <c r="L155">
        <f t="shared" ca="1" si="56"/>
        <v>0.90666160717530198</v>
      </c>
      <c r="M155">
        <f t="shared" ca="1" si="57"/>
        <v>2.5828488714623594E-5</v>
      </c>
      <c r="N155">
        <f t="shared" ca="1" si="58"/>
        <v>1.4122444857736708E-2</v>
      </c>
      <c r="O155">
        <f t="shared" ca="1" si="59"/>
        <v>0.1680963283495446</v>
      </c>
      <c r="P155">
        <f t="shared" ca="1" si="60"/>
        <v>0.94272278269567833</v>
      </c>
      <c r="Q155">
        <f t="shared" ca="1" si="61"/>
        <v>1.1689861588869694</v>
      </c>
      <c r="R155">
        <f t="shared" ca="1" si="62"/>
        <v>1.1441239597529098</v>
      </c>
      <c r="T155">
        <f t="shared" si="63"/>
        <v>0.98634064960116785</v>
      </c>
      <c r="U155" s="6">
        <f t="shared" ca="1" si="64"/>
        <v>0.95753618787326644</v>
      </c>
      <c r="V155">
        <f t="shared" ca="1" si="65"/>
        <v>0.99575754933303628</v>
      </c>
      <c r="W155">
        <v>0.96403249800167368</v>
      </c>
      <c r="X155" t="b">
        <f t="shared" ca="1" si="66"/>
        <v>1</v>
      </c>
      <c r="AS155">
        <v>0.55843526136443644</v>
      </c>
      <c r="AT155">
        <v>999</v>
      </c>
      <c r="AU155">
        <v>999</v>
      </c>
      <c r="AV155">
        <v>-3.134681918740891</v>
      </c>
      <c r="AW155">
        <v>4.7628134367313999</v>
      </c>
      <c r="AX155">
        <v>999</v>
      </c>
      <c r="AY155">
        <v>999</v>
      </c>
      <c r="AZ155">
        <v>999</v>
      </c>
      <c r="BA155">
        <v>999</v>
      </c>
      <c r="BB155">
        <v>999</v>
      </c>
      <c r="BC155">
        <v>-7.8760570079116237</v>
      </c>
      <c r="BD155">
        <v>5.9701894054575311</v>
      </c>
      <c r="BE155">
        <v>999</v>
      </c>
      <c r="BF155">
        <v>-4.1605297564151105</v>
      </c>
      <c r="BJ155" t="b">
        <f t="shared" si="47"/>
        <v>1</v>
      </c>
      <c r="BK155" t="b">
        <f t="shared" ca="1" si="48"/>
        <v>1</v>
      </c>
    </row>
    <row r="156" spans="1:63" x14ac:dyDescent="0.45">
      <c r="A156" s="1">
        <v>45012</v>
      </c>
      <c r="B156">
        <v>191.81</v>
      </c>
      <c r="C156" s="1">
        <v>45012</v>
      </c>
      <c r="D156">
        <v>396.49</v>
      </c>
      <c r="E156" s="4">
        <f t="shared" si="49"/>
        <v>7.3525550128670011E-3</v>
      </c>
      <c r="F156" s="4">
        <f t="shared" si="50"/>
        <v>1.8698673404927582E-3</v>
      </c>
      <c r="G156">
        <f t="shared" ca="1" si="51"/>
        <v>-3.2958475511280015E-4</v>
      </c>
      <c r="H156">
        <f t="shared" ca="1" si="52"/>
        <v>4.0760426875425033E-2</v>
      </c>
      <c r="I156">
        <f t="shared" ca="1" si="53"/>
        <v>-1.5080040355722852E-2</v>
      </c>
      <c r="J156">
        <f t="shared" ca="1" si="54"/>
        <v>0.43474227912525176</v>
      </c>
      <c r="K156">
        <f t="shared" ca="1" si="55"/>
        <v>1.0908840197089082</v>
      </c>
      <c r="L156">
        <f t="shared" ca="1" si="56"/>
        <v>0.90666160717530198</v>
      </c>
      <c r="M156">
        <f t="shared" ca="1" si="57"/>
        <v>-8.1862474881232682E-5</v>
      </c>
      <c r="N156">
        <f t="shared" ca="1" si="58"/>
        <v>1.4221617528555877E-2</v>
      </c>
      <c r="O156">
        <f t="shared" ca="1" si="59"/>
        <v>0.16375556961176541</v>
      </c>
      <c r="P156">
        <f t="shared" ca="1" si="60"/>
        <v>0.87801192862639921</v>
      </c>
      <c r="Q156">
        <f t="shared" ca="1" si="61"/>
        <v>1.1601740413682315</v>
      </c>
      <c r="R156">
        <f t="shared" ca="1" si="62"/>
        <v>1.1359729506328027</v>
      </c>
      <c r="T156">
        <f t="shared" si="63"/>
        <v>1.007352555012867</v>
      </c>
      <c r="U156" s="6">
        <f t="shared" ca="1" si="64"/>
        <v>1.0467121418826741</v>
      </c>
      <c r="V156">
        <f t="shared" ca="1" si="65"/>
        <v>0.99395938321911947</v>
      </c>
      <c r="W156">
        <v>0.96831316021124314</v>
      </c>
      <c r="X156" t="b">
        <f t="shared" ca="1" si="66"/>
        <v>0</v>
      </c>
      <c r="AS156">
        <v>0.54632677029354093</v>
      </c>
      <c r="AT156">
        <v>999</v>
      </c>
      <c r="AU156">
        <v>999</v>
      </c>
      <c r="AV156">
        <v>-4.2297314856305936</v>
      </c>
      <c r="AW156">
        <v>4.5055251142815518</v>
      </c>
      <c r="AX156">
        <v>999</v>
      </c>
      <c r="AY156">
        <v>999</v>
      </c>
      <c r="AZ156">
        <v>999</v>
      </c>
      <c r="BA156">
        <v>999</v>
      </c>
      <c r="BB156">
        <v>999</v>
      </c>
      <c r="BC156">
        <v>999</v>
      </c>
      <c r="BD156">
        <v>6.7971167876370391</v>
      </c>
      <c r="BE156">
        <v>-7.7022416307149548</v>
      </c>
      <c r="BF156">
        <v>-4.714597902054833</v>
      </c>
      <c r="BJ156" t="b">
        <f t="shared" si="47"/>
        <v>1</v>
      </c>
      <c r="BK156" t="b">
        <f t="shared" ca="1" si="48"/>
        <v>0</v>
      </c>
    </row>
    <row r="157" spans="1:63" x14ac:dyDescent="0.45">
      <c r="A157" s="1">
        <v>45009</v>
      </c>
      <c r="B157">
        <v>190.41</v>
      </c>
      <c r="C157" s="1">
        <v>45009</v>
      </c>
      <c r="D157">
        <v>395.75</v>
      </c>
      <c r="E157" s="4">
        <f t="shared" si="49"/>
        <v>-9.416293829986485E-3</v>
      </c>
      <c r="F157" s="4">
        <f t="shared" si="50"/>
        <v>6.5620469517002414E-3</v>
      </c>
      <c r="G157">
        <f t="shared" ca="1" si="51"/>
        <v>-3.039749439752911E-4</v>
      </c>
      <c r="H157">
        <f t="shared" ca="1" si="52"/>
        <v>4.0766886379967456E-2</v>
      </c>
      <c r="I157">
        <f t="shared" ca="1" si="53"/>
        <v>-1.685321249560847E-2</v>
      </c>
      <c r="J157">
        <f t="shared" ca="1" si="54"/>
        <v>0.43262149795029314</v>
      </c>
      <c r="K157">
        <f t="shared" ca="1" si="55"/>
        <v>1.0908840197089082</v>
      </c>
      <c r="L157">
        <f t="shared" ca="1" si="56"/>
        <v>0.90666160717530198</v>
      </c>
      <c r="M157">
        <f t="shared" ca="1" si="57"/>
        <v>-1.4557271022226835E-4</v>
      </c>
      <c r="N157">
        <f t="shared" ca="1" si="58"/>
        <v>1.4241357516546349E-2</v>
      </c>
      <c r="O157">
        <f t="shared" ca="1" si="59"/>
        <v>0.17441117461850666</v>
      </c>
      <c r="P157">
        <f t="shared" ca="1" si="60"/>
        <v>0.86106763708273482</v>
      </c>
      <c r="Q157">
        <f t="shared" ca="1" si="61"/>
        <v>1.1601740413682315</v>
      </c>
      <c r="R157">
        <f t="shared" ca="1" si="62"/>
        <v>1.1142298240221209</v>
      </c>
      <c r="T157">
        <f t="shared" si="63"/>
        <v>0.99058370617001357</v>
      </c>
      <c r="U157" s="6">
        <f t="shared" ca="1" si="64"/>
        <v>1.0570698939654695</v>
      </c>
      <c r="V157">
        <f t="shared" ca="1" si="65"/>
        <v>1.0220881364969752</v>
      </c>
      <c r="W157">
        <v>0.97054538209223518</v>
      </c>
      <c r="X157" t="b">
        <f t="shared" ca="1" si="66"/>
        <v>0</v>
      </c>
      <c r="AS157">
        <v>0.54631478507904141</v>
      </c>
      <c r="AT157">
        <v>999</v>
      </c>
      <c r="AU157">
        <v>999</v>
      </c>
      <c r="AV157">
        <v>-3.1478680431945953</v>
      </c>
      <c r="AW157">
        <v>4.3690910155037121</v>
      </c>
      <c r="AX157">
        <v>999</v>
      </c>
      <c r="AY157">
        <v>999</v>
      </c>
      <c r="AZ157">
        <v>999</v>
      </c>
      <c r="BA157">
        <v>999</v>
      </c>
      <c r="BB157">
        <v>999</v>
      </c>
      <c r="BC157">
        <v>-7.6686750824074101</v>
      </c>
      <c r="BD157">
        <v>6.0241204521270459</v>
      </c>
      <c r="BE157">
        <v>999</v>
      </c>
      <c r="BF157">
        <v>-4.2295878997345362</v>
      </c>
      <c r="BJ157" t="b">
        <f t="shared" si="47"/>
        <v>1</v>
      </c>
      <c r="BK157" t="b">
        <f t="shared" ca="1" si="48"/>
        <v>0</v>
      </c>
    </row>
    <row r="158" spans="1:63" x14ac:dyDescent="0.45">
      <c r="A158" s="1">
        <v>45008</v>
      </c>
      <c r="B158">
        <v>192.22</v>
      </c>
      <c r="C158" s="1">
        <v>45008</v>
      </c>
      <c r="D158">
        <v>393.17</v>
      </c>
      <c r="E158" s="4">
        <f t="shared" si="49"/>
        <v>5.5976981428197395E-3</v>
      </c>
      <c r="F158" s="4">
        <f t="shared" si="50"/>
        <v>2.7033230471041345E-3</v>
      </c>
      <c r="G158">
        <f t="shared" ca="1" si="51"/>
        <v>-2.4415635882737334E-4</v>
      </c>
      <c r="H158">
        <f t="shared" ca="1" si="52"/>
        <v>4.0762225496716327E-2</v>
      </c>
      <c r="I158">
        <f t="shared" ca="1" si="53"/>
        <v>-2.1247525745647013E-2</v>
      </c>
      <c r="J158">
        <f t="shared" ca="1" si="54"/>
        <v>0.43431381770842092</v>
      </c>
      <c r="K158">
        <f t="shared" ca="1" si="55"/>
        <v>1.0908840197089082</v>
      </c>
      <c r="L158">
        <f t="shared" ca="1" si="56"/>
        <v>0.90666160717530198</v>
      </c>
      <c r="M158">
        <f t="shared" ca="1" si="57"/>
        <v>-1.3042160546305418E-4</v>
      </c>
      <c r="N158">
        <f t="shared" ca="1" si="58"/>
        <v>1.4250138672691945E-2</v>
      </c>
      <c r="O158">
        <f t="shared" ca="1" si="59"/>
        <v>0.17195741207862822</v>
      </c>
      <c r="P158">
        <f t="shared" ca="1" si="60"/>
        <v>0.85156866101167994</v>
      </c>
      <c r="Q158">
        <f t="shared" ca="1" si="61"/>
        <v>1.1601740413682315</v>
      </c>
      <c r="R158">
        <f t="shared" ca="1" si="62"/>
        <v>1.1142298240221209</v>
      </c>
      <c r="T158">
        <f t="shared" si="63"/>
        <v>1.0055976981428196</v>
      </c>
      <c r="U158" s="6">
        <f t="shared" ca="1" si="64"/>
        <v>1.0439363493184164</v>
      </c>
      <c r="V158">
        <f t="shared" ca="1" si="65"/>
        <v>1.019085062447036</v>
      </c>
      <c r="W158">
        <v>0.95997501672009555</v>
      </c>
      <c r="X158" t="b">
        <f t="shared" ca="1" si="66"/>
        <v>0</v>
      </c>
      <c r="AS158">
        <v>0.54393781039003319</v>
      </c>
      <c r="AT158">
        <v>999</v>
      </c>
      <c r="AU158">
        <v>999</v>
      </c>
      <c r="AV158">
        <v>-4.280732432177806</v>
      </c>
      <c r="AW158">
        <v>4.2400546955719944</v>
      </c>
      <c r="AX158">
        <v>999</v>
      </c>
      <c r="AY158">
        <v>999</v>
      </c>
      <c r="AZ158">
        <v>999</v>
      </c>
      <c r="BA158">
        <v>999</v>
      </c>
      <c r="BB158">
        <v>999</v>
      </c>
      <c r="BC158">
        <v>999</v>
      </c>
      <c r="BD158">
        <v>6.9404803990821549</v>
      </c>
      <c r="BE158">
        <v>-7.7164016624918288</v>
      </c>
      <c r="BF158">
        <v>-4.859096339300895</v>
      </c>
      <c r="BJ158" t="b">
        <f t="shared" si="47"/>
        <v>1</v>
      </c>
      <c r="BK158" t="b">
        <f t="shared" ca="1" si="48"/>
        <v>0</v>
      </c>
    </row>
    <row r="159" spans="1:63" x14ac:dyDescent="0.45">
      <c r="A159" s="1">
        <v>45007</v>
      </c>
      <c r="B159">
        <v>191.15</v>
      </c>
      <c r="C159" s="1">
        <v>45007</v>
      </c>
      <c r="D159">
        <v>392.11</v>
      </c>
      <c r="E159" s="4">
        <f t="shared" si="49"/>
        <v>-3.2543779734791001E-2</v>
      </c>
      <c r="F159" s="4">
        <f t="shared" si="50"/>
        <v>-1.7046451580557044E-2</v>
      </c>
      <c r="G159">
        <f t="shared" ca="1" si="51"/>
        <v>-1.9191612411858093E-4</v>
      </c>
      <c r="H159">
        <f t="shared" ca="1" si="52"/>
        <v>4.0776442496917413E-2</v>
      </c>
      <c r="I159">
        <f t="shared" ca="1" si="53"/>
        <v>-2.4798849499218928E-2</v>
      </c>
      <c r="J159">
        <f t="shared" ca="1" si="54"/>
        <v>0.42971218350713825</v>
      </c>
      <c r="K159">
        <f t="shared" ca="1" si="55"/>
        <v>1.0908840197089082</v>
      </c>
      <c r="L159">
        <f t="shared" ca="1" si="56"/>
        <v>0.90666160717530198</v>
      </c>
      <c r="M159">
        <f t="shared" ca="1" si="57"/>
        <v>-1.2871436918593311E-4</v>
      </c>
      <c r="N159">
        <f t="shared" ca="1" si="58"/>
        <v>1.4250500324102992E-2</v>
      </c>
      <c r="O159">
        <f t="shared" ca="1" si="59"/>
        <v>0.17159752023284322</v>
      </c>
      <c r="P159">
        <f t="shared" ca="1" si="60"/>
        <v>0.85109372526427185</v>
      </c>
      <c r="Q159">
        <f t="shared" ca="1" si="61"/>
        <v>1.1601740413682315</v>
      </c>
      <c r="R159">
        <f t="shared" ca="1" si="62"/>
        <v>1.1142298240221209</v>
      </c>
      <c r="T159">
        <f t="shared" si="63"/>
        <v>0.96745622026520905</v>
      </c>
      <c r="U159" s="6">
        <f t="shared" ca="1" si="64"/>
        <v>1.0592962039346081</v>
      </c>
      <c r="V159">
        <f t="shared" ca="1" si="65"/>
        <v>0.99857798132349462</v>
      </c>
      <c r="W159">
        <v>0.98384873001083228</v>
      </c>
      <c r="X159" t="b">
        <f t="shared" ca="1" si="66"/>
        <v>0</v>
      </c>
      <c r="AS159">
        <v>0.54739859134593816</v>
      </c>
      <c r="AT159">
        <v>999</v>
      </c>
      <c r="AU159">
        <v>999</v>
      </c>
      <c r="AV159">
        <v>-4.1177372976191036</v>
      </c>
      <c r="AW159">
        <v>3.9489416111202096</v>
      </c>
      <c r="AX159">
        <v>999</v>
      </c>
      <c r="AY159">
        <v>999</v>
      </c>
      <c r="AZ159">
        <v>999</v>
      </c>
      <c r="BA159">
        <v>999</v>
      </c>
      <c r="BB159">
        <v>999</v>
      </c>
      <c r="BC159">
        <v>999</v>
      </c>
      <c r="BD159">
        <v>6.9010683236383938</v>
      </c>
      <c r="BE159">
        <v>-7.7938256889165807</v>
      </c>
      <c r="BF159">
        <v>-4.8314228551402802</v>
      </c>
      <c r="BJ159" t="b">
        <f t="shared" si="47"/>
        <v>1</v>
      </c>
      <c r="BK159" t="b">
        <f t="shared" ca="1" si="48"/>
        <v>0</v>
      </c>
    </row>
    <row r="160" spans="1:63" x14ac:dyDescent="0.45">
      <c r="A160" s="1">
        <v>45006</v>
      </c>
      <c r="B160">
        <v>197.58</v>
      </c>
      <c r="C160" s="1">
        <v>45006</v>
      </c>
      <c r="D160">
        <v>398.91</v>
      </c>
      <c r="E160" s="4">
        <f t="shared" si="49"/>
        <v>7.8199181446111932E-2</v>
      </c>
      <c r="F160" s="4">
        <f t="shared" si="50"/>
        <v>1.3130492202976624E-2</v>
      </c>
      <c r="G160">
        <f t="shared" ca="1" si="51"/>
        <v>-4.9015265893550891E-4</v>
      </c>
      <c r="H160">
        <f t="shared" ca="1" si="52"/>
        <v>4.1229858769673E-2</v>
      </c>
      <c r="I160">
        <f t="shared" ca="1" si="53"/>
        <v>-5.6010598363328189E-2</v>
      </c>
      <c r="J160">
        <f t="shared" ca="1" si="54"/>
        <v>0.40378183914635768</v>
      </c>
      <c r="K160">
        <f t="shared" ca="1" si="55"/>
        <v>1.0846641271248065</v>
      </c>
      <c r="L160">
        <f t="shared" ca="1" si="56"/>
        <v>0.90666160717530198</v>
      </c>
      <c r="M160">
        <f t="shared" ca="1" si="57"/>
        <v>-1.2553965937965226E-4</v>
      </c>
      <c r="N160">
        <f t="shared" ca="1" si="58"/>
        <v>1.4246782712011788E-2</v>
      </c>
      <c r="O160">
        <f t="shared" ca="1" si="59"/>
        <v>0.17197813293658432</v>
      </c>
      <c r="P160">
        <f t="shared" ca="1" si="60"/>
        <v>0.85354497547743735</v>
      </c>
      <c r="Q160">
        <f t="shared" ca="1" si="61"/>
        <v>1.1601740413682315</v>
      </c>
      <c r="R160">
        <f t="shared" ca="1" si="62"/>
        <v>1.1142298240221209</v>
      </c>
      <c r="T160">
        <f t="shared" si="63"/>
        <v>1.078199181446112</v>
      </c>
      <c r="U160" s="6">
        <f t="shared" ca="1" si="64"/>
        <v>1.0781403470479105</v>
      </c>
      <c r="V160">
        <f t="shared" ca="1" si="65"/>
        <v>0.96611958013995458</v>
      </c>
      <c r="W160">
        <v>0.97541845364407331</v>
      </c>
      <c r="X160" t="b">
        <f t="shared" ca="1" si="66"/>
        <v>0</v>
      </c>
      <c r="AS160">
        <v>0.55165840802154209</v>
      </c>
      <c r="AT160">
        <v>999</v>
      </c>
      <c r="AU160">
        <v>999</v>
      </c>
      <c r="AV160">
        <v>-3.7688879654768996</v>
      </c>
      <c r="AW160">
        <v>3.4803988523309135</v>
      </c>
      <c r="AX160">
        <v>999</v>
      </c>
      <c r="AY160">
        <v>999</v>
      </c>
      <c r="AZ160">
        <v>999</v>
      </c>
      <c r="BA160">
        <v>999</v>
      </c>
      <c r="BB160">
        <v>999</v>
      </c>
      <c r="BC160">
        <v>999</v>
      </c>
      <c r="BD160">
        <v>6.7471744051173159</v>
      </c>
      <c r="BE160">
        <v>-7.9395021968009729</v>
      </c>
      <c r="BF160">
        <v>-4.6985919410181918</v>
      </c>
      <c r="BJ160" t="b">
        <f t="shared" si="47"/>
        <v>1</v>
      </c>
      <c r="BK160" t="b">
        <f t="shared" ca="1" si="48"/>
        <v>0</v>
      </c>
    </row>
    <row r="161" spans="1:63" x14ac:dyDescent="0.45">
      <c r="A161" s="1">
        <v>45005</v>
      </c>
      <c r="B161">
        <v>183.25</v>
      </c>
      <c r="C161" s="1">
        <v>45005</v>
      </c>
      <c r="D161">
        <v>393.74</v>
      </c>
      <c r="E161" s="4">
        <f t="shared" si="49"/>
        <v>1.7320823849442096E-2</v>
      </c>
      <c r="F161" s="4">
        <f t="shared" si="50"/>
        <v>9.61563117003E-3</v>
      </c>
      <c r="G161">
        <f t="shared" ca="1" si="51"/>
        <v>-6.4728576783550399E-4</v>
      </c>
      <c r="H161">
        <f t="shared" ca="1" si="52"/>
        <v>4.0987629221517045E-2</v>
      </c>
      <c r="I161">
        <f t="shared" ca="1" si="53"/>
        <v>-7.3527023014349047E-2</v>
      </c>
      <c r="J161">
        <f t="shared" ca="1" si="54"/>
        <v>0.42361218787545596</v>
      </c>
      <c r="K161">
        <f t="shared" ca="1" si="55"/>
        <v>1.079501093145032</v>
      </c>
      <c r="L161">
        <f t="shared" ca="1" si="56"/>
        <v>0.90666160717530198</v>
      </c>
      <c r="M161">
        <f t="shared" ca="1" si="57"/>
        <v>-9.5974952006634888E-5</v>
      </c>
      <c r="N161">
        <f t="shared" ca="1" si="58"/>
        <v>1.4280524928538126E-2</v>
      </c>
      <c r="O161">
        <f t="shared" ca="1" si="59"/>
        <v>0.17270495690691279</v>
      </c>
      <c r="P161">
        <f t="shared" ca="1" si="60"/>
        <v>0.82830469250122496</v>
      </c>
      <c r="Q161">
        <f t="shared" ca="1" si="61"/>
        <v>1.1601740413682315</v>
      </c>
      <c r="R161">
        <f t="shared" ca="1" si="62"/>
        <v>1.1142298240221209</v>
      </c>
      <c r="T161">
        <f t="shared" si="63"/>
        <v>1.017320823849442</v>
      </c>
      <c r="U161" s="6">
        <f t="shared" ca="1" si="64"/>
        <v>1.0502636405318662</v>
      </c>
      <c r="V161">
        <f t="shared" ca="1" si="65"/>
        <v>0.97364854282033264</v>
      </c>
      <c r="W161">
        <v>0.95253123314088661</v>
      </c>
      <c r="X161" t="b">
        <f t="shared" ca="1" si="66"/>
        <v>0</v>
      </c>
      <c r="AS161">
        <v>0.55442896764605254</v>
      </c>
      <c r="AT161">
        <v>999</v>
      </c>
      <c r="AU161">
        <v>999</v>
      </c>
      <c r="AV161">
        <v>-3.3493775767415208</v>
      </c>
      <c r="AW161">
        <v>2.9851373451323062</v>
      </c>
      <c r="AX161">
        <v>999</v>
      </c>
      <c r="AY161">
        <v>999</v>
      </c>
      <c r="AZ161">
        <v>999</v>
      </c>
      <c r="BA161">
        <v>999</v>
      </c>
      <c r="BB161">
        <v>999</v>
      </c>
      <c r="BC161">
        <v>999</v>
      </c>
      <c r="BD161">
        <v>6.4938473135758592</v>
      </c>
      <c r="BE161">
        <v>-8.0678963436302027</v>
      </c>
      <c r="BF161">
        <v>-4.4712828046637743</v>
      </c>
      <c r="BJ161" t="b">
        <f t="shared" si="47"/>
        <v>1</v>
      </c>
      <c r="BK161" t="b">
        <f t="shared" ca="1" si="48"/>
        <v>0</v>
      </c>
    </row>
    <row r="162" spans="1:63" x14ac:dyDescent="0.45">
      <c r="A162" s="1">
        <v>45002</v>
      </c>
      <c r="B162">
        <v>180.13</v>
      </c>
      <c r="C162" s="1">
        <v>45002</v>
      </c>
      <c r="D162">
        <v>389.99</v>
      </c>
      <c r="E162" s="4">
        <f t="shared" si="49"/>
        <v>-2.1723782110465432E-2</v>
      </c>
      <c r="F162" s="4">
        <f t="shared" si="50"/>
        <v>-1.5450253717401743E-2</v>
      </c>
      <c r="G162">
        <f t="shared" ca="1" si="51"/>
        <v>-8.518509004040196E-4</v>
      </c>
      <c r="H162">
        <f t="shared" ca="1" si="52"/>
        <v>4.0999596208355034E-2</v>
      </c>
      <c r="I162">
        <f t="shared" ca="1" si="53"/>
        <v>-5.9659934603787157E-2</v>
      </c>
      <c r="J162">
        <f t="shared" ca="1" si="54"/>
        <v>0.41851155569732068</v>
      </c>
      <c r="K162">
        <f t="shared" ca="1" si="55"/>
        <v>1.079501093145032</v>
      </c>
      <c r="L162">
        <f t="shared" ca="1" si="56"/>
        <v>0.90666160717530198</v>
      </c>
      <c r="M162">
        <f t="shared" ca="1" si="57"/>
        <v>-1.844957979011026E-4</v>
      </c>
      <c r="N162">
        <f t="shared" ca="1" si="58"/>
        <v>1.4274893382875811E-2</v>
      </c>
      <c r="O162">
        <f t="shared" ca="1" si="59"/>
        <v>0.18921178721413406</v>
      </c>
      <c r="P162">
        <f t="shared" ca="1" si="60"/>
        <v>0.83837203644836888</v>
      </c>
      <c r="Q162">
        <f t="shared" ca="1" si="61"/>
        <v>1.1601740413682315</v>
      </c>
      <c r="R162">
        <f t="shared" ca="1" si="62"/>
        <v>1.1142298240221209</v>
      </c>
      <c r="T162">
        <f t="shared" si="63"/>
        <v>0.97827621788953456</v>
      </c>
      <c r="U162" s="6">
        <f t="shared" ca="1" si="64"/>
        <v>1.0385724169741697</v>
      </c>
      <c r="V162">
        <f t="shared" ca="1" si="65"/>
        <v>1.0228855441642004</v>
      </c>
      <c r="W162">
        <v>0.9926552115205336</v>
      </c>
      <c r="X162" t="b">
        <f t="shared" ca="1" si="66"/>
        <v>0</v>
      </c>
      <c r="AS162">
        <v>0.55515637471537971</v>
      </c>
      <c r="AT162">
        <v>999</v>
      </c>
      <c r="AU162">
        <v>999</v>
      </c>
      <c r="AV162">
        <v>-2.9993100569643119</v>
      </c>
      <c r="AW162">
        <v>2.5567591632018618</v>
      </c>
      <c r="AX162">
        <v>999</v>
      </c>
      <c r="AY162">
        <v>999</v>
      </c>
      <c r="AZ162">
        <v>999</v>
      </c>
      <c r="BA162">
        <v>999</v>
      </c>
      <c r="BB162">
        <v>999</v>
      </c>
      <c r="BC162">
        <v>999</v>
      </c>
      <c r="BD162">
        <v>6.2103828377338717</v>
      </c>
      <c r="BE162">
        <v>-8.088918137164649</v>
      </c>
      <c r="BF162">
        <v>-4.2808069507893647</v>
      </c>
      <c r="BJ162" t="b">
        <f t="shared" si="47"/>
        <v>1</v>
      </c>
      <c r="BK162" t="b">
        <f t="shared" ca="1" si="48"/>
        <v>0</v>
      </c>
    </row>
    <row r="163" spans="1:63" x14ac:dyDescent="0.45">
      <c r="A163" s="1">
        <v>45001</v>
      </c>
      <c r="B163">
        <v>184.13</v>
      </c>
      <c r="C163" s="1">
        <v>45001</v>
      </c>
      <c r="D163">
        <v>396.11</v>
      </c>
      <c r="E163" s="4">
        <f t="shared" si="49"/>
        <v>2.0393460792463326E-2</v>
      </c>
      <c r="F163" s="4">
        <f t="shared" si="50"/>
        <v>1.7545211672832E-2</v>
      </c>
      <c r="G163">
        <f t="shared" ca="1" si="51"/>
        <v>-7.5225612002032818E-4</v>
      </c>
      <c r="H163">
        <f t="shared" ca="1" si="52"/>
        <v>4.097282453872176E-2</v>
      </c>
      <c r="I163">
        <f t="shared" ca="1" si="53"/>
        <v>-6.647196690694776E-2</v>
      </c>
      <c r="J163">
        <f t="shared" ca="1" si="54"/>
        <v>0.42784881836339217</v>
      </c>
      <c r="K163">
        <f t="shared" ca="1" si="55"/>
        <v>1.079501093145032</v>
      </c>
      <c r="L163">
        <f t="shared" ca="1" si="56"/>
        <v>0.90666160717530198</v>
      </c>
      <c r="M163">
        <f t="shared" ca="1" si="57"/>
        <v>-1.3529924202420314E-4</v>
      </c>
      <c r="N163">
        <f t="shared" ca="1" si="58"/>
        <v>1.4238927204061471E-2</v>
      </c>
      <c r="O163">
        <f t="shared" ca="1" si="59"/>
        <v>0.18615340279131193</v>
      </c>
      <c r="P163">
        <f t="shared" ca="1" si="60"/>
        <v>0.86833292560262842</v>
      </c>
      <c r="Q163">
        <f t="shared" ca="1" si="61"/>
        <v>1.1601740413682315</v>
      </c>
      <c r="R163">
        <f t="shared" ca="1" si="62"/>
        <v>1.1359729506328027</v>
      </c>
      <c r="T163">
        <f t="shared" si="63"/>
        <v>1.0203934607924634</v>
      </c>
      <c r="U163" s="6">
        <f t="shared" ca="1" si="64"/>
        <v>1.0648276659727043</v>
      </c>
      <c r="V163">
        <f t="shared" ca="1" si="65"/>
        <v>1.0002430015987995</v>
      </c>
      <c r="W163">
        <v>0.96179537025856332</v>
      </c>
      <c r="X163" t="b">
        <f t="shared" ca="1" si="66"/>
        <v>0</v>
      </c>
      <c r="AS163">
        <v>0.56118170772355835</v>
      </c>
      <c r="AT163">
        <v>999</v>
      </c>
      <c r="AU163">
        <v>999</v>
      </c>
      <c r="AV163">
        <v>-2.5465014967763588</v>
      </c>
      <c r="AW163">
        <v>2.0445054565504241</v>
      </c>
      <c r="AX163">
        <v>999</v>
      </c>
      <c r="AY163">
        <v>999</v>
      </c>
      <c r="AZ163">
        <v>999</v>
      </c>
      <c r="BA163">
        <v>999</v>
      </c>
      <c r="BB163">
        <v>999</v>
      </c>
      <c r="BC163">
        <v>999</v>
      </c>
      <c r="BD163">
        <v>5.8551766775449883</v>
      </c>
      <c r="BE163">
        <v>-8.2500265308703753</v>
      </c>
      <c r="BF163">
        <v>-4.0007059380975294</v>
      </c>
      <c r="BJ163" t="b">
        <f t="shared" si="47"/>
        <v>1</v>
      </c>
      <c r="BK163" t="b">
        <f t="shared" ca="1" si="48"/>
        <v>0</v>
      </c>
    </row>
    <row r="164" spans="1:63" x14ac:dyDescent="0.45">
      <c r="A164" s="1">
        <v>45000</v>
      </c>
      <c r="B164">
        <v>180.45</v>
      </c>
      <c r="C164" s="1">
        <v>45000</v>
      </c>
      <c r="D164">
        <v>389.28</v>
      </c>
      <c r="E164" s="4">
        <f t="shared" si="49"/>
        <v>-1.5333406089708623E-2</v>
      </c>
      <c r="F164" s="4">
        <f t="shared" si="50"/>
        <v>-6.2543078140557149E-3</v>
      </c>
      <c r="G164">
        <f t="shared" ca="1" si="51"/>
        <v>-4.8755817028420001E-4</v>
      </c>
      <c r="H164">
        <f t="shared" ca="1" si="52"/>
        <v>4.1279971668734351E-2</v>
      </c>
      <c r="I164">
        <f t="shared" ca="1" si="53"/>
        <v>-5.5770840694965247E-2</v>
      </c>
      <c r="J164">
        <f t="shared" ca="1" si="54"/>
        <v>0.38019226549528673</v>
      </c>
      <c r="K164">
        <f t="shared" ca="1" si="55"/>
        <v>1.079501093145032</v>
      </c>
      <c r="L164">
        <f t="shared" ca="1" si="56"/>
        <v>0.92071373642900012</v>
      </c>
      <c r="M164">
        <f t="shared" ca="1" si="57"/>
        <v>-1.0027974760160735E-4</v>
      </c>
      <c r="N164">
        <f t="shared" ca="1" si="58"/>
        <v>1.4291146516863418E-2</v>
      </c>
      <c r="O164">
        <f t="shared" ca="1" si="59"/>
        <v>0.19323955222295081</v>
      </c>
      <c r="P164">
        <f t="shared" ca="1" si="60"/>
        <v>0.84343176441272893</v>
      </c>
      <c r="Q164">
        <f t="shared" ca="1" si="61"/>
        <v>1.1713853975667008</v>
      </c>
      <c r="R164">
        <f t="shared" ca="1" si="62"/>
        <v>1.1359729506328027</v>
      </c>
      <c r="T164">
        <f t="shared" si="63"/>
        <v>0.98466659391029143</v>
      </c>
      <c r="U164" s="6">
        <f t="shared" ca="1" si="64"/>
        <v>0.99148351648351629</v>
      </c>
      <c r="V164">
        <f t="shared" ca="1" si="65"/>
        <v>1.0181794400667297</v>
      </c>
      <c r="W164">
        <v>0.90000400821779736</v>
      </c>
      <c r="X164" t="b">
        <f t="shared" ca="1" si="66"/>
        <v>1</v>
      </c>
      <c r="AS164">
        <v>0.54731033249088989</v>
      </c>
      <c r="AT164">
        <v>999</v>
      </c>
      <c r="AU164">
        <v>999</v>
      </c>
      <c r="AV164">
        <v>-2.5116518340862308</v>
      </c>
      <c r="AW164">
        <v>999</v>
      </c>
      <c r="AX164">
        <v>999</v>
      </c>
      <c r="AY164">
        <v>999</v>
      </c>
      <c r="AZ164">
        <v>999</v>
      </c>
      <c r="BA164">
        <v>999</v>
      </c>
      <c r="BB164">
        <v>999</v>
      </c>
      <c r="BC164">
        <v>999</v>
      </c>
      <c r="BD164">
        <v>6.5167628392127979</v>
      </c>
      <c r="BE164">
        <v>-8.0697725940506135</v>
      </c>
      <c r="BF164">
        <v>-3.6270605380805465</v>
      </c>
      <c r="BJ164" t="b">
        <f t="shared" si="47"/>
        <v>1</v>
      </c>
      <c r="BK164" t="b">
        <f t="shared" ca="1" si="48"/>
        <v>1</v>
      </c>
    </row>
    <row r="165" spans="1:63" x14ac:dyDescent="0.45">
      <c r="A165" s="1">
        <v>44999</v>
      </c>
      <c r="B165">
        <v>183.26</v>
      </c>
      <c r="C165" s="1">
        <v>44999</v>
      </c>
      <c r="D165">
        <v>391.73</v>
      </c>
      <c r="E165" s="4">
        <f t="shared" si="49"/>
        <v>5.0320953690967458E-2</v>
      </c>
      <c r="F165" s="4">
        <f t="shared" si="50"/>
        <v>1.6529997924019109E-2</v>
      </c>
      <c r="G165">
        <f t="shared" ca="1" si="51"/>
        <v>-3.9534127085201206E-5</v>
      </c>
      <c r="H165">
        <f t="shared" ca="1" si="52"/>
        <v>4.1603025476581797E-2</v>
      </c>
      <c r="I165">
        <f t="shared" ca="1" si="53"/>
        <v>-5.7432914292116354E-2</v>
      </c>
      <c r="J165">
        <f t="shared" ca="1" si="54"/>
        <v>0.33073633792507007</v>
      </c>
      <c r="K165">
        <f t="shared" ca="1" si="55"/>
        <v>1.0840873417881134</v>
      </c>
      <c r="L165">
        <f t="shared" ca="1" si="56"/>
        <v>0.95359552590045371</v>
      </c>
      <c r="M165">
        <f t="shared" ca="1" si="57"/>
        <v>3.0898679255871949E-5</v>
      </c>
      <c r="N165">
        <f t="shared" ca="1" si="58"/>
        <v>1.4354642452391648E-2</v>
      </c>
      <c r="O165">
        <f t="shared" ca="1" si="59"/>
        <v>0.17729102539187414</v>
      </c>
      <c r="P165">
        <f t="shared" ca="1" si="60"/>
        <v>0.78760675367323785</v>
      </c>
      <c r="Q165">
        <f t="shared" ca="1" si="61"/>
        <v>1.1713853975667008</v>
      </c>
      <c r="R165">
        <f t="shared" ca="1" si="62"/>
        <v>1.1579951851007289</v>
      </c>
      <c r="T165">
        <f t="shared" si="63"/>
        <v>1.0503209536909675</v>
      </c>
      <c r="U165" s="6">
        <f t="shared" ca="1" si="64"/>
        <v>0.97629321826221283</v>
      </c>
      <c r="V165">
        <f t="shared" ca="1" si="65"/>
        <v>1.0111603995772582</v>
      </c>
      <c r="W165">
        <v>0.74523236406568283</v>
      </c>
      <c r="X165" t="b">
        <f t="shared" ca="1" si="66"/>
        <v>1</v>
      </c>
      <c r="AS165">
        <v>0.60904473474477994</v>
      </c>
      <c r="AT165">
        <v>999</v>
      </c>
      <c r="AU165">
        <v>-3.0468633103025304</v>
      </c>
      <c r="AV165">
        <v>999</v>
      </c>
      <c r="AW165">
        <v>999</v>
      </c>
      <c r="AX165">
        <v>-2.7600935849175094</v>
      </c>
      <c r="AY165">
        <v>999</v>
      </c>
      <c r="AZ165">
        <v>-2.6736722666437136</v>
      </c>
      <c r="BA165">
        <v>-2.6853347224056678</v>
      </c>
      <c r="BB165">
        <v>-3.3844903951605572</v>
      </c>
      <c r="BC165">
        <v>999</v>
      </c>
      <c r="BD165">
        <v>8.9708159410724413</v>
      </c>
      <c r="BE165">
        <v>999</v>
      </c>
      <c r="BF165">
        <v>2.0357330157576112</v>
      </c>
      <c r="BJ165" t="b">
        <f t="shared" si="47"/>
        <v>1</v>
      </c>
      <c r="BK165" t="b">
        <f t="shared" ca="1" si="48"/>
        <v>1</v>
      </c>
    </row>
    <row r="166" spans="1:63" x14ac:dyDescent="0.45">
      <c r="A166" s="1">
        <v>44998</v>
      </c>
      <c r="B166">
        <v>174.48</v>
      </c>
      <c r="C166" s="1">
        <v>44998</v>
      </c>
      <c r="D166">
        <v>385.36</v>
      </c>
      <c r="E166" s="4">
        <f t="shared" si="49"/>
        <v>5.9963099630995853E-3</v>
      </c>
      <c r="F166" s="4">
        <f t="shared" si="50"/>
        <v>-1.4252027674846761E-3</v>
      </c>
      <c r="G166">
        <f t="shared" ca="1" si="51"/>
        <v>-4.7260335744061836E-5</v>
      </c>
      <c r="H166">
        <f t="shared" ca="1" si="52"/>
        <v>4.1593768353951281E-2</v>
      </c>
      <c r="I166">
        <f t="shared" ca="1" si="53"/>
        <v>-5.7712516821175119E-2</v>
      </c>
      <c r="J166">
        <f t="shared" ca="1" si="54"/>
        <v>0.33239485717588968</v>
      </c>
      <c r="K166">
        <f t="shared" ca="1" si="55"/>
        <v>1.0840873417881134</v>
      </c>
      <c r="L166">
        <f t="shared" ca="1" si="56"/>
        <v>0.95359552590045371</v>
      </c>
      <c r="M166">
        <f t="shared" ca="1" si="57"/>
        <v>-7.5765407584958353E-6</v>
      </c>
      <c r="N166">
        <f t="shared" ca="1" si="58"/>
        <v>1.4320469110176362E-2</v>
      </c>
      <c r="O166">
        <f t="shared" ca="1" si="59"/>
        <v>0.18012153579060258</v>
      </c>
      <c r="P166">
        <f t="shared" ca="1" si="60"/>
        <v>0.81787348190592324</v>
      </c>
      <c r="Q166">
        <f t="shared" ca="1" si="61"/>
        <v>1.1713853975667008</v>
      </c>
      <c r="R166">
        <f t="shared" ca="1" si="62"/>
        <v>1.1359729506328027</v>
      </c>
      <c r="T166">
        <f t="shared" si="63"/>
        <v>1.0059963099630995</v>
      </c>
      <c r="U166" s="6">
        <f t="shared" ca="1" si="64"/>
        <v>0.9002631443165986</v>
      </c>
      <c r="V166">
        <f t="shared" ca="1" si="65"/>
        <v>1.0764694372503043</v>
      </c>
      <c r="W166">
        <v>0.87197908978874628</v>
      </c>
      <c r="X166" t="b">
        <f t="shared" ca="1" si="66"/>
        <v>1</v>
      </c>
      <c r="AS166">
        <v>0.58983111754518014</v>
      </c>
      <c r="AT166">
        <v>999</v>
      </c>
      <c r="AU166">
        <v>-3.6714521225361212</v>
      </c>
      <c r="AV166">
        <v>999</v>
      </c>
      <c r="AW166">
        <v>2.0776843132201375</v>
      </c>
      <c r="AX166">
        <v>-2.984006335728818</v>
      </c>
      <c r="AY166">
        <v>999</v>
      </c>
      <c r="AZ166">
        <v>999</v>
      </c>
      <c r="BA166">
        <v>-5.2271920950503903</v>
      </c>
      <c r="BB166">
        <v>-2.7407390017165079</v>
      </c>
      <c r="BC166">
        <v>999</v>
      </c>
      <c r="BD166">
        <v>7.4738987158913384</v>
      </c>
      <c r="BE166">
        <v>999</v>
      </c>
      <c r="BF166">
        <v>2.5372443411185368</v>
      </c>
      <c r="BJ166" t="b">
        <f t="shared" si="47"/>
        <v>1</v>
      </c>
      <c r="BK166" t="b">
        <f t="shared" ca="1" si="48"/>
        <v>1</v>
      </c>
    </row>
    <row r="167" spans="1:63" x14ac:dyDescent="0.45">
      <c r="A167" s="1">
        <v>44995</v>
      </c>
      <c r="B167">
        <v>173.44</v>
      </c>
      <c r="C167" s="1">
        <v>44995</v>
      </c>
      <c r="D167">
        <v>385.91</v>
      </c>
      <c r="E167" s="4">
        <f t="shared" si="49"/>
        <v>3.0071709461023033E-3</v>
      </c>
      <c r="F167" s="4">
        <f t="shared" si="50"/>
        <v>-1.4429461640616962E-2</v>
      </c>
      <c r="G167">
        <f t="shared" ca="1" si="51"/>
        <v>-4.235148944897589E-4</v>
      </c>
      <c r="H167">
        <f t="shared" ca="1" si="52"/>
        <v>4.1878208763619799E-2</v>
      </c>
      <c r="I167">
        <f t="shared" ca="1" si="53"/>
        <v>-5.2242181721755591E-2</v>
      </c>
      <c r="J167">
        <f t="shared" ca="1" si="54"/>
        <v>0.27775735316899652</v>
      </c>
      <c r="K167">
        <f t="shared" ca="1" si="55"/>
        <v>1.0709829726064193</v>
      </c>
      <c r="L167">
        <f t="shared" ca="1" si="56"/>
        <v>0.94628617804042325</v>
      </c>
      <c r="M167">
        <f t="shared" ca="1" si="57"/>
        <v>-3.861942745518551E-5</v>
      </c>
      <c r="N167">
        <f t="shared" ca="1" si="58"/>
        <v>1.4330283472513656E-2</v>
      </c>
      <c r="O167">
        <f t="shared" ca="1" si="59"/>
        <v>0.18555599001051934</v>
      </c>
      <c r="P167">
        <f t="shared" ca="1" si="60"/>
        <v>0.80932637887912806</v>
      </c>
      <c r="Q167">
        <f t="shared" ca="1" si="61"/>
        <v>1.1713853975667008</v>
      </c>
      <c r="R167">
        <f t="shared" ca="1" si="62"/>
        <v>1.1359729506328027</v>
      </c>
      <c r="T167">
        <f t="shared" si="63"/>
        <v>1.0030071709461024</v>
      </c>
      <c r="U167" s="6">
        <f t="shared" ca="1" si="64"/>
        <v>0.87688963041609802</v>
      </c>
      <c r="V167">
        <f t="shared" ca="1" si="65"/>
        <v>1.0432224641633576</v>
      </c>
      <c r="W167">
        <v>0.87382377558592683</v>
      </c>
      <c r="X167" t="b">
        <f t="shared" ca="1" si="66"/>
        <v>1</v>
      </c>
      <c r="AS167">
        <v>0.58966993513864652</v>
      </c>
      <c r="AT167">
        <v>999</v>
      </c>
      <c r="AU167">
        <v>-3.4825148640333463</v>
      </c>
      <c r="AV167">
        <v>999</v>
      </c>
      <c r="AW167">
        <v>2.1003371104366466</v>
      </c>
      <c r="AX167">
        <v>-2.7866546384610067</v>
      </c>
      <c r="AY167">
        <v>999</v>
      </c>
      <c r="AZ167">
        <v>999</v>
      </c>
      <c r="BA167">
        <v>-5.5338641406499756</v>
      </c>
      <c r="BB167">
        <v>-2.6264520766149597</v>
      </c>
      <c r="BC167">
        <v>999</v>
      </c>
      <c r="BD167">
        <v>7.3149033470006302</v>
      </c>
      <c r="BE167">
        <v>999</v>
      </c>
      <c r="BF167">
        <v>2.334167780024174</v>
      </c>
      <c r="BJ167" t="b">
        <f t="shared" si="47"/>
        <v>1</v>
      </c>
      <c r="BK167" t="b">
        <f t="shared" ca="1" si="48"/>
        <v>1</v>
      </c>
    </row>
    <row r="168" spans="1:63" x14ac:dyDescent="0.45">
      <c r="A168" s="1">
        <v>44994</v>
      </c>
      <c r="B168">
        <v>172.92</v>
      </c>
      <c r="C168" s="1">
        <v>44994</v>
      </c>
      <c r="D168">
        <v>391.56</v>
      </c>
      <c r="E168" s="4">
        <f t="shared" si="49"/>
        <v>-4.989010989010996E-2</v>
      </c>
      <c r="F168" s="4">
        <f t="shared" si="50"/>
        <v>-1.8449814499147732E-2</v>
      </c>
      <c r="G168">
        <f t="shared" ca="1" si="51"/>
        <v>-3.5569941618818701E-4</v>
      </c>
      <c r="H168">
        <f t="shared" ca="1" si="52"/>
        <v>4.1894770586533688E-2</v>
      </c>
      <c r="I168">
        <f t="shared" ca="1" si="53"/>
        <v>-5.6749454098415184E-2</v>
      </c>
      <c r="J168">
        <f t="shared" ca="1" si="54"/>
        <v>0.2730037329421946</v>
      </c>
      <c r="K168">
        <f t="shared" ca="1" si="55"/>
        <v>1.0709829726064193</v>
      </c>
      <c r="L168">
        <f t="shared" ca="1" si="56"/>
        <v>0.94628617804042325</v>
      </c>
      <c r="M168">
        <f t="shared" ca="1" si="57"/>
        <v>1.2707817204990414E-4</v>
      </c>
      <c r="N168">
        <f t="shared" ca="1" si="58"/>
        <v>1.4354620934534257E-2</v>
      </c>
      <c r="O168">
        <f t="shared" ca="1" si="59"/>
        <v>0.16605701153158819</v>
      </c>
      <c r="P168">
        <f t="shared" ca="1" si="60"/>
        <v>0.78444162183723831</v>
      </c>
      <c r="Q168">
        <f t="shared" ca="1" si="61"/>
        <v>1.1713853975667008</v>
      </c>
      <c r="R168">
        <f t="shared" ca="1" si="62"/>
        <v>1.1663042115696587</v>
      </c>
      <c r="T168">
        <f t="shared" si="63"/>
        <v>0.95010989010989</v>
      </c>
      <c r="U168" s="6">
        <f t="shared" ca="1" si="64"/>
        <v>0.9058145625982188</v>
      </c>
      <c r="V168">
        <f t="shared" ca="1" si="65"/>
        <v>1.0965300110939831</v>
      </c>
      <c r="W168">
        <v>0.89237867201931209</v>
      </c>
      <c r="X168" t="b">
        <f t="shared" ca="1" si="66"/>
        <v>1</v>
      </c>
      <c r="AS168">
        <v>0.59130499269979742</v>
      </c>
      <c r="AT168">
        <v>999</v>
      </c>
      <c r="AU168">
        <v>999</v>
      </c>
      <c r="AV168">
        <v>999</v>
      </c>
      <c r="AW168">
        <v>999</v>
      </c>
      <c r="AX168">
        <v>999</v>
      </c>
      <c r="AY168">
        <v>-2.9910122630410001</v>
      </c>
      <c r="AZ168">
        <v>999</v>
      </c>
      <c r="BA168">
        <v>-4.8009094078965049</v>
      </c>
      <c r="BB168">
        <v>-3.987716473019582</v>
      </c>
      <c r="BC168">
        <v>999</v>
      </c>
      <c r="BD168">
        <v>8.2806876929756008</v>
      </c>
      <c r="BE168">
        <v>999</v>
      </c>
      <c r="BF168">
        <v>-3.966687742678916</v>
      </c>
      <c r="BJ168" t="b">
        <f t="shared" si="47"/>
        <v>1</v>
      </c>
      <c r="BK168" t="b">
        <f t="shared" ca="1" si="48"/>
        <v>1</v>
      </c>
    </row>
    <row r="169" spans="1:63" x14ac:dyDescent="0.45">
      <c r="A169" s="1">
        <v>44993</v>
      </c>
      <c r="B169">
        <v>182</v>
      </c>
      <c r="C169" s="1">
        <v>44993</v>
      </c>
      <c r="D169">
        <v>398.92</v>
      </c>
      <c r="E169" s="4">
        <f t="shared" si="49"/>
        <v>-3.0419263757924499E-2</v>
      </c>
      <c r="F169" s="4">
        <f t="shared" si="50"/>
        <v>1.6320586536772393E-3</v>
      </c>
      <c r="G169">
        <f t="shared" ca="1" si="51"/>
        <v>-4.2706773400789775E-4</v>
      </c>
      <c r="H169">
        <f t="shared" ca="1" si="52"/>
        <v>4.1991622908367249E-2</v>
      </c>
      <c r="I169">
        <f t="shared" ca="1" si="53"/>
        <v>-6.0684968049380596E-2</v>
      </c>
      <c r="J169">
        <f t="shared" ca="1" si="54"/>
        <v>0.25963581396796576</v>
      </c>
      <c r="K169">
        <f t="shared" ca="1" si="55"/>
        <v>1.0709829726064193</v>
      </c>
      <c r="L169">
        <f t="shared" ca="1" si="56"/>
        <v>0.94628617804042325</v>
      </c>
      <c r="M169">
        <f t="shared" ca="1" si="57"/>
        <v>2.2150975366082767E-4</v>
      </c>
      <c r="N169">
        <f t="shared" ca="1" si="58"/>
        <v>1.4293791854366904E-2</v>
      </c>
      <c r="O169">
        <f t="shared" ca="1" si="59"/>
        <v>0.15930886701445335</v>
      </c>
      <c r="P169">
        <f t="shared" ca="1" si="60"/>
        <v>0.83071790064869022</v>
      </c>
      <c r="Q169">
        <f t="shared" ca="1" si="61"/>
        <v>1.1713853975667008</v>
      </c>
      <c r="R169">
        <f t="shared" ca="1" si="62"/>
        <v>1.1755370862014431</v>
      </c>
      <c r="T169">
        <f t="shared" si="63"/>
        <v>0.96958073624207552</v>
      </c>
      <c r="U169" s="6">
        <f t="shared" ca="1" si="64"/>
        <v>0.89756867386694272</v>
      </c>
      <c r="V169">
        <f t="shared" ca="1" si="65"/>
        <v>1.0403329526149658</v>
      </c>
      <c r="W169">
        <v>0.86986656951595709</v>
      </c>
      <c r="X169" t="b">
        <f t="shared" ca="1" si="66"/>
        <v>1</v>
      </c>
      <c r="AS169">
        <v>0.6153144226446805</v>
      </c>
      <c r="AT169">
        <v>999</v>
      </c>
      <c r="AU169">
        <v>-2.8379881219535066</v>
      </c>
      <c r="AV169">
        <v>999</v>
      </c>
      <c r="AW169">
        <v>999</v>
      </c>
      <c r="AX169">
        <v>-2.4305860974916533</v>
      </c>
      <c r="AY169">
        <v>999</v>
      </c>
      <c r="AZ169">
        <v>-2.9907786535033707</v>
      </c>
      <c r="BA169">
        <v>-2.9541570462025204</v>
      </c>
      <c r="BB169">
        <v>-3.2641181843529061</v>
      </c>
      <c r="BC169">
        <v>999</v>
      </c>
      <c r="BD169">
        <v>8.7852792009606091</v>
      </c>
      <c r="BE169">
        <v>999</v>
      </c>
      <c r="BF169">
        <v>1.6316693112743179</v>
      </c>
      <c r="BJ169" t="b">
        <f t="shared" si="47"/>
        <v>1</v>
      </c>
      <c r="BK169" t="b">
        <f t="shared" ca="1" si="48"/>
        <v>1</v>
      </c>
    </row>
    <row r="170" spans="1:63" x14ac:dyDescent="0.45">
      <c r="A170" s="1">
        <v>44992</v>
      </c>
      <c r="B170">
        <v>187.71</v>
      </c>
      <c r="C170" s="1">
        <v>44992</v>
      </c>
      <c r="D170">
        <v>398.27</v>
      </c>
      <c r="E170" s="4">
        <f t="shared" si="49"/>
        <v>-3.1474124142201097E-2</v>
      </c>
      <c r="F170" s="4">
        <f t="shared" si="50"/>
        <v>-1.5328701757856071E-2</v>
      </c>
      <c r="G170">
        <f t="shared" ca="1" si="51"/>
        <v>-2.7771863313182652E-4</v>
      </c>
      <c r="H170">
        <f t="shared" ca="1" si="52"/>
        <v>4.193749863880946E-2</v>
      </c>
      <c r="I170">
        <f t="shared" ca="1" si="53"/>
        <v>-6.9855238630536928E-2</v>
      </c>
      <c r="J170">
        <f t="shared" ca="1" si="54"/>
        <v>0.27631467536145937</v>
      </c>
      <c r="K170">
        <f t="shared" ca="1" si="55"/>
        <v>1.0709829726064193</v>
      </c>
      <c r="L170">
        <f t="shared" ca="1" si="56"/>
        <v>0.95359552590045371</v>
      </c>
      <c r="M170">
        <f t="shared" ca="1" si="57"/>
        <v>1.8272627864385761E-4</v>
      </c>
      <c r="N170">
        <f t="shared" ca="1" si="58"/>
        <v>1.4300466963629936E-2</v>
      </c>
      <c r="O170">
        <f t="shared" ca="1" si="59"/>
        <v>0.1668557468695781</v>
      </c>
      <c r="P170">
        <f t="shared" ca="1" si="60"/>
        <v>0.8254868956259771</v>
      </c>
      <c r="Q170">
        <f t="shared" ca="1" si="61"/>
        <v>1.1713853975667008</v>
      </c>
      <c r="R170">
        <f t="shared" ca="1" si="62"/>
        <v>1.1755370862014431</v>
      </c>
      <c r="T170">
        <f t="shared" si="63"/>
        <v>0.96852587585779892</v>
      </c>
      <c r="U170" s="6">
        <f t="shared" ca="1" si="64"/>
        <v>0.91249817704535507</v>
      </c>
      <c r="V170">
        <f t="shared" ca="1" si="65"/>
        <v>1.0363569027144508</v>
      </c>
      <c r="W170">
        <v>0.86614313603389204</v>
      </c>
      <c r="X170" t="b">
        <f t="shared" ca="1" si="66"/>
        <v>1</v>
      </c>
      <c r="AS170">
        <v>0.60187780417126568</v>
      </c>
      <c r="AT170">
        <v>999</v>
      </c>
      <c r="AU170">
        <v>999</v>
      </c>
      <c r="AV170">
        <v>999</v>
      </c>
      <c r="AW170">
        <v>999</v>
      </c>
      <c r="AX170">
        <v>999</v>
      </c>
      <c r="AY170">
        <v>-2.5802923060663354</v>
      </c>
      <c r="AZ170">
        <v>-2.306002092935318</v>
      </c>
      <c r="BA170">
        <v>-2.7180817202963663</v>
      </c>
      <c r="BB170">
        <v>-3.2012089241053552</v>
      </c>
      <c r="BC170">
        <v>999</v>
      </c>
      <c r="BD170">
        <v>8.6138032482393037</v>
      </c>
      <c r="BE170">
        <v>999</v>
      </c>
      <c r="BF170">
        <v>-3.7831106162145196</v>
      </c>
      <c r="BJ170" t="b">
        <f t="shared" si="47"/>
        <v>1</v>
      </c>
      <c r="BK170" t="b">
        <f t="shared" ca="1" si="48"/>
        <v>1</v>
      </c>
    </row>
    <row r="171" spans="1:63" x14ac:dyDescent="0.45">
      <c r="A171" s="1">
        <v>44991</v>
      </c>
      <c r="B171">
        <v>193.81</v>
      </c>
      <c r="C171" s="1">
        <v>44991</v>
      </c>
      <c r="D171">
        <v>404.47</v>
      </c>
      <c r="E171" s="4">
        <f t="shared" si="49"/>
        <v>-2.0122351989483745E-2</v>
      </c>
      <c r="F171" s="4">
        <f t="shared" si="50"/>
        <v>6.927435117148607E-4</v>
      </c>
      <c r="G171">
        <f t="shared" ca="1" si="51"/>
        <v>-4.6042364167989E-4</v>
      </c>
      <c r="H171">
        <f t="shared" ca="1" si="52"/>
        <v>4.2153134865567064E-2</v>
      </c>
      <c r="I171">
        <f t="shared" ca="1" si="53"/>
        <v>-7.4659213690161666E-2</v>
      </c>
      <c r="J171">
        <f t="shared" ca="1" si="54"/>
        <v>0.24040030189970807</v>
      </c>
      <c r="K171">
        <f t="shared" ca="1" si="55"/>
        <v>1.0709829726064193</v>
      </c>
      <c r="L171">
        <f t="shared" ca="1" si="56"/>
        <v>0.95359552590045371</v>
      </c>
      <c r="M171">
        <f t="shared" ca="1" si="57"/>
        <v>5.7812185552260292E-5</v>
      </c>
      <c r="N171">
        <f t="shared" ca="1" si="58"/>
        <v>1.4543683397482533E-2</v>
      </c>
      <c r="O171">
        <f t="shared" ca="1" si="59"/>
        <v>8.1245381064744437E-2</v>
      </c>
      <c r="P171">
        <f t="shared" ca="1" si="60"/>
        <v>0.87989869635517914</v>
      </c>
      <c r="Q171">
        <f t="shared" ca="1" si="61"/>
        <v>1.0762692929715283</v>
      </c>
      <c r="R171">
        <f t="shared" ca="1" si="62"/>
        <v>1.1755370862014431</v>
      </c>
      <c r="T171">
        <f t="shared" si="63"/>
        <v>0.97987764801051624</v>
      </c>
      <c r="U171" s="6">
        <f t="shared" ca="1" si="64"/>
        <v>0.93343929104657308</v>
      </c>
      <c r="V171">
        <f t="shared" ca="1" si="65"/>
        <v>1.0908868615788712</v>
      </c>
      <c r="W171">
        <v>0.93426380534312825</v>
      </c>
      <c r="X171" t="b">
        <f t="shared" ca="1" si="66"/>
        <v>1</v>
      </c>
      <c r="AS171">
        <v>0.6011035901311842</v>
      </c>
      <c r="AT171">
        <v>999</v>
      </c>
      <c r="AU171">
        <v>999</v>
      </c>
      <c r="AV171">
        <v>999</v>
      </c>
      <c r="AW171">
        <v>999</v>
      </c>
      <c r="AX171">
        <v>999</v>
      </c>
      <c r="AY171">
        <v>-2.6119279505234894</v>
      </c>
      <c r="AZ171">
        <v>999</v>
      </c>
      <c r="BA171">
        <v>-2.2203304476904173</v>
      </c>
      <c r="BB171">
        <v>-2.8388872258141054</v>
      </c>
      <c r="BC171">
        <v>999</v>
      </c>
      <c r="BD171">
        <v>6.5610739550313513</v>
      </c>
      <c r="BE171">
        <v>-2.4509781615179884</v>
      </c>
      <c r="BF171">
        <v>-3.6730226535012211</v>
      </c>
      <c r="BJ171" t="b">
        <f t="shared" si="47"/>
        <v>1</v>
      </c>
      <c r="BK171" t="b">
        <f t="shared" ca="1" si="48"/>
        <v>1</v>
      </c>
    </row>
    <row r="172" spans="1:63" x14ac:dyDescent="0.45">
      <c r="A172" s="1">
        <v>44988</v>
      </c>
      <c r="B172">
        <v>197.79</v>
      </c>
      <c r="C172" s="1">
        <v>44988</v>
      </c>
      <c r="D172">
        <v>404.19</v>
      </c>
      <c r="E172" s="4">
        <f t="shared" si="49"/>
        <v>3.6092194866422136E-2</v>
      </c>
      <c r="F172" s="4">
        <f t="shared" si="50"/>
        <v>1.6037806993288242E-2</v>
      </c>
      <c r="G172">
        <f t="shared" ca="1" si="51"/>
        <v>-1.0276818451101954E-4</v>
      </c>
      <c r="H172">
        <f t="shared" ca="1" si="52"/>
        <v>4.2288712405590075E-2</v>
      </c>
      <c r="I172">
        <f t="shared" ca="1" si="53"/>
        <v>-8.9696319339635622E-2</v>
      </c>
      <c r="J172">
        <f t="shared" ca="1" si="54"/>
        <v>0.21259392939383925</v>
      </c>
      <c r="K172">
        <f t="shared" ca="1" si="55"/>
        <v>1.0709829726064193</v>
      </c>
      <c r="L172">
        <f t="shared" ca="1" si="56"/>
        <v>0.9623992049498602</v>
      </c>
      <c r="M172">
        <f t="shared" ca="1" si="57"/>
        <v>1.5720032632556168E-4</v>
      </c>
      <c r="N172">
        <f t="shared" ca="1" si="58"/>
        <v>1.4615784986686954E-2</v>
      </c>
      <c r="O172">
        <f t="shared" ca="1" si="59"/>
        <v>7.3473482276818186E-2</v>
      </c>
      <c r="P172">
        <f t="shared" ca="1" si="60"/>
        <v>0.82077420774909449</v>
      </c>
      <c r="Q172">
        <f t="shared" ca="1" si="61"/>
        <v>1.0762692929715283</v>
      </c>
      <c r="R172">
        <f t="shared" ca="1" si="62"/>
        <v>1.2211141701187294</v>
      </c>
      <c r="T172">
        <f t="shared" si="63"/>
        <v>1.0360921948664221</v>
      </c>
      <c r="U172" s="6">
        <f t="shared" ca="1" si="64"/>
        <v>1.0046221048354327</v>
      </c>
      <c r="V172">
        <f t="shared" ca="1" si="65"/>
        <v>1.0960750517722047</v>
      </c>
      <c r="W172">
        <v>0.91072012984411921</v>
      </c>
      <c r="X172" t="b">
        <f t="shared" ca="1" si="66"/>
        <v>0</v>
      </c>
      <c r="AS172">
        <v>0.61791999102211692</v>
      </c>
      <c r="AT172">
        <v>999</v>
      </c>
      <c r="AU172">
        <v>999</v>
      </c>
      <c r="AV172">
        <v>999</v>
      </c>
      <c r="AW172">
        <v>999</v>
      </c>
      <c r="AX172">
        <v>999</v>
      </c>
      <c r="AY172">
        <v>-2.727108719183629</v>
      </c>
      <c r="AZ172">
        <v>999</v>
      </c>
      <c r="BA172">
        <v>-2.407820812629168</v>
      </c>
      <c r="BB172">
        <v>-3.0273133625985116</v>
      </c>
      <c r="BC172">
        <v>999</v>
      </c>
      <c r="BD172">
        <v>6.7020801769868834</v>
      </c>
      <c r="BE172">
        <v>-2.5174382836822313</v>
      </c>
      <c r="BF172">
        <v>-3.7358088950851367</v>
      </c>
      <c r="BJ172" t="b">
        <f t="shared" si="47"/>
        <v>1</v>
      </c>
      <c r="BK172" t="b">
        <f t="shared" ca="1" si="48"/>
        <v>0</v>
      </c>
    </row>
    <row r="173" spans="1:63" x14ac:dyDescent="0.45">
      <c r="A173" s="1">
        <v>44987</v>
      </c>
      <c r="B173">
        <v>190.9</v>
      </c>
      <c r="C173" s="1">
        <v>44987</v>
      </c>
      <c r="D173">
        <v>397.81</v>
      </c>
      <c r="E173" s="4">
        <f t="shared" si="49"/>
        <v>-5.853923164176162E-2</v>
      </c>
      <c r="F173" s="4">
        <f t="shared" si="50"/>
        <v>7.7772711151643942E-3</v>
      </c>
      <c r="G173">
        <f t="shared" ca="1" si="51"/>
        <v>-5.7701546064019131E-4</v>
      </c>
      <c r="H173">
        <f t="shared" ca="1" si="52"/>
        <v>4.2412428027943545E-2</v>
      </c>
      <c r="I173">
        <f t="shared" ca="1" si="53"/>
        <v>-7.1608533907310923E-2</v>
      </c>
      <c r="J173">
        <f t="shared" ca="1" si="54"/>
        <v>0.1868979232841963</v>
      </c>
      <c r="K173">
        <f t="shared" ca="1" si="55"/>
        <v>1.0709829726064193</v>
      </c>
      <c r="L173">
        <f t="shared" ca="1" si="56"/>
        <v>0.94628617804042325</v>
      </c>
      <c r="M173">
        <f t="shared" ca="1" si="57"/>
        <v>5.672352873838892E-5</v>
      </c>
      <c r="N173">
        <f t="shared" ca="1" si="58"/>
        <v>1.4575081016478381E-2</v>
      </c>
      <c r="O173">
        <f t="shared" ca="1" si="59"/>
        <v>8.8292794783544806E-2</v>
      </c>
      <c r="P173">
        <f t="shared" ca="1" si="60"/>
        <v>0.85907533828218297</v>
      </c>
      <c r="Q173">
        <f t="shared" ca="1" si="61"/>
        <v>1.0762692929715283</v>
      </c>
      <c r="R173">
        <f t="shared" ca="1" si="62"/>
        <v>1.1755370862014431</v>
      </c>
      <c r="T173">
        <f t="shared" si="63"/>
        <v>0.94146076835823833</v>
      </c>
      <c r="U173" s="6">
        <f t="shared" ca="1" si="64"/>
        <v>0.94472212599594196</v>
      </c>
      <c r="V173">
        <f t="shared" ca="1" si="65"/>
        <v>1.1713577522190182</v>
      </c>
      <c r="W173">
        <v>0.98361301027502024</v>
      </c>
      <c r="X173" t="b">
        <f t="shared" ca="1" si="66"/>
        <v>1</v>
      </c>
      <c r="AS173">
        <v>0.61980326733481361</v>
      </c>
      <c r="AT173">
        <v>999</v>
      </c>
      <c r="AU173">
        <v>999</v>
      </c>
      <c r="AV173">
        <v>999</v>
      </c>
      <c r="AW173">
        <v>999</v>
      </c>
      <c r="AX173">
        <v>999</v>
      </c>
      <c r="AY173">
        <v>-2.7396300003266569</v>
      </c>
      <c r="AZ173">
        <v>999</v>
      </c>
      <c r="BA173">
        <v>-2.3445175532332327</v>
      </c>
      <c r="BB173">
        <v>-3.051974395908077</v>
      </c>
      <c r="BC173">
        <v>999</v>
      </c>
      <c r="BD173">
        <v>6.7151911985825468</v>
      </c>
      <c r="BE173">
        <v>-2.4934732315490886</v>
      </c>
      <c r="BF173">
        <v>-3.7661925062938901</v>
      </c>
      <c r="BJ173" t="b">
        <f t="shared" si="47"/>
        <v>1</v>
      </c>
      <c r="BK173" t="b">
        <f t="shared" ca="1" si="48"/>
        <v>1</v>
      </c>
    </row>
    <row r="174" spans="1:63" x14ac:dyDescent="0.45">
      <c r="A174" s="1">
        <v>44986</v>
      </c>
      <c r="B174">
        <v>202.77</v>
      </c>
      <c r="C174" s="1">
        <v>44986</v>
      </c>
      <c r="D174">
        <v>394.74</v>
      </c>
      <c r="E174" s="4">
        <f t="shared" si="49"/>
        <v>-1.4291964415925321E-2</v>
      </c>
      <c r="F174" s="4">
        <f t="shared" si="50"/>
        <v>-3.8358653409377224E-3</v>
      </c>
      <c r="G174">
        <f t="shared" ca="1" si="51"/>
        <v>1.3190414719904328E-6</v>
      </c>
      <c r="H174">
        <f t="shared" ca="1" si="52"/>
        <v>4.2406700079409256E-2</v>
      </c>
      <c r="I174">
        <f t="shared" ca="1" si="53"/>
        <v>-8.7216539703164842E-2</v>
      </c>
      <c r="J174">
        <f t="shared" ca="1" si="54"/>
        <v>0.19202997653813014</v>
      </c>
      <c r="K174">
        <f t="shared" ca="1" si="55"/>
        <v>1.0709829726064193</v>
      </c>
      <c r="L174">
        <f t="shared" ca="1" si="56"/>
        <v>0.9623992049498602</v>
      </c>
      <c r="M174">
        <f t="shared" ca="1" si="57"/>
        <v>1.3737634836774701E-4</v>
      </c>
      <c r="N174">
        <f t="shared" ca="1" si="58"/>
        <v>1.4662386848448875E-2</v>
      </c>
      <c r="O174">
        <f t="shared" ca="1" si="59"/>
        <v>9.1163692282349218E-2</v>
      </c>
      <c r="P174">
        <f t="shared" ca="1" si="60"/>
        <v>0.80052941453520843</v>
      </c>
      <c r="Q174">
        <f t="shared" ca="1" si="61"/>
        <v>1.0762692929715283</v>
      </c>
      <c r="R174">
        <f t="shared" ca="1" si="62"/>
        <v>1.2211141701187294</v>
      </c>
      <c r="T174">
        <f t="shared" si="63"/>
        <v>0.98570803558407472</v>
      </c>
      <c r="U174" s="6">
        <f t="shared" ca="1" si="64"/>
        <v>1.0095091108234591</v>
      </c>
      <c r="V174">
        <f t="shared" ca="1" si="65"/>
        <v>1.1838858745974474</v>
      </c>
      <c r="W174">
        <v>0.99252870735997845</v>
      </c>
      <c r="X174" t="b">
        <f t="shared" ca="1" si="66"/>
        <v>0</v>
      </c>
      <c r="AS174">
        <v>0.6262150526641832</v>
      </c>
      <c r="AT174">
        <v>999</v>
      </c>
      <c r="AU174">
        <v>999</v>
      </c>
      <c r="AV174">
        <v>999</v>
      </c>
      <c r="AW174">
        <v>999</v>
      </c>
      <c r="AX174">
        <v>999</v>
      </c>
      <c r="AY174">
        <v>-2.7290442676927658</v>
      </c>
      <c r="AZ174">
        <v>999</v>
      </c>
      <c r="BA174">
        <v>-2.3666193030124463</v>
      </c>
      <c r="BB174">
        <v>-3.0898100075677992</v>
      </c>
      <c r="BC174">
        <v>999</v>
      </c>
      <c r="BD174">
        <v>6.6775119720032166</v>
      </c>
      <c r="BE174">
        <v>-2.5024501034228122</v>
      </c>
      <c r="BF174">
        <v>-3.7050763194118552</v>
      </c>
      <c r="BJ174" t="b">
        <f t="shared" si="47"/>
        <v>1</v>
      </c>
      <c r="BK174" t="b">
        <f t="shared" ca="1" si="48"/>
        <v>0</v>
      </c>
    </row>
    <row r="175" spans="1:63" x14ac:dyDescent="0.45">
      <c r="A175" s="1">
        <v>44985</v>
      </c>
      <c r="B175">
        <v>205.71</v>
      </c>
      <c r="C175" s="1">
        <v>44985</v>
      </c>
      <c r="D175">
        <v>396.26</v>
      </c>
      <c r="E175" s="4">
        <f t="shared" si="49"/>
        <v>-9.2472186100273929E-3</v>
      </c>
      <c r="F175" s="4">
        <f t="shared" si="50"/>
        <v>-3.6959746561738547E-3</v>
      </c>
      <c r="G175">
        <f t="shared" ca="1" si="51"/>
        <v>3.190698463047055E-5</v>
      </c>
      <c r="H175">
        <f t="shared" ca="1" si="52"/>
        <v>4.2398544052868602E-2</v>
      </c>
      <c r="I175">
        <f t="shared" ca="1" si="53"/>
        <v>-8.9294982768997846E-2</v>
      </c>
      <c r="J175">
        <f t="shared" ca="1" si="54"/>
        <v>0.19472202317569476</v>
      </c>
      <c r="K175">
        <f t="shared" ca="1" si="55"/>
        <v>1.0709829726064193</v>
      </c>
      <c r="L175">
        <f t="shared" ca="1" si="56"/>
        <v>0.9623992049498602</v>
      </c>
      <c r="M175">
        <f t="shared" ca="1" si="57"/>
        <v>1.5133606972552252E-4</v>
      </c>
      <c r="N175">
        <f t="shared" ca="1" si="58"/>
        <v>1.4659913871617124E-2</v>
      </c>
      <c r="O175">
        <f t="shared" ca="1" si="59"/>
        <v>8.8422663754258848E-2</v>
      </c>
      <c r="P175">
        <f t="shared" ca="1" si="60"/>
        <v>0.80274842153120129</v>
      </c>
      <c r="Q175">
        <f t="shared" ca="1" si="61"/>
        <v>1.0762692929715283</v>
      </c>
      <c r="R175">
        <f t="shared" ca="1" si="62"/>
        <v>1.2211141701187294</v>
      </c>
      <c r="T175">
        <f t="shared" si="63"/>
        <v>0.99075278138997258</v>
      </c>
      <c r="U175" s="6">
        <f t="shared" ca="1" si="64"/>
        <v>1.0422556619547043</v>
      </c>
      <c r="V175">
        <f t="shared" ca="1" si="65"/>
        <v>1.2381957227636029</v>
      </c>
      <c r="W175">
        <v>1.1237547374523662</v>
      </c>
      <c r="X175" t="b">
        <f t="shared" ca="1" si="66"/>
        <v>1</v>
      </c>
      <c r="AS175">
        <v>0.6275618202841976</v>
      </c>
      <c r="AT175">
        <v>2.2914456704058561</v>
      </c>
      <c r="AU175">
        <v>999</v>
      </c>
      <c r="AV175">
        <v>999</v>
      </c>
      <c r="AW175">
        <v>999</v>
      </c>
      <c r="AX175">
        <v>999</v>
      </c>
      <c r="AY175">
        <v>-3.8863320586902579</v>
      </c>
      <c r="AZ175">
        <v>999</v>
      </c>
      <c r="BA175">
        <v>999</v>
      </c>
      <c r="BB175">
        <v>-2.7664074036932527</v>
      </c>
      <c r="BC175">
        <v>999</v>
      </c>
      <c r="BD175">
        <v>5.7339641716117988</v>
      </c>
      <c r="BE175">
        <v>-5.4037954490346163</v>
      </c>
      <c r="BF175">
        <v>-5.0513185589387053</v>
      </c>
      <c r="BJ175" t="b">
        <f t="shared" si="47"/>
        <v>1</v>
      </c>
      <c r="BK175" t="b">
        <f t="shared" ca="1" si="48"/>
        <v>1</v>
      </c>
    </row>
    <row r="176" spans="1:63" x14ac:dyDescent="0.45">
      <c r="A176" s="1">
        <v>44984</v>
      </c>
      <c r="B176">
        <v>207.63</v>
      </c>
      <c r="C176" s="1">
        <v>44984</v>
      </c>
      <c r="D176">
        <v>397.73</v>
      </c>
      <c r="E176" s="4">
        <f t="shared" si="49"/>
        <v>5.4601787891101178E-2</v>
      </c>
      <c r="F176" s="4">
        <f t="shared" si="50"/>
        <v>3.4058226953933668E-3</v>
      </c>
      <c r="G176">
        <f t="shared" ca="1" si="51"/>
        <v>-3.3458003616370025E-4</v>
      </c>
      <c r="H176">
        <f t="shared" ca="1" si="52"/>
        <v>4.2794095631921276E-2</v>
      </c>
      <c r="I176">
        <f t="shared" ca="1" si="53"/>
        <v>-9.7307438103299893E-2</v>
      </c>
      <c r="J176">
        <f t="shared" ca="1" si="54"/>
        <v>0.14449935559453397</v>
      </c>
      <c r="K176">
        <f t="shared" ca="1" si="55"/>
        <v>1.0452139021608269</v>
      </c>
      <c r="L176">
        <f t="shared" ca="1" si="56"/>
        <v>0.95502237653767486</v>
      </c>
      <c r="M176">
        <f t="shared" ca="1" si="57"/>
        <v>9.0385238152850165E-5</v>
      </c>
      <c r="N176">
        <f t="shared" ca="1" si="58"/>
        <v>1.4701272932126494E-2</v>
      </c>
      <c r="O176">
        <f t="shared" ca="1" si="59"/>
        <v>9.3743493974966507E-2</v>
      </c>
      <c r="P176">
        <f t="shared" ca="1" si="60"/>
        <v>0.768412841952407</v>
      </c>
      <c r="Q176">
        <f t="shared" ca="1" si="61"/>
        <v>1.0762692929715283</v>
      </c>
      <c r="R176">
        <f t="shared" ca="1" si="62"/>
        <v>1.2115233250691417</v>
      </c>
      <c r="T176">
        <f t="shared" si="63"/>
        <v>1.0546017878911012</v>
      </c>
      <c r="U176" s="6">
        <f t="shared" ca="1" si="64"/>
        <v>0.99673563439105139</v>
      </c>
      <c r="V176">
        <f t="shared" ca="1" si="65"/>
        <v>1.1682136718517069</v>
      </c>
      <c r="W176">
        <v>1.0513737284249511</v>
      </c>
      <c r="X176" t="b">
        <f t="shared" ca="1" si="66"/>
        <v>0</v>
      </c>
      <c r="AS176">
        <v>0.63337424314926893</v>
      </c>
      <c r="AT176">
        <v>999</v>
      </c>
      <c r="AU176">
        <v>999</v>
      </c>
      <c r="AV176">
        <v>999</v>
      </c>
      <c r="AW176">
        <v>999</v>
      </c>
      <c r="AX176">
        <v>999</v>
      </c>
      <c r="AY176">
        <v>-2.8668718729877298</v>
      </c>
      <c r="AZ176">
        <v>999</v>
      </c>
      <c r="BA176">
        <v>-2.3466569100319399</v>
      </c>
      <c r="BB176">
        <v>-3.2558917075949969</v>
      </c>
      <c r="BC176">
        <v>999</v>
      </c>
      <c r="BD176">
        <v>6.5432338340016836</v>
      </c>
      <c r="BE176">
        <v>-2.2119280812150093</v>
      </c>
      <c r="BF176">
        <v>-3.7916552468928981</v>
      </c>
      <c r="BJ176" t="b">
        <f t="shared" si="47"/>
        <v>1</v>
      </c>
      <c r="BK176" t="b">
        <f t="shared" ca="1" si="48"/>
        <v>0</v>
      </c>
    </row>
    <row r="177" spans="1:63" x14ac:dyDescent="0.45">
      <c r="A177" s="1">
        <v>44981</v>
      </c>
      <c r="B177">
        <v>196.88</v>
      </c>
      <c r="C177" s="1">
        <v>44981</v>
      </c>
      <c r="D177">
        <v>396.38</v>
      </c>
      <c r="E177" s="4">
        <f t="shared" si="49"/>
        <v>-2.5684168852377877E-2</v>
      </c>
      <c r="F177" s="4">
        <f t="shared" si="50"/>
        <v>-1.0682374082763513E-2</v>
      </c>
      <c r="G177">
        <f t="shared" ca="1" si="51"/>
        <v>-5.2545306068990617E-4</v>
      </c>
      <c r="H177">
        <f t="shared" ca="1" si="52"/>
        <v>4.263266348953175E-2</v>
      </c>
      <c r="I177">
        <f t="shared" ca="1" si="53"/>
        <v>-9.5402158017363126E-2</v>
      </c>
      <c r="J177">
        <f t="shared" ca="1" si="54"/>
        <v>0.17707241149647146</v>
      </c>
      <c r="K177">
        <f t="shared" ca="1" si="55"/>
        <v>1.0452139021608269</v>
      </c>
      <c r="L177">
        <f t="shared" ca="1" si="56"/>
        <v>0.94628617804042325</v>
      </c>
      <c r="M177">
        <f t="shared" ca="1" si="57"/>
        <v>8.4908978984344079E-5</v>
      </c>
      <c r="N177">
        <f t="shared" ca="1" si="58"/>
        <v>1.4700235673073622E-2</v>
      </c>
      <c r="O177">
        <f t="shared" ca="1" si="59"/>
        <v>9.4851468692008362E-2</v>
      </c>
      <c r="P177">
        <f t="shared" ca="1" si="60"/>
        <v>0.76962212528067164</v>
      </c>
      <c r="Q177">
        <f t="shared" ca="1" si="61"/>
        <v>1.0762692929715283</v>
      </c>
      <c r="R177">
        <f t="shared" ca="1" si="62"/>
        <v>1.2115233250691417</v>
      </c>
      <c r="T177">
        <f t="shared" si="63"/>
        <v>0.9743158311476221</v>
      </c>
      <c r="U177" s="6">
        <f t="shared" ca="1" si="64"/>
        <v>0.97446050287071861</v>
      </c>
      <c r="V177">
        <f t="shared" ca="1" si="65"/>
        <v>1.1652932352553718</v>
      </c>
      <c r="W177">
        <v>1.0463769063093644</v>
      </c>
      <c r="X177" t="b">
        <f t="shared" ca="1" si="66"/>
        <v>0</v>
      </c>
      <c r="AS177">
        <v>0.63332273458765032</v>
      </c>
      <c r="AT177">
        <v>999</v>
      </c>
      <c r="AU177">
        <v>999</v>
      </c>
      <c r="AV177">
        <v>999</v>
      </c>
      <c r="AW177">
        <v>999</v>
      </c>
      <c r="AX177">
        <v>999</v>
      </c>
      <c r="AY177">
        <v>-2.9340009910698024</v>
      </c>
      <c r="AZ177">
        <v>999</v>
      </c>
      <c r="BA177">
        <v>-2.304757138031682</v>
      </c>
      <c r="BB177">
        <v>-3.3077813252478117</v>
      </c>
      <c r="BC177">
        <v>999</v>
      </c>
      <c r="BD177">
        <v>6.5801868865309583</v>
      </c>
      <c r="BE177">
        <v>-2.028173826476527</v>
      </c>
      <c r="BF177">
        <v>-3.8984751169118841</v>
      </c>
      <c r="BJ177" t="b">
        <f t="shared" si="47"/>
        <v>1</v>
      </c>
      <c r="BK177" t="b">
        <f t="shared" ca="1" si="48"/>
        <v>0</v>
      </c>
    </row>
    <row r="178" spans="1:63" x14ac:dyDescent="0.45">
      <c r="A178" s="1">
        <v>44980</v>
      </c>
      <c r="B178">
        <v>202.07</v>
      </c>
      <c r="C178" s="1">
        <v>44980</v>
      </c>
      <c r="D178">
        <v>400.66</v>
      </c>
      <c r="E178" s="4">
        <f t="shared" si="49"/>
        <v>6.0240963855420666E-3</v>
      </c>
      <c r="F178" s="4">
        <f t="shared" si="50"/>
        <v>5.3194158679179112E-3</v>
      </c>
      <c r="G178">
        <f t="shared" ca="1" si="51"/>
        <v>-8.5067976451327215E-4</v>
      </c>
      <c r="H178">
        <f t="shared" ca="1" si="52"/>
        <v>4.3071397521308605E-2</v>
      </c>
      <c r="I178">
        <f t="shared" ca="1" si="53"/>
        <v>-0.1152483697226357</v>
      </c>
      <c r="J178">
        <f t="shared" ca="1" si="54"/>
        <v>0.14287432740558481</v>
      </c>
      <c r="K178">
        <f t="shared" ca="1" si="55"/>
        <v>1.0335124668786271</v>
      </c>
      <c r="L178">
        <f t="shared" ca="1" si="56"/>
        <v>0.94628617804042325</v>
      </c>
      <c r="M178">
        <f t="shared" ca="1" si="57"/>
        <v>-2.1765697011134447E-5</v>
      </c>
      <c r="N178">
        <f t="shared" ca="1" si="58"/>
        <v>1.4855354680730943E-2</v>
      </c>
      <c r="O178">
        <f t="shared" ca="1" si="59"/>
        <v>6.438117863966028E-2</v>
      </c>
      <c r="P178">
        <f t="shared" ca="1" si="60"/>
        <v>0.72581958304422578</v>
      </c>
      <c r="Q178">
        <f t="shared" ca="1" si="61"/>
        <v>1.0320572949002478</v>
      </c>
      <c r="R178">
        <f t="shared" ca="1" si="62"/>
        <v>1.2115233250691417</v>
      </c>
      <c r="T178">
        <f t="shared" si="63"/>
        <v>1.006024096385542</v>
      </c>
      <c r="U178" s="6">
        <f t="shared" ca="1" si="64"/>
        <v>0.94319454817027615</v>
      </c>
      <c r="V178">
        <f t="shared" ca="1" si="65"/>
        <v>1.1225381760969597</v>
      </c>
      <c r="W178">
        <v>1.0403397879404248</v>
      </c>
      <c r="X178" t="b">
        <f t="shared" ca="1" si="66"/>
        <v>0</v>
      </c>
      <c r="AS178">
        <v>0.62268884872680952</v>
      </c>
      <c r="AT178">
        <v>999</v>
      </c>
      <c r="AU178">
        <v>999</v>
      </c>
      <c r="AV178">
        <v>999</v>
      </c>
      <c r="AW178">
        <v>999</v>
      </c>
      <c r="AX178">
        <v>999</v>
      </c>
      <c r="AY178">
        <v>-3.2134089661994572</v>
      </c>
      <c r="AZ178">
        <v>999</v>
      </c>
      <c r="BA178">
        <v>-4.3826951487114245</v>
      </c>
      <c r="BB178">
        <v>-4.8927803261790626</v>
      </c>
      <c r="BC178">
        <v>999</v>
      </c>
      <c r="BD178">
        <v>8.7262359344817035</v>
      </c>
      <c r="BE178">
        <v>999</v>
      </c>
      <c r="BF178">
        <v>-4.5060790550117424</v>
      </c>
      <c r="BJ178" t="b">
        <f t="shared" si="47"/>
        <v>1</v>
      </c>
      <c r="BK178" t="b">
        <f t="shared" ca="1" si="48"/>
        <v>0</v>
      </c>
    </row>
    <row r="179" spans="1:63" x14ac:dyDescent="0.45">
      <c r="A179" s="1">
        <v>44979</v>
      </c>
      <c r="B179">
        <v>200.86</v>
      </c>
      <c r="C179" s="1">
        <v>44979</v>
      </c>
      <c r="D179">
        <v>398.54</v>
      </c>
      <c r="E179" s="4">
        <f t="shared" si="49"/>
        <v>1.7682525206465061E-2</v>
      </c>
      <c r="F179" s="4">
        <f t="shared" si="50"/>
        <v>-1.3781352577111794E-3</v>
      </c>
      <c r="G179">
        <f t="shared" ca="1" si="51"/>
        <v>-9.2448044486554055E-4</v>
      </c>
      <c r="H179">
        <f t="shared" ca="1" si="52"/>
        <v>4.3072204112178721E-2</v>
      </c>
      <c r="I179">
        <f t="shared" ca="1" si="53"/>
        <v>-0.11010149917277137</v>
      </c>
      <c r="J179">
        <f t="shared" ca="1" si="54"/>
        <v>0.1418498674302402</v>
      </c>
      <c r="K179">
        <f t="shared" ca="1" si="55"/>
        <v>1.0335124668786271</v>
      </c>
      <c r="L179">
        <f t="shared" ca="1" si="56"/>
        <v>0.94628617804042325</v>
      </c>
      <c r="M179">
        <f t="shared" ca="1" si="57"/>
        <v>-7.8207391028958242E-5</v>
      </c>
      <c r="N179">
        <f t="shared" ca="1" si="58"/>
        <v>1.4856403844184659E-2</v>
      </c>
      <c r="O179">
        <f t="shared" ca="1" si="59"/>
        <v>7.5318682312903507E-2</v>
      </c>
      <c r="P179">
        <f t="shared" ca="1" si="60"/>
        <v>0.72587933861022291</v>
      </c>
      <c r="Q179">
        <f t="shared" ca="1" si="61"/>
        <v>1.0320572949002478</v>
      </c>
      <c r="R179">
        <f t="shared" ca="1" si="62"/>
        <v>1.2115233250691417</v>
      </c>
      <c r="T179">
        <f t="shared" si="63"/>
        <v>1.017682525206465</v>
      </c>
      <c r="U179" s="6">
        <f t="shared" ca="1" si="64"/>
        <v>0.95990442054958192</v>
      </c>
      <c r="V179">
        <f t="shared" ca="1" si="65"/>
        <v>1.1304429284071338</v>
      </c>
      <c r="W179">
        <v>1.0765084374254168</v>
      </c>
      <c r="X179" t="b">
        <f t="shared" ca="1" si="66"/>
        <v>0</v>
      </c>
      <c r="AS179">
        <v>0.63313379078605092</v>
      </c>
      <c r="AT179">
        <v>999</v>
      </c>
      <c r="AU179">
        <v>999</v>
      </c>
      <c r="AV179">
        <v>999</v>
      </c>
      <c r="AW179">
        <v>999</v>
      </c>
      <c r="AX179">
        <v>999</v>
      </c>
      <c r="AY179">
        <v>-3.0074239065168435</v>
      </c>
      <c r="AZ179">
        <v>999</v>
      </c>
      <c r="BA179">
        <v>-4.2754107587872117</v>
      </c>
      <c r="BB179">
        <v>-4.7768184897276758</v>
      </c>
      <c r="BC179">
        <v>999</v>
      </c>
      <c r="BD179">
        <v>8.8231581797429612</v>
      </c>
      <c r="BE179">
        <v>999</v>
      </c>
      <c r="BF179">
        <v>-4.5124425240216697</v>
      </c>
      <c r="BJ179" t="b">
        <f t="shared" si="47"/>
        <v>1</v>
      </c>
      <c r="BK179" t="b">
        <f t="shared" ca="1" si="48"/>
        <v>0</v>
      </c>
    </row>
    <row r="180" spans="1:63" x14ac:dyDescent="0.45">
      <c r="A180" s="1">
        <v>44978</v>
      </c>
      <c r="B180">
        <v>197.37</v>
      </c>
      <c r="C180" s="1">
        <v>44978</v>
      </c>
      <c r="D180">
        <v>399.09</v>
      </c>
      <c r="E180" s="4">
        <f t="shared" si="49"/>
        <v>-5.2517882002784302E-2</v>
      </c>
      <c r="F180" s="4">
        <f t="shared" si="50"/>
        <v>-2.0060894760104149E-2</v>
      </c>
      <c r="G180">
        <f t="shared" ca="1" si="51"/>
        <v>-1.4293287955309832E-3</v>
      </c>
      <c r="H180">
        <f t="shared" ca="1" si="52"/>
        <v>4.344315017445375E-2</v>
      </c>
      <c r="I180">
        <f t="shared" ca="1" si="53"/>
        <v>-0.10707662221675217</v>
      </c>
      <c r="J180">
        <f t="shared" ca="1" si="54"/>
        <v>9.5184923847121627E-2</v>
      </c>
      <c r="K180">
        <f t="shared" ca="1" si="55"/>
        <v>0.98092004176885605</v>
      </c>
      <c r="L180">
        <f t="shared" ca="1" si="56"/>
        <v>0.93068091713606116</v>
      </c>
      <c r="M180">
        <f t="shared" ca="1" si="57"/>
        <v>-2.4903078736427791E-4</v>
      </c>
      <c r="N180">
        <f t="shared" ca="1" si="58"/>
        <v>1.5066360199284912E-2</v>
      </c>
      <c r="O180">
        <f t="shared" ca="1" si="59"/>
        <v>4.0373920502300292E-2</v>
      </c>
      <c r="P180">
        <f t="shared" ca="1" si="60"/>
        <v>0.68006530775958129</v>
      </c>
      <c r="Q180">
        <f t="shared" ca="1" si="61"/>
        <v>1.0035484677324409</v>
      </c>
      <c r="R180">
        <f t="shared" ca="1" si="62"/>
        <v>1.2028921469632363</v>
      </c>
      <c r="T180">
        <f t="shared" si="63"/>
        <v>0.94748211799721571</v>
      </c>
      <c r="U180" s="6">
        <f t="shared" ca="1" si="64"/>
        <v>1.0140258939580766</v>
      </c>
      <c r="V180">
        <f t="shared" ca="1" si="65"/>
        <v>1.104596161115643</v>
      </c>
      <c r="W180">
        <v>1.011143656806571</v>
      </c>
      <c r="X180" t="b">
        <f t="shared" ca="1" si="66"/>
        <v>1</v>
      </c>
      <c r="AS180">
        <v>0.65198407116399382</v>
      </c>
      <c r="AT180">
        <v>999</v>
      </c>
      <c r="AU180">
        <v>999</v>
      </c>
      <c r="AV180">
        <v>999</v>
      </c>
      <c r="AW180">
        <v>999</v>
      </c>
      <c r="AX180">
        <v>999</v>
      </c>
      <c r="AY180">
        <v>-2.9931323913802492</v>
      </c>
      <c r="AZ180">
        <v>999</v>
      </c>
      <c r="BA180">
        <v>-4.3980064034658062</v>
      </c>
      <c r="BB180">
        <v>-4.8635809923199247</v>
      </c>
      <c r="BC180">
        <v>999</v>
      </c>
      <c r="BD180">
        <v>9.0540525963905623</v>
      </c>
      <c r="BE180">
        <v>999</v>
      </c>
      <c r="BF180">
        <v>-4.578585758923019</v>
      </c>
      <c r="BJ180" t="b">
        <f t="shared" si="47"/>
        <v>1</v>
      </c>
      <c r="BK180" t="b">
        <f t="shared" ca="1" si="48"/>
        <v>1</v>
      </c>
    </row>
    <row r="181" spans="1:63" x14ac:dyDescent="0.45">
      <c r="A181" s="1">
        <v>44974</v>
      </c>
      <c r="B181">
        <v>208.31</v>
      </c>
      <c r="C181" s="1">
        <v>44974</v>
      </c>
      <c r="D181">
        <v>407.26</v>
      </c>
      <c r="E181" s="4">
        <f t="shared" si="49"/>
        <v>3.103345872104539E-2</v>
      </c>
      <c r="F181" s="4">
        <f t="shared" si="50"/>
        <v>-2.4982854903497155E-3</v>
      </c>
      <c r="G181">
        <f t="shared" ca="1" si="51"/>
        <v>-9.2824036049751323E-4</v>
      </c>
      <c r="H181">
        <f t="shared" ca="1" si="52"/>
        <v>4.3428886347884499E-2</v>
      </c>
      <c r="I181">
        <f t="shared" ca="1" si="53"/>
        <v>-0.12653620362267146</v>
      </c>
      <c r="J181">
        <f t="shared" ca="1" si="54"/>
        <v>0.10301249793975398</v>
      </c>
      <c r="K181">
        <f t="shared" ca="1" si="55"/>
        <v>0.98092004176885605</v>
      </c>
      <c r="L181">
        <f t="shared" ca="1" si="56"/>
        <v>0.95502237653767486</v>
      </c>
      <c r="M181">
        <f t="shared" ca="1" si="57"/>
        <v>3.5384445898527239E-6</v>
      </c>
      <c r="N181">
        <f t="shared" ca="1" si="58"/>
        <v>1.5155706132771873E-2</v>
      </c>
      <c r="O181">
        <f t="shared" ca="1" si="59"/>
        <v>4.2695188082868749E-2</v>
      </c>
      <c r="P181">
        <f t="shared" ca="1" si="60"/>
        <v>0.66045417729738265</v>
      </c>
      <c r="Q181">
        <f t="shared" ca="1" si="61"/>
        <v>1.0288368820742888</v>
      </c>
      <c r="R181">
        <f t="shared" ca="1" si="62"/>
        <v>1.2478011985852211</v>
      </c>
      <c r="T181">
        <f t="shared" si="63"/>
        <v>1.0310334587210455</v>
      </c>
      <c r="U181" s="6">
        <f t="shared" ca="1" si="64"/>
        <v>1.0580019300116816</v>
      </c>
      <c r="V181">
        <f t="shared" ca="1" si="65"/>
        <v>1.1067183134200644</v>
      </c>
      <c r="W181">
        <v>0.75448233402713338</v>
      </c>
      <c r="X181" t="b">
        <f t="shared" ca="1" si="66"/>
        <v>0</v>
      </c>
      <c r="AS181">
        <v>0.68571798357332625</v>
      </c>
      <c r="AT181">
        <v>999</v>
      </c>
      <c r="AU181">
        <v>-3.2578037830851914</v>
      </c>
      <c r="AV181">
        <v>999</v>
      </c>
      <c r="AW181">
        <v>-2.4550701706140998</v>
      </c>
      <c r="AX181">
        <v>2.772017084859558</v>
      </c>
      <c r="AY181">
        <v>-2.8955508229855811</v>
      </c>
      <c r="AZ181">
        <v>999</v>
      </c>
      <c r="BA181">
        <v>999</v>
      </c>
      <c r="BB181">
        <v>-2.6052646672300881</v>
      </c>
      <c r="BC181">
        <v>999</v>
      </c>
      <c r="BD181">
        <v>7.5798834552227365</v>
      </c>
      <c r="BE181">
        <v>-5.775855903803822</v>
      </c>
      <c r="BF181">
        <v>-4.2663512270715946</v>
      </c>
      <c r="BJ181" t="b">
        <f t="shared" si="47"/>
        <v>1</v>
      </c>
      <c r="BK181" t="b">
        <f t="shared" ca="1" si="48"/>
        <v>0</v>
      </c>
    </row>
    <row r="182" spans="1:63" x14ac:dyDescent="0.45">
      <c r="A182" s="1">
        <v>44973</v>
      </c>
      <c r="B182">
        <v>202.04</v>
      </c>
      <c r="C182" s="1">
        <v>44973</v>
      </c>
      <c r="D182">
        <v>408.28</v>
      </c>
      <c r="E182" s="4">
        <f t="shared" si="49"/>
        <v>-5.6945481702763333E-2</v>
      </c>
      <c r="F182" s="4">
        <f t="shared" si="50"/>
        <v>-1.3768781100536366E-2</v>
      </c>
      <c r="G182">
        <f t="shared" ca="1" si="51"/>
        <v>-1.0484717779647898E-3</v>
      </c>
      <c r="H182">
        <f t="shared" ca="1" si="52"/>
        <v>4.3373206778918642E-2</v>
      </c>
      <c r="I182">
        <f t="shared" ca="1" si="53"/>
        <v>-0.12062433579153352</v>
      </c>
      <c r="J182">
        <f t="shared" ca="1" si="54"/>
        <v>0.11627884190698845</v>
      </c>
      <c r="K182">
        <f t="shared" ca="1" si="55"/>
        <v>0.98092004176885605</v>
      </c>
      <c r="L182">
        <f t="shared" ca="1" si="56"/>
        <v>0.94628617804042325</v>
      </c>
      <c r="M182">
        <f t="shared" ca="1" si="57"/>
        <v>3.8950157700740221E-5</v>
      </c>
      <c r="N182">
        <f t="shared" ca="1" si="58"/>
        <v>1.5158105031120637E-2</v>
      </c>
      <c r="O182">
        <f t="shared" ca="1" si="59"/>
        <v>3.5758527968071628E-2</v>
      </c>
      <c r="P182">
        <f t="shared" ca="1" si="60"/>
        <v>0.6577732313308835</v>
      </c>
      <c r="Q182">
        <f t="shared" ca="1" si="61"/>
        <v>1.0288368820742888</v>
      </c>
      <c r="R182">
        <f t="shared" ca="1" si="62"/>
        <v>1.2478011985852211</v>
      </c>
      <c r="T182">
        <f t="shared" si="63"/>
        <v>0.94305451829723663</v>
      </c>
      <c r="U182" s="6">
        <f t="shared" ca="1" si="64"/>
        <v>0.97453212425236346</v>
      </c>
      <c r="V182">
        <f t="shared" ca="1" si="65"/>
        <v>1.2686926850093685</v>
      </c>
      <c r="W182">
        <v>1.0813198389605096</v>
      </c>
      <c r="X182" t="b">
        <f t="shared" ca="1" si="66"/>
        <v>0</v>
      </c>
      <c r="AS182">
        <v>0.70008640728611948</v>
      </c>
      <c r="AT182">
        <v>999</v>
      </c>
      <c r="AU182">
        <v>-2.3034064057226233</v>
      </c>
      <c r="AV182">
        <v>999</v>
      </c>
      <c r="AW182">
        <v>999</v>
      </c>
      <c r="AX182">
        <v>999</v>
      </c>
      <c r="AY182">
        <v>-2.6783273013948143</v>
      </c>
      <c r="AZ182">
        <v>999</v>
      </c>
      <c r="BA182">
        <v>-2.8666310424969148</v>
      </c>
      <c r="BB182">
        <v>-4.0337109601765162</v>
      </c>
      <c r="BC182">
        <v>999</v>
      </c>
      <c r="BD182">
        <v>7.4790130170666016</v>
      </c>
      <c r="BE182">
        <v>-2.1893220833086047</v>
      </c>
      <c r="BF182">
        <v>-3.2759887128811487</v>
      </c>
      <c r="BJ182" t="b">
        <f t="shared" si="47"/>
        <v>1</v>
      </c>
      <c r="BK182" t="b">
        <f t="shared" ca="1" si="48"/>
        <v>0</v>
      </c>
    </row>
    <row r="183" spans="1:63" x14ac:dyDescent="0.45">
      <c r="A183" s="1">
        <v>44972</v>
      </c>
      <c r="B183">
        <v>214.24</v>
      </c>
      <c r="C183" s="1">
        <v>44972</v>
      </c>
      <c r="D183">
        <v>413.98</v>
      </c>
      <c r="E183" s="4">
        <f t="shared" si="49"/>
        <v>2.3847072879330987E-2</v>
      </c>
      <c r="F183" s="4">
        <f t="shared" si="50"/>
        <v>3.2473827064754554E-3</v>
      </c>
      <c r="G183">
        <f t="shared" ca="1" si="51"/>
        <v>-5.7895730437326483E-4</v>
      </c>
      <c r="H183">
        <f t="shared" ca="1" si="52"/>
        <v>4.3273215280587946E-2</v>
      </c>
      <c r="I183">
        <f t="shared" ca="1" si="53"/>
        <v>-0.13996367534346216</v>
      </c>
      <c r="J183">
        <f t="shared" ca="1" si="54"/>
        <v>0.13973929819417741</v>
      </c>
      <c r="K183">
        <f t="shared" ca="1" si="55"/>
        <v>0.98092004176885605</v>
      </c>
      <c r="L183">
        <f t="shared" ca="1" si="56"/>
        <v>0.9623992049498602</v>
      </c>
      <c r="M183">
        <f t="shared" ca="1" si="57"/>
        <v>1.3789115058206308E-4</v>
      </c>
      <c r="N183">
        <f t="shared" ca="1" si="58"/>
        <v>1.513208448005459E-2</v>
      </c>
      <c r="O183">
        <f t="shared" ca="1" si="59"/>
        <v>2.0299167314518765E-2</v>
      </c>
      <c r="P183">
        <f t="shared" ca="1" si="60"/>
        <v>0.67904280410532891</v>
      </c>
      <c r="Q183">
        <f t="shared" ca="1" si="61"/>
        <v>1.0288368820742888</v>
      </c>
      <c r="R183">
        <f t="shared" ca="1" si="62"/>
        <v>1.2576792320499401</v>
      </c>
      <c r="T183">
        <f t="shared" si="63"/>
        <v>1.023847072879331</v>
      </c>
      <c r="U183" s="6">
        <f t="shared" ca="1" si="64"/>
        <v>1.06433503899846</v>
      </c>
      <c r="V183">
        <f t="shared" ca="1" si="65"/>
        <v>1.2664715518917533</v>
      </c>
      <c r="W183">
        <v>1.0225457988744688</v>
      </c>
      <c r="X183" t="b">
        <f t="shared" ca="1" si="66"/>
        <v>1</v>
      </c>
      <c r="AS183">
        <v>0.72098113505636585</v>
      </c>
      <c r="AT183">
        <v>999</v>
      </c>
      <c r="AU183">
        <v>-3.3432507851622835</v>
      </c>
      <c r="AV183">
        <v>999</v>
      </c>
      <c r="AW183">
        <v>-2.4802845463203607</v>
      </c>
      <c r="AX183">
        <v>2.8694008148412942</v>
      </c>
      <c r="AY183">
        <v>-3.3267473957233684</v>
      </c>
      <c r="AZ183">
        <v>999</v>
      </c>
      <c r="BA183">
        <v>999</v>
      </c>
      <c r="BB183">
        <v>-2.7695833343772223</v>
      </c>
      <c r="BC183">
        <v>999</v>
      </c>
      <c r="BD183">
        <v>8.012908627030324</v>
      </c>
      <c r="BE183">
        <v>-5.8532025585916063</v>
      </c>
      <c r="BF183">
        <v>-4.5672760916746782</v>
      </c>
      <c r="BJ183" t="b">
        <f t="shared" si="47"/>
        <v>1</v>
      </c>
      <c r="BK183" t="b">
        <f t="shared" ca="1" si="48"/>
        <v>1</v>
      </c>
    </row>
    <row r="184" spans="1:63" x14ac:dyDescent="0.45">
      <c r="A184" s="1">
        <v>44971</v>
      </c>
      <c r="B184">
        <v>209.25</v>
      </c>
      <c r="C184" s="1">
        <v>44971</v>
      </c>
      <c r="D184">
        <v>412.64</v>
      </c>
      <c r="E184" s="4">
        <f t="shared" si="49"/>
        <v>7.5061652281134483E-2</v>
      </c>
      <c r="F184" s="4">
        <f t="shared" si="50"/>
        <v>-4.6023787030980725E-4</v>
      </c>
      <c r="G184">
        <f t="shared" ca="1" si="51"/>
        <v>-7.3665381275818647E-4</v>
      </c>
      <c r="H184">
        <f t="shared" ca="1" si="52"/>
        <v>4.324121051224844E-2</v>
      </c>
      <c r="I184">
        <f t="shared" ca="1" si="53"/>
        <v>-0.13016091722987708</v>
      </c>
      <c r="J184">
        <f t="shared" ca="1" si="54"/>
        <v>0.14663766179604565</v>
      </c>
      <c r="K184">
        <f t="shared" ca="1" si="55"/>
        <v>0.98092004176885605</v>
      </c>
      <c r="L184">
        <f t="shared" ca="1" si="56"/>
        <v>0.9623992049498602</v>
      </c>
      <c r="M184">
        <f t="shared" ca="1" si="57"/>
        <v>-6.3124052377863833E-5</v>
      </c>
      <c r="N184">
        <f t="shared" ca="1" si="58"/>
        <v>1.5355943831713114E-2</v>
      </c>
      <c r="O184">
        <f t="shared" ca="1" si="59"/>
        <v>-1.2492437032257765E-2</v>
      </c>
      <c r="P184">
        <f t="shared" ca="1" si="60"/>
        <v>0.64114053191218412</v>
      </c>
      <c r="Q184">
        <f t="shared" ca="1" si="61"/>
        <v>0.99855864216940771</v>
      </c>
      <c r="R184">
        <f t="shared" ca="1" si="62"/>
        <v>1.2478011985852211</v>
      </c>
      <c r="T184">
        <f t="shared" si="63"/>
        <v>1.0750616522811345</v>
      </c>
      <c r="U184" s="6">
        <f t="shared" ca="1" si="64"/>
        <v>1.0632081703165488</v>
      </c>
      <c r="V184">
        <f t="shared" ca="1" si="65"/>
        <v>1.2605682119984154</v>
      </c>
      <c r="W184">
        <v>1.0609609808142402</v>
      </c>
      <c r="X184" t="b">
        <f t="shared" ca="1" si="66"/>
        <v>1</v>
      </c>
      <c r="AS184">
        <v>0.73028784050814155</v>
      </c>
      <c r="AT184">
        <v>999</v>
      </c>
      <c r="AU184">
        <v>-3.4747584369626114</v>
      </c>
      <c r="AV184">
        <v>999</v>
      </c>
      <c r="AW184">
        <v>-2.6828404399842918</v>
      </c>
      <c r="AX184">
        <v>2.9245736625337018</v>
      </c>
      <c r="AY184">
        <v>-3.3459135857691695</v>
      </c>
      <c r="AZ184">
        <v>999</v>
      </c>
      <c r="BA184">
        <v>999</v>
      </c>
      <c r="BB184">
        <v>-2.8920466602724426</v>
      </c>
      <c r="BC184">
        <v>999</v>
      </c>
      <c r="BD184">
        <v>8.1588694072134853</v>
      </c>
      <c r="BE184">
        <v>-6.0417875041109044</v>
      </c>
      <c r="BF184">
        <v>-4.6295827311357467</v>
      </c>
      <c r="BJ184" t="b">
        <f t="shared" si="47"/>
        <v>1</v>
      </c>
      <c r="BK184" t="b">
        <f t="shared" ca="1" si="48"/>
        <v>1</v>
      </c>
    </row>
    <row r="185" spans="1:63" x14ac:dyDescent="0.45">
      <c r="A185" s="1">
        <v>44970</v>
      </c>
      <c r="B185">
        <v>194.64</v>
      </c>
      <c r="C185" s="1">
        <v>44970</v>
      </c>
      <c r="D185">
        <v>412.83</v>
      </c>
      <c r="E185" s="4">
        <f t="shared" si="49"/>
        <v>-1.1427700746609783E-2</v>
      </c>
      <c r="F185" s="4">
        <f t="shared" si="50"/>
        <v>1.1739045191647788E-2</v>
      </c>
      <c r="G185">
        <f t="shared" ca="1" si="51"/>
        <v>-1.1346617341794459E-3</v>
      </c>
      <c r="H185">
        <f t="shared" ca="1" si="52"/>
        <v>4.29050637558923E-2</v>
      </c>
      <c r="I185">
        <f t="shared" ca="1" si="53"/>
        <v>-0.13312396262022114</v>
      </c>
      <c r="J185">
        <f t="shared" ca="1" si="54"/>
        <v>0.1918451108417778</v>
      </c>
      <c r="K185">
        <f t="shared" ca="1" si="55"/>
        <v>0.97677024401998336</v>
      </c>
      <c r="L185">
        <f t="shared" ca="1" si="56"/>
        <v>0.9210983801313456</v>
      </c>
      <c r="M185">
        <f t="shared" ca="1" si="57"/>
        <v>6.547425874136582E-5</v>
      </c>
      <c r="N185">
        <f t="shared" ca="1" si="58"/>
        <v>1.5459943936080517E-2</v>
      </c>
      <c r="O185">
        <f t="shared" ca="1" si="59"/>
        <v>-1.5143654921478773E-2</v>
      </c>
      <c r="P185">
        <f t="shared" ca="1" si="60"/>
        <v>0.58029204235446752</v>
      </c>
      <c r="Q185">
        <f t="shared" ca="1" si="61"/>
        <v>1.0017908229444079</v>
      </c>
      <c r="R185">
        <f t="shared" ca="1" si="62"/>
        <v>1.2558640706961282</v>
      </c>
      <c r="T185">
        <f t="shared" si="63"/>
        <v>0.98857229925339019</v>
      </c>
      <c r="U185" s="6">
        <f t="shared" ca="1" si="64"/>
        <v>0.99938385705483657</v>
      </c>
      <c r="V185">
        <f t="shared" ca="1" si="65"/>
        <v>1.2694182579734083</v>
      </c>
      <c r="W185">
        <v>1.1287181230241243</v>
      </c>
      <c r="X185" t="b">
        <f t="shared" ca="1" si="66"/>
        <v>0</v>
      </c>
      <c r="AS185">
        <v>0.70775823764144541</v>
      </c>
      <c r="AT185">
        <v>2.169042020635267</v>
      </c>
      <c r="AU185">
        <v>-2.9020710441540869</v>
      </c>
      <c r="AV185">
        <v>999</v>
      </c>
      <c r="AW185">
        <v>999</v>
      </c>
      <c r="AX185">
        <v>999</v>
      </c>
      <c r="AY185">
        <v>-3.1781787523689382</v>
      </c>
      <c r="AZ185">
        <v>999</v>
      </c>
      <c r="BA185">
        <v>-2.4642841806988476</v>
      </c>
      <c r="BB185">
        <v>-4.0005945826686453</v>
      </c>
      <c r="BC185">
        <v>999</v>
      </c>
      <c r="BD185">
        <v>7.0687675672430101</v>
      </c>
      <c r="BE185">
        <v>-2.5140074484480253</v>
      </c>
      <c r="BF185">
        <v>-4.1000424243691045</v>
      </c>
      <c r="BJ185" t="b">
        <f t="shared" si="47"/>
        <v>1</v>
      </c>
      <c r="BK185" t="b">
        <f t="shared" ca="1" si="48"/>
        <v>0</v>
      </c>
    </row>
    <row r="186" spans="1:63" x14ac:dyDescent="0.45">
      <c r="A186" s="1">
        <v>44967</v>
      </c>
      <c r="B186">
        <v>196.89</v>
      </c>
      <c r="C186" s="1">
        <v>44967</v>
      </c>
      <c r="D186">
        <v>408.04</v>
      </c>
      <c r="E186" s="4">
        <f t="shared" si="49"/>
        <v>-5.0308701524213809E-2</v>
      </c>
      <c r="F186" s="4">
        <f t="shared" si="50"/>
        <v>2.3336362966421319E-3</v>
      </c>
      <c r="G186">
        <f t="shared" ca="1" si="51"/>
        <v>-1.0484789366146715E-3</v>
      </c>
      <c r="H186">
        <f t="shared" ca="1" si="52"/>
        <v>4.2901595653487369E-2</v>
      </c>
      <c r="I186">
        <f t="shared" ca="1" si="53"/>
        <v>-0.13915205709350523</v>
      </c>
      <c r="J186">
        <f t="shared" ca="1" si="54"/>
        <v>0.19399441584283839</v>
      </c>
      <c r="K186">
        <f t="shared" ca="1" si="55"/>
        <v>0.97677024401998336</v>
      </c>
      <c r="L186">
        <f t="shared" ca="1" si="56"/>
        <v>0.9210983801313456</v>
      </c>
      <c r="M186">
        <f t="shared" ca="1" si="57"/>
        <v>2.0838153186875761E-5</v>
      </c>
      <c r="N186">
        <f t="shared" ca="1" si="58"/>
        <v>1.5438943635830399E-2</v>
      </c>
      <c r="O186">
        <f t="shared" ca="1" si="59"/>
        <v>-8.6100867199160012E-3</v>
      </c>
      <c r="P186">
        <f t="shared" ca="1" si="60"/>
        <v>0.59822038281663392</v>
      </c>
      <c r="Q186">
        <f t="shared" ca="1" si="61"/>
        <v>1.0017908229444079</v>
      </c>
      <c r="R186">
        <f t="shared" ca="1" si="62"/>
        <v>1.2478011985852211</v>
      </c>
      <c r="T186">
        <f t="shared" si="63"/>
        <v>0.94969129847578615</v>
      </c>
      <c r="U186" s="6">
        <f t="shared" ca="1" si="64"/>
        <v>1.0363722497104957</v>
      </c>
      <c r="V186">
        <f t="shared" ca="1" si="65"/>
        <v>1.2917417761931733</v>
      </c>
      <c r="W186">
        <v>1.1760538208084066</v>
      </c>
      <c r="X186" t="b">
        <f t="shared" ca="1" si="66"/>
        <v>1</v>
      </c>
      <c r="AS186">
        <v>0.70329371138120245</v>
      </c>
      <c r="AT186">
        <v>2.3392226050580427</v>
      </c>
      <c r="AU186">
        <v>-2.6933268425244625</v>
      </c>
      <c r="AV186">
        <v>999</v>
      </c>
      <c r="AW186">
        <v>999</v>
      </c>
      <c r="AX186">
        <v>999</v>
      </c>
      <c r="AY186">
        <v>-3.1575043299416552</v>
      </c>
      <c r="AZ186">
        <v>999</v>
      </c>
      <c r="BA186">
        <v>-2.6631702365429555</v>
      </c>
      <c r="BB186">
        <v>-3.9425168184394783</v>
      </c>
      <c r="BC186">
        <v>999</v>
      </c>
      <c r="BD186">
        <v>7.1581617052159929</v>
      </c>
      <c r="BE186">
        <v>-2.089788846764054</v>
      </c>
      <c r="BF186">
        <v>-4.3568026589594284</v>
      </c>
      <c r="BJ186" t="b">
        <f t="shared" si="47"/>
        <v>1</v>
      </c>
      <c r="BK186" t="b">
        <f t="shared" ca="1" si="48"/>
        <v>1</v>
      </c>
    </row>
    <row r="187" spans="1:63" x14ac:dyDescent="0.45">
      <c r="A187" s="1">
        <v>44966</v>
      </c>
      <c r="B187">
        <v>207.32</v>
      </c>
      <c r="C187" s="1">
        <v>44966</v>
      </c>
      <c r="D187">
        <v>407.09</v>
      </c>
      <c r="E187" s="4">
        <f t="shared" si="49"/>
        <v>2.9956778776889074E-2</v>
      </c>
      <c r="F187" s="4">
        <f t="shared" si="50"/>
        <v>-8.6691830025569273E-3</v>
      </c>
      <c r="G187">
        <f t="shared" ca="1" si="51"/>
        <v>-1.4061372578165023E-3</v>
      </c>
      <c r="H187">
        <f t="shared" ca="1" si="52"/>
        <v>4.3606702812916218E-2</v>
      </c>
      <c r="I187">
        <f t="shared" ca="1" si="53"/>
        <v>-0.20822454926361225</v>
      </c>
      <c r="J187">
        <f t="shared" ca="1" si="54"/>
        <v>0.27857461621195778</v>
      </c>
      <c r="K187">
        <f t="shared" ca="1" si="55"/>
        <v>0.91708493513129952</v>
      </c>
      <c r="L187">
        <f t="shared" ca="1" si="56"/>
        <v>0.9210983801313456</v>
      </c>
      <c r="M187">
        <f t="shared" ca="1" si="57"/>
        <v>-1.3563411688236545E-4</v>
      </c>
      <c r="N187">
        <f t="shared" ca="1" si="58"/>
        <v>1.5573383711509604E-2</v>
      </c>
      <c r="O187">
        <f t="shared" ca="1" si="59"/>
        <v>-1.0671804397697269E-2</v>
      </c>
      <c r="P187">
        <f t="shared" ca="1" si="60"/>
        <v>0.53506248331112038</v>
      </c>
      <c r="Q187">
        <f t="shared" ca="1" si="61"/>
        <v>0.90460822939961882</v>
      </c>
      <c r="R187">
        <f t="shared" ca="1" si="62"/>
        <v>1.2389115683462519</v>
      </c>
      <c r="T187">
        <f t="shared" si="63"/>
        <v>1.0299567787768891</v>
      </c>
      <c r="U187" s="6">
        <f t="shared" ca="1" si="64"/>
        <v>1.1011844691135069</v>
      </c>
      <c r="V187">
        <f t="shared" ca="1" si="65"/>
        <v>1.2808927570226198</v>
      </c>
      <c r="W187">
        <v>1.1929596936108808</v>
      </c>
      <c r="X187" t="b">
        <f t="shared" ca="1" si="66"/>
        <v>1</v>
      </c>
      <c r="AS187">
        <v>0.6936476763724394</v>
      </c>
      <c r="AT187">
        <v>999</v>
      </c>
      <c r="AU187">
        <v>-2.3380078139647047</v>
      </c>
      <c r="AV187">
        <v>999</v>
      </c>
      <c r="AW187">
        <v>999</v>
      </c>
      <c r="AX187">
        <v>999</v>
      </c>
      <c r="AY187">
        <v>-2.2050176526713092</v>
      </c>
      <c r="AZ187">
        <v>999</v>
      </c>
      <c r="BA187">
        <v>-4.9562465735094161</v>
      </c>
      <c r="BB187">
        <v>-4.8826864522954283</v>
      </c>
      <c r="BC187">
        <v>999</v>
      </c>
      <c r="BD187">
        <v>9.7425365716828249</v>
      </c>
      <c r="BE187">
        <v>999</v>
      </c>
      <c r="BF187">
        <v>-5.2687615354887924</v>
      </c>
      <c r="BJ187" t="b">
        <f t="shared" si="47"/>
        <v>1</v>
      </c>
      <c r="BK187" t="b">
        <f t="shared" ca="1" si="48"/>
        <v>1</v>
      </c>
    </row>
    <row r="188" spans="1:63" x14ac:dyDescent="0.45">
      <c r="A188" s="1">
        <v>44965</v>
      </c>
      <c r="B188">
        <v>201.29</v>
      </c>
      <c r="C188" s="1">
        <v>44965</v>
      </c>
      <c r="D188">
        <v>410.65</v>
      </c>
      <c r="E188" s="4">
        <f t="shared" si="49"/>
        <v>2.2763070982165488E-2</v>
      </c>
      <c r="F188" s="4">
        <f t="shared" si="50"/>
        <v>-1.0934752763794938E-2</v>
      </c>
      <c r="G188">
        <f t="shared" ca="1" si="51"/>
        <v>-1.5909044510559051E-3</v>
      </c>
      <c r="H188">
        <f t="shared" ca="1" si="52"/>
        <v>4.3551399493482114E-2</v>
      </c>
      <c r="I188">
        <f t="shared" ca="1" si="53"/>
        <v>-0.19806899944569653</v>
      </c>
      <c r="J188">
        <f t="shared" ca="1" si="54"/>
        <v>0.29056010099093932</v>
      </c>
      <c r="K188">
        <f t="shared" ca="1" si="55"/>
        <v>0.91708493513129952</v>
      </c>
      <c r="L188">
        <f t="shared" ca="1" si="56"/>
        <v>0.90666160717530198</v>
      </c>
      <c r="M188">
        <f t="shared" ca="1" si="57"/>
        <v>-6.330031340840381E-5</v>
      </c>
      <c r="N188">
        <f t="shared" ca="1" si="58"/>
        <v>1.5567144384763596E-2</v>
      </c>
      <c r="O188">
        <f t="shared" ca="1" si="59"/>
        <v>-2.3648092616303958E-2</v>
      </c>
      <c r="P188">
        <f t="shared" ca="1" si="60"/>
        <v>0.54076330503841197</v>
      </c>
      <c r="Q188">
        <f t="shared" ca="1" si="61"/>
        <v>0.90460822939961882</v>
      </c>
      <c r="R188">
        <f t="shared" ca="1" si="62"/>
        <v>1.2478011985852211</v>
      </c>
      <c r="T188">
        <f t="shared" si="63"/>
        <v>1.0227630709821656</v>
      </c>
      <c r="U188" s="6">
        <f t="shared" ca="1" si="64"/>
        <v>1.1095860206162835</v>
      </c>
      <c r="V188">
        <f t="shared" ca="1" si="65"/>
        <v>1.2886298473046964</v>
      </c>
      <c r="W188">
        <v>1.2188608515127166</v>
      </c>
      <c r="X188" t="b">
        <f t="shared" ca="1" si="66"/>
        <v>1</v>
      </c>
      <c r="AS188">
        <v>0.69114502246647169</v>
      </c>
      <c r="AT188">
        <v>2.763972251745844</v>
      </c>
      <c r="AU188">
        <v>999</v>
      </c>
      <c r="AV188">
        <v>999</v>
      </c>
      <c r="AW188">
        <v>999</v>
      </c>
      <c r="AX188">
        <v>-2.1261250892716475</v>
      </c>
      <c r="AY188">
        <v>-3.2762391225456096</v>
      </c>
      <c r="AZ188">
        <v>999</v>
      </c>
      <c r="BA188">
        <v>-4.7377265919722875</v>
      </c>
      <c r="BB188">
        <v>-4.871494048255518</v>
      </c>
      <c r="BC188">
        <v>999</v>
      </c>
      <c r="BD188">
        <v>10.379980371993991</v>
      </c>
      <c r="BE188">
        <v>999</v>
      </c>
      <c r="BF188">
        <v>-2.8498914546678846</v>
      </c>
      <c r="BJ188" t="b">
        <f t="shared" si="47"/>
        <v>1</v>
      </c>
      <c r="BK188" t="b">
        <f t="shared" ca="1" si="48"/>
        <v>1</v>
      </c>
    </row>
    <row r="189" spans="1:63" x14ac:dyDescent="0.45">
      <c r="A189" s="1">
        <v>44964</v>
      </c>
      <c r="B189">
        <v>196.81</v>
      </c>
      <c r="C189" s="1">
        <v>44964</v>
      </c>
      <c r="D189">
        <v>415.19</v>
      </c>
      <c r="E189" s="4">
        <f t="shared" si="49"/>
        <v>1.0525775313206056E-2</v>
      </c>
      <c r="F189" s="4">
        <f t="shared" si="50"/>
        <v>1.3078593563184769E-2</v>
      </c>
      <c r="G189">
        <f t="shared" ca="1" si="51"/>
        <v>-1.7232025276701754E-3</v>
      </c>
      <c r="H189">
        <f t="shared" ca="1" si="52"/>
        <v>4.3517221925241989E-2</v>
      </c>
      <c r="I189">
        <f t="shared" ca="1" si="53"/>
        <v>-0.19021375955981307</v>
      </c>
      <c r="J189">
        <f t="shared" ca="1" si="54"/>
        <v>0.29812837776100931</v>
      </c>
      <c r="K189">
        <f t="shared" ca="1" si="55"/>
        <v>0.91708493513129952</v>
      </c>
      <c r="L189">
        <f t="shared" ca="1" si="56"/>
        <v>0.90267505042183027</v>
      </c>
      <c r="M189">
        <f t="shared" ca="1" si="57"/>
        <v>-1.4582236751391406E-4</v>
      </c>
      <c r="N189">
        <f t="shared" ca="1" si="58"/>
        <v>1.5668479434248914E-2</v>
      </c>
      <c r="O189">
        <f t="shared" ca="1" si="59"/>
        <v>-3.2609617902817828E-2</v>
      </c>
      <c r="P189">
        <f t="shared" ca="1" si="60"/>
        <v>0.49506615127289644</v>
      </c>
      <c r="Q189">
        <f t="shared" ca="1" si="61"/>
        <v>0.90460822939961882</v>
      </c>
      <c r="R189">
        <f t="shared" ca="1" si="62"/>
        <v>1.2478011985852211</v>
      </c>
      <c r="T189">
        <f t="shared" si="63"/>
        <v>1.010525775313206</v>
      </c>
      <c r="U189" s="6">
        <f t="shared" ca="1" si="64"/>
        <v>1.1361851980140862</v>
      </c>
      <c r="V189">
        <f t="shared" ca="1" si="65"/>
        <v>1.3106179932094868</v>
      </c>
      <c r="W189">
        <v>1.2158547621954203</v>
      </c>
      <c r="X189" t="b">
        <f t="shared" ca="1" si="66"/>
        <v>1</v>
      </c>
      <c r="AS189">
        <v>0.6942646015116547</v>
      </c>
      <c r="AT189">
        <v>3.0404669260305641</v>
      </c>
      <c r="AU189">
        <v>999</v>
      </c>
      <c r="AV189">
        <v>999</v>
      </c>
      <c r="AW189">
        <v>999</v>
      </c>
      <c r="AX189">
        <v>-2.2468372395905671</v>
      </c>
      <c r="AY189">
        <v>-3.5016747305858242</v>
      </c>
      <c r="AZ189">
        <v>999</v>
      </c>
      <c r="BA189">
        <v>-4.6375907659493416</v>
      </c>
      <c r="BB189">
        <v>-5.0840089331625924</v>
      </c>
      <c r="BC189">
        <v>999</v>
      </c>
      <c r="BD189">
        <v>10.292768077515467</v>
      </c>
      <c r="BE189">
        <v>999</v>
      </c>
      <c r="BF189">
        <v>-3.0437644239909494</v>
      </c>
      <c r="BJ189" t="b">
        <f t="shared" si="47"/>
        <v>1</v>
      </c>
      <c r="BK189" t="b">
        <f t="shared" ca="1" si="48"/>
        <v>1</v>
      </c>
    </row>
    <row r="190" spans="1:63" x14ac:dyDescent="0.45">
      <c r="A190" s="1">
        <v>44963</v>
      </c>
      <c r="B190">
        <v>194.76</v>
      </c>
      <c r="C190" s="1">
        <v>44963</v>
      </c>
      <c r="D190">
        <v>409.83</v>
      </c>
      <c r="E190" s="4">
        <f t="shared" si="49"/>
        <v>2.5160543215075278E-2</v>
      </c>
      <c r="F190" s="4">
        <f t="shared" si="50"/>
        <v>-6.1113132048018397E-3</v>
      </c>
      <c r="G190">
        <f t="shared" ca="1" si="51"/>
        <v>-1.614242004328921E-3</v>
      </c>
      <c r="H190">
        <f t="shared" ca="1" si="52"/>
        <v>4.3575288948100491E-2</v>
      </c>
      <c r="I190">
        <f t="shared" ca="1" si="53"/>
        <v>-0.19472450191053309</v>
      </c>
      <c r="J190">
        <f t="shared" ca="1" si="54"/>
        <v>0.28418515121327337</v>
      </c>
      <c r="K190">
        <f t="shared" ca="1" si="55"/>
        <v>0.91708493513129952</v>
      </c>
      <c r="L190">
        <f t="shared" ca="1" si="56"/>
        <v>0.91787863280068338</v>
      </c>
      <c r="M190">
        <f t="shared" ca="1" si="57"/>
        <v>-2.8598316155366906E-4</v>
      </c>
      <c r="N190">
        <f t="shared" ca="1" si="58"/>
        <v>1.567496537649166E-2</v>
      </c>
      <c r="O190">
        <f t="shared" ca="1" si="59"/>
        <v>-1.2799583265316666E-2</v>
      </c>
      <c r="P190">
        <f t="shared" ca="1" si="60"/>
        <v>0.48974857343431744</v>
      </c>
      <c r="Q190">
        <f t="shared" ca="1" si="61"/>
        <v>0.90460822939961882</v>
      </c>
      <c r="R190">
        <f t="shared" ca="1" si="62"/>
        <v>1.1966033287507643</v>
      </c>
      <c r="T190">
        <f t="shared" si="63"/>
        <v>1.0251605432150752</v>
      </c>
      <c r="U190" s="6">
        <f t="shared" ca="1" si="64"/>
        <v>1.1686067442697707</v>
      </c>
      <c r="V190">
        <f t="shared" ca="1" si="65"/>
        <v>1.3151120064860922</v>
      </c>
      <c r="W190">
        <v>1.2311802281239221</v>
      </c>
      <c r="X190" t="b">
        <f t="shared" ca="1" si="66"/>
        <v>1</v>
      </c>
      <c r="AS190">
        <v>0.66982791886426596</v>
      </c>
      <c r="AT190">
        <v>3.1704950485256087</v>
      </c>
      <c r="AU190">
        <v>999</v>
      </c>
      <c r="AV190">
        <v>999</v>
      </c>
      <c r="AW190">
        <v>999</v>
      </c>
      <c r="AX190">
        <v>-2.2411935568202854</v>
      </c>
      <c r="AY190">
        <v>-3.5853426807559905</v>
      </c>
      <c r="AZ190">
        <v>999</v>
      </c>
      <c r="BA190">
        <v>-4.3482341341702773</v>
      </c>
      <c r="BB190">
        <v>-5.0970965375301196</v>
      </c>
      <c r="BC190">
        <v>999</v>
      </c>
      <c r="BD190">
        <v>9.5970997373298772</v>
      </c>
      <c r="BE190">
        <v>999</v>
      </c>
      <c r="BF190">
        <v>-3.0388567140844405</v>
      </c>
      <c r="BJ190" t="b">
        <f t="shared" si="47"/>
        <v>1</v>
      </c>
      <c r="BK190" t="b">
        <f t="shared" ca="1" si="48"/>
        <v>1</v>
      </c>
    </row>
    <row r="191" spans="1:63" x14ac:dyDescent="0.45">
      <c r="A191" s="1">
        <v>44960</v>
      </c>
      <c r="B191">
        <v>189.98</v>
      </c>
      <c r="C191" s="1">
        <v>44960</v>
      </c>
      <c r="D191">
        <v>412.35</v>
      </c>
      <c r="E191" s="4">
        <f t="shared" si="49"/>
        <v>9.0827003771178604E-3</v>
      </c>
      <c r="F191" s="4">
        <f t="shared" si="50"/>
        <v>-1.0629108882383873E-2</v>
      </c>
      <c r="G191">
        <f t="shared" ca="1" si="51"/>
        <v>-1.9878293356991317E-3</v>
      </c>
      <c r="H191">
        <f t="shared" ca="1" si="52"/>
        <v>4.3664783690880699E-2</v>
      </c>
      <c r="I191">
        <f t="shared" ca="1" si="53"/>
        <v>-0.17549131387335415</v>
      </c>
      <c r="J191">
        <f t="shared" ca="1" si="54"/>
        <v>0.25718295746263431</v>
      </c>
      <c r="K191">
        <f t="shared" ca="1" si="55"/>
        <v>0.91708493513129952</v>
      </c>
      <c r="L191">
        <f t="shared" ca="1" si="56"/>
        <v>0.8957560100437062</v>
      </c>
      <c r="M191">
        <f t="shared" ca="1" si="57"/>
        <v>-2.5913412743690456E-4</v>
      </c>
      <c r="N191">
        <f t="shared" ca="1" si="58"/>
        <v>1.5669535181564744E-2</v>
      </c>
      <c r="O191">
        <f t="shared" ca="1" si="59"/>
        <v>-1.774451221007118E-2</v>
      </c>
      <c r="P191">
        <f t="shared" ca="1" si="60"/>
        <v>0.49465898464621372</v>
      </c>
      <c r="Q191">
        <f t="shared" ca="1" si="61"/>
        <v>0.90460822939961882</v>
      </c>
      <c r="R191">
        <f t="shared" ca="1" si="62"/>
        <v>1.1966033287507643</v>
      </c>
      <c r="T191">
        <f t="shared" si="63"/>
        <v>1.0090827003771179</v>
      </c>
      <c r="U191" s="6">
        <f t="shared" ca="1" si="64"/>
        <v>1.0679033164699268</v>
      </c>
      <c r="V191">
        <f t="shared" ca="1" si="65"/>
        <v>1.279509787960198</v>
      </c>
      <c r="W191">
        <v>1.2133664924521432</v>
      </c>
      <c r="X191" t="b">
        <f t="shared" ca="1" si="66"/>
        <v>1</v>
      </c>
      <c r="AS191">
        <v>0.69094870034894362</v>
      </c>
      <c r="AT191">
        <v>3.7398498979531696</v>
      </c>
      <c r="AU191">
        <v>999</v>
      </c>
      <c r="AV191">
        <v>999</v>
      </c>
      <c r="AW191">
        <v>999</v>
      </c>
      <c r="AX191">
        <v>-2.1313068051372976</v>
      </c>
      <c r="AY191">
        <v>-4.0205259081110567</v>
      </c>
      <c r="AZ191">
        <v>999</v>
      </c>
      <c r="BA191">
        <v>-4.168505036314742</v>
      </c>
      <c r="BB191">
        <v>-5.24788328750234</v>
      </c>
      <c r="BC191">
        <v>999</v>
      </c>
      <c r="BD191">
        <v>9.9489038657209115</v>
      </c>
      <c r="BE191">
        <v>999</v>
      </c>
      <c r="BF191">
        <v>-3.5610264728768235</v>
      </c>
      <c r="BJ191" t="b">
        <f t="shared" si="47"/>
        <v>1</v>
      </c>
      <c r="BK191" t="b">
        <f t="shared" ca="1" si="48"/>
        <v>1</v>
      </c>
    </row>
    <row r="192" spans="1:63" x14ac:dyDescent="0.45">
      <c r="A192" s="1">
        <v>44959</v>
      </c>
      <c r="B192">
        <v>188.27</v>
      </c>
      <c r="C192" s="1">
        <v>44959</v>
      </c>
      <c r="D192">
        <v>416.78</v>
      </c>
      <c r="E192" s="4">
        <f t="shared" si="49"/>
        <v>3.7814894438013419E-2</v>
      </c>
      <c r="F192" s="4">
        <f t="shared" si="50"/>
        <v>1.4556962025316362E-2</v>
      </c>
      <c r="G192">
        <f t="shared" ca="1" si="51"/>
        <v>-1.9144423727782758E-3</v>
      </c>
      <c r="H192">
        <f t="shared" ca="1" si="52"/>
        <v>4.3695806369663664E-2</v>
      </c>
      <c r="I192">
        <f t="shared" ca="1" si="53"/>
        <v>-0.17925120400952824</v>
      </c>
      <c r="J192">
        <f t="shared" ca="1" si="54"/>
        <v>0.24962724502989841</v>
      </c>
      <c r="K192">
        <f t="shared" ca="1" si="55"/>
        <v>0.91708493513129952</v>
      </c>
      <c r="L192">
        <f t="shared" ca="1" si="56"/>
        <v>0.90959883692435595</v>
      </c>
      <c r="M192">
        <f t="shared" ca="1" si="57"/>
        <v>-1.2527529216031411E-4</v>
      </c>
      <c r="N192">
        <f t="shared" ca="1" si="58"/>
        <v>1.569483335354957E-2</v>
      </c>
      <c r="O192">
        <f t="shared" ca="1" si="59"/>
        <v>-3.624719231789221E-2</v>
      </c>
      <c r="P192">
        <f t="shared" ca="1" si="60"/>
        <v>0.47788909189522988</v>
      </c>
      <c r="Q192">
        <f t="shared" ca="1" si="61"/>
        <v>0.90460822939961882</v>
      </c>
      <c r="R192">
        <f t="shared" ca="1" si="62"/>
        <v>1.2478011985852211</v>
      </c>
      <c r="T192">
        <f t="shared" si="63"/>
        <v>1.0378148944380134</v>
      </c>
      <c r="U192" s="6">
        <f t="shared" ca="1" si="64"/>
        <v>1.1747051850003118</v>
      </c>
      <c r="V192">
        <f t="shared" ca="1" si="65"/>
        <v>1.309910872618385</v>
      </c>
      <c r="W192">
        <v>1.194459788615692</v>
      </c>
      <c r="X192" t="b">
        <f t="shared" ca="1" si="66"/>
        <v>1</v>
      </c>
      <c r="AS192">
        <v>0.68684577840590522</v>
      </c>
      <c r="AT192">
        <v>3.7511861641796869</v>
      </c>
      <c r="AU192">
        <v>999</v>
      </c>
      <c r="AV192">
        <v>999</v>
      </c>
      <c r="AW192">
        <v>999</v>
      </c>
      <c r="AX192">
        <v>-2.149061378511905</v>
      </c>
      <c r="AY192">
        <v>-4.0514452430637977</v>
      </c>
      <c r="AZ192">
        <v>999</v>
      </c>
      <c r="BA192">
        <v>-4.0976905826386254</v>
      </c>
      <c r="BB192">
        <v>-5.3525724085346154</v>
      </c>
      <c r="BC192">
        <v>999</v>
      </c>
      <c r="BD192">
        <v>9.3590378042019893</v>
      </c>
      <c r="BE192">
        <v>999</v>
      </c>
      <c r="BF192">
        <v>-3.378253707270563</v>
      </c>
      <c r="BJ192" t="b">
        <f t="shared" si="47"/>
        <v>1</v>
      </c>
      <c r="BK192" t="b">
        <f t="shared" ca="1" si="48"/>
        <v>1</v>
      </c>
    </row>
    <row r="193" spans="1:63" x14ac:dyDescent="0.45">
      <c r="A193" s="1">
        <v>44958</v>
      </c>
      <c r="B193">
        <v>181.41</v>
      </c>
      <c r="C193" s="1">
        <v>44958</v>
      </c>
      <c r="D193">
        <v>410.8</v>
      </c>
      <c r="E193" s="4">
        <f t="shared" si="49"/>
        <v>4.7280914444059567E-2</v>
      </c>
      <c r="F193" s="4">
        <f t="shared" si="50"/>
        <v>1.0627829167486698E-2</v>
      </c>
      <c r="G193">
        <f t="shared" ca="1" si="51"/>
        <v>-2.0055979638324232E-3</v>
      </c>
      <c r="H193">
        <f t="shared" ca="1" si="52"/>
        <v>4.3631477889175187E-2</v>
      </c>
      <c r="I193">
        <f t="shared" ca="1" si="53"/>
        <v>-0.17693924549150761</v>
      </c>
      <c r="J193">
        <f t="shared" ca="1" si="54"/>
        <v>0.26431389235758118</v>
      </c>
      <c r="K193">
        <f t="shared" ca="1" si="55"/>
        <v>0.91708493513129952</v>
      </c>
      <c r="L193">
        <f t="shared" ca="1" si="56"/>
        <v>0.8957560100437062</v>
      </c>
      <c r="M193">
        <f t="shared" ca="1" si="57"/>
        <v>-1.9600432211832187E-4</v>
      </c>
      <c r="N193">
        <f t="shared" ca="1" si="58"/>
        <v>1.5660170993233906E-2</v>
      </c>
      <c r="O193">
        <f t="shared" ca="1" si="59"/>
        <v>-2.6984886200232604E-2</v>
      </c>
      <c r="P193">
        <f t="shared" ca="1" si="60"/>
        <v>0.5045648915421248</v>
      </c>
      <c r="Q193">
        <f t="shared" ca="1" si="61"/>
        <v>0.90460822939961882</v>
      </c>
      <c r="R193">
        <f t="shared" ca="1" si="62"/>
        <v>1.2115233250691417</v>
      </c>
      <c r="T193">
        <f t="shared" si="63"/>
        <v>1.0472809144440596</v>
      </c>
      <c r="U193" s="6">
        <f t="shared" ca="1" si="64"/>
        <v>1.2560409887142563</v>
      </c>
      <c r="V193">
        <f t="shared" ca="1" si="65"/>
        <v>1.3507671161381354</v>
      </c>
      <c r="W193">
        <v>1.1484630514430649</v>
      </c>
      <c r="X193" t="b">
        <f t="shared" ca="1" si="66"/>
        <v>1</v>
      </c>
      <c r="AS193">
        <v>0.66821899689581976</v>
      </c>
      <c r="AT193">
        <v>3.2801281303744876</v>
      </c>
      <c r="AU193">
        <v>999</v>
      </c>
      <c r="AV193">
        <v>999</v>
      </c>
      <c r="AW193">
        <v>999</v>
      </c>
      <c r="AX193">
        <v>-2.3405399113141074</v>
      </c>
      <c r="AY193">
        <v>-3.6842504413822517</v>
      </c>
      <c r="AZ193">
        <v>999</v>
      </c>
      <c r="BA193">
        <v>-4.2148261142885373</v>
      </c>
      <c r="BB193">
        <v>-5.3751032553958726</v>
      </c>
      <c r="BC193">
        <v>999</v>
      </c>
      <c r="BD193">
        <v>8.5305979980813493</v>
      </c>
      <c r="BE193">
        <v>999</v>
      </c>
      <c r="BF193">
        <v>-2.8137080209782033</v>
      </c>
      <c r="BJ193" t="b">
        <f t="shared" si="47"/>
        <v>1</v>
      </c>
      <c r="BK193" t="b">
        <f t="shared" ca="1" si="48"/>
        <v>1</v>
      </c>
    </row>
    <row r="194" spans="1:63" x14ac:dyDescent="0.45">
      <c r="A194" s="1">
        <v>44957</v>
      </c>
      <c r="B194">
        <v>173.22</v>
      </c>
      <c r="C194" s="1">
        <v>44957</v>
      </c>
      <c r="D194">
        <v>406.48</v>
      </c>
      <c r="E194" s="4">
        <f t="shared" si="49"/>
        <v>3.9361574462978534E-2</v>
      </c>
      <c r="F194" s="4">
        <f t="shared" si="50"/>
        <v>1.4703312613894614E-2</v>
      </c>
      <c r="G194">
        <f t="shared" ca="1" si="51"/>
        <v>-2.4247690491546302E-3</v>
      </c>
      <c r="H194">
        <f t="shared" ca="1" si="52"/>
        <v>4.3558238575248327E-2</v>
      </c>
      <c r="I194">
        <f t="shared" ca="1" si="53"/>
        <v>-0.15855695190846059</v>
      </c>
      <c r="J194">
        <f t="shared" ca="1" si="54"/>
        <v>0.27339272984416318</v>
      </c>
      <c r="K194">
        <f t="shared" ca="1" si="55"/>
        <v>0.91708493513129952</v>
      </c>
      <c r="L194">
        <f t="shared" ca="1" si="56"/>
        <v>0.86731118227474735</v>
      </c>
      <c r="M194">
        <f t="shared" ca="1" si="57"/>
        <v>-3.1140238383854619E-4</v>
      </c>
      <c r="N194">
        <f t="shared" ca="1" si="58"/>
        <v>1.5665045355713569E-2</v>
      </c>
      <c r="O194">
        <f t="shared" ca="1" si="59"/>
        <v>-8.7414286658910531E-3</v>
      </c>
      <c r="P194">
        <f t="shared" ca="1" si="60"/>
        <v>0.50030958724762753</v>
      </c>
      <c r="Q194">
        <f t="shared" ca="1" si="61"/>
        <v>0.90460822939961882</v>
      </c>
      <c r="R194">
        <f t="shared" ca="1" si="62"/>
        <v>1.1519410918651871</v>
      </c>
      <c r="T194">
        <f t="shared" si="63"/>
        <v>1.0393615744629785</v>
      </c>
      <c r="U194" s="6">
        <f t="shared" ca="1" si="64"/>
        <v>1.2038362638126348</v>
      </c>
      <c r="V194">
        <f t="shared" ca="1" si="65"/>
        <v>1.3447856663284736</v>
      </c>
      <c r="W194">
        <v>1.1334369697920552</v>
      </c>
      <c r="X194" t="b">
        <f t="shared" ca="1" si="66"/>
        <v>1</v>
      </c>
      <c r="AS194">
        <v>0.64192261951756502</v>
      </c>
      <c r="AT194">
        <v>2.9086044174280943</v>
      </c>
      <c r="AU194">
        <v>999</v>
      </c>
      <c r="AV194">
        <v>999</v>
      </c>
      <c r="AW194">
        <v>999</v>
      </c>
      <c r="AX194">
        <v>-2.3872461286456015</v>
      </c>
      <c r="AY194">
        <v>-3.3944344608154635</v>
      </c>
      <c r="AZ194">
        <v>999</v>
      </c>
      <c r="BA194">
        <v>-4.2090184978768574</v>
      </c>
      <c r="BB194">
        <v>-5.2838491214775241</v>
      </c>
      <c r="BC194">
        <v>999</v>
      </c>
      <c r="BD194">
        <v>7.7091175373505898</v>
      </c>
      <c r="BE194">
        <v>999</v>
      </c>
      <c r="BF194">
        <v>-2.4035923594037403</v>
      </c>
      <c r="BJ194" t="b">
        <f t="shared" ref="BJ194:BJ257" si="67">ABS(W194-1)&gt;$S$21</f>
        <v>1</v>
      </c>
      <c r="BK194" t="b">
        <f t="shared" ref="BK194:BK257" ca="1" si="68">AND(X194,BJ194)</f>
        <v>1</v>
      </c>
    </row>
    <row r="195" spans="1:63" x14ac:dyDescent="0.45">
      <c r="A195" s="1">
        <v>44956</v>
      </c>
      <c r="B195">
        <v>166.66</v>
      </c>
      <c r="C195" s="1">
        <v>44956</v>
      </c>
      <c r="D195">
        <v>400.59</v>
      </c>
      <c r="E195" s="4">
        <f t="shared" ref="E195:E258" si="69">(B195-B196)/B196</f>
        <v>-6.3181562675660538E-2</v>
      </c>
      <c r="F195" s="4">
        <f t="shared" ref="F195:F258" si="70">(D195-D196)/D196</f>
        <v>-1.2546834943798145E-2</v>
      </c>
      <c r="G195">
        <f t="shared" ref="G195:G258" ca="1" si="71">AVERAGE(OFFSET(E195,0,0,$S$3,1))*$AK$25</f>
        <v>-2.4421299591644795E-3</v>
      </c>
      <c r="H195">
        <f t="shared" ref="H195:H258" ca="1" si="72">STDEV(OFFSET(E195,0,0,$S$3,1))*$AJ$25</f>
        <v>4.3542189186748535E-2</v>
      </c>
      <c r="I195">
        <f t="shared" ref="I195:I258" ca="1" si="73">SKEW(OFFSET(E195,0,0,$S$3,1))*$AI$25</f>
        <v>-0.15855210542953946</v>
      </c>
      <c r="J195">
        <f t="shared" ref="J195:J258" ca="1" si="74">KURT(OFFSET(E195,0,0,$S$3,1))*$AH$25</f>
        <v>0.27674219722499949</v>
      </c>
      <c r="K195">
        <f t="shared" ref="K195:K258" ca="1" si="75">PERCENTILE(OFFSET(E195,0,0,$S$3,1), 0.95)/ABS(PERCENTILE(OFFSET(E195,0,0,$S$3,1), 0.05))*$AG$25</f>
        <v>0.91708493513129952</v>
      </c>
      <c r="L195">
        <f t="shared" ref="L195:L258" ca="1" si="76">PERCENTILE(OFFSET(E195,0,0,$S$3,1), 0.75)/ABS(PERCENTILE(OFFSET(E195,0,0,$S$3,1), 0.25))*$AF$25</f>
        <v>0.86731118227474735</v>
      </c>
      <c r="M195">
        <f t="shared" ref="M195:M258" ca="1" si="77">AVERAGE(OFFSET(F195,0,0,$S$3,1))*$AE$25</f>
        <v>-3.2765092801641813E-4</v>
      </c>
      <c r="N195">
        <f t="shared" ref="N195:N258" ca="1" si="78">STDEV(OFFSET(F195,0,0,$S$3,1))*$AD$25</f>
        <v>1.5651072250231445E-2</v>
      </c>
      <c r="O195">
        <f t="shared" ref="O195:O258" ca="1" si="79">SKEW(OFFSET(F195,0,0,$S$3,1))*$AC$25</f>
        <v>-7.9444178189916111E-3</v>
      </c>
      <c r="P195">
        <f t="shared" ref="P195:P258" ca="1" si="80">KURT(OFFSET(F195,0,0,$S$3,1))*$AB$25</f>
        <v>0.51021676364479607</v>
      </c>
      <c r="Q195">
        <f t="shared" ref="Q195:Q258" ca="1" si="81">PERCENTILE(OFFSET(F195,0,0,$S$3,1), 0.95)/ABS(PERCENTILE(OFFSET(F195,0,0,$S$3,1), 0.05))*$AA$25</f>
        <v>0.90460822939961882</v>
      </c>
      <c r="R195">
        <f t="shared" ref="R195:R258" ca="1" si="82">PERCENTILE(OFFSET(F195,0,0,$S$3,1), 0.75)/ABS(PERCENTILE(OFFSET(F195,0,0,$S$3,1), 0.25))*$Z$25</f>
        <v>1.1519410918651871</v>
      </c>
      <c r="T195">
        <f t="shared" ref="T195:T258" si="83">E195+1</f>
        <v>0.93681843732433945</v>
      </c>
      <c r="U195" s="6">
        <f t="shared" ref="U195:U258" ca="1" si="84">PRODUCT(OFFSET(T195,0,0,$S$6,1))</f>
        <v>1.1593739130434786</v>
      </c>
      <c r="V195">
        <f t="shared" ref="V195:V258" ca="1" si="85">OFFSET(G195,$S$6,0) * $AK$2+ OFFSET(H195,$S$6,0)  * $AJ$2 + OFFSET(I195,$S$6,0) * $AI$2 + OFFSET(J195,$S$6,0) * $AH$2 + OFFSET(K195,$S$6,0) * $AG$2 + OFFSET(L195,$S$6,0) * $AF$2 + OFFSET(M195,$S$6,0) * $AE$2 + OFFSET(N195,$S$6,0) * $AD$2 + OFFSET(O195,$S$6,0) * $AC$2 + OFFSET(P195,$S$6,0) * $AB$2 +  OFFSET(Q195,$S$6,0) * $AA$2 + OFFSET(R195,$S$6,0)  * $Z$2  + AL$2</f>
        <v>1.3590877532521812</v>
      </c>
      <c r="W195">
        <v>1.1352901777465236</v>
      </c>
      <c r="X195" t="b">
        <f t="shared" ref="X195:X258" ca="1" si="86">OR(AND(U195&gt;1, W195&gt;1), AND(U195&lt;1, W195&lt;1))</f>
        <v>1</v>
      </c>
      <c r="AS195">
        <v>0.61999741283023491</v>
      </c>
      <c r="AT195">
        <v>2.8337505751369529</v>
      </c>
      <c r="AU195">
        <v>999</v>
      </c>
      <c r="AV195">
        <v>999</v>
      </c>
      <c r="AW195">
        <v>999</v>
      </c>
      <c r="AX195">
        <v>-2.2285728304117414</v>
      </c>
      <c r="AY195">
        <v>-3.3533428338340161</v>
      </c>
      <c r="AZ195">
        <v>999</v>
      </c>
      <c r="BA195">
        <v>-4.1279631291491947</v>
      </c>
      <c r="BB195">
        <v>-5.1338071299133237</v>
      </c>
      <c r="BC195">
        <v>999</v>
      </c>
      <c r="BD195">
        <v>7.1589375671673565</v>
      </c>
      <c r="BE195">
        <v>999</v>
      </c>
      <c r="BF195">
        <v>-2.3364340462264153</v>
      </c>
      <c r="BJ195" t="b">
        <f t="shared" si="67"/>
        <v>1</v>
      </c>
      <c r="BK195" t="b">
        <f t="shared" ca="1" si="68"/>
        <v>1</v>
      </c>
    </row>
    <row r="196" spans="1:63" x14ac:dyDescent="0.45">
      <c r="A196" s="1">
        <v>44953</v>
      </c>
      <c r="B196">
        <v>177.9</v>
      </c>
      <c r="C196" s="1">
        <v>44953</v>
      </c>
      <c r="D196">
        <v>405.68</v>
      </c>
      <c r="E196" s="4">
        <f t="shared" si="69"/>
        <v>0.11000187184126782</v>
      </c>
      <c r="F196" s="4">
        <f t="shared" si="70"/>
        <v>2.29771463866586E-3</v>
      </c>
      <c r="G196">
        <f t="shared" ca="1" si="71"/>
        <v>-2.0697683017604786E-3</v>
      </c>
      <c r="H196">
        <f t="shared" ca="1" si="72"/>
        <v>4.3338106804410831E-2</v>
      </c>
      <c r="I196">
        <f t="shared" ca="1" si="73"/>
        <v>-0.17270433064100241</v>
      </c>
      <c r="J196">
        <f t="shared" ca="1" si="74"/>
        <v>0.32543881963918952</v>
      </c>
      <c r="K196">
        <f t="shared" ca="1" si="75"/>
        <v>0.91708493513129952</v>
      </c>
      <c r="L196">
        <f t="shared" ca="1" si="76"/>
        <v>0.88185388647708296</v>
      </c>
      <c r="M196">
        <f t="shared" ca="1" si="77"/>
        <v>-2.8344284895118243E-4</v>
      </c>
      <c r="N196">
        <f t="shared" ca="1" si="78"/>
        <v>1.5628855719954003E-2</v>
      </c>
      <c r="O196">
        <f t="shared" ca="1" si="79"/>
        <v>-1.417536306030789E-2</v>
      </c>
      <c r="P196">
        <f t="shared" ca="1" si="80"/>
        <v>0.52866968747620957</v>
      </c>
      <c r="Q196">
        <f t="shared" ca="1" si="81"/>
        <v>0.90460822939961882</v>
      </c>
      <c r="R196">
        <f t="shared" ca="1" si="82"/>
        <v>1.1663042115696587</v>
      </c>
      <c r="T196">
        <f t="shared" si="83"/>
        <v>1.1100018718412679</v>
      </c>
      <c r="U196" s="6">
        <f t="shared" ca="1" si="84"/>
        <v>1.3333833008544447</v>
      </c>
      <c r="V196">
        <f t="shared" ca="1" si="85"/>
        <v>1.3802540564544201</v>
      </c>
      <c r="W196">
        <v>1.133990623511326</v>
      </c>
      <c r="X196" t="b">
        <f t="shared" ca="1" si="86"/>
        <v>1</v>
      </c>
      <c r="AS196">
        <v>0.58826479208851623</v>
      </c>
      <c r="AT196">
        <v>2.9003499166098763</v>
      </c>
      <c r="AU196">
        <v>999</v>
      </c>
      <c r="AV196">
        <v>999</v>
      </c>
      <c r="AW196">
        <v>999</v>
      </c>
      <c r="AX196">
        <v>-2.0445167452555437</v>
      </c>
      <c r="AY196">
        <v>-3.4727760041209526</v>
      </c>
      <c r="AZ196">
        <v>999</v>
      </c>
      <c r="BA196">
        <v>-3.930731507512097</v>
      </c>
      <c r="BB196">
        <v>-4.9746989075932291</v>
      </c>
      <c r="BC196">
        <v>999</v>
      </c>
      <c r="BD196">
        <v>6.7962385710653672</v>
      </c>
      <c r="BE196">
        <v>999</v>
      </c>
      <c r="BF196">
        <v>-2.3092496790528103</v>
      </c>
      <c r="BJ196" t="b">
        <f t="shared" si="67"/>
        <v>1</v>
      </c>
      <c r="BK196" t="b">
        <f t="shared" ca="1" si="68"/>
        <v>1</v>
      </c>
    </row>
    <row r="197" spans="1:63" x14ac:dyDescent="0.45">
      <c r="A197" s="1">
        <v>44952</v>
      </c>
      <c r="B197">
        <v>160.27000000000001</v>
      </c>
      <c r="C197" s="1">
        <v>44952</v>
      </c>
      <c r="D197">
        <v>404.75</v>
      </c>
      <c r="E197" s="4">
        <f t="shared" si="69"/>
        <v>0.10967250571210969</v>
      </c>
      <c r="F197" s="4">
        <f t="shared" si="70"/>
        <v>1.0990383414512245E-2</v>
      </c>
      <c r="G197">
        <f t="shared" ca="1" si="71"/>
        <v>-2.8614182425424541E-3</v>
      </c>
      <c r="H197">
        <f t="shared" ca="1" si="72"/>
        <v>4.2722344728881409E-2</v>
      </c>
      <c r="I197">
        <f t="shared" ca="1" si="73"/>
        <v>-0.22219435935072021</v>
      </c>
      <c r="J197">
        <f t="shared" ca="1" si="74"/>
        <v>0.26698354434849403</v>
      </c>
      <c r="K197">
        <f t="shared" ca="1" si="75"/>
        <v>0.90979613652393754</v>
      </c>
      <c r="L197">
        <f t="shared" ca="1" si="76"/>
        <v>0.82186519213411036</v>
      </c>
      <c r="M197">
        <f t="shared" ca="1" si="77"/>
        <v>-3.8039291420161986E-4</v>
      </c>
      <c r="N197">
        <f t="shared" ca="1" si="78"/>
        <v>1.5672842510627946E-2</v>
      </c>
      <c r="O197">
        <f t="shared" ca="1" si="79"/>
        <v>-1.5953019045843748E-3</v>
      </c>
      <c r="P197">
        <f t="shared" ca="1" si="80"/>
        <v>0.49528192651359371</v>
      </c>
      <c r="Q197">
        <f t="shared" ca="1" si="81"/>
        <v>0.90460822939961882</v>
      </c>
      <c r="R197">
        <f t="shared" ca="1" si="82"/>
        <v>1.1519410918651871</v>
      </c>
      <c r="T197">
        <f t="shared" si="83"/>
        <v>1.1096725057121097</v>
      </c>
      <c r="U197" s="6">
        <f t="shared" ca="1" si="84"/>
        <v>1.2602815129354408</v>
      </c>
      <c r="V197">
        <f t="shared" ca="1" si="85"/>
        <v>1.3898929613041244</v>
      </c>
      <c r="W197">
        <v>1.1281542033947389</v>
      </c>
      <c r="X197" t="b">
        <f t="shared" ca="1" si="86"/>
        <v>1</v>
      </c>
      <c r="AS197">
        <v>0.58414193129888159</v>
      </c>
      <c r="AT197">
        <v>999</v>
      </c>
      <c r="AU197">
        <v>-4.1312762916205141</v>
      </c>
      <c r="AV197">
        <v>-4.1025683590020945</v>
      </c>
      <c r="AW197">
        <v>2.7167817635236844</v>
      </c>
      <c r="AX197">
        <v>-3.1023100110035515</v>
      </c>
      <c r="AY197">
        <v>999</v>
      </c>
      <c r="AZ197">
        <v>-2.0256522731410453</v>
      </c>
      <c r="BA197">
        <v>-3.056438982074567</v>
      </c>
      <c r="BB197">
        <v>-4.6337353539204855</v>
      </c>
      <c r="BC197">
        <v>999</v>
      </c>
      <c r="BD197">
        <v>5.6482967634185801</v>
      </c>
      <c r="BE197">
        <v>999</v>
      </c>
      <c r="BF197">
        <v>0.73696671899527944</v>
      </c>
      <c r="BJ197" t="b">
        <f t="shared" si="67"/>
        <v>1</v>
      </c>
      <c r="BK197" t="b">
        <f t="shared" ca="1" si="68"/>
        <v>1</v>
      </c>
    </row>
    <row r="198" spans="1:63" x14ac:dyDescent="0.45">
      <c r="A198" s="1">
        <v>44951</v>
      </c>
      <c r="B198">
        <v>144.43</v>
      </c>
      <c r="C198" s="1">
        <v>44951</v>
      </c>
      <c r="D198">
        <v>400.35</v>
      </c>
      <c r="E198" s="4">
        <f t="shared" si="69"/>
        <v>3.752866773229693E-3</v>
      </c>
      <c r="F198" s="4">
        <f t="shared" si="70"/>
        <v>3.7481259370323369E-4</v>
      </c>
      <c r="G198">
        <f t="shared" ca="1" si="71"/>
        <v>-3.5600276356396359E-3</v>
      </c>
      <c r="H198">
        <f t="shared" ca="1" si="72"/>
        <v>4.2009345628626876E-2</v>
      </c>
      <c r="I198">
        <f t="shared" ca="1" si="73"/>
        <v>-0.28225056313915431</v>
      </c>
      <c r="J198">
        <f t="shared" ca="1" si="74"/>
        <v>0.21103638006504033</v>
      </c>
      <c r="K198">
        <f t="shared" ca="1" si="75"/>
        <v>0.87077087515047458</v>
      </c>
      <c r="L198">
        <f t="shared" ca="1" si="76"/>
        <v>0.80300191740517934</v>
      </c>
      <c r="M198">
        <f t="shared" ca="1" si="77"/>
        <v>-4.4871470893980032E-4</v>
      </c>
      <c r="N198">
        <f t="shared" ca="1" si="78"/>
        <v>1.5652795738789211E-2</v>
      </c>
      <c r="O198">
        <f t="shared" ca="1" si="79"/>
        <v>9.6635978423960673E-3</v>
      </c>
      <c r="P198">
        <f t="shared" ca="1" si="80"/>
        <v>0.51207157341033094</v>
      </c>
      <c r="Q198">
        <f t="shared" ca="1" si="81"/>
        <v>0.90460822939961882</v>
      </c>
      <c r="R198">
        <f t="shared" ca="1" si="82"/>
        <v>1.130033991434465</v>
      </c>
      <c r="T198">
        <f t="shared" si="83"/>
        <v>1.0037528667732296</v>
      </c>
      <c r="U198" s="6">
        <f t="shared" ca="1" si="84"/>
        <v>1.1215250815343998</v>
      </c>
      <c r="V198">
        <f t="shared" ca="1" si="85"/>
        <v>1.3780382324535179</v>
      </c>
      <c r="W198">
        <v>1.1186984592575793</v>
      </c>
      <c r="X198" t="b">
        <f t="shared" ca="1" si="86"/>
        <v>1</v>
      </c>
      <c r="AS198">
        <v>0.57290654285064446</v>
      </c>
      <c r="AT198">
        <v>999</v>
      </c>
      <c r="AU198">
        <v>-5.0333537498375573</v>
      </c>
      <c r="AV198">
        <v>-4.2888037297403301</v>
      </c>
      <c r="AW198">
        <v>2.9812988705653307</v>
      </c>
      <c r="AX198">
        <v>-2.9822491750398745</v>
      </c>
      <c r="AY198">
        <v>999</v>
      </c>
      <c r="AZ198">
        <v>-2.0615492643605267</v>
      </c>
      <c r="BA198">
        <v>-3.0663872825972081</v>
      </c>
      <c r="BB198">
        <v>-4.551639115602387</v>
      </c>
      <c r="BC198">
        <v>999</v>
      </c>
      <c r="BD198">
        <v>5.6180399859811647</v>
      </c>
      <c r="BE198">
        <v>999</v>
      </c>
      <c r="BF198">
        <v>0.7690441202454934</v>
      </c>
      <c r="BJ198" t="b">
        <f t="shared" si="67"/>
        <v>1</v>
      </c>
      <c r="BK198" t="b">
        <f t="shared" ca="1" si="68"/>
        <v>1</v>
      </c>
    </row>
    <row r="199" spans="1:63" x14ac:dyDescent="0.45">
      <c r="A199" s="1">
        <v>44950</v>
      </c>
      <c r="B199">
        <v>143.88999999999999</v>
      </c>
      <c r="C199" s="1">
        <v>44950</v>
      </c>
      <c r="D199">
        <v>400.2</v>
      </c>
      <c r="E199" s="4">
        <f t="shared" si="69"/>
        <v>9.7391304347816592E-4</v>
      </c>
      <c r="F199" s="4">
        <f t="shared" si="70"/>
        <v>-1.0733095374784885E-3</v>
      </c>
      <c r="G199">
        <f t="shared" ca="1" si="71"/>
        <v>-3.5238128681623609E-3</v>
      </c>
      <c r="H199">
        <f t="shared" ca="1" si="72"/>
        <v>4.201880237726096E-2</v>
      </c>
      <c r="I199">
        <f t="shared" ca="1" si="73"/>
        <v>-0.28448751812819756</v>
      </c>
      <c r="J199">
        <f t="shared" ca="1" si="74"/>
        <v>0.20917138422493142</v>
      </c>
      <c r="K199">
        <f t="shared" ca="1" si="75"/>
        <v>0.87077087515047458</v>
      </c>
      <c r="L199">
        <f t="shared" ca="1" si="76"/>
        <v>0.80300191740517934</v>
      </c>
      <c r="M199">
        <f t="shared" ca="1" si="77"/>
        <v>-4.2539393181156827E-4</v>
      </c>
      <c r="N199">
        <f t="shared" ca="1" si="78"/>
        <v>1.5657502667438882E-2</v>
      </c>
      <c r="O199">
        <f t="shared" ca="1" si="79"/>
        <v>5.3592448055982114E-3</v>
      </c>
      <c r="P199">
        <f t="shared" ca="1" si="80"/>
        <v>0.5078271167367574</v>
      </c>
      <c r="Q199">
        <f t="shared" ca="1" si="81"/>
        <v>0.90460822939961882</v>
      </c>
      <c r="R199">
        <f t="shared" ca="1" si="82"/>
        <v>1.130033991434465</v>
      </c>
      <c r="T199">
        <f t="shared" si="83"/>
        <v>1.0009739130434783</v>
      </c>
      <c r="U199" s="6">
        <f t="shared" ca="1" si="84"/>
        <v>1.0943037493345502</v>
      </c>
      <c r="V199">
        <f t="shared" ca="1" si="85"/>
        <v>1.375788403582118</v>
      </c>
      <c r="W199">
        <v>1.1184009108173942</v>
      </c>
      <c r="X199" t="b">
        <f t="shared" ca="1" si="86"/>
        <v>1</v>
      </c>
      <c r="AS199">
        <v>0.56254939109492752</v>
      </c>
      <c r="AT199">
        <v>999</v>
      </c>
      <c r="AU199">
        <v>-5.5796586654550371</v>
      </c>
      <c r="AV199">
        <v>-4.3556770543151071</v>
      </c>
      <c r="AW199">
        <v>3.1185482297630069</v>
      </c>
      <c r="AX199">
        <v>-2.9145822144116944</v>
      </c>
      <c r="AY199">
        <v>999</v>
      </c>
      <c r="AZ199">
        <v>-2.0398310363833461</v>
      </c>
      <c r="BA199">
        <v>-3.0992075726789063</v>
      </c>
      <c r="BB199">
        <v>-4.5238477512547837</v>
      </c>
      <c r="BC199">
        <v>999</v>
      </c>
      <c r="BD199">
        <v>5.6084363419133831</v>
      </c>
      <c r="BE199">
        <v>999</v>
      </c>
      <c r="BF199">
        <v>0.74363563760581219</v>
      </c>
      <c r="BJ199" t="b">
        <f t="shared" si="67"/>
        <v>1</v>
      </c>
      <c r="BK199" t="b">
        <f t="shared" ca="1" si="68"/>
        <v>1</v>
      </c>
    </row>
    <row r="200" spans="1:63" x14ac:dyDescent="0.45">
      <c r="A200" s="1">
        <v>44949</v>
      </c>
      <c r="B200">
        <v>143.75</v>
      </c>
      <c r="C200" s="1">
        <v>44949</v>
      </c>
      <c r="D200">
        <v>400.63</v>
      </c>
      <c r="E200" s="4">
        <f t="shared" si="69"/>
        <v>7.7424673961924845E-2</v>
      </c>
      <c r="F200" s="4">
        <f t="shared" si="70"/>
        <v>1.1998585429928261E-2</v>
      </c>
      <c r="G200">
        <f t="shared" ca="1" si="71"/>
        <v>-3.7371480680274379E-3</v>
      </c>
      <c r="H200">
        <f t="shared" ca="1" si="72"/>
        <v>4.2104078718779699E-2</v>
      </c>
      <c r="I200">
        <f t="shared" ca="1" si="73"/>
        <v>-0.27119605145872033</v>
      </c>
      <c r="J200">
        <f t="shared" ca="1" si="74"/>
        <v>0.18061199374070247</v>
      </c>
      <c r="K200">
        <f t="shared" ca="1" si="75"/>
        <v>0.87077087515047458</v>
      </c>
      <c r="L200">
        <f t="shared" ca="1" si="76"/>
        <v>0.79709878704321346</v>
      </c>
      <c r="M200">
        <f t="shared" ca="1" si="77"/>
        <v>-4.7002405840304866E-4</v>
      </c>
      <c r="N200">
        <f t="shared" ca="1" si="78"/>
        <v>1.5672073351998494E-2</v>
      </c>
      <c r="O200">
        <f t="shared" ca="1" si="79"/>
        <v>1.28170447136497E-2</v>
      </c>
      <c r="P200">
        <f t="shared" ca="1" si="80"/>
        <v>0.49545019478276631</v>
      </c>
      <c r="Q200">
        <f t="shared" ca="1" si="81"/>
        <v>0.90460822939961882</v>
      </c>
      <c r="R200">
        <f t="shared" ca="1" si="82"/>
        <v>1.084115004980249</v>
      </c>
      <c r="T200">
        <f t="shared" si="83"/>
        <v>1.0774246739619249</v>
      </c>
      <c r="U200" s="6">
        <f t="shared" ca="1" si="84"/>
        <v>1.1744281045751634</v>
      </c>
      <c r="V200">
        <f t="shared" ca="1" si="85"/>
        <v>1.3901816238495694</v>
      </c>
      <c r="W200">
        <v>1.0774743035505145</v>
      </c>
      <c r="X200" t="b">
        <f t="shared" ca="1" si="86"/>
        <v>1</v>
      </c>
      <c r="AS200">
        <v>0.55292125333748954</v>
      </c>
      <c r="AT200">
        <v>999</v>
      </c>
      <c r="AU200">
        <v>-5.7946833621434335</v>
      </c>
      <c r="AV200">
        <v>-4.5218690465378444</v>
      </c>
      <c r="AW200">
        <v>3.0297455493460927</v>
      </c>
      <c r="AX200">
        <v>-2.9794803375428005</v>
      </c>
      <c r="AY200">
        <v>999</v>
      </c>
      <c r="AZ200">
        <v>-2.1871744292313866</v>
      </c>
      <c r="BA200">
        <v>-2.6857060832579145</v>
      </c>
      <c r="BB200">
        <v>-4.7112775553501196</v>
      </c>
      <c r="BC200">
        <v>999</v>
      </c>
      <c r="BD200">
        <v>5.6590717396004599</v>
      </c>
      <c r="BE200">
        <v>999</v>
      </c>
      <c r="BF200">
        <v>0.72596015377217371</v>
      </c>
      <c r="BJ200" t="b">
        <f t="shared" si="67"/>
        <v>1</v>
      </c>
      <c r="BK200" t="b">
        <f t="shared" ca="1" si="68"/>
        <v>1</v>
      </c>
    </row>
    <row r="201" spans="1:63" x14ac:dyDescent="0.45">
      <c r="A201" s="1">
        <v>44946</v>
      </c>
      <c r="B201">
        <v>133.41999999999999</v>
      </c>
      <c r="C201" s="1">
        <v>44946</v>
      </c>
      <c r="D201">
        <v>395.88</v>
      </c>
      <c r="E201" s="4">
        <f t="shared" si="69"/>
        <v>4.914681135487918E-2</v>
      </c>
      <c r="F201" s="4">
        <f t="shared" si="70"/>
        <v>1.8629065459036663E-2</v>
      </c>
      <c r="G201">
        <f t="shared" ca="1" si="71"/>
        <v>-4.360824550977649E-3</v>
      </c>
      <c r="H201">
        <f t="shared" ca="1" si="72"/>
        <v>4.1818676994327446E-2</v>
      </c>
      <c r="I201">
        <f t="shared" ca="1" si="73"/>
        <v>-0.27443887075813694</v>
      </c>
      <c r="J201">
        <f t="shared" ca="1" si="74"/>
        <v>0.18413961845635107</v>
      </c>
      <c r="K201">
        <f t="shared" ca="1" si="75"/>
        <v>0.76980677568832867</v>
      </c>
      <c r="L201">
        <f t="shared" ca="1" si="76"/>
        <v>0.75131078927450801</v>
      </c>
      <c r="M201">
        <f t="shared" ca="1" si="77"/>
        <v>-5.9317372810960777E-4</v>
      </c>
      <c r="N201">
        <f t="shared" ca="1" si="78"/>
        <v>1.5670373603949201E-2</v>
      </c>
      <c r="O201">
        <f t="shared" ca="1" si="79"/>
        <v>3.1706588490689837E-2</v>
      </c>
      <c r="P201">
        <f t="shared" ca="1" si="80"/>
        <v>0.49742472427730045</v>
      </c>
      <c r="Q201">
        <f t="shared" ca="1" si="81"/>
        <v>0.90460822939961882</v>
      </c>
      <c r="R201">
        <f t="shared" ca="1" si="82"/>
        <v>1.0193082303150025</v>
      </c>
      <c r="T201">
        <f t="shared" si="83"/>
        <v>1.0491468113548792</v>
      </c>
      <c r="U201" s="6">
        <f t="shared" ca="1" si="84"/>
        <v>1.0797992877954032</v>
      </c>
      <c r="V201">
        <f t="shared" ca="1" si="85"/>
        <v>1.3763674692231369</v>
      </c>
      <c r="W201">
        <v>1.0764795015046005</v>
      </c>
      <c r="X201" t="b">
        <f t="shared" ca="1" si="86"/>
        <v>1</v>
      </c>
      <c r="AS201">
        <v>0.54099779835665818</v>
      </c>
      <c r="AT201">
        <v>999</v>
      </c>
      <c r="AU201">
        <v>-5.9359330414247484</v>
      </c>
      <c r="AV201">
        <v>-4.4877369394144146</v>
      </c>
      <c r="AW201">
        <v>2.9877138171398436</v>
      </c>
      <c r="AX201">
        <v>-2.9881295433159396</v>
      </c>
      <c r="AY201">
        <v>999</v>
      </c>
      <c r="AZ201">
        <v>-2.1673143645285302</v>
      </c>
      <c r="BA201">
        <v>-2.5671200005294819</v>
      </c>
      <c r="BB201">
        <v>-4.7304573280340199</v>
      </c>
      <c r="BC201">
        <v>999</v>
      </c>
      <c r="BD201">
        <v>5.6201944788392089</v>
      </c>
      <c r="BE201">
        <v>999</v>
      </c>
      <c r="BF201">
        <v>0.70957619184988685</v>
      </c>
      <c r="BJ201" t="b">
        <f t="shared" si="67"/>
        <v>1</v>
      </c>
      <c r="BK201" t="b">
        <f t="shared" ca="1" si="68"/>
        <v>1</v>
      </c>
    </row>
    <row r="202" spans="1:63" x14ac:dyDescent="0.45">
      <c r="A202" s="1">
        <v>44945</v>
      </c>
      <c r="B202">
        <v>127.17</v>
      </c>
      <c r="C202" s="1">
        <v>44945</v>
      </c>
      <c r="D202">
        <v>388.64</v>
      </c>
      <c r="E202" s="4">
        <f t="shared" si="69"/>
        <v>-1.2501941295232175E-2</v>
      </c>
      <c r="F202" s="4">
        <f t="shared" si="70"/>
        <v>-7.2798794349792396E-3</v>
      </c>
      <c r="G202">
        <f t="shared" ca="1" si="71"/>
        <v>-4.3259871475689344E-3</v>
      </c>
      <c r="H202">
        <f t="shared" ca="1" si="72"/>
        <v>4.1866350963856762E-2</v>
      </c>
      <c r="I202">
        <f t="shared" ca="1" si="73"/>
        <v>-0.27132206979249474</v>
      </c>
      <c r="J202">
        <f t="shared" ca="1" si="74"/>
        <v>0.17909906383121355</v>
      </c>
      <c r="K202">
        <f t="shared" ca="1" si="75"/>
        <v>0.76980677568832867</v>
      </c>
      <c r="L202">
        <f t="shared" ca="1" si="76"/>
        <v>0.75131078927450801</v>
      </c>
      <c r="M202">
        <f t="shared" ca="1" si="77"/>
        <v>-6.4348588398378944E-4</v>
      </c>
      <c r="N202">
        <f t="shared" ca="1" si="78"/>
        <v>1.5624433659594525E-2</v>
      </c>
      <c r="O202">
        <f t="shared" ca="1" si="79"/>
        <v>3.3315989150641538E-2</v>
      </c>
      <c r="P202">
        <f t="shared" ca="1" si="80"/>
        <v>0.52840168898657902</v>
      </c>
      <c r="Q202">
        <f t="shared" ca="1" si="81"/>
        <v>0.90460822939961882</v>
      </c>
      <c r="R202">
        <f t="shared" ca="1" si="82"/>
        <v>1.014899546364358</v>
      </c>
      <c r="T202">
        <f t="shared" si="83"/>
        <v>0.98749805870476781</v>
      </c>
      <c r="U202" s="6">
        <f t="shared" ca="1" si="84"/>
        <v>1.0320564843369582</v>
      </c>
      <c r="V202">
        <f t="shared" ca="1" si="85"/>
        <v>1.3610198977266013</v>
      </c>
      <c r="W202">
        <v>1.1280983769938429</v>
      </c>
      <c r="X202" t="b">
        <f t="shared" ca="1" si="86"/>
        <v>1</v>
      </c>
      <c r="AS202">
        <v>0.54946529016861534</v>
      </c>
      <c r="AT202">
        <v>999</v>
      </c>
      <c r="AU202">
        <v>-6.3341179010902628</v>
      </c>
      <c r="AV202">
        <v>-4.5145946668531511</v>
      </c>
      <c r="AW202">
        <v>3.1811965542565566</v>
      </c>
      <c r="AX202">
        <v>-2.9416521481956299</v>
      </c>
      <c r="AY202">
        <v>999</v>
      </c>
      <c r="AZ202">
        <v>-2.087455715076513</v>
      </c>
      <c r="BA202">
        <v>-2.8516355263364455</v>
      </c>
      <c r="BB202">
        <v>-4.9085973857599532</v>
      </c>
      <c r="BC202">
        <v>999</v>
      </c>
      <c r="BD202">
        <v>5.8663840280678459</v>
      </c>
      <c r="BE202">
        <v>999</v>
      </c>
      <c r="BF202">
        <v>0.50891871988979809</v>
      </c>
      <c r="BJ202" t="b">
        <f t="shared" si="67"/>
        <v>1</v>
      </c>
      <c r="BK202" t="b">
        <f t="shared" ca="1" si="68"/>
        <v>1</v>
      </c>
    </row>
    <row r="203" spans="1:63" x14ac:dyDescent="0.45">
      <c r="A203" s="1">
        <v>44944</v>
      </c>
      <c r="B203">
        <v>128.78</v>
      </c>
      <c r="C203" s="1">
        <v>44944</v>
      </c>
      <c r="D203">
        <v>391.49</v>
      </c>
      <c r="E203" s="4">
        <f t="shared" si="69"/>
        <v>-2.0609932314244489E-2</v>
      </c>
      <c r="F203" s="4">
        <f t="shared" si="70"/>
        <v>-1.5788018201473145E-2</v>
      </c>
      <c r="G203">
        <f t="shared" ca="1" si="71"/>
        <v>-4.2310442562375396E-3</v>
      </c>
      <c r="H203">
        <f t="shared" ca="1" si="72"/>
        <v>4.1869247361334586E-2</v>
      </c>
      <c r="I203">
        <f t="shared" ca="1" si="73"/>
        <v>-0.27801208883292411</v>
      </c>
      <c r="J203">
        <f t="shared" ca="1" si="74"/>
        <v>0.18076340430551685</v>
      </c>
      <c r="K203">
        <f t="shared" ca="1" si="75"/>
        <v>0.76980677568832867</v>
      </c>
      <c r="L203">
        <f t="shared" ca="1" si="76"/>
        <v>0.75131078927450801</v>
      </c>
      <c r="M203">
        <f t="shared" ca="1" si="77"/>
        <v>-5.9291590847216453E-4</v>
      </c>
      <c r="N203">
        <f t="shared" ca="1" si="78"/>
        <v>1.5619212984717643E-2</v>
      </c>
      <c r="O203">
        <f t="shared" ca="1" si="79"/>
        <v>2.3983594467743518E-2</v>
      </c>
      <c r="P203">
        <f t="shared" ca="1" si="80"/>
        <v>0.53264490949292087</v>
      </c>
      <c r="Q203">
        <f t="shared" ca="1" si="81"/>
        <v>0.90460822939961882</v>
      </c>
      <c r="R203">
        <f t="shared" ca="1" si="82"/>
        <v>1.014899546364358</v>
      </c>
      <c r="T203">
        <f t="shared" si="83"/>
        <v>0.97939006768575554</v>
      </c>
      <c r="U203" s="6">
        <f t="shared" ca="1" si="84"/>
        <v>1.0835506941522928</v>
      </c>
      <c r="V203">
        <f t="shared" ca="1" si="85"/>
        <v>1.374988192287272</v>
      </c>
      <c r="W203">
        <v>1.1185152364381679</v>
      </c>
      <c r="X203" t="b">
        <f t="shared" ca="1" si="86"/>
        <v>1</v>
      </c>
      <c r="AS203">
        <v>0.54327572446042349</v>
      </c>
      <c r="AT203">
        <v>999</v>
      </c>
      <c r="AU203">
        <v>-6.390744772013381</v>
      </c>
      <c r="AV203">
        <v>-4.4862164426190771</v>
      </c>
      <c r="AW203">
        <v>3.2016114701578449</v>
      </c>
      <c r="AX203">
        <v>-2.9116613599816321</v>
      </c>
      <c r="AY203">
        <v>999</v>
      </c>
      <c r="AZ203">
        <v>-2.2049129293875129</v>
      </c>
      <c r="BA203">
        <v>-2.9231417122914491</v>
      </c>
      <c r="BB203">
        <v>-5.0811194716361223</v>
      </c>
      <c r="BC203">
        <v>999</v>
      </c>
      <c r="BD203">
        <v>5.9509312495393374</v>
      </c>
      <c r="BE203">
        <v>999</v>
      </c>
      <c r="BF203">
        <v>0.38687929040077101</v>
      </c>
      <c r="BJ203" t="b">
        <f t="shared" si="67"/>
        <v>1</v>
      </c>
      <c r="BK203" t="b">
        <f t="shared" ca="1" si="68"/>
        <v>1</v>
      </c>
    </row>
    <row r="204" spans="1:63" x14ac:dyDescent="0.45">
      <c r="A204" s="1">
        <v>44943</v>
      </c>
      <c r="B204">
        <v>131.49</v>
      </c>
      <c r="C204" s="1">
        <v>44943</v>
      </c>
      <c r="D204">
        <v>397.77</v>
      </c>
      <c r="E204" s="4">
        <f t="shared" si="69"/>
        <v>7.4264705882352969E-2</v>
      </c>
      <c r="F204" s="4">
        <f t="shared" si="70"/>
        <v>-1.8318695106650394E-3</v>
      </c>
      <c r="G204">
        <f t="shared" ca="1" si="71"/>
        <v>-4.2028993697600346E-3</v>
      </c>
      <c r="H204">
        <f t="shared" ca="1" si="72"/>
        <v>4.186007291748519E-2</v>
      </c>
      <c r="I204">
        <f t="shared" ca="1" si="73"/>
        <v>-0.28001426981343858</v>
      </c>
      <c r="J204">
        <f t="shared" ca="1" si="74"/>
        <v>0.1842596649164534</v>
      </c>
      <c r="K204">
        <f t="shared" ca="1" si="75"/>
        <v>0.76980677568832867</v>
      </c>
      <c r="L204">
        <f t="shared" ca="1" si="76"/>
        <v>0.75131078927450801</v>
      </c>
      <c r="M204">
        <f t="shared" ca="1" si="77"/>
        <v>-5.9093243398976097E-4</v>
      </c>
      <c r="N204">
        <f t="shared" ca="1" si="78"/>
        <v>1.5617298741951542E-2</v>
      </c>
      <c r="O204">
        <f t="shared" ca="1" si="79"/>
        <v>2.3964241833955895E-2</v>
      </c>
      <c r="P204">
        <f t="shared" ca="1" si="80"/>
        <v>0.53392114257462442</v>
      </c>
      <c r="Q204">
        <f t="shared" ca="1" si="81"/>
        <v>0.90460822939961882</v>
      </c>
      <c r="R204">
        <f t="shared" ca="1" si="82"/>
        <v>1.014899546364358</v>
      </c>
      <c r="T204">
        <f t="shared" si="83"/>
        <v>1.0742647058823529</v>
      </c>
      <c r="U204" s="6">
        <f t="shared" ca="1" si="84"/>
        <v>1.097854220589463</v>
      </c>
      <c r="V204">
        <f t="shared" ca="1" si="85"/>
        <v>1.3596756863626336</v>
      </c>
      <c r="W204">
        <v>1.1274995366862461</v>
      </c>
      <c r="X204" t="b">
        <f t="shared" ca="1" si="86"/>
        <v>1</v>
      </c>
      <c r="AS204">
        <v>0.5605136834141955</v>
      </c>
      <c r="AT204">
        <v>999</v>
      </c>
      <c r="AU204">
        <v>-6.6281219245803369</v>
      </c>
      <c r="AV204">
        <v>-4.5921652269783406</v>
      </c>
      <c r="AW204">
        <v>3.3380327312280418</v>
      </c>
      <c r="AX204">
        <v>-2.9552376135999094</v>
      </c>
      <c r="AY204">
        <v>999</v>
      </c>
      <c r="AZ204">
        <v>-2.2848706253311746</v>
      </c>
      <c r="BA204">
        <v>-3.0476003461775392</v>
      </c>
      <c r="BB204">
        <v>-5.3719534785702621</v>
      </c>
      <c r="BC204">
        <v>999</v>
      </c>
      <c r="BD204">
        <v>6.1175855786210969</v>
      </c>
      <c r="BE204">
        <v>999</v>
      </c>
      <c r="BF204">
        <v>0.2763251860535425</v>
      </c>
      <c r="BJ204" t="b">
        <f t="shared" si="67"/>
        <v>1</v>
      </c>
      <c r="BK204" t="b">
        <f t="shared" ca="1" si="68"/>
        <v>1</v>
      </c>
    </row>
    <row r="205" spans="1:63" x14ac:dyDescent="0.45">
      <c r="A205" s="1">
        <v>44939</v>
      </c>
      <c r="B205">
        <v>122.4</v>
      </c>
      <c r="C205" s="1">
        <v>44939</v>
      </c>
      <c r="D205">
        <v>398.5</v>
      </c>
      <c r="E205" s="4">
        <f t="shared" si="69"/>
        <v>-9.3881515053415073E-3</v>
      </c>
      <c r="F205" s="4">
        <f t="shared" si="70"/>
        <v>3.8794840790004549E-3</v>
      </c>
      <c r="G205">
        <f t="shared" ca="1" si="71"/>
        <v>-4.5995964773647095E-3</v>
      </c>
      <c r="H205">
        <f t="shared" ca="1" si="72"/>
        <v>4.1486995994770279E-2</v>
      </c>
      <c r="I205">
        <f t="shared" ca="1" si="73"/>
        <v>-0.29300379903864537</v>
      </c>
      <c r="J205">
        <f t="shared" ca="1" si="74"/>
        <v>0.22374624341261207</v>
      </c>
      <c r="K205">
        <f t="shared" ca="1" si="75"/>
        <v>0.73743329391435963</v>
      </c>
      <c r="L205">
        <f t="shared" ca="1" si="76"/>
        <v>0.74121320907664101</v>
      </c>
      <c r="M205">
        <f t="shared" ca="1" si="77"/>
        <v>-6.1264731458073247E-4</v>
      </c>
      <c r="N205">
        <f t="shared" ca="1" si="78"/>
        <v>1.5622051453831987E-2</v>
      </c>
      <c r="O205">
        <f t="shared" ca="1" si="79"/>
        <v>2.7925288997462935E-2</v>
      </c>
      <c r="P205">
        <f t="shared" ca="1" si="80"/>
        <v>0.52979772934838198</v>
      </c>
      <c r="Q205">
        <f t="shared" ca="1" si="81"/>
        <v>0.90460822939961882</v>
      </c>
      <c r="R205">
        <f t="shared" ca="1" si="82"/>
        <v>1.014899546364358</v>
      </c>
      <c r="T205">
        <f t="shared" si="83"/>
        <v>0.99061184849465844</v>
      </c>
      <c r="U205" s="6">
        <f t="shared" ca="1" si="84"/>
        <v>1.0826110030072529</v>
      </c>
      <c r="V205">
        <f t="shared" ca="1" si="85"/>
        <v>1.3598027708065961</v>
      </c>
      <c r="W205">
        <v>1.1126012071407574</v>
      </c>
      <c r="X205" t="b">
        <f t="shared" ca="1" si="86"/>
        <v>1</v>
      </c>
      <c r="AS205">
        <v>0.55210378753506006</v>
      </c>
      <c r="AT205">
        <v>999</v>
      </c>
      <c r="AU205">
        <v>-6.7184022721812093</v>
      </c>
      <c r="AV205">
        <v>-4.5714213547162501</v>
      </c>
      <c r="AW205">
        <v>3.4853092698888273</v>
      </c>
      <c r="AX205">
        <v>-2.9797190016412856</v>
      </c>
      <c r="AY205">
        <v>999</v>
      </c>
      <c r="AZ205">
        <v>-2.2729222289596378</v>
      </c>
      <c r="BA205">
        <v>-3.1971763093832348</v>
      </c>
      <c r="BB205">
        <v>-5.3801859078509491</v>
      </c>
      <c r="BC205">
        <v>999</v>
      </c>
      <c r="BD205">
        <v>6.0904008865050319</v>
      </c>
      <c r="BE205">
        <v>999</v>
      </c>
      <c r="BF205">
        <v>0.27556205938572037</v>
      </c>
      <c r="BJ205" t="b">
        <f t="shared" si="67"/>
        <v>1</v>
      </c>
      <c r="BK205" t="b">
        <f t="shared" ca="1" si="68"/>
        <v>1</v>
      </c>
    </row>
    <row r="206" spans="1:63" x14ac:dyDescent="0.45">
      <c r="A206" s="1">
        <v>44938</v>
      </c>
      <c r="B206">
        <v>123.56</v>
      </c>
      <c r="C206" s="1">
        <v>44938</v>
      </c>
      <c r="D206">
        <v>396.96</v>
      </c>
      <c r="E206" s="4">
        <f t="shared" si="69"/>
        <v>2.759292322674918E-3</v>
      </c>
      <c r="F206" s="4">
        <f t="shared" si="70"/>
        <v>3.6407766990291207E-3</v>
      </c>
      <c r="G206">
        <f t="shared" ca="1" si="71"/>
        <v>-4.517265951547565E-3</v>
      </c>
      <c r="H206">
        <f t="shared" ca="1" si="72"/>
        <v>4.1493783257324619E-2</v>
      </c>
      <c r="I206">
        <f t="shared" ca="1" si="73"/>
        <v>-0.29875172824459983</v>
      </c>
      <c r="J206">
        <f t="shared" ca="1" si="74"/>
        <v>0.22403401464582107</v>
      </c>
      <c r="K206">
        <f t="shared" ca="1" si="75"/>
        <v>0.73743329391435963</v>
      </c>
      <c r="L206">
        <f t="shared" ca="1" si="76"/>
        <v>0.74121320907664101</v>
      </c>
      <c r="M206">
        <f t="shared" ca="1" si="77"/>
        <v>-5.7019042162441554E-4</v>
      </c>
      <c r="N206">
        <f t="shared" ca="1" si="78"/>
        <v>1.5645841935318001E-2</v>
      </c>
      <c r="O206">
        <f t="shared" ca="1" si="79"/>
        <v>2.2355467522578321E-2</v>
      </c>
      <c r="P206">
        <f t="shared" ca="1" si="80"/>
        <v>0.51022743967894124</v>
      </c>
      <c r="Q206">
        <f t="shared" ca="1" si="81"/>
        <v>0.90460822939961882</v>
      </c>
      <c r="R206">
        <f t="shared" ca="1" si="82"/>
        <v>1.0193082303150025</v>
      </c>
      <c r="T206">
        <f t="shared" si="83"/>
        <v>1.0027592923226749</v>
      </c>
      <c r="U206" s="6">
        <f t="shared" ca="1" si="84"/>
        <v>1.1198114917527642</v>
      </c>
      <c r="V206">
        <f t="shared" ca="1" si="85"/>
        <v>1.3689875661953566</v>
      </c>
      <c r="W206">
        <v>1.1092413979104838</v>
      </c>
      <c r="X206" t="b">
        <f t="shared" ca="1" si="86"/>
        <v>1</v>
      </c>
      <c r="AS206">
        <v>0.57258706356672529</v>
      </c>
      <c r="AT206">
        <v>999</v>
      </c>
      <c r="AU206">
        <v>-6.7961763393909811</v>
      </c>
      <c r="AV206">
        <v>-4.7718950777378035</v>
      </c>
      <c r="AW206">
        <v>3.5545047778181615</v>
      </c>
      <c r="AX206">
        <v>-3.0994627232365266</v>
      </c>
      <c r="AY206">
        <v>999</v>
      </c>
      <c r="AZ206">
        <v>-2.3708242115793476</v>
      </c>
      <c r="BA206">
        <v>-3.2832440760582409</v>
      </c>
      <c r="BB206">
        <v>-5.7008866082097596</v>
      </c>
      <c r="BC206">
        <v>999</v>
      </c>
      <c r="BD206">
        <v>6.0850090385514077</v>
      </c>
      <c r="BE206">
        <v>999</v>
      </c>
      <c r="BF206">
        <v>0.26683912994442893</v>
      </c>
      <c r="BJ206" t="b">
        <f t="shared" si="67"/>
        <v>1</v>
      </c>
      <c r="BK206" t="b">
        <f t="shared" ca="1" si="68"/>
        <v>1</v>
      </c>
    </row>
    <row r="207" spans="1:63" x14ac:dyDescent="0.45">
      <c r="A207" s="1">
        <v>44937</v>
      </c>
      <c r="B207">
        <v>123.22</v>
      </c>
      <c r="C207" s="1">
        <v>44937</v>
      </c>
      <c r="D207">
        <v>395.52</v>
      </c>
      <c r="E207">
        <f t="shared" si="69"/>
        <v>3.6769036600757296E-2</v>
      </c>
      <c r="F207" s="4">
        <f t="shared" si="70"/>
        <v>1.2647857033130211E-2</v>
      </c>
      <c r="G207">
        <f t="shared" ca="1" si="71"/>
        <v>-4.1293318266019275E-3</v>
      </c>
      <c r="H207">
        <f t="shared" ca="1" si="72"/>
        <v>4.1922626906026973E-2</v>
      </c>
      <c r="I207">
        <f t="shared" ca="1" si="73"/>
        <v>-0.2756411321383207</v>
      </c>
      <c r="J207">
        <f t="shared" ca="1" si="74"/>
        <v>0.18911816591615649</v>
      </c>
      <c r="K207">
        <f t="shared" ca="1" si="75"/>
        <v>0.76980677568832867</v>
      </c>
      <c r="L207">
        <f t="shared" ca="1" si="76"/>
        <v>0.75131078927450801</v>
      </c>
      <c r="M207">
        <f t="shared" ca="1" si="77"/>
        <v>-5.5282912806683157E-4</v>
      </c>
      <c r="N207">
        <f t="shared" ca="1" si="78"/>
        <v>1.5652463166944807E-2</v>
      </c>
      <c r="O207">
        <f t="shared" ca="1" si="79"/>
        <v>1.9467478383781607E-2</v>
      </c>
      <c r="P207">
        <f t="shared" ca="1" si="80"/>
        <v>0.50439210903535647</v>
      </c>
      <c r="Q207">
        <f t="shared" ca="1" si="81"/>
        <v>0.90460822939961882</v>
      </c>
      <c r="R207">
        <f t="shared" ca="1" si="82"/>
        <v>1.0193082303150025</v>
      </c>
      <c r="T207">
        <f t="shared" si="83"/>
        <v>1.0367690366007574</v>
      </c>
      <c r="U207" s="6">
        <f t="shared" ca="1" si="84"/>
        <v>1.0843013023583246</v>
      </c>
      <c r="V207">
        <f t="shared" ca="1" si="85"/>
        <v>1.3616179041470491</v>
      </c>
      <c r="W207">
        <v>1.0883998313754839</v>
      </c>
      <c r="X207" t="b">
        <f t="shared" ca="1" si="86"/>
        <v>1</v>
      </c>
      <c r="AS207">
        <v>0.5238807513756466</v>
      </c>
      <c r="AT207">
        <v>999</v>
      </c>
      <c r="AU207">
        <v>-6.1785877212545355</v>
      </c>
      <c r="AV207">
        <v>-4.5189661190388302</v>
      </c>
      <c r="AW207">
        <v>3.1805628766085059</v>
      </c>
      <c r="AX207">
        <v>-2.9673125944729652</v>
      </c>
      <c r="AY207">
        <v>999</v>
      </c>
      <c r="AZ207">
        <v>-2.5013186775647398</v>
      </c>
      <c r="BA207">
        <v>-2.8215809237000657</v>
      </c>
      <c r="BB207">
        <v>-5.4994048387027759</v>
      </c>
      <c r="BC207">
        <v>999</v>
      </c>
      <c r="BD207">
        <v>5.447484671280618</v>
      </c>
      <c r="BE207">
        <v>999</v>
      </c>
      <c r="BF207">
        <v>0.24817599362734774</v>
      </c>
      <c r="BJ207" t="b">
        <f t="shared" si="67"/>
        <v>1</v>
      </c>
      <c r="BK207" t="b">
        <f t="shared" ca="1" si="68"/>
        <v>1</v>
      </c>
    </row>
    <row r="208" spans="1:63" x14ac:dyDescent="0.45">
      <c r="A208" s="1">
        <v>44936</v>
      </c>
      <c r="B208">
        <v>118.85</v>
      </c>
      <c r="C208" s="1">
        <v>44936</v>
      </c>
      <c r="D208">
        <v>390.58</v>
      </c>
      <c r="E208">
        <f t="shared" si="69"/>
        <v>-7.6813893295483151E-3</v>
      </c>
      <c r="F208" s="4">
        <f t="shared" si="70"/>
        <v>7.0128396844221378E-3</v>
      </c>
      <c r="G208">
        <f t="shared" ca="1" si="71"/>
        <v>-4.3293469403398255E-3</v>
      </c>
      <c r="H208">
        <f t="shared" ca="1" si="72"/>
        <v>4.1821825142301011E-2</v>
      </c>
      <c r="I208">
        <f t="shared" ca="1" si="73"/>
        <v>-0.26789331542215622</v>
      </c>
      <c r="J208">
        <f t="shared" ca="1" si="74"/>
        <v>0.21031199604019513</v>
      </c>
      <c r="K208">
        <f t="shared" ca="1" si="75"/>
        <v>0.76980677568832867</v>
      </c>
      <c r="L208">
        <f t="shared" ca="1" si="76"/>
        <v>0.74121320907664101</v>
      </c>
      <c r="M208">
        <f t="shared" ca="1" si="77"/>
        <v>-5.9165055712024923E-4</v>
      </c>
      <c r="N208">
        <f t="shared" ca="1" si="78"/>
        <v>1.5629169344963226E-2</v>
      </c>
      <c r="O208">
        <f t="shared" ca="1" si="79"/>
        <v>2.4236886432359231E-2</v>
      </c>
      <c r="P208">
        <f t="shared" ca="1" si="80"/>
        <v>0.52325190212432604</v>
      </c>
      <c r="Q208">
        <f t="shared" ca="1" si="81"/>
        <v>0.90460822939961882</v>
      </c>
      <c r="R208">
        <f t="shared" ca="1" si="82"/>
        <v>1.014899546364358</v>
      </c>
      <c r="T208">
        <f t="shared" si="83"/>
        <v>0.99231861067045168</v>
      </c>
      <c r="U208" s="6">
        <f t="shared" ca="1" si="84"/>
        <v>1.0994449583718777</v>
      </c>
      <c r="V208">
        <f t="shared" ca="1" si="85"/>
        <v>1.3641503583596686</v>
      </c>
      <c r="W208">
        <v>0.96404234610839312</v>
      </c>
      <c r="X208" t="b">
        <f t="shared" ca="1" si="86"/>
        <v>0</v>
      </c>
      <c r="AS208">
        <v>0.5149220280754816</v>
      </c>
      <c r="AT208">
        <v>999</v>
      </c>
      <c r="AU208">
        <v>-3.8564288973727656</v>
      </c>
      <c r="AV208">
        <v>-4.4500791148346535</v>
      </c>
      <c r="AW208">
        <v>999</v>
      </c>
      <c r="AX208">
        <v>999</v>
      </c>
      <c r="AY208">
        <v>999</v>
      </c>
      <c r="AZ208">
        <v>-2.8382585692947457</v>
      </c>
      <c r="BA208">
        <v>-3.454147193567882</v>
      </c>
      <c r="BB208">
        <v>-6.4451108406713544</v>
      </c>
      <c r="BC208">
        <v>3.4288739051493935</v>
      </c>
      <c r="BD208">
        <v>7.481891858364448</v>
      </c>
      <c r="BE208">
        <v>999</v>
      </c>
      <c r="BF208">
        <v>-3.7892844127354741</v>
      </c>
      <c r="BJ208" t="b">
        <f t="shared" si="67"/>
        <v>1</v>
      </c>
      <c r="BK208" t="b">
        <f t="shared" ca="1" si="68"/>
        <v>0</v>
      </c>
    </row>
    <row r="209" spans="1:63" x14ac:dyDescent="0.45">
      <c r="A209" s="1">
        <v>44935</v>
      </c>
      <c r="B209">
        <v>119.77</v>
      </c>
      <c r="C209" s="1">
        <v>44935</v>
      </c>
      <c r="D209">
        <v>387.86</v>
      </c>
      <c r="E209">
        <f t="shared" si="69"/>
        <v>5.9349018220413885E-2</v>
      </c>
      <c r="F209" s="4">
        <f t="shared" si="70"/>
        <v>-5.6689342403620508E-4</v>
      </c>
      <c r="G209">
        <f t="shared" ca="1" si="71"/>
        <v>-4.2168341135646508E-3</v>
      </c>
      <c r="H209">
        <f t="shared" ca="1" si="72"/>
        <v>4.1843025697382748E-2</v>
      </c>
      <c r="I209">
        <f t="shared" ca="1" si="73"/>
        <v>-0.27514538110238557</v>
      </c>
      <c r="J209">
        <f t="shared" ca="1" si="74"/>
        <v>0.20691978689711865</v>
      </c>
      <c r="K209">
        <f t="shared" ca="1" si="75"/>
        <v>0.76980677568832867</v>
      </c>
      <c r="L209">
        <f t="shared" ca="1" si="76"/>
        <v>0.74121320907664101</v>
      </c>
      <c r="M209">
        <f t="shared" ca="1" si="77"/>
        <v>-5.5134296644817336E-4</v>
      </c>
      <c r="N209">
        <f t="shared" ca="1" si="78"/>
        <v>1.5659246237807727E-2</v>
      </c>
      <c r="O209">
        <f t="shared" ca="1" si="79"/>
        <v>2.0798498108767535E-2</v>
      </c>
      <c r="P209">
        <f t="shared" ca="1" si="80"/>
        <v>0.50055102087807368</v>
      </c>
      <c r="Q209">
        <f t="shared" ca="1" si="81"/>
        <v>0.90460822939961882</v>
      </c>
      <c r="R209">
        <f t="shared" ca="1" si="82"/>
        <v>1.0193082303150025</v>
      </c>
      <c r="T209">
        <f t="shared" si="83"/>
        <v>1.0593490182204139</v>
      </c>
      <c r="U209" s="6">
        <f t="shared" ca="1" si="84"/>
        <v>0.97231693456729962</v>
      </c>
      <c r="V209">
        <f t="shared" ca="1" si="85"/>
        <v>1.218498547495106</v>
      </c>
      <c r="W209">
        <v>0.91772268162771153</v>
      </c>
      <c r="X209" t="b">
        <f t="shared" ca="1" si="86"/>
        <v>1</v>
      </c>
      <c r="AS209">
        <v>0.47515955876496158</v>
      </c>
      <c r="AT209">
        <v>999</v>
      </c>
      <c r="AU209">
        <v>-3.4475609179267344</v>
      </c>
      <c r="AV209">
        <v>-4.3285067211163843</v>
      </c>
      <c r="AW209">
        <v>999</v>
      </c>
      <c r="AX209">
        <v>999</v>
      </c>
      <c r="AY209">
        <v>999</v>
      </c>
      <c r="AZ209">
        <v>-2.5801008423819574</v>
      </c>
      <c r="BA209">
        <v>-3.2542961699426125</v>
      </c>
      <c r="BB209">
        <v>-6.1902740981493611</v>
      </c>
      <c r="BC209">
        <v>3.3932885686160241</v>
      </c>
      <c r="BD209">
        <v>7.178995169043322</v>
      </c>
      <c r="BE209">
        <v>999</v>
      </c>
      <c r="BF209">
        <v>-3.8177619405297225</v>
      </c>
      <c r="BJ209" t="b">
        <f t="shared" si="67"/>
        <v>1</v>
      </c>
      <c r="BK209" t="b">
        <f t="shared" ca="1" si="68"/>
        <v>1</v>
      </c>
    </row>
    <row r="210" spans="1:63" x14ac:dyDescent="0.45">
      <c r="A210" s="1">
        <v>44932</v>
      </c>
      <c r="B210">
        <v>113.06</v>
      </c>
      <c r="C210" s="1">
        <v>44932</v>
      </c>
      <c r="D210">
        <v>388.08</v>
      </c>
      <c r="E210">
        <f t="shared" si="69"/>
        <v>2.4651078484683692E-2</v>
      </c>
      <c r="F210" s="4">
        <f t="shared" si="70"/>
        <v>2.2932152459275632E-2</v>
      </c>
      <c r="G210">
        <f t="shared" ca="1" si="71"/>
        <v>-4.487773882432192E-3</v>
      </c>
      <c r="H210">
        <f t="shared" ca="1" si="72"/>
        <v>4.1604114530628275E-2</v>
      </c>
      <c r="I210">
        <f t="shared" ca="1" si="73"/>
        <v>-0.27822395966510344</v>
      </c>
      <c r="J210">
        <f t="shared" ca="1" si="74"/>
        <v>0.24641392354601743</v>
      </c>
      <c r="K210">
        <f t="shared" ca="1" si="75"/>
        <v>0.76980677568832867</v>
      </c>
      <c r="L210">
        <f t="shared" ca="1" si="76"/>
        <v>0.72042505683150959</v>
      </c>
      <c r="M210">
        <f t="shared" ca="1" si="77"/>
        <v>-6.1290050092945101E-4</v>
      </c>
      <c r="N210">
        <f t="shared" ca="1" si="78"/>
        <v>1.5683487586082945E-2</v>
      </c>
      <c r="O210">
        <f t="shared" ca="1" si="79"/>
        <v>3.0131487277525352E-2</v>
      </c>
      <c r="P210">
        <f t="shared" ca="1" si="80"/>
        <v>0.48104017623696294</v>
      </c>
      <c r="Q210">
        <f t="shared" ca="1" si="81"/>
        <v>0.90460822939961882</v>
      </c>
      <c r="R210">
        <f t="shared" ca="1" si="82"/>
        <v>0.96920165231590361</v>
      </c>
      <c r="T210">
        <f t="shared" si="83"/>
        <v>1.0246510784846836</v>
      </c>
      <c r="U210" s="6">
        <f t="shared" ca="1" si="84"/>
        <v>0.92809062551305199</v>
      </c>
      <c r="V210">
        <f t="shared" ca="1" si="85"/>
        <v>1.1926665993300505</v>
      </c>
      <c r="W210">
        <v>0.96681021576290926</v>
      </c>
      <c r="X210" t="b">
        <f t="shared" ca="1" si="86"/>
        <v>1</v>
      </c>
      <c r="AS210">
        <v>0.49064674688786208</v>
      </c>
      <c r="AT210">
        <v>999</v>
      </c>
      <c r="AU210">
        <v>-3.5160201787025258</v>
      </c>
      <c r="AV210">
        <v>-4.0839669978274244</v>
      </c>
      <c r="AW210">
        <v>999</v>
      </c>
      <c r="AX210">
        <v>999</v>
      </c>
      <c r="AY210">
        <v>999</v>
      </c>
      <c r="AZ210">
        <v>-2.7166948524677679</v>
      </c>
      <c r="BA210">
        <v>-3.1728499693607777</v>
      </c>
      <c r="BB210">
        <v>-6.0884670542793522</v>
      </c>
      <c r="BC210">
        <v>3.1120426363681108</v>
      </c>
      <c r="BD210">
        <v>7.3709780816033259</v>
      </c>
      <c r="BE210">
        <v>999</v>
      </c>
      <c r="BF210">
        <v>-4.1148826863236669</v>
      </c>
      <c r="BJ210" t="b">
        <f t="shared" si="67"/>
        <v>1</v>
      </c>
      <c r="BK210" t="b">
        <f t="shared" ca="1" si="68"/>
        <v>1</v>
      </c>
    </row>
    <row r="211" spans="1:63" x14ac:dyDescent="0.45">
      <c r="A211" s="1">
        <v>44931</v>
      </c>
      <c r="B211">
        <v>110.34</v>
      </c>
      <c r="C211" s="1">
        <v>44931</v>
      </c>
      <c r="D211">
        <v>379.38</v>
      </c>
      <c r="E211">
        <f t="shared" si="69"/>
        <v>-2.9039070749735982E-2</v>
      </c>
      <c r="F211" s="4">
        <f t="shared" si="70"/>
        <v>-1.1413383364602864E-2</v>
      </c>
      <c r="G211">
        <f t="shared" ca="1" si="71"/>
        <v>-4.215755494759014E-3</v>
      </c>
      <c r="H211">
        <f t="shared" ca="1" si="72"/>
        <v>4.1971816915000328E-2</v>
      </c>
      <c r="I211">
        <f t="shared" ca="1" si="73"/>
        <v>-0.25228582853116399</v>
      </c>
      <c r="J211">
        <f t="shared" ca="1" si="74"/>
        <v>0.21905501932877547</v>
      </c>
      <c r="K211">
        <f t="shared" ca="1" si="75"/>
        <v>0.87077087515047458</v>
      </c>
      <c r="L211">
        <f t="shared" ca="1" si="76"/>
        <v>0.72042505683150959</v>
      </c>
      <c r="M211">
        <f t="shared" ca="1" si="77"/>
        <v>-6.6905409609785665E-4</v>
      </c>
      <c r="N211">
        <f t="shared" ca="1" si="78"/>
        <v>1.5618734312859902E-2</v>
      </c>
      <c r="O211">
        <f t="shared" ca="1" si="79"/>
        <v>2.6501423813888515E-2</v>
      </c>
      <c r="P211">
        <f t="shared" ca="1" si="80"/>
        <v>0.515455884639477</v>
      </c>
      <c r="Q211">
        <f t="shared" ca="1" si="81"/>
        <v>0.90460822939961882</v>
      </c>
      <c r="R211">
        <f t="shared" ca="1" si="82"/>
        <v>0.96920165231590361</v>
      </c>
      <c r="T211">
        <f t="shared" si="83"/>
        <v>0.970960929250264</v>
      </c>
      <c r="U211" s="6">
        <f t="shared" ca="1" si="84"/>
        <v>0.97897258450891678</v>
      </c>
      <c r="V211">
        <f t="shared" ca="1" si="85"/>
        <v>1.1870369118800586</v>
      </c>
      <c r="W211">
        <v>1.0397176938456008</v>
      </c>
      <c r="X211" t="b">
        <f t="shared" ca="1" si="86"/>
        <v>0</v>
      </c>
      <c r="AS211">
        <v>0.52909216306250817</v>
      </c>
      <c r="AT211">
        <v>999</v>
      </c>
      <c r="AU211">
        <v>-6.0966558161475319</v>
      </c>
      <c r="AV211">
        <v>-4.1216157864766023</v>
      </c>
      <c r="AW211">
        <v>3.1138227975175345</v>
      </c>
      <c r="AX211">
        <v>-2.4608420659616175</v>
      </c>
      <c r="AY211">
        <v>999</v>
      </c>
      <c r="AZ211">
        <v>-2.8312235615057642</v>
      </c>
      <c r="BA211">
        <v>-2.6620296625800948</v>
      </c>
      <c r="BB211">
        <v>-5.5099125970561511</v>
      </c>
      <c r="BC211">
        <v>999</v>
      </c>
      <c r="BD211">
        <v>5.890466109632027</v>
      </c>
      <c r="BE211">
        <v>999</v>
      </c>
      <c r="BF211">
        <v>-0.59595909017427551</v>
      </c>
      <c r="BJ211" t="b">
        <f t="shared" si="67"/>
        <v>1</v>
      </c>
      <c r="BK211" t="b">
        <f t="shared" ca="1" si="68"/>
        <v>0</v>
      </c>
    </row>
    <row r="212" spans="1:63" x14ac:dyDescent="0.45">
      <c r="A212" s="1">
        <v>44930</v>
      </c>
      <c r="B212">
        <v>113.64</v>
      </c>
      <c r="C212" s="1">
        <v>44930</v>
      </c>
      <c r="D212">
        <v>383.76</v>
      </c>
      <c r="E212">
        <f t="shared" si="69"/>
        <v>5.1248843663274805E-2</v>
      </c>
      <c r="F212" s="4">
        <f t="shared" si="70"/>
        <v>7.7201827635103139E-3</v>
      </c>
      <c r="G212">
        <f t="shared" ca="1" si="71"/>
        <v>-3.9834817406286215E-3</v>
      </c>
      <c r="H212">
        <f t="shared" ca="1" si="72"/>
        <v>4.1962293520305026E-2</v>
      </c>
      <c r="I212">
        <f t="shared" ca="1" si="73"/>
        <v>-0.26748532391564789</v>
      </c>
      <c r="J212">
        <f t="shared" ca="1" si="74"/>
        <v>0.227604567818672</v>
      </c>
      <c r="K212">
        <f t="shared" ca="1" si="75"/>
        <v>0.87077087515047458</v>
      </c>
      <c r="L212">
        <f t="shared" ca="1" si="76"/>
        <v>0.735032932531827</v>
      </c>
      <c r="M212">
        <f t="shared" ca="1" si="77"/>
        <v>-6.1344943069210076E-4</v>
      </c>
      <c r="N212">
        <f t="shared" ca="1" si="78"/>
        <v>1.560007574534575E-2</v>
      </c>
      <c r="O212">
        <f t="shared" ca="1" si="79"/>
        <v>1.7453814572407453E-2</v>
      </c>
      <c r="P212">
        <f t="shared" ca="1" si="80"/>
        <v>0.53102634387044079</v>
      </c>
      <c r="Q212">
        <f t="shared" ca="1" si="81"/>
        <v>0.90460822939961882</v>
      </c>
      <c r="R212">
        <f t="shared" ca="1" si="82"/>
        <v>1.0193082303150025</v>
      </c>
      <c r="T212">
        <f t="shared" si="83"/>
        <v>1.0512488436632748</v>
      </c>
      <c r="U212" s="6">
        <f t="shared" ca="1" si="84"/>
        <v>1.0416131989000919</v>
      </c>
      <c r="V212">
        <f t="shared" ca="1" si="85"/>
        <v>1.2131027019857545</v>
      </c>
      <c r="W212">
        <v>0.92912249121109536</v>
      </c>
      <c r="X212" t="b">
        <f t="shared" ca="1" si="86"/>
        <v>0</v>
      </c>
      <c r="AS212">
        <v>0.49579213427876162</v>
      </c>
      <c r="AT212">
        <v>4.2032547877092901</v>
      </c>
      <c r="AU212">
        <v>999</v>
      </c>
      <c r="AV212">
        <v>999</v>
      </c>
      <c r="AW212">
        <v>999</v>
      </c>
      <c r="AX212">
        <v>999</v>
      </c>
      <c r="AY212">
        <v>-4.986380654579615</v>
      </c>
      <c r="AZ212">
        <v>-2.1002643064134339</v>
      </c>
      <c r="BA212">
        <v>-4.3368609774976807</v>
      </c>
      <c r="BB212">
        <v>-5.4531806905544258</v>
      </c>
      <c r="BC212">
        <v>3.8783844267390069</v>
      </c>
      <c r="BD212">
        <v>7.2488044948401473</v>
      </c>
      <c r="BE212">
        <v>2.6143576302424831</v>
      </c>
      <c r="BF212">
        <v>-3.0275111091047018</v>
      </c>
      <c r="BJ212" t="b">
        <f t="shared" si="67"/>
        <v>1</v>
      </c>
      <c r="BK212" t="b">
        <f t="shared" ca="1" si="68"/>
        <v>0</v>
      </c>
    </row>
    <row r="213" spans="1:63" x14ac:dyDescent="0.45">
      <c r="A213" s="1">
        <v>44929</v>
      </c>
      <c r="B213">
        <v>108.1</v>
      </c>
      <c r="C213" s="1">
        <v>44929</v>
      </c>
      <c r="D213">
        <v>380.82</v>
      </c>
      <c r="E213">
        <f t="shared" si="69"/>
        <v>-0.12242247118038652</v>
      </c>
      <c r="F213" s="4">
        <f t="shared" si="70"/>
        <v>-4.2099207698141194E-3</v>
      </c>
      <c r="G213">
        <f t="shared" ca="1" si="71"/>
        <v>-4.0458753464500292E-3</v>
      </c>
      <c r="H213">
        <f t="shared" ca="1" si="72"/>
        <v>4.188896928072533E-2</v>
      </c>
      <c r="I213">
        <f t="shared" ca="1" si="73"/>
        <v>-0.27061777064143644</v>
      </c>
      <c r="J213">
        <f t="shared" ca="1" si="74"/>
        <v>0.23889168007086559</v>
      </c>
      <c r="K213">
        <f t="shared" ca="1" si="75"/>
        <v>0.87077087515047458</v>
      </c>
      <c r="L213">
        <f t="shared" ca="1" si="76"/>
        <v>0.735032932531827</v>
      </c>
      <c r="M213">
        <f t="shared" ca="1" si="77"/>
        <v>-6.1294090609851628E-4</v>
      </c>
      <c r="N213">
        <f t="shared" ca="1" si="78"/>
        <v>1.5600350421876854E-2</v>
      </c>
      <c r="O213">
        <f t="shared" ca="1" si="79"/>
        <v>1.7382790626041842E-2</v>
      </c>
      <c r="P213">
        <f t="shared" ca="1" si="80"/>
        <v>0.53079309201652514</v>
      </c>
      <c r="Q213">
        <f t="shared" ca="1" si="81"/>
        <v>0.90460822939961882</v>
      </c>
      <c r="R213">
        <f t="shared" ca="1" si="82"/>
        <v>1.0193082303150025</v>
      </c>
      <c r="T213">
        <f t="shared" si="83"/>
        <v>0.87757752881961348</v>
      </c>
      <c r="U213" s="6">
        <f t="shared" ca="1" si="84"/>
        <v>0.87779131140885092</v>
      </c>
      <c r="V213">
        <f t="shared" ca="1" si="85"/>
        <v>1.1143195948078226</v>
      </c>
      <c r="W213">
        <v>0.91173607364454634</v>
      </c>
      <c r="X213" t="b">
        <f t="shared" ca="1" si="86"/>
        <v>1</v>
      </c>
      <c r="AS213">
        <v>0.51054845938263338</v>
      </c>
      <c r="AT213">
        <v>4.1131588496543943</v>
      </c>
      <c r="AU213">
        <v>999</v>
      </c>
      <c r="AV213">
        <v>999</v>
      </c>
      <c r="AW213">
        <v>999</v>
      </c>
      <c r="AX213">
        <v>999</v>
      </c>
      <c r="AY213">
        <v>-4.8735269301461885</v>
      </c>
      <c r="AZ213">
        <v>-2.0315516905725928</v>
      </c>
      <c r="BA213">
        <v>-4.3946234871570109</v>
      </c>
      <c r="BB213">
        <v>-5.5336970517776063</v>
      </c>
      <c r="BC213">
        <v>3.9460418936931929</v>
      </c>
      <c r="BD213">
        <v>7.4607470749964104</v>
      </c>
      <c r="BE213">
        <v>2.4652742530638312</v>
      </c>
      <c r="BF213">
        <v>-3.1616604148992646</v>
      </c>
      <c r="BJ213" t="b">
        <f t="shared" si="67"/>
        <v>1</v>
      </c>
      <c r="BK213" t="b">
        <f t="shared" ca="1" si="68"/>
        <v>1</v>
      </c>
    </row>
    <row r="214" spans="1:63" x14ac:dyDescent="0.45">
      <c r="A214" s="1">
        <v>44925</v>
      </c>
      <c r="B214">
        <v>123.18</v>
      </c>
      <c r="C214" s="1">
        <v>44925</v>
      </c>
      <c r="D214">
        <v>382.43</v>
      </c>
      <c r="E214">
        <f t="shared" si="69"/>
        <v>1.1164012477425822E-2</v>
      </c>
      <c r="F214" s="4">
        <f t="shared" si="70"/>
        <v>-2.6340496557479419E-3</v>
      </c>
      <c r="G214">
        <f t="shared" ca="1" si="71"/>
        <v>-3.2471000371459956E-3</v>
      </c>
      <c r="H214">
        <f t="shared" ca="1" si="72"/>
        <v>4.1136738177164699E-2</v>
      </c>
      <c r="I214">
        <f t="shared" ca="1" si="73"/>
        <v>-0.21846533081031103</v>
      </c>
      <c r="J214">
        <f t="shared" ca="1" si="74"/>
        <v>0.15097097777378732</v>
      </c>
      <c r="K214">
        <f t="shared" ca="1" si="75"/>
        <v>0.92744199323746479</v>
      </c>
      <c r="L214">
        <f t="shared" ca="1" si="76"/>
        <v>0.76184315969437011</v>
      </c>
      <c r="M214">
        <f t="shared" ca="1" si="77"/>
        <v>-5.2933678225495497E-4</v>
      </c>
      <c r="N214">
        <f t="shared" ca="1" si="78"/>
        <v>1.5625760658442511E-2</v>
      </c>
      <c r="O214">
        <f t="shared" ca="1" si="79"/>
        <v>4.1538062054806979E-3</v>
      </c>
      <c r="P214">
        <f t="shared" ca="1" si="80"/>
        <v>0.50988012121561654</v>
      </c>
      <c r="Q214">
        <f t="shared" ca="1" si="81"/>
        <v>0.90460822939961882</v>
      </c>
      <c r="R214">
        <f t="shared" ca="1" si="82"/>
        <v>1.0294541148249956</v>
      </c>
      <c r="T214">
        <f t="shared" si="83"/>
        <v>1.0111640124774257</v>
      </c>
      <c r="U214" s="6">
        <f t="shared" ca="1" si="84"/>
        <v>0.9826884722776229</v>
      </c>
      <c r="V214">
        <f t="shared" ca="1" si="85"/>
        <v>1.1248016876548363</v>
      </c>
      <c r="W214">
        <v>0.96922056712244409</v>
      </c>
      <c r="X214" t="b">
        <f t="shared" ca="1" si="86"/>
        <v>1</v>
      </c>
      <c r="AS214">
        <v>0.47349856386563799</v>
      </c>
      <c r="AT214">
        <v>4.5553106399801306</v>
      </c>
      <c r="AU214">
        <v>999</v>
      </c>
      <c r="AV214">
        <v>999</v>
      </c>
      <c r="AW214">
        <v>999</v>
      </c>
      <c r="AX214">
        <v>999</v>
      </c>
      <c r="AY214">
        <v>-5.169523372863523</v>
      </c>
      <c r="AZ214">
        <v>999</v>
      </c>
      <c r="BA214">
        <v>-3.5817192850670332</v>
      </c>
      <c r="BB214">
        <v>-5.6837143249926232</v>
      </c>
      <c r="BC214">
        <v>3.3296249804115252</v>
      </c>
      <c r="BD214">
        <v>7.7182447662390512</v>
      </c>
      <c r="BE214">
        <v>999</v>
      </c>
      <c r="BF214">
        <v>-6.0202542957750147</v>
      </c>
      <c r="BJ214" t="b">
        <f t="shared" si="67"/>
        <v>1</v>
      </c>
      <c r="BK214" t="b">
        <f t="shared" ca="1" si="68"/>
        <v>1</v>
      </c>
    </row>
    <row r="215" spans="1:63" x14ac:dyDescent="0.45">
      <c r="A215" s="1">
        <v>44924</v>
      </c>
      <c r="B215">
        <v>121.82</v>
      </c>
      <c r="C215" s="1">
        <v>44924</v>
      </c>
      <c r="D215">
        <v>383.44</v>
      </c>
      <c r="E215">
        <f t="shared" si="69"/>
        <v>8.0826900896105044E-2</v>
      </c>
      <c r="F215" s="4">
        <f t="shared" si="70"/>
        <v>1.800031858970948E-2</v>
      </c>
      <c r="G215">
        <f t="shared" ca="1" si="71"/>
        <v>-3.0638601774240102E-3</v>
      </c>
      <c r="H215">
        <f t="shared" ca="1" si="72"/>
        <v>4.1282617615242857E-2</v>
      </c>
      <c r="I215">
        <f t="shared" ca="1" si="73"/>
        <v>-0.22022058119265625</v>
      </c>
      <c r="J215">
        <f t="shared" ca="1" si="74"/>
        <v>0.12193456838591699</v>
      </c>
      <c r="K215">
        <f t="shared" ca="1" si="75"/>
        <v>0.92744199323746479</v>
      </c>
      <c r="L215">
        <f t="shared" ca="1" si="76"/>
        <v>0.77222178261825658</v>
      </c>
      <c r="M215">
        <f t="shared" ca="1" si="77"/>
        <v>-4.0529528541343525E-4</v>
      </c>
      <c r="N215">
        <f t="shared" ca="1" si="78"/>
        <v>1.570722405250629E-2</v>
      </c>
      <c r="O215">
        <f t="shared" ca="1" si="79"/>
        <v>-4.5009784951765153E-3</v>
      </c>
      <c r="P215">
        <f t="shared" ca="1" si="80"/>
        <v>0.45905219959561272</v>
      </c>
      <c r="Q215">
        <f t="shared" ca="1" si="81"/>
        <v>0.90460822939961882</v>
      </c>
      <c r="R215">
        <f t="shared" ca="1" si="82"/>
        <v>1.0494113504951041</v>
      </c>
      <c r="T215">
        <f t="shared" si="83"/>
        <v>1.0808269008961051</v>
      </c>
      <c r="U215" s="6">
        <f t="shared" ca="1" si="84"/>
        <v>0.88551282983208568</v>
      </c>
      <c r="V215">
        <f t="shared" ca="1" si="85"/>
        <v>1.0200483558441404</v>
      </c>
      <c r="W215">
        <v>0.93799515929688182</v>
      </c>
      <c r="X215" t="b">
        <f t="shared" ca="1" si="86"/>
        <v>1</v>
      </c>
      <c r="AS215">
        <v>0.45478560439805155</v>
      </c>
      <c r="AT215">
        <v>4.3062397609308132</v>
      </c>
      <c r="AU215">
        <v>999</v>
      </c>
      <c r="AV215">
        <v>999</v>
      </c>
      <c r="AW215">
        <v>999</v>
      </c>
      <c r="AX215">
        <v>999</v>
      </c>
      <c r="AY215">
        <v>-4.852202701226549</v>
      </c>
      <c r="AZ215">
        <v>999</v>
      </c>
      <c r="BA215">
        <v>-3.5932910917160421</v>
      </c>
      <c r="BB215">
        <v>-5.5564313232719105</v>
      </c>
      <c r="BC215">
        <v>3.3012213113053059</v>
      </c>
      <c r="BD215">
        <v>7.5654228601076099</v>
      </c>
      <c r="BE215">
        <v>999</v>
      </c>
      <c r="BF215">
        <v>-5.7584357115094909</v>
      </c>
      <c r="BJ215" t="b">
        <f t="shared" si="67"/>
        <v>1</v>
      </c>
      <c r="BK215" t="b">
        <f t="shared" ca="1" si="68"/>
        <v>1</v>
      </c>
    </row>
    <row r="216" spans="1:63" x14ac:dyDescent="0.45">
      <c r="A216" s="1">
        <v>44923</v>
      </c>
      <c r="B216">
        <v>112.71</v>
      </c>
      <c r="C216" s="1">
        <v>44923</v>
      </c>
      <c r="D216">
        <v>376.66</v>
      </c>
      <c r="E216">
        <f t="shared" si="69"/>
        <v>3.3088909257561867E-2</v>
      </c>
      <c r="F216" s="4">
        <f t="shared" si="70"/>
        <v>-1.2427897220765476E-2</v>
      </c>
      <c r="G216">
        <f t="shared" ca="1" si="71"/>
        <v>-3.2362531363606672E-3</v>
      </c>
      <c r="H216">
        <f t="shared" ca="1" si="72"/>
        <v>4.1001569263369557E-2</v>
      </c>
      <c r="I216">
        <f t="shared" ca="1" si="73"/>
        <v>-0.2466313673522344</v>
      </c>
      <c r="J216">
        <f t="shared" ca="1" si="74"/>
        <v>0.12550658879974286</v>
      </c>
      <c r="K216">
        <f t="shared" ca="1" si="75"/>
        <v>0.81990699370682829</v>
      </c>
      <c r="L216">
        <f t="shared" ca="1" si="76"/>
        <v>0.77222178261825658</v>
      </c>
      <c r="M216">
        <f t="shared" ca="1" si="77"/>
        <v>-3.8534483999267815E-4</v>
      </c>
      <c r="N216">
        <f t="shared" ca="1" si="78"/>
        <v>1.573323178289996E-2</v>
      </c>
      <c r="O216">
        <f t="shared" ca="1" si="79"/>
        <v>-1.8074876278542458E-3</v>
      </c>
      <c r="P216">
        <f t="shared" ca="1" si="80"/>
        <v>0.44749776933774221</v>
      </c>
      <c r="Q216">
        <f t="shared" ca="1" si="81"/>
        <v>0.90460822939961882</v>
      </c>
      <c r="R216">
        <f t="shared" ca="1" si="82"/>
        <v>1.0494113504951041</v>
      </c>
      <c r="T216">
        <f t="shared" si="83"/>
        <v>1.0330889092575619</v>
      </c>
      <c r="U216" s="6">
        <f t="shared" ca="1" si="84"/>
        <v>0.81792452830188689</v>
      </c>
      <c r="V216">
        <f t="shared" ca="1" si="85"/>
        <v>1.0379280592539666</v>
      </c>
      <c r="W216">
        <v>0.95869028529560918</v>
      </c>
      <c r="X216" t="b">
        <f t="shared" ca="1" si="86"/>
        <v>1</v>
      </c>
      <c r="AS216">
        <v>0.46811177158469158</v>
      </c>
      <c r="AT216">
        <v>4.0809676500466985</v>
      </c>
      <c r="AU216">
        <v>999</v>
      </c>
      <c r="AV216">
        <v>999</v>
      </c>
      <c r="AW216">
        <v>999</v>
      </c>
      <c r="AX216">
        <v>999</v>
      </c>
      <c r="AY216">
        <v>-4.6143947473913478</v>
      </c>
      <c r="AZ216">
        <v>999</v>
      </c>
      <c r="BA216">
        <v>-3.9565718629030253</v>
      </c>
      <c r="BB216">
        <v>-5.8121332959028331</v>
      </c>
      <c r="BC216">
        <v>3.5875432022452762</v>
      </c>
      <c r="BD216">
        <v>7.7871425198909527</v>
      </c>
      <c r="BE216">
        <v>999</v>
      </c>
      <c r="BF216">
        <v>-5.686378635042308</v>
      </c>
      <c r="BJ216" t="b">
        <f t="shared" si="67"/>
        <v>1</v>
      </c>
      <c r="BK216" t="b">
        <f t="shared" ca="1" si="68"/>
        <v>1</v>
      </c>
    </row>
    <row r="217" spans="1:63" x14ac:dyDescent="0.45">
      <c r="A217" s="1">
        <v>44922</v>
      </c>
      <c r="B217">
        <v>109.1</v>
      </c>
      <c r="C217" s="1">
        <v>44922</v>
      </c>
      <c r="D217">
        <v>381.4</v>
      </c>
      <c r="E217">
        <f t="shared" si="69"/>
        <v>-0.11408850994721892</v>
      </c>
      <c r="F217" s="4">
        <f t="shared" si="70"/>
        <v>-3.9434854143272505E-3</v>
      </c>
      <c r="G217">
        <f t="shared" ca="1" si="71"/>
        <v>-3.5838813977629364E-3</v>
      </c>
      <c r="H217">
        <f t="shared" ca="1" si="72"/>
        <v>4.0986772823702333E-2</v>
      </c>
      <c r="I217">
        <f t="shared" ca="1" si="73"/>
        <v>-0.22742782427175887</v>
      </c>
      <c r="J217">
        <f t="shared" ca="1" si="74"/>
        <v>0.12080576018124578</v>
      </c>
      <c r="K217">
        <f t="shared" ca="1" si="75"/>
        <v>0.81990699370682829</v>
      </c>
      <c r="L217">
        <f t="shared" ca="1" si="76"/>
        <v>0.75624260085438599</v>
      </c>
      <c r="M217">
        <f t="shared" ca="1" si="77"/>
        <v>-3.597468826816709E-4</v>
      </c>
      <c r="N217">
        <f t="shared" ca="1" si="78"/>
        <v>1.5717697216721262E-2</v>
      </c>
      <c r="O217">
        <f t="shared" ca="1" si="79"/>
        <v>-4.8987894425882913E-3</v>
      </c>
      <c r="P217">
        <f t="shared" ca="1" si="80"/>
        <v>0.45975489242461931</v>
      </c>
      <c r="Q217">
        <f t="shared" ca="1" si="81"/>
        <v>0.90460822939961882</v>
      </c>
      <c r="R217">
        <f t="shared" ca="1" si="82"/>
        <v>1.1051319093146106</v>
      </c>
      <c r="T217">
        <f t="shared" si="83"/>
        <v>0.88591149005278114</v>
      </c>
      <c r="U217" s="6">
        <f t="shared" ca="1" si="84"/>
        <v>0.72796423567091473</v>
      </c>
      <c r="V217">
        <f t="shared" ca="1" si="85"/>
        <v>1.0025895146005492</v>
      </c>
      <c r="W217">
        <v>0.93321654212289373</v>
      </c>
      <c r="X217" t="b">
        <f t="shared" ca="1" si="86"/>
        <v>1</v>
      </c>
      <c r="AS217">
        <v>0.41330069458782304</v>
      </c>
      <c r="AT217">
        <v>999</v>
      </c>
      <c r="AU217">
        <v>999</v>
      </c>
      <c r="AV217">
        <v>-3.474695578340282</v>
      </c>
      <c r="AW217">
        <v>999</v>
      </c>
      <c r="AX217">
        <v>999</v>
      </c>
      <c r="AY217">
        <v>999</v>
      </c>
      <c r="AZ217">
        <v>999</v>
      </c>
      <c r="BA217">
        <v>-3.6113705894933186</v>
      </c>
      <c r="BB217">
        <v>-6.0854937959213995</v>
      </c>
      <c r="BC217">
        <v>5.1340065438045359</v>
      </c>
      <c r="BD217">
        <v>6.5798180801586064</v>
      </c>
      <c r="BE217">
        <v>999</v>
      </c>
      <c r="BF217">
        <v>-3.5240195175832363</v>
      </c>
      <c r="BJ217" t="b">
        <f t="shared" si="67"/>
        <v>1</v>
      </c>
      <c r="BK217" t="b">
        <f t="shared" ca="1" si="68"/>
        <v>1</v>
      </c>
    </row>
    <row r="218" spans="1:63" x14ac:dyDescent="0.45">
      <c r="A218" s="1">
        <v>44918</v>
      </c>
      <c r="B218">
        <v>123.15</v>
      </c>
      <c r="C218" s="1">
        <v>44918</v>
      </c>
      <c r="D218">
        <v>382.91</v>
      </c>
      <c r="E218">
        <f t="shared" si="69"/>
        <v>-1.7550857598723484E-2</v>
      </c>
      <c r="F218" s="4">
        <f t="shared" si="70"/>
        <v>5.7522588779155221E-3</v>
      </c>
      <c r="G218">
        <f t="shared" ca="1" si="71"/>
        <v>-3.2696004323780081E-3</v>
      </c>
      <c r="H218">
        <f t="shared" ca="1" si="72"/>
        <v>4.0371549495256134E-2</v>
      </c>
      <c r="I218">
        <f t="shared" ca="1" si="73"/>
        <v>-0.16582574899794794</v>
      </c>
      <c r="J218">
        <f t="shared" ca="1" si="74"/>
        <v>4.2516465348651611E-2</v>
      </c>
      <c r="K218">
        <f t="shared" ca="1" si="75"/>
        <v>0.86386663906767291</v>
      </c>
      <c r="L218">
        <f t="shared" ca="1" si="76"/>
        <v>0.75624260085438599</v>
      </c>
      <c r="M218">
        <f t="shared" ca="1" si="77"/>
        <v>-4.03604711791289E-4</v>
      </c>
      <c r="N218">
        <f t="shared" ca="1" si="78"/>
        <v>1.5739969417496329E-2</v>
      </c>
      <c r="O218">
        <f t="shared" ca="1" si="79"/>
        <v>1.1704916858462338E-3</v>
      </c>
      <c r="P218">
        <f t="shared" ca="1" si="80"/>
        <v>0.44187324888905444</v>
      </c>
      <c r="Q218">
        <f t="shared" ca="1" si="81"/>
        <v>0.90460822939961882</v>
      </c>
      <c r="R218">
        <f t="shared" ca="1" si="82"/>
        <v>1.0494113504951041</v>
      </c>
      <c r="T218">
        <f t="shared" si="83"/>
        <v>0.98244914240127657</v>
      </c>
      <c r="U218" s="6">
        <f t="shared" ca="1" si="84"/>
        <v>0.81974306064035152</v>
      </c>
      <c r="V218">
        <f t="shared" ca="1" si="85"/>
        <v>1.0021529065748522</v>
      </c>
      <c r="W218">
        <v>0.93868368055478579</v>
      </c>
      <c r="X218" t="b">
        <f t="shared" ca="1" si="86"/>
        <v>1</v>
      </c>
      <c r="AS218">
        <v>0.37780330681734231</v>
      </c>
      <c r="AT218">
        <v>999</v>
      </c>
      <c r="AU218">
        <v>999</v>
      </c>
      <c r="AV218">
        <v>-2.7941668375588042</v>
      </c>
      <c r="AW218">
        <v>999</v>
      </c>
      <c r="AX218">
        <v>999</v>
      </c>
      <c r="AY218">
        <v>999</v>
      </c>
      <c r="AZ218">
        <v>999</v>
      </c>
      <c r="BA218">
        <v>-3.4523192036696946</v>
      </c>
      <c r="BB218">
        <v>-5.5215449874293743</v>
      </c>
      <c r="BC218">
        <v>4.6067427589429482</v>
      </c>
      <c r="BD218">
        <v>6.3174029956497222</v>
      </c>
      <c r="BE218">
        <v>999</v>
      </c>
      <c r="BF218">
        <v>-3.4258735658763664</v>
      </c>
      <c r="BJ218" t="b">
        <f t="shared" si="67"/>
        <v>1</v>
      </c>
      <c r="BK218" t="b">
        <f t="shared" ca="1" si="68"/>
        <v>1</v>
      </c>
    </row>
    <row r="219" spans="1:63" x14ac:dyDescent="0.45">
      <c r="A219" s="1">
        <v>44917</v>
      </c>
      <c r="B219">
        <v>125.35</v>
      </c>
      <c r="C219" s="1">
        <v>44917</v>
      </c>
      <c r="D219">
        <v>380.72</v>
      </c>
      <c r="E219">
        <f t="shared" si="69"/>
        <v>-8.8827505996946998E-2</v>
      </c>
      <c r="F219" s="4">
        <f t="shared" si="70"/>
        <v>-1.4266110866582065E-2</v>
      </c>
      <c r="G219">
        <f t="shared" ca="1" si="71"/>
        <v>-3.3021648054769336E-3</v>
      </c>
      <c r="H219">
        <f t="shared" ca="1" si="72"/>
        <v>4.0385751084659555E-2</v>
      </c>
      <c r="I219">
        <f t="shared" ca="1" si="73"/>
        <v>-0.16367585179898458</v>
      </c>
      <c r="J219">
        <f t="shared" ca="1" si="74"/>
        <v>3.7915162227072585E-2</v>
      </c>
      <c r="K219">
        <f t="shared" ca="1" si="75"/>
        <v>0.86386663906767291</v>
      </c>
      <c r="L219">
        <f t="shared" ca="1" si="76"/>
        <v>0.75624260085438599</v>
      </c>
      <c r="M219">
        <f t="shared" ca="1" si="77"/>
        <v>-4.5494385882820779E-4</v>
      </c>
      <c r="N219">
        <f t="shared" ca="1" si="78"/>
        <v>1.5736534848764128E-2</v>
      </c>
      <c r="O219">
        <f t="shared" ca="1" si="79"/>
        <v>1.0663003445488605E-2</v>
      </c>
      <c r="P219">
        <f t="shared" ca="1" si="80"/>
        <v>0.44489804404128641</v>
      </c>
      <c r="Q219">
        <f t="shared" ca="1" si="81"/>
        <v>0.90460822939961882</v>
      </c>
      <c r="R219">
        <f t="shared" ca="1" si="82"/>
        <v>1.0494113504951041</v>
      </c>
      <c r="T219">
        <f t="shared" si="83"/>
        <v>0.911172494003053</v>
      </c>
      <c r="U219" s="6">
        <f t="shared" ca="1" si="84"/>
        <v>0.79501490454747259</v>
      </c>
      <c r="V219">
        <f t="shared" ca="1" si="85"/>
        <v>1.0094863348244596</v>
      </c>
      <c r="W219">
        <v>0.96262025151631292</v>
      </c>
      <c r="X219" t="b">
        <f t="shared" ca="1" si="86"/>
        <v>1</v>
      </c>
      <c r="AS219">
        <v>0.28713326677792933</v>
      </c>
      <c r="AT219">
        <v>999</v>
      </c>
      <c r="AU219">
        <v>999</v>
      </c>
      <c r="AV219">
        <v>999</v>
      </c>
      <c r="AW219">
        <v>999</v>
      </c>
      <c r="AX219">
        <v>999</v>
      </c>
      <c r="AY219">
        <v>999</v>
      </c>
      <c r="AZ219">
        <v>999</v>
      </c>
      <c r="BA219">
        <v>-4.5022658750104609</v>
      </c>
      <c r="BB219">
        <v>-4.3449016373665961</v>
      </c>
      <c r="BC219">
        <v>3.2530664818398347</v>
      </c>
      <c r="BD219">
        <v>5.5914619917887602</v>
      </c>
      <c r="BE219">
        <v>999</v>
      </c>
      <c r="BF219">
        <v>-2.8238594196565603</v>
      </c>
      <c r="BJ219" t="b">
        <f t="shared" si="67"/>
        <v>1</v>
      </c>
      <c r="BK219" t="b">
        <f t="shared" ca="1" si="68"/>
        <v>1</v>
      </c>
    </row>
    <row r="220" spans="1:63" x14ac:dyDescent="0.45">
      <c r="A220" s="1">
        <v>44916</v>
      </c>
      <c r="B220">
        <v>137.57</v>
      </c>
      <c r="C220" s="1">
        <v>44916</v>
      </c>
      <c r="D220">
        <v>386.23</v>
      </c>
      <c r="E220">
        <f t="shared" si="69"/>
        <v>-1.6690856313499142E-3</v>
      </c>
      <c r="F220" s="4">
        <f t="shared" si="70"/>
        <v>1.4952436011982964E-2</v>
      </c>
      <c r="G220">
        <f t="shared" ca="1" si="71"/>
        <v>-2.6483657034397979E-3</v>
      </c>
      <c r="H220">
        <f t="shared" ca="1" si="72"/>
        <v>4.0051276977276958E-2</v>
      </c>
      <c r="I220">
        <f t="shared" ca="1" si="73"/>
        <v>-0.16054443574673066</v>
      </c>
      <c r="J220">
        <f t="shared" ca="1" si="74"/>
        <v>5.2011235904732889E-2</v>
      </c>
      <c r="K220">
        <f t="shared" ca="1" si="75"/>
        <v>0.87364734311668268</v>
      </c>
      <c r="L220">
        <f t="shared" ca="1" si="76"/>
        <v>0.77222178261825658</v>
      </c>
      <c r="M220">
        <f t="shared" ca="1" si="77"/>
        <v>-2.4955925044124272E-4</v>
      </c>
      <c r="N220">
        <f t="shared" ca="1" si="78"/>
        <v>1.5823191388284145E-2</v>
      </c>
      <c r="O220">
        <f t="shared" ca="1" si="79"/>
        <v>4.9926612235134601E-4</v>
      </c>
      <c r="P220">
        <f t="shared" ca="1" si="80"/>
        <v>0.41064243589643024</v>
      </c>
      <c r="Q220">
        <f t="shared" ca="1" si="81"/>
        <v>0.91996289608549653</v>
      </c>
      <c r="R220">
        <f t="shared" ca="1" si="82"/>
        <v>1.1479792940221922</v>
      </c>
      <c r="T220">
        <f t="shared" si="83"/>
        <v>0.99833091436865007</v>
      </c>
      <c r="U220" s="6">
        <f t="shared" ca="1" si="84"/>
        <v>0.87735969387755097</v>
      </c>
      <c r="V220">
        <f t="shared" ca="1" si="85"/>
        <v>1.0042226398274283</v>
      </c>
      <c r="W220">
        <v>0.9635398481819657</v>
      </c>
      <c r="X220" t="b">
        <f t="shared" ca="1" si="86"/>
        <v>1</v>
      </c>
      <c r="AS220">
        <v>0.26719853864033632</v>
      </c>
      <c r="AT220">
        <v>999</v>
      </c>
      <c r="AU220">
        <v>999</v>
      </c>
      <c r="AV220">
        <v>999</v>
      </c>
      <c r="AW220">
        <v>999</v>
      </c>
      <c r="AX220">
        <v>999</v>
      </c>
      <c r="AY220">
        <v>999</v>
      </c>
      <c r="AZ220">
        <v>999</v>
      </c>
      <c r="BA220">
        <v>-3.9970883441430507</v>
      </c>
      <c r="BB220">
        <v>-3.9441088114983089</v>
      </c>
      <c r="BC220">
        <v>2.8996040879636222</v>
      </c>
      <c r="BD220">
        <v>5.2086065533384396</v>
      </c>
      <c r="BE220">
        <v>999</v>
      </c>
      <c r="BF220">
        <v>-2.5895244571452758</v>
      </c>
      <c r="BJ220" t="b">
        <f t="shared" si="67"/>
        <v>1</v>
      </c>
      <c r="BK220" t="b">
        <f t="shared" ca="1" si="68"/>
        <v>1</v>
      </c>
    </row>
    <row r="221" spans="1:63" x14ac:dyDescent="0.45">
      <c r="A221" s="1">
        <v>44915</v>
      </c>
      <c r="B221">
        <v>137.80000000000001</v>
      </c>
      <c r="C221" s="1">
        <v>44915</v>
      </c>
      <c r="D221">
        <v>380.54</v>
      </c>
      <c r="E221">
        <f t="shared" si="69"/>
        <v>-8.0536464936278057E-2</v>
      </c>
      <c r="F221" s="4">
        <f t="shared" si="70"/>
        <v>1.3683490342614563E-3</v>
      </c>
      <c r="G221">
        <f t="shared" ca="1" si="71"/>
        <v>-2.5168440551729034E-3</v>
      </c>
      <c r="H221">
        <f t="shared" ca="1" si="72"/>
        <v>4.0097671550839403E-2</v>
      </c>
      <c r="I221">
        <f t="shared" ca="1" si="73"/>
        <v>-0.16832837100848616</v>
      </c>
      <c r="J221">
        <f t="shared" ca="1" si="74"/>
        <v>4.0996048163908227E-2</v>
      </c>
      <c r="K221">
        <f t="shared" ca="1" si="75"/>
        <v>0.87364734311668268</v>
      </c>
      <c r="L221">
        <f t="shared" ca="1" si="76"/>
        <v>0.80300191740517934</v>
      </c>
      <c r="M221">
        <f t="shared" ca="1" si="77"/>
        <v>-3.6223002073075533E-4</v>
      </c>
      <c r="N221">
        <f t="shared" ca="1" si="78"/>
        <v>1.5794602587496206E-2</v>
      </c>
      <c r="O221">
        <f t="shared" ca="1" si="79"/>
        <v>1.7085508426620707E-2</v>
      </c>
      <c r="P221">
        <f t="shared" ca="1" si="80"/>
        <v>0.43171422911328472</v>
      </c>
      <c r="Q221">
        <f t="shared" ca="1" si="81"/>
        <v>0.91996289608549653</v>
      </c>
      <c r="R221">
        <f t="shared" ca="1" si="82"/>
        <v>1.1051319093146106</v>
      </c>
      <c r="T221">
        <f t="shared" si="83"/>
        <v>0.91946353506372192</v>
      </c>
      <c r="U221" s="6">
        <f t="shared" ca="1" si="84"/>
        <v>0.8561665113389253</v>
      </c>
      <c r="V221">
        <f t="shared" ca="1" si="85"/>
        <v>0.98939203955166011</v>
      </c>
      <c r="W221">
        <v>0.98891584170088098</v>
      </c>
      <c r="X221" t="b">
        <f t="shared" ca="1" si="86"/>
        <v>1</v>
      </c>
      <c r="AS221">
        <v>0.28505347965485395</v>
      </c>
      <c r="AT221">
        <v>999</v>
      </c>
      <c r="AU221">
        <v>999</v>
      </c>
      <c r="AV221">
        <v>999</v>
      </c>
      <c r="AW221">
        <v>999</v>
      </c>
      <c r="AX221">
        <v>-5.1787405034301264</v>
      </c>
      <c r="AY221">
        <v>999</v>
      </c>
      <c r="AZ221">
        <v>999</v>
      </c>
      <c r="BA221">
        <v>999</v>
      </c>
      <c r="BB221">
        <v>-2.7361937651816755</v>
      </c>
      <c r="BC221">
        <v>999</v>
      </c>
      <c r="BD221">
        <v>999</v>
      </c>
      <c r="BE221">
        <v>-3.3313091402867023</v>
      </c>
      <c r="BF221">
        <v>8.0372535821976907</v>
      </c>
      <c r="BJ221" t="b">
        <f t="shared" si="67"/>
        <v>1</v>
      </c>
      <c r="BK221" t="b">
        <f t="shared" ca="1" si="68"/>
        <v>1</v>
      </c>
    </row>
    <row r="222" spans="1:63" x14ac:dyDescent="0.45">
      <c r="A222" s="1">
        <v>44914</v>
      </c>
      <c r="B222">
        <v>149.87</v>
      </c>
      <c r="C222" s="1">
        <v>44914</v>
      </c>
      <c r="D222">
        <v>380.02</v>
      </c>
      <c r="E222">
        <f t="shared" si="69"/>
        <v>-2.3963256340277257E-3</v>
      </c>
      <c r="F222" s="4">
        <f t="shared" si="70"/>
        <v>-8.479661857176404E-3</v>
      </c>
      <c r="G222">
        <f t="shared" ca="1" si="71"/>
        <v>-2.31523176592078E-3</v>
      </c>
      <c r="H222">
        <f t="shared" ca="1" si="72"/>
        <v>3.980370900441333E-2</v>
      </c>
      <c r="I222">
        <f t="shared" ca="1" si="73"/>
        <v>-0.15352099744992173</v>
      </c>
      <c r="J222">
        <f t="shared" ca="1" si="74"/>
        <v>6.3931945193869133E-2</v>
      </c>
      <c r="K222">
        <f t="shared" ca="1" si="75"/>
        <v>0.89518655139054493</v>
      </c>
      <c r="L222">
        <f t="shared" ca="1" si="76"/>
        <v>0.80300191740517934</v>
      </c>
      <c r="M222">
        <f t="shared" ca="1" si="77"/>
        <v>-5.1646746666796518E-4</v>
      </c>
      <c r="N222">
        <f t="shared" ca="1" si="78"/>
        <v>1.5927673591642797E-2</v>
      </c>
      <c r="O222">
        <f t="shared" ca="1" si="79"/>
        <v>1.4990340788445727E-2</v>
      </c>
      <c r="P222">
        <f t="shared" ca="1" si="80"/>
        <v>0.37479922545045685</v>
      </c>
      <c r="Q222">
        <f t="shared" ca="1" si="81"/>
        <v>0.88771238542332875</v>
      </c>
      <c r="R222">
        <f t="shared" ca="1" si="82"/>
        <v>1.0494113504951041</v>
      </c>
      <c r="T222">
        <f t="shared" si="83"/>
        <v>0.9976036743659723</v>
      </c>
      <c r="U222" s="6">
        <f t="shared" ca="1" si="84"/>
        <v>0.89304016207841763</v>
      </c>
      <c r="V222">
        <f t="shared" ca="1" si="85"/>
        <v>0.98277712026054098</v>
      </c>
      <c r="W222">
        <v>0.96696445115889285</v>
      </c>
      <c r="X222" t="b">
        <f t="shared" ca="1" si="86"/>
        <v>1</v>
      </c>
      <c r="AS222">
        <v>0.32266564307847156</v>
      </c>
      <c r="AT222">
        <v>999</v>
      </c>
      <c r="AU222">
        <v>999</v>
      </c>
      <c r="AV222">
        <v>999</v>
      </c>
      <c r="AW222">
        <v>999</v>
      </c>
      <c r="AX222">
        <v>-5.3300562308589976</v>
      </c>
      <c r="AY222">
        <v>999</v>
      </c>
      <c r="AZ222">
        <v>999</v>
      </c>
      <c r="BA222">
        <v>999</v>
      </c>
      <c r="BB222">
        <v>-2.9006135737607726</v>
      </c>
      <c r="BC222">
        <v>999</v>
      </c>
      <c r="BD222">
        <v>999</v>
      </c>
      <c r="BE222">
        <v>-3.3762258435938852</v>
      </c>
      <c r="BF222">
        <v>8.2869440833241299</v>
      </c>
      <c r="BJ222" t="b">
        <f t="shared" si="67"/>
        <v>1</v>
      </c>
      <c r="BK222" t="b">
        <f t="shared" ca="1" si="68"/>
        <v>1</v>
      </c>
    </row>
    <row r="223" spans="1:63" x14ac:dyDescent="0.45">
      <c r="A223" s="1">
        <v>44911</v>
      </c>
      <c r="B223">
        <v>150.22999999999999</v>
      </c>
      <c r="C223" s="1">
        <v>44911</v>
      </c>
      <c r="D223">
        <v>383.27</v>
      </c>
      <c r="E223">
        <f t="shared" si="69"/>
        <v>-4.7187163062091697E-2</v>
      </c>
      <c r="F223" s="4">
        <f t="shared" si="70"/>
        <v>-1.6323178400020566E-2</v>
      </c>
      <c r="G223">
        <f t="shared" ca="1" si="71"/>
        <v>-2.309201603812986E-3</v>
      </c>
      <c r="H223">
        <f t="shared" ca="1" si="72"/>
        <v>3.9803788012524863E-2</v>
      </c>
      <c r="I223">
        <f t="shared" ca="1" si="73"/>
        <v>-0.15397905103787529</v>
      </c>
      <c r="J223">
        <f t="shared" ca="1" si="74"/>
        <v>6.4002320614655606E-2</v>
      </c>
      <c r="K223">
        <f t="shared" ca="1" si="75"/>
        <v>0.89518655139054493</v>
      </c>
      <c r="L223">
        <f t="shared" ca="1" si="76"/>
        <v>0.80300191740517934</v>
      </c>
      <c r="M223">
        <f t="shared" ca="1" si="77"/>
        <v>-5.1469250777569299E-4</v>
      </c>
      <c r="N223">
        <f t="shared" ca="1" si="78"/>
        <v>1.5926801480480795E-2</v>
      </c>
      <c r="O223">
        <f t="shared" ca="1" si="79"/>
        <v>1.4736213465594214E-2</v>
      </c>
      <c r="P223">
        <f t="shared" ca="1" si="80"/>
        <v>0.37548774623458314</v>
      </c>
      <c r="Q223">
        <f t="shared" ca="1" si="81"/>
        <v>0.88771238542332875</v>
      </c>
      <c r="R223">
        <f t="shared" ca="1" si="82"/>
        <v>1.0494113504951041</v>
      </c>
      <c r="T223">
        <f t="shared" si="83"/>
        <v>0.9528128369379083</v>
      </c>
      <c r="U223" s="6">
        <f t="shared" ca="1" si="84"/>
        <v>0.8390393744764032</v>
      </c>
      <c r="V223">
        <f t="shared" ca="1" si="85"/>
        <v>0.93265900094727561</v>
      </c>
      <c r="W223">
        <v>0.94016946512122113</v>
      </c>
      <c r="X223" t="b">
        <f t="shared" ca="1" si="86"/>
        <v>1</v>
      </c>
      <c r="AS223">
        <v>0.32818151157458786</v>
      </c>
      <c r="AT223">
        <v>999</v>
      </c>
      <c r="AU223">
        <v>999</v>
      </c>
      <c r="AV223">
        <v>999</v>
      </c>
      <c r="AW223">
        <v>999</v>
      </c>
      <c r="AX223">
        <v>-5.2512810764951992</v>
      </c>
      <c r="AY223">
        <v>999</v>
      </c>
      <c r="AZ223">
        <v>999</v>
      </c>
      <c r="BA223">
        <v>999</v>
      </c>
      <c r="BB223">
        <v>-2.9014650674599434</v>
      </c>
      <c r="BC223">
        <v>999</v>
      </c>
      <c r="BD223">
        <v>999</v>
      </c>
      <c r="BE223">
        <v>-3.2326564288011848</v>
      </c>
      <c r="BF223">
        <v>8.2310847858946588</v>
      </c>
      <c r="BJ223" t="b">
        <f t="shared" si="67"/>
        <v>1</v>
      </c>
      <c r="BK223" t="b">
        <f t="shared" ca="1" si="68"/>
        <v>1</v>
      </c>
    </row>
    <row r="224" spans="1:63" x14ac:dyDescent="0.45">
      <c r="A224" s="1">
        <v>44910</v>
      </c>
      <c r="B224">
        <v>157.66999999999999</v>
      </c>
      <c r="C224" s="1">
        <v>44910</v>
      </c>
      <c r="D224">
        <v>389.63</v>
      </c>
      <c r="E224">
        <f t="shared" si="69"/>
        <v>5.5484693877549491E-3</v>
      </c>
      <c r="F224" s="4">
        <f t="shared" si="70"/>
        <v>-2.4461692538808168E-2</v>
      </c>
      <c r="G224">
        <f t="shared" ca="1" si="71"/>
        <v>-2.3039875483568746E-3</v>
      </c>
      <c r="H224">
        <f t="shared" ca="1" si="72"/>
        <v>3.9797947602117328E-2</v>
      </c>
      <c r="I224">
        <f t="shared" ca="1" si="73"/>
        <v>-0.15394819105577609</v>
      </c>
      <c r="J224">
        <f t="shared" ca="1" si="74"/>
        <v>6.5158763099503414E-2</v>
      </c>
      <c r="K224">
        <f t="shared" ca="1" si="75"/>
        <v>0.89518655139054493</v>
      </c>
      <c r="L224">
        <f t="shared" ca="1" si="76"/>
        <v>0.80300191740517934</v>
      </c>
      <c r="M224">
        <f t="shared" ca="1" si="77"/>
        <v>-4.5796871196413029E-4</v>
      </c>
      <c r="N224">
        <f t="shared" ca="1" si="78"/>
        <v>1.5890376846216886E-2</v>
      </c>
      <c r="O224">
        <f t="shared" ca="1" si="79"/>
        <v>8.9057795593149719E-3</v>
      </c>
      <c r="P224">
        <f t="shared" ca="1" si="80"/>
        <v>0.40171583360986229</v>
      </c>
      <c r="Q224">
        <f t="shared" ca="1" si="81"/>
        <v>0.88771238542332875</v>
      </c>
      <c r="R224">
        <f t="shared" ca="1" si="82"/>
        <v>1.1051319093146106</v>
      </c>
      <c r="T224">
        <f t="shared" si="83"/>
        <v>1.005548469387755</v>
      </c>
      <c r="U224" s="6">
        <f t="shared" ca="1" si="84"/>
        <v>0.9090751845018451</v>
      </c>
      <c r="V224">
        <f t="shared" ca="1" si="85"/>
        <v>0.91645765475185226</v>
      </c>
      <c r="W224">
        <v>0.93640929035821352</v>
      </c>
      <c r="X224" t="b">
        <f t="shared" ca="1" si="86"/>
        <v>1</v>
      </c>
      <c r="AS224">
        <v>0.33780539105767127</v>
      </c>
      <c r="AT224">
        <v>999</v>
      </c>
      <c r="AU224">
        <v>999</v>
      </c>
      <c r="AV224">
        <v>999</v>
      </c>
      <c r="AW224">
        <v>999</v>
      </c>
      <c r="AX224">
        <v>-5.2363171118312559</v>
      </c>
      <c r="AY224">
        <v>999</v>
      </c>
      <c r="AZ224">
        <v>999</v>
      </c>
      <c r="BA224">
        <v>999</v>
      </c>
      <c r="BB224">
        <v>-2.8987152920437471</v>
      </c>
      <c r="BC224">
        <v>999</v>
      </c>
      <c r="BD224">
        <v>999</v>
      </c>
      <c r="BE224">
        <v>-3.1833786360495102</v>
      </c>
      <c r="BF224">
        <v>8.2315474546297391</v>
      </c>
      <c r="BJ224" t="b">
        <f t="shared" si="67"/>
        <v>1</v>
      </c>
      <c r="BK224" t="b">
        <f t="shared" ca="1" si="68"/>
        <v>1</v>
      </c>
    </row>
    <row r="225" spans="1:63" x14ac:dyDescent="0.45">
      <c r="A225" s="1">
        <v>44909</v>
      </c>
      <c r="B225">
        <v>156.80000000000001</v>
      </c>
      <c r="C225" s="1">
        <v>44909</v>
      </c>
      <c r="D225">
        <v>399.4</v>
      </c>
      <c r="E225">
        <f t="shared" si="69"/>
        <v>-2.5784405094749784E-2</v>
      </c>
      <c r="F225" s="4">
        <f t="shared" si="70"/>
        <v>-6.3935119536285044E-3</v>
      </c>
      <c r="G225">
        <f t="shared" ca="1" si="71"/>
        <v>-2.2419418533829935E-3</v>
      </c>
      <c r="H225">
        <f t="shared" ca="1" si="72"/>
        <v>3.9819918205390534E-2</v>
      </c>
      <c r="I225">
        <f t="shared" ca="1" si="73"/>
        <v>-0.15778542631670628</v>
      </c>
      <c r="J225">
        <f t="shared" ca="1" si="74"/>
        <v>5.9626357271022279E-2</v>
      </c>
      <c r="K225">
        <f t="shared" ca="1" si="75"/>
        <v>0.89518655139054493</v>
      </c>
      <c r="L225">
        <f t="shared" ca="1" si="76"/>
        <v>0.80300191740517934</v>
      </c>
      <c r="M225">
        <f t="shared" ca="1" si="77"/>
        <v>-2.4367922689695634E-4</v>
      </c>
      <c r="N225">
        <f t="shared" ca="1" si="78"/>
        <v>1.5853986433193818E-2</v>
      </c>
      <c r="O225">
        <f t="shared" ca="1" si="79"/>
        <v>-5.839902693781731E-3</v>
      </c>
      <c r="P225">
        <f t="shared" ca="1" si="80"/>
        <v>0.41581440567611905</v>
      </c>
      <c r="Q225">
        <f t="shared" ca="1" si="81"/>
        <v>0.88771238542332875</v>
      </c>
      <c r="R225">
        <f t="shared" ca="1" si="82"/>
        <v>1.1966033287507643</v>
      </c>
      <c r="T225">
        <f t="shared" si="83"/>
        <v>0.97421559490525023</v>
      </c>
      <c r="U225" s="6">
        <f t="shared" ca="1" si="84"/>
        <v>0.90094231211215825</v>
      </c>
      <c r="V225">
        <f t="shared" ca="1" si="85"/>
        <v>0.96155552639169983</v>
      </c>
      <c r="W225">
        <v>0.954779392251069</v>
      </c>
      <c r="X225" t="b">
        <f t="shared" ca="1" si="86"/>
        <v>1</v>
      </c>
      <c r="AS225">
        <v>0.3328006859826973</v>
      </c>
      <c r="AT225">
        <v>999</v>
      </c>
      <c r="AU225">
        <v>999</v>
      </c>
      <c r="AV225">
        <v>999</v>
      </c>
      <c r="AW225">
        <v>999</v>
      </c>
      <c r="AX225">
        <v>-5.2511180701576512</v>
      </c>
      <c r="AY225">
        <v>999</v>
      </c>
      <c r="AZ225">
        <v>999</v>
      </c>
      <c r="BA225">
        <v>999</v>
      </c>
      <c r="BB225">
        <v>-2.8675730707731795</v>
      </c>
      <c r="BC225">
        <v>999</v>
      </c>
      <c r="BD225">
        <v>999</v>
      </c>
      <c r="BE225">
        <v>-3.1666862541148086</v>
      </c>
      <c r="BF225">
        <v>8.2179697343572506</v>
      </c>
      <c r="BJ225" t="b">
        <f t="shared" si="67"/>
        <v>1</v>
      </c>
      <c r="BK225" t="b">
        <f t="shared" ca="1" si="68"/>
        <v>1</v>
      </c>
    </row>
    <row r="226" spans="1:63" x14ac:dyDescent="0.45">
      <c r="A226" s="1">
        <v>44908</v>
      </c>
      <c r="B226">
        <v>160.94999999999999</v>
      </c>
      <c r="C226" s="1">
        <v>44908</v>
      </c>
      <c r="D226">
        <v>401.97</v>
      </c>
      <c r="E226">
        <f t="shared" si="69"/>
        <v>-4.0936717912048649E-2</v>
      </c>
      <c r="F226" s="4">
        <f t="shared" si="70"/>
        <v>7.5698709111418445E-3</v>
      </c>
      <c r="G226">
        <f t="shared" ca="1" si="71"/>
        <v>-2.1478302489774752E-3</v>
      </c>
      <c r="H226">
        <f t="shared" ca="1" si="72"/>
        <v>3.9786225998436099E-2</v>
      </c>
      <c r="I226">
        <f t="shared" ca="1" si="73"/>
        <v>-0.16431143789012331</v>
      </c>
      <c r="J226">
        <f t="shared" ca="1" si="74"/>
        <v>7.1076427616716398E-2</v>
      </c>
      <c r="K226">
        <f t="shared" ca="1" si="75"/>
        <v>0.89518655139054493</v>
      </c>
      <c r="L226">
        <f t="shared" ca="1" si="76"/>
        <v>0.80541134244399559</v>
      </c>
      <c r="M226">
        <f t="shared" ca="1" si="77"/>
        <v>-2.8786309969185337E-4</v>
      </c>
      <c r="N226">
        <f t="shared" ca="1" si="78"/>
        <v>1.588349792990993E-2</v>
      </c>
      <c r="O226">
        <f t="shared" ca="1" si="79"/>
        <v>-1.346899483977764E-3</v>
      </c>
      <c r="P226">
        <f t="shared" ca="1" si="80"/>
        <v>0.39408468083621218</v>
      </c>
      <c r="Q226">
        <f t="shared" ca="1" si="81"/>
        <v>0.88771238542332875</v>
      </c>
      <c r="R226">
        <f t="shared" ca="1" si="82"/>
        <v>1.1479792940221922</v>
      </c>
      <c r="T226">
        <f t="shared" si="83"/>
        <v>0.95906328208795133</v>
      </c>
      <c r="U226" s="6">
        <f t="shared" ca="1" si="84"/>
        <v>0.89506172839506171</v>
      </c>
      <c r="V226">
        <f t="shared" ca="1" si="85"/>
        <v>0.9627451657370617</v>
      </c>
      <c r="W226">
        <v>0.97581218444121087</v>
      </c>
      <c r="X226" t="b">
        <f t="shared" ca="1" si="86"/>
        <v>1</v>
      </c>
      <c r="AS226">
        <v>0.35698298465529227</v>
      </c>
      <c r="AT226">
        <v>999</v>
      </c>
      <c r="AU226">
        <v>999</v>
      </c>
      <c r="AV226">
        <v>3.5910689586170648</v>
      </c>
      <c r="AW226">
        <v>999</v>
      </c>
      <c r="AX226">
        <v>-5.3125802114007001</v>
      </c>
      <c r="AY226">
        <v>999</v>
      </c>
      <c r="AZ226">
        <v>999</v>
      </c>
      <c r="BA226">
        <v>999</v>
      </c>
      <c r="BB226">
        <v>999</v>
      </c>
      <c r="BC226">
        <v>999</v>
      </c>
      <c r="BD226">
        <v>999</v>
      </c>
      <c r="BE226">
        <v>-4.324647692161677</v>
      </c>
      <c r="BF226">
        <v>8.9618649742715863</v>
      </c>
      <c r="BJ226" t="b">
        <f t="shared" si="67"/>
        <v>1</v>
      </c>
      <c r="BK226" t="b">
        <f t="shared" ca="1" si="68"/>
        <v>1</v>
      </c>
    </row>
    <row r="227" spans="1:63" x14ac:dyDescent="0.45">
      <c r="A227" s="1">
        <v>44907</v>
      </c>
      <c r="B227">
        <v>167.82</v>
      </c>
      <c r="C227" s="1">
        <v>44907</v>
      </c>
      <c r="D227">
        <v>398.95</v>
      </c>
      <c r="E227">
        <f t="shared" si="69"/>
        <v>-6.2719910639486273E-2</v>
      </c>
      <c r="F227" s="4">
        <f t="shared" si="70"/>
        <v>1.4417209113100123E-2</v>
      </c>
      <c r="G227">
        <f t="shared" ca="1" si="71"/>
        <v>-1.5692723016491425E-3</v>
      </c>
      <c r="H227">
        <f t="shared" ca="1" si="72"/>
        <v>4.0059716131285575E-2</v>
      </c>
      <c r="I227">
        <f t="shared" ca="1" si="73"/>
        <v>-0.16419114319617276</v>
      </c>
      <c r="J227">
        <f t="shared" ca="1" si="74"/>
        <v>6.1073316497669339E-2</v>
      </c>
      <c r="K227">
        <f t="shared" ca="1" si="75"/>
        <v>1.0125948502860111</v>
      </c>
      <c r="L227">
        <f t="shared" ca="1" si="76"/>
        <v>0.83564587734567941</v>
      </c>
      <c r="M227">
        <f t="shared" ca="1" si="77"/>
        <v>-3.3850514413905319E-4</v>
      </c>
      <c r="N227">
        <f t="shared" ca="1" si="78"/>
        <v>1.5874462733548835E-2</v>
      </c>
      <c r="O227">
        <f t="shared" ca="1" si="79"/>
        <v>7.6875112779355437E-3</v>
      </c>
      <c r="P227">
        <f t="shared" ca="1" si="80"/>
        <v>0.40165115333114665</v>
      </c>
      <c r="Q227">
        <f t="shared" ca="1" si="81"/>
        <v>0.88771238542332875</v>
      </c>
      <c r="R227">
        <f t="shared" ca="1" si="82"/>
        <v>1.1479792940221922</v>
      </c>
      <c r="T227">
        <f t="shared" si="83"/>
        <v>0.93728008936051377</v>
      </c>
      <c r="U227" s="6">
        <f t="shared" ca="1" si="84"/>
        <v>0.91981364757467798</v>
      </c>
      <c r="V227">
        <f t="shared" ca="1" si="85"/>
        <v>0.97421567885283678</v>
      </c>
      <c r="W227">
        <v>1.0275144824212785</v>
      </c>
      <c r="X227" t="b">
        <f t="shared" ca="1" si="86"/>
        <v>0</v>
      </c>
      <c r="AS227">
        <v>0.41529425691832639</v>
      </c>
      <c r="AT227">
        <v>999</v>
      </c>
      <c r="AU227">
        <v>999</v>
      </c>
      <c r="AV227">
        <v>999</v>
      </c>
      <c r="AW227">
        <v>999</v>
      </c>
      <c r="AX227">
        <v>-4.582692290858728</v>
      </c>
      <c r="AY227">
        <v>999</v>
      </c>
      <c r="AZ227">
        <v>2.1212036965484788</v>
      </c>
      <c r="BA227">
        <v>3.8859523474196029</v>
      </c>
      <c r="BB227">
        <v>999</v>
      </c>
      <c r="BC227">
        <v>999</v>
      </c>
      <c r="BD227">
        <v>999</v>
      </c>
      <c r="BE227">
        <v>-5.2148664328568852</v>
      </c>
      <c r="BF227">
        <v>3.1571088249197148</v>
      </c>
      <c r="BJ227" t="b">
        <f t="shared" si="67"/>
        <v>1</v>
      </c>
      <c r="BK227" t="b">
        <f t="shared" ca="1" si="68"/>
        <v>0</v>
      </c>
    </row>
    <row r="228" spans="1:63" x14ac:dyDescent="0.45">
      <c r="A228" s="1">
        <v>44904</v>
      </c>
      <c r="B228">
        <v>179.05</v>
      </c>
      <c r="C228" s="1">
        <v>44904</v>
      </c>
      <c r="D228">
        <v>393.28</v>
      </c>
      <c r="E228">
        <f t="shared" si="69"/>
        <v>3.2345479704797127E-2</v>
      </c>
      <c r="F228" s="4">
        <f t="shared" si="70"/>
        <v>-7.4702200686453573E-3</v>
      </c>
      <c r="G228">
        <f t="shared" ca="1" si="71"/>
        <v>-1.1988398790474264E-3</v>
      </c>
      <c r="H228">
        <f t="shared" ca="1" si="72"/>
        <v>3.9833313622699727E-2</v>
      </c>
      <c r="I228">
        <f t="shared" ca="1" si="73"/>
        <v>-0.17664987409021726</v>
      </c>
      <c r="J228">
        <f t="shared" ca="1" si="74"/>
        <v>0.10977428909613041</v>
      </c>
      <c r="K228">
        <f t="shared" ca="1" si="75"/>
        <v>1.0125948502860111</v>
      </c>
      <c r="L228">
        <f t="shared" ca="1" si="76"/>
        <v>0.84210061223144994</v>
      </c>
      <c r="M228">
        <f t="shared" ca="1" si="77"/>
        <v>-3.002713204540284E-4</v>
      </c>
      <c r="N228">
        <f t="shared" ca="1" si="78"/>
        <v>1.5919325893766798E-2</v>
      </c>
      <c r="O228">
        <f t="shared" ca="1" si="79"/>
        <v>1.0448278618192497E-2</v>
      </c>
      <c r="P228">
        <f t="shared" ca="1" si="80"/>
        <v>0.37930361729916884</v>
      </c>
      <c r="Q228">
        <f t="shared" ca="1" si="81"/>
        <v>0.88771238542332875</v>
      </c>
      <c r="R228">
        <f t="shared" ca="1" si="82"/>
        <v>1.1479792940221922</v>
      </c>
      <c r="T228">
        <f t="shared" si="83"/>
        <v>1.0323454797047971</v>
      </c>
      <c r="U228" s="6">
        <f t="shared" ca="1" si="84"/>
        <v>0.91886482602894382</v>
      </c>
      <c r="V228">
        <f t="shared" ca="1" si="85"/>
        <v>0.95885570547522747</v>
      </c>
      <c r="W228">
        <v>1.0335439003029241</v>
      </c>
      <c r="X228" t="b">
        <f t="shared" ca="1" si="86"/>
        <v>0</v>
      </c>
      <c r="AS228">
        <v>0.39287878674132742</v>
      </c>
      <c r="AT228">
        <v>999</v>
      </c>
      <c r="AU228">
        <v>999</v>
      </c>
      <c r="AV228">
        <v>999</v>
      </c>
      <c r="AW228">
        <v>999</v>
      </c>
      <c r="AX228">
        <v>-4.3504666385864939</v>
      </c>
      <c r="AY228">
        <v>999</v>
      </c>
      <c r="AZ228">
        <v>999</v>
      </c>
      <c r="BA228">
        <v>4.0656244197206455</v>
      </c>
      <c r="BB228">
        <v>999</v>
      </c>
      <c r="BC228">
        <v>999</v>
      </c>
      <c r="BD228">
        <v>999</v>
      </c>
      <c r="BE228">
        <v>-5.1238598044453569</v>
      </c>
      <c r="BF228">
        <v>4.7829887597649634</v>
      </c>
      <c r="BJ228" t="b">
        <f t="shared" si="67"/>
        <v>1</v>
      </c>
      <c r="BK228" t="b">
        <f t="shared" ca="1" si="68"/>
        <v>0</v>
      </c>
    </row>
    <row r="229" spans="1:63" x14ac:dyDescent="0.45">
      <c r="A229" s="1">
        <v>44903</v>
      </c>
      <c r="B229">
        <v>173.44</v>
      </c>
      <c r="C229" s="1">
        <v>44903</v>
      </c>
      <c r="D229">
        <v>396.24</v>
      </c>
      <c r="E229">
        <f t="shared" si="69"/>
        <v>-3.447483337163838E-3</v>
      </c>
      <c r="F229" s="4">
        <f t="shared" si="70"/>
        <v>7.8339607284565668E-3</v>
      </c>
      <c r="G229">
        <f t="shared" ca="1" si="71"/>
        <v>-1.1202068252390742E-3</v>
      </c>
      <c r="H229">
        <f t="shared" ca="1" si="72"/>
        <v>3.9915302825337826E-2</v>
      </c>
      <c r="I229">
        <f t="shared" ca="1" si="73"/>
        <v>-0.17499893575264358</v>
      </c>
      <c r="J229">
        <f t="shared" ca="1" si="74"/>
        <v>9.4750897103169862E-2</v>
      </c>
      <c r="K229">
        <f t="shared" ca="1" si="75"/>
        <v>1.0125948502860111</v>
      </c>
      <c r="L229">
        <f t="shared" ca="1" si="76"/>
        <v>0.84210061223144994</v>
      </c>
      <c r="M229">
        <f t="shared" ca="1" si="77"/>
        <v>-1.8767433789726909E-4</v>
      </c>
      <c r="N229">
        <f t="shared" ca="1" si="78"/>
        <v>1.5947971974685424E-2</v>
      </c>
      <c r="O229">
        <f t="shared" ca="1" si="79"/>
        <v>-6.0162055114952985E-3</v>
      </c>
      <c r="P229">
        <f t="shared" ca="1" si="80"/>
        <v>0.35885884035761073</v>
      </c>
      <c r="Q229">
        <f t="shared" ca="1" si="81"/>
        <v>0.88771238542332875</v>
      </c>
      <c r="R229">
        <f t="shared" ca="1" si="82"/>
        <v>1.1856994285435136</v>
      </c>
      <c r="T229">
        <f t="shared" si="83"/>
        <v>0.99655251666283617</v>
      </c>
      <c r="U229" s="6">
        <f t="shared" ca="1" si="84"/>
        <v>0.89080636877247066</v>
      </c>
      <c r="V229">
        <f t="shared" ca="1" si="85"/>
        <v>0.95723785899858804</v>
      </c>
      <c r="W229">
        <v>1.0632698826716913</v>
      </c>
      <c r="X229" t="b">
        <f t="shared" ca="1" si="86"/>
        <v>0</v>
      </c>
      <c r="AS229">
        <v>0.41988607836396669</v>
      </c>
      <c r="AT229">
        <v>999</v>
      </c>
      <c r="AU229">
        <v>999</v>
      </c>
      <c r="AV229">
        <v>999</v>
      </c>
      <c r="AW229">
        <v>999</v>
      </c>
      <c r="AX229">
        <v>-3.9214605729557239</v>
      </c>
      <c r="AY229">
        <v>999</v>
      </c>
      <c r="AZ229">
        <v>999</v>
      </c>
      <c r="BA229">
        <v>4.7868795552671264</v>
      </c>
      <c r="BB229">
        <v>999</v>
      </c>
      <c r="BC229">
        <v>999</v>
      </c>
      <c r="BD229">
        <v>999</v>
      </c>
      <c r="BE229">
        <v>-5.6458184356430721</v>
      </c>
      <c r="BF229">
        <v>3.8021068420876447</v>
      </c>
      <c r="BJ229" t="b">
        <f t="shared" si="67"/>
        <v>1</v>
      </c>
      <c r="BK229" t="b">
        <f t="shared" ca="1" si="68"/>
        <v>0</v>
      </c>
    </row>
    <row r="230" spans="1:63" x14ac:dyDescent="0.45">
      <c r="A230" s="1">
        <v>44902</v>
      </c>
      <c r="B230">
        <v>174.04</v>
      </c>
      <c r="C230" s="1">
        <v>44902</v>
      </c>
      <c r="D230">
        <v>393.16</v>
      </c>
      <c r="E230">
        <f t="shared" si="69"/>
        <v>-3.2143254365476596E-2</v>
      </c>
      <c r="F230" s="4">
        <f t="shared" si="70"/>
        <v>-1.701241652489549E-3</v>
      </c>
      <c r="G230">
        <f t="shared" ca="1" si="71"/>
        <v>-1.4528596741433934E-3</v>
      </c>
      <c r="H230">
        <f t="shared" ca="1" si="72"/>
        <v>4.0210932769508184E-2</v>
      </c>
      <c r="I230">
        <f t="shared" ca="1" si="73"/>
        <v>-0.17158536586574308</v>
      </c>
      <c r="J230">
        <f t="shared" ca="1" si="74"/>
        <v>4.1724692355453286E-2</v>
      </c>
      <c r="K230">
        <f t="shared" ca="1" si="75"/>
        <v>1.0026572037208594</v>
      </c>
      <c r="L230">
        <f t="shared" ca="1" si="76"/>
        <v>0.83564587734567941</v>
      </c>
      <c r="M230">
        <f t="shared" ca="1" si="77"/>
        <v>-3.1553748604684991E-4</v>
      </c>
      <c r="N230">
        <f t="shared" ca="1" si="78"/>
        <v>1.5985804820343046E-2</v>
      </c>
      <c r="O230">
        <f t="shared" ca="1" si="79"/>
        <v>1.0905995713624016E-2</v>
      </c>
      <c r="P230">
        <f t="shared" ca="1" si="80"/>
        <v>0.3338999598624337</v>
      </c>
      <c r="Q230">
        <f t="shared" ca="1" si="81"/>
        <v>0.88771238542332875</v>
      </c>
      <c r="R230">
        <f t="shared" ca="1" si="82"/>
        <v>1.1259166694053864</v>
      </c>
      <c r="T230">
        <f t="shared" si="83"/>
        <v>0.9678567456345234</v>
      </c>
      <c r="U230" s="6">
        <f t="shared" ca="1" si="84"/>
        <v>0.89388803287108376</v>
      </c>
      <c r="V230">
        <f t="shared" ca="1" si="85"/>
        <v>0.9511444732865818</v>
      </c>
      <c r="W230">
        <v>1.1080485312705095</v>
      </c>
      <c r="X230" t="b">
        <f t="shared" ca="1" si="86"/>
        <v>0</v>
      </c>
      <c r="AS230">
        <v>0.45959714382528566</v>
      </c>
      <c r="AT230">
        <v>999</v>
      </c>
      <c r="AU230">
        <v>999</v>
      </c>
      <c r="AV230">
        <v>999</v>
      </c>
      <c r="AW230">
        <v>999</v>
      </c>
      <c r="AX230">
        <v>-3.1777026864925446</v>
      </c>
      <c r="AY230">
        <v>999</v>
      </c>
      <c r="AZ230">
        <v>3.0598837759749995</v>
      </c>
      <c r="BA230">
        <v>4.3675235462895454</v>
      </c>
      <c r="BB230">
        <v>-2.6043658143872728</v>
      </c>
      <c r="BC230">
        <v>2.3583686581845082</v>
      </c>
      <c r="BD230">
        <v>999</v>
      </c>
      <c r="BE230">
        <v>-6.3888483150171709</v>
      </c>
      <c r="BF230">
        <v>1.4836985800542659</v>
      </c>
      <c r="BJ230" t="b">
        <f t="shared" si="67"/>
        <v>1</v>
      </c>
      <c r="BK230" t="b">
        <f t="shared" ca="1" si="68"/>
        <v>0</v>
      </c>
    </row>
    <row r="231" spans="1:63" x14ac:dyDescent="0.45">
      <c r="A231" s="1">
        <v>44901</v>
      </c>
      <c r="B231">
        <v>179.82</v>
      </c>
      <c r="C231" s="1">
        <v>44901</v>
      </c>
      <c r="D231">
        <v>393.83</v>
      </c>
      <c r="E231">
        <f t="shared" si="69"/>
        <v>-1.4414908194025737E-2</v>
      </c>
      <c r="F231" s="4">
        <f t="shared" si="70"/>
        <v>-1.4414775144523115E-2</v>
      </c>
      <c r="G231">
        <f t="shared" ca="1" si="71"/>
        <v>-1.4989802013078172E-3</v>
      </c>
      <c r="H231">
        <f t="shared" ca="1" si="72"/>
        <v>4.0251579780966502E-2</v>
      </c>
      <c r="I231">
        <f t="shared" ca="1" si="73"/>
        <v>-0.17029342582603474</v>
      </c>
      <c r="J231">
        <f t="shared" ca="1" si="74"/>
        <v>3.1725142833703757E-2</v>
      </c>
      <c r="K231">
        <f t="shared" ca="1" si="75"/>
        <v>1.0026572037208594</v>
      </c>
      <c r="L231">
        <f t="shared" ca="1" si="76"/>
        <v>0.83564587734567941</v>
      </c>
      <c r="M231">
        <f t="shared" ca="1" si="77"/>
        <v>-3.6068947735605803E-4</v>
      </c>
      <c r="N231">
        <f t="shared" ca="1" si="78"/>
        <v>1.6002482921097318E-2</v>
      </c>
      <c r="O231">
        <f t="shared" ca="1" si="79"/>
        <v>1.8025639285756654E-2</v>
      </c>
      <c r="P231">
        <f t="shared" ca="1" si="80"/>
        <v>0.32092025902800891</v>
      </c>
      <c r="Q231">
        <f t="shared" ca="1" si="81"/>
        <v>0.88771238542332875</v>
      </c>
      <c r="R231">
        <f t="shared" ca="1" si="82"/>
        <v>1.070569493999364</v>
      </c>
      <c r="T231">
        <f t="shared" si="83"/>
        <v>0.98558509180597431</v>
      </c>
      <c r="U231" s="6">
        <f t="shared" ca="1" si="84"/>
        <v>0.99441464358790033</v>
      </c>
      <c r="V231">
        <f t="shared" ca="1" si="85"/>
        <v>0.97055695307384104</v>
      </c>
      <c r="W231">
        <v>1.0225664880075227</v>
      </c>
      <c r="X231" t="b">
        <f t="shared" ca="1" si="86"/>
        <v>0</v>
      </c>
      <c r="AS231">
        <v>0.47376719691027158</v>
      </c>
      <c r="AT231">
        <v>999</v>
      </c>
      <c r="AU231">
        <v>999</v>
      </c>
      <c r="AV231">
        <v>999</v>
      </c>
      <c r="AW231">
        <v>999</v>
      </c>
      <c r="AX231">
        <v>-3.2450363909828255</v>
      </c>
      <c r="AY231">
        <v>999</v>
      </c>
      <c r="AZ231">
        <v>2.8359279815012188</v>
      </c>
      <c r="BA231">
        <v>4.4130469706430278</v>
      </c>
      <c r="BB231">
        <v>-2.7552334755669756</v>
      </c>
      <c r="BC231">
        <v>2.5170850789122836</v>
      </c>
      <c r="BD231">
        <v>999</v>
      </c>
      <c r="BE231">
        <v>-6.341359066725742</v>
      </c>
      <c r="BF231">
        <v>1.6807218373552846</v>
      </c>
      <c r="BJ231" t="b">
        <f t="shared" si="67"/>
        <v>1</v>
      </c>
      <c r="BK231" t="b">
        <f t="shared" ca="1" si="68"/>
        <v>0</v>
      </c>
    </row>
    <row r="232" spans="1:63" x14ac:dyDescent="0.45">
      <c r="A232" s="1">
        <v>44900</v>
      </c>
      <c r="B232">
        <v>182.45</v>
      </c>
      <c r="C232" s="1">
        <v>44900</v>
      </c>
      <c r="D232">
        <v>399.59</v>
      </c>
      <c r="E232">
        <f t="shared" si="69"/>
        <v>-6.3686749461151715E-2</v>
      </c>
      <c r="F232" s="4">
        <f t="shared" si="70"/>
        <v>-1.7989235948981469E-2</v>
      </c>
      <c r="G232">
        <f t="shared" ca="1" si="71"/>
        <v>-1.5374264448178804E-3</v>
      </c>
      <c r="H232">
        <f t="shared" ca="1" si="72"/>
        <v>4.0267647386697303E-2</v>
      </c>
      <c r="I232">
        <f t="shared" ca="1" si="73"/>
        <v>-0.16770901651511863</v>
      </c>
      <c r="J232">
        <f t="shared" ca="1" si="74"/>
        <v>2.6457287885290892E-2</v>
      </c>
      <c r="K232">
        <f t="shared" ca="1" si="75"/>
        <v>1.0026572037208594</v>
      </c>
      <c r="L232">
        <f t="shared" ca="1" si="76"/>
        <v>0.83564587734567941</v>
      </c>
      <c r="M232">
        <f t="shared" ca="1" si="77"/>
        <v>-3.2099101919624834E-4</v>
      </c>
      <c r="N232">
        <f t="shared" ca="1" si="78"/>
        <v>1.5977271193812245E-2</v>
      </c>
      <c r="O232">
        <f t="shared" ca="1" si="79"/>
        <v>1.3751969899749311E-2</v>
      </c>
      <c r="P232">
        <f t="shared" ca="1" si="80"/>
        <v>0.33905365142946842</v>
      </c>
      <c r="Q232">
        <f t="shared" ca="1" si="81"/>
        <v>0.88771238542332875</v>
      </c>
      <c r="R232">
        <f t="shared" ca="1" si="82"/>
        <v>1.1259166694053864</v>
      </c>
      <c r="T232">
        <f t="shared" si="83"/>
        <v>0.93631325053884829</v>
      </c>
      <c r="U232" s="6">
        <f t="shared" ca="1" si="84"/>
        <v>0.99743057074130781</v>
      </c>
      <c r="V232">
        <f t="shared" ca="1" si="85"/>
        <v>0.97987551127385364</v>
      </c>
      <c r="W232">
        <v>1.052135793911964</v>
      </c>
      <c r="X232" t="b">
        <f t="shared" ca="1" si="86"/>
        <v>0</v>
      </c>
      <c r="AS232">
        <v>0.48528477469191766</v>
      </c>
      <c r="AT232">
        <v>999</v>
      </c>
      <c r="AU232">
        <v>999</v>
      </c>
      <c r="AV232">
        <v>999</v>
      </c>
      <c r="AW232">
        <v>999</v>
      </c>
      <c r="AX232">
        <v>-3.2695125195142478</v>
      </c>
      <c r="AY232">
        <v>999</v>
      </c>
      <c r="AZ232">
        <v>2.8123578487377547</v>
      </c>
      <c r="BA232">
        <v>4.5010356811169245</v>
      </c>
      <c r="BB232">
        <v>-2.9818469628648385</v>
      </c>
      <c r="BC232">
        <v>2.7223001882984779</v>
      </c>
      <c r="BD232">
        <v>999</v>
      </c>
      <c r="BE232">
        <v>-6.400641127567952</v>
      </c>
      <c r="BF232">
        <v>1.71663684967045</v>
      </c>
      <c r="BJ232" t="b">
        <f t="shared" si="67"/>
        <v>1</v>
      </c>
      <c r="BK232" t="b">
        <f t="shared" ca="1" si="68"/>
        <v>0</v>
      </c>
    </row>
    <row r="233" spans="1:63" x14ac:dyDescent="0.45">
      <c r="A233" s="1">
        <v>44897</v>
      </c>
      <c r="B233">
        <v>194.86</v>
      </c>
      <c r="C233" s="1">
        <v>44897</v>
      </c>
      <c r="D233">
        <v>406.91</v>
      </c>
      <c r="E233">
        <f t="shared" si="69"/>
        <v>8.2177709296366215E-4</v>
      </c>
      <c r="F233" s="4">
        <f t="shared" si="70"/>
        <v>-1.1537139771220248E-3</v>
      </c>
      <c r="G233">
        <f t="shared" ca="1" si="71"/>
        <v>-1.4737060313003009E-3</v>
      </c>
      <c r="H233">
        <f t="shared" ca="1" si="72"/>
        <v>4.0178791947302388E-2</v>
      </c>
      <c r="I233">
        <f t="shared" ca="1" si="73"/>
        <v>-0.16428127999441947</v>
      </c>
      <c r="J233">
        <f t="shared" ca="1" si="74"/>
        <v>3.6963752446458997E-2</v>
      </c>
      <c r="K233">
        <f t="shared" ca="1" si="75"/>
        <v>1.0026572037208594</v>
      </c>
      <c r="L233">
        <f t="shared" ca="1" si="76"/>
        <v>0.83564587734567941</v>
      </c>
      <c r="M233">
        <f t="shared" ca="1" si="77"/>
        <v>-3.378518255686723E-4</v>
      </c>
      <c r="N233">
        <f t="shared" ca="1" si="78"/>
        <v>1.5997776340816585E-2</v>
      </c>
      <c r="O233">
        <f t="shared" ca="1" si="79"/>
        <v>1.2182992703757653E-2</v>
      </c>
      <c r="P233">
        <f t="shared" ca="1" si="80"/>
        <v>0.32956950039088762</v>
      </c>
      <c r="Q233">
        <f t="shared" ca="1" si="81"/>
        <v>0.88771238542332875</v>
      </c>
      <c r="R233">
        <f t="shared" ca="1" si="82"/>
        <v>1.1259166694053864</v>
      </c>
      <c r="T233">
        <f t="shared" si="83"/>
        <v>1.0008217770929637</v>
      </c>
      <c r="U233" s="6">
        <f t="shared" ca="1" si="84"/>
        <v>1.0656239746253966</v>
      </c>
      <c r="V233">
        <f t="shared" ca="1" si="85"/>
        <v>0.98948147666029962</v>
      </c>
      <c r="W233">
        <v>1.077719675842272</v>
      </c>
      <c r="X233" t="b">
        <f t="shared" ca="1" si="86"/>
        <v>1</v>
      </c>
      <c r="AS233">
        <v>0.45387960513837711</v>
      </c>
      <c r="AT233">
        <v>999</v>
      </c>
      <c r="AU233">
        <v>999</v>
      </c>
      <c r="AV233">
        <v>999</v>
      </c>
      <c r="AW233">
        <v>999</v>
      </c>
      <c r="AX233">
        <v>-3.1878121338642025</v>
      </c>
      <c r="AY233">
        <v>999</v>
      </c>
      <c r="AZ233">
        <v>2.744262994166637</v>
      </c>
      <c r="BA233">
        <v>4.3316398915670833</v>
      </c>
      <c r="BB233">
        <v>-2.9881860754641063</v>
      </c>
      <c r="BC233">
        <v>2.6880225545553738</v>
      </c>
      <c r="BD233">
        <v>999</v>
      </c>
      <c r="BE233">
        <v>-6.1331266830723745</v>
      </c>
      <c r="BF233">
        <v>1.6716658606681867</v>
      </c>
      <c r="BJ233" t="b">
        <f t="shared" si="67"/>
        <v>1</v>
      </c>
      <c r="BK233" t="b">
        <f t="shared" ca="1" si="68"/>
        <v>1</v>
      </c>
    </row>
    <row r="234" spans="1:63" x14ac:dyDescent="0.45">
      <c r="A234" s="1">
        <v>44896</v>
      </c>
      <c r="B234">
        <v>194.7</v>
      </c>
      <c r="C234" s="1">
        <v>44896</v>
      </c>
      <c r="D234">
        <v>407.38</v>
      </c>
      <c r="E234">
        <f t="shared" si="69"/>
        <v>0</v>
      </c>
      <c r="F234" s="4">
        <f t="shared" si="70"/>
        <v>-7.3587127158558521E-4</v>
      </c>
      <c r="G234">
        <f t="shared" ca="1" si="71"/>
        <v>-1.4726112755171553E-3</v>
      </c>
      <c r="H234">
        <f t="shared" ca="1" si="72"/>
        <v>4.0178857789709782E-2</v>
      </c>
      <c r="I234">
        <f t="shared" ca="1" si="73"/>
        <v>-0.16436274169682555</v>
      </c>
      <c r="J234">
        <f t="shared" ca="1" si="74"/>
        <v>3.6961842444320769E-2</v>
      </c>
      <c r="K234">
        <f t="shared" ca="1" si="75"/>
        <v>1.0026572037208594</v>
      </c>
      <c r="L234">
        <f t="shared" ca="1" si="76"/>
        <v>0.83564587734567941</v>
      </c>
      <c r="M234">
        <f t="shared" ca="1" si="77"/>
        <v>-3.2647913104733045E-4</v>
      </c>
      <c r="N234">
        <f t="shared" ca="1" si="78"/>
        <v>1.5998001910648551E-2</v>
      </c>
      <c r="O234">
        <f t="shared" ca="1" si="79"/>
        <v>1.0032809424855677E-2</v>
      </c>
      <c r="P234">
        <f t="shared" ca="1" si="80"/>
        <v>0.32934722752788703</v>
      </c>
      <c r="Q234">
        <f t="shared" ca="1" si="81"/>
        <v>0.88771238542332875</v>
      </c>
      <c r="R234">
        <f t="shared" ca="1" si="82"/>
        <v>1.1259166694053864</v>
      </c>
      <c r="T234">
        <f t="shared" si="83"/>
        <v>1</v>
      </c>
      <c r="U234" s="6">
        <f t="shared" ca="1" si="84"/>
        <v>1.0627729257641922</v>
      </c>
      <c r="V234">
        <f t="shared" ca="1" si="85"/>
        <v>0.97534011876919091</v>
      </c>
      <c r="W234">
        <v>1.0668121404811179</v>
      </c>
      <c r="X234" t="b">
        <f t="shared" ca="1" si="86"/>
        <v>1</v>
      </c>
      <c r="AS234">
        <v>0.42569172580278264</v>
      </c>
      <c r="AT234">
        <v>999</v>
      </c>
      <c r="AU234">
        <v>999</v>
      </c>
      <c r="AV234">
        <v>999</v>
      </c>
      <c r="AW234">
        <v>999</v>
      </c>
      <c r="AX234">
        <v>-3.13330797062393</v>
      </c>
      <c r="AY234">
        <v>999</v>
      </c>
      <c r="AZ234">
        <v>2.6847052165977576</v>
      </c>
      <c r="BA234">
        <v>4.1242697803687269</v>
      </c>
      <c r="BB234">
        <v>-3.0034833673336712</v>
      </c>
      <c r="BC234">
        <v>2.6647543474548825</v>
      </c>
      <c r="BD234">
        <v>999</v>
      </c>
      <c r="BE234">
        <v>-5.8639302882826874</v>
      </c>
      <c r="BF234">
        <v>1.6526671701054105</v>
      </c>
      <c r="BJ234" t="b">
        <f t="shared" si="67"/>
        <v>1</v>
      </c>
      <c r="BK234" t="b">
        <f t="shared" ca="1" si="68"/>
        <v>1</v>
      </c>
    </row>
    <row r="235" spans="1:63" x14ac:dyDescent="0.45">
      <c r="A235" s="1">
        <v>44895</v>
      </c>
      <c r="B235">
        <v>194.7</v>
      </c>
      <c r="C235" s="1">
        <v>44895</v>
      </c>
      <c r="D235">
        <v>407.68</v>
      </c>
      <c r="E235">
        <f t="shared" si="69"/>
        <v>7.6701874688934218E-2</v>
      </c>
      <c r="F235" s="4">
        <f t="shared" si="70"/>
        <v>3.1500645193937679E-2</v>
      </c>
      <c r="G235">
        <f t="shared" ca="1" si="71"/>
        <v>-1.2061512864790633E-3</v>
      </c>
      <c r="H235">
        <f t="shared" ca="1" si="72"/>
        <v>4.0364954181121709E-2</v>
      </c>
      <c r="I235">
        <f t="shared" ca="1" si="73"/>
        <v>-0.1694278188151431</v>
      </c>
      <c r="J235">
        <f t="shared" ca="1" si="74"/>
        <v>2.3470453529088608E-3</v>
      </c>
      <c r="K235">
        <f t="shared" ca="1" si="75"/>
        <v>1.0026572037208594</v>
      </c>
      <c r="L235">
        <f t="shared" ca="1" si="76"/>
        <v>0.88185388647708296</v>
      </c>
      <c r="M235">
        <f t="shared" ca="1" si="77"/>
        <v>-2.42165635014672E-4</v>
      </c>
      <c r="N235">
        <f t="shared" ca="1" si="78"/>
        <v>1.6040213115266499E-2</v>
      </c>
      <c r="O235">
        <f t="shared" ca="1" si="79"/>
        <v>-4.9644539343882545E-4</v>
      </c>
      <c r="P235">
        <f t="shared" ca="1" si="80"/>
        <v>0.29953287212083746</v>
      </c>
      <c r="Q235">
        <f t="shared" ca="1" si="81"/>
        <v>0.88771238542332875</v>
      </c>
      <c r="R235">
        <f t="shared" ca="1" si="82"/>
        <v>1.1582360577098547</v>
      </c>
      <c r="T235">
        <f t="shared" si="83"/>
        <v>1.0767018746889343</v>
      </c>
      <c r="U235" s="6">
        <f t="shared" ca="1" si="84"/>
        <v>1.14590077099641</v>
      </c>
      <c r="V235">
        <f t="shared" ca="1" si="85"/>
        <v>0.97550370830437616</v>
      </c>
      <c r="W235">
        <v>1.0226018473049887</v>
      </c>
      <c r="X235" t="b">
        <f t="shared" ca="1" si="86"/>
        <v>1</v>
      </c>
      <c r="AS235">
        <v>0.43276322099243408</v>
      </c>
      <c r="AT235">
        <v>999</v>
      </c>
      <c r="AU235">
        <v>999</v>
      </c>
      <c r="AV235">
        <v>999</v>
      </c>
      <c r="AW235">
        <v>999</v>
      </c>
      <c r="AX235">
        <v>-3.2094483743995137</v>
      </c>
      <c r="AY235">
        <v>999</v>
      </c>
      <c r="AZ235">
        <v>2.4679102061271689</v>
      </c>
      <c r="BA235">
        <v>4.0155773149854044</v>
      </c>
      <c r="BB235">
        <v>-2.6671633725724866</v>
      </c>
      <c r="BC235">
        <v>2.4604620722131583</v>
      </c>
      <c r="BD235">
        <v>999</v>
      </c>
      <c r="BE235">
        <v>-5.5976143473908548</v>
      </c>
      <c r="BF235">
        <v>1.8472820379035038</v>
      </c>
      <c r="BJ235" t="b">
        <f t="shared" si="67"/>
        <v>1</v>
      </c>
      <c r="BK235" t="b">
        <f t="shared" ca="1" si="68"/>
        <v>1</v>
      </c>
    </row>
    <row r="236" spans="1:63" x14ac:dyDescent="0.45">
      <c r="A236" s="1">
        <v>44894</v>
      </c>
      <c r="B236">
        <v>180.83</v>
      </c>
      <c r="C236" s="1">
        <v>44894</v>
      </c>
      <c r="D236">
        <v>395.23</v>
      </c>
      <c r="E236">
        <f t="shared" si="69"/>
        <v>-1.1425759895035945E-2</v>
      </c>
      <c r="F236" s="4">
        <f t="shared" si="70"/>
        <v>-1.7175620721881406E-3</v>
      </c>
      <c r="G236">
        <f t="shared" ca="1" si="71"/>
        <v>-1.4980386734376701E-3</v>
      </c>
      <c r="H236">
        <f t="shared" ca="1" si="72"/>
        <v>4.0008247758351136E-2</v>
      </c>
      <c r="I236">
        <f t="shared" ca="1" si="73"/>
        <v>-0.18878198639459848</v>
      </c>
      <c r="J236">
        <f t="shared" ca="1" si="74"/>
        <v>3.2390598584494334E-2</v>
      </c>
      <c r="K236">
        <f t="shared" ca="1" si="75"/>
        <v>0.8864011545903504</v>
      </c>
      <c r="L236">
        <f t="shared" ca="1" si="76"/>
        <v>0.83564587734567941</v>
      </c>
      <c r="M236">
        <f t="shared" ca="1" si="77"/>
        <v>-4.1601540777635006E-4</v>
      </c>
      <c r="N236">
        <f t="shared" ca="1" si="78"/>
        <v>1.5882089360883679E-2</v>
      </c>
      <c r="O236">
        <f t="shared" ca="1" si="79"/>
        <v>-7.8998774304847186E-3</v>
      </c>
      <c r="P236">
        <f t="shared" ca="1" si="80"/>
        <v>0.35103268725234305</v>
      </c>
      <c r="Q236">
        <f t="shared" ca="1" si="81"/>
        <v>0.87289599679602714</v>
      </c>
      <c r="R236">
        <f t="shared" ca="1" si="82"/>
        <v>1.1259166694053864</v>
      </c>
      <c r="T236">
        <f t="shared" si="83"/>
        <v>0.98857424010496409</v>
      </c>
      <c r="U236" s="6">
        <f t="shared" ca="1" si="84"/>
        <v>1.0772025972478705</v>
      </c>
      <c r="V236">
        <f t="shared" ca="1" si="85"/>
        <v>0.99624581592911932</v>
      </c>
      <c r="W236">
        <v>1.0401091775771594</v>
      </c>
      <c r="X236" t="b">
        <f t="shared" ca="1" si="86"/>
        <v>1</v>
      </c>
      <c r="AS236">
        <v>0.45252626362765974</v>
      </c>
      <c r="AT236">
        <v>999</v>
      </c>
      <c r="AU236">
        <v>999</v>
      </c>
      <c r="AV236">
        <v>999</v>
      </c>
      <c r="AW236">
        <v>999</v>
      </c>
      <c r="AX236">
        <v>-3.1961477653133992</v>
      </c>
      <c r="AY236">
        <v>999</v>
      </c>
      <c r="AZ236">
        <v>2.2683106622021465</v>
      </c>
      <c r="BA236">
        <v>4.0774772422581389</v>
      </c>
      <c r="BB236">
        <v>-2.2708140617574353</v>
      </c>
      <c r="BC236">
        <v>2.2072875281018409</v>
      </c>
      <c r="BD236">
        <v>999</v>
      </c>
      <c r="BE236">
        <v>-5.3789031536415965</v>
      </c>
      <c r="BF236">
        <v>1.849625909669401</v>
      </c>
      <c r="BJ236" t="b">
        <f t="shared" si="67"/>
        <v>1</v>
      </c>
      <c r="BK236" t="b">
        <f t="shared" ca="1" si="68"/>
        <v>1</v>
      </c>
    </row>
    <row r="237" spans="1:63" x14ac:dyDescent="0.45">
      <c r="A237" s="1">
        <v>44893</v>
      </c>
      <c r="B237">
        <v>182.92</v>
      </c>
      <c r="C237" s="1">
        <v>44893</v>
      </c>
      <c r="D237">
        <v>395.91</v>
      </c>
      <c r="E237">
        <f t="shared" si="69"/>
        <v>3.2811987312683936E-4</v>
      </c>
      <c r="F237" s="4">
        <f t="shared" si="70"/>
        <v>-1.5957050182685752E-2</v>
      </c>
      <c r="G237">
        <f t="shared" ca="1" si="71"/>
        <v>-1.6871646456669057E-3</v>
      </c>
      <c r="H237">
        <f t="shared" ca="1" si="72"/>
        <v>4.0144584509925918E-2</v>
      </c>
      <c r="I237">
        <f t="shared" ca="1" si="73"/>
        <v>-0.18105551810012832</v>
      </c>
      <c r="J237">
        <f t="shared" ca="1" si="74"/>
        <v>-2.4811310974066636E-3</v>
      </c>
      <c r="K237">
        <f t="shared" ca="1" si="75"/>
        <v>0.8864011545903504</v>
      </c>
      <c r="L237">
        <f t="shared" ca="1" si="76"/>
        <v>0.82186519213411036</v>
      </c>
      <c r="M237">
        <f t="shared" ca="1" si="77"/>
        <v>-5.0602102748751872E-4</v>
      </c>
      <c r="N237">
        <f t="shared" ca="1" si="78"/>
        <v>1.5940402603546133E-2</v>
      </c>
      <c r="O237">
        <f t="shared" ca="1" si="79"/>
        <v>2.8677001169126243E-4</v>
      </c>
      <c r="P237">
        <f t="shared" ca="1" si="80"/>
        <v>0.31254493643259318</v>
      </c>
      <c r="Q237">
        <f t="shared" ca="1" si="81"/>
        <v>0.87289599679602714</v>
      </c>
      <c r="R237">
        <f t="shared" ca="1" si="82"/>
        <v>1.070569493999364</v>
      </c>
      <c r="T237">
        <f t="shared" si="83"/>
        <v>1.0003281198731269</v>
      </c>
      <c r="U237" s="6">
        <f t="shared" ca="1" si="84"/>
        <v>1.0151506742882512</v>
      </c>
      <c r="V237">
        <f t="shared" ca="1" si="85"/>
        <v>0.94328102592341778</v>
      </c>
      <c r="W237">
        <v>0.96893655106812981</v>
      </c>
      <c r="X237" t="b">
        <f t="shared" ca="1" si="86"/>
        <v>0</v>
      </c>
      <c r="AS237">
        <v>0.45798634801913296</v>
      </c>
      <c r="AT237">
        <v>999</v>
      </c>
      <c r="AU237">
        <v>999</v>
      </c>
      <c r="AV237">
        <v>999</v>
      </c>
      <c r="AW237">
        <v>999</v>
      </c>
      <c r="AX237">
        <v>-3.188758567413696</v>
      </c>
      <c r="AY237">
        <v>999</v>
      </c>
      <c r="AZ237">
        <v>2.1090319257833419</v>
      </c>
      <c r="BA237">
        <v>4.0803328469138131</v>
      </c>
      <c r="BB237">
        <v>-2.0013353167910877</v>
      </c>
      <c r="BC237">
        <v>2.0648986010155124</v>
      </c>
      <c r="BD237">
        <v>999</v>
      </c>
      <c r="BE237">
        <v>-5.2647517384062805</v>
      </c>
      <c r="BF237">
        <v>1.8768196043679397</v>
      </c>
      <c r="BJ237" t="b">
        <f t="shared" si="67"/>
        <v>1</v>
      </c>
      <c r="BK237" t="b">
        <f t="shared" ca="1" si="68"/>
        <v>0</v>
      </c>
    </row>
    <row r="238" spans="1:63" x14ac:dyDescent="0.45">
      <c r="A238" s="1">
        <v>44890</v>
      </c>
      <c r="B238">
        <v>182.86</v>
      </c>
      <c r="C238" s="1">
        <v>44890</v>
      </c>
      <c r="D238">
        <v>402.33</v>
      </c>
      <c r="E238">
        <f t="shared" si="69"/>
        <v>-1.8558951965064138E-3</v>
      </c>
      <c r="F238" s="4">
        <f t="shared" si="70"/>
        <v>-2.2364693603705538E-4</v>
      </c>
      <c r="G238">
        <f t="shared" ca="1" si="71"/>
        <v>-1.8360690355220344E-3</v>
      </c>
      <c r="H238">
        <f t="shared" ca="1" si="72"/>
        <v>4.0192275173074589E-2</v>
      </c>
      <c r="I238">
        <f t="shared" ca="1" si="73"/>
        <v>-0.17085911869771889</v>
      </c>
      <c r="J238">
        <f t="shared" ca="1" si="74"/>
        <v>-1.8388432347095307E-2</v>
      </c>
      <c r="K238">
        <f t="shared" ca="1" si="75"/>
        <v>0.8864011545903504</v>
      </c>
      <c r="L238">
        <f t="shared" ca="1" si="76"/>
        <v>0.81571012527856424</v>
      </c>
      <c r="M238">
        <f t="shared" ca="1" si="77"/>
        <v>-5.1606398831514021E-4</v>
      </c>
      <c r="N238">
        <f t="shared" ca="1" si="78"/>
        <v>1.5950815498750513E-2</v>
      </c>
      <c r="O238">
        <f t="shared" ca="1" si="79"/>
        <v>1.5086987641974801E-4</v>
      </c>
      <c r="P238">
        <f t="shared" ca="1" si="80"/>
        <v>0.30665679572364501</v>
      </c>
      <c r="Q238">
        <f t="shared" ca="1" si="81"/>
        <v>0.87289599679602714</v>
      </c>
      <c r="R238">
        <f t="shared" ca="1" si="82"/>
        <v>1.070569493999364</v>
      </c>
      <c r="T238">
        <f t="shared" si="83"/>
        <v>0.99814410480349358</v>
      </c>
      <c r="U238" s="6">
        <f t="shared" ca="1" si="84"/>
        <v>0.99830758311950674</v>
      </c>
      <c r="V238">
        <f t="shared" ca="1" si="85"/>
        <v>0.94216190510646369</v>
      </c>
      <c r="W238">
        <v>0.93297227429036578</v>
      </c>
      <c r="X238" t="b">
        <f t="shared" ca="1" si="86"/>
        <v>1</v>
      </c>
      <c r="AS238">
        <v>0.45030835823719068</v>
      </c>
      <c r="AT238">
        <v>999</v>
      </c>
      <c r="AU238">
        <v>999</v>
      </c>
      <c r="AV238">
        <v>999</v>
      </c>
      <c r="AW238">
        <v>999</v>
      </c>
      <c r="AX238">
        <v>-3.6408160881742684</v>
      </c>
      <c r="AY238">
        <v>999</v>
      </c>
      <c r="AZ238">
        <v>999</v>
      </c>
      <c r="BA238">
        <v>3.7786153939176432</v>
      </c>
      <c r="BB238">
        <v>999</v>
      </c>
      <c r="BC238">
        <v>999</v>
      </c>
      <c r="BD238">
        <v>999</v>
      </c>
      <c r="BE238">
        <v>-5.0422130677174488</v>
      </c>
      <c r="BF238">
        <v>3.3871394772295433</v>
      </c>
      <c r="BJ238" t="b">
        <f t="shared" si="67"/>
        <v>1</v>
      </c>
      <c r="BK238" t="b">
        <f t="shared" ca="1" si="68"/>
        <v>1</v>
      </c>
    </row>
    <row r="239" spans="1:63" x14ac:dyDescent="0.45">
      <c r="A239" s="1">
        <v>44888</v>
      </c>
      <c r="B239">
        <v>183.2</v>
      </c>
      <c r="C239" s="1">
        <v>44888</v>
      </c>
      <c r="D239">
        <v>402.42</v>
      </c>
      <c r="E239">
        <f t="shared" si="69"/>
        <v>7.8217880054146274E-2</v>
      </c>
      <c r="F239" s="4">
        <f t="shared" si="70"/>
        <v>6.301575393848559E-3</v>
      </c>
      <c r="G239">
        <f t="shared" ca="1" si="71"/>
        <v>-1.7725487197988966E-3</v>
      </c>
      <c r="H239">
        <f t="shared" ca="1" si="72"/>
        <v>4.0202281257475006E-2</v>
      </c>
      <c r="I239">
        <f t="shared" ca="1" si="73"/>
        <v>-0.17536008608768369</v>
      </c>
      <c r="J239">
        <f t="shared" ca="1" si="74"/>
        <v>-2.0234605927591964E-2</v>
      </c>
      <c r="K239">
        <f t="shared" ca="1" si="75"/>
        <v>0.8864011545903504</v>
      </c>
      <c r="L239">
        <f t="shared" ca="1" si="76"/>
        <v>0.81571012527856424</v>
      </c>
      <c r="M239">
        <f t="shared" ca="1" si="77"/>
        <v>-4.4176528616699895E-4</v>
      </c>
      <c r="N239">
        <f t="shared" ca="1" si="78"/>
        <v>1.5986752180231718E-2</v>
      </c>
      <c r="O239">
        <f t="shared" ca="1" si="79"/>
        <v>-9.6119648877145188E-3</v>
      </c>
      <c r="P239">
        <f t="shared" ca="1" si="80"/>
        <v>0.28084262364140278</v>
      </c>
      <c r="Q239">
        <f t="shared" ca="1" si="81"/>
        <v>0.87289599679602714</v>
      </c>
      <c r="R239">
        <f t="shared" ca="1" si="82"/>
        <v>1.1013001440764754</v>
      </c>
      <c r="T239">
        <f t="shared" si="83"/>
        <v>1.0782178800541462</v>
      </c>
      <c r="U239" s="6">
        <f t="shared" ca="1" si="84"/>
        <v>0.98009843783436768</v>
      </c>
      <c r="V239">
        <f t="shared" ca="1" si="85"/>
        <v>0.93281435544671842</v>
      </c>
      <c r="W239">
        <v>0.90629003494416782</v>
      </c>
      <c r="X239" t="b">
        <f t="shared" ca="1" si="86"/>
        <v>1</v>
      </c>
      <c r="AS239">
        <v>0.42271848579410076</v>
      </c>
      <c r="AT239">
        <v>999</v>
      </c>
      <c r="AU239">
        <v>-2.9326292212684173</v>
      </c>
      <c r="AV239">
        <v>999</v>
      </c>
      <c r="AW239">
        <v>999</v>
      </c>
      <c r="AX239">
        <v>999</v>
      </c>
      <c r="AY239">
        <v>999</v>
      </c>
      <c r="AZ239">
        <v>3.1645481500315045</v>
      </c>
      <c r="BA239">
        <v>3.9272384143882988</v>
      </c>
      <c r="BB239">
        <v>999</v>
      </c>
      <c r="BC239">
        <v>999</v>
      </c>
      <c r="BD239">
        <v>3.5328597411634464</v>
      </c>
      <c r="BE239">
        <v>-5.3805238703878802</v>
      </c>
      <c r="BF239">
        <v>-3.6643171410444193</v>
      </c>
      <c r="BJ239" t="b">
        <f t="shared" si="67"/>
        <v>1</v>
      </c>
      <c r="BK239" t="b">
        <f t="shared" ca="1" si="68"/>
        <v>1</v>
      </c>
    </row>
    <row r="240" spans="1:63" x14ac:dyDescent="0.45">
      <c r="A240" s="1">
        <v>44887</v>
      </c>
      <c r="B240">
        <v>169.91</v>
      </c>
      <c r="C240" s="1">
        <v>44887</v>
      </c>
      <c r="D240">
        <v>399.9</v>
      </c>
      <c r="E240">
        <f t="shared" si="69"/>
        <v>1.2152260677905475E-2</v>
      </c>
      <c r="F240" s="4">
        <f t="shared" si="70"/>
        <v>1.3457006006234326E-2</v>
      </c>
      <c r="G240">
        <f t="shared" ca="1" si="71"/>
        <v>-2.0828636372676821E-3</v>
      </c>
      <c r="H240">
        <f t="shared" ca="1" si="72"/>
        <v>3.9819449666191532E-2</v>
      </c>
      <c r="I240">
        <f t="shared" ca="1" si="73"/>
        <v>-0.19753488552272322</v>
      </c>
      <c r="J240">
        <f t="shared" ca="1" si="74"/>
        <v>7.0247360687010207E-3</v>
      </c>
      <c r="K240">
        <f t="shared" ca="1" si="75"/>
        <v>0.82878621117508067</v>
      </c>
      <c r="L240">
        <f t="shared" ca="1" si="76"/>
        <v>0.79937950083979614</v>
      </c>
      <c r="M240">
        <f t="shared" ca="1" si="77"/>
        <v>-4.3213378112130622E-4</v>
      </c>
      <c r="N240">
        <f t="shared" ca="1" si="78"/>
        <v>1.5991414829168306E-2</v>
      </c>
      <c r="O240">
        <f t="shared" ca="1" si="79"/>
        <v>-1.1000469572463504E-2</v>
      </c>
      <c r="P240">
        <f t="shared" ca="1" si="80"/>
        <v>0.27727298547721135</v>
      </c>
      <c r="Q240">
        <f t="shared" ca="1" si="81"/>
        <v>0.87289599679602714</v>
      </c>
      <c r="R240">
        <f t="shared" ca="1" si="82"/>
        <v>1.1013001440764754</v>
      </c>
      <c r="T240">
        <f t="shared" si="83"/>
        <v>1.0121522606779054</v>
      </c>
      <c r="U240" s="6">
        <f t="shared" ca="1" si="84"/>
        <v>0.87393272297088787</v>
      </c>
      <c r="V240">
        <f t="shared" ca="1" si="85"/>
        <v>0.90915506470899221</v>
      </c>
      <c r="W240">
        <v>0.87733691898979904</v>
      </c>
      <c r="X240" t="b">
        <f t="shared" ca="1" si="86"/>
        <v>1</v>
      </c>
      <c r="AS240">
        <v>0.40899356621572441</v>
      </c>
      <c r="AT240">
        <v>999</v>
      </c>
      <c r="AU240">
        <v>-2.950525182998609</v>
      </c>
      <c r="AV240">
        <v>999</v>
      </c>
      <c r="AW240">
        <v>999</v>
      </c>
      <c r="AX240">
        <v>999</v>
      </c>
      <c r="AY240">
        <v>999</v>
      </c>
      <c r="AZ240">
        <v>3.1995145214849501</v>
      </c>
      <c r="BA240">
        <v>3.8682807813750979</v>
      </c>
      <c r="BB240">
        <v>999</v>
      </c>
      <c r="BC240">
        <v>999</v>
      </c>
      <c r="BD240">
        <v>3.5582360207152113</v>
      </c>
      <c r="BE240">
        <v>-5.3946608035400816</v>
      </c>
      <c r="BF240">
        <v>-3.6659681705001317</v>
      </c>
      <c r="BJ240" t="b">
        <f t="shared" si="67"/>
        <v>1</v>
      </c>
      <c r="BK240" t="b">
        <f t="shared" ca="1" si="68"/>
        <v>1</v>
      </c>
    </row>
    <row r="241" spans="1:63" x14ac:dyDescent="0.45">
      <c r="A241" s="1">
        <v>44886</v>
      </c>
      <c r="B241">
        <v>167.87</v>
      </c>
      <c r="C241" s="1">
        <v>44886</v>
      </c>
      <c r="D241">
        <v>394.59</v>
      </c>
      <c r="E241">
        <f t="shared" si="69"/>
        <v>-6.8372273711082704E-2</v>
      </c>
      <c r="F241" s="4">
        <f t="shared" si="70"/>
        <v>-3.6360881751382416E-3</v>
      </c>
      <c r="G241">
        <f t="shared" ca="1" si="71"/>
        <v>-2.2301497495260838E-3</v>
      </c>
      <c r="H241">
        <f t="shared" ca="1" si="72"/>
        <v>3.9821010378136172E-2</v>
      </c>
      <c r="I241">
        <f t="shared" ca="1" si="73"/>
        <v>-0.18681882362380173</v>
      </c>
      <c r="J241">
        <f t="shared" ca="1" si="74"/>
        <v>3.6675141154285384E-3</v>
      </c>
      <c r="K241">
        <f t="shared" ca="1" si="75"/>
        <v>0.82878621117508067</v>
      </c>
      <c r="L241">
        <f t="shared" ca="1" si="76"/>
        <v>0.79937950083979614</v>
      </c>
      <c r="M241">
        <f t="shared" ca="1" si="77"/>
        <v>-5.1546516729243761E-4</v>
      </c>
      <c r="N241">
        <f t="shared" ca="1" si="78"/>
        <v>1.5962071842552099E-2</v>
      </c>
      <c r="O241">
        <f t="shared" ca="1" si="79"/>
        <v>1.3880968983033053E-3</v>
      </c>
      <c r="P241">
        <f t="shared" ca="1" si="80"/>
        <v>0.29867226617406128</v>
      </c>
      <c r="Q241">
        <f t="shared" ca="1" si="81"/>
        <v>0.87289599679602714</v>
      </c>
      <c r="R241">
        <f t="shared" ca="1" si="82"/>
        <v>1.070569493999364</v>
      </c>
      <c r="T241">
        <f t="shared" si="83"/>
        <v>0.93162772628891732</v>
      </c>
      <c r="U241" s="6">
        <f t="shared" ca="1" si="84"/>
        <v>0.87913066247708826</v>
      </c>
      <c r="V241">
        <f t="shared" ca="1" si="85"/>
        <v>0.90180256028912587</v>
      </c>
      <c r="W241">
        <v>1.0059767986100663</v>
      </c>
      <c r="X241" t="b">
        <f t="shared" ca="1" si="86"/>
        <v>0</v>
      </c>
      <c r="AS241">
        <v>0.44974534045966696</v>
      </c>
      <c r="AT241">
        <v>999</v>
      </c>
      <c r="AU241">
        <v>999</v>
      </c>
      <c r="AV241">
        <v>999</v>
      </c>
      <c r="AW241">
        <v>999</v>
      </c>
      <c r="AX241">
        <v>-2.6030310573107824</v>
      </c>
      <c r="AY241">
        <v>999</v>
      </c>
      <c r="AZ241">
        <v>3.2169358277667097</v>
      </c>
      <c r="BA241">
        <v>4.4643790571708593</v>
      </c>
      <c r="BB241">
        <v>-3.4525183792789043</v>
      </c>
      <c r="BC241">
        <v>3.2902603182653412</v>
      </c>
      <c r="BD241">
        <v>999</v>
      </c>
      <c r="BE241">
        <v>-5.9947498820994509</v>
      </c>
      <c r="BF241">
        <v>1.0313870224969586</v>
      </c>
      <c r="BJ241" t="b">
        <f t="shared" si="67"/>
        <v>1</v>
      </c>
      <c r="BK241" t="b">
        <f t="shared" ca="1" si="68"/>
        <v>0</v>
      </c>
    </row>
    <row r="242" spans="1:63" x14ac:dyDescent="0.45">
      <c r="A242" s="1">
        <v>44883</v>
      </c>
      <c r="B242">
        <v>180.19</v>
      </c>
      <c r="C242" s="1">
        <v>44883</v>
      </c>
      <c r="D242">
        <v>396.03</v>
      </c>
      <c r="E242">
        <f t="shared" si="69"/>
        <v>-1.6269039689905496E-2</v>
      </c>
      <c r="F242" s="4">
        <f t="shared" si="70"/>
        <v>4.5403814935064011E-3</v>
      </c>
      <c r="G242">
        <f t="shared" ca="1" si="71"/>
        <v>-1.707744561305769E-3</v>
      </c>
      <c r="H242">
        <f t="shared" ca="1" si="72"/>
        <v>3.9633837311297611E-2</v>
      </c>
      <c r="I242">
        <f t="shared" ca="1" si="73"/>
        <v>-0.20123671652801089</v>
      </c>
      <c r="J242">
        <f t="shared" ca="1" si="74"/>
        <v>3.579791083542716E-2</v>
      </c>
      <c r="K242">
        <f t="shared" ca="1" si="75"/>
        <v>0.82878621117508067</v>
      </c>
      <c r="L242">
        <f t="shared" ca="1" si="76"/>
        <v>0.82186519213411036</v>
      </c>
      <c r="M242">
        <f t="shared" ca="1" si="77"/>
        <v>-4.737737546299129E-4</v>
      </c>
      <c r="N242">
        <f t="shared" ca="1" si="78"/>
        <v>1.5964769285897032E-2</v>
      </c>
      <c r="O242">
        <f t="shared" ca="1" si="79"/>
        <v>-6.3110462221189385E-3</v>
      </c>
      <c r="P242">
        <f t="shared" ca="1" si="80"/>
        <v>0.29648912475005718</v>
      </c>
      <c r="Q242">
        <f t="shared" ca="1" si="81"/>
        <v>0.87289599679602714</v>
      </c>
      <c r="R242">
        <f t="shared" ca="1" si="82"/>
        <v>1.070569493999364</v>
      </c>
      <c r="T242">
        <f t="shared" si="83"/>
        <v>0.98373096031009455</v>
      </c>
      <c r="U242" s="6">
        <f t="shared" ca="1" si="84"/>
        <v>0.91947747104148592</v>
      </c>
      <c r="V242">
        <f t="shared" ca="1" si="85"/>
        <v>0.87120296381900697</v>
      </c>
      <c r="W242">
        <v>0.98431933050790676</v>
      </c>
      <c r="X242" t="b">
        <f t="shared" ca="1" si="86"/>
        <v>1</v>
      </c>
      <c r="AS242">
        <v>0.43583838060508373</v>
      </c>
      <c r="AT242">
        <v>999</v>
      </c>
      <c r="AU242">
        <v>999</v>
      </c>
      <c r="AV242">
        <v>999</v>
      </c>
      <c r="AW242">
        <v>999</v>
      </c>
      <c r="AX242">
        <v>-2.1076932084259479</v>
      </c>
      <c r="AY242">
        <v>999</v>
      </c>
      <c r="AZ242">
        <v>3.3977638130357368</v>
      </c>
      <c r="BA242">
        <v>4.5537453017017562</v>
      </c>
      <c r="BB242">
        <v>-3.7115034285343622</v>
      </c>
      <c r="BC242">
        <v>3.516531876399124</v>
      </c>
      <c r="BD242">
        <v>999</v>
      </c>
      <c r="BE242">
        <v>-6.0697005506726924</v>
      </c>
      <c r="BF242">
        <v>0.60374053766502433</v>
      </c>
      <c r="BJ242" t="b">
        <f t="shared" si="67"/>
        <v>1</v>
      </c>
      <c r="BK242" t="b">
        <f t="shared" ca="1" si="68"/>
        <v>1</v>
      </c>
    </row>
    <row r="243" spans="1:63" x14ac:dyDescent="0.45">
      <c r="A243" s="1">
        <v>44882</v>
      </c>
      <c r="B243">
        <v>183.17</v>
      </c>
      <c r="C243" s="1">
        <v>44882</v>
      </c>
      <c r="D243">
        <v>394.24</v>
      </c>
      <c r="E243">
        <f t="shared" si="69"/>
        <v>-2.0062058634710039E-2</v>
      </c>
      <c r="F243" s="4">
        <f t="shared" si="70"/>
        <v>-3.0598052851181683E-3</v>
      </c>
      <c r="G243">
        <f t="shared" ca="1" si="71"/>
        <v>-1.7065618077445599E-3</v>
      </c>
      <c r="H243">
        <f t="shared" ca="1" si="72"/>
        <v>3.9633404116509861E-2</v>
      </c>
      <c r="I243">
        <f t="shared" ca="1" si="73"/>
        <v>-0.20132167674848328</v>
      </c>
      <c r="J243">
        <f t="shared" ca="1" si="74"/>
        <v>3.5951169572390196E-2</v>
      </c>
      <c r="K243">
        <f t="shared" ca="1" si="75"/>
        <v>0.82878621117508067</v>
      </c>
      <c r="L243">
        <f t="shared" ca="1" si="76"/>
        <v>0.82186519213411036</v>
      </c>
      <c r="M243">
        <f t="shared" ca="1" si="77"/>
        <v>-6.1400053364002709E-4</v>
      </c>
      <c r="N243">
        <f t="shared" ca="1" si="78"/>
        <v>1.604348042232177E-2</v>
      </c>
      <c r="O243">
        <f t="shared" ca="1" si="79"/>
        <v>5.0968384379913257E-3</v>
      </c>
      <c r="P243">
        <f t="shared" ca="1" si="80"/>
        <v>0.25303484059090176</v>
      </c>
      <c r="Q243">
        <f t="shared" ca="1" si="81"/>
        <v>0.87289599679602714</v>
      </c>
      <c r="R243">
        <f t="shared" ca="1" si="82"/>
        <v>1.0541601522344937</v>
      </c>
      <c r="T243">
        <f t="shared" si="83"/>
        <v>0.97993794136529</v>
      </c>
      <c r="U243" s="6">
        <f t="shared" ca="1" si="84"/>
        <v>0.96041317114093938</v>
      </c>
      <c r="V243">
        <f t="shared" ca="1" si="85"/>
        <v>0.99610465650436841</v>
      </c>
      <c r="W243">
        <v>1.0537753468166651</v>
      </c>
      <c r="X243" t="b">
        <f t="shared" ca="1" si="86"/>
        <v>0</v>
      </c>
      <c r="AS243">
        <v>0.44729777371039187</v>
      </c>
      <c r="AT243">
        <v>999</v>
      </c>
      <c r="AU243">
        <v>999</v>
      </c>
      <c r="AV243">
        <v>999</v>
      </c>
      <c r="AW243">
        <v>999</v>
      </c>
      <c r="AX243">
        <v>999</v>
      </c>
      <c r="AY243">
        <v>3.4663198146586178</v>
      </c>
      <c r="AZ243">
        <v>3.0740845336065283</v>
      </c>
      <c r="BA243">
        <v>5.7457555293498324</v>
      </c>
      <c r="BB243">
        <v>999</v>
      </c>
      <c r="BC243">
        <v>3.8404873200237004</v>
      </c>
      <c r="BD243">
        <v>999</v>
      </c>
      <c r="BE243">
        <v>-6.2722446590013776</v>
      </c>
      <c r="BF243">
        <v>-1.5263783457403819</v>
      </c>
      <c r="BJ243" t="b">
        <f t="shared" si="67"/>
        <v>1</v>
      </c>
      <c r="BK243" t="b">
        <f t="shared" ca="1" si="68"/>
        <v>0</v>
      </c>
    </row>
    <row r="244" spans="1:63" x14ac:dyDescent="0.45">
      <c r="A244" s="1">
        <v>44881</v>
      </c>
      <c r="B244">
        <v>186.92</v>
      </c>
      <c r="C244" s="1">
        <v>44881</v>
      </c>
      <c r="D244">
        <v>395.45</v>
      </c>
      <c r="E244">
        <f t="shared" si="69"/>
        <v>-3.8576278160683063E-2</v>
      </c>
      <c r="F244" s="4">
        <f t="shared" si="70"/>
        <v>-7.6287987151497415E-3</v>
      </c>
      <c r="G244">
        <f t="shared" ca="1" si="71"/>
        <v>-1.7436473401862304E-3</v>
      </c>
      <c r="H244">
        <f t="shared" ca="1" si="72"/>
        <v>3.9654130647297399E-2</v>
      </c>
      <c r="I244">
        <f t="shared" ca="1" si="73"/>
        <v>-0.19906225304470626</v>
      </c>
      <c r="J244">
        <f t="shared" ca="1" si="74"/>
        <v>2.943432155590564E-2</v>
      </c>
      <c r="K244">
        <f t="shared" ca="1" si="75"/>
        <v>0.82878621117508067</v>
      </c>
      <c r="L244">
        <f t="shared" ca="1" si="76"/>
        <v>0.81571012527856424</v>
      </c>
      <c r="M244">
        <f t="shared" ca="1" si="77"/>
        <v>-5.5013102482123581E-4</v>
      </c>
      <c r="N244">
        <f t="shared" ca="1" si="78"/>
        <v>1.6059113681120053E-2</v>
      </c>
      <c r="O244">
        <f t="shared" ca="1" si="79"/>
        <v>-5.6019046956957315E-3</v>
      </c>
      <c r="P244">
        <f t="shared" ca="1" si="80"/>
        <v>0.2410846422082531</v>
      </c>
      <c r="Q244">
        <f t="shared" ca="1" si="81"/>
        <v>0.87289599679602714</v>
      </c>
      <c r="R244">
        <f t="shared" ca="1" si="82"/>
        <v>1.0541601522344937</v>
      </c>
      <c r="T244">
        <f t="shared" si="83"/>
        <v>0.9614237218393169</v>
      </c>
      <c r="U244" s="6">
        <f t="shared" ca="1" si="84"/>
        <v>1.0525367419336673</v>
      </c>
      <c r="V244">
        <f t="shared" ca="1" si="85"/>
        <v>0.94785210036072842</v>
      </c>
      <c r="W244">
        <v>0.9559965513135068</v>
      </c>
      <c r="X244" t="b">
        <f t="shared" ca="1" si="86"/>
        <v>0</v>
      </c>
      <c r="AS244">
        <v>0.36992381583090572</v>
      </c>
      <c r="AT244">
        <v>999</v>
      </c>
      <c r="AU244">
        <v>999</v>
      </c>
      <c r="AV244">
        <v>999</v>
      </c>
      <c r="AW244">
        <v>999</v>
      </c>
      <c r="AX244">
        <v>-3.7179153061416961</v>
      </c>
      <c r="AY244">
        <v>999</v>
      </c>
      <c r="AZ244">
        <v>999</v>
      </c>
      <c r="BA244">
        <v>2.2268064860332411</v>
      </c>
      <c r="BB244">
        <v>999</v>
      </c>
      <c r="BC244">
        <v>999</v>
      </c>
      <c r="BD244">
        <v>999</v>
      </c>
      <c r="BE244">
        <v>-3.8206983159062009</v>
      </c>
      <c r="BF244">
        <v>4.2281664908657941</v>
      </c>
      <c r="BJ244" t="b">
        <f t="shared" si="67"/>
        <v>1</v>
      </c>
      <c r="BK244" t="b">
        <f t="shared" ca="1" si="68"/>
        <v>0</v>
      </c>
    </row>
    <row r="245" spans="1:63" x14ac:dyDescent="0.45">
      <c r="A245" s="1">
        <v>44880</v>
      </c>
      <c r="B245">
        <v>194.42</v>
      </c>
      <c r="C245" s="1">
        <v>44880</v>
      </c>
      <c r="D245">
        <v>398.49</v>
      </c>
      <c r="E245">
        <f t="shared" si="69"/>
        <v>1.8172296412673469E-2</v>
      </c>
      <c r="F245" s="4">
        <f t="shared" si="70"/>
        <v>8.5290544644665029E-3</v>
      </c>
      <c r="G245">
        <f t="shared" ca="1" si="71"/>
        <v>-1.5799582373664184E-3</v>
      </c>
      <c r="H245">
        <f t="shared" ca="1" si="72"/>
        <v>3.95688021970532E-2</v>
      </c>
      <c r="I245">
        <f t="shared" ca="1" si="73"/>
        <v>-0.20880033050978178</v>
      </c>
      <c r="J245">
        <f t="shared" ca="1" si="74"/>
        <v>5.5578068024169092E-2</v>
      </c>
      <c r="K245">
        <f t="shared" ca="1" si="75"/>
        <v>0.82878621117508067</v>
      </c>
      <c r="L245">
        <f t="shared" ca="1" si="76"/>
        <v>0.82186519213411036</v>
      </c>
      <c r="M245">
        <f t="shared" ca="1" si="77"/>
        <v>-4.7820249656077286E-4</v>
      </c>
      <c r="N245">
        <f t="shared" ca="1" si="78"/>
        <v>1.6059465787918767E-2</v>
      </c>
      <c r="O245">
        <f t="shared" ca="1" si="79"/>
        <v>-1.8261201930142745E-2</v>
      </c>
      <c r="P245">
        <f t="shared" ca="1" si="80"/>
        <v>0.24103262227035183</v>
      </c>
      <c r="Q245">
        <f t="shared" ca="1" si="81"/>
        <v>0.87289599679602714</v>
      </c>
      <c r="R245">
        <f t="shared" ca="1" si="82"/>
        <v>1.0541601522344937</v>
      </c>
      <c r="T245">
        <f t="shared" si="83"/>
        <v>1.0181722964126734</v>
      </c>
      <c r="U245" s="6">
        <f t="shared" ca="1" si="84"/>
        <v>1.0163094615786721</v>
      </c>
      <c r="V245">
        <f t="shared" ca="1" si="85"/>
        <v>0.91338517962052956</v>
      </c>
      <c r="W245">
        <v>0.93255639818373837</v>
      </c>
      <c r="X245" t="b">
        <f t="shared" ca="1" si="86"/>
        <v>0</v>
      </c>
      <c r="AS245">
        <v>0.38121696341826167</v>
      </c>
      <c r="AT245">
        <v>999</v>
      </c>
      <c r="AU245">
        <v>999</v>
      </c>
      <c r="AV245">
        <v>999</v>
      </c>
      <c r="AW245">
        <v>999</v>
      </c>
      <c r="AX245">
        <v>-5.6310844426948208</v>
      </c>
      <c r="AY245">
        <v>999</v>
      </c>
      <c r="AZ245">
        <v>999</v>
      </c>
      <c r="BA245">
        <v>999</v>
      </c>
      <c r="BB245">
        <v>999</v>
      </c>
      <c r="BC245">
        <v>999</v>
      </c>
      <c r="BD245">
        <v>999</v>
      </c>
      <c r="BE245">
        <v>-3.3302303444039216</v>
      </c>
      <c r="BF245">
        <v>9.3465452550766646</v>
      </c>
      <c r="BJ245" t="b">
        <f t="shared" si="67"/>
        <v>1</v>
      </c>
      <c r="BK245" t="b">
        <f t="shared" ca="1" si="68"/>
        <v>0</v>
      </c>
    </row>
    <row r="246" spans="1:63" x14ac:dyDescent="0.45">
      <c r="A246" s="1">
        <v>44879</v>
      </c>
      <c r="B246">
        <v>190.95</v>
      </c>
      <c r="C246" s="1">
        <v>44879</v>
      </c>
      <c r="D246">
        <v>395.12</v>
      </c>
      <c r="E246">
        <f t="shared" si="69"/>
        <v>-2.5616165739654081E-2</v>
      </c>
      <c r="F246" s="4">
        <f t="shared" si="70"/>
        <v>-8.5066874106044677E-3</v>
      </c>
      <c r="G246">
        <f t="shared" ca="1" si="71"/>
        <v>-1.1369454757649241E-3</v>
      </c>
      <c r="H246">
        <f t="shared" ca="1" si="72"/>
        <v>4.0280654354057914E-2</v>
      </c>
      <c r="I246">
        <f t="shared" ca="1" si="73"/>
        <v>-0.13305022780809458</v>
      </c>
      <c r="J246">
        <f t="shared" ca="1" si="74"/>
        <v>0.11818876770719688</v>
      </c>
      <c r="K246">
        <f t="shared" ca="1" si="75"/>
        <v>0.8864011545903504</v>
      </c>
      <c r="L246">
        <f t="shared" ca="1" si="76"/>
        <v>0.86731118227474735</v>
      </c>
      <c r="M246">
        <f t="shared" ca="1" si="77"/>
        <v>-4.307923327477954E-4</v>
      </c>
      <c r="N246">
        <f t="shared" ca="1" si="78"/>
        <v>1.6100135061243921E-2</v>
      </c>
      <c r="O246">
        <f t="shared" ca="1" si="79"/>
        <v>-2.0247859992088644E-2</v>
      </c>
      <c r="P246">
        <f t="shared" ca="1" si="80"/>
        <v>0.21663808534247941</v>
      </c>
      <c r="Q246">
        <f t="shared" ca="1" si="81"/>
        <v>0.87289599679602714</v>
      </c>
      <c r="R246">
        <f t="shared" ca="1" si="82"/>
        <v>1.0844197728804486</v>
      </c>
      <c r="T246">
        <f t="shared" si="83"/>
        <v>0.97438383426034592</v>
      </c>
      <c r="U246" s="6">
        <f t="shared" ca="1" si="84"/>
        <v>0.96889587984574788</v>
      </c>
      <c r="V246">
        <f t="shared" ca="1" si="85"/>
        <v>0.90978402021643412</v>
      </c>
      <c r="W246">
        <v>0.9251751380586104</v>
      </c>
      <c r="X246" t="b">
        <f t="shared" ca="1" si="86"/>
        <v>1</v>
      </c>
      <c r="AS246">
        <v>0.40198281389708135</v>
      </c>
      <c r="AT246">
        <v>999</v>
      </c>
      <c r="AU246">
        <v>999</v>
      </c>
      <c r="AV246">
        <v>999</v>
      </c>
      <c r="AW246">
        <v>999</v>
      </c>
      <c r="AX246">
        <v>-4.8204515618506152</v>
      </c>
      <c r="AY246">
        <v>999</v>
      </c>
      <c r="AZ246">
        <v>999</v>
      </c>
      <c r="BA246">
        <v>999</v>
      </c>
      <c r="BB246">
        <v>999</v>
      </c>
      <c r="BC246">
        <v>999</v>
      </c>
      <c r="BD246">
        <v>2.339993129368009</v>
      </c>
      <c r="BE246">
        <v>-3.9252405987537289</v>
      </c>
      <c r="BF246">
        <v>2.1131494791536682</v>
      </c>
      <c r="BJ246" t="b">
        <f t="shared" si="67"/>
        <v>1</v>
      </c>
      <c r="BK246" t="b">
        <f t="shared" ca="1" si="68"/>
        <v>1</v>
      </c>
    </row>
    <row r="247" spans="1:63" x14ac:dyDescent="0.45">
      <c r="A247" s="1">
        <v>44876</v>
      </c>
      <c r="B247">
        <v>195.97</v>
      </c>
      <c r="C247" s="1">
        <v>44876</v>
      </c>
      <c r="D247">
        <v>398.51</v>
      </c>
      <c r="E247">
        <f t="shared" si="69"/>
        <v>2.752726510067114E-2</v>
      </c>
      <c r="F247" s="4">
        <f t="shared" si="70"/>
        <v>9.6784818465124357E-3</v>
      </c>
      <c r="G247">
        <f t="shared" ca="1" si="71"/>
        <v>-9.0483630793788624E-4</v>
      </c>
      <c r="H247">
        <f t="shared" ca="1" si="72"/>
        <v>4.0272636385333981E-2</v>
      </c>
      <c r="I247">
        <f t="shared" ca="1" si="73"/>
        <v>-0.14863396759418157</v>
      </c>
      <c r="J247">
        <f t="shared" ca="1" si="74"/>
        <v>0.1237493918889947</v>
      </c>
      <c r="K247">
        <f t="shared" ca="1" si="75"/>
        <v>0.8864011545903504</v>
      </c>
      <c r="L247">
        <f t="shared" ca="1" si="76"/>
        <v>0.88124472082531558</v>
      </c>
      <c r="M247">
        <f t="shared" ca="1" si="77"/>
        <v>-2.6408210318944002E-4</v>
      </c>
      <c r="N247">
        <f t="shared" ca="1" si="78"/>
        <v>1.6188471499042897E-2</v>
      </c>
      <c r="O247">
        <f t="shared" ca="1" si="79"/>
        <v>-3.119748059191663E-2</v>
      </c>
      <c r="P247">
        <f t="shared" ca="1" si="80"/>
        <v>0.17707589363769216</v>
      </c>
      <c r="Q247">
        <f t="shared" ca="1" si="81"/>
        <v>0.87289599679602714</v>
      </c>
      <c r="R247">
        <f t="shared" ca="1" si="82"/>
        <v>1.1431281922607639</v>
      </c>
      <c r="T247">
        <f t="shared" si="83"/>
        <v>1.0275272651006711</v>
      </c>
      <c r="U247" s="6">
        <f t="shared" ca="1" si="84"/>
        <v>0.94457029932038361</v>
      </c>
      <c r="V247">
        <f t="shared" ca="1" si="85"/>
        <v>0.91838268929694233</v>
      </c>
      <c r="W247">
        <v>0.92127454120408148</v>
      </c>
      <c r="X247" t="b">
        <f t="shared" ca="1" si="86"/>
        <v>1</v>
      </c>
      <c r="AS247">
        <v>0.39855770137612279</v>
      </c>
      <c r="AT247">
        <v>999</v>
      </c>
      <c r="AU247">
        <v>999</v>
      </c>
      <c r="AV247">
        <v>999</v>
      </c>
      <c r="AW247">
        <v>999</v>
      </c>
      <c r="AX247">
        <v>-5.1179271767630601</v>
      </c>
      <c r="AY247">
        <v>999</v>
      </c>
      <c r="AZ247">
        <v>999</v>
      </c>
      <c r="BA247">
        <v>999</v>
      </c>
      <c r="BB247">
        <v>999</v>
      </c>
      <c r="BC247">
        <v>999</v>
      </c>
      <c r="BD247">
        <v>2.377925354340217</v>
      </c>
      <c r="BE247">
        <v>-3.9188531857342777</v>
      </c>
      <c r="BF247">
        <v>2.3515309643842204</v>
      </c>
      <c r="BJ247" t="b">
        <f t="shared" si="67"/>
        <v>1</v>
      </c>
      <c r="BK247" t="b">
        <f t="shared" ca="1" si="68"/>
        <v>1</v>
      </c>
    </row>
    <row r="248" spans="1:63" x14ac:dyDescent="0.45">
      <c r="A248" s="1">
        <v>44875</v>
      </c>
      <c r="B248">
        <v>190.72</v>
      </c>
      <c r="C248" s="1">
        <v>44875</v>
      </c>
      <c r="D248">
        <v>394.69</v>
      </c>
      <c r="E248">
        <f t="shared" si="69"/>
        <v>7.3934343149952106E-2</v>
      </c>
      <c r="F248" s="4">
        <f t="shared" si="70"/>
        <v>5.4954160318605838E-2</v>
      </c>
      <c r="G248">
        <f t="shared" ca="1" si="71"/>
        <v>-1.6201760929733574E-3</v>
      </c>
      <c r="H248">
        <f t="shared" ca="1" si="72"/>
        <v>4.1028597444255827E-2</v>
      </c>
      <c r="I248">
        <f t="shared" ca="1" si="73"/>
        <v>-0.20013529752952955</v>
      </c>
      <c r="J248">
        <f t="shared" ca="1" si="74"/>
        <v>0.19484448164138923</v>
      </c>
      <c r="K248">
        <f t="shared" ca="1" si="75"/>
        <v>0.87364734311668268</v>
      </c>
      <c r="L248">
        <f t="shared" ca="1" si="76"/>
        <v>0.81833474378961912</v>
      </c>
      <c r="M248">
        <f t="shared" ca="1" si="77"/>
        <v>-3.3716416122905342E-4</v>
      </c>
      <c r="N248">
        <f t="shared" ca="1" si="78"/>
        <v>1.6176348725884936E-2</v>
      </c>
      <c r="O248">
        <f t="shared" ca="1" si="79"/>
        <v>-1.8878201875919272E-2</v>
      </c>
      <c r="P248">
        <f t="shared" ca="1" si="80"/>
        <v>0.18557039209010062</v>
      </c>
      <c r="Q248">
        <f t="shared" ca="1" si="81"/>
        <v>0.87289599679602714</v>
      </c>
      <c r="R248">
        <f t="shared" ca="1" si="82"/>
        <v>1.1431281922607639</v>
      </c>
      <c r="T248">
        <f t="shared" si="83"/>
        <v>1.0739343431499522</v>
      </c>
      <c r="U248" s="6">
        <f t="shared" ca="1" si="84"/>
        <v>0.88579257814314238</v>
      </c>
      <c r="V248">
        <f t="shared" ca="1" si="85"/>
        <v>0.91919550480168855</v>
      </c>
      <c r="W248">
        <v>0.9225883977261824</v>
      </c>
      <c r="X248" t="b">
        <f t="shared" ca="1" si="86"/>
        <v>1</v>
      </c>
      <c r="AS248">
        <v>0.39774407631751335</v>
      </c>
      <c r="AT248">
        <v>999</v>
      </c>
      <c r="AU248">
        <v>999</v>
      </c>
      <c r="AV248">
        <v>999</v>
      </c>
      <c r="AW248">
        <v>999</v>
      </c>
      <c r="AX248">
        <v>-5.6890887905812786</v>
      </c>
      <c r="AY248">
        <v>999</v>
      </c>
      <c r="AZ248">
        <v>999</v>
      </c>
      <c r="BA248">
        <v>999</v>
      </c>
      <c r="BB248">
        <v>999</v>
      </c>
      <c r="BC248">
        <v>999</v>
      </c>
      <c r="BD248">
        <v>999</v>
      </c>
      <c r="BE248">
        <v>-3.2070288172252512</v>
      </c>
      <c r="BF248">
        <v>9.7507209800046546</v>
      </c>
      <c r="BJ248" t="b">
        <f t="shared" si="67"/>
        <v>1</v>
      </c>
      <c r="BK248" t="b">
        <f t="shared" ca="1" si="68"/>
        <v>1</v>
      </c>
    </row>
    <row r="249" spans="1:63" x14ac:dyDescent="0.45">
      <c r="A249" s="1">
        <v>44874</v>
      </c>
      <c r="B249">
        <v>177.59</v>
      </c>
      <c r="C249" s="1">
        <v>44874</v>
      </c>
      <c r="D249">
        <v>374.13</v>
      </c>
      <c r="E249">
        <f t="shared" si="69"/>
        <v>-7.1667537898588637E-2</v>
      </c>
      <c r="F249" s="4">
        <f t="shared" si="70"/>
        <v>-2.0602094240837709E-2</v>
      </c>
      <c r="G249">
        <f t="shared" ca="1" si="71"/>
        <v>-1.886347042716185E-3</v>
      </c>
      <c r="H249">
        <f t="shared" ca="1" si="72"/>
        <v>4.0707398002039784E-2</v>
      </c>
      <c r="I249">
        <f t="shared" ca="1" si="73"/>
        <v>-0.21671351999699079</v>
      </c>
      <c r="J249">
        <f t="shared" ca="1" si="74"/>
        <v>0.23130167587802752</v>
      </c>
      <c r="K249">
        <f t="shared" ca="1" si="75"/>
        <v>0.81686138116491747</v>
      </c>
      <c r="L249">
        <f t="shared" ca="1" si="76"/>
        <v>0.80295309587011821</v>
      </c>
      <c r="M249">
        <f t="shared" ca="1" si="77"/>
        <v>-6.2447898197185185E-4</v>
      </c>
      <c r="N249">
        <f t="shared" ca="1" si="78"/>
        <v>1.5692435340631319E-2</v>
      </c>
      <c r="O249">
        <f t="shared" ca="1" si="79"/>
        <v>-0.18723409036020489</v>
      </c>
      <c r="P249">
        <f t="shared" ca="1" si="80"/>
        <v>-0.2112829659254345</v>
      </c>
      <c r="Q249">
        <f t="shared" ca="1" si="81"/>
        <v>0.86932435397797436</v>
      </c>
      <c r="R249">
        <f t="shared" ca="1" si="82"/>
        <v>1.0844197728804486</v>
      </c>
      <c r="T249">
        <f t="shared" si="83"/>
        <v>0.9283324621014114</v>
      </c>
      <c r="U249" s="6">
        <f t="shared" ca="1" si="84"/>
        <v>0.82607684435761453</v>
      </c>
      <c r="V249">
        <f t="shared" ca="1" si="85"/>
        <v>0.92845983107152985</v>
      </c>
      <c r="W249">
        <v>0.93005997144121699</v>
      </c>
      <c r="X249" t="b">
        <f t="shared" ca="1" si="86"/>
        <v>1</v>
      </c>
      <c r="AS249">
        <v>0.36852433641531457</v>
      </c>
      <c r="AT249">
        <v>999</v>
      </c>
      <c r="AU249">
        <v>999</v>
      </c>
      <c r="AV249">
        <v>999</v>
      </c>
      <c r="AW249">
        <v>999</v>
      </c>
      <c r="AX249">
        <v>-4.9068557313110688</v>
      </c>
      <c r="AY249">
        <v>999</v>
      </c>
      <c r="AZ249">
        <v>999</v>
      </c>
      <c r="BA249">
        <v>999</v>
      </c>
      <c r="BB249">
        <v>999</v>
      </c>
      <c r="BC249">
        <v>999</v>
      </c>
      <c r="BD249">
        <v>2.8610743112682746</v>
      </c>
      <c r="BE249">
        <v>-3.8799599457960761</v>
      </c>
      <c r="BF249">
        <v>2.1690839514283966</v>
      </c>
      <c r="BJ249" t="b">
        <f t="shared" si="67"/>
        <v>1</v>
      </c>
      <c r="BK249" t="b">
        <f t="shared" ca="1" si="68"/>
        <v>1</v>
      </c>
    </row>
    <row r="250" spans="1:63" x14ac:dyDescent="0.45">
      <c r="A250" s="1">
        <v>44873</v>
      </c>
      <c r="B250">
        <v>191.3</v>
      </c>
      <c r="C250" s="1">
        <v>44873</v>
      </c>
      <c r="D250">
        <v>382</v>
      </c>
      <c r="E250">
        <f t="shared" si="69"/>
        <v>-2.9328191597320887E-2</v>
      </c>
      <c r="F250" s="4">
        <f t="shared" si="70"/>
        <v>5.3954467693117817E-3</v>
      </c>
      <c r="G250">
        <f t="shared" ca="1" si="71"/>
        <v>-1.5903803209651776E-3</v>
      </c>
      <c r="H250">
        <f t="shared" ca="1" si="72"/>
        <v>4.041160878560305E-2</v>
      </c>
      <c r="I250">
        <f t="shared" ca="1" si="73"/>
        <v>-0.21765796280844951</v>
      </c>
      <c r="J250">
        <f t="shared" ca="1" si="74"/>
        <v>0.28845973247137158</v>
      </c>
      <c r="K250">
        <f t="shared" ca="1" si="75"/>
        <v>0.82878621117508067</v>
      </c>
      <c r="L250">
        <f t="shared" ca="1" si="76"/>
        <v>0.82200885081491581</v>
      </c>
      <c r="M250">
        <f t="shared" ca="1" si="77"/>
        <v>-5.8251343619509111E-4</v>
      </c>
      <c r="N250">
        <f t="shared" ca="1" si="78"/>
        <v>1.564990669066596E-2</v>
      </c>
      <c r="O250">
        <f t="shared" ca="1" si="79"/>
        <v>-0.1883906581749541</v>
      </c>
      <c r="P250">
        <f t="shared" ca="1" si="80"/>
        <v>-0.19052627242977183</v>
      </c>
      <c r="Q250">
        <f t="shared" ca="1" si="81"/>
        <v>0.86932435397797436</v>
      </c>
      <c r="R250">
        <f t="shared" ca="1" si="82"/>
        <v>1.0844197728804486</v>
      </c>
      <c r="T250">
        <f t="shared" si="83"/>
        <v>0.97067180840267908</v>
      </c>
      <c r="U250" s="6">
        <f t="shared" ca="1" si="84"/>
        <v>0.8396980071986655</v>
      </c>
      <c r="V250">
        <f t="shared" ca="1" si="85"/>
        <v>0.91271097182561867</v>
      </c>
      <c r="W250">
        <v>0.92417268633621996</v>
      </c>
      <c r="X250" t="b">
        <f t="shared" ca="1" si="86"/>
        <v>1</v>
      </c>
      <c r="AS250">
        <v>0.31218849483350014</v>
      </c>
      <c r="AT250">
        <v>999</v>
      </c>
      <c r="AU250">
        <v>999</v>
      </c>
      <c r="AV250">
        <v>999</v>
      </c>
      <c r="AW250">
        <v>999</v>
      </c>
      <c r="AX250">
        <v>-4.1795679219668278</v>
      </c>
      <c r="AY250">
        <v>999</v>
      </c>
      <c r="AZ250">
        <v>999</v>
      </c>
      <c r="BA250">
        <v>999</v>
      </c>
      <c r="BB250">
        <v>999</v>
      </c>
      <c r="BC250">
        <v>999</v>
      </c>
      <c r="BD250">
        <v>3.3688575058637986</v>
      </c>
      <c r="BE250">
        <v>-3.7101830402261768</v>
      </c>
      <c r="BF250">
        <v>1.4638687782288826</v>
      </c>
      <c r="BJ250" t="b">
        <f t="shared" si="67"/>
        <v>1</v>
      </c>
      <c r="BK250" t="b">
        <f t="shared" ca="1" si="68"/>
        <v>1</v>
      </c>
    </row>
    <row r="251" spans="1:63" x14ac:dyDescent="0.45">
      <c r="A251" s="1">
        <v>44872</v>
      </c>
      <c r="B251">
        <v>197.08</v>
      </c>
      <c r="C251" s="1">
        <v>44872</v>
      </c>
      <c r="D251">
        <v>379.95</v>
      </c>
      <c r="E251">
        <f t="shared" si="69"/>
        <v>-5.0079529570540252E-2</v>
      </c>
      <c r="F251" s="4">
        <f t="shared" si="70"/>
        <v>9.5655639697089564E-3</v>
      </c>
      <c r="G251">
        <f t="shared" ca="1" si="71"/>
        <v>-1.5173648250248301E-3</v>
      </c>
      <c r="H251">
        <f t="shared" ca="1" si="72"/>
        <v>4.0374415691165011E-2</v>
      </c>
      <c r="I251">
        <f t="shared" ca="1" si="73"/>
        <v>-0.22226906789435938</v>
      </c>
      <c r="J251">
        <f t="shared" ca="1" si="74"/>
        <v>0.30128727899254848</v>
      </c>
      <c r="K251">
        <f t="shared" ca="1" si="75"/>
        <v>0.82878621117508067</v>
      </c>
      <c r="L251">
        <f t="shared" ca="1" si="76"/>
        <v>0.82893085750830175</v>
      </c>
      <c r="M251">
        <f t="shared" ca="1" si="77"/>
        <v>-5.88256823747299E-4</v>
      </c>
      <c r="N251">
        <f t="shared" ca="1" si="78"/>
        <v>1.5647912454364841E-2</v>
      </c>
      <c r="O251">
        <f t="shared" ca="1" si="79"/>
        <v>-0.18748425954765885</v>
      </c>
      <c r="P251">
        <f t="shared" ca="1" si="80"/>
        <v>-0.18941546821649924</v>
      </c>
      <c r="Q251">
        <f t="shared" ca="1" si="81"/>
        <v>0.86932435397797436</v>
      </c>
      <c r="R251">
        <f t="shared" ca="1" si="82"/>
        <v>1.0844197728804486</v>
      </c>
      <c r="T251">
        <f t="shared" si="83"/>
        <v>0.94992047042945971</v>
      </c>
      <c r="U251" s="6">
        <f t="shared" ca="1" si="84"/>
        <v>0.8661334270897425</v>
      </c>
      <c r="V251">
        <f t="shared" ca="1" si="85"/>
        <v>0.90553278249933766</v>
      </c>
      <c r="W251">
        <v>0.92447966677203064</v>
      </c>
      <c r="X251" t="b">
        <f t="shared" ca="1" si="86"/>
        <v>1</v>
      </c>
      <c r="AS251">
        <v>0.27382683788348489</v>
      </c>
      <c r="AT251">
        <v>999</v>
      </c>
      <c r="AU251">
        <v>999</v>
      </c>
      <c r="AV251">
        <v>999</v>
      </c>
      <c r="AW251">
        <v>999</v>
      </c>
      <c r="AX251">
        <v>-3.8879716619211457</v>
      </c>
      <c r="AY251">
        <v>999</v>
      </c>
      <c r="AZ251">
        <v>999</v>
      </c>
      <c r="BA251">
        <v>999</v>
      </c>
      <c r="BB251">
        <v>999</v>
      </c>
      <c r="BC251">
        <v>999</v>
      </c>
      <c r="BD251">
        <v>3.5113989977668383</v>
      </c>
      <c r="BE251">
        <v>-3.5806779355222997</v>
      </c>
      <c r="BF251">
        <v>1.2839555972286436</v>
      </c>
      <c r="BJ251" t="b">
        <f t="shared" si="67"/>
        <v>1</v>
      </c>
      <c r="BK251" t="b">
        <f t="shared" ca="1" si="68"/>
        <v>1</v>
      </c>
    </row>
    <row r="252" spans="1:63" x14ac:dyDescent="0.45">
      <c r="A252" s="1">
        <v>44869</v>
      </c>
      <c r="B252">
        <v>207.47</v>
      </c>
      <c r="C252" s="1">
        <v>44869</v>
      </c>
      <c r="D252">
        <v>376.35</v>
      </c>
      <c r="E252">
        <f t="shared" si="69"/>
        <v>-3.641261436997819E-2</v>
      </c>
      <c r="F252" s="4">
        <f t="shared" si="70"/>
        <v>1.439314304196661E-2</v>
      </c>
      <c r="G252">
        <f t="shared" ca="1" si="71"/>
        <v>-1.5298025531244308E-3</v>
      </c>
      <c r="H252">
        <f t="shared" ca="1" si="72"/>
        <v>4.0389831123725094E-2</v>
      </c>
      <c r="I252">
        <f t="shared" ca="1" si="73"/>
        <v>-0.22250790650452343</v>
      </c>
      <c r="J252">
        <f t="shared" ca="1" si="74"/>
        <v>0.29829401066709638</v>
      </c>
      <c r="K252">
        <f t="shared" ca="1" si="75"/>
        <v>0.82878621117508067</v>
      </c>
      <c r="L252">
        <f t="shared" ca="1" si="76"/>
        <v>0.82893085750830175</v>
      </c>
      <c r="M252">
        <f t="shared" ca="1" si="77"/>
        <v>-7.3423797319852957E-4</v>
      </c>
      <c r="N252">
        <f t="shared" ca="1" si="78"/>
        <v>1.568884423298695E-2</v>
      </c>
      <c r="O252">
        <f t="shared" ca="1" si="79"/>
        <v>-0.16827579626863079</v>
      </c>
      <c r="P252">
        <f t="shared" ca="1" si="80"/>
        <v>-0.21570184579310547</v>
      </c>
      <c r="Q252">
        <f t="shared" ca="1" si="81"/>
        <v>0.86932435397797436</v>
      </c>
      <c r="R252">
        <f t="shared" ca="1" si="82"/>
        <v>1.0604284033539435</v>
      </c>
      <c r="T252">
        <f t="shared" si="83"/>
        <v>0.96358738563002178</v>
      </c>
      <c r="U252" s="6">
        <f t="shared" ca="1" si="84"/>
        <v>0.90788552424295454</v>
      </c>
      <c r="V252">
        <f t="shared" ca="1" si="85"/>
        <v>0.94178540290450663</v>
      </c>
      <c r="W252">
        <v>0.95325067272238506</v>
      </c>
      <c r="X252" t="b">
        <f t="shared" ca="1" si="86"/>
        <v>1</v>
      </c>
      <c r="AS252">
        <v>0.23581132206054928</v>
      </c>
      <c r="AT252">
        <v>999</v>
      </c>
      <c r="AU252">
        <v>999</v>
      </c>
      <c r="AV252">
        <v>999</v>
      </c>
      <c r="AW252">
        <v>999</v>
      </c>
      <c r="AX252">
        <v>-3.5728438424175719</v>
      </c>
      <c r="AY252">
        <v>999</v>
      </c>
      <c r="AZ252">
        <v>999</v>
      </c>
      <c r="BA252">
        <v>999</v>
      </c>
      <c r="BB252">
        <v>999</v>
      </c>
      <c r="BC252">
        <v>999</v>
      </c>
      <c r="BD252">
        <v>3.7416093478989407</v>
      </c>
      <c r="BE252">
        <v>-3.5296238913597913</v>
      </c>
      <c r="BF252">
        <v>0.95386474775912433</v>
      </c>
      <c r="BJ252" t="b">
        <f t="shared" si="67"/>
        <v>1</v>
      </c>
      <c r="BK252" t="b">
        <f t="shared" ca="1" si="68"/>
        <v>1</v>
      </c>
    </row>
    <row r="253" spans="1:63" x14ac:dyDescent="0.45">
      <c r="A253" s="1">
        <v>44868</v>
      </c>
      <c r="B253">
        <v>215.31</v>
      </c>
      <c r="C253" s="1">
        <v>44868</v>
      </c>
      <c r="D253">
        <v>371.01</v>
      </c>
      <c r="E253">
        <f t="shared" si="69"/>
        <v>1.5350265140943926E-3</v>
      </c>
      <c r="F253" s="4">
        <f t="shared" si="70"/>
        <v>-1.0296902926347837E-2</v>
      </c>
      <c r="G253">
        <f t="shared" ca="1" si="71"/>
        <v>-1.344620912381285E-3</v>
      </c>
      <c r="H253">
        <f t="shared" ca="1" si="72"/>
        <v>4.0313926531604843E-2</v>
      </c>
      <c r="I253">
        <f t="shared" ca="1" si="73"/>
        <v>-0.23439773487153381</v>
      </c>
      <c r="J253">
        <f t="shared" ca="1" si="74"/>
        <v>0.32491118824355558</v>
      </c>
      <c r="K253">
        <f t="shared" ca="1" si="75"/>
        <v>0.82878621117508067</v>
      </c>
      <c r="L253">
        <f t="shared" ca="1" si="76"/>
        <v>0.84440856350734539</v>
      </c>
      <c r="M253">
        <f t="shared" ca="1" si="77"/>
        <v>-8.615440315184904E-4</v>
      </c>
      <c r="N253">
        <f t="shared" ca="1" si="78"/>
        <v>1.5668766081529843E-2</v>
      </c>
      <c r="O253">
        <f t="shared" ca="1" si="79"/>
        <v>-0.15032608772323905</v>
      </c>
      <c r="P253">
        <f t="shared" ca="1" si="80"/>
        <v>-0.21008054656092101</v>
      </c>
      <c r="Q253">
        <f t="shared" ca="1" si="81"/>
        <v>0.86932435397797436</v>
      </c>
      <c r="R253">
        <f t="shared" ca="1" si="82"/>
        <v>1.0237490867903525</v>
      </c>
      <c r="T253">
        <f t="shared" si="83"/>
        <v>1.0015350265140943</v>
      </c>
      <c r="U253" s="6">
        <f t="shared" ca="1" si="84"/>
        <v>0.95655071304811379</v>
      </c>
      <c r="V253">
        <f t="shared" ca="1" si="85"/>
        <v>0.95738607918401952</v>
      </c>
      <c r="W253">
        <v>0.95661330923497034</v>
      </c>
      <c r="X253" t="b">
        <f t="shared" ca="1" si="86"/>
        <v>1</v>
      </c>
      <c r="AS253">
        <v>0.22300873374256552</v>
      </c>
      <c r="AT253">
        <v>999</v>
      </c>
      <c r="AU253">
        <v>999</v>
      </c>
      <c r="AV253">
        <v>999</v>
      </c>
      <c r="AW253">
        <v>999</v>
      </c>
      <c r="AX253">
        <v>-3.3550393774410834</v>
      </c>
      <c r="AY253">
        <v>999</v>
      </c>
      <c r="AZ253">
        <v>999</v>
      </c>
      <c r="BA253">
        <v>999</v>
      </c>
      <c r="BB253">
        <v>999</v>
      </c>
      <c r="BC253">
        <v>999</v>
      </c>
      <c r="BD253">
        <v>4.0185648724183274</v>
      </c>
      <c r="BE253">
        <v>-3.5207618184025038</v>
      </c>
      <c r="BF253">
        <v>0.61504624495028914</v>
      </c>
      <c r="BJ253" t="b">
        <f t="shared" si="67"/>
        <v>1</v>
      </c>
      <c r="BK253" t="b">
        <f t="shared" ca="1" si="68"/>
        <v>1</v>
      </c>
    </row>
    <row r="254" spans="1:63" x14ac:dyDescent="0.45">
      <c r="A254" s="1">
        <v>44867</v>
      </c>
      <c r="B254">
        <v>214.98</v>
      </c>
      <c r="C254" s="1">
        <v>44867</v>
      </c>
      <c r="D254">
        <v>374.87</v>
      </c>
      <c r="E254">
        <f t="shared" si="69"/>
        <v>-5.6360284435080343E-2</v>
      </c>
      <c r="F254" s="4">
        <f t="shared" si="70"/>
        <v>-2.5096223863518095E-2</v>
      </c>
      <c r="G254">
        <f t="shared" ca="1" si="71"/>
        <v>-1.5214357613443355E-3</v>
      </c>
      <c r="H254">
        <f t="shared" ca="1" si="72"/>
        <v>4.0378731090494162E-2</v>
      </c>
      <c r="I254">
        <f t="shared" ca="1" si="73"/>
        <v>-0.22264592978722894</v>
      </c>
      <c r="J254">
        <f t="shared" ca="1" si="74"/>
        <v>0.30139599553900132</v>
      </c>
      <c r="K254">
        <f t="shared" ca="1" si="75"/>
        <v>0.82878621117508067</v>
      </c>
      <c r="L254">
        <f t="shared" ca="1" si="76"/>
        <v>0.82893085750830175</v>
      </c>
      <c r="M254">
        <f t="shared" ca="1" si="77"/>
        <v>-8.6197741213089635E-4</v>
      </c>
      <c r="N254">
        <f t="shared" ca="1" si="78"/>
        <v>1.5669029560926293E-2</v>
      </c>
      <c r="O254">
        <f t="shared" ca="1" si="79"/>
        <v>-0.15026551636044841</v>
      </c>
      <c r="P254">
        <f t="shared" ca="1" si="80"/>
        <v>-0.21026287170249836</v>
      </c>
      <c r="Q254">
        <f t="shared" ca="1" si="81"/>
        <v>0.86932435397797436</v>
      </c>
      <c r="R254">
        <f t="shared" ca="1" si="82"/>
        <v>1.0187594313652026</v>
      </c>
      <c r="T254">
        <f t="shared" si="83"/>
        <v>0.94363971556491966</v>
      </c>
      <c r="U254" s="6">
        <f t="shared" ca="1" si="84"/>
        <v>0.95699786324786329</v>
      </c>
      <c r="V254">
        <f t="shared" ca="1" si="85"/>
        <v>0.94530991625710892</v>
      </c>
      <c r="W254">
        <v>1.0002472752571336</v>
      </c>
      <c r="X254" t="b">
        <f t="shared" ca="1" si="86"/>
        <v>0</v>
      </c>
      <c r="AS254">
        <v>3.245861347088419E-2</v>
      </c>
      <c r="AT254">
        <v>999</v>
      </c>
      <c r="AU254">
        <v>999</v>
      </c>
      <c r="AV254">
        <v>999</v>
      </c>
      <c r="AW254">
        <v>999</v>
      </c>
      <c r="AX254">
        <v>999</v>
      </c>
      <c r="AY254">
        <v>999</v>
      </c>
      <c r="AZ254">
        <v>130.82197630144705</v>
      </c>
      <c r="BJ254" t="b">
        <f t="shared" si="67"/>
        <v>1</v>
      </c>
      <c r="BK254" t="b">
        <f t="shared" ca="1" si="68"/>
        <v>0</v>
      </c>
    </row>
    <row r="255" spans="1:63" x14ac:dyDescent="0.45">
      <c r="A255" s="1">
        <v>44866</v>
      </c>
      <c r="B255">
        <v>227.82</v>
      </c>
      <c r="C255" s="1">
        <v>44866</v>
      </c>
      <c r="D255">
        <v>384.52</v>
      </c>
      <c r="E255">
        <f t="shared" si="69"/>
        <v>1.2305528698250906E-3</v>
      </c>
      <c r="F255" s="4">
        <f t="shared" si="70"/>
        <v>-4.3758576940006672E-3</v>
      </c>
      <c r="G255">
        <f t="shared" ca="1" si="71"/>
        <v>-1.3306252786607462E-3</v>
      </c>
      <c r="H255">
        <f t="shared" ca="1" si="72"/>
        <v>4.0208094136330551E-2</v>
      </c>
      <c r="I255">
        <f t="shared" ca="1" si="73"/>
        <v>-0.22735776228741858</v>
      </c>
      <c r="J255">
        <f t="shared" ca="1" si="74"/>
        <v>0.34507529611808163</v>
      </c>
      <c r="K255">
        <f t="shared" ca="1" si="75"/>
        <v>0.82878621117508067</v>
      </c>
      <c r="L255">
        <f t="shared" ca="1" si="76"/>
        <v>0.84440856350734539</v>
      </c>
      <c r="M255">
        <f t="shared" ca="1" si="77"/>
        <v>-8.2504423566061205E-4</v>
      </c>
      <c r="N255">
        <f t="shared" ca="1" si="78"/>
        <v>1.5620249947747718E-2</v>
      </c>
      <c r="O255">
        <f t="shared" ca="1" si="79"/>
        <v>-0.14625600169418951</v>
      </c>
      <c r="P255">
        <f t="shared" ca="1" si="80"/>
        <v>-0.1962977312755565</v>
      </c>
      <c r="Q255">
        <f t="shared" ca="1" si="81"/>
        <v>0.86932435397797436</v>
      </c>
      <c r="R255">
        <f t="shared" ca="1" si="82"/>
        <v>1.0187594313652026</v>
      </c>
      <c r="T255">
        <f t="shared" si="83"/>
        <v>1.0012305528698251</v>
      </c>
      <c r="U255" s="6">
        <f t="shared" ca="1" si="84"/>
        <v>1.0243014185194343</v>
      </c>
      <c r="V255">
        <f t="shared" ca="1" si="85"/>
        <v>0.95507404110304928</v>
      </c>
      <c r="W255">
        <v>0.99928325368999427</v>
      </c>
      <c r="X255" t="b">
        <f t="shared" ca="1" si="86"/>
        <v>0</v>
      </c>
      <c r="AS255">
        <v>2.355396253299594E-2</v>
      </c>
      <c r="AT255">
        <v>999</v>
      </c>
      <c r="AU255">
        <v>999</v>
      </c>
      <c r="AV255">
        <v>999</v>
      </c>
      <c r="AW255">
        <v>999</v>
      </c>
      <c r="AX255">
        <v>999</v>
      </c>
      <c r="AY255">
        <v>999</v>
      </c>
      <c r="AZ255">
        <v>129.57358598813781</v>
      </c>
      <c r="BJ255" t="b">
        <f t="shared" si="67"/>
        <v>1</v>
      </c>
      <c r="BK255" t="b">
        <f t="shared" ca="1" si="68"/>
        <v>0</v>
      </c>
    </row>
    <row r="256" spans="1:63" x14ac:dyDescent="0.45">
      <c r="A256" s="1">
        <v>44865</v>
      </c>
      <c r="B256">
        <v>227.54</v>
      </c>
      <c r="C256" s="1">
        <v>44865</v>
      </c>
      <c r="D256">
        <v>386.21</v>
      </c>
      <c r="E256">
        <f t="shared" si="69"/>
        <v>-4.2884649046036156E-3</v>
      </c>
      <c r="F256" s="4">
        <f t="shared" si="70"/>
        <v>-7.2232790087913279E-3</v>
      </c>
      <c r="G256">
        <f t="shared" ca="1" si="71"/>
        <v>-1.2492842593290546E-3</v>
      </c>
      <c r="H256">
        <f t="shared" ca="1" si="72"/>
        <v>4.0229750904038387E-2</v>
      </c>
      <c r="I256">
        <f t="shared" ca="1" si="73"/>
        <v>-0.23259865711833738</v>
      </c>
      <c r="J256">
        <f t="shared" ca="1" si="74"/>
        <v>0.3399222181947481</v>
      </c>
      <c r="K256">
        <f t="shared" ca="1" si="75"/>
        <v>0.82878621117508067</v>
      </c>
      <c r="L256">
        <f t="shared" ca="1" si="76"/>
        <v>0.84440856350734539</v>
      </c>
      <c r="M256">
        <f t="shared" ca="1" si="77"/>
        <v>-8.0111986937001509E-4</v>
      </c>
      <c r="N256">
        <f t="shared" ca="1" si="78"/>
        <v>1.5618448315644852E-2</v>
      </c>
      <c r="O256">
        <f t="shared" ca="1" si="79"/>
        <v>-0.15088629787617824</v>
      </c>
      <c r="P256">
        <f t="shared" ca="1" si="80"/>
        <v>-0.19406758861893758</v>
      </c>
      <c r="Q256">
        <f t="shared" ca="1" si="81"/>
        <v>0.86932435397797436</v>
      </c>
      <c r="R256">
        <f t="shared" ca="1" si="82"/>
        <v>1.0187594313652026</v>
      </c>
      <c r="T256">
        <f t="shared" si="83"/>
        <v>0.99571153509539634</v>
      </c>
      <c r="U256" s="6">
        <f t="shared" ca="1" si="84"/>
        <v>1.0771124260355027</v>
      </c>
      <c r="V256">
        <f t="shared" ca="1" si="85"/>
        <v>0.97620549866455242</v>
      </c>
      <c r="W256">
        <v>0.96489712133996586</v>
      </c>
      <c r="X256" t="b">
        <f t="shared" ca="1" si="86"/>
        <v>0</v>
      </c>
      <c r="AS256">
        <v>0.1110928245808718</v>
      </c>
      <c r="AT256">
        <v>999</v>
      </c>
      <c r="AU256">
        <v>999</v>
      </c>
      <c r="AV256">
        <v>999</v>
      </c>
      <c r="AW256">
        <v>999</v>
      </c>
      <c r="AX256">
        <v>3.1839159969995863</v>
      </c>
      <c r="AY256">
        <v>999</v>
      </c>
      <c r="AZ256">
        <v>4.3826830033085351E-2</v>
      </c>
      <c r="BJ256" t="b">
        <f t="shared" si="67"/>
        <v>1</v>
      </c>
      <c r="BK256" t="b">
        <f t="shared" ca="1" si="68"/>
        <v>0</v>
      </c>
    </row>
    <row r="257" spans="1:63" x14ac:dyDescent="0.45">
      <c r="A257" s="1">
        <v>44862</v>
      </c>
      <c r="B257">
        <v>228.52</v>
      </c>
      <c r="C257" s="1">
        <v>44862</v>
      </c>
      <c r="D257">
        <v>389.02</v>
      </c>
      <c r="E257">
        <f t="shared" si="69"/>
        <v>1.5238349104802554E-2</v>
      </c>
      <c r="F257" s="4">
        <f t="shared" si="70"/>
        <v>2.3790725827675045E-2</v>
      </c>
      <c r="G257">
        <f t="shared" ca="1" si="71"/>
        <v>-1.565301933721261E-3</v>
      </c>
      <c r="H257">
        <f t="shared" ca="1" si="72"/>
        <v>4.0501071765038948E-2</v>
      </c>
      <c r="I257">
        <f t="shared" ca="1" si="73"/>
        <v>-0.22651700118161244</v>
      </c>
      <c r="J257">
        <f t="shared" ca="1" si="74"/>
        <v>0.27957757264796168</v>
      </c>
      <c r="K257">
        <f t="shared" ca="1" si="75"/>
        <v>0.82878621117508067</v>
      </c>
      <c r="L257">
        <f t="shared" ca="1" si="76"/>
        <v>0.82893085750830175</v>
      </c>
      <c r="M257">
        <f t="shared" ca="1" si="77"/>
        <v>-8.3389651496127565E-4</v>
      </c>
      <c r="N257">
        <f t="shared" ca="1" si="78"/>
        <v>1.5638858612503352E-2</v>
      </c>
      <c r="O257">
        <f t="shared" ca="1" si="79"/>
        <v>-0.14649420287761103</v>
      </c>
      <c r="P257">
        <f t="shared" ca="1" si="80"/>
        <v>-0.20789722119412923</v>
      </c>
      <c r="Q257">
        <f t="shared" ca="1" si="81"/>
        <v>0.86932435397797436</v>
      </c>
      <c r="R257">
        <f t="shared" ca="1" si="82"/>
        <v>1.0026562058082822</v>
      </c>
      <c r="T257">
        <f t="shared" si="83"/>
        <v>1.0152383491048025</v>
      </c>
      <c r="U257" s="6">
        <f t="shared" ca="1" si="84"/>
        <v>1.0656593919044954</v>
      </c>
      <c r="V257">
        <f t="shared" ca="1" si="85"/>
        <v>0.98909501602771444</v>
      </c>
      <c r="W257">
        <v>0.96178650664304721</v>
      </c>
      <c r="X257" t="b">
        <f t="shared" ca="1" si="86"/>
        <v>0</v>
      </c>
      <c r="AS257">
        <v>0.12705258930712199</v>
      </c>
      <c r="AT257">
        <v>999</v>
      </c>
      <c r="AU257">
        <v>999</v>
      </c>
      <c r="AV257">
        <v>999</v>
      </c>
      <c r="AW257">
        <v>999</v>
      </c>
      <c r="AX257">
        <v>3.4601283993199603</v>
      </c>
      <c r="AY257">
        <v>999</v>
      </c>
      <c r="AZ257">
        <v>-0.18437099665475978</v>
      </c>
      <c r="BJ257" t="b">
        <f t="shared" si="67"/>
        <v>1</v>
      </c>
      <c r="BK257" t="b">
        <f t="shared" ca="1" si="68"/>
        <v>0</v>
      </c>
    </row>
    <row r="258" spans="1:63" x14ac:dyDescent="0.45">
      <c r="A258" s="1">
        <v>44861</v>
      </c>
      <c r="B258">
        <v>225.09</v>
      </c>
      <c r="C258" s="1">
        <v>44861</v>
      </c>
      <c r="D258">
        <v>379.98</v>
      </c>
      <c r="E258">
        <f t="shared" si="69"/>
        <v>2.0032051282052044E-3</v>
      </c>
      <c r="F258" s="4">
        <f t="shared" si="70"/>
        <v>-5.3400345531646612E-3</v>
      </c>
      <c r="G258">
        <f t="shared" ca="1" si="71"/>
        <v>-1.4450449757503472E-3</v>
      </c>
      <c r="H258">
        <f t="shared" ca="1" si="72"/>
        <v>4.0586832622457825E-2</v>
      </c>
      <c r="I258">
        <f t="shared" ca="1" si="73"/>
        <v>-0.22924584465969666</v>
      </c>
      <c r="J258">
        <f t="shared" ca="1" si="74"/>
        <v>0.25944337268819329</v>
      </c>
      <c r="K258">
        <f t="shared" ca="1" si="75"/>
        <v>0.82878621117508067</v>
      </c>
      <c r="L258">
        <f t="shared" ca="1" si="76"/>
        <v>0.84481014443724234</v>
      </c>
      <c r="M258">
        <f t="shared" ca="1" si="77"/>
        <v>-9.3933231546740022E-4</v>
      </c>
      <c r="N258">
        <f t="shared" ca="1" si="78"/>
        <v>1.5542796181316994E-2</v>
      </c>
      <c r="O258">
        <f t="shared" ca="1" si="79"/>
        <v>-0.14879598935734073</v>
      </c>
      <c r="P258">
        <f t="shared" ca="1" si="80"/>
        <v>-0.17410537080818989</v>
      </c>
      <c r="Q258">
        <f t="shared" ca="1" si="81"/>
        <v>0.86932435397797436</v>
      </c>
      <c r="R258">
        <f t="shared" ca="1" si="82"/>
        <v>0.97075914484049231</v>
      </c>
      <c r="T258">
        <f t="shared" si="83"/>
        <v>1.0020032051282053</v>
      </c>
      <c r="U258" s="6">
        <f t="shared" ca="1" si="84"/>
        <v>1.0859224237746044</v>
      </c>
      <c r="V258">
        <f t="shared" ca="1" si="85"/>
        <v>1.0341751806244694</v>
      </c>
      <c r="W258">
        <v>0.96007514935803273</v>
      </c>
      <c r="X258" t="b">
        <f t="shared" ca="1" si="86"/>
        <v>0</v>
      </c>
      <c r="AS258">
        <v>0.15031824644071867</v>
      </c>
      <c r="AT258">
        <v>999</v>
      </c>
      <c r="AU258">
        <v>999</v>
      </c>
      <c r="AV258">
        <v>999</v>
      </c>
      <c r="AW258">
        <v>999</v>
      </c>
      <c r="AX258">
        <v>3.800960969134664</v>
      </c>
      <c r="AY258">
        <v>999</v>
      </c>
      <c r="AZ258">
        <v>-0.44979794055147598</v>
      </c>
      <c r="BJ258" t="b">
        <f t="shared" ref="BJ258:BJ321" si="87">ABS(W258-1)&gt;$S$21</f>
        <v>1</v>
      </c>
      <c r="BK258" t="b">
        <f t="shared" ref="BK258:BK321" ca="1" si="88">AND(X258,BJ258)</f>
        <v>0</v>
      </c>
    </row>
    <row r="259" spans="1:63" x14ac:dyDescent="0.45">
      <c r="A259" s="1">
        <v>44860</v>
      </c>
      <c r="B259">
        <v>224.64</v>
      </c>
      <c r="C259" s="1">
        <v>44860</v>
      </c>
      <c r="D259">
        <v>382.02</v>
      </c>
      <c r="E259">
        <f t="shared" ref="E259:E322" si="89">(B259-B260)/B260</f>
        <v>1.0003821684688507E-2</v>
      </c>
      <c r="F259" s="4">
        <f t="shared" ref="F259:F322" si="90">(D259-D260)/D260</f>
        <v>-7.5340330458277928E-3</v>
      </c>
      <c r="G259">
        <f t="shared" ref="G259:G322" ca="1" si="91">AVERAGE(OFFSET(E259,0,0,$S$3,1))*$AK$25</f>
        <v>-1.4253904816682031E-3</v>
      </c>
      <c r="H259">
        <f t="shared" ref="H259:H322" ca="1" si="92">STDEV(OFFSET(E259,0,0,$S$3,1))*$AJ$25</f>
        <v>4.0589462555142036E-2</v>
      </c>
      <c r="I259">
        <f t="shared" ref="I259:I322" ca="1" si="93">SKEW(OFFSET(E259,0,0,$S$3,1))*$AI$25</f>
        <v>-0.23064125268292962</v>
      </c>
      <c r="J259">
        <f t="shared" ref="J259:J322" ca="1" si="94">KURT(OFFSET(E259,0,0,$S$3,1))*$AH$25</f>
        <v>0.25904657159346023</v>
      </c>
      <c r="K259">
        <f t="shared" ref="K259:K322" ca="1" si="95">PERCENTILE(OFFSET(E259,0,0,$S$3,1), 0.95)/ABS(PERCENTILE(OFFSET(E259,0,0,$S$3,1), 0.05))*$AG$25</f>
        <v>0.82878621117508067</v>
      </c>
      <c r="L259">
        <f t="shared" ref="L259:L322" ca="1" si="96">PERCENTILE(OFFSET(E259,0,0,$S$3,1), 0.75)/ABS(PERCENTILE(OFFSET(E259,0,0,$S$3,1), 0.25))*$AF$25</f>
        <v>0.84481014443724234</v>
      </c>
      <c r="M259">
        <f t="shared" ref="M259:M322" ca="1" si="97">AVERAGE(OFFSET(F259,0,0,$S$3,1))*$AE$25</f>
        <v>-8.6709069353829368E-4</v>
      </c>
      <c r="N259">
        <f t="shared" ref="N259:N322" ca="1" si="98">STDEV(OFFSET(F259,0,0,$S$3,1))*$AD$25</f>
        <v>1.5555811154451288E-2</v>
      </c>
      <c r="O259">
        <f t="shared" ref="O259:O322" ca="1" si="99">SKEW(OFFSET(F259,0,0,$S$3,1))*$AC$25</f>
        <v>-0.16101301476732355</v>
      </c>
      <c r="P259">
        <f t="shared" ref="P259:P322" ca="1" si="100">KURT(OFFSET(F259,0,0,$S$3,1))*$AB$25</f>
        <v>-0.1799171479835886</v>
      </c>
      <c r="Q259">
        <f t="shared" ref="Q259:Q322" ca="1" si="101">PERCENTILE(OFFSET(F259,0,0,$S$3,1), 0.95)/ABS(PERCENTILE(OFFSET(F259,0,0,$S$3,1), 0.05))*$AA$25</f>
        <v>0.86932435397797436</v>
      </c>
      <c r="R259">
        <f t="shared" ref="R259:R322" ca="1" si="102">PERCENTILE(OFFSET(F259,0,0,$S$3,1), 0.75)/ABS(PERCENTILE(OFFSET(F259,0,0,$S$3,1), 0.25))*$Z$25</f>
        <v>0.97075914484049231</v>
      </c>
      <c r="T259">
        <f t="shared" ref="T259:T322" si="103">E259+1</f>
        <v>1.0100038216846885</v>
      </c>
      <c r="U259" s="6">
        <f t="shared" ref="U259:U322" ca="1" si="104">PRODUCT(OFFSET(T259,0,0,$S$6,1))</f>
        <v>1.0117096018735361</v>
      </c>
      <c r="V259">
        <f t="shared" ref="V259:V322" ca="1" si="105">OFFSET(G259,$S$6,0) * $AK$2+ OFFSET(H259,$S$6,0)  * $AJ$2 + OFFSET(I259,$S$6,0) * $AI$2 + OFFSET(J259,$S$6,0) * $AH$2 + OFFSET(K259,$S$6,0) * $AG$2 + OFFSET(L259,$S$6,0) * $AF$2 + OFFSET(M259,$S$6,0) * $AE$2 + OFFSET(N259,$S$6,0) * $AD$2 + OFFSET(O259,$S$6,0) * $AC$2 + OFFSET(P259,$S$6,0) * $AB$2 +  OFFSET(Q259,$S$6,0) * $AA$2 + OFFSET(R259,$S$6,0)  * $Z$2  + AL$2</f>
        <v>1.0073064615669911</v>
      </c>
      <c r="W259">
        <v>0.95613223388505575</v>
      </c>
      <c r="X259" t="b">
        <f t="shared" ref="X259:X322" ca="1" si="106">OR(AND(U259&gt;1, W259&gt;1), AND(U259&lt;1, W259&lt;1))</f>
        <v>0</v>
      </c>
      <c r="AS259">
        <v>0.15162401624977709</v>
      </c>
      <c r="AT259">
        <v>999</v>
      </c>
      <c r="AU259">
        <v>999</v>
      </c>
      <c r="AV259">
        <v>999</v>
      </c>
      <c r="AW259">
        <v>999</v>
      </c>
      <c r="AX259">
        <v>3.8062142570674067</v>
      </c>
      <c r="AY259">
        <v>999</v>
      </c>
      <c r="AZ259">
        <v>-0.41998355949497856</v>
      </c>
      <c r="BJ259" t="b">
        <f t="shared" si="87"/>
        <v>1</v>
      </c>
      <c r="BK259" t="b">
        <f t="shared" ca="1" si="88"/>
        <v>0</v>
      </c>
    </row>
    <row r="260" spans="1:63" x14ac:dyDescent="0.45">
      <c r="A260" s="1">
        <v>44859</v>
      </c>
      <c r="B260">
        <v>222.41499999999999</v>
      </c>
      <c r="C260" s="1">
        <v>44859</v>
      </c>
      <c r="D260">
        <v>384.92</v>
      </c>
      <c r="E260">
        <f t="shared" si="89"/>
        <v>5.2852071005917121E-2</v>
      </c>
      <c r="F260" s="4">
        <f t="shared" si="90"/>
        <v>1.5968538020957088E-2</v>
      </c>
      <c r="G260">
        <f t="shared" ca="1" si="91"/>
        <v>-1.3236948202856162E-3</v>
      </c>
      <c r="H260">
        <f t="shared" ca="1" si="92"/>
        <v>4.0643685315492346E-2</v>
      </c>
      <c r="I260">
        <f t="shared" ca="1" si="93"/>
        <v>-0.23499056882659203</v>
      </c>
      <c r="J260">
        <f t="shared" ca="1" si="94"/>
        <v>0.24570767548826877</v>
      </c>
      <c r="K260">
        <f t="shared" ca="1" si="95"/>
        <v>0.82878621117508067</v>
      </c>
      <c r="L260">
        <f t="shared" ca="1" si="96"/>
        <v>0.88866554342353521</v>
      </c>
      <c r="M260">
        <f t="shared" ca="1" si="97"/>
        <v>-8.3564250260596395E-4</v>
      </c>
      <c r="N260">
        <f t="shared" ca="1" si="98"/>
        <v>1.5548621311707086E-2</v>
      </c>
      <c r="O260">
        <f t="shared" ca="1" si="99"/>
        <v>-0.16696542046166124</v>
      </c>
      <c r="P260">
        <f t="shared" ca="1" si="100"/>
        <v>-0.17343481180895859</v>
      </c>
      <c r="Q260">
        <f t="shared" ca="1" si="101"/>
        <v>0.86932435397797436</v>
      </c>
      <c r="R260">
        <f t="shared" ca="1" si="102"/>
        <v>0.97075914484049231</v>
      </c>
      <c r="T260">
        <f t="shared" si="103"/>
        <v>1.052852071005917</v>
      </c>
      <c r="U260" s="6">
        <f t="shared" ca="1" si="104"/>
        <v>1.0101049093964303</v>
      </c>
      <c r="V260">
        <f t="shared" ca="1" si="105"/>
        <v>0.97026721065369304</v>
      </c>
      <c r="W260">
        <v>1.0281588920534581</v>
      </c>
      <c r="X260" t="b">
        <f t="shared" ca="1" si="106"/>
        <v>1</v>
      </c>
      <c r="AS260">
        <v>0.29478006333905499</v>
      </c>
      <c r="AT260">
        <v>999</v>
      </c>
      <c r="AU260">
        <v>999</v>
      </c>
      <c r="AV260">
        <v>5.1457913559067592</v>
      </c>
      <c r="AW260">
        <v>3.0041037984321135</v>
      </c>
      <c r="AX260">
        <v>5.9977424300048581</v>
      </c>
      <c r="AY260">
        <v>-3.4731122945276032</v>
      </c>
      <c r="AZ260">
        <v>-4.1663675441928305</v>
      </c>
      <c r="BJ260" t="b">
        <f t="shared" si="87"/>
        <v>1</v>
      </c>
      <c r="BK260" t="b">
        <f t="shared" ca="1" si="88"/>
        <v>1</v>
      </c>
    </row>
    <row r="261" spans="1:63" x14ac:dyDescent="0.45">
      <c r="A261" s="1">
        <v>44858</v>
      </c>
      <c r="B261">
        <v>211.25</v>
      </c>
      <c r="C261" s="1">
        <v>44858</v>
      </c>
      <c r="D261">
        <v>378.87</v>
      </c>
      <c r="E261">
        <f t="shared" si="89"/>
        <v>-1.4875955978362235E-2</v>
      </c>
      <c r="F261" s="4">
        <f t="shared" si="90"/>
        <v>1.2236501108765887E-2</v>
      </c>
      <c r="G261">
        <f t="shared" ca="1" si="91"/>
        <v>-1.7651881987020713E-3</v>
      </c>
      <c r="H261">
        <f t="shared" ca="1" si="92"/>
        <v>4.0531661310086141E-2</v>
      </c>
      <c r="I261">
        <f t="shared" ca="1" si="93"/>
        <v>-0.21908526753653471</v>
      </c>
      <c r="J261">
        <f t="shared" ca="1" si="94"/>
        <v>0.25784562519485199</v>
      </c>
      <c r="K261">
        <f t="shared" ca="1" si="95"/>
        <v>0.82878621117508067</v>
      </c>
      <c r="L261">
        <f t="shared" ca="1" si="96"/>
        <v>0.83775553738350939</v>
      </c>
      <c r="M261">
        <f t="shared" ca="1" si="97"/>
        <v>-9.3525268426949677E-4</v>
      </c>
      <c r="N261">
        <f t="shared" ca="1" si="98"/>
        <v>1.5504177005409618E-2</v>
      </c>
      <c r="O261">
        <f t="shared" ca="1" si="99"/>
        <v>-0.15544028967242618</v>
      </c>
      <c r="P261">
        <f t="shared" ca="1" si="100"/>
        <v>-0.15182705100435001</v>
      </c>
      <c r="Q261">
        <f t="shared" ca="1" si="101"/>
        <v>0.86932435397797436</v>
      </c>
      <c r="R261">
        <f t="shared" ca="1" si="102"/>
        <v>0.93452635671097095</v>
      </c>
      <c r="T261">
        <f t="shared" si="103"/>
        <v>0.98512404402163778</v>
      </c>
      <c r="U261" s="6">
        <f t="shared" ca="1" si="104"/>
        <v>0.96307271483929791</v>
      </c>
      <c r="V261">
        <f t="shared" ca="1" si="105"/>
        <v>0.98366611375722568</v>
      </c>
      <c r="W261">
        <v>1.0496579722446895</v>
      </c>
      <c r="X261" t="b">
        <f t="shared" ca="1" si="106"/>
        <v>0</v>
      </c>
      <c r="AS261">
        <v>0.31214031316139562</v>
      </c>
      <c r="AT261">
        <v>999</v>
      </c>
      <c r="AU261">
        <v>999</v>
      </c>
      <c r="AV261">
        <v>5.8471679272676615</v>
      </c>
      <c r="AW261">
        <v>3.2613559160380032</v>
      </c>
      <c r="AX261">
        <v>6.2002068467160383</v>
      </c>
      <c r="AY261">
        <v>-3.9568917688836418</v>
      </c>
      <c r="AZ261">
        <v>-4.4326352840656007</v>
      </c>
      <c r="BJ261" t="b">
        <f t="shared" si="87"/>
        <v>1</v>
      </c>
      <c r="BK261" t="b">
        <f t="shared" ca="1" si="88"/>
        <v>0</v>
      </c>
    </row>
    <row r="262" spans="1:63" x14ac:dyDescent="0.45">
      <c r="A262" s="1">
        <v>44855</v>
      </c>
      <c r="B262">
        <v>214.44</v>
      </c>
      <c r="C262" s="1">
        <v>44855</v>
      </c>
      <c r="D262">
        <v>374.29</v>
      </c>
      <c r="E262">
        <f t="shared" si="89"/>
        <v>3.454264762639906E-2</v>
      </c>
      <c r="F262" s="4">
        <f t="shared" si="90"/>
        <v>2.4301469582113228E-2</v>
      </c>
      <c r="G262">
        <f t="shared" ca="1" si="91"/>
        <v>-1.7984297219557741E-3</v>
      </c>
      <c r="H262">
        <f t="shared" ca="1" si="92"/>
        <v>4.0545191974298747E-2</v>
      </c>
      <c r="I262">
        <f t="shared" ca="1" si="93"/>
        <v>-0.21679742344045796</v>
      </c>
      <c r="J262">
        <f t="shared" ca="1" si="94"/>
        <v>0.25294385673185449</v>
      </c>
      <c r="K262">
        <f t="shared" ca="1" si="95"/>
        <v>0.82878621117508067</v>
      </c>
      <c r="L262">
        <f t="shared" ca="1" si="96"/>
        <v>0.83775553738350939</v>
      </c>
      <c r="M262">
        <f t="shared" ca="1" si="97"/>
        <v>-1.0011322306775817E-3</v>
      </c>
      <c r="N262">
        <f t="shared" ca="1" si="98"/>
        <v>1.5475894420496428E-2</v>
      </c>
      <c r="O262">
        <f t="shared" ca="1" si="99"/>
        <v>-0.14652374669515467</v>
      </c>
      <c r="P262">
        <f t="shared" ca="1" si="100"/>
        <v>-0.13598935010384849</v>
      </c>
      <c r="Q262">
        <f t="shared" ca="1" si="101"/>
        <v>0.86932435397797436</v>
      </c>
      <c r="R262">
        <f t="shared" ca="1" si="102"/>
        <v>0.91927595201649914</v>
      </c>
      <c r="T262">
        <f t="shared" si="103"/>
        <v>1.034542647626399</v>
      </c>
      <c r="U262" s="6">
        <f t="shared" ca="1" si="104"/>
        <v>1.0460998097468168</v>
      </c>
      <c r="V262">
        <f t="shared" ca="1" si="105"/>
        <v>1.0201161583676726</v>
      </c>
      <c r="W262">
        <v>1.0828763520026983</v>
      </c>
      <c r="X262" t="b">
        <f t="shared" ca="1" si="106"/>
        <v>1</v>
      </c>
      <c r="AS262">
        <v>0.3113010958476401</v>
      </c>
      <c r="AT262">
        <v>999</v>
      </c>
      <c r="AU262">
        <v>999</v>
      </c>
      <c r="AV262">
        <v>6.0113751077858799</v>
      </c>
      <c r="AW262">
        <v>3.3428754129061051</v>
      </c>
      <c r="AX262">
        <v>6.0717270714383345</v>
      </c>
      <c r="AY262">
        <v>-3.8863531948894332</v>
      </c>
      <c r="AZ262">
        <v>-4.3853270692390875</v>
      </c>
      <c r="BJ262" t="b">
        <f t="shared" si="87"/>
        <v>1</v>
      </c>
      <c r="BK262" t="b">
        <f t="shared" ca="1" si="88"/>
        <v>1</v>
      </c>
    </row>
    <row r="263" spans="1:63" x14ac:dyDescent="0.45">
      <c r="A263" s="1">
        <v>44854</v>
      </c>
      <c r="B263">
        <v>207.28</v>
      </c>
      <c r="C263" s="1">
        <v>44854</v>
      </c>
      <c r="D263">
        <v>365.41</v>
      </c>
      <c r="E263">
        <f t="shared" si="89"/>
        <v>-6.6474509097459875E-2</v>
      </c>
      <c r="F263" s="4">
        <f t="shared" si="90"/>
        <v>-8.3853459972862282E-3</v>
      </c>
      <c r="G263">
        <f t="shared" ca="1" si="91"/>
        <v>-2.2384989153796954E-3</v>
      </c>
      <c r="H263">
        <f t="shared" ca="1" si="92"/>
        <v>4.0626332156688295E-2</v>
      </c>
      <c r="I263">
        <f t="shared" ca="1" si="93"/>
        <v>-0.19675245460097593</v>
      </c>
      <c r="J263">
        <f t="shared" ca="1" si="94"/>
        <v>0.22748372455510157</v>
      </c>
      <c r="K263">
        <f t="shared" ca="1" si="95"/>
        <v>0.82878621117508067</v>
      </c>
      <c r="L263">
        <f t="shared" ca="1" si="96"/>
        <v>0.80295309587011821</v>
      </c>
      <c r="M263">
        <f t="shared" ca="1" si="97"/>
        <v>-1.218650467500304E-3</v>
      </c>
      <c r="N263">
        <f t="shared" ca="1" si="98"/>
        <v>1.5424113451757789E-2</v>
      </c>
      <c r="O263">
        <f t="shared" ca="1" si="99"/>
        <v>-0.13601561486418109</v>
      </c>
      <c r="P263">
        <f t="shared" ca="1" si="100"/>
        <v>-0.13324022937324553</v>
      </c>
      <c r="Q263">
        <f t="shared" ca="1" si="101"/>
        <v>0.86932435397797436</v>
      </c>
      <c r="R263">
        <f t="shared" ca="1" si="102"/>
        <v>0.89374257060076223</v>
      </c>
      <c r="T263">
        <f t="shared" si="103"/>
        <v>0.93352549090254011</v>
      </c>
      <c r="U263" s="6">
        <f t="shared" ca="1" si="104"/>
        <v>0.93487281255637733</v>
      </c>
      <c r="V263">
        <f t="shared" ca="1" si="105"/>
        <v>0.9741022093233872</v>
      </c>
      <c r="W263">
        <v>1.0813717928235973</v>
      </c>
      <c r="X263" t="b">
        <f t="shared" ca="1" si="106"/>
        <v>0</v>
      </c>
      <c r="AS263">
        <v>0.35247467756915307</v>
      </c>
      <c r="AT263">
        <v>999</v>
      </c>
      <c r="AU263">
        <v>999</v>
      </c>
      <c r="AV263">
        <v>6.7868109482133372</v>
      </c>
      <c r="AW263">
        <v>3.7920512917037774</v>
      </c>
      <c r="AX263">
        <v>6.5345913348115721</v>
      </c>
      <c r="AY263">
        <v>-4.5350348698120273</v>
      </c>
      <c r="AZ263">
        <v>-4.8562593046088205</v>
      </c>
      <c r="BJ263" t="b">
        <f t="shared" si="87"/>
        <v>1</v>
      </c>
      <c r="BK263" t="b">
        <f t="shared" ca="1" si="88"/>
        <v>0</v>
      </c>
    </row>
    <row r="264" spans="1:63" x14ac:dyDescent="0.45">
      <c r="A264" s="1">
        <v>44853</v>
      </c>
      <c r="B264">
        <v>222.04</v>
      </c>
      <c r="C264" s="1">
        <v>44853</v>
      </c>
      <c r="D264">
        <v>368.5</v>
      </c>
      <c r="E264">
        <f t="shared" si="89"/>
        <v>8.4018347790544273E-3</v>
      </c>
      <c r="F264" s="4">
        <f t="shared" si="90"/>
        <v>-7.0864656589335155E-3</v>
      </c>
      <c r="G264">
        <f t="shared" ca="1" si="91"/>
        <v>-2.1152895421713376E-3</v>
      </c>
      <c r="H264">
        <f t="shared" ca="1" si="92"/>
        <v>4.0467597838677746E-2</v>
      </c>
      <c r="I264">
        <f t="shared" ca="1" si="93"/>
        <v>-0.19275594413821795</v>
      </c>
      <c r="J264">
        <f t="shared" ca="1" si="94"/>
        <v>0.25334832186822887</v>
      </c>
      <c r="K264">
        <f t="shared" ca="1" si="95"/>
        <v>0.82878621117508067</v>
      </c>
      <c r="L264">
        <f t="shared" ca="1" si="96"/>
        <v>0.80295309587011821</v>
      </c>
      <c r="M264">
        <f t="shared" ca="1" si="97"/>
        <v>-1.1783983936860276E-3</v>
      </c>
      <c r="N264">
        <f t="shared" ca="1" si="98"/>
        <v>1.5415818943775035E-2</v>
      </c>
      <c r="O264">
        <f t="shared" ca="1" si="99"/>
        <v>-0.14363673743407177</v>
      </c>
      <c r="P264">
        <f t="shared" ca="1" si="100"/>
        <v>-0.12572017613272468</v>
      </c>
      <c r="Q264">
        <f t="shared" ca="1" si="101"/>
        <v>0.86932435397797436</v>
      </c>
      <c r="R264">
        <f t="shared" ca="1" si="102"/>
        <v>0.89374257060076223</v>
      </c>
      <c r="T264">
        <f t="shared" si="103"/>
        <v>1.0084018347790544</v>
      </c>
      <c r="U264" s="6">
        <f t="shared" ca="1" si="104"/>
        <v>1.0220953783833548</v>
      </c>
      <c r="V264">
        <f t="shared" ca="1" si="105"/>
        <v>1.0072449175394671</v>
      </c>
      <c r="W264">
        <v>1.1164750332691034</v>
      </c>
      <c r="X264" t="b">
        <f t="shared" ca="1" si="106"/>
        <v>1</v>
      </c>
      <c r="AS264">
        <v>0.36160948553602307</v>
      </c>
      <c r="AT264">
        <v>999</v>
      </c>
      <c r="AU264">
        <v>999</v>
      </c>
      <c r="AV264">
        <v>6.8622239008841994</v>
      </c>
      <c r="AW264">
        <v>3.9386828278643664</v>
      </c>
      <c r="AX264">
        <v>6.6846388230748071</v>
      </c>
      <c r="AY264">
        <v>-4.6835255440305126</v>
      </c>
      <c r="AZ264">
        <v>-5.047147413161464</v>
      </c>
      <c r="BJ264" t="b">
        <f t="shared" si="87"/>
        <v>1</v>
      </c>
      <c r="BK264" t="b">
        <f t="shared" ca="1" si="88"/>
        <v>1</v>
      </c>
    </row>
    <row r="265" spans="1:63" x14ac:dyDescent="0.45">
      <c r="A265" s="1">
        <v>44852</v>
      </c>
      <c r="B265">
        <v>220.19</v>
      </c>
      <c r="C265" s="1">
        <v>44852</v>
      </c>
      <c r="D265">
        <v>371.13</v>
      </c>
      <c r="E265">
        <f t="shared" si="89"/>
        <v>3.8294962388876383E-3</v>
      </c>
      <c r="F265" s="4">
        <f t="shared" si="90"/>
        <v>1.1749631972084408E-2</v>
      </c>
      <c r="G265">
        <f t="shared" ca="1" si="91"/>
        <v>-1.4807104006177932E-3</v>
      </c>
      <c r="H265">
        <f t="shared" ca="1" si="92"/>
        <v>4.1612252793019562E-2</v>
      </c>
      <c r="I265">
        <f t="shared" ca="1" si="93"/>
        <v>-4.0718988198987317E-2</v>
      </c>
      <c r="J265">
        <f t="shared" ca="1" si="94"/>
        <v>0.52232340525059984</v>
      </c>
      <c r="K265">
        <f t="shared" ca="1" si="95"/>
        <v>0.8864011545903504</v>
      </c>
      <c r="L265">
        <f t="shared" ca="1" si="96"/>
        <v>0.81833474378961912</v>
      </c>
      <c r="M265">
        <f t="shared" ca="1" si="97"/>
        <v>-1.1140162590918819E-3</v>
      </c>
      <c r="N265">
        <f t="shared" ca="1" si="98"/>
        <v>1.5417908896488494E-2</v>
      </c>
      <c r="O265">
        <f t="shared" ca="1" si="99"/>
        <v>-0.15547811781177726</v>
      </c>
      <c r="P265">
        <f t="shared" ca="1" si="100"/>
        <v>-0.12465681826464348</v>
      </c>
      <c r="Q265">
        <f t="shared" ca="1" si="101"/>
        <v>0.86932435397797436</v>
      </c>
      <c r="R265">
        <f t="shared" ca="1" si="102"/>
        <v>0.89374257060076223</v>
      </c>
      <c r="T265">
        <f t="shared" si="103"/>
        <v>1.0038294962388876</v>
      </c>
      <c r="U265" s="6">
        <f t="shared" ca="1" si="104"/>
        <v>1.0170438799076211</v>
      </c>
      <c r="V265">
        <f t="shared" ca="1" si="105"/>
        <v>0.99592241742674725</v>
      </c>
      <c r="W265">
        <v>1.1110654030546394</v>
      </c>
      <c r="X265" t="b">
        <f t="shared" ca="1" si="106"/>
        <v>1</v>
      </c>
      <c r="AS265">
        <v>0.36135665544706885</v>
      </c>
      <c r="AT265">
        <v>999</v>
      </c>
      <c r="AU265">
        <v>999</v>
      </c>
      <c r="AV265">
        <v>6.7350240029563135</v>
      </c>
      <c r="AW265">
        <v>3.9695343397133929</v>
      </c>
      <c r="AX265">
        <v>6.739254962131846</v>
      </c>
      <c r="AY265">
        <v>-4.7298177222926094</v>
      </c>
      <c r="AZ265">
        <v>-5.1564506764529749</v>
      </c>
      <c r="BJ265" t="b">
        <f t="shared" si="87"/>
        <v>1</v>
      </c>
      <c r="BK265" t="b">
        <f t="shared" ca="1" si="88"/>
        <v>1</v>
      </c>
    </row>
    <row r="266" spans="1:63" x14ac:dyDescent="0.45">
      <c r="A266" s="1">
        <v>44851</v>
      </c>
      <c r="B266">
        <v>219.35</v>
      </c>
      <c r="C266" s="1">
        <v>44851</v>
      </c>
      <c r="D266">
        <v>366.82</v>
      </c>
      <c r="E266">
        <f t="shared" si="89"/>
        <v>7.0052197668178856E-2</v>
      </c>
      <c r="F266" s="4">
        <f t="shared" si="90"/>
        <v>2.5696949361071492E-2</v>
      </c>
      <c r="G266">
        <f t="shared" ca="1" si="91"/>
        <v>-1.563202239679824E-3</v>
      </c>
      <c r="H266">
        <f t="shared" ca="1" si="92"/>
        <v>4.1618025701490619E-2</v>
      </c>
      <c r="I266">
        <f t="shared" ca="1" si="93"/>
        <v>-3.4804778784509612E-2</v>
      </c>
      <c r="J266">
        <f t="shared" ca="1" si="94"/>
        <v>0.52006390600511576</v>
      </c>
      <c r="K266">
        <f t="shared" ca="1" si="95"/>
        <v>0.8864011545903504</v>
      </c>
      <c r="L266">
        <f t="shared" ca="1" si="96"/>
        <v>0.81833474378961912</v>
      </c>
      <c r="M266">
        <f t="shared" ca="1" si="97"/>
        <v>-1.1853652254039172E-3</v>
      </c>
      <c r="N266">
        <f t="shared" ca="1" si="98"/>
        <v>1.539107564563107E-2</v>
      </c>
      <c r="O266">
        <f t="shared" ca="1" si="99"/>
        <v>-0.14521226363237749</v>
      </c>
      <c r="P266">
        <f t="shared" ca="1" si="100"/>
        <v>-0.10963948405281077</v>
      </c>
      <c r="Q266">
        <f t="shared" ca="1" si="101"/>
        <v>0.86932435397797436</v>
      </c>
      <c r="R266">
        <f t="shared" ca="1" si="102"/>
        <v>0.85720045824358937</v>
      </c>
      <c r="T266">
        <f t="shared" si="103"/>
        <v>1.0700521976681789</v>
      </c>
      <c r="U266" s="6">
        <f t="shared" ca="1" si="104"/>
        <v>0.98380875493362052</v>
      </c>
      <c r="V266">
        <f t="shared" ca="1" si="105"/>
        <v>0.98182563393979805</v>
      </c>
      <c r="W266">
        <v>1.0619529467590194</v>
      </c>
      <c r="X266" t="b">
        <f t="shared" ca="1" si="106"/>
        <v>0</v>
      </c>
      <c r="AS266">
        <v>0.34022421528786334</v>
      </c>
      <c r="AT266">
        <v>999</v>
      </c>
      <c r="AU266">
        <v>999</v>
      </c>
      <c r="AV266">
        <v>6.3535138424563327</v>
      </c>
      <c r="AW266">
        <v>3.741792346472022</v>
      </c>
      <c r="AX266">
        <v>6.664393841197545</v>
      </c>
      <c r="AY266">
        <v>-4.7267024121831271</v>
      </c>
      <c r="AZ266">
        <v>-5.1466039315818275</v>
      </c>
      <c r="BJ266" t="b">
        <f t="shared" si="87"/>
        <v>1</v>
      </c>
      <c r="BK266" t="b">
        <f t="shared" ca="1" si="88"/>
        <v>0</v>
      </c>
    </row>
    <row r="267" spans="1:63" x14ac:dyDescent="0.45">
      <c r="A267" s="1">
        <v>44848</v>
      </c>
      <c r="B267">
        <v>204.99</v>
      </c>
      <c r="C267" s="1">
        <v>44848</v>
      </c>
      <c r="D267">
        <v>357.63</v>
      </c>
      <c r="E267">
        <f t="shared" si="89"/>
        <v>-7.5455529496662413E-2</v>
      </c>
      <c r="F267" s="4">
        <f t="shared" si="90"/>
        <v>-2.278875317648996E-2</v>
      </c>
      <c r="G267">
        <f t="shared" ca="1" si="91"/>
        <v>-1.9864201443584835E-3</v>
      </c>
      <c r="H267">
        <f t="shared" ca="1" si="92"/>
        <v>4.1315375963657863E-2</v>
      </c>
      <c r="I267">
        <f t="shared" ca="1" si="93"/>
        <v>-3.1128149903308262E-2</v>
      </c>
      <c r="J267">
        <f t="shared" ca="1" si="94"/>
        <v>0.57704814773294455</v>
      </c>
      <c r="K267">
        <f t="shared" ca="1" si="95"/>
        <v>0.82878621117508067</v>
      </c>
      <c r="L267">
        <f t="shared" ca="1" si="96"/>
        <v>0.80295309587011821</v>
      </c>
      <c r="M267">
        <f t="shared" ca="1" si="97"/>
        <v>-1.3276725406938194E-3</v>
      </c>
      <c r="N267">
        <f t="shared" ca="1" si="98"/>
        <v>1.5272391304327945E-2</v>
      </c>
      <c r="O267">
        <f t="shared" ca="1" si="99"/>
        <v>-0.14807419911009309</v>
      </c>
      <c r="P267">
        <f t="shared" ca="1" si="100"/>
        <v>-7.3183147080149169E-2</v>
      </c>
      <c r="Q267">
        <f t="shared" ca="1" si="101"/>
        <v>0.85808266951293022</v>
      </c>
      <c r="R267">
        <f t="shared" ca="1" si="102"/>
        <v>0.82692245435092726</v>
      </c>
      <c r="T267">
        <f t="shared" si="103"/>
        <v>0.92454447050333755</v>
      </c>
      <c r="U267" s="6">
        <f t="shared" ca="1" si="104"/>
        <v>0.91894920876854802</v>
      </c>
      <c r="V267">
        <f t="shared" ca="1" si="105"/>
        <v>0.96808411970889152</v>
      </c>
      <c r="W267">
        <v>1.0440931768540294</v>
      </c>
      <c r="X267" t="b">
        <f t="shared" ca="1" si="106"/>
        <v>0</v>
      </c>
      <c r="AS267">
        <v>0.34625959218012614</v>
      </c>
      <c r="AT267">
        <v>999</v>
      </c>
      <c r="AU267">
        <v>999</v>
      </c>
      <c r="AV267">
        <v>6.4682972575617503</v>
      </c>
      <c r="AW267">
        <v>3.851783653164341</v>
      </c>
      <c r="AX267">
        <v>6.8642150694155273</v>
      </c>
      <c r="AY267">
        <v>-4.9920606326386308</v>
      </c>
      <c r="AZ267">
        <v>-5.3383911598529892</v>
      </c>
      <c r="BJ267" t="b">
        <f t="shared" si="87"/>
        <v>1</v>
      </c>
      <c r="BK267" t="b">
        <f t="shared" ca="1" si="88"/>
        <v>0</v>
      </c>
    </row>
    <row r="268" spans="1:63" x14ac:dyDescent="0.45">
      <c r="A268" s="1">
        <v>44847</v>
      </c>
      <c r="B268">
        <v>221.72</v>
      </c>
      <c r="C268" s="1">
        <v>44847</v>
      </c>
      <c r="D268">
        <v>365.97</v>
      </c>
      <c r="E268">
        <f t="shared" si="89"/>
        <v>2.0622353157797778E-2</v>
      </c>
      <c r="F268" s="4">
        <f t="shared" si="90"/>
        <v>2.6391070226609897E-2</v>
      </c>
      <c r="G268">
        <f t="shared" ca="1" si="91"/>
        <v>-1.619615923311753E-3</v>
      </c>
      <c r="H268">
        <f t="shared" ca="1" si="92"/>
        <v>4.098415495622313E-2</v>
      </c>
      <c r="I268">
        <f t="shared" ca="1" si="93"/>
        <v>-2.9770566802376427E-2</v>
      </c>
      <c r="J268">
        <f t="shared" ca="1" si="94"/>
        <v>0.64270060187753986</v>
      </c>
      <c r="K268">
        <f t="shared" ca="1" si="95"/>
        <v>0.83762994632650423</v>
      </c>
      <c r="L268">
        <f t="shared" ca="1" si="96"/>
        <v>0.82200885081491581</v>
      </c>
      <c r="M268">
        <f t="shared" ca="1" si="97"/>
        <v>-1.2073329017222667E-3</v>
      </c>
      <c r="N268">
        <f t="shared" ca="1" si="98"/>
        <v>1.519707434133228E-2</v>
      </c>
      <c r="O268">
        <f t="shared" ca="1" si="99"/>
        <v>-0.15996228406755186</v>
      </c>
      <c r="P268">
        <f t="shared" ca="1" si="100"/>
        <v>-2.9625869738397981E-2</v>
      </c>
      <c r="Q268">
        <f t="shared" ca="1" si="101"/>
        <v>0.85808266951293022</v>
      </c>
      <c r="R268">
        <f t="shared" ca="1" si="102"/>
        <v>0.84063156976117015</v>
      </c>
      <c r="T268">
        <f t="shared" si="103"/>
        <v>1.0206223531577978</v>
      </c>
      <c r="U268" s="6">
        <f t="shared" ca="1" si="104"/>
        <v>0.93108806114307308</v>
      </c>
      <c r="V268">
        <f t="shared" ca="1" si="105"/>
        <v>0.92454778176986074</v>
      </c>
      <c r="W268">
        <v>0.96869883997060935</v>
      </c>
      <c r="X268" t="b">
        <f t="shared" ca="1" si="106"/>
        <v>1</v>
      </c>
      <c r="AS268">
        <v>0.34569310350880778</v>
      </c>
      <c r="AT268">
        <v>999</v>
      </c>
      <c r="AU268">
        <v>999</v>
      </c>
      <c r="AV268">
        <v>6.3383007253767518</v>
      </c>
      <c r="AW268">
        <v>3.7967364901764982</v>
      </c>
      <c r="AX268">
        <v>6.8993407285314614</v>
      </c>
      <c r="AY268">
        <v>-5.0821671828857315</v>
      </c>
      <c r="AZ268">
        <v>-5.3743568054313142</v>
      </c>
      <c r="BJ268" t="b">
        <f t="shared" si="87"/>
        <v>1</v>
      </c>
      <c r="BK268" t="b">
        <f t="shared" ca="1" si="88"/>
        <v>1</v>
      </c>
    </row>
    <row r="269" spans="1:63" x14ac:dyDescent="0.45">
      <c r="A269" s="1">
        <v>44846</v>
      </c>
      <c r="B269">
        <v>217.24</v>
      </c>
      <c r="C269" s="1">
        <v>44846</v>
      </c>
      <c r="D269">
        <v>356.56</v>
      </c>
      <c r="E269">
        <f t="shared" si="89"/>
        <v>3.4180138568129749E-3</v>
      </c>
      <c r="F269" s="4">
        <f t="shared" si="90"/>
        <v>-3.2984849331917226E-3</v>
      </c>
      <c r="G269">
        <f t="shared" ca="1" si="91"/>
        <v>-1.7477381786975298E-3</v>
      </c>
      <c r="H269">
        <f t="shared" ca="1" si="92"/>
        <v>4.095431597941733E-2</v>
      </c>
      <c r="I269">
        <f t="shared" ca="1" si="93"/>
        <v>-2.1171535734850481E-2</v>
      </c>
      <c r="J269">
        <f t="shared" ca="1" si="94"/>
        <v>0.65268075560071459</v>
      </c>
      <c r="K269">
        <f t="shared" ca="1" si="95"/>
        <v>0.83762994632650423</v>
      </c>
      <c r="L269">
        <f t="shared" ca="1" si="96"/>
        <v>0.82200885081491581</v>
      </c>
      <c r="M269">
        <f t="shared" ca="1" si="97"/>
        <v>-1.3433740760963172E-3</v>
      </c>
      <c r="N269">
        <f t="shared" ca="1" si="98"/>
        <v>1.5070027755618472E-2</v>
      </c>
      <c r="O269">
        <f t="shared" ca="1" si="99"/>
        <v>-0.16786201492996466</v>
      </c>
      <c r="P269">
        <f t="shared" ca="1" si="100"/>
        <v>8.4349505000687053E-3</v>
      </c>
      <c r="Q269">
        <f t="shared" ca="1" si="101"/>
        <v>0.84810959295758481</v>
      </c>
      <c r="R269">
        <f t="shared" ca="1" si="102"/>
        <v>0.81517893138040287</v>
      </c>
      <c r="T269">
        <f t="shared" si="103"/>
        <v>1.003418013856813</v>
      </c>
      <c r="U269" s="6">
        <f t="shared" ca="1" si="104"/>
        <v>0.90212200490012862</v>
      </c>
      <c r="V269">
        <f t="shared" ca="1" si="105"/>
        <v>0.92897355133906456</v>
      </c>
      <c r="W269">
        <v>0.98873819565059273</v>
      </c>
      <c r="X269" t="b">
        <f t="shared" ca="1" si="106"/>
        <v>1</v>
      </c>
      <c r="AS269">
        <v>0.35716552685744662</v>
      </c>
      <c r="AT269">
        <v>999</v>
      </c>
      <c r="AU269">
        <v>999</v>
      </c>
      <c r="AV269">
        <v>6.4258911201699984</v>
      </c>
      <c r="AW269">
        <v>3.87272523379692</v>
      </c>
      <c r="AX269">
        <v>6.988296139156831</v>
      </c>
      <c r="AY269">
        <v>-5.2231398942414504</v>
      </c>
      <c r="AZ269">
        <v>-5.4324274271297455</v>
      </c>
      <c r="BJ269" t="b">
        <f t="shared" si="87"/>
        <v>1</v>
      </c>
      <c r="BK269" t="b">
        <f t="shared" ca="1" si="88"/>
        <v>1</v>
      </c>
    </row>
    <row r="270" spans="1:63" x14ac:dyDescent="0.45">
      <c r="A270" s="1">
        <v>44845</v>
      </c>
      <c r="B270">
        <v>216.5</v>
      </c>
      <c r="C270" s="1">
        <v>44845</v>
      </c>
      <c r="D270">
        <v>357.74</v>
      </c>
      <c r="E270">
        <f t="shared" si="89"/>
        <v>-2.8973806960889879E-2</v>
      </c>
      <c r="F270" s="4">
        <f t="shared" si="90"/>
        <v>-6.3329815010276453E-3</v>
      </c>
      <c r="G270">
        <f t="shared" ca="1" si="91"/>
        <v>-1.6385865668585215E-3</v>
      </c>
      <c r="H270">
        <f t="shared" ca="1" si="92"/>
        <v>4.0997221605533603E-2</v>
      </c>
      <c r="I270">
        <f t="shared" ca="1" si="93"/>
        <v>-2.7733957996434945E-2</v>
      </c>
      <c r="J270">
        <f t="shared" ca="1" si="94"/>
        <v>0.63845254607988178</v>
      </c>
      <c r="K270">
        <f t="shared" ca="1" si="95"/>
        <v>0.83762994632650423</v>
      </c>
      <c r="L270">
        <f t="shared" ca="1" si="96"/>
        <v>0.83775553738350939</v>
      </c>
      <c r="M270">
        <f t="shared" ca="1" si="97"/>
        <v>-1.2561209204486341E-3</v>
      </c>
      <c r="N270">
        <f t="shared" ca="1" si="98"/>
        <v>1.5109118622113638E-2</v>
      </c>
      <c r="O270">
        <f t="shared" ca="1" si="99"/>
        <v>-0.17857592042593065</v>
      </c>
      <c r="P270">
        <f t="shared" ca="1" si="100"/>
        <v>-1.3319819961870927E-2</v>
      </c>
      <c r="Q270">
        <f t="shared" ca="1" si="101"/>
        <v>0.84810959295758481</v>
      </c>
      <c r="R270">
        <f t="shared" ca="1" si="102"/>
        <v>0.84063156976117015</v>
      </c>
      <c r="T270">
        <f t="shared" si="103"/>
        <v>0.97102619303911009</v>
      </c>
      <c r="U270" s="6">
        <f t="shared" ca="1" si="104"/>
        <v>0.86794419499679265</v>
      </c>
      <c r="V270">
        <f t="shared" ca="1" si="105"/>
        <v>0.91787067256401278</v>
      </c>
      <c r="W270">
        <v>0.95771173919107966</v>
      </c>
      <c r="X270" t="b">
        <f t="shared" ca="1" si="106"/>
        <v>1</v>
      </c>
      <c r="AS270">
        <v>0.35234723380529637</v>
      </c>
      <c r="AT270">
        <v>999</v>
      </c>
      <c r="AU270">
        <v>999</v>
      </c>
      <c r="AV270">
        <v>6.3404667096018708</v>
      </c>
      <c r="AW270">
        <v>3.8259360827172331</v>
      </c>
      <c r="AX270">
        <v>6.9082588240911038</v>
      </c>
      <c r="AY270">
        <v>-5.2450884583277002</v>
      </c>
      <c r="AZ270">
        <v>-5.3360690122222181</v>
      </c>
      <c r="BJ270" t="b">
        <f t="shared" si="87"/>
        <v>1</v>
      </c>
      <c r="BK270" t="b">
        <f t="shared" ca="1" si="88"/>
        <v>1</v>
      </c>
    </row>
    <row r="271" spans="1:63" x14ac:dyDescent="0.45">
      <c r="A271" s="1">
        <v>44844</v>
      </c>
      <c r="B271">
        <v>222.96</v>
      </c>
      <c r="C271" s="1">
        <v>44844</v>
      </c>
      <c r="D271">
        <v>360.02</v>
      </c>
      <c r="E271">
        <f t="shared" si="89"/>
        <v>-4.9311875196120149E-4</v>
      </c>
      <c r="F271" s="4">
        <f t="shared" si="90"/>
        <v>-7.6352710934701577E-3</v>
      </c>
      <c r="G271">
        <f t="shared" ca="1" si="91"/>
        <v>-1.2056179751240431E-3</v>
      </c>
      <c r="H271">
        <f t="shared" ca="1" si="92"/>
        <v>4.1164001363380054E-2</v>
      </c>
      <c r="I271">
        <f t="shared" ca="1" si="93"/>
        <v>-4.2643211116341243E-2</v>
      </c>
      <c r="J271">
        <f t="shared" ca="1" si="94"/>
        <v>0.60148802845990623</v>
      </c>
      <c r="K271">
        <f t="shared" ca="1" si="95"/>
        <v>0.83762994632650423</v>
      </c>
      <c r="L271">
        <f t="shared" ca="1" si="96"/>
        <v>0.88866554342353521</v>
      </c>
      <c r="M271">
        <f t="shared" ca="1" si="97"/>
        <v>-1.1933456620700532E-3</v>
      </c>
      <c r="N271">
        <f t="shared" ca="1" si="98"/>
        <v>1.5114000352425577E-2</v>
      </c>
      <c r="O271">
        <f t="shared" ca="1" si="99"/>
        <v>-0.19018200599937465</v>
      </c>
      <c r="P271">
        <f t="shared" ca="1" si="100"/>
        <v>-1.3874179583968527E-2</v>
      </c>
      <c r="Q271">
        <f t="shared" ca="1" si="101"/>
        <v>0.84810959295758481</v>
      </c>
      <c r="R271">
        <f t="shared" ca="1" si="102"/>
        <v>0.84063156976117015</v>
      </c>
      <c r="T271">
        <f t="shared" si="103"/>
        <v>0.99950688124803877</v>
      </c>
      <c r="U271" s="6">
        <f t="shared" ca="1" si="104"/>
        <v>0.91980198019801973</v>
      </c>
      <c r="V271">
        <f t="shared" ca="1" si="105"/>
        <v>0.97594265862732421</v>
      </c>
      <c r="W271">
        <v>1.0255667658866385</v>
      </c>
      <c r="X271" t="b">
        <f t="shared" ca="1" si="106"/>
        <v>0</v>
      </c>
      <c r="AS271">
        <v>0.34708182620611383</v>
      </c>
      <c r="AT271">
        <v>999</v>
      </c>
      <c r="AU271">
        <v>999</v>
      </c>
      <c r="AV271">
        <v>6.4074869579172473</v>
      </c>
      <c r="AW271">
        <v>3.9211254274930214</v>
      </c>
      <c r="AX271">
        <v>6.982328731195258</v>
      </c>
      <c r="AY271">
        <v>-5.419838317538102</v>
      </c>
      <c r="AZ271">
        <v>-5.4029431777077095</v>
      </c>
      <c r="BJ271" t="b">
        <f t="shared" si="87"/>
        <v>1</v>
      </c>
      <c r="BK271" t="b">
        <f t="shared" ca="1" si="88"/>
        <v>0</v>
      </c>
    </row>
    <row r="272" spans="1:63" x14ac:dyDescent="0.45">
      <c r="A272" s="1">
        <v>44841</v>
      </c>
      <c r="B272">
        <v>223.07</v>
      </c>
      <c r="C272" s="1">
        <v>44841</v>
      </c>
      <c r="D272">
        <v>362.79</v>
      </c>
      <c r="E272">
        <f t="shared" si="89"/>
        <v>-6.3242766556082824E-2</v>
      </c>
      <c r="F272" s="4">
        <f t="shared" si="90"/>
        <v>-2.7893890675241072E-2</v>
      </c>
      <c r="G272">
        <f t="shared" ca="1" si="91"/>
        <v>-8.2841169673968096E-4</v>
      </c>
      <c r="H272">
        <f t="shared" ca="1" si="92"/>
        <v>4.1514722003077452E-2</v>
      </c>
      <c r="I272">
        <f t="shared" ca="1" si="93"/>
        <v>-3.7774566823568285E-2</v>
      </c>
      <c r="J272">
        <f t="shared" ca="1" si="94"/>
        <v>0.53932254959016124</v>
      </c>
      <c r="K272">
        <f t="shared" ca="1" si="95"/>
        <v>0.89822713497278073</v>
      </c>
      <c r="L272">
        <f t="shared" ca="1" si="96"/>
        <v>0.90267505042183027</v>
      </c>
      <c r="M272">
        <f t="shared" ca="1" si="97"/>
        <v>-1.1051757852447793E-3</v>
      </c>
      <c r="N272">
        <f t="shared" ca="1" si="98"/>
        <v>1.5127660630969115E-2</v>
      </c>
      <c r="O272">
        <f t="shared" ca="1" si="99"/>
        <v>-0.20488175233230854</v>
      </c>
      <c r="P272">
        <f t="shared" ca="1" si="100"/>
        <v>-1.876574336783321E-2</v>
      </c>
      <c r="Q272">
        <f t="shared" ca="1" si="101"/>
        <v>0.84810959295758481</v>
      </c>
      <c r="R272">
        <f t="shared" ca="1" si="102"/>
        <v>0.87141153686401274</v>
      </c>
      <c r="T272">
        <f t="shared" si="103"/>
        <v>0.93675723344391715</v>
      </c>
      <c r="U272" s="6">
        <f t="shared" ca="1" si="104"/>
        <v>0.8409802073515551</v>
      </c>
      <c r="V272">
        <f t="shared" ca="1" si="105"/>
        <v>0.95188427761700523</v>
      </c>
      <c r="W272">
        <v>0.95706000841454797</v>
      </c>
      <c r="X272" t="b">
        <f t="shared" ca="1" si="106"/>
        <v>1</v>
      </c>
      <c r="AS272">
        <v>0.35697572318264198</v>
      </c>
      <c r="AT272">
        <v>999</v>
      </c>
      <c r="AU272">
        <v>999</v>
      </c>
      <c r="AV272">
        <v>6.357697879904844</v>
      </c>
      <c r="AW272">
        <v>4.0262777539551742</v>
      </c>
      <c r="AX272">
        <v>6.9678709678504918</v>
      </c>
      <c r="AY272">
        <v>-5.5264961299405746</v>
      </c>
      <c r="AZ272">
        <v>-5.3455884462495709</v>
      </c>
      <c r="BJ272" t="b">
        <f t="shared" si="87"/>
        <v>1</v>
      </c>
      <c r="BK272" t="b">
        <f t="shared" ca="1" si="88"/>
        <v>1</v>
      </c>
    </row>
    <row r="273" spans="1:63" x14ac:dyDescent="0.45">
      <c r="A273" s="1">
        <v>44840</v>
      </c>
      <c r="B273">
        <v>238.13</v>
      </c>
      <c r="C273" s="1">
        <v>44840</v>
      </c>
      <c r="D273">
        <v>373.2</v>
      </c>
      <c r="E273">
        <f t="shared" si="89"/>
        <v>-1.1129105934138976E-2</v>
      </c>
      <c r="F273" s="4">
        <f t="shared" si="90"/>
        <v>-1.0315839719960716E-2</v>
      </c>
      <c r="G273">
        <f t="shared" ca="1" si="91"/>
        <v>-2.9780023745083219E-4</v>
      </c>
      <c r="H273">
        <f t="shared" ca="1" si="92"/>
        <v>4.1390982851157165E-2</v>
      </c>
      <c r="I273">
        <f t="shared" ca="1" si="93"/>
        <v>-5.3582606408574783E-2</v>
      </c>
      <c r="J273">
        <f t="shared" ca="1" si="94"/>
        <v>0.5638359948394509</v>
      </c>
      <c r="K273">
        <f t="shared" ca="1" si="95"/>
        <v>0.89822713497278073</v>
      </c>
      <c r="L273">
        <f t="shared" ca="1" si="96"/>
        <v>0.93373992043169496</v>
      </c>
      <c r="M273">
        <f t="shared" ca="1" si="97"/>
        <v>-8.7691121999552383E-4</v>
      </c>
      <c r="N273">
        <f t="shared" ca="1" si="98"/>
        <v>1.5065715163039842E-2</v>
      </c>
      <c r="O273">
        <f t="shared" ca="1" si="99"/>
        <v>-0.21483494896435351</v>
      </c>
      <c r="P273">
        <f t="shared" ca="1" si="100"/>
        <v>4.1500313240141473E-3</v>
      </c>
      <c r="Q273">
        <f t="shared" ca="1" si="101"/>
        <v>0.84810959295758481</v>
      </c>
      <c r="R273">
        <f t="shared" ca="1" si="102"/>
        <v>0.92315144046042863</v>
      </c>
      <c r="T273">
        <f t="shared" si="103"/>
        <v>0.98887089406586104</v>
      </c>
      <c r="U273" s="6">
        <f t="shared" ca="1" si="104"/>
        <v>0.887849073487193</v>
      </c>
      <c r="V273">
        <f t="shared" ca="1" si="105"/>
        <v>0.95210336741693002</v>
      </c>
      <c r="W273">
        <v>0.95646740799831242</v>
      </c>
      <c r="X273" t="b">
        <f t="shared" ca="1" si="106"/>
        <v>1</v>
      </c>
      <c r="AS273">
        <v>0.35827899144097369</v>
      </c>
      <c r="AT273">
        <v>999</v>
      </c>
      <c r="AU273">
        <v>999</v>
      </c>
      <c r="AV273">
        <v>6.2344659118622481</v>
      </c>
      <c r="AW273">
        <v>3.9976697436735624</v>
      </c>
      <c r="AX273">
        <v>6.8954180982521853</v>
      </c>
      <c r="AY273">
        <v>-5.6326964380991731</v>
      </c>
      <c r="AZ273">
        <v>-5.2689992544614901</v>
      </c>
      <c r="BJ273" t="b">
        <f t="shared" si="87"/>
        <v>1</v>
      </c>
      <c r="BK273" t="b">
        <f t="shared" ca="1" si="88"/>
        <v>1</v>
      </c>
    </row>
    <row r="274" spans="1:63" x14ac:dyDescent="0.45">
      <c r="A274" s="1">
        <v>44839</v>
      </c>
      <c r="B274">
        <v>240.81</v>
      </c>
      <c r="C274" s="1">
        <v>44839</v>
      </c>
      <c r="D274">
        <v>377.09</v>
      </c>
      <c r="E274">
        <f t="shared" si="89"/>
        <v>-3.4597498396407939E-2</v>
      </c>
      <c r="F274" s="4">
        <f t="shared" si="90"/>
        <v>-2.3282271079716702E-3</v>
      </c>
      <c r="G274">
        <f t="shared" ca="1" si="91"/>
        <v>-4.1710653450432246E-4</v>
      </c>
      <c r="H274">
        <f t="shared" ca="1" si="92"/>
        <v>4.1456697085085592E-2</v>
      </c>
      <c r="I274">
        <f t="shared" ca="1" si="93"/>
        <v>-4.7491543385114569E-2</v>
      </c>
      <c r="J274">
        <f t="shared" ca="1" si="94"/>
        <v>0.54291034438163877</v>
      </c>
      <c r="K274">
        <f t="shared" ca="1" si="95"/>
        <v>0.89822713497278073</v>
      </c>
      <c r="L274">
        <f t="shared" ca="1" si="96"/>
        <v>0.91662480271192259</v>
      </c>
      <c r="M274">
        <f t="shared" ca="1" si="97"/>
        <v>-8.7849922082164464E-4</v>
      </c>
      <c r="N274">
        <f t="shared" ca="1" si="98"/>
        <v>1.5066731776306519E-2</v>
      </c>
      <c r="O274">
        <f t="shared" ca="1" si="99"/>
        <v>-0.2146023437929015</v>
      </c>
      <c r="P274">
        <f t="shared" ca="1" si="100"/>
        <v>3.3474842649940939E-3</v>
      </c>
      <c r="Q274">
        <f t="shared" ca="1" si="101"/>
        <v>0.84810959295758481</v>
      </c>
      <c r="R274">
        <f t="shared" ca="1" si="102"/>
        <v>0.91067036398974732</v>
      </c>
      <c r="T274">
        <f t="shared" si="103"/>
        <v>0.96540250160359209</v>
      </c>
      <c r="U274" s="6">
        <f t="shared" ca="1" si="104"/>
        <v>0.83669782147944838</v>
      </c>
      <c r="V274">
        <f t="shared" ca="1" si="105"/>
        <v>0.93784804659698351</v>
      </c>
      <c r="W274">
        <v>0.95196329364557641</v>
      </c>
      <c r="X274" t="b">
        <f t="shared" ca="1" si="106"/>
        <v>1</v>
      </c>
      <c r="AS274">
        <v>0.36251325644773313</v>
      </c>
      <c r="AT274">
        <v>999</v>
      </c>
      <c r="AU274">
        <v>999</v>
      </c>
      <c r="AV274">
        <v>6.0151260021428961</v>
      </c>
      <c r="AW274">
        <v>3.907349561509823</v>
      </c>
      <c r="AX274">
        <v>6.7489170545519794</v>
      </c>
      <c r="AY274">
        <v>-5.7322020598905414</v>
      </c>
      <c r="AZ274">
        <v>-5.1175056716094076</v>
      </c>
      <c r="BJ274" t="b">
        <f t="shared" si="87"/>
        <v>1</v>
      </c>
      <c r="BK274" t="b">
        <f t="shared" ca="1" si="88"/>
        <v>1</v>
      </c>
    </row>
    <row r="275" spans="1:63" x14ac:dyDescent="0.45">
      <c r="A275" s="1">
        <v>44838</v>
      </c>
      <c r="B275">
        <v>249.44</v>
      </c>
      <c r="C275" s="1">
        <v>44838</v>
      </c>
      <c r="D275">
        <v>377.97</v>
      </c>
      <c r="E275">
        <f t="shared" si="89"/>
        <v>2.9042904290429009E-2</v>
      </c>
      <c r="F275" s="4">
        <f t="shared" si="90"/>
        <v>3.0986607021085112E-2</v>
      </c>
      <c r="G275">
        <f t="shared" ca="1" si="91"/>
        <v>-2.1363094162026182E-4</v>
      </c>
      <c r="H275">
        <f t="shared" ca="1" si="92"/>
        <v>4.1387903393866249E-2</v>
      </c>
      <c r="I275">
        <f t="shared" ca="1" si="93"/>
        <v>-5.9747919937521925E-2</v>
      </c>
      <c r="J275">
        <f t="shared" ca="1" si="94"/>
        <v>0.56547324635101948</v>
      </c>
      <c r="K275">
        <f t="shared" ca="1" si="95"/>
        <v>0.89822713497278073</v>
      </c>
      <c r="L275">
        <f t="shared" ca="1" si="96"/>
        <v>0.93373992043169496</v>
      </c>
      <c r="M275">
        <f t="shared" ca="1" si="97"/>
        <v>-9.3739083262876874E-4</v>
      </c>
      <c r="N275">
        <f t="shared" ca="1" si="98"/>
        <v>1.5095418592729929E-2</v>
      </c>
      <c r="O275">
        <f t="shared" ca="1" si="99"/>
        <v>-0.20497012444291518</v>
      </c>
      <c r="P275">
        <f t="shared" ca="1" si="100"/>
        <v>-2.0068493304484125E-2</v>
      </c>
      <c r="Q275">
        <f t="shared" ca="1" si="101"/>
        <v>0.84810959295758481</v>
      </c>
      <c r="R275">
        <f t="shared" ca="1" si="102"/>
        <v>0.90286490645994544</v>
      </c>
      <c r="T275">
        <f t="shared" si="103"/>
        <v>1.029042904290429</v>
      </c>
      <c r="U275" s="6">
        <f t="shared" ca="1" si="104"/>
        <v>0.88160033929455017</v>
      </c>
      <c r="V275">
        <f t="shared" ca="1" si="105"/>
        <v>0.94788074264640032</v>
      </c>
      <c r="W275">
        <v>0.95568025035177318</v>
      </c>
      <c r="X275" t="b">
        <f t="shared" ca="1" si="106"/>
        <v>1</v>
      </c>
      <c r="AS275">
        <v>0.39241978804906213</v>
      </c>
      <c r="AT275">
        <v>999</v>
      </c>
      <c r="AU275">
        <v>999</v>
      </c>
      <c r="AV275">
        <v>5.8395747972478871</v>
      </c>
      <c r="AW275">
        <v>3.6229749613542017</v>
      </c>
      <c r="AX275">
        <v>6.6612447356229545</v>
      </c>
      <c r="AY275">
        <v>-5.9577260189694767</v>
      </c>
      <c r="AZ275">
        <v>-5.0440948274892063</v>
      </c>
      <c r="BJ275" t="b">
        <f t="shared" si="87"/>
        <v>1</v>
      </c>
      <c r="BK275" t="b">
        <f t="shared" ca="1" si="88"/>
        <v>1</v>
      </c>
    </row>
    <row r="276" spans="1:63" x14ac:dyDescent="0.45">
      <c r="A276" s="1">
        <v>44837</v>
      </c>
      <c r="B276">
        <v>242.4</v>
      </c>
      <c r="C276" s="1">
        <v>44837</v>
      </c>
      <c r="D276">
        <v>366.61</v>
      </c>
      <c r="E276">
        <f t="shared" si="89"/>
        <v>-8.6145146088595637E-2</v>
      </c>
      <c r="F276" s="4">
        <f t="shared" si="90"/>
        <v>2.6401254269555984E-2</v>
      </c>
      <c r="G276">
        <f t="shared" ca="1" si="91"/>
        <v>-6.1023635847092558E-4</v>
      </c>
      <c r="H276">
        <f t="shared" ca="1" si="92"/>
        <v>4.1486076000129303E-2</v>
      </c>
      <c r="I276">
        <f t="shared" ca="1" si="93"/>
        <v>-4.1055133228677175E-2</v>
      </c>
      <c r="J276">
        <f t="shared" ca="1" si="94"/>
        <v>0.53894781611283182</v>
      </c>
      <c r="K276">
        <f t="shared" ca="1" si="95"/>
        <v>0.89822713497278073</v>
      </c>
      <c r="L276">
        <f t="shared" ca="1" si="96"/>
        <v>0.90267505042183027</v>
      </c>
      <c r="M276">
        <f t="shared" ca="1" si="97"/>
        <v>-1.1364165154180029E-3</v>
      </c>
      <c r="N276">
        <f t="shared" ca="1" si="98"/>
        <v>1.4933943209862702E-2</v>
      </c>
      <c r="O276">
        <f t="shared" ca="1" si="99"/>
        <v>-0.22163347882361287</v>
      </c>
      <c r="P276">
        <f t="shared" ca="1" si="100"/>
        <v>-7.9656833583703346E-3</v>
      </c>
      <c r="Q276">
        <f t="shared" ca="1" si="101"/>
        <v>0.82658096465565112</v>
      </c>
      <c r="R276">
        <f t="shared" ca="1" si="102"/>
        <v>0.86594981262813819</v>
      </c>
      <c r="T276">
        <f t="shared" si="103"/>
        <v>0.91385485391140442</v>
      </c>
      <c r="U276" s="6">
        <f t="shared" ca="1" si="104"/>
        <v>0.87822904967211335</v>
      </c>
      <c r="V276">
        <f t="shared" ca="1" si="105"/>
        <v>0.98430904149410103</v>
      </c>
      <c r="W276">
        <v>1.0313093693601925</v>
      </c>
      <c r="X276" t="b">
        <f t="shared" ca="1" si="106"/>
        <v>0</v>
      </c>
      <c r="AS276">
        <v>0.42698758662978809</v>
      </c>
      <c r="AT276">
        <v>999</v>
      </c>
      <c r="AU276">
        <v>999</v>
      </c>
      <c r="AV276">
        <v>6.0409152196030753</v>
      </c>
      <c r="AW276">
        <v>3.9985499371557971</v>
      </c>
      <c r="AX276">
        <v>6.870407090765811</v>
      </c>
      <c r="AY276">
        <v>-6.3562260838372584</v>
      </c>
      <c r="AZ276">
        <v>-5.1934737386815817</v>
      </c>
      <c r="BJ276" t="b">
        <f t="shared" si="87"/>
        <v>1</v>
      </c>
      <c r="BK276" t="b">
        <f t="shared" ca="1" si="88"/>
        <v>0</v>
      </c>
    </row>
    <row r="277" spans="1:63" x14ac:dyDescent="0.45">
      <c r="A277" s="1">
        <v>44834</v>
      </c>
      <c r="B277">
        <v>265.25</v>
      </c>
      <c r="C277" s="1">
        <v>44834</v>
      </c>
      <c r="D277">
        <v>357.18</v>
      </c>
      <c r="E277">
        <f t="shared" si="89"/>
        <v>-1.1036128406845307E-2</v>
      </c>
      <c r="F277" s="4">
        <f t="shared" si="90"/>
        <v>-1.5463491275944798E-2</v>
      </c>
      <c r="G277">
        <f t="shared" ca="1" si="91"/>
        <v>-8.8322125885556739E-5</v>
      </c>
      <c r="H277">
        <f t="shared" ca="1" si="92"/>
        <v>4.1058993648198712E-2</v>
      </c>
      <c r="I277">
        <f t="shared" ca="1" si="93"/>
        <v>-3.4489997182673732E-2</v>
      </c>
      <c r="J277">
        <f t="shared" ca="1" si="94"/>
        <v>0.59391928233363878</v>
      </c>
      <c r="K277">
        <f t="shared" ca="1" si="95"/>
        <v>0.91315298619665142</v>
      </c>
      <c r="L277">
        <f t="shared" ca="1" si="96"/>
        <v>0.91952969989778</v>
      </c>
      <c r="M277">
        <f t="shared" ca="1" si="97"/>
        <v>-1.1902977867657835E-3</v>
      </c>
      <c r="N277">
        <f t="shared" ca="1" si="98"/>
        <v>1.4853311295598488E-2</v>
      </c>
      <c r="O277">
        <f t="shared" ca="1" si="99"/>
        <v>-0.23932197673768801</v>
      </c>
      <c r="P277">
        <f t="shared" ca="1" si="100"/>
        <v>2.1237554355879595E-3</v>
      </c>
      <c r="Q277">
        <f t="shared" ca="1" si="101"/>
        <v>0.76861060651700774</v>
      </c>
      <c r="R277">
        <f t="shared" ca="1" si="102"/>
        <v>0.86594981262813819</v>
      </c>
      <c r="T277">
        <f t="shared" si="103"/>
        <v>0.98896387159315469</v>
      </c>
      <c r="U277" s="6">
        <f t="shared" ca="1" si="104"/>
        <v>0.96338938728071755</v>
      </c>
      <c r="V277">
        <f t="shared" ca="1" si="105"/>
        <v>0.97458122529792146</v>
      </c>
      <c r="W277">
        <v>1.0193566725914622</v>
      </c>
      <c r="X277" t="b">
        <f t="shared" ca="1" si="106"/>
        <v>0</v>
      </c>
      <c r="AS277">
        <v>0.43102904891773564</v>
      </c>
      <c r="AT277">
        <v>999</v>
      </c>
      <c r="AU277">
        <v>999</v>
      </c>
      <c r="AV277">
        <v>5.9605296690947096</v>
      </c>
      <c r="AW277">
        <v>3.9927846232751025</v>
      </c>
      <c r="AX277">
        <v>6.7907118611996964</v>
      </c>
      <c r="AY277">
        <v>-6.3784356812234151</v>
      </c>
      <c r="AZ277">
        <v>-5.1222715303496313</v>
      </c>
      <c r="BJ277" t="b">
        <f t="shared" si="87"/>
        <v>1</v>
      </c>
      <c r="BK277" t="b">
        <f t="shared" ca="1" si="88"/>
        <v>0</v>
      </c>
    </row>
    <row r="278" spans="1:63" x14ac:dyDescent="0.45">
      <c r="A278" s="1">
        <v>44833</v>
      </c>
      <c r="B278">
        <v>268.20999999999998</v>
      </c>
      <c r="C278" s="1">
        <v>44833</v>
      </c>
      <c r="D278">
        <v>362.79</v>
      </c>
      <c r="E278">
        <f t="shared" si="89"/>
        <v>-6.8100482957506772E-2</v>
      </c>
      <c r="F278" s="4">
        <f t="shared" si="90"/>
        <v>-2.0888996842360816E-2</v>
      </c>
      <c r="G278">
        <f t="shared" ca="1" si="91"/>
        <v>-7.4024710553013625E-5</v>
      </c>
      <c r="H278">
        <f t="shared" ca="1" si="92"/>
        <v>4.1055660009725492E-2</v>
      </c>
      <c r="I278">
        <f t="shared" ca="1" si="93"/>
        <v>-3.5496254515018859E-2</v>
      </c>
      <c r="J278">
        <f t="shared" ca="1" si="94"/>
        <v>0.59513288195569825</v>
      </c>
      <c r="K278">
        <f t="shared" ca="1" si="95"/>
        <v>0.91315298619665142</v>
      </c>
      <c r="L278">
        <f t="shared" ca="1" si="96"/>
        <v>0.91952969989778</v>
      </c>
      <c r="M278">
        <f t="shared" ca="1" si="97"/>
        <v>-1.1473803132396501E-3</v>
      </c>
      <c r="N278">
        <f t="shared" ca="1" si="98"/>
        <v>1.4824234990949696E-2</v>
      </c>
      <c r="O278">
        <f t="shared" ca="1" si="99"/>
        <v>-0.24526234201032335</v>
      </c>
      <c r="P278">
        <f t="shared" ca="1" si="100"/>
        <v>2.4614397811918209E-2</v>
      </c>
      <c r="Q278">
        <f t="shared" ca="1" si="101"/>
        <v>0.76861060651700774</v>
      </c>
      <c r="R278">
        <f t="shared" ca="1" si="102"/>
        <v>0.87343613138640164</v>
      </c>
      <c r="T278">
        <f t="shared" si="103"/>
        <v>0.93189951704249319</v>
      </c>
      <c r="U278" s="6">
        <f t="shared" ca="1" si="104"/>
        <v>0.92938078242489319</v>
      </c>
      <c r="V278">
        <f t="shared" ca="1" si="105"/>
        <v>0.93799488538603037</v>
      </c>
      <c r="W278">
        <v>0.94375071162334567</v>
      </c>
      <c r="X278" t="b">
        <f t="shared" ca="1" si="106"/>
        <v>1</v>
      </c>
      <c r="AS278">
        <v>0.42970029617477301</v>
      </c>
      <c r="AT278">
        <v>999</v>
      </c>
      <c r="AU278">
        <v>999</v>
      </c>
      <c r="AV278">
        <v>5.9761173263446601</v>
      </c>
      <c r="AW278">
        <v>4.2589858673462935</v>
      </c>
      <c r="AX278">
        <v>6.7423464183273571</v>
      </c>
      <c r="AY278">
        <v>-6.3865783096414761</v>
      </c>
      <c r="AZ278">
        <v>-5.0810441540556894</v>
      </c>
      <c r="BJ278" t="b">
        <f t="shared" si="87"/>
        <v>1</v>
      </c>
      <c r="BK278" t="b">
        <f t="shared" ca="1" si="88"/>
        <v>1</v>
      </c>
    </row>
    <row r="279" spans="1:63" x14ac:dyDescent="0.45">
      <c r="A279" s="1">
        <v>44832</v>
      </c>
      <c r="B279">
        <v>287.81</v>
      </c>
      <c r="C279" s="1">
        <v>44832</v>
      </c>
      <c r="D279">
        <v>370.53</v>
      </c>
      <c r="E279">
        <f t="shared" si="89"/>
        <v>1.7212129780165421E-2</v>
      </c>
      <c r="F279" s="4">
        <f t="shared" si="90"/>
        <v>1.9676371842148651E-2</v>
      </c>
      <c r="G279">
        <f t="shared" ca="1" si="91"/>
        <v>1.7620738363308165E-5</v>
      </c>
      <c r="H279">
        <f t="shared" ca="1" si="92"/>
        <v>4.0923290550148955E-2</v>
      </c>
      <c r="I279">
        <f t="shared" ca="1" si="93"/>
        <v>-2.8403878995671848E-2</v>
      </c>
      <c r="J279">
        <f t="shared" ca="1" si="94"/>
        <v>0.61441841590820934</v>
      </c>
      <c r="K279">
        <f t="shared" ca="1" si="95"/>
        <v>0.91424067782189722</v>
      </c>
      <c r="L279">
        <f t="shared" ca="1" si="96"/>
        <v>0.91952969989778</v>
      </c>
      <c r="M279">
        <f t="shared" ca="1" si="97"/>
        <v>-1.0872272948688616E-3</v>
      </c>
      <c r="N279">
        <f t="shared" ca="1" si="98"/>
        <v>1.4768027955510857E-2</v>
      </c>
      <c r="O279">
        <f t="shared" ca="1" si="99"/>
        <v>-0.24901376271901537</v>
      </c>
      <c r="P279">
        <f t="shared" ca="1" si="100"/>
        <v>5.9509156328383828E-2</v>
      </c>
      <c r="Q279">
        <f t="shared" ca="1" si="101"/>
        <v>0.76861060651700774</v>
      </c>
      <c r="R279">
        <f t="shared" ca="1" si="102"/>
        <v>0.88540689883328483</v>
      </c>
      <c r="T279">
        <f t="shared" si="103"/>
        <v>1.0172121297801655</v>
      </c>
      <c r="U279" s="6">
        <f t="shared" ca="1" si="104"/>
        <v>0.95681515957446794</v>
      </c>
      <c r="V279">
        <f t="shared" ca="1" si="105"/>
        <v>0.91270520149234902</v>
      </c>
      <c r="W279">
        <v>0.91212665270813398</v>
      </c>
      <c r="X279" t="b">
        <f t="shared" ca="1" si="106"/>
        <v>1</v>
      </c>
      <c r="AS279">
        <v>0.43197786787932885</v>
      </c>
      <c r="AT279">
        <v>999</v>
      </c>
      <c r="AU279">
        <v>999</v>
      </c>
      <c r="AV279">
        <v>6.0798077001530206</v>
      </c>
      <c r="AW279">
        <v>4.5323853442343207</v>
      </c>
      <c r="AX279">
        <v>6.7885844573108178</v>
      </c>
      <c r="AY279">
        <v>-6.4643342992733217</v>
      </c>
      <c r="AZ279">
        <v>-5.1607567300475621</v>
      </c>
      <c r="BJ279" t="b">
        <f t="shared" si="87"/>
        <v>1</v>
      </c>
      <c r="BK279" t="b">
        <f t="shared" ca="1" si="88"/>
        <v>1</v>
      </c>
    </row>
    <row r="280" spans="1:63" x14ac:dyDescent="0.45">
      <c r="A280" s="1">
        <v>44831</v>
      </c>
      <c r="B280">
        <v>282.94</v>
      </c>
      <c r="C280" s="1">
        <v>44831</v>
      </c>
      <c r="D280">
        <v>363.38</v>
      </c>
      <c r="E280">
        <f t="shared" si="89"/>
        <v>2.5107785949784453E-2</v>
      </c>
      <c r="F280" s="4">
        <f t="shared" si="90"/>
        <v>-2.5527709917378245E-3</v>
      </c>
      <c r="G280">
        <f t="shared" ca="1" si="91"/>
        <v>-2.5403289475621136E-6</v>
      </c>
      <c r="H280">
        <f t="shared" ca="1" si="92"/>
        <v>4.0915769574260366E-2</v>
      </c>
      <c r="I280">
        <f t="shared" ca="1" si="93"/>
        <v>-2.713410823626683E-2</v>
      </c>
      <c r="J280">
        <f t="shared" ca="1" si="94"/>
        <v>0.61694822888504408</v>
      </c>
      <c r="K280">
        <f t="shared" ca="1" si="95"/>
        <v>0.91424067782189722</v>
      </c>
      <c r="L280">
        <f t="shared" ca="1" si="96"/>
        <v>0.91952969989778</v>
      </c>
      <c r="M280">
        <f t="shared" ca="1" si="97"/>
        <v>-1.1385415010293218E-3</v>
      </c>
      <c r="N280">
        <f t="shared" ca="1" si="98"/>
        <v>1.4713246950108342E-2</v>
      </c>
      <c r="O280">
        <f t="shared" ca="1" si="99"/>
        <v>-0.25365747379769266</v>
      </c>
      <c r="P280">
        <f t="shared" ca="1" si="100"/>
        <v>8.3131931418824134E-2</v>
      </c>
      <c r="Q280">
        <f t="shared" ca="1" si="101"/>
        <v>0.76861060651700774</v>
      </c>
      <c r="R280">
        <f t="shared" ca="1" si="102"/>
        <v>0.88112013003508916</v>
      </c>
      <c r="T280">
        <f t="shared" si="103"/>
        <v>1.0251077859497844</v>
      </c>
      <c r="U280" s="6">
        <f t="shared" ca="1" si="104"/>
        <v>0.91646422440320008</v>
      </c>
      <c r="V280">
        <f t="shared" ca="1" si="105"/>
        <v>0.95608174052212103</v>
      </c>
      <c r="W280">
        <v>0.93584494815639419</v>
      </c>
      <c r="X280" t="b">
        <f t="shared" ca="1" si="106"/>
        <v>1</v>
      </c>
      <c r="AS280">
        <v>0.41320193041876907</v>
      </c>
      <c r="AT280">
        <v>999</v>
      </c>
      <c r="AU280">
        <v>999</v>
      </c>
      <c r="AV280">
        <v>6.0263736160251398</v>
      </c>
      <c r="AW280">
        <v>4.8906621880666625</v>
      </c>
      <c r="AX280">
        <v>6.6394523405957591</v>
      </c>
      <c r="AY280">
        <v>-6.4001237271928897</v>
      </c>
      <c r="AZ280">
        <v>-5.0572300227317175</v>
      </c>
      <c r="BJ280" t="b">
        <f t="shared" si="87"/>
        <v>1</v>
      </c>
      <c r="BK280" t="b">
        <f t="shared" ca="1" si="88"/>
        <v>1</v>
      </c>
    </row>
    <row r="281" spans="1:63" x14ac:dyDescent="0.45">
      <c r="A281" s="1">
        <v>44830</v>
      </c>
      <c r="B281">
        <v>276.01</v>
      </c>
      <c r="C281" s="1">
        <v>44830</v>
      </c>
      <c r="D281">
        <v>364.31</v>
      </c>
      <c r="E281">
        <f t="shared" si="89"/>
        <v>2.4697635564595462E-3</v>
      </c>
      <c r="F281" s="4">
        <f t="shared" si="90"/>
        <v>-9.8926484576708426E-3</v>
      </c>
      <c r="G281">
        <f t="shared" ca="1" si="91"/>
        <v>-4.328614769272872E-4</v>
      </c>
      <c r="H281">
        <f t="shared" ca="1" si="92"/>
        <v>4.1102504194250655E-2</v>
      </c>
      <c r="I281">
        <f t="shared" ca="1" si="93"/>
        <v>-1.2750824639242226E-2</v>
      </c>
      <c r="J281">
        <f t="shared" ca="1" si="94"/>
        <v>0.57394361850919529</v>
      </c>
      <c r="K281">
        <f t="shared" ca="1" si="95"/>
        <v>0.91424067782189722</v>
      </c>
      <c r="L281">
        <f t="shared" ca="1" si="96"/>
        <v>0.88866554342353521</v>
      </c>
      <c r="M281">
        <f t="shared" ca="1" si="97"/>
        <v>-1.1595355264591137E-3</v>
      </c>
      <c r="N281">
        <f t="shared" ca="1" si="98"/>
        <v>1.4718269761459126E-2</v>
      </c>
      <c r="O281">
        <f t="shared" ca="1" si="99"/>
        <v>-0.2493524999792916</v>
      </c>
      <c r="P281">
        <f t="shared" ca="1" si="100"/>
        <v>7.7507945607256268E-2</v>
      </c>
      <c r="Q281">
        <f t="shared" ca="1" si="101"/>
        <v>0.76861060651700774</v>
      </c>
      <c r="R281">
        <f t="shared" ca="1" si="102"/>
        <v>0.88112013003508916</v>
      </c>
      <c r="T281">
        <f t="shared" si="103"/>
        <v>1.0024697635564594</v>
      </c>
      <c r="U281" s="6">
        <f t="shared" ca="1" si="104"/>
        <v>0.89303394053127116</v>
      </c>
      <c r="V281">
        <f t="shared" ca="1" si="105"/>
        <v>0.95107719460745244</v>
      </c>
      <c r="W281">
        <v>0.94799842193249617</v>
      </c>
      <c r="X281" t="b">
        <f t="shared" ca="1" si="106"/>
        <v>1</v>
      </c>
      <c r="AS281">
        <v>0.40424349475605187</v>
      </c>
      <c r="AT281">
        <v>999</v>
      </c>
      <c r="AU281">
        <v>999</v>
      </c>
      <c r="AV281">
        <v>5.8516323343329111</v>
      </c>
      <c r="AW281">
        <v>5.079674057570708</v>
      </c>
      <c r="AX281">
        <v>6.4201970880173587</v>
      </c>
      <c r="AY281">
        <v>-6.3257989771207965</v>
      </c>
      <c r="AZ281">
        <v>-4.8491939749830255</v>
      </c>
      <c r="BJ281" t="b">
        <f t="shared" si="87"/>
        <v>1</v>
      </c>
      <c r="BK281" t="b">
        <f t="shared" ca="1" si="88"/>
        <v>1</v>
      </c>
    </row>
    <row r="282" spans="1:63" x14ac:dyDescent="0.45">
      <c r="A282" s="1">
        <v>44827</v>
      </c>
      <c r="B282">
        <v>275.33</v>
      </c>
      <c r="C282" s="1">
        <v>44827</v>
      </c>
      <c r="D282">
        <v>367.95</v>
      </c>
      <c r="E282">
        <f t="shared" si="89"/>
        <v>-4.5947538029730735E-2</v>
      </c>
      <c r="F282" s="4">
        <f t="shared" si="90"/>
        <v>-1.6754850088183525E-2</v>
      </c>
      <c r="G282">
        <f t="shared" ca="1" si="91"/>
        <v>-3.6338944201564423E-4</v>
      </c>
      <c r="H282">
        <f t="shared" ca="1" si="92"/>
        <v>4.1119173787256005E-2</v>
      </c>
      <c r="I282">
        <f t="shared" ca="1" si="93"/>
        <v>-1.7510898459018692E-2</v>
      </c>
      <c r="J282">
        <f t="shared" ca="1" si="94"/>
        <v>0.56832468743413322</v>
      </c>
      <c r="K282">
        <f t="shared" ca="1" si="95"/>
        <v>0.91424067782189722</v>
      </c>
      <c r="L282">
        <f t="shared" ca="1" si="96"/>
        <v>0.88866554342353521</v>
      </c>
      <c r="M282">
        <f t="shared" ca="1" si="97"/>
        <v>-1.0968323422556655E-3</v>
      </c>
      <c r="N282">
        <f t="shared" ca="1" si="98"/>
        <v>1.4707586858426776E-2</v>
      </c>
      <c r="O282">
        <f t="shared" ca="1" si="99"/>
        <v>-0.26166475778621184</v>
      </c>
      <c r="P282">
        <f t="shared" ca="1" si="100"/>
        <v>9.0412141356678521E-2</v>
      </c>
      <c r="Q282">
        <f t="shared" ca="1" si="101"/>
        <v>0.76861060651700774</v>
      </c>
      <c r="R282">
        <f t="shared" ca="1" si="102"/>
        <v>0.88112013003508916</v>
      </c>
      <c r="T282">
        <f t="shared" si="103"/>
        <v>0.95405246197026927</v>
      </c>
      <c r="U282" s="6">
        <f t="shared" ca="1" si="104"/>
        <v>0.90763144882149316</v>
      </c>
      <c r="V282">
        <f t="shared" ca="1" si="105"/>
        <v>0.9759115551897023</v>
      </c>
      <c r="W282">
        <v>1.0106051636609021</v>
      </c>
      <c r="X282" t="b">
        <f t="shared" ca="1" si="106"/>
        <v>0</v>
      </c>
      <c r="AS282">
        <v>0.41968505475704282</v>
      </c>
      <c r="AT282">
        <v>999</v>
      </c>
      <c r="AU282">
        <v>999</v>
      </c>
      <c r="AV282">
        <v>5.8589195309487918</v>
      </c>
      <c r="AW282">
        <v>5.422810818333577</v>
      </c>
      <c r="AX282">
        <v>6.4101968657636563</v>
      </c>
      <c r="AY282">
        <v>-6.5450737329943056</v>
      </c>
      <c r="AZ282">
        <v>-4.8125258440883192</v>
      </c>
      <c r="BJ282" t="b">
        <f t="shared" si="87"/>
        <v>1</v>
      </c>
      <c r="BK282" t="b">
        <f t="shared" ca="1" si="88"/>
        <v>0</v>
      </c>
    </row>
    <row r="283" spans="1:63" x14ac:dyDescent="0.45">
      <c r="A283" s="1">
        <v>44826</v>
      </c>
      <c r="B283">
        <v>288.58999999999997</v>
      </c>
      <c r="C283" s="1">
        <v>44826</v>
      </c>
      <c r="D283">
        <v>374.22</v>
      </c>
      <c r="E283">
        <f t="shared" si="89"/>
        <v>-4.0591755319149055E-2</v>
      </c>
      <c r="F283" s="4">
        <f t="shared" si="90"/>
        <v>-8.3997986168153869E-3</v>
      </c>
      <c r="G283">
        <f t="shared" ca="1" si="91"/>
        <v>7.8129883813889936E-5</v>
      </c>
      <c r="H283">
        <f t="shared" ca="1" si="92"/>
        <v>4.1101331811272492E-2</v>
      </c>
      <c r="I283">
        <f t="shared" ca="1" si="93"/>
        <v>-3.7463281677674057E-2</v>
      </c>
      <c r="J283">
        <f t="shared" ca="1" si="94"/>
        <v>0.57374157388664493</v>
      </c>
      <c r="K283">
        <f t="shared" ca="1" si="95"/>
        <v>0.91424067782189722</v>
      </c>
      <c r="L283">
        <f t="shared" ca="1" si="96"/>
        <v>0.91952969989778</v>
      </c>
      <c r="M283">
        <f t="shared" ca="1" si="97"/>
        <v>-9.0963386722397663E-4</v>
      </c>
      <c r="N283">
        <f t="shared" ca="1" si="98"/>
        <v>1.4745507521144462E-2</v>
      </c>
      <c r="O283">
        <f t="shared" ca="1" si="99"/>
        <v>-0.27568521792730866</v>
      </c>
      <c r="P283">
        <f t="shared" ca="1" si="100"/>
        <v>8.9636365487539393E-2</v>
      </c>
      <c r="Q283">
        <f t="shared" ca="1" si="101"/>
        <v>0.76861060651700774</v>
      </c>
      <c r="R283">
        <f t="shared" ca="1" si="102"/>
        <v>0.93688400369172675</v>
      </c>
      <c r="T283">
        <f t="shared" si="103"/>
        <v>0.95940824468085095</v>
      </c>
      <c r="U283" s="6">
        <f t="shared" ca="1" si="104"/>
        <v>0.95009053497942375</v>
      </c>
      <c r="V283">
        <f t="shared" ca="1" si="105"/>
        <v>0.97027539731519397</v>
      </c>
      <c r="W283">
        <v>1.0028361364438583</v>
      </c>
      <c r="X283" t="b">
        <f t="shared" ca="1" si="106"/>
        <v>0</v>
      </c>
      <c r="AS283">
        <v>0.43481878687851361</v>
      </c>
      <c r="AT283">
        <v>999</v>
      </c>
      <c r="AU283">
        <v>999</v>
      </c>
      <c r="AV283">
        <v>5.8741298864671272</v>
      </c>
      <c r="AW283">
        <v>5.4482290649916401</v>
      </c>
      <c r="AX283">
        <v>6.405014162891419</v>
      </c>
      <c r="AY283">
        <v>-6.7026816241639491</v>
      </c>
      <c r="AZ283">
        <v>-4.8060804098714707</v>
      </c>
      <c r="BJ283" t="b">
        <f t="shared" si="87"/>
        <v>1</v>
      </c>
      <c r="BK283" t="b">
        <f t="shared" ca="1" si="88"/>
        <v>0</v>
      </c>
    </row>
    <row r="284" spans="1:63" x14ac:dyDescent="0.45">
      <c r="A284" s="1">
        <v>44825</v>
      </c>
      <c r="B284">
        <v>300.8</v>
      </c>
      <c r="C284" s="1">
        <v>44825</v>
      </c>
      <c r="D284">
        <v>377.39</v>
      </c>
      <c r="E284">
        <f t="shared" si="89"/>
        <v>-2.5685874388624384E-2</v>
      </c>
      <c r="F284" s="4">
        <f t="shared" si="90"/>
        <v>-1.7443828269415994E-2</v>
      </c>
      <c r="G284">
        <f t="shared" ca="1" si="91"/>
        <v>2.5173801029125715E-4</v>
      </c>
      <c r="H284">
        <f t="shared" ca="1" si="92"/>
        <v>4.1001892966019859E-2</v>
      </c>
      <c r="I284">
        <f t="shared" ca="1" si="93"/>
        <v>-4.5629267399989681E-2</v>
      </c>
      <c r="J284">
        <f t="shared" ca="1" si="94"/>
        <v>0.60464866614714063</v>
      </c>
      <c r="K284">
        <f t="shared" ca="1" si="95"/>
        <v>0.91424067782189722</v>
      </c>
      <c r="L284">
        <f t="shared" ca="1" si="96"/>
        <v>0.93506762571259561</v>
      </c>
      <c r="M284">
        <f t="shared" ca="1" si="97"/>
        <v>-8.084182537879081E-4</v>
      </c>
      <c r="N284">
        <f t="shared" ca="1" si="98"/>
        <v>1.4763300768604531E-2</v>
      </c>
      <c r="O284">
        <f t="shared" ca="1" si="99"/>
        <v>-0.29153064721551647</v>
      </c>
      <c r="P284">
        <f t="shared" ca="1" si="100"/>
        <v>8.4955157129049219E-2</v>
      </c>
      <c r="Q284">
        <f t="shared" ca="1" si="101"/>
        <v>0.76861060651700774</v>
      </c>
      <c r="R284">
        <f t="shared" ca="1" si="102"/>
        <v>0.95317956212774047</v>
      </c>
      <c r="T284">
        <f t="shared" si="103"/>
        <v>0.97431412561137565</v>
      </c>
      <c r="U284" s="6">
        <f t="shared" ca="1" si="104"/>
        <v>0.99401870394236791</v>
      </c>
      <c r="V284">
        <f t="shared" ca="1" si="105"/>
        <v>0.96059086393988957</v>
      </c>
      <c r="W284">
        <v>0.9586227787808177</v>
      </c>
      <c r="X284" t="b">
        <f t="shared" ca="1" si="106"/>
        <v>1</v>
      </c>
      <c r="AS284">
        <v>0.45721067100911439</v>
      </c>
      <c r="AT284">
        <v>999</v>
      </c>
      <c r="AU284">
        <v>999</v>
      </c>
      <c r="AV284">
        <v>5.9880016902421183</v>
      </c>
      <c r="AW284">
        <v>5.5531612620831874</v>
      </c>
      <c r="AX284">
        <v>6.5101034031200742</v>
      </c>
      <c r="AY284">
        <v>-6.875142572023667</v>
      </c>
      <c r="AZ284">
        <v>-4.9183432724965606</v>
      </c>
      <c r="BJ284" t="b">
        <f t="shared" si="87"/>
        <v>1</v>
      </c>
      <c r="BK284" t="b">
        <f t="shared" ca="1" si="88"/>
        <v>1</v>
      </c>
    </row>
    <row r="285" spans="1:63" x14ac:dyDescent="0.45">
      <c r="A285" s="1">
        <v>44824</v>
      </c>
      <c r="B285">
        <v>308.73</v>
      </c>
      <c r="C285" s="1">
        <v>44824</v>
      </c>
      <c r="D285">
        <v>384.09</v>
      </c>
      <c r="E285">
        <f t="shared" si="89"/>
        <v>-1.1000744167987025E-3</v>
      </c>
      <c r="F285" s="4">
        <f t="shared" si="90"/>
        <v>-1.1478574186076531E-2</v>
      </c>
      <c r="G285">
        <f t="shared" ca="1" si="91"/>
        <v>5.9173171470769947E-5</v>
      </c>
      <c r="H285">
        <f t="shared" ca="1" si="92"/>
        <v>4.1214208863436547E-2</v>
      </c>
      <c r="I285">
        <f t="shared" ca="1" si="93"/>
        <v>-4.8915095400691895E-2</v>
      </c>
      <c r="J285">
        <f t="shared" ca="1" si="94"/>
        <v>0.55909850798731453</v>
      </c>
      <c r="K285">
        <f t="shared" ca="1" si="95"/>
        <v>0.91424067782189722</v>
      </c>
      <c r="L285">
        <f t="shared" ca="1" si="96"/>
        <v>0.93506762571259561</v>
      </c>
      <c r="M285">
        <f t="shared" ca="1" si="97"/>
        <v>-7.6470588987851914E-4</v>
      </c>
      <c r="N285">
        <f t="shared" ca="1" si="98"/>
        <v>1.4726695123852227E-2</v>
      </c>
      <c r="O285">
        <f t="shared" ca="1" si="99"/>
        <v>-0.29616977880427281</v>
      </c>
      <c r="P285">
        <f t="shared" ca="1" si="100"/>
        <v>0.11172728829635314</v>
      </c>
      <c r="Q285">
        <f t="shared" ca="1" si="101"/>
        <v>0.76861060651700774</v>
      </c>
      <c r="R285">
        <f t="shared" ca="1" si="102"/>
        <v>1.0173752442803532</v>
      </c>
      <c r="T285">
        <f t="shared" si="103"/>
        <v>0.99889992558320129</v>
      </c>
      <c r="U285" s="6">
        <f t="shared" ca="1" si="104"/>
        <v>1.0568240167048917</v>
      </c>
      <c r="V285">
        <f t="shared" ca="1" si="105"/>
        <v>0.96478193710302207</v>
      </c>
      <c r="W285">
        <v>1.0214085231312078</v>
      </c>
      <c r="X285" t="b">
        <f t="shared" ca="1" si="106"/>
        <v>1</v>
      </c>
      <c r="AS285">
        <v>0.4755707894985709</v>
      </c>
      <c r="AT285">
        <v>999</v>
      </c>
      <c r="AU285">
        <v>999</v>
      </c>
      <c r="AV285">
        <v>6.0939588469827299</v>
      </c>
      <c r="AW285">
        <v>5.6319808525217772</v>
      </c>
      <c r="AX285">
        <v>6.619743878680806</v>
      </c>
      <c r="AY285">
        <v>-6.9435993988350777</v>
      </c>
      <c r="AZ285">
        <v>-5.0172048245274139</v>
      </c>
      <c r="BJ285" t="b">
        <f t="shared" si="87"/>
        <v>1</v>
      </c>
      <c r="BK285" t="b">
        <f t="shared" ca="1" si="88"/>
        <v>1</v>
      </c>
    </row>
    <row r="286" spans="1:63" x14ac:dyDescent="0.45">
      <c r="A286" s="1">
        <v>44823</v>
      </c>
      <c r="B286">
        <v>309.07</v>
      </c>
      <c r="C286" s="1">
        <v>44823</v>
      </c>
      <c r="D286">
        <v>388.55</v>
      </c>
      <c r="E286">
        <f t="shared" si="89"/>
        <v>1.8856106807318182E-2</v>
      </c>
      <c r="F286" s="4">
        <f t="shared" si="90"/>
        <v>7.7549538333852291E-3</v>
      </c>
      <c r="G286">
        <f t="shared" ca="1" si="91"/>
        <v>1.7180392869831666E-5</v>
      </c>
      <c r="H286">
        <f t="shared" ca="1" si="92"/>
        <v>4.1219674188802596E-2</v>
      </c>
      <c r="I286">
        <f t="shared" ca="1" si="93"/>
        <v>-4.587166933712758E-2</v>
      </c>
      <c r="J286">
        <f t="shared" ca="1" si="94"/>
        <v>0.55700483774634657</v>
      </c>
      <c r="K286">
        <f t="shared" ca="1" si="95"/>
        <v>0.91424067782189722</v>
      </c>
      <c r="L286">
        <f t="shared" ca="1" si="96"/>
        <v>0.93506762571259561</v>
      </c>
      <c r="M286">
        <f t="shared" ca="1" si="97"/>
        <v>-6.3073144292149911E-4</v>
      </c>
      <c r="N286">
        <f t="shared" ca="1" si="98"/>
        <v>1.4750599466570773E-2</v>
      </c>
      <c r="O286">
        <f t="shared" ca="1" si="99"/>
        <v>-0.31373420197420981</v>
      </c>
      <c r="P286">
        <f t="shared" ca="1" si="100"/>
        <v>0.1083030557535003</v>
      </c>
      <c r="Q286">
        <f t="shared" ca="1" si="101"/>
        <v>0.76861060651700774</v>
      </c>
      <c r="R286">
        <f t="shared" ca="1" si="102"/>
        <v>1.086230855087414</v>
      </c>
      <c r="T286">
        <f t="shared" si="103"/>
        <v>1.0188561068073181</v>
      </c>
      <c r="U286" s="6">
        <f t="shared" ca="1" si="104"/>
        <v>1.0152749490835027</v>
      </c>
      <c r="V286">
        <f t="shared" ca="1" si="105"/>
        <v>0.94747657408462771</v>
      </c>
      <c r="W286">
        <v>0.97429199141521527</v>
      </c>
      <c r="X286" t="b">
        <f t="shared" ca="1" si="106"/>
        <v>0</v>
      </c>
      <c r="AS286">
        <v>0.48519530933659283</v>
      </c>
      <c r="AT286">
        <v>999</v>
      </c>
      <c r="AU286">
        <v>999</v>
      </c>
      <c r="AV286">
        <v>6.0850594170983099</v>
      </c>
      <c r="AW286">
        <v>5.5162155895265013</v>
      </c>
      <c r="AX286">
        <v>6.5972468858673947</v>
      </c>
      <c r="AY286">
        <v>-6.9333774540297588</v>
      </c>
      <c r="AZ286">
        <v>-5.0297360777012852</v>
      </c>
      <c r="BJ286" t="b">
        <f t="shared" si="87"/>
        <v>1</v>
      </c>
      <c r="BK286" t="b">
        <f t="shared" ca="1" si="88"/>
        <v>0</v>
      </c>
    </row>
    <row r="287" spans="1:63" x14ac:dyDescent="0.45">
      <c r="A287" s="1">
        <v>44820</v>
      </c>
      <c r="B287">
        <v>303.35000000000002</v>
      </c>
      <c r="C287" s="1">
        <v>44820</v>
      </c>
      <c r="D287">
        <v>385.56</v>
      </c>
      <c r="E287">
        <f t="shared" si="89"/>
        <v>-1.3168724279834642E-3</v>
      </c>
      <c r="F287" s="4">
        <f t="shared" si="90"/>
        <v>-1.1688711165795146E-2</v>
      </c>
      <c r="G287">
        <f t="shared" ca="1" si="91"/>
        <v>-2.9444245104628817E-4</v>
      </c>
      <c r="H287">
        <f t="shared" ca="1" si="92"/>
        <v>4.1312020267043788E-2</v>
      </c>
      <c r="I287">
        <f t="shared" ca="1" si="93"/>
        <v>-2.9107586342501594E-2</v>
      </c>
      <c r="J287">
        <f t="shared" ca="1" si="94"/>
        <v>0.52978526363893907</v>
      </c>
      <c r="K287">
        <f t="shared" ca="1" si="95"/>
        <v>0.91424067782189722</v>
      </c>
      <c r="L287">
        <f t="shared" ca="1" si="96"/>
        <v>0.91952969989778</v>
      </c>
      <c r="M287">
        <f t="shared" ca="1" si="97"/>
        <v>-7.2504225563922026E-4</v>
      </c>
      <c r="N287">
        <f t="shared" ca="1" si="98"/>
        <v>1.4757012589457321E-2</v>
      </c>
      <c r="O287">
        <f t="shared" ca="1" si="99"/>
        <v>-0.29670626152239593</v>
      </c>
      <c r="P287">
        <f t="shared" ca="1" si="100"/>
        <v>9.5607908950730458E-2</v>
      </c>
      <c r="Q287">
        <f t="shared" ca="1" si="101"/>
        <v>0.76861060651700774</v>
      </c>
      <c r="R287">
        <f t="shared" ca="1" si="102"/>
        <v>1.0293752203924675</v>
      </c>
      <c r="T287">
        <f t="shared" si="103"/>
        <v>0.99868312757201649</v>
      </c>
      <c r="U287" s="6">
        <f t="shared" ca="1" si="104"/>
        <v>1.0122463961558994</v>
      </c>
      <c r="V287">
        <f t="shared" ca="1" si="105"/>
        <v>0.97413212656766202</v>
      </c>
      <c r="W287">
        <v>1.030275393178715</v>
      </c>
      <c r="X287" t="b">
        <f t="shared" ca="1" si="106"/>
        <v>1</v>
      </c>
      <c r="AS287">
        <v>0.46470075850002007</v>
      </c>
      <c r="AT287">
        <v>999</v>
      </c>
      <c r="AU287">
        <v>999</v>
      </c>
      <c r="AV287">
        <v>5.9749685556241117</v>
      </c>
      <c r="AW287">
        <v>5.7257375752877389</v>
      </c>
      <c r="AX287">
        <v>6.4707194531735714</v>
      </c>
      <c r="AY287">
        <v>-6.8546026198426304</v>
      </c>
      <c r="AZ287">
        <v>-4.9291411778470557</v>
      </c>
      <c r="BJ287" t="b">
        <f t="shared" si="87"/>
        <v>1</v>
      </c>
      <c r="BK287" t="b">
        <f t="shared" ca="1" si="88"/>
        <v>1</v>
      </c>
    </row>
    <row r="288" spans="1:63" x14ac:dyDescent="0.45">
      <c r="A288" s="1">
        <v>44819</v>
      </c>
      <c r="B288">
        <v>303.75</v>
      </c>
      <c r="C288" s="1">
        <v>44819</v>
      </c>
      <c r="D288">
        <v>390.12</v>
      </c>
      <c r="E288">
        <f t="shared" si="89"/>
        <v>3.7672251412708977E-3</v>
      </c>
      <c r="F288" s="4">
        <f t="shared" si="90"/>
        <v>-1.1353269133299589E-2</v>
      </c>
      <c r="G288">
        <f t="shared" ca="1" si="91"/>
        <v>-2.5368895300292111E-4</v>
      </c>
      <c r="H288">
        <f t="shared" ca="1" si="92"/>
        <v>4.1315026734824116E-2</v>
      </c>
      <c r="I288">
        <f t="shared" ca="1" si="93"/>
        <v>-3.2064203489790249E-2</v>
      </c>
      <c r="J288">
        <f t="shared" ca="1" si="94"/>
        <v>0.5288722691953458</v>
      </c>
      <c r="K288">
        <f t="shared" ca="1" si="95"/>
        <v>0.91424067782189722</v>
      </c>
      <c r="L288">
        <f t="shared" ca="1" si="96"/>
        <v>0.91952969989778</v>
      </c>
      <c r="M288">
        <f t="shared" ca="1" si="97"/>
        <v>-7.6388668947877656E-4</v>
      </c>
      <c r="N288">
        <f t="shared" ca="1" si="98"/>
        <v>1.4796189839708731E-2</v>
      </c>
      <c r="O288">
        <f t="shared" ca="1" si="99"/>
        <v>-0.2946355050562956</v>
      </c>
      <c r="P288">
        <f t="shared" ca="1" si="100"/>
        <v>7.1013797150057734E-2</v>
      </c>
      <c r="Q288">
        <f t="shared" ca="1" si="101"/>
        <v>0.76861060651700774</v>
      </c>
      <c r="R288">
        <f t="shared" ca="1" si="102"/>
        <v>1.0293752203924675</v>
      </c>
      <c r="T288">
        <f t="shared" si="103"/>
        <v>1.0037672251412708</v>
      </c>
      <c r="U288" s="6">
        <f t="shared" ca="1" si="104"/>
        <v>1.0500933416303668</v>
      </c>
      <c r="V288">
        <f t="shared" ca="1" si="105"/>
        <v>0.98704767432884977</v>
      </c>
      <c r="W288">
        <v>1.0498677046043365</v>
      </c>
      <c r="X288" t="b">
        <f t="shared" ca="1" si="106"/>
        <v>1</v>
      </c>
      <c r="AS288">
        <v>0.46607529742647119</v>
      </c>
      <c r="AT288">
        <v>999</v>
      </c>
      <c r="AU288">
        <v>999</v>
      </c>
      <c r="AV288">
        <v>6.0645346344119835</v>
      </c>
      <c r="AW288">
        <v>6.0711441201065037</v>
      </c>
      <c r="AX288">
        <v>6.5563607743871586</v>
      </c>
      <c r="AY288">
        <v>-6.9377631442581436</v>
      </c>
      <c r="AZ288">
        <v>-5.0005640009082359</v>
      </c>
      <c r="BJ288" t="b">
        <f t="shared" si="87"/>
        <v>1</v>
      </c>
      <c r="BK288" t="b">
        <f t="shared" ca="1" si="88"/>
        <v>1</v>
      </c>
    </row>
    <row r="289" spans="1:63" x14ac:dyDescent="0.45">
      <c r="A289" s="1">
        <v>44818</v>
      </c>
      <c r="B289">
        <v>302.61</v>
      </c>
      <c r="C289" s="1">
        <v>44818</v>
      </c>
      <c r="D289">
        <v>394.6</v>
      </c>
      <c r="E289">
        <f t="shared" si="89"/>
        <v>3.587443946188347E-2</v>
      </c>
      <c r="F289" s="4">
        <f t="shared" si="90"/>
        <v>3.8158229458153141E-3</v>
      </c>
      <c r="G289">
        <f t="shared" ca="1" si="91"/>
        <v>-1.8019200270943185E-5</v>
      </c>
      <c r="H289">
        <f t="shared" ca="1" si="92"/>
        <v>4.1472210212710844E-2</v>
      </c>
      <c r="I289">
        <f t="shared" ca="1" si="93"/>
        <v>-3.940001032855274E-2</v>
      </c>
      <c r="J289">
        <f t="shared" ca="1" si="94"/>
        <v>0.48768881904109529</v>
      </c>
      <c r="K289">
        <f t="shared" ca="1" si="95"/>
        <v>0.91424067782189722</v>
      </c>
      <c r="L289">
        <f t="shared" ca="1" si="96"/>
        <v>0.93373992043169496</v>
      </c>
      <c r="M289">
        <f t="shared" ca="1" si="97"/>
        <v>-6.4578735908560781E-4</v>
      </c>
      <c r="N289">
        <f t="shared" ca="1" si="98"/>
        <v>1.4805504292486948E-2</v>
      </c>
      <c r="O289">
        <f t="shared" ca="1" si="99"/>
        <v>-0.31293459875507751</v>
      </c>
      <c r="P289">
        <f t="shared" ca="1" si="100"/>
        <v>7.4723989330841345E-2</v>
      </c>
      <c r="Q289">
        <f t="shared" ca="1" si="101"/>
        <v>0.76861060651700774</v>
      </c>
      <c r="R289">
        <f t="shared" ca="1" si="102"/>
        <v>1.0991066582609363</v>
      </c>
      <c r="T289">
        <f t="shared" si="103"/>
        <v>1.0358744394618835</v>
      </c>
      <c r="U289" s="6">
        <f t="shared" ca="1" si="104"/>
        <v>1.0666549171660207</v>
      </c>
      <c r="V289">
        <f t="shared" ca="1" si="105"/>
        <v>0.99580658408695177</v>
      </c>
      <c r="W289">
        <v>1.0305496007400015</v>
      </c>
      <c r="X289" t="b">
        <f t="shared" ca="1" si="106"/>
        <v>1</v>
      </c>
      <c r="AS289">
        <v>0.46373153887311669</v>
      </c>
      <c r="AT289">
        <v>999</v>
      </c>
      <c r="AU289">
        <v>999</v>
      </c>
      <c r="AV289">
        <v>6.1185940834963741</v>
      </c>
      <c r="AW289">
        <v>6.2307890123964578</v>
      </c>
      <c r="AX289">
        <v>6.6084432995634828</v>
      </c>
      <c r="AY289">
        <v>-6.9228102658571364</v>
      </c>
      <c r="AZ289">
        <v>-5.0538579792880318</v>
      </c>
      <c r="BJ289" t="b">
        <f t="shared" si="87"/>
        <v>1</v>
      </c>
      <c r="BK289" t="b">
        <f t="shared" ca="1" si="88"/>
        <v>1</v>
      </c>
    </row>
    <row r="290" spans="1:63" x14ac:dyDescent="0.45">
      <c r="A290" s="1">
        <v>44817</v>
      </c>
      <c r="B290">
        <v>292.13</v>
      </c>
      <c r="C290" s="1">
        <v>44817</v>
      </c>
      <c r="D290">
        <v>393.1</v>
      </c>
      <c r="E290">
        <f t="shared" si="89"/>
        <v>-4.0371854674462977E-2</v>
      </c>
      <c r="F290" s="4">
        <f t="shared" si="90"/>
        <v>-4.3482492639365412E-2</v>
      </c>
      <c r="G290">
        <f t="shared" ca="1" si="91"/>
        <v>-3.5007956962337217E-4</v>
      </c>
      <c r="H290">
        <f t="shared" ca="1" si="92"/>
        <v>4.1449250029367023E-2</v>
      </c>
      <c r="I290">
        <f t="shared" ca="1" si="93"/>
        <v>-2.0510636548304088E-2</v>
      </c>
      <c r="J290">
        <f t="shared" ca="1" si="94"/>
        <v>0.49306734393513096</v>
      </c>
      <c r="K290">
        <f t="shared" ca="1" si="95"/>
        <v>0.91424067782189722</v>
      </c>
      <c r="L290">
        <f t="shared" ca="1" si="96"/>
        <v>0.90267505042183027</v>
      </c>
      <c r="M290">
        <f t="shared" ca="1" si="97"/>
        <v>-7.7638232248544107E-4</v>
      </c>
      <c r="N290">
        <f t="shared" ca="1" si="98"/>
        <v>1.4880953687887416E-2</v>
      </c>
      <c r="O290">
        <f t="shared" ca="1" si="99"/>
        <v>-0.29738823000124909</v>
      </c>
      <c r="P290">
        <f t="shared" ca="1" si="100"/>
        <v>2.3983142644750988E-2</v>
      </c>
      <c r="Q290">
        <f t="shared" ca="1" si="101"/>
        <v>0.76861060651700774</v>
      </c>
      <c r="R290">
        <f t="shared" ca="1" si="102"/>
        <v>1.0415770766253287</v>
      </c>
      <c r="T290">
        <f t="shared" si="103"/>
        <v>0.95962814532553697</v>
      </c>
      <c r="U290" s="6">
        <f t="shared" ca="1" si="104"/>
        <v>1.0645361125282415</v>
      </c>
      <c r="V290">
        <f t="shared" ca="1" si="105"/>
        <v>1.0082317080620524</v>
      </c>
      <c r="W290">
        <v>1.0566869482820915</v>
      </c>
      <c r="X290" t="b">
        <f t="shared" ca="1" si="106"/>
        <v>1</v>
      </c>
      <c r="AS290">
        <v>0.46976808237958162</v>
      </c>
      <c r="AT290">
        <v>999</v>
      </c>
      <c r="AU290">
        <v>999</v>
      </c>
      <c r="AV290">
        <v>6.1530935041496226</v>
      </c>
      <c r="AW290">
        <v>6.3491096029451901</v>
      </c>
      <c r="AX290">
        <v>6.6472151322235753</v>
      </c>
      <c r="AY290">
        <v>-6.9097411035545253</v>
      </c>
      <c r="AZ290">
        <v>-5.0604158584335286</v>
      </c>
      <c r="BJ290" t="b">
        <f t="shared" si="87"/>
        <v>1</v>
      </c>
      <c r="BK290" t="b">
        <f t="shared" ca="1" si="88"/>
        <v>1</v>
      </c>
    </row>
    <row r="291" spans="1:63" x14ac:dyDescent="0.45">
      <c r="A291" s="1">
        <v>44816</v>
      </c>
      <c r="B291">
        <v>304.42</v>
      </c>
      <c r="C291" s="1">
        <v>44816</v>
      </c>
      <c r="D291">
        <v>410.97</v>
      </c>
      <c r="E291">
        <f t="shared" si="89"/>
        <v>1.5816871329418076E-2</v>
      </c>
      <c r="F291" s="4">
        <f t="shared" si="90"/>
        <v>1.074766355140188E-2</v>
      </c>
      <c r="G291">
        <f t="shared" ca="1" si="91"/>
        <v>-1.1680097614188073E-4</v>
      </c>
      <c r="H291">
        <f t="shared" ca="1" si="92"/>
        <v>4.1354054580308539E-2</v>
      </c>
      <c r="I291">
        <f t="shared" ca="1" si="93"/>
        <v>-3.3124862467885069E-2</v>
      </c>
      <c r="J291">
        <f t="shared" ca="1" si="94"/>
        <v>0.52179117231420635</v>
      </c>
      <c r="K291">
        <f t="shared" ca="1" si="95"/>
        <v>0.91424067782189722</v>
      </c>
      <c r="L291">
        <f t="shared" ca="1" si="96"/>
        <v>0.91952969989778</v>
      </c>
      <c r="M291">
        <f t="shared" ca="1" si="97"/>
        <v>-5.45620578013918E-4</v>
      </c>
      <c r="N291">
        <f t="shared" ca="1" si="98"/>
        <v>1.4569971227927029E-2</v>
      </c>
      <c r="O291">
        <f t="shared" ca="1" si="99"/>
        <v>-0.23694929336699452</v>
      </c>
      <c r="P291">
        <f t="shared" ca="1" si="100"/>
        <v>-7.3908395480669409E-2</v>
      </c>
      <c r="Q291">
        <f t="shared" ca="1" si="101"/>
        <v>0.80903978627466344</v>
      </c>
      <c r="R291">
        <f t="shared" ca="1" si="102"/>
        <v>1.0991066582609363</v>
      </c>
      <c r="T291">
        <f t="shared" si="103"/>
        <v>1.015816871329418</v>
      </c>
      <c r="U291" s="6">
        <f t="shared" ca="1" si="104"/>
        <v>1.1266052329669516</v>
      </c>
      <c r="V291">
        <f t="shared" ca="1" si="105"/>
        <v>1.0094657563600467</v>
      </c>
      <c r="W291">
        <v>1.032338245329909</v>
      </c>
      <c r="X291" t="b">
        <f t="shared" ca="1" si="106"/>
        <v>1</v>
      </c>
      <c r="AS291">
        <v>0.4952069368493105</v>
      </c>
      <c r="AT291">
        <v>999</v>
      </c>
      <c r="AU291">
        <v>999</v>
      </c>
      <c r="AV291">
        <v>6.5733532558536183</v>
      </c>
      <c r="AW291">
        <v>6.8255685971996787</v>
      </c>
      <c r="AX291">
        <v>7.0861435096971634</v>
      </c>
      <c r="AY291">
        <v>-7.1080907593559006</v>
      </c>
      <c r="AZ291">
        <v>-5.4453971439250086</v>
      </c>
      <c r="BJ291" t="b">
        <f t="shared" si="87"/>
        <v>1</v>
      </c>
      <c r="BK291" t="b">
        <f t="shared" ca="1" si="88"/>
        <v>1</v>
      </c>
    </row>
    <row r="292" spans="1:63" x14ac:dyDescent="0.45">
      <c r="A292" s="1">
        <v>44813</v>
      </c>
      <c r="B292">
        <v>299.68</v>
      </c>
      <c r="C292" s="1">
        <v>44813</v>
      </c>
      <c r="D292">
        <v>406.6</v>
      </c>
      <c r="E292">
        <f t="shared" si="89"/>
        <v>3.6022955126875533E-2</v>
      </c>
      <c r="F292" s="4">
        <f t="shared" si="90"/>
        <v>1.5535241520555541E-2</v>
      </c>
      <c r="G292">
        <f t="shared" ca="1" si="91"/>
        <v>-4.0264167253011669E-4</v>
      </c>
      <c r="H292">
        <f t="shared" ca="1" si="92"/>
        <v>4.1440850054131027E-2</v>
      </c>
      <c r="I292">
        <f t="shared" ca="1" si="93"/>
        <v>-1.730408085551987E-2</v>
      </c>
      <c r="J292">
        <f t="shared" ca="1" si="94"/>
        <v>0.49617884605446383</v>
      </c>
      <c r="K292">
        <f t="shared" ca="1" si="95"/>
        <v>0.91424067782189722</v>
      </c>
      <c r="L292">
        <f t="shared" ca="1" si="96"/>
        <v>0.90267505042183027</v>
      </c>
      <c r="M292">
        <f t="shared" ca="1" si="97"/>
        <v>-5.9272887245890953E-4</v>
      </c>
      <c r="N292">
        <f t="shared" ca="1" si="98"/>
        <v>1.4548489211877213E-2</v>
      </c>
      <c r="O292">
        <f t="shared" ca="1" si="99"/>
        <v>-0.23055165378571993</v>
      </c>
      <c r="P292">
        <f t="shared" ca="1" si="100"/>
        <v>-6.1307328490580293E-2</v>
      </c>
      <c r="Q292">
        <f t="shared" ca="1" si="101"/>
        <v>0.80903978627466344</v>
      </c>
      <c r="R292">
        <f t="shared" ca="1" si="102"/>
        <v>1.086230855087414</v>
      </c>
      <c r="T292">
        <f t="shared" si="103"/>
        <v>1.0360229551268756</v>
      </c>
      <c r="U292" s="6">
        <f t="shared" ca="1" si="104"/>
        <v>1.0812527060181847</v>
      </c>
      <c r="V292">
        <f t="shared" ca="1" si="105"/>
        <v>0.99614423247259432</v>
      </c>
      <c r="W292">
        <v>0.95571586603015302</v>
      </c>
      <c r="X292" t="b">
        <f t="shared" ca="1" si="106"/>
        <v>0</v>
      </c>
      <c r="AS292">
        <v>0.50827899497876905</v>
      </c>
      <c r="AT292">
        <v>999</v>
      </c>
      <c r="AU292">
        <v>999</v>
      </c>
      <c r="AV292">
        <v>6.9493613383156996</v>
      </c>
      <c r="AW292">
        <v>7.1404214871783109</v>
      </c>
      <c r="AX292">
        <v>7.4618316919849352</v>
      </c>
      <c r="AY292">
        <v>-7.3014718169607731</v>
      </c>
      <c r="AZ292">
        <v>-5.8259775050283098</v>
      </c>
      <c r="BJ292" t="b">
        <f t="shared" si="87"/>
        <v>1</v>
      </c>
      <c r="BK292" t="b">
        <f t="shared" ca="1" si="88"/>
        <v>0</v>
      </c>
    </row>
    <row r="293" spans="1:63" x14ac:dyDescent="0.45">
      <c r="A293" s="1">
        <v>44812</v>
      </c>
      <c r="B293">
        <v>289.26</v>
      </c>
      <c r="C293" s="1">
        <v>44812</v>
      </c>
      <c r="D293">
        <v>400.38</v>
      </c>
      <c r="E293">
        <f t="shared" si="89"/>
        <v>1.9598167077899197E-2</v>
      </c>
      <c r="F293" s="4">
        <f t="shared" si="90"/>
        <v>6.5362763336518246E-3</v>
      </c>
      <c r="G293">
        <f t="shared" ca="1" si="91"/>
        <v>-4.9565022685691166E-4</v>
      </c>
      <c r="H293">
        <f t="shared" ca="1" si="92"/>
        <v>4.1379515923704743E-2</v>
      </c>
      <c r="I293">
        <f t="shared" ca="1" si="93"/>
        <v>-1.3626656835525436E-2</v>
      </c>
      <c r="J293">
        <f t="shared" ca="1" si="94"/>
        <v>0.51413780774761753</v>
      </c>
      <c r="K293">
        <f t="shared" ca="1" si="95"/>
        <v>0.91424067782189722</v>
      </c>
      <c r="L293">
        <f t="shared" ca="1" si="96"/>
        <v>0.88866554342353521</v>
      </c>
      <c r="M293">
        <f t="shared" ca="1" si="97"/>
        <v>-6.8448087609060643E-4</v>
      </c>
      <c r="N293">
        <f t="shared" ca="1" si="98"/>
        <v>1.4504061675599263E-2</v>
      </c>
      <c r="O293">
        <f t="shared" ca="1" si="99"/>
        <v>-0.22050403614550768</v>
      </c>
      <c r="P293">
        <f t="shared" ca="1" si="100"/>
        <v>-3.8427356268346813E-2</v>
      </c>
      <c r="Q293">
        <f t="shared" ca="1" si="101"/>
        <v>0.80903978627466344</v>
      </c>
      <c r="R293">
        <f t="shared" ca="1" si="102"/>
        <v>1.073568082509383</v>
      </c>
      <c r="T293">
        <f t="shared" si="103"/>
        <v>1.0195981670778993</v>
      </c>
      <c r="U293" s="6">
        <f t="shared" ca="1" si="104"/>
        <v>1.0495265048438012</v>
      </c>
      <c r="V293">
        <f t="shared" ca="1" si="105"/>
        <v>1.0080990326172077</v>
      </c>
      <c r="W293">
        <v>0.9733827115971847</v>
      </c>
      <c r="X293" t="b">
        <f t="shared" ca="1" si="106"/>
        <v>0</v>
      </c>
      <c r="AS293">
        <v>0.49315787420947926</v>
      </c>
      <c r="AT293">
        <v>999</v>
      </c>
      <c r="AU293">
        <v>999</v>
      </c>
      <c r="AV293">
        <v>6.9399352796991449</v>
      </c>
      <c r="AW293">
        <v>7.0683021820020997</v>
      </c>
      <c r="AX293">
        <v>7.4340671060240453</v>
      </c>
      <c r="AY293">
        <v>-7.1751648690515459</v>
      </c>
      <c r="AZ293">
        <v>-5.852800981068861</v>
      </c>
      <c r="BJ293" t="b">
        <f t="shared" si="87"/>
        <v>1</v>
      </c>
      <c r="BK293" t="b">
        <f t="shared" ca="1" si="88"/>
        <v>0</v>
      </c>
    </row>
    <row r="294" spans="1:63" x14ac:dyDescent="0.45">
      <c r="A294" s="1">
        <v>44811</v>
      </c>
      <c r="B294">
        <v>283.7</v>
      </c>
      <c r="C294" s="1">
        <v>44811</v>
      </c>
      <c r="D294">
        <v>397.78</v>
      </c>
      <c r="E294">
        <f t="shared" si="89"/>
        <v>3.3816777202827678E-2</v>
      </c>
      <c r="F294" s="4">
        <f t="shared" si="90"/>
        <v>1.7964991299007017E-2</v>
      </c>
      <c r="G294">
        <f t="shared" ca="1" si="91"/>
        <v>-4.0812144313624537E-4</v>
      </c>
      <c r="H294">
        <f t="shared" ca="1" si="92"/>
        <v>4.1440702777694363E-2</v>
      </c>
      <c r="I294">
        <f t="shared" ca="1" si="93"/>
        <v>-1.6754267495344626E-2</v>
      </c>
      <c r="J294">
        <f t="shared" ca="1" si="94"/>
        <v>0.49649989574052933</v>
      </c>
      <c r="K294">
        <f t="shared" ca="1" si="95"/>
        <v>0.91424067782189722</v>
      </c>
      <c r="L294">
        <f t="shared" ca="1" si="96"/>
        <v>0.90267505042183027</v>
      </c>
      <c r="M294">
        <f t="shared" ca="1" si="97"/>
        <v>-7.2610356446697487E-4</v>
      </c>
      <c r="N294">
        <f t="shared" ca="1" si="98"/>
        <v>1.4495177801482979E-2</v>
      </c>
      <c r="O294">
        <f t="shared" ca="1" si="99"/>
        <v>-0.21283792705615115</v>
      </c>
      <c r="P294">
        <f t="shared" ca="1" si="100"/>
        <v>-3.3911988103902058E-2</v>
      </c>
      <c r="Q294">
        <f t="shared" ca="1" si="101"/>
        <v>0.80903978627466344</v>
      </c>
      <c r="R294">
        <f t="shared" ca="1" si="102"/>
        <v>1.073568082509383</v>
      </c>
      <c r="T294">
        <f t="shared" si="103"/>
        <v>1.0338167772028277</v>
      </c>
      <c r="U294" s="6">
        <f t="shared" ca="1" si="104"/>
        <v>1.0216060496939143</v>
      </c>
      <c r="V294">
        <f t="shared" ca="1" si="105"/>
        <v>0.9972886506430988</v>
      </c>
      <c r="W294">
        <v>0.99028553563413091</v>
      </c>
      <c r="X294" t="b">
        <f t="shared" ca="1" si="106"/>
        <v>0</v>
      </c>
      <c r="AS294">
        <v>0.46374562317540002</v>
      </c>
      <c r="AT294">
        <v>999</v>
      </c>
      <c r="AU294">
        <v>999</v>
      </c>
      <c r="AV294">
        <v>6.572028840473501</v>
      </c>
      <c r="AW294">
        <v>6.812896644740186</v>
      </c>
      <c r="AX294">
        <v>7.0524118428748563</v>
      </c>
      <c r="AY294">
        <v>-6.7718019448673408</v>
      </c>
      <c r="AZ294">
        <v>-5.5219806940481053</v>
      </c>
      <c r="BJ294" t="b">
        <f t="shared" si="87"/>
        <v>1</v>
      </c>
      <c r="BK294" t="b">
        <f t="shared" ca="1" si="88"/>
        <v>0</v>
      </c>
    </row>
    <row r="295" spans="1:63" x14ac:dyDescent="0.45">
      <c r="A295" s="1">
        <v>44810</v>
      </c>
      <c r="B295">
        <v>274.42</v>
      </c>
      <c r="C295" s="1">
        <v>44810</v>
      </c>
      <c r="D295">
        <v>390.76</v>
      </c>
      <c r="E295">
        <f t="shared" si="89"/>
        <v>1.5580474445801549E-2</v>
      </c>
      <c r="F295" s="4">
        <f t="shared" si="90"/>
        <v>-3.773200081582751E-3</v>
      </c>
      <c r="G295">
        <f t="shared" ca="1" si="91"/>
        <v>-5.4336263363547138E-4</v>
      </c>
      <c r="H295">
        <f t="shared" ca="1" si="92"/>
        <v>4.137252870929449E-2</v>
      </c>
      <c r="I295">
        <f t="shared" ca="1" si="93"/>
        <v>-9.778487826022449E-3</v>
      </c>
      <c r="J295">
        <f t="shared" ca="1" si="94"/>
        <v>0.51728844739856594</v>
      </c>
      <c r="K295">
        <f t="shared" ca="1" si="95"/>
        <v>0.91424067782189722</v>
      </c>
      <c r="L295">
        <f t="shared" ca="1" si="96"/>
        <v>0.88866554342353521</v>
      </c>
      <c r="M295">
        <f t="shared" ca="1" si="97"/>
        <v>-7.9894642159002692E-4</v>
      </c>
      <c r="N295">
        <f t="shared" ca="1" si="98"/>
        <v>1.4437267290346036E-2</v>
      </c>
      <c r="O295">
        <f t="shared" ca="1" si="99"/>
        <v>-0.21101618619599713</v>
      </c>
      <c r="P295">
        <f t="shared" ca="1" si="100"/>
        <v>-4.3135436754098144E-3</v>
      </c>
      <c r="Q295">
        <f t="shared" ca="1" si="101"/>
        <v>0.80903978627466344</v>
      </c>
      <c r="R295">
        <f t="shared" ca="1" si="102"/>
        <v>1.0552143618478542</v>
      </c>
      <c r="T295">
        <f t="shared" si="103"/>
        <v>1.0155804744458015</v>
      </c>
      <c r="U295" s="6">
        <f t="shared" ca="1" si="104"/>
        <v>0.96348571027315499</v>
      </c>
      <c r="V295">
        <f t="shared" ca="1" si="105"/>
        <v>0.99082175157451069</v>
      </c>
      <c r="W295">
        <v>0.97285604637825696</v>
      </c>
      <c r="X295" t="b">
        <f t="shared" ca="1" si="106"/>
        <v>1</v>
      </c>
      <c r="AS295">
        <v>0.46233727009649844</v>
      </c>
      <c r="AT295">
        <v>999</v>
      </c>
      <c r="AU295">
        <v>999</v>
      </c>
      <c r="AV295">
        <v>6.3078901255338069</v>
      </c>
      <c r="AW295">
        <v>6.7354940018252094</v>
      </c>
      <c r="AX295">
        <v>6.7651752875644409</v>
      </c>
      <c r="AY295">
        <v>-6.7271478807830993</v>
      </c>
      <c r="AZ295">
        <v>-5.2608352891924586</v>
      </c>
      <c r="BJ295" t="b">
        <f t="shared" si="87"/>
        <v>1</v>
      </c>
      <c r="BK295" t="b">
        <f t="shared" ca="1" si="88"/>
        <v>1</v>
      </c>
    </row>
    <row r="296" spans="1:63" x14ac:dyDescent="0.45">
      <c r="A296" s="1">
        <v>44806</v>
      </c>
      <c r="B296">
        <v>270.20999999999998</v>
      </c>
      <c r="C296" s="1">
        <v>44806</v>
      </c>
      <c r="D296">
        <v>392.24</v>
      </c>
      <c r="E296">
        <f t="shared" si="89"/>
        <v>-2.5075768509164542E-2</v>
      </c>
      <c r="F296" s="4">
        <f t="shared" si="90"/>
        <v>-1.0544372130568606E-2</v>
      </c>
      <c r="G296">
        <f t="shared" ca="1" si="91"/>
        <v>-4.5876859682748351E-4</v>
      </c>
      <c r="H296">
        <f t="shared" ca="1" si="92"/>
        <v>4.1422928811170087E-2</v>
      </c>
      <c r="I296">
        <f t="shared" ca="1" si="93"/>
        <v>-1.3654299330163506E-2</v>
      </c>
      <c r="J296">
        <f t="shared" ca="1" si="94"/>
        <v>0.50204515376045622</v>
      </c>
      <c r="K296">
        <f t="shared" ca="1" si="95"/>
        <v>0.91424067782189722</v>
      </c>
      <c r="L296">
        <f t="shared" ca="1" si="96"/>
        <v>0.90267505042183027</v>
      </c>
      <c r="M296">
        <f t="shared" ca="1" si="97"/>
        <v>-7.9222668780331987E-4</v>
      </c>
      <c r="N296">
        <f t="shared" ca="1" si="98"/>
        <v>1.44361887118952E-2</v>
      </c>
      <c r="O296">
        <f t="shared" ca="1" si="99"/>
        <v>-0.21243694812665623</v>
      </c>
      <c r="P296">
        <f t="shared" ca="1" si="100"/>
        <v>-3.0107507643286624E-3</v>
      </c>
      <c r="Q296">
        <f t="shared" ca="1" si="101"/>
        <v>0.80903978627466344</v>
      </c>
      <c r="R296">
        <f t="shared" ca="1" si="102"/>
        <v>1.0552143618478542</v>
      </c>
      <c r="T296">
        <f t="shared" si="103"/>
        <v>0.97492423149083551</v>
      </c>
      <c r="U296" s="6">
        <f t="shared" ca="1" si="104"/>
        <v>0.93793606164740195</v>
      </c>
      <c r="V296">
        <f t="shared" ca="1" si="105"/>
        <v>0.99029496756287305</v>
      </c>
      <c r="W296">
        <v>0.91810492613112293</v>
      </c>
      <c r="X296" t="b">
        <f t="shared" ca="1" si="106"/>
        <v>1</v>
      </c>
      <c r="AS296">
        <v>0.4744683789657802</v>
      </c>
      <c r="AT296">
        <v>999</v>
      </c>
      <c r="AU296">
        <v>999</v>
      </c>
      <c r="AV296">
        <v>6.0917069149115717</v>
      </c>
      <c r="AW296">
        <v>6.7401744716964931</v>
      </c>
      <c r="AX296">
        <v>6.5202130422626219</v>
      </c>
      <c r="AY296">
        <v>-6.8731903019061962</v>
      </c>
      <c r="AZ296">
        <v>-5.0821059838613767</v>
      </c>
      <c r="BJ296" t="b">
        <f t="shared" si="87"/>
        <v>1</v>
      </c>
      <c r="BK296" t="b">
        <f t="shared" ca="1" si="88"/>
        <v>1</v>
      </c>
    </row>
    <row r="297" spans="1:63" x14ac:dyDescent="0.45">
      <c r="A297" s="1">
        <v>44805</v>
      </c>
      <c r="B297">
        <v>277.16000000000003</v>
      </c>
      <c r="C297" s="1">
        <v>44805</v>
      </c>
      <c r="D297">
        <v>396.42</v>
      </c>
      <c r="E297">
        <f t="shared" si="89"/>
        <v>5.6238888284170074E-3</v>
      </c>
      <c r="F297" s="4">
        <f t="shared" si="90"/>
        <v>3.1378106179462753E-3</v>
      </c>
      <c r="G297">
        <f t="shared" ca="1" si="91"/>
        <v>-1.2942109855055574E-4</v>
      </c>
      <c r="H297">
        <f t="shared" ca="1" si="92"/>
        <v>4.1488027292934701E-2</v>
      </c>
      <c r="I297">
        <f t="shared" ca="1" si="93"/>
        <v>-3.1596038101571675E-2</v>
      </c>
      <c r="J297">
        <f t="shared" ca="1" si="94"/>
        <v>0.48488455921917151</v>
      </c>
      <c r="K297">
        <f t="shared" ca="1" si="95"/>
        <v>0.91424067782189722</v>
      </c>
      <c r="L297">
        <f t="shared" ca="1" si="96"/>
        <v>0.93373992043169496</v>
      </c>
      <c r="M297">
        <f t="shared" ca="1" si="97"/>
        <v>-7.1971576782608624E-4</v>
      </c>
      <c r="N297">
        <f t="shared" ca="1" si="98"/>
        <v>1.4423374440404832E-2</v>
      </c>
      <c r="O297">
        <f t="shared" ca="1" si="99"/>
        <v>-0.22648783366006378</v>
      </c>
      <c r="P297">
        <f t="shared" ca="1" si="100"/>
        <v>1.1286101283147776E-2</v>
      </c>
      <c r="Q297">
        <f t="shared" ca="1" si="101"/>
        <v>0.80903978627466344</v>
      </c>
      <c r="R297">
        <f t="shared" ca="1" si="102"/>
        <v>1.0685741381771443</v>
      </c>
      <c r="T297">
        <f t="shared" si="103"/>
        <v>1.005623888828417</v>
      </c>
      <c r="U297" s="6">
        <f t="shared" ca="1" si="104"/>
        <v>0.93612996926402547</v>
      </c>
      <c r="V297">
        <f t="shared" ca="1" si="105"/>
        <v>1.0519689866156461</v>
      </c>
      <c r="W297">
        <v>1.0147811178508466</v>
      </c>
      <c r="X297" t="b">
        <f t="shared" ca="1" si="106"/>
        <v>0</v>
      </c>
      <c r="AS297">
        <v>0.48146397951868597</v>
      </c>
      <c r="AT297">
        <v>999</v>
      </c>
      <c r="AU297">
        <v>999</v>
      </c>
      <c r="AV297">
        <v>5.91922408715096</v>
      </c>
      <c r="AW297">
        <v>6.7661759713351088</v>
      </c>
      <c r="AX297">
        <v>6.3234666269527642</v>
      </c>
      <c r="AY297">
        <v>-6.9648564092328469</v>
      </c>
      <c r="AZ297">
        <v>-4.8824533338144525</v>
      </c>
      <c r="BJ297" t="b">
        <f t="shared" si="87"/>
        <v>1</v>
      </c>
      <c r="BK297" t="b">
        <f t="shared" ca="1" si="88"/>
        <v>0</v>
      </c>
    </row>
    <row r="298" spans="1:63" x14ac:dyDescent="0.45">
      <c r="A298" s="1">
        <v>44804</v>
      </c>
      <c r="B298">
        <v>275.61</v>
      </c>
      <c r="C298" s="1">
        <v>44804</v>
      </c>
      <c r="D298">
        <v>395.18</v>
      </c>
      <c r="E298">
        <f t="shared" si="89"/>
        <v>-7.5261073100467233E-3</v>
      </c>
      <c r="F298" s="4">
        <f t="shared" si="90"/>
        <v>-7.6090505009918704E-3</v>
      </c>
      <c r="G298">
        <f t="shared" ca="1" si="91"/>
        <v>-2.5444218665312537E-4</v>
      </c>
      <c r="H298">
        <f t="shared" ca="1" si="92"/>
        <v>4.1508272236063889E-2</v>
      </c>
      <c r="I298">
        <f t="shared" ca="1" si="93"/>
        <v>-2.2942541094399312E-2</v>
      </c>
      <c r="J298">
        <f t="shared" ca="1" si="94"/>
        <v>0.47790113139377643</v>
      </c>
      <c r="K298">
        <f t="shared" ca="1" si="95"/>
        <v>0.91424067782189722</v>
      </c>
      <c r="L298">
        <f t="shared" ca="1" si="96"/>
        <v>0.93373992043169496</v>
      </c>
      <c r="M298">
        <f t="shared" ca="1" si="97"/>
        <v>-7.3369274866636846E-4</v>
      </c>
      <c r="N298">
        <f t="shared" ca="1" si="98"/>
        <v>1.4420971757372536E-2</v>
      </c>
      <c r="O298">
        <f t="shared" ca="1" si="99"/>
        <v>-0.22375917549985988</v>
      </c>
      <c r="P298">
        <f t="shared" ca="1" si="100"/>
        <v>1.2406687874801925E-2</v>
      </c>
      <c r="Q298">
        <f t="shared" ca="1" si="101"/>
        <v>0.80903978627466344</v>
      </c>
      <c r="R298">
        <f t="shared" ca="1" si="102"/>
        <v>1.0685741381771443</v>
      </c>
      <c r="T298">
        <f t="shared" si="103"/>
        <v>0.99247389268995323</v>
      </c>
      <c r="U298" s="6">
        <f t="shared" ca="1" si="104"/>
        <v>0.92767775609759395</v>
      </c>
      <c r="V298">
        <f t="shared" ca="1" si="105"/>
        <v>1.0623218373427066</v>
      </c>
      <c r="W298">
        <v>1.0602500255078433</v>
      </c>
      <c r="X298" t="b">
        <f t="shared" ca="1" si="106"/>
        <v>0</v>
      </c>
      <c r="AS298">
        <v>0.49325288734989647</v>
      </c>
      <c r="AT298">
        <v>999</v>
      </c>
      <c r="AU298">
        <v>999</v>
      </c>
      <c r="AV298">
        <v>5.7409752251478263</v>
      </c>
      <c r="AW298">
        <v>6.924265954567602</v>
      </c>
      <c r="AX298">
        <v>6.1134241755676806</v>
      </c>
      <c r="AY298">
        <v>-7.1763756727263512</v>
      </c>
      <c r="AZ298">
        <v>-4.6473494282920509</v>
      </c>
      <c r="BJ298" t="b">
        <f t="shared" si="87"/>
        <v>1</v>
      </c>
      <c r="BK298" t="b">
        <f t="shared" ca="1" si="88"/>
        <v>0</v>
      </c>
    </row>
    <row r="299" spans="1:63" x14ac:dyDescent="0.45">
      <c r="A299" s="1">
        <v>44803</v>
      </c>
      <c r="B299">
        <v>277.7</v>
      </c>
      <c r="C299" s="1">
        <v>44803</v>
      </c>
      <c r="D299">
        <v>398.21</v>
      </c>
      <c r="E299">
        <f t="shared" si="89"/>
        <v>-2.4998244505301609E-2</v>
      </c>
      <c r="F299" s="4">
        <f t="shared" si="90"/>
        <v>-1.0977820828055575E-2</v>
      </c>
      <c r="G299">
        <f t="shared" ca="1" si="91"/>
        <v>-3.5827730765727054E-4</v>
      </c>
      <c r="H299">
        <f t="shared" ca="1" si="92"/>
        <v>4.1552505429091315E-2</v>
      </c>
      <c r="I299">
        <f t="shared" ca="1" si="93"/>
        <v>-1.6829267583257857E-2</v>
      </c>
      <c r="J299">
        <f t="shared" ca="1" si="94"/>
        <v>0.46377972400467904</v>
      </c>
      <c r="K299">
        <f t="shared" ca="1" si="95"/>
        <v>0.91424067782189722</v>
      </c>
      <c r="L299">
        <f t="shared" ca="1" si="96"/>
        <v>0.90598991884356972</v>
      </c>
      <c r="M299">
        <f t="shared" ca="1" si="97"/>
        <v>-6.579132744566848E-4</v>
      </c>
      <c r="N299">
        <f t="shared" ca="1" si="98"/>
        <v>1.4424481754533655E-2</v>
      </c>
      <c r="O299">
        <f t="shared" ca="1" si="99"/>
        <v>-0.23800589121276841</v>
      </c>
      <c r="P299">
        <f t="shared" ca="1" si="100"/>
        <v>1.465861828099424E-2</v>
      </c>
      <c r="Q299">
        <f t="shared" ca="1" si="101"/>
        <v>0.80903978627466344</v>
      </c>
      <c r="R299">
        <f t="shared" ca="1" si="102"/>
        <v>1.0685741381771443</v>
      </c>
      <c r="T299">
        <f t="shared" si="103"/>
        <v>0.97500175549469836</v>
      </c>
      <c r="U299" s="6">
        <f t="shared" ca="1" si="104"/>
        <v>0.93674208053215857</v>
      </c>
      <c r="V299">
        <f t="shared" ca="1" si="105"/>
        <v>1.0650464874674559</v>
      </c>
      <c r="W299">
        <v>1.0803823645424262</v>
      </c>
      <c r="X299" t="b">
        <f t="shared" ca="1" si="106"/>
        <v>0</v>
      </c>
      <c r="AS299">
        <v>0.51224121358206876</v>
      </c>
      <c r="AT299">
        <v>999</v>
      </c>
      <c r="AU299">
        <v>999</v>
      </c>
      <c r="AV299">
        <v>5.553559296070735</v>
      </c>
      <c r="AW299">
        <v>7.1227719904434545</v>
      </c>
      <c r="AX299">
        <v>5.889450622950271</v>
      </c>
      <c r="AY299">
        <v>-7.4762260697464846</v>
      </c>
      <c r="AZ299">
        <v>-4.3861739246275917</v>
      </c>
      <c r="BJ299" t="b">
        <f t="shared" si="87"/>
        <v>1</v>
      </c>
      <c r="BK299" t="b">
        <f t="shared" ca="1" si="88"/>
        <v>0</v>
      </c>
    </row>
    <row r="300" spans="1:63" x14ac:dyDescent="0.45">
      <c r="A300" s="1">
        <v>44802</v>
      </c>
      <c r="B300">
        <v>284.82</v>
      </c>
      <c r="C300" s="1">
        <v>44802</v>
      </c>
      <c r="D300">
        <v>402.63</v>
      </c>
      <c r="E300">
        <f t="shared" si="89"/>
        <v>-1.1350619598042216E-2</v>
      </c>
      <c r="F300" s="4">
        <f t="shared" si="90"/>
        <v>-6.6122227430855558E-3</v>
      </c>
      <c r="G300">
        <f t="shared" ca="1" si="91"/>
        <v>-2.5407359464666633E-4</v>
      </c>
      <c r="H300">
        <f t="shared" ca="1" si="92"/>
        <v>4.151652000433282E-2</v>
      </c>
      <c r="I300">
        <f t="shared" ca="1" si="93"/>
        <v>-2.3421700985071788E-2</v>
      </c>
      <c r="J300">
        <f t="shared" ca="1" si="94"/>
        <v>0.47552222986746306</v>
      </c>
      <c r="K300">
        <f t="shared" ca="1" si="95"/>
        <v>0.91424067782189722</v>
      </c>
      <c r="L300">
        <f t="shared" ca="1" si="96"/>
        <v>0.9219875750764156</v>
      </c>
      <c r="M300">
        <f t="shared" ca="1" si="97"/>
        <v>-6.0140646616214303E-4</v>
      </c>
      <c r="N300">
        <f t="shared" ca="1" si="98"/>
        <v>1.4405975389884439E-2</v>
      </c>
      <c r="O300">
        <f t="shared" ca="1" si="99"/>
        <v>-0.24894300878982376</v>
      </c>
      <c r="P300">
        <f t="shared" ca="1" si="100"/>
        <v>3.2941272322063231E-2</v>
      </c>
      <c r="Q300">
        <f t="shared" ca="1" si="101"/>
        <v>0.80903978627466344</v>
      </c>
      <c r="R300">
        <f t="shared" ca="1" si="102"/>
        <v>1.0716171527538905</v>
      </c>
      <c r="T300">
        <f t="shared" si="103"/>
        <v>0.98864938040195782</v>
      </c>
      <c r="U300" s="6">
        <f t="shared" ca="1" si="104"/>
        <v>0.9824326608327324</v>
      </c>
      <c r="V300">
        <f t="shared" ca="1" si="105"/>
        <v>1.0619262054972256</v>
      </c>
      <c r="W300">
        <v>1.1002699743484099</v>
      </c>
      <c r="X300" t="b">
        <f t="shared" ca="1" si="106"/>
        <v>0</v>
      </c>
      <c r="AS300">
        <v>0.51968196975960645</v>
      </c>
      <c r="AT300">
        <v>999</v>
      </c>
      <c r="AU300">
        <v>999</v>
      </c>
      <c r="AV300">
        <v>5.3269949396637148</v>
      </c>
      <c r="AW300">
        <v>7.2552059123831949</v>
      </c>
      <c r="AX300">
        <v>5.6233405510954766</v>
      </c>
      <c r="AY300">
        <v>-7.6011830368089859</v>
      </c>
      <c r="AZ300">
        <v>-4.1027841880882026</v>
      </c>
      <c r="BJ300" t="b">
        <f t="shared" si="87"/>
        <v>1</v>
      </c>
      <c r="BK300" t="b">
        <f t="shared" ca="1" si="88"/>
        <v>0</v>
      </c>
    </row>
    <row r="301" spans="1:63" x14ac:dyDescent="0.45">
      <c r="A301" s="1">
        <v>44799</v>
      </c>
      <c r="B301">
        <v>288.08999999999997</v>
      </c>
      <c r="C301" s="1">
        <v>44799</v>
      </c>
      <c r="D301">
        <v>405.31</v>
      </c>
      <c r="E301">
        <f t="shared" si="89"/>
        <v>-2.6953085418988814E-2</v>
      </c>
      <c r="F301" s="4">
        <f t="shared" si="90"/>
        <v>-3.3849014326237728E-2</v>
      </c>
      <c r="G301">
        <f t="shared" ca="1" si="91"/>
        <v>1.9816565251643375E-5</v>
      </c>
      <c r="H301">
        <f t="shared" ca="1" si="92"/>
        <v>4.1623497962288765E-2</v>
      </c>
      <c r="I301">
        <f t="shared" ca="1" si="93"/>
        <v>-3.7219008482795503E-2</v>
      </c>
      <c r="J301">
        <f t="shared" ca="1" si="94"/>
        <v>0.44644817432516337</v>
      </c>
      <c r="K301">
        <f t="shared" ca="1" si="95"/>
        <v>0.91424067782189722</v>
      </c>
      <c r="L301">
        <f t="shared" ca="1" si="96"/>
        <v>0.95655178300705246</v>
      </c>
      <c r="M301">
        <f t="shared" ca="1" si="97"/>
        <v>-6.0856958112573455E-4</v>
      </c>
      <c r="N301">
        <f t="shared" ca="1" si="98"/>
        <v>1.4409334961700776E-2</v>
      </c>
      <c r="O301">
        <f t="shared" ca="1" si="99"/>
        <v>-0.24759374208244422</v>
      </c>
      <c r="P301">
        <f t="shared" ca="1" si="100"/>
        <v>2.9779145762373727E-2</v>
      </c>
      <c r="Q301">
        <f t="shared" ca="1" si="101"/>
        <v>0.80903978627466344</v>
      </c>
      <c r="R301">
        <f t="shared" ca="1" si="102"/>
        <v>1.0716171527538905</v>
      </c>
      <c r="T301">
        <f t="shared" si="103"/>
        <v>0.97304691458101122</v>
      </c>
      <c r="U301" s="6">
        <f t="shared" ca="1" si="104"/>
        <v>0.97108879652944191</v>
      </c>
      <c r="V301">
        <f t="shared" ca="1" si="105"/>
        <v>1.0505599312140448</v>
      </c>
      <c r="W301">
        <v>1.0454521550226086</v>
      </c>
      <c r="X301" t="b">
        <f t="shared" ca="1" si="106"/>
        <v>0</v>
      </c>
      <c r="AS301">
        <v>0.48899911433103344</v>
      </c>
      <c r="AT301">
        <v>999</v>
      </c>
      <c r="AU301">
        <v>999</v>
      </c>
      <c r="AV301">
        <v>4.7323258926075855</v>
      </c>
      <c r="AW301">
        <v>6.8832809433499316</v>
      </c>
      <c r="AX301">
        <v>5.0021836279144081</v>
      </c>
      <c r="AY301">
        <v>-7.156001506393844</v>
      </c>
      <c r="AZ301">
        <v>-3.5521249350638531</v>
      </c>
      <c r="BJ301" t="b">
        <f t="shared" si="87"/>
        <v>1</v>
      </c>
      <c r="BK301" t="b">
        <f t="shared" ca="1" si="88"/>
        <v>0</v>
      </c>
    </row>
    <row r="302" spans="1:63" x14ac:dyDescent="0.45">
      <c r="A302" s="1">
        <v>44798</v>
      </c>
      <c r="B302">
        <v>296.07</v>
      </c>
      <c r="C302" s="1">
        <v>44798</v>
      </c>
      <c r="D302">
        <v>419.51</v>
      </c>
      <c r="E302">
        <f t="shared" si="89"/>
        <v>-3.4557771930822699E-3</v>
      </c>
      <c r="F302" s="4">
        <f t="shared" si="90"/>
        <v>1.411753329948987E-2</v>
      </c>
      <c r="G302">
        <f t="shared" ca="1" si="91"/>
        <v>-4.4493251440826955E-4</v>
      </c>
      <c r="H302">
        <f t="shared" ca="1" si="92"/>
        <v>4.2437143789567457E-2</v>
      </c>
      <c r="I302">
        <f t="shared" ca="1" si="93"/>
        <v>-0.11517346221383926</v>
      </c>
      <c r="J302">
        <f t="shared" ca="1" si="94"/>
        <v>0.50975919811757464</v>
      </c>
      <c r="K302">
        <f t="shared" ca="1" si="95"/>
        <v>0.89822713497278073</v>
      </c>
      <c r="L302">
        <f t="shared" ca="1" si="96"/>
        <v>0.95655178300705246</v>
      </c>
      <c r="M302">
        <f t="shared" ca="1" si="97"/>
        <v>-4.5585149646488278E-4</v>
      </c>
      <c r="N302">
        <f t="shared" ca="1" si="98"/>
        <v>1.4215823695396951E-2</v>
      </c>
      <c r="O302">
        <f t="shared" ca="1" si="99"/>
        <v>-0.22554020791154009</v>
      </c>
      <c r="P302">
        <f t="shared" ca="1" si="100"/>
        <v>5.5055265788202856E-2</v>
      </c>
      <c r="Q302">
        <f t="shared" ca="1" si="101"/>
        <v>0.92886607179500369</v>
      </c>
      <c r="R302">
        <f t="shared" ca="1" si="102"/>
        <v>1.0833346906509824</v>
      </c>
      <c r="T302">
        <f t="shared" si="103"/>
        <v>0.99654422280691768</v>
      </c>
      <c r="U302" s="6">
        <f t="shared" ca="1" si="104"/>
        <v>0.97754812295704407</v>
      </c>
      <c r="V302">
        <f t="shared" ca="1" si="105"/>
        <v>1.0396879786319877</v>
      </c>
      <c r="W302">
        <v>1.0962905406896062</v>
      </c>
      <c r="X302" t="b">
        <f t="shared" ca="1" si="106"/>
        <v>0</v>
      </c>
      <c r="AS302">
        <v>0.5669478269653504</v>
      </c>
      <c r="AT302">
        <v>3.2034089714349987</v>
      </c>
      <c r="AU302">
        <v>-3.7450856353806738</v>
      </c>
      <c r="AV302">
        <v>5.1630903149202139</v>
      </c>
      <c r="AW302">
        <v>8.7939278332082615</v>
      </c>
      <c r="AX302">
        <v>6.0082746365264708</v>
      </c>
      <c r="AY302">
        <v>-7.2301798702595113</v>
      </c>
      <c r="AZ302">
        <v>-4.6508407571551684</v>
      </c>
      <c r="BJ302" t="b">
        <f t="shared" si="87"/>
        <v>1</v>
      </c>
      <c r="BK302" t="b">
        <f t="shared" ca="1" si="88"/>
        <v>0</v>
      </c>
    </row>
    <row r="303" spans="1:63" x14ac:dyDescent="0.45">
      <c r="A303" s="1">
        <v>44797</v>
      </c>
      <c r="B303">
        <v>297.0967</v>
      </c>
      <c r="C303" s="1">
        <v>44797</v>
      </c>
      <c r="D303">
        <v>413.67</v>
      </c>
      <c r="E303">
        <f t="shared" si="89"/>
        <v>2.1713391330161072E-3</v>
      </c>
      <c r="F303" s="4">
        <f t="shared" si="90"/>
        <v>3.2011640596580409E-3</v>
      </c>
      <c r="G303">
        <f t="shared" ca="1" si="91"/>
        <v>-6.6964909685800623E-4</v>
      </c>
      <c r="H303">
        <f t="shared" ca="1" si="92"/>
        <v>4.2571946805631949E-2</v>
      </c>
      <c r="I303">
        <f t="shared" ca="1" si="93"/>
        <v>-0.10534011239390691</v>
      </c>
      <c r="J303">
        <f t="shared" ca="1" si="94"/>
        <v>0.47083484556010591</v>
      </c>
      <c r="K303">
        <f t="shared" ca="1" si="95"/>
        <v>0.89822713497278073</v>
      </c>
      <c r="L303">
        <f t="shared" ca="1" si="96"/>
        <v>0.89584312963397283</v>
      </c>
      <c r="M303">
        <f t="shared" ca="1" si="97"/>
        <v>-5.2217049286650029E-4</v>
      </c>
      <c r="N303">
        <f t="shared" ca="1" si="98"/>
        <v>1.4178384505918859E-2</v>
      </c>
      <c r="O303">
        <f t="shared" ca="1" si="99"/>
        <v>-0.21866538636289695</v>
      </c>
      <c r="P303">
        <f t="shared" ca="1" si="100"/>
        <v>7.7847239270048441E-2</v>
      </c>
      <c r="Q303">
        <f t="shared" ca="1" si="101"/>
        <v>0.92886607179500369</v>
      </c>
      <c r="R303">
        <f t="shared" ca="1" si="102"/>
        <v>1.0519951067979907</v>
      </c>
      <c r="T303">
        <f t="shared" si="103"/>
        <v>1.002171339133016</v>
      </c>
      <c r="U303" s="6">
        <f t="shared" ca="1" si="104"/>
        <v>0.97730142073770432</v>
      </c>
      <c r="V303">
        <f t="shared" ca="1" si="105"/>
        <v>1.0455291814503096</v>
      </c>
      <c r="W303">
        <v>1.0025837695009927</v>
      </c>
      <c r="X303" t="b">
        <f t="shared" ca="1" si="106"/>
        <v>0</v>
      </c>
      <c r="AS303">
        <v>0.55517018714212552</v>
      </c>
      <c r="AT303">
        <v>3.3767922933757175</v>
      </c>
      <c r="AU303">
        <v>-3.7018472948017691</v>
      </c>
      <c r="AV303">
        <v>4.8685271978910016</v>
      </c>
      <c r="AW303">
        <v>8.702843088289292</v>
      </c>
      <c r="AX303">
        <v>5.6766944430976096</v>
      </c>
      <c r="AY303">
        <v>-7.2020291633613427</v>
      </c>
      <c r="AZ303">
        <v>-4.4228300165082395</v>
      </c>
      <c r="BJ303" t="b">
        <f t="shared" si="87"/>
        <v>1</v>
      </c>
      <c r="BK303" t="b">
        <f t="shared" ca="1" si="88"/>
        <v>0</v>
      </c>
    </row>
    <row r="304" spans="1:63" x14ac:dyDescent="0.45">
      <c r="A304" s="1">
        <v>44796</v>
      </c>
      <c r="B304">
        <v>296.45299999999997</v>
      </c>
      <c r="C304" s="1">
        <v>44796</v>
      </c>
      <c r="D304">
        <v>412.35</v>
      </c>
      <c r="E304">
        <f t="shared" si="89"/>
        <v>2.2558491685436541E-2</v>
      </c>
      <c r="F304" s="4">
        <f t="shared" si="90"/>
        <v>-2.4192572880125801E-3</v>
      </c>
      <c r="G304">
        <f t="shared" ca="1" si="91"/>
        <v>-7.1230080191401839E-4</v>
      </c>
      <c r="H304">
        <f t="shared" ca="1" si="92"/>
        <v>4.2573359329600498E-2</v>
      </c>
      <c r="I304">
        <f t="shared" ca="1" si="93"/>
        <v>-0.10230736939581157</v>
      </c>
      <c r="J304">
        <f t="shared" ca="1" si="94"/>
        <v>0.46994520139518992</v>
      </c>
      <c r="K304">
        <f t="shared" ca="1" si="95"/>
        <v>0.89822713497278073</v>
      </c>
      <c r="L304">
        <f t="shared" ca="1" si="96"/>
        <v>0.89584312963397283</v>
      </c>
      <c r="M304">
        <f t="shared" ca="1" si="97"/>
        <v>-5.2082821610111723E-4</v>
      </c>
      <c r="N304">
        <f t="shared" ca="1" si="98"/>
        <v>1.4178751470372128E-2</v>
      </c>
      <c r="O304">
        <f t="shared" ca="1" si="99"/>
        <v>-0.21891393236076792</v>
      </c>
      <c r="P304">
        <f t="shared" ca="1" si="100"/>
        <v>7.7616312452876812E-2</v>
      </c>
      <c r="Q304">
        <f t="shared" ca="1" si="101"/>
        <v>0.92886607179500369</v>
      </c>
      <c r="R304">
        <f t="shared" ca="1" si="102"/>
        <v>1.0519951067979907</v>
      </c>
      <c r="T304">
        <f t="shared" si="103"/>
        <v>1.0225584916854364</v>
      </c>
      <c r="U304" s="6">
        <f t="shared" ca="1" si="104"/>
        <v>0.96702146051545679</v>
      </c>
      <c r="V304">
        <f t="shared" ca="1" si="105"/>
        <v>1.0363750075330853</v>
      </c>
      <c r="W304">
        <v>0.94456706388154643</v>
      </c>
      <c r="X304" t="b">
        <f t="shared" ca="1" si="106"/>
        <v>1</v>
      </c>
      <c r="AS304">
        <v>0.54935273572163579</v>
      </c>
      <c r="AT304">
        <v>3.602016653556062</v>
      </c>
      <c r="AU304">
        <v>-3.8061290910737351</v>
      </c>
      <c r="AV304">
        <v>4.7695043383513935</v>
      </c>
      <c r="AW304">
        <v>8.7608611301111381</v>
      </c>
      <c r="AX304">
        <v>5.5422816859125383</v>
      </c>
      <c r="AY304">
        <v>-7.3151560662104016</v>
      </c>
      <c r="AZ304">
        <v>-4.3988054503209213</v>
      </c>
      <c r="BJ304" t="b">
        <f t="shared" si="87"/>
        <v>1</v>
      </c>
      <c r="BK304" t="b">
        <f t="shared" ca="1" si="88"/>
        <v>1</v>
      </c>
    </row>
    <row r="305" spans="1:63" x14ac:dyDescent="0.45">
      <c r="A305" s="1">
        <v>44795</v>
      </c>
      <c r="B305">
        <v>289.91300000000001</v>
      </c>
      <c r="C305" s="1">
        <v>44795</v>
      </c>
      <c r="D305">
        <v>413.35</v>
      </c>
      <c r="E305">
        <f t="shared" si="89"/>
        <v>-2.2766266554756553E-2</v>
      </c>
      <c r="F305" s="4">
        <f t="shared" si="90"/>
        <v>-2.0822475955843946E-2</v>
      </c>
      <c r="G305">
        <f t="shared" ca="1" si="91"/>
        <v>-7.589818471634036E-4</v>
      </c>
      <c r="H305">
        <f t="shared" ca="1" si="92"/>
        <v>4.2552828591444505E-2</v>
      </c>
      <c r="I305">
        <f t="shared" ca="1" si="93"/>
        <v>-9.9783152731717437E-2</v>
      </c>
      <c r="J305">
        <f t="shared" ca="1" si="94"/>
        <v>0.47587726026669186</v>
      </c>
      <c r="K305">
        <f t="shared" ca="1" si="95"/>
        <v>0.89822713497278073</v>
      </c>
      <c r="L305">
        <f t="shared" ca="1" si="96"/>
        <v>0.89584312963397283</v>
      </c>
      <c r="M305">
        <f t="shared" ca="1" si="97"/>
        <v>-4.8516935434688655E-4</v>
      </c>
      <c r="N305">
        <f t="shared" ca="1" si="98"/>
        <v>1.4182920437739612E-2</v>
      </c>
      <c r="O305">
        <f t="shared" ca="1" si="99"/>
        <v>-0.22607260327492518</v>
      </c>
      <c r="P305">
        <f t="shared" ca="1" si="100"/>
        <v>7.6320548559723811E-2</v>
      </c>
      <c r="Q305">
        <f t="shared" ca="1" si="101"/>
        <v>0.92886607179500369</v>
      </c>
      <c r="R305">
        <f t="shared" ca="1" si="102"/>
        <v>1.0519951067979907</v>
      </c>
      <c r="T305">
        <f t="shared" si="103"/>
        <v>0.97723373344524345</v>
      </c>
      <c r="U305" s="6">
        <f t="shared" ca="1" si="104"/>
        <v>0.93725914910125441</v>
      </c>
      <c r="V305">
        <f t="shared" ca="1" si="105"/>
        <v>1.0232484876154655</v>
      </c>
      <c r="W305">
        <v>0.86283545703584874</v>
      </c>
      <c r="X305" t="b">
        <f t="shared" ca="1" si="106"/>
        <v>1</v>
      </c>
      <c r="AS305">
        <v>0.55070518235187549</v>
      </c>
      <c r="AT305">
        <v>3.9122537378284097</v>
      </c>
      <c r="AU305">
        <v>-4.1002157941662567</v>
      </c>
      <c r="AV305">
        <v>4.9158437849883185</v>
      </c>
      <c r="AW305">
        <v>8.9070492470216038</v>
      </c>
      <c r="AX305">
        <v>5.6411571318105604</v>
      </c>
      <c r="AY305">
        <v>-7.5877147144587287</v>
      </c>
      <c r="AZ305">
        <v>-4.6126058145881821</v>
      </c>
      <c r="BJ305" t="b">
        <f t="shared" si="87"/>
        <v>1</v>
      </c>
      <c r="BK305" t="b">
        <f t="shared" ca="1" si="88"/>
        <v>1</v>
      </c>
    </row>
    <row r="306" spans="1:63" x14ac:dyDescent="0.45">
      <c r="A306" s="1">
        <v>44792</v>
      </c>
      <c r="B306">
        <v>296.66699999999997</v>
      </c>
      <c r="C306" s="1">
        <v>44792</v>
      </c>
      <c r="D306">
        <v>422.14</v>
      </c>
      <c r="E306">
        <f t="shared" si="89"/>
        <v>-2.0480734308449274E-2</v>
      </c>
      <c r="F306" s="4">
        <f t="shared" si="90"/>
        <v>-1.3438033139358247E-2</v>
      </c>
      <c r="G306">
        <f t="shared" ca="1" si="91"/>
        <v>-4.6657131522511537E-4</v>
      </c>
      <c r="H306">
        <f t="shared" ca="1" si="92"/>
        <v>4.2601748864589693E-2</v>
      </c>
      <c r="I306">
        <f t="shared" ca="1" si="93"/>
        <v>-0.11635411042015634</v>
      </c>
      <c r="J306">
        <f t="shared" ca="1" si="94"/>
        <v>0.46511148862466634</v>
      </c>
      <c r="K306">
        <f t="shared" ca="1" si="95"/>
        <v>0.89822713497278073</v>
      </c>
      <c r="L306">
        <f t="shared" ca="1" si="96"/>
        <v>0.90644360797294932</v>
      </c>
      <c r="M306">
        <f t="shared" ca="1" si="97"/>
        <v>-3.5053088666985309E-4</v>
      </c>
      <c r="N306">
        <f t="shared" ca="1" si="98"/>
        <v>1.4116545204432207E-2</v>
      </c>
      <c r="O306">
        <f t="shared" ca="1" si="99"/>
        <v>-0.24248515730359774</v>
      </c>
      <c r="P306">
        <f t="shared" ca="1" si="100"/>
        <v>0.12226762749021258</v>
      </c>
      <c r="Q306">
        <f t="shared" ca="1" si="101"/>
        <v>0.92886607179500369</v>
      </c>
      <c r="R306">
        <f t="shared" ca="1" si="102"/>
        <v>1.0975790909386789</v>
      </c>
      <c r="T306">
        <f t="shared" si="103"/>
        <v>0.97951926569155068</v>
      </c>
      <c r="U306" s="6">
        <f t="shared" ca="1" si="104"/>
        <v>0.98879112088791121</v>
      </c>
      <c r="V306">
        <f t="shared" ca="1" si="105"/>
        <v>1.0291048918987902</v>
      </c>
      <c r="W306">
        <v>0.83005055246190906</v>
      </c>
      <c r="X306" t="b">
        <f t="shared" ca="1" si="106"/>
        <v>1</v>
      </c>
      <c r="AS306">
        <v>0.58334555430364232</v>
      </c>
      <c r="AT306">
        <v>4.2942477314224217</v>
      </c>
      <c r="AU306">
        <v>-4.9980028189023757</v>
      </c>
      <c r="AV306">
        <v>5.9698030867902601</v>
      </c>
      <c r="AW306">
        <v>9.9251097105038077</v>
      </c>
      <c r="AX306">
        <v>6.6456401501052227</v>
      </c>
      <c r="AY306">
        <v>-8.2710521948231044</v>
      </c>
      <c r="AZ306">
        <v>-5.6802828725016736</v>
      </c>
      <c r="BJ306" t="b">
        <f t="shared" si="87"/>
        <v>1</v>
      </c>
      <c r="BK306" t="b">
        <f t="shared" ca="1" si="88"/>
        <v>1</v>
      </c>
    </row>
    <row r="307" spans="1:63" x14ac:dyDescent="0.45">
      <c r="A307" s="1">
        <v>44791</v>
      </c>
      <c r="B307">
        <v>302.87</v>
      </c>
      <c r="C307" s="1">
        <v>44791</v>
      </c>
      <c r="D307">
        <v>427.89</v>
      </c>
      <c r="E307">
        <f t="shared" si="89"/>
        <v>-3.7072734270404296E-3</v>
      </c>
      <c r="F307" s="4">
        <f t="shared" si="90"/>
        <v>2.9063635298254053E-3</v>
      </c>
      <c r="G307">
        <f t="shared" ca="1" si="91"/>
        <v>-5.1553423728913225E-4</v>
      </c>
      <c r="H307">
        <f t="shared" ca="1" si="92"/>
        <v>4.2630484778353718E-2</v>
      </c>
      <c r="I307">
        <f t="shared" ca="1" si="93"/>
        <v>-0.11384827769292263</v>
      </c>
      <c r="J307">
        <f t="shared" ca="1" si="94"/>
        <v>0.45609905734747214</v>
      </c>
      <c r="K307">
        <f t="shared" ca="1" si="95"/>
        <v>0.89822713497278073</v>
      </c>
      <c r="L307">
        <f t="shared" ca="1" si="96"/>
        <v>0.86960527397312726</v>
      </c>
      <c r="M307">
        <f t="shared" ca="1" si="97"/>
        <v>-2.6312508754988131E-4</v>
      </c>
      <c r="N307">
        <f t="shared" ca="1" si="98"/>
        <v>1.4089196547264515E-2</v>
      </c>
      <c r="O307">
        <f t="shared" ca="1" si="99"/>
        <v>-0.25847711290993208</v>
      </c>
      <c r="P307">
        <f t="shared" ca="1" si="100"/>
        <v>0.14943674623685199</v>
      </c>
      <c r="Q307">
        <f t="shared" ca="1" si="101"/>
        <v>0.92886607179500369</v>
      </c>
      <c r="R307">
        <f t="shared" ca="1" si="102"/>
        <v>1.1258754681904861</v>
      </c>
      <c r="T307">
        <f t="shared" si="103"/>
        <v>0.99629272657295953</v>
      </c>
      <c r="U307" s="6">
        <f t="shared" ca="1" si="104"/>
        <v>1.0566584097966019</v>
      </c>
      <c r="V307">
        <f t="shared" ca="1" si="105"/>
        <v>1.0462637223175593</v>
      </c>
      <c r="W307">
        <v>0.84699014878223622</v>
      </c>
      <c r="X307" t="b">
        <f t="shared" ca="1" si="106"/>
        <v>0</v>
      </c>
      <c r="AS307">
        <v>0.6296218351224746</v>
      </c>
      <c r="AT307">
        <v>4.7015575064153703</v>
      </c>
      <c r="AU307">
        <v>-6.2054388988617939</v>
      </c>
      <c r="AV307">
        <v>7.2063494356399609</v>
      </c>
      <c r="AW307">
        <v>11.257496463100832</v>
      </c>
      <c r="AX307">
        <v>7.8751649313307501</v>
      </c>
      <c r="AY307">
        <v>-8.9344593503759686</v>
      </c>
      <c r="AZ307">
        <v>-6.954454321217252</v>
      </c>
      <c r="BJ307" t="b">
        <f t="shared" si="87"/>
        <v>1</v>
      </c>
      <c r="BK307" t="b">
        <f t="shared" ca="1" si="88"/>
        <v>0</v>
      </c>
    </row>
    <row r="308" spans="1:63" x14ac:dyDescent="0.45">
      <c r="A308" s="1">
        <v>44790</v>
      </c>
      <c r="B308">
        <v>303.99700000000001</v>
      </c>
      <c r="C308" s="1">
        <v>44790</v>
      </c>
      <c r="D308">
        <v>426.65</v>
      </c>
      <c r="E308">
        <f t="shared" si="89"/>
        <v>-8.370220802901767E-3</v>
      </c>
      <c r="F308" s="4">
        <f t="shared" si="90"/>
        <v>-7.0979753316267429E-3</v>
      </c>
      <c r="G308">
        <f t="shared" ca="1" si="91"/>
        <v>-7.2446322082522779E-5</v>
      </c>
      <c r="H308">
        <f t="shared" ca="1" si="92"/>
        <v>4.305555663504905E-2</v>
      </c>
      <c r="I308">
        <f t="shared" ca="1" si="93"/>
        <v>-0.10204830043808864</v>
      </c>
      <c r="J308">
        <f t="shared" ca="1" si="94"/>
        <v>0.40373092032312075</v>
      </c>
      <c r="K308">
        <f t="shared" ca="1" si="95"/>
        <v>1.059014984545545</v>
      </c>
      <c r="L308">
        <f t="shared" ca="1" si="96"/>
        <v>0.89545296621637416</v>
      </c>
      <c r="M308">
        <f t="shared" ca="1" si="97"/>
        <v>-2.6905592534054343E-4</v>
      </c>
      <c r="N308">
        <f t="shared" ca="1" si="98"/>
        <v>1.4088105264628534E-2</v>
      </c>
      <c r="O308">
        <f t="shared" ca="1" si="99"/>
        <v>-0.25730511744959073</v>
      </c>
      <c r="P308">
        <f t="shared" ca="1" si="100"/>
        <v>0.14997246806700204</v>
      </c>
      <c r="Q308">
        <f t="shared" ca="1" si="101"/>
        <v>0.92886607179500369</v>
      </c>
      <c r="R308">
        <f t="shared" ca="1" si="102"/>
        <v>1.1258754681904861</v>
      </c>
      <c r="T308">
        <f t="shared" si="103"/>
        <v>0.99162977919709827</v>
      </c>
      <c r="U308" s="6">
        <f t="shared" ca="1" si="104"/>
        <v>1.0327493485801256</v>
      </c>
      <c r="V308">
        <f t="shared" ca="1" si="105"/>
        <v>1.0064004066673835</v>
      </c>
      <c r="W308">
        <v>1.0962074012688161</v>
      </c>
      <c r="X308" t="b">
        <f t="shared" ca="1" si="106"/>
        <v>1</v>
      </c>
      <c r="AS308">
        <v>0.6452531365033457</v>
      </c>
      <c r="AT308">
        <v>4.5341611351310425</v>
      </c>
      <c r="AU308">
        <v>-6.4000238505036435</v>
      </c>
      <c r="AV308">
        <v>7.4565159808083363</v>
      </c>
      <c r="AW308">
        <v>11.778907144455632</v>
      </c>
      <c r="AX308">
        <v>8.1283782769505279</v>
      </c>
      <c r="AY308">
        <v>-9.0664906174859041</v>
      </c>
      <c r="AZ308">
        <v>-7.2049848725571213</v>
      </c>
      <c r="BJ308" t="b">
        <f t="shared" si="87"/>
        <v>1</v>
      </c>
      <c r="BK308" t="b">
        <f t="shared" ca="1" si="88"/>
        <v>1</v>
      </c>
    </row>
    <row r="309" spans="1:63" x14ac:dyDescent="0.45">
      <c r="A309" s="1">
        <v>44789</v>
      </c>
      <c r="B309">
        <v>306.56299999999999</v>
      </c>
      <c r="C309" s="1">
        <v>44789</v>
      </c>
      <c r="D309">
        <v>429.7</v>
      </c>
      <c r="E309">
        <f t="shared" si="89"/>
        <v>-8.9130997025734029E-3</v>
      </c>
      <c r="F309" s="4">
        <f t="shared" si="90"/>
        <v>1.9586811546891177E-3</v>
      </c>
      <c r="G309">
        <f t="shared" ca="1" si="91"/>
        <v>1.4098631240581371E-4</v>
      </c>
      <c r="H309">
        <f t="shared" ca="1" si="92"/>
        <v>4.3119970131677149E-2</v>
      </c>
      <c r="I309">
        <f t="shared" ca="1" si="93"/>
        <v>-0.11398012734455444</v>
      </c>
      <c r="J309">
        <f t="shared" ca="1" si="94"/>
        <v>0.38740431765649719</v>
      </c>
      <c r="K309">
        <f t="shared" ca="1" si="95"/>
        <v>1.059014984545545</v>
      </c>
      <c r="L309">
        <f t="shared" ca="1" si="96"/>
        <v>0.9137508841067683</v>
      </c>
      <c r="M309">
        <f t="shared" ca="1" si="97"/>
        <v>-2.234202989878732E-4</v>
      </c>
      <c r="N309">
        <f t="shared" ca="1" si="98"/>
        <v>1.4080653959116809E-2</v>
      </c>
      <c r="O309">
        <f t="shared" ca="1" si="99"/>
        <v>-0.26693401916338816</v>
      </c>
      <c r="P309">
        <f t="shared" ca="1" si="100"/>
        <v>0.15992542397370846</v>
      </c>
      <c r="Q309">
        <f t="shared" ca="1" si="101"/>
        <v>0.92886607179500369</v>
      </c>
      <c r="R309">
        <f t="shared" ca="1" si="102"/>
        <v>1.1258754681904861</v>
      </c>
      <c r="T309">
        <f t="shared" si="103"/>
        <v>0.99108690029742663</v>
      </c>
      <c r="U309" s="6">
        <f t="shared" ca="1" si="104"/>
        <v>1.0819883317509782</v>
      </c>
      <c r="V309">
        <f t="shared" ca="1" si="105"/>
        <v>1.0189434344783797</v>
      </c>
      <c r="W309">
        <v>1.121772719051398</v>
      </c>
      <c r="X309" t="b">
        <f t="shared" ca="1" si="106"/>
        <v>1</v>
      </c>
      <c r="AS309">
        <v>0.65755203843184495</v>
      </c>
      <c r="AT309">
        <v>4.3879802762621178</v>
      </c>
      <c r="AU309">
        <v>-6.4429733655986148</v>
      </c>
      <c r="AV309">
        <v>7.611232117089398</v>
      </c>
      <c r="AW309">
        <v>12.185161879314345</v>
      </c>
      <c r="AX309">
        <v>8.2501168435299235</v>
      </c>
      <c r="AY309">
        <v>-9.0387251903955139</v>
      </c>
      <c r="AZ309">
        <v>-7.3103460378447291</v>
      </c>
      <c r="BJ309" t="b">
        <f t="shared" si="87"/>
        <v>1</v>
      </c>
      <c r="BK309" t="b">
        <f t="shared" ca="1" si="88"/>
        <v>1</v>
      </c>
    </row>
    <row r="310" spans="1:63" x14ac:dyDescent="0.45">
      <c r="A310" s="1">
        <v>44788</v>
      </c>
      <c r="B310">
        <v>309.32</v>
      </c>
      <c r="C310" s="1">
        <v>44788</v>
      </c>
      <c r="D310">
        <v>428.86</v>
      </c>
      <c r="E310">
        <f t="shared" si="89"/>
        <v>3.0963570309635775E-2</v>
      </c>
      <c r="F310" s="4">
        <f t="shared" si="90"/>
        <v>4.1208147974712969E-3</v>
      </c>
      <c r="G310">
        <f t="shared" ca="1" si="91"/>
        <v>3.7430577460738975E-4</v>
      </c>
      <c r="H310">
        <f t="shared" ca="1" si="92"/>
        <v>4.3196911907975012E-2</v>
      </c>
      <c r="I310">
        <f t="shared" ca="1" si="93"/>
        <v>-0.12634305294477838</v>
      </c>
      <c r="J310">
        <f t="shared" ca="1" si="94"/>
        <v>0.36857985505319668</v>
      </c>
      <c r="K310">
        <f t="shared" ca="1" si="95"/>
        <v>1.059014984545545</v>
      </c>
      <c r="L310">
        <f t="shared" ca="1" si="96"/>
        <v>0.91974817204643222</v>
      </c>
      <c r="M310">
        <f t="shared" ca="1" si="97"/>
        <v>-1.849694434051925E-4</v>
      </c>
      <c r="N310">
        <f t="shared" ca="1" si="98"/>
        <v>1.4097133047682689E-2</v>
      </c>
      <c r="O310">
        <f t="shared" ca="1" si="99"/>
        <v>-0.27253990349206769</v>
      </c>
      <c r="P310">
        <f t="shared" ca="1" si="100"/>
        <v>0.14919281345933788</v>
      </c>
      <c r="Q310">
        <f t="shared" ca="1" si="101"/>
        <v>0.92886607179500369</v>
      </c>
      <c r="R310">
        <f t="shared" ca="1" si="102"/>
        <v>1.1594159936315016</v>
      </c>
      <c r="T310">
        <f t="shared" si="103"/>
        <v>1.0309635703096358</v>
      </c>
      <c r="U310" s="6">
        <f t="shared" ca="1" si="104"/>
        <v>1.0650671606587632</v>
      </c>
      <c r="V310">
        <f t="shared" ca="1" si="105"/>
        <v>1.0025799301415166</v>
      </c>
      <c r="W310">
        <v>1.0261867633697452</v>
      </c>
      <c r="X310" t="b">
        <f t="shared" ca="1" si="106"/>
        <v>1</v>
      </c>
      <c r="AS310">
        <v>0.67124833437051445</v>
      </c>
      <c r="AT310">
        <v>4.3947838753893764</v>
      </c>
      <c r="AU310">
        <v>-6.1749072428025693</v>
      </c>
      <c r="AV310">
        <v>7.3045757752203277</v>
      </c>
      <c r="AW310">
        <v>12.464135803803908</v>
      </c>
      <c r="AX310">
        <v>7.9142764008023754</v>
      </c>
      <c r="AY310">
        <v>-8.8008613582822921</v>
      </c>
      <c r="AZ310">
        <v>-6.981777691575215</v>
      </c>
      <c r="BJ310" t="b">
        <f t="shared" si="87"/>
        <v>1</v>
      </c>
      <c r="BK310" t="b">
        <f t="shared" ca="1" si="88"/>
        <v>1</v>
      </c>
    </row>
    <row r="311" spans="1:63" x14ac:dyDescent="0.45">
      <c r="A311" s="1">
        <v>44785</v>
      </c>
      <c r="B311">
        <v>300.02999999999997</v>
      </c>
      <c r="C311" s="1">
        <v>44785</v>
      </c>
      <c r="D311">
        <v>427.1</v>
      </c>
      <c r="E311">
        <f t="shared" si="89"/>
        <v>4.6750165718870938E-2</v>
      </c>
      <c r="F311" s="4">
        <f t="shared" si="90"/>
        <v>1.6928974499392874E-2</v>
      </c>
      <c r="G311">
        <f t="shared" ca="1" si="91"/>
        <v>3.1486993715736772E-4</v>
      </c>
      <c r="H311">
        <f t="shared" ca="1" si="92"/>
        <v>4.3162776239295687E-2</v>
      </c>
      <c r="I311">
        <f t="shared" ca="1" si="93"/>
        <v>-0.12386408027997074</v>
      </c>
      <c r="J311">
        <f t="shared" ca="1" si="94"/>
        <v>0.37756202851131482</v>
      </c>
      <c r="K311">
        <f t="shared" ca="1" si="95"/>
        <v>1.059014984545545</v>
      </c>
      <c r="L311">
        <f t="shared" ca="1" si="96"/>
        <v>0.9137508841067683</v>
      </c>
      <c r="M311">
        <f t="shared" ca="1" si="97"/>
        <v>-2.2772458327552085E-4</v>
      </c>
      <c r="N311">
        <f t="shared" ca="1" si="98"/>
        <v>1.4096975617172056E-2</v>
      </c>
      <c r="O311">
        <f t="shared" ca="1" si="99"/>
        <v>-0.26364157512188813</v>
      </c>
      <c r="P311">
        <f t="shared" ca="1" si="100"/>
        <v>0.14601280469187428</v>
      </c>
      <c r="Q311">
        <f t="shared" ca="1" si="101"/>
        <v>0.92886607179500369</v>
      </c>
      <c r="R311">
        <f t="shared" ca="1" si="102"/>
        <v>1.1594159936315016</v>
      </c>
      <c r="T311">
        <f t="shared" si="103"/>
        <v>1.0467501657188709</v>
      </c>
      <c r="U311" s="6">
        <f t="shared" ca="1" si="104"/>
        <v>1.0411562619287225</v>
      </c>
      <c r="V311">
        <f t="shared" ca="1" si="105"/>
        <v>1.0006297856130022</v>
      </c>
      <c r="W311">
        <v>1.0260885959787576</v>
      </c>
      <c r="X311" t="b">
        <f t="shared" ca="1" si="106"/>
        <v>1</v>
      </c>
      <c r="AS311">
        <v>0.65016966355951578</v>
      </c>
      <c r="AT311">
        <v>4.1302456197695863</v>
      </c>
      <c r="AU311">
        <v>-5.4029509096999977</v>
      </c>
      <c r="AV311">
        <v>6.0734754964168625</v>
      </c>
      <c r="AW311">
        <v>11.603837548612921</v>
      </c>
      <c r="AX311">
        <v>6.6762209253025544</v>
      </c>
      <c r="AY311">
        <v>-7.7310168176678733</v>
      </c>
      <c r="AZ311">
        <v>-5.7839789654109115</v>
      </c>
      <c r="BJ311" t="b">
        <f t="shared" si="87"/>
        <v>1</v>
      </c>
      <c r="BK311" t="b">
        <f t="shared" ca="1" si="88"/>
        <v>1</v>
      </c>
    </row>
    <row r="312" spans="1:63" x14ac:dyDescent="0.45">
      <c r="A312" s="1">
        <v>44784</v>
      </c>
      <c r="B312">
        <v>286.63</v>
      </c>
      <c r="C312" s="1">
        <v>44784</v>
      </c>
      <c r="D312">
        <v>419.99</v>
      </c>
      <c r="E312">
        <f t="shared" si="89"/>
        <v>-2.625043739404883E-2</v>
      </c>
      <c r="F312" s="4">
        <f t="shared" si="90"/>
        <v>0</v>
      </c>
      <c r="G312">
        <f t="shared" ca="1" si="91"/>
        <v>4.9753848917792212E-5</v>
      </c>
      <c r="H312">
        <f t="shared" ca="1" si="92"/>
        <v>4.3038788862075551E-2</v>
      </c>
      <c r="I312">
        <f t="shared" ca="1" si="93"/>
        <v>-0.11266410417621688</v>
      </c>
      <c r="J312">
        <f t="shared" ca="1" si="94"/>
        <v>0.40709899616352052</v>
      </c>
      <c r="K312">
        <f t="shared" ca="1" si="95"/>
        <v>1.059014984545545</v>
      </c>
      <c r="L312">
        <f t="shared" ca="1" si="96"/>
        <v>0.89545296621637416</v>
      </c>
      <c r="M312">
        <f t="shared" ca="1" si="97"/>
        <v>-3.0786940089376757E-4</v>
      </c>
      <c r="N312">
        <f t="shared" ca="1" si="98"/>
        <v>1.4044411684717701E-2</v>
      </c>
      <c r="O312">
        <f t="shared" ca="1" si="99"/>
        <v>-0.25857095375908767</v>
      </c>
      <c r="P312">
        <f t="shared" ca="1" si="100"/>
        <v>0.17630838391199521</v>
      </c>
      <c r="Q312">
        <f t="shared" ca="1" si="101"/>
        <v>0.92886607179500369</v>
      </c>
      <c r="R312">
        <f t="shared" ca="1" si="102"/>
        <v>1.1258754681904861</v>
      </c>
      <c r="T312">
        <f t="shared" si="103"/>
        <v>0.97374956260595114</v>
      </c>
      <c r="U312" s="6">
        <f t="shared" ca="1" si="104"/>
        <v>0.92870820683465471</v>
      </c>
      <c r="V312">
        <f t="shared" ca="1" si="105"/>
        <v>0.98969776362292861</v>
      </c>
      <c r="W312">
        <v>1.0256603614787378</v>
      </c>
      <c r="X312" t="b">
        <f t="shared" ca="1" si="106"/>
        <v>0</v>
      </c>
      <c r="AS312">
        <v>0.62424924284601357</v>
      </c>
      <c r="AT312">
        <v>3.2723306561766812</v>
      </c>
      <c r="AU312">
        <v>-4.8794325886655354</v>
      </c>
      <c r="AV312">
        <v>5.3493340172069681</v>
      </c>
      <c r="AW312">
        <v>10.835370022973372</v>
      </c>
      <c r="AX312">
        <v>5.9604308078830801</v>
      </c>
      <c r="AY312">
        <v>-6.4485309992842694</v>
      </c>
      <c r="AZ312">
        <v>-5.0532829817390432</v>
      </c>
      <c r="BJ312" t="b">
        <f t="shared" si="87"/>
        <v>1</v>
      </c>
      <c r="BK312" t="b">
        <f t="shared" ca="1" si="88"/>
        <v>0</v>
      </c>
    </row>
    <row r="313" spans="1:63" x14ac:dyDescent="0.45">
      <c r="A313" s="1">
        <v>44783</v>
      </c>
      <c r="B313">
        <v>294.35700000000003</v>
      </c>
      <c r="C313" s="1">
        <v>44783</v>
      </c>
      <c r="D313">
        <v>419.99</v>
      </c>
      <c r="E313">
        <f t="shared" si="89"/>
        <v>3.8908281068565961E-2</v>
      </c>
      <c r="F313" s="4">
        <f t="shared" si="90"/>
        <v>2.1004011182691105E-2</v>
      </c>
      <c r="G313">
        <f t="shared" ca="1" si="91"/>
        <v>8.1407960783248844E-4</v>
      </c>
      <c r="H313">
        <f t="shared" ca="1" si="92"/>
        <v>4.3917767057501139E-2</v>
      </c>
      <c r="I313">
        <f t="shared" ca="1" si="93"/>
        <v>-3.6199819891979138E-2</v>
      </c>
      <c r="J313">
        <f t="shared" ca="1" si="94"/>
        <v>0.49611373923044377</v>
      </c>
      <c r="K313">
        <f t="shared" ca="1" si="95"/>
        <v>1.0722434075011544</v>
      </c>
      <c r="L313">
        <f t="shared" ca="1" si="96"/>
        <v>0.9137508841067683</v>
      </c>
      <c r="M313">
        <f t="shared" ca="1" si="97"/>
        <v>-2.8105531191071665E-4</v>
      </c>
      <c r="N313">
        <f t="shared" ca="1" si="98"/>
        <v>1.4050120714273806E-2</v>
      </c>
      <c r="O313">
        <f t="shared" ca="1" si="99"/>
        <v>-0.26370543837840227</v>
      </c>
      <c r="P313">
        <f t="shared" ca="1" si="100"/>
        <v>0.17324349947532713</v>
      </c>
      <c r="Q313">
        <f t="shared" ca="1" si="101"/>
        <v>0.92886607179500369</v>
      </c>
      <c r="R313">
        <f t="shared" ca="1" si="102"/>
        <v>1.1258754681904861</v>
      </c>
      <c r="T313">
        <f t="shared" si="103"/>
        <v>1.0389082810685659</v>
      </c>
      <c r="U313" s="6">
        <f t="shared" ca="1" si="104"/>
        <v>0.95757928672043013</v>
      </c>
      <c r="V313">
        <f t="shared" ca="1" si="105"/>
        <v>0.98244621997065462</v>
      </c>
      <c r="W313">
        <v>1.0376400021000096</v>
      </c>
      <c r="X313" t="b">
        <f t="shared" ca="1" si="106"/>
        <v>0</v>
      </c>
      <c r="AS313">
        <v>0.55178908295619367</v>
      </c>
      <c r="AT313">
        <v>999</v>
      </c>
      <c r="AU313">
        <v>-4.1951904568341902</v>
      </c>
      <c r="AV313">
        <v>5.9643762625505499</v>
      </c>
      <c r="AW313">
        <v>9.2006721369854549</v>
      </c>
      <c r="AX313">
        <v>6.1152197241673631</v>
      </c>
      <c r="AY313">
        <v>-5.3529865164905308</v>
      </c>
      <c r="AZ313">
        <v>-4.7704342533448862</v>
      </c>
      <c r="BJ313" t="b">
        <f t="shared" si="87"/>
        <v>1</v>
      </c>
      <c r="BK313" t="b">
        <f t="shared" ca="1" si="88"/>
        <v>0</v>
      </c>
    </row>
    <row r="314" spans="1:63" x14ac:dyDescent="0.45">
      <c r="A314" s="1">
        <v>44782</v>
      </c>
      <c r="B314">
        <v>283.33300000000003</v>
      </c>
      <c r="C314" s="1">
        <v>44782</v>
      </c>
      <c r="D314">
        <v>411.35</v>
      </c>
      <c r="E314">
        <f t="shared" si="89"/>
        <v>-2.4412667040833457E-2</v>
      </c>
      <c r="F314" s="4">
        <f t="shared" si="90"/>
        <v>-3.9710404610280789E-3</v>
      </c>
      <c r="G314">
        <f t="shared" ca="1" si="91"/>
        <v>7.0723954477153715E-4</v>
      </c>
      <c r="H314">
        <f t="shared" ca="1" si="92"/>
        <v>4.3850568353995659E-2</v>
      </c>
      <c r="I314">
        <f t="shared" ca="1" si="93"/>
        <v>-3.2029425810036725E-2</v>
      </c>
      <c r="J314">
        <f t="shared" ca="1" si="94"/>
        <v>0.51467939689359543</v>
      </c>
      <c r="K314">
        <f t="shared" ca="1" si="95"/>
        <v>1.0722434075011544</v>
      </c>
      <c r="L314">
        <f t="shared" ca="1" si="96"/>
        <v>0.89545296621637416</v>
      </c>
      <c r="M314">
        <f t="shared" ca="1" si="97"/>
        <v>-3.9125625805543789E-4</v>
      </c>
      <c r="N314">
        <f t="shared" ca="1" si="98"/>
        <v>1.3968532444149031E-2</v>
      </c>
      <c r="O314">
        <f t="shared" ca="1" si="99"/>
        <v>-0.26240592542523167</v>
      </c>
      <c r="P314">
        <f t="shared" ca="1" si="100"/>
        <v>0.21235688053171531</v>
      </c>
      <c r="Q314">
        <f t="shared" ca="1" si="101"/>
        <v>0.92886607179500369</v>
      </c>
      <c r="R314">
        <f t="shared" ca="1" si="102"/>
        <v>1.0913913945378886</v>
      </c>
      <c r="T314">
        <f t="shared" si="103"/>
        <v>0.97558733295916655</v>
      </c>
      <c r="U314" s="6">
        <f t="shared" ca="1" si="104"/>
        <v>0.94259898132653774</v>
      </c>
      <c r="V314">
        <f t="shared" ca="1" si="105"/>
        <v>1.0041334975153937</v>
      </c>
      <c r="W314">
        <v>1.0379469466275122</v>
      </c>
      <c r="X314" t="b">
        <f t="shared" ca="1" si="106"/>
        <v>0</v>
      </c>
      <c r="AS314">
        <v>0.51180153124561178</v>
      </c>
      <c r="AT314">
        <v>999</v>
      </c>
      <c r="AU314">
        <v>-3.7961994386801301</v>
      </c>
      <c r="AV314">
        <v>5.1873919437095264</v>
      </c>
      <c r="AW314">
        <v>8.4679122470638664</v>
      </c>
      <c r="AX314">
        <v>5.3943943648864554</v>
      </c>
      <c r="AY314">
        <v>-4.636914630079767</v>
      </c>
      <c r="AZ314">
        <v>-4.0695061860989243</v>
      </c>
      <c r="BJ314" t="b">
        <f t="shared" si="87"/>
        <v>1</v>
      </c>
      <c r="BK314" t="b">
        <f t="shared" ca="1" si="88"/>
        <v>0</v>
      </c>
    </row>
    <row r="315" spans="1:63" x14ac:dyDescent="0.45">
      <c r="A315" s="1">
        <v>44781</v>
      </c>
      <c r="B315">
        <v>290.423</v>
      </c>
      <c r="C315" s="1">
        <v>44781</v>
      </c>
      <c r="D315">
        <v>412.99</v>
      </c>
      <c r="E315">
        <f t="shared" si="89"/>
        <v>7.8183016969149664E-3</v>
      </c>
      <c r="F315" s="4">
        <f t="shared" si="90"/>
        <v>-1.1609064744721944E-3</v>
      </c>
      <c r="G315">
        <f t="shared" ca="1" si="91"/>
        <v>9.9215804283086704E-4</v>
      </c>
      <c r="H315">
        <f t="shared" ca="1" si="92"/>
        <v>4.3871652260304338E-2</v>
      </c>
      <c r="I315">
        <f t="shared" ca="1" si="93"/>
        <v>-4.8765915530646103E-2</v>
      </c>
      <c r="J315">
        <f t="shared" ca="1" si="94"/>
        <v>0.50975618733491856</v>
      </c>
      <c r="K315">
        <f t="shared" ca="1" si="95"/>
        <v>1.0722434075011544</v>
      </c>
      <c r="L315">
        <f t="shared" ca="1" si="96"/>
        <v>0.9137508841067683</v>
      </c>
      <c r="M315">
        <f t="shared" ca="1" si="97"/>
        <v>-3.5835978787381441E-4</v>
      </c>
      <c r="N315">
        <f t="shared" ca="1" si="98"/>
        <v>1.3967806775739779E-2</v>
      </c>
      <c r="O315">
        <f t="shared" ca="1" si="99"/>
        <v>-0.26944798491624439</v>
      </c>
      <c r="P315">
        <f t="shared" ca="1" si="100"/>
        <v>0.21557829585162525</v>
      </c>
      <c r="Q315">
        <f t="shared" ca="1" si="101"/>
        <v>0.92886607179500369</v>
      </c>
      <c r="R315">
        <f t="shared" ca="1" si="102"/>
        <v>1.0913913945378886</v>
      </c>
      <c r="T315">
        <f t="shared" si="103"/>
        <v>1.0078183016969149</v>
      </c>
      <c r="U315" s="6">
        <f t="shared" ca="1" si="104"/>
        <v>0.9769440622718879</v>
      </c>
      <c r="V315">
        <f t="shared" ca="1" si="105"/>
        <v>0.99048335988603353</v>
      </c>
      <c r="W315">
        <v>1.0446884040453805</v>
      </c>
      <c r="X315" t="b">
        <f t="shared" ca="1" si="106"/>
        <v>0</v>
      </c>
      <c r="AS315">
        <v>0.47874092782139294</v>
      </c>
      <c r="AT315">
        <v>999</v>
      </c>
      <c r="AU315">
        <v>-3.4853744721287714</v>
      </c>
      <c r="AV315">
        <v>4.5684946006511966</v>
      </c>
      <c r="AW315">
        <v>7.8795621330390775</v>
      </c>
      <c r="AX315">
        <v>4.8076078170720464</v>
      </c>
      <c r="AY315">
        <v>-4.1012222360815667</v>
      </c>
      <c r="AZ315">
        <v>-3.5128416471253341</v>
      </c>
      <c r="BJ315" t="b">
        <f t="shared" si="87"/>
        <v>1</v>
      </c>
      <c r="BK315" t="b">
        <f t="shared" ca="1" si="88"/>
        <v>0</v>
      </c>
    </row>
    <row r="316" spans="1:63" x14ac:dyDescent="0.45">
      <c r="A316" s="1">
        <v>44778</v>
      </c>
      <c r="B316">
        <v>288.17</v>
      </c>
      <c r="C316" s="1">
        <v>44778</v>
      </c>
      <c r="D316">
        <v>413.47</v>
      </c>
      <c r="E316">
        <f t="shared" si="89"/>
        <v>-6.6302048063557578E-2</v>
      </c>
      <c r="F316" s="4">
        <f t="shared" si="90"/>
        <v>-1.690127242436653E-3</v>
      </c>
      <c r="G316">
        <f t="shared" ca="1" si="91"/>
        <v>9.6191793495027059E-4</v>
      </c>
      <c r="H316">
        <f t="shared" ca="1" si="92"/>
        <v>4.3869007780285393E-2</v>
      </c>
      <c r="I316">
        <f t="shared" ca="1" si="93"/>
        <v>-4.6704958969039631E-2</v>
      </c>
      <c r="J316">
        <f t="shared" ca="1" si="94"/>
        <v>0.5104762209655096</v>
      </c>
      <c r="K316">
        <f t="shared" ca="1" si="95"/>
        <v>1.0722434075011544</v>
      </c>
      <c r="L316">
        <f t="shared" ca="1" si="96"/>
        <v>0.9137508841067683</v>
      </c>
      <c r="M316">
        <f t="shared" ca="1" si="97"/>
        <v>-3.3291651948157001E-4</v>
      </c>
      <c r="N316">
        <f t="shared" ca="1" si="98"/>
        <v>1.3970971836776449E-2</v>
      </c>
      <c r="O316">
        <f t="shared" ca="1" si="99"/>
        <v>-0.27463602537298232</v>
      </c>
      <c r="P316">
        <f t="shared" ca="1" si="100"/>
        <v>0.21469048060753071</v>
      </c>
      <c r="Q316">
        <f t="shared" ca="1" si="101"/>
        <v>0.92886607179500369</v>
      </c>
      <c r="R316">
        <f t="shared" ca="1" si="102"/>
        <v>1.0913913945378886</v>
      </c>
      <c r="T316">
        <f t="shared" si="103"/>
        <v>0.93369795193644245</v>
      </c>
      <c r="U316" s="6">
        <f t="shared" ca="1" si="104"/>
        <v>0.96977957260642789</v>
      </c>
      <c r="V316">
        <f t="shared" ca="1" si="105"/>
        <v>0.984000109526325</v>
      </c>
      <c r="W316">
        <v>1.0465627645607074</v>
      </c>
      <c r="X316" t="b">
        <f t="shared" ca="1" si="106"/>
        <v>0</v>
      </c>
      <c r="AS316">
        <v>0.44107947297724132</v>
      </c>
      <c r="AT316">
        <v>999</v>
      </c>
      <c r="AU316">
        <v>-3.1897533375223044</v>
      </c>
      <c r="AV316">
        <v>3.8641452944606836</v>
      </c>
      <c r="AW316">
        <v>7.1941261747350662</v>
      </c>
      <c r="AX316">
        <v>4.1614959017255613</v>
      </c>
      <c r="AY316">
        <v>-3.4161977343185321</v>
      </c>
      <c r="AZ316">
        <v>-2.9052775207007198</v>
      </c>
      <c r="BJ316" t="b">
        <f t="shared" si="87"/>
        <v>1</v>
      </c>
      <c r="BK316" t="b">
        <f t="shared" ca="1" si="88"/>
        <v>0</v>
      </c>
    </row>
    <row r="317" spans="1:63" x14ac:dyDescent="0.45">
      <c r="A317" s="1">
        <v>44777</v>
      </c>
      <c r="B317">
        <v>308.63299999999998</v>
      </c>
      <c r="C317" s="1">
        <v>44777</v>
      </c>
      <c r="D317">
        <v>414.17</v>
      </c>
      <c r="E317">
        <f t="shared" si="89"/>
        <v>4.0208590194438787E-3</v>
      </c>
      <c r="F317" s="4">
        <f t="shared" si="90"/>
        <v>-6.7559416093611465E-4</v>
      </c>
      <c r="G317">
        <f t="shared" ca="1" si="91"/>
        <v>1.2598634921414231E-3</v>
      </c>
      <c r="H317">
        <f t="shared" ca="1" si="92"/>
        <v>4.361147484202299E-2</v>
      </c>
      <c r="I317">
        <f t="shared" ca="1" si="93"/>
        <v>-4.9644407975921519E-2</v>
      </c>
      <c r="J317">
        <f t="shared" ca="1" si="94"/>
        <v>0.56701765035571317</v>
      </c>
      <c r="K317">
        <f t="shared" ca="1" si="95"/>
        <v>1.0722434075011544</v>
      </c>
      <c r="L317">
        <f t="shared" ca="1" si="96"/>
        <v>1.0151483992211139</v>
      </c>
      <c r="M317">
        <f t="shared" ca="1" si="97"/>
        <v>-2.8589167543826357E-4</v>
      </c>
      <c r="N317">
        <f t="shared" ca="1" si="98"/>
        <v>1.3982204210241876E-2</v>
      </c>
      <c r="O317">
        <f t="shared" ca="1" si="99"/>
        <v>-0.28319371937782001</v>
      </c>
      <c r="P317">
        <f t="shared" ca="1" si="100"/>
        <v>0.20861124591649638</v>
      </c>
      <c r="Q317">
        <f t="shared" ca="1" si="101"/>
        <v>0.92886607179500369</v>
      </c>
      <c r="R317">
        <f t="shared" ca="1" si="102"/>
        <v>1.0913913945378886</v>
      </c>
      <c r="T317">
        <f t="shared" si="103"/>
        <v>1.0040208590194439</v>
      </c>
      <c r="U317" s="6">
        <f t="shared" ca="1" si="104"/>
        <v>1.0987290850836595</v>
      </c>
      <c r="V317">
        <f t="shared" ca="1" si="105"/>
        <v>0.98319174050369618</v>
      </c>
      <c r="W317">
        <v>0.9870488278590307</v>
      </c>
      <c r="X317" t="b">
        <f t="shared" ca="1" si="106"/>
        <v>0</v>
      </c>
      <c r="AS317">
        <v>0.33693590131341689</v>
      </c>
      <c r="AT317">
        <v>999</v>
      </c>
      <c r="AU317">
        <v>999</v>
      </c>
      <c r="AV317">
        <v>999</v>
      </c>
      <c r="AW317">
        <v>5.9057146750701186</v>
      </c>
      <c r="AX317">
        <v>999</v>
      </c>
      <c r="AY317">
        <v>-6.7510144559240164</v>
      </c>
      <c r="AZ317">
        <v>45.740090940030491</v>
      </c>
      <c r="BJ317" t="b">
        <f t="shared" si="87"/>
        <v>1</v>
      </c>
      <c r="BK317" t="b">
        <f t="shared" ca="1" si="88"/>
        <v>0</v>
      </c>
    </row>
    <row r="318" spans="1:63" x14ac:dyDescent="0.45">
      <c r="A318" s="1">
        <v>44776</v>
      </c>
      <c r="B318">
        <v>307.39699999999999</v>
      </c>
      <c r="C318" s="1">
        <v>44776</v>
      </c>
      <c r="D318">
        <v>414.45</v>
      </c>
      <c r="E318">
        <f t="shared" si="89"/>
        <v>2.2655670404907739E-2</v>
      </c>
      <c r="F318" s="4">
        <f t="shared" si="90"/>
        <v>1.5659461843846461E-2</v>
      </c>
      <c r="G318">
        <f t="shared" ca="1" si="91"/>
        <v>1.400376256935311E-3</v>
      </c>
      <c r="H318">
        <f t="shared" ca="1" si="92"/>
        <v>4.366565371761931E-2</v>
      </c>
      <c r="I318">
        <f t="shared" ca="1" si="93"/>
        <v>-5.7420071201771228E-2</v>
      </c>
      <c r="J318">
        <f t="shared" ca="1" si="94"/>
        <v>0.55110311946969226</v>
      </c>
      <c r="K318">
        <f t="shared" ca="1" si="95"/>
        <v>1.0722434075011544</v>
      </c>
      <c r="L318">
        <f t="shared" ca="1" si="96"/>
        <v>1.0218111968802039</v>
      </c>
      <c r="M318">
        <f t="shared" ca="1" si="97"/>
        <v>-2.6771118371941524E-4</v>
      </c>
      <c r="N318">
        <f t="shared" ca="1" si="98"/>
        <v>1.398405876207817E-2</v>
      </c>
      <c r="O318">
        <f t="shared" ca="1" si="99"/>
        <v>-0.28695710714911565</v>
      </c>
      <c r="P318">
        <f t="shared" ca="1" si="100"/>
        <v>0.20841238649612581</v>
      </c>
      <c r="Q318">
        <f t="shared" ca="1" si="101"/>
        <v>0.92886607179500369</v>
      </c>
      <c r="R318">
        <f t="shared" ca="1" si="102"/>
        <v>1.0913913945378886</v>
      </c>
      <c r="T318">
        <f t="shared" si="103"/>
        <v>1.0226556704049077</v>
      </c>
      <c r="U318" s="6">
        <f t="shared" ca="1" si="104"/>
        <v>1.1185394076122552</v>
      </c>
      <c r="V318">
        <f t="shared" ca="1" si="105"/>
        <v>0.9962954740788158</v>
      </c>
      <c r="W318">
        <v>0.99627258696228371</v>
      </c>
      <c r="X318" t="b">
        <f t="shared" ca="1" si="106"/>
        <v>0</v>
      </c>
      <c r="AS318">
        <v>0.33914634387969278</v>
      </c>
      <c r="AT318">
        <v>999</v>
      </c>
      <c r="AU318">
        <v>999</v>
      </c>
      <c r="AV318">
        <v>999</v>
      </c>
      <c r="AW318">
        <v>5.9944213274722236</v>
      </c>
      <c r="AX318">
        <v>999</v>
      </c>
      <c r="AY318">
        <v>-6.8130172555390605</v>
      </c>
      <c r="AZ318">
        <v>46.189051244089974</v>
      </c>
      <c r="BJ318" t="b">
        <f t="shared" si="87"/>
        <v>1</v>
      </c>
      <c r="BK318" t="b">
        <f t="shared" ca="1" si="88"/>
        <v>0</v>
      </c>
    </row>
    <row r="319" spans="1:63" x14ac:dyDescent="0.45">
      <c r="A319" s="1">
        <v>44775</v>
      </c>
      <c r="B319">
        <v>300.58699999999999</v>
      </c>
      <c r="C319" s="1">
        <v>44775</v>
      </c>
      <c r="D319">
        <v>408.06</v>
      </c>
      <c r="E319">
        <f t="shared" si="89"/>
        <v>1.1134396539254642E-2</v>
      </c>
      <c r="F319" s="4">
        <f t="shared" si="90"/>
        <v>-6.5973659225356763E-3</v>
      </c>
      <c r="G319">
        <f t="shared" ca="1" si="91"/>
        <v>1.4380842561992049E-3</v>
      </c>
      <c r="H319">
        <f t="shared" ca="1" si="92"/>
        <v>4.368735214776906E-2</v>
      </c>
      <c r="I319">
        <f t="shared" ca="1" si="93"/>
        <v>-5.9080971939084709E-2</v>
      </c>
      <c r="J319">
        <f t="shared" ca="1" si="94"/>
        <v>0.54485355529913004</v>
      </c>
      <c r="K319">
        <f t="shared" ca="1" si="95"/>
        <v>1.0722434075011544</v>
      </c>
      <c r="L319">
        <f t="shared" ca="1" si="96"/>
        <v>1.0716661153811684</v>
      </c>
      <c r="M319">
        <f t="shared" ca="1" si="97"/>
        <v>-3.0792939689344966E-4</v>
      </c>
      <c r="N319">
        <f t="shared" ca="1" si="98"/>
        <v>1.3949546146803658E-2</v>
      </c>
      <c r="O319">
        <f t="shared" ca="1" si="99"/>
        <v>-0.28699453533249991</v>
      </c>
      <c r="P319">
        <f t="shared" ca="1" si="100"/>
        <v>0.22903520856986592</v>
      </c>
      <c r="Q319">
        <f t="shared" ca="1" si="101"/>
        <v>0.92886607179500369</v>
      </c>
      <c r="R319">
        <f t="shared" ca="1" si="102"/>
        <v>1.0583462514617767</v>
      </c>
      <c r="T319">
        <f t="shared" si="103"/>
        <v>1.0111343965392547</v>
      </c>
      <c r="U319" s="6">
        <f t="shared" ca="1" si="104"/>
        <v>1.161195240670633</v>
      </c>
      <c r="V319">
        <f t="shared" ca="1" si="105"/>
        <v>1.0319049662532724</v>
      </c>
      <c r="W319">
        <v>1.0421067986396746</v>
      </c>
      <c r="X319" t="b">
        <f t="shared" ca="1" si="106"/>
        <v>1</v>
      </c>
      <c r="AS319">
        <v>0.34198415716730834</v>
      </c>
      <c r="AT319">
        <v>999</v>
      </c>
      <c r="AU319">
        <v>999</v>
      </c>
      <c r="AV319">
        <v>999</v>
      </c>
      <c r="AW319">
        <v>6.0150724067799022</v>
      </c>
      <c r="AX319">
        <v>999</v>
      </c>
      <c r="AY319">
        <v>-6.7941553264085348</v>
      </c>
      <c r="AZ319">
        <v>46.497899480883632</v>
      </c>
      <c r="BJ319" t="b">
        <f t="shared" si="87"/>
        <v>1</v>
      </c>
      <c r="BK319" t="b">
        <f t="shared" ca="1" si="88"/>
        <v>1</v>
      </c>
    </row>
    <row r="320" spans="1:63" x14ac:dyDescent="0.45">
      <c r="A320" s="1">
        <v>44774</v>
      </c>
      <c r="B320">
        <v>297.27699999999999</v>
      </c>
      <c r="C320" s="1">
        <v>44774</v>
      </c>
      <c r="D320">
        <v>410.77</v>
      </c>
      <c r="E320">
        <f t="shared" si="89"/>
        <v>4.273935722699295E-4</v>
      </c>
      <c r="F320" s="4">
        <f t="shared" si="90"/>
        <v>-2.9612369232263581E-3</v>
      </c>
      <c r="G320">
        <f t="shared" ca="1" si="91"/>
        <v>1.4270379577757536E-3</v>
      </c>
      <c r="H320">
        <f t="shared" ca="1" si="92"/>
        <v>4.3685167375676404E-2</v>
      </c>
      <c r="I320">
        <f t="shared" ca="1" si="93"/>
        <v>-5.8353541163027892E-2</v>
      </c>
      <c r="J320">
        <f t="shared" ca="1" si="94"/>
        <v>0.54550318445335577</v>
      </c>
      <c r="K320">
        <f t="shared" ca="1" si="95"/>
        <v>1.0722434075011544</v>
      </c>
      <c r="L320">
        <f t="shared" ca="1" si="96"/>
        <v>1.0716661153811684</v>
      </c>
      <c r="M320">
        <f t="shared" ca="1" si="97"/>
        <v>-1.9083943754135346E-4</v>
      </c>
      <c r="N320">
        <f t="shared" ca="1" si="98"/>
        <v>1.3994698581196827E-2</v>
      </c>
      <c r="O320">
        <f t="shared" ca="1" si="99"/>
        <v>-0.2998127827638743</v>
      </c>
      <c r="P320">
        <f t="shared" ca="1" si="100"/>
        <v>0.20819126160056278</v>
      </c>
      <c r="Q320">
        <f t="shared" ca="1" si="101"/>
        <v>0.92886607179500369</v>
      </c>
      <c r="R320">
        <f t="shared" ca="1" si="102"/>
        <v>1.0913913945378886</v>
      </c>
      <c r="T320">
        <f t="shared" si="103"/>
        <v>1.0004273935722698</v>
      </c>
      <c r="U320" s="6">
        <f t="shared" ca="1" si="104"/>
        <v>1.107453256492309</v>
      </c>
      <c r="V320">
        <f t="shared" ca="1" si="105"/>
        <v>1.0267415150842112</v>
      </c>
      <c r="W320">
        <v>1.0024067065505882</v>
      </c>
      <c r="X320" t="b">
        <f t="shared" ca="1" si="106"/>
        <v>1</v>
      </c>
      <c r="AS320">
        <v>0.33608904558724051</v>
      </c>
      <c r="AT320">
        <v>999</v>
      </c>
      <c r="AU320">
        <v>999</v>
      </c>
      <c r="AV320">
        <v>999</v>
      </c>
      <c r="AW320">
        <v>5.9655618372539951</v>
      </c>
      <c r="AX320">
        <v>999</v>
      </c>
      <c r="AY320">
        <v>-6.7365385513279028</v>
      </c>
      <c r="AZ320">
        <v>46.495693088492771</v>
      </c>
      <c r="BJ320" t="b">
        <f t="shared" si="87"/>
        <v>1</v>
      </c>
      <c r="BK320" t="b">
        <f t="shared" ca="1" si="88"/>
        <v>1</v>
      </c>
    </row>
    <row r="321" spans="1:63" x14ac:dyDescent="0.45">
      <c r="A321" s="1">
        <v>44771</v>
      </c>
      <c r="B321">
        <v>297.14999999999998</v>
      </c>
      <c r="C321" s="1">
        <v>44771</v>
      </c>
      <c r="D321">
        <v>411.99</v>
      </c>
      <c r="E321">
        <f t="shared" si="89"/>
        <v>5.7849768600925604E-2</v>
      </c>
      <c r="F321" s="4">
        <f t="shared" si="90"/>
        <v>1.4578767207624341E-2</v>
      </c>
      <c r="G321">
        <f t="shared" ca="1" si="91"/>
        <v>1.4581694122800181E-3</v>
      </c>
      <c r="H321">
        <f t="shared" ca="1" si="92"/>
        <v>4.3686669918840015E-2</v>
      </c>
      <c r="I321">
        <f t="shared" ca="1" si="93"/>
        <v>-6.0498184735563641E-2</v>
      </c>
      <c r="J321">
        <f t="shared" ca="1" si="94"/>
        <v>0.54518301015492998</v>
      </c>
      <c r="K321">
        <f t="shared" ca="1" si="95"/>
        <v>1.0722434075011544</v>
      </c>
      <c r="L321">
        <f t="shared" ca="1" si="96"/>
        <v>1.0716661153811684</v>
      </c>
      <c r="M321">
        <f t="shared" ca="1" si="97"/>
        <v>-1.5804515274534079E-4</v>
      </c>
      <c r="N321">
        <f t="shared" ca="1" si="98"/>
        <v>1.3995858740920202E-2</v>
      </c>
      <c r="O321">
        <f t="shared" ca="1" si="99"/>
        <v>-0.3066986373211355</v>
      </c>
      <c r="P321">
        <f t="shared" ca="1" si="100"/>
        <v>0.21003129743636784</v>
      </c>
      <c r="Q321">
        <f t="shared" ca="1" si="101"/>
        <v>0.92886607179500369</v>
      </c>
      <c r="R321">
        <f t="shared" ca="1" si="102"/>
        <v>1.0913913945378886</v>
      </c>
      <c r="T321">
        <f t="shared" si="103"/>
        <v>1.0578497686009256</v>
      </c>
      <c r="U321" s="6">
        <f t="shared" ca="1" si="104"/>
        <v>1.0914881190700956</v>
      </c>
      <c r="V321">
        <f t="shared" ca="1" si="105"/>
        <v>1.0177571410961499</v>
      </c>
      <c r="W321">
        <v>0.98727036619524799</v>
      </c>
      <c r="X321" t="b">
        <f t="shared" ca="1" si="106"/>
        <v>0</v>
      </c>
      <c r="AS321">
        <v>0.3426438193538161</v>
      </c>
      <c r="AT321">
        <v>999</v>
      </c>
      <c r="AU321">
        <v>999</v>
      </c>
      <c r="AV321">
        <v>999</v>
      </c>
      <c r="AW321">
        <v>6.0130950906703786</v>
      </c>
      <c r="AX321">
        <v>999</v>
      </c>
      <c r="AY321">
        <v>-6.8004516681469633</v>
      </c>
      <c r="AZ321">
        <v>46.739553334909765</v>
      </c>
      <c r="BJ321" t="b">
        <f t="shared" si="87"/>
        <v>1</v>
      </c>
      <c r="BK321" t="b">
        <f t="shared" ca="1" si="88"/>
        <v>0</v>
      </c>
    </row>
    <row r="322" spans="1:63" x14ac:dyDescent="0.45">
      <c r="A322" s="1">
        <v>44770</v>
      </c>
      <c r="B322">
        <v>280.89999999999998</v>
      </c>
      <c r="C322" s="1">
        <v>44770</v>
      </c>
      <c r="D322">
        <v>406.07</v>
      </c>
      <c r="E322">
        <f t="shared" si="89"/>
        <v>2.2123571792445906E-2</v>
      </c>
      <c r="F322" s="4">
        <f t="shared" si="90"/>
        <v>1.2542389786554888E-2</v>
      </c>
      <c r="G322">
        <f t="shared" ca="1" si="91"/>
        <v>1.2559157961865189E-3</v>
      </c>
      <c r="H322">
        <f t="shared" ca="1" si="92"/>
        <v>4.3517594105733928E-2</v>
      </c>
      <c r="I322">
        <f t="shared" ca="1" si="93"/>
        <v>-5.7917623427855121E-2</v>
      </c>
      <c r="J322">
        <f t="shared" ca="1" si="94"/>
        <v>0.58557383661306339</v>
      </c>
      <c r="K322">
        <f t="shared" ca="1" si="95"/>
        <v>1.0722434075011544</v>
      </c>
      <c r="L322">
        <f t="shared" ca="1" si="96"/>
        <v>1.0218111968802039</v>
      </c>
      <c r="M322">
        <f t="shared" ca="1" si="97"/>
        <v>-2.4324661030684653E-4</v>
      </c>
      <c r="N322">
        <f t="shared" ca="1" si="98"/>
        <v>1.3957510691730991E-2</v>
      </c>
      <c r="O322">
        <f t="shared" ca="1" si="99"/>
        <v>-0.29673256700976763</v>
      </c>
      <c r="P322">
        <f t="shared" ca="1" si="100"/>
        <v>0.23190475735106064</v>
      </c>
      <c r="Q322">
        <f t="shared" ca="1" si="101"/>
        <v>0.92886607179500369</v>
      </c>
      <c r="R322">
        <f t="shared" ca="1" si="102"/>
        <v>1.0583462514617767</v>
      </c>
      <c r="T322">
        <f t="shared" si="103"/>
        <v>1.022123571792446</v>
      </c>
      <c r="U322" s="6">
        <f t="shared" ca="1" si="104"/>
        <v>1.033834240560604</v>
      </c>
      <c r="V322">
        <f t="shared" ca="1" si="105"/>
        <v>1.0113441144045909</v>
      </c>
      <c r="W322">
        <v>0.98913571073587181</v>
      </c>
      <c r="X322" t="b">
        <f t="shared" ca="1" si="106"/>
        <v>0</v>
      </c>
      <c r="AS322">
        <v>0.33979832542886274</v>
      </c>
      <c r="AT322">
        <v>999</v>
      </c>
      <c r="AU322">
        <v>999</v>
      </c>
      <c r="AV322">
        <v>999</v>
      </c>
      <c r="AW322">
        <v>6.0376238271469438</v>
      </c>
      <c r="AX322">
        <v>999</v>
      </c>
      <c r="AY322">
        <v>-6.7995320081171977</v>
      </c>
      <c r="AZ322">
        <v>46.93191664464694</v>
      </c>
      <c r="BJ322" t="b">
        <f t="shared" ref="BJ322:BJ385" si="107">ABS(W322-1)&gt;$S$21</f>
        <v>1</v>
      </c>
      <c r="BK322" t="b">
        <f t="shared" ref="BK322:BK385" ca="1" si="108">AND(X322,BJ322)</f>
        <v>0</v>
      </c>
    </row>
    <row r="323" spans="1:63" x14ac:dyDescent="0.45">
      <c r="A323" s="1">
        <v>44769</v>
      </c>
      <c r="B323">
        <v>274.82</v>
      </c>
      <c r="C323" s="1">
        <v>44769</v>
      </c>
      <c r="D323">
        <v>401.04</v>
      </c>
      <c r="E323">
        <f t="shared" ref="E323:E386" si="109">(B323-B324)/B324</f>
        <v>6.1654948620876067E-2</v>
      </c>
      <c r="F323" s="4">
        <f t="shared" ref="F323:F386" si="110">(D323-D324)/D324</f>
        <v>2.5966384404819857E-2</v>
      </c>
      <c r="G323">
        <f t="shared" ref="G323:G386" ca="1" si="111">AVERAGE(OFFSET(E323,0,0,$S$3,1))*$AK$25</f>
        <v>1.1863551117268294E-3</v>
      </c>
      <c r="H323">
        <f t="shared" ref="H323:H386" ca="1" si="112">STDEV(OFFSET(E323,0,0,$S$3,1))*$AJ$25</f>
        <v>4.3495183745100918E-2</v>
      </c>
      <c r="I323">
        <f t="shared" ref="I323:I386" ca="1" si="113">SKEW(OFFSET(E323,0,0,$S$3,1))*$AI$25</f>
        <v>-5.3700692620750175E-2</v>
      </c>
      <c r="J323">
        <f t="shared" ref="J323:J386" ca="1" si="114">KURT(OFFSET(E323,0,0,$S$3,1))*$AH$25</f>
        <v>0.59242630372917615</v>
      </c>
      <c r="K323">
        <f t="shared" ref="K323:K386" ca="1" si="115">PERCENTILE(OFFSET(E323,0,0,$S$3,1), 0.95)/ABS(PERCENTILE(OFFSET(E323,0,0,$S$3,1), 0.05))*$AG$25</f>
        <v>1.0722434075011544</v>
      </c>
      <c r="L323">
        <f t="shared" ref="L323:L386" ca="1" si="116">PERCENTILE(OFFSET(E323,0,0,$S$3,1), 0.75)/ABS(PERCENTILE(OFFSET(E323,0,0,$S$3,1), 0.25))*$AF$25</f>
        <v>1.0218111968802039</v>
      </c>
      <c r="M323">
        <f t="shared" ref="M323:M386" ca="1" si="117">AVERAGE(OFFSET(F323,0,0,$S$3,1))*$AE$25</f>
        <v>-3.4215734423939263E-4</v>
      </c>
      <c r="N323">
        <f t="shared" ref="N323:N386" ca="1" si="118">STDEV(OFFSET(F323,0,0,$S$3,1))*$AD$25</f>
        <v>1.3936527117298749E-2</v>
      </c>
      <c r="O323">
        <f t="shared" ref="O323:O386" ca="1" si="119">SKEW(OFFSET(F323,0,0,$S$3,1))*$AC$25</f>
        <v>-0.28112938760517309</v>
      </c>
      <c r="P323">
        <f t="shared" ref="P323:P386" ca="1" si="120">KURT(OFFSET(F323,0,0,$S$3,1))*$AB$25</f>
        <v>0.23989527480794282</v>
      </c>
      <c r="Q323">
        <f t="shared" ref="Q323:Q386" ca="1" si="121">PERCENTILE(OFFSET(F323,0,0,$S$3,1), 0.95)/ABS(PERCENTILE(OFFSET(F323,0,0,$S$3,1), 0.05))*$AA$25</f>
        <v>0.92886607179500369</v>
      </c>
      <c r="R323">
        <f t="shared" ref="R323:R386" ca="1" si="122">PERCENTILE(OFFSET(F323,0,0,$S$3,1), 0.75)/ABS(PERCENTILE(OFFSET(F323,0,0,$S$3,1), 0.25))*$Z$25</f>
        <v>1.0189789394133453</v>
      </c>
      <c r="T323">
        <f t="shared" ref="T323:T386" si="123">E323+1</f>
        <v>1.0616549486208762</v>
      </c>
      <c r="U323" s="6">
        <f t="shared" ref="U323:U386" ca="1" si="124">PRODUCT(OFFSET(T323,0,0,$S$6,1))</f>
        <v>1.1103838383838385</v>
      </c>
      <c r="V323">
        <f t="shared" ref="V323:V386" ca="1" si="125">OFFSET(G323,$S$6,0) * $AK$2+ OFFSET(H323,$S$6,0)  * $AJ$2 + OFFSET(I323,$S$6,0) * $AI$2 + OFFSET(J323,$S$6,0) * $AH$2 + OFFSET(K323,$S$6,0) * $AG$2 + OFFSET(L323,$S$6,0) * $AF$2 + OFFSET(M323,$S$6,0) * $AE$2 + OFFSET(N323,$S$6,0) * $AD$2 + OFFSET(O323,$S$6,0) * $AC$2 + OFFSET(P323,$S$6,0) * $AB$2 +  OFFSET(Q323,$S$6,0) * $AA$2 + OFFSET(R323,$S$6,0)  * $Z$2  + AL$2</f>
        <v>1.0281939374962721</v>
      </c>
      <c r="W323">
        <v>1.0136045993288971</v>
      </c>
      <c r="X323" t="b">
        <f t="shared" ref="X323:X386" ca="1" si="126">OR(AND(U323&gt;1, W323&gt;1), AND(U323&lt;1, W323&lt;1))</f>
        <v>1</v>
      </c>
      <c r="AS323">
        <v>0.33436873908314985</v>
      </c>
      <c r="AT323">
        <v>999</v>
      </c>
      <c r="AU323">
        <v>999</v>
      </c>
      <c r="AV323">
        <v>999</v>
      </c>
      <c r="AW323">
        <v>6.0742567105066687</v>
      </c>
      <c r="AX323">
        <v>999</v>
      </c>
      <c r="AY323">
        <v>-6.7669579330015059</v>
      </c>
      <c r="AZ323">
        <v>47.467780430024433</v>
      </c>
      <c r="BJ323" t="b">
        <f t="shared" si="107"/>
        <v>1</v>
      </c>
      <c r="BK323" t="b">
        <f t="shared" ca="1" si="108"/>
        <v>1</v>
      </c>
    </row>
    <row r="324" spans="1:63" x14ac:dyDescent="0.45">
      <c r="A324" s="1">
        <v>44768</v>
      </c>
      <c r="B324">
        <v>258.86</v>
      </c>
      <c r="C324" s="1">
        <v>44768</v>
      </c>
      <c r="D324">
        <v>390.89</v>
      </c>
      <c r="E324">
        <f t="shared" si="109"/>
        <v>-3.5662530314827086E-2</v>
      </c>
      <c r="F324" s="4">
        <f t="shared" si="110"/>
        <v>-1.1831028642212521E-2</v>
      </c>
      <c r="G324">
        <f t="shared" ca="1" si="111"/>
        <v>8.2691550321609673E-4</v>
      </c>
      <c r="H324">
        <f t="shared" ca="1" si="112"/>
        <v>4.3289517438058228E-2</v>
      </c>
      <c r="I324">
        <f t="shared" ca="1" si="113"/>
        <v>-4.3235404729876956E-2</v>
      </c>
      <c r="J324">
        <f t="shared" ca="1" si="114"/>
        <v>0.64047710786538348</v>
      </c>
      <c r="K324">
        <f t="shared" ca="1" si="115"/>
        <v>1.0722434075011544</v>
      </c>
      <c r="L324">
        <f t="shared" ca="1" si="116"/>
        <v>1.0151483992211139</v>
      </c>
      <c r="M324">
        <f t="shared" ca="1" si="117"/>
        <v>-4.8110794587868428E-4</v>
      </c>
      <c r="N324">
        <f t="shared" ca="1" si="118"/>
        <v>1.381087712807922E-2</v>
      </c>
      <c r="O324">
        <f t="shared" ca="1" si="119"/>
        <v>-0.29347631923312806</v>
      </c>
      <c r="P324">
        <f t="shared" ca="1" si="120"/>
        <v>0.28023802569027012</v>
      </c>
      <c r="Q324">
        <f t="shared" ca="1" si="121"/>
        <v>0.92087793429690512</v>
      </c>
      <c r="R324">
        <f t="shared" ca="1" si="122"/>
        <v>0.97127197868133175</v>
      </c>
      <c r="T324">
        <f t="shared" si="123"/>
        <v>0.96433746968517287</v>
      </c>
      <c r="U324" s="6">
        <f t="shared" ca="1" si="124"/>
        <v>1.0542907180385288</v>
      </c>
      <c r="V324">
        <f t="shared" ca="1" si="125"/>
        <v>1.0297588392259254</v>
      </c>
      <c r="W324">
        <v>1.0195405535992124</v>
      </c>
      <c r="X324" t="b">
        <f t="shared" ca="1" si="126"/>
        <v>1</v>
      </c>
      <c r="AS324">
        <v>0.34697419581790095</v>
      </c>
      <c r="AT324">
        <v>999</v>
      </c>
      <c r="AU324">
        <v>999</v>
      </c>
      <c r="AV324">
        <v>999</v>
      </c>
      <c r="AW324">
        <v>6.3365955185122376</v>
      </c>
      <c r="AX324">
        <v>999</v>
      </c>
      <c r="AY324">
        <v>-6.970813640876333</v>
      </c>
      <c r="AZ324">
        <v>48.779978075105035</v>
      </c>
      <c r="BJ324" t="b">
        <f t="shared" si="107"/>
        <v>1</v>
      </c>
      <c r="BK324" t="b">
        <f t="shared" ca="1" si="108"/>
        <v>1</v>
      </c>
    </row>
    <row r="325" spans="1:63" x14ac:dyDescent="0.45">
      <c r="A325" s="1">
        <v>44767</v>
      </c>
      <c r="B325">
        <v>268.43299999999999</v>
      </c>
      <c r="C325" s="1">
        <v>44767</v>
      </c>
      <c r="D325">
        <v>395.57</v>
      </c>
      <c r="E325">
        <f t="shared" si="109"/>
        <v>-1.3994850188985584E-2</v>
      </c>
      <c r="F325" s="4">
        <f t="shared" si="110"/>
        <v>1.2149130577843485E-3</v>
      </c>
      <c r="G325">
        <f t="shared" ca="1" si="111"/>
        <v>1.0745988742144176E-3</v>
      </c>
      <c r="H325">
        <f t="shared" ca="1" si="112"/>
        <v>4.3221351669399458E-2</v>
      </c>
      <c r="I325">
        <f t="shared" ca="1" si="113"/>
        <v>-5.7611897794169767E-2</v>
      </c>
      <c r="J325">
        <f t="shared" ca="1" si="114"/>
        <v>0.6623432900093662</v>
      </c>
      <c r="K325">
        <f t="shared" ca="1" si="115"/>
        <v>1.0722434075011544</v>
      </c>
      <c r="L325">
        <f t="shared" ca="1" si="116"/>
        <v>1.0668477989839318</v>
      </c>
      <c r="M325">
        <f t="shared" ca="1" si="117"/>
        <v>-3.7872447431627548E-4</v>
      </c>
      <c r="N325">
        <f t="shared" ca="1" si="118"/>
        <v>1.3802211224801081E-2</v>
      </c>
      <c r="O325">
        <f t="shared" ca="1" si="119"/>
        <v>-0.31221816553832815</v>
      </c>
      <c r="P325">
        <f t="shared" ca="1" si="120"/>
        <v>0.29633283408844724</v>
      </c>
      <c r="Q325">
        <f t="shared" ca="1" si="121"/>
        <v>0.92087793429690512</v>
      </c>
      <c r="R325">
        <f t="shared" ca="1" si="122"/>
        <v>1.023160600795697</v>
      </c>
      <c r="T325">
        <f t="shared" si="123"/>
        <v>0.98600514981101439</v>
      </c>
      <c r="U325" s="6">
        <f t="shared" ca="1" si="124"/>
        <v>1.1159274486898609</v>
      </c>
      <c r="V325">
        <f t="shared" ca="1" si="125"/>
        <v>1.0572934607935602</v>
      </c>
      <c r="W325">
        <v>1.0379705648164639</v>
      </c>
      <c r="X325" t="b">
        <f t="shared" ca="1" si="126"/>
        <v>1</v>
      </c>
      <c r="AS325">
        <v>0.33732106794651051</v>
      </c>
      <c r="AT325">
        <v>999</v>
      </c>
      <c r="AU325">
        <v>999</v>
      </c>
      <c r="AV325">
        <v>999</v>
      </c>
      <c r="AW325">
        <v>6.2310566753397261</v>
      </c>
      <c r="AX325">
        <v>999</v>
      </c>
      <c r="AY325">
        <v>-6.7893991900901058</v>
      </c>
      <c r="AZ325">
        <v>49.445418510463675</v>
      </c>
      <c r="BJ325" t="b">
        <f t="shared" si="107"/>
        <v>1</v>
      </c>
      <c r="BK325" t="b">
        <f t="shared" ca="1" si="108"/>
        <v>1</v>
      </c>
    </row>
    <row r="326" spans="1:63" x14ac:dyDescent="0.45">
      <c r="A326" s="1">
        <v>44764</v>
      </c>
      <c r="B326">
        <v>272.24299999999999</v>
      </c>
      <c r="C326" s="1">
        <v>44764</v>
      </c>
      <c r="D326">
        <v>395.09</v>
      </c>
      <c r="E326">
        <f t="shared" si="109"/>
        <v>1.9727132536151125E-3</v>
      </c>
      <c r="F326" s="4">
        <f t="shared" si="110"/>
        <v>-9.2780661501041788E-3</v>
      </c>
      <c r="G326">
        <f t="shared" ca="1" si="111"/>
        <v>1.1584087958242647E-3</v>
      </c>
      <c r="H326">
        <f t="shared" ca="1" si="112"/>
        <v>4.3208233345895145E-2</v>
      </c>
      <c r="I326">
        <f t="shared" ca="1" si="113"/>
        <v>-6.33265627274118E-2</v>
      </c>
      <c r="J326">
        <f t="shared" ca="1" si="114"/>
        <v>0.66724999998489087</v>
      </c>
      <c r="K326">
        <f t="shared" ca="1" si="115"/>
        <v>1.0722434075011544</v>
      </c>
      <c r="L326">
        <f t="shared" ca="1" si="116"/>
        <v>1.0668477989839318</v>
      </c>
      <c r="M326">
        <f t="shared" ca="1" si="117"/>
        <v>-3.6401861937892193E-4</v>
      </c>
      <c r="N326">
        <f t="shared" ca="1" si="118"/>
        <v>1.3805484209847708E-2</v>
      </c>
      <c r="O326">
        <f t="shared" ca="1" si="119"/>
        <v>-0.31505199972177866</v>
      </c>
      <c r="P326">
        <f t="shared" ca="1" si="120"/>
        <v>0.29458661484590865</v>
      </c>
      <c r="Q326">
        <f t="shared" ca="1" si="121"/>
        <v>0.92087793429690512</v>
      </c>
      <c r="R326">
        <f t="shared" ca="1" si="122"/>
        <v>1.023160600795697</v>
      </c>
      <c r="T326">
        <f t="shared" si="123"/>
        <v>1.0019727132536151</v>
      </c>
      <c r="U326" s="6">
        <f t="shared" ca="1" si="124"/>
        <v>1.1340292501676614</v>
      </c>
      <c r="V326">
        <f t="shared" ca="1" si="125"/>
        <v>1.0525399510389648</v>
      </c>
      <c r="W326">
        <v>1.0323951995226295</v>
      </c>
      <c r="X326" t="b">
        <f t="shared" ca="1" si="126"/>
        <v>1</v>
      </c>
      <c r="AS326">
        <v>0.32691078289576236</v>
      </c>
      <c r="AT326">
        <v>999</v>
      </c>
      <c r="AU326">
        <v>999</v>
      </c>
      <c r="AV326">
        <v>999</v>
      </c>
      <c r="AW326">
        <v>6.1394924767042811</v>
      </c>
      <c r="AX326">
        <v>999</v>
      </c>
      <c r="AY326">
        <v>-6.6059829411484428</v>
      </c>
      <c r="AZ326">
        <v>49.651287467601918</v>
      </c>
      <c r="BJ326" t="b">
        <f t="shared" si="107"/>
        <v>1</v>
      </c>
      <c r="BK326" t="b">
        <f t="shared" ca="1" si="108"/>
        <v>1</v>
      </c>
    </row>
    <row r="327" spans="1:63" x14ac:dyDescent="0.45">
      <c r="A327" s="1">
        <v>44763</v>
      </c>
      <c r="B327">
        <v>271.70699999999999</v>
      </c>
      <c r="C327" s="1">
        <v>44763</v>
      </c>
      <c r="D327">
        <v>398.79</v>
      </c>
      <c r="E327">
        <f t="shared" si="109"/>
        <v>9.7806060606060577E-2</v>
      </c>
      <c r="F327" s="4">
        <f t="shared" si="110"/>
        <v>1.0183144615852367E-2</v>
      </c>
      <c r="G327">
        <f t="shared" ca="1" si="111"/>
        <v>1.1425377826251694E-3</v>
      </c>
      <c r="H327">
        <f t="shared" ca="1" si="112"/>
        <v>4.320851570146695E-2</v>
      </c>
      <c r="I327">
        <f t="shared" ca="1" si="113"/>
        <v>-6.2213115005321826E-2</v>
      </c>
      <c r="J327">
        <f t="shared" ca="1" si="114"/>
        <v>0.66705889558491815</v>
      </c>
      <c r="K327">
        <f t="shared" ca="1" si="115"/>
        <v>1.0722434075011544</v>
      </c>
      <c r="L327">
        <f t="shared" ca="1" si="116"/>
        <v>1.0668477989839318</v>
      </c>
      <c r="M327">
        <f t="shared" ca="1" si="117"/>
        <v>-2.6560327929656022E-4</v>
      </c>
      <c r="N327">
        <f t="shared" ca="1" si="118"/>
        <v>1.3811775236659522E-2</v>
      </c>
      <c r="O327">
        <f t="shared" ca="1" si="119"/>
        <v>-0.33244385844297553</v>
      </c>
      <c r="P327">
        <f t="shared" ca="1" si="120"/>
        <v>0.29887406134585026</v>
      </c>
      <c r="Q327">
        <f t="shared" ca="1" si="121"/>
        <v>0.92087793429690512</v>
      </c>
      <c r="R327">
        <f t="shared" ca="1" si="122"/>
        <v>1.0603781804800592</v>
      </c>
      <c r="T327">
        <f t="shared" si="123"/>
        <v>1.0978060606060607</v>
      </c>
      <c r="U327" s="6">
        <f t="shared" ca="1" si="124"/>
        <v>1.1401266401748962</v>
      </c>
      <c r="V327">
        <f t="shared" ca="1" si="125"/>
        <v>1.0688595660542437</v>
      </c>
      <c r="W327">
        <v>1.0447785751505065</v>
      </c>
      <c r="X327" t="b">
        <f t="shared" ca="1" si="126"/>
        <v>1</v>
      </c>
      <c r="AS327">
        <v>0.29606566389588074</v>
      </c>
      <c r="AT327">
        <v>999</v>
      </c>
      <c r="AU327">
        <v>999</v>
      </c>
      <c r="AV327">
        <v>999</v>
      </c>
      <c r="AW327">
        <v>5.7290604800082328</v>
      </c>
      <c r="AX327">
        <v>999</v>
      </c>
      <c r="AY327">
        <v>-6.122446729976315</v>
      </c>
      <c r="AZ327">
        <v>48.544272823384553</v>
      </c>
      <c r="BJ327" t="b">
        <f t="shared" si="107"/>
        <v>1</v>
      </c>
      <c r="BK327" t="b">
        <f t="shared" ca="1" si="108"/>
        <v>1</v>
      </c>
    </row>
    <row r="328" spans="1:63" x14ac:dyDescent="0.45">
      <c r="A328" s="1">
        <v>44762</v>
      </c>
      <c r="B328">
        <v>247.5</v>
      </c>
      <c r="C328" s="1">
        <v>44762</v>
      </c>
      <c r="D328">
        <v>394.77</v>
      </c>
      <c r="E328">
        <f t="shared" si="109"/>
        <v>8.0234594550564042E-3</v>
      </c>
      <c r="F328" s="4">
        <f t="shared" si="110"/>
        <v>6.3731613429525583E-3</v>
      </c>
      <c r="G328">
        <f t="shared" ca="1" si="111"/>
        <v>6.9419910172584601E-4</v>
      </c>
      <c r="H328">
        <f t="shared" ca="1" si="112"/>
        <v>4.2662229117834974E-2</v>
      </c>
      <c r="I328">
        <f t="shared" ca="1" si="113"/>
        <v>-9.1807715995874548E-2</v>
      </c>
      <c r="J328">
        <f t="shared" ca="1" si="114"/>
        <v>0.71980025609142873</v>
      </c>
      <c r="K328">
        <f t="shared" ca="1" si="115"/>
        <v>1.059014984545545</v>
      </c>
      <c r="L328">
        <f t="shared" ca="1" si="116"/>
        <v>1.045484105917371</v>
      </c>
      <c r="M328">
        <f t="shared" ca="1" si="117"/>
        <v>-3.8099947400441528E-4</v>
      </c>
      <c r="N328">
        <f t="shared" ca="1" si="118"/>
        <v>1.382044796661034E-2</v>
      </c>
      <c r="O328">
        <f t="shared" ca="1" si="119"/>
        <v>-0.31258368910166517</v>
      </c>
      <c r="P328">
        <f t="shared" ca="1" si="120"/>
        <v>0.28132424438924764</v>
      </c>
      <c r="Q328">
        <f t="shared" ca="1" si="121"/>
        <v>0.92087793429690512</v>
      </c>
      <c r="R328">
        <f t="shared" ca="1" si="122"/>
        <v>1.023160600795697</v>
      </c>
      <c r="T328">
        <f t="shared" si="123"/>
        <v>1.0080234594550563</v>
      </c>
      <c r="U328" s="6">
        <f t="shared" ca="1" si="124"/>
        <v>1.0441275734053324</v>
      </c>
      <c r="V328">
        <f t="shared" ca="1" si="125"/>
        <v>1.0646880751110972</v>
      </c>
      <c r="W328">
        <v>0.98526598496293272</v>
      </c>
      <c r="X328" t="b">
        <f t="shared" ca="1" si="126"/>
        <v>0</v>
      </c>
      <c r="AS328">
        <v>0.18608050498110404</v>
      </c>
      <c r="AT328">
        <v>999</v>
      </c>
      <c r="AU328">
        <v>999</v>
      </c>
      <c r="AV328">
        <v>999</v>
      </c>
      <c r="AW328">
        <v>999</v>
      </c>
      <c r="AX328">
        <v>-4.0173887154019274</v>
      </c>
      <c r="AY328">
        <v>-4.5776028505479136</v>
      </c>
      <c r="AZ328">
        <v>9.0923511206044232</v>
      </c>
      <c r="BJ328" t="b">
        <f t="shared" si="107"/>
        <v>1</v>
      </c>
      <c r="BK328" t="b">
        <f t="shared" ca="1" si="108"/>
        <v>0</v>
      </c>
    </row>
    <row r="329" spans="1:63" x14ac:dyDescent="0.45">
      <c r="A329" s="1">
        <v>44761</v>
      </c>
      <c r="B329">
        <v>245.53</v>
      </c>
      <c r="C329" s="1">
        <v>44761</v>
      </c>
      <c r="D329">
        <v>392.27</v>
      </c>
      <c r="E329">
        <f t="shared" si="109"/>
        <v>2.0715286409724521E-2</v>
      </c>
      <c r="F329" s="4">
        <f t="shared" si="110"/>
        <v>2.7019243356460252E-2</v>
      </c>
      <c r="G329">
        <f t="shared" ca="1" si="111"/>
        <v>6.5241831646442898E-4</v>
      </c>
      <c r="H329">
        <f t="shared" ca="1" si="112"/>
        <v>4.2659106858789028E-2</v>
      </c>
      <c r="I329">
        <f t="shared" ca="1" si="113"/>
        <v>-8.8885777479528111E-2</v>
      </c>
      <c r="J329">
        <f t="shared" ca="1" si="114"/>
        <v>0.72053706113216354</v>
      </c>
      <c r="K329">
        <f t="shared" ca="1" si="115"/>
        <v>1.059014984545545</v>
      </c>
      <c r="L329">
        <f t="shared" ca="1" si="116"/>
        <v>1.045484105917371</v>
      </c>
      <c r="M329">
        <f t="shared" ca="1" si="117"/>
        <v>-3.534441128019483E-4</v>
      </c>
      <c r="N329">
        <f t="shared" ca="1" si="118"/>
        <v>1.3839463094776606E-2</v>
      </c>
      <c r="O329">
        <f t="shared" ca="1" si="119"/>
        <v>-0.31438728134099703</v>
      </c>
      <c r="P329">
        <f t="shared" ca="1" si="120"/>
        <v>0.26850788588261532</v>
      </c>
      <c r="Q329">
        <f t="shared" ca="1" si="121"/>
        <v>0.92087793429690512</v>
      </c>
      <c r="R329">
        <f t="shared" ca="1" si="122"/>
        <v>1.0568647833950775</v>
      </c>
      <c r="T329">
        <f t="shared" si="123"/>
        <v>1.0207152864097244</v>
      </c>
      <c r="U329" s="6">
        <f t="shared" ca="1" si="124"/>
        <v>1.0534603338052946</v>
      </c>
      <c r="V329">
        <f t="shared" ca="1" si="125"/>
        <v>1.0667283597044741</v>
      </c>
      <c r="W329">
        <v>0.9686854732697654</v>
      </c>
      <c r="X329" t="b">
        <f t="shared" ca="1" si="126"/>
        <v>0</v>
      </c>
      <c r="AS329">
        <v>0.26383027384776248</v>
      </c>
      <c r="AT329">
        <v>999</v>
      </c>
      <c r="AU329">
        <v>999</v>
      </c>
      <c r="AV329">
        <v>-3.4240592680043958</v>
      </c>
      <c r="AW329">
        <v>999</v>
      </c>
      <c r="AX329">
        <v>-4.1426456189582854</v>
      </c>
      <c r="AY329">
        <v>-5.580182268380125</v>
      </c>
      <c r="AZ329">
        <v>5.1450262764250638</v>
      </c>
      <c r="BJ329" t="b">
        <f t="shared" si="107"/>
        <v>1</v>
      </c>
      <c r="BK329" t="b">
        <f t="shared" ca="1" si="108"/>
        <v>0</v>
      </c>
    </row>
    <row r="330" spans="1:63" x14ac:dyDescent="0.45">
      <c r="A330" s="1">
        <v>44760</v>
      </c>
      <c r="B330">
        <v>240.547</v>
      </c>
      <c r="C330" s="1">
        <v>44760</v>
      </c>
      <c r="D330">
        <v>381.95</v>
      </c>
      <c r="E330">
        <f t="shared" si="109"/>
        <v>1.9994418224911787E-3</v>
      </c>
      <c r="F330" s="4">
        <f t="shared" si="110"/>
        <v>-8.2569521979591488E-3</v>
      </c>
      <c r="G330">
        <f t="shared" ca="1" si="111"/>
        <v>5.1151999850865759E-4</v>
      </c>
      <c r="H330">
        <f t="shared" ca="1" si="112"/>
        <v>4.2639040868194533E-2</v>
      </c>
      <c r="I330">
        <f t="shared" ca="1" si="113"/>
        <v>-7.95616090785526E-2</v>
      </c>
      <c r="J330">
        <f t="shared" ca="1" si="114"/>
        <v>0.72624421418118867</v>
      </c>
      <c r="K330">
        <f t="shared" ca="1" si="115"/>
        <v>1.059014984545545</v>
      </c>
      <c r="L330">
        <f t="shared" ca="1" si="116"/>
        <v>1.045484105917371</v>
      </c>
      <c r="M330">
        <f t="shared" ca="1" si="117"/>
        <v>-5.496520800733739E-4</v>
      </c>
      <c r="N330">
        <f t="shared" ca="1" si="118"/>
        <v>1.3727155423523452E-2</v>
      </c>
      <c r="O330">
        <f t="shared" ca="1" si="119"/>
        <v>-0.32237757799029282</v>
      </c>
      <c r="P330">
        <f t="shared" ca="1" si="120"/>
        <v>0.27925117320194648</v>
      </c>
      <c r="Q330">
        <f t="shared" ca="1" si="121"/>
        <v>0.91773170242526347</v>
      </c>
      <c r="R330">
        <f t="shared" ca="1" si="122"/>
        <v>1.0189789394133453</v>
      </c>
      <c r="T330">
        <f t="shared" si="123"/>
        <v>1.0019994418224911</v>
      </c>
      <c r="U330" s="6">
        <f t="shared" ca="1" si="124"/>
        <v>1.0264740145854581</v>
      </c>
      <c r="V330">
        <f t="shared" ca="1" si="125"/>
        <v>1.0582032045849328</v>
      </c>
      <c r="W330">
        <v>0.96303620511734955</v>
      </c>
      <c r="X330" t="b">
        <f t="shared" ca="1" si="126"/>
        <v>0</v>
      </c>
      <c r="AS330">
        <v>0.26675520754560778</v>
      </c>
      <c r="AT330">
        <v>999</v>
      </c>
      <c r="AU330">
        <v>999</v>
      </c>
      <c r="AV330">
        <v>-3.6655573571804108</v>
      </c>
      <c r="AW330">
        <v>999</v>
      </c>
      <c r="AX330">
        <v>-4.3081022320211764</v>
      </c>
      <c r="AY330">
        <v>-5.5370609520104148</v>
      </c>
      <c r="AZ330">
        <v>5.3160524060606642</v>
      </c>
      <c r="BJ330" t="b">
        <f t="shared" si="107"/>
        <v>1</v>
      </c>
      <c r="BK330" t="b">
        <f t="shared" ca="1" si="108"/>
        <v>0</v>
      </c>
    </row>
    <row r="331" spans="1:63" x14ac:dyDescent="0.45">
      <c r="A331" s="1">
        <v>44757</v>
      </c>
      <c r="B331">
        <v>240.06700000000001</v>
      </c>
      <c r="C331" s="1">
        <v>44757</v>
      </c>
      <c r="D331">
        <v>385.13</v>
      </c>
      <c r="E331">
        <f t="shared" si="109"/>
        <v>7.3600684813670226E-3</v>
      </c>
      <c r="F331" s="4">
        <f t="shared" si="110"/>
        <v>1.9105077928607262E-2</v>
      </c>
      <c r="G331">
        <f t="shared" ca="1" si="111"/>
        <v>5.2563665313165163E-4</v>
      </c>
      <c r="H331">
        <f t="shared" ca="1" si="112"/>
        <v>4.2640003309150784E-2</v>
      </c>
      <c r="I331">
        <f t="shared" ca="1" si="113"/>
        <v>-8.0554421224339756E-2</v>
      </c>
      <c r="J331">
        <f t="shared" ca="1" si="114"/>
        <v>0.72601236623818988</v>
      </c>
      <c r="K331">
        <f t="shared" ca="1" si="115"/>
        <v>1.059014984545545</v>
      </c>
      <c r="L331">
        <f t="shared" ca="1" si="116"/>
        <v>1.045484105917371</v>
      </c>
      <c r="M331">
        <f t="shared" ca="1" si="117"/>
        <v>-4.9995175143624862E-4</v>
      </c>
      <c r="N331">
        <f t="shared" ca="1" si="118"/>
        <v>1.3717101007679032E-2</v>
      </c>
      <c r="O331">
        <f t="shared" ca="1" si="119"/>
        <v>-0.3331442672719177</v>
      </c>
      <c r="P331">
        <f t="shared" ca="1" si="120"/>
        <v>0.29334318048449015</v>
      </c>
      <c r="Q331">
        <f t="shared" ca="1" si="121"/>
        <v>0.91773170242526347</v>
      </c>
      <c r="R331">
        <f t="shared" ca="1" si="122"/>
        <v>1.023160600795697</v>
      </c>
      <c r="T331">
        <f t="shared" si="123"/>
        <v>1.0073600684813671</v>
      </c>
      <c r="U331" s="6">
        <f t="shared" ca="1" si="124"/>
        <v>0.95734617946028733</v>
      </c>
      <c r="V331">
        <f t="shared" ca="1" si="125"/>
        <v>1.0249630196596993</v>
      </c>
      <c r="W331">
        <v>0.9250526692923362</v>
      </c>
      <c r="X331" t="b">
        <f t="shared" ca="1" si="126"/>
        <v>1</v>
      </c>
      <c r="AS331">
        <v>0.26538307201464656</v>
      </c>
      <c r="AT331">
        <v>999</v>
      </c>
      <c r="AU331">
        <v>999</v>
      </c>
      <c r="AV331">
        <v>-3.7413236802365932</v>
      </c>
      <c r="AW331">
        <v>999</v>
      </c>
      <c r="AX331">
        <v>-4.3434516225653867</v>
      </c>
      <c r="AY331">
        <v>-5.5239314652427272</v>
      </c>
      <c r="AZ331">
        <v>5.3461989310162679</v>
      </c>
      <c r="BJ331" t="b">
        <f t="shared" si="107"/>
        <v>1</v>
      </c>
      <c r="BK331" t="b">
        <f t="shared" ca="1" si="108"/>
        <v>1</v>
      </c>
    </row>
    <row r="332" spans="1:63" x14ac:dyDescent="0.45">
      <c r="A332" s="1">
        <v>44756</v>
      </c>
      <c r="B332">
        <v>238.31299999999999</v>
      </c>
      <c r="C332" s="1">
        <v>44756</v>
      </c>
      <c r="D332">
        <v>377.91</v>
      </c>
      <c r="E332">
        <f t="shared" si="109"/>
        <v>5.3704016199797346E-3</v>
      </c>
      <c r="F332" s="4">
        <f t="shared" si="110"/>
        <v>-2.4285299474697333E-3</v>
      </c>
      <c r="G332">
        <f t="shared" ca="1" si="111"/>
        <v>4.0164475086781117E-4</v>
      </c>
      <c r="H332">
        <f t="shared" ca="1" si="112"/>
        <v>4.2656082045091519E-2</v>
      </c>
      <c r="I332">
        <f t="shared" ca="1" si="113"/>
        <v>-7.205490536655014E-2</v>
      </c>
      <c r="J332">
        <f t="shared" ca="1" si="114"/>
        <v>0.71958110481872684</v>
      </c>
      <c r="K332">
        <f t="shared" ca="1" si="115"/>
        <v>1.059014984545545</v>
      </c>
      <c r="L332">
        <f t="shared" ca="1" si="116"/>
        <v>1.045484105917371</v>
      </c>
      <c r="M332">
        <f t="shared" ca="1" si="117"/>
        <v>-6.9623622295168633E-4</v>
      </c>
      <c r="N332">
        <f t="shared" ca="1" si="118"/>
        <v>1.3716026320439419E-2</v>
      </c>
      <c r="O332">
        <f t="shared" ca="1" si="119"/>
        <v>-0.31960619428802828</v>
      </c>
      <c r="P332">
        <f t="shared" ca="1" si="120"/>
        <v>0.27466421883708803</v>
      </c>
      <c r="Q332">
        <f t="shared" ca="1" si="121"/>
        <v>0.91773170242526347</v>
      </c>
      <c r="R332">
        <f t="shared" ca="1" si="122"/>
        <v>0.95822188980226675</v>
      </c>
      <c r="T332">
        <f t="shared" si="123"/>
        <v>1.0053704016199798</v>
      </c>
      <c r="U332" s="6">
        <f t="shared" ca="1" si="124"/>
        <v>0.97452390786078547</v>
      </c>
      <c r="V332">
        <f t="shared" ca="1" si="125"/>
        <v>1.0193076177927405</v>
      </c>
      <c r="W332">
        <v>0.92939692913035454</v>
      </c>
      <c r="X332" t="b">
        <f t="shared" ca="1" si="126"/>
        <v>1</v>
      </c>
      <c r="AS332">
        <v>0.25079103925412344</v>
      </c>
      <c r="AT332">
        <v>999</v>
      </c>
      <c r="AU332">
        <v>999</v>
      </c>
      <c r="AV332">
        <v>-3.8387672176863799</v>
      </c>
      <c r="AW332">
        <v>999</v>
      </c>
      <c r="AX332">
        <v>-4.3937786700108044</v>
      </c>
      <c r="AY332">
        <v>-5.4807251165356465</v>
      </c>
      <c r="AZ332">
        <v>5.3858376353955864</v>
      </c>
      <c r="BJ332" t="b">
        <f t="shared" si="107"/>
        <v>1</v>
      </c>
      <c r="BK332" t="b">
        <f t="shared" ca="1" si="108"/>
        <v>1</v>
      </c>
    </row>
    <row r="333" spans="1:63" x14ac:dyDescent="0.45">
      <c r="A333" s="1">
        <v>44755</v>
      </c>
      <c r="B333">
        <v>237.04</v>
      </c>
      <c r="C333" s="1">
        <v>44755</v>
      </c>
      <c r="D333">
        <v>378.83</v>
      </c>
      <c r="E333">
        <f t="shared" si="109"/>
        <v>1.7033509246149221E-2</v>
      </c>
      <c r="F333" s="4">
        <f t="shared" si="110"/>
        <v>-5.2516871044823148E-3</v>
      </c>
      <c r="G333">
        <f t="shared" ca="1" si="111"/>
        <v>4.8436931271328865E-4</v>
      </c>
      <c r="H333">
        <f t="shared" ca="1" si="112"/>
        <v>4.268180190164713E-2</v>
      </c>
      <c r="I333">
        <f t="shared" ca="1" si="113"/>
        <v>-7.715595964384131E-2</v>
      </c>
      <c r="J333">
        <f t="shared" ca="1" si="114"/>
        <v>0.71143381590374144</v>
      </c>
      <c r="K333">
        <f t="shared" ca="1" si="115"/>
        <v>1.059014984545545</v>
      </c>
      <c r="L333">
        <f t="shared" ca="1" si="116"/>
        <v>1.045484105917371</v>
      </c>
      <c r="M333">
        <f t="shared" ca="1" si="117"/>
        <v>-6.9839827461777549E-4</v>
      </c>
      <c r="N333">
        <f t="shared" ca="1" si="118"/>
        <v>1.3716334830224384E-2</v>
      </c>
      <c r="O333">
        <f t="shared" ca="1" si="119"/>
        <v>-0.31911670152352073</v>
      </c>
      <c r="P333">
        <f t="shared" ca="1" si="120"/>
        <v>0.27416194666851323</v>
      </c>
      <c r="Q333">
        <f t="shared" ca="1" si="121"/>
        <v>0.91773170242526347</v>
      </c>
      <c r="R333">
        <f t="shared" ca="1" si="122"/>
        <v>0.95822188980226675</v>
      </c>
      <c r="T333">
        <f t="shared" si="123"/>
        <v>1.0170335092461493</v>
      </c>
      <c r="U333" s="6">
        <f t="shared" ca="1" si="124"/>
        <v>1.0229013563022964</v>
      </c>
      <c r="V333">
        <f t="shared" ca="1" si="125"/>
        <v>1.0271266682292657</v>
      </c>
      <c r="W333">
        <v>0.97923542080916803</v>
      </c>
      <c r="X333" t="b">
        <f t="shared" ca="1" si="126"/>
        <v>0</v>
      </c>
      <c r="AS333">
        <v>0.24652934546223984</v>
      </c>
      <c r="AT333">
        <v>999</v>
      </c>
      <c r="AU333">
        <v>999</v>
      </c>
      <c r="AV333">
        <v>-3.8983316092134124</v>
      </c>
      <c r="AW333">
        <v>999</v>
      </c>
      <c r="AX333">
        <v>-4.4376608859902289</v>
      </c>
      <c r="AY333">
        <v>-5.4764871354611735</v>
      </c>
      <c r="AZ333">
        <v>5.4342401549824579</v>
      </c>
      <c r="BJ333" t="b">
        <f t="shared" si="107"/>
        <v>1</v>
      </c>
      <c r="BK333" t="b">
        <f t="shared" ca="1" si="108"/>
        <v>0</v>
      </c>
    </row>
    <row r="334" spans="1:63" x14ac:dyDescent="0.45">
      <c r="A334" s="1">
        <v>44754</v>
      </c>
      <c r="B334">
        <v>233.07</v>
      </c>
      <c r="C334" s="1">
        <v>44754</v>
      </c>
      <c r="D334">
        <v>380.83</v>
      </c>
      <c r="E334">
        <f t="shared" si="109"/>
        <v>-5.4322083441792424E-3</v>
      </c>
      <c r="F334" s="4">
        <f t="shared" si="110"/>
        <v>-8.8488665642975136E-3</v>
      </c>
      <c r="G334">
        <f t="shared" ca="1" si="111"/>
        <v>5.3687378186391193E-4</v>
      </c>
      <c r="H334">
        <f t="shared" ca="1" si="112"/>
        <v>4.2708712199543017E-2</v>
      </c>
      <c r="I334">
        <f t="shared" ca="1" si="113"/>
        <v>-7.9741232773845525E-2</v>
      </c>
      <c r="J334">
        <f t="shared" ca="1" si="114"/>
        <v>0.70308065924965391</v>
      </c>
      <c r="K334">
        <f t="shared" ca="1" si="115"/>
        <v>1.059014984545545</v>
      </c>
      <c r="L334">
        <f t="shared" ca="1" si="116"/>
        <v>1.0668477989839318</v>
      </c>
      <c r="M334">
        <f t="shared" ca="1" si="117"/>
        <v>-6.6390390787103061E-4</v>
      </c>
      <c r="N334">
        <f t="shared" ca="1" si="118"/>
        <v>1.3713500985959937E-2</v>
      </c>
      <c r="O334">
        <f t="shared" ca="1" si="119"/>
        <v>-0.32672569117019662</v>
      </c>
      <c r="P334">
        <f t="shared" ca="1" si="120"/>
        <v>0.28016343898460327</v>
      </c>
      <c r="Q334">
        <f t="shared" ca="1" si="121"/>
        <v>0.91773170242526347</v>
      </c>
      <c r="R334">
        <f t="shared" ca="1" si="122"/>
        <v>0.95822188980226675</v>
      </c>
      <c r="T334">
        <f t="shared" si="123"/>
        <v>0.99456779165582077</v>
      </c>
      <c r="U334" s="6">
        <f t="shared" ca="1" si="124"/>
        <v>1.0000128718351375</v>
      </c>
      <c r="V334">
        <f t="shared" ca="1" si="125"/>
        <v>1.0268802842985951</v>
      </c>
      <c r="W334">
        <v>0.97351830060840694</v>
      </c>
      <c r="X334" t="b">
        <f t="shared" ca="1" si="126"/>
        <v>0</v>
      </c>
      <c r="AS334">
        <v>0.24787762737699007</v>
      </c>
      <c r="AT334">
        <v>999</v>
      </c>
      <c r="AU334">
        <v>999</v>
      </c>
      <c r="AV334">
        <v>-3.9475516411312972</v>
      </c>
      <c r="AW334">
        <v>999</v>
      </c>
      <c r="AX334">
        <v>-4.4630586830309378</v>
      </c>
      <c r="AY334">
        <v>-5.4775458904268888</v>
      </c>
      <c r="AZ334">
        <v>5.459947044947655</v>
      </c>
      <c r="BJ334" t="b">
        <f t="shared" si="107"/>
        <v>1</v>
      </c>
      <c r="BK334" t="b">
        <f t="shared" ca="1" si="108"/>
        <v>0</v>
      </c>
    </row>
    <row r="335" spans="1:63" x14ac:dyDescent="0.45">
      <c r="A335" s="1">
        <v>44753</v>
      </c>
      <c r="B335">
        <v>234.34299999999999</v>
      </c>
      <c r="C335" s="1">
        <v>44753</v>
      </c>
      <c r="D335">
        <v>384.23</v>
      </c>
      <c r="E335">
        <f t="shared" si="109"/>
        <v>-6.5480154568257745E-2</v>
      </c>
      <c r="F335" s="4">
        <f t="shared" si="110"/>
        <v>-1.1423572696632097E-2</v>
      </c>
      <c r="G335">
        <f t="shared" ca="1" si="111"/>
        <v>5.7532560304755917E-4</v>
      </c>
      <c r="H335">
        <f t="shared" ca="1" si="112"/>
        <v>4.2706772944607063E-2</v>
      </c>
      <c r="I335">
        <f t="shared" ca="1" si="113"/>
        <v>-8.2466293644511399E-2</v>
      </c>
      <c r="J335">
        <f t="shared" ca="1" si="114"/>
        <v>0.70405767944380004</v>
      </c>
      <c r="K335">
        <f t="shared" ca="1" si="115"/>
        <v>1.059014984545545</v>
      </c>
      <c r="L335">
        <f t="shared" ca="1" si="116"/>
        <v>1.0668477989839318</v>
      </c>
      <c r="M335">
        <f t="shared" ca="1" si="117"/>
        <v>-5.5890956363036819E-4</v>
      </c>
      <c r="N335">
        <f t="shared" ca="1" si="118"/>
        <v>1.3730895282187822E-2</v>
      </c>
      <c r="O335">
        <f t="shared" ca="1" si="119"/>
        <v>-0.34345699281959224</v>
      </c>
      <c r="P335">
        <f t="shared" ca="1" si="120"/>
        <v>0.27697323167956478</v>
      </c>
      <c r="Q335">
        <f t="shared" ca="1" si="121"/>
        <v>0.91773170242526347</v>
      </c>
      <c r="R335">
        <f t="shared" ca="1" si="122"/>
        <v>1.023160600795697</v>
      </c>
      <c r="T335">
        <f t="shared" si="123"/>
        <v>0.93451984543174227</v>
      </c>
      <c r="U335" s="6">
        <f t="shared" ca="1" si="124"/>
        <v>1.0311533333626679</v>
      </c>
      <c r="V335">
        <f t="shared" ca="1" si="125"/>
        <v>1.0310701092889589</v>
      </c>
      <c r="W335">
        <v>0.98401105076654627</v>
      </c>
      <c r="X335" t="b">
        <f t="shared" ca="1" si="126"/>
        <v>0</v>
      </c>
      <c r="AS335">
        <v>0.24443504911125175</v>
      </c>
      <c r="AT335">
        <v>999</v>
      </c>
      <c r="AU335">
        <v>999</v>
      </c>
      <c r="AV335">
        <v>-4.0171164184273929</v>
      </c>
      <c r="AW335">
        <v>999</v>
      </c>
      <c r="AX335">
        <v>-4.4979572823901011</v>
      </c>
      <c r="AY335">
        <v>-5.4259904419677509</v>
      </c>
      <c r="AZ335">
        <v>5.4926552942430202</v>
      </c>
      <c r="BJ335" t="b">
        <f t="shared" si="107"/>
        <v>1</v>
      </c>
      <c r="BK335" t="b">
        <f t="shared" ca="1" si="108"/>
        <v>0</v>
      </c>
    </row>
    <row r="336" spans="1:63" x14ac:dyDescent="0.45">
      <c r="A336" s="1">
        <v>44750</v>
      </c>
      <c r="B336">
        <v>250.76300000000001</v>
      </c>
      <c r="C336" s="1">
        <v>44750</v>
      </c>
      <c r="D336">
        <v>388.67</v>
      </c>
      <c r="E336">
        <f t="shared" si="109"/>
        <v>2.5435199535460015E-2</v>
      </c>
      <c r="F336" s="4">
        <f t="shared" si="110"/>
        <v>-8.2264325561066649E-4</v>
      </c>
      <c r="G336">
        <f t="shared" ca="1" si="111"/>
        <v>9.8766916579390231E-4</v>
      </c>
      <c r="H336">
        <f t="shared" ca="1" si="112"/>
        <v>4.2463219964845381E-2</v>
      </c>
      <c r="I336">
        <f t="shared" ca="1" si="113"/>
        <v>-9.3920004877496105E-2</v>
      </c>
      <c r="J336">
        <f t="shared" ca="1" si="114"/>
        <v>0.76375880982647848</v>
      </c>
      <c r="K336">
        <f t="shared" ca="1" si="115"/>
        <v>1.059014984545545</v>
      </c>
      <c r="L336">
        <f t="shared" ca="1" si="116"/>
        <v>1.1254165599682948</v>
      </c>
      <c r="M336">
        <f t="shared" ca="1" si="117"/>
        <v>-4.5301739947612834E-4</v>
      </c>
      <c r="N336">
        <f t="shared" ca="1" si="118"/>
        <v>1.3728349766531322E-2</v>
      </c>
      <c r="O336">
        <f t="shared" ca="1" si="119"/>
        <v>-0.36235416455764635</v>
      </c>
      <c r="P336">
        <f t="shared" ca="1" si="120"/>
        <v>0.29009559160835074</v>
      </c>
      <c r="Q336">
        <f t="shared" ca="1" si="121"/>
        <v>0.91773170242526347</v>
      </c>
      <c r="R336">
        <f t="shared" ca="1" si="122"/>
        <v>1.0603781804800592</v>
      </c>
      <c r="T336">
        <f t="shared" si="123"/>
        <v>1.02543519953546</v>
      </c>
      <c r="U336" s="6">
        <f t="shared" ca="1" si="124"/>
        <v>1.1171187626128756</v>
      </c>
      <c r="V336">
        <f t="shared" ca="1" si="125"/>
        <v>1.0317757267943066</v>
      </c>
      <c r="W336">
        <v>0.97640273254680476</v>
      </c>
      <c r="X336" t="b">
        <f t="shared" ca="1" si="126"/>
        <v>0</v>
      </c>
      <c r="AS336">
        <v>0.24686916988267674</v>
      </c>
      <c r="AT336">
        <v>999</v>
      </c>
      <c r="AU336">
        <v>999</v>
      </c>
      <c r="AV336">
        <v>-4.2137173371185916</v>
      </c>
      <c r="AW336">
        <v>999</v>
      </c>
      <c r="AX336">
        <v>-4.6797048095229412</v>
      </c>
      <c r="AY336">
        <v>-5.4477021930154192</v>
      </c>
      <c r="AZ336">
        <v>5.6783718623306791</v>
      </c>
      <c r="BJ336" t="b">
        <f t="shared" si="107"/>
        <v>1</v>
      </c>
      <c r="BK336" t="b">
        <f t="shared" ca="1" si="108"/>
        <v>0</v>
      </c>
    </row>
    <row r="337" spans="1:63" x14ac:dyDescent="0.45">
      <c r="A337" s="1">
        <v>44749</v>
      </c>
      <c r="B337">
        <v>244.54300000000001</v>
      </c>
      <c r="C337" s="1">
        <v>44749</v>
      </c>
      <c r="D337">
        <v>388.99</v>
      </c>
      <c r="E337">
        <f t="shared" si="109"/>
        <v>5.5279135902094233E-2</v>
      </c>
      <c r="F337" s="4">
        <f t="shared" si="110"/>
        <v>1.4977168949771713E-2</v>
      </c>
      <c r="G337">
        <f t="shared" ca="1" si="111"/>
        <v>9.2356067294424582E-4</v>
      </c>
      <c r="H337">
        <f t="shared" ca="1" si="112"/>
        <v>4.2435794904777918E-2</v>
      </c>
      <c r="I337">
        <f t="shared" ca="1" si="113"/>
        <v>-9.0390462489483833E-2</v>
      </c>
      <c r="J337">
        <f t="shared" ca="1" si="114"/>
        <v>0.7725035636270472</v>
      </c>
      <c r="K337">
        <f t="shared" ca="1" si="115"/>
        <v>1.059014984545545</v>
      </c>
      <c r="L337">
        <f t="shared" ca="1" si="116"/>
        <v>1.1028800238456293</v>
      </c>
      <c r="M337">
        <f t="shared" ca="1" si="117"/>
        <v>-4.5362725019650871E-4</v>
      </c>
      <c r="N337">
        <f t="shared" ca="1" si="118"/>
        <v>1.3728368977940662E-2</v>
      </c>
      <c r="O337">
        <f t="shared" ca="1" si="119"/>
        <v>-0.36221816319368827</v>
      </c>
      <c r="P337">
        <f t="shared" ca="1" si="120"/>
        <v>0.29001124286798285</v>
      </c>
      <c r="Q337">
        <f t="shared" ca="1" si="121"/>
        <v>0.91773170242526347</v>
      </c>
      <c r="R337">
        <f t="shared" ca="1" si="122"/>
        <v>1.0603781804800592</v>
      </c>
      <c r="T337">
        <f t="shared" si="123"/>
        <v>1.0552791359020943</v>
      </c>
      <c r="U337" s="6">
        <f t="shared" ca="1" si="124"/>
        <v>1.070256904022058</v>
      </c>
      <c r="V337">
        <f t="shared" ca="1" si="125"/>
        <v>1.0234180904725747</v>
      </c>
      <c r="W337">
        <v>0.96070939561346336</v>
      </c>
      <c r="X337" t="b">
        <f t="shared" ca="1" si="126"/>
        <v>0</v>
      </c>
      <c r="AS337">
        <v>0.26790948488200217</v>
      </c>
      <c r="AT337">
        <v>999</v>
      </c>
      <c r="AU337">
        <v>999</v>
      </c>
      <c r="AV337">
        <v>-4.3750613296414782</v>
      </c>
      <c r="AW337">
        <v>999</v>
      </c>
      <c r="AX337">
        <v>-4.8520458448038513</v>
      </c>
      <c r="AY337">
        <v>-5.5818643595092707</v>
      </c>
      <c r="AZ337">
        <v>5.8610017807825043</v>
      </c>
      <c r="BJ337" t="b">
        <f t="shared" si="107"/>
        <v>1</v>
      </c>
      <c r="BK337" t="b">
        <f t="shared" ca="1" si="108"/>
        <v>0</v>
      </c>
    </row>
    <row r="338" spans="1:63" x14ac:dyDescent="0.45">
      <c r="A338" s="1">
        <v>44748</v>
      </c>
      <c r="B338">
        <v>231.733</v>
      </c>
      <c r="C338" s="1">
        <v>44748</v>
      </c>
      <c r="D338">
        <v>383.25</v>
      </c>
      <c r="E338">
        <f t="shared" si="109"/>
        <v>-5.7236760244908248E-3</v>
      </c>
      <c r="F338" s="4">
        <f t="shared" si="110"/>
        <v>3.3773169965441944E-3</v>
      </c>
      <c r="G338">
        <f t="shared" ca="1" si="111"/>
        <v>4.541470563734612E-4</v>
      </c>
      <c r="H338">
        <f t="shared" ca="1" si="112"/>
        <v>4.2350674008117893E-2</v>
      </c>
      <c r="I338">
        <f t="shared" ca="1" si="113"/>
        <v>-7.2205816661243066E-2</v>
      </c>
      <c r="J338">
        <f t="shared" ca="1" si="114"/>
        <v>0.7891443101479525</v>
      </c>
      <c r="K338">
        <f t="shared" ca="1" si="115"/>
        <v>1.059014984545545</v>
      </c>
      <c r="L338">
        <f t="shared" ca="1" si="116"/>
        <v>1.01530569070798</v>
      </c>
      <c r="M338">
        <f t="shared" ca="1" si="117"/>
        <v>-6.1188418692543014E-4</v>
      </c>
      <c r="N338">
        <f t="shared" ca="1" si="118"/>
        <v>1.3732026882539085E-2</v>
      </c>
      <c r="O338">
        <f t="shared" ca="1" si="119"/>
        <v>-0.34257214790531026</v>
      </c>
      <c r="P338">
        <f t="shared" ca="1" si="120"/>
        <v>0.27134916754070559</v>
      </c>
      <c r="Q338">
        <f t="shared" ca="1" si="121"/>
        <v>0.91773170242526347</v>
      </c>
      <c r="R338">
        <f t="shared" ca="1" si="122"/>
        <v>1.023160600795697</v>
      </c>
      <c r="T338">
        <f t="shared" si="123"/>
        <v>0.99427632397550914</v>
      </c>
      <c r="U338" s="6">
        <f t="shared" ca="1" si="124"/>
        <v>0.99600280233642657</v>
      </c>
      <c r="V338">
        <f t="shared" ca="1" si="125"/>
        <v>1.0106999606835099</v>
      </c>
      <c r="W338">
        <v>0.94345895913456435</v>
      </c>
      <c r="X338" t="b">
        <f t="shared" ca="1" si="126"/>
        <v>1</v>
      </c>
      <c r="AS338">
        <v>0.29197443535173356</v>
      </c>
      <c r="AT338">
        <v>999</v>
      </c>
      <c r="AU338">
        <v>999</v>
      </c>
      <c r="AV338">
        <v>-4.4842915659157612</v>
      </c>
      <c r="AW338">
        <v>999</v>
      </c>
      <c r="AX338">
        <v>-4.9675813040260444</v>
      </c>
      <c r="AY338">
        <v>-5.7176391882139495</v>
      </c>
      <c r="AZ338">
        <v>5.9864568889532119</v>
      </c>
      <c r="BJ338" t="b">
        <f t="shared" si="107"/>
        <v>1</v>
      </c>
      <c r="BK338" t="b">
        <f t="shared" ca="1" si="108"/>
        <v>1</v>
      </c>
    </row>
    <row r="339" spans="1:63" x14ac:dyDescent="0.45">
      <c r="A339" s="1">
        <v>44747</v>
      </c>
      <c r="B339">
        <v>233.06700000000001</v>
      </c>
      <c r="C339" s="1">
        <v>44747</v>
      </c>
      <c r="D339">
        <v>381.96</v>
      </c>
      <c r="E339">
        <f t="shared" si="109"/>
        <v>2.5538693056062808E-2</v>
      </c>
      <c r="F339" s="4">
        <f t="shared" si="110"/>
        <v>1.8885741265343889E-3</v>
      </c>
      <c r="G339">
        <f t="shared" ca="1" si="111"/>
        <v>4.9927159906081075E-4</v>
      </c>
      <c r="H339">
        <f t="shared" ca="1" si="112"/>
        <v>4.2348866445357632E-2</v>
      </c>
      <c r="I339">
        <f t="shared" ca="1" si="113"/>
        <v>-7.5426682533503625E-2</v>
      </c>
      <c r="J339">
        <f t="shared" ca="1" si="114"/>
        <v>0.79011783693591919</v>
      </c>
      <c r="K339">
        <f t="shared" ca="1" si="115"/>
        <v>1.059014984545545</v>
      </c>
      <c r="L339">
        <f t="shared" ca="1" si="116"/>
        <v>1.01530569070798</v>
      </c>
      <c r="M339">
        <f t="shared" ca="1" si="117"/>
        <v>-6.9328762232298265E-4</v>
      </c>
      <c r="N339">
        <f t="shared" ca="1" si="118"/>
        <v>1.3756494216728839E-2</v>
      </c>
      <c r="O339">
        <f t="shared" ca="1" si="119"/>
        <v>-0.32656016010445765</v>
      </c>
      <c r="P339">
        <f t="shared" ca="1" si="120"/>
        <v>0.24297391117211609</v>
      </c>
      <c r="Q339">
        <f t="shared" ca="1" si="121"/>
        <v>0.91773170242526347</v>
      </c>
      <c r="R339">
        <f t="shared" ca="1" si="122"/>
        <v>1.0052878559505098</v>
      </c>
      <c r="T339">
        <f t="shared" si="123"/>
        <v>1.0255386930560628</v>
      </c>
      <c r="U339" s="6">
        <f t="shared" ca="1" si="124"/>
        <v>0.95160460558549742</v>
      </c>
      <c r="V339">
        <f t="shared" ca="1" si="125"/>
        <v>1.0007042995787896</v>
      </c>
      <c r="W339">
        <v>0.93021729310773971</v>
      </c>
      <c r="X339" t="b">
        <f t="shared" ca="1" si="126"/>
        <v>1</v>
      </c>
      <c r="AS339">
        <v>0.28873209064728766</v>
      </c>
      <c r="AT339">
        <v>999</v>
      </c>
      <c r="AU339">
        <v>999</v>
      </c>
      <c r="AV339">
        <v>-4.5049904219521277</v>
      </c>
      <c r="AW339">
        <v>999</v>
      </c>
      <c r="AX339">
        <v>-4.961293653166714</v>
      </c>
      <c r="AY339">
        <v>-5.7072999203738224</v>
      </c>
      <c r="AZ339">
        <v>5.9745476594106695</v>
      </c>
      <c r="BJ339" t="b">
        <f t="shared" si="107"/>
        <v>1</v>
      </c>
      <c r="BK339" t="b">
        <f t="shared" ca="1" si="108"/>
        <v>1</v>
      </c>
    </row>
    <row r="340" spans="1:63" x14ac:dyDescent="0.45">
      <c r="A340" s="1">
        <v>44743</v>
      </c>
      <c r="B340">
        <v>227.26300000000001</v>
      </c>
      <c r="C340" s="1">
        <v>44743</v>
      </c>
      <c r="D340">
        <v>381.24</v>
      </c>
      <c r="E340">
        <f t="shared" si="109"/>
        <v>1.2429111741723913E-2</v>
      </c>
      <c r="F340" s="4">
        <f t="shared" si="110"/>
        <v>1.0576540755467221E-2</v>
      </c>
      <c r="G340">
        <f t="shared" ca="1" si="111"/>
        <v>3.792584424217365E-4</v>
      </c>
      <c r="H340">
        <f t="shared" ca="1" si="112"/>
        <v>4.2311544513678002E-2</v>
      </c>
      <c r="I340">
        <f t="shared" ca="1" si="113"/>
        <v>-6.8083136744477857E-2</v>
      </c>
      <c r="J340">
        <f t="shared" ca="1" si="114"/>
        <v>0.80219681200634207</v>
      </c>
      <c r="K340">
        <f t="shared" ca="1" si="115"/>
        <v>1.059014984545545</v>
      </c>
      <c r="L340">
        <f t="shared" ca="1" si="116"/>
        <v>1.0034321159073836</v>
      </c>
      <c r="M340">
        <f t="shared" ca="1" si="117"/>
        <v>-7.1065672319589731E-4</v>
      </c>
      <c r="N340">
        <f t="shared" ca="1" si="118"/>
        <v>1.3755410947475875E-2</v>
      </c>
      <c r="O340">
        <f t="shared" ca="1" si="119"/>
        <v>-0.3228458701348898</v>
      </c>
      <c r="P340">
        <f t="shared" ca="1" si="120"/>
        <v>0.2423300658774088</v>
      </c>
      <c r="Q340">
        <f t="shared" ca="1" si="121"/>
        <v>0.91773170242526347</v>
      </c>
      <c r="R340">
        <f t="shared" ca="1" si="122"/>
        <v>1.0052878559505098</v>
      </c>
      <c r="T340">
        <f t="shared" si="123"/>
        <v>1.0124291117417239</v>
      </c>
      <c r="U340" s="6">
        <f t="shared" ca="1" si="124"/>
        <v>0.92493498353730264</v>
      </c>
      <c r="V340">
        <f t="shared" ca="1" si="125"/>
        <v>0.99932071653318333</v>
      </c>
      <c r="W340">
        <v>0.92861999989869215</v>
      </c>
      <c r="X340" t="b">
        <f t="shared" ca="1" si="126"/>
        <v>1</v>
      </c>
      <c r="AS340">
        <v>0.26552082224706691</v>
      </c>
      <c r="AT340">
        <v>999</v>
      </c>
      <c r="AU340">
        <v>999</v>
      </c>
      <c r="AV340">
        <v>-4.4261984362587281</v>
      </c>
      <c r="AW340">
        <v>999</v>
      </c>
      <c r="AX340">
        <v>-4.830793839589214</v>
      </c>
      <c r="AY340">
        <v>-5.5642834428255323</v>
      </c>
      <c r="AZ340">
        <v>5.8247518760628099</v>
      </c>
      <c r="BJ340" t="b">
        <f t="shared" si="107"/>
        <v>1</v>
      </c>
      <c r="BK340" t="b">
        <f t="shared" ca="1" si="108"/>
        <v>1</v>
      </c>
    </row>
    <row r="341" spans="1:63" x14ac:dyDescent="0.45">
      <c r="A341" s="1">
        <v>44742</v>
      </c>
      <c r="B341">
        <v>224.47300000000001</v>
      </c>
      <c r="C341" s="1">
        <v>44742</v>
      </c>
      <c r="D341">
        <v>377.25</v>
      </c>
      <c r="E341">
        <f t="shared" si="109"/>
        <v>-1.7580638102323933E-2</v>
      </c>
      <c r="F341" s="4">
        <f t="shared" si="110"/>
        <v>-8.1243098280485235E-3</v>
      </c>
      <c r="G341">
        <f t="shared" ca="1" si="111"/>
        <v>3.9327250460744856E-4</v>
      </c>
      <c r="H341">
        <f t="shared" ca="1" si="112"/>
        <v>4.2316019541863904E-2</v>
      </c>
      <c r="I341">
        <f t="shared" ca="1" si="113"/>
        <v>-6.8962819836245526E-2</v>
      </c>
      <c r="J341">
        <f t="shared" ca="1" si="114"/>
        <v>0.80070642658998414</v>
      </c>
      <c r="K341">
        <f t="shared" ca="1" si="115"/>
        <v>1.059014984545545</v>
      </c>
      <c r="L341">
        <f t="shared" ca="1" si="116"/>
        <v>1.0034321159073836</v>
      </c>
      <c r="M341">
        <f t="shared" ca="1" si="117"/>
        <v>-7.2177613814238082E-4</v>
      </c>
      <c r="N341">
        <f t="shared" ca="1" si="118"/>
        <v>1.3747137271802582E-2</v>
      </c>
      <c r="O341">
        <f t="shared" ca="1" si="119"/>
        <v>-0.32233301472300147</v>
      </c>
      <c r="P341">
        <f t="shared" ca="1" si="120"/>
        <v>0.24780966097629609</v>
      </c>
      <c r="Q341">
        <f t="shared" ca="1" si="121"/>
        <v>0.91773170242526347</v>
      </c>
      <c r="R341">
        <f t="shared" ca="1" si="122"/>
        <v>0.99881849383318111</v>
      </c>
      <c r="T341">
        <f t="shared" si="123"/>
        <v>0.98241936189767609</v>
      </c>
      <c r="U341" s="6">
        <f t="shared" ca="1" si="124"/>
        <v>0.95491981112009205</v>
      </c>
      <c r="V341">
        <f t="shared" ca="1" si="125"/>
        <v>1.0302985548267851</v>
      </c>
      <c r="W341">
        <v>0.9524819391766739</v>
      </c>
      <c r="X341" t="b">
        <f t="shared" ca="1" si="126"/>
        <v>1</v>
      </c>
      <c r="AS341">
        <v>0.2603240632680604</v>
      </c>
      <c r="AT341">
        <v>999</v>
      </c>
      <c r="AU341">
        <v>999</v>
      </c>
      <c r="AV341">
        <v>-4.3574510316365096</v>
      </c>
      <c r="AW341">
        <v>999</v>
      </c>
      <c r="AX341">
        <v>-4.7707838603626245</v>
      </c>
      <c r="AY341">
        <v>-5.6055563889953461</v>
      </c>
      <c r="AZ341">
        <v>5.774018932373262</v>
      </c>
      <c r="BJ341" t="b">
        <f t="shared" si="107"/>
        <v>1</v>
      </c>
      <c r="BK341" t="b">
        <f t="shared" ca="1" si="108"/>
        <v>1</v>
      </c>
    </row>
    <row r="342" spans="1:63" x14ac:dyDescent="0.45">
      <c r="A342" s="1">
        <v>44741</v>
      </c>
      <c r="B342">
        <v>228.49</v>
      </c>
      <c r="C342" s="1">
        <v>44741</v>
      </c>
      <c r="D342">
        <v>380.34</v>
      </c>
      <c r="E342">
        <f t="shared" si="109"/>
        <v>-1.7935812742034624E-2</v>
      </c>
      <c r="F342" s="4">
        <f t="shared" si="110"/>
        <v>-8.1439642716406746E-4</v>
      </c>
      <c r="G342">
        <f t="shared" ca="1" si="111"/>
        <v>4.9118914059222444E-4</v>
      </c>
      <c r="H342">
        <f t="shared" ca="1" si="112"/>
        <v>4.2296873002334555E-2</v>
      </c>
      <c r="I342">
        <f t="shared" ca="1" si="113"/>
        <v>-7.5681847728483242E-2</v>
      </c>
      <c r="J342">
        <f t="shared" ca="1" si="114"/>
        <v>0.80818891644198798</v>
      </c>
      <c r="K342">
        <f t="shared" ca="1" si="115"/>
        <v>1.059014984545545</v>
      </c>
      <c r="L342">
        <f t="shared" ca="1" si="116"/>
        <v>1.0034321159073836</v>
      </c>
      <c r="M342">
        <f t="shared" ca="1" si="117"/>
        <v>-7.0813743642029331E-4</v>
      </c>
      <c r="N342">
        <f t="shared" ca="1" si="118"/>
        <v>1.3741108013033137E-2</v>
      </c>
      <c r="O342">
        <f t="shared" ca="1" si="119"/>
        <v>-0.32517150596560229</v>
      </c>
      <c r="P342">
        <f t="shared" ca="1" si="120"/>
        <v>0.25453831710732011</v>
      </c>
      <c r="Q342">
        <f t="shared" ca="1" si="121"/>
        <v>0.91773170242526347</v>
      </c>
      <c r="R342">
        <f t="shared" ca="1" si="122"/>
        <v>0.99881849383318111</v>
      </c>
      <c r="T342">
        <f t="shared" si="123"/>
        <v>0.9820641872579654</v>
      </c>
      <c r="U342" s="6">
        <f t="shared" ca="1" si="124"/>
        <v>0.96782118456331789</v>
      </c>
      <c r="V342">
        <f t="shared" ca="1" si="125"/>
        <v>1.05322660125977</v>
      </c>
      <c r="W342">
        <v>0.93713146959265536</v>
      </c>
      <c r="X342" t="b">
        <f t="shared" ca="1" si="126"/>
        <v>1</v>
      </c>
      <c r="AS342">
        <v>0.27008839517083139</v>
      </c>
      <c r="AT342">
        <v>999</v>
      </c>
      <c r="AU342">
        <v>999</v>
      </c>
      <c r="AV342">
        <v>-4.3398678432594906</v>
      </c>
      <c r="AW342">
        <v>999</v>
      </c>
      <c r="AX342">
        <v>-4.757602123369792</v>
      </c>
      <c r="AY342">
        <v>-5.6730601929907039</v>
      </c>
      <c r="AZ342">
        <v>5.7741479637693365</v>
      </c>
      <c r="BJ342" t="b">
        <f t="shared" si="107"/>
        <v>1</v>
      </c>
      <c r="BK342" t="b">
        <f t="shared" ca="1" si="108"/>
        <v>1</v>
      </c>
    </row>
    <row r="343" spans="1:63" x14ac:dyDescent="0.45">
      <c r="A343" s="1">
        <v>44740</v>
      </c>
      <c r="B343">
        <v>232.66300000000001</v>
      </c>
      <c r="C343" s="1">
        <v>44740</v>
      </c>
      <c r="D343">
        <v>380.65</v>
      </c>
      <c r="E343">
        <f t="shared" si="109"/>
        <v>-5.0044912624530369E-2</v>
      </c>
      <c r="F343" s="4">
        <f t="shared" si="110"/>
        <v>-2.0432846959520311E-2</v>
      </c>
      <c r="G343">
        <f t="shared" ca="1" si="111"/>
        <v>6.2658519089289668E-4</v>
      </c>
      <c r="H343">
        <f t="shared" ca="1" si="112"/>
        <v>4.2280928590898624E-2</v>
      </c>
      <c r="I343">
        <f t="shared" ca="1" si="113"/>
        <v>-8.5007777505486673E-2</v>
      </c>
      <c r="J343">
        <f t="shared" ca="1" si="114"/>
        <v>0.81487541942345265</v>
      </c>
      <c r="K343">
        <f t="shared" ca="1" si="115"/>
        <v>1.059014984545545</v>
      </c>
      <c r="L343">
        <f t="shared" ca="1" si="116"/>
        <v>1.0034321159073836</v>
      </c>
      <c r="M343">
        <f t="shared" ca="1" si="117"/>
        <v>-6.9126911807757679E-4</v>
      </c>
      <c r="N343">
        <f t="shared" ca="1" si="118"/>
        <v>1.3743047501316613E-2</v>
      </c>
      <c r="O343">
        <f t="shared" ca="1" si="119"/>
        <v>-0.32868505812058263</v>
      </c>
      <c r="P343">
        <f t="shared" ca="1" si="120"/>
        <v>0.25432941014495603</v>
      </c>
      <c r="Q343">
        <f t="shared" ca="1" si="121"/>
        <v>0.91773170242526347</v>
      </c>
      <c r="R343">
        <f t="shared" ca="1" si="122"/>
        <v>0.99881849383318111</v>
      </c>
      <c r="T343">
        <f t="shared" si="123"/>
        <v>0.94995508737546963</v>
      </c>
      <c r="U343" s="6">
        <f t="shared" ca="1" si="124"/>
        <v>0.98154718461674761</v>
      </c>
      <c r="V343">
        <f t="shared" ca="1" si="125"/>
        <v>1.0502606505815266</v>
      </c>
      <c r="W343">
        <v>0.83777477309931347</v>
      </c>
      <c r="X343" t="b">
        <f t="shared" ca="1" si="126"/>
        <v>1</v>
      </c>
      <c r="AS343">
        <v>0.2591727138460389</v>
      </c>
      <c r="AT343">
        <v>999</v>
      </c>
      <c r="AU343">
        <v>-5.1803621600943641</v>
      </c>
      <c r="AV343">
        <v>-3.3842093140497118</v>
      </c>
      <c r="AW343">
        <v>999</v>
      </c>
      <c r="AX343">
        <v>-3.6248257851628045</v>
      </c>
      <c r="AY343">
        <v>999</v>
      </c>
      <c r="AZ343">
        <v>5.1830496557153589</v>
      </c>
      <c r="BJ343" t="b">
        <f t="shared" si="107"/>
        <v>1</v>
      </c>
      <c r="BK343" t="b">
        <f t="shared" ca="1" si="108"/>
        <v>1</v>
      </c>
    </row>
    <row r="344" spans="1:63" x14ac:dyDescent="0.45">
      <c r="A344" s="1">
        <v>44739</v>
      </c>
      <c r="B344">
        <v>244.92</v>
      </c>
      <c r="C344" s="1">
        <v>44739</v>
      </c>
      <c r="D344">
        <v>388.59</v>
      </c>
      <c r="E344">
        <f t="shared" si="109"/>
        <v>-3.2030019494764341E-3</v>
      </c>
      <c r="F344" s="4">
        <f t="shared" si="110"/>
        <v>-3.8197292863002695E-3</v>
      </c>
      <c r="G344">
        <f t="shared" ca="1" si="111"/>
        <v>7.5366771443204864E-4</v>
      </c>
      <c r="H344">
        <f t="shared" ca="1" si="112"/>
        <v>4.2165901795520926E-2</v>
      </c>
      <c r="I344">
        <f t="shared" ca="1" si="113"/>
        <v>-8.7120103940754534E-2</v>
      </c>
      <c r="J344">
        <f t="shared" ca="1" si="114"/>
        <v>0.84805596790186177</v>
      </c>
      <c r="K344">
        <f t="shared" ca="1" si="115"/>
        <v>1.059014984545545</v>
      </c>
      <c r="L344">
        <f t="shared" ca="1" si="116"/>
        <v>1.0034321159073836</v>
      </c>
      <c r="M344">
        <f t="shared" ca="1" si="117"/>
        <v>-6.2852757471389196E-4</v>
      </c>
      <c r="N344">
        <f t="shared" ca="1" si="118"/>
        <v>1.3680971176750496E-2</v>
      </c>
      <c r="O344">
        <f t="shared" ca="1" si="119"/>
        <v>-0.33256325381787294</v>
      </c>
      <c r="P344">
        <f t="shared" ca="1" si="120"/>
        <v>0.29866974759865839</v>
      </c>
      <c r="Q344">
        <f t="shared" ca="1" si="121"/>
        <v>0.91773170242526347</v>
      </c>
      <c r="R344">
        <f t="shared" ca="1" si="122"/>
        <v>1.0199443409547984</v>
      </c>
      <c r="T344">
        <f t="shared" si="123"/>
        <v>0.99679699805052357</v>
      </c>
      <c r="U344" s="6">
        <f t="shared" ca="1" si="124"/>
        <v>1.1299132681306512</v>
      </c>
      <c r="V344">
        <f t="shared" ca="1" si="125"/>
        <v>1.0485268074219629</v>
      </c>
      <c r="W344">
        <v>1.0236728515079703</v>
      </c>
      <c r="X344" t="b">
        <f t="shared" ca="1" si="126"/>
        <v>1</v>
      </c>
      <c r="AS344">
        <v>0.23787002240712302</v>
      </c>
      <c r="AT344">
        <v>999</v>
      </c>
      <c r="AU344">
        <v>-4.8335844039210523</v>
      </c>
      <c r="AV344">
        <v>-3.1037334678336825</v>
      </c>
      <c r="AW344">
        <v>999</v>
      </c>
      <c r="AX344">
        <v>-3.3989657709964525</v>
      </c>
      <c r="AY344">
        <v>999</v>
      </c>
      <c r="AZ344">
        <v>5.0227861781329999</v>
      </c>
      <c r="BJ344" t="b">
        <f t="shared" si="107"/>
        <v>1</v>
      </c>
      <c r="BK344" t="b">
        <f t="shared" ca="1" si="108"/>
        <v>1</v>
      </c>
    </row>
    <row r="345" spans="1:63" x14ac:dyDescent="0.45">
      <c r="A345" s="1">
        <v>44736</v>
      </c>
      <c r="B345">
        <v>245.70699999999999</v>
      </c>
      <c r="C345" s="1">
        <v>44736</v>
      </c>
      <c r="D345">
        <v>390.08</v>
      </c>
      <c r="E345">
        <f t="shared" si="109"/>
        <v>4.5250350959288727E-2</v>
      </c>
      <c r="F345" s="4">
        <f t="shared" si="110"/>
        <v>3.179389514891811E-2</v>
      </c>
      <c r="G345">
        <f t="shared" ca="1" si="111"/>
        <v>7.76248843006285E-4</v>
      </c>
      <c r="H345">
        <f t="shared" ca="1" si="112"/>
        <v>4.2164981508591021E-2</v>
      </c>
      <c r="I345">
        <f t="shared" ca="1" si="113"/>
        <v>-8.874445787557167E-2</v>
      </c>
      <c r="J345">
        <f t="shared" ca="1" si="114"/>
        <v>0.84858771345597761</v>
      </c>
      <c r="K345">
        <f t="shared" ca="1" si="115"/>
        <v>1.059014984545545</v>
      </c>
      <c r="L345">
        <f t="shared" ca="1" si="116"/>
        <v>1.0034321159073836</v>
      </c>
      <c r="M345">
        <f t="shared" ca="1" si="117"/>
        <v>-6.3083009481229677E-4</v>
      </c>
      <c r="N345">
        <f t="shared" ca="1" si="118"/>
        <v>1.3681549697248985E-2</v>
      </c>
      <c r="O345">
        <f t="shared" ca="1" si="119"/>
        <v>-0.33204318969051799</v>
      </c>
      <c r="P345">
        <f t="shared" ca="1" si="120"/>
        <v>0.29788682746143147</v>
      </c>
      <c r="Q345">
        <f t="shared" ca="1" si="121"/>
        <v>0.91773170242526347</v>
      </c>
      <c r="R345">
        <f t="shared" ca="1" si="122"/>
        <v>1.0199443409547984</v>
      </c>
      <c r="T345">
        <f t="shared" si="123"/>
        <v>1.0452503509592888</v>
      </c>
      <c r="U345" s="6">
        <f t="shared" ca="1" si="124"/>
        <v>1.1530126701079304</v>
      </c>
      <c r="V345">
        <f t="shared" ca="1" si="125"/>
        <v>1.0524358922129111</v>
      </c>
      <c r="W345">
        <v>0.99098845874534747</v>
      </c>
      <c r="X345" t="b">
        <f t="shared" ca="1" si="126"/>
        <v>0</v>
      </c>
      <c r="AS345">
        <v>4.2828464212378681E-2</v>
      </c>
      <c r="AT345">
        <v>999</v>
      </c>
      <c r="AU345">
        <v>999</v>
      </c>
      <c r="AV345">
        <v>999</v>
      </c>
      <c r="AW345">
        <v>999</v>
      </c>
      <c r="AX345">
        <v>999</v>
      </c>
      <c r="AY345">
        <v>999</v>
      </c>
      <c r="AZ345">
        <v>105.40405771809068</v>
      </c>
      <c r="BJ345" t="b">
        <f t="shared" si="107"/>
        <v>1</v>
      </c>
      <c r="BK345" t="b">
        <f t="shared" ca="1" si="108"/>
        <v>0</v>
      </c>
    </row>
    <row r="346" spans="1:63" x14ac:dyDescent="0.45">
      <c r="A346" s="1">
        <v>44735</v>
      </c>
      <c r="B346">
        <v>235.07</v>
      </c>
      <c r="C346" s="1">
        <v>44735</v>
      </c>
      <c r="D346">
        <v>378.06</v>
      </c>
      <c r="E346">
        <f t="shared" si="109"/>
        <v>-4.307734013308636E-3</v>
      </c>
      <c r="F346" s="4">
        <f t="shared" si="110"/>
        <v>9.802612249258838E-3</v>
      </c>
      <c r="G346">
        <f t="shared" ca="1" si="111"/>
        <v>5.5631250859370708E-4</v>
      </c>
      <c r="H346">
        <f t="shared" ca="1" si="112"/>
        <v>4.2046388853576193E-2</v>
      </c>
      <c r="I346">
        <f t="shared" ca="1" si="113"/>
        <v>-7.965328149589733E-2</v>
      </c>
      <c r="J346">
        <f t="shared" ca="1" si="114"/>
        <v>0.8843579766304539</v>
      </c>
      <c r="K346">
        <f t="shared" ca="1" si="115"/>
        <v>1.059014984545545</v>
      </c>
      <c r="L346">
        <f t="shared" ca="1" si="116"/>
        <v>0.94375489089460229</v>
      </c>
      <c r="M346">
        <f t="shared" ca="1" si="117"/>
        <v>-7.9589091862759115E-4</v>
      </c>
      <c r="N346">
        <f t="shared" ca="1" si="118"/>
        <v>1.3486138218283403E-2</v>
      </c>
      <c r="O346">
        <f t="shared" ca="1" si="119"/>
        <v>-0.38014372986872241</v>
      </c>
      <c r="P346">
        <f t="shared" ca="1" si="120"/>
        <v>0.3029601704957936</v>
      </c>
      <c r="Q346">
        <f t="shared" ca="1" si="121"/>
        <v>0.86582573936753227</v>
      </c>
      <c r="R346">
        <f t="shared" ca="1" si="122"/>
        <v>0.97848908477065588</v>
      </c>
      <c r="T346">
        <f t="shared" si="123"/>
        <v>0.99569226598669136</v>
      </c>
      <c r="U346" s="6">
        <f t="shared" ca="1" si="124"/>
        <v>1.0088841201716736</v>
      </c>
      <c r="V346">
        <f t="shared" ca="1" si="125"/>
        <v>1.0066999571818869</v>
      </c>
      <c r="W346">
        <v>0.98986615951475254</v>
      </c>
      <c r="X346" t="b">
        <f t="shared" ca="1" si="126"/>
        <v>0</v>
      </c>
      <c r="AS346">
        <v>4.708828394310121E-2</v>
      </c>
      <c r="AT346">
        <v>999</v>
      </c>
      <c r="AU346">
        <v>999</v>
      </c>
      <c r="AV346">
        <v>999</v>
      </c>
      <c r="AW346">
        <v>999</v>
      </c>
      <c r="AX346">
        <v>999</v>
      </c>
      <c r="AY346">
        <v>999</v>
      </c>
      <c r="AZ346">
        <v>105.00429352863759</v>
      </c>
      <c r="BJ346" t="b">
        <f t="shared" si="107"/>
        <v>1</v>
      </c>
      <c r="BK346" t="b">
        <f t="shared" ca="1" si="108"/>
        <v>0</v>
      </c>
    </row>
    <row r="347" spans="1:63" x14ac:dyDescent="0.45">
      <c r="A347" s="1">
        <v>44734</v>
      </c>
      <c r="B347">
        <v>236.08699999999999</v>
      </c>
      <c r="C347" s="1">
        <v>44734</v>
      </c>
      <c r="D347">
        <v>374.39</v>
      </c>
      <c r="E347">
        <f t="shared" si="109"/>
        <v>-4.007813126220873E-3</v>
      </c>
      <c r="F347" s="4">
        <f t="shared" si="110"/>
        <v>-1.8129949076172631E-3</v>
      </c>
      <c r="G347">
        <f t="shared" ca="1" si="111"/>
        <v>7.0974061237405245E-4</v>
      </c>
      <c r="H347">
        <f t="shared" ca="1" si="112"/>
        <v>4.2084519589120031E-2</v>
      </c>
      <c r="I347">
        <f t="shared" ca="1" si="113"/>
        <v>-8.9304351233647924E-2</v>
      </c>
      <c r="J347">
        <f t="shared" ca="1" si="114"/>
        <v>0.87211338061276544</v>
      </c>
      <c r="K347">
        <f t="shared" ca="1" si="115"/>
        <v>1.059014984545545</v>
      </c>
      <c r="L347">
        <f t="shared" ca="1" si="116"/>
        <v>1.0034321159073836</v>
      </c>
      <c r="M347">
        <f t="shared" ca="1" si="117"/>
        <v>-8.6278161737719631E-4</v>
      </c>
      <c r="N347">
        <f t="shared" ca="1" si="118"/>
        <v>1.3466469082698353E-2</v>
      </c>
      <c r="O347">
        <f t="shared" ca="1" si="119"/>
        <v>-0.36927874100700447</v>
      </c>
      <c r="P347">
        <f t="shared" ca="1" si="120"/>
        <v>0.31295135278154707</v>
      </c>
      <c r="Q347">
        <f t="shared" ca="1" si="121"/>
        <v>0.86582573936753227</v>
      </c>
      <c r="R347">
        <f t="shared" ca="1" si="122"/>
        <v>0.95604015945701426</v>
      </c>
      <c r="T347">
        <f t="shared" si="123"/>
        <v>0.99599218687377911</v>
      </c>
      <c r="U347" s="6">
        <f t="shared" ca="1" si="124"/>
        <v>1.068798949703472</v>
      </c>
      <c r="V347">
        <f t="shared" ca="1" si="125"/>
        <v>1.0211342423747802</v>
      </c>
      <c r="W347">
        <v>0.9875002212688847</v>
      </c>
      <c r="X347" t="b">
        <f t="shared" ca="1" si="126"/>
        <v>0</v>
      </c>
      <c r="AS347">
        <v>3.498676427340093E-2</v>
      </c>
      <c r="AT347">
        <v>999</v>
      </c>
      <c r="AU347">
        <v>999</v>
      </c>
      <c r="AV347">
        <v>999</v>
      </c>
      <c r="AW347">
        <v>999</v>
      </c>
      <c r="AX347">
        <v>999</v>
      </c>
      <c r="AY347">
        <v>999</v>
      </c>
      <c r="AZ347">
        <v>103.0268738799701</v>
      </c>
      <c r="BJ347" t="b">
        <f t="shared" si="107"/>
        <v>1</v>
      </c>
      <c r="BK347" t="b">
        <f t="shared" ca="1" si="108"/>
        <v>0</v>
      </c>
    </row>
    <row r="348" spans="1:63" x14ac:dyDescent="0.45">
      <c r="A348" s="1">
        <v>44733</v>
      </c>
      <c r="B348">
        <v>237.03700000000001</v>
      </c>
      <c r="C348" s="1">
        <v>44733</v>
      </c>
      <c r="D348">
        <v>375.07</v>
      </c>
      <c r="E348">
        <f t="shared" si="109"/>
        <v>9.3545857169219482E-2</v>
      </c>
      <c r="F348" s="4">
        <f t="shared" si="110"/>
        <v>2.5173563658229866E-2</v>
      </c>
      <c r="G348">
        <f t="shared" ca="1" si="111"/>
        <v>7.3782866829721428E-4</v>
      </c>
      <c r="H348">
        <f t="shared" ca="1" si="112"/>
        <v>4.2083229810340184E-2</v>
      </c>
      <c r="I348">
        <f t="shared" ca="1" si="113"/>
        <v>-9.1327909981379629E-2</v>
      </c>
      <c r="J348">
        <f t="shared" ca="1" si="114"/>
        <v>0.87283891045802431</v>
      </c>
      <c r="K348">
        <f t="shared" ca="1" si="115"/>
        <v>1.059014984545545</v>
      </c>
      <c r="L348">
        <f t="shared" ca="1" si="116"/>
        <v>1.0034321159073836</v>
      </c>
      <c r="M348">
        <f t="shared" ca="1" si="117"/>
        <v>-8.549302618510035E-4</v>
      </c>
      <c r="N348">
        <f t="shared" ca="1" si="118"/>
        <v>1.3466370053126207E-2</v>
      </c>
      <c r="O348">
        <f t="shared" ca="1" si="119"/>
        <v>-0.37105137989220605</v>
      </c>
      <c r="P348">
        <f t="shared" ca="1" si="120"/>
        <v>0.31393085768963047</v>
      </c>
      <c r="Q348">
        <f t="shared" ca="1" si="121"/>
        <v>0.86582573936753227</v>
      </c>
      <c r="R348">
        <f t="shared" ca="1" si="122"/>
        <v>0.95604015945701426</v>
      </c>
      <c r="T348">
        <f t="shared" si="123"/>
        <v>1.0935458571692194</v>
      </c>
      <c r="U348" s="6">
        <f t="shared" ca="1" si="124"/>
        <v>1.0987313256418694</v>
      </c>
      <c r="V348">
        <f t="shared" ca="1" si="125"/>
        <v>0.99160930082398424</v>
      </c>
      <c r="W348">
        <v>0.98592797296005286</v>
      </c>
      <c r="X348" t="b">
        <f t="shared" ca="1" si="126"/>
        <v>0</v>
      </c>
      <c r="AS348">
        <v>2.3612374545727302E-2</v>
      </c>
      <c r="AT348">
        <v>999</v>
      </c>
      <c r="AU348">
        <v>999</v>
      </c>
      <c r="AV348">
        <v>999</v>
      </c>
      <c r="AW348">
        <v>999</v>
      </c>
      <c r="AX348">
        <v>999</v>
      </c>
      <c r="AY348">
        <v>999</v>
      </c>
      <c r="AZ348">
        <v>102.87401410672557</v>
      </c>
      <c r="BJ348" t="b">
        <f t="shared" si="107"/>
        <v>1</v>
      </c>
      <c r="BK348" t="b">
        <f t="shared" ca="1" si="108"/>
        <v>0</v>
      </c>
    </row>
    <row r="349" spans="1:63" x14ac:dyDescent="0.45">
      <c r="A349" s="1">
        <v>44729</v>
      </c>
      <c r="B349">
        <v>216.76</v>
      </c>
      <c r="C349" s="1">
        <v>44729</v>
      </c>
      <c r="D349">
        <v>365.86</v>
      </c>
      <c r="E349">
        <f t="shared" si="109"/>
        <v>1.7175035194744236E-2</v>
      </c>
      <c r="F349" s="4">
        <f t="shared" si="110"/>
        <v>-2.1546433928813953E-3</v>
      </c>
      <c r="G349">
        <f t="shared" ca="1" si="111"/>
        <v>2.5851362537195288E-4</v>
      </c>
      <c r="H349">
        <f t="shared" ca="1" si="112"/>
        <v>4.1563579811928202E-2</v>
      </c>
      <c r="I349">
        <f t="shared" ca="1" si="113"/>
        <v>-0.11636168020851326</v>
      </c>
      <c r="J349">
        <f t="shared" ca="1" si="114"/>
        <v>0.93747030206975168</v>
      </c>
      <c r="K349">
        <f t="shared" ca="1" si="115"/>
        <v>0.84290540695141314</v>
      </c>
      <c r="L349">
        <f t="shared" ca="1" si="116"/>
        <v>0.94375489089460229</v>
      </c>
      <c r="M349">
        <f t="shared" ca="1" si="117"/>
        <v>-9.6541516734888254E-4</v>
      </c>
      <c r="N349">
        <f t="shared" ca="1" si="118"/>
        <v>1.3341817410946623E-2</v>
      </c>
      <c r="O349">
        <f t="shared" ca="1" si="119"/>
        <v>-0.39400479387160131</v>
      </c>
      <c r="P349">
        <f t="shared" ca="1" si="120"/>
        <v>0.35243510258807831</v>
      </c>
      <c r="Q349">
        <f t="shared" ca="1" si="121"/>
        <v>0.8585642072323858</v>
      </c>
      <c r="R349">
        <f t="shared" ca="1" si="122"/>
        <v>0.94356378888107451</v>
      </c>
      <c r="T349">
        <f t="shared" si="123"/>
        <v>1.0171750351947442</v>
      </c>
      <c r="U349" s="6">
        <f t="shared" ca="1" si="124"/>
        <v>0.93338500624380982</v>
      </c>
      <c r="V349">
        <f t="shared" ca="1" si="125"/>
        <v>0.95495004098743086</v>
      </c>
      <c r="W349">
        <v>0.98550621391283155</v>
      </c>
      <c r="X349" t="b">
        <f t="shared" ca="1" si="126"/>
        <v>1</v>
      </c>
      <c r="AS349">
        <v>1.1983949703786981E-2</v>
      </c>
      <c r="AT349">
        <v>999</v>
      </c>
      <c r="AU349">
        <v>999</v>
      </c>
      <c r="AV349">
        <v>999</v>
      </c>
      <c r="AW349">
        <v>999</v>
      </c>
      <c r="AX349">
        <v>999</v>
      </c>
      <c r="AY349">
        <v>999</v>
      </c>
      <c r="AZ349">
        <v>101.86318163799436</v>
      </c>
      <c r="BJ349" t="b">
        <f t="shared" si="107"/>
        <v>1</v>
      </c>
      <c r="BK349" t="b">
        <f t="shared" ca="1" si="108"/>
        <v>1</v>
      </c>
    </row>
    <row r="350" spans="1:63" x14ac:dyDescent="0.45">
      <c r="A350" s="1">
        <v>44728</v>
      </c>
      <c r="B350">
        <v>213.1</v>
      </c>
      <c r="C350" s="1">
        <v>44728</v>
      </c>
      <c r="D350">
        <v>366.65</v>
      </c>
      <c r="E350">
        <f t="shared" si="109"/>
        <v>-8.5407725321888436E-2</v>
      </c>
      <c r="F350" s="4">
        <f t="shared" si="110"/>
        <v>-3.3095991561181468E-2</v>
      </c>
      <c r="G350">
        <f t="shared" ca="1" si="111"/>
        <v>1.6156766159852493E-4</v>
      </c>
      <c r="H350">
        <f t="shared" ca="1" si="112"/>
        <v>4.1546533086288792E-2</v>
      </c>
      <c r="I350">
        <f t="shared" ca="1" si="113"/>
        <v>-0.10977766654197545</v>
      </c>
      <c r="J350">
        <f t="shared" ca="1" si="114"/>
        <v>0.94279028792095421</v>
      </c>
      <c r="K350">
        <f t="shared" ca="1" si="115"/>
        <v>0.84290540695141314</v>
      </c>
      <c r="L350">
        <f t="shared" ca="1" si="116"/>
        <v>0.94375489089460229</v>
      </c>
      <c r="M350">
        <f t="shared" ca="1" si="117"/>
        <v>-9.5198449622555914E-4</v>
      </c>
      <c r="N350">
        <f t="shared" ca="1" si="118"/>
        <v>1.3341966257717639E-2</v>
      </c>
      <c r="O350">
        <f t="shared" ca="1" si="119"/>
        <v>-0.397031295146549</v>
      </c>
      <c r="P350">
        <f t="shared" ca="1" si="120"/>
        <v>0.35390883216387437</v>
      </c>
      <c r="Q350">
        <f t="shared" ca="1" si="121"/>
        <v>0.8585642072323858</v>
      </c>
      <c r="R350">
        <f t="shared" ca="1" si="122"/>
        <v>0.94356378888107451</v>
      </c>
      <c r="T350">
        <f t="shared" si="123"/>
        <v>0.91459227467811155</v>
      </c>
      <c r="U350" s="6">
        <f t="shared" ca="1" si="124"/>
        <v>0.88900198992937196</v>
      </c>
      <c r="V350">
        <f t="shared" ca="1" si="125"/>
        <v>0.96018062670462567</v>
      </c>
      <c r="W350">
        <v>1.033223371696711</v>
      </c>
      <c r="X350" t="b">
        <f t="shared" ca="1" si="126"/>
        <v>0</v>
      </c>
      <c r="AS350">
        <v>0.11940946526642703</v>
      </c>
      <c r="AT350">
        <v>999</v>
      </c>
      <c r="AU350">
        <v>-3.177727128602835</v>
      </c>
      <c r="AV350">
        <v>999</v>
      </c>
      <c r="AW350">
        <v>999</v>
      </c>
      <c r="AX350">
        <v>999</v>
      </c>
      <c r="AY350">
        <v>999</v>
      </c>
      <c r="AZ350">
        <v>10.359066870203367</v>
      </c>
      <c r="BJ350" t="b">
        <f t="shared" si="107"/>
        <v>1</v>
      </c>
      <c r="BK350" t="b">
        <f t="shared" ca="1" si="108"/>
        <v>0</v>
      </c>
    </row>
    <row r="351" spans="1:63" x14ac:dyDescent="0.45">
      <c r="A351" s="1">
        <v>44727</v>
      </c>
      <c r="B351">
        <v>233</v>
      </c>
      <c r="C351" s="1">
        <v>44727</v>
      </c>
      <c r="D351">
        <v>379.2</v>
      </c>
      <c r="E351">
        <f t="shared" si="109"/>
        <v>5.4823667888994586E-2</v>
      </c>
      <c r="F351" s="4">
        <f t="shared" si="110"/>
        <v>1.4256292294112884E-2</v>
      </c>
      <c r="G351">
        <f t="shared" ca="1" si="111"/>
        <v>6.2150359034188023E-4</v>
      </c>
      <c r="H351">
        <f t="shared" ca="1" si="112"/>
        <v>4.1101268801446891E-2</v>
      </c>
      <c r="I351">
        <f t="shared" ca="1" si="113"/>
        <v>-0.10147273504736469</v>
      </c>
      <c r="J351">
        <f t="shared" ca="1" si="114"/>
        <v>1.0250242933366778</v>
      </c>
      <c r="K351">
        <f t="shared" ca="1" si="115"/>
        <v>0.85793267714446686</v>
      </c>
      <c r="L351">
        <f t="shared" ca="1" si="116"/>
        <v>0.99556598774016281</v>
      </c>
      <c r="M351">
        <f t="shared" ca="1" si="117"/>
        <v>-7.9391227342175228E-4</v>
      </c>
      <c r="N351">
        <f t="shared" ca="1" si="118"/>
        <v>1.3145045217742523E-2</v>
      </c>
      <c r="O351">
        <f t="shared" ca="1" si="119"/>
        <v>-0.37736468350945768</v>
      </c>
      <c r="P351">
        <f t="shared" ca="1" si="120"/>
        <v>0.39469555421071467</v>
      </c>
      <c r="Q351">
        <f t="shared" ca="1" si="121"/>
        <v>0.87487601446267582</v>
      </c>
      <c r="R351">
        <f t="shared" ca="1" si="122"/>
        <v>0.94846003952804236</v>
      </c>
      <c r="T351">
        <f t="shared" si="123"/>
        <v>1.0548236678889946</v>
      </c>
      <c r="U351" s="6">
        <f t="shared" ca="1" si="124"/>
        <v>0.9633393559270178</v>
      </c>
      <c r="V351">
        <f t="shared" ca="1" si="125"/>
        <v>0.92464156754992721</v>
      </c>
      <c r="W351">
        <v>1.0358543088283005</v>
      </c>
      <c r="X351" t="b">
        <f t="shared" ca="1" si="126"/>
        <v>0</v>
      </c>
      <c r="AS351">
        <v>0.11513219575654363</v>
      </c>
      <c r="AT351">
        <v>999</v>
      </c>
      <c r="AU351">
        <v>-3.2829812635846922</v>
      </c>
      <c r="AV351">
        <v>999</v>
      </c>
      <c r="AW351">
        <v>999</v>
      </c>
      <c r="AX351">
        <v>999</v>
      </c>
      <c r="AY351">
        <v>999</v>
      </c>
      <c r="AZ351">
        <v>10.327178575760163</v>
      </c>
      <c r="BJ351" t="b">
        <f t="shared" si="107"/>
        <v>1</v>
      </c>
      <c r="BK351" t="b">
        <f t="shared" ca="1" si="108"/>
        <v>0</v>
      </c>
    </row>
    <row r="352" spans="1:63" x14ac:dyDescent="0.45">
      <c r="A352" s="1">
        <v>44726</v>
      </c>
      <c r="B352">
        <v>220.89</v>
      </c>
      <c r="C352" s="1">
        <v>44726</v>
      </c>
      <c r="D352">
        <v>373.87</v>
      </c>
      <c r="E352">
        <f t="shared" si="109"/>
        <v>2.388556436772548E-2</v>
      </c>
      <c r="F352" s="4">
        <f t="shared" si="110"/>
        <v>-3.013333333333321E-3</v>
      </c>
      <c r="G352">
        <f t="shared" ca="1" si="111"/>
        <v>4.8075679071663457E-4</v>
      </c>
      <c r="H352">
        <f t="shared" ca="1" si="112"/>
        <v>4.0962690291614541E-2</v>
      </c>
      <c r="I352">
        <f t="shared" ca="1" si="113"/>
        <v>-0.10254779388315191</v>
      </c>
      <c r="J352">
        <f t="shared" ca="1" si="114"/>
        <v>1.0638509608812106</v>
      </c>
      <c r="K352">
        <f t="shared" ca="1" si="115"/>
        <v>0.85793267714446686</v>
      </c>
      <c r="L352">
        <f t="shared" ca="1" si="116"/>
        <v>0.99556598774016281</v>
      </c>
      <c r="M352">
        <f t="shared" ca="1" si="117"/>
        <v>-8.432059503281858E-4</v>
      </c>
      <c r="N352">
        <f t="shared" ca="1" si="118"/>
        <v>1.3106752884327218E-2</v>
      </c>
      <c r="O352">
        <f t="shared" ca="1" si="119"/>
        <v>-0.37665476370069656</v>
      </c>
      <c r="P352">
        <f t="shared" ca="1" si="120"/>
        <v>0.42033304259050608</v>
      </c>
      <c r="Q352">
        <f t="shared" ca="1" si="121"/>
        <v>0.87487601446267582</v>
      </c>
      <c r="R352">
        <f t="shared" ca="1" si="122"/>
        <v>0.93896538517194228</v>
      </c>
      <c r="T352">
        <f t="shared" si="123"/>
        <v>1.0238855643677254</v>
      </c>
      <c r="U352" s="6">
        <f t="shared" ca="1" si="124"/>
        <v>0.92466312524331584</v>
      </c>
      <c r="V352">
        <f t="shared" ca="1" si="125"/>
        <v>0.93963833961216692</v>
      </c>
      <c r="W352">
        <v>1.0408523052226897</v>
      </c>
      <c r="X352" t="b">
        <f t="shared" ca="1" si="126"/>
        <v>0</v>
      </c>
      <c r="AS352">
        <v>0.13447860187595101</v>
      </c>
      <c r="AT352">
        <v>999</v>
      </c>
      <c r="AU352">
        <v>-3.5698838304542724</v>
      </c>
      <c r="AV352">
        <v>999</v>
      </c>
      <c r="AW352">
        <v>999</v>
      </c>
      <c r="AX352">
        <v>999</v>
      </c>
      <c r="AY352">
        <v>999</v>
      </c>
      <c r="AZ352">
        <v>10.623830628515218</v>
      </c>
      <c r="BJ352" t="b">
        <f t="shared" si="107"/>
        <v>1</v>
      </c>
      <c r="BK352" t="b">
        <f t="shared" ca="1" si="108"/>
        <v>0</v>
      </c>
    </row>
    <row r="353" spans="1:63" x14ac:dyDescent="0.45">
      <c r="A353" s="1">
        <v>44725</v>
      </c>
      <c r="B353">
        <v>215.73699999999999</v>
      </c>
      <c r="C353" s="1">
        <v>44725</v>
      </c>
      <c r="D353">
        <v>375</v>
      </c>
      <c r="E353">
        <f t="shared" si="109"/>
        <v>-7.1020109374327151E-2</v>
      </c>
      <c r="F353" s="4">
        <f t="shared" si="110"/>
        <v>-3.7968188814776836E-2</v>
      </c>
      <c r="G353">
        <f t="shared" ca="1" si="111"/>
        <v>4.3806609021978285E-4</v>
      </c>
      <c r="H353">
        <f t="shared" ca="1" si="112"/>
        <v>4.0942619822891997E-2</v>
      </c>
      <c r="I353">
        <f t="shared" ca="1" si="113"/>
        <v>-0.10024418136080096</v>
      </c>
      <c r="J353">
        <f t="shared" ca="1" si="114"/>
        <v>1.0710188555698608</v>
      </c>
      <c r="K353">
        <f t="shared" ca="1" si="115"/>
        <v>0.85793267714446686</v>
      </c>
      <c r="L353">
        <f t="shared" ca="1" si="116"/>
        <v>0.93801928555816272</v>
      </c>
      <c r="M353">
        <f t="shared" ca="1" si="117"/>
        <v>-7.8343440309861835E-4</v>
      </c>
      <c r="N353">
        <f t="shared" ca="1" si="118"/>
        <v>1.3124053160621913E-2</v>
      </c>
      <c r="O353">
        <f t="shared" ca="1" si="119"/>
        <v>-0.38684220189077223</v>
      </c>
      <c r="P353">
        <f t="shared" ca="1" si="120"/>
        <v>0.41075098948083566</v>
      </c>
      <c r="Q353">
        <f t="shared" ca="1" si="121"/>
        <v>0.87487601446267582</v>
      </c>
      <c r="R353">
        <f t="shared" ca="1" si="122"/>
        <v>0.94846003952804236</v>
      </c>
      <c r="T353">
        <f t="shared" si="123"/>
        <v>0.92897989062567288</v>
      </c>
      <c r="U353" s="6">
        <f t="shared" ca="1" si="124"/>
        <v>0.9053928151754238</v>
      </c>
      <c r="V353">
        <f t="shared" ca="1" si="125"/>
        <v>0.93919660768941482</v>
      </c>
      <c r="W353">
        <v>1.0465236624832772</v>
      </c>
      <c r="X353" t="b">
        <f t="shared" ca="1" si="126"/>
        <v>0</v>
      </c>
      <c r="AS353">
        <v>0.17415502709616215</v>
      </c>
      <c r="AT353">
        <v>999</v>
      </c>
      <c r="AU353">
        <v>-3.9179471365294849</v>
      </c>
      <c r="AV353">
        <v>999</v>
      </c>
      <c r="AW353">
        <v>999</v>
      </c>
      <c r="AX353">
        <v>999</v>
      </c>
      <c r="AY353">
        <v>999</v>
      </c>
      <c r="AZ353">
        <v>11.096287765109325</v>
      </c>
      <c r="BJ353" t="b">
        <f t="shared" si="107"/>
        <v>1</v>
      </c>
      <c r="BK353" t="b">
        <f t="shared" ca="1" si="108"/>
        <v>0</v>
      </c>
    </row>
    <row r="354" spans="1:63" x14ac:dyDescent="0.45">
      <c r="A354" s="1">
        <v>44722</v>
      </c>
      <c r="B354">
        <v>232.23</v>
      </c>
      <c r="C354" s="1">
        <v>44722</v>
      </c>
      <c r="D354">
        <v>389.8</v>
      </c>
      <c r="E354">
        <f t="shared" si="109"/>
        <v>-3.1192247201792204E-2</v>
      </c>
      <c r="F354" s="4">
        <f t="shared" si="110"/>
        <v>-2.8995615783180516E-2</v>
      </c>
      <c r="G354">
        <f t="shared" ca="1" si="111"/>
        <v>7.2257477909346999E-4</v>
      </c>
      <c r="H354">
        <f t="shared" ca="1" si="112"/>
        <v>4.0640151166051151E-2</v>
      </c>
      <c r="I354">
        <f t="shared" ca="1" si="113"/>
        <v>-9.6353721787519983E-2</v>
      </c>
      <c r="J354">
        <f t="shared" ca="1" si="114"/>
        <v>1.1479847457601258</v>
      </c>
      <c r="K354">
        <f t="shared" ca="1" si="115"/>
        <v>0.8650350030127999</v>
      </c>
      <c r="L354">
        <f t="shared" ca="1" si="116"/>
        <v>0.97294988321089859</v>
      </c>
      <c r="M354">
        <f t="shared" ca="1" si="117"/>
        <v>-6.231093976315819E-4</v>
      </c>
      <c r="N354">
        <f t="shared" ca="1" si="118"/>
        <v>1.2860730340459032E-2</v>
      </c>
      <c r="O354">
        <f t="shared" ca="1" si="119"/>
        <v>-0.32650234375128451</v>
      </c>
      <c r="P354">
        <f t="shared" ca="1" si="120"/>
        <v>0.35649123685199946</v>
      </c>
      <c r="Q354">
        <f t="shared" ca="1" si="121"/>
        <v>0.92008478920905312</v>
      </c>
      <c r="R354">
        <f t="shared" ca="1" si="122"/>
        <v>0.96415720569885843</v>
      </c>
      <c r="T354">
        <f t="shared" si="123"/>
        <v>0.96880775279820774</v>
      </c>
      <c r="U354" s="6">
        <f t="shared" ca="1" si="124"/>
        <v>0.99024804171978986</v>
      </c>
      <c r="V354">
        <f t="shared" ca="1" si="125"/>
        <v>0.91906760144128674</v>
      </c>
      <c r="W354">
        <v>1.0484679742853751</v>
      </c>
      <c r="X354" t="b">
        <f t="shared" ca="1" si="126"/>
        <v>0</v>
      </c>
      <c r="AS354">
        <v>0.19955986993298888</v>
      </c>
      <c r="AT354">
        <v>999</v>
      </c>
      <c r="AU354">
        <v>-4.0150990545910572</v>
      </c>
      <c r="AV354">
        <v>999</v>
      </c>
      <c r="AW354">
        <v>999</v>
      </c>
      <c r="AX354">
        <v>999</v>
      </c>
      <c r="AY354">
        <v>999</v>
      </c>
      <c r="AZ354">
        <v>11.236337488048152</v>
      </c>
      <c r="BJ354" t="b">
        <f t="shared" si="107"/>
        <v>1</v>
      </c>
      <c r="BK354" t="b">
        <f t="shared" ca="1" si="108"/>
        <v>0</v>
      </c>
    </row>
    <row r="355" spans="1:63" x14ac:dyDescent="0.45">
      <c r="A355" s="1">
        <v>44721</v>
      </c>
      <c r="B355">
        <v>239.70699999999999</v>
      </c>
      <c r="C355" s="1">
        <v>44721</v>
      </c>
      <c r="D355">
        <v>401.44</v>
      </c>
      <c r="E355">
        <f t="shared" si="109"/>
        <v>-8.9305279347740556E-3</v>
      </c>
      <c r="F355" s="4">
        <f t="shared" si="110"/>
        <v>-2.3782889937259931E-2</v>
      </c>
      <c r="G355">
        <f t="shared" ca="1" si="111"/>
        <v>8.9767533836644707E-4</v>
      </c>
      <c r="H355">
        <f t="shared" ca="1" si="112"/>
        <v>4.0577347840440418E-2</v>
      </c>
      <c r="I355">
        <f t="shared" ca="1" si="113"/>
        <v>-0.10740640119531736</v>
      </c>
      <c r="J355">
        <f t="shared" ca="1" si="114"/>
        <v>1.1738031924743568</v>
      </c>
      <c r="K355">
        <f t="shared" ca="1" si="115"/>
        <v>0.8650350030127999</v>
      </c>
      <c r="L355">
        <f t="shared" ca="1" si="116"/>
        <v>1.0585835183643633</v>
      </c>
      <c r="M355">
        <f t="shared" ca="1" si="117"/>
        <v>-4.6763954471295541E-4</v>
      </c>
      <c r="N355">
        <f t="shared" ca="1" si="118"/>
        <v>1.2702995267975092E-2</v>
      </c>
      <c r="O355">
        <f t="shared" ca="1" si="119"/>
        <v>-0.31929900410308443</v>
      </c>
      <c r="P355">
        <f t="shared" ca="1" si="120"/>
        <v>0.41479689519780472</v>
      </c>
      <c r="Q355">
        <f t="shared" ca="1" si="121"/>
        <v>0.96111866453762862</v>
      </c>
      <c r="R355">
        <f t="shared" ca="1" si="122"/>
        <v>0.99273759840476705</v>
      </c>
      <c r="T355">
        <f t="shared" si="123"/>
        <v>0.991069472065226</v>
      </c>
      <c r="U355" s="6">
        <f t="shared" ca="1" si="124"/>
        <v>0.92789926180549887</v>
      </c>
      <c r="V355">
        <f t="shared" ca="1" si="125"/>
        <v>0.89760546717016088</v>
      </c>
      <c r="W355">
        <v>1.0267131845491337</v>
      </c>
      <c r="X355" t="b">
        <f t="shared" ca="1" si="126"/>
        <v>0</v>
      </c>
      <c r="AS355">
        <v>0.20611478329443139</v>
      </c>
      <c r="AT355">
        <v>999</v>
      </c>
      <c r="AU355">
        <v>-4.0513543194279515</v>
      </c>
      <c r="AV355">
        <v>999</v>
      </c>
      <c r="AW355">
        <v>999</v>
      </c>
      <c r="AX355">
        <v>999</v>
      </c>
      <c r="AY355">
        <v>999</v>
      </c>
      <c r="AZ355">
        <v>11.31775585455067</v>
      </c>
      <c r="BJ355" t="b">
        <f t="shared" si="107"/>
        <v>1</v>
      </c>
      <c r="BK355" t="b">
        <f t="shared" ca="1" si="108"/>
        <v>0</v>
      </c>
    </row>
    <row r="356" spans="1:63" x14ac:dyDescent="0.45">
      <c r="A356" s="1">
        <v>44720</v>
      </c>
      <c r="B356">
        <v>241.86699999999999</v>
      </c>
      <c r="C356" s="1">
        <v>44720</v>
      </c>
      <c r="D356">
        <v>411.22</v>
      </c>
      <c r="E356">
        <f t="shared" si="109"/>
        <v>1.2474517240368835E-2</v>
      </c>
      <c r="F356" s="4">
        <f t="shared" si="110"/>
        <v>-1.0872179727714393E-2</v>
      </c>
      <c r="G356">
        <f t="shared" ca="1" si="111"/>
        <v>9.5783132718848304E-4</v>
      </c>
      <c r="H356">
        <f t="shared" ca="1" si="112"/>
        <v>4.0571622026080875E-2</v>
      </c>
      <c r="I356">
        <f t="shared" ca="1" si="113"/>
        <v>-0.11187198107056887</v>
      </c>
      <c r="J356">
        <f t="shared" ca="1" si="114"/>
        <v>1.1768312853177232</v>
      </c>
      <c r="K356">
        <f t="shared" ca="1" si="115"/>
        <v>0.8650350030127999</v>
      </c>
      <c r="L356">
        <f t="shared" ca="1" si="116"/>
        <v>1.0585835183643633</v>
      </c>
      <c r="M356">
        <f t="shared" ca="1" si="117"/>
        <v>-3.4078787730094804E-4</v>
      </c>
      <c r="N356">
        <f t="shared" ca="1" si="118"/>
        <v>1.2595216421343423E-2</v>
      </c>
      <c r="O356">
        <f t="shared" ca="1" si="119"/>
        <v>-0.32586764651284839</v>
      </c>
      <c r="P356">
        <f t="shared" ca="1" si="120"/>
        <v>0.48673589270094109</v>
      </c>
      <c r="Q356">
        <f t="shared" ca="1" si="121"/>
        <v>1.0179989409678702</v>
      </c>
      <c r="R356">
        <f t="shared" ca="1" si="122"/>
        <v>1.0060359243443493</v>
      </c>
      <c r="T356">
        <f t="shared" si="123"/>
        <v>1.0124745172403689</v>
      </c>
      <c r="U356" s="6">
        <f t="shared" ca="1" si="124"/>
        <v>0.98005186595891225</v>
      </c>
      <c r="V356">
        <f t="shared" ca="1" si="125"/>
        <v>0.87436274514737555</v>
      </c>
      <c r="W356">
        <v>1.0277026895062544</v>
      </c>
      <c r="X356" t="b">
        <f t="shared" ca="1" si="126"/>
        <v>0</v>
      </c>
      <c r="AS356">
        <v>0.21945113062931723</v>
      </c>
      <c r="AT356">
        <v>999</v>
      </c>
      <c r="AU356">
        <v>-4.1134803529808739</v>
      </c>
      <c r="AV356">
        <v>999</v>
      </c>
      <c r="AW356">
        <v>999</v>
      </c>
      <c r="AX356">
        <v>999</v>
      </c>
      <c r="AY356">
        <v>999</v>
      </c>
      <c r="AZ356">
        <v>11.435918893492699</v>
      </c>
      <c r="BJ356" t="b">
        <f t="shared" si="107"/>
        <v>1</v>
      </c>
      <c r="BK356" t="b">
        <f t="shared" ca="1" si="108"/>
        <v>0</v>
      </c>
    </row>
    <row r="357" spans="1:63" x14ac:dyDescent="0.45">
      <c r="A357" s="1">
        <v>44719</v>
      </c>
      <c r="B357">
        <v>238.887</v>
      </c>
      <c r="C357" s="1">
        <v>44719</v>
      </c>
      <c r="D357">
        <v>415.74</v>
      </c>
      <c r="E357">
        <f t="shared" si="109"/>
        <v>2.5474231995971097E-3</v>
      </c>
      <c r="F357" s="4">
        <f t="shared" si="110"/>
        <v>9.5922679035430405E-3</v>
      </c>
      <c r="G357">
        <f t="shared" ca="1" si="111"/>
        <v>1.0868564292200915E-3</v>
      </c>
      <c r="H357">
        <f t="shared" ca="1" si="112"/>
        <v>4.0649389004685337E-2</v>
      </c>
      <c r="I357">
        <f t="shared" ca="1" si="113"/>
        <v>-0.11703651151384044</v>
      </c>
      <c r="J357">
        <f t="shared" ca="1" si="114"/>
        <v>1.1497113026125927</v>
      </c>
      <c r="K357">
        <f t="shared" ca="1" si="115"/>
        <v>0.8650350030127999</v>
      </c>
      <c r="L357">
        <f t="shared" ca="1" si="116"/>
        <v>1.1235267358482541</v>
      </c>
      <c r="M357">
        <f t="shared" ca="1" si="117"/>
        <v>-2.4244466180925475E-4</v>
      </c>
      <c r="N357">
        <f t="shared" ca="1" si="118"/>
        <v>1.2589359136851658E-2</v>
      </c>
      <c r="O357">
        <f t="shared" ca="1" si="119"/>
        <v>-0.34508270495340948</v>
      </c>
      <c r="P357">
        <f t="shared" ca="1" si="120"/>
        <v>0.50283975107149015</v>
      </c>
      <c r="Q357">
        <f t="shared" ca="1" si="121"/>
        <v>1.0179989409678702</v>
      </c>
      <c r="R357">
        <f t="shared" ca="1" si="122"/>
        <v>1.0494728403756828</v>
      </c>
      <c r="T357">
        <f t="shared" si="123"/>
        <v>1.002547423199597</v>
      </c>
      <c r="U357" s="6">
        <f t="shared" ca="1" si="124"/>
        <v>0.94514011703125167</v>
      </c>
      <c r="V357">
        <f t="shared" ca="1" si="125"/>
        <v>0.88551287421339009</v>
      </c>
      <c r="W357">
        <v>1.0297585247110925</v>
      </c>
      <c r="X357" t="b">
        <f t="shared" ca="1" si="126"/>
        <v>0</v>
      </c>
      <c r="AS357">
        <v>0.21341963954004592</v>
      </c>
      <c r="AT357">
        <v>999</v>
      </c>
      <c r="AU357">
        <v>-4.1438681993020303</v>
      </c>
      <c r="AV357">
        <v>999</v>
      </c>
      <c r="AW357">
        <v>999</v>
      </c>
      <c r="AX357">
        <v>999</v>
      </c>
      <c r="AY357">
        <v>999</v>
      </c>
      <c r="AZ357">
        <v>11.40867934882233</v>
      </c>
      <c r="BJ357" t="b">
        <f t="shared" si="107"/>
        <v>1</v>
      </c>
      <c r="BK357" t="b">
        <f t="shared" ca="1" si="108"/>
        <v>0</v>
      </c>
    </row>
    <row r="358" spans="1:63" x14ac:dyDescent="0.45">
      <c r="A358" s="1">
        <v>44718</v>
      </c>
      <c r="B358">
        <v>238.28</v>
      </c>
      <c r="C358" s="1">
        <v>44718</v>
      </c>
      <c r="D358">
        <v>411.79</v>
      </c>
      <c r="E358">
        <f t="shared" si="109"/>
        <v>1.6045745084578112E-2</v>
      </c>
      <c r="F358" s="4">
        <f t="shared" si="110"/>
        <v>3.0447703025283769E-3</v>
      </c>
      <c r="G358">
        <f t="shared" ca="1" si="111"/>
        <v>1.1245224492192547E-3</v>
      </c>
      <c r="H358">
        <f t="shared" ca="1" si="112"/>
        <v>4.0654239048874059E-2</v>
      </c>
      <c r="I358">
        <f t="shared" ca="1" si="113"/>
        <v>-0.1197474746884033</v>
      </c>
      <c r="J358">
        <f t="shared" ca="1" si="114"/>
        <v>1.1481694650089365</v>
      </c>
      <c r="K358">
        <f t="shared" ca="1" si="115"/>
        <v>0.8650350030127999</v>
      </c>
      <c r="L358">
        <f t="shared" ca="1" si="116"/>
        <v>1.1235267358482541</v>
      </c>
      <c r="M358">
        <f t="shared" ca="1" si="117"/>
        <v>-2.5062061506770565E-4</v>
      </c>
      <c r="N358">
        <f t="shared" ca="1" si="118"/>
        <v>1.2583469644591864E-2</v>
      </c>
      <c r="O358">
        <f t="shared" ca="1" si="119"/>
        <v>-0.34461744361325369</v>
      </c>
      <c r="P358">
        <f t="shared" ca="1" si="120"/>
        <v>0.5075727606646403</v>
      </c>
      <c r="Q358">
        <f t="shared" ca="1" si="121"/>
        <v>1.0179989409678702</v>
      </c>
      <c r="R358">
        <f t="shared" ca="1" si="122"/>
        <v>1.0494728403756828</v>
      </c>
      <c r="T358">
        <f t="shared" si="123"/>
        <v>1.0160457450845781</v>
      </c>
      <c r="U358" s="6">
        <f t="shared" ca="1" si="124"/>
        <v>0.94103708384344997</v>
      </c>
      <c r="V358">
        <f t="shared" ca="1" si="125"/>
        <v>0.88347879220022796</v>
      </c>
      <c r="W358">
        <v>1.0320772211198115</v>
      </c>
      <c r="X358" t="b">
        <f t="shared" ca="1" si="126"/>
        <v>0</v>
      </c>
      <c r="AS358">
        <v>0.19422867709444583</v>
      </c>
      <c r="AT358">
        <v>999</v>
      </c>
      <c r="AU358">
        <v>-4.2380582122428025</v>
      </c>
      <c r="AV358">
        <v>999</v>
      </c>
      <c r="AW358">
        <v>999</v>
      </c>
      <c r="AX358">
        <v>999</v>
      </c>
      <c r="AY358">
        <v>999</v>
      </c>
      <c r="AZ358">
        <v>11.396531668590113</v>
      </c>
      <c r="BJ358" t="b">
        <f t="shared" si="107"/>
        <v>1</v>
      </c>
      <c r="BK358" t="b">
        <f t="shared" ca="1" si="108"/>
        <v>0</v>
      </c>
    </row>
    <row r="359" spans="1:63" x14ac:dyDescent="0.45">
      <c r="A359" s="1">
        <v>44715</v>
      </c>
      <c r="B359">
        <v>234.517</v>
      </c>
      <c r="C359" s="1">
        <v>44715</v>
      </c>
      <c r="D359">
        <v>410.54</v>
      </c>
      <c r="E359">
        <f t="shared" si="109"/>
        <v>-9.2191086698176494E-2</v>
      </c>
      <c r="F359" s="4">
        <f t="shared" si="110"/>
        <v>-1.6411509619300813E-2</v>
      </c>
      <c r="G359">
        <f t="shared" ca="1" si="111"/>
        <v>9.3167218702291726E-4</v>
      </c>
      <c r="H359">
        <f t="shared" ca="1" si="112"/>
        <v>4.067457871638909E-2</v>
      </c>
      <c r="I359">
        <f t="shared" ca="1" si="113"/>
        <v>-0.1064484671215595</v>
      </c>
      <c r="J359">
        <f t="shared" ca="1" si="114"/>
        <v>1.1380861214827664</v>
      </c>
      <c r="K359">
        <f t="shared" ca="1" si="115"/>
        <v>0.8650350030127999</v>
      </c>
      <c r="L359">
        <f t="shared" ca="1" si="116"/>
        <v>1.0326395484759712</v>
      </c>
      <c r="M359">
        <f t="shared" ca="1" si="117"/>
        <v>-2.5810276613861491E-4</v>
      </c>
      <c r="N359">
        <f t="shared" ca="1" si="118"/>
        <v>1.2581945151000126E-2</v>
      </c>
      <c r="O359">
        <f t="shared" ca="1" si="119"/>
        <v>-0.34301704640342262</v>
      </c>
      <c r="P359">
        <f t="shared" ca="1" si="120"/>
        <v>0.50843834191686188</v>
      </c>
      <c r="Q359">
        <f t="shared" ca="1" si="121"/>
        <v>1.0179989409678702</v>
      </c>
      <c r="R359">
        <f t="shared" ca="1" si="122"/>
        <v>1.0494728403756828</v>
      </c>
      <c r="T359">
        <f t="shared" si="123"/>
        <v>0.90780891330182345</v>
      </c>
      <c r="U359" s="6">
        <f t="shared" ca="1" si="124"/>
        <v>0.99409520579882182</v>
      </c>
      <c r="V359">
        <f t="shared" ca="1" si="125"/>
        <v>0.90332830318968471</v>
      </c>
      <c r="W359">
        <v>1.0458327546688224</v>
      </c>
      <c r="X359" t="b">
        <f t="shared" ca="1" si="126"/>
        <v>0</v>
      </c>
      <c r="AS359">
        <v>0.23213723411569573</v>
      </c>
      <c r="AT359">
        <v>999</v>
      </c>
      <c r="AU359">
        <v>-4.466646296129773</v>
      </c>
      <c r="AV359">
        <v>999</v>
      </c>
      <c r="AW359">
        <v>999</v>
      </c>
      <c r="AX359">
        <v>999</v>
      </c>
      <c r="AY359">
        <v>999</v>
      </c>
      <c r="AZ359">
        <v>11.698036032725078</v>
      </c>
      <c r="BJ359" t="b">
        <f t="shared" si="107"/>
        <v>1</v>
      </c>
      <c r="BK359" t="b">
        <f t="shared" ca="1" si="108"/>
        <v>0</v>
      </c>
    </row>
    <row r="360" spans="1:63" x14ac:dyDescent="0.45">
      <c r="A360" s="1">
        <v>44714</v>
      </c>
      <c r="B360">
        <v>258.33300000000003</v>
      </c>
      <c r="C360" s="1">
        <v>44714</v>
      </c>
      <c r="D360">
        <v>417.39</v>
      </c>
      <c r="E360">
        <f t="shared" si="109"/>
        <v>4.6772559666113031E-2</v>
      </c>
      <c r="F360" s="4">
        <f t="shared" si="110"/>
        <v>1.904343367758005E-2</v>
      </c>
      <c r="G360">
        <f t="shared" ca="1" si="111"/>
        <v>1.5674787942248365E-3</v>
      </c>
      <c r="H360">
        <f t="shared" ca="1" si="112"/>
        <v>4.0202738406909855E-2</v>
      </c>
      <c r="I360">
        <f t="shared" ca="1" si="113"/>
        <v>-9.2005150627288368E-2</v>
      </c>
      <c r="J360">
        <f t="shared" ca="1" si="114"/>
        <v>1.1959516246437856</v>
      </c>
      <c r="K360">
        <f t="shared" ca="1" si="115"/>
        <v>0.90743306878309982</v>
      </c>
      <c r="L360">
        <f t="shared" ca="1" si="116"/>
        <v>1.2039819935461005</v>
      </c>
      <c r="M360">
        <f t="shared" ca="1" si="117"/>
        <v>-2.3077001760971765E-4</v>
      </c>
      <c r="N360">
        <f t="shared" ca="1" si="118"/>
        <v>1.2552580939374227E-2</v>
      </c>
      <c r="O360">
        <f t="shared" ca="1" si="119"/>
        <v>-0.34434365323199967</v>
      </c>
      <c r="P360">
        <f t="shared" ca="1" si="120"/>
        <v>0.53336164011890741</v>
      </c>
      <c r="Q360">
        <f t="shared" ca="1" si="121"/>
        <v>1.0179989409678702</v>
      </c>
      <c r="R360">
        <f t="shared" ca="1" si="122"/>
        <v>1.0494728403756828</v>
      </c>
      <c r="T360">
        <f t="shared" si="123"/>
        <v>1.046772559666113</v>
      </c>
      <c r="U360" s="6">
        <f t="shared" ca="1" si="124"/>
        <v>1.1763797814207653</v>
      </c>
      <c r="V360">
        <f t="shared" ca="1" si="125"/>
        <v>0.965938555698305</v>
      </c>
      <c r="W360">
        <v>1.049719390029402</v>
      </c>
      <c r="X360" t="b">
        <f t="shared" ca="1" si="126"/>
        <v>1</v>
      </c>
      <c r="AS360">
        <v>0.2209980051878605</v>
      </c>
      <c r="AT360">
        <v>999</v>
      </c>
      <c r="AU360">
        <v>-4.1823264364477435</v>
      </c>
      <c r="AV360">
        <v>999</v>
      </c>
      <c r="AW360">
        <v>999</v>
      </c>
      <c r="AX360">
        <v>999</v>
      </c>
      <c r="AY360">
        <v>999</v>
      </c>
      <c r="AZ360">
        <v>11.384321171959311</v>
      </c>
      <c r="BJ360" t="b">
        <f t="shared" si="107"/>
        <v>1</v>
      </c>
      <c r="BK360" t="b">
        <f t="shared" ca="1" si="108"/>
        <v>1</v>
      </c>
    </row>
    <row r="361" spans="1:63" x14ac:dyDescent="0.45">
      <c r="A361" s="1">
        <v>44713</v>
      </c>
      <c r="B361">
        <v>246.79</v>
      </c>
      <c r="C361" s="1">
        <v>44713</v>
      </c>
      <c r="D361">
        <v>409.59</v>
      </c>
      <c r="E361">
        <f t="shared" si="109"/>
        <v>-2.3592202664261132E-2</v>
      </c>
      <c r="F361" s="4">
        <f t="shared" si="110"/>
        <v>-8.0885380088635654E-3</v>
      </c>
      <c r="G361">
        <f t="shared" ca="1" si="111"/>
        <v>1.1845273602957519E-3</v>
      </c>
      <c r="H361">
        <f t="shared" ca="1" si="112"/>
        <v>4.0134696349418589E-2</v>
      </c>
      <c r="I361">
        <f t="shared" ca="1" si="113"/>
        <v>-7.3239145731396935E-2</v>
      </c>
      <c r="J361">
        <f t="shared" ca="1" si="114"/>
        <v>1.2149760504473637</v>
      </c>
      <c r="K361">
        <f t="shared" ca="1" si="115"/>
        <v>0.90743306878309982</v>
      </c>
      <c r="L361">
        <f t="shared" ca="1" si="116"/>
        <v>1.0326395484759712</v>
      </c>
      <c r="M361">
        <f t="shared" ca="1" si="117"/>
        <v>-3.5876343496287237E-4</v>
      </c>
      <c r="N361">
        <f t="shared" ca="1" si="118"/>
        <v>1.2485392069970959E-2</v>
      </c>
      <c r="O361">
        <f t="shared" ca="1" si="119"/>
        <v>-0.33820029743139812</v>
      </c>
      <c r="P361">
        <f t="shared" ca="1" si="120"/>
        <v>0.56715693513955534</v>
      </c>
      <c r="Q361">
        <f t="shared" ca="1" si="121"/>
        <v>1.0179989409678702</v>
      </c>
      <c r="R361">
        <f t="shared" ca="1" si="122"/>
        <v>1.0357771687698503</v>
      </c>
      <c r="T361">
        <f t="shared" si="123"/>
        <v>0.9764077973357389</v>
      </c>
      <c r="U361" s="6">
        <f t="shared" ca="1" si="124"/>
        <v>1.1786309560765473</v>
      </c>
      <c r="V361">
        <f t="shared" ca="1" si="125"/>
        <v>0.97498312499797246</v>
      </c>
      <c r="W361">
        <v>1.0437090394832043</v>
      </c>
      <c r="X361" t="b">
        <f t="shared" ca="1" si="126"/>
        <v>1</v>
      </c>
      <c r="AS361">
        <v>0.20207651915169067</v>
      </c>
      <c r="AT361">
        <v>999</v>
      </c>
      <c r="AU361">
        <v>-3.848942983452837</v>
      </c>
      <c r="AV361">
        <v>999</v>
      </c>
      <c r="AW361">
        <v>999</v>
      </c>
      <c r="AX361">
        <v>999</v>
      </c>
      <c r="AY361">
        <v>999</v>
      </c>
      <c r="AZ361">
        <v>10.980378527991917</v>
      </c>
      <c r="BJ361" t="b">
        <f t="shared" si="107"/>
        <v>1</v>
      </c>
      <c r="BK361" t="b">
        <f t="shared" ca="1" si="108"/>
        <v>1</v>
      </c>
    </row>
    <row r="362" spans="1:63" x14ac:dyDescent="0.45">
      <c r="A362" s="1">
        <v>44712</v>
      </c>
      <c r="B362">
        <v>252.75299999999999</v>
      </c>
      <c r="C362" s="1">
        <v>44712</v>
      </c>
      <c r="D362">
        <v>412.93</v>
      </c>
      <c r="E362">
        <f t="shared" si="109"/>
        <v>-1.8048260337270331E-3</v>
      </c>
      <c r="F362" s="4">
        <f t="shared" si="110"/>
        <v>-5.6109425420218274E-3</v>
      </c>
      <c r="G362">
        <f t="shared" ca="1" si="111"/>
        <v>1.0863474532507862E-3</v>
      </c>
      <c r="H362">
        <f t="shared" ca="1" si="112"/>
        <v>4.0219538933228008E-2</v>
      </c>
      <c r="I362">
        <f t="shared" ca="1" si="113"/>
        <v>-7.1027413447752652E-2</v>
      </c>
      <c r="J362">
        <f t="shared" ca="1" si="114"/>
        <v>1.185347977656221</v>
      </c>
      <c r="K362">
        <f t="shared" ca="1" si="115"/>
        <v>0.90743306878309982</v>
      </c>
      <c r="L362">
        <f t="shared" ca="1" si="116"/>
        <v>1.0326395484759712</v>
      </c>
      <c r="M362">
        <f t="shared" ca="1" si="117"/>
        <v>-3.0654733264729556E-4</v>
      </c>
      <c r="N362">
        <f t="shared" ca="1" si="118"/>
        <v>1.2474735489768855E-2</v>
      </c>
      <c r="O362">
        <f t="shared" ca="1" si="119"/>
        <v>-0.35049210031586775</v>
      </c>
      <c r="P362">
        <f t="shared" ca="1" si="120"/>
        <v>0.58464538800602472</v>
      </c>
      <c r="Q362">
        <f t="shared" ca="1" si="121"/>
        <v>1.0179989409678702</v>
      </c>
      <c r="R362">
        <f t="shared" ca="1" si="122"/>
        <v>1.0528711868609781</v>
      </c>
      <c r="T362">
        <f t="shared" si="123"/>
        <v>0.998195173966273</v>
      </c>
      <c r="U362" s="6">
        <f t="shared" ca="1" si="124"/>
        <v>1.1235114483457573</v>
      </c>
      <c r="V362">
        <f t="shared" ca="1" si="125"/>
        <v>0.95925529521427733</v>
      </c>
      <c r="W362">
        <v>1.0385233300774515</v>
      </c>
      <c r="X362" t="b">
        <f t="shared" ca="1" si="126"/>
        <v>1</v>
      </c>
      <c r="AS362">
        <v>0.18646166785792373</v>
      </c>
      <c r="AT362">
        <v>999</v>
      </c>
      <c r="AU362">
        <v>-3.5915155721833711</v>
      </c>
      <c r="AV362">
        <v>999</v>
      </c>
      <c r="AW362">
        <v>999</v>
      </c>
      <c r="AX362">
        <v>999</v>
      </c>
      <c r="AY362">
        <v>999</v>
      </c>
      <c r="AZ362">
        <v>10.597440634731845</v>
      </c>
      <c r="BJ362" t="b">
        <f t="shared" si="107"/>
        <v>1</v>
      </c>
      <c r="BK362" t="b">
        <f t="shared" ca="1" si="108"/>
        <v>1</v>
      </c>
    </row>
    <row r="363" spans="1:63" x14ac:dyDescent="0.45">
      <c r="A363" s="1">
        <v>44708</v>
      </c>
      <c r="B363">
        <v>253.21</v>
      </c>
      <c r="C363" s="1">
        <v>44708</v>
      </c>
      <c r="D363">
        <v>415.26</v>
      </c>
      <c r="E363">
        <f t="shared" si="109"/>
        <v>7.3333050739688918E-2</v>
      </c>
      <c r="F363" s="4">
        <f t="shared" si="110"/>
        <v>2.4549110557351136E-2</v>
      </c>
      <c r="G363">
        <f t="shared" ca="1" si="111"/>
        <v>1.0602106280715496E-3</v>
      </c>
      <c r="H363">
        <f t="shared" ca="1" si="112"/>
        <v>4.0223125566989051E-2</v>
      </c>
      <c r="I363">
        <f t="shared" ca="1" si="113"/>
        <v>-6.907918762730958E-2</v>
      </c>
      <c r="J363">
        <f t="shared" ca="1" si="114"/>
        <v>1.1836617040409712</v>
      </c>
      <c r="K363">
        <f t="shared" ca="1" si="115"/>
        <v>0.90743306878309982</v>
      </c>
      <c r="L363">
        <f t="shared" ca="1" si="116"/>
        <v>1.0326395484759712</v>
      </c>
      <c r="M363">
        <f t="shared" ca="1" si="117"/>
        <v>-2.6939374550165367E-4</v>
      </c>
      <c r="N363">
        <f t="shared" ca="1" si="118"/>
        <v>1.2469922535903918E-2</v>
      </c>
      <c r="O363">
        <f t="shared" ca="1" si="119"/>
        <v>-0.35951091999750173</v>
      </c>
      <c r="P363">
        <f t="shared" ca="1" si="120"/>
        <v>0.59440498204893011</v>
      </c>
      <c r="Q363">
        <f t="shared" ca="1" si="121"/>
        <v>1.0179989409678702</v>
      </c>
      <c r="R363">
        <f t="shared" ca="1" si="122"/>
        <v>1.0528711868609781</v>
      </c>
      <c r="T363">
        <f t="shared" si="123"/>
        <v>1.073333050739689</v>
      </c>
      <c r="U363" s="6">
        <f t="shared" ca="1" si="124"/>
        <v>1.1441934026208767</v>
      </c>
      <c r="V363">
        <f t="shared" ca="1" si="125"/>
        <v>0.95885387217575258</v>
      </c>
      <c r="W363">
        <v>1.0336187620268005</v>
      </c>
      <c r="X363" t="b">
        <f t="shared" ca="1" si="126"/>
        <v>1</v>
      </c>
      <c r="AS363">
        <v>0.14751844375986978</v>
      </c>
      <c r="AT363">
        <v>999</v>
      </c>
      <c r="AU363">
        <v>-3.2117295824570467</v>
      </c>
      <c r="AV363">
        <v>999</v>
      </c>
      <c r="AW363">
        <v>999</v>
      </c>
      <c r="AX363">
        <v>999</v>
      </c>
      <c r="AY363">
        <v>999</v>
      </c>
      <c r="AZ363">
        <v>10.002855108640233</v>
      </c>
      <c r="BJ363" t="b">
        <f t="shared" si="107"/>
        <v>1</v>
      </c>
      <c r="BK363" t="b">
        <f t="shared" ca="1" si="108"/>
        <v>1</v>
      </c>
    </row>
    <row r="364" spans="1:63" x14ac:dyDescent="0.45">
      <c r="A364" s="1">
        <v>44707</v>
      </c>
      <c r="B364">
        <v>235.91</v>
      </c>
      <c r="C364" s="1">
        <v>44707</v>
      </c>
      <c r="D364">
        <v>405.31</v>
      </c>
      <c r="E364">
        <f t="shared" si="109"/>
        <v>7.4271402550091084E-2</v>
      </c>
      <c r="F364" s="4">
        <f t="shared" si="110"/>
        <v>1.9981377557440162E-2</v>
      </c>
      <c r="G364">
        <f t="shared" ca="1" si="111"/>
        <v>7.9547806912600794E-4</v>
      </c>
      <c r="H364">
        <f t="shared" ca="1" si="112"/>
        <v>3.9918144457450594E-2</v>
      </c>
      <c r="I364">
        <f t="shared" ca="1" si="113"/>
        <v>-8.0126621386047689E-2</v>
      </c>
      <c r="J364">
        <f t="shared" ca="1" si="114"/>
        <v>1.2565989222243408</v>
      </c>
      <c r="K364">
        <f t="shared" ca="1" si="115"/>
        <v>0.88796104749647042</v>
      </c>
      <c r="L364">
        <f t="shared" ca="1" si="116"/>
        <v>0.97294988321089859</v>
      </c>
      <c r="M364">
        <f t="shared" ca="1" si="117"/>
        <v>-3.7715439585927699E-4</v>
      </c>
      <c r="N364">
        <f t="shared" ca="1" si="118"/>
        <v>1.2346888041075688E-2</v>
      </c>
      <c r="O364">
        <f t="shared" ca="1" si="119"/>
        <v>-0.38504885548896561</v>
      </c>
      <c r="P364">
        <f t="shared" ca="1" si="120"/>
        <v>0.64297146973729813</v>
      </c>
      <c r="Q364">
        <f t="shared" ca="1" si="121"/>
        <v>0.99003239612884608</v>
      </c>
      <c r="R364">
        <f t="shared" ca="1" si="122"/>
        <v>1.0423313142420787</v>
      </c>
      <c r="T364">
        <f t="shared" si="123"/>
        <v>1.074271402550091</v>
      </c>
      <c r="U364" s="6">
        <f t="shared" ca="1" si="124"/>
        <v>0.99761917851086601</v>
      </c>
      <c r="V364">
        <f t="shared" ca="1" si="125"/>
        <v>0.94365461227945324</v>
      </c>
      <c r="W364">
        <v>1.0145706587487497</v>
      </c>
      <c r="X364" t="b">
        <f t="shared" ca="1" si="126"/>
        <v>0</v>
      </c>
      <c r="AS364">
        <v>0.10750816114126791</v>
      </c>
      <c r="AT364">
        <v>999</v>
      </c>
      <c r="AU364">
        <v>-3.0759861925879957</v>
      </c>
      <c r="AV364">
        <v>999</v>
      </c>
      <c r="AW364">
        <v>999</v>
      </c>
      <c r="AX364">
        <v>999</v>
      </c>
      <c r="AY364">
        <v>999</v>
      </c>
      <c r="AZ364">
        <v>9.6072269629722928</v>
      </c>
      <c r="BJ364" t="b">
        <f t="shared" si="107"/>
        <v>1</v>
      </c>
      <c r="BK364" t="b">
        <f t="shared" ca="1" si="108"/>
        <v>0</v>
      </c>
    </row>
    <row r="365" spans="1:63" x14ac:dyDescent="0.45">
      <c r="A365" s="1">
        <v>44706</v>
      </c>
      <c r="B365">
        <v>219.6</v>
      </c>
      <c r="C365" s="1">
        <v>44706</v>
      </c>
      <c r="D365">
        <v>397.37</v>
      </c>
      <c r="E365">
        <f t="shared" si="109"/>
        <v>4.8775711959195146E-2</v>
      </c>
      <c r="F365" s="4">
        <f t="shared" si="110"/>
        <v>8.8349539211455448E-3</v>
      </c>
      <c r="G365">
        <f t="shared" ca="1" si="111"/>
        <v>4.0884617183508672E-4</v>
      </c>
      <c r="H365">
        <f t="shared" ca="1" si="112"/>
        <v>3.9575918443499052E-2</v>
      </c>
      <c r="I365">
        <f t="shared" ca="1" si="113"/>
        <v>-8.510569330116137E-2</v>
      </c>
      <c r="J365">
        <f t="shared" ca="1" si="114"/>
        <v>1.3418415991860089</v>
      </c>
      <c r="K365">
        <f t="shared" ca="1" si="115"/>
        <v>0.87262129691436785</v>
      </c>
      <c r="L365">
        <f t="shared" ca="1" si="116"/>
        <v>0.9564957945404684</v>
      </c>
      <c r="M365">
        <f t="shared" ca="1" si="117"/>
        <v>-4.6463695907794102E-4</v>
      </c>
      <c r="N365">
        <f t="shared" ca="1" si="118"/>
        <v>1.2263619012800667E-2</v>
      </c>
      <c r="O365">
        <f t="shared" ca="1" si="119"/>
        <v>-0.39448578787887079</v>
      </c>
      <c r="P365">
        <f t="shared" ca="1" si="120"/>
        <v>0.6930646014169759</v>
      </c>
      <c r="Q365">
        <f t="shared" ca="1" si="121"/>
        <v>0.93027899814636472</v>
      </c>
      <c r="R365">
        <f t="shared" ca="1" si="122"/>
        <v>0.99512097799195698</v>
      </c>
      <c r="T365">
        <f t="shared" si="123"/>
        <v>1.0487757119591952</v>
      </c>
      <c r="U365" s="6">
        <f t="shared" ca="1" si="124"/>
        <v>0.92813700587059333</v>
      </c>
      <c r="V365">
        <f t="shared" ca="1" si="125"/>
        <v>0.9427009446975062</v>
      </c>
      <c r="W365">
        <v>1.017031304049945</v>
      </c>
      <c r="X365" t="b">
        <f t="shared" ca="1" si="126"/>
        <v>0</v>
      </c>
      <c r="AS365">
        <v>0.10766579194610394</v>
      </c>
      <c r="AT365">
        <v>999</v>
      </c>
      <c r="AU365">
        <v>-3.1818746563905731</v>
      </c>
      <c r="AV365">
        <v>999</v>
      </c>
      <c r="AW365">
        <v>999</v>
      </c>
      <c r="AX365">
        <v>999</v>
      </c>
      <c r="AY365">
        <v>999</v>
      </c>
      <c r="AZ365">
        <v>9.6702556893242839</v>
      </c>
      <c r="BJ365" t="b">
        <f t="shared" si="107"/>
        <v>1</v>
      </c>
      <c r="BK365" t="b">
        <f t="shared" ca="1" si="108"/>
        <v>0</v>
      </c>
    </row>
    <row r="366" spans="1:63" x14ac:dyDescent="0.45">
      <c r="A366" s="1">
        <v>44705</v>
      </c>
      <c r="B366">
        <v>209.387</v>
      </c>
      <c r="C366" s="1">
        <v>44705</v>
      </c>
      <c r="D366">
        <v>393.89</v>
      </c>
      <c r="E366">
        <f t="shared" si="109"/>
        <v>-6.9254601786039788E-2</v>
      </c>
      <c r="F366" s="4">
        <f t="shared" si="110"/>
        <v>-7.6337801068226078E-3</v>
      </c>
      <c r="G366">
        <f t="shared" ca="1" si="111"/>
        <v>1.3855116953743031E-4</v>
      </c>
      <c r="H366">
        <f t="shared" ca="1" si="112"/>
        <v>3.9428253371533037E-2</v>
      </c>
      <c r="I366">
        <f t="shared" ca="1" si="113"/>
        <v>-7.4676455965575761E-2</v>
      </c>
      <c r="J366">
        <f t="shared" ca="1" si="114"/>
        <v>1.3938357487532445</v>
      </c>
      <c r="K366">
        <f t="shared" ca="1" si="115"/>
        <v>0.87262129691436785</v>
      </c>
      <c r="L366">
        <f t="shared" ca="1" si="116"/>
        <v>0.94442387101072989</v>
      </c>
      <c r="M366">
        <f t="shared" ca="1" si="117"/>
        <v>-5.0259183860608988E-4</v>
      </c>
      <c r="N366">
        <f t="shared" ca="1" si="118"/>
        <v>1.2246427592512148E-2</v>
      </c>
      <c r="O366">
        <f t="shared" ca="1" si="119"/>
        <v>-0.38896660101429609</v>
      </c>
      <c r="P366">
        <f t="shared" ca="1" si="120"/>
        <v>0.7074034859688223</v>
      </c>
      <c r="Q366">
        <f t="shared" ca="1" si="121"/>
        <v>0.93027899814636472</v>
      </c>
      <c r="R366">
        <f t="shared" ca="1" si="122"/>
        <v>0.94337038359306413</v>
      </c>
      <c r="T366">
        <f t="shared" si="123"/>
        <v>0.93074539821396018</v>
      </c>
      <c r="U366" s="6">
        <f t="shared" ca="1" si="124"/>
        <v>0.82478039941702441</v>
      </c>
      <c r="V366">
        <f t="shared" ca="1" si="125"/>
        <v>0.94202911936626654</v>
      </c>
      <c r="W366">
        <v>1.0034245997847184</v>
      </c>
      <c r="X366" t="b">
        <f t="shared" ca="1" si="126"/>
        <v>0</v>
      </c>
      <c r="AS366">
        <v>0.11344369845549183</v>
      </c>
      <c r="AT366">
        <v>999</v>
      </c>
      <c r="AU366">
        <v>-3.3448195583539468</v>
      </c>
      <c r="AV366">
        <v>999</v>
      </c>
      <c r="AW366">
        <v>999</v>
      </c>
      <c r="AX366">
        <v>999</v>
      </c>
      <c r="AY366">
        <v>999</v>
      </c>
      <c r="AZ366">
        <v>9.9295386789260149</v>
      </c>
      <c r="BJ366" t="b">
        <f t="shared" si="107"/>
        <v>1</v>
      </c>
      <c r="BK366" t="b">
        <f t="shared" ca="1" si="108"/>
        <v>0</v>
      </c>
    </row>
    <row r="367" spans="1:63" x14ac:dyDescent="0.45">
      <c r="A367" s="1">
        <v>44704</v>
      </c>
      <c r="B367">
        <v>224.96700000000001</v>
      </c>
      <c r="C367" s="1">
        <v>44704</v>
      </c>
      <c r="D367">
        <v>396.92</v>
      </c>
      <c r="E367">
        <f t="shared" si="109"/>
        <v>1.6570266606416636E-2</v>
      </c>
      <c r="F367" s="4">
        <f t="shared" si="110"/>
        <v>1.8710058260400945E-2</v>
      </c>
      <c r="G367">
        <f t="shared" ca="1" si="111"/>
        <v>5.8968057219727327E-4</v>
      </c>
      <c r="H367">
        <f t="shared" ca="1" si="112"/>
        <v>3.9145440375463116E-2</v>
      </c>
      <c r="I367">
        <f t="shared" ca="1" si="113"/>
        <v>-8.2189741279549061E-2</v>
      </c>
      <c r="J367">
        <f t="shared" ca="1" si="114"/>
        <v>1.4758485780603046</v>
      </c>
      <c r="K367">
        <f t="shared" ca="1" si="115"/>
        <v>0.87531363953416086</v>
      </c>
      <c r="L367">
        <f t="shared" ca="1" si="116"/>
        <v>1.040681232360956</v>
      </c>
      <c r="M367">
        <f t="shared" ca="1" si="117"/>
        <v>-4.6849082661183097E-4</v>
      </c>
      <c r="N367">
        <f t="shared" ca="1" si="118"/>
        <v>1.2235961714618496E-2</v>
      </c>
      <c r="O367">
        <f t="shared" ca="1" si="119"/>
        <v>-0.39740614813085234</v>
      </c>
      <c r="P367">
        <f t="shared" ca="1" si="120"/>
        <v>0.72413549700800051</v>
      </c>
      <c r="Q367">
        <f t="shared" ca="1" si="121"/>
        <v>0.93027899814636472</v>
      </c>
      <c r="R367">
        <f t="shared" ca="1" si="122"/>
        <v>0.98220964860778415</v>
      </c>
      <c r="T367">
        <f t="shared" si="123"/>
        <v>1.0165702666064167</v>
      </c>
      <c r="U367" s="6">
        <f t="shared" ca="1" si="124"/>
        <v>0.93170626654021216</v>
      </c>
      <c r="V367">
        <f t="shared" ca="1" si="125"/>
        <v>0.97450920306730093</v>
      </c>
      <c r="W367">
        <v>1.0065481470750497</v>
      </c>
      <c r="X367" t="b">
        <f t="shared" ca="1" si="126"/>
        <v>0</v>
      </c>
      <c r="AS367">
        <v>0.1361127493478004</v>
      </c>
      <c r="AT367">
        <v>999</v>
      </c>
      <c r="AU367">
        <v>-3.4478517203876908</v>
      </c>
      <c r="AV367">
        <v>999</v>
      </c>
      <c r="AW367">
        <v>999</v>
      </c>
      <c r="AX367">
        <v>999</v>
      </c>
      <c r="AY367">
        <v>999</v>
      </c>
      <c r="AZ367">
        <v>10.004648074679432</v>
      </c>
      <c r="BJ367" t="b">
        <f t="shared" si="107"/>
        <v>1</v>
      </c>
      <c r="BK367" t="b">
        <f t="shared" ca="1" si="108"/>
        <v>0</v>
      </c>
    </row>
    <row r="368" spans="1:63" x14ac:dyDescent="0.45">
      <c r="A368" s="1">
        <v>44701</v>
      </c>
      <c r="B368">
        <v>221.3</v>
      </c>
      <c r="C368" s="1">
        <v>44701</v>
      </c>
      <c r="D368">
        <v>389.63</v>
      </c>
      <c r="E368">
        <f t="shared" si="109"/>
        <v>-6.4163773454051845E-2</v>
      </c>
      <c r="F368" s="4">
        <f t="shared" si="110"/>
        <v>4.3650182303706651E-4</v>
      </c>
      <c r="G368">
        <f t="shared" ca="1" si="111"/>
        <v>3.9816461551378876E-4</v>
      </c>
      <c r="H368">
        <f t="shared" ca="1" si="112"/>
        <v>3.9160558485654105E-2</v>
      </c>
      <c r="I368">
        <f t="shared" ca="1" si="113"/>
        <v>-6.8559772099641023E-2</v>
      </c>
      <c r="J368">
        <f t="shared" ca="1" si="114"/>
        <v>1.4677571390235862</v>
      </c>
      <c r="K368">
        <f t="shared" ca="1" si="115"/>
        <v>0.87531363953416086</v>
      </c>
      <c r="L368">
        <f t="shared" ca="1" si="116"/>
        <v>0.9606100300790188</v>
      </c>
      <c r="M368">
        <f t="shared" ca="1" si="117"/>
        <v>-5.5377871298808437E-4</v>
      </c>
      <c r="N368">
        <f t="shared" ca="1" si="118"/>
        <v>1.2160827635827145E-2</v>
      </c>
      <c r="O368">
        <f t="shared" ca="1" si="119"/>
        <v>-0.40344784753757901</v>
      </c>
      <c r="P368">
        <f t="shared" ca="1" si="120"/>
        <v>0.77428552898113612</v>
      </c>
      <c r="Q368">
        <f t="shared" ca="1" si="121"/>
        <v>0.91552752680996985</v>
      </c>
      <c r="R368">
        <f t="shared" ca="1" si="122"/>
        <v>0.91188480740272282</v>
      </c>
      <c r="T368">
        <f t="shared" si="123"/>
        <v>0.93583622654594811</v>
      </c>
      <c r="U368" s="6">
        <f t="shared" ca="1" si="124"/>
        <v>0.86266713444821275</v>
      </c>
      <c r="V368">
        <f t="shared" ca="1" si="125"/>
        <v>0.96105013590663357</v>
      </c>
      <c r="W368">
        <v>0.96476165976334605</v>
      </c>
      <c r="X368" t="b">
        <f t="shared" ca="1" si="126"/>
        <v>1</v>
      </c>
      <c r="AS368">
        <v>0.17296139243614109</v>
      </c>
      <c r="AT368">
        <v>999</v>
      </c>
      <c r="AU368">
        <v>-3.2813595729218101</v>
      </c>
      <c r="AV368">
        <v>999</v>
      </c>
      <c r="AW368">
        <v>999</v>
      </c>
      <c r="AX368">
        <v>999</v>
      </c>
      <c r="AY368">
        <v>999</v>
      </c>
      <c r="AZ368">
        <v>9.848389517006126</v>
      </c>
      <c r="BJ368" t="b">
        <f t="shared" si="107"/>
        <v>1</v>
      </c>
      <c r="BK368" t="b">
        <f t="shared" ca="1" si="108"/>
        <v>1</v>
      </c>
    </row>
    <row r="369" spans="1:63" x14ac:dyDescent="0.45">
      <c r="A369" s="1">
        <v>44700</v>
      </c>
      <c r="B369">
        <v>236.47300000000001</v>
      </c>
      <c r="C369" s="1">
        <v>44700</v>
      </c>
      <c r="D369">
        <v>389.46</v>
      </c>
      <c r="E369">
        <f t="shared" si="109"/>
        <v>-5.494435827102591E-4</v>
      </c>
      <c r="F369" s="4">
        <f t="shared" si="110"/>
        <v>-6.1246363497168225E-3</v>
      </c>
      <c r="G369">
        <f t="shared" ca="1" si="111"/>
        <v>7.4508350261753235E-4</v>
      </c>
      <c r="H369">
        <f t="shared" ca="1" si="112"/>
        <v>3.889214919843182E-2</v>
      </c>
      <c r="I369">
        <f t="shared" ca="1" si="113"/>
        <v>-7.3790837750358093E-2</v>
      </c>
      <c r="J369">
        <f t="shared" ca="1" si="114"/>
        <v>1.5565185706671443</v>
      </c>
      <c r="K369">
        <f t="shared" ca="1" si="115"/>
        <v>0.9189509306469581</v>
      </c>
      <c r="L369">
        <f t="shared" ca="1" si="116"/>
        <v>1.040681232360956</v>
      </c>
      <c r="M369">
        <f t="shared" ca="1" si="117"/>
        <v>-5.2429690937831651E-4</v>
      </c>
      <c r="N369">
        <f t="shared" ca="1" si="118"/>
        <v>1.2170384055950686E-2</v>
      </c>
      <c r="O369">
        <f t="shared" ca="1" si="119"/>
        <v>-0.40892198232669996</v>
      </c>
      <c r="P369">
        <f t="shared" ca="1" si="120"/>
        <v>0.76683856977278619</v>
      </c>
      <c r="Q369">
        <f t="shared" ca="1" si="121"/>
        <v>0.91552752680996985</v>
      </c>
      <c r="R369">
        <f t="shared" ca="1" si="122"/>
        <v>0.92380661983304113</v>
      </c>
      <c r="T369">
        <f t="shared" si="123"/>
        <v>0.99945055641728975</v>
      </c>
      <c r="U369" s="6">
        <f t="shared" ca="1" si="124"/>
        <v>0.97447530978666241</v>
      </c>
      <c r="V369">
        <f t="shared" ca="1" si="125"/>
        <v>0.97697670681128013</v>
      </c>
      <c r="W369">
        <v>0.99172575357431092</v>
      </c>
      <c r="X369" t="b">
        <f t="shared" ca="1" si="126"/>
        <v>1</v>
      </c>
      <c r="AS369">
        <v>0.17728658418340915</v>
      </c>
      <c r="AT369">
        <v>999</v>
      </c>
      <c r="AU369">
        <v>-3.375840411358741</v>
      </c>
      <c r="AV369">
        <v>999</v>
      </c>
      <c r="AW369">
        <v>999</v>
      </c>
      <c r="AX369">
        <v>999</v>
      </c>
      <c r="AY369">
        <v>999</v>
      </c>
      <c r="AZ369">
        <v>9.8661430400221892</v>
      </c>
      <c r="BJ369" t="b">
        <f t="shared" si="107"/>
        <v>1</v>
      </c>
      <c r="BK369" t="b">
        <f t="shared" ca="1" si="108"/>
        <v>1</v>
      </c>
    </row>
    <row r="370" spans="1:63" x14ac:dyDescent="0.45">
      <c r="A370" s="1">
        <v>44699</v>
      </c>
      <c r="B370">
        <v>236.60300000000001</v>
      </c>
      <c r="C370" s="1">
        <v>44699</v>
      </c>
      <c r="D370">
        <v>391.86</v>
      </c>
      <c r="E370">
        <f t="shared" si="109"/>
        <v>-6.8015125851813907E-2</v>
      </c>
      <c r="F370" s="4">
        <f t="shared" si="110"/>
        <v>-4.0311520376175497E-2</v>
      </c>
      <c r="G370">
        <f t="shared" ca="1" si="111"/>
        <v>7.5613657901447181E-4</v>
      </c>
      <c r="H370">
        <f t="shared" ca="1" si="112"/>
        <v>3.8892093573823151E-2</v>
      </c>
      <c r="I370">
        <f t="shared" ca="1" si="113"/>
        <v>-7.4652108583713073E-2</v>
      </c>
      <c r="J370">
        <f t="shared" ca="1" si="114"/>
        <v>1.5566309829905611</v>
      </c>
      <c r="K370">
        <f t="shared" ca="1" si="115"/>
        <v>0.9189509306469581</v>
      </c>
      <c r="L370">
        <f t="shared" ca="1" si="116"/>
        <v>1.040681232360956</v>
      </c>
      <c r="M370">
        <f t="shared" ca="1" si="117"/>
        <v>-5.1826853665160651E-4</v>
      </c>
      <c r="N370">
        <f t="shared" ca="1" si="118"/>
        <v>1.2167894442011546E-2</v>
      </c>
      <c r="O370">
        <f t="shared" ca="1" si="119"/>
        <v>-0.41041859263542646</v>
      </c>
      <c r="P370">
        <f t="shared" ca="1" si="120"/>
        <v>0.77064389560942193</v>
      </c>
      <c r="Q370">
        <f t="shared" ca="1" si="121"/>
        <v>0.91552752680996985</v>
      </c>
      <c r="R370">
        <f t="shared" ca="1" si="122"/>
        <v>0.92380661983304113</v>
      </c>
      <c r="T370">
        <f t="shared" si="123"/>
        <v>0.93198487414818609</v>
      </c>
      <c r="U370" s="6">
        <f t="shared" ca="1" si="124"/>
        <v>0.96704091683798787</v>
      </c>
      <c r="V370">
        <f t="shared" ca="1" si="125"/>
        <v>0.97249579041026013</v>
      </c>
      <c r="W370">
        <v>0.99337516611315602</v>
      </c>
      <c r="X370" t="b">
        <f t="shared" ca="1" si="126"/>
        <v>1</v>
      </c>
      <c r="AS370">
        <v>0.1817599519879784</v>
      </c>
      <c r="AT370">
        <v>999</v>
      </c>
      <c r="AU370">
        <v>-3.4636075143182863</v>
      </c>
      <c r="AV370">
        <v>999</v>
      </c>
      <c r="AW370">
        <v>999</v>
      </c>
      <c r="AX370">
        <v>999</v>
      </c>
      <c r="AY370">
        <v>999</v>
      </c>
      <c r="AZ370">
        <v>9.9128167345984917</v>
      </c>
      <c r="BJ370" t="b">
        <f t="shared" si="107"/>
        <v>1</v>
      </c>
      <c r="BK370" t="b">
        <f t="shared" ca="1" si="108"/>
        <v>1</v>
      </c>
    </row>
    <row r="371" spans="1:63" x14ac:dyDescent="0.45">
      <c r="A371" s="1">
        <v>44698</v>
      </c>
      <c r="B371">
        <v>253.87</v>
      </c>
      <c r="C371" s="1">
        <v>44698</v>
      </c>
      <c r="D371">
        <v>408.32</v>
      </c>
      <c r="E371">
        <f t="shared" si="109"/>
        <v>5.1408739444290336E-2</v>
      </c>
      <c r="F371" s="4">
        <f t="shared" si="110"/>
        <v>2.0570371666375112E-2</v>
      </c>
      <c r="G371">
        <f t="shared" ca="1" si="111"/>
        <v>1.0966983490345416E-3</v>
      </c>
      <c r="H371">
        <f t="shared" ca="1" si="112"/>
        <v>3.8583860552289989E-2</v>
      </c>
      <c r="I371">
        <f t="shared" ca="1" si="113"/>
        <v>-7.4461431689975113E-2</v>
      </c>
      <c r="J371">
        <f t="shared" ca="1" si="114"/>
        <v>1.6554016059129326</v>
      </c>
      <c r="K371">
        <f t="shared" ca="1" si="115"/>
        <v>0.9540956975412358</v>
      </c>
      <c r="L371">
        <f t="shared" ca="1" si="116"/>
        <v>1.1207333277878901</v>
      </c>
      <c r="M371">
        <f t="shared" ca="1" si="117"/>
        <v>-2.7603358839626858E-4</v>
      </c>
      <c r="N371">
        <f t="shared" ca="1" si="118"/>
        <v>1.1849797425775469E-2</v>
      </c>
      <c r="O371">
        <f t="shared" ca="1" si="119"/>
        <v>-0.31211944060002211</v>
      </c>
      <c r="P371">
        <f t="shared" ca="1" si="120"/>
        <v>0.56354123321985528</v>
      </c>
      <c r="Q371">
        <f t="shared" ca="1" si="121"/>
        <v>0.93741599487539606</v>
      </c>
      <c r="R371">
        <f t="shared" ca="1" si="122"/>
        <v>1.009177591420884</v>
      </c>
      <c r="T371">
        <f t="shared" si="123"/>
        <v>1.0514087394442904</v>
      </c>
      <c r="U371" s="6">
        <f t="shared" ca="1" si="124"/>
        <v>0.95196490175491222</v>
      </c>
      <c r="V371">
        <f t="shared" ca="1" si="125"/>
        <v>0.91538267057221312</v>
      </c>
      <c r="W371">
        <v>0.98139041667724591</v>
      </c>
      <c r="X371" t="b">
        <f t="shared" ca="1" si="126"/>
        <v>1</v>
      </c>
      <c r="AS371">
        <v>0.17499975044402141</v>
      </c>
      <c r="AT371">
        <v>999</v>
      </c>
      <c r="AU371">
        <v>-3.4583471774991534</v>
      </c>
      <c r="AV371">
        <v>999</v>
      </c>
      <c r="AW371">
        <v>999</v>
      </c>
      <c r="AX371">
        <v>999</v>
      </c>
      <c r="AY371">
        <v>999</v>
      </c>
      <c r="AZ371">
        <v>9.9032791787811476</v>
      </c>
      <c r="BJ371" t="b">
        <f t="shared" si="107"/>
        <v>1</v>
      </c>
      <c r="BK371" t="b">
        <f t="shared" ca="1" si="108"/>
        <v>1</v>
      </c>
    </row>
    <row r="372" spans="1:63" x14ac:dyDescent="0.45">
      <c r="A372" s="1">
        <v>44697</v>
      </c>
      <c r="B372">
        <v>241.45699999999999</v>
      </c>
      <c r="C372" s="1">
        <v>44697</v>
      </c>
      <c r="D372">
        <v>400.09</v>
      </c>
      <c r="E372">
        <f t="shared" si="109"/>
        <v>-5.8757260359412082E-2</v>
      </c>
      <c r="F372" s="4">
        <f t="shared" si="110"/>
        <v>-4.0575525241463017E-3</v>
      </c>
      <c r="G372">
        <f t="shared" ca="1" si="111"/>
        <v>1.0031439366074957E-3</v>
      </c>
      <c r="H372">
        <f t="shared" ca="1" si="112"/>
        <v>3.8483810208805855E-2</v>
      </c>
      <c r="I372">
        <f t="shared" ca="1" si="113"/>
        <v>-7.6208573142294816E-2</v>
      </c>
      <c r="J372">
        <f t="shared" ca="1" si="114"/>
        <v>1.6909138428375687</v>
      </c>
      <c r="K372">
        <f t="shared" ca="1" si="115"/>
        <v>0.9540956975412358</v>
      </c>
      <c r="L372">
        <f t="shared" ca="1" si="116"/>
        <v>1.1207333277878901</v>
      </c>
      <c r="M372">
        <f t="shared" ca="1" si="117"/>
        <v>-3.8937551536968038E-4</v>
      </c>
      <c r="N372">
        <f t="shared" ca="1" si="118"/>
        <v>1.1757452427297612E-2</v>
      </c>
      <c r="O372">
        <f t="shared" ca="1" si="119"/>
        <v>-0.31862962971961928</v>
      </c>
      <c r="P372">
        <f t="shared" ca="1" si="120"/>
        <v>0.61398739140153413</v>
      </c>
      <c r="Q372">
        <f t="shared" ca="1" si="121"/>
        <v>0.91337539152748892</v>
      </c>
      <c r="R372">
        <f t="shared" ca="1" si="122"/>
        <v>0.94917102561884603</v>
      </c>
      <c r="T372">
        <f t="shared" si="123"/>
        <v>0.94124273964058791</v>
      </c>
      <c r="U372" s="6">
        <f t="shared" ca="1" si="124"/>
        <v>0.92029195411060705</v>
      </c>
      <c r="V372">
        <f t="shared" ca="1" si="125"/>
        <v>0.91661857596191421</v>
      </c>
      <c r="W372">
        <v>0.98183615113904876</v>
      </c>
      <c r="X372" t="b">
        <f t="shared" ca="1" si="126"/>
        <v>1</v>
      </c>
      <c r="AS372">
        <v>0.15499602202473192</v>
      </c>
      <c r="AT372">
        <v>999</v>
      </c>
      <c r="AU372">
        <v>-3.3730266895366641</v>
      </c>
      <c r="AV372">
        <v>999</v>
      </c>
      <c r="AW372">
        <v>999</v>
      </c>
      <c r="AX372">
        <v>999</v>
      </c>
      <c r="AY372">
        <v>999</v>
      </c>
      <c r="AZ372">
        <v>9.7835845144418148</v>
      </c>
      <c r="BJ372" t="b">
        <f t="shared" si="107"/>
        <v>1</v>
      </c>
      <c r="BK372" t="b">
        <f t="shared" ca="1" si="108"/>
        <v>1</v>
      </c>
    </row>
    <row r="373" spans="1:63" x14ac:dyDescent="0.45">
      <c r="A373" s="1">
        <v>44694</v>
      </c>
      <c r="B373">
        <v>256.52999999999997</v>
      </c>
      <c r="C373" s="1">
        <v>44694</v>
      </c>
      <c r="D373">
        <v>401.72</v>
      </c>
      <c r="E373">
        <f t="shared" si="109"/>
        <v>5.7127668780674636E-2</v>
      </c>
      <c r="F373" s="4">
        <f t="shared" si="110"/>
        <v>2.3907835041035972E-2</v>
      </c>
      <c r="G373">
        <f t="shared" ca="1" si="111"/>
        <v>1.3696549342408235E-3</v>
      </c>
      <c r="H373">
        <f t="shared" ca="1" si="112"/>
        <v>3.8260212892378707E-2</v>
      </c>
      <c r="I373">
        <f t="shared" ca="1" si="113"/>
        <v>-8.7014527450928789E-2</v>
      </c>
      <c r="J373">
        <f t="shared" ca="1" si="114"/>
        <v>1.7747056147068712</v>
      </c>
      <c r="K373">
        <f t="shared" ca="1" si="115"/>
        <v>1.0430771221559527</v>
      </c>
      <c r="L373">
        <f t="shared" ca="1" si="116"/>
        <v>1.1757545680473598</v>
      </c>
      <c r="M373">
        <f t="shared" ca="1" si="117"/>
        <v>-3.9337006297248198E-4</v>
      </c>
      <c r="N373">
        <f t="shared" ca="1" si="118"/>
        <v>1.1758840569589528E-2</v>
      </c>
      <c r="O373">
        <f t="shared" ca="1" si="119"/>
        <v>-0.31761158545236767</v>
      </c>
      <c r="P373">
        <f t="shared" ca="1" si="120"/>
        <v>0.61187731626223396</v>
      </c>
      <c r="Q373">
        <f t="shared" ca="1" si="121"/>
        <v>0.91337539152748892</v>
      </c>
      <c r="R373">
        <f t="shared" ca="1" si="122"/>
        <v>0.94917102561884603</v>
      </c>
      <c r="T373">
        <f t="shared" si="123"/>
        <v>1.0571276687806745</v>
      </c>
      <c r="U373" s="6">
        <f t="shared" ca="1" si="124"/>
        <v>0.88903136371512714</v>
      </c>
      <c r="V373">
        <f t="shared" ca="1" si="125"/>
        <v>0.85280973425836082</v>
      </c>
      <c r="W373">
        <v>0.96928585031370584</v>
      </c>
      <c r="X373" t="b">
        <f t="shared" ca="1" si="126"/>
        <v>1</v>
      </c>
      <c r="AS373">
        <v>0.1341606494210926</v>
      </c>
      <c r="AT373">
        <v>999</v>
      </c>
      <c r="AU373">
        <v>-3.1919826113744736</v>
      </c>
      <c r="AV373">
        <v>999</v>
      </c>
      <c r="AW373">
        <v>999</v>
      </c>
      <c r="AX373">
        <v>999</v>
      </c>
      <c r="AY373">
        <v>999</v>
      </c>
      <c r="AZ373">
        <v>9.5554102431250918</v>
      </c>
      <c r="BJ373" t="b">
        <f t="shared" si="107"/>
        <v>1</v>
      </c>
      <c r="BK373" t="b">
        <f t="shared" ca="1" si="108"/>
        <v>1</v>
      </c>
    </row>
    <row r="374" spans="1:63" x14ac:dyDescent="0.45">
      <c r="A374" s="1">
        <v>44693</v>
      </c>
      <c r="B374">
        <v>242.667</v>
      </c>
      <c r="C374" s="1">
        <v>44693</v>
      </c>
      <c r="D374">
        <v>392.34</v>
      </c>
      <c r="E374">
        <f t="shared" si="109"/>
        <v>-8.1743757842291775E-3</v>
      </c>
      <c r="F374" s="4">
        <f t="shared" si="110"/>
        <v>-1.0439210693826226E-3</v>
      </c>
      <c r="G374">
        <f t="shared" ca="1" si="111"/>
        <v>1.3187147262921945E-3</v>
      </c>
      <c r="H374">
        <f t="shared" ca="1" si="112"/>
        <v>3.8192324829852145E-2</v>
      </c>
      <c r="I374">
        <f t="shared" ca="1" si="113"/>
        <v>-9.0609849339094425E-2</v>
      </c>
      <c r="J374">
        <f t="shared" ca="1" si="114"/>
        <v>1.7955367087526835</v>
      </c>
      <c r="K374">
        <f t="shared" ca="1" si="115"/>
        <v>0.99234213586357045</v>
      </c>
      <c r="L374">
        <f t="shared" ca="1" si="116"/>
        <v>1.1757545680473598</v>
      </c>
      <c r="M374">
        <f t="shared" ca="1" si="117"/>
        <v>-4.9217227853497604E-4</v>
      </c>
      <c r="N374">
        <f t="shared" ca="1" si="118"/>
        <v>1.1636002342206745E-2</v>
      </c>
      <c r="O374">
        <f t="shared" ca="1" si="119"/>
        <v>-0.34798054531365019</v>
      </c>
      <c r="P374">
        <f t="shared" ca="1" si="120"/>
        <v>0.65788365670719084</v>
      </c>
      <c r="Q374">
        <f t="shared" ca="1" si="121"/>
        <v>0.90026936402149227</v>
      </c>
      <c r="R374">
        <f t="shared" ca="1" si="122"/>
        <v>0.92129451283576136</v>
      </c>
      <c r="T374">
        <f t="shared" si="123"/>
        <v>0.99182562421577081</v>
      </c>
      <c r="U374" s="6">
        <f t="shared" ca="1" si="124"/>
        <v>0.8336407952097783</v>
      </c>
      <c r="V374">
        <f t="shared" ca="1" si="125"/>
        <v>0.84875420290421333</v>
      </c>
      <c r="W374">
        <v>0.97106874568768364</v>
      </c>
      <c r="X374" t="b">
        <f t="shared" ca="1" si="126"/>
        <v>1</v>
      </c>
      <c r="AS374">
        <v>0.13098938673989349</v>
      </c>
      <c r="AT374">
        <v>999</v>
      </c>
      <c r="AU374">
        <v>-3.0503196099341179</v>
      </c>
      <c r="AV374">
        <v>999</v>
      </c>
      <c r="AW374">
        <v>999</v>
      </c>
      <c r="AX374">
        <v>999</v>
      </c>
      <c r="AY374">
        <v>999</v>
      </c>
      <c r="AZ374">
        <v>9.4631566046321254</v>
      </c>
      <c r="BJ374" t="b">
        <f t="shared" si="107"/>
        <v>1</v>
      </c>
      <c r="BK374" t="b">
        <f t="shared" ca="1" si="108"/>
        <v>1</v>
      </c>
    </row>
    <row r="375" spans="1:63" x14ac:dyDescent="0.45">
      <c r="A375" s="1">
        <v>44692</v>
      </c>
      <c r="B375">
        <v>244.667</v>
      </c>
      <c r="C375" s="1">
        <v>44692</v>
      </c>
      <c r="D375">
        <v>392.75</v>
      </c>
      <c r="E375">
        <f t="shared" si="109"/>
        <v>-8.254462276886157E-2</v>
      </c>
      <c r="F375" s="4">
        <f t="shared" si="110"/>
        <v>-1.5886140970708298E-2</v>
      </c>
      <c r="G375">
        <f t="shared" ca="1" si="111"/>
        <v>1.3766389066924469E-3</v>
      </c>
      <c r="H375">
        <f t="shared" ca="1" si="112"/>
        <v>3.8186639452069696E-2</v>
      </c>
      <c r="I375">
        <f t="shared" ca="1" si="113"/>
        <v>-9.5168089399167946E-2</v>
      </c>
      <c r="J375">
        <f t="shared" ca="1" si="114"/>
        <v>1.7989757132874162</v>
      </c>
      <c r="K375">
        <f t="shared" ca="1" si="115"/>
        <v>0.99234213586357045</v>
      </c>
      <c r="L375">
        <f t="shared" ca="1" si="116"/>
        <v>1.1757545680473598</v>
      </c>
      <c r="M375">
        <f t="shared" ca="1" si="117"/>
        <v>-4.8900274038471013E-4</v>
      </c>
      <c r="N375">
        <f t="shared" ca="1" si="118"/>
        <v>1.1635937630840365E-2</v>
      </c>
      <c r="O375">
        <f t="shared" ca="1" si="119"/>
        <v>-0.34881123890187049</v>
      </c>
      <c r="P375">
        <f t="shared" ca="1" si="120"/>
        <v>0.65835333190973211</v>
      </c>
      <c r="Q375">
        <f t="shared" ca="1" si="121"/>
        <v>0.90026936402149227</v>
      </c>
      <c r="R375">
        <f t="shared" ca="1" si="122"/>
        <v>0.92129451283576136</v>
      </c>
      <c r="T375">
        <f t="shared" si="123"/>
        <v>0.91745537723113846</v>
      </c>
      <c r="U375" s="6">
        <f t="shared" ca="1" si="124"/>
        <v>0.77050765257920262</v>
      </c>
      <c r="V375">
        <f t="shared" ca="1" si="125"/>
        <v>0.82767108510699494</v>
      </c>
      <c r="W375">
        <v>0.99689505953781488</v>
      </c>
      <c r="X375" t="b">
        <f t="shared" ca="1" si="126"/>
        <v>1</v>
      </c>
      <c r="AS375">
        <v>3.8682766853204188E-2</v>
      </c>
      <c r="AT375">
        <v>999</v>
      </c>
      <c r="AU375">
        <v>999</v>
      </c>
      <c r="AV375">
        <v>999</v>
      </c>
      <c r="AW375">
        <v>999</v>
      </c>
      <c r="AX375">
        <v>999</v>
      </c>
      <c r="AY375">
        <v>999</v>
      </c>
      <c r="AZ375">
        <v>108.75838627158549</v>
      </c>
      <c r="BJ375" t="b">
        <f t="shared" si="107"/>
        <v>1</v>
      </c>
      <c r="BK375" t="b">
        <f t="shared" ca="1" si="108"/>
        <v>1</v>
      </c>
    </row>
    <row r="376" spans="1:63" x14ac:dyDescent="0.45">
      <c r="A376" s="1">
        <v>44691</v>
      </c>
      <c r="B376">
        <v>266.68</v>
      </c>
      <c r="C376" s="1">
        <v>44691</v>
      </c>
      <c r="D376">
        <v>399.09</v>
      </c>
      <c r="E376">
        <f t="shared" si="109"/>
        <v>1.6427182985859674E-2</v>
      </c>
      <c r="F376" s="4">
        <f t="shared" si="110"/>
        <v>2.3105708616921392E-3</v>
      </c>
      <c r="G376">
        <f t="shared" ca="1" si="111"/>
        <v>1.6917374008850092E-3</v>
      </c>
      <c r="H376">
        <f t="shared" ca="1" si="112"/>
        <v>3.7748167571848353E-2</v>
      </c>
      <c r="I376">
        <f t="shared" ca="1" si="113"/>
        <v>-6.8905431942081888E-2</v>
      </c>
      <c r="J376">
        <f t="shared" ca="1" si="114"/>
        <v>1.9039157669728537</v>
      </c>
      <c r="K376">
        <f t="shared" ca="1" si="115"/>
        <v>1.0156015196426049</v>
      </c>
      <c r="L376">
        <f t="shared" ca="1" si="116"/>
        <v>1.1757545680473598</v>
      </c>
      <c r="M376">
        <f t="shared" ca="1" si="117"/>
        <v>-4.3236011770431224E-4</v>
      </c>
      <c r="N376">
        <f t="shared" ca="1" si="118"/>
        <v>1.1588083885552358E-2</v>
      </c>
      <c r="O376">
        <f t="shared" ca="1" si="119"/>
        <v>-0.35627552586432137</v>
      </c>
      <c r="P376">
        <f t="shared" ca="1" si="120"/>
        <v>0.71081531205608606</v>
      </c>
      <c r="Q376">
        <f t="shared" ca="1" si="121"/>
        <v>0.90026936402149227</v>
      </c>
      <c r="R376">
        <f t="shared" ca="1" si="122"/>
        <v>0.94631355130518202</v>
      </c>
      <c r="T376">
        <f t="shared" si="123"/>
        <v>1.0164271829858598</v>
      </c>
      <c r="U376" s="6">
        <f t="shared" ca="1" si="124"/>
        <v>0.87989098695736789</v>
      </c>
      <c r="V376">
        <f t="shared" ca="1" si="125"/>
        <v>0.84677570008866099</v>
      </c>
      <c r="W376">
        <v>0.99722642582450538</v>
      </c>
      <c r="X376" t="b">
        <f t="shared" ca="1" si="126"/>
        <v>1</v>
      </c>
      <c r="AS376">
        <v>4.0513086116410066E-2</v>
      </c>
      <c r="AT376">
        <v>999</v>
      </c>
      <c r="AU376">
        <v>999</v>
      </c>
      <c r="AV376">
        <v>999</v>
      </c>
      <c r="AW376">
        <v>999</v>
      </c>
      <c r="AX376">
        <v>999</v>
      </c>
      <c r="AY376">
        <v>999</v>
      </c>
      <c r="AZ376">
        <v>109.34764867782215</v>
      </c>
      <c r="BJ376" t="b">
        <f t="shared" si="107"/>
        <v>1</v>
      </c>
      <c r="BK376" t="b">
        <f t="shared" ca="1" si="108"/>
        <v>1</v>
      </c>
    </row>
    <row r="377" spans="1:63" x14ac:dyDescent="0.45">
      <c r="A377" s="1">
        <v>44690</v>
      </c>
      <c r="B377">
        <v>262.37</v>
      </c>
      <c r="C377" s="1">
        <v>44690</v>
      </c>
      <c r="D377">
        <v>398.17</v>
      </c>
      <c r="E377">
        <f t="shared" si="109"/>
        <v>-9.0729509617050785E-2</v>
      </c>
      <c r="F377" s="4">
        <f t="shared" si="110"/>
        <v>-3.201730928185919E-2</v>
      </c>
      <c r="G377">
        <f t="shared" ca="1" si="111"/>
        <v>1.7202748049895632E-3</v>
      </c>
      <c r="H377">
        <f t="shared" ca="1" si="112"/>
        <v>3.7761518516797821E-2</v>
      </c>
      <c r="I377">
        <f t="shared" ca="1" si="113"/>
        <v>-7.0618704431623325E-2</v>
      </c>
      <c r="J377">
        <f t="shared" ca="1" si="114"/>
        <v>1.8974584971157471</v>
      </c>
      <c r="K377">
        <f t="shared" ca="1" si="115"/>
        <v>1.0156015196426049</v>
      </c>
      <c r="L377">
        <f t="shared" ca="1" si="116"/>
        <v>1.1825923702493693</v>
      </c>
      <c r="M377">
        <f t="shared" ca="1" si="117"/>
        <v>-4.3163857095808374E-4</v>
      </c>
      <c r="N377">
        <f t="shared" ca="1" si="118"/>
        <v>1.1588260027345365E-2</v>
      </c>
      <c r="O377">
        <f t="shared" ca="1" si="119"/>
        <v>-0.35643676960243909</v>
      </c>
      <c r="P377">
        <f t="shared" ca="1" si="120"/>
        <v>0.71068117089082827</v>
      </c>
      <c r="Q377">
        <f t="shared" ca="1" si="121"/>
        <v>0.90026936402149227</v>
      </c>
      <c r="R377">
        <f t="shared" ca="1" si="122"/>
        <v>0.94631355130518202</v>
      </c>
      <c r="T377">
        <f t="shared" si="123"/>
        <v>0.90927049038294916</v>
      </c>
      <c r="U377" s="6">
        <f t="shared" ca="1" si="124"/>
        <v>0.87171905109974046</v>
      </c>
      <c r="V377">
        <f t="shared" ca="1" si="125"/>
        <v>0.84475042488303986</v>
      </c>
      <c r="W377">
        <v>0.99762271200804231</v>
      </c>
      <c r="X377" t="b">
        <f t="shared" ca="1" si="126"/>
        <v>1</v>
      </c>
      <c r="AS377">
        <v>6.3322792928991845E-2</v>
      </c>
      <c r="AT377">
        <v>999</v>
      </c>
      <c r="AU377">
        <v>999</v>
      </c>
      <c r="AV377">
        <v>999</v>
      </c>
      <c r="AW377">
        <v>999</v>
      </c>
      <c r="AX377">
        <v>999</v>
      </c>
      <c r="AY377">
        <v>999</v>
      </c>
      <c r="AZ377">
        <v>111.29588002955381</v>
      </c>
      <c r="BJ377" t="b">
        <f t="shared" si="107"/>
        <v>1</v>
      </c>
      <c r="BK377" t="b">
        <f t="shared" ca="1" si="108"/>
        <v>1</v>
      </c>
    </row>
    <row r="378" spans="1:63" x14ac:dyDescent="0.45">
      <c r="A378" s="1">
        <v>44687</v>
      </c>
      <c r="B378">
        <v>288.55</v>
      </c>
      <c r="C378" s="1">
        <v>44687</v>
      </c>
      <c r="D378">
        <v>411.34</v>
      </c>
      <c r="E378">
        <f t="shared" si="109"/>
        <v>-8.7360396849117169E-3</v>
      </c>
      <c r="F378" s="4">
        <f t="shared" si="110"/>
        <v>-5.9689229356468601E-3</v>
      </c>
      <c r="G378">
        <f t="shared" ca="1" si="111"/>
        <v>2.1286400316627486E-3</v>
      </c>
      <c r="H378">
        <f t="shared" ca="1" si="112"/>
        <v>3.719406845320266E-2</v>
      </c>
      <c r="I378">
        <f t="shared" ca="1" si="113"/>
        <v>-2.9347280794618368E-2</v>
      </c>
      <c r="J378">
        <f t="shared" ca="1" si="114"/>
        <v>2.00901939584665</v>
      </c>
      <c r="K378">
        <f t="shared" ca="1" si="115"/>
        <v>1.0416003324372332</v>
      </c>
      <c r="L378">
        <f t="shared" ca="1" si="116"/>
        <v>1.2023711303636664</v>
      </c>
      <c r="M378">
        <f t="shared" ca="1" si="117"/>
        <v>-2.2011216784553151E-4</v>
      </c>
      <c r="N378">
        <f t="shared" ca="1" si="118"/>
        <v>1.1393283104590819E-2</v>
      </c>
      <c r="O378">
        <f t="shared" ca="1" si="119"/>
        <v>-0.3189380489201345</v>
      </c>
      <c r="P378">
        <f t="shared" ca="1" si="120"/>
        <v>0.69467280308118085</v>
      </c>
      <c r="Q378">
        <f t="shared" ca="1" si="121"/>
        <v>0.90509625889767609</v>
      </c>
      <c r="R378">
        <f t="shared" ca="1" si="122"/>
        <v>0.99133943704103067</v>
      </c>
      <c r="T378">
        <f t="shared" si="123"/>
        <v>0.99126396031508823</v>
      </c>
      <c r="U378" s="6">
        <f t="shared" ca="1" si="124"/>
        <v>0.99413270491605576</v>
      </c>
      <c r="V378">
        <f t="shared" ca="1" si="125"/>
        <v>0.86039313499622716</v>
      </c>
      <c r="W378">
        <v>0.99725918936339264</v>
      </c>
      <c r="X378" t="b">
        <f t="shared" ca="1" si="126"/>
        <v>1</v>
      </c>
      <c r="AS378">
        <v>7.4348604103642218E-2</v>
      </c>
      <c r="AT378">
        <v>999</v>
      </c>
      <c r="AU378">
        <v>999</v>
      </c>
      <c r="AV378">
        <v>999</v>
      </c>
      <c r="AW378">
        <v>999</v>
      </c>
      <c r="AX378">
        <v>999</v>
      </c>
      <c r="AY378">
        <v>999</v>
      </c>
      <c r="AZ378">
        <v>111.80656121839429</v>
      </c>
      <c r="BJ378" t="b">
        <f t="shared" si="107"/>
        <v>1</v>
      </c>
      <c r="BK378" t="b">
        <f t="shared" ca="1" si="108"/>
        <v>1</v>
      </c>
    </row>
    <row r="379" spans="1:63" x14ac:dyDescent="0.45">
      <c r="A379" s="1">
        <v>44686</v>
      </c>
      <c r="B379">
        <v>291.09300000000002</v>
      </c>
      <c r="C379" s="1">
        <v>44686</v>
      </c>
      <c r="D379">
        <v>413.81</v>
      </c>
      <c r="E379">
        <f t="shared" si="109"/>
        <v>-8.3287144926623424E-2</v>
      </c>
      <c r="F379" s="4">
        <f t="shared" si="110"/>
        <v>-3.554281452477509E-2</v>
      </c>
      <c r="G379">
        <f t="shared" ca="1" si="111"/>
        <v>2.1263100666482188E-3</v>
      </c>
      <c r="H379">
        <f t="shared" ca="1" si="112"/>
        <v>3.7194767063546706E-2</v>
      </c>
      <c r="I379">
        <f t="shared" ca="1" si="113"/>
        <v>-2.9172788231574133E-2</v>
      </c>
      <c r="J379">
        <f t="shared" ca="1" si="114"/>
        <v>2.008639055214835</v>
      </c>
      <c r="K379">
        <f t="shared" ca="1" si="115"/>
        <v>1.0416003324372332</v>
      </c>
      <c r="L379">
        <f t="shared" ca="1" si="116"/>
        <v>1.2023711303636664</v>
      </c>
      <c r="M379">
        <f t="shared" ca="1" si="117"/>
        <v>-1.7979695139534984E-4</v>
      </c>
      <c r="N379">
        <f t="shared" ca="1" si="118"/>
        <v>1.1387102565798083E-2</v>
      </c>
      <c r="O379">
        <f t="shared" ca="1" si="119"/>
        <v>-0.32949052439194665</v>
      </c>
      <c r="P379">
        <f t="shared" ca="1" si="120"/>
        <v>0.70715593401786681</v>
      </c>
      <c r="Q379">
        <f t="shared" ca="1" si="121"/>
        <v>0.90509625889767609</v>
      </c>
      <c r="R379">
        <f t="shared" ca="1" si="122"/>
        <v>0.99133943704103067</v>
      </c>
      <c r="T379">
        <f t="shared" si="123"/>
        <v>0.91671285507337652</v>
      </c>
      <c r="U379" s="6">
        <f t="shared" ca="1" si="124"/>
        <v>0.99517953662013692</v>
      </c>
      <c r="V379">
        <f t="shared" ca="1" si="125"/>
        <v>0.87799974582828677</v>
      </c>
      <c r="W379">
        <v>0.99732770003609483</v>
      </c>
      <c r="X379" t="b">
        <f t="shared" ca="1" si="126"/>
        <v>1</v>
      </c>
      <c r="AS379">
        <v>0.10301019868853671</v>
      </c>
      <c r="AT379">
        <v>999</v>
      </c>
      <c r="AU379">
        <v>999</v>
      </c>
      <c r="AV379">
        <v>999</v>
      </c>
      <c r="AW379">
        <v>999</v>
      </c>
      <c r="AX379">
        <v>999</v>
      </c>
      <c r="AY379">
        <v>999</v>
      </c>
      <c r="AZ379">
        <v>113.58532371104242</v>
      </c>
      <c r="BJ379" t="b">
        <f t="shared" si="107"/>
        <v>1</v>
      </c>
      <c r="BK379" t="b">
        <f t="shared" ca="1" si="108"/>
        <v>1</v>
      </c>
    </row>
    <row r="380" spans="1:63" x14ac:dyDescent="0.45">
      <c r="A380" s="1">
        <v>44685</v>
      </c>
      <c r="B380">
        <v>317.54000000000002</v>
      </c>
      <c r="C380" s="1">
        <v>44685</v>
      </c>
      <c r="D380">
        <v>429.06</v>
      </c>
      <c r="E380">
        <f t="shared" si="109"/>
        <v>4.7699805003909794E-2</v>
      </c>
      <c r="F380" s="4">
        <f t="shared" si="110"/>
        <v>3.0452951630721953E-2</v>
      </c>
      <c r="G380">
        <f t="shared" ca="1" si="111"/>
        <v>2.5032984626626054E-3</v>
      </c>
      <c r="H380">
        <f t="shared" ca="1" si="112"/>
        <v>3.6703560690579146E-2</v>
      </c>
      <c r="I380">
        <f t="shared" ca="1" si="113"/>
        <v>2.3796867275760088E-3</v>
      </c>
      <c r="J380">
        <f t="shared" ca="1" si="114"/>
        <v>2.1320849200598015</v>
      </c>
      <c r="K380">
        <f t="shared" ca="1" si="115"/>
        <v>1.0485891242269276</v>
      </c>
      <c r="L380">
        <f t="shared" ca="1" si="116"/>
        <v>1.2750028381524332</v>
      </c>
      <c r="M380">
        <f t="shared" ca="1" si="117"/>
        <v>3.8398724717599267E-5</v>
      </c>
      <c r="N380">
        <f t="shared" ca="1" si="118"/>
        <v>1.1121075131675661E-2</v>
      </c>
      <c r="O380">
        <f t="shared" ca="1" si="119"/>
        <v>-0.24787651097946259</v>
      </c>
      <c r="P380">
        <f t="shared" ca="1" si="120"/>
        <v>0.56891557594066411</v>
      </c>
      <c r="Q380">
        <f t="shared" ca="1" si="121"/>
        <v>0.91294545175533759</v>
      </c>
      <c r="R380">
        <f t="shared" ca="1" si="122"/>
        <v>1.0953668809434178</v>
      </c>
      <c r="T380">
        <f t="shared" si="123"/>
        <v>1.0476998050039097</v>
      </c>
      <c r="U380" s="6">
        <f t="shared" ca="1" si="124"/>
        <v>1.0806671726161101</v>
      </c>
      <c r="V380">
        <f t="shared" ca="1" si="125"/>
        <v>0.88235495854580781</v>
      </c>
      <c r="W380">
        <v>0.99577606173703459</v>
      </c>
      <c r="X380" t="b">
        <f t="shared" ca="1" si="126"/>
        <v>0</v>
      </c>
      <c r="AS380">
        <v>9.3740136569079632E-2</v>
      </c>
      <c r="AT380">
        <v>999</v>
      </c>
      <c r="AU380">
        <v>999</v>
      </c>
      <c r="AV380">
        <v>999</v>
      </c>
      <c r="AW380">
        <v>999</v>
      </c>
      <c r="AX380">
        <v>999</v>
      </c>
      <c r="AY380">
        <v>999</v>
      </c>
      <c r="AZ380">
        <v>112.97045791652202</v>
      </c>
      <c r="BJ380" t="b">
        <f t="shared" si="107"/>
        <v>1</v>
      </c>
      <c r="BK380" t="b">
        <f t="shared" ca="1" si="108"/>
        <v>0</v>
      </c>
    </row>
    <row r="381" spans="1:63" x14ac:dyDescent="0.45">
      <c r="A381" s="1">
        <v>44684</v>
      </c>
      <c r="B381">
        <v>303.08300000000003</v>
      </c>
      <c r="C381" s="1">
        <v>44684</v>
      </c>
      <c r="D381">
        <v>416.38</v>
      </c>
      <c r="E381">
        <f t="shared" si="109"/>
        <v>6.9871752275899018E-3</v>
      </c>
      <c r="F381" s="4">
        <f t="shared" si="110"/>
        <v>4.5840571318277777E-3</v>
      </c>
      <c r="G381">
        <f t="shared" ca="1" si="111"/>
        <v>2.3752879547293167E-3</v>
      </c>
      <c r="H381">
        <f t="shared" ca="1" si="112"/>
        <v>3.6589606486874503E-2</v>
      </c>
      <c r="I381">
        <f t="shared" ca="1" si="113"/>
        <v>4.2167276075770971E-3</v>
      </c>
      <c r="J381">
        <f t="shared" ca="1" si="114"/>
        <v>2.1852438688248483</v>
      </c>
      <c r="K381">
        <f t="shared" ca="1" si="115"/>
        <v>1.0485891242269276</v>
      </c>
      <c r="L381">
        <f t="shared" ca="1" si="116"/>
        <v>1.2750028381524332</v>
      </c>
      <c r="M381">
        <f t="shared" ca="1" si="117"/>
        <v>-4.221391681601419E-5</v>
      </c>
      <c r="N381">
        <f t="shared" ca="1" si="118"/>
        <v>1.0956721936662273E-2</v>
      </c>
      <c r="O381">
        <f t="shared" ca="1" si="119"/>
        <v>-0.33420936667211254</v>
      </c>
      <c r="P381">
        <f t="shared" ca="1" si="120"/>
        <v>0.48785171257279147</v>
      </c>
      <c r="Q381">
        <f t="shared" ca="1" si="121"/>
        <v>0.86650200290919699</v>
      </c>
      <c r="R381">
        <f t="shared" ca="1" si="122"/>
        <v>1.0953668809434178</v>
      </c>
      <c r="T381">
        <f t="shared" si="123"/>
        <v>1.0069871752275898</v>
      </c>
      <c r="U381" s="6">
        <f t="shared" ca="1" si="124"/>
        <v>1.0374580680495651</v>
      </c>
      <c r="V381">
        <f t="shared" ca="1" si="125"/>
        <v>0.89252670281152813</v>
      </c>
      <c r="W381">
        <v>0.99516367283736085</v>
      </c>
      <c r="X381" t="b">
        <f t="shared" ca="1" si="126"/>
        <v>0</v>
      </c>
      <c r="AS381">
        <v>6.8726847126110061E-2</v>
      </c>
      <c r="AT381">
        <v>999</v>
      </c>
      <c r="AU381">
        <v>999</v>
      </c>
      <c r="AV381">
        <v>999</v>
      </c>
      <c r="AW381">
        <v>999</v>
      </c>
      <c r="AX381">
        <v>999</v>
      </c>
      <c r="AY381">
        <v>999</v>
      </c>
      <c r="AZ381">
        <v>111.4718254555146</v>
      </c>
      <c r="BJ381" t="b">
        <f t="shared" si="107"/>
        <v>1</v>
      </c>
      <c r="BK381" t="b">
        <f t="shared" ca="1" si="108"/>
        <v>0</v>
      </c>
    </row>
    <row r="382" spans="1:63" x14ac:dyDescent="0.45">
      <c r="A382" s="1">
        <v>44683</v>
      </c>
      <c r="B382">
        <v>300.98</v>
      </c>
      <c r="C382" s="1">
        <v>44683</v>
      </c>
      <c r="D382">
        <v>414.48</v>
      </c>
      <c r="E382">
        <f t="shared" si="109"/>
        <v>3.6957413015541729E-2</v>
      </c>
      <c r="F382" s="4">
        <f t="shared" si="110"/>
        <v>6.0194174757281999E-3</v>
      </c>
      <c r="G382">
        <f t="shared" ca="1" si="111"/>
        <v>2.3558824874579032E-3</v>
      </c>
      <c r="H382">
        <f t="shared" ca="1" si="112"/>
        <v>3.6588177410001088E-2</v>
      </c>
      <c r="I382">
        <f t="shared" ca="1" si="113"/>
        <v>5.8142949172894252E-3</v>
      </c>
      <c r="J382">
        <f t="shared" ca="1" si="114"/>
        <v>2.1860707158148029</v>
      </c>
      <c r="K382">
        <f t="shared" ca="1" si="115"/>
        <v>1.0485891242269276</v>
      </c>
      <c r="L382">
        <f t="shared" ca="1" si="116"/>
        <v>1.2750028381524332</v>
      </c>
      <c r="M382">
        <f t="shared" ca="1" si="117"/>
        <v>-1.3897386492240984E-4</v>
      </c>
      <c r="N382">
        <f t="shared" ca="1" si="118"/>
        <v>1.1001021713633506E-2</v>
      </c>
      <c r="O382">
        <f t="shared" ca="1" si="119"/>
        <v>-0.31608603212356845</v>
      </c>
      <c r="P382">
        <f t="shared" ca="1" si="120"/>
        <v>0.43591717273404207</v>
      </c>
      <c r="Q382">
        <f t="shared" ca="1" si="121"/>
        <v>0.86650200290919699</v>
      </c>
      <c r="R382">
        <f t="shared" ca="1" si="122"/>
        <v>1.054011888638648</v>
      </c>
      <c r="T382">
        <f t="shared" si="123"/>
        <v>1.0369574130155417</v>
      </c>
      <c r="U382" s="6">
        <f t="shared" ca="1" si="124"/>
        <v>0.90473227463605399</v>
      </c>
      <c r="V382">
        <f t="shared" ca="1" si="125"/>
        <v>0.68129197355026727</v>
      </c>
      <c r="W382">
        <v>0.99530384861689347</v>
      </c>
      <c r="X382" t="b">
        <f t="shared" ca="1" si="126"/>
        <v>1</v>
      </c>
      <c r="AS382">
        <v>4.8189825951624632E-2</v>
      </c>
      <c r="AT382">
        <v>999</v>
      </c>
      <c r="AU382">
        <v>999</v>
      </c>
      <c r="AV382">
        <v>999</v>
      </c>
      <c r="AW382">
        <v>999</v>
      </c>
      <c r="AX382">
        <v>999</v>
      </c>
      <c r="AY382">
        <v>999</v>
      </c>
      <c r="AZ382">
        <v>110.44071543266237</v>
      </c>
      <c r="BJ382" t="b">
        <f t="shared" si="107"/>
        <v>1</v>
      </c>
      <c r="BK382" t="b">
        <f t="shared" ca="1" si="108"/>
        <v>1</v>
      </c>
    </row>
    <row r="383" spans="1:63" x14ac:dyDescent="0.45">
      <c r="A383" s="1">
        <v>44680</v>
      </c>
      <c r="B383">
        <v>290.25299999999999</v>
      </c>
      <c r="C383" s="1">
        <v>44680</v>
      </c>
      <c r="D383">
        <v>412</v>
      </c>
      <c r="E383">
        <f t="shared" si="109"/>
        <v>-7.692228797653358E-3</v>
      </c>
      <c r="F383" s="4">
        <f t="shared" si="110"/>
        <v>-3.6955657885509925E-2</v>
      </c>
      <c r="G383">
        <f t="shared" ca="1" si="111"/>
        <v>2.12205614946177E-3</v>
      </c>
      <c r="H383">
        <f t="shared" ca="1" si="112"/>
        <v>3.6515296316022544E-2</v>
      </c>
      <c r="I383">
        <f t="shared" ca="1" si="113"/>
        <v>2.0747519596480486E-2</v>
      </c>
      <c r="J383">
        <f t="shared" ca="1" si="114"/>
        <v>2.2241416972927466</v>
      </c>
      <c r="K383">
        <f t="shared" ca="1" si="115"/>
        <v>1.0485891242269276</v>
      </c>
      <c r="L383">
        <f t="shared" ca="1" si="116"/>
        <v>1.2676307144743069</v>
      </c>
      <c r="M383">
        <f t="shared" ca="1" si="117"/>
        <v>-2.0828889364665203E-4</v>
      </c>
      <c r="N383">
        <f t="shared" ca="1" si="118"/>
        <v>1.1005696938334522E-2</v>
      </c>
      <c r="O383">
        <f t="shared" ca="1" si="119"/>
        <v>-0.29922874327123189</v>
      </c>
      <c r="P383">
        <f t="shared" ca="1" si="120"/>
        <v>0.4228043560570458</v>
      </c>
      <c r="Q383">
        <f t="shared" ca="1" si="121"/>
        <v>0.86650200290919699</v>
      </c>
      <c r="R383">
        <f t="shared" ca="1" si="122"/>
        <v>1.0365832175593928</v>
      </c>
      <c r="T383">
        <f t="shared" si="123"/>
        <v>0.99230777120234659</v>
      </c>
      <c r="U383" s="6">
        <f t="shared" ca="1" si="124"/>
        <v>0.86638289997224005</v>
      </c>
      <c r="V383">
        <f t="shared" ca="1" si="125"/>
        <v>0.67972114181418297</v>
      </c>
      <c r="W383">
        <v>0.995514417039842</v>
      </c>
      <c r="X383" t="b">
        <f t="shared" ca="1" si="126"/>
        <v>1</v>
      </c>
      <c r="AS383">
        <v>3.2355082148901572E-2</v>
      </c>
      <c r="AT383">
        <v>999</v>
      </c>
      <c r="AU383">
        <v>999</v>
      </c>
      <c r="AV383">
        <v>999</v>
      </c>
      <c r="AW383">
        <v>999</v>
      </c>
      <c r="AX383">
        <v>999</v>
      </c>
      <c r="AY383">
        <v>999</v>
      </c>
      <c r="AZ383">
        <v>109.90263074056854</v>
      </c>
      <c r="BJ383" t="b">
        <f t="shared" si="107"/>
        <v>1</v>
      </c>
      <c r="BK383" t="b">
        <f t="shared" ca="1" si="108"/>
        <v>1</v>
      </c>
    </row>
    <row r="384" spans="1:63" x14ac:dyDescent="0.45">
      <c r="A384" s="1">
        <v>44679</v>
      </c>
      <c r="B384">
        <v>292.50299999999999</v>
      </c>
      <c r="C384" s="1">
        <v>44679</v>
      </c>
      <c r="D384">
        <v>427.81</v>
      </c>
      <c r="E384">
        <f t="shared" si="109"/>
        <v>-4.5399320031173857E-3</v>
      </c>
      <c r="F384" s="4">
        <f t="shared" si="110"/>
        <v>2.525942435353613E-2</v>
      </c>
      <c r="G384">
        <f t="shared" ca="1" si="111"/>
        <v>2.1392585753094171E-3</v>
      </c>
      <c r="H384">
        <f t="shared" ca="1" si="112"/>
        <v>3.6511459761845347E-2</v>
      </c>
      <c r="I384">
        <f t="shared" ca="1" si="113"/>
        <v>1.9397908062382323E-2</v>
      </c>
      <c r="J384">
        <f t="shared" ca="1" si="114"/>
        <v>2.226296152305224</v>
      </c>
      <c r="K384">
        <f t="shared" ca="1" si="115"/>
        <v>1.0485891242269276</v>
      </c>
      <c r="L384">
        <f t="shared" ca="1" si="116"/>
        <v>1.2676307144743069</v>
      </c>
      <c r="M384">
        <f t="shared" ca="1" si="117"/>
        <v>-4.0588359583122404E-5</v>
      </c>
      <c r="N384">
        <f t="shared" ca="1" si="118"/>
        <v>1.0694064564171575E-2</v>
      </c>
      <c r="O384">
        <f t="shared" ca="1" si="119"/>
        <v>-0.16786848533177434</v>
      </c>
      <c r="P384">
        <f t="shared" ca="1" si="120"/>
        <v>0.13232980044252107</v>
      </c>
      <c r="Q384">
        <f t="shared" ca="1" si="121"/>
        <v>0.87783454192720423</v>
      </c>
      <c r="R384">
        <f t="shared" ca="1" si="122"/>
        <v>1.054011888638648</v>
      </c>
      <c r="T384">
        <f t="shared" si="123"/>
        <v>0.99546006799688258</v>
      </c>
      <c r="U384" s="6">
        <f t="shared" ca="1" si="124"/>
        <v>0.86987152798429779</v>
      </c>
      <c r="V384">
        <f t="shared" ca="1" si="125"/>
        <v>0.68628088076991578</v>
      </c>
      <c r="W384">
        <v>0.98089981695580186</v>
      </c>
      <c r="X384" t="b">
        <f t="shared" ca="1" si="126"/>
        <v>1</v>
      </c>
      <c r="AS384">
        <v>0.15549285051433681</v>
      </c>
      <c r="AT384">
        <v>3.4250197684693791</v>
      </c>
      <c r="AU384">
        <v>999</v>
      </c>
      <c r="AV384">
        <v>-3.1212995975065438</v>
      </c>
      <c r="AW384">
        <v>999</v>
      </c>
      <c r="AX384">
        <v>3.2312897216985106</v>
      </c>
      <c r="AY384">
        <v>-3.9941906116785457</v>
      </c>
      <c r="AZ384">
        <v>-1.052185424441497</v>
      </c>
      <c r="BJ384" t="b">
        <f t="shared" si="107"/>
        <v>1</v>
      </c>
      <c r="BK384" t="b">
        <f t="shared" ca="1" si="108"/>
        <v>1</v>
      </c>
    </row>
    <row r="385" spans="1:63" x14ac:dyDescent="0.45">
      <c r="A385" s="1">
        <v>44678</v>
      </c>
      <c r="B385">
        <v>293.83699999999999</v>
      </c>
      <c r="C385" s="1">
        <v>44678</v>
      </c>
      <c r="D385">
        <v>417.27</v>
      </c>
      <c r="E385">
        <f t="shared" si="109"/>
        <v>5.808858766344913E-3</v>
      </c>
      <c r="F385" s="4">
        <f t="shared" si="110"/>
        <v>2.8118240807497212E-3</v>
      </c>
      <c r="G385">
        <f t="shared" ca="1" si="111"/>
        <v>2.0485620487036898E-3</v>
      </c>
      <c r="H385">
        <f t="shared" ca="1" si="112"/>
        <v>3.6550643126155219E-2</v>
      </c>
      <c r="I385">
        <f t="shared" ca="1" si="113"/>
        <v>2.5296846601320179E-2</v>
      </c>
      <c r="J385">
        <f t="shared" ca="1" si="114"/>
        <v>2.2050385465357989</v>
      </c>
      <c r="K385">
        <f t="shared" ca="1" si="115"/>
        <v>1.0485891242269276</v>
      </c>
      <c r="L385">
        <f t="shared" ca="1" si="116"/>
        <v>1.1954189664822947</v>
      </c>
      <c r="M385">
        <f t="shared" ca="1" si="117"/>
        <v>-1.5942433669642573E-4</v>
      </c>
      <c r="N385">
        <f t="shared" ca="1" si="118"/>
        <v>1.0542489968226711E-2</v>
      </c>
      <c r="O385">
        <f t="shared" ca="1" si="119"/>
        <v>-0.21119143844236016</v>
      </c>
      <c r="P385">
        <f t="shared" ca="1" si="120"/>
        <v>0.13681065401543258</v>
      </c>
      <c r="Q385">
        <f t="shared" ca="1" si="121"/>
        <v>0.84187351933535426</v>
      </c>
      <c r="R385">
        <f t="shared" ca="1" si="122"/>
        <v>0.99133943704103067</v>
      </c>
      <c r="T385">
        <f t="shared" si="123"/>
        <v>1.005808858766345</v>
      </c>
      <c r="U385" s="6">
        <f t="shared" ca="1" si="124"/>
        <v>0.90207931035541389</v>
      </c>
      <c r="V385">
        <f t="shared" ca="1" si="125"/>
        <v>0.70040129452392541</v>
      </c>
      <c r="W385">
        <v>1.0063089409469486</v>
      </c>
      <c r="X385" t="b">
        <f t="shared" ca="1" si="126"/>
        <v>0</v>
      </c>
      <c r="AS385">
        <v>0.15825973568847024</v>
      </c>
      <c r="AT385">
        <v>3.4226337225753123</v>
      </c>
      <c r="AU385">
        <v>999</v>
      </c>
      <c r="AV385">
        <v>-3.2636314868101937</v>
      </c>
      <c r="AW385">
        <v>999</v>
      </c>
      <c r="AX385">
        <v>3.3332529296122022</v>
      </c>
      <c r="AY385">
        <v>-4.0080271141909627</v>
      </c>
      <c r="AZ385">
        <v>-1.1108852855081877</v>
      </c>
      <c r="BJ385" t="b">
        <f t="shared" si="107"/>
        <v>1</v>
      </c>
      <c r="BK385" t="b">
        <f t="shared" ca="1" si="108"/>
        <v>0</v>
      </c>
    </row>
    <row r="386" spans="1:63" x14ac:dyDescent="0.45">
      <c r="A386" s="1">
        <v>44677</v>
      </c>
      <c r="B386">
        <v>292.14</v>
      </c>
      <c r="C386" s="1">
        <v>44677</v>
      </c>
      <c r="D386">
        <v>416.1</v>
      </c>
      <c r="E386">
        <f t="shared" si="109"/>
        <v>-0.12184036576457968</v>
      </c>
      <c r="F386" s="4">
        <f t="shared" si="110"/>
        <v>-2.8960817717206058E-2</v>
      </c>
      <c r="G386">
        <f t="shared" ca="1" si="111"/>
        <v>1.8943903305281185E-3</v>
      </c>
      <c r="H386">
        <f t="shared" ca="1" si="112"/>
        <v>3.659969955361235E-2</v>
      </c>
      <c r="I386">
        <f t="shared" ca="1" si="113"/>
        <v>3.5899957567970549E-2</v>
      </c>
      <c r="J386">
        <f t="shared" ca="1" si="114"/>
        <v>2.1790010772161619</v>
      </c>
      <c r="K386">
        <f t="shared" ca="1" si="115"/>
        <v>1.0485891242269276</v>
      </c>
      <c r="L386">
        <f t="shared" ca="1" si="116"/>
        <v>1.1757545680473598</v>
      </c>
      <c r="M386">
        <f t="shared" ca="1" si="117"/>
        <v>-1.9052839166592897E-4</v>
      </c>
      <c r="N386">
        <f t="shared" ca="1" si="118"/>
        <v>1.0542856472806887E-2</v>
      </c>
      <c r="O386">
        <f t="shared" ca="1" si="119"/>
        <v>-0.20249149005898054</v>
      </c>
      <c r="P386">
        <f t="shared" ca="1" si="120"/>
        <v>0.133890257126835</v>
      </c>
      <c r="Q386">
        <f t="shared" ca="1" si="121"/>
        <v>0.84187351933535426</v>
      </c>
      <c r="R386">
        <f t="shared" ca="1" si="122"/>
        <v>0.99133943704103067</v>
      </c>
      <c r="T386">
        <f t="shared" si="123"/>
        <v>0.87815963423542032</v>
      </c>
      <c r="U386" s="6">
        <f t="shared" ca="1" si="124"/>
        <v>0.85242342807622606</v>
      </c>
      <c r="V386">
        <f t="shared" ca="1" si="125"/>
        <v>0.68162534925793528</v>
      </c>
      <c r="W386">
        <v>0.9947580792648929</v>
      </c>
      <c r="X386" t="b">
        <f t="shared" ca="1" si="126"/>
        <v>1</v>
      </c>
      <c r="AS386">
        <v>0.17093417480072712</v>
      </c>
      <c r="AT386">
        <v>3.3516221944500995</v>
      </c>
      <c r="AU386">
        <v>999</v>
      </c>
      <c r="AV386">
        <v>-3.4028918041607477</v>
      </c>
      <c r="AW386">
        <v>999</v>
      </c>
      <c r="AX386">
        <v>3.4410711646885432</v>
      </c>
      <c r="AY386">
        <v>-3.960332413365522</v>
      </c>
      <c r="AZ386">
        <v>-1.1200875988818615</v>
      </c>
      <c r="BJ386" t="b">
        <f t="shared" ref="BJ386:BJ449" si="127">ABS(W386-1)&gt;$S$21</f>
        <v>1</v>
      </c>
      <c r="BK386" t="b">
        <f t="shared" ref="BK386:BK449" ca="1" si="128">AND(X386,BJ386)</f>
        <v>1</v>
      </c>
    </row>
    <row r="387" spans="1:63" x14ac:dyDescent="0.45">
      <c r="A387" s="1">
        <v>44676</v>
      </c>
      <c r="B387">
        <v>332.673</v>
      </c>
      <c r="C387" s="1">
        <v>44676</v>
      </c>
      <c r="D387">
        <v>428.51</v>
      </c>
      <c r="E387">
        <f t="shared" ref="E387:E450" si="129">(B387-B388)/B388</f>
        <v>-6.9966598709916041E-3</v>
      </c>
      <c r="F387" s="4">
        <f t="shared" ref="F387:F450" si="130">(D387-D388)/D388</f>
        <v>5.7975776922354009E-3</v>
      </c>
      <c r="G387">
        <f t="shared" ref="G387:G450" ca="1" si="131">AVERAGE(OFFSET(E387,0,0,$S$3,1))*$AK$25</f>
        <v>2.7224219315251132E-3</v>
      </c>
      <c r="H387">
        <f t="shared" ref="H387:H450" ca="1" si="132">STDEV(OFFSET(E387,0,0,$S$3,1))*$AJ$25</f>
        <v>3.5647201658036684E-2</v>
      </c>
      <c r="I387">
        <f t="shared" ref="I387:I450" ca="1" si="133">SKEW(OFFSET(E387,0,0,$S$3,1))*$AI$25</f>
        <v>0.18895990937544804</v>
      </c>
      <c r="J387">
        <f t="shared" ref="J387:J450" ca="1" si="134">KURT(OFFSET(E387,0,0,$S$3,1))*$AH$25</f>
        <v>1.9970105641491092</v>
      </c>
      <c r="K387">
        <f t="shared" ref="K387:K450" ca="1" si="135">PERCENTILE(OFFSET(E387,0,0,$S$3,1), 0.95)/ABS(PERCENTILE(OFFSET(E387,0,0,$S$3,1), 0.05))*$AG$25</f>
        <v>1.0620477434648956</v>
      </c>
      <c r="L387">
        <f t="shared" ref="L387:L450" ca="1" si="136">PERCENTILE(OFFSET(E387,0,0,$S$3,1), 0.75)/ABS(PERCENTILE(OFFSET(E387,0,0,$S$3,1), 0.25))*$AF$25</f>
        <v>1.2023711303636664</v>
      </c>
      <c r="M387">
        <f t="shared" ref="M387:M450" ca="1" si="137">AVERAGE(OFFSET(F387,0,0,$S$3,1))*$AE$25</f>
        <v>-2.7814677804366014E-5</v>
      </c>
      <c r="N387">
        <f t="shared" ref="N387:N450" ca="1" si="138">STDEV(OFFSET(F387,0,0,$S$3,1))*$AD$25</f>
        <v>1.0345882439085477E-2</v>
      </c>
      <c r="O387">
        <f t="shared" ref="O387:O450" ca="1" si="139">SKEW(OFFSET(F387,0,0,$S$3,1))*$AC$25</f>
        <v>-0.15254080013075461</v>
      </c>
      <c r="P387">
        <f t="shared" ref="P387:P450" ca="1" si="140">KURT(OFFSET(F387,0,0,$S$3,1))*$AB$25</f>
        <v>8.1689904138073199E-2</v>
      </c>
      <c r="Q387">
        <f t="shared" ref="Q387:Q450" ca="1" si="141">PERCENTILE(OFFSET(F387,0,0,$S$3,1), 0.95)/ABS(PERCENTILE(OFFSET(F387,0,0,$S$3,1), 0.05))*$AA$25</f>
        <v>0.89732820808473268</v>
      </c>
      <c r="R387">
        <f t="shared" ref="R387:R450" ca="1" si="142">PERCENTILE(OFFSET(F387,0,0,$S$3,1), 0.75)/ABS(PERCENTILE(OFFSET(F387,0,0,$S$3,1), 0.25))*$Z$25</f>
        <v>1.0302354260067697</v>
      </c>
      <c r="T387">
        <f t="shared" ref="T387:T450" si="143">E387+1</f>
        <v>0.99300334012900837</v>
      </c>
      <c r="U387" s="6">
        <f t="shared" ref="U387:U450" ca="1" si="144">PRODUCT(OFFSET(T387,0,0,$S$6,1))</f>
        <v>0.99375677718266353</v>
      </c>
      <c r="V387">
        <f t="shared" ref="V387:V450" ca="1" si="145">OFFSET(G387,$S$6,0) * $AK$2+ OFFSET(H387,$S$6,0)  * $AJ$2 + OFFSET(I387,$S$6,0) * $AI$2 + OFFSET(J387,$S$6,0) * $AH$2 + OFFSET(K387,$S$6,0) * $AG$2 + OFFSET(L387,$S$6,0) * $AF$2 + OFFSET(M387,$S$6,0) * $AE$2 + OFFSET(N387,$S$6,0) * $AD$2 + OFFSET(O387,$S$6,0) * $AC$2 + OFFSET(P387,$S$6,0) * $AB$2 +  OFFSET(Q387,$S$6,0) * $AA$2 + OFFSET(R387,$S$6,0)  * $Z$2  + AL$2</f>
        <v>0.69029983340469803</v>
      </c>
      <c r="W387">
        <v>0.99983489567108486</v>
      </c>
      <c r="X387" t="b">
        <f t="shared" ref="X387:X450" ca="1" si="146">OR(AND(U387&gt;1, W387&gt;1), AND(U387&lt;1, W387&lt;1))</f>
        <v>1</v>
      </c>
      <c r="AS387">
        <v>0.17171928624930125</v>
      </c>
      <c r="AT387">
        <v>3.3318788395157504</v>
      </c>
      <c r="AU387">
        <v>999</v>
      </c>
      <c r="AV387">
        <v>-3.4215202172908379</v>
      </c>
      <c r="AW387">
        <v>999</v>
      </c>
      <c r="AX387">
        <v>3.438592087693543</v>
      </c>
      <c r="AY387">
        <v>-3.9455371168235813</v>
      </c>
      <c r="AZ387">
        <v>-1.1135609033320359</v>
      </c>
      <c r="BJ387" t="b">
        <f t="shared" si="127"/>
        <v>1</v>
      </c>
      <c r="BK387" t="b">
        <f t="shared" ca="1" si="128"/>
        <v>1</v>
      </c>
    </row>
    <row r="388" spans="1:63" x14ac:dyDescent="0.45">
      <c r="A388" s="1">
        <v>44673</v>
      </c>
      <c r="B388">
        <v>335.017</v>
      </c>
      <c r="C388" s="1">
        <v>44673</v>
      </c>
      <c r="D388">
        <v>426.04</v>
      </c>
      <c r="E388">
        <f t="shared" si="129"/>
        <v>-3.696544340688738E-3</v>
      </c>
      <c r="F388" s="4">
        <f t="shared" si="130"/>
        <v>-2.7439163584897005E-2</v>
      </c>
      <c r="G388">
        <f t="shared" ca="1" si="131"/>
        <v>2.7891143525374013E-3</v>
      </c>
      <c r="H388">
        <f t="shared" ca="1" si="132"/>
        <v>3.5641403861221652E-2</v>
      </c>
      <c r="I388">
        <f t="shared" ca="1" si="133"/>
        <v>0.18349005113091391</v>
      </c>
      <c r="J388">
        <f t="shared" ca="1" si="134"/>
        <v>1.9988415870817633</v>
      </c>
      <c r="K388">
        <f t="shared" ca="1" si="135"/>
        <v>1.0620477434648956</v>
      </c>
      <c r="L388">
        <f t="shared" ca="1" si="136"/>
        <v>1.2023711303636664</v>
      </c>
      <c r="M388">
        <f t="shared" ca="1" si="137"/>
        <v>-3.4283900843497252E-6</v>
      </c>
      <c r="N388">
        <f t="shared" ca="1" si="138"/>
        <v>1.0365412137179484E-2</v>
      </c>
      <c r="O388">
        <f t="shared" ca="1" si="139"/>
        <v>-0.15412288975185792</v>
      </c>
      <c r="P388">
        <f t="shared" ca="1" si="140"/>
        <v>6.5001946368626218E-2</v>
      </c>
      <c r="Q388">
        <f t="shared" ca="1" si="141"/>
        <v>0.89732820808473268</v>
      </c>
      <c r="R388">
        <f t="shared" ca="1" si="142"/>
        <v>1.0953668809434178</v>
      </c>
      <c r="T388">
        <f t="shared" si="143"/>
        <v>0.99630345565931122</v>
      </c>
      <c r="U388" s="6">
        <f t="shared" ca="1" si="144"/>
        <v>1.0203573810734832</v>
      </c>
      <c r="V388">
        <f t="shared" ca="1" si="145"/>
        <v>0.69081554377470022</v>
      </c>
      <c r="W388">
        <v>1.0118099696920353</v>
      </c>
      <c r="X388" t="b">
        <f t="shared" ca="1" si="146"/>
        <v>1</v>
      </c>
      <c r="AS388">
        <v>0.16573929124790021</v>
      </c>
      <c r="AT388">
        <v>3.3115320164914368</v>
      </c>
      <c r="AU388">
        <v>999</v>
      </c>
      <c r="AV388">
        <v>-3.3978155393774481</v>
      </c>
      <c r="AW388">
        <v>999</v>
      </c>
      <c r="AX388">
        <v>3.408212248222541</v>
      </c>
      <c r="AY388">
        <v>-3.9269031581990261</v>
      </c>
      <c r="AZ388">
        <v>-1.0981515798904011</v>
      </c>
      <c r="BJ388" t="b">
        <f t="shared" si="127"/>
        <v>1</v>
      </c>
      <c r="BK388" t="b">
        <f t="shared" ca="1" si="128"/>
        <v>1</v>
      </c>
    </row>
    <row r="389" spans="1:63" x14ac:dyDescent="0.45">
      <c r="A389" s="1">
        <v>44672</v>
      </c>
      <c r="B389">
        <v>336.26</v>
      </c>
      <c r="C389" s="1">
        <v>44672</v>
      </c>
      <c r="D389">
        <v>438.06</v>
      </c>
      <c r="E389">
        <f t="shared" si="129"/>
        <v>3.2317879981457166E-2</v>
      </c>
      <c r="F389" s="4">
        <f t="shared" si="130"/>
        <v>-1.4953565244766202E-2</v>
      </c>
      <c r="G389">
        <f t="shared" ca="1" si="131"/>
        <v>2.8708873298683261E-3</v>
      </c>
      <c r="H389">
        <f t="shared" ca="1" si="132"/>
        <v>3.5645210053433206E-2</v>
      </c>
      <c r="I389">
        <f t="shared" ca="1" si="133"/>
        <v>0.17661780821940506</v>
      </c>
      <c r="J389">
        <f t="shared" ca="1" si="134"/>
        <v>1.9950258849879141</v>
      </c>
      <c r="K389">
        <f t="shared" ca="1" si="135"/>
        <v>1.0620477434648956</v>
      </c>
      <c r="L389">
        <f t="shared" ca="1" si="136"/>
        <v>1.2023711303636664</v>
      </c>
      <c r="M389">
        <f t="shared" ca="1" si="137"/>
        <v>9.3027198590032171E-5</v>
      </c>
      <c r="N389">
        <f t="shared" ca="1" si="138"/>
        <v>1.0197217690710346E-2</v>
      </c>
      <c r="O389">
        <f t="shared" ca="1" si="139"/>
        <v>-9.4267519578615483E-2</v>
      </c>
      <c r="P389">
        <f t="shared" ca="1" si="140"/>
        <v>9.1848874311040163E-3</v>
      </c>
      <c r="Q389">
        <f t="shared" ca="1" si="141"/>
        <v>0.91135439694221831</v>
      </c>
      <c r="R389">
        <f t="shared" ca="1" si="142"/>
        <v>1.0953668809434178</v>
      </c>
      <c r="T389">
        <f t="shared" si="143"/>
        <v>1.0323178799814572</v>
      </c>
      <c r="U389" s="6">
        <f t="shared" ca="1" si="144"/>
        <v>0.98670735643651508</v>
      </c>
      <c r="V389">
        <f t="shared" ca="1" si="145"/>
        <v>0.69092485859521802</v>
      </c>
      <c r="W389">
        <v>0.99498204397902557</v>
      </c>
      <c r="X389" t="b">
        <f t="shared" ca="1" si="146"/>
        <v>1</v>
      </c>
      <c r="AS389">
        <v>0.18105342760321697</v>
      </c>
      <c r="AT389">
        <v>3.3212841752790441</v>
      </c>
      <c r="AU389">
        <v>999</v>
      </c>
      <c r="AV389">
        <v>-3.4660149825977373</v>
      </c>
      <c r="AW389">
        <v>999</v>
      </c>
      <c r="AX389">
        <v>3.4413441883138183</v>
      </c>
      <c r="AY389">
        <v>-3.9435346320492157</v>
      </c>
      <c r="AZ389">
        <v>-1.1073796282821775</v>
      </c>
      <c r="BJ389" t="b">
        <f t="shared" si="127"/>
        <v>1</v>
      </c>
      <c r="BK389" t="b">
        <f t="shared" ca="1" si="128"/>
        <v>1</v>
      </c>
    </row>
    <row r="390" spans="1:63" x14ac:dyDescent="0.45">
      <c r="A390" s="1">
        <v>44671</v>
      </c>
      <c r="B390">
        <v>325.733</v>
      </c>
      <c r="C390" s="1">
        <v>44671</v>
      </c>
      <c r="D390">
        <v>444.71</v>
      </c>
      <c r="E390">
        <f t="shared" si="129"/>
        <v>-4.9556923058966966E-2</v>
      </c>
      <c r="F390" s="4">
        <f t="shared" si="130"/>
        <v>-7.4150638144895051E-4</v>
      </c>
      <c r="G390">
        <f t="shared" ca="1" si="131"/>
        <v>2.5961122663569281E-3</v>
      </c>
      <c r="H390">
        <f t="shared" ca="1" si="132"/>
        <v>3.562888362994384E-2</v>
      </c>
      <c r="I390">
        <f t="shared" ca="1" si="133"/>
        <v>0.1955029656551911</v>
      </c>
      <c r="J390">
        <f t="shared" ca="1" si="134"/>
        <v>2.0090014411330648</v>
      </c>
      <c r="K390">
        <f t="shared" ca="1" si="135"/>
        <v>1.0620477434648956</v>
      </c>
      <c r="L390">
        <f t="shared" ca="1" si="136"/>
        <v>1.1757545680473598</v>
      </c>
      <c r="M390">
        <f t="shared" ca="1" si="137"/>
        <v>1.8546531793284295E-4</v>
      </c>
      <c r="N390">
        <f t="shared" ca="1" si="138"/>
        <v>1.0143789908945166E-2</v>
      </c>
      <c r="O390">
        <f t="shared" ca="1" si="139"/>
        <v>-0.10661572330849267</v>
      </c>
      <c r="P390">
        <f t="shared" ca="1" si="140"/>
        <v>5.2505319208500545E-2</v>
      </c>
      <c r="Q390">
        <f t="shared" ca="1" si="141"/>
        <v>0.91135439694221831</v>
      </c>
      <c r="R390">
        <f t="shared" ca="1" si="142"/>
        <v>1.1465117876158848</v>
      </c>
      <c r="T390">
        <f t="shared" si="143"/>
        <v>0.95044307694103303</v>
      </c>
      <c r="U390" s="6">
        <f t="shared" ca="1" si="144"/>
        <v>0.99012107008568839</v>
      </c>
      <c r="V390">
        <f t="shared" ca="1" si="145"/>
        <v>0.68212838324769909</v>
      </c>
      <c r="W390">
        <v>0.99104954825071478</v>
      </c>
      <c r="X390" t="b">
        <f t="shared" ca="1" si="146"/>
        <v>1</v>
      </c>
      <c r="AS390">
        <v>0.1683186305960484</v>
      </c>
      <c r="AT390">
        <v>3.2634303891844478</v>
      </c>
      <c r="AU390">
        <v>999</v>
      </c>
      <c r="AV390">
        <v>-3.4226642663854867</v>
      </c>
      <c r="AW390">
        <v>999</v>
      </c>
      <c r="AX390">
        <v>3.4191340353185011</v>
      </c>
      <c r="AY390">
        <v>-3.9046075590147251</v>
      </c>
      <c r="AZ390">
        <v>-1.1009054881390683</v>
      </c>
      <c r="BJ390" t="b">
        <f t="shared" si="127"/>
        <v>1</v>
      </c>
      <c r="BK390" t="b">
        <f t="shared" ca="1" si="128"/>
        <v>1</v>
      </c>
    </row>
    <row r="391" spans="1:63" x14ac:dyDescent="0.45">
      <c r="A391" s="1">
        <v>44670</v>
      </c>
      <c r="B391">
        <v>342.71699999999998</v>
      </c>
      <c r="C391" s="1">
        <v>44670</v>
      </c>
      <c r="D391">
        <v>445.04</v>
      </c>
      <c r="E391">
        <f t="shared" si="129"/>
        <v>2.3760092961289055E-2</v>
      </c>
      <c r="F391" s="4">
        <f t="shared" si="130"/>
        <v>1.6142658172934202E-2</v>
      </c>
      <c r="G391">
        <f t="shared" ca="1" si="131"/>
        <v>2.7016078847450021E-3</v>
      </c>
      <c r="H391">
        <f t="shared" ca="1" si="132"/>
        <v>3.5504705107149176E-2</v>
      </c>
      <c r="I391">
        <f t="shared" ca="1" si="133"/>
        <v>0.20124884944267002</v>
      </c>
      <c r="J391">
        <f t="shared" ca="1" si="134"/>
        <v>2.0565146430819947</v>
      </c>
      <c r="K391">
        <f t="shared" ca="1" si="135"/>
        <v>1.0620477434648956</v>
      </c>
      <c r="L391">
        <f t="shared" ca="1" si="136"/>
        <v>1.1757545680473598</v>
      </c>
      <c r="M391">
        <f t="shared" ca="1" si="137"/>
        <v>1.8006559170119605E-4</v>
      </c>
      <c r="N391">
        <f t="shared" ca="1" si="138"/>
        <v>1.014457323980446E-2</v>
      </c>
      <c r="O391">
        <f t="shared" ca="1" si="139"/>
        <v>-0.10501349382084268</v>
      </c>
      <c r="P391">
        <f t="shared" ca="1" si="140"/>
        <v>5.132617233919623E-2</v>
      </c>
      <c r="Q391">
        <f t="shared" ca="1" si="141"/>
        <v>0.91135439694221831</v>
      </c>
      <c r="R391">
        <f t="shared" ca="1" si="142"/>
        <v>1.1465117876158848</v>
      </c>
      <c r="T391">
        <f t="shared" si="143"/>
        <v>1.0237600929612891</v>
      </c>
      <c r="U391" s="6">
        <f t="shared" ca="1" si="144"/>
        <v>1.0535089606836556</v>
      </c>
      <c r="V391">
        <f t="shared" ca="1" si="145"/>
        <v>0.69938116593603861</v>
      </c>
      <c r="W391">
        <v>0.99832497074290383</v>
      </c>
      <c r="X391" t="b">
        <f t="shared" ca="1" si="146"/>
        <v>0</v>
      </c>
      <c r="AS391">
        <v>4.9323217129380648E-2</v>
      </c>
      <c r="AT391">
        <v>999</v>
      </c>
      <c r="AU391">
        <v>999</v>
      </c>
      <c r="AV391">
        <v>999</v>
      </c>
      <c r="AW391">
        <v>999</v>
      </c>
      <c r="AX391">
        <v>999</v>
      </c>
      <c r="AY391">
        <v>999</v>
      </c>
      <c r="AZ391">
        <v>114.26403054356697</v>
      </c>
      <c r="BJ391" t="b">
        <f t="shared" si="127"/>
        <v>1</v>
      </c>
      <c r="BK391" t="b">
        <f t="shared" ca="1" si="128"/>
        <v>0</v>
      </c>
    </row>
    <row r="392" spans="1:63" x14ac:dyDescent="0.45">
      <c r="A392" s="1">
        <v>44669</v>
      </c>
      <c r="B392">
        <v>334.76299999999998</v>
      </c>
      <c r="C392" s="1">
        <v>44669</v>
      </c>
      <c r="D392">
        <v>437.97</v>
      </c>
      <c r="E392">
        <f t="shared" si="129"/>
        <v>1.9583776227183831E-2</v>
      </c>
      <c r="F392" s="4">
        <f t="shared" si="130"/>
        <v>4.1115603371481033E-4</v>
      </c>
      <c r="G392">
        <f t="shared" ca="1" si="131"/>
        <v>2.5900427976164207E-3</v>
      </c>
      <c r="H392">
        <f t="shared" ca="1" si="132"/>
        <v>3.5473244044730332E-2</v>
      </c>
      <c r="I392">
        <f t="shared" ca="1" si="133"/>
        <v>0.21025312634099697</v>
      </c>
      <c r="J392">
        <f t="shared" ca="1" si="134"/>
        <v>2.076633858366395</v>
      </c>
      <c r="K392">
        <f t="shared" ca="1" si="135"/>
        <v>1.0620477434648956</v>
      </c>
      <c r="L392">
        <f t="shared" ca="1" si="136"/>
        <v>1.160915381805012</v>
      </c>
      <c r="M392">
        <f t="shared" ca="1" si="137"/>
        <v>1.3756989719365646E-4</v>
      </c>
      <c r="N392">
        <f t="shared" ca="1" si="138"/>
        <v>1.0095050401570185E-2</v>
      </c>
      <c r="O392">
        <f t="shared" ca="1" si="139"/>
        <v>-0.11182671907409579</v>
      </c>
      <c r="P392">
        <f t="shared" ca="1" si="140"/>
        <v>7.9688465705153089E-2</v>
      </c>
      <c r="Q392">
        <f t="shared" ca="1" si="141"/>
        <v>0.91050714560704848</v>
      </c>
      <c r="R392">
        <f t="shared" ca="1" si="142"/>
        <v>1.1465117876158848</v>
      </c>
      <c r="T392">
        <f t="shared" si="143"/>
        <v>1.0195837762271838</v>
      </c>
      <c r="U392" s="6">
        <f t="shared" ca="1" si="144"/>
        <v>0.97932598075066535</v>
      </c>
      <c r="V392">
        <f t="shared" ca="1" si="145"/>
        <v>0.71644681843540658</v>
      </c>
      <c r="W392">
        <v>0.99994753167980899</v>
      </c>
      <c r="X392" t="b">
        <f t="shared" ca="1" si="146"/>
        <v>1</v>
      </c>
      <c r="AS392">
        <v>4.2056883053928656E-2</v>
      </c>
      <c r="AT392">
        <v>999</v>
      </c>
      <c r="AU392">
        <v>999</v>
      </c>
      <c r="AV392">
        <v>999</v>
      </c>
      <c r="AW392">
        <v>999</v>
      </c>
      <c r="AX392">
        <v>999</v>
      </c>
      <c r="AY392">
        <v>999</v>
      </c>
      <c r="AZ392">
        <v>112.52548791799215</v>
      </c>
      <c r="BJ392" t="b">
        <f t="shared" si="127"/>
        <v>1</v>
      </c>
      <c r="BK392" t="b">
        <f t="shared" ca="1" si="128"/>
        <v>1</v>
      </c>
    </row>
    <row r="393" spans="1:63" x14ac:dyDescent="0.45">
      <c r="A393" s="1">
        <v>44665</v>
      </c>
      <c r="B393">
        <v>328.33300000000003</v>
      </c>
      <c r="C393" s="1">
        <v>44665</v>
      </c>
      <c r="D393">
        <v>437.79</v>
      </c>
      <c r="E393">
        <f t="shared" si="129"/>
        <v>-3.6553302620382033E-2</v>
      </c>
      <c r="F393" s="4">
        <f t="shared" si="130"/>
        <v>-1.2451783176558123E-2</v>
      </c>
      <c r="G393">
        <f t="shared" ca="1" si="131"/>
        <v>2.4790152113292664E-3</v>
      </c>
      <c r="H393">
        <f t="shared" ca="1" si="132"/>
        <v>3.5454533688742705E-2</v>
      </c>
      <c r="I393">
        <f t="shared" ca="1" si="133"/>
        <v>0.21950068285597299</v>
      </c>
      <c r="J393">
        <f t="shared" ca="1" si="134"/>
        <v>2.0899291204289812</v>
      </c>
      <c r="K393">
        <f t="shared" ca="1" si="135"/>
        <v>1.0620477434648956</v>
      </c>
      <c r="L393">
        <f t="shared" ca="1" si="136"/>
        <v>1.160915381805012</v>
      </c>
      <c r="M393">
        <f t="shared" ca="1" si="137"/>
        <v>1.6319715211362144E-4</v>
      </c>
      <c r="N393">
        <f t="shared" ca="1" si="138"/>
        <v>1.0102251572667186E-2</v>
      </c>
      <c r="O393">
        <f t="shared" ca="1" si="139"/>
        <v>-0.11850026933084173</v>
      </c>
      <c r="P393">
        <f t="shared" ca="1" si="140"/>
        <v>7.239591605661877E-2</v>
      </c>
      <c r="Q393">
        <f t="shared" ca="1" si="141"/>
        <v>0.91050714560704848</v>
      </c>
      <c r="R393">
        <f t="shared" ca="1" si="142"/>
        <v>1.1465117876158848</v>
      </c>
      <c r="T393">
        <f t="shared" si="143"/>
        <v>0.96344669737961797</v>
      </c>
      <c r="U393" s="6">
        <f t="shared" ca="1" si="144"/>
        <v>0.93165257363373255</v>
      </c>
      <c r="V393">
        <f t="shared" ca="1" si="145"/>
        <v>0.7273245986177489</v>
      </c>
      <c r="W393">
        <v>1.0016339002196557</v>
      </c>
      <c r="X393" t="b">
        <f t="shared" ca="1" si="146"/>
        <v>0</v>
      </c>
      <c r="AS393">
        <v>4.6598514804238531E-2</v>
      </c>
      <c r="AT393">
        <v>999</v>
      </c>
      <c r="AU393">
        <v>999</v>
      </c>
      <c r="AV393">
        <v>999</v>
      </c>
      <c r="AW393">
        <v>999</v>
      </c>
      <c r="AX393">
        <v>999</v>
      </c>
      <c r="AY393">
        <v>999</v>
      </c>
      <c r="AZ393">
        <v>112.60801415774898</v>
      </c>
      <c r="BJ393" t="b">
        <f t="shared" si="127"/>
        <v>1</v>
      </c>
      <c r="BK393" t="b">
        <f t="shared" ca="1" si="128"/>
        <v>0</v>
      </c>
    </row>
    <row r="394" spans="1:63" x14ac:dyDescent="0.45">
      <c r="A394" s="1">
        <v>44664</v>
      </c>
      <c r="B394">
        <v>340.79</v>
      </c>
      <c r="C394" s="1">
        <v>44664</v>
      </c>
      <c r="D394">
        <v>443.31</v>
      </c>
      <c r="E394">
        <f t="shared" si="129"/>
        <v>3.5889392461008675E-2</v>
      </c>
      <c r="F394" s="4">
        <f t="shared" si="130"/>
        <v>1.1453603778320248E-2</v>
      </c>
      <c r="G394">
        <f t="shared" ca="1" si="131"/>
        <v>2.6540036528641042E-3</v>
      </c>
      <c r="H394">
        <f t="shared" ca="1" si="132"/>
        <v>3.5347122878893529E-2</v>
      </c>
      <c r="I394">
        <f t="shared" ca="1" si="133"/>
        <v>0.21333313447342811</v>
      </c>
      <c r="J394">
        <f t="shared" ca="1" si="134"/>
        <v>2.140476913362483</v>
      </c>
      <c r="K394">
        <f t="shared" ca="1" si="135"/>
        <v>1.0620477434648956</v>
      </c>
      <c r="L394">
        <f t="shared" ca="1" si="136"/>
        <v>1.1803315960706908</v>
      </c>
      <c r="M394">
        <f t="shared" ca="1" si="137"/>
        <v>2.2966462539645893E-4</v>
      </c>
      <c r="N394">
        <f t="shared" ca="1" si="138"/>
        <v>1.0062488415337965E-2</v>
      </c>
      <c r="O394">
        <f t="shared" ca="1" si="139"/>
        <v>-0.12992467446980596</v>
      </c>
      <c r="P394">
        <f t="shared" ca="1" si="140"/>
        <v>0.11241600465772983</v>
      </c>
      <c r="Q394">
        <f t="shared" ca="1" si="141"/>
        <v>0.91050714560704848</v>
      </c>
      <c r="R394">
        <f t="shared" ca="1" si="142"/>
        <v>1.2394824113533018</v>
      </c>
      <c r="T394">
        <f t="shared" si="143"/>
        <v>1.0358893924610086</v>
      </c>
      <c r="U394" s="6">
        <f t="shared" ca="1" si="144"/>
        <v>0.97763255657841541</v>
      </c>
      <c r="V394">
        <f t="shared" ca="1" si="145"/>
        <v>0.72858772177884223</v>
      </c>
      <c r="W394">
        <v>1.0021666552540358</v>
      </c>
      <c r="X394" t="b">
        <f t="shared" ca="1" si="146"/>
        <v>0</v>
      </c>
      <c r="AS394">
        <v>3.4845126798177257E-2</v>
      </c>
      <c r="AT394">
        <v>999</v>
      </c>
      <c r="AU394">
        <v>999</v>
      </c>
      <c r="AV394">
        <v>999</v>
      </c>
      <c r="AW394">
        <v>999</v>
      </c>
      <c r="AX394">
        <v>999</v>
      </c>
      <c r="AY394">
        <v>999</v>
      </c>
      <c r="AZ394">
        <v>111.96147228799057</v>
      </c>
      <c r="BJ394" t="b">
        <f t="shared" si="127"/>
        <v>1</v>
      </c>
      <c r="BK394" t="b">
        <f t="shared" ca="1" si="128"/>
        <v>0</v>
      </c>
    </row>
    <row r="395" spans="1:63" x14ac:dyDescent="0.45">
      <c r="A395" s="1">
        <v>44663</v>
      </c>
      <c r="B395">
        <v>328.983</v>
      </c>
      <c r="C395" s="1">
        <v>44663</v>
      </c>
      <c r="D395">
        <v>438.29</v>
      </c>
      <c r="E395">
        <f t="shared" si="129"/>
        <v>1.1290768805139718E-2</v>
      </c>
      <c r="F395" s="4">
        <f t="shared" si="130"/>
        <v>-3.705219130751035E-3</v>
      </c>
      <c r="G395">
        <f t="shared" ca="1" si="131"/>
        <v>2.4167755054893881E-3</v>
      </c>
      <c r="H395">
        <f t="shared" ca="1" si="132"/>
        <v>3.528209964375522E-2</v>
      </c>
      <c r="I395">
        <f t="shared" ca="1" si="133"/>
        <v>0.23031570626653181</v>
      </c>
      <c r="J395">
        <f t="shared" ca="1" si="134"/>
        <v>2.1809137319733356</v>
      </c>
      <c r="K395">
        <f t="shared" ca="1" si="135"/>
        <v>1.0620477434648956</v>
      </c>
      <c r="L395">
        <f t="shared" ca="1" si="136"/>
        <v>1.1191372631585321</v>
      </c>
      <c r="M395">
        <f t="shared" ca="1" si="137"/>
        <v>1.7508685377367144E-4</v>
      </c>
      <c r="N395">
        <f t="shared" ca="1" si="138"/>
        <v>1.0030857790119875E-2</v>
      </c>
      <c r="O395">
        <f t="shared" ca="1" si="139"/>
        <v>-0.12178053420437372</v>
      </c>
      <c r="P395">
        <f t="shared" ca="1" si="140"/>
        <v>0.14143425764295481</v>
      </c>
      <c r="Q395">
        <f t="shared" ca="1" si="141"/>
        <v>0.91050714560704848</v>
      </c>
      <c r="R395">
        <f t="shared" ca="1" si="142"/>
        <v>1.165781723278549</v>
      </c>
      <c r="T395">
        <f t="shared" si="143"/>
        <v>1.0112907688051398</v>
      </c>
      <c r="U395" s="6">
        <f t="shared" ca="1" si="144"/>
        <v>0.90441315947909728</v>
      </c>
      <c r="V395">
        <f t="shared" ca="1" si="145"/>
        <v>0.71612423533528802</v>
      </c>
      <c r="W395">
        <v>1.003319724087355</v>
      </c>
      <c r="X395" t="b">
        <f t="shared" ca="1" si="146"/>
        <v>0</v>
      </c>
      <c r="AS395">
        <v>1.7947363280063085E-2</v>
      </c>
      <c r="AT395">
        <v>999</v>
      </c>
      <c r="AU395">
        <v>999</v>
      </c>
      <c r="AV395">
        <v>999</v>
      </c>
      <c r="AW395">
        <v>999</v>
      </c>
      <c r="AX395">
        <v>999</v>
      </c>
      <c r="AY395">
        <v>999</v>
      </c>
      <c r="AZ395">
        <v>111.80308155202201</v>
      </c>
      <c r="BJ395" t="b">
        <f t="shared" si="127"/>
        <v>1</v>
      </c>
      <c r="BK395" t="b">
        <f t="shared" ca="1" si="128"/>
        <v>0</v>
      </c>
    </row>
    <row r="396" spans="1:63" x14ac:dyDescent="0.45">
      <c r="A396" s="1">
        <v>44662</v>
      </c>
      <c r="B396">
        <v>325.31</v>
      </c>
      <c r="C396" s="1">
        <v>44662</v>
      </c>
      <c r="D396">
        <v>439.92</v>
      </c>
      <c r="E396">
        <f t="shared" si="129"/>
        <v>-4.8328116315127352E-2</v>
      </c>
      <c r="F396" s="4">
        <f t="shared" si="130"/>
        <v>-1.7092298411421628E-2</v>
      </c>
      <c r="G396">
        <f t="shared" ca="1" si="131"/>
        <v>2.4857028730355538E-3</v>
      </c>
      <c r="H396">
        <f t="shared" ca="1" si="132"/>
        <v>3.5312975250090251E-2</v>
      </c>
      <c r="I396">
        <f t="shared" ca="1" si="133"/>
        <v>0.22505779659055788</v>
      </c>
      <c r="J396">
        <f t="shared" ca="1" si="134"/>
        <v>2.1616990556437337</v>
      </c>
      <c r="K396">
        <f t="shared" ca="1" si="135"/>
        <v>1.0620477434648956</v>
      </c>
      <c r="L396">
        <f t="shared" ca="1" si="136"/>
        <v>1.1803315960706908</v>
      </c>
      <c r="M396">
        <f t="shared" ca="1" si="137"/>
        <v>2.0369241310619658E-4</v>
      </c>
      <c r="N396">
        <f t="shared" ca="1" si="138"/>
        <v>1.0027893667335164E-2</v>
      </c>
      <c r="O396">
        <f t="shared" ca="1" si="139"/>
        <v>-0.13020733107701135</v>
      </c>
      <c r="P396">
        <f t="shared" ca="1" si="140"/>
        <v>0.14655965115577718</v>
      </c>
      <c r="Q396">
        <f t="shared" ca="1" si="141"/>
        <v>0.91050714560704848</v>
      </c>
      <c r="R396">
        <f t="shared" ca="1" si="142"/>
        <v>1.165781723278549</v>
      </c>
      <c r="T396">
        <f t="shared" si="143"/>
        <v>0.95167188368487265</v>
      </c>
      <c r="U396" s="6">
        <f t="shared" ca="1" si="144"/>
        <v>0.85200501811077045</v>
      </c>
      <c r="V396">
        <f t="shared" ca="1" si="145"/>
        <v>0.68974583410624268</v>
      </c>
      <c r="W396">
        <v>1.0051048030658669</v>
      </c>
      <c r="X396" t="b">
        <f t="shared" ca="1" si="146"/>
        <v>0</v>
      </c>
      <c r="AS396">
        <v>1.9102183373357989E-2</v>
      </c>
      <c r="AT396">
        <v>999</v>
      </c>
      <c r="AU396">
        <v>999</v>
      </c>
      <c r="AV396">
        <v>999</v>
      </c>
      <c r="AW396">
        <v>999</v>
      </c>
      <c r="AX396">
        <v>999</v>
      </c>
      <c r="AY396">
        <v>999</v>
      </c>
      <c r="AZ396">
        <v>113.75667427965227</v>
      </c>
      <c r="BJ396" t="b">
        <f t="shared" si="127"/>
        <v>1</v>
      </c>
      <c r="BK396" t="b">
        <f t="shared" ca="1" si="128"/>
        <v>0</v>
      </c>
    </row>
    <row r="397" spans="1:63" x14ac:dyDescent="0.45">
      <c r="A397" s="1">
        <v>44659</v>
      </c>
      <c r="B397">
        <v>341.83</v>
      </c>
      <c r="C397" s="1">
        <v>44659</v>
      </c>
      <c r="D397">
        <v>447.57</v>
      </c>
      <c r="E397">
        <f t="shared" si="129"/>
        <v>-3.0049372907326573E-2</v>
      </c>
      <c r="F397" s="4">
        <f t="shared" si="130"/>
        <v>-2.6739755331238466E-3</v>
      </c>
      <c r="G397">
        <f t="shared" ca="1" si="131"/>
        <v>2.6688721805552258E-3</v>
      </c>
      <c r="H397">
        <f t="shared" ca="1" si="132"/>
        <v>3.514267794114119E-2</v>
      </c>
      <c r="I397">
        <f t="shared" ca="1" si="133"/>
        <v>0.22756196331257067</v>
      </c>
      <c r="J397">
        <f t="shared" ca="1" si="134"/>
        <v>2.235865173636606</v>
      </c>
      <c r="K397">
        <f t="shared" ca="1" si="135"/>
        <v>1.0620477434648956</v>
      </c>
      <c r="L397">
        <f t="shared" ca="1" si="136"/>
        <v>1.2516319603381911</v>
      </c>
      <c r="M397">
        <f t="shared" ca="1" si="137"/>
        <v>3.0691443209814344E-4</v>
      </c>
      <c r="N397">
        <f t="shared" ca="1" si="138"/>
        <v>9.9549490843361191E-3</v>
      </c>
      <c r="O397">
        <f t="shared" ca="1" si="139"/>
        <v>-0.13769815140015351</v>
      </c>
      <c r="P397">
        <f t="shared" ca="1" si="140"/>
        <v>0.19919631251974446</v>
      </c>
      <c r="Q397">
        <f t="shared" ca="1" si="141"/>
        <v>0.91050714560704848</v>
      </c>
      <c r="R397">
        <f t="shared" ca="1" si="142"/>
        <v>1.2667574991009534</v>
      </c>
      <c r="T397">
        <f t="shared" si="143"/>
        <v>0.96995062709267343</v>
      </c>
      <c r="U397" s="6">
        <f t="shared" ca="1" si="144"/>
        <v>0.94550936298509125</v>
      </c>
      <c r="V397">
        <f t="shared" ca="1" si="145"/>
        <v>0.68453158119587154</v>
      </c>
      <c r="W397">
        <v>1.0043637456596941</v>
      </c>
      <c r="X397" t="b">
        <f t="shared" ca="1" si="146"/>
        <v>0</v>
      </c>
      <c r="AS397">
        <v>2.8803254506652446E-2</v>
      </c>
      <c r="AT397">
        <v>999</v>
      </c>
      <c r="AU397">
        <v>999</v>
      </c>
      <c r="AV397">
        <v>999</v>
      </c>
      <c r="AW397">
        <v>999</v>
      </c>
      <c r="AX397">
        <v>999</v>
      </c>
      <c r="AY397">
        <v>999</v>
      </c>
      <c r="AZ397">
        <v>113.15359249172386</v>
      </c>
      <c r="BJ397" t="b">
        <f t="shared" si="127"/>
        <v>1</v>
      </c>
      <c r="BK397" t="b">
        <f t="shared" ca="1" si="128"/>
        <v>0</v>
      </c>
    </row>
    <row r="398" spans="1:63" x14ac:dyDescent="0.45">
      <c r="A398" s="1">
        <v>44658</v>
      </c>
      <c r="B398">
        <v>352.42</v>
      </c>
      <c r="C398" s="1">
        <v>44658</v>
      </c>
      <c r="D398">
        <v>448.77</v>
      </c>
      <c r="E398">
        <f t="shared" si="129"/>
        <v>1.0995820268684797E-2</v>
      </c>
      <c r="F398" s="4">
        <f t="shared" si="130"/>
        <v>5.0389680193496378E-3</v>
      </c>
      <c r="G398">
        <f t="shared" ca="1" si="131"/>
        <v>2.9961752964340598E-3</v>
      </c>
      <c r="H398">
        <f t="shared" ca="1" si="132"/>
        <v>3.5141259022912187E-2</v>
      </c>
      <c r="I398">
        <f t="shared" ca="1" si="133"/>
        <v>0.20756707777051009</v>
      </c>
      <c r="J398">
        <f t="shared" ca="1" si="134"/>
        <v>2.2283032461362779</v>
      </c>
      <c r="K398">
        <f t="shared" ca="1" si="135"/>
        <v>1.0620477434648956</v>
      </c>
      <c r="L398">
        <f t="shared" ca="1" si="136"/>
        <v>1.3596661920786626</v>
      </c>
      <c r="M398">
        <f t="shared" ca="1" si="137"/>
        <v>3.4986310768141522E-4</v>
      </c>
      <c r="N398">
        <f t="shared" ca="1" si="138"/>
        <v>9.9605517809141907E-3</v>
      </c>
      <c r="O398">
        <f t="shared" ca="1" si="139"/>
        <v>-0.14948992599745248</v>
      </c>
      <c r="P398">
        <f t="shared" ca="1" si="140"/>
        <v>0.1948963484099675</v>
      </c>
      <c r="Q398">
        <f t="shared" ca="1" si="141"/>
        <v>0.91050714560704848</v>
      </c>
      <c r="R398">
        <f t="shared" ca="1" si="142"/>
        <v>1.2667574991009534</v>
      </c>
      <c r="T398">
        <f t="shared" si="143"/>
        <v>1.0109958202686848</v>
      </c>
      <c r="U398" s="6">
        <f t="shared" ca="1" si="144"/>
        <v>0.98112472160356368</v>
      </c>
      <c r="V398">
        <f t="shared" ca="1" si="145"/>
        <v>0.6842525709068662</v>
      </c>
      <c r="W398">
        <v>1.0030086665296158</v>
      </c>
      <c r="X398" t="b">
        <f t="shared" ca="1" si="146"/>
        <v>0</v>
      </c>
      <c r="AS398">
        <v>4.2421317578557986E-2</v>
      </c>
      <c r="AT398">
        <v>999</v>
      </c>
      <c r="AU398">
        <v>999</v>
      </c>
      <c r="AV398">
        <v>999</v>
      </c>
      <c r="AW398">
        <v>999</v>
      </c>
      <c r="AX398">
        <v>999</v>
      </c>
      <c r="AY398">
        <v>999</v>
      </c>
      <c r="AZ398">
        <v>111.99924846570829</v>
      </c>
      <c r="BJ398" t="b">
        <f t="shared" si="127"/>
        <v>1</v>
      </c>
      <c r="BK398" t="b">
        <f t="shared" ca="1" si="128"/>
        <v>0</v>
      </c>
    </row>
    <row r="399" spans="1:63" x14ac:dyDescent="0.45">
      <c r="A399" s="1">
        <v>44657</v>
      </c>
      <c r="B399">
        <v>348.58699999999999</v>
      </c>
      <c r="C399" s="1">
        <v>44657</v>
      </c>
      <c r="D399">
        <v>446.52</v>
      </c>
      <c r="E399">
        <f t="shared" si="129"/>
        <v>-4.1693126929537347E-2</v>
      </c>
      <c r="F399" s="4">
        <f t="shared" si="130"/>
        <v>-9.9993348557745401E-3</v>
      </c>
      <c r="G399">
        <f t="shared" ca="1" si="131"/>
        <v>3.2046363570892599E-3</v>
      </c>
      <c r="H399">
        <f t="shared" ca="1" si="132"/>
        <v>3.5312197288944601E-2</v>
      </c>
      <c r="I399">
        <f t="shared" ca="1" si="133"/>
        <v>0.20076374353332443</v>
      </c>
      <c r="J399">
        <f t="shared" ca="1" si="134"/>
        <v>2.1421628377775521</v>
      </c>
      <c r="K399">
        <f t="shared" ca="1" si="135"/>
        <v>1.0620477434648956</v>
      </c>
      <c r="L399">
        <f t="shared" ca="1" si="136"/>
        <v>1.3675735638506756</v>
      </c>
      <c r="M399">
        <f t="shared" ca="1" si="137"/>
        <v>3.1864146604369673E-4</v>
      </c>
      <c r="N399">
        <f t="shared" ca="1" si="138"/>
        <v>9.9555650509090959E-3</v>
      </c>
      <c r="O399">
        <f t="shared" ca="1" si="139"/>
        <v>-0.14076104011163151</v>
      </c>
      <c r="P399">
        <f t="shared" ca="1" si="140"/>
        <v>0.1992799660828326</v>
      </c>
      <c r="Q399">
        <f t="shared" ca="1" si="141"/>
        <v>0.91050714560704848</v>
      </c>
      <c r="R399">
        <f t="shared" ca="1" si="142"/>
        <v>1.2667574991009534</v>
      </c>
      <c r="T399">
        <f t="shared" si="143"/>
        <v>0.95830687307046269</v>
      </c>
      <c r="U399" s="6">
        <f t="shared" ca="1" si="144"/>
        <v>0.95591546167283215</v>
      </c>
      <c r="V399">
        <f t="shared" ca="1" si="145"/>
        <v>0.69733959916105259</v>
      </c>
      <c r="W399">
        <v>1.0020965592578153</v>
      </c>
      <c r="X399" t="b">
        <f t="shared" ca="1" si="146"/>
        <v>0</v>
      </c>
      <c r="AS399">
        <v>8.1634758992121428E-2</v>
      </c>
      <c r="AT399">
        <v>999</v>
      </c>
      <c r="AU399">
        <v>999</v>
      </c>
      <c r="AV399">
        <v>999</v>
      </c>
      <c r="AW399">
        <v>999</v>
      </c>
      <c r="AX399">
        <v>999</v>
      </c>
      <c r="AY399">
        <v>999</v>
      </c>
      <c r="AZ399">
        <v>113.04682600068004</v>
      </c>
      <c r="BJ399" t="b">
        <f t="shared" si="127"/>
        <v>1</v>
      </c>
      <c r="BK399" t="b">
        <f t="shared" ca="1" si="128"/>
        <v>0</v>
      </c>
    </row>
    <row r="400" spans="1:63" x14ac:dyDescent="0.45">
      <c r="A400" s="1">
        <v>44656</v>
      </c>
      <c r="B400">
        <v>363.75299999999999</v>
      </c>
      <c r="C400" s="1">
        <v>44656</v>
      </c>
      <c r="D400">
        <v>451.03</v>
      </c>
      <c r="E400">
        <f t="shared" si="129"/>
        <v>-4.7310622628117714E-2</v>
      </c>
      <c r="F400" s="4">
        <f t="shared" si="130"/>
        <v>-1.2631348511383622E-2</v>
      </c>
      <c r="G400">
        <f t="shared" ca="1" si="131"/>
        <v>3.4362967845059707E-3</v>
      </c>
      <c r="H400">
        <f t="shared" ca="1" si="132"/>
        <v>3.5167854427275623E-2</v>
      </c>
      <c r="I400">
        <f t="shared" ca="1" si="133"/>
        <v>0.1938466028729586</v>
      </c>
      <c r="J400">
        <f t="shared" ca="1" si="134"/>
        <v>2.2086241261068746</v>
      </c>
      <c r="K400">
        <f t="shared" ca="1" si="135"/>
        <v>1.0620477434648956</v>
      </c>
      <c r="L400">
        <f t="shared" ca="1" si="136"/>
        <v>1.4096280147748299</v>
      </c>
      <c r="M400">
        <f t="shared" ca="1" si="137"/>
        <v>3.9536911974565546E-4</v>
      </c>
      <c r="N400">
        <f t="shared" ca="1" si="138"/>
        <v>9.9347570327307511E-3</v>
      </c>
      <c r="O400">
        <f t="shared" ca="1" si="139"/>
        <v>-0.15870727137240212</v>
      </c>
      <c r="P400">
        <f t="shared" ca="1" si="140"/>
        <v>0.22549981082854842</v>
      </c>
      <c r="Q400">
        <f t="shared" ca="1" si="141"/>
        <v>0.91050714560704848</v>
      </c>
      <c r="R400">
        <f t="shared" ca="1" si="142"/>
        <v>1.3012946252746689</v>
      </c>
      <c r="T400">
        <f t="shared" si="143"/>
        <v>0.95268937737188231</v>
      </c>
      <c r="U400" s="6">
        <f t="shared" ca="1" si="144"/>
        <v>0.99244249337695034</v>
      </c>
      <c r="V400">
        <f t="shared" ca="1" si="145"/>
        <v>0.6958825730942656</v>
      </c>
      <c r="W400">
        <v>1.0689233442428046</v>
      </c>
      <c r="X400" t="b">
        <f t="shared" ca="1" si="146"/>
        <v>0</v>
      </c>
      <c r="AS400">
        <v>0.171870336648871</v>
      </c>
      <c r="AT400">
        <v>999</v>
      </c>
      <c r="AU400">
        <v>999</v>
      </c>
      <c r="AV400">
        <v>999</v>
      </c>
      <c r="AW400">
        <v>-3.4127146222187474</v>
      </c>
      <c r="AX400">
        <v>3.0749352243894288</v>
      </c>
      <c r="AY400">
        <v>999</v>
      </c>
      <c r="AZ400">
        <v>1.2199128037385047</v>
      </c>
      <c r="BJ400" t="b">
        <f t="shared" si="127"/>
        <v>1</v>
      </c>
      <c r="BK400" t="b">
        <f t="shared" ca="1" si="128"/>
        <v>0</v>
      </c>
    </row>
    <row r="401" spans="1:63" x14ac:dyDescent="0.45">
      <c r="A401" s="1">
        <v>44655</v>
      </c>
      <c r="B401">
        <v>381.81700000000001</v>
      </c>
      <c r="C401" s="1">
        <v>44655</v>
      </c>
      <c r="D401">
        <v>456.8</v>
      </c>
      <c r="E401">
        <f t="shared" si="129"/>
        <v>5.6114292036622236E-2</v>
      </c>
      <c r="F401" s="4">
        <f t="shared" si="130"/>
        <v>8.5666342842002901E-3</v>
      </c>
      <c r="G401">
        <f t="shared" ca="1" si="131"/>
        <v>3.6529480831401324E-3</v>
      </c>
      <c r="H401">
        <f t="shared" ca="1" si="132"/>
        <v>3.4986658510517042E-2</v>
      </c>
      <c r="I401">
        <f t="shared" ca="1" si="133"/>
        <v>0.19354994367783551</v>
      </c>
      <c r="J401">
        <f t="shared" ca="1" si="134"/>
        <v>2.2902814215763927</v>
      </c>
      <c r="K401">
        <f t="shared" ca="1" si="135"/>
        <v>1.0620477434648956</v>
      </c>
      <c r="L401">
        <f t="shared" ca="1" si="136"/>
        <v>1.4254591866527047</v>
      </c>
      <c r="M401">
        <f t="shared" ca="1" si="137"/>
        <v>5.3010592592929689E-4</v>
      </c>
      <c r="N401">
        <f t="shared" ca="1" si="138"/>
        <v>9.9399296801815969E-3</v>
      </c>
      <c r="O401">
        <f t="shared" ca="1" si="139"/>
        <v>-0.17417049085942168</v>
      </c>
      <c r="P401">
        <f t="shared" ca="1" si="140"/>
        <v>0.23184012546410138</v>
      </c>
      <c r="Q401">
        <f t="shared" ca="1" si="141"/>
        <v>0.91050714560704848</v>
      </c>
      <c r="R401">
        <f t="shared" ca="1" si="142"/>
        <v>1.3904043261488148</v>
      </c>
      <c r="T401">
        <f t="shared" si="143"/>
        <v>1.0561142920366222</v>
      </c>
      <c r="U401" s="6">
        <f t="shared" ca="1" si="144"/>
        <v>1.0491005558501649</v>
      </c>
      <c r="V401">
        <f t="shared" ca="1" si="145"/>
        <v>0.70136390474217769</v>
      </c>
      <c r="W401">
        <v>1.0718299584665343</v>
      </c>
      <c r="X401" t="b">
        <f t="shared" ca="1" si="146"/>
        <v>1</v>
      </c>
      <c r="AS401">
        <v>0.18904401788882763</v>
      </c>
      <c r="AT401">
        <v>999</v>
      </c>
      <c r="AU401">
        <v>999</v>
      </c>
      <c r="AV401">
        <v>999</v>
      </c>
      <c r="AW401">
        <v>-3.663880234757789</v>
      </c>
      <c r="AX401">
        <v>3.1403018726679446</v>
      </c>
      <c r="AY401">
        <v>999</v>
      </c>
      <c r="AZ401">
        <v>1.1012864541252103</v>
      </c>
      <c r="BJ401" t="b">
        <f t="shared" si="127"/>
        <v>1</v>
      </c>
      <c r="BK401" t="b">
        <f t="shared" ca="1" si="128"/>
        <v>1</v>
      </c>
    </row>
    <row r="402" spans="1:63" x14ac:dyDescent="0.45">
      <c r="A402" s="1">
        <v>44652</v>
      </c>
      <c r="B402">
        <v>361.53</v>
      </c>
      <c r="C402" s="1">
        <v>44652</v>
      </c>
      <c r="D402">
        <v>452.92</v>
      </c>
      <c r="E402">
        <f t="shared" si="129"/>
        <v>6.4866369710467262E-3</v>
      </c>
      <c r="F402" s="4">
        <f t="shared" si="130"/>
        <v>2.8341156673457389E-3</v>
      </c>
      <c r="G402">
        <f t="shared" ca="1" si="131"/>
        <v>3.4267961079059118E-3</v>
      </c>
      <c r="H402">
        <f t="shared" ca="1" si="132"/>
        <v>3.4791486102731826E-2</v>
      </c>
      <c r="I402">
        <f t="shared" ca="1" si="133"/>
        <v>0.19916654589868887</v>
      </c>
      <c r="J402">
        <f t="shared" ca="1" si="134"/>
        <v>2.3892871463024026</v>
      </c>
      <c r="K402">
        <f t="shared" ca="1" si="135"/>
        <v>1.0478386020032353</v>
      </c>
      <c r="L402">
        <f t="shared" ca="1" si="136"/>
        <v>1.417217117609664</v>
      </c>
      <c r="M402">
        <f t="shared" ca="1" si="137"/>
        <v>4.0373601018997877E-4</v>
      </c>
      <c r="N402">
        <f t="shared" ca="1" si="138"/>
        <v>9.9977355214443328E-3</v>
      </c>
      <c r="O402">
        <f t="shared" ca="1" si="139"/>
        <v>-0.16151373052066956</v>
      </c>
      <c r="P402">
        <f t="shared" ca="1" si="140"/>
        <v>0.19097433136552189</v>
      </c>
      <c r="Q402">
        <f t="shared" ca="1" si="141"/>
        <v>0.91050714560704848</v>
      </c>
      <c r="R402">
        <f t="shared" ca="1" si="142"/>
        <v>1.3012946252746689</v>
      </c>
      <c r="T402">
        <f t="shared" si="143"/>
        <v>1.0064866369710468</v>
      </c>
      <c r="U402" s="6">
        <f t="shared" ca="1" si="144"/>
        <v>1.0731714557112326</v>
      </c>
      <c r="V402">
        <f t="shared" ca="1" si="145"/>
        <v>0.71349129510722309</v>
      </c>
      <c r="W402">
        <v>1.0617784990493138</v>
      </c>
      <c r="X402" t="b">
        <f t="shared" ca="1" si="146"/>
        <v>1</v>
      </c>
      <c r="AS402">
        <v>0.19971171502227933</v>
      </c>
      <c r="AT402">
        <v>999</v>
      </c>
      <c r="AU402">
        <v>999</v>
      </c>
      <c r="AV402">
        <v>999</v>
      </c>
      <c r="AW402">
        <v>-3.6464029651401666</v>
      </c>
      <c r="AX402">
        <v>3.0792365199491312</v>
      </c>
      <c r="AY402">
        <v>999</v>
      </c>
      <c r="AZ402">
        <v>1.1550474311373793</v>
      </c>
      <c r="BJ402" t="b">
        <f t="shared" si="127"/>
        <v>1</v>
      </c>
      <c r="BK402" t="b">
        <f t="shared" ca="1" si="128"/>
        <v>1</v>
      </c>
    </row>
    <row r="403" spans="1:63" x14ac:dyDescent="0.45">
      <c r="A403" s="1">
        <v>44651</v>
      </c>
      <c r="B403">
        <v>359.2</v>
      </c>
      <c r="C403" s="1">
        <v>44651</v>
      </c>
      <c r="D403">
        <v>451.64</v>
      </c>
      <c r="E403">
        <f t="shared" si="129"/>
        <v>-1.4980955018743393E-2</v>
      </c>
      <c r="F403" s="4">
        <f t="shared" si="130"/>
        <v>-1.5391323304992375E-2</v>
      </c>
      <c r="G403">
        <f t="shared" ca="1" si="131"/>
        <v>3.4913260671364209E-3</v>
      </c>
      <c r="H403">
        <f t="shared" ca="1" si="132"/>
        <v>3.4809154192723263E-2</v>
      </c>
      <c r="I403">
        <f t="shared" ca="1" si="133"/>
        <v>0.193732117281848</v>
      </c>
      <c r="J403">
        <f t="shared" ca="1" si="134"/>
        <v>2.3770027697383407</v>
      </c>
      <c r="K403">
        <f t="shared" ca="1" si="135"/>
        <v>1.0478386020032353</v>
      </c>
      <c r="L403">
        <f t="shared" ca="1" si="136"/>
        <v>1.417217117609664</v>
      </c>
      <c r="M403">
        <f t="shared" ca="1" si="137"/>
        <v>3.8790709634828715E-4</v>
      </c>
      <c r="N403">
        <f t="shared" ca="1" si="138"/>
        <v>9.9963743068753955E-3</v>
      </c>
      <c r="O403">
        <f t="shared" ca="1" si="139"/>
        <v>-0.15685630337391299</v>
      </c>
      <c r="P403">
        <f t="shared" ca="1" si="140"/>
        <v>0.19169056058585188</v>
      </c>
      <c r="Q403">
        <f t="shared" ca="1" si="141"/>
        <v>0.91050714560704848</v>
      </c>
      <c r="R403">
        <f t="shared" ca="1" si="142"/>
        <v>1.3012946252746689</v>
      </c>
      <c r="T403">
        <f t="shared" si="143"/>
        <v>0.98501904498125659</v>
      </c>
      <c r="U403" s="6">
        <f t="shared" ca="1" si="144"/>
        <v>1.0628067922585531</v>
      </c>
      <c r="V403">
        <f t="shared" ca="1" si="145"/>
        <v>0.70763855484060845</v>
      </c>
      <c r="W403">
        <v>0.99844483258677252</v>
      </c>
      <c r="X403" t="b">
        <f t="shared" ca="1" si="146"/>
        <v>0</v>
      </c>
      <c r="AS403">
        <v>0.19964450323285218</v>
      </c>
      <c r="AT403">
        <v>999</v>
      </c>
      <c r="AU403">
        <v>999</v>
      </c>
      <c r="AV403">
        <v>999</v>
      </c>
      <c r="AW403">
        <v>999</v>
      </c>
      <c r="AX403">
        <v>999</v>
      </c>
      <c r="AY403">
        <v>999</v>
      </c>
      <c r="AZ403">
        <v>118.45735909644688</v>
      </c>
      <c r="BJ403" t="b">
        <f t="shared" si="127"/>
        <v>1</v>
      </c>
      <c r="BK403" t="b">
        <f t="shared" ca="1" si="128"/>
        <v>0</v>
      </c>
    </row>
    <row r="404" spans="1:63" x14ac:dyDescent="0.45">
      <c r="A404" s="1">
        <v>44650</v>
      </c>
      <c r="B404">
        <v>364.66300000000001</v>
      </c>
      <c r="C404" s="1">
        <v>44650</v>
      </c>
      <c r="D404">
        <v>458.7</v>
      </c>
      <c r="E404">
        <f t="shared" si="129"/>
        <v>-5.0747156385820627E-3</v>
      </c>
      <c r="F404" s="4">
        <f t="shared" si="130"/>
        <v>-6.1748456288593274E-3</v>
      </c>
      <c r="G404">
        <f t="shared" ca="1" si="131"/>
        <v>3.6121797778465702E-3</v>
      </c>
      <c r="H404">
        <f t="shared" ca="1" si="132"/>
        <v>3.4786649960034964E-2</v>
      </c>
      <c r="I404">
        <f t="shared" ca="1" si="133"/>
        <v>0.18436295858637761</v>
      </c>
      <c r="J404">
        <f t="shared" ca="1" si="134"/>
        <v>2.3879520809539017</v>
      </c>
      <c r="K404">
        <f t="shared" ca="1" si="135"/>
        <v>1.0478386020032353</v>
      </c>
      <c r="L404">
        <f t="shared" ca="1" si="136"/>
        <v>1.455859978138706</v>
      </c>
      <c r="M404">
        <f t="shared" ca="1" si="137"/>
        <v>4.3694720326148883E-4</v>
      </c>
      <c r="N404">
        <f t="shared" ca="1" si="138"/>
        <v>9.9424885401969924E-3</v>
      </c>
      <c r="O404">
        <f t="shared" ca="1" si="139"/>
        <v>-0.155176694958269</v>
      </c>
      <c r="P404">
        <f t="shared" ca="1" si="140"/>
        <v>0.23323972019796546</v>
      </c>
      <c r="Q404">
        <f t="shared" ca="1" si="141"/>
        <v>0.91050714560704848</v>
      </c>
      <c r="R404">
        <f t="shared" ca="1" si="142"/>
        <v>1.3012946252746689</v>
      </c>
      <c r="T404">
        <f t="shared" si="143"/>
        <v>0.99492528436141792</v>
      </c>
      <c r="U404" s="6">
        <f t="shared" ca="1" si="144"/>
        <v>1.094962421592796</v>
      </c>
      <c r="V404">
        <f t="shared" ca="1" si="145"/>
        <v>0.72774116705456648</v>
      </c>
      <c r="W404">
        <v>0.99891457201505762</v>
      </c>
      <c r="X404" t="b">
        <f t="shared" ca="1" si="146"/>
        <v>0</v>
      </c>
      <c r="AS404">
        <v>0.22694010825271363</v>
      </c>
      <c r="AT404">
        <v>999</v>
      </c>
      <c r="AU404">
        <v>999</v>
      </c>
      <c r="AV404">
        <v>999</v>
      </c>
      <c r="AW404">
        <v>999</v>
      </c>
      <c r="AX404">
        <v>999</v>
      </c>
      <c r="AY404">
        <v>999</v>
      </c>
      <c r="AZ404">
        <v>119.77368027443677</v>
      </c>
      <c r="BJ404" t="b">
        <f t="shared" si="127"/>
        <v>1</v>
      </c>
      <c r="BK404" t="b">
        <f t="shared" ca="1" si="128"/>
        <v>0</v>
      </c>
    </row>
    <row r="405" spans="1:63" x14ac:dyDescent="0.45">
      <c r="A405" s="1">
        <v>44649</v>
      </c>
      <c r="B405">
        <v>366.52300000000002</v>
      </c>
      <c r="C405" s="1">
        <v>44649</v>
      </c>
      <c r="D405">
        <v>461.55</v>
      </c>
      <c r="E405">
        <f t="shared" si="129"/>
        <v>7.0779536580876387E-3</v>
      </c>
      <c r="F405" s="4">
        <f t="shared" si="130"/>
        <v>1.2370862670263837E-2</v>
      </c>
      <c r="G405">
        <f t="shared" ca="1" si="131"/>
        <v>3.4891781975864679E-3</v>
      </c>
      <c r="H405">
        <f t="shared" ca="1" si="132"/>
        <v>3.4860932799210147E-2</v>
      </c>
      <c r="I405">
        <f t="shared" ca="1" si="133"/>
        <v>0.18953845225637062</v>
      </c>
      <c r="J405">
        <f t="shared" ca="1" si="134"/>
        <v>2.3487241564438586</v>
      </c>
      <c r="K405">
        <f t="shared" ca="1" si="135"/>
        <v>1.0478386020032353</v>
      </c>
      <c r="L405">
        <f t="shared" ca="1" si="136"/>
        <v>1.417217117609664</v>
      </c>
      <c r="M405">
        <f t="shared" ca="1" si="137"/>
        <v>4.5865057122613129E-4</v>
      </c>
      <c r="N405">
        <f t="shared" ca="1" si="138"/>
        <v>9.9327159966434344E-3</v>
      </c>
      <c r="O405">
        <f t="shared" ca="1" si="139"/>
        <v>-0.16082003574679155</v>
      </c>
      <c r="P405">
        <f t="shared" ca="1" si="140"/>
        <v>0.24656521828325095</v>
      </c>
      <c r="Q405">
        <f t="shared" ca="1" si="141"/>
        <v>0.91050714560704848</v>
      </c>
      <c r="R405">
        <f t="shared" ca="1" si="142"/>
        <v>1.3077296914782051</v>
      </c>
      <c r="T405">
        <f t="shared" si="143"/>
        <v>1.0070779536580876</v>
      </c>
      <c r="U405" s="6">
        <f t="shared" ca="1" si="144"/>
        <v>1.1062273826159656</v>
      </c>
      <c r="V405">
        <f t="shared" ca="1" si="145"/>
        <v>0.73410342131284512</v>
      </c>
      <c r="W405">
        <v>0.99954810657905524</v>
      </c>
      <c r="X405" t="b">
        <f t="shared" ca="1" si="146"/>
        <v>0</v>
      </c>
      <c r="AS405">
        <v>0.18775762029869753</v>
      </c>
      <c r="AT405">
        <v>999</v>
      </c>
      <c r="AU405">
        <v>999</v>
      </c>
      <c r="AV405">
        <v>999</v>
      </c>
      <c r="AW405">
        <v>999</v>
      </c>
      <c r="AX405">
        <v>999</v>
      </c>
      <c r="AY405">
        <v>999</v>
      </c>
      <c r="AZ405">
        <v>115.71454379117473</v>
      </c>
      <c r="BJ405" t="b">
        <f t="shared" si="127"/>
        <v>1</v>
      </c>
      <c r="BK405" t="b">
        <f t="shared" ca="1" si="128"/>
        <v>0</v>
      </c>
    </row>
    <row r="406" spans="1:63" x14ac:dyDescent="0.45">
      <c r="A406" s="1">
        <v>44648</v>
      </c>
      <c r="B406">
        <v>363.947</v>
      </c>
      <c r="C406" s="1">
        <v>44648</v>
      </c>
      <c r="D406">
        <v>455.91</v>
      </c>
      <c r="E406">
        <f t="shared" si="129"/>
        <v>8.034611731180244E-2</v>
      </c>
      <c r="F406" s="4">
        <f t="shared" si="130"/>
        <v>7.1130354105459082E-3</v>
      </c>
      <c r="G406">
        <f t="shared" ca="1" si="131"/>
        <v>3.5177342819155961E-3</v>
      </c>
      <c r="H406">
        <f t="shared" ca="1" si="132"/>
        <v>3.486622604088991E-2</v>
      </c>
      <c r="I406">
        <f t="shared" ca="1" si="133"/>
        <v>0.18706105681190691</v>
      </c>
      <c r="J406">
        <f t="shared" ca="1" si="134"/>
        <v>2.3448452476035637</v>
      </c>
      <c r="K406">
        <f t="shared" ca="1" si="135"/>
        <v>1.0478386020032353</v>
      </c>
      <c r="L406">
        <f t="shared" ca="1" si="136"/>
        <v>1.417217117609664</v>
      </c>
      <c r="M406">
        <f t="shared" ca="1" si="137"/>
        <v>4.0799090329914756E-4</v>
      </c>
      <c r="N406">
        <f t="shared" ca="1" si="138"/>
        <v>9.8974302235626723E-3</v>
      </c>
      <c r="O406">
        <f t="shared" ca="1" si="139"/>
        <v>-0.15585559314833788</v>
      </c>
      <c r="P406">
        <f t="shared" ca="1" si="140"/>
        <v>0.27948775512669011</v>
      </c>
      <c r="Q406">
        <f t="shared" ca="1" si="141"/>
        <v>0.91050714560704848</v>
      </c>
      <c r="R406">
        <f t="shared" ca="1" si="142"/>
        <v>1.2693225525355227</v>
      </c>
      <c r="T406">
        <f t="shared" si="143"/>
        <v>1.0803461173118025</v>
      </c>
      <c r="U406" s="6">
        <f t="shared" ca="1" si="144"/>
        <v>1.1852904873100083</v>
      </c>
      <c r="V406">
        <f t="shared" ca="1" si="145"/>
        <v>0.7336180754735605</v>
      </c>
      <c r="W406">
        <v>0.96981530904543345</v>
      </c>
      <c r="X406" t="b">
        <f t="shared" ca="1" si="146"/>
        <v>0</v>
      </c>
      <c r="AS406">
        <v>0.23470207650014865</v>
      </c>
      <c r="AT406">
        <v>999</v>
      </c>
      <c r="AU406">
        <v>999</v>
      </c>
      <c r="AV406">
        <v>999</v>
      </c>
      <c r="AW406">
        <v>999</v>
      </c>
      <c r="AX406">
        <v>999</v>
      </c>
      <c r="AY406">
        <v>-3.2338580388330196</v>
      </c>
      <c r="AZ406">
        <v>29.814966090269131</v>
      </c>
      <c r="BJ406" t="b">
        <f t="shared" si="127"/>
        <v>1</v>
      </c>
      <c r="BK406" t="b">
        <f t="shared" ca="1" si="128"/>
        <v>0</v>
      </c>
    </row>
    <row r="407" spans="1:63" x14ac:dyDescent="0.45">
      <c r="A407" s="1">
        <v>44645</v>
      </c>
      <c r="B407">
        <v>336.88</v>
      </c>
      <c r="C407" s="1">
        <v>44645</v>
      </c>
      <c r="D407">
        <v>452.69</v>
      </c>
      <c r="E407">
        <f t="shared" si="129"/>
        <v>-3.2339861468224317E-3</v>
      </c>
      <c r="F407" s="4">
        <f t="shared" si="130"/>
        <v>4.8835712224466442E-3</v>
      </c>
      <c r="G407">
        <f t="shared" ca="1" si="131"/>
        <v>3.1141352074058721E-3</v>
      </c>
      <c r="H407">
        <f t="shared" ca="1" si="132"/>
        <v>3.4436968442686192E-2</v>
      </c>
      <c r="I407">
        <f t="shared" ca="1" si="133"/>
        <v>0.17328900904795444</v>
      </c>
      <c r="J407">
        <f t="shared" ca="1" si="134"/>
        <v>2.4978283219282327</v>
      </c>
      <c r="K407">
        <f t="shared" ca="1" si="135"/>
        <v>1.0134982332615801</v>
      </c>
      <c r="L407">
        <f t="shared" ca="1" si="136"/>
        <v>1.3993304350267679</v>
      </c>
      <c r="M407">
        <f t="shared" ca="1" si="137"/>
        <v>3.8068804300003556E-4</v>
      </c>
      <c r="N407">
        <f t="shared" ca="1" si="138"/>
        <v>9.8863664008146512E-3</v>
      </c>
      <c r="O407">
        <f t="shared" ca="1" si="139"/>
        <v>-0.14958405472962127</v>
      </c>
      <c r="P407">
        <f t="shared" ca="1" si="140"/>
        <v>0.29157035293022959</v>
      </c>
      <c r="Q407">
        <f t="shared" ca="1" si="141"/>
        <v>0.91050714560704848</v>
      </c>
      <c r="R407">
        <f t="shared" ca="1" si="142"/>
        <v>1.245897597714134</v>
      </c>
      <c r="T407">
        <f t="shared" si="143"/>
        <v>0.99676601385317753</v>
      </c>
      <c r="U407" s="6">
        <f t="shared" ca="1" si="144"/>
        <v>1.1162470137211435</v>
      </c>
      <c r="V407">
        <f t="shared" ca="1" si="145"/>
        <v>0.74338079823755654</v>
      </c>
      <c r="W407">
        <v>0.95565918406906203</v>
      </c>
      <c r="X407" t="b">
        <f t="shared" ca="1" si="146"/>
        <v>0</v>
      </c>
      <c r="AS407">
        <v>0.18651669061510109</v>
      </c>
      <c r="AT407">
        <v>999</v>
      </c>
      <c r="AU407">
        <v>999</v>
      </c>
      <c r="AV407">
        <v>999</v>
      </c>
      <c r="AW407">
        <v>999</v>
      </c>
      <c r="AX407">
        <v>999</v>
      </c>
      <c r="AY407">
        <v>-3.6384089114260418</v>
      </c>
      <c r="AZ407">
        <v>29.475448656169085</v>
      </c>
      <c r="BJ407" t="b">
        <f t="shared" si="127"/>
        <v>1</v>
      </c>
      <c r="BK407" t="b">
        <f t="shared" ca="1" si="128"/>
        <v>0</v>
      </c>
    </row>
    <row r="408" spans="1:63" x14ac:dyDescent="0.45">
      <c r="A408" s="1">
        <v>44644</v>
      </c>
      <c r="B408">
        <v>337.97300000000001</v>
      </c>
      <c r="C408" s="1">
        <v>44644</v>
      </c>
      <c r="D408">
        <v>450.49</v>
      </c>
      <c r="E408">
        <f t="shared" si="129"/>
        <v>1.4821176025486766E-2</v>
      </c>
      <c r="F408" s="4">
        <f t="shared" si="130"/>
        <v>1.5074357818837309E-2</v>
      </c>
      <c r="G408">
        <f t="shared" ca="1" si="131"/>
        <v>3.2249978377837597E-3</v>
      </c>
      <c r="H408">
        <f t="shared" ca="1" si="132"/>
        <v>3.4452115873531468E-2</v>
      </c>
      <c r="I408">
        <f t="shared" ca="1" si="133"/>
        <v>0.16383298829557577</v>
      </c>
      <c r="J408">
        <f t="shared" ca="1" si="134"/>
        <v>2.4860943463337195</v>
      </c>
      <c r="K408">
        <f t="shared" ca="1" si="135"/>
        <v>1.0134982332615801</v>
      </c>
      <c r="L408">
        <f t="shared" ca="1" si="136"/>
        <v>1.3993304350267679</v>
      </c>
      <c r="M408">
        <f t="shared" ca="1" si="137"/>
        <v>3.7951221226429971E-4</v>
      </c>
      <c r="N408">
        <f t="shared" ca="1" si="138"/>
        <v>9.8858421319334682E-3</v>
      </c>
      <c r="O408">
        <f t="shared" ca="1" si="139"/>
        <v>-0.14931872415378311</v>
      </c>
      <c r="P408">
        <f t="shared" ca="1" si="140"/>
        <v>0.29216273862324726</v>
      </c>
      <c r="Q408">
        <f t="shared" ca="1" si="141"/>
        <v>0.91050714560704848</v>
      </c>
      <c r="R408">
        <f t="shared" ca="1" si="142"/>
        <v>1.245897597714134</v>
      </c>
      <c r="T408">
        <f t="shared" si="143"/>
        <v>1.0148211760254868</v>
      </c>
      <c r="U408" s="6">
        <f t="shared" ca="1" si="144"/>
        <v>1.1632860983089701</v>
      </c>
      <c r="V408">
        <f t="shared" ca="1" si="145"/>
        <v>0.75966933535449488</v>
      </c>
      <c r="W408">
        <v>0.94486357308052682</v>
      </c>
      <c r="X408" t="b">
        <f t="shared" ca="1" si="146"/>
        <v>0</v>
      </c>
      <c r="AS408">
        <v>0.23540585421999533</v>
      </c>
      <c r="AT408">
        <v>3.0031452544748105</v>
      </c>
      <c r="AU408">
        <v>999</v>
      </c>
      <c r="AV408">
        <v>999</v>
      </c>
      <c r="AW408">
        <v>999</v>
      </c>
      <c r="AX408">
        <v>999</v>
      </c>
      <c r="AY408">
        <v>-4.8281750477988039</v>
      </c>
      <c r="AZ408">
        <v>9.3925177030506397</v>
      </c>
      <c r="BJ408" t="b">
        <f t="shared" si="127"/>
        <v>1</v>
      </c>
      <c r="BK408" t="b">
        <f t="shared" ca="1" si="128"/>
        <v>0</v>
      </c>
    </row>
    <row r="409" spans="1:63" x14ac:dyDescent="0.45">
      <c r="A409" s="1">
        <v>44643</v>
      </c>
      <c r="B409">
        <v>333.03699999999998</v>
      </c>
      <c r="C409" s="1">
        <v>44643</v>
      </c>
      <c r="D409">
        <v>443.8</v>
      </c>
      <c r="E409">
        <f t="shared" si="129"/>
        <v>5.1610644469058647E-3</v>
      </c>
      <c r="F409" s="4">
        <f t="shared" si="130"/>
        <v>-1.2878400320291741E-2</v>
      </c>
      <c r="G409">
        <f t="shared" ca="1" si="131"/>
        <v>3.1110305283109574E-3</v>
      </c>
      <c r="H409">
        <f t="shared" ca="1" si="132"/>
        <v>3.4451263329069559E-2</v>
      </c>
      <c r="I409">
        <f t="shared" ca="1" si="133"/>
        <v>0.1735018072015708</v>
      </c>
      <c r="J409">
        <f t="shared" ca="1" si="134"/>
        <v>2.4889080272944311</v>
      </c>
      <c r="K409">
        <f t="shared" ca="1" si="135"/>
        <v>1.0134982332615801</v>
      </c>
      <c r="L409">
        <f t="shared" ca="1" si="136"/>
        <v>1.3993304350267679</v>
      </c>
      <c r="M409">
        <f t="shared" ca="1" si="137"/>
        <v>2.9668091762876639E-4</v>
      </c>
      <c r="N409">
        <f t="shared" ca="1" si="138"/>
        <v>9.8313508768248532E-3</v>
      </c>
      <c r="O409">
        <f t="shared" ca="1" si="139"/>
        <v>-0.14326868863951811</v>
      </c>
      <c r="P409">
        <f t="shared" ca="1" si="140"/>
        <v>0.33557564202600654</v>
      </c>
      <c r="Q409">
        <f t="shared" ca="1" si="141"/>
        <v>0.91050714560704848</v>
      </c>
      <c r="R409">
        <f t="shared" ca="1" si="142"/>
        <v>1.2111053654870247</v>
      </c>
      <c r="T409">
        <f t="shared" si="143"/>
        <v>1.0051610644469058</v>
      </c>
      <c r="U409" s="6">
        <f t="shared" ca="1" si="144"/>
        <v>1.1890908571571388</v>
      </c>
      <c r="V409">
        <f t="shared" ca="1" si="145"/>
        <v>0.73823077892233668</v>
      </c>
      <c r="W409">
        <v>0.94274990068333153</v>
      </c>
      <c r="X409" t="b">
        <f t="shared" ca="1" si="146"/>
        <v>0</v>
      </c>
      <c r="AS409">
        <v>0.27603854034672243</v>
      </c>
      <c r="AT409">
        <v>3.5577419961815182</v>
      </c>
      <c r="AU409">
        <v>999</v>
      </c>
      <c r="AV409">
        <v>999</v>
      </c>
      <c r="AW409">
        <v>999</v>
      </c>
      <c r="AX409">
        <v>999</v>
      </c>
      <c r="AY409">
        <v>-5.4754645776881832</v>
      </c>
      <c r="AZ409">
        <v>9.0243774820785436</v>
      </c>
      <c r="BJ409" t="b">
        <f t="shared" si="127"/>
        <v>1</v>
      </c>
      <c r="BK409" t="b">
        <f t="shared" ca="1" si="128"/>
        <v>0</v>
      </c>
    </row>
    <row r="410" spans="1:63" x14ac:dyDescent="0.45">
      <c r="A410" s="1">
        <v>44642</v>
      </c>
      <c r="B410">
        <v>331.327</v>
      </c>
      <c r="C410" s="1">
        <v>44642</v>
      </c>
      <c r="D410">
        <v>449.59</v>
      </c>
      <c r="E410">
        <f t="shared" si="129"/>
        <v>7.9054756019319147E-2</v>
      </c>
      <c r="F410" s="4">
        <f t="shared" si="130"/>
        <v>1.1701433425594611E-2</v>
      </c>
      <c r="G410">
        <f t="shared" ca="1" si="131"/>
        <v>3.0725089302348733E-3</v>
      </c>
      <c r="H410">
        <f t="shared" ca="1" si="132"/>
        <v>3.4453266794791083E-2</v>
      </c>
      <c r="I410">
        <f t="shared" ca="1" si="133"/>
        <v>0.17683616621293283</v>
      </c>
      <c r="J410">
        <f t="shared" ca="1" si="134"/>
        <v>2.4884236597526144</v>
      </c>
      <c r="K410">
        <f t="shared" ca="1" si="135"/>
        <v>1.0134982332615801</v>
      </c>
      <c r="L410">
        <f t="shared" ca="1" si="136"/>
        <v>1.3993304350267679</v>
      </c>
      <c r="M410">
        <f t="shared" ca="1" si="137"/>
        <v>3.6213879004668174E-4</v>
      </c>
      <c r="N410">
        <f t="shared" ca="1" si="138"/>
        <v>9.7866702016984417E-3</v>
      </c>
      <c r="O410">
        <f t="shared" ca="1" si="139"/>
        <v>-0.15312416283742836</v>
      </c>
      <c r="P410">
        <f t="shared" ca="1" si="140"/>
        <v>0.38464208518112919</v>
      </c>
      <c r="Q410">
        <f t="shared" ca="1" si="141"/>
        <v>0.91050714560704848</v>
      </c>
      <c r="R410">
        <f t="shared" ca="1" si="142"/>
        <v>1.2239362928778168</v>
      </c>
      <c r="T410">
        <f t="shared" si="143"/>
        <v>1.0790547560193191</v>
      </c>
      <c r="U410" s="6">
        <f t="shared" ca="1" si="144"/>
        <v>1.2395462724983817</v>
      </c>
      <c r="V410">
        <f t="shared" ca="1" si="145"/>
        <v>0.7730327494468946</v>
      </c>
      <c r="W410">
        <v>0.96724044131931219</v>
      </c>
      <c r="X410" t="b">
        <f t="shared" ca="1" si="146"/>
        <v>0</v>
      </c>
      <c r="AS410">
        <v>0.39145593464702272</v>
      </c>
      <c r="AT410">
        <v>4.5595920181792975</v>
      </c>
      <c r="AU410">
        <v>3.5017206421980145</v>
      </c>
      <c r="AV410">
        <v>999</v>
      </c>
      <c r="AW410">
        <v>999</v>
      </c>
      <c r="AX410">
        <v>999</v>
      </c>
      <c r="AY410">
        <v>-7.3465704448781572</v>
      </c>
      <c r="AZ410">
        <v>-3.8626094118404342E-2</v>
      </c>
      <c r="BJ410" t="b">
        <f t="shared" si="127"/>
        <v>1</v>
      </c>
      <c r="BK410" t="b">
        <f t="shared" ca="1" si="128"/>
        <v>0</v>
      </c>
    </row>
    <row r="411" spans="1:63" x14ac:dyDescent="0.45">
      <c r="A411" s="1">
        <v>44641</v>
      </c>
      <c r="B411">
        <v>307.053</v>
      </c>
      <c r="C411" s="1">
        <v>44641</v>
      </c>
      <c r="D411">
        <v>444.39</v>
      </c>
      <c r="E411">
        <f t="shared" si="129"/>
        <v>1.7415680076342612E-2</v>
      </c>
      <c r="F411" s="4">
        <f t="shared" si="130"/>
        <v>-2.9245028345180297E-4</v>
      </c>
      <c r="G411">
        <f t="shared" ca="1" si="131"/>
        <v>2.7279905975223818E-3</v>
      </c>
      <c r="H411">
        <f t="shared" ca="1" si="132"/>
        <v>3.4031581314573157E-2</v>
      </c>
      <c r="I411">
        <f t="shared" ca="1" si="133"/>
        <v>0.15772153448787124</v>
      </c>
      <c r="J411">
        <f t="shared" ca="1" si="134"/>
        <v>2.6450580363321672</v>
      </c>
      <c r="K411">
        <f t="shared" ca="1" si="135"/>
        <v>0.95830252007200722</v>
      </c>
      <c r="L411">
        <f t="shared" ca="1" si="136"/>
        <v>1.342999027533246</v>
      </c>
      <c r="M411">
        <f t="shared" ca="1" si="137"/>
        <v>2.9878070006021353E-4</v>
      </c>
      <c r="N411">
        <f t="shared" ca="1" si="138"/>
        <v>9.7538541401612916E-3</v>
      </c>
      <c r="O411">
        <f t="shared" ca="1" si="139"/>
        <v>-0.14297880619935691</v>
      </c>
      <c r="P411">
        <f t="shared" ca="1" si="140"/>
        <v>0.41753156441026862</v>
      </c>
      <c r="Q411">
        <f t="shared" ca="1" si="141"/>
        <v>0.91050714560704848</v>
      </c>
      <c r="R411">
        <f t="shared" ca="1" si="142"/>
        <v>1.1948495294063255</v>
      </c>
      <c r="T411">
        <f t="shared" si="143"/>
        <v>1.0174156800763425</v>
      </c>
      <c r="U411" s="6">
        <f t="shared" ca="1" si="144"/>
        <v>1.2019752835115107</v>
      </c>
      <c r="V411">
        <f t="shared" ca="1" si="145"/>
        <v>0.79512638040571171</v>
      </c>
      <c r="W411">
        <v>0.94490301469159621</v>
      </c>
      <c r="X411" t="b">
        <f t="shared" ca="1" si="146"/>
        <v>0</v>
      </c>
      <c r="AS411">
        <v>0.38536668196075813</v>
      </c>
      <c r="AT411">
        <v>999</v>
      </c>
      <c r="AU411">
        <v>999</v>
      </c>
      <c r="AV411">
        <v>4.0150283722105318</v>
      </c>
      <c r="AW411">
        <v>-3.4369115677465953</v>
      </c>
      <c r="AX411">
        <v>-4.9996983578112566</v>
      </c>
      <c r="AY411">
        <v>-4.3225185893304481</v>
      </c>
      <c r="AZ411">
        <v>8.7497557940117723</v>
      </c>
      <c r="BJ411" t="b">
        <f t="shared" si="127"/>
        <v>1</v>
      </c>
      <c r="BK411" t="b">
        <f t="shared" ca="1" si="128"/>
        <v>0</v>
      </c>
    </row>
    <row r="412" spans="1:63" x14ac:dyDescent="0.45">
      <c r="A412" s="1">
        <v>44638</v>
      </c>
      <c r="B412">
        <v>301.79700000000003</v>
      </c>
      <c r="C412" s="1">
        <v>44638</v>
      </c>
      <c r="D412">
        <v>444.52</v>
      </c>
      <c r="E412">
        <f t="shared" si="129"/>
        <v>3.8770122498993261E-2</v>
      </c>
      <c r="F412" s="4">
        <f t="shared" si="130"/>
        <v>7.8218876822272847E-3</v>
      </c>
      <c r="G412">
        <f t="shared" ca="1" si="131"/>
        <v>2.8696667730177452E-3</v>
      </c>
      <c r="H412">
        <f t="shared" ca="1" si="132"/>
        <v>3.4151803164398115E-2</v>
      </c>
      <c r="I412">
        <f t="shared" ca="1" si="133"/>
        <v>0.15323469424971786</v>
      </c>
      <c r="J412">
        <f t="shared" ca="1" si="134"/>
        <v>2.5755137425721548</v>
      </c>
      <c r="K412">
        <f t="shared" ca="1" si="135"/>
        <v>0.95830252007200722</v>
      </c>
      <c r="L412">
        <f t="shared" ca="1" si="136"/>
        <v>1.3993304350267679</v>
      </c>
      <c r="M412">
        <f t="shared" ca="1" si="137"/>
        <v>3.4597211068180948E-4</v>
      </c>
      <c r="N412">
        <f t="shared" ca="1" si="138"/>
        <v>9.7737911771379644E-3</v>
      </c>
      <c r="O412">
        <f t="shared" ca="1" si="139"/>
        <v>-0.15297142435053615</v>
      </c>
      <c r="P412">
        <f t="shared" ca="1" si="140"/>
        <v>0.39570654995208931</v>
      </c>
      <c r="Q412">
        <f t="shared" ca="1" si="141"/>
        <v>0.91050714560704848</v>
      </c>
      <c r="R412">
        <f t="shared" ca="1" si="142"/>
        <v>1.2239362928778168</v>
      </c>
      <c r="T412">
        <f t="shared" si="143"/>
        <v>1.0387701224989934</v>
      </c>
      <c r="U412" s="6">
        <f t="shared" ca="1" si="144"/>
        <v>1.1383540097390963</v>
      </c>
      <c r="V412">
        <f t="shared" ca="1" si="145"/>
        <v>0.82561091195347991</v>
      </c>
      <c r="W412">
        <v>0.92343099923774141</v>
      </c>
      <c r="X412" t="b">
        <f t="shared" ca="1" si="146"/>
        <v>0</v>
      </c>
      <c r="AS412">
        <v>0.43647594813615709</v>
      </c>
      <c r="AT412">
        <v>999</v>
      </c>
      <c r="AU412">
        <v>999</v>
      </c>
      <c r="AV412">
        <v>4.5044833303790695</v>
      </c>
      <c r="AW412">
        <v>-3.783296274767562</v>
      </c>
      <c r="AX412">
        <v>-5.7593757726798618</v>
      </c>
      <c r="AY412">
        <v>-4.4364162259292224</v>
      </c>
      <c r="AZ412">
        <v>9.5930822050055973</v>
      </c>
      <c r="BJ412" t="b">
        <f t="shared" si="127"/>
        <v>1</v>
      </c>
      <c r="BK412" t="b">
        <f t="shared" ca="1" si="128"/>
        <v>0</v>
      </c>
    </row>
    <row r="413" spans="1:63" x14ac:dyDescent="0.45">
      <c r="A413" s="1">
        <v>44637</v>
      </c>
      <c r="B413">
        <v>290.53300000000002</v>
      </c>
      <c r="C413" s="1">
        <v>44637</v>
      </c>
      <c r="D413">
        <v>441.07</v>
      </c>
      <c r="E413">
        <f t="shared" si="129"/>
        <v>3.7332590680420087E-2</v>
      </c>
      <c r="F413" s="4">
        <f t="shared" si="130"/>
        <v>1.2510903998898096E-2</v>
      </c>
      <c r="G413">
        <f t="shared" ca="1" si="131"/>
        <v>2.4090926457216054E-3</v>
      </c>
      <c r="H413">
        <f t="shared" ca="1" si="132"/>
        <v>3.4286083816753951E-2</v>
      </c>
      <c r="I413">
        <f t="shared" ca="1" si="133"/>
        <v>0.16395171527541763</v>
      </c>
      <c r="J413">
        <f t="shared" ca="1" si="134"/>
        <v>2.5270393153248651</v>
      </c>
      <c r="K413">
        <f t="shared" ca="1" si="135"/>
        <v>0.94615859451706308</v>
      </c>
      <c r="L413">
        <f t="shared" ca="1" si="136"/>
        <v>1.3048885609537444</v>
      </c>
      <c r="M413">
        <f t="shared" ca="1" si="137"/>
        <v>2.8830582407996582E-4</v>
      </c>
      <c r="N413">
        <f t="shared" ca="1" si="138"/>
        <v>9.7634791324525544E-3</v>
      </c>
      <c r="O413">
        <f t="shared" ca="1" si="139"/>
        <v>-0.13820145959851005</v>
      </c>
      <c r="P413">
        <f t="shared" ca="1" si="140"/>
        <v>0.4050960560821375</v>
      </c>
      <c r="Q413">
        <f t="shared" ca="1" si="141"/>
        <v>0.91050714560704848</v>
      </c>
      <c r="R413">
        <f t="shared" ca="1" si="142"/>
        <v>1.1948495294063255</v>
      </c>
      <c r="T413">
        <f t="shared" si="143"/>
        <v>1.0373325906804201</v>
      </c>
      <c r="U413" s="6">
        <f t="shared" ca="1" si="144"/>
        <v>1.0397232968189154</v>
      </c>
      <c r="V413">
        <f t="shared" ca="1" si="145"/>
        <v>0.80489039458163025</v>
      </c>
      <c r="W413">
        <v>0.91063220710364523</v>
      </c>
      <c r="X413" t="b">
        <f t="shared" ca="1" si="146"/>
        <v>0</v>
      </c>
      <c r="AS413">
        <v>0.45200581272343004</v>
      </c>
      <c r="AT413">
        <v>999</v>
      </c>
      <c r="AU413">
        <v>999</v>
      </c>
      <c r="AV413">
        <v>4.6894308495005097</v>
      </c>
      <c r="AW413">
        <v>-3.914621332048986</v>
      </c>
      <c r="AX413">
        <v>-6.0495267024736981</v>
      </c>
      <c r="AY413">
        <v>-4.5161362802759966</v>
      </c>
      <c r="AZ413">
        <v>9.9017901696519246</v>
      </c>
      <c r="BJ413" t="b">
        <f t="shared" si="127"/>
        <v>1</v>
      </c>
      <c r="BK413" t="b">
        <f t="shared" ca="1" si="128"/>
        <v>0</v>
      </c>
    </row>
    <row r="414" spans="1:63" x14ac:dyDescent="0.45">
      <c r="A414" s="1">
        <v>44636</v>
      </c>
      <c r="B414">
        <v>280.077</v>
      </c>
      <c r="C414" s="1">
        <v>44636</v>
      </c>
      <c r="D414">
        <v>435.62</v>
      </c>
      <c r="E414">
        <f t="shared" si="129"/>
        <v>4.7811984421822808E-2</v>
      </c>
      <c r="F414" s="4">
        <f t="shared" si="130"/>
        <v>2.2174249712555993E-2</v>
      </c>
      <c r="G414">
        <f t="shared" ca="1" si="131"/>
        <v>2.0719250449475661E-3</v>
      </c>
      <c r="H414">
        <f t="shared" ca="1" si="132"/>
        <v>3.4272488313124218E-2</v>
      </c>
      <c r="I414">
        <f t="shared" ca="1" si="133"/>
        <v>0.18425649410032455</v>
      </c>
      <c r="J414">
        <f t="shared" ca="1" si="134"/>
        <v>2.5412959634898735</v>
      </c>
      <c r="K414">
        <f t="shared" ca="1" si="135"/>
        <v>0.94615859451706308</v>
      </c>
      <c r="L414">
        <f t="shared" ca="1" si="136"/>
        <v>1.1715442192457315</v>
      </c>
      <c r="M414">
        <f t="shared" ca="1" si="137"/>
        <v>2.3361462526640296E-4</v>
      </c>
      <c r="N414">
        <f t="shared" ca="1" si="138"/>
        <v>9.7252298093629952E-3</v>
      </c>
      <c r="O414">
        <f t="shared" ca="1" si="139"/>
        <v>-0.132861650066739</v>
      </c>
      <c r="P414">
        <f t="shared" ca="1" si="140"/>
        <v>0.44354173091434967</v>
      </c>
      <c r="Q414">
        <f t="shared" ca="1" si="141"/>
        <v>0.91050714560704848</v>
      </c>
      <c r="R414">
        <f t="shared" ca="1" si="142"/>
        <v>1.1493935957892731</v>
      </c>
      <c r="T414">
        <f t="shared" si="143"/>
        <v>1.0478119844218228</v>
      </c>
      <c r="U414" s="6">
        <f t="shared" ca="1" si="144"/>
        <v>0.97818547584371496</v>
      </c>
      <c r="V414">
        <f t="shared" ca="1" si="145"/>
        <v>0.81021634828627775</v>
      </c>
      <c r="W414">
        <v>0.90733702012870765</v>
      </c>
      <c r="X414" t="b">
        <f t="shared" ca="1" si="146"/>
        <v>1</v>
      </c>
      <c r="AS414">
        <v>0.45895470029084162</v>
      </c>
      <c r="AT414">
        <v>999</v>
      </c>
      <c r="AU414">
        <v>999</v>
      </c>
      <c r="AV414">
        <v>4.7442952173521995</v>
      </c>
      <c r="AW414">
        <v>-3.938647221995617</v>
      </c>
      <c r="AX414">
        <v>-6.1672663410079709</v>
      </c>
      <c r="AY414">
        <v>-4.6099527055942984</v>
      </c>
      <c r="AZ414">
        <v>10.009529821252803</v>
      </c>
      <c r="BJ414" t="b">
        <f t="shared" si="127"/>
        <v>1</v>
      </c>
      <c r="BK414" t="b">
        <f t="shared" ca="1" si="128"/>
        <v>1</v>
      </c>
    </row>
    <row r="415" spans="1:63" x14ac:dyDescent="0.45">
      <c r="A415" s="1">
        <v>44635</v>
      </c>
      <c r="B415">
        <v>267.29700000000003</v>
      </c>
      <c r="C415" s="1">
        <v>44635</v>
      </c>
      <c r="D415">
        <v>426.17</v>
      </c>
      <c r="E415">
        <f t="shared" si="129"/>
        <v>4.6348309108773814E-2</v>
      </c>
      <c r="F415" s="4">
        <f t="shared" si="130"/>
        <v>2.199040767386095E-2</v>
      </c>
      <c r="G415">
        <f t="shared" ca="1" si="131"/>
        <v>1.8223088555345706E-3</v>
      </c>
      <c r="H415">
        <f t="shared" ca="1" si="132"/>
        <v>3.4119135929729566E-2</v>
      </c>
      <c r="I415">
        <f t="shared" ca="1" si="133"/>
        <v>0.19668348039909594</v>
      </c>
      <c r="J415">
        <f t="shared" ca="1" si="134"/>
        <v>2.631237016921693</v>
      </c>
      <c r="K415">
        <f t="shared" ca="1" si="135"/>
        <v>0.94615859451706308</v>
      </c>
      <c r="L415">
        <f t="shared" ca="1" si="136"/>
        <v>1.1603853879213069</v>
      </c>
      <c r="M415">
        <f t="shared" ca="1" si="137"/>
        <v>1.1833903426004578E-4</v>
      </c>
      <c r="N415">
        <f t="shared" ca="1" si="138"/>
        <v>9.5996837747176732E-3</v>
      </c>
      <c r="O415">
        <f t="shared" ca="1" si="139"/>
        <v>-0.16236257975461632</v>
      </c>
      <c r="P415">
        <f t="shared" ca="1" si="140"/>
        <v>0.47951817043520872</v>
      </c>
      <c r="Q415">
        <f t="shared" ca="1" si="141"/>
        <v>0.88169441701569018</v>
      </c>
      <c r="R415">
        <f t="shared" ca="1" si="142"/>
        <v>1.1096405131818783</v>
      </c>
      <c r="T415">
        <f t="shared" si="143"/>
        <v>1.0463483091087737</v>
      </c>
      <c r="U415" s="6">
        <f t="shared" ca="1" si="144"/>
        <v>0.97269650655021833</v>
      </c>
      <c r="V415">
        <f t="shared" ca="1" si="145"/>
        <v>0.79507694588466704</v>
      </c>
      <c r="W415">
        <v>0.90184822934011288</v>
      </c>
      <c r="X415" t="b">
        <f t="shared" ca="1" si="146"/>
        <v>1</v>
      </c>
      <c r="AS415">
        <v>0.47020897903203573</v>
      </c>
      <c r="AT415">
        <v>999</v>
      </c>
      <c r="AU415">
        <v>999</v>
      </c>
      <c r="AV415">
        <v>4.8465804536744184</v>
      </c>
      <c r="AW415">
        <v>-4.0143407486064087</v>
      </c>
      <c r="AX415">
        <v>-6.2989832609345857</v>
      </c>
      <c r="AY415">
        <v>-4.693137519939147</v>
      </c>
      <c r="AZ415">
        <v>10.144179067673823</v>
      </c>
      <c r="BJ415" t="b">
        <f t="shared" si="127"/>
        <v>1</v>
      </c>
      <c r="BK415" t="b">
        <f t="shared" ca="1" si="128"/>
        <v>1</v>
      </c>
    </row>
    <row r="416" spans="1:63" x14ac:dyDescent="0.45">
      <c r="A416" s="1">
        <v>44634</v>
      </c>
      <c r="B416">
        <v>255.45699999999999</v>
      </c>
      <c r="C416" s="1">
        <v>44634</v>
      </c>
      <c r="D416">
        <v>417</v>
      </c>
      <c r="E416">
        <f t="shared" si="129"/>
        <v>-3.643674302289187E-2</v>
      </c>
      <c r="F416" s="4">
        <f t="shared" si="130"/>
        <v>-7.308305758564033E-3</v>
      </c>
      <c r="G416">
        <f t="shared" ca="1" si="131"/>
        <v>1.5459607559658883E-3</v>
      </c>
      <c r="H416">
        <f t="shared" ca="1" si="132"/>
        <v>3.3980230647167993E-2</v>
      </c>
      <c r="I416">
        <f t="shared" ca="1" si="133"/>
        <v>0.21216957599876995</v>
      </c>
      <c r="J416">
        <f t="shared" ca="1" si="134"/>
        <v>2.7160506728977563</v>
      </c>
      <c r="K416">
        <f t="shared" ca="1" si="135"/>
        <v>0.94615859451706308</v>
      </c>
      <c r="L416">
        <f t="shared" ca="1" si="136"/>
        <v>1.1301068367319878</v>
      </c>
      <c r="M416">
        <f t="shared" ca="1" si="137"/>
        <v>1.7330686415199134E-5</v>
      </c>
      <c r="N416">
        <f t="shared" ca="1" si="138"/>
        <v>9.4738450047294649E-3</v>
      </c>
      <c r="O416">
        <f t="shared" ca="1" si="139"/>
        <v>-0.19904126605068828</v>
      </c>
      <c r="P416">
        <f t="shared" ca="1" si="140"/>
        <v>0.51409786212205866</v>
      </c>
      <c r="Q416">
        <f t="shared" ca="1" si="141"/>
        <v>0.86375967693091027</v>
      </c>
      <c r="R416">
        <f t="shared" ca="1" si="142"/>
        <v>1.098164170611313</v>
      </c>
      <c r="T416">
        <f t="shared" si="143"/>
        <v>0.9635632569771081</v>
      </c>
      <c r="U416" s="6">
        <f t="shared" ca="1" si="144"/>
        <v>0.95251181052451028</v>
      </c>
      <c r="V416">
        <f t="shared" ca="1" si="145"/>
        <v>0.80807775925092773</v>
      </c>
      <c r="W416">
        <v>0.9106388285801188</v>
      </c>
      <c r="X416" t="b">
        <f t="shared" ca="1" si="146"/>
        <v>1</v>
      </c>
      <c r="AS416">
        <v>0.47994158660001812</v>
      </c>
      <c r="AT416">
        <v>999</v>
      </c>
      <c r="AU416">
        <v>999</v>
      </c>
      <c r="AV416">
        <v>4.9231143118364677</v>
      </c>
      <c r="AW416">
        <v>-4.0829715767256403</v>
      </c>
      <c r="AX416">
        <v>-6.3600512909591265</v>
      </c>
      <c r="AY416">
        <v>-4.7473500913761377</v>
      </c>
      <c r="AZ416">
        <v>10.215566194773125</v>
      </c>
      <c r="BJ416" t="b">
        <f t="shared" si="127"/>
        <v>1</v>
      </c>
      <c r="BK416" t="b">
        <f t="shared" ca="1" si="128"/>
        <v>1</v>
      </c>
    </row>
    <row r="417" spans="1:63" x14ac:dyDescent="0.45">
      <c r="A417" s="1">
        <v>44631</v>
      </c>
      <c r="B417">
        <v>265.11700000000002</v>
      </c>
      <c r="C417" s="1">
        <v>44631</v>
      </c>
      <c r="D417">
        <v>420.07</v>
      </c>
      <c r="E417">
        <f t="shared" si="129"/>
        <v>-5.1232316870233559E-2</v>
      </c>
      <c r="F417" s="4">
        <f t="shared" si="130"/>
        <v>-1.2715051236250881E-2</v>
      </c>
      <c r="G417">
        <f t="shared" ca="1" si="131"/>
        <v>1.8227771094072921E-3</v>
      </c>
      <c r="H417">
        <f t="shared" ca="1" si="132"/>
        <v>3.389465143270326E-2</v>
      </c>
      <c r="I417">
        <f t="shared" ca="1" si="133"/>
        <v>0.196859128067262</v>
      </c>
      <c r="J417">
        <f t="shared" ca="1" si="134"/>
        <v>2.7596796115177114</v>
      </c>
      <c r="K417">
        <f t="shared" ca="1" si="135"/>
        <v>0.94615859451706308</v>
      </c>
      <c r="L417">
        <f t="shared" ca="1" si="136"/>
        <v>1.257613887660034</v>
      </c>
      <c r="M417">
        <f t="shared" ca="1" si="137"/>
        <v>5.6497075016643774E-5</v>
      </c>
      <c r="N417">
        <f t="shared" ca="1" si="138"/>
        <v>9.4595887500501571E-3</v>
      </c>
      <c r="O417">
        <f t="shared" ca="1" si="139"/>
        <v>-0.21013106653823163</v>
      </c>
      <c r="P417">
        <f t="shared" ca="1" si="140"/>
        <v>0.53718838032635396</v>
      </c>
      <c r="Q417">
        <f t="shared" ca="1" si="141"/>
        <v>0.86375967693091027</v>
      </c>
      <c r="R417">
        <f t="shared" ca="1" si="142"/>
        <v>1.1550027439140025</v>
      </c>
      <c r="T417">
        <f t="shared" si="143"/>
        <v>0.94876768312976645</v>
      </c>
      <c r="U417" s="6">
        <f t="shared" ca="1" si="144"/>
        <v>0.94877786923379726</v>
      </c>
      <c r="V417">
        <f t="shared" ca="1" si="145"/>
        <v>0.84684599525017601</v>
      </c>
      <c r="W417">
        <v>0.88570456257649277</v>
      </c>
      <c r="X417" t="b">
        <f t="shared" ca="1" si="146"/>
        <v>1</v>
      </c>
      <c r="AS417">
        <v>0.50326152443609151</v>
      </c>
      <c r="AT417">
        <v>999</v>
      </c>
      <c r="AU417">
        <v>999</v>
      </c>
      <c r="AV417">
        <v>5.0495943219806181</v>
      </c>
      <c r="AW417">
        <v>-4.1602257309081718</v>
      </c>
      <c r="AX417">
        <v>-6.5730505198405149</v>
      </c>
      <c r="AY417">
        <v>-4.9633203844977736</v>
      </c>
      <c r="AZ417">
        <v>10.469220615242737</v>
      </c>
      <c r="BJ417" t="b">
        <f t="shared" si="127"/>
        <v>1</v>
      </c>
      <c r="BK417" t="b">
        <f t="shared" ca="1" si="128"/>
        <v>1</v>
      </c>
    </row>
    <row r="418" spans="1:63" x14ac:dyDescent="0.45">
      <c r="A418" s="1">
        <v>44630</v>
      </c>
      <c r="B418">
        <v>279.43299999999999</v>
      </c>
      <c r="C418" s="1">
        <v>44630</v>
      </c>
      <c r="D418">
        <v>425.48</v>
      </c>
      <c r="E418">
        <f t="shared" si="129"/>
        <v>-2.4063732218508421E-2</v>
      </c>
      <c r="F418" s="4">
        <f t="shared" si="130"/>
        <v>-4.515570529468208E-3</v>
      </c>
      <c r="G418">
        <f t="shared" ca="1" si="131"/>
        <v>2.1983554517944091E-3</v>
      </c>
      <c r="H418">
        <f t="shared" ca="1" si="132"/>
        <v>3.3719523435659933E-2</v>
      </c>
      <c r="I418">
        <f t="shared" ca="1" si="133"/>
        <v>0.18738182493402</v>
      </c>
      <c r="J418">
        <f t="shared" ca="1" si="134"/>
        <v>2.8411509989374721</v>
      </c>
      <c r="K418">
        <f t="shared" ca="1" si="135"/>
        <v>0.95830252007200722</v>
      </c>
      <c r="L418">
        <f t="shared" ca="1" si="136"/>
        <v>1.2973163366968405</v>
      </c>
      <c r="M418">
        <f t="shared" ca="1" si="137"/>
        <v>1.2999486371511281E-4</v>
      </c>
      <c r="N418">
        <f t="shared" ca="1" si="138"/>
        <v>9.4168683337430246E-3</v>
      </c>
      <c r="O418">
        <f t="shared" ca="1" si="139"/>
        <v>-0.22394944702572356</v>
      </c>
      <c r="P418">
        <f t="shared" ca="1" si="140"/>
        <v>0.5918933273563316</v>
      </c>
      <c r="Q418">
        <f t="shared" ca="1" si="141"/>
        <v>0.86375967693091027</v>
      </c>
      <c r="R418">
        <f t="shared" ca="1" si="142"/>
        <v>1.1821154269428649</v>
      </c>
      <c r="T418">
        <f t="shared" si="143"/>
        <v>0.97593626778149156</v>
      </c>
      <c r="U418" s="6">
        <f t="shared" ca="1" si="144"/>
        <v>0.99882043014980548</v>
      </c>
      <c r="V418">
        <f t="shared" ca="1" si="145"/>
        <v>0.82313829069822375</v>
      </c>
      <c r="W418">
        <v>0.8780290189132276</v>
      </c>
      <c r="X418" t="b">
        <f t="shared" ca="1" si="146"/>
        <v>1</v>
      </c>
      <c r="AS418">
        <v>0.51758926714083919</v>
      </c>
      <c r="AT418">
        <v>999</v>
      </c>
      <c r="AU418">
        <v>999</v>
      </c>
      <c r="AV418">
        <v>5.2349764224059836</v>
      </c>
      <c r="AW418">
        <v>-4.2822325176537168</v>
      </c>
      <c r="AX418">
        <v>-6.8675543645291341</v>
      </c>
      <c r="AY418">
        <v>-5.1340408418380399</v>
      </c>
      <c r="AZ418">
        <v>10.757046670563335</v>
      </c>
      <c r="BJ418" t="b">
        <f t="shared" si="127"/>
        <v>1</v>
      </c>
      <c r="BK418" t="b">
        <f t="shared" ca="1" si="128"/>
        <v>1</v>
      </c>
    </row>
    <row r="419" spans="1:63" x14ac:dyDescent="0.45">
      <c r="A419" s="1">
        <v>44629</v>
      </c>
      <c r="B419">
        <v>286.32299999999998</v>
      </c>
      <c r="C419" s="1">
        <v>44629</v>
      </c>
      <c r="D419">
        <v>427.41</v>
      </c>
      <c r="E419">
        <f t="shared" si="129"/>
        <v>4.1932314410480231E-2</v>
      </c>
      <c r="F419" s="4">
        <f t="shared" si="130"/>
        <v>2.6810810810810871E-2</v>
      </c>
      <c r="G419">
        <f t="shared" ca="1" si="131"/>
        <v>2.304229179249548E-3</v>
      </c>
      <c r="H419">
        <f t="shared" ca="1" si="132"/>
        <v>3.3669856479695039E-2</v>
      </c>
      <c r="I419">
        <f t="shared" ca="1" si="133"/>
        <v>0.1810747135346186</v>
      </c>
      <c r="J419">
        <f t="shared" ca="1" si="134"/>
        <v>2.8716643665035511</v>
      </c>
      <c r="K419">
        <f t="shared" ca="1" si="135"/>
        <v>0.95830252007200722</v>
      </c>
      <c r="L419">
        <f t="shared" ca="1" si="136"/>
        <v>1.3326898963569005</v>
      </c>
      <c r="M419">
        <f t="shared" ca="1" si="137"/>
        <v>1.4147936521614063E-4</v>
      </c>
      <c r="N419">
        <f t="shared" ca="1" si="138"/>
        <v>9.4125739180897176E-3</v>
      </c>
      <c r="O419">
        <f t="shared" ca="1" si="139"/>
        <v>-0.22742207453880628</v>
      </c>
      <c r="P419">
        <f t="shared" ca="1" si="140"/>
        <v>0.59937252314637623</v>
      </c>
      <c r="Q419">
        <f t="shared" ca="1" si="141"/>
        <v>0.86375967693091027</v>
      </c>
      <c r="R419">
        <f t="shared" ca="1" si="142"/>
        <v>1.1990754442974447</v>
      </c>
      <c r="T419">
        <f t="shared" si="143"/>
        <v>1.0419323144104802</v>
      </c>
      <c r="U419" s="6">
        <f t="shared" ca="1" si="144"/>
        <v>0.97622205477723922</v>
      </c>
      <c r="V419">
        <f t="shared" ca="1" si="145"/>
        <v>0.83922050498236811</v>
      </c>
      <c r="W419">
        <v>0.87719828198677452</v>
      </c>
      <c r="X419" t="b">
        <f t="shared" ca="1" si="146"/>
        <v>1</v>
      </c>
      <c r="AS419">
        <v>0.5025982338233006</v>
      </c>
      <c r="AT419">
        <v>999</v>
      </c>
      <c r="AU419">
        <v>999</v>
      </c>
      <c r="AV419">
        <v>5.2128561907639996</v>
      </c>
      <c r="AW419">
        <v>-4.2418935027476667</v>
      </c>
      <c r="AX419">
        <v>-6.8728175603199455</v>
      </c>
      <c r="AY419">
        <v>-5.1400545302108931</v>
      </c>
      <c r="AZ419">
        <v>10.652112690938985</v>
      </c>
      <c r="BJ419" t="b">
        <f t="shared" si="127"/>
        <v>1</v>
      </c>
      <c r="BK419" t="b">
        <f t="shared" ca="1" si="128"/>
        <v>1</v>
      </c>
    </row>
    <row r="420" spans="1:63" x14ac:dyDescent="0.45">
      <c r="A420" s="1">
        <v>44628</v>
      </c>
      <c r="B420">
        <v>274.8</v>
      </c>
      <c r="C420" s="1">
        <v>44628</v>
      </c>
      <c r="D420">
        <v>416.25</v>
      </c>
      <c r="E420">
        <f t="shared" si="129"/>
        <v>2.4635244022029018E-2</v>
      </c>
      <c r="F420" s="4">
        <f t="shared" si="130"/>
        <v>-7.5817180459194786E-3</v>
      </c>
      <c r="G420">
        <f t="shared" ca="1" si="131"/>
        <v>2.3145782462092694E-3</v>
      </c>
      <c r="H420">
        <f t="shared" ca="1" si="132"/>
        <v>3.3682413885610107E-2</v>
      </c>
      <c r="I420">
        <f t="shared" ca="1" si="133"/>
        <v>0.18130529405353665</v>
      </c>
      <c r="J420">
        <f t="shared" ca="1" si="134"/>
        <v>2.8648581706324618</v>
      </c>
      <c r="K420">
        <f t="shared" ca="1" si="135"/>
        <v>0.95830252007200722</v>
      </c>
      <c r="L420">
        <f t="shared" ca="1" si="136"/>
        <v>1.3326898963569005</v>
      </c>
      <c r="M420">
        <f t="shared" ca="1" si="137"/>
        <v>5.8396535917472896E-5</v>
      </c>
      <c r="N420">
        <f t="shared" ca="1" si="138"/>
        <v>9.2478810040100053E-3</v>
      </c>
      <c r="O420">
        <f t="shared" ca="1" si="139"/>
        <v>-0.32778185104043234</v>
      </c>
      <c r="P420">
        <f t="shared" ca="1" si="140"/>
        <v>0.50256980945241247</v>
      </c>
      <c r="Q420">
        <f t="shared" ca="1" si="141"/>
        <v>0.84859258973766505</v>
      </c>
      <c r="R420">
        <f t="shared" ca="1" si="142"/>
        <v>1.1990754442974447</v>
      </c>
      <c r="T420">
        <f t="shared" si="143"/>
        <v>1.024635244022029</v>
      </c>
      <c r="U420" s="6">
        <f t="shared" ca="1" si="144"/>
        <v>0.95375933195197893</v>
      </c>
      <c r="V420">
        <f t="shared" ca="1" si="145"/>
        <v>0.83428528898282484</v>
      </c>
      <c r="W420">
        <v>0.87978322492865191</v>
      </c>
      <c r="X420" t="b">
        <f t="shared" ca="1" si="146"/>
        <v>1</v>
      </c>
      <c r="AS420">
        <v>0.51017493887385401</v>
      </c>
      <c r="AT420">
        <v>999</v>
      </c>
      <c r="AU420">
        <v>999</v>
      </c>
      <c r="AV420">
        <v>5.3966137047586882</v>
      </c>
      <c r="AW420">
        <v>-4.3925340211865551</v>
      </c>
      <c r="AX420">
        <v>-7.0023456343663861</v>
      </c>
      <c r="AY420">
        <v>-5.2332539471349255</v>
      </c>
      <c r="AZ420">
        <v>10.738340069859206</v>
      </c>
      <c r="BJ420" t="b">
        <f t="shared" si="127"/>
        <v>1</v>
      </c>
      <c r="BK420" t="b">
        <f t="shared" ca="1" si="128"/>
        <v>1</v>
      </c>
    </row>
    <row r="421" spans="1:63" x14ac:dyDescent="0.45">
      <c r="A421" s="1">
        <v>44627</v>
      </c>
      <c r="B421">
        <v>268.19299999999998</v>
      </c>
      <c r="C421" s="1">
        <v>44627</v>
      </c>
      <c r="D421">
        <v>419.43</v>
      </c>
      <c r="E421">
        <f t="shared" si="129"/>
        <v>-4.0214007085853425E-2</v>
      </c>
      <c r="F421" s="4">
        <f t="shared" si="130"/>
        <v>-2.9479140153180483E-2</v>
      </c>
      <c r="G421">
        <f t="shared" ca="1" si="131"/>
        <v>2.1411446037987347E-3</v>
      </c>
      <c r="H421">
        <f t="shared" ca="1" si="132"/>
        <v>3.365619758704784E-2</v>
      </c>
      <c r="I421">
        <f t="shared" ca="1" si="133"/>
        <v>0.19561251292744156</v>
      </c>
      <c r="J421">
        <f t="shared" ca="1" si="134"/>
        <v>2.8863380970272798</v>
      </c>
      <c r="K421">
        <f t="shared" ca="1" si="135"/>
        <v>0.95830252007200722</v>
      </c>
      <c r="L421">
        <f t="shared" ca="1" si="136"/>
        <v>1.3296361584295568</v>
      </c>
      <c r="M421">
        <f t="shared" ca="1" si="137"/>
        <v>9.2211502567798807E-5</v>
      </c>
      <c r="N421">
        <f t="shared" ca="1" si="138"/>
        <v>9.2321555735397822E-3</v>
      </c>
      <c r="O421">
        <f t="shared" ca="1" si="139"/>
        <v>-0.33768652963993046</v>
      </c>
      <c r="P421">
        <f t="shared" ca="1" si="140"/>
        <v>0.52934394815318031</v>
      </c>
      <c r="Q421">
        <f t="shared" ca="1" si="141"/>
        <v>0.84859258973766505</v>
      </c>
      <c r="R421">
        <f t="shared" ca="1" si="142"/>
        <v>1.2391588871598174</v>
      </c>
      <c r="T421">
        <f t="shared" si="143"/>
        <v>0.95978599291414657</v>
      </c>
      <c r="U421" s="6">
        <f t="shared" ca="1" si="144"/>
        <v>0.92434764926260515</v>
      </c>
      <c r="V421">
        <f t="shared" ca="1" si="145"/>
        <v>0.81597402728099933</v>
      </c>
      <c r="W421">
        <v>0.85806562517178442</v>
      </c>
      <c r="X421" t="b">
        <f t="shared" ca="1" si="146"/>
        <v>1</v>
      </c>
      <c r="AS421">
        <v>0.53282933342305661</v>
      </c>
      <c r="AT421">
        <v>999</v>
      </c>
      <c r="AU421">
        <v>999</v>
      </c>
      <c r="AV421">
        <v>5.6198316270213535</v>
      </c>
      <c r="AW421">
        <v>-4.54662461871047</v>
      </c>
      <c r="AX421">
        <v>-7.2385057596797209</v>
      </c>
      <c r="AY421">
        <v>-5.5351734163423654</v>
      </c>
      <c r="AZ421">
        <v>10.985757661546927</v>
      </c>
      <c r="BJ421" t="b">
        <f t="shared" si="127"/>
        <v>1</v>
      </c>
      <c r="BK421" t="b">
        <f t="shared" ca="1" si="128"/>
        <v>1</v>
      </c>
    </row>
    <row r="422" spans="1:63" x14ac:dyDescent="0.45">
      <c r="A422" s="1">
        <v>44624</v>
      </c>
      <c r="B422">
        <v>279.43</v>
      </c>
      <c r="C422" s="1">
        <v>44624</v>
      </c>
      <c r="D422">
        <v>432.17</v>
      </c>
      <c r="E422">
        <f t="shared" si="129"/>
        <v>-1.1902932124690185E-3</v>
      </c>
      <c r="F422" s="4">
        <f t="shared" si="130"/>
        <v>-8.1246700787220034E-3</v>
      </c>
      <c r="G422">
        <f t="shared" ca="1" si="131"/>
        <v>2.5491414840794553E-3</v>
      </c>
      <c r="H422">
        <f t="shared" ca="1" si="132"/>
        <v>3.3634754515201294E-2</v>
      </c>
      <c r="I422">
        <f t="shared" ca="1" si="133"/>
        <v>0.17742539132630775</v>
      </c>
      <c r="J422">
        <f t="shared" ca="1" si="134"/>
        <v>2.8883617031367672</v>
      </c>
      <c r="K422">
        <f t="shared" ca="1" si="135"/>
        <v>0.95830252007200722</v>
      </c>
      <c r="L422">
        <f t="shared" ca="1" si="136"/>
        <v>1.4559624464892122</v>
      </c>
      <c r="M422">
        <f t="shared" ca="1" si="137"/>
        <v>2.9339681536699681E-4</v>
      </c>
      <c r="N422">
        <f t="shared" ca="1" si="138"/>
        <v>9.0204970544054061E-3</v>
      </c>
      <c r="O422">
        <f t="shared" ca="1" si="139"/>
        <v>-0.24239791100132838</v>
      </c>
      <c r="P422">
        <f t="shared" ca="1" si="140"/>
        <v>0.30785544729341119</v>
      </c>
      <c r="Q422">
        <f t="shared" ca="1" si="141"/>
        <v>0.85046000582100201</v>
      </c>
      <c r="R422">
        <f t="shared" ca="1" si="142"/>
        <v>1.3397822009232396</v>
      </c>
      <c r="T422">
        <f t="shared" si="143"/>
        <v>0.998809706787531</v>
      </c>
      <c r="U422" s="6">
        <f t="shared" ca="1" si="144"/>
        <v>1.0350907737158141</v>
      </c>
      <c r="V422">
        <f t="shared" ca="1" si="145"/>
        <v>0.82115539136319649</v>
      </c>
      <c r="W422">
        <v>0.92796179479754004</v>
      </c>
      <c r="X422" t="b">
        <f t="shared" ca="1" si="146"/>
        <v>0</v>
      </c>
      <c r="AS422">
        <v>0.56943712432563176</v>
      </c>
      <c r="AT422">
        <v>999</v>
      </c>
      <c r="AU422">
        <v>999</v>
      </c>
      <c r="AV422">
        <v>5.8724731826889096</v>
      </c>
      <c r="AW422">
        <v>-4.6631249854345036</v>
      </c>
      <c r="AX422">
        <v>-7.6699985704778531</v>
      </c>
      <c r="AY422">
        <v>-5.883658509431136</v>
      </c>
      <c r="AZ422">
        <v>11.546724016516794</v>
      </c>
      <c r="BJ422" t="b">
        <f t="shared" si="127"/>
        <v>1</v>
      </c>
      <c r="BK422" t="b">
        <f t="shared" ca="1" si="128"/>
        <v>0</v>
      </c>
    </row>
    <row r="423" spans="1:63" x14ac:dyDescent="0.45">
      <c r="A423" s="1">
        <v>44623</v>
      </c>
      <c r="B423">
        <v>279.76299999999998</v>
      </c>
      <c r="C423" s="1">
        <v>44623</v>
      </c>
      <c r="D423">
        <v>435.71</v>
      </c>
      <c r="E423">
        <f t="shared" si="129"/>
        <v>-4.6144351970869281E-2</v>
      </c>
      <c r="F423" s="4">
        <f t="shared" si="130"/>
        <v>-4.9784192377081158E-3</v>
      </c>
      <c r="G423">
        <f t="shared" ca="1" si="131"/>
        <v>2.4304193649520777E-3</v>
      </c>
      <c r="H423">
        <f t="shared" ca="1" si="132"/>
        <v>3.3689880805372996E-2</v>
      </c>
      <c r="I423">
        <f t="shared" ca="1" si="133"/>
        <v>0.18448574921064873</v>
      </c>
      <c r="J423">
        <f t="shared" ca="1" si="134"/>
        <v>2.8544867338423741</v>
      </c>
      <c r="K423">
        <f t="shared" ca="1" si="135"/>
        <v>0.95830252007200722</v>
      </c>
      <c r="L423">
        <f t="shared" ca="1" si="136"/>
        <v>1.3326898963569005</v>
      </c>
      <c r="M423">
        <f t="shared" ca="1" si="137"/>
        <v>3.209114606093715E-4</v>
      </c>
      <c r="N423">
        <f t="shared" ca="1" si="138"/>
        <v>9.0030667086399008E-3</v>
      </c>
      <c r="O423">
        <f t="shared" ca="1" si="139"/>
        <v>-0.24909257011919836</v>
      </c>
      <c r="P423">
        <f t="shared" ca="1" si="140"/>
        <v>0.33304955163073524</v>
      </c>
      <c r="Q423">
        <f t="shared" ca="1" si="141"/>
        <v>0.85046000582100201</v>
      </c>
      <c r="R423">
        <f t="shared" ca="1" si="142"/>
        <v>1.4332995340721386</v>
      </c>
      <c r="T423">
        <f t="shared" si="143"/>
        <v>0.9538556480291307</v>
      </c>
      <c r="U423" s="6">
        <f t="shared" ca="1" si="144"/>
        <v>1.0481037602604495</v>
      </c>
      <c r="V423">
        <f t="shared" ca="1" si="145"/>
        <v>0.82660411246604359</v>
      </c>
      <c r="W423">
        <v>0.92045040474169415</v>
      </c>
      <c r="X423" t="b">
        <f t="shared" ca="1" si="146"/>
        <v>0</v>
      </c>
      <c r="AS423">
        <v>0.56962836626263447</v>
      </c>
      <c r="AT423">
        <v>999</v>
      </c>
      <c r="AU423">
        <v>999</v>
      </c>
      <c r="AV423">
        <v>6.0175235365784525</v>
      </c>
      <c r="AW423">
        <v>-4.7004212263665535</v>
      </c>
      <c r="AX423">
        <v>-7.8798809027739205</v>
      </c>
      <c r="AY423">
        <v>-5.9158068131958466</v>
      </c>
      <c r="AZ423">
        <v>11.70836187505968</v>
      </c>
      <c r="BJ423" t="b">
        <f t="shared" si="127"/>
        <v>1</v>
      </c>
      <c r="BK423" t="b">
        <f t="shared" ca="1" si="128"/>
        <v>0</v>
      </c>
    </row>
    <row r="424" spans="1:63" x14ac:dyDescent="0.45">
      <c r="A424" s="1">
        <v>44622</v>
      </c>
      <c r="B424">
        <v>293.29700000000003</v>
      </c>
      <c r="C424" s="1">
        <v>44622</v>
      </c>
      <c r="D424">
        <v>437.89</v>
      </c>
      <c r="E424">
        <f t="shared" si="129"/>
        <v>1.7957608382531194E-2</v>
      </c>
      <c r="F424" s="4">
        <f t="shared" si="130"/>
        <v>1.8396204474626653E-2</v>
      </c>
      <c r="G424">
        <f t="shared" ca="1" si="131"/>
        <v>2.6701385607972067E-3</v>
      </c>
      <c r="H424">
        <f t="shared" ca="1" si="132"/>
        <v>3.3512616860123114E-2</v>
      </c>
      <c r="I424">
        <f t="shared" ca="1" si="133"/>
        <v>0.18120906065084649</v>
      </c>
      <c r="J424">
        <f t="shared" ca="1" si="134"/>
        <v>2.9518522540597143</v>
      </c>
      <c r="K424">
        <f t="shared" ca="1" si="135"/>
        <v>0.95830252007200722</v>
      </c>
      <c r="L424">
        <f t="shared" ca="1" si="136"/>
        <v>1.4559624464892122</v>
      </c>
      <c r="M424">
        <f t="shared" ca="1" si="137"/>
        <v>3.0272500462232509E-4</v>
      </c>
      <c r="N424">
        <f t="shared" ca="1" si="138"/>
        <v>9.0174874709626155E-3</v>
      </c>
      <c r="O424">
        <f t="shared" ca="1" si="139"/>
        <v>-0.24569827215259296</v>
      </c>
      <c r="P424">
        <f t="shared" ca="1" si="140"/>
        <v>0.31381822431043371</v>
      </c>
      <c r="Q424">
        <f t="shared" ca="1" si="141"/>
        <v>0.85046000582100201</v>
      </c>
      <c r="R424">
        <f t="shared" ca="1" si="142"/>
        <v>1.4332995340721386</v>
      </c>
      <c r="T424">
        <f t="shared" si="143"/>
        <v>1.0179576083825312</v>
      </c>
      <c r="U424" s="6">
        <f t="shared" ca="1" si="144"/>
        <v>1.1516294958379145</v>
      </c>
      <c r="V424">
        <f t="shared" ca="1" si="145"/>
        <v>0.81471132084300446</v>
      </c>
      <c r="W424">
        <v>0.9367461648042672</v>
      </c>
      <c r="X424" t="b">
        <f t="shared" ca="1" si="146"/>
        <v>0</v>
      </c>
      <c r="AS424">
        <v>0.60440679855876689</v>
      </c>
      <c r="AT424">
        <v>999</v>
      </c>
      <c r="AU424">
        <v>3.1557703831025123</v>
      </c>
      <c r="AV424">
        <v>7.2722870519047573</v>
      </c>
      <c r="AW424">
        <v>-5.9105189279947288</v>
      </c>
      <c r="AX424">
        <v>-7.5871937093310597</v>
      </c>
      <c r="AY424">
        <v>-6.6915158305184166</v>
      </c>
      <c r="AZ424">
        <v>5.9065107431924702</v>
      </c>
      <c r="BJ424" t="b">
        <f t="shared" si="127"/>
        <v>1</v>
      </c>
      <c r="BK424" t="b">
        <f t="shared" ca="1" si="128"/>
        <v>0</v>
      </c>
    </row>
    <row r="425" spans="1:63" x14ac:dyDescent="0.45">
      <c r="A425" s="1">
        <v>44621</v>
      </c>
      <c r="B425">
        <v>288.12299999999999</v>
      </c>
      <c r="C425" s="1">
        <v>44621</v>
      </c>
      <c r="D425">
        <v>429.98</v>
      </c>
      <c r="E425">
        <f t="shared" si="129"/>
        <v>-6.9620842136463128E-3</v>
      </c>
      <c r="F425" s="4">
        <f t="shared" si="130"/>
        <v>-1.5230286512607877E-2</v>
      </c>
      <c r="G425">
        <f t="shared" ca="1" si="131"/>
        <v>2.4709039831230292E-3</v>
      </c>
      <c r="H425">
        <f t="shared" ca="1" si="132"/>
        <v>3.353971043455041E-2</v>
      </c>
      <c r="I425">
        <f t="shared" ca="1" si="133"/>
        <v>0.19629768750923321</v>
      </c>
      <c r="J425">
        <f t="shared" ca="1" si="134"/>
        <v>2.938302240435946</v>
      </c>
      <c r="K425">
        <f t="shared" ca="1" si="135"/>
        <v>0.95830252007200722</v>
      </c>
      <c r="L425">
        <f t="shared" ca="1" si="136"/>
        <v>1.3326898963569005</v>
      </c>
      <c r="M425">
        <f t="shared" ca="1" si="137"/>
        <v>1.9802133593875885E-4</v>
      </c>
      <c r="N425">
        <f t="shared" ca="1" si="138"/>
        <v>8.9274691173440567E-3</v>
      </c>
      <c r="O425">
        <f t="shared" ca="1" si="139"/>
        <v>-0.2600851085123943</v>
      </c>
      <c r="P425">
        <f t="shared" ca="1" si="140"/>
        <v>0.3507571069398332</v>
      </c>
      <c r="Q425">
        <f t="shared" ca="1" si="141"/>
        <v>0.82754855169181618</v>
      </c>
      <c r="R425">
        <f t="shared" ca="1" si="142"/>
        <v>1.4184757814569098</v>
      </c>
      <c r="T425">
        <f t="shared" si="143"/>
        <v>0.9930379157863537</v>
      </c>
      <c r="U425" s="6">
        <f t="shared" ca="1" si="144"/>
        <v>1.0521466679812888</v>
      </c>
      <c r="V425">
        <f t="shared" ca="1" si="145"/>
        <v>0.81415892971241133</v>
      </c>
      <c r="W425">
        <v>0.92691639498745082</v>
      </c>
      <c r="X425" t="b">
        <f t="shared" ca="1" si="146"/>
        <v>0</v>
      </c>
      <c r="AS425">
        <v>0.61879308494100049</v>
      </c>
      <c r="AT425">
        <v>999</v>
      </c>
      <c r="AU425">
        <v>3.5326740872523197</v>
      </c>
      <c r="AV425">
        <v>7.5941971532391213</v>
      </c>
      <c r="AW425">
        <v>-6.1310908875454286</v>
      </c>
      <c r="AX425">
        <v>-8.0113256604419156</v>
      </c>
      <c r="AY425">
        <v>-6.9162066676475424</v>
      </c>
      <c r="AZ425">
        <v>6.1838791598337046</v>
      </c>
      <c r="BJ425" t="b">
        <f t="shared" si="127"/>
        <v>1</v>
      </c>
      <c r="BK425" t="b">
        <f t="shared" ca="1" si="128"/>
        <v>0</v>
      </c>
    </row>
    <row r="426" spans="1:63" x14ac:dyDescent="0.45">
      <c r="A426" s="1">
        <v>44620</v>
      </c>
      <c r="B426">
        <v>290.14299999999997</v>
      </c>
      <c r="C426" s="1">
        <v>44620</v>
      </c>
      <c r="D426">
        <v>436.63</v>
      </c>
      <c r="E426">
        <f t="shared" si="129"/>
        <v>7.4774871553617728E-2</v>
      </c>
      <c r="F426" s="4">
        <f t="shared" si="130"/>
        <v>-2.5585379782981257E-3</v>
      </c>
      <c r="G426">
        <f t="shared" ca="1" si="131"/>
        <v>2.6635887029795875E-3</v>
      </c>
      <c r="H426">
        <f t="shared" ca="1" si="132"/>
        <v>3.3595895636927484E-2</v>
      </c>
      <c r="I426">
        <f t="shared" ca="1" si="133"/>
        <v>0.18134671445949183</v>
      </c>
      <c r="J426">
        <f t="shared" ca="1" si="134"/>
        <v>2.896808316986065</v>
      </c>
      <c r="K426">
        <f t="shared" ca="1" si="135"/>
        <v>0.95830252007200722</v>
      </c>
      <c r="L426">
        <f t="shared" ca="1" si="136"/>
        <v>1.3455056917952173</v>
      </c>
      <c r="M426">
        <f t="shared" ca="1" si="137"/>
        <v>3.5094960383376725E-4</v>
      </c>
      <c r="N426">
        <f t="shared" ca="1" si="138"/>
        <v>8.9238194886353817E-3</v>
      </c>
      <c r="O426">
        <f t="shared" ca="1" si="139"/>
        <v>-0.26123601346999115</v>
      </c>
      <c r="P426">
        <f t="shared" ca="1" si="140"/>
        <v>0.36960573499980676</v>
      </c>
      <c r="Q426">
        <f t="shared" ca="1" si="141"/>
        <v>0.85046000582100201</v>
      </c>
      <c r="R426">
        <f t="shared" ca="1" si="142"/>
        <v>1.4977927754335107</v>
      </c>
      <c r="T426">
        <f t="shared" si="143"/>
        <v>1.0747748715536178</v>
      </c>
      <c r="U426" s="6">
        <f t="shared" ca="1" si="144"/>
        <v>1.0156934817615348</v>
      </c>
      <c r="V426">
        <f t="shared" ca="1" si="145"/>
        <v>0.83214555488697572</v>
      </c>
      <c r="W426">
        <v>0.91676858717325471</v>
      </c>
      <c r="X426" t="b">
        <f t="shared" ca="1" si="146"/>
        <v>0</v>
      </c>
      <c r="AS426">
        <v>0.63113868681166407</v>
      </c>
      <c r="AT426">
        <v>999</v>
      </c>
      <c r="AU426">
        <v>3.915001633467869</v>
      </c>
      <c r="AV426">
        <v>7.8345313123560052</v>
      </c>
      <c r="AW426">
        <v>-6.2834139147250543</v>
      </c>
      <c r="AX426">
        <v>-8.3609228217538387</v>
      </c>
      <c r="AY426">
        <v>-7.2795420735742509</v>
      </c>
      <c r="AZ426">
        <v>6.4045554684672998</v>
      </c>
      <c r="BJ426" t="b">
        <f t="shared" si="127"/>
        <v>1</v>
      </c>
      <c r="BK426" t="b">
        <f t="shared" ca="1" si="128"/>
        <v>0</v>
      </c>
    </row>
    <row r="427" spans="1:63" x14ac:dyDescent="0.45">
      <c r="A427" s="1">
        <v>44617</v>
      </c>
      <c r="B427">
        <v>269.95699999999999</v>
      </c>
      <c r="C427" s="1">
        <v>44617</v>
      </c>
      <c r="D427">
        <v>437.75</v>
      </c>
      <c r="E427">
        <f t="shared" si="129"/>
        <v>1.1366573880856995E-2</v>
      </c>
      <c r="F427" s="4">
        <f t="shared" si="130"/>
        <v>2.2063973850105039E-2</v>
      </c>
      <c r="G427">
        <f t="shared" ca="1" si="131"/>
        <v>2.1354398194524606E-3</v>
      </c>
      <c r="H427">
        <f t="shared" ca="1" si="132"/>
        <v>3.3285412667530476E-2</v>
      </c>
      <c r="I427">
        <f t="shared" ca="1" si="133"/>
        <v>0.17775934641579152</v>
      </c>
      <c r="J427">
        <f t="shared" ca="1" si="134"/>
        <v>3.0228490753601438</v>
      </c>
      <c r="K427">
        <f t="shared" ca="1" si="135"/>
        <v>0.93410732198567892</v>
      </c>
      <c r="L427">
        <f t="shared" ca="1" si="136"/>
        <v>1.2973163366968405</v>
      </c>
      <c r="M427">
        <f t="shared" ca="1" si="137"/>
        <v>4.2380494634852744E-4</v>
      </c>
      <c r="N427">
        <f t="shared" ca="1" si="138"/>
        <v>8.9593560401778662E-3</v>
      </c>
      <c r="O427">
        <f t="shared" ca="1" si="139"/>
        <v>-0.27141504295653213</v>
      </c>
      <c r="P427">
        <f t="shared" ca="1" si="140"/>
        <v>0.33914622536310945</v>
      </c>
      <c r="Q427">
        <f t="shared" ca="1" si="141"/>
        <v>0.85046000582100201</v>
      </c>
      <c r="R427">
        <f t="shared" ca="1" si="142"/>
        <v>1.5514514867217566</v>
      </c>
      <c r="T427">
        <f t="shared" si="143"/>
        <v>1.011366573880857</v>
      </c>
      <c r="U427" s="6">
        <f t="shared" ca="1" si="144"/>
        <v>0.92413998500600791</v>
      </c>
      <c r="V427">
        <f t="shared" ca="1" si="145"/>
        <v>0.84628030650274322</v>
      </c>
      <c r="W427">
        <v>0.91665607038520136</v>
      </c>
      <c r="X427" t="b">
        <f t="shared" ca="1" si="146"/>
        <v>1</v>
      </c>
      <c r="AS427">
        <v>0.62766318138026589</v>
      </c>
      <c r="AT427">
        <v>999</v>
      </c>
      <c r="AU427">
        <v>4.0686385061866419</v>
      </c>
      <c r="AV427">
        <v>7.7956317691408836</v>
      </c>
      <c r="AW427">
        <v>-6.2524137669899291</v>
      </c>
      <c r="AX427">
        <v>-8.3529815693214662</v>
      </c>
      <c r="AY427">
        <v>-7.4057506224094292</v>
      </c>
      <c r="AZ427">
        <v>6.4281032608826445</v>
      </c>
      <c r="BJ427" t="b">
        <f t="shared" si="127"/>
        <v>1</v>
      </c>
      <c r="BK427" t="b">
        <f t="shared" ca="1" si="128"/>
        <v>1</v>
      </c>
    </row>
    <row r="428" spans="1:63" x14ac:dyDescent="0.45">
      <c r="A428" s="1">
        <v>44616</v>
      </c>
      <c r="B428">
        <v>266.923</v>
      </c>
      <c r="C428" s="1">
        <v>44616</v>
      </c>
      <c r="D428">
        <v>428.3</v>
      </c>
      <c r="E428">
        <f t="shared" si="129"/>
        <v>4.8072090466467703E-2</v>
      </c>
      <c r="F428" s="4">
        <f t="shared" si="130"/>
        <v>1.5049176442706536E-2</v>
      </c>
      <c r="G428">
        <f t="shared" ca="1" si="131"/>
        <v>1.8573736039150801E-3</v>
      </c>
      <c r="H428">
        <f t="shared" ca="1" si="132"/>
        <v>3.3439846438222558E-2</v>
      </c>
      <c r="I428">
        <f t="shared" ca="1" si="133"/>
        <v>0.18685519110558008</v>
      </c>
      <c r="J428">
        <f t="shared" ca="1" si="134"/>
        <v>2.9365697628002279</v>
      </c>
      <c r="K428">
        <f t="shared" ca="1" si="135"/>
        <v>0.93410732198567892</v>
      </c>
      <c r="L428">
        <f t="shared" ca="1" si="136"/>
        <v>1.2605022140659865</v>
      </c>
      <c r="M428">
        <f t="shared" ca="1" si="137"/>
        <v>2.0725876677232222E-4</v>
      </c>
      <c r="N428">
        <f t="shared" ca="1" si="138"/>
        <v>8.9570766429832496E-3</v>
      </c>
      <c r="O428">
        <f t="shared" ca="1" si="139"/>
        <v>-0.34179555949306295</v>
      </c>
      <c r="P428">
        <f t="shared" ca="1" si="140"/>
        <v>0.30619883056232045</v>
      </c>
      <c r="Q428">
        <f t="shared" ca="1" si="141"/>
        <v>0.82573144393296305</v>
      </c>
      <c r="R428">
        <f t="shared" ca="1" si="142"/>
        <v>1.4332995340721386</v>
      </c>
      <c r="T428">
        <f t="shared" si="143"/>
        <v>1.0480720904664678</v>
      </c>
      <c r="U428" s="6">
        <f t="shared" ca="1" si="144"/>
        <v>0.86720468360640302</v>
      </c>
      <c r="V428">
        <f t="shared" ca="1" si="145"/>
        <v>0.81896378717302232</v>
      </c>
      <c r="W428">
        <v>0.93202464744138802</v>
      </c>
      <c r="X428" t="b">
        <f t="shared" ca="1" si="146"/>
        <v>1</v>
      </c>
      <c r="AS428">
        <v>0.61671496206884469</v>
      </c>
      <c r="AT428">
        <v>999</v>
      </c>
      <c r="AU428">
        <v>4.047889315715544</v>
      </c>
      <c r="AV428">
        <v>7.6909707849397009</v>
      </c>
      <c r="AW428">
        <v>-6.1719885793561478</v>
      </c>
      <c r="AX428">
        <v>-8.1919287577616906</v>
      </c>
      <c r="AY428">
        <v>-7.5368370233429873</v>
      </c>
      <c r="AZ428">
        <v>6.3511178140874165</v>
      </c>
      <c r="BJ428" t="b">
        <f t="shared" si="127"/>
        <v>1</v>
      </c>
      <c r="BK428" t="b">
        <f t="shared" ca="1" si="128"/>
        <v>1</v>
      </c>
    </row>
    <row r="429" spans="1:63" x14ac:dyDescent="0.45">
      <c r="A429" s="1">
        <v>44615</v>
      </c>
      <c r="B429">
        <v>254.68</v>
      </c>
      <c r="C429" s="1">
        <v>44615</v>
      </c>
      <c r="D429">
        <v>421.95</v>
      </c>
      <c r="E429">
        <f t="shared" si="129"/>
        <v>-6.9978053118027517E-2</v>
      </c>
      <c r="F429" s="4">
        <f t="shared" si="130"/>
        <v>-1.7738668901459611E-2</v>
      </c>
      <c r="G429">
        <f t="shared" ca="1" si="131"/>
        <v>1.5228935407471833E-3</v>
      </c>
      <c r="H429">
        <f t="shared" ca="1" si="132"/>
        <v>3.3309571503086007E-2</v>
      </c>
      <c r="I429">
        <f t="shared" ca="1" si="133"/>
        <v>0.20471483980402527</v>
      </c>
      <c r="J429">
        <f t="shared" ca="1" si="134"/>
        <v>3.0200538641751455</v>
      </c>
      <c r="K429">
        <f t="shared" ca="1" si="135"/>
        <v>0.91053613341029338</v>
      </c>
      <c r="L429">
        <f t="shared" ca="1" si="136"/>
        <v>1.1577264701347181</v>
      </c>
      <c r="M429">
        <f t="shared" ca="1" si="137"/>
        <v>8.7389254372638553E-5</v>
      </c>
      <c r="N429">
        <f t="shared" ca="1" si="138"/>
        <v>8.9177853070733677E-3</v>
      </c>
      <c r="O429">
        <f t="shared" ca="1" si="139"/>
        <v>-0.33444886402893026</v>
      </c>
      <c r="P429">
        <f t="shared" ca="1" si="140"/>
        <v>0.3121598840751636</v>
      </c>
      <c r="Q429">
        <f t="shared" ca="1" si="141"/>
        <v>0.80820803544759534</v>
      </c>
      <c r="R429">
        <f t="shared" ca="1" si="142"/>
        <v>1.3259256416816783</v>
      </c>
      <c r="T429">
        <f t="shared" si="143"/>
        <v>0.93002194688197248</v>
      </c>
      <c r="U429" s="6">
        <f t="shared" ca="1" si="144"/>
        <v>0.8282895956445524</v>
      </c>
      <c r="V429">
        <f t="shared" ca="1" si="145"/>
        <v>0.80529448099390499</v>
      </c>
      <c r="W429">
        <v>0.94070221141685928</v>
      </c>
      <c r="X429" t="b">
        <f t="shared" ca="1" si="146"/>
        <v>1</v>
      </c>
      <c r="AS429">
        <v>0.61249523957190177</v>
      </c>
      <c r="AT429">
        <v>999</v>
      </c>
      <c r="AU429">
        <v>4.0216145562160008</v>
      </c>
      <c r="AV429">
        <v>7.6399117809681956</v>
      </c>
      <c r="AW429">
        <v>-6.1758667989467817</v>
      </c>
      <c r="AX429">
        <v>-8.0266672206443737</v>
      </c>
      <c r="AY429">
        <v>-7.8097673772928777</v>
      </c>
      <c r="AZ429">
        <v>6.3522237310996896</v>
      </c>
      <c r="BJ429" t="b">
        <f t="shared" si="127"/>
        <v>1</v>
      </c>
      <c r="BK429" t="b">
        <f t="shared" ca="1" si="128"/>
        <v>1</v>
      </c>
    </row>
    <row r="430" spans="1:63" x14ac:dyDescent="0.45">
      <c r="A430" s="1">
        <v>44614</v>
      </c>
      <c r="B430">
        <v>273.84300000000002</v>
      </c>
      <c r="C430" s="1">
        <v>44614</v>
      </c>
      <c r="D430">
        <v>429.57</v>
      </c>
      <c r="E430">
        <f t="shared" si="129"/>
        <v>-4.1367359798361709E-2</v>
      </c>
      <c r="F430" s="4">
        <f t="shared" si="130"/>
        <v>-1.0731639914331173E-2</v>
      </c>
      <c r="G430">
        <f t="shared" ca="1" si="131"/>
        <v>1.5505723420967032E-3</v>
      </c>
      <c r="H430">
        <f t="shared" ca="1" si="132"/>
        <v>3.3252109194380763E-2</v>
      </c>
      <c r="I430">
        <f t="shared" ca="1" si="133"/>
        <v>0.21409280691725838</v>
      </c>
      <c r="J430">
        <f t="shared" ca="1" si="134"/>
        <v>3.0308527040504138</v>
      </c>
      <c r="K430">
        <f t="shared" ca="1" si="135"/>
        <v>0.91053613341029338</v>
      </c>
      <c r="L430">
        <f t="shared" ca="1" si="136"/>
        <v>1.1577264701347181</v>
      </c>
      <c r="M430">
        <f t="shared" ca="1" si="137"/>
        <v>1.2657061176726684E-4</v>
      </c>
      <c r="N430">
        <f t="shared" ca="1" si="138"/>
        <v>8.8560720771640993E-3</v>
      </c>
      <c r="O430">
        <f t="shared" ca="1" si="139"/>
        <v>-0.32078620232873123</v>
      </c>
      <c r="P430">
        <f t="shared" ca="1" si="140"/>
        <v>0.3357816552664965</v>
      </c>
      <c r="Q430">
        <f t="shared" ca="1" si="141"/>
        <v>0.80946789986257783</v>
      </c>
      <c r="R430">
        <f t="shared" ca="1" si="142"/>
        <v>1.3259256416816783</v>
      </c>
      <c r="T430">
        <f t="shared" si="143"/>
        <v>0.9586326402016383</v>
      </c>
      <c r="U430" s="6">
        <f t="shared" ca="1" si="144"/>
        <v>0.9380755001370239</v>
      </c>
      <c r="V430">
        <f t="shared" ca="1" si="145"/>
        <v>0.81182821909311664</v>
      </c>
      <c r="W430">
        <v>0.96612974185325529</v>
      </c>
      <c r="X430" t="b">
        <f t="shared" ca="1" si="146"/>
        <v>1</v>
      </c>
      <c r="AS430">
        <v>0.59212078136889468</v>
      </c>
      <c r="AT430">
        <v>999</v>
      </c>
      <c r="AU430">
        <v>4.1200362964539012</v>
      </c>
      <c r="AV430">
        <v>7.1753528401387277</v>
      </c>
      <c r="AW430">
        <v>-5.8383640032152115</v>
      </c>
      <c r="AX430">
        <v>-7.5355471438114616</v>
      </c>
      <c r="AY430">
        <v>-7.922218743588358</v>
      </c>
      <c r="AZ430">
        <v>5.9082245323608973</v>
      </c>
      <c r="BJ430" t="b">
        <f t="shared" si="127"/>
        <v>1</v>
      </c>
      <c r="BK430" t="b">
        <f t="shared" ca="1" si="128"/>
        <v>1</v>
      </c>
    </row>
    <row r="431" spans="1:63" x14ac:dyDescent="0.45">
      <c r="A431" s="1">
        <v>44610</v>
      </c>
      <c r="B431">
        <v>285.66000000000003</v>
      </c>
      <c r="C431" s="1">
        <v>44610</v>
      </c>
      <c r="D431">
        <v>434.23</v>
      </c>
      <c r="E431">
        <f t="shared" si="129"/>
        <v>-2.2104156896038209E-2</v>
      </c>
      <c r="F431" s="4">
        <f t="shared" si="130"/>
        <v>-6.4750835125611684E-3</v>
      </c>
      <c r="G431">
        <f t="shared" ca="1" si="131"/>
        <v>1.8239386645535613E-3</v>
      </c>
      <c r="H431">
        <f t="shared" ca="1" si="132"/>
        <v>3.3121987377509668E-2</v>
      </c>
      <c r="I431">
        <f t="shared" ca="1" si="133"/>
        <v>0.2028850462375692</v>
      </c>
      <c r="J431">
        <f t="shared" ca="1" si="134"/>
        <v>3.1051341261863916</v>
      </c>
      <c r="K431">
        <f t="shared" ca="1" si="135"/>
        <v>0.91053613341029338</v>
      </c>
      <c r="L431">
        <f t="shared" ca="1" si="136"/>
        <v>1.257613887660034</v>
      </c>
      <c r="M431">
        <f t="shared" ca="1" si="137"/>
        <v>2.1661891323120831E-4</v>
      </c>
      <c r="N431">
        <f t="shared" ca="1" si="138"/>
        <v>8.8366508563832973E-3</v>
      </c>
      <c r="O431">
        <f t="shared" ca="1" si="139"/>
        <v>-0.34167903929474047</v>
      </c>
      <c r="P431">
        <f t="shared" ca="1" si="140"/>
        <v>0.3695906347693958</v>
      </c>
      <c r="Q431">
        <f t="shared" ca="1" si="141"/>
        <v>0.80946789986257783</v>
      </c>
      <c r="R431">
        <f t="shared" ca="1" si="142"/>
        <v>1.4332995340721386</v>
      </c>
      <c r="T431">
        <f t="shared" si="143"/>
        <v>0.97789584310396183</v>
      </c>
      <c r="U431" s="6">
        <f t="shared" ca="1" si="144"/>
        <v>0.99648721338696133</v>
      </c>
      <c r="V431">
        <f t="shared" ca="1" si="145"/>
        <v>0.8123092939225528</v>
      </c>
      <c r="W431">
        <v>0.96276479475435228</v>
      </c>
      <c r="X431" t="b">
        <f t="shared" ca="1" si="146"/>
        <v>1</v>
      </c>
      <c r="AS431">
        <v>0.58317849322767745</v>
      </c>
      <c r="AT431">
        <v>999</v>
      </c>
      <c r="AU431">
        <v>4.4069560039217546</v>
      </c>
      <c r="AV431">
        <v>6.9271501477096944</v>
      </c>
      <c r="AW431">
        <v>-5.6435706299757538</v>
      </c>
      <c r="AX431">
        <v>-7.2301928661794292</v>
      </c>
      <c r="AY431">
        <v>-8.0983510723600673</v>
      </c>
      <c r="AZ431">
        <v>5.5534462035368062</v>
      </c>
      <c r="BJ431" t="b">
        <f t="shared" si="127"/>
        <v>1</v>
      </c>
      <c r="BK431" t="b">
        <f t="shared" ca="1" si="128"/>
        <v>1</v>
      </c>
    </row>
    <row r="432" spans="1:63" x14ac:dyDescent="0.45">
      <c r="A432" s="1">
        <v>44609</v>
      </c>
      <c r="B432">
        <v>292.11700000000002</v>
      </c>
      <c r="C432" s="1">
        <v>44609</v>
      </c>
      <c r="D432">
        <v>437.06</v>
      </c>
      <c r="E432">
        <f t="shared" si="129"/>
        <v>-5.0942666757635729E-2</v>
      </c>
      <c r="F432" s="4">
        <f t="shared" si="130"/>
        <v>-2.1361397223466232E-2</v>
      </c>
      <c r="G432">
        <f t="shared" ca="1" si="131"/>
        <v>1.8793055681410953E-3</v>
      </c>
      <c r="H432">
        <f t="shared" ca="1" si="132"/>
        <v>3.3091028734370177E-2</v>
      </c>
      <c r="I432">
        <f t="shared" ca="1" si="133"/>
        <v>0.2000063752845247</v>
      </c>
      <c r="J432">
        <f t="shared" ca="1" si="134"/>
        <v>3.1255035459042908</v>
      </c>
      <c r="K432">
        <f t="shared" ca="1" si="135"/>
        <v>0.91053613341029338</v>
      </c>
      <c r="L432">
        <f t="shared" ca="1" si="136"/>
        <v>1.2943436540705495</v>
      </c>
      <c r="M432">
        <f t="shared" ca="1" si="137"/>
        <v>2.8892217204476591E-4</v>
      </c>
      <c r="N432">
        <f t="shared" ca="1" si="138"/>
        <v>8.8407818764946675E-3</v>
      </c>
      <c r="O432">
        <f t="shared" ca="1" si="139"/>
        <v>-0.36033816265526109</v>
      </c>
      <c r="P432">
        <f t="shared" ca="1" si="140"/>
        <v>0.37621368320942228</v>
      </c>
      <c r="Q432">
        <f t="shared" ca="1" si="141"/>
        <v>0.80946789986257783</v>
      </c>
      <c r="R432">
        <f t="shared" ca="1" si="142"/>
        <v>1.5514514867217566</v>
      </c>
      <c r="T432">
        <f t="shared" si="143"/>
        <v>0.9490573332423643</v>
      </c>
      <c r="U432" s="6">
        <f t="shared" ca="1" si="144"/>
        <v>0.96882431173035033</v>
      </c>
      <c r="V432">
        <f t="shared" ca="1" si="145"/>
        <v>0.81123089249573932</v>
      </c>
      <c r="W432">
        <v>0.92833695448223374</v>
      </c>
      <c r="X432" t="b">
        <f t="shared" ca="1" si="146"/>
        <v>1</v>
      </c>
      <c r="AS432">
        <v>0.55836985078264745</v>
      </c>
      <c r="AT432">
        <v>5.3932632266438612</v>
      </c>
      <c r="AU432">
        <v>3.8583011060687284</v>
      </c>
      <c r="AV432">
        <v>4.230904575167858</v>
      </c>
      <c r="AW432">
        <v>999</v>
      </c>
      <c r="AX432">
        <v>-4.4549538828433715</v>
      </c>
      <c r="AY432">
        <v>-7.9169425528688491</v>
      </c>
      <c r="AZ432">
        <v>3.0420264028167332</v>
      </c>
      <c r="BJ432" t="b">
        <f t="shared" si="127"/>
        <v>1</v>
      </c>
      <c r="BK432" t="b">
        <f t="shared" ca="1" si="128"/>
        <v>1</v>
      </c>
    </row>
    <row r="433" spans="1:63" x14ac:dyDescent="0.45">
      <c r="A433" s="1">
        <v>44608</v>
      </c>
      <c r="B433">
        <v>307.79700000000003</v>
      </c>
      <c r="C433" s="1">
        <v>44608</v>
      </c>
      <c r="D433">
        <v>446.6</v>
      </c>
      <c r="E433">
        <f t="shared" si="129"/>
        <v>1.0407282495928153E-3</v>
      </c>
      <c r="F433" s="4">
        <f t="shared" si="130"/>
        <v>1.1208249271463797E-3</v>
      </c>
      <c r="G433">
        <f t="shared" ca="1" si="131"/>
        <v>2.1142890626628876E-3</v>
      </c>
      <c r="H433">
        <f t="shared" ca="1" si="132"/>
        <v>3.288024180719272E-2</v>
      </c>
      <c r="I433">
        <f t="shared" ca="1" si="133"/>
        <v>0.20323763326475314</v>
      </c>
      <c r="J433">
        <f t="shared" ca="1" si="134"/>
        <v>3.2445476411811862</v>
      </c>
      <c r="K433">
        <f t="shared" ca="1" si="135"/>
        <v>0.91994692230530872</v>
      </c>
      <c r="L433">
        <f t="shared" ca="1" si="136"/>
        <v>1.3296361584295568</v>
      </c>
      <c r="M433">
        <f t="shared" ca="1" si="137"/>
        <v>3.9729308675071138E-4</v>
      </c>
      <c r="N433">
        <f t="shared" ca="1" si="138"/>
        <v>8.7058695621710942E-3</v>
      </c>
      <c r="O433">
        <f t="shared" ca="1" si="139"/>
        <v>-0.3370074050205038</v>
      </c>
      <c r="P433">
        <f t="shared" ca="1" si="140"/>
        <v>0.41139141260853584</v>
      </c>
      <c r="Q433">
        <f t="shared" ca="1" si="141"/>
        <v>0.85607879151780952</v>
      </c>
      <c r="R433">
        <f t="shared" ca="1" si="142"/>
        <v>1.6205678950578426</v>
      </c>
      <c r="T433">
        <f t="shared" si="143"/>
        <v>1.0010407282495928</v>
      </c>
      <c r="U433" s="6">
        <f t="shared" ca="1" si="144"/>
        <v>0.99076181248732598</v>
      </c>
      <c r="V433">
        <f t="shared" ca="1" si="145"/>
        <v>0.76342366646917459</v>
      </c>
      <c r="W433">
        <v>0.92462341929422764</v>
      </c>
      <c r="X433" t="b">
        <f t="shared" ca="1" si="146"/>
        <v>1</v>
      </c>
      <c r="AS433">
        <v>0.55406923211876602</v>
      </c>
      <c r="AT433">
        <v>5.3989357170172472</v>
      </c>
      <c r="AU433">
        <v>4.1652955104762857</v>
      </c>
      <c r="AV433">
        <v>4.1914227193762228</v>
      </c>
      <c r="AW433">
        <v>999</v>
      </c>
      <c r="AX433">
        <v>-4.3573421083464199</v>
      </c>
      <c r="AY433">
        <v>-7.9393486152888864</v>
      </c>
      <c r="AZ433">
        <v>2.7661103323233545</v>
      </c>
      <c r="BJ433" t="b">
        <f t="shared" si="127"/>
        <v>1</v>
      </c>
      <c r="BK433" t="b">
        <f t="shared" ca="1" si="128"/>
        <v>1</v>
      </c>
    </row>
    <row r="434" spans="1:63" x14ac:dyDescent="0.45">
      <c r="A434" s="1">
        <v>44607</v>
      </c>
      <c r="B434">
        <v>307.47699999999998</v>
      </c>
      <c r="C434" s="1">
        <v>44607</v>
      </c>
      <c r="D434">
        <v>446.1</v>
      </c>
      <c r="E434">
        <f t="shared" si="129"/>
        <v>5.3291997807618383E-2</v>
      </c>
      <c r="F434" s="4">
        <f t="shared" si="130"/>
        <v>1.612682793494611E-2</v>
      </c>
      <c r="G434">
        <f t="shared" ca="1" si="131"/>
        <v>2.0265843263645509E-3</v>
      </c>
      <c r="H434">
        <f t="shared" ca="1" si="132"/>
        <v>3.2906503680647584E-2</v>
      </c>
      <c r="I434">
        <f t="shared" ca="1" si="133"/>
        <v>0.20990939715338264</v>
      </c>
      <c r="J434">
        <f t="shared" ca="1" si="134"/>
        <v>3.2272607657737638</v>
      </c>
      <c r="K434">
        <f t="shared" ca="1" si="135"/>
        <v>0.91994692230530872</v>
      </c>
      <c r="L434">
        <f t="shared" ca="1" si="136"/>
        <v>1.2943436540705495</v>
      </c>
      <c r="M434">
        <f t="shared" ca="1" si="137"/>
        <v>3.6084247717954203E-4</v>
      </c>
      <c r="N434">
        <f t="shared" ca="1" si="138"/>
        <v>8.7180779309922671E-3</v>
      </c>
      <c r="O434">
        <f t="shared" ca="1" si="139"/>
        <v>-0.32509566608270224</v>
      </c>
      <c r="P434">
        <f t="shared" ca="1" si="140"/>
        <v>0.38807838436508613</v>
      </c>
      <c r="Q434">
        <f t="shared" ca="1" si="141"/>
        <v>0.85607879151780952</v>
      </c>
      <c r="R434">
        <f t="shared" ca="1" si="142"/>
        <v>1.5514514867217566</v>
      </c>
      <c r="T434">
        <f t="shared" si="143"/>
        <v>1.0532919978076183</v>
      </c>
      <c r="U434" s="6">
        <f t="shared" ca="1" si="144"/>
        <v>1.0004685471459296</v>
      </c>
      <c r="V434">
        <f t="shared" ca="1" si="145"/>
        <v>0.79829408563016757</v>
      </c>
      <c r="W434">
        <v>0.96797954130705999</v>
      </c>
      <c r="X434" t="b">
        <f t="shared" ca="1" si="146"/>
        <v>0</v>
      </c>
      <c r="AS434">
        <v>0.55158173877442551</v>
      </c>
      <c r="AT434">
        <v>5.3681548049592589</v>
      </c>
      <c r="AU434">
        <v>4.3182794441973567</v>
      </c>
      <c r="AV434">
        <v>4.1168611652409552</v>
      </c>
      <c r="AW434">
        <v>999</v>
      </c>
      <c r="AX434">
        <v>-4.2820188925741638</v>
      </c>
      <c r="AY434">
        <v>-7.9133163600039724</v>
      </c>
      <c r="AZ434">
        <v>2.6249575890950316</v>
      </c>
      <c r="BJ434" t="b">
        <f t="shared" si="127"/>
        <v>1</v>
      </c>
      <c r="BK434" t="b">
        <f t="shared" ca="1" si="128"/>
        <v>0</v>
      </c>
    </row>
    <row r="435" spans="1:63" x14ac:dyDescent="0.45">
      <c r="A435" s="1">
        <v>44606</v>
      </c>
      <c r="B435">
        <v>291.92</v>
      </c>
      <c r="C435" s="1">
        <v>44606</v>
      </c>
      <c r="D435">
        <v>439.02</v>
      </c>
      <c r="E435">
        <f t="shared" si="129"/>
        <v>1.8324397297212597E-2</v>
      </c>
      <c r="F435" s="4">
        <f t="shared" si="130"/>
        <v>-3.2693093583980332E-3</v>
      </c>
      <c r="G435">
        <f t="shared" ca="1" si="131"/>
        <v>1.5871710220355234E-3</v>
      </c>
      <c r="H435">
        <f t="shared" ca="1" si="132"/>
        <v>3.2805106102175491E-2</v>
      </c>
      <c r="I435">
        <f t="shared" ca="1" si="133"/>
        <v>0.22602376511585706</v>
      </c>
      <c r="J435">
        <f t="shared" ca="1" si="134"/>
        <v>3.2935773533707584</v>
      </c>
      <c r="K435">
        <f t="shared" ca="1" si="135"/>
        <v>0.88539076731719724</v>
      </c>
      <c r="L435">
        <f t="shared" ca="1" si="136"/>
        <v>1.227411747927909</v>
      </c>
      <c r="M435">
        <f t="shared" ca="1" si="137"/>
        <v>2.9099194641926137E-4</v>
      </c>
      <c r="N435">
        <f t="shared" ca="1" si="138"/>
        <v>8.6467976310100926E-3</v>
      </c>
      <c r="O435">
        <f t="shared" ca="1" si="139"/>
        <v>-0.33944526133007724</v>
      </c>
      <c r="P435">
        <f t="shared" ca="1" si="140"/>
        <v>0.43388861060944395</v>
      </c>
      <c r="Q435">
        <f t="shared" ca="1" si="141"/>
        <v>0.85434979585058635</v>
      </c>
      <c r="R435">
        <f t="shared" ca="1" si="142"/>
        <v>1.4977927754335107</v>
      </c>
      <c r="T435">
        <f t="shared" si="143"/>
        <v>1.0183243972972127</v>
      </c>
      <c r="U435" s="6">
        <f t="shared" ca="1" si="144"/>
        <v>0.96519390174146236</v>
      </c>
      <c r="V435">
        <f t="shared" ca="1" si="145"/>
        <v>0.8049129216076939</v>
      </c>
      <c r="W435">
        <v>0.97518749985037567</v>
      </c>
      <c r="X435" t="b">
        <f t="shared" ca="1" si="146"/>
        <v>1</v>
      </c>
      <c r="AS435">
        <v>0.54403406200399473</v>
      </c>
      <c r="AT435">
        <v>5.2245752172089199</v>
      </c>
      <c r="AU435">
        <v>4.3030126496214285</v>
      </c>
      <c r="AV435">
        <v>3.8612819462616348</v>
      </c>
      <c r="AW435">
        <v>999</v>
      </c>
      <c r="AX435">
        <v>-4.084602459586999</v>
      </c>
      <c r="AY435">
        <v>-7.7896920283247075</v>
      </c>
      <c r="AZ435">
        <v>2.5050698267401201</v>
      </c>
      <c r="BJ435" t="b">
        <f t="shared" si="127"/>
        <v>1</v>
      </c>
      <c r="BK435" t="b">
        <f t="shared" ca="1" si="128"/>
        <v>1</v>
      </c>
    </row>
    <row r="436" spans="1:63" x14ac:dyDescent="0.45">
      <c r="A436" s="1">
        <v>44603</v>
      </c>
      <c r="B436">
        <v>286.66699999999997</v>
      </c>
      <c r="C436" s="1">
        <v>44603</v>
      </c>
      <c r="D436">
        <v>440.46</v>
      </c>
      <c r="E436">
        <f t="shared" si="129"/>
        <v>-4.9250954340883009E-2</v>
      </c>
      <c r="F436" s="4">
        <f t="shared" si="130"/>
        <v>-1.9718686014421824E-2</v>
      </c>
      <c r="G436">
        <f t="shared" ca="1" si="131"/>
        <v>1.7351277067774206E-3</v>
      </c>
      <c r="H436">
        <f t="shared" ca="1" si="132"/>
        <v>3.2947395645124999E-2</v>
      </c>
      <c r="I436">
        <f t="shared" ca="1" si="133"/>
        <v>0.22294654083722057</v>
      </c>
      <c r="J436">
        <f t="shared" ca="1" si="134"/>
        <v>3.2004651568231504</v>
      </c>
      <c r="K436">
        <f t="shared" ca="1" si="135"/>
        <v>0.91994692230530872</v>
      </c>
      <c r="L436">
        <f t="shared" ca="1" si="136"/>
        <v>1.257613887660034</v>
      </c>
      <c r="M436">
        <f t="shared" ca="1" si="137"/>
        <v>2.7448604356120158E-4</v>
      </c>
      <c r="N436">
        <f t="shared" ca="1" si="138"/>
        <v>8.6567731185112316E-3</v>
      </c>
      <c r="O436">
        <f t="shared" ca="1" si="139"/>
        <v>-0.33466968446354178</v>
      </c>
      <c r="P436">
        <f t="shared" ca="1" si="140"/>
        <v>0.41714653899519671</v>
      </c>
      <c r="Q436">
        <f t="shared" ca="1" si="141"/>
        <v>0.85434979585058635</v>
      </c>
      <c r="R436">
        <f t="shared" ca="1" si="142"/>
        <v>1.4332995340721386</v>
      </c>
      <c r="T436">
        <f t="shared" si="143"/>
        <v>0.950749045659117</v>
      </c>
      <c r="U436" s="6">
        <f t="shared" ca="1" si="144"/>
        <v>0.93142348419127063</v>
      </c>
      <c r="V436">
        <f t="shared" ca="1" si="145"/>
        <v>0.79431629441717788</v>
      </c>
      <c r="W436">
        <v>0.95732146082693059</v>
      </c>
      <c r="X436" t="b">
        <f t="shared" ca="1" si="146"/>
        <v>1</v>
      </c>
      <c r="AS436">
        <v>0.54071549056284995</v>
      </c>
      <c r="AT436">
        <v>5.1154508161028049</v>
      </c>
      <c r="AU436">
        <v>4.2185946244580332</v>
      </c>
      <c r="AV436">
        <v>3.6013964626641135</v>
      </c>
      <c r="AW436">
        <v>999</v>
      </c>
      <c r="AX436">
        <v>-3.8990216845102355</v>
      </c>
      <c r="AY436">
        <v>-7.7109330577907294</v>
      </c>
      <c r="AZ436">
        <v>2.4332817354819563</v>
      </c>
      <c r="BJ436" t="b">
        <f t="shared" si="127"/>
        <v>1</v>
      </c>
      <c r="BK436" t="b">
        <f t="shared" ca="1" si="128"/>
        <v>1</v>
      </c>
    </row>
    <row r="437" spans="1:63" x14ac:dyDescent="0.45">
      <c r="A437" s="1">
        <v>44602</v>
      </c>
      <c r="B437">
        <v>301.517</v>
      </c>
      <c r="C437" s="1">
        <v>44602</v>
      </c>
      <c r="D437">
        <v>449.32</v>
      </c>
      <c r="E437">
        <f t="shared" si="129"/>
        <v>-2.9452758097898966E-2</v>
      </c>
      <c r="F437" s="4">
        <f t="shared" si="130"/>
        <v>-1.7965642348210051E-2</v>
      </c>
      <c r="G437">
        <f t="shared" ca="1" si="131"/>
        <v>1.8560946404746908E-3</v>
      </c>
      <c r="H437">
        <f t="shared" ca="1" si="132"/>
        <v>3.2803357044084963E-2</v>
      </c>
      <c r="I437">
        <f t="shared" ca="1" si="133"/>
        <v>0.23101540255909933</v>
      </c>
      <c r="J437">
        <f t="shared" ca="1" si="134"/>
        <v>3.2794161997841895</v>
      </c>
      <c r="K437">
        <f t="shared" ca="1" si="135"/>
        <v>0.91994692230530872</v>
      </c>
      <c r="L437">
        <f t="shared" ca="1" si="136"/>
        <v>1.257613887660034</v>
      </c>
      <c r="M437">
        <f t="shared" ca="1" si="137"/>
        <v>4.0494339313498805E-4</v>
      </c>
      <c r="N437">
        <f t="shared" ca="1" si="138"/>
        <v>8.5499016797804545E-3</v>
      </c>
      <c r="O437">
        <f t="shared" ca="1" si="139"/>
        <v>-0.32687191121875109</v>
      </c>
      <c r="P437">
        <f t="shared" ca="1" si="140"/>
        <v>0.45896299517334072</v>
      </c>
      <c r="Q437">
        <f t="shared" ca="1" si="141"/>
        <v>0.85852966183058133</v>
      </c>
      <c r="R437">
        <f t="shared" ca="1" si="142"/>
        <v>1.5514514867217566</v>
      </c>
      <c r="T437">
        <f t="shared" si="143"/>
        <v>0.97054724190210107</v>
      </c>
      <c r="U437" s="6">
        <f t="shared" ca="1" si="144"/>
        <v>1.0150481236975966</v>
      </c>
      <c r="V437">
        <f t="shared" ca="1" si="145"/>
        <v>0.78888264954539611</v>
      </c>
      <c r="W437">
        <v>1.0086524010545084</v>
      </c>
      <c r="X437" t="b">
        <f t="shared" ca="1" si="146"/>
        <v>1</v>
      </c>
      <c r="AS437">
        <v>0.52971536901803795</v>
      </c>
      <c r="AT437">
        <v>4.8882810503688097</v>
      </c>
      <c r="AU437">
        <v>4.1422871076499685</v>
      </c>
      <c r="AV437">
        <v>3.350906319732188</v>
      </c>
      <c r="AW437">
        <v>999</v>
      </c>
      <c r="AX437">
        <v>-3.6853010172800844</v>
      </c>
      <c r="AY437">
        <v>-7.4819350068959141</v>
      </c>
      <c r="AZ437">
        <v>2.3311978760236527</v>
      </c>
      <c r="BJ437" t="b">
        <f t="shared" si="127"/>
        <v>1</v>
      </c>
      <c r="BK437" t="b">
        <f t="shared" ca="1" si="128"/>
        <v>1</v>
      </c>
    </row>
    <row r="438" spans="1:63" x14ac:dyDescent="0.45">
      <c r="A438" s="1">
        <v>44601</v>
      </c>
      <c r="B438">
        <v>310.66699999999997</v>
      </c>
      <c r="C438" s="1">
        <v>44601</v>
      </c>
      <c r="D438">
        <v>457.54</v>
      </c>
      <c r="E438">
        <f t="shared" si="129"/>
        <v>1.0848167948121244E-2</v>
      </c>
      <c r="F438" s="4">
        <f t="shared" si="130"/>
        <v>1.4636093493591216E-2</v>
      </c>
      <c r="G438">
        <f t="shared" ca="1" si="131"/>
        <v>1.9300121282904304E-3</v>
      </c>
      <c r="H438">
        <f t="shared" ca="1" si="132"/>
        <v>3.2749063954083009E-2</v>
      </c>
      <c r="I438">
        <f t="shared" ca="1" si="133"/>
        <v>0.22910966067039973</v>
      </c>
      <c r="J438">
        <f t="shared" ca="1" si="134"/>
        <v>3.3153329645525238</v>
      </c>
      <c r="K438">
        <f t="shared" ca="1" si="135"/>
        <v>0.91994692230530872</v>
      </c>
      <c r="L438">
        <f t="shared" ca="1" si="136"/>
        <v>1.2891949218679741</v>
      </c>
      <c r="M438">
        <f t="shared" ca="1" si="137"/>
        <v>4.9333454796858479E-4</v>
      </c>
      <c r="N438">
        <f t="shared" ca="1" si="138"/>
        <v>8.4498227103556225E-3</v>
      </c>
      <c r="O438">
        <f t="shared" ca="1" si="139"/>
        <v>-0.31816737630618125</v>
      </c>
      <c r="P438">
        <f t="shared" ca="1" si="140"/>
        <v>0.5251791140820905</v>
      </c>
      <c r="Q438">
        <f t="shared" ca="1" si="141"/>
        <v>0.9632305419256243</v>
      </c>
      <c r="R438">
        <f t="shared" ca="1" si="142"/>
        <v>1.6205678950578426</v>
      </c>
      <c r="T438">
        <f t="shared" si="143"/>
        <v>1.0108481679481212</v>
      </c>
      <c r="U438" s="6">
        <f t="shared" ca="1" si="144"/>
        <v>1.0290837300049354</v>
      </c>
      <c r="V438">
        <f t="shared" ca="1" si="145"/>
        <v>0.79363365466113611</v>
      </c>
      <c r="W438">
        <v>0.96623986966060449</v>
      </c>
      <c r="X438" t="b">
        <f t="shared" ca="1" si="146"/>
        <v>0</v>
      </c>
      <c r="AS438">
        <v>0.50743911178005574</v>
      </c>
      <c r="AT438">
        <v>999</v>
      </c>
      <c r="AU438">
        <v>4.5761020426717405</v>
      </c>
      <c r="AV438">
        <v>5.4521828245560942</v>
      </c>
      <c r="AW438">
        <v>-4.4663911591828986</v>
      </c>
      <c r="AX438">
        <v>-5.3649934690295566</v>
      </c>
      <c r="AY438">
        <v>-7.6523409194592169</v>
      </c>
      <c r="AZ438">
        <v>3.7468707149264984</v>
      </c>
      <c r="BJ438" t="b">
        <f t="shared" si="127"/>
        <v>1</v>
      </c>
      <c r="BK438" t="b">
        <f t="shared" ca="1" si="128"/>
        <v>0</v>
      </c>
    </row>
    <row r="439" spans="1:63" x14ac:dyDescent="0.45">
      <c r="A439" s="1">
        <v>44600</v>
      </c>
      <c r="B439">
        <v>307.33300000000003</v>
      </c>
      <c r="C439" s="1">
        <v>44600</v>
      </c>
      <c r="D439">
        <v>450.94</v>
      </c>
      <c r="E439">
        <f t="shared" si="129"/>
        <v>1.6154896560389171E-2</v>
      </c>
      <c r="F439" s="4">
        <f t="shared" si="130"/>
        <v>8.2278764029870919E-3</v>
      </c>
      <c r="G439">
        <f t="shared" ca="1" si="131"/>
        <v>1.6491257001531685E-3</v>
      </c>
      <c r="H439">
        <f t="shared" ca="1" si="132"/>
        <v>3.2912694713972818E-2</v>
      </c>
      <c r="I439">
        <f t="shared" ca="1" si="133"/>
        <v>0.2364433658964725</v>
      </c>
      <c r="J439">
        <f t="shared" ca="1" si="134"/>
        <v>3.2195450807240382</v>
      </c>
      <c r="K439">
        <f t="shared" ca="1" si="135"/>
        <v>0.91994692230530872</v>
      </c>
      <c r="L439">
        <f t="shared" ca="1" si="136"/>
        <v>1.257613887660034</v>
      </c>
      <c r="M439">
        <f t="shared" ca="1" si="137"/>
        <v>4.1907652009738123E-4</v>
      </c>
      <c r="N439">
        <f t="shared" ca="1" si="138"/>
        <v>8.3899566800290735E-3</v>
      </c>
      <c r="O439">
        <f t="shared" ca="1" si="139"/>
        <v>-0.32252136235540796</v>
      </c>
      <c r="P439">
        <f t="shared" ca="1" si="140"/>
        <v>0.57424613144166248</v>
      </c>
      <c r="Q439">
        <f t="shared" ca="1" si="141"/>
        <v>0.95270836364607614</v>
      </c>
      <c r="R439">
        <f t="shared" ca="1" si="142"/>
        <v>1.5645187143079813</v>
      </c>
      <c r="T439">
        <f t="shared" si="143"/>
        <v>1.0161548965603893</v>
      </c>
      <c r="U439" s="6">
        <f t="shared" ca="1" si="144"/>
        <v>0.99006497711143426</v>
      </c>
      <c r="V439">
        <f t="shared" ca="1" si="145"/>
        <v>0.77672821424775573</v>
      </c>
      <c r="W439">
        <v>0.95032061313542715</v>
      </c>
      <c r="X439" t="b">
        <f t="shared" ca="1" si="146"/>
        <v>1</v>
      </c>
      <c r="AS439">
        <v>0.49594883127232658</v>
      </c>
      <c r="AT439">
        <v>999</v>
      </c>
      <c r="AU439">
        <v>5.0130688199204414</v>
      </c>
      <c r="AV439">
        <v>5.5052744780188299</v>
      </c>
      <c r="AW439">
        <v>-4.5282444198866552</v>
      </c>
      <c r="AX439">
        <v>-5.2459425051931765</v>
      </c>
      <c r="AY439">
        <v>-7.5859995997729044</v>
      </c>
      <c r="AZ439">
        <v>3.6153571792474528</v>
      </c>
      <c r="BJ439" t="b">
        <f t="shared" si="127"/>
        <v>1</v>
      </c>
      <c r="BK439" t="b">
        <f t="shared" ca="1" si="128"/>
        <v>1</v>
      </c>
    </row>
    <row r="440" spans="1:63" x14ac:dyDescent="0.45">
      <c r="A440" s="1">
        <v>44599</v>
      </c>
      <c r="B440">
        <v>302.447</v>
      </c>
      <c r="C440" s="1">
        <v>44599</v>
      </c>
      <c r="D440">
        <v>447.26</v>
      </c>
      <c r="E440">
        <f t="shared" si="129"/>
        <v>-1.7304961773774896E-2</v>
      </c>
      <c r="F440" s="4">
        <f t="shared" si="130"/>
        <v>-3.2092712279919717E-3</v>
      </c>
      <c r="G440">
        <f t="shared" ca="1" si="131"/>
        <v>1.6286885635773615E-3</v>
      </c>
      <c r="H440">
        <f t="shared" ca="1" si="132"/>
        <v>3.2904910216311672E-2</v>
      </c>
      <c r="I440">
        <f t="shared" ca="1" si="133"/>
        <v>0.23821957630144333</v>
      </c>
      <c r="J440">
        <f t="shared" ca="1" si="134"/>
        <v>3.2259339703583771</v>
      </c>
      <c r="K440">
        <f t="shared" ca="1" si="135"/>
        <v>0.91994692230530872</v>
      </c>
      <c r="L440">
        <f t="shared" ca="1" si="136"/>
        <v>1.257613887660034</v>
      </c>
      <c r="M440">
        <f t="shared" ca="1" si="137"/>
        <v>3.8837530096577839E-4</v>
      </c>
      <c r="N440">
        <f t="shared" ca="1" si="138"/>
        <v>8.3724546739469101E-3</v>
      </c>
      <c r="O440">
        <f t="shared" ca="1" si="139"/>
        <v>-0.31751426284497491</v>
      </c>
      <c r="P440">
        <f t="shared" ca="1" si="140"/>
        <v>0.59586494796825695</v>
      </c>
      <c r="Q440">
        <f t="shared" ca="1" si="141"/>
        <v>0.95270836364607614</v>
      </c>
      <c r="R440">
        <f t="shared" ca="1" si="142"/>
        <v>1.5483378408537727</v>
      </c>
      <c r="T440">
        <f t="shared" si="143"/>
        <v>0.98269503822622506</v>
      </c>
      <c r="U440" s="6">
        <f t="shared" ca="1" si="144"/>
        <v>0.96863630540609758</v>
      </c>
      <c r="V440">
        <f t="shared" ca="1" si="145"/>
        <v>0.78976703204310883</v>
      </c>
      <c r="W440">
        <v>0.95200549291321823</v>
      </c>
      <c r="X440" t="b">
        <f t="shared" ca="1" si="146"/>
        <v>1</v>
      </c>
      <c r="AS440">
        <v>0.51276226986486328</v>
      </c>
      <c r="AT440">
        <v>999</v>
      </c>
      <c r="AU440">
        <v>5.3661046396309109</v>
      </c>
      <c r="AV440">
        <v>5.6485570860063889</v>
      </c>
      <c r="AW440">
        <v>-4.6766955015655878</v>
      </c>
      <c r="AX440">
        <v>-5.2322838485844052</v>
      </c>
      <c r="AY440">
        <v>-7.7432515837443425</v>
      </c>
      <c r="AZ440">
        <v>3.6743383083543972</v>
      </c>
      <c r="BJ440" t="b">
        <f t="shared" si="127"/>
        <v>1</v>
      </c>
      <c r="BK440" t="b">
        <f t="shared" ca="1" si="128"/>
        <v>1</v>
      </c>
    </row>
    <row r="441" spans="1:63" x14ac:dyDescent="0.45">
      <c r="A441" s="1">
        <v>44596</v>
      </c>
      <c r="B441">
        <v>307.77300000000002</v>
      </c>
      <c r="C441" s="1">
        <v>44596</v>
      </c>
      <c r="D441">
        <v>448.7</v>
      </c>
      <c r="E441">
        <f t="shared" si="129"/>
        <v>3.6108763932980299E-2</v>
      </c>
      <c r="F441" s="4">
        <f t="shared" si="130"/>
        <v>4.7021943573666942E-3</v>
      </c>
      <c r="G441">
        <f t="shared" ca="1" si="131"/>
        <v>1.7826589845214183E-3</v>
      </c>
      <c r="H441">
        <f t="shared" ca="1" si="132"/>
        <v>3.2887911935984518E-2</v>
      </c>
      <c r="I441">
        <f t="shared" ca="1" si="133"/>
        <v>0.22560873661347225</v>
      </c>
      <c r="J441">
        <f t="shared" ca="1" si="134"/>
        <v>3.2339827332762532</v>
      </c>
      <c r="K441">
        <f t="shared" ca="1" si="135"/>
        <v>0.91994692230530872</v>
      </c>
      <c r="L441">
        <f t="shared" ca="1" si="136"/>
        <v>1.2891949218679741</v>
      </c>
      <c r="M441">
        <f t="shared" ca="1" si="137"/>
        <v>4.5863370260989833E-4</v>
      </c>
      <c r="N441">
        <f t="shared" ca="1" si="138"/>
        <v>8.4010223025118205E-3</v>
      </c>
      <c r="O441">
        <f t="shared" ca="1" si="139"/>
        <v>-0.32945013695969738</v>
      </c>
      <c r="P441">
        <f t="shared" ca="1" si="140"/>
        <v>0.56963958544732707</v>
      </c>
      <c r="Q441">
        <f t="shared" ca="1" si="141"/>
        <v>0.95270836364607614</v>
      </c>
      <c r="R441">
        <f t="shared" ca="1" si="142"/>
        <v>1.5645187143079813</v>
      </c>
      <c r="T441">
        <f t="shared" si="143"/>
        <v>1.0361087639329802</v>
      </c>
      <c r="U441" s="6">
        <f t="shared" ca="1" si="144"/>
        <v>1.0909409925669138</v>
      </c>
      <c r="V441">
        <f t="shared" ca="1" si="145"/>
        <v>0.89289423440971871</v>
      </c>
      <c r="W441">
        <v>1.0394923235001854</v>
      </c>
      <c r="X441" t="b">
        <f t="shared" ca="1" si="146"/>
        <v>1</v>
      </c>
      <c r="AS441">
        <v>0.49165969918175834</v>
      </c>
      <c r="AT441">
        <v>999</v>
      </c>
      <c r="AU441">
        <v>5.5475451939923577</v>
      </c>
      <c r="AV441">
        <v>5.5835202215821882</v>
      </c>
      <c r="AW441">
        <v>-4.5154177332732477</v>
      </c>
      <c r="AX441">
        <v>-5.1591555149776696</v>
      </c>
      <c r="AY441">
        <v>-7.4165188430650009</v>
      </c>
      <c r="AZ441">
        <v>3.5868531483621466</v>
      </c>
      <c r="BJ441" t="b">
        <f t="shared" si="127"/>
        <v>1</v>
      </c>
      <c r="BK441" t="b">
        <f t="shared" ca="1" si="128"/>
        <v>1</v>
      </c>
    </row>
    <row r="442" spans="1:63" x14ac:dyDescent="0.45">
      <c r="A442" s="1">
        <v>44595</v>
      </c>
      <c r="B442">
        <v>297.04700000000003</v>
      </c>
      <c r="C442" s="1">
        <v>44595</v>
      </c>
      <c r="D442">
        <v>446.6</v>
      </c>
      <c r="E442">
        <f t="shared" si="129"/>
        <v>-1.6032488977663746E-2</v>
      </c>
      <c r="F442" s="4">
        <f t="shared" si="130"/>
        <v>-2.3504974308516453E-2</v>
      </c>
      <c r="G442">
        <f t="shared" ca="1" si="131"/>
        <v>1.4379682530680942E-3</v>
      </c>
      <c r="H442">
        <f t="shared" ca="1" si="132"/>
        <v>3.2887602491884514E-2</v>
      </c>
      <c r="I442">
        <f t="shared" ca="1" si="133"/>
        <v>0.24568805655391246</v>
      </c>
      <c r="J442">
        <f t="shared" ca="1" si="134"/>
        <v>3.2442564100715447</v>
      </c>
      <c r="K442">
        <f t="shared" ca="1" si="135"/>
        <v>0.91994692230530872</v>
      </c>
      <c r="L442">
        <f t="shared" ca="1" si="136"/>
        <v>1.2230918632586039</v>
      </c>
      <c r="M442">
        <f t="shared" ca="1" si="137"/>
        <v>3.8945733798051424E-4</v>
      </c>
      <c r="N442">
        <f t="shared" ca="1" si="138"/>
        <v>8.4228374744591689E-3</v>
      </c>
      <c r="O442">
        <f t="shared" ca="1" si="139"/>
        <v>-0.31015367674344579</v>
      </c>
      <c r="P442">
        <f t="shared" ca="1" si="140"/>
        <v>0.52989194866786615</v>
      </c>
      <c r="Q442">
        <f t="shared" ca="1" si="141"/>
        <v>0.95270836364607614</v>
      </c>
      <c r="R442">
        <f t="shared" ca="1" si="142"/>
        <v>1.4977927754335107</v>
      </c>
      <c r="T442">
        <f t="shared" si="143"/>
        <v>0.98396751102233626</v>
      </c>
      <c r="U442" s="6">
        <f t="shared" ca="1" si="144"/>
        <v>1.0748280366324487</v>
      </c>
      <c r="V442">
        <f t="shared" ca="1" si="145"/>
        <v>0.84325446116026848</v>
      </c>
      <c r="W442">
        <v>1.0284746184775022</v>
      </c>
      <c r="X442" t="b">
        <f t="shared" ca="1" si="146"/>
        <v>1</v>
      </c>
      <c r="AS442">
        <v>0.48230901243099061</v>
      </c>
      <c r="AT442">
        <v>999</v>
      </c>
      <c r="AU442">
        <v>5.8405303797496151</v>
      </c>
      <c r="AV442">
        <v>5.517915118381274</v>
      </c>
      <c r="AW442">
        <v>-4.3188255095581773</v>
      </c>
      <c r="AX442">
        <v>-4.9598947485041602</v>
      </c>
      <c r="AY442">
        <v>-7.0062497147847562</v>
      </c>
      <c r="AZ442">
        <v>3.2173382867678826</v>
      </c>
      <c r="BJ442" t="b">
        <f t="shared" si="127"/>
        <v>1</v>
      </c>
      <c r="BK442" t="b">
        <f t="shared" ca="1" si="128"/>
        <v>1</v>
      </c>
    </row>
    <row r="443" spans="1:63" x14ac:dyDescent="0.45">
      <c r="A443" s="1">
        <v>44594</v>
      </c>
      <c r="B443">
        <v>301.887</v>
      </c>
      <c r="C443" s="1">
        <v>44594</v>
      </c>
      <c r="D443">
        <v>457.35</v>
      </c>
      <c r="E443">
        <f t="shared" si="129"/>
        <v>-2.7479165123044078E-2</v>
      </c>
      <c r="F443" s="4">
        <f t="shared" si="130"/>
        <v>9.7140964786401017E-3</v>
      </c>
      <c r="G443">
        <f t="shared" ca="1" si="131"/>
        <v>1.6928969322103457E-3</v>
      </c>
      <c r="H443">
        <f t="shared" ca="1" si="132"/>
        <v>3.2949050392559943E-2</v>
      </c>
      <c r="I443">
        <f t="shared" ca="1" si="133"/>
        <v>0.22696868834660058</v>
      </c>
      <c r="J443">
        <f t="shared" ca="1" si="134"/>
        <v>3.195063368702086</v>
      </c>
      <c r="K443">
        <f t="shared" ca="1" si="135"/>
        <v>0.91994692230530872</v>
      </c>
      <c r="L443">
        <f t="shared" ca="1" si="136"/>
        <v>1.2891949218679741</v>
      </c>
      <c r="M443">
        <f t="shared" ca="1" si="137"/>
        <v>5.5429278525641031E-4</v>
      </c>
      <c r="N443">
        <f t="shared" ca="1" si="138"/>
        <v>8.2741436406325482E-3</v>
      </c>
      <c r="O443">
        <f t="shared" ca="1" si="139"/>
        <v>-0.25861688142933859</v>
      </c>
      <c r="P443">
        <f t="shared" ca="1" si="140"/>
        <v>0.45980033647230645</v>
      </c>
      <c r="Q443">
        <f t="shared" ca="1" si="141"/>
        <v>1.0014654498789586</v>
      </c>
      <c r="R443">
        <f t="shared" ca="1" si="142"/>
        <v>1.6205678950578426</v>
      </c>
      <c r="T443">
        <f t="shared" si="143"/>
        <v>0.97252083487695595</v>
      </c>
      <c r="U443" s="6">
        <f t="shared" ca="1" si="144"/>
        <v>0.96613114859026461</v>
      </c>
      <c r="V443">
        <f t="shared" ca="1" si="145"/>
        <v>0.66005279157219532</v>
      </c>
      <c r="W443">
        <v>0.94601861512352015</v>
      </c>
      <c r="X443" t="b">
        <f t="shared" ca="1" si="146"/>
        <v>1</v>
      </c>
      <c r="AS443">
        <v>0.46500889604771611</v>
      </c>
      <c r="AT443">
        <v>999</v>
      </c>
      <c r="AU443">
        <v>5.9511110236872531</v>
      </c>
      <c r="AV443">
        <v>5.3514330291472039</v>
      </c>
      <c r="AW443">
        <v>-4.237627079920343</v>
      </c>
      <c r="AX443">
        <v>-4.7715523701862237</v>
      </c>
      <c r="AY443">
        <v>-6.7453657924286796</v>
      </c>
      <c r="AZ443">
        <v>2.7414598284139733</v>
      </c>
      <c r="BJ443" t="b">
        <f t="shared" si="127"/>
        <v>1</v>
      </c>
      <c r="BK443" t="b">
        <f t="shared" ca="1" si="128"/>
        <v>1</v>
      </c>
    </row>
    <row r="444" spans="1:63" x14ac:dyDescent="0.45">
      <c r="A444" s="1">
        <v>44593</v>
      </c>
      <c r="B444">
        <v>310.41699999999997</v>
      </c>
      <c r="C444" s="1">
        <v>44593</v>
      </c>
      <c r="D444">
        <v>452.95</v>
      </c>
      <c r="E444">
        <f t="shared" si="129"/>
        <v>-5.8384575967205862E-3</v>
      </c>
      <c r="F444" s="4">
        <f t="shared" si="130"/>
        <v>6.7569069369428627E-3</v>
      </c>
      <c r="G444">
        <f t="shared" ca="1" si="131"/>
        <v>1.8607910576450538E-3</v>
      </c>
      <c r="H444">
        <f t="shared" ca="1" si="132"/>
        <v>3.2885144811157591E-2</v>
      </c>
      <c r="I444">
        <f t="shared" ca="1" si="133"/>
        <v>0.21637876950518883</v>
      </c>
      <c r="J444">
        <f t="shared" ca="1" si="134"/>
        <v>3.2358408662130751</v>
      </c>
      <c r="K444">
        <f t="shared" ca="1" si="135"/>
        <v>0.91994692230530872</v>
      </c>
      <c r="L444">
        <f t="shared" ca="1" si="136"/>
        <v>1.2955801601545887</v>
      </c>
      <c r="M444">
        <f t="shared" ca="1" si="137"/>
        <v>4.6911432135987439E-4</v>
      </c>
      <c r="N444">
        <f t="shared" ca="1" si="138"/>
        <v>8.2670581058055474E-3</v>
      </c>
      <c r="O444">
        <f t="shared" ca="1" si="139"/>
        <v>-0.23935218954155954</v>
      </c>
      <c r="P444">
        <f t="shared" ca="1" si="140"/>
        <v>0.45757368933416309</v>
      </c>
      <c r="Q444">
        <f t="shared" ca="1" si="141"/>
        <v>1.0014654498789586</v>
      </c>
      <c r="R444">
        <f t="shared" ca="1" si="142"/>
        <v>1.4977927754335107</v>
      </c>
      <c r="T444">
        <f t="shared" si="143"/>
        <v>0.99416154240327936</v>
      </c>
      <c r="U444" s="6">
        <f t="shared" ca="1" si="144"/>
        <v>1.0139939176763038</v>
      </c>
      <c r="V444">
        <f t="shared" ca="1" si="145"/>
        <v>0.64120286079789823</v>
      </c>
      <c r="W444">
        <v>0.89003076294166172</v>
      </c>
      <c r="X444" t="b">
        <f t="shared" ca="1" si="146"/>
        <v>0</v>
      </c>
      <c r="AS444">
        <v>0.46847554289440668</v>
      </c>
      <c r="AT444">
        <v>999</v>
      </c>
      <c r="AU444">
        <v>6.5188470208346709</v>
      </c>
      <c r="AV444">
        <v>5.6784417622940877</v>
      </c>
      <c r="AW444">
        <v>-4.5246334161230877</v>
      </c>
      <c r="AX444">
        <v>-4.9091042913729481</v>
      </c>
      <c r="AY444">
        <v>-6.6320909813402702</v>
      </c>
      <c r="AZ444">
        <v>2.0072389655261746</v>
      </c>
      <c r="BJ444" t="b">
        <f t="shared" si="127"/>
        <v>1</v>
      </c>
      <c r="BK444" t="b">
        <f t="shared" ca="1" si="128"/>
        <v>0</v>
      </c>
    </row>
    <row r="445" spans="1:63" x14ac:dyDescent="0.45">
      <c r="A445" s="1">
        <v>44592</v>
      </c>
      <c r="B445">
        <v>312.24</v>
      </c>
      <c r="C445" s="1">
        <v>44592</v>
      </c>
      <c r="D445">
        <v>449.91</v>
      </c>
      <c r="E445">
        <f t="shared" si="129"/>
        <v>0.10677484873297245</v>
      </c>
      <c r="F445" s="4">
        <f t="shared" si="130"/>
        <v>1.8011087227061968E-2</v>
      </c>
      <c r="G445">
        <f t="shared" ca="1" si="131"/>
        <v>1.7200069067191991E-3</v>
      </c>
      <c r="H445">
        <f t="shared" ca="1" si="132"/>
        <v>3.2978410253393528E-2</v>
      </c>
      <c r="I445">
        <f t="shared" ca="1" si="133"/>
        <v>0.22102516493204763</v>
      </c>
      <c r="J445">
        <f t="shared" ca="1" si="134"/>
        <v>3.1760423610488608</v>
      </c>
      <c r="K445">
        <f t="shared" ca="1" si="135"/>
        <v>0.91994692230530872</v>
      </c>
      <c r="L445">
        <f t="shared" ca="1" si="136"/>
        <v>1.2891949218679741</v>
      </c>
      <c r="M445">
        <f t="shared" ca="1" si="137"/>
        <v>4.1076476726280314E-4</v>
      </c>
      <c r="N445">
        <f t="shared" ca="1" si="138"/>
        <v>8.2636382236307062E-3</v>
      </c>
      <c r="O445">
        <f t="shared" ca="1" si="139"/>
        <v>-0.22189060938348507</v>
      </c>
      <c r="P445">
        <f t="shared" ca="1" si="140"/>
        <v>0.45586993786308172</v>
      </c>
      <c r="Q445">
        <f t="shared" ca="1" si="141"/>
        <v>1.0014654498789586</v>
      </c>
      <c r="R445">
        <f t="shared" ca="1" si="142"/>
        <v>1.4184757814569098</v>
      </c>
      <c r="T445">
        <f t="shared" si="143"/>
        <v>1.1067748487329725</v>
      </c>
      <c r="U445" s="6">
        <f t="shared" ca="1" si="144"/>
        <v>1.0072258064516129</v>
      </c>
      <c r="V445">
        <f t="shared" ca="1" si="145"/>
        <v>0.66010972946227831</v>
      </c>
      <c r="W445">
        <v>0.82825699727567126</v>
      </c>
      <c r="X445" t="b">
        <f t="shared" ca="1" si="146"/>
        <v>0</v>
      </c>
      <c r="AS445">
        <v>0.49989385748497778</v>
      </c>
      <c r="AT445">
        <v>999</v>
      </c>
      <c r="AU445">
        <v>7.3943080618021684</v>
      </c>
      <c r="AV445">
        <v>6.4008142428805197</v>
      </c>
      <c r="AW445">
        <v>-5.1595603142550166</v>
      </c>
      <c r="AX445">
        <v>-5.4224658285777023</v>
      </c>
      <c r="AY445">
        <v>-6.8942026860945216</v>
      </c>
      <c r="AZ445">
        <v>1.1731496400280377</v>
      </c>
      <c r="BJ445" t="b">
        <f t="shared" si="127"/>
        <v>1</v>
      </c>
      <c r="BK445" t="b">
        <f t="shared" ca="1" si="128"/>
        <v>0</v>
      </c>
    </row>
    <row r="446" spans="1:63" x14ac:dyDescent="0.45">
      <c r="A446" s="1">
        <v>44589</v>
      </c>
      <c r="B446">
        <v>282.11700000000002</v>
      </c>
      <c r="C446" s="1">
        <v>44589</v>
      </c>
      <c r="D446">
        <v>441.95</v>
      </c>
      <c r="E446">
        <f t="shared" si="129"/>
        <v>2.0805667825753434E-2</v>
      </c>
      <c r="F446" s="4">
        <f t="shared" si="130"/>
        <v>2.4835358501066645E-2</v>
      </c>
      <c r="G446">
        <f t="shared" ca="1" si="131"/>
        <v>1.1924262358953357E-3</v>
      </c>
      <c r="H446">
        <f t="shared" ca="1" si="132"/>
        <v>3.2122219313556966E-2</v>
      </c>
      <c r="I446">
        <f t="shared" ca="1" si="133"/>
        <v>0.11138957858969147</v>
      </c>
      <c r="J446">
        <f t="shared" ca="1" si="134"/>
        <v>3.2796910284087613</v>
      </c>
      <c r="K446">
        <f t="shared" ca="1" si="135"/>
        <v>0.88539076731719724</v>
      </c>
      <c r="L446">
        <f t="shared" ca="1" si="136"/>
        <v>1.2538059849393792</v>
      </c>
      <c r="M446">
        <f t="shared" ca="1" si="137"/>
        <v>3.3742128438211597E-4</v>
      </c>
      <c r="N446">
        <f t="shared" ca="1" si="138"/>
        <v>8.1712213610902786E-3</v>
      </c>
      <c r="O446">
        <f t="shared" ca="1" si="139"/>
        <v>-0.25279413734785816</v>
      </c>
      <c r="P446">
        <f t="shared" ca="1" si="140"/>
        <v>0.49584472251667266</v>
      </c>
      <c r="Q446">
        <f t="shared" ca="1" si="141"/>
        <v>0.87420140102305144</v>
      </c>
      <c r="R446">
        <f t="shared" ca="1" si="142"/>
        <v>1.2913738262829124</v>
      </c>
      <c r="T446">
        <f t="shared" si="143"/>
        <v>1.0208056678257533</v>
      </c>
      <c r="U446" s="6">
        <f t="shared" ca="1" si="144"/>
        <v>0.89665419711219096</v>
      </c>
      <c r="V446">
        <f t="shared" ca="1" si="145"/>
        <v>0.67539066921044488</v>
      </c>
      <c r="W446">
        <v>0.8081391344828357</v>
      </c>
      <c r="X446" t="b">
        <f t="shared" ca="1" si="146"/>
        <v>1</v>
      </c>
      <c r="AS446">
        <v>0.49238531786529727</v>
      </c>
      <c r="AT446">
        <v>999</v>
      </c>
      <c r="AU446">
        <v>7.4616443295738994</v>
      </c>
      <c r="AV446">
        <v>6.43069430536955</v>
      </c>
      <c r="AW446">
        <v>-5.3172173904936004</v>
      </c>
      <c r="AX446">
        <v>-5.5442991496488565</v>
      </c>
      <c r="AY446">
        <v>-6.9417708769052373</v>
      </c>
      <c r="AZ446">
        <v>0.63860948563819242</v>
      </c>
      <c r="BJ446" t="b">
        <f t="shared" si="127"/>
        <v>1</v>
      </c>
      <c r="BK446" t="b">
        <f t="shared" ca="1" si="128"/>
        <v>1</v>
      </c>
    </row>
    <row r="447" spans="1:63" x14ac:dyDescent="0.45">
      <c r="A447" s="1">
        <v>44588</v>
      </c>
      <c r="B447">
        <v>276.36700000000002</v>
      </c>
      <c r="C447" s="1">
        <v>44588</v>
      </c>
      <c r="D447">
        <v>431.24</v>
      </c>
      <c r="E447">
        <f t="shared" si="129"/>
        <v>-0.11554069190642303</v>
      </c>
      <c r="F447" s="4">
        <f t="shared" si="130"/>
        <v>-4.9379297614102783E-3</v>
      </c>
      <c r="G447">
        <f t="shared" ca="1" si="131"/>
        <v>1.1335885538133203E-3</v>
      </c>
      <c r="H447">
        <f t="shared" ca="1" si="132"/>
        <v>3.209688076560898E-2</v>
      </c>
      <c r="I447">
        <f t="shared" ca="1" si="133"/>
        <v>0.11612449848312686</v>
      </c>
      <c r="J447">
        <f t="shared" ca="1" si="134"/>
        <v>3.2998333449740826</v>
      </c>
      <c r="K447">
        <f t="shared" ca="1" si="135"/>
        <v>0.88539076731719724</v>
      </c>
      <c r="L447">
        <f t="shared" ca="1" si="136"/>
        <v>1.2064539150819065</v>
      </c>
      <c r="M447">
        <f t="shared" ca="1" si="137"/>
        <v>2.6695697212954743E-4</v>
      </c>
      <c r="N447">
        <f t="shared" ca="1" si="138"/>
        <v>8.0182350145656198E-3</v>
      </c>
      <c r="O447">
        <f t="shared" ca="1" si="139"/>
        <v>-0.37458383698063036</v>
      </c>
      <c r="P447">
        <f t="shared" ca="1" si="140"/>
        <v>0.32346740203003632</v>
      </c>
      <c r="Q447">
        <f t="shared" ca="1" si="141"/>
        <v>0.85970013359290653</v>
      </c>
      <c r="R447">
        <f t="shared" ca="1" si="142"/>
        <v>1.2913738262829124</v>
      </c>
      <c r="T447">
        <f t="shared" si="143"/>
        <v>0.88445930809357698</v>
      </c>
      <c r="U447" s="6">
        <f t="shared" ca="1" si="144"/>
        <v>0.83220512511668521</v>
      </c>
      <c r="V447">
        <f t="shared" ca="1" si="145"/>
        <v>0.6608547190374815</v>
      </c>
      <c r="W447">
        <v>0.93543224064070696</v>
      </c>
      <c r="X447" t="b">
        <f t="shared" ca="1" si="146"/>
        <v>1</v>
      </c>
      <c r="AS447">
        <v>0.48216261979221553</v>
      </c>
      <c r="AT447">
        <v>999</v>
      </c>
      <c r="AU447">
        <v>7.3917495615801592</v>
      </c>
      <c r="AV447">
        <v>6.2102700738802827</v>
      </c>
      <c r="AW447">
        <v>-5.1828038088020634</v>
      </c>
      <c r="AX447">
        <v>-5.5124837042682566</v>
      </c>
      <c r="AY447">
        <v>-6.9596950236438078</v>
      </c>
      <c r="AZ447">
        <v>0.79427369360331912</v>
      </c>
      <c r="BJ447" t="b">
        <f t="shared" si="127"/>
        <v>1</v>
      </c>
      <c r="BK447" t="b">
        <f t="shared" ca="1" si="128"/>
        <v>1</v>
      </c>
    </row>
    <row r="448" spans="1:63" x14ac:dyDescent="0.45">
      <c r="A448" s="1">
        <v>44587</v>
      </c>
      <c r="B448">
        <v>312.47000000000003</v>
      </c>
      <c r="C448" s="1">
        <v>44587</v>
      </c>
      <c r="D448">
        <v>433.38</v>
      </c>
      <c r="E448">
        <f t="shared" si="129"/>
        <v>2.0700153201386476E-2</v>
      </c>
      <c r="F448" s="4">
        <f t="shared" si="130"/>
        <v>-2.5088038299538097E-3</v>
      </c>
      <c r="G448">
        <f t="shared" ca="1" si="131"/>
        <v>1.5139342073818064E-3</v>
      </c>
      <c r="H448">
        <f t="shared" ca="1" si="132"/>
        <v>3.1143911309831022E-2</v>
      </c>
      <c r="I448">
        <f t="shared" ca="1" si="133"/>
        <v>0.34573580498572426</v>
      </c>
      <c r="J448">
        <f t="shared" ca="1" si="134"/>
        <v>3.0895817635618554</v>
      </c>
      <c r="K448">
        <f t="shared" ca="1" si="135"/>
        <v>0.90966889898907988</v>
      </c>
      <c r="L448">
        <f t="shared" ca="1" si="136"/>
        <v>1.2064539150819065</v>
      </c>
      <c r="M448">
        <f t="shared" ca="1" si="137"/>
        <v>2.7457061454217937E-4</v>
      </c>
      <c r="N448">
        <f t="shared" ca="1" si="138"/>
        <v>8.0139897487681352E-3</v>
      </c>
      <c r="O448">
        <f t="shared" ca="1" si="139"/>
        <v>-0.37716011949283723</v>
      </c>
      <c r="P448">
        <f t="shared" ca="1" si="140"/>
        <v>0.3313783443631384</v>
      </c>
      <c r="Q448">
        <f t="shared" ca="1" si="141"/>
        <v>0.85970013359290653</v>
      </c>
      <c r="R448">
        <f t="shared" ca="1" si="142"/>
        <v>1.3494809294294559</v>
      </c>
      <c r="T448">
        <f t="shared" si="143"/>
        <v>1.0207001532013864</v>
      </c>
      <c r="U448" s="6">
        <f t="shared" ca="1" si="144"/>
        <v>0.94150649475869497</v>
      </c>
      <c r="V448">
        <f t="shared" ca="1" si="145"/>
        <v>0.66708349076172679</v>
      </c>
      <c r="W448">
        <v>0.93758363901107722</v>
      </c>
      <c r="X448" t="b">
        <f t="shared" ca="1" si="146"/>
        <v>1</v>
      </c>
      <c r="AS448">
        <v>0.47887213167468484</v>
      </c>
      <c r="AT448">
        <v>999</v>
      </c>
      <c r="AU448">
        <v>7.429738906883582</v>
      </c>
      <c r="AV448">
        <v>6.1360238939535954</v>
      </c>
      <c r="AW448">
        <v>-5.1593022155229251</v>
      </c>
      <c r="AX448">
        <v>-5.499638612027038</v>
      </c>
      <c r="AY448">
        <v>-6.9677065179559996</v>
      </c>
      <c r="AZ448">
        <v>0.69905398189763823</v>
      </c>
      <c r="BJ448" t="b">
        <f t="shared" si="127"/>
        <v>1</v>
      </c>
      <c r="BK448" t="b">
        <f t="shared" ca="1" si="128"/>
        <v>1</v>
      </c>
    </row>
    <row r="449" spans="1:63" x14ac:dyDescent="0.45">
      <c r="A449" s="1">
        <v>44586</v>
      </c>
      <c r="B449">
        <v>306.13299999999998</v>
      </c>
      <c r="C449" s="1">
        <v>44586</v>
      </c>
      <c r="D449">
        <v>434.47</v>
      </c>
      <c r="E449">
        <f t="shared" si="129"/>
        <v>-1.2474193548387157E-2</v>
      </c>
      <c r="F449" s="4">
        <f t="shared" si="130"/>
        <v>-1.2208985085485513E-2</v>
      </c>
      <c r="G449">
        <f t="shared" ca="1" si="131"/>
        <v>1.840232623401686E-3</v>
      </c>
      <c r="H449">
        <f t="shared" ca="1" si="132"/>
        <v>3.1683136328205165E-2</v>
      </c>
      <c r="I449">
        <f t="shared" ca="1" si="133"/>
        <v>0.39215395086672267</v>
      </c>
      <c r="J449">
        <f t="shared" ca="1" si="134"/>
        <v>2.9259742058413005</v>
      </c>
      <c r="K449">
        <f t="shared" ca="1" si="135"/>
        <v>0.94517261172439659</v>
      </c>
      <c r="L449">
        <f t="shared" ca="1" si="136"/>
        <v>1.2064539150819065</v>
      </c>
      <c r="M449">
        <f t="shared" ca="1" si="137"/>
        <v>3.0193340737769353E-4</v>
      </c>
      <c r="N449">
        <f t="shared" ca="1" si="138"/>
        <v>8.0137811891099111E-3</v>
      </c>
      <c r="O449">
        <f t="shared" ca="1" si="139"/>
        <v>-0.38713199849055718</v>
      </c>
      <c r="P449">
        <f t="shared" ca="1" si="140"/>
        <v>0.33704288808409943</v>
      </c>
      <c r="Q449">
        <f t="shared" ca="1" si="141"/>
        <v>0.85970013359290653</v>
      </c>
      <c r="R449">
        <f t="shared" ca="1" si="142"/>
        <v>1.3494809294294559</v>
      </c>
      <c r="T449">
        <f t="shared" si="143"/>
        <v>0.98752580645161281</v>
      </c>
      <c r="U449" s="6">
        <f t="shared" ca="1" si="144"/>
        <v>0.8912091015216751</v>
      </c>
      <c r="V449">
        <f t="shared" ca="1" si="145"/>
        <v>0.66926089643746767</v>
      </c>
      <c r="W449">
        <v>0.93738720823274435</v>
      </c>
      <c r="X449" t="b">
        <f t="shared" ca="1" si="146"/>
        <v>1</v>
      </c>
      <c r="AS449">
        <v>0.46791805605467834</v>
      </c>
      <c r="AT449">
        <v>999</v>
      </c>
      <c r="AU449">
        <v>7.308470671881544</v>
      </c>
      <c r="AV449">
        <v>5.9359677438378178</v>
      </c>
      <c r="AW449">
        <v>-5.0358693435098099</v>
      </c>
      <c r="AX449">
        <v>-5.4484689894376732</v>
      </c>
      <c r="AY449">
        <v>-6.9446080519409383</v>
      </c>
      <c r="AZ449">
        <v>0.77846089268420871</v>
      </c>
      <c r="BJ449" t="b">
        <f t="shared" si="127"/>
        <v>1</v>
      </c>
      <c r="BK449" t="b">
        <f t="shared" ca="1" si="128"/>
        <v>1</v>
      </c>
    </row>
    <row r="450" spans="1:63" x14ac:dyDescent="0.45">
      <c r="A450" s="1">
        <v>44585</v>
      </c>
      <c r="B450">
        <v>310</v>
      </c>
      <c r="C450" s="1">
        <v>44585</v>
      </c>
      <c r="D450">
        <v>439.84</v>
      </c>
      <c r="E450">
        <f t="shared" si="129"/>
        <v>-1.4725092409251355E-2</v>
      </c>
      <c r="F450" s="4">
        <f t="shared" si="130"/>
        <v>4.2467692588701693E-3</v>
      </c>
      <c r="G450">
        <f t="shared" ca="1" si="131"/>
        <v>2.0869411060434992E-3</v>
      </c>
      <c r="H450">
        <f t="shared" ca="1" si="132"/>
        <v>3.176311807090456E-2</v>
      </c>
      <c r="I450">
        <f t="shared" ca="1" si="133"/>
        <v>0.37293340722947688</v>
      </c>
      <c r="J450">
        <f t="shared" ca="1" si="134"/>
        <v>2.8613026258108132</v>
      </c>
      <c r="K450">
        <f t="shared" ca="1" si="135"/>
        <v>0.94517261172439659</v>
      </c>
      <c r="L450">
        <f t="shared" ca="1" si="136"/>
        <v>1.2538059849393792</v>
      </c>
      <c r="M450">
        <f t="shared" ca="1" si="137"/>
        <v>3.6480097734083248E-4</v>
      </c>
      <c r="N450">
        <f t="shared" ca="1" si="138"/>
        <v>7.9643071447320461E-3</v>
      </c>
      <c r="O450">
        <f t="shared" ca="1" si="139"/>
        <v>-0.39863622693611028</v>
      </c>
      <c r="P450">
        <f t="shared" ca="1" si="140"/>
        <v>0.40280599392036898</v>
      </c>
      <c r="Q450">
        <f t="shared" ca="1" si="141"/>
        <v>0.85970013359290653</v>
      </c>
      <c r="R450">
        <f t="shared" ca="1" si="142"/>
        <v>1.4095996477770667</v>
      </c>
      <c r="T450">
        <f t="shared" si="143"/>
        <v>0.98527490759074865</v>
      </c>
      <c r="U450" s="6">
        <f t="shared" ca="1" si="144"/>
        <v>0.88604338754394485</v>
      </c>
      <c r="V450">
        <f t="shared" ca="1" si="145"/>
        <v>0.68244408538516377</v>
      </c>
      <c r="W450">
        <v>0.89990534423260349</v>
      </c>
      <c r="X450" t="b">
        <f t="shared" ca="1" si="146"/>
        <v>1</v>
      </c>
      <c r="AS450">
        <v>0.46870358626026953</v>
      </c>
      <c r="AT450">
        <v>999</v>
      </c>
      <c r="AU450">
        <v>7.2589705714241513</v>
      </c>
      <c r="AV450">
        <v>5.8493817111273376</v>
      </c>
      <c r="AW450">
        <v>-5.0077353237224242</v>
      </c>
      <c r="AX450">
        <v>-5.4716420583386594</v>
      </c>
      <c r="AY450">
        <v>-6.9782161407061603</v>
      </c>
      <c r="AZ450">
        <v>0.78881437526885212</v>
      </c>
      <c r="BJ450" t="b">
        <f t="shared" ref="BJ450:BJ513" si="147">ABS(W450-1)&gt;$S$21</f>
        <v>1</v>
      </c>
      <c r="BK450" t="b">
        <f t="shared" ref="BK450:BK513" ca="1" si="148">AND(X450,BJ450)</f>
        <v>1</v>
      </c>
    </row>
    <row r="451" spans="1:63" x14ac:dyDescent="0.45">
      <c r="A451" s="1">
        <v>44582</v>
      </c>
      <c r="B451">
        <v>314.63299999999998</v>
      </c>
      <c r="C451" s="1">
        <v>44582</v>
      </c>
      <c r="D451">
        <v>437.98</v>
      </c>
      <c r="E451">
        <f t="shared" ref="E451:E514" si="149">(B451-B452)/B452</f>
        <v>-5.2567075190460402E-2</v>
      </c>
      <c r="F451" s="4">
        <f t="shared" ref="F451:F514" si="150">(D451-D452)/D452</f>
        <v>-1.9630665920537173E-2</v>
      </c>
      <c r="G451">
        <f t="shared" ref="G451:G514" ca="1" si="151">AVERAGE(OFFSET(E451,0,0,$S$3,1))*$AK$25</f>
        <v>2.1109905962032813E-3</v>
      </c>
      <c r="H451">
        <f t="shared" ref="H451:H514" ca="1" si="152">STDEV(OFFSET(E451,0,0,$S$3,1))*$AJ$25</f>
        <v>3.1752143864414148E-2</v>
      </c>
      <c r="I451">
        <f t="shared" ref="I451:I514" ca="1" si="153">SKEW(OFFSET(E451,0,0,$S$3,1))*$AI$25</f>
        <v>0.37150434073863126</v>
      </c>
      <c r="J451">
        <f t="shared" ref="J451:J514" ca="1" si="154">KURT(OFFSET(E451,0,0,$S$3,1))*$AH$25</f>
        <v>2.8680200451009741</v>
      </c>
      <c r="K451">
        <f t="shared" ref="K451:K514" ca="1" si="155">PERCENTILE(OFFSET(E451,0,0,$S$3,1), 0.95)/ABS(PERCENTILE(OFFSET(E451,0,0,$S$3,1), 0.05))*$AG$25</f>
        <v>0.94517261172439659</v>
      </c>
      <c r="L451">
        <f t="shared" ref="L451:L514" ca="1" si="156">PERCENTILE(OFFSET(E451,0,0,$S$3,1), 0.75)/ABS(PERCENTILE(OFFSET(E451,0,0,$S$3,1), 0.25))*$AF$25</f>
        <v>1.2600159457786768</v>
      </c>
      <c r="M451">
        <f t="shared" ref="M451:M514" ca="1" si="157">AVERAGE(OFFSET(F451,0,0,$S$3,1))*$AE$25</f>
        <v>3.7991786050893197E-4</v>
      </c>
      <c r="N451">
        <f t="shared" ref="N451:N514" ca="1" si="158">STDEV(OFFSET(F451,0,0,$S$3,1))*$AD$25</f>
        <v>7.9745751379267302E-3</v>
      </c>
      <c r="O451">
        <f t="shared" ref="O451:O514" ca="1" si="159">SKEW(OFFSET(F451,0,0,$S$3,1))*$AC$25</f>
        <v>-0.400132565623532</v>
      </c>
      <c r="P451">
        <f t="shared" ref="P451:P514" ca="1" si="160">KURT(OFFSET(F451,0,0,$S$3,1))*$AB$25</f>
        <v>0.3907732136896076</v>
      </c>
      <c r="Q451">
        <f t="shared" ref="Q451:Q514" ca="1" si="161">PERCENTILE(OFFSET(F451,0,0,$S$3,1), 0.95)/ABS(PERCENTILE(OFFSET(F451,0,0,$S$3,1), 0.05))*$AA$25</f>
        <v>0.85970013359290653</v>
      </c>
      <c r="R451">
        <f t="shared" ref="R451:R514" ca="1" si="162">PERCENTILE(OFFSET(F451,0,0,$S$3,1), 0.75)/ABS(PERCENTILE(OFFSET(F451,0,0,$S$3,1), 0.25))*$Z$25</f>
        <v>1.5483378408537727</v>
      </c>
      <c r="T451">
        <f t="shared" ref="T451:T514" si="163">E451+1</f>
        <v>0.94743292480953956</v>
      </c>
      <c r="U451" s="6">
        <f t="shared" ref="U451:U514" ca="1" si="164">PRODUCT(OFFSET(T451,0,0,$S$6,1))</f>
        <v>0.91502182618735317</v>
      </c>
      <c r="V451">
        <f t="shared" ref="V451:V514" ca="1" si="165">OFFSET(G451,$S$6,0) * $AK$2+ OFFSET(H451,$S$6,0)  * $AJ$2 + OFFSET(I451,$S$6,0) * $AI$2 + OFFSET(J451,$S$6,0) * $AH$2 + OFFSET(K451,$S$6,0) * $AG$2 + OFFSET(L451,$S$6,0) * $AF$2 + OFFSET(M451,$S$6,0) * $AE$2 + OFFSET(N451,$S$6,0) * $AD$2 + OFFSET(O451,$S$6,0) * $AC$2 + OFFSET(P451,$S$6,0) * $AB$2 +  OFFSET(Q451,$S$6,0) * $AA$2 + OFFSET(R451,$S$6,0)  * $Z$2  + AL$2</f>
        <v>0.68700056957274247</v>
      </c>
      <c r="W451">
        <v>0.90939022640763145</v>
      </c>
      <c r="X451" t="b">
        <f t="shared" ref="X451:X514" ca="1" si="166">OR(AND(U451&gt;1, W451&gt;1), AND(U451&lt;1, W451&lt;1))</f>
        <v>1</v>
      </c>
      <c r="AS451">
        <v>0.44777475092050784</v>
      </c>
      <c r="AT451">
        <v>999</v>
      </c>
      <c r="AU451">
        <v>7.0700745244489926</v>
      </c>
      <c r="AV451">
        <v>5.6580819449139357</v>
      </c>
      <c r="AW451">
        <v>-4.8896668842250284</v>
      </c>
      <c r="AX451">
        <v>-5.3744031546814721</v>
      </c>
      <c r="AY451">
        <v>-6.8702038923884921</v>
      </c>
      <c r="AZ451">
        <v>0.68310840477527734</v>
      </c>
      <c r="BJ451" t="b">
        <f t="shared" si="147"/>
        <v>1</v>
      </c>
      <c r="BK451" t="b">
        <f t="shared" ca="1" si="148"/>
        <v>1</v>
      </c>
    </row>
    <row r="452" spans="1:63" x14ac:dyDescent="0.45">
      <c r="A452" s="1">
        <v>44581</v>
      </c>
      <c r="B452">
        <v>332.09</v>
      </c>
      <c r="C452" s="1">
        <v>44581</v>
      </c>
      <c r="D452">
        <v>446.75</v>
      </c>
      <c r="E452">
        <f t="shared" si="149"/>
        <v>6.2371377865089097E-4</v>
      </c>
      <c r="F452" s="4">
        <f t="shared" si="150"/>
        <v>-1.1068068622025456E-2</v>
      </c>
      <c r="G452">
        <f t="shared" ca="1" si="151"/>
        <v>2.4694187772097498E-3</v>
      </c>
      <c r="H452">
        <f t="shared" ca="1" si="152"/>
        <v>3.1535686236768182E-2</v>
      </c>
      <c r="I452">
        <f t="shared" ca="1" si="153"/>
        <v>0.37201701499271927</v>
      </c>
      <c r="J452">
        <f t="shared" ca="1" si="154"/>
        <v>2.9676443072214846</v>
      </c>
      <c r="K452">
        <f t="shared" ca="1" si="155"/>
        <v>1.0072057045535898</v>
      </c>
      <c r="L452">
        <f t="shared" ca="1" si="156"/>
        <v>1.3296361584295568</v>
      </c>
      <c r="M452">
        <f t="shared" ca="1" si="157"/>
        <v>5.0180517274768847E-4</v>
      </c>
      <c r="N452">
        <f t="shared" ca="1" si="158"/>
        <v>7.8525515937958382E-3</v>
      </c>
      <c r="O452">
        <f t="shared" ca="1" si="159"/>
        <v>-0.38124853313616197</v>
      </c>
      <c r="P452">
        <f t="shared" ca="1" si="160"/>
        <v>0.41417470304861714</v>
      </c>
      <c r="Q452">
        <f t="shared" ca="1" si="161"/>
        <v>0.88117632765046361</v>
      </c>
      <c r="R452">
        <f t="shared" ca="1" si="162"/>
        <v>1.5665883003528829</v>
      </c>
      <c r="T452">
        <f t="shared" si="163"/>
        <v>1.0006237137786509</v>
      </c>
      <c r="U452" s="6">
        <f t="shared" ca="1" si="164"/>
        <v>0.9006074741009924</v>
      </c>
      <c r="V452">
        <f t="shared" ca="1" si="165"/>
        <v>0.68456652896135795</v>
      </c>
      <c r="W452">
        <v>0.96980600561874519</v>
      </c>
      <c r="X452" t="b">
        <f t="shared" ca="1" si="166"/>
        <v>1</v>
      </c>
      <c r="AS452">
        <v>0.4446895724952728</v>
      </c>
      <c r="AT452">
        <v>999</v>
      </c>
      <c r="AU452">
        <v>7.1327683071747323</v>
      </c>
      <c r="AV452">
        <v>5.6367333879148971</v>
      </c>
      <c r="AW452">
        <v>-4.8544327130082783</v>
      </c>
      <c r="AX452">
        <v>-5.4768410436308077</v>
      </c>
      <c r="AY452">
        <v>-6.741688309939418</v>
      </c>
      <c r="AZ452">
        <v>0.78544988065449128</v>
      </c>
      <c r="BJ452" t="b">
        <f t="shared" si="147"/>
        <v>1</v>
      </c>
      <c r="BK452" t="b">
        <f t="shared" ca="1" si="148"/>
        <v>1</v>
      </c>
    </row>
    <row r="453" spans="1:63" x14ac:dyDescent="0.45">
      <c r="A453" s="1">
        <v>44580</v>
      </c>
      <c r="B453">
        <v>331.88299999999998</v>
      </c>
      <c r="C453" s="1">
        <v>44580</v>
      </c>
      <c r="D453">
        <v>451.75</v>
      </c>
      <c r="E453">
        <f t="shared" si="149"/>
        <v>-3.3827943278515779E-2</v>
      </c>
      <c r="F453" s="4">
        <f t="shared" si="150"/>
        <v>-1.0383579048829129E-2</v>
      </c>
      <c r="G453">
        <f t="shared" ca="1" si="151"/>
        <v>2.3170202568980869E-3</v>
      </c>
      <c r="H453">
        <f t="shared" ca="1" si="152"/>
        <v>3.1618190343627638E-2</v>
      </c>
      <c r="I453">
        <f t="shared" ca="1" si="153"/>
        <v>0.37829530732115113</v>
      </c>
      <c r="J453">
        <f t="shared" ca="1" si="154"/>
        <v>2.9180802566670092</v>
      </c>
      <c r="K453">
        <f t="shared" ca="1" si="155"/>
        <v>1.0072057045535898</v>
      </c>
      <c r="L453">
        <f t="shared" ca="1" si="156"/>
        <v>1.2955801601545887</v>
      </c>
      <c r="M453">
        <f t="shared" ca="1" si="157"/>
        <v>5.6293198291188786E-4</v>
      </c>
      <c r="N453">
        <f t="shared" ca="1" si="158"/>
        <v>7.8095004401870219E-3</v>
      </c>
      <c r="O453">
        <f t="shared" ca="1" si="159"/>
        <v>-0.39479935773072844</v>
      </c>
      <c r="P453">
        <f t="shared" ca="1" si="160"/>
        <v>0.47838535089766276</v>
      </c>
      <c r="Q453">
        <f t="shared" ca="1" si="161"/>
        <v>0.88117632765046361</v>
      </c>
      <c r="R453">
        <f t="shared" ca="1" si="162"/>
        <v>1.5687693359524473</v>
      </c>
      <c r="T453">
        <f t="shared" si="163"/>
        <v>0.96617205672148421</v>
      </c>
      <c r="U453" s="6">
        <f t="shared" ca="1" si="164"/>
        <v>0.93540868094701235</v>
      </c>
      <c r="V453">
        <f t="shared" ca="1" si="165"/>
        <v>0.68821785948653946</v>
      </c>
      <c r="W453">
        <v>0.97224229809341334</v>
      </c>
      <c r="X453" t="b">
        <f t="shared" ca="1" si="166"/>
        <v>1</v>
      </c>
      <c r="AS453">
        <v>0.44646873468868092</v>
      </c>
      <c r="AT453">
        <v>999</v>
      </c>
      <c r="AU453">
        <v>7.1667062782829118</v>
      </c>
      <c r="AV453">
        <v>5.6046913178124882</v>
      </c>
      <c r="AW453">
        <v>-4.8141434500040674</v>
      </c>
      <c r="AX453">
        <v>-5.5029049503781602</v>
      </c>
      <c r="AY453">
        <v>-6.6246852044797411</v>
      </c>
      <c r="AZ453">
        <v>0.7958294310986056</v>
      </c>
      <c r="BJ453" t="b">
        <f t="shared" si="147"/>
        <v>1</v>
      </c>
      <c r="BK453" t="b">
        <f t="shared" ca="1" si="148"/>
        <v>1</v>
      </c>
    </row>
    <row r="454" spans="1:63" x14ac:dyDescent="0.45">
      <c r="A454" s="1">
        <v>44579</v>
      </c>
      <c r="B454">
        <v>343.50299999999999</v>
      </c>
      <c r="C454" s="1">
        <v>44579</v>
      </c>
      <c r="D454">
        <v>456.49</v>
      </c>
      <c r="E454">
        <f t="shared" si="149"/>
        <v>-1.8198187898362302E-2</v>
      </c>
      <c r="F454" s="4">
        <f t="shared" si="150"/>
        <v>-1.770958856946122E-2</v>
      </c>
      <c r="G454">
        <f t="shared" ca="1" si="151"/>
        <v>2.4902841321793132E-3</v>
      </c>
      <c r="H454">
        <f t="shared" ca="1" si="152"/>
        <v>3.1513899487756007E-2</v>
      </c>
      <c r="I454">
        <f t="shared" ca="1" si="153"/>
        <v>0.37306072664490969</v>
      </c>
      <c r="J454">
        <f t="shared" ca="1" si="154"/>
        <v>2.9798987817090792</v>
      </c>
      <c r="K454">
        <f t="shared" ca="1" si="155"/>
        <v>1.0072057045535898</v>
      </c>
      <c r="L454">
        <f t="shared" ca="1" si="156"/>
        <v>1.3296361584295568</v>
      </c>
      <c r="M454">
        <f t="shared" ca="1" si="157"/>
        <v>6.1189683159633282E-4</v>
      </c>
      <c r="N454">
        <f t="shared" ca="1" si="158"/>
        <v>7.7711281688753629E-3</v>
      </c>
      <c r="O454">
        <f t="shared" ca="1" si="159"/>
        <v>-0.4056001240935927</v>
      </c>
      <c r="P454">
        <f t="shared" ca="1" si="160"/>
        <v>0.53830627127440378</v>
      </c>
      <c r="Q454">
        <f t="shared" ca="1" si="161"/>
        <v>0.88117632765046361</v>
      </c>
      <c r="R454">
        <f t="shared" ca="1" si="162"/>
        <v>1.6060876403473821</v>
      </c>
      <c r="T454">
        <f t="shared" si="163"/>
        <v>0.98180181210163775</v>
      </c>
      <c r="U454" s="6">
        <f t="shared" ca="1" si="164"/>
        <v>0.97390468575900091</v>
      </c>
      <c r="V454">
        <f t="shared" ca="1" si="165"/>
        <v>0.68510585927917556</v>
      </c>
      <c r="W454">
        <v>0.97758330977530106</v>
      </c>
      <c r="X454" t="b">
        <f t="shared" ca="1" si="166"/>
        <v>1</v>
      </c>
      <c r="AS454">
        <v>0.42492841065393255</v>
      </c>
      <c r="AT454">
        <v>999</v>
      </c>
      <c r="AU454">
        <v>7.0271576663391375</v>
      </c>
      <c r="AV454">
        <v>5.4581523424759864</v>
      </c>
      <c r="AW454">
        <v>-4.6799657224920113</v>
      </c>
      <c r="AX454">
        <v>-5.3427396545886783</v>
      </c>
      <c r="AY454">
        <v>-6.388514694683014</v>
      </c>
      <c r="AZ454">
        <v>0.72037508157778951</v>
      </c>
      <c r="BJ454" t="b">
        <f t="shared" si="147"/>
        <v>1</v>
      </c>
      <c r="BK454" t="b">
        <f t="shared" ca="1" si="148"/>
        <v>1</v>
      </c>
    </row>
    <row r="455" spans="1:63" x14ac:dyDescent="0.45">
      <c r="A455" s="1">
        <v>44575</v>
      </c>
      <c r="B455">
        <v>349.87</v>
      </c>
      <c r="C455" s="1">
        <v>44575</v>
      </c>
      <c r="D455">
        <v>464.72</v>
      </c>
      <c r="E455">
        <f t="shared" si="149"/>
        <v>1.7498756736163405E-2</v>
      </c>
      <c r="F455" s="4">
        <f t="shared" si="150"/>
        <v>4.0901556411868898E-4</v>
      </c>
      <c r="G455">
        <f t="shared" ca="1" si="151"/>
        <v>2.8026656593410715E-3</v>
      </c>
      <c r="H455">
        <f t="shared" ca="1" si="152"/>
        <v>3.1617273126064972E-2</v>
      </c>
      <c r="I455">
        <f t="shared" ca="1" si="153"/>
        <v>0.35261384101393306</v>
      </c>
      <c r="J455">
        <f t="shared" ca="1" si="154"/>
        <v>2.9015117951970639</v>
      </c>
      <c r="K455">
        <f t="shared" ca="1" si="155"/>
        <v>1.0072057045535898</v>
      </c>
      <c r="L455">
        <f t="shared" ca="1" si="156"/>
        <v>1.4559624464892122</v>
      </c>
      <c r="M455">
        <f t="shared" ca="1" si="157"/>
        <v>7.7221033196841376E-4</v>
      </c>
      <c r="N455">
        <f t="shared" ca="1" si="158"/>
        <v>7.7218284345389491E-3</v>
      </c>
      <c r="O455">
        <f t="shared" ca="1" si="159"/>
        <v>-0.37993533510492056</v>
      </c>
      <c r="P455">
        <f t="shared" ca="1" si="160"/>
        <v>0.54804181721611522</v>
      </c>
      <c r="Q455">
        <f t="shared" ca="1" si="161"/>
        <v>0.95471911632962114</v>
      </c>
      <c r="R455">
        <f t="shared" ca="1" si="162"/>
        <v>1.819032926382216</v>
      </c>
      <c r="T455">
        <f t="shared" si="163"/>
        <v>1.0174987567361633</v>
      </c>
      <c r="U455" s="6">
        <f t="shared" ca="1" si="164"/>
        <v>1.0220553867726103</v>
      </c>
      <c r="V455">
        <f t="shared" ca="1" si="165"/>
        <v>0.5651957719668782</v>
      </c>
      <c r="W455">
        <v>0.99959558372595181</v>
      </c>
      <c r="X455" t="b">
        <f t="shared" ca="1" si="166"/>
        <v>0</v>
      </c>
      <c r="AS455">
        <v>0.38034457766877605</v>
      </c>
      <c r="AT455">
        <v>999</v>
      </c>
      <c r="AU455">
        <v>6.3564518520251045</v>
      </c>
      <c r="AV455">
        <v>4.7890027011423779</v>
      </c>
      <c r="AW455">
        <v>-4.0939338683930568</v>
      </c>
      <c r="AX455">
        <v>-4.6287589516218626</v>
      </c>
      <c r="AY455">
        <v>-5.943876605176551</v>
      </c>
      <c r="AZ455">
        <v>0.84031408432186216</v>
      </c>
      <c r="BJ455" t="b">
        <f t="shared" si="147"/>
        <v>1</v>
      </c>
      <c r="BK455" t="b">
        <f t="shared" ca="1" si="148"/>
        <v>0</v>
      </c>
    </row>
    <row r="456" spans="1:63" x14ac:dyDescent="0.45">
      <c r="A456" s="1">
        <v>44574</v>
      </c>
      <c r="B456">
        <v>343.85300000000001</v>
      </c>
      <c r="C456" s="1">
        <v>44574</v>
      </c>
      <c r="D456">
        <v>464.53</v>
      </c>
      <c r="E456">
        <f t="shared" si="149"/>
        <v>-6.7491999783044959E-2</v>
      </c>
      <c r="F456" s="4">
        <f t="shared" si="150"/>
        <v>-1.3778608127043457E-2</v>
      </c>
      <c r="G456">
        <f t="shared" ca="1" si="151"/>
        <v>2.66890947351871E-3</v>
      </c>
      <c r="H456">
        <f t="shared" ca="1" si="152"/>
        <v>3.1611373926010169E-2</v>
      </c>
      <c r="I456">
        <f t="shared" ca="1" si="153"/>
        <v>0.36484185540442943</v>
      </c>
      <c r="J456">
        <f t="shared" ca="1" si="154"/>
        <v>2.9120097312889355</v>
      </c>
      <c r="K456">
        <f t="shared" ca="1" si="155"/>
        <v>1.0072057045535898</v>
      </c>
      <c r="L456">
        <f t="shared" ca="1" si="156"/>
        <v>1.4559624464892122</v>
      </c>
      <c r="M456">
        <f t="shared" ca="1" si="157"/>
        <v>8.2416066201500184E-4</v>
      </c>
      <c r="N456">
        <f t="shared" ca="1" si="158"/>
        <v>7.7542553430807537E-3</v>
      </c>
      <c r="O456">
        <f t="shared" ca="1" si="159"/>
        <v>-0.38451577005311</v>
      </c>
      <c r="P456">
        <f t="shared" ca="1" si="160"/>
        <v>0.5130184534670339</v>
      </c>
      <c r="Q456">
        <f t="shared" ca="1" si="161"/>
        <v>0.95471911632962114</v>
      </c>
      <c r="R456">
        <f t="shared" ca="1" si="162"/>
        <v>1.8842001272270095</v>
      </c>
      <c r="T456">
        <f t="shared" si="163"/>
        <v>0.93250800021695501</v>
      </c>
      <c r="U456" s="6">
        <f t="shared" ca="1" si="164"/>
        <v>0.96887292194984509</v>
      </c>
      <c r="V456">
        <f t="shared" ca="1" si="165"/>
        <v>0.58073904796520426</v>
      </c>
      <c r="W456">
        <v>0.99315554337955581</v>
      </c>
      <c r="X456" t="b">
        <f t="shared" ca="1" si="166"/>
        <v>1</v>
      </c>
      <c r="AS456">
        <v>0.35821363497952291</v>
      </c>
      <c r="AT456">
        <v>999</v>
      </c>
      <c r="AU456">
        <v>5.9817139383531428</v>
      </c>
      <c r="AV456">
        <v>4.3792596163126269</v>
      </c>
      <c r="AW456">
        <v>-3.7190584306159442</v>
      </c>
      <c r="AX456">
        <v>-4.273439905682257</v>
      </c>
      <c r="AY456">
        <v>-5.5753953838562591</v>
      </c>
      <c r="AZ456">
        <v>1.0110099373267074</v>
      </c>
      <c r="BJ456" t="b">
        <f t="shared" si="147"/>
        <v>1</v>
      </c>
      <c r="BK456" t="b">
        <f t="shared" ca="1" si="148"/>
        <v>1</v>
      </c>
    </row>
    <row r="457" spans="1:63" x14ac:dyDescent="0.45">
      <c r="A457" s="1">
        <v>44573</v>
      </c>
      <c r="B457">
        <v>368.74</v>
      </c>
      <c r="C457" s="1">
        <v>44573</v>
      </c>
      <c r="D457">
        <v>471.02</v>
      </c>
      <c r="E457">
        <f t="shared" si="149"/>
        <v>3.9289740698985338E-2</v>
      </c>
      <c r="F457" s="4">
        <f t="shared" si="150"/>
        <v>2.7035657264502006E-3</v>
      </c>
      <c r="G457">
        <f t="shared" ca="1" si="151"/>
        <v>3.2605311636357405E-3</v>
      </c>
      <c r="H457">
        <f t="shared" ca="1" si="152"/>
        <v>3.139821017004208E-2</v>
      </c>
      <c r="I457">
        <f t="shared" ca="1" si="153"/>
        <v>0.39017354507732349</v>
      </c>
      <c r="J457">
        <f t="shared" ca="1" si="154"/>
        <v>2.9428063837226528</v>
      </c>
      <c r="K457">
        <f t="shared" ca="1" si="155"/>
        <v>1.0606680105336541</v>
      </c>
      <c r="L457">
        <f t="shared" ca="1" si="156"/>
        <v>1.598851387172989</v>
      </c>
      <c r="M457">
        <f t="shared" ca="1" si="157"/>
        <v>9.1332072061186338E-4</v>
      </c>
      <c r="N457">
        <f t="shared" ca="1" si="158"/>
        <v>7.6877387071980488E-3</v>
      </c>
      <c r="O457">
        <f t="shared" ca="1" si="159"/>
        <v>-0.39456577097522944</v>
      </c>
      <c r="P457">
        <f t="shared" ca="1" si="160"/>
        <v>0.58837825302681379</v>
      </c>
      <c r="Q457">
        <f t="shared" ca="1" si="161"/>
        <v>0.95847048073359731</v>
      </c>
      <c r="R457">
        <f t="shared" ca="1" si="162"/>
        <v>1.981156411784821</v>
      </c>
      <c r="T457">
        <f t="shared" si="163"/>
        <v>1.0392897406989854</v>
      </c>
      <c r="U457" s="6">
        <f t="shared" ca="1" si="164"/>
        <v>1.0166332604554089</v>
      </c>
      <c r="V457">
        <f t="shared" ca="1" si="165"/>
        <v>0.60013995255733932</v>
      </c>
      <c r="W457">
        <v>0.9401678994121907</v>
      </c>
      <c r="X457" t="b">
        <f t="shared" ca="1" si="166"/>
        <v>0</v>
      </c>
      <c r="AS457">
        <v>0.38900156899610827</v>
      </c>
      <c r="AT457">
        <v>999</v>
      </c>
      <c r="AU457">
        <v>6.2054614413256344</v>
      </c>
      <c r="AV457">
        <v>4.5687253800053336</v>
      </c>
      <c r="AW457">
        <v>-3.8816981945806006</v>
      </c>
      <c r="AX457">
        <v>-4.2923672139065117</v>
      </c>
      <c r="AY457">
        <v>-5.7612322400963727</v>
      </c>
      <c r="AZ457">
        <v>0.78484884889755524</v>
      </c>
      <c r="BJ457" t="b">
        <f t="shared" si="147"/>
        <v>1</v>
      </c>
      <c r="BK457" t="b">
        <f t="shared" ca="1" si="148"/>
        <v>0</v>
      </c>
    </row>
    <row r="458" spans="1:63" x14ac:dyDescent="0.45">
      <c r="A458" s="1">
        <v>44572</v>
      </c>
      <c r="B458">
        <v>354.8</v>
      </c>
      <c r="C458" s="1">
        <v>44572</v>
      </c>
      <c r="D458">
        <v>469.75</v>
      </c>
      <c r="E458">
        <f t="shared" si="149"/>
        <v>5.9341039446339817E-3</v>
      </c>
      <c r="F458" s="4">
        <f t="shared" si="150"/>
        <v>9.1082898326566766E-3</v>
      </c>
      <c r="G458">
        <f t="shared" ca="1" si="151"/>
        <v>3.2630881677521068E-3</v>
      </c>
      <c r="H458">
        <f t="shared" ca="1" si="152"/>
        <v>3.1401179740706983E-2</v>
      </c>
      <c r="I458">
        <f t="shared" ca="1" si="153"/>
        <v>0.39014724586756605</v>
      </c>
      <c r="J458">
        <f t="shared" ca="1" si="154"/>
        <v>2.9409322482861251</v>
      </c>
      <c r="K458">
        <f t="shared" ca="1" si="155"/>
        <v>1.0606680105336541</v>
      </c>
      <c r="L458">
        <f t="shared" ca="1" si="156"/>
        <v>1.598851387172989</v>
      </c>
      <c r="M458">
        <f t="shared" ca="1" si="157"/>
        <v>8.8653794680805293E-4</v>
      </c>
      <c r="N458">
        <f t="shared" ca="1" si="158"/>
        <v>7.6908005099523176E-3</v>
      </c>
      <c r="O458">
        <f t="shared" ca="1" si="159"/>
        <v>-0.38411195749030302</v>
      </c>
      <c r="P458">
        <f t="shared" ca="1" si="160"/>
        <v>0.57728455138387247</v>
      </c>
      <c r="Q458">
        <f t="shared" ca="1" si="161"/>
        <v>0.95847048073359731</v>
      </c>
      <c r="R458">
        <f t="shared" ca="1" si="162"/>
        <v>1.981156411784821</v>
      </c>
      <c r="T458">
        <f t="shared" si="163"/>
        <v>1.0059341039446339</v>
      </c>
      <c r="U458" s="6">
        <f t="shared" ca="1" si="164"/>
        <v>0.92589451378794718</v>
      </c>
      <c r="V458">
        <f t="shared" ca="1" si="165"/>
        <v>0.56031547453104003</v>
      </c>
      <c r="W458">
        <v>0.99200836335422982</v>
      </c>
      <c r="X458" t="b">
        <f t="shared" ca="1" si="166"/>
        <v>1</v>
      </c>
      <c r="AS458">
        <v>0.36814223254192419</v>
      </c>
      <c r="AT458">
        <v>999</v>
      </c>
      <c r="AU458">
        <v>6.0975886730528996</v>
      </c>
      <c r="AV458">
        <v>4.4031122222869543</v>
      </c>
      <c r="AW458">
        <v>-3.6957898520397032</v>
      </c>
      <c r="AX458">
        <v>-4.3078332566851358</v>
      </c>
      <c r="AY458">
        <v>-5.4412700063192379</v>
      </c>
      <c r="AZ458">
        <v>0.96133452064325442</v>
      </c>
      <c r="BJ458" t="b">
        <f t="shared" si="147"/>
        <v>1</v>
      </c>
      <c r="BK458" t="b">
        <f t="shared" ca="1" si="148"/>
        <v>1</v>
      </c>
    </row>
    <row r="459" spans="1:63" x14ac:dyDescent="0.45">
      <c r="A459" s="1">
        <v>44571</v>
      </c>
      <c r="B459">
        <v>352.70699999999999</v>
      </c>
      <c r="C459" s="1">
        <v>44571</v>
      </c>
      <c r="D459">
        <v>465.51</v>
      </c>
      <c r="E459">
        <f t="shared" si="149"/>
        <v>3.0342953961205892E-2</v>
      </c>
      <c r="F459" s="4">
        <f t="shared" si="150"/>
        <v>-1.2443948593618918E-3</v>
      </c>
      <c r="G459">
        <f t="shared" ca="1" si="151"/>
        <v>3.1734381099247167E-3</v>
      </c>
      <c r="H459">
        <f t="shared" ca="1" si="152"/>
        <v>3.1419105583131698E-2</v>
      </c>
      <c r="I459">
        <f t="shared" ca="1" si="153"/>
        <v>0.39754185333622066</v>
      </c>
      <c r="J459">
        <f t="shared" ca="1" si="154"/>
        <v>2.932148304852233</v>
      </c>
      <c r="K459">
        <f t="shared" ca="1" si="155"/>
        <v>1.0606680105336541</v>
      </c>
      <c r="L459">
        <f t="shared" ca="1" si="156"/>
        <v>1.5691145332843173</v>
      </c>
      <c r="M459">
        <f t="shared" ca="1" si="157"/>
        <v>8.3847111757506863E-4</v>
      </c>
      <c r="N459">
        <f t="shared" ca="1" si="158"/>
        <v>7.6691679872192336E-3</v>
      </c>
      <c r="O459">
        <f t="shared" ca="1" si="159"/>
        <v>-0.37466310156137045</v>
      </c>
      <c r="P459">
        <f t="shared" ca="1" si="160"/>
        <v>0.6016744728949992</v>
      </c>
      <c r="Q459">
        <f t="shared" ca="1" si="161"/>
        <v>0.95847048073359731</v>
      </c>
      <c r="R459">
        <f t="shared" ca="1" si="162"/>
        <v>1.9126358677480586</v>
      </c>
      <c r="T459">
        <f t="shared" si="163"/>
        <v>1.0303429539612059</v>
      </c>
      <c r="U459" s="6">
        <f t="shared" ca="1" si="164"/>
        <v>0.8819284519424796</v>
      </c>
      <c r="V459">
        <f t="shared" ca="1" si="165"/>
        <v>0.53140033920812424</v>
      </c>
      <c r="W459">
        <v>0.99246855048515492</v>
      </c>
      <c r="X459" t="b">
        <f t="shared" ca="1" si="166"/>
        <v>1</v>
      </c>
      <c r="AS459">
        <v>0.3637560767571264</v>
      </c>
      <c r="AT459">
        <v>999</v>
      </c>
      <c r="AU459">
        <v>6.0422010233692838</v>
      </c>
      <c r="AV459">
        <v>4.2508200188097334</v>
      </c>
      <c r="AW459">
        <v>-3.4860942220453923</v>
      </c>
      <c r="AX459">
        <v>-4.4955056141900496</v>
      </c>
      <c r="AY459">
        <v>-4.8969663788998545</v>
      </c>
      <c r="AZ459">
        <v>1.3176942812324515</v>
      </c>
      <c r="BJ459" t="b">
        <f t="shared" si="147"/>
        <v>1</v>
      </c>
      <c r="BK459" t="b">
        <f t="shared" ca="1" si="148"/>
        <v>1</v>
      </c>
    </row>
    <row r="460" spans="1:63" x14ac:dyDescent="0.45">
      <c r="A460" s="1">
        <v>44568</v>
      </c>
      <c r="B460">
        <v>342.32</v>
      </c>
      <c r="C460" s="1">
        <v>44568</v>
      </c>
      <c r="D460">
        <v>466.09</v>
      </c>
      <c r="E460">
        <f t="shared" si="149"/>
        <v>-3.5446604677373865E-2</v>
      </c>
      <c r="F460" s="4">
        <f t="shared" si="150"/>
        <v>-3.9534983117494185E-3</v>
      </c>
      <c r="G460">
        <f t="shared" ca="1" si="151"/>
        <v>2.8524668413343556E-3</v>
      </c>
      <c r="H460">
        <f t="shared" ca="1" si="152"/>
        <v>3.1468012237731588E-2</v>
      </c>
      <c r="I460">
        <f t="shared" ca="1" si="153"/>
        <v>0.41506651204994438</v>
      </c>
      <c r="J460">
        <f t="shared" ca="1" si="154"/>
        <v>2.9187542005597056</v>
      </c>
      <c r="K460">
        <f t="shared" ca="1" si="155"/>
        <v>1.0606680105336541</v>
      </c>
      <c r="L460">
        <f t="shared" ca="1" si="156"/>
        <v>1.4559624464892122</v>
      </c>
      <c r="M460">
        <f t="shared" ca="1" si="157"/>
        <v>9.2526789300095206E-4</v>
      </c>
      <c r="N460">
        <f t="shared" ca="1" si="158"/>
        <v>7.7433509939133687E-3</v>
      </c>
      <c r="O460">
        <f t="shared" ca="1" si="159"/>
        <v>-0.35889193669884595</v>
      </c>
      <c r="P460">
        <f t="shared" ca="1" si="160"/>
        <v>0.55796637803812166</v>
      </c>
      <c r="Q460">
        <f t="shared" ca="1" si="161"/>
        <v>1.0980022110011045</v>
      </c>
      <c r="R460">
        <f t="shared" ca="1" si="162"/>
        <v>1.981156411784821</v>
      </c>
      <c r="T460">
        <f t="shared" si="163"/>
        <v>0.96455339532262618</v>
      </c>
      <c r="U460" s="6">
        <f t="shared" ca="1" si="164"/>
        <v>0.97178220632487378</v>
      </c>
      <c r="V460">
        <f t="shared" ca="1" si="165"/>
        <v>0.59065032769820014</v>
      </c>
      <c r="W460">
        <v>1.1038162245532215</v>
      </c>
      <c r="X460" t="b">
        <f t="shared" ca="1" si="166"/>
        <v>0</v>
      </c>
      <c r="AS460">
        <v>0.40086186648766253</v>
      </c>
      <c r="AT460">
        <v>999</v>
      </c>
      <c r="AU460">
        <v>6.4205667611080051</v>
      </c>
      <c r="AV460">
        <v>4.4915565958122912</v>
      </c>
      <c r="AW460">
        <v>-3.7101082221261605</v>
      </c>
      <c r="AX460">
        <v>-4.9514403122820081</v>
      </c>
      <c r="AY460">
        <v>-4.8723276744570025</v>
      </c>
      <c r="AZ460">
        <v>1.5759387210451077</v>
      </c>
      <c r="BJ460" t="b">
        <f t="shared" si="147"/>
        <v>1</v>
      </c>
      <c r="BK460" t="b">
        <f t="shared" ca="1" si="148"/>
        <v>0</v>
      </c>
    </row>
    <row r="461" spans="1:63" x14ac:dyDescent="0.45">
      <c r="A461" s="1">
        <v>44567</v>
      </c>
      <c r="B461">
        <v>354.9</v>
      </c>
      <c r="C461" s="1">
        <v>44567</v>
      </c>
      <c r="D461">
        <v>467.94</v>
      </c>
      <c r="E461">
        <f t="shared" si="149"/>
        <v>-2.1524260629102874E-2</v>
      </c>
      <c r="F461" s="4">
        <f t="shared" si="150"/>
        <v>-9.3940817285109897E-4</v>
      </c>
      <c r="G461">
        <f t="shared" ca="1" si="151"/>
        <v>3.10997498490781E-3</v>
      </c>
      <c r="H461">
        <f t="shared" ca="1" si="152"/>
        <v>3.1363579492118418E-2</v>
      </c>
      <c r="I461">
        <f t="shared" ca="1" si="153"/>
        <v>0.40396725072578743</v>
      </c>
      <c r="J461">
        <f t="shared" ca="1" si="154"/>
        <v>2.973286833305429</v>
      </c>
      <c r="K461">
        <f t="shared" ca="1" si="155"/>
        <v>1.0606680105336541</v>
      </c>
      <c r="L461">
        <f t="shared" ca="1" si="156"/>
        <v>1.5597479331530617</v>
      </c>
      <c r="M461">
        <f t="shared" ca="1" si="157"/>
        <v>9.7316296507167282E-4</v>
      </c>
      <c r="N461">
        <f t="shared" ca="1" si="158"/>
        <v>7.742647225073734E-3</v>
      </c>
      <c r="O461">
        <f t="shared" ca="1" si="159"/>
        <v>-0.37532967603529288</v>
      </c>
      <c r="P461">
        <f t="shared" ca="1" si="160"/>
        <v>0.56840262815775633</v>
      </c>
      <c r="Q461">
        <f t="shared" ca="1" si="161"/>
        <v>1.0980022110011045</v>
      </c>
      <c r="R461">
        <f t="shared" ca="1" si="162"/>
        <v>2.0404285795882533</v>
      </c>
      <c r="T461">
        <f t="shared" si="163"/>
        <v>0.97847573937089716</v>
      </c>
      <c r="U461" s="6">
        <f t="shared" ca="1" si="164"/>
        <v>0.99473064633667818</v>
      </c>
      <c r="V461">
        <f t="shared" ca="1" si="165"/>
        <v>0.65701839815613783</v>
      </c>
      <c r="W461">
        <v>1.0749547458872295</v>
      </c>
      <c r="X461" t="b">
        <f t="shared" ca="1" si="166"/>
        <v>0</v>
      </c>
      <c r="AS461">
        <v>0.41914209729359864</v>
      </c>
      <c r="AT461">
        <v>999</v>
      </c>
      <c r="AU461">
        <v>6.501939080819275</v>
      </c>
      <c r="AV461">
        <v>4.4860902080965817</v>
      </c>
      <c r="AW461">
        <v>-3.7593660942768401</v>
      </c>
      <c r="AX461">
        <v>-5.0927743410595925</v>
      </c>
      <c r="AY461">
        <v>-4.8405578689331383</v>
      </c>
      <c r="AZ461">
        <v>1.7856269158602269</v>
      </c>
      <c r="BJ461" t="b">
        <f t="shared" si="147"/>
        <v>1</v>
      </c>
      <c r="BK461" t="b">
        <f t="shared" ca="1" si="148"/>
        <v>0</v>
      </c>
    </row>
    <row r="462" spans="1:63" x14ac:dyDescent="0.45">
      <c r="A462" s="1">
        <v>44566</v>
      </c>
      <c r="B462">
        <v>362.70699999999999</v>
      </c>
      <c r="C462" s="1">
        <v>44566</v>
      </c>
      <c r="D462">
        <v>468.38</v>
      </c>
      <c r="E462">
        <f t="shared" si="149"/>
        <v>-5.3471191058385138E-2</v>
      </c>
      <c r="F462" s="4">
        <f t="shared" si="150"/>
        <v>-1.9202177782431194E-2</v>
      </c>
      <c r="G462">
        <f t="shared" ca="1" si="151"/>
        <v>2.976793460942052E-3</v>
      </c>
      <c r="H462">
        <f t="shared" ca="1" si="152"/>
        <v>3.1524850601092433E-2</v>
      </c>
      <c r="I462">
        <f t="shared" ca="1" si="153"/>
        <v>0.39118808094242807</v>
      </c>
      <c r="J462">
        <f t="shared" ca="1" si="154"/>
        <v>2.8919986735483096</v>
      </c>
      <c r="K462">
        <f t="shared" ca="1" si="155"/>
        <v>1.0333784790814593</v>
      </c>
      <c r="L462">
        <f t="shared" ca="1" si="156"/>
        <v>1.5597479331530617</v>
      </c>
      <c r="M462">
        <f t="shared" ca="1" si="157"/>
        <v>9.5244280439549158E-4</v>
      </c>
      <c r="N462">
        <f t="shared" ca="1" si="158"/>
        <v>7.7533287628866214E-3</v>
      </c>
      <c r="O462">
        <f t="shared" ca="1" si="159"/>
        <v>-0.36802566300482714</v>
      </c>
      <c r="P462">
        <f t="shared" ca="1" si="160"/>
        <v>0.54637836389538608</v>
      </c>
      <c r="Q462">
        <f t="shared" ca="1" si="161"/>
        <v>1.0980022110011045</v>
      </c>
      <c r="R462">
        <f t="shared" ca="1" si="162"/>
        <v>2.0047471950431537</v>
      </c>
      <c r="T462">
        <f t="shared" si="163"/>
        <v>0.94652880894161484</v>
      </c>
      <c r="U462" s="6">
        <f t="shared" ca="1" si="164"/>
        <v>1.0017786959728003</v>
      </c>
      <c r="V462">
        <f t="shared" ca="1" si="165"/>
        <v>0.64820899573663249</v>
      </c>
      <c r="W462">
        <v>1.0639818436176132</v>
      </c>
      <c r="X462" t="b">
        <f t="shared" ca="1" si="166"/>
        <v>1</v>
      </c>
      <c r="AS462">
        <v>0.4349644200921941</v>
      </c>
      <c r="AT462">
        <v>999</v>
      </c>
      <c r="AU462">
        <v>6.44544503427122</v>
      </c>
      <c r="AV462">
        <v>4.3554942437923199</v>
      </c>
      <c r="AW462">
        <v>-3.7030636769593053</v>
      </c>
      <c r="AX462">
        <v>-5.1020229105031527</v>
      </c>
      <c r="AY462">
        <v>-4.6894609018345781</v>
      </c>
      <c r="AZ462">
        <v>2.0120293411995109</v>
      </c>
      <c r="BJ462" t="b">
        <f t="shared" si="147"/>
        <v>1</v>
      </c>
      <c r="BK462" t="b">
        <f t="shared" ca="1" si="148"/>
        <v>1</v>
      </c>
    </row>
    <row r="463" spans="1:63" x14ac:dyDescent="0.45">
      <c r="A463" s="1">
        <v>44565</v>
      </c>
      <c r="B463">
        <v>383.197</v>
      </c>
      <c r="C463" s="1">
        <v>44565</v>
      </c>
      <c r="D463">
        <v>477.55</v>
      </c>
      <c r="E463">
        <f t="shared" si="149"/>
        <v>-4.1832634455788227E-2</v>
      </c>
      <c r="F463" s="4">
        <f t="shared" si="150"/>
        <v>-3.3493123443086427E-4</v>
      </c>
      <c r="G463">
        <f t="shared" ca="1" si="151"/>
        <v>3.1856493289204157E-3</v>
      </c>
      <c r="H463">
        <f t="shared" ca="1" si="152"/>
        <v>3.1286464919663304E-2</v>
      </c>
      <c r="I463">
        <f t="shared" ca="1" si="153"/>
        <v>0.40925666333037147</v>
      </c>
      <c r="J463">
        <f t="shared" ca="1" si="154"/>
        <v>3.0089932635696179</v>
      </c>
      <c r="K463">
        <f t="shared" ca="1" si="155"/>
        <v>1.0606680105336541</v>
      </c>
      <c r="L463">
        <f t="shared" ca="1" si="156"/>
        <v>1.6114338170709936</v>
      </c>
      <c r="M463">
        <f t="shared" ca="1" si="157"/>
        <v>1.0090996598376147E-3</v>
      </c>
      <c r="N463">
        <f t="shared" ca="1" si="158"/>
        <v>7.6459685817386542E-3</v>
      </c>
      <c r="O463">
        <f t="shared" ca="1" si="159"/>
        <v>-0.32103332118863748</v>
      </c>
      <c r="P463">
        <f t="shared" ca="1" si="160"/>
        <v>0.52093523560493082</v>
      </c>
      <c r="Q463">
        <f t="shared" ca="1" si="161"/>
        <v>1.1553766658447568</v>
      </c>
      <c r="R463">
        <f t="shared" ca="1" si="162"/>
        <v>2.0047471950431537</v>
      </c>
      <c r="T463">
        <f t="shared" si="163"/>
        <v>0.95816736554421178</v>
      </c>
      <c r="U463" s="6">
        <f t="shared" ca="1" si="164"/>
        <v>1.0561541026891899</v>
      </c>
      <c r="V463">
        <f t="shared" ca="1" si="165"/>
        <v>0.67311512763653536</v>
      </c>
      <c r="W463">
        <v>1.0649661103345396</v>
      </c>
      <c r="X463" t="b">
        <f t="shared" ca="1" si="166"/>
        <v>1</v>
      </c>
      <c r="AS463">
        <v>0.40707926850715137</v>
      </c>
      <c r="AT463">
        <v>999</v>
      </c>
      <c r="AU463">
        <v>6.1928175568603976</v>
      </c>
      <c r="AV463">
        <v>4.1206240006243755</v>
      </c>
      <c r="AW463">
        <v>-3.5134579455560515</v>
      </c>
      <c r="AX463">
        <v>-4.833392853260313</v>
      </c>
      <c r="AY463">
        <v>-4.4924361172942202</v>
      </c>
      <c r="AZ463">
        <v>1.9907071125631703</v>
      </c>
      <c r="BJ463" t="b">
        <f t="shared" si="147"/>
        <v>1</v>
      </c>
      <c r="BK463" t="b">
        <f t="shared" ca="1" si="148"/>
        <v>1</v>
      </c>
    </row>
    <row r="464" spans="1:63" x14ac:dyDescent="0.45">
      <c r="A464" s="1">
        <v>44564</v>
      </c>
      <c r="B464">
        <v>399.92700000000002</v>
      </c>
      <c r="C464" s="1">
        <v>44564</v>
      </c>
      <c r="D464">
        <v>477.71</v>
      </c>
      <c r="E464">
        <f t="shared" si="149"/>
        <v>0.13531766308976334</v>
      </c>
      <c r="F464" s="4">
        <f t="shared" si="150"/>
        <v>5.7899612598955701E-3</v>
      </c>
      <c r="G464">
        <f t="shared" ca="1" si="151"/>
        <v>3.5103239767593909E-3</v>
      </c>
      <c r="H464">
        <f t="shared" ca="1" si="152"/>
        <v>3.1153589267521254E-2</v>
      </c>
      <c r="I464">
        <f t="shared" ca="1" si="153"/>
        <v>0.39957610311942898</v>
      </c>
      <c r="J464">
        <f t="shared" ca="1" si="154"/>
        <v>3.0735705175694861</v>
      </c>
      <c r="K464">
        <f t="shared" ca="1" si="155"/>
        <v>1.0606680105336541</v>
      </c>
      <c r="L464">
        <f t="shared" ca="1" si="156"/>
        <v>1.6319630080779708</v>
      </c>
      <c r="M464">
        <f t="shared" ca="1" si="157"/>
        <v>1.050699344252554E-3</v>
      </c>
      <c r="N464">
        <f t="shared" ca="1" si="158"/>
        <v>7.6612373581104081E-3</v>
      </c>
      <c r="O464">
        <f t="shared" ca="1" si="159"/>
        <v>-0.33171274320889138</v>
      </c>
      <c r="P464">
        <f t="shared" ca="1" si="160"/>
        <v>0.50331024893900667</v>
      </c>
      <c r="Q464">
        <f t="shared" ca="1" si="161"/>
        <v>1.1553766658447568</v>
      </c>
      <c r="R464">
        <f t="shared" ca="1" si="162"/>
        <v>2.0595066955074732</v>
      </c>
      <c r="T464">
        <f t="shared" si="163"/>
        <v>1.1353176630897632</v>
      </c>
      <c r="U464" s="6">
        <f t="shared" ca="1" si="164"/>
        <v>1.0967511044928384</v>
      </c>
      <c r="V464">
        <f t="shared" ca="1" si="165"/>
        <v>0.67211347521076348</v>
      </c>
      <c r="W464">
        <v>1.0438055152958658</v>
      </c>
      <c r="X464" t="b">
        <f t="shared" ca="1" si="166"/>
        <v>1</v>
      </c>
      <c r="AS464">
        <v>0.37506512838190603</v>
      </c>
      <c r="AT464">
        <v>999</v>
      </c>
      <c r="AU464">
        <v>6.0281490959105835</v>
      </c>
      <c r="AV464">
        <v>4.000422150165635</v>
      </c>
      <c r="AW464">
        <v>-3.3230016973639906</v>
      </c>
      <c r="AX464">
        <v>-4.4031066475746909</v>
      </c>
      <c r="AY464">
        <v>-4.4257119611415954</v>
      </c>
      <c r="AZ464">
        <v>1.7058385283919857</v>
      </c>
      <c r="BJ464" t="b">
        <f t="shared" si="147"/>
        <v>1</v>
      </c>
      <c r="BK464" t="b">
        <f t="shared" ca="1" si="148"/>
        <v>1</v>
      </c>
    </row>
    <row r="465" spans="1:63" x14ac:dyDescent="0.45">
      <c r="A465" s="1">
        <v>44561</v>
      </c>
      <c r="B465">
        <v>352.26</v>
      </c>
      <c r="C465" s="1">
        <v>44561</v>
      </c>
      <c r="D465">
        <v>474.96</v>
      </c>
      <c r="E465">
        <f t="shared" si="149"/>
        <v>-1.2668871573518646E-2</v>
      </c>
      <c r="F465" s="4">
        <f t="shared" si="150"/>
        <v>-2.520161290322676E-3</v>
      </c>
      <c r="G465">
        <f t="shared" ca="1" si="151"/>
        <v>2.8468258689166742E-3</v>
      </c>
      <c r="H465">
        <f t="shared" ca="1" si="152"/>
        <v>2.9712039613575866E-2</v>
      </c>
      <c r="I465">
        <f t="shared" ca="1" si="153"/>
        <v>8.5151313561431671E-2</v>
      </c>
      <c r="J465">
        <f t="shared" ca="1" si="154"/>
        <v>2.3493600417024911</v>
      </c>
      <c r="K465">
        <f t="shared" ca="1" si="155"/>
        <v>1.0340752178626711</v>
      </c>
      <c r="L465">
        <f t="shared" ca="1" si="156"/>
        <v>1.6222212431516898</v>
      </c>
      <c r="M465">
        <f t="shared" ca="1" si="157"/>
        <v>9.9620544885529387E-4</v>
      </c>
      <c r="N465">
        <f t="shared" ca="1" si="158"/>
        <v>7.6661174992218055E-3</v>
      </c>
      <c r="O465">
        <f t="shared" ca="1" si="159"/>
        <v>-0.31337077540101987</v>
      </c>
      <c r="P465">
        <f t="shared" ca="1" si="160"/>
        <v>0.48627998812405648</v>
      </c>
      <c r="Q465">
        <f t="shared" ca="1" si="161"/>
        <v>1.1553766658447568</v>
      </c>
      <c r="R465">
        <f t="shared" ca="1" si="162"/>
        <v>1.9172181598622766</v>
      </c>
      <c r="T465">
        <f t="shared" si="163"/>
        <v>0.98733112842648141</v>
      </c>
      <c r="U465" s="6">
        <f t="shared" ca="1" si="164"/>
        <v>0.99042081497580614</v>
      </c>
      <c r="V465">
        <f t="shared" ca="1" si="165"/>
        <v>0.77903646498998513</v>
      </c>
      <c r="W465">
        <v>1.083522412462357</v>
      </c>
      <c r="X465" t="b">
        <f t="shared" ca="1" si="166"/>
        <v>0</v>
      </c>
      <c r="AS465">
        <v>0.3800518764132485</v>
      </c>
      <c r="AT465">
        <v>999</v>
      </c>
      <c r="AU465">
        <v>5.9388350435935378</v>
      </c>
      <c r="AV465">
        <v>3.798720119642923</v>
      </c>
      <c r="AW465">
        <v>-3.35970668833387</v>
      </c>
      <c r="AX465">
        <v>-4.5170763156191693</v>
      </c>
      <c r="AY465">
        <v>-4.2119643281857568</v>
      </c>
      <c r="AZ465">
        <v>2.0287591355251253</v>
      </c>
      <c r="BJ465" t="b">
        <f t="shared" si="147"/>
        <v>1</v>
      </c>
      <c r="BK465" t="b">
        <f t="shared" ca="1" si="148"/>
        <v>0</v>
      </c>
    </row>
    <row r="466" spans="1:63" x14ac:dyDescent="0.45">
      <c r="A466" s="1">
        <v>44560</v>
      </c>
      <c r="B466">
        <v>356.78</v>
      </c>
      <c r="C466" s="1">
        <v>44560</v>
      </c>
      <c r="D466">
        <v>476.16</v>
      </c>
      <c r="E466">
        <f t="shared" si="149"/>
        <v>-1.4591383267552927E-2</v>
      </c>
      <c r="F466" s="4">
        <f t="shared" si="150"/>
        <v>-2.7645136969087565E-3</v>
      </c>
      <c r="G466">
        <f t="shared" ca="1" si="151"/>
        <v>2.5635598145792716E-3</v>
      </c>
      <c r="H466">
        <f t="shared" ca="1" si="152"/>
        <v>3.0127853256713421E-2</v>
      </c>
      <c r="I466">
        <f t="shared" ca="1" si="153"/>
        <v>4.1091311532260179E-2</v>
      </c>
      <c r="J466">
        <f t="shared" ca="1" si="154"/>
        <v>2.2288070858442914</v>
      </c>
      <c r="K466">
        <f t="shared" ca="1" si="155"/>
        <v>1.0074698824499433</v>
      </c>
      <c r="L466">
        <f t="shared" ca="1" si="156"/>
        <v>1.6222212431516898</v>
      </c>
      <c r="M466">
        <f t="shared" ca="1" si="157"/>
        <v>9.3605792927357922E-4</v>
      </c>
      <c r="N466">
        <f t="shared" ca="1" si="158"/>
        <v>7.7406737073974705E-3</v>
      </c>
      <c r="O466">
        <f t="shared" ca="1" si="159"/>
        <v>-0.32149696804138306</v>
      </c>
      <c r="P466">
        <f t="shared" ca="1" si="160"/>
        <v>0.42561838858405432</v>
      </c>
      <c r="Q466">
        <f t="shared" ca="1" si="161"/>
        <v>1.0980022110011045</v>
      </c>
      <c r="R466">
        <f t="shared" ca="1" si="162"/>
        <v>1.7104691597475945</v>
      </c>
      <c r="T466">
        <f t="shared" si="163"/>
        <v>0.98540861673244706</v>
      </c>
      <c r="U466" s="6">
        <f t="shared" ca="1" si="164"/>
        <v>1.0609295548484938</v>
      </c>
      <c r="V466">
        <f t="shared" ca="1" si="165"/>
        <v>0.77752555531692724</v>
      </c>
      <c r="W466">
        <v>1.1218572450182398</v>
      </c>
      <c r="X466" t="b">
        <f t="shared" ca="1" si="166"/>
        <v>1</v>
      </c>
      <c r="AS466">
        <v>0.38456069529580622</v>
      </c>
      <c r="AT466">
        <v>999</v>
      </c>
      <c r="AU466">
        <v>5.8703932647614634</v>
      </c>
      <c r="AV466">
        <v>3.5967840900681805</v>
      </c>
      <c r="AW466">
        <v>-3.3806387055874465</v>
      </c>
      <c r="AX466">
        <v>-4.3344834448824381</v>
      </c>
      <c r="AY466">
        <v>-3.9974291126835042</v>
      </c>
      <c r="AZ466">
        <v>2.1187054228966349</v>
      </c>
      <c r="BJ466" t="b">
        <f t="shared" si="147"/>
        <v>1</v>
      </c>
      <c r="BK466" t="b">
        <f t="shared" ca="1" si="148"/>
        <v>1</v>
      </c>
    </row>
    <row r="467" spans="1:63" x14ac:dyDescent="0.45">
      <c r="A467" s="1">
        <v>44559</v>
      </c>
      <c r="B467">
        <v>362.06299999999999</v>
      </c>
      <c r="C467" s="1">
        <v>44559</v>
      </c>
      <c r="D467">
        <v>477.48</v>
      </c>
      <c r="E467">
        <f t="shared" si="149"/>
        <v>-2.0946852873163801E-3</v>
      </c>
      <c r="F467" s="4">
        <f t="shared" si="150"/>
        <v>1.2791746178203989E-3</v>
      </c>
      <c r="G467">
        <f t="shared" ca="1" si="151"/>
        <v>2.8206702231852493E-3</v>
      </c>
      <c r="H467">
        <f t="shared" ca="1" si="152"/>
        <v>3.0200048620186853E-2</v>
      </c>
      <c r="I467">
        <f t="shared" ca="1" si="153"/>
        <v>2.3343541603921512E-2</v>
      </c>
      <c r="J467">
        <f t="shared" ca="1" si="154"/>
        <v>2.1853368559880328</v>
      </c>
      <c r="K467">
        <f t="shared" ca="1" si="155"/>
        <v>1.0074698824499433</v>
      </c>
      <c r="L467">
        <f t="shared" ca="1" si="156"/>
        <v>1.6467404115561435</v>
      </c>
      <c r="M467">
        <f t="shared" ca="1" si="157"/>
        <v>9.6692982715116597E-4</v>
      </c>
      <c r="N467">
        <f t="shared" ca="1" si="158"/>
        <v>7.7381527992061326E-3</v>
      </c>
      <c r="O467">
        <f t="shared" ca="1" si="159"/>
        <v>-0.33317995964589137</v>
      </c>
      <c r="P467">
        <f t="shared" ca="1" si="160"/>
        <v>0.43525391060556373</v>
      </c>
      <c r="Q467">
        <f t="shared" ca="1" si="161"/>
        <v>1.0980022110011045</v>
      </c>
      <c r="R467">
        <f t="shared" ca="1" si="162"/>
        <v>1.7104691597475945</v>
      </c>
      <c r="T467">
        <f t="shared" si="163"/>
        <v>0.99790531471268362</v>
      </c>
      <c r="U467" s="6">
        <f t="shared" ca="1" si="164"/>
        <v>1.1573313131506857</v>
      </c>
      <c r="V467">
        <f t="shared" ca="1" si="165"/>
        <v>0.80126560993883478</v>
      </c>
      <c r="W467">
        <v>0.69707600801132652</v>
      </c>
      <c r="X467" t="b">
        <f t="shared" ca="1" si="166"/>
        <v>0</v>
      </c>
      <c r="AS467">
        <v>0.35291321529425479</v>
      </c>
      <c r="AT467">
        <v>999</v>
      </c>
      <c r="AU467">
        <v>5.6526922868231608</v>
      </c>
      <c r="AV467">
        <v>4.6988890554325042</v>
      </c>
      <c r="AW467">
        <v>999</v>
      </c>
      <c r="AX467">
        <v>999</v>
      </c>
      <c r="AY467">
        <v>-5.6938940146285173</v>
      </c>
      <c r="AZ467">
        <v>-2.0229727652140062</v>
      </c>
      <c r="BJ467" t="b">
        <f t="shared" si="147"/>
        <v>1</v>
      </c>
      <c r="BK467" t="b">
        <f t="shared" ca="1" si="148"/>
        <v>0</v>
      </c>
    </row>
    <row r="468" spans="1:63" x14ac:dyDescent="0.45">
      <c r="A468" s="1">
        <v>44558</v>
      </c>
      <c r="B468">
        <v>362.82299999999998</v>
      </c>
      <c r="C468" s="1">
        <v>44558</v>
      </c>
      <c r="D468">
        <v>476.87</v>
      </c>
      <c r="E468">
        <f t="shared" si="149"/>
        <v>-5.0020979193576591E-3</v>
      </c>
      <c r="F468" s="4">
        <f t="shared" si="150"/>
        <v>-8.1716464820011392E-4</v>
      </c>
      <c r="G468">
        <f t="shared" ca="1" si="151"/>
        <v>2.6117818392989221E-3</v>
      </c>
      <c r="H468">
        <f t="shared" ca="1" si="152"/>
        <v>3.0378177176824003E-2</v>
      </c>
      <c r="I468">
        <f t="shared" ca="1" si="153"/>
        <v>2.5361864070689428E-2</v>
      </c>
      <c r="J468">
        <f t="shared" ca="1" si="154"/>
        <v>2.093040209415272</v>
      </c>
      <c r="K468">
        <f t="shared" ca="1" si="155"/>
        <v>1.0074698824499433</v>
      </c>
      <c r="L468">
        <f t="shared" ca="1" si="156"/>
        <v>1.6319630080779708</v>
      </c>
      <c r="M468">
        <f t="shared" ca="1" si="157"/>
        <v>9.542273523113513E-4</v>
      </c>
      <c r="N468">
        <f t="shared" ca="1" si="158"/>
        <v>7.7397226624699965E-3</v>
      </c>
      <c r="O468">
        <f t="shared" ca="1" si="159"/>
        <v>-0.32812536434754175</v>
      </c>
      <c r="P468">
        <f t="shared" ca="1" si="160"/>
        <v>0.43025161134956447</v>
      </c>
      <c r="Q468">
        <f t="shared" ca="1" si="161"/>
        <v>1.0980022110011045</v>
      </c>
      <c r="R468">
        <f t="shared" ca="1" si="162"/>
        <v>1.7104691597475945</v>
      </c>
      <c r="T468">
        <f t="shared" si="163"/>
        <v>0.99499790208064232</v>
      </c>
      <c r="U468" s="6">
        <f t="shared" ca="1" si="164"/>
        <v>1.2094906327088473</v>
      </c>
      <c r="V468">
        <f t="shared" ca="1" si="165"/>
        <v>0.62560935837214415</v>
      </c>
      <c r="W468">
        <v>1.0076737911607747</v>
      </c>
      <c r="X468" t="b">
        <f t="shared" ca="1" si="166"/>
        <v>1</v>
      </c>
      <c r="AS468">
        <v>0.36577873314661502</v>
      </c>
      <c r="AT468">
        <v>999</v>
      </c>
      <c r="AU468">
        <v>5.4299588917639454</v>
      </c>
      <c r="AV468">
        <v>3.9641047874973503</v>
      </c>
      <c r="AW468">
        <v>999</v>
      </c>
      <c r="AX468">
        <v>999</v>
      </c>
      <c r="AY468">
        <v>-6.3390019648103495</v>
      </c>
      <c r="AZ468">
        <v>-1.4877805922585494</v>
      </c>
      <c r="BJ468" t="b">
        <f t="shared" si="147"/>
        <v>1</v>
      </c>
      <c r="BK468" t="b">
        <f t="shared" ca="1" si="148"/>
        <v>1</v>
      </c>
    </row>
    <row r="469" spans="1:63" x14ac:dyDescent="0.45">
      <c r="A469" s="1">
        <v>44557</v>
      </c>
      <c r="B469">
        <v>364.64699999999999</v>
      </c>
      <c r="C469" s="1">
        <v>44557</v>
      </c>
      <c r="D469">
        <v>477.26</v>
      </c>
      <c r="E469">
        <f t="shared" si="149"/>
        <v>2.5248336224614649E-2</v>
      </c>
      <c r="F469" s="4">
        <f t="shared" si="150"/>
        <v>1.4152146196345023E-2</v>
      </c>
      <c r="G469">
        <f t="shared" ca="1" si="151"/>
        <v>2.7392170509413509E-3</v>
      </c>
      <c r="H469">
        <f t="shared" ca="1" si="152"/>
        <v>3.0399527807869982E-2</v>
      </c>
      <c r="I469">
        <f t="shared" ca="1" si="153"/>
        <v>1.3716679474671209E-2</v>
      </c>
      <c r="J469">
        <f t="shared" ca="1" si="154"/>
        <v>2.0788739071812952</v>
      </c>
      <c r="K469">
        <f t="shared" ca="1" si="155"/>
        <v>1.0074698824499433</v>
      </c>
      <c r="L469">
        <f t="shared" ca="1" si="156"/>
        <v>1.6405247558767568</v>
      </c>
      <c r="M469">
        <f t="shared" ca="1" si="157"/>
        <v>9.8813096979688325E-4</v>
      </c>
      <c r="N469">
        <f t="shared" ca="1" si="158"/>
        <v>7.7467723065919973E-3</v>
      </c>
      <c r="O469">
        <f t="shared" ca="1" si="159"/>
        <v>-0.3390594297227742</v>
      </c>
      <c r="P469">
        <f t="shared" ca="1" si="160"/>
        <v>0.4244449849592562</v>
      </c>
      <c r="Q469">
        <f t="shared" ca="1" si="161"/>
        <v>1.0980022110011045</v>
      </c>
      <c r="R469">
        <f t="shared" ca="1" si="162"/>
        <v>1.7794010444307424</v>
      </c>
      <c r="T469">
        <f t="shared" si="163"/>
        <v>1.0252483362246148</v>
      </c>
      <c r="U469" s="6">
        <f t="shared" ca="1" si="164"/>
        <v>1.1730377633445603</v>
      </c>
      <c r="V469">
        <f t="shared" ca="1" si="165"/>
        <v>0.65745254967919486</v>
      </c>
      <c r="W469">
        <v>0.90888756941388826</v>
      </c>
      <c r="X469" t="b">
        <f t="shared" ca="1" si="166"/>
        <v>0</v>
      </c>
      <c r="AS469">
        <v>0.429848206460472</v>
      </c>
      <c r="AT469">
        <v>999</v>
      </c>
      <c r="AU469">
        <v>6.2175327156489733</v>
      </c>
      <c r="AV469">
        <v>4.0298424113059852</v>
      </c>
      <c r="AW469">
        <v>999</v>
      </c>
      <c r="AX469">
        <v>999</v>
      </c>
      <c r="AY469">
        <v>-7.7352664427997393</v>
      </c>
      <c r="AZ469">
        <v>-1.7544403752231226</v>
      </c>
      <c r="BJ469" t="b">
        <f t="shared" si="147"/>
        <v>1</v>
      </c>
      <c r="BK469" t="b">
        <f t="shared" ca="1" si="148"/>
        <v>0</v>
      </c>
    </row>
    <row r="470" spans="1:63" x14ac:dyDescent="0.45">
      <c r="A470" s="1">
        <v>44553</v>
      </c>
      <c r="B470">
        <v>355.66699999999997</v>
      </c>
      <c r="C470" s="1">
        <v>44553</v>
      </c>
      <c r="D470">
        <v>470.6</v>
      </c>
      <c r="E470">
        <f t="shared" si="149"/>
        <v>5.761991138600598E-2</v>
      </c>
      <c r="F470" s="4">
        <f t="shared" si="150"/>
        <v>6.2220701746884153E-3</v>
      </c>
      <c r="G470">
        <f t="shared" ca="1" si="151"/>
        <v>2.5710156785661341E-3</v>
      </c>
      <c r="H470">
        <f t="shared" ca="1" si="152"/>
        <v>3.0367407707959437E-2</v>
      </c>
      <c r="I470">
        <f t="shared" ca="1" si="153"/>
        <v>2.8227807862261756E-2</v>
      </c>
      <c r="J470">
        <f t="shared" ca="1" si="154"/>
        <v>2.0995685463443232</v>
      </c>
      <c r="K470">
        <f t="shared" ca="1" si="155"/>
        <v>1.0074698824499433</v>
      </c>
      <c r="L470">
        <f t="shared" ca="1" si="156"/>
        <v>1.6319630080779708</v>
      </c>
      <c r="M470">
        <f t="shared" ca="1" si="157"/>
        <v>9.2410415999016513E-4</v>
      </c>
      <c r="N470">
        <f t="shared" ca="1" si="158"/>
        <v>7.6901363442608518E-3</v>
      </c>
      <c r="O470">
        <f t="shared" ca="1" si="159"/>
        <v>-0.34683605697984987</v>
      </c>
      <c r="P470">
        <f t="shared" ca="1" si="160"/>
        <v>0.47112564371558774</v>
      </c>
      <c r="Q470">
        <f t="shared" ca="1" si="161"/>
        <v>0.95910579675430763</v>
      </c>
      <c r="R470">
        <f t="shared" ca="1" si="162"/>
        <v>1.7104691597475945</v>
      </c>
      <c r="T470">
        <f t="shared" si="163"/>
        <v>1.0576199113860061</v>
      </c>
      <c r="U470" s="6">
        <f t="shared" ca="1" si="164"/>
        <v>1.1511264738342832</v>
      </c>
      <c r="V470">
        <f t="shared" ca="1" si="165"/>
        <v>0.57765856492819034</v>
      </c>
      <c r="W470">
        <v>0.90971766944118504</v>
      </c>
      <c r="X470" t="b">
        <f t="shared" ca="1" si="166"/>
        <v>0</v>
      </c>
      <c r="AS470">
        <v>0.49568341301125951</v>
      </c>
      <c r="AT470">
        <v>999</v>
      </c>
      <c r="AU470">
        <v>7.0665652336810352</v>
      </c>
      <c r="AV470">
        <v>4.1726647769566299</v>
      </c>
      <c r="AW470">
        <v>999</v>
      </c>
      <c r="AX470">
        <v>999</v>
      </c>
      <c r="AY470">
        <v>-9.0944332213196102</v>
      </c>
      <c r="AZ470">
        <v>-2.0745447138983852</v>
      </c>
      <c r="BJ470" t="b">
        <f t="shared" si="147"/>
        <v>1</v>
      </c>
      <c r="BK470" t="b">
        <f t="shared" ca="1" si="148"/>
        <v>0</v>
      </c>
    </row>
    <row r="471" spans="1:63" x14ac:dyDescent="0.45">
      <c r="A471" s="1">
        <v>44552</v>
      </c>
      <c r="B471">
        <v>336.29</v>
      </c>
      <c r="C471" s="1">
        <v>44552</v>
      </c>
      <c r="D471">
        <v>467.69</v>
      </c>
      <c r="E471">
        <f t="shared" si="149"/>
        <v>7.4948136924911216E-2</v>
      </c>
      <c r="F471" s="4">
        <f t="shared" si="150"/>
        <v>9.9987042715846668E-3</v>
      </c>
      <c r="G471">
        <f t="shared" ca="1" si="151"/>
        <v>2.518964925562691E-3</v>
      </c>
      <c r="H471">
        <f t="shared" ca="1" si="152"/>
        <v>3.0281377722627241E-2</v>
      </c>
      <c r="I471">
        <f t="shared" ca="1" si="153"/>
        <v>1.9442747319239766E-2</v>
      </c>
      <c r="J471">
        <f t="shared" ca="1" si="154"/>
        <v>2.1263012126915042</v>
      </c>
      <c r="K471">
        <f t="shared" ca="1" si="155"/>
        <v>1.0074698824499433</v>
      </c>
      <c r="L471">
        <f t="shared" ca="1" si="156"/>
        <v>1.6319630080779708</v>
      </c>
      <c r="M471">
        <f t="shared" ca="1" si="157"/>
        <v>9.4368943004182197E-4</v>
      </c>
      <c r="N471">
        <f t="shared" ca="1" si="158"/>
        <v>7.7086626972058189E-3</v>
      </c>
      <c r="O471">
        <f t="shared" ca="1" si="159"/>
        <v>-0.34501735424260188</v>
      </c>
      <c r="P471">
        <f t="shared" ca="1" si="160"/>
        <v>0.45039640864605746</v>
      </c>
      <c r="Q471">
        <f t="shared" ca="1" si="161"/>
        <v>0.95910579675430763</v>
      </c>
      <c r="R471">
        <f t="shared" ca="1" si="162"/>
        <v>1.7104691597475945</v>
      </c>
      <c r="T471">
        <f t="shared" si="163"/>
        <v>1.0749481369249112</v>
      </c>
      <c r="U471" s="6">
        <f t="shared" ca="1" si="164"/>
        <v>1.0336888697630098</v>
      </c>
      <c r="V471">
        <f t="shared" ca="1" si="165"/>
        <v>0.57948381586371001</v>
      </c>
      <c r="W471">
        <v>0.89755802035908872</v>
      </c>
      <c r="X471" t="b">
        <f t="shared" ca="1" si="166"/>
        <v>0</v>
      </c>
      <c r="AS471">
        <v>0.51961705944752079</v>
      </c>
      <c r="AT471">
        <v>999</v>
      </c>
      <c r="AU471">
        <v>7.4253602786287241</v>
      </c>
      <c r="AV471">
        <v>4.149136792632425</v>
      </c>
      <c r="AW471">
        <v>999</v>
      </c>
      <c r="AX471">
        <v>999</v>
      </c>
      <c r="AY471">
        <v>-9.6156065854470327</v>
      </c>
      <c r="AZ471">
        <v>-2.2197970774852611</v>
      </c>
      <c r="BJ471" t="b">
        <f t="shared" si="147"/>
        <v>1</v>
      </c>
      <c r="BK471" t="b">
        <f t="shared" ca="1" si="148"/>
        <v>0</v>
      </c>
    </row>
    <row r="472" spans="1:63" x14ac:dyDescent="0.45">
      <c r="A472" s="1">
        <v>44551</v>
      </c>
      <c r="B472">
        <v>312.84300000000002</v>
      </c>
      <c r="C472" s="1">
        <v>44551</v>
      </c>
      <c r="D472">
        <v>463.06</v>
      </c>
      <c r="E472">
        <f t="shared" si="149"/>
        <v>4.2879525301686774E-2</v>
      </c>
      <c r="F472" s="4">
        <f t="shared" si="150"/>
        <v>1.7759022374609839E-2</v>
      </c>
      <c r="G472">
        <f t="shared" ca="1" si="151"/>
        <v>2.1032492134358751E-3</v>
      </c>
      <c r="H472">
        <f t="shared" ca="1" si="152"/>
        <v>2.9849677473945992E-2</v>
      </c>
      <c r="I472">
        <f t="shared" ca="1" si="153"/>
        <v>-1.024636291469716E-2</v>
      </c>
      <c r="J472">
        <f t="shared" ca="1" si="154"/>
        <v>2.2508323501443046</v>
      </c>
      <c r="K472">
        <f t="shared" ca="1" si="155"/>
        <v>0.97539222191744157</v>
      </c>
      <c r="L472">
        <f t="shared" ca="1" si="156"/>
        <v>1.6222212431516898</v>
      </c>
      <c r="M472">
        <f t="shared" ca="1" si="157"/>
        <v>9.24819187863587E-4</v>
      </c>
      <c r="N472">
        <f t="shared" ca="1" si="158"/>
        <v>7.6909843226736869E-3</v>
      </c>
      <c r="O472">
        <f t="shared" ca="1" si="159"/>
        <v>-0.34660756929443975</v>
      </c>
      <c r="P472">
        <f t="shared" ca="1" si="160"/>
        <v>0.47034445021118465</v>
      </c>
      <c r="Q472">
        <f t="shared" ca="1" si="161"/>
        <v>0.95910579675430763</v>
      </c>
      <c r="R472">
        <f t="shared" ca="1" si="162"/>
        <v>1.7104691597475945</v>
      </c>
      <c r="T472">
        <f t="shared" si="163"/>
        <v>1.0428795253016867</v>
      </c>
      <c r="U472" s="6">
        <f t="shared" ca="1" si="164"/>
        <v>0.97915512530398763</v>
      </c>
      <c r="V472">
        <f t="shared" ca="1" si="165"/>
        <v>0.68374767974773742</v>
      </c>
      <c r="W472">
        <v>0.92787638784115889</v>
      </c>
      <c r="X472" t="b">
        <f t="shared" ca="1" si="166"/>
        <v>1</v>
      </c>
      <c r="AS472">
        <v>0.52122552802066224</v>
      </c>
      <c r="AT472">
        <v>999</v>
      </c>
      <c r="AU472">
        <v>7.4699645765454141</v>
      </c>
      <c r="AV472">
        <v>4.1115137916898554</v>
      </c>
      <c r="AW472">
        <v>999</v>
      </c>
      <c r="AX472">
        <v>999</v>
      </c>
      <c r="AY472">
        <v>-9.6525639711512241</v>
      </c>
      <c r="AZ472">
        <v>-2.253027866346768</v>
      </c>
      <c r="BJ472" t="b">
        <f t="shared" si="147"/>
        <v>1</v>
      </c>
      <c r="BK472" t="b">
        <f t="shared" ca="1" si="148"/>
        <v>1</v>
      </c>
    </row>
    <row r="473" spans="1:63" x14ac:dyDescent="0.45">
      <c r="A473" s="1">
        <v>44550</v>
      </c>
      <c r="B473">
        <v>299.98</v>
      </c>
      <c r="C473" s="1">
        <v>44550</v>
      </c>
      <c r="D473">
        <v>454.98</v>
      </c>
      <c r="E473">
        <f t="shared" si="149"/>
        <v>-3.4990365344837043E-2</v>
      </c>
      <c r="F473" s="4">
        <f t="shared" si="150"/>
        <v>-1.0633439885184913E-2</v>
      </c>
      <c r="G473">
        <f t="shared" ca="1" si="151"/>
        <v>2.8709102333596844E-3</v>
      </c>
      <c r="H473">
        <f t="shared" ca="1" si="152"/>
        <v>3.2738100823682476E-2</v>
      </c>
      <c r="I473">
        <f t="shared" ca="1" si="153"/>
        <v>0.97262790391579268</v>
      </c>
      <c r="J473">
        <f t="shared" ca="1" si="154"/>
        <v>6.9326004374612777</v>
      </c>
      <c r="K473">
        <f t="shared" ca="1" si="155"/>
        <v>1.0074698824499433</v>
      </c>
      <c r="L473">
        <f t="shared" ca="1" si="156"/>
        <v>1.6222212431516898</v>
      </c>
      <c r="M473">
        <f t="shared" ca="1" si="157"/>
        <v>9.074114803707112E-4</v>
      </c>
      <c r="N473">
        <f t="shared" ca="1" si="158"/>
        <v>7.6565534389188327E-3</v>
      </c>
      <c r="O473">
        <f t="shared" ca="1" si="159"/>
        <v>-0.37144226630303789</v>
      </c>
      <c r="P473">
        <f t="shared" ca="1" si="160"/>
        <v>0.45741926347286244</v>
      </c>
      <c r="Q473">
        <f t="shared" ca="1" si="161"/>
        <v>0.95895640748412769</v>
      </c>
      <c r="R473">
        <f t="shared" ca="1" si="162"/>
        <v>1.7104691597475945</v>
      </c>
      <c r="T473">
        <f t="shared" si="163"/>
        <v>0.96500963465516298</v>
      </c>
      <c r="U473" s="6">
        <f t="shared" ca="1" si="164"/>
        <v>0.93121870508510363</v>
      </c>
      <c r="V473">
        <f t="shared" ca="1" si="165"/>
        <v>0.63944163482069538</v>
      </c>
      <c r="W473">
        <v>0.94750455822985913</v>
      </c>
      <c r="X473" t="b">
        <f t="shared" ca="1" si="166"/>
        <v>1</v>
      </c>
      <c r="AS473">
        <v>0.51511585652898073</v>
      </c>
      <c r="AT473">
        <v>999</v>
      </c>
      <c r="AU473">
        <v>7.3722563344012073</v>
      </c>
      <c r="AV473">
        <v>4.0862477904097485</v>
      </c>
      <c r="AW473">
        <v>999</v>
      </c>
      <c r="AX473">
        <v>999</v>
      </c>
      <c r="AY473">
        <v>-9.544703317597655</v>
      </c>
      <c r="AZ473">
        <v>-2.2043132249134874</v>
      </c>
      <c r="BJ473" t="b">
        <f t="shared" si="147"/>
        <v>1</v>
      </c>
      <c r="BK473" t="b">
        <f t="shared" ca="1" si="148"/>
        <v>1</v>
      </c>
    </row>
    <row r="474" spans="1:63" x14ac:dyDescent="0.45">
      <c r="A474" s="1">
        <v>44547</v>
      </c>
      <c r="B474">
        <v>310.85700000000003</v>
      </c>
      <c r="C474" s="1">
        <v>44547</v>
      </c>
      <c r="D474">
        <v>459.87</v>
      </c>
      <c r="E474">
        <f t="shared" si="149"/>
        <v>6.0976201804041601E-3</v>
      </c>
      <c r="F474" s="4">
        <f t="shared" si="150"/>
        <v>-1.4106549469396473E-2</v>
      </c>
      <c r="G474">
        <f t="shared" ca="1" si="151"/>
        <v>2.7536140330716224E-3</v>
      </c>
      <c r="H474">
        <f t="shared" ca="1" si="152"/>
        <v>3.2915976755846288E-2</v>
      </c>
      <c r="I474">
        <f t="shared" ca="1" si="153"/>
        <v>0.9426503014501334</v>
      </c>
      <c r="J474">
        <f t="shared" ca="1" si="154"/>
        <v>6.7855968348143678</v>
      </c>
      <c r="K474">
        <f t="shared" ca="1" si="155"/>
        <v>0.95096493934385173</v>
      </c>
      <c r="L474">
        <f t="shared" ca="1" si="156"/>
        <v>1.6222212431516898</v>
      </c>
      <c r="M474">
        <f t="shared" ca="1" si="157"/>
        <v>9.3568490193776188E-4</v>
      </c>
      <c r="N474">
        <f t="shared" ca="1" si="158"/>
        <v>7.6240940271043237E-3</v>
      </c>
      <c r="O474">
        <f t="shared" ca="1" si="159"/>
        <v>-0.37217428981404055</v>
      </c>
      <c r="P474">
        <f t="shared" ca="1" si="160"/>
        <v>0.49765607415048185</v>
      </c>
      <c r="Q474">
        <f t="shared" ca="1" si="161"/>
        <v>0.95895640748412769</v>
      </c>
      <c r="R474">
        <f t="shared" ca="1" si="162"/>
        <v>1.7104691597475945</v>
      </c>
      <c r="T474">
        <f t="shared" si="163"/>
        <v>1.0060976201804042</v>
      </c>
      <c r="U474" s="6">
        <f t="shared" ca="1" si="164"/>
        <v>0.91695525205746164</v>
      </c>
      <c r="V474">
        <f t="shared" ca="1" si="165"/>
        <v>0.63227325243605048</v>
      </c>
      <c r="W474">
        <v>0.90044917173410655</v>
      </c>
      <c r="X474" t="b">
        <f t="shared" ca="1" si="166"/>
        <v>1</v>
      </c>
      <c r="AS474">
        <v>0.50666685934069633</v>
      </c>
      <c r="AT474">
        <v>999</v>
      </c>
      <c r="AU474">
        <v>7.3607985322977987</v>
      </c>
      <c r="AV474">
        <v>4.1277577718209164</v>
      </c>
      <c r="AW474">
        <v>999</v>
      </c>
      <c r="AX474">
        <v>999</v>
      </c>
      <c r="AY474">
        <v>-9.333066392434727</v>
      </c>
      <c r="AZ474">
        <v>-2.2415656126643757</v>
      </c>
      <c r="BJ474" t="b">
        <f t="shared" si="147"/>
        <v>1</v>
      </c>
      <c r="BK474" t="b">
        <f t="shared" ca="1" si="148"/>
        <v>1</v>
      </c>
    </row>
    <row r="475" spans="1:63" x14ac:dyDescent="0.45">
      <c r="A475" s="1">
        <v>44546</v>
      </c>
      <c r="B475">
        <v>308.97300000000001</v>
      </c>
      <c r="C475" s="1">
        <v>44546</v>
      </c>
      <c r="D475">
        <v>466.45</v>
      </c>
      <c r="E475">
        <f t="shared" si="149"/>
        <v>-5.0278179079703597E-2</v>
      </c>
      <c r="F475" s="4">
        <f t="shared" si="150"/>
        <v>-8.8185295367616528E-3</v>
      </c>
      <c r="G475">
        <f t="shared" ca="1" si="151"/>
        <v>2.5341297120940035E-3</v>
      </c>
      <c r="H475">
        <f t="shared" ca="1" si="152"/>
        <v>3.3039686877054192E-2</v>
      </c>
      <c r="I475">
        <f t="shared" ca="1" si="153"/>
        <v>0.94284099033660085</v>
      </c>
      <c r="J475">
        <f t="shared" ca="1" si="154"/>
        <v>6.6762185647446097</v>
      </c>
      <c r="K475">
        <f t="shared" ca="1" si="155"/>
        <v>0.95096493934385173</v>
      </c>
      <c r="L475">
        <f t="shared" ca="1" si="156"/>
        <v>1.6114338170709936</v>
      </c>
      <c r="M475">
        <f t="shared" ca="1" si="157"/>
        <v>1.0982006596378104E-3</v>
      </c>
      <c r="N475">
        <f t="shared" ca="1" si="158"/>
        <v>7.6482229933614813E-3</v>
      </c>
      <c r="O475">
        <f t="shared" ca="1" si="159"/>
        <v>-0.33404785519401881</v>
      </c>
      <c r="P475">
        <f t="shared" ca="1" si="160"/>
        <v>0.54252911905859058</v>
      </c>
      <c r="Q475">
        <f t="shared" ca="1" si="161"/>
        <v>1.1650917101695388</v>
      </c>
      <c r="R475">
        <f t="shared" ca="1" si="162"/>
        <v>1.9944820265358889</v>
      </c>
      <c r="T475">
        <f t="shared" si="163"/>
        <v>0.94972182092029644</v>
      </c>
      <c r="U475" s="6">
        <f t="shared" ca="1" si="164"/>
        <v>0.92341004184100417</v>
      </c>
      <c r="V475">
        <f t="shared" ca="1" si="165"/>
        <v>0.6135637260601875</v>
      </c>
      <c r="W475">
        <v>0.91811609376406467</v>
      </c>
      <c r="X475" t="b">
        <f t="shared" ca="1" si="166"/>
        <v>1</v>
      </c>
      <c r="AS475">
        <v>0.49717697062439764</v>
      </c>
      <c r="AT475">
        <v>999</v>
      </c>
      <c r="AU475">
        <v>7.383402325327757</v>
      </c>
      <c r="AV475">
        <v>4.2846836523540324</v>
      </c>
      <c r="AW475">
        <v>999</v>
      </c>
      <c r="AX475">
        <v>999</v>
      </c>
      <c r="AY475">
        <v>-9.082457758879297</v>
      </c>
      <c r="AZ475">
        <v>-2.3349456890640576</v>
      </c>
      <c r="BJ475" t="b">
        <f t="shared" si="147"/>
        <v>1</v>
      </c>
      <c r="BK475" t="b">
        <f t="shared" ca="1" si="148"/>
        <v>1</v>
      </c>
    </row>
    <row r="476" spans="1:63" x14ac:dyDescent="0.45">
      <c r="A476" s="1">
        <v>44545</v>
      </c>
      <c r="B476">
        <v>325.33</v>
      </c>
      <c r="C476" s="1">
        <v>44545</v>
      </c>
      <c r="D476">
        <v>470.6</v>
      </c>
      <c r="E476">
        <f t="shared" si="149"/>
        <v>1.8237700428477974E-2</v>
      </c>
      <c r="F476" s="4">
        <f t="shared" si="150"/>
        <v>1.5625000000000021E-2</v>
      </c>
      <c r="G476">
        <f t="shared" ca="1" si="151"/>
        <v>2.5424247056310694E-3</v>
      </c>
      <c r="H476">
        <f t="shared" ca="1" si="152"/>
        <v>3.3026566760799909E-2</v>
      </c>
      <c r="I476">
        <f t="shared" ca="1" si="153"/>
        <v>0.94509915619463591</v>
      </c>
      <c r="J476">
        <f t="shared" ca="1" si="154"/>
        <v>6.6866485406192444</v>
      </c>
      <c r="K476">
        <f t="shared" ca="1" si="155"/>
        <v>0.95096493934385173</v>
      </c>
      <c r="L476">
        <f t="shared" ca="1" si="156"/>
        <v>1.6114338170709936</v>
      </c>
      <c r="M476">
        <f t="shared" ca="1" si="157"/>
        <v>1.0804192577175073E-3</v>
      </c>
      <c r="N476">
        <f t="shared" ca="1" si="158"/>
        <v>7.6754797591013823E-3</v>
      </c>
      <c r="O476">
        <f t="shared" ca="1" si="159"/>
        <v>-0.3399873683397257</v>
      </c>
      <c r="P476">
        <f t="shared" ca="1" si="160"/>
        <v>0.52331867051806347</v>
      </c>
      <c r="Q476">
        <f t="shared" ca="1" si="161"/>
        <v>1.151483944281974</v>
      </c>
      <c r="R476">
        <f t="shared" ca="1" si="162"/>
        <v>1.9944820265358889</v>
      </c>
      <c r="T476">
        <f t="shared" si="163"/>
        <v>1.0182377004284779</v>
      </c>
      <c r="U476" s="6">
        <f t="shared" ca="1" si="164"/>
        <v>0.91302761562640322</v>
      </c>
      <c r="V476">
        <f t="shared" ca="1" si="165"/>
        <v>0.63110576908593574</v>
      </c>
      <c r="W476">
        <v>0.92782008555821793</v>
      </c>
      <c r="X476" t="b">
        <f t="shared" ca="1" si="166"/>
        <v>1</v>
      </c>
      <c r="AS476">
        <v>0.49045299245976448</v>
      </c>
      <c r="AT476">
        <v>999</v>
      </c>
      <c r="AU476">
        <v>7.2995055835854563</v>
      </c>
      <c r="AV476">
        <v>4.2779147479318667</v>
      </c>
      <c r="AW476">
        <v>999</v>
      </c>
      <c r="AX476">
        <v>999</v>
      </c>
      <c r="AY476">
        <v>-8.8752789463177866</v>
      </c>
      <c r="AZ476">
        <v>-2.2605238696216716</v>
      </c>
      <c r="BJ476" t="b">
        <f t="shared" si="147"/>
        <v>1</v>
      </c>
      <c r="BK476" t="b">
        <f t="shared" ca="1" si="148"/>
        <v>1</v>
      </c>
    </row>
    <row r="477" spans="1:63" x14ac:dyDescent="0.45">
      <c r="A477" s="1">
        <v>44544</v>
      </c>
      <c r="B477">
        <v>319.50299999999999</v>
      </c>
      <c r="C477" s="1">
        <v>44544</v>
      </c>
      <c r="D477">
        <v>463.36</v>
      </c>
      <c r="E477">
        <f t="shared" si="149"/>
        <v>-8.1766453403366093E-3</v>
      </c>
      <c r="F477" s="4">
        <f t="shared" si="150"/>
        <v>-6.879996570718176E-3</v>
      </c>
      <c r="G477">
        <f t="shared" ca="1" si="151"/>
        <v>2.2091170931234465E-3</v>
      </c>
      <c r="H477">
        <f t="shared" ca="1" si="152"/>
        <v>3.3203277228732626E-2</v>
      </c>
      <c r="I477">
        <f t="shared" ca="1" si="153"/>
        <v>0.94161627426860728</v>
      </c>
      <c r="J477">
        <f t="shared" ca="1" si="154"/>
        <v>6.5475559840981452</v>
      </c>
      <c r="K477">
        <f t="shared" ca="1" si="155"/>
        <v>0.94648839541275553</v>
      </c>
      <c r="L477">
        <f t="shared" ca="1" si="156"/>
        <v>1.5146265822667089</v>
      </c>
      <c r="M477">
        <f t="shared" ca="1" si="157"/>
        <v>9.3606566559250107E-4</v>
      </c>
      <c r="N477">
        <f t="shared" ca="1" si="158"/>
        <v>7.6720502710578712E-3</v>
      </c>
      <c r="O477">
        <f t="shared" ca="1" si="159"/>
        <v>-0.3510539789164856</v>
      </c>
      <c r="P477">
        <f t="shared" ca="1" si="160"/>
        <v>0.49662863158567827</v>
      </c>
      <c r="Q477">
        <f t="shared" ca="1" si="161"/>
        <v>0.95895640748412769</v>
      </c>
      <c r="R477">
        <f t="shared" ca="1" si="162"/>
        <v>1.7104691597475945</v>
      </c>
      <c r="T477">
        <f t="shared" si="163"/>
        <v>0.99182335465966343</v>
      </c>
      <c r="U477" s="6">
        <f t="shared" ca="1" si="164"/>
        <v>0.91134766945345336</v>
      </c>
      <c r="V477">
        <f t="shared" ca="1" si="165"/>
        <v>0.62757416669919353</v>
      </c>
      <c r="W477">
        <v>0.88853131877247882</v>
      </c>
      <c r="X477" t="b">
        <f t="shared" ca="1" si="166"/>
        <v>1</v>
      </c>
      <c r="AS477">
        <v>0.48437447768754993</v>
      </c>
      <c r="AT477">
        <v>999</v>
      </c>
      <c r="AU477">
        <v>7.2600632149627859</v>
      </c>
      <c r="AV477">
        <v>4.3147560856949871</v>
      </c>
      <c r="AW477">
        <v>999</v>
      </c>
      <c r="AX477">
        <v>999</v>
      </c>
      <c r="AY477">
        <v>-8.6741823298123926</v>
      </c>
      <c r="AZ477">
        <v>-2.2687515125311037</v>
      </c>
      <c r="BJ477" t="b">
        <f t="shared" si="147"/>
        <v>1</v>
      </c>
      <c r="BK477" t="b">
        <f t="shared" ca="1" si="148"/>
        <v>1</v>
      </c>
    </row>
    <row r="478" spans="1:63" x14ac:dyDescent="0.45">
      <c r="A478" s="1">
        <v>44543</v>
      </c>
      <c r="B478">
        <v>322.137</v>
      </c>
      <c r="C478" s="1">
        <v>44543</v>
      </c>
      <c r="D478">
        <v>466.57</v>
      </c>
      <c r="E478">
        <f t="shared" si="149"/>
        <v>-4.9771393174242617E-2</v>
      </c>
      <c r="F478" s="4">
        <f t="shared" si="150"/>
        <v>-8.8583931682032872E-3</v>
      </c>
      <c r="G478">
        <f t="shared" ca="1" si="151"/>
        <v>2.0273484576421225E-3</v>
      </c>
      <c r="H478">
        <f t="shared" ca="1" si="152"/>
        <v>3.3359558911236001E-2</v>
      </c>
      <c r="I478">
        <f t="shared" ca="1" si="153"/>
        <v>0.93114862848735003</v>
      </c>
      <c r="J478">
        <f t="shared" ca="1" si="154"/>
        <v>6.4094768997478111</v>
      </c>
      <c r="K478">
        <f t="shared" ca="1" si="155"/>
        <v>0.94648839541275553</v>
      </c>
      <c r="L478">
        <f t="shared" ca="1" si="156"/>
        <v>1.3308698633176266</v>
      </c>
      <c r="M478">
        <f t="shared" ca="1" si="157"/>
        <v>9.3144927183538297E-4</v>
      </c>
      <c r="N478">
        <f t="shared" ca="1" si="158"/>
        <v>7.6770530970617376E-3</v>
      </c>
      <c r="O478">
        <f t="shared" ca="1" si="159"/>
        <v>-0.35067726481752981</v>
      </c>
      <c r="P478">
        <f t="shared" ca="1" si="160"/>
        <v>0.48967388645817822</v>
      </c>
      <c r="Q478">
        <f t="shared" ca="1" si="161"/>
        <v>0.95895640748412769</v>
      </c>
      <c r="R478">
        <f t="shared" ca="1" si="162"/>
        <v>1.7104691597475945</v>
      </c>
      <c r="T478">
        <f t="shared" si="163"/>
        <v>0.95022860682575738</v>
      </c>
      <c r="U478" s="6">
        <f t="shared" ca="1" si="164"/>
        <v>0.95778044045109523</v>
      </c>
      <c r="V478">
        <f t="shared" ca="1" si="165"/>
        <v>0.66666630794157566</v>
      </c>
      <c r="W478">
        <v>0.941683139104871</v>
      </c>
      <c r="X478" t="b">
        <f t="shared" ca="1" si="166"/>
        <v>1</v>
      </c>
      <c r="AS478">
        <v>0.47718184979119826</v>
      </c>
      <c r="AT478">
        <v>999</v>
      </c>
      <c r="AU478">
        <v>7.204458226741985</v>
      </c>
      <c r="AV478">
        <v>4.2963228532273625</v>
      </c>
      <c r="AW478">
        <v>999</v>
      </c>
      <c r="AX478">
        <v>999</v>
      </c>
      <c r="AY478">
        <v>-8.5346168754626817</v>
      </c>
      <c r="AZ478">
        <v>-2.2350958154902805</v>
      </c>
      <c r="BJ478" t="b">
        <f t="shared" si="147"/>
        <v>1</v>
      </c>
      <c r="BK478" t="b">
        <f t="shared" ca="1" si="148"/>
        <v>1</v>
      </c>
    </row>
    <row r="479" spans="1:63" x14ac:dyDescent="0.45">
      <c r="A479" s="1">
        <v>44540</v>
      </c>
      <c r="B479">
        <v>339.01</v>
      </c>
      <c r="C479" s="1">
        <v>44540</v>
      </c>
      <c r="D479">
        <v>470.74</v>
      </c>
      <c r="E479">
        <f t="shared" si="149"/>
        <v>1.3179916317991536E-2</v>
      </c>
      <c r="F479" s="4">
        <f t="shared" si="150"/>
        <v>9.4135306100567948E-3</v>
      </c>
      <c r="G479">
        <f t="shared" ca="1" si="151"/>
        <v>2.5939695719009778E-3</v>
      </c>
      <c r="H479">
        <f t="shared" ca="1" si="152"/>
        <v>3.3437651970214741E-2</v>
      </c>
      <c r="I479">
        <f t="shared" ca="1" si="153"/>
        <v>0.92377468729640566</v>
      </c>
      <c r="J479">
        <f t="shared" ca="1" si="154"/>
        <v>6.2853315916421701</v>
      </c>
      <c r="K479">
        <f t="shared" ca="1" si="155"/>
        <v>0.9746876709472454</v>
      </c>
      <c r="L479">
        <f t="shared" ca="1" si="156"/>
        <v>1.5237222196083036</v>
      </c>
      <c r="M479">
        <f t="shared" ca="1" si="157"/>
        <v>1.0969422051808687E-3</v>
      </c>
      <c r="N479">
        <f t="shared" ca="1" si="158"/>
        <v>7.8203672583706564E-3</v>
      </c>
      <c r="O479">
        <f t="shared" ca="1" si="159"/>
        <v>-0.25153153820986435</v>
      </c>
      <c r="P479">
        <f t="shared" ca="1" si="160"/>
        <v>0.65249243254836564</v>
      </c>
      <c r="Q479">
        <f t="shared" ca="1" si="161"/>
        <v>1.1072348192611867</v>
      </c>
      <c r="R479">
        <f t="shared" ca="1" si="162"/>
        <v>1.9944820265358889</v>
      </c>
      <c r="T479">
        <f t="shared" si="163"/>
        <v>1.0131799163179915</v>
      </c>
      <c r="U479" s="6">
        <f t="shared" ca="1" si="164"/>
        <v>1.002030603890365</v>
      </c>
      <c r="V479">
        <f t="shared" ca="1" si="165"/>
        <v>0.74194210132772664</v>
      </c>
      <c r="W479">
        <v>0.97703247759495682</v>
      </c>
      <c r="X479" t="b">
        <f t="shared" ca="1" si="166"/>
        <v>0</v>
      </c>
      <c r="AS479">
        <v>0.46411301280989248</v>
      </c>
      <c r="AT479">
        <v>999</v>
      </c>
      <c r="AU479">
        <v>7.0254236736933757</v>
      </c>
      <c r="AV479">
        <v>4.136868586493172</v>
      </c>
      <c r="AW479">
        <v>999</v>
      </c>
      <c r="AX479">
        <v>999</v>
      </c>
      <c r="AY479">
        <v>-8.3711101536587815</v>
      </c>
      <c r="AZ479">
        <v>-2.0853686914796703</v>
      </c>
      <c r="BJ479" t="b">
        <f t="shared" si="147"/>
        <v>1</v>
      </c>
      <c r="BK479" t="b">
        <f t="shared" ca="1" si="148"/>
        <v>0</v>
      </c>
    </row>
    <row r="480" spans="1:63" x14ac:dyDescent="0.45">
      <c r="A480" s="1">
        <v>44539</v>
      </c>
      <c r="B480">
        <v>334.6</v>
      </c>
      <c r="C480" s="1">
        <v>44539</v>
      </c>
      <c r="D480">
        <v>466.35</v>
      </c>
      <c r="E480">
        <f t="shared" si="149"/>
        <v>-6.0956443646160673E-2</v>
      </c>
      <c r="F480" s="4">
        <f t="shared" si="150"/>
        <v>-6.7515760776962839E-3</v>
      </c>
      <c r="G480">
        <f t="shared" ca="1" si="151"/>
        <v>2.478819087744256E-3</v>
      </c>
      <c r="H480">
        <f t="shared" ca="1" si="152"/>
        <v>3.3440668224054983E-2</v>
      </c>
      <c r="I480">
        <f t="shared" ca="1" si="153"/>
        <v>0.93353682615876543</v>
      </c>
      <c r="J480">
        <f t="shared" ca="1" si="154"/>
        <v>6.2950588215891967</v>
      </c>
      <c r="K480">
        <f t="shared" ca="1" si="155"/>
        <v>0.9746876709472454</v>
      </c>
      <c r="L480">
        <f t="shared" ca="1" si="156"/>
        <v>1.5237222196083036</v>
      </c>
      <c r="M480">
        <f t="shared" ca="1" si="157"/>
        <v>1.0241114678839918E-3</v>
      </c>
      <c r="N480">
        <f t="shared" ca="1" si="158"/>
        <v>7.8103465553194477E-3</v>
      </c>
      <c r="O480">
        <f t="shared" ca="1" si="159"/>
        <v>-0.23297152054804265</v>
      </c>
      <c r="P480">
        <f t="shared" ca="1" si="160"/>
        <v>0.65756967325565618</v>
      </c>
      <c r="Q480">
        <f t="shared" ca="1" si="161"/>
        <v>1.1072348192611867</v>
      </c>
      <c r="R480">
        <f t="shared" ca="1" si="162"/>
        <v>1.7104691597475945</v>
      </c>
      <c r="T480">
        <f t="shared" si="163"/>
        <v>0.93904355635383929</v>
      </c>
      <c r="U480" s="6">
        <f t="shared" ca="1" si="164"/>
        <v>0.92550334271007073</v>
      </c>
      <c r="V480">
        <f t="shared" ca="1" si="165"/>
        <v>0.72474540484489192</v>
      </c>
      <c r="W480">
        <v>0.95982916434440879</v>
      </c>
      <c r="X480" t="b">
        <f t="shared" ca="1" si="166"/>
        <v>1</v>
      </c>
      <c r="AS480">
        <v>0.4361679326477268</v>
      </c>
      <c r="AT480">
        <v>999</v>
      </c>
      <c r="AU480">
        <v>6.5327914731470242</v>
      </c>
      <c r="AV480">
        <v>3.742773998703099</v>
      </c>
      <c r="AW480">
        <v>999</v>
      </c>
      <c r="AX480">
        <v>999</v>
      </c>
      <c r="AY480">
        <v>-7.8527256640456837</v>
      </c>
      <c r="AZ480">
        <v>-1.5983349017559716</v>
      </c>
      <c r="BJ480" t="b">
        <f t="shared" si="147"/>
        <v>1</v>
      </c>
      <c r="BK480" t="b">
        <f t="shared" ca="1" si="148"/>
        <v>1</v>
      </c>
    </row>
    <row r="481" spans="1:63" x14ac:dyDescent="0.45">
      <c r="A481" s="1">
        <v>44538</v>
      </c>
      <c r="B481">
        <v>356.32</v>
      </c>
      <c r="C481" s="1">
        <v>44538</v>
      </c>
      <c r="D481">
        <v>469.52</v>
      </c>
      <c r="E481">
        <f t="shared" si="149"/>
        <v>1.636417053878815E-2</v>
      </c>
      <c r="F481" s="4">
        <f t="shared" si="150"/>
        <v>2.6479883830187265E-3</v>
      </c>
      <c r="G481">
        <f t="shared" ca="1" si="151"/>
        <v>2.3806539460656212E-3</v>
      </c>
      <c r="H481">
        <f t="shared" ca="1" si="152"/>
        <v>3.3655941787797128E-2</v>
      </c>
      <c r="I481">
        <f t="shared" ca="1" si="153"/>
        <v>0.88224472265228515</v>
      </c>
      <c r="J481">
        <f t="shared" ca="1" si="154"/>
        <v>6.1956359509978602</v>
      </c>
      <c r="K481">
        <f t="shared" ca="1" si="155"/>
        <v>0.9746876709472454</v>
      </c>
      <c r="L481">
        <f t="shared" ca="1" si="156"/>
        <v>1.5237222196083036</v>
      </c>
      <c r="M481">
        <f t="shared" ca="1" si="157"/>
        <v>9.3739049588459247E-4</v>
      </c>
      <c r="N481">
        <f t="shared" ca="1" si="158"/>
        <v>7.9913094116002888E-3</v>
      </c>
      <c r="O481">
        <f t="shared" ca="1" si="159"/>
        <v>-0.33759451430763571</v>
      </c>
      <c r="P481">
        <f t="shared" ca="1" si="160"/>
        <v>0.81866210398050265</v>
      </c>
      <c r="Q481">
        <f t="shared" ca="1" si="161"/>
        <v>1.1051755956131724</v>
      </c>
      <c r="R481">
        <f t="shared" ca="1" si="162"/>
        <v>1.7104691597475945</v>
      </c>
      <c r="T481">
        <f t="shared" si="163"/>
        <v>1.0163641705387882</v>
      </c>
      <c r="U481" s="6">
        <f t="shared" ca="1" si="164"/>
        <v>0.97621917808219194</v>
      </c>
      <c r="V481">
        <f t="shared" ca="1" si="165"/>
        <v>0.74179681445993928</v>
      </c>
      <c r="W481">
        <v>0.96531128808755629</v>
      </c>
      <c r="X481" t="b">
        <f t="shared" ca="1" si="166"/>
        <v>1</v>
      </c>
      <c r="AS481">
        <v>0.43228059527314716</v>
      </c>
      <c r="AT481">
        <v>999</v>
      </c>
      <c r="AU481">
        <v>6.3483377174251752</v>
      </c>
      <c r="AV481">
        <v>3.5296888883520081</v>
      </c>
      <c r="AW481">
        <v>999</v>
      </c>
      <c r="AX481">
        <v>999</v>
      </c>
      <c r="AY481">
        <v>-7.673787167987463</v>
      </c>
      <c r="AZ481">
        <v>-1.3186497587149129</v>
      </c>
      <c r="BJ481" t="b">
        <f t="shared" si="147"/>
        <v>1</v>
      </c>
      <c r="BK481" t="b">
        <f t="shared" ca="1" si="148"/>
        <v>1</v>
      </c>
    </row>
    <row r="482" spans="1:63" x14ac:dyDescent="0.45">
      <c r="A482" s="1">
        <v>44537</v>
      </c>
      <c r="B482">
        <v>350.58300000000003</v>
      </c>
      <c r="C482" s="1">
        <v>44537</v>
      </c>
      <c r="D482">
        <v>468.28</v>
      </c>
      <c r="E482">
        <f t="shared" si="149"/>
        <v>4.2356327136176035E-2</v>
      </c>
      <c r="F482" s="4">
        <f t="shared" si="150"/>
        <v>2.0684844918154172E-2</v>
      </c>
      <c r="G482">
        <f t="shared" ca="1" si="151"/>
        <v>2.6077660266140066E-3</v>
      </c>
      <c r="H482">
        <f t="shared" ca="1" si="152"/>
        <v>3.3903126197859616E-2</v>
      </c>
      <c r="I482">
        <f t="shared" ca="1" si="153"/>
        <v>0.86973947281471509</v>
      </c>
      <c r="J482">
        <f t="shared" ca="1" si="154"/>
        <v>5.9536714362028826</v>
      </c>
      <c r="K482">
        <f t="shared" ca="1" si="155"/>
        <v>0.98074767690795295</v>
      </c>
      <c r="L482">
        <f t="shared" ca="1" si="156"/>
        <v>1.5317161050671764</v>
      </c>
      <c r="M482">
        <f t="shared" ca="1" si="157"/>
        <v>9.7924732816304701E-4</v>
      </c>
      <c r="N482">
        <f t="shared" ca="1" si="158"/>
        <v>8.0221783208435978E-3</v>
      </c>
      <c r="O482">
        <f t="shared" ca="1" si="159"/>
        <v>-0.33949715476116432</v>
      </c>
      <c r="P482">
        <f t="shared" ca="1" si="160"/>
        <v>0.77949418317743868</v>
      </c>
      <c r="Q482">
        <f t="shared" ca="1" si="161"/>
        <v>1.1051755956131724</v>
      </c>
      <c r="R482">
        <f t="shared" ca="1" si="162"/>
        <v>1.7794010444307424</v>
      </c>
      <c r="T482">
        <f t="shared" si="163"/>
        <v>1.042356327136176</v>
      </c>
      <c r="U482" s="6">
        <f t="shared" ca="1" si="164"/>
        <v>0.91874985258931796</v>
      </c>
      <c r="V482">
        <f t="shared" ca="1" si="165"/>
        <v>0.74532327665877618</v>
      </c>
      <c r="W482">
        <v>0.94388483987845806</v>
      </c>
      <c r="X482" t="b">
        <f t="shared" ca="1" si="166"/>
        <v>1</v>
      </c>
      <c r="AS482">
        <v>0.41480604960409428</v>
      </c>
      <c r="AT482">
        <v>999</v>
      </c>
      <c r="AU482">
        <v>6.0990464273524738</v>
      </c>
      <c r="AV482">
        <v>3.3084655209179807</v>
      </c>
      <c r="AW482">
        <v>999</v>
      </c>
      <c r="AX482">
        <v>999</v>
      </c>
      <c r="AY482">
        <v>-7.2639779995227416</v>
      </c>
      <c r="AZ482">
        <v>-0.94334675754432962</v>
      </c>
      <c r="BJ482" t="b">
        <f t="shared" si="147"/>
        <v>1</v>
      </c>
      <c r="BK482" t="b">
        <f t="shared" ca="1" si="148"/>
        <v>1</v>
      </c>
    </row>
    <row r="483" spans="1:63" x14ac:dyDescent="0.45">
      <c r="A483" s="1">
        <v>44536</v>
      </c>
      <c r="B483">
        <v>336.33699999999999</v>
      </c>
      <c r="C483" s="1">
        <v>44536</v>
      </c>
      <c r="D483">
        <v>458.79</v>
      </c>
      <c r="E483">
        <f t="shared" si="149"/>
        <v>-5.8701300236755705E-3</v>
      </c>
      <c r="F483" s="4">
        <f t="shared" si="150"/>
        <v>1.1843324070398316E-2</v>
      </c>
      <c r="G483">
        <f t="shared" ca="1" si="151"/>
        <v>2.2863974204460325E-3</v>
      </c>
      <c r="H483">
        <f t="shared" ca="1" si="152"/>
        <v>3.3829000303420335E-2</v>
      </c>
      <c r="I483">
        <f t="shared" ca="1" si="153"/>
        <v>0.8940893855859301</v>
      </c>
      <c r="J483">
        <f t="shared" ca="1" si="154"/>
        <v>6.0584749630345653</v>
      </c>
      <c r="K483">
        <f t="shared" ca="1" si="155"/>
        <v>0.98074767690795295</v>
      </c>
      <c r="L483">
        <f t="shared" ca="1" si="156"/>
        <v>1.3388620045934512</v>
      </c>
      <c r="M483">
        <f t="shared" ca="1" si="157"/>
        <v>8.8189498430503639E-4</v>
      </c>
      <c r="N483">
        <f t="shared" ca="1" si="158"/>
        <v>7.8990371751808206E-3</v>
      </c>
      <c r="O483">
        <f t="shared" ca="1" si="159"/>
        <v>-0.39708014639000355</v>
      </c>
      <c r="P483">
        <f t="shared" ca="1" si="160"/>
        <v>0.80216445339249187</v>
      </c>
      <c r="Q483">
        <f t="shared" ca="1" si="161"/>
        <v>0.95717295046367046</v>
      </c>
      <c r="R483">
        <f t="shared" ca="1" si="162"/>
        <v>1.7104691597475945</v>
      </c>
      <c r="T483">
        <f t="shared" si="163"/>
        <v>0.99412986997632447</v>
      </c>
      <c r="U483" s="6">
        <f t="shared" ca="1" si="164"/>
        <v>0.88743974226708922</v>
      </c>
      <c r="V483">
        <f t="shared" ca="1" si="165"/>
        <v>0.78560592713055277</v>
      </c>
      <c r="W483">
        <v>0.96782302483599247</v>
      </c>
      <c r="X483" t="b">
        <f t="shared" ca="1" si="166"/>
        <v>1</v>
      </c>
      <c r="AS483">
        <v>0.39970103423757619</v>
      </c>
      <c r="AT483">
        <v>999</v>
      </c>
      <c r="AU483">
        <v>5.8585647703902186</v>
      </c>
      <c r="AV483">
        <v>3.2048742607341172</v>
      </c>
      <c r="AW483">
        <v>999</v>
      </c>
      <c r="AX483">
        <v>999</v>
      </c>
      <c r="AY483">
        <v>-6.905763397610551</v>
      </c>
      <c r="AZ483">
        <v>-0.5665046126586788</v>
      </c>
      <c r="BJ483" t="b">
        <f t="shared" si="147"/>
        <v>1</v>
      </c>
      <c r="BK483" t="b">
        <f t="shared" ca="1" si="148"/>
        <v>1</v>
      </c>
    </row>
    <row r="484" spans="1:63" x14ac:dyDescent="0.45">
      <c r="A484" s="1">
        <v>44533</v>
      </c>
      <c r="B484">
        <v>338.32299999999998</v>
      </c>
      <c r="C484" s="1">
        <v>44533</v>
      </c>
      <c r="D484">
        <v>453.42</v>
      </c>
      <c r="E484">
        <f t="shared" si="149"/>
        <v>-6.419884215272198E-2</v>
      </c>
      <c r="F484" s="4">
        <f t="shared" si="150"/>
        <v>-8.7013554875381757E-3</v>
      </c>
      <c r="G484">
        <f t="shared" ca="1" si="151"/>
        <v>1.8882676821343719E-3</v>
      </c>
      <c r="H484">
        <f t="shared" ca="1" si="152"/>
        <v>3.4389388890372123E-2</v>
      </c>
      <c r="I484">
        <f t="shared" ca="1" si="153"/>
        <v>0.80181740419442937</v>
      </c>
      <c r="J484">
        <f t="shared" ca="1" si="154"/>
        <v>5.7363089974218093</v>
      </c>
      <c r="K484">
        <f t="shared" ca="1" si="155"/>
        <v>0.9761309346082544</v>
      </c>
      <c r="L484">
        <f t="shared" ca="1" si="156"/>
        <v>1.2617797430848967</v>
      </c>
      <c r="M484">
        <f t="shared" ca="1" si="157"/>
        <v>7.8421978384382205E-4</v>
      </c>
      <c r="N484">
        <f t="shared" ca="1" si="158"/>
        <v>7.8835776957820857E-3</v>
      </c>
      <c r="O484">
        <f t="shared" ca="1" si="159"/>
        <v>-0.38204707076826694</v>
      </c>
      <c r="P484">
        <f t="shared" ca="1" si="160"/>
        <v>0.8000569319134665</v>
      </c>
      <c r="Q484">
        <f t="shared" ca="1" si="161"/>
        <v>0.95717295046367046</v>
      </c>
      <c r="R484">
        <f t="shared" ca="1" si="162"/>
        <v>1.6298983347090545</v>
      </c>
      <c r="T484">
        <f t="shared" si="163"/>
        <v>0.93580115784727802</v>
      </c>
      <c r="U484" s="6">
        <f t="shared" ca="1" si="164"/>
        <v>0.93811834516415271</v>
      </c>
      <c r="V484">
        <f t="shared" ca="1" si="165"/>
        <v>0.80291312936975789</v>
      </c>
      <c r="W484">
        <v>0.99864447660687183</v>
      </c>
      <c r="X484" t="b">
        <f t="shared" ca="1" si="166"/>
        <v>1</v>
      </c>
      <c r="AS484">
        <v>0.3898227278307077</v>
      </c>
      <c r="AT484">
        <v>999</v>
      </c>
      <c r="AU484">
        <v>5.6407114373257574</v>
      </c>
      <c r="AV484">
        <v>3.0372989564942108</v>
      </c>
      <c r="AW484">
        <v>999</v>
      </c>
      <c r="AX484">
        <v>999</v>
      </c>
      <c r="AY484">
        <v>-6.6749286937191661</v>
      </c>
      <c r="AZ484">
        <v>-0.19666365532234428</v>
      </c>
      <c r="BJ484" t="b">
        <f t="shared" si="147"/>
        <v>1</v>
      </c>
      <c r="BK484" t="b">
        <f t="shared" ca="1" si="148"/>
        <v>1</v>
      </c>
    </row>
    <row r="485" spans="1:63" x14ac:dyDescent="0.45">
      <c r="A485" s="1">
        <v>44532</v>
      </c>
      <c r="B485">
        <v>361.53300000000002</v>
      </c>
      <c r="C485" s="1">
        <v>44532</v>
      </c>
      <c r="D485">
        <v>457.4</v>
      </c>
      <c r="E485">
        <f t="shared" si="149"/>
        <v>-9.4986301369862584E-3</v>
      </c>
      <c r="F485" s="4">
        <f t="shared" si="150"/>
        <v>1.5316315205327363E-2</v>
      </c>
      <c r="G485">
        <f t="shared" ca="1" si="151"/>
        <v>2.1706464848358004E-3</v>
      </c>
      <c r="H485">
        <f t="shared" ca="1" si="152"/>
        <v>3.4074431385419414E-2</v>
      </c>
      <c r="I485">
        <f t="shared" ca="1" si="153"/>
        <v>0.8360626245110836</v>
      </c>
      <c r="J485">
        <f t="shared" ca="1" si="154"/>
        <v>5.9635869228778011</v>
      </c>
      <c r="K485">
        <f t="shared" ca="1" si="155"/>
        <v>0.98074767690795295</v>
      </c>
      <c r="L485">
        <f t="shared" ca="1" si="156"/>
        <v>1.3388620045934512</v>
      </c>
      <c r="M485">
        <f t="shared" ca="1" si="157"/>
        <v>8.188967087016598E-4</v>
      </c>
      <c r="N485">
        <f t="shared" ca="1" si="158"/>
        <v>7.8568523030619411E-3</v>
      </c>
      <c r="O485">
        <f t="shared" ca="1" si="159"/>
        <v>-0.390574997679344</v>
      </c>
      <c r="P485">
        <f t="shared" ca="1" si="160"/>
        <v>0.84862096476302984</v>
      </c>
      <c r="Q485">
        <f t="shared" ca="1" si="161"/>
        <v>0.95717295046367046</v>
      </c>
      <c r="R485">
        <f t="shared" ca="1" si="162"/>
        <v>1.6686707920700603</v>
      </c>
      <c r="T485">
        <f t="shared" si="163"/>
        <v>0.99050136986301374</v>
      </c>
      <c r="U485" s="6">
        <f t="shared" ca="1" si="164"/>
        <v>0.97186290322580671</v>
      </c>
      <c r="V485">
        <f t="shared" ca="1" si="165"/>
        <v>0.8191090086048326</v>
      </c>
      <c r="W485">
        <v>0.97396343791200191</v>
      </c>
      <c r="X485" t="b">
        <f t="shared" ca="1" si="166"/>
        <v>1</v>
      </c>
      <c r="AS485">
        <v>0.33760998482086707</v>
      </c>
      <c r="AT485">
        <v>999</v>
      </c>
      <c r="AU485">
        <v>4.6138562035371207</v>
      </c>
      <c r="AV485">
        <v>999</v>
      </c>
      <c r="AW485">
        <v>999</v>
      </c>
      <c r="AX485">
        <v>999</v>
      </c>
      <c r="AY485">
        <v>-6.2123307038430626</v>
      </c>
      <c r="AZ485">
        <v>4.9366953619333787</v>
      </c>
      <c r="BJ485" t="b">
        <f t="shared" si="147"/>
        <v>1</v>
      </c>
      <c r="BK485" t="b">
        <f t="shared" ca="1" si="148"/>
        <v>1</v>
      </c>
    </row>
    <row r="486" spans="1:63" x14ac:dyDescent="0.45">
      <c r="A486" s="1">
        <v>44531</v>
      </c>
      <c r="B486">
        <v>365</v>
      </c>
      <c r="C486" s="1">
        <v>44531</v>
      </c>
      <c r="D486">
        <v>450.5</v>
      </c>
      <c r="E486">
        <f t="shared" si="149"/>
        <v>-4.3468461975905863E-2</v>
      </c>
      <c r="F486" s="4">
        <f t="shared" si="150"/>
        <v>-1.110720871015893E-2</v>
      </c>
      <c r="G486">
        <f t="shared" ca="1" si="151"/>
        <v>2.1506711145660245E-3</v>
      </c>
      <c r="H486">
        <f t="shared" ca="1" si="152"/>
        <v>3.4082476674391307E-2</v>
      </c>
      <c r="I486">
        <f t="shared" ca="1" si="153"/>
        <v>0.83695767060317572</v>
      </c>
      <c r="J486">
        <f t="shared" ca="1" si="154"/>
        <v>5.9572429360658221</v>
      </c>
      <c r="K486">
        <f t="shared" ca="1" si="155"/>
        <v>0.98074767690795295</v>
      </c>
      <c r="L486">
        <f t="shared" ca="1" si="156"/>
        <v>1.3388620045934512</v>
      </c>
      <c r="M486">
        <f t="shared" ca="1" si="157"/>
        <v>7.2103528354533106E-4</v>
      </c>
      <c r="N486">
        <f t="shared" ca="1" si="158"/>
        <v>7.7970356594541735E-3</v>
      </c>
      <c r="O486">
        <f t="shared" ca="1" si="159"/>
        <v>-0.39562554830098967</v>
      </c>
      <c r="P486">
        <f t="shared" ca="1" si="160"/>
        <v>0.88730013964008503</v>
      </c>
      <c r="Q486">
        <f t="shared" ca="1" si="161"/>
        <v>0.94081837212767205</v>
      </c>
      <c r="R486">
        <f t="shared" ca="1" si="162"/>
        <v>1.5851637283351152</v>
      </c>
      <c r="T486">
        <f t="shared" si="163"/>
        <v>0.95653153802409419</v>
      </c>
      <c r="U486" s="6">
        <f t="shared" ca="1" si="164"/>
        <v>0.98734841496766101</v>
      </c>
      <c r="V486">
        <f t="shared" ca="1" si="165"/>
        <v>0.84182229505412043</v>
      </c>
      <c r="W486">
        <v>1.0071551771059326</v>
      </c>
      <c r="X486" t="b">
        <f t="shared" ca="1" si="166"/>
        <v>0</v>
      </c>
      <c r="AS486">
        <v>0.34814225407815413</v>
      </c>
      <c r="AT486">
        <v>999</v>
      </c>
      <c r="AU486">
        <v>4.5272522122440009</v>
      </c>
      <c r="AV486">
        <v>999</v>
      </c>
      <c r="AW486">
        <v>999</v>
      </c>
      <c r="AX486">
        <v>999</v>
      </c>
      <c r="AY486">
        <v>-6.1806840714524913</v>
      </c>
      <c r="AZ486">
        <v>5.0501037258413959</v>
      </c>
      <c r="BJ486" t="b">
        <f t="shared" si="147"/>
        <v>1</v>
      </c>
      <c r="BK486" t="b">
        <f t="shared" ca="1" si="148"/>
        <v>0</v>
      </c>
    </row>
    <row r="487" spans="1:63" x14ac:dyDescent="0.45">
      <c r="A487" s="1">
        <v>44530</v>
      </c>
      <c r="B487">
        <v>381.58699999999999</v>
      </c>
      <c r="C487" s="1">
        <v>44530</v>
      </c>
      <c r="D487">
        <v>455.56</v>
      </c>
      <c r="E487">
        <f t="shared" si="149"/>
        <v>6.8338271806900183E-3</v>
      </c>
      <c r="F487" s="4">
        <f t="shared" si="150"/>
        <v>-1.9457597933706456E-2</v>
      </c>
      <c r="G487">
        <f t="shared" ca="1" si="151"/>
        <v>2.3801268954542314E-3</v>
      </c>
      <c r="H487">
        <f t="shared" ca="1" si="152"/>
        <v>3.3927936246945456E-2</v>
      </c>
      <c r="I487">
        <f t="shared" ca="1" si="153"/>
        <v>0.84029143457956901</v>
      </c>
      <c r="J487">
        <f t="shared" ca="1" si="154"/>
        <v>6.0819965967614875</v>
      </c>
      <c r="K487">
        <f t="shared" ca="1" si="155"/>
        <v>0.98074767690795295</v>
      </c>
      <c r="L487">
        <f t="shared" ca="1" si="156"/>
        <v>1.3983240066634237</v>
      </c>
      <c r="M487">
        <f t="shared" ca="1" si="157"/>
        <v>7.7771840841144534E-4</v>
      </c>
      <c r="N487">
        <f t="shared" ca="1" si="158"/>
        <v>7.7516900371062151E-3</v>
      </c>
      <c r="O487">
        <f t="shared" ca="1" si="159"/>
        <v>-0.40673591135051229</v>
      </c>
      <c r="P487">
        <f t="shared" ca="1" si="160"/>
        <v>0.96387257413851568</v>
      </c>
      <c r="Q487">
        <f t="shared" ca="1" si="161"/>
        <v>0.94081837212767205</v>
      </c>
      <c r="R487">
        <f t="shared" ca="1" si="162"/>
        <v>1.6228720269193071</v>
      </c>
      <c r="T487">
        <f t="shared" si="163"/>
        <v>1.00683382718069</v>
      </c>
      <c r="U487" s="6">
        <f t="shared" ca="1" si="164"/>
        <v>0.98953381930019724</v>
      </c>
      <c r="V487">
        <f t="shared" ca="1" si="165"/>
        <v>0.82309829211758612</v>
      </c>
      <c r="W487">
        <v>1.0256311141565204</v>
      </c>
      <c r="X487" t="b">
        <f t="shared" ca="1" si="166"/>
        <v>0</v>
      </c>
      <c r="AS487">
        <v>0.40535433967640161</v>
      </c>
      <c r="AT487">
        <v>-5.870488450752644</v>
      </c>
      <c r="AU487">
        <v>3.2426218431746228</v>
      </c>
      <c r="AV487">
        <v>5.0671045461473492</v>
      </c>
      <c r="AW487">
        <v>-3.6656805990854617</v>
      </c>
      <c r="AX487">
        <v>999</v>
      </c>
      <c r="AY487">
        <v>999</v>
      </c>
      <c r="AZ487">
        <v>4.1142082527060113</v>
      </c>
      <c r="BJ487" t="b">
        <f t="shared" si="147"/>
        <v>1</v>
      </c>
      <c r="BK487" t="b">
        <f t="shared" ca="1" si="148"/>
        <v>0</v>
      </c>
    </row>
    <row r="488" spans="1:63" x14ac:dyDescent="0.45">
      <c r="A488" s="1">
        <v>44529</v>
      </c>
      <c r="B488">
        <v>378.99700000000001</v>
      </c>
      <c r="C488" s="1">
        <v>44529</v>
      </c>
      <c r="D488">
        <v>464.6</v>
      </c>
      <c r="E488">
        <f t="shared" si="149"/>
        <v>5.0901175687666451E-2</v>
      </c>
      <c r="F488" s="4">
        <f t="shared" si="150"/>
        <v>1.2266596945334107E-2</v>
      </c>
      <c r="G488">
        <f t="shared" ca="1" si="151"/>
        <v>2.224045540759426E-3</v>
      </c>
      <c r="H488">
        <f t="shared" ca="1" si="152"/>
        <v>3.3979109322615331E-2</v>
      </c>
      <c r="I488">
        <f t="shared" ca="1" si="153"/>
        <v>0.84792884494843446</v>
      </c>
      <c r="J488">
        <f t="shared" ca="1" si="154"/>
        <v>6.0448914923665678</v>
      </c>
      <c r="K488">
        <f t="shared" ca="1" si="155"/>
        <v>0.98074767690795295</v>
      </c>
      <c r="L488">
        <f t="shared" ca="1" si="156"/>
        <v>1.3388620045934512</v>
      </c>
      <c r="M488">
        <f t="shared" ca="1" si="157"/>
        <v>8.7067673222830752E-4</v>
      </c>
      <c r="N488">
        <f t="shared" ca="1" si="158"/>
        <v>7.6181337157493426E-3</v>
      </c>
      <c r="O488">
        <f t="shared" ca="1" si="159"/>
        <v>-0.3704090852913296</v>
      </c>
      <c r="P488">
        <f t="shared" ca="1" si="160"/>
        <v>1.0122654043825241</v>
      </c>
      <c r="Q488">
        <f t="shared" ca="1" si="161"/>
        <v>0.94257135640280587</v>
      </c>
      <c r="R488">
        <f t="shared" ca="1" si="162"/>
        <v>1.819032926382216</v>
      </c>
      <c r="T488">
        <f t="shared" si="163"/>
        <v>1.0509011756876665</v>
      </c>
      <c r="U488" s="6">
        <f t="shared" ca="1" si="164"/>
        <v>0.99993931718642826</v>
      </c>
      <c r="V488">
        <f t="shared" ca="1" si="165"/>
        <v>0.82800905712253525</v>
      </c>
      <c r="W488">
        <v>1.0298905251088319</v>
      </c>
      <c r="X488" t="b">
        <f t="shared" ca="1" si="166"/>
        <v>0</v>
      </c>
      <c r="AS488">
        <v>0.40073056866385814</v>
      </c>
      <c r="AT488">
        <v>-5.6366416308372864</v>
      </c>
      <c r="AU488">
        <v>3.2368609305627962</v>
      </c>
      <c r="AV488">
        <v>5.0300543011619334</v>
      </c>
      <c r="AW488">
        <v>-3.6843806695755639</v>
      </c>
      <c r="AX488">
        <v>999</v>
      </c>
      <c r="AY488">
        <v>999</v>
      </c>
      <c r="AZ488">
        <v>3.9845448609755061</v>
      </c>
      <c r="BJ488" t="b">
        <f t="shared" si="147"/>
        <v>1</v>
      </c>
      <c r="BK488" t="b">
        <f t="shared" ca="1" si="148"/>
        <v>0</v>
      </c>
    </row>
    <row r="489" spans="1:63" x14ac:dyDescent="0.45">
      <c r="A489" s="1">
        <v>44526</v>
      </c>
      <c r="B489">
        <v>360.64</v>
      </c>
      <c r="C489" s="1">
        <v>44526</v>
      </c>
      <c r="D489">
        <v>458.97</v>
      </c>
      <c r="E489">
        <f t="shared" si="149"/>
        <v>-3.0537634408602188E-2</v>
      </c>
      <c r="F489" s="4">
        <f t="shared" si="150"/>
        <v>-2.2303169734151265E-2</v>
      </c>
      <c r="G489">
        <f t="shared" ca="1" si="151"/>
        <v>1.9970204147060243E-3</v>
      </c>
      <c r="H489">
        <f t="shared" ca="1" si="152"/>
        <v>3.3803476508723868E-2</v>
      </c>
      <c r="I489">
        <f t="shared" ca="1" si="153"/>
        <v>0.86641428120231112</v>
      </c>
      <c r="J489">
        <f t="shared" ca="1" si="154"/>
        <v>6.2364991992867322</v>
      </c>
      <c r="K489">
        <f t="shared" ca="1" si="155"/>
        <v>0.9746876709472454</v>
      </c>
      <c r="L489">
        <f t="shared" ca="1" si="156"/>
        <v>1.3308698633176266</v>
      </c>
      <c r="M489">
        <f t="shared" ca="1" si="157"/>
        <v>8.3404237308071076E-4</v>
      </c>
      <c r="N489">
        <f t="shared" ca="1" si="158"/>
        <v>7.5805815275553617E-3</v>
      </c>
      <c r="O489">
        <f t="shared" ca="1" si="159"/>
        <v>-0.37775613683249865</v>
      </c>
      <c r="P489">
        <f t="shared" ca="1" si="160"/>
        <v>1.0596592131472145</v>
      </c>
      <c r="Q489">
        <f t="shared" ca="1" si="161"/>
        <v>0.93199264532605619</v>
      </c>
      <c r="R489">
        <f t="shared" ca="1" si="162"/>
        <v>1.8002197659376327</v>
      </c>
      <c r="T489">
        <f t="shared" si="163"/>
        <v>0.96946236559139787</v>
      </c>
      <c r="U489" s="6">
        <f t="shared" ca="1" si="164"/>
        <v>0.98681114212225696</v>
      </c>
      <c r="V489">
        <f t="shared" ca="1" si="165"/>
        <v>0.82785183439755439</v>
      </c>
      <c r="W489">
        <v>1.0436830388582674</v>
      </c>
      <c r="X489" t="b">
        <f t="shared" ca="1" si="166"/>
        <v>0</v>
      </c>
      <c r="AS489">
        <v>0.42741941446160825</v>
      </c>
      <c r="AT489">
        <v>-5.3922001314377974</v>
      </c>
      <c r="AU489">
        <v>3.3253906376044648</v>
      </c>
      <c r="AV489">
        <v>5.1591902245362729</v>
      </c>
      <c r="AW489">
        <v>-3.8419018852247708</v>
      </c>
      <c r="AX489">
        <v>999</v>
      </c>
      <c r="AY489">
        <v>999</v>
      </c>
      <c r="AZ489">
        <v>3.8511092270293656</v>
      </c>
      <c r="BJ489" t="b">
        <f t="shared" si="147"/>
        <v>1</v>
      </c>
      <c r="BK489" t="b">
        <f t="shared" ca="1" si="148"/>
        <v>0</v>
      </c>
    </row>
    <row r="490" spans="1:63" x14ac:dyDescent="0.45">
      <c r="A490" s="1">
        <v>44524</v>
      </c>
      <c r="B490">
        <v>372</v>
      </c>
      <c r="C490" s="1">
        <v>44524</v>
      </c>
      <c r="D490">
        <v>469.44</v>
      </c>
      <c r="E490">
        <f t="shared" si="149"/>
        <v>6.2838640218352212E-3</v>
      </c>
      <c r="F490" s="4">
        <f t="shared" si="150"/>
        <v>2.6698562549392342E-3</v>
      </c>
      <c r="G490">
        <f t="shared" ca="1" si="151"/>
        <v>2.1922026133562593E-3</v>
      </c>
      <c r="H490">
        <f t="shared" ca="1" si="152"/>
        <v>3.3727289400853872E-2</v>
      </c>
      <c r="I490">
        <f t="shared" ca="1" si="153"/>
        <v>0.85935484885729652</v>
      </c>
      <c r="J490">
        <f t="shared" ca="1" si="154"/>
        <v>6.295674402883912</v>
      </c>
      <c r="K490">
        <f t="shared" ca="1" si="155"/>
        <v>0.9746876709472454</v>
      </c>
      <c r="L490">
        <f t="shared" ca="1" si="156"/>
        <v>1.389976915647106</v>
      </c>
      <c r="M490">
        <f t="shared" ca="1" si="157"/>
        <v>9.5363348836344393E-4</v>
      </c>
      <c r="N490">
        <f t="shared" ca="1" si="158"/>
        <v>7.4002570340814082E-3</v>
      </c>
      <c r="O490">
        <f t="shared" ca="1" si="159"/>
        <v>-0.29988537585549135</v>
      </c>
      <c r="P490">
        <f t="shared" ca="1" si="160"/>
        <v>0.9979628210049194</v>
      </c>
      <c r="Q490">
        <f t="shared" ca="1" si="161"/>
        <v>0.96923845657050822</v>
      </c>
      <c r="R490">
        <f t="shared" ca="1" si="162"/>
        <v>1.8928546285356529</v>
      </c>
      <c r="T490">
        <f t="shared" si="163"/>
        <v>1.0062838640218352</v>
      </c>
      <c r="U490" s="6">
        <f t="shared" ca="1" si="164"/>
        <v>1.0247849191328997</v>
      </c>
      <c r="V490">
        <f t="shared" ca="1" si="165"/>
        <v>0.82861609240693535</v>
      </c>
      <c r="W490">
        <v>1.0462895989735073</v>
      </c>
      <c r="X490" t="b">
        <f t="shared" ca="1" si="166"/>
        <v>1</v>
      </c>
      <c r="AS490">
        <v>0.46736393304921797</v>
      </c>
      <c r="AT490">
        <v>-5.2842405815863618</v>
      </c>
      <c r="AU490">
        <v>3.3752674259410202</v>
      </c>
      <c r="AV490">
        <v>5.205078447543328</v>
      </c>
      <c r="AW490">
        <v>-3.9123367432734146</v>
      </c>
      <c r="AX490">
        <v>999</v>
      </c>
      <c r="AY490">
        <v>999</v>
      </c>
      <c r="AZ490">
        <v>3.8455429193338704</v>
      </c>
      <c r="BJ490" t="b">
        <f t="shared" si="147"/>
        <v>1</v>
      </c>
      <c r="BK490" t="b">
        <f t="shared" ca="1" si="148"/>
        <v>1</v>
      </c>
    </row>
    <row r="491" spans="1:63" x14ac:dyDescent="0.45">
      <c r="A491" s="1">
        <v>44523</v>
      </c>
      <c r="B491">
        <v>369.67700000000002</v>
      </c>
      <c r="C491" s="1">
        <v>44523</v>
      </c>
      <c r="D491">
        <v>468.19</v>
      </c>
      <c r="E491">
        <f t="shared" si="149"/>
        <v>-4.1351267948229152E-2</v>
      </c>
      <c r="F491" s="4">
        <f t="shared" si="150"/>
        <v>1.3260046624035001E-3</v>
      </c>
      <c r="G491">
        <f t="shared" ca="1" si="151"/>
        <v>1.8980278218235064E-3</v>
      </c>
      <c r="H491">
        <f t="shared" ca="1" si="152"/>
        <v>3.3947288367671802E-2</v>
      </c>
      <c r="I491">
        <f t="shared" ca="1" si="153"/>
        <v>0.84772097506954813</v>
      </c>
      <c r="J491">
        <f t="shared" ca="1" si="154"/>
        <v>6.1204032198849978</v>
      </c>
      <c r="K491">
        <f t="shared" ca="1" si="155"/>
        <v>0.97009945533847253</v>
      </c>
      <c r="L491">
        <f t="shared" ca="1" si="156"/>
        <v>1.3308698633176266</v>
      </c>
      <c r="M491">
        <f t="shared" ca="1" si="157"/>
        <v>9.3810611612141876E-4</v>
      </c>
      <c r="N491">
        <f t="shared" ca="1" si="158"/>
        <v>7.3998959009780379E-3</v>
      </c>
      <c r="O491">
        <f t="shared" ca="1" si="159"/>
        <v>-0.29366762899212623</v>
      </c>
      <c r="P491">
        <f t="shared" ca="1" si="160"/>
        <v>0.9962015910264661</v>
      </c>
      <c r="Q491">
        <f t="shared" ca="1" si="161"/>
        <v>0.96923845657050822</v>
      </c>
      <c r="R491">
        <f t="shared" ca="1" si="162"/>
        <v>1.8928546285356529</v>
      </c>
      <c r="T491">
        <f t="shared" si="163"/>
        <v>0.95864873205177081</v>
      </c>
      <c r="U491" s="6">
        <f t="shared" ca="1" si="164"/>
        <v>1.0514823210847126</v>
      </c>
      <c r="V491">
        <f t="shared" ca="1" si="165"/>
        <v>0.78865784616409951</v>
      </c>
      <c r="W491">
        <v>1.1649063677080032</v>
      </c>
      <c r="X491" t="b">
        <f t="shared" ca="1" si="166"/>
        <v>1</v>
      </c>
      <c r="AS491">
        <v>0.49524730358672481</v>
      </c>
      <c r="AT491">
        <v>-6.244632620012772</v>
      </c>
      <c r="AU491">
        <v>4.1786430609008178</v>
      </c>
      <c r="AV491">
        <v>6.1295376031281084</v>
      </c>
      <c r="AW491">
        <v>-4.2371719024954579</v>
      </c>
      <c r="AX491">
        <v>3.4870794893753367</v>
      </c>
      <c r="AY491">
        <v>999</v>
      </c>
      <c r="AZ491">
        <v>-1.48644303586917</v>
      </c>
      <c r="BJ491" t="b">
        <f t="shared" si="147"/>
        <v>1</v>
      </c>
      <c r="BK491" t="b">
        <f t="shared" ca="1" si="148"/>
        <v>1</v>
      </c>
    </row>
    <row r="492" spans="1:63" x14ac:dyDescent="0.45">
      <c r="A492" s="1">
        <v>44522</v>
      </c>
      <c r="B492">
        <v>385.62299999999999</v>
      </c>
      <c r="C492" s="1">
        <v>44522</v>
      </c>
      <c r="D492">
        <v>467.57</v>
      </c>
      <c r="E492">
        <f t="shared" si="149"/>
        <v>1.7421244261516568E-2</v>
      </c>
      <c r="F492" s="4">
        <f t="shared" si="150"/>
        <v>-2.8151592057838581E-3</v>
      </c>
      <c r="G492">
        <f t="shared" ca="1" si="151"/>
        <v>2.0239313678521997E-3</v>
      </c>
      <c r="H492">
        <f t="shared" ca="1" si="152"/>
        <v>3.3832580786423254E-2</v>
      </c>
      <c r="I492">
        <f t="shared" ca="1" si="153"/>
        <v>0.85492595336438038</v>
      </c>
      <c r="J492">
        <f t="shared" ca="1" si="154"/>
        <v>6.2188679007003893</v>
      </c>
      <c r="K492">
        <f t="shared" ca="1" si="155"/>
        <v>0.97009945533847253</v>
      </c>
      <c r="L492">
        <f t="shared" ca="1" si="156"/>
        <v>1.3308698633176266</v>
      </c>
      <c r="M492">
        <f t="shared" ca="1" si="157"/>
        <v>9.2814711275767444E-4</v>
      </c>
      <c r="N492">
        <f t="shared" ca="1" si="158"/>
        <v>7.400711499856139E-3</v>
      </c>
      <c r="O492">
        <f t="shared" ca="1" si="159"/>
        <v>-0.28954512126890658</v>
      </c>
      <c r="P492">
        <f t="shared" ca="1" si="160"/>
        <v>0.99283009971355529</v>
      </c>
      <c r="Q492">
        <f t="shared" ca="1" si="161"/>
        <v>0.96923845657050822</v>
      </c>
      <c r="R492">
        <f t="shared" ca="1" si="162"/>
        <v>1.8928546285356529</v>
      </c>
      <c r="T492">
        <f t="shared" si="163"/>
        <v>1.0174212442615165</v>
      </c>
      <c r="U492" s="6">
        <f t="shared" ca="1" si="164"/>
        <v>1.1415820744411582</v>
      </c>
      <c r="V492">
        <f t="shared" ca="1" si="165"/>
        <v>0.7716441919328455</v>
      </c>
      <c r="W492">
        <v>1.1741993170583962</v>
      </c>
      <c r="X492" t="b">
        <f t="shared" ca="1" si="166"/>
        <v>1</v>
      </c>
      <c r="AS492">
        <v>0.46564623233990371</v>
      </c>
      <c r="AT492">
        <v>-6.079928034173542</v>
      </c>
      <c r="AU492">
        <v>4.1341018006289802</v>
      </c>
      <c r="AV492">
        <v>5.9338843836464745</v>
      </c>
      <c r="AW492">
        <v>-4.1414040164407764</v>
      </c>
      <c r="AX492">
        <v>3.7524941051541649</v>
      </c>
      <c r="AY492">
        <v>999</v>
      </c>
      <c r="AZ492">
        <v>-1.8311779724989143</v>
      </c>
      <c r="BJ492" t="b">
        <f t="shared" si="147"/>
        <v>1</v>
      </c>
      <c r="BK492" t="b">
        <f t="shared" ca="1" si="148"/>
        <v>1</v>
      </c>
    </row>
    <row r="493" spans="1:63" x14ac:dyDescent="0.45">
      <c r="A493" s="1">
        <v>44519</v>
      </c>
      <c r="B493">
        <v>379.02</v>
      </c>
      <c r="C493" s="1">
        <v>44519</v>
      </c>
      <c r="D493">
        <v>468.89</v>
      </c>
      <c r="E493">
        <f t="shared" si="149"/>
        <v>3.7103923822032515E-2</v>
      </c>
      <c r="F493" s="4">
        <f t="shared" si="150"/>
        <v>-1.7882613416218504E-3</v>
      </c>
      <c r="G493">
        <f t="shared" ca="1" si="151"/>
        <v>2.0024763608280692E-3</v>
      </c>
      <c r="H493">
        <f t="shared" ca="1" si="152"/>
        <v>3.3824126997271137E-2</v>
      </c>
      <c r="I493">
        <f t="shared" ca="1" si="153"/>
        <v>0.85719017540149445</v>
      </c>
      <c r="J493">
        <f t="shared" ca="1" si="154"/>
        <v>6.2301879315411339</v>
      </c>
      <c r="K493">
        <f t="shared" ca="1" si="155"/>
        <v>0.97009945533847253</v>
      </c>
      <c r="L493">
        <f t="shared" ca="1" si="156"/>
        <v>1.3308698633176266</v>
      </c>
      <c r="M493">
        <f t="shared" ca="1" si="157"/>
        <v>9.7833237204521511E-4</v>
      </c>
      <c r="N493">
        <f t="shared" ca="1" si="158"/>
        <v>7.4092264865878244E-3</v>
      </c>
      <c r="O493">
        <f t="shared" ca="1" si="159"/>
        <v>-0.30530788241533297</v>
      </c>
      <c r="P493">
        <f t="shared" ca="1" si="160"/>
        <v>0.98481189346783626</v>
      </c>
      <c r="Q493">
        <f t="shared" ca="1" si="161"/>
        <v>0.96923845657050822</v>
      </c>
      <c r="R493">
        <f t="shared" ca="1" si="162"/>
        <v>1.998636369130991</v>
      </c>
      <c r="T493">
        <f t="shared" si="163"/>
        <v>1.0371039238220325</v>
      </c>
      <c r="U493" s="6">
        <f t="shared" ca="1" si="164"/>
        <v>1.1002894276184196</v>
      </c>
      <c r="V493">
        <f t="shared" ca="1" si="165"/>
        <v>0.69863371287678777</v>
      </c>
      <c r="W493">
        <v>1.0186176527591351</v>
      </c>
      <c r="X493" t="b">
        <f t="shared" ca="1" si="166"/>
        <v>1</v>
      </c>
      <c r="AS493">
        <v>0.41741387014186854</v>
      </c>
      <c r="AT493">
        <v>999</v>
      </c>
      <c r="AU493">
        <v>3.8719793770171624</v>
      </c>
      <c r="AV493">
        <v>999</v>
      </c>
      <c r="AW493">
        <v>999</v>
      </c>
      <c r="AX493">
        <v>999</v>
      </c>
      <c r="AY493">
        <v>-6.0019856449629234</v>
      </c>
      <c r="AZ493">
        <v>6.6856291877720242</v>
      </c>
      <c r="BJ493" t="b">
        <f t="shared" si="147"/>
        <v>1</v>
      </c>
      <c r="BK493" t="b">
        <f t="shared" ca="1" si="148"/>
        <v>1</v>
      </c>
    </row>
    <row r="494" spans="1:63" x14ac:dyDescent="0.45">
      <c r="A494" s="1">
        <v>44518</v>
      </c>
      <c r="B494">
        <v>365.46</v>
      </c>
      <c r="C494" s="1">
        <v>44518</v>
      </c>
      <c r="D494">
        <v>469.73</v>
      </c>
      <c r="E494">
        <f t="shared" si="149"/>
        <v>6.768539102982603E-3</v>
      </c>
      <c r="F494" s="4">
        <f t="shared" si="150"/>
        <v>3.3964198743966162E-3</v>
      </c>
      <c r="G494">
        <f t="shared" ca="1" si="151"/>
        <v>1.8301392497474128E-3</v>
      </c>
      <c r="H494">
        <f t="shared" ca="1" si="152"/>
        <v>3.3732065193131891E-2</v>
      </c>
      <c r="I494">
        <f t="shared" ca="1" si="153"/>
        <v>0.87399018388238525</v>
      </c>
      <c r="J494">
        <f t="shared" ca="1" si="154"/>
        <v>6.3438567915665809</v>
      </c>
      <c r="K494">
        <f t="shared" ca="1" si="155"/>
        <v>0.97009945533847253</v>
      </c>
      <c r="L494">
        <f t="shared" ca="1" si="156"/>
        <v>1.3278202958307854</v>
      </c>
      <c r="M494">
        <f t="shared" ca="1" si="157"/>
        <v>1.0069531111570633E-3</v>
      </c>
      <c r="N494">
        <f t="shared" ca="1" si="158"/>
        <v>7.4095416024636557E-3</v>
      </c>
      <c r="O494">
        <f t="shared" ca="1" si="159"/>
        <v>-0.3163870749028338</v>
      </c>
      <c r="P494">
        <f t="shared" ca="1" si="160"/>
        <v>0.98905249709612963</v>
      </c>
      <c r="Q494">
        <f t="shared" ca="1" si="161"/>
        <v>0.96923845657050822</v>
      </c>
      <c r="R494">
        <f t="shared" ca="1" si="162"/>
        <v>1.998636369130991</v>
      </c>
      <c r="T494">
        <f t="shared" si="163"/>
        <v>1.0067685391029826</v>
      </c>
      <c r="U494" s="6">
        <f t="shared" ca="1" si="164"/>
        <v>1.0309080600164173</v>
      </c>
      <c r="V494">
        <f t="shared" ca="1" si="165"/>
        <v>0.70006436906712677</v>
      </c>
      <c r="W494">
        <v>1.0289296943213082</v>
      </c>
      <c r="X494" t="b">
        <f t="shared" ca="1" si="166"/>
        <v>1</v>
      </c>
      <c r="AS494">
        <v>0.33434673887921562</v>
      </c>
      <c r="AT494">
        <v>999</v>
      </c>
      <c r="AU494">
        <v>3.4766154821933206</v>
      </c>
      <c r="AV494">
        <v>999</v>
      </c>
      <c r="AW494">
        <v>999</v>
      </c>
      <c r="AX494">
        <v>999</v>
      </c>
      <c r="AY494">
        <v>-5.4431649852402026</v>
      </c>
      <c r="AZ494">
        <v>6.2872278460433977</v>
      </c>
      <c r="BJ494" t="b">
        <f t="shared" si="147"/>
        <v>1</v>
      </c>
      <c r="BK494" t="b">
        <f t="shared" ca="1" si="148"/>
        <v>1</v>
      </c>
    </row>
    <row r="495" spans="1:63" x14ac:dyDescent="0.45">
      <c r="A495" s="1">
        <v>44517</v>
      </c>
      <c r="B495">
        <v>363.00299999999999</v>
      </c>
      <c r="C495" s="1">
        <v>44517</v>
      </c>
      <c r="D495">
        <v>468.14</v>
      </c>
      <c r="E495">
        <f t="shared" si="149"/>
        <v>3.2499281807399201E-2</v>
      </c>
      <c r="F495" s="4">
        <f t="shared" si="150"/>
        <v>-2.4292533242413622E-3</v>
      </c>
      <c r="G495">
        <f t="shared" ca="1" si="151"/>
        <v>1.768795387144042E-3</v>
      </c>
      <c r="H495">
        <f t="shared" ca="1" si="152"/>
        <v>3.3734194972119949E-2</v>
      </c>
      <c r="I495">
        <f t="shared" ca="1" si="153"/>
        <v>0.87926710638139738</v>
      </c>
      <c r="J495">
        <f t="shared" ca="1" si="154"/>
        <v>6.3479999792746975</v>
      </c>
      <c r="K495">
        <f t="shared" ca="1" si="155"/>
        <v>0.97009945533847253</v>
      </c>
      <c r="L495">
        <f t="shared" ca="1" si="156"/>
        <v>1.3278202958307854</v>
      </c>
      <c r="M495">
        <f t="shared" ca="1" si="157"/>
        <v>1.0467996094019449E-3</v>
      </c>
      <c r="N495">
        <f t="shared" ca="1" si="158"/>
        <v>7.4438052172823158E-3</v>
      </c>
      <c r="O495">
        <f t="shared" ca="1" si="159"/>
        <v>-0.31474848548881462</v>
      </c>
      <c r="P495">
        <f t="shared" ca="1" si="160"/>
        <v>0.94134133146805254</v>
      </c>
      <c r="Q495">
        <f t="shared" ca="1" si="161"/>
        <v>0.96923845657050822</v>
      </c>
      <c r="R495">
        <f t="shared" ca="1" si="162"/>
        <v>2.0550395088568911</v>
      </c>
      <c r="T495">
        <f t="shared" si="163"/>
        <v>1.0324992818073992</v>
      </c>
      <c r="U495" s="6">
        <f t="shared" ca="1" si="164"/>
        <v>1.0197200428110329</v>
      </c>
      <c r="V495">
        <f t="shared" ca="1" si="165"/>
        <v>0.69053420814308331</v>
      </c>
      <c r="W495">
        <v>1.0587702100865222</v>
      </c>
      <c r="X495" t="b">
        <f t="shared" ca="1" si="166"/>
        <v>1</v>
      </c>
      <c r="AS495">
        <v>0.3767821751601188</v>
      </c>
      <c r="AT495">
        <v>999</v>
      </c>
      <c r="AU495">
        <v>4.726921810575976</v>
      </c>
      <c r="AV495">
        <v>3.5097780909990983</v>
      </c>
      <c r="AW495">
        <v>999</v>
      </c>
      <c r="AX495">
        <v>3.7423072760422937</v>
      </c>
      <c r="AY495">
        <v>-5.7243624166657243</v>
      </c>
      <c r="AZ495">
        <v>-1.1882065510895929</v>
      </c>
      <c r="BJ495" t="b">
        <f t="shared" si="147"/>
        <v>1</v>
      </c>
      <c r="BK495" t="b">
        <f t="shared" ca="1" si="148"/>
        <v>1</v>
      </c>
    </row>
    <row r="496" spans="1:63" x14ac:dyDescent="0.45">
      <c r="A496" s="1">
        <v>44516</v>
      </c>
      <c r="B496">
        <v>351.577</v>
      </c>
      <c r="C496" s="1">
        <v>44516</v>
      </c>
      <c r="D496">
        <v>469.28</v>
      </c>
      <c r="E496">
        <f t="shared" si="149"/>
        <v>4.0793731146220868E-2</v>
      </c>
      <c r="F496" s="4">
        <f t="shared" si="150"/>
        <v>3.9578118648780905E-3</v>
      </c>
      <c r="G496">
        <f t="shared" ca="1" si="151"/>
        <v>1.5026142429473864E-3</v>
      </c>
      <c r="H496">
        <f t="shared" ca="1" si="152"/>
        <v>3.3700510809758159E-2</v>
      </c>
      <c r="I496">
        <f t="shared" ca="1" si="153"/>
        <v>0.90048097516044712</v>
      </c>
      <c r="J496">
        <f t="shared" ca="1" si="154"/>
        <v>6.4117039043303832</v>
      </c>
      <c r="K496">
        <f t="shared" ca="1" si="155"/>
        <v>0.97009945533847253</v>
      </c>
      <c r="L496">
        <f t="shared" ca="1" si="156"/>
        <v>1.1889216721874465</v>
      </c>
      <c r="M496">
        <f t="shared" ca="1" si="157"/>
        <v>1.0628772087449448E-3</v>
      </c>
      <c r="N496">
        <f t="shared" ca="1" si="158"/>
        <v>7.4397311178568213E-3</v>
      </c>
      <c r="O496">
        <f t="shared" ca="1" si="159"/>
        <v>-0.32129697725239786</v>
      </c>
      <c r="P496">
        <f t="shared" ca="1" si="160"/>
        <v>0.95264014437436995</v>
      </c>
      <c r="Q496">
        <f t="shared" ca="1" si="161"/>
        <v>0.96923845657050822</v>
      </c>
      <c r="R496">
        <f t="shared" ca="1" si="162"/>
        <v>2.0550395088568911</v>
      </c>
      <c r="T496">
        <f t="shared" si="163"/>
        <v>1.0407937311462208</v>
      </c>
      <c r="U496" s="6">
        <f t="shared" ca="1" si="164"/>
        <v>1.0305129159619772</v>
      </c>
      <c r="V496">
        <f t="shared" ca="1" si="165"/>
        <v>0.62398417530021477</v>
      </c>
      <c r="W496">
        <v>1.1225710300688538</v>
      </c>
      <c r="X496" t="b">
        <f t="shared" ca="1" si="166"/>
        <v>1</v>
      </c>
      <c r="AS496">
        <v>0.41970281052494224</v>
      </c>
      <c r="AT496">
        <v>-6.1163426169204138</v>
      </c>
      <c r="AU496">
        <v>999</v>
      </c>
      <c r="AV496">
        <v>5.9629413932687694</v>
      </c>
      <c r="AW496">
        <v>999</v>
      </c>
      <c r="AX496">
        <v>4.1364863623684132</v>
      </c>
      <c r="AY496">
        <v>999</v>
      </c>
      <c r="AZ496">
        <v>6.4806728233918189</v>
      </c>
      <c r="BJ496" t="b">
        <f t="shared" si="147"/>
        <v>1</v>
      </c>
      <c r="BK496" t="b">
        <f t="shared" ca="1" si="148"/>
        <v>1</v>
      </c>
    </row>
    <row r="497" spans="1:63" x14ac:dyDescent="0.45">
      <c r="A497" s="1">
        <v>44515</v>
      </c>
      <c r="B497">
        <v>337.79700000000003</v>
      </c>
      <c r="C497" s="1">
        <v>44515</v>
      </c>
      <c r="D497">
        <v>467.43</v>
      </c>
      <c r="E497">
        <f t="shared" si="149"/>
        <v>-1.9380328792096876E-2</v>
      </c>
      <c r="F497" s="4">
        <f t="shared" si="150"/>
        <v>3.424144498898389E-4</v>
      </c>
      <c r="G497">
        <f t="shared" ca="1" si="151"/>
        <v>1.4949933368885297E-3</v>
      </c>
      <c r="H497">
        <f t="shared" ca="1" si="152"/>
        <v>3.3691752214342972E-2</v>
      </c>
      <c r="I497">
        <f t="shared" ca="1" si="153"/>
        <v>0.90096785737461216</v>
      </c>
      <c r="J497">
        <f t="shared" ca="1" si="154"/>
        <v>6.4209714068330532</v>
      </c>
      <c r="K497">
        <f t="shared" ca="1" si="155"/>
        <v>0.97009945533847253</v>
      </c>
      <c r="L497">
        <f t="shared" ca="1" si="156"/>
        <v>1.1889216721874465</v>
      </c>
      <c r="M497">
        <f t="shared" ca="1" si="157"/>
        <v>1.1137895820548468E-3</v>
      </c>
      <c r="N497">
        <f t="shared" ca="1" si="158"/>
        <v>7.494282509448732E-3</v>
      </c>
      <c r="O497">
        <f t="shared" ca="1" si="159"/>
        <v>-0.30824058333441079</v>
      </c>
      <c r="P497">
        <f t="shared" ca="1" si="160"/>
        <v>0.89365049849924594</v>
      </c>
      <c r="Q497">
        <f t="shared" ca="1" si="161"/>
        <v>0.98779459872270703</v>
      </c>
      <c r="R497">
        <f t="shared" ca="1" si="162"/>
        <v>2.1065159878551842</v>
      </c>
      <c r="T497">
        <f t="shared" si="163"/>
        <v>0.98061967120790317</v>
      </c>
      <c r="U497" s="6">
        <f t="shared" ca="1" si="164"/>
        <v>0.8714036223677728</v>
      </c>
      <c r="V497">
        <f t="shared" ca="1" si="165"/>
        <v>0.44611100070768017</v>
      </c>
      <c r="W497">
        <v>1.0679830106541244</v>
      </c>
      <c r="X497" t="b">
        <f t="shared" ca="1" si="166"/>
        <v>0</v>
      </c>
      <c r="AS497">
        <v>0.46064954806316138</v>
      </c>
      <c r="AT497">
        <v>-6.4715297733713877</v>
      </c>
      <c r="AU497">
        <v>999</v>
      </c>
      <c r="AV497">
        <v>6.9435457939427048</v>
      </c>
      <c r="AW497">
        <v>999</v>
      </c>
      <c r="AX497">
        <v>4.7585159631829708</v>
      </c>
      <c r="AY497">
        <v>999</v>
      </c>
      <c r="AZ497">
        <v>7.313328332504442</v>
      </c>
      <c r="BJ497" t="b">
        <f t="shared" si="147"/>
        <v>1</v>
      </c>
      <c r="BK497" t="b">
        <f t="shared" ca="1" si="148"/>
        <v>0</v>
      </c>
    </row>
    <row r="498" spans="1:63" x14ac:dyDescent="0.45">
      <c r="A498" s="1">
        <v>44512</v>
      </c>
      <c r="B498">
        <v>344.47300000000001</v>
      </c>
      <c r="C498" s="1">
        <v>44512</v>
      </c>
      <c r="D498">
        <v>467.27</v>
      </c>
      <c r="E498">
        <f t="shared" si="149"/>
        <v>-2.8293131510875712E-2</v>
      </c>
      <c r="F498" s="4">
        <f t="shared" si="150"/>
        <v>7.5468443409448648E-3</v>
      </c>
      <c r="G498">
        <f t="shared" ca="1" si="151"/>
        <v>1.8835096646038813E-3</v>
      </c>
      <c r="H498">
        <f t="shared" ca="1" si="152"/>
        <v>3.3897209856759793E-2</v>
      </c>
      <c r="I498">
        <f t="shared" ca="1" si="153"/>
        <v>0.87505296445548308</v>
      </c>
      <c r="J498">
        <f t="shared" ca="1" si="154"/>
        <v>6.1919512787859619</v>
      </c>
      <c r="K498">
        <f t="shared" ca="1" si="155"/>
        <v>0.9761309346082544</v>
      </c>
      <c r="L498">
        <f t="shared" ca="1" si="156"/>
        <v>1.3278202958307854</v>
      </c>
      <c r="M498">
        <f t="shared" ca="1" si="157"/>
        <v>1.195305007305871E-3</v>
      </c>
      <c r="N498">
        <f t="shared" ca="1" si="158"/>
        <v>7.5740896052846271E-3</v>
      </c>
      <c r="O498">
        <f t="shared" ca="1" si="159"/>
        <v>-0.28743831497569555</v>
      </c>
      <c r="P498">
        <f t="shared" ca="1" si="160"/>
        <v>0.83370800493381481</v>
      </c>
      <c r="Q498">
        <f t="shared" ca="1" si="161"/>
        <v>1.1408184683906502</v>
      </c>
      <c r="R498">
        <f t="shared" ca="1" si="162"/>
        <v>2.1914085545118485</v>
      </c>
      <c r="T498">
        <f t="shared" si="163"/>
        <v>0.97170686848912424</v>
      </c>
      <c r="U498" s="6">
        <f t="shared" ca="1" si="164"/>
        <v>0.84561680859577337</v>
      </c>
      <c r="V498">
        <f t="shared" ca="1" si="165"/>
        <v>0.45243510538864185</v>
      </c>
      <c r="W498">
        <v>0.9991537628229975</v>
      </c>
      <c r="X498" t="b">
        <f t="shared" ca="1" si="166"/>
        <v>1</v>
      </c>
      <c r="AS498">
        <v>0.48378911327899365</v>
      </c>
      <c r="AT498">
        <v>-5.8503812119358871</v>
      </c>
      <c r="AU498">
        <v>999</v>
      </c>
      <c r="AV498">
        <v>7.6502359065459054</v>
      </c>
      <c r="AW498">
        <v>999</v>
      </c>
      <c r="AX498">
        <v>5.0624084935549423</v>
      </c>
      <c r="AY498">
        <v>999</v>
      </c>
      <c r="AZ498">
        <v>7.8296927120374766</v>
      </c>
      <c r="BJ498" t="b">
        <f t="shared" si="147"/>
        <v>1</v>
      </c>
      <c r="BK498" t="b">
        <f t="shared" ca="1" si="148"/>
        <v>1</v>
      </c>
    </row>
    <row r="499" spans="1:63" x14ac:dyDescent="0.45">
      <c r="A499" s="1">
        <v>44511</v>
      </c>
      <c r="B499">
        <v>354.50299999999999</v>
      </c>
      <c r="C499" s="1">
        <v>44511</v>
      </c>
      <c r="D499">
        <v>463.77</v>
      </c>
      <c r="E499">
        <f t="shared" si="149"/>
        <v>-4.157501903180821E-3</v>
      </c>
      <c r="F499" s="4">
        <f t="shared" si="150"/>
        <v>3.2354083085280456E-4</v>
      </c>
      <c r="G499">
        <f t="shared" ca="1" si="151"/>
        <v>1.7742005723584569E-3</v>
      </c>
      <c r="H499">
        <f t="shared" ca="1" si="152"/>
        <v>3.402999920189425E-2</v>
      </c>
      <c r="I499">
        <f t="shared" ca="1" si="153"/>
        <v>0.85997150178837489</v>
      </c>
      <c r="J499">
        <f t="shared" ca="1" si="154"/>
        <v>6.0849335686866359</v>
      </c>
      <c r="K499">
        <f t="shared" ca="1" si="155"/>
        <v>0.97546061462774403</v>
      </c>
      <c r="L499">
        <f t="shared" ca="1" si="156"/>
        <v>1.3278202958307854</v>
      </c>
      <c r="M499">
        <f t="shared" ca="1" si="157"/>
        <v>1.0574728060973998E-3</v>
      </c>
      <c r="N499">
        <f t="shared" ca="1" si="158"/>
        <v>7.7075732064815217E-3</v>
      </c>
      <c r="O499">
        <f t="shared" ca="1" si="159"/>
        <v>-0.32725394896884624</v>
      </c>
      <c r="P499">
        <f t="shared" ca="1" si="160"/>
        <v>0.8408718178085719</v>
      </c>
      <c r="Q499">
        <f t="shared" ca="1" si="161"/>
        <v>1.0969791953512689</v>
      </c>
      <c r="R499">
        <f t="shared" ca="1" si="162"/>
        <v>1.9172181598622766</v>
      </c>
      <c r="T499">
        <f t="shared" si="163"/>
        <v>0.99584249809681913</v>
      </c>
      <c r="U499" s="6">
        <f t="shared" ca="1" si="164"/>
        <v>0.86470473449276763</v>
      </c>
      <c r="V499">
        <f t="shared" ca="1" si="165"/>
        <v>0.42419244376548637</v>
      </c>
      <c r="W499">
        <v>1.0159161183412422</v>
      </c>
      <c r="X499" t="b">
        <f t="shared" ca="1" si="166"/>
        <v>0</v>
      </c>
      <c r="AS499">
        <v>0.50345116769365439</v>
      </c>
      <c r="AT499">
        <v>-5.0316591776211697</v>
      </c>
      <c r="AU499">
        <v>999</v>
      </c>
      <c r="AV499">
        <v>8.1074758810493019</v>
      </c>
      <c r="AW499">
        <v>999</v>
      </c>
      <c r="AX499">
        <v>4.9095885345031638</v>
      </c>
      <c r="AY499">
        <v>999</v>
      </c>
      <c r="AZ499">
        <v>8.3819404578883496</v>
      </c>
      <c r="BJ499" t="b">
        <f t="shared" si="147"/>
        <v>1</v>
      </c>
      <c r="BK499" t="b">
        <f t="shared" ca="1" si="148"/>
        <v>0</v>
      </c>
    </row>
    <row r="500" spans="1:63" x14ac:dyDescent="0.45">
      <c r="A500" s="1">
        <v>44510</v>
      </c>
      <c r="B500">
        <v>355.983</v>
      </c>
      <c r="C500" s="1">
        <v>44510</v>
      </c>
      <c r="D500">
        <v>463.62</v>
      </c>
      <c r="E500">
        <f t="shared" si="149"/>
        <v>4.3427412381619651E-2</v>
      </c>
      <c r="F500" s="4">
        <f t="shared" si="150"/>
        <v>-8.0448457358038225E-3</v>
      </c>
      <c r="G500">
        <f t="shared" ca="1" si="151"/>
        <v>1.628768670863193E-3</v>
      </c>
      <c r="H500">
        <f t="shared" ca="1" si="152"/>
        <v>3.4117516333301005E-2</v>
      </c>
      <c r="I500">
        <f t="shared" ca="1" si="153"/>
        <v>0.8608259673662827</v>
      </c>
      <c r="J500">
        <f t="shared" ca="1" si="154"/>
        <v>6.0122128101991654</v>
      </c>
      <c r="K500">
        <f t="shared" ca="1" si="155"/>
        <v>0.97546061462774403</v>
      </c>
      <c r="L500">
        <f t="shared" ca="1" si="156"/>
        <v>1.258228832643747</v>
      </c>
      <c r="M500">
        <f t="shared" ca="1" si="157"/>
        <v>1.0988560901646039E-3</v>
      </c>
      <c r="N500">
        <f t="shared" ca="1" si="158"/>
        <v>7.7258106170849722E-3</v>
      </c>
      <c r="O500">
        <f t="shared" ca="1" si="159"/>
        <v>-0.33644599580717532</v>
      </c>
      <c r="P500">
        <f t="shared" ca="1" si="160"/>
        <v>0.81618510026677082</v>
      </c>
      <c r="Q500">
        <f t="shared" ca="1" si="161"/>
        <v>1.0969791953512689</v>
      </c>
      <c r="R500">
        <f t="shared" ca="1" si="162"/>
        <v>1.9944820265358889</v>
      </c>
      <c r="T500">
        <f t="shared" si="163"/>
        <v>1.0434274123816196</v>
      </c>
      <c r="U500" s="6">
        <f t="shared" ca="1" si="164"/>
        <v>0.87979585784192571</v>
      </c>
      <c r="V500">
        <f t="shared" ca="1" si="165"/>
        <v>0.43442225107356836</v>
      </c>
      <c r="W500">
        <v>1.0347229536297458</v>
      </c>
      <c r="X500" t="b">
        <f t="shared" ca="1" si="166"/>
        <v>0</v>
      </c>
      <c r="AS500">
        <v>0.4856089410957562</v>
      </c>
      <c r="AT500">
        <v>-3.9524248250301004</v>
      </c>
      <c r="AU500">
        <v>999</v>
      </c>
      <c r="AV500">
        <v>8.1668723923677966</v>
      </c>
      <c r="AW500">
        <v>999</v>
      </c>
      <c r="AX500">
        <v>4.3128436811525743</v>
      </c>
      <c r="AY500">
        <v>999</v>
      </c>
      <c r="AZ500">
        <v>8.5538023381906729</v>
      </c>
      <c r="BJ500" t="b">
        <f t="shared" si="147"/>
        <v>1</v>
      </c>
      <c r="BK500" t="b">
        <f t="shared" ca="1" si="148"/>
        <v>0</v>
      </c>
    </row>
    <row r="501" spans="1:63" x14ac:dyDescent="0.45">
      <c r="A501" s="1">
        <v>44509</v>
      </c>
      <c r="B501">
        <v>341.16699999999997</v>
      </c>
      <c r="C501" s="1">
        <v>44509</v>
      </c>
      <c r="D501">
        <v>467.38</v>
      </c>
      <c r="E501">
        <f t="shared" si="149"/>
        <v>-0.11990290135097142</v>
      </c>
      <c r="F501" s="4">
        <f t="shared" si="150"/>
        <v>-3.3053973940673689E-3</v>
      </c>
      <c r="G501">
        <f t="shared" ca="1" si="151"/>
        <v>1.3044510190032327E-3</v>
      </c>
      <c r="H501">
        <f t="shared" ca="1" si="152"/>
        <v>3.4026357299430605E-2</v>
      </c>
      <c r="I501">
        <f t="shared" ca="1" si="153"/>
        <v>0.8856568292077317</v>
      </c>
      <c r="J501">
        <f t="shared" ca="1" si="154"/>
        <v>6.1328616322385825</v>
      </c>
      <c r="K501">
        <f t="shared" ca="1" si="155"/>
        <v>0.97546061462774403</v>
      </c>
      <c r="L501">
        <f t="shared" ca="1" si="156"/>
        <v>1.1005268001046584</v>
      </c>
      <c r="M501">
        <f t="shared" ca="1" si="157"/>
        <v>1.0168780728236637E-3</v>
      </c>
      <c r="N501">
        <f t="shared" ca="1" si="158"/>
        <v>7.9081557485374283E-3</v>
      </c>
      <c r="O501">
        <f t="shared" ca="1" si="159"/>
        <v>-0.44541261780774088</v>
      </c>
      <c r="P501">
        <f t="shared" ca="1" si="160"/>
        <v>1.0067071171243702</v>
      </c>
      <c r="Q501">
        <f t="shared" ca="1" si="161"/>
        <v>1.0949390450045211</v>
      </c>
      <c r="R501">
        <f t="shared" ca="1" si="162"/>
        <v>1.9944820265358889</v>
      </c>
      <c r="T501">
        <f t="shared" si="163"/>
        <v>0.88009709864902863</v>
      </c>
      <c r="U501" s="6">
        <f t="shared" ca="1" si="164"/>
        <v>0.87329362346960449</v>
      </c>
      <c r="V501">
        <f t="shared" ca="1" si="165"/>
        <v>0.40167133961387858</v>
      </c>
      <c r="W501">
        <v>1.0791562097195015</v>
      </c>
      <c r="X501" t="b">
        <f t="shared" ca="1" si="166"/>
        <v>0</v>
      </c>
      <c r="AS501">
        <v>0.55777374001012126</v>
      </c>
      <c r="AT501">
        <v>-3.5783161745579695</v>
      </c>
      <c r="AU501">
        <v>999</v>
      </c>
      <c r="AV501">
        <v>9.4693359201561247</v>
      </c>
      <c r="AW501">
        <v>999</v>
      </c>
      <c r="AX501">
        <v>4.4017710558168126</v>
      </c>
      <c r="AY501">
        <v>999</v>
      </c>
      <c r="AZ501">
        <v>9.5344269910748149</v>
      </c>
      <c r="BJ501" t="b">
        <f t="shared" si="147"/>
        <v>1</v>
      </c>
      <c r="BK501" t="b">
        <f t="shared" ca="1" si="148"/>
        <v>0</v>
      </c>
    </row>
    <row r="502" spans="1:63" x14ac:dyDescent="0.45">
      <c r="A502" s="1">
        <v>44508</v>
      </c>
      <c r="B502">
        <v>387.64699999999999</v>
      </c>
      <c r="C502" s="1">
        <v>44508</v>
      </c>
      <c r="D502">
        <v>468.93</v>
      </c>
      <c r="E502">
        <f t="shared" si="149"/>
        <v>-4.8399093683029651E-2</v>
      </c>
      <c r="F502" s="4">
        <f t="shared" si="150"/>
        <v>8.5373401916640152E-4</v>
      </c>
      <c r="G502">
        <f t="shared" ca="1" si="151"/>
        <v>1.9169593949678978E-3</v>
      </c>
      <c r="H502">
        <f t="shared" ca="1" si="152"/>
        <v>3.2918066775234435E-2</v>
      </c>
      <c r="I502">
        <f t="shared" ca="1" si="153"/>
        <v>1.1751600680428349</v>
      </c>
      <c r="J502">
        <f t="shared" ca="1" si="154"/>
        <v>6.389464947719099</v>
      </c>
      <c r="K502">
        <f t="shared" ca="1" si="155"/>
        <v>0.9761309346082544</v>
      </c>
      <c r="L502">
        <f t="shared" ca="1" si="156"/>
        <v>1.1889216721874465</v>
      </c>
      <c r="M502">
        <f t="shared" ca="1" si="157"/>
        <v>1.025600486313942E-3</v>
      </c>
      <c r="N502">
        <f t="shared" ca="1" si="158"/>
        <v>7.9043256001772727E-3</v>
      </c>
      <c r="O502">
        <f t="shared" ca="1" si="159"/>
        <v>-0.44875046596055673</v>
      </c>
      <c r="P502">
        <f t="shared" ca="1" si="160"/>
        <v>1.0161765446618016</v>
      </c>
      <c r="Q502">
        <f t="shared" ca="1" si="161"/>
        <v>1.0949390450045211</v>
      </c>
      <c r="R502">
        <f t="shared" ca="1" si="162"/>
        <v>2.1914085545118485</v>
      </c>
      <c r="T502">
        <f t="shared" si="163"/>
        <v>0.95160090631697036</v>
      </c>
      <c r="U502" s="6">
        <f t="shared" ca="1" si="164"/>
        <v>0.96223033636744981</v>
      </c>
      <c r="V502">
        <f t="shared" ca="1" si="165"/>
        <v>0.42991689662000021</v>
      </c>
      <c r="W502">
        <v>1.0852805313009677</v>
      </c>
      <c r="X502" t="b">
        <f t="shared" ca="1" si="166"/>
        <v>0</v>
      </c>
      <c r="AS502">
        <v>0.63664448208875379</v>
      </c>
      <c r="AT502">
        <v>-3.1377598405608413</v>
      </c>
      <c r="AU502">
        <v>999</v>
      </c>
      <c r="AV502">
        <v>10.679715899357539</v>
      </c>
      <c r="AW502">
        <v>3.4163238732863883</v>
      </c>
      <c r="AX502">
        <v>4.651360544568802</v>
      </c>
      <c r="AY502">
        <v>999</v>
      </c>
      <c r="AZ502">
        <v>0.53752430949260999</v>
      </c>
      <c r="BJ502" t="b">
        <f t="shared" si="147"/>
        <v>1</v>
      </c>
      <c r="BK502" t="b">
        <f t="shared" ca="1" si="148"/>
        <v>0</v>
      </c>
    </row>
    <row r="503" spans="1:63" x14ac:dyDescent="0.45">
      <c r="A503" s="1">
        <v>44505</v>
      </c>
      <c r="B503">
        <v>407.363</v>
      </c>
      <c r="C503" s="1">
        <v>44505</v>
      </c>
      <c r="D503">
        <v>468.53</v>
      </c>
      <c r="E503">
        <f t="shared" si="149"/>
        <v>-6.3590018781862758E-3</v>
      </c>
      <c r="F503" s="4">
        <f t="shared" si="150"/>
        <v>3.469619412734676E-3</v>
      </c>
      <c r="G503">
        <f t="shared" ca="1" si="151"/>
        <v>2.3606996448070064E-3</v>
      </c>
      <c r="H503">
        <f t="shared" ca="1" si="152"/>
        <v>3.283445281414557E-2</v>
      </c>
      <c r="I503">
        <f t="shared" ca="1" si="153"/>
        <v>1.1696107558335074</v>
      </c>
      <c r="J503">
        <f t="shared" ca="1" si="154"/>
        <v>6.4014624451082147</v>
      </c>
      <c r="K503">
        <f t="shared" ca="1" si="155"/>
        <v>0.98072250518890458</v>
      </c>
      <c r="L503">
        <f t="shared" ca="1" si="156"/>
        <v>1.3278202958307854</v>
      </c>
      <c r="M503">
        <f t="shared" ca="1" si="157"/>
        <v>1.0410507882197813E-3</v>
      </c>
      <c r="N503">
        <f t="shared" ca="1" si="158"/>
        <v>7.9070075309487092E-3</v>
      </c>
      <c r="O503">
        <f t="shared" ca="1" si="159"/>
        <v>-0.45396000191696628</v>
      </c>
      <c r="P503">
        <f t="shared" ca="1" si="160"/>
        <v>1.0143610384200716</v>
      </c>
      <c r="Q503">
        <f t="shared" ca="1" si="161"/>
        <v>1.0949390450045211</v>
      </c>
      <c r="R503">
        <f t="shared" ca="1" si="162"/>
        <v>2.1914085545118485</v>
      </c>
      <c r="T503">
        <f t="shared" si="163"/>
        <v>0.99364099812181372</v>
      </c>
      <c r="U503" s="6">
        <f t="shared" ca="1" si="164"/>
        <v>1.0970288124136554</v>
      </c>
      <c r="V503">
        <f t="shared" ca="1" si="165"/>
        <v>0.36684701330432434</v>
      </c>
      <c r="W503">
        <v>1.1627934490856748</v>
      </c>
      <c r="X503" t="b">
        <f t="shared" ca="1" si="166"/>
        <v>1</v>
      </c>
      <c r="AS503">
        <v>0.62689745572887978</v>
      </c>
      <c r="AT503">
        <v>999</v>
      </c>
      <c r="AU503">
        <v>999</v>
      </c>
      <c r="AV503">
        <v>10.105897942998379</v>
      </c>
      <c r="AW503">
        <v>3.1033752979778373</v>
      </c>
      <c r="AX503">
        <v>3.7914134306312381</v>
      </c>
      <c r="AY503">
        <v>999</v>
      </c>
      <c r="AZ503">
        <v>0.16993642510667875</v>
      </c>
      <c r="BJ503" t="b">
        <f t="shared" si="147"/>
        <v>1</v>
      </c>
      <c r="BK503" t="b">
        <f t="shared" ca="1" si="148"/>
        <v>1</v>
      </c>
    </row>
    <row r="504" spans="1:63" x14ac:dyDescent="0.45">
      <c r="A504" s="1">
        <v>44504</v>
      </c>
      <c r="B504">
        <v>409.97</v>
      </c>
      <c r="C504" s="1">
        <v>44504</v>
      </c>
      <c r="D504">
        <v>466.91</v>
      </c>
      <c r="E504">
        <f t="shared" si="149"/>
        <v>1.3222282635559347E-2</v>
      </c>
      <c r="F504" s="4">
        <f t="shared" si="150"/>
        <v>4.7125150628335288E-3</v>
      </c>
      <c r="G504">
        <f t="shared" ca="1" si="151"/>
        <v>2.4022580949054489E-3</v>
      </c>
      <c r="H504">
        <f t="shared" ca="1" si="152"/>
        <v>3.2828620379408507E-2</v>
      </c>
      <c r="I504">
        <f t="shared" ca="1" si="153"/>
        <v>1.1664932367758511</v>
      </c>
      <c r="J504">
        <f t="shared" ca="1" si="154"/>
        <v>6.4021155521139077</v>
      </c>
      <c r="K504">
        <f t="shared" ca="1" si="155"/>
        <v>0.98072250518890458</v>
      </c>
      <c r="L504">
        <f t="shared" ca="1" si="156"/>
        <v>1.3278202958307854</v>
      </c>
      <c r="M504">
        <f t="shared" ca="1" si="157"/>
        <v>1.0060054186181106E-3</v>
      </c>
      <c r="N504">
        <f t="shared" ca="1" si="158"/>
        <v>7.9117209336999287E-3</v>
      </c>
      <c r="O504">
        <f t="shared" ca="1" si="159"/>
        <v>-0.44085799106196472</v>
      </c>
      <c r="P504">
        <f t="shared" ca="1" si="160"/>
        <v>0.9971391447037945</v>
      </c>
      <c r="Q504">
        <f t="shared" ca="1" si="161"/>
        <v>1.0949390450045211</v>
      </c>
      <c r="R504">
        <f t="shared" ca="1" si="162"/>
        <v>1.9772529783250523</v>
      </c>
      <c r="T504">
        <f t="shared" si="163"/>
        <v>1.0132222826355592</v>
      </c>
      <c r="U504" s="6">
        <f t="shared" ca="1" si="164"/>
        <v>1.1419363644213438</v>
      </c>
      <c r="V504">
        <f t="shared" ca="1" si="165"/>
        <v>0.36710990148845923</v>
      </c>
      <c r="W504">
        <v>1.1300730194193729</v>
      </c>
      <c r="X504" t="b">
        <f t="shared" ca="1" si="166"/>
        <v>1</v>
      </c>
      <c r="AS504">
        <v>0.53840712052018169</v>
      </c>
      <c r="AT504">
        <v>999</v>
      </c>
      <c r="AU504">
        <v>999</v>
      </c>
      <c r="AV504">
        <v>9.3724966742660314</v>
      </c>
      <c r="AW504">
        <v>999</v>
      </c>
      <c r="AX504">
        <v>999</v>
      </c>
      <c r="AY504">
        <v>999</v>
      </c>
      <c r="AZ504">
        <v>61.697500984234665</v>
      </c>
      <c r="BJ504" t="b">
        <f t="shared" si="147"/>
        <v>1</v>
      </c>
      <c r="BK504" t="b">
        <f t="shared" ca="1" si="148"/>
        <v>1</v>
      </c>
    </row>
    <row r="505" spans="1:63" x14ac:dyDescent="0.45">
      <c r="A505" s="1">
        <v>44503</v>
      </c>
      <c r="B505">
        <v>404.62</v>
      </c>
      <c r="C505" s="1">
        <v>44503</v>
      </c>
      <c r="D505">
        <v>464.72</v>
      </c>
      <c r="E505">
        <f t="shared" si="149"/>
        <v>3.5715839832901247E-2</v>
      </c>
      <c r="F505" s="4">
        <f t="shared" si="150"/>
        <v>6.1052175795627845E-3</v>
      </c>
      <c r="G505">
        <f t="shared" ca="1" si="151"/>
        <v>2.3040459913864332E-3</v>
      </c>
      <c r="H505">
        <f t="shared" ca="1" si="152"/>
        <v>3.2825469452191253E-2</v>
      </c>
      <c r="I505">
        <f t="shared" ca="1" si="153"/>
        <v>1.1756153887711436</v>
      </c>
      <c r="J505">
        <f t="shared" ca="1" si="154"/>
        <v>6.4200094214227574</v>
      </c>
      <c r="K505">
        <f t="shared" ca="1" si="155"/>
        <v>0.98072250518890458</v>
      </c>
      <c r="L505">
        <f t="shared" ca="1" si="156"/>
        <v>1.3278202958307854</v>
      </c>
      <c r="M505">
        <f t="shared" ca="1" si="157"/>
        <v>9.8700144081885662E-4</v>
      </c>
      <c r="N505">
        <f t="shared" ca="1" si="158"/>
        <v>7.9073366938124268E-3</v>
      </c>
      <c r="O505">
        <f t="shared" ca="1" si="159"/>
        <v>-0.43483164032292315</v>
      </c>
      <c r="P505">
        <f t="shared" ca="1" si="160"/>
        <v>1.0015621845223048</v>
      </c>
      <c r="Q505">
        <f t="shared" ca="1" si="161"/>
        <v>1.0949390450045211</v>
      </c>
      <c r="R505">
        <f t="shared" ca="1" si="162"/>
        <v>1.9772529783250523</v>
      </c>
      <c r="T505">
        <f t="shared" si="163"/>
        <v>1.0357158398329012</v>
      </c>
      <c r="U505" s="6">
        <f t="shared" ca="1" si="164"/>
        <v>1.1695808390157043</v>
      </c>
      <c r="V505">
        <f t="shared" ca="1" si="165"/>
        <v>0.36687403989336309</v>
      </c>
      <c r="W505">
        <v>1.1318230588241154</v>
      </c>
      <c r="X505" t="b">
        <f t="shared" ca="1" si="166"/>
        <v>1</v>
      </c>
      <c r="AS505">
        <v>0.51507961898553578</v>
      </c>
      <c r="AT505">
        <v>999</v>
      </c>
      <c r="AU505">
        <v>999</v>
      </c>
      <c r="AV505">
        <v>8.852262190769304</v>
      </c>
      <c r="AW505">
        <v>999</v>
      </c>
      <c r="AX505">
        <v>999</v>
      </c>
      <c r="AY505">
        <v>999</v>
      </c>
      <c r="AZ505">
        <v>60.680342321914637</v>
      </c>
      <c r="BJ505" t="b">
        <f t="shared" si="147"/>
        <v>1</v>
      </c>
      <c r="BK505" t="b">
        <f t="shared" ca="1" si="148"/>
        <v>1</v>
      </c>
    </row>
    <row r="506" spans="1:63" x14ac:dyDescent="0.45">
      <c r="A506" s="1">
        <v>44502</v>
      </c>
      <c r="B506">
        <v>390.66699999999997</v>
      </c>
      <c r="C506" s="1">
        <v>44502</v>
      </c>
      <c r="D506">
        <v>461.9</v>
      </c>
      <c r="E506">
        <f t="shared" si="149"/>
        <v>-3.02733187212527E-2</v>
      </c>
      <c r="F506" s="4">
        <f t="shared" si="150"/>
        <v>4.0431266846360243E-3</v>
      </c>
      <c r="G506">
        <f t="shared" ca="1" si="151"/>
        <v>2.1603847545474701E-3</v>
      </c>
      <c r="H506">
        <f t="shared" ca="1" si="152"/>
        <v>3.2741272954680781E-2</v>
      </c>
      <c r="I506">
        <f t="shared" ca="1" si="153"/>
        <v>1.1926252821981804</v>
      </c>
      <c r="J506">
        <f t="shared" ca="1" si="154"/>
        <v>6.5333768369744023</v>
      </c>
      <c r="K506">
        <f t="shared" ca="1" si="155"/>
        <v>0.98072250518890458</v>
      </c>
      <c r="L506">
        <f t="shared" ca="1" si="156"/>
        <v>1.2546798209722403</v>
      </c>
      <c r="M506">
        <f t="shared" ca="1" si="157"/>
        <v>1.0256685392408633E-3</v>
      </c>
      <c r="N506">
        <f t="shared" ca="1" si="158"/>
        <v>7.9512769184878172E-3</v>
      </c>
      <c r="O506">
        <f t="shared" ca="1" si="159"/>
        <v>-0.42232015518937327</v>
      </c>
      <c r="P506">
        <f t="shared" ca="1" si="160"/>
        <v>0.95552739247143759</v>
      </c>
      <c r="Q506">
        <f t="shared" ca="1" si="161"/>
        <v>1.0949390450045211</v>
      </c>
      <c r="R506">
        <f t="shared" ca="1" si="162"/>
        <v>1.9772529783250523</v>
      </c>
      <c r="T506">
        <f t="shared" si="163"/>
        <v>0.96972668127874728</v>
      </c>
      <c r="U506" s="6">
        <f t="shared" ca="1" si="164"/>
        <v>1.1507907752218856</v>
      </c>
      <c r="V506">
        <f t="shared" ca="1" si="165"/>
        <v>0.36452211359527653</v>
      </c>
      <c r="X506" t="b">
        <f t="shared" ca="1" si="166"/>
        <v>0</v>
      </c>
      <c r="BJ506" t="b">
        <f t="shared" si="147"/>
        <v>1</v>
      </c>
      <c r="BK506" t="b">
        <f t="shared" ca="1" si="148"/>
        <v>0</v>
      </c>
    </row>
    <row r="507" spans="1:63" x14ac:dyDescent="0.45">
      <c r="A507" s="1">
        <v>44501</v>
      </c>
      <c r="B507">
        <v>402.863</v>
      </c>
      <c r="C507" s="1">
        <v>44501</v>
      </c>
      <c r="D507">
        <v>460.04</v>
      </c>
      <c r="E507">
        <f t="shared" si="149"/>
        <v>8.4910309614281435E-2</v>
      </c>
      <c r="F507" s="4">
        <f t="shared" si="150"/>
        <v>1.7201959716930222E-3</v>
      </c>
      <c r="G507">
        <f t="shared" ca="1" si="151"/>
        <v>2.4230492670823693E-3</v>
      </c>
      <c r="H507">
        <f t="shared" ca="1" si="152"/>
        <v>3.269044964766972E-2</v>
      </c>
      <c r="I507">
        <f t="shared" ca="1" si="153"/>
        <v>1.1799846521522808</v>
      </c>
      <c r="J507">
        <f t="shared" ca="1" si="154"/>
        <v>6.5497144450404106</v>
      </c>
      <c r="K507">
        <f t="shared" ca="1" si="155"/>
        <v>0.98072250518890458</v>
      </c>
      <c r="L507">
        <f t="shared" ca="1" si="156"/>
        <v>1.3867919097150831</v>
      </c>
      <c r="M507">
        <f t="shared" ca="1" si="157"/>
        <v>1.04471295372825E-3</v>
      </c>
      <c r="N507">
        <f t="shared" ca="1" si="158"/>
        <v>7.9630930907097965E-3</v>
      </c>
      <c r="O507">
        <f t="shared" ca="1" si="159"/>
        <v>-0.42476871711742442</v>
      </c>
      <c r="P507">
        <f t="shared" ca="1" si="160"/>
        <v>0.93863134818330218</v>
      </c>
      <c r="Q507">
        <f t="shared" ca="1" si="161"/>
        <v>1.0949390450045211</v>
      </c>
      <c r="R507">
        <f t="shared" ca="1" si="162"/>
        <v>2.0109839045886768</v>
      </c>
      <c r="T507">
        <f t="shared" si="163"/>
        <v>1.0849103096142814</v>
      </c>
      <c r="U507" s="6">
        <f t="shared" ca="1" si="164"/>
        <v>1.1792722908494817</v>
      </c>
      <c r="V507">
        <f t="shared" ca="1" si="165"/>
        <v>0.43541467614457618</v>
      </c>
      <c r="X507" t="b">
        <f t="shared" ca="1" si="166"/>
        <v>0</v>
      </c>
      <c r="BJ507" t="b">
        <f t="shared" si="147"/>
        <v>1</v>
      </c>
      <c r="BK507" t="b">
        <f t="shared" ca="1" si="148"/>
        <v>0</v>
      </c>
    </row>
    <row r="508" spans="1:63" x14ac:dyDescent="0.45">
      <c r="A508" s="1">
        <v>44498</v>
      </c>
      <c r="B508">
        <v>371.33300000000003</v>
      </c>
      <c r="C508" s="1">
        <v>44498</v>
      </c>
      <c r="D508">
        <v>459.25</v>
      </c>
      <c r="E508">
        <f t="shared" si="149"/>
        <v>3.4316306094765513E-2</v>
      </c>
      <c r="F508" s="4">
        <f t="shared" si="150"/>
        <v>2.0291499389073287E-3</v>
      </c>
      <c r="G508">
        <f t="shared" ca="1" si="151"/>
        <v>1.8870185609981315E-3</v>
      </c>
      <c r="H508">
        <f t="shared" ca="1" si="152"/>
        <v>3.2206451123763601E-2</v>
      </c>
      <c r="I508">
        <f t="shared" ca="1" si="153"/>
        <v>1.1968520702529257</v>
      </c>
      <c r="J508">
        <f t="shared" ca="1" si="154"/>
        <v>6.9981798477812758</v>
      </c>
      <c r="K508">
        <f t="shared" ca="1" si="155"/>
        <v>0.9746626547633781</v>
      </c>
      <c r="L508">
        <f t="shared" ca="1" si="156"/>
        <v>1.2546798209722403</v>
      </c>
      <c r="M508">
        <f t="shared" ca="1" si="157"/>
        <v>9.9964841100977321E-4</v>
      </c>
      <c r="N508">
        <f t="shared" ca="1" si="158"/>
        <v>7.9847246398206898E-3</v>
      </c>
      <c r="O508">
        <f t="shared" ca="1" si="159"/>
        <v>-0.41000481823867929</v>
      </c>
      <c r="P508">
        <f t="shared" ca="1" si="160"/>
        <v>0.89214499580451179</v>
      </c>
      <c r="Q508">
        <f t="shared" ca="1" si="161"/>
        <v>1.0949390450045211</v>
      </c>
      <c r="R508">
        <f t="shared" ca="1" si="162"/>
        <v>1.7677060535010949</v>
      </c>
      <c r="T508">
        <f t="shared" si="163"/>
        <v>1.0343163060947655</v>
      </c>
      <c r="U508" s="6">
        <f t="shared" ca="1" si="164"/>
        <v>1.2246040095374096</v>
      </c>
      <c r="V508">
        <f t="shared" ca="1" si="165"/>
        <v>0.45832676962762375</v>
      </c>
      <c r="X508" t="b">
        <f t="shared" ca="1" si="166"/>
        <v>0</v>
      </c>
      <c r="BJ508" t="b">
        <f t="shared" si="147"/>
        <v>1</v>
      </c>
      <c r="BK508" t="b">
        <f t="shared" ca="1" si="148"/>
        <v>0</v>
      </c>
    </row>
    <row r="509" spans="1:63" x14ac:dyDescent="0.45">
      <c r="A509" s="1">
        <v>44497</v>
      </c>
      <c r="B509">
        <v>359.01299999999998</v>
      </c>
      <c r="C509" s="1">
        <v>44497</v>
      </c>
      <c r="D509">
        <v>458.32</v>
      </c>
      <c r="E509">
        <f t="shared" si="149"/>
        <v>3.7750792737741838E-2</v>
      </c>
      <c r="F509" s="4">
        <f t="shared" si="150"/>
        <v>9.6488522712252622E-3</v>
      </c>
      <c r="G509">
        <f t="shared" ca="1" si="151"/>
        <v>1.6603814306886287E-3</v>
      </c>
      <c r="H509">
        <f t="shared" ca="1" si="152"/>
        <v>3.2136507966606401E-2</v>
      </c>
      <c r="I509">
        <f t="shared" ca="1" si="153"/>
        <v>1.2205107068496732</v>
      </c>
      <c r="J509">
        <f t="shared" ca="1" si="154"/>
        <v>7.1154912449635814</v>
      </c>
      <c r="K509">
        <f t="shared" ca="1" si="155"/>
        <v>0.9746626547633781</v>
      </c>
      <c r="L509">
        <f t="shared" ca="1" si="156"/>
        <v>1.2229402636184359</v>
      </c>
      <c r="M509">
        <f t="shared" ca="1" si="157"/>
        <v>9.7199298491512014E-4</v>
      </c>
      <c r="N509">
        <f t="shared" ca="1" si="158"/>
        <v>7.990717323348627E-3</v>
      </c>
      <c r="O509">
        <f t="shared" ca="1" si="159"/>
        <v>-0.39951366510089192</v>
      </c>
      <c r="P509">
        <f t="shared" ca="1" si="160"/>
        <v>0.87514830811376854</v>
      </c>
      <c r="Q509">
        <f t="shared" ca="1" si="161"/>
        <v>1.0949390450045211</v>
      </c>
      <c r="R509">
        <f t="shared" ca="1" si="162"/>
        <v>1.7652484392783445</v>
      </c>
      <c r="T509">
        <f t="shared" si="163"/>
        <v>1.0377507927377418</v>
      </c>
      <c r="U509" s="6">
        <f t="shared" ca="1" si="164"/>
        <v>1.2047416107382547</v>
      </c>
      <c r="V509">
        <f t="shared" ca="1" si="165"/>
        <v>0.43159955948858975</v>
      </c>
      <c r="X509" t="b">
        <f t="shared" ca="1" si="166"/>
        <v>0</v>
      </c>
      <c r="BJ509" t="b">
        <f t="shared" si="147"/>
        <v>1</v>
      </c>
      <c r="BK509" t="b">
        <f t="shared" ca="1" si="148"/>
        <v>0</v>
      </c>
    </row>
    <row r="510" spans="1:63" x14ac:dyDescent="0.45">
      <c r="A510" s="1">
        <v>44496</v>
      </c>
      <c r="B510">
        <v>345.95299999999997</v>
      </c>
      <c r="C510" s="1">
        <v>44496</v>
      </c>
      <c r="D510">
        <v>453.94</v>
      </c>
      <c r="E510">
        <f t="shared" si="149"/>
        <v>1.9076402819631372E-2</v>
      </c>
      <c r="F510" s="4">
        <f t="shared" si="150"/>
        <v>-4.4302131765943985E-3</v>
      </c>
      <c r="G510">
        <f t="shared" ca="1" si="151"/>
        <v>1.5008702278273337E-3</v>
      </c>
      <c r="H510">
        <f t="shared" ca="1" si="152"/>
        <v>3.2035486599704337E-2</v>
      </c>
      <c r="I510">
        <f t="shared" ca="1" si="153"/>
        <v>1.2399358655845758</v>
      </c>
      <c r="J510">
        <f t="shared" ca="1" si="154"/>
        <v>7.2609725642905714</v>
      </c>
      <c r="K510">
        <f t="shared" ca="1" si="155"/>
        <v>0.9746626547633781</v>
      </c>
      <c r="L510">
        <f t="shared" ca="1" si="156"/>
        <v>1.1988683598094827</v>
      </c>
      <c r="M510">
        <f t="shared" ca="1" si="157"/>
        <v>9.3721335908979121E-4</v>
      </c>
      <c r="N510">
        <f t="shared" ca="1" si="158"/>
        <v>7.9678666551108446E-3</v>
      </c>
      <c r="O510">
        <f t="shared" ca="1" si="159"/>
        <v>-0.39623732243001464</v>
      </c>
      <c r="P510">
        <f t="shared" ca="1" si="160"/>
        <v>0.90587201677931928</v>
      </c>
      <c r="Q510">
        <f t="shared" ca="1" si="161"/>
        <v>1.0949390450045211</v>
      </c>
      <c r="R510">
        <f t="shared" ca="1" si="162"/>
        <v>1.7356393186849826</v>
      </c>
      <c r="T510">
        <f t="shared" si="163"/>
        <v>1.0190764028196313</v>
      </c>
      <c r="U510" s="6">
        <f t="shared" ca="1" si="164"/>
        <v>1.1987283437283434</v>
      </c>
      <c r="V510">
        <f t="shared" ca="1" si="165"/>
        <v>0.42815432396828756</v>
      </c>
      <c r="X510" t="b">
        <f t="shared" ca="1" si="166"/>
        <v>0</v>
      </c>
      <c r="BJ510" t="b">
        <f t="shared" si="147"/>
        <v>1</v>
      </c>
      <c r="BK510" t="b">
        <f t="shared" ca="1" si="148"/>
        <v>0</v>
      </c>
    </row>
    <row r="511" spans="1:63" x14ac:dyDescent="0.45">
      <c r="A511" s="1">
        <v>44495</v>
      </c>
      <c r="B511">
        <v>339.47699999999998</v>
      </c>
      <c r="C511" s="1">
        <v>44495</v>
      </c>
      <c r="D511">
        <v>455.96</v>
      </c>
      <c r="E511">
        <f t="shared" si="149"/>
        <v>-6.2730519290440517E-3</v>
      </c>
      <c r="F511" s="4">
        <f t="shared" si="150"/>
        <v>9.0001097574353677E-4</v>
      </c>
      <c r="G511">
        <f t="shared" ca="1" si="151"/>
        <v>1.641252663778549E-3</v>
      </c>
      <c r="H511">
        <f t="shared" ca="1" si="152"/>
        <v>3.2174108168631838E-2</v>
      </c>
      <c r="I511">
        <f t="shared" ca="1" si="153"/>
        <v>1.2244288907146681</v>
      </c>
      <c r="J511">
        <f t="shared" ca="1" si="154"/>
        <v>7.0831012142013039</v>
      </c>
      <c r="K511">
        <f t="shared" ca="1" si="155"/>
        <v>0.97886825987884385</v>
      </c>
      <c r="L511">
        <f t="shared" ca="1" si="156"/>
        <v>1.1988683598094827</v>
      </c>
      <c r="M511">
        <f t="shared" ca="1" si="157"/>
        <v>9.6042069791369106E-4</v>
      </c>
      <c r="N511">
        <f t="shared" ca="1" si="158"/>
        <v>7.9589092142006972E-3</v>
      </c>
      <c r="O511">
        <f t="shared" ca="1" si="159"/>
        <v>-0.40485973888000992</v>
      </c>
      <c r="P511">
        <f t="shared" ca="1" si="160"/>
        <v>0.92738623363573103</v>
      </c>
      <c r="Q511">
        <f t="shared" ca="1" si="161"/>
        <v>1.0949390450045211</v>
      </c>
      <c r="R511">
        <f t="shared" ca="1" si="162"/>
        <v>1.7380557104971792</v>
      </c>
      <c r="T511">
        <f t="shared" si="163"/>
        <v>0.99372694807095596</v>
      </c>
      <c r="U511" s="6">
        <f t="shared" ca="1" si="164"/>
        <v>1.178371342288868</v>
      </c>
      <c r="V511">
        <f t="shared" ca="1" si="165"/>
        <v>0.43117595639387141</v>
      </c>
      <c r="X511" t="b">
        <f t="shared" ca="1" si="166"/>
        <v>0</v>
      </c>
      <c r="BJ511" t="b">
        <f t="shared" si="147"/>
        <v>1</v>
      </c>
      <c r="BK511" t="b">
        <f t="shared" ca="1" si="148"/>
        <v>0</v>
      </c>
    </row>
    <row r="512" spans="1:63" x14ac:dyDescent="0.45">
      <c r="A512" s="1">
        <v>44494</v>
      </c>
      <c r="B512">
        <v>341.62</v>
      </c>
      <c r="C512" s="1">
        <v>44494</v>
      </c>
      <c r="D512">
        <v>455.55</v>
      </c>
      <c r="E512">
        <f t="shared" si="149"/>
        <v>0.12661471438889027</v>
      </c>
      <c r="F512" s="4">
        <f t="shared" si="150"/>
        <v>5.3628177966101847E-3</v>
      </c>
      <c r="G512">
        <f t="shared" ca="1" si="151"/>
        <v>1.2815529476277654E-3</v>
      </c>
      <c r="H512">
        <f t="shared" ca="1" si="152"/>
        <v>3.2661478390036663E-2</v>
      </c>
      <c r="I512">
        <f t="shared" ca="1" si="153"/>
        <v>1.1296946689182645</v>
      </c>
      <c r="J512">
        <f t="shared" ca="1" si="154"/>
        <v>6.726991063011412</v>
      </c>
      <c r="K512">
        <f t="shared" ca="1" si="155"/>
        <v>0.97361631793805592</v>
      </c>
      <c r="L512">
        <f t="shared" ca="1" si="156"/>
        <v>1.1360353065795004</v>
      </c>
      <c r="M512">
        <f t="shared" ca="1" si="157"/>
        <v>9.222166090424223E-4</v>
      </c>
      <c r="N512">
        <f t="shared" ca="1" si="158"/>
        <v>7.9775174931135794E-3</v>
      </c>
      <c r="O512">
        <f t="shared" ca="1" si="159"/>
        <v>-0.39208763464102875</v>
      </c>
      <c r="P512">
        <f t="shared" ca="1" si="160"/>
        <v>0.88713763193176742</v>
      </c>
      <c r="Q512">
        <f t="shared" ca="1" si="161"/>
        <v>1.0949390450045211</v>
      </c>
      <c r="R512">
        <f t="shared" ca="1" si="162"/>
        <v>1.7356393186849826</v>
      </c>
      <c r="T512">
        <f t="shared" si="163"/>
        <v>1.1266147143888903</v>
      </c>
      <c r="U512" s="6">
        <f t="shared" ca="1" si="164"/>
        <v>1.1778497226215965</v>
      </c>
      <c r="V512">
        <f t="shared" ca="1" si="165"/>
        <v>0.45045028454736391</v>
      </c>
      <c r="X512" t="b">
        <f t="shared" ca="1" si="166"/>
        <v>0</v>
      </c>
      <c r="BJ512" t="b">
        <f t="shared" si="147"/>
        <v>1</v>
      </c>
      <c r="BK512" t="b">
        <f t="shared" ca="1" si="148"/>
        <v>0</v>
      </c>
    </row>
    <row r="513" spans="1:63" x14ac:dyDescent="0.45">
      <c r="A513" s="1">
        <v>44491</v>
      </c>
      <c r="B513">
        <v>303.22699999999998</v>
      </c>
      <c r="C513" s="1">
        <v>44491</v>
      </c>
      <c r="D513">
        <v>453.12</v>
      </c>
      <c r="E513">
        <f t="shared" si="149"/>
        <v>1.7540268456375758E-2</v>
      </c>
      <c r="F513" s="4">
        <f t="shared" si="150"/>
        <v>-1.0361780462531591E-3</v>
      </c>
      <c r="G513">
        <f t="shared" ca="1" si="151"/>
        <v>1.0405010805283011E-3</v>
      </c>
      <c r="H513">
        <f t="shared" ca="1" si="152"/>
        <v>3.1900880080229607E-2</v>
      </c>
      <c r="I513">
        <f t="shared" ca="1" si="153"/>
        <v>0.99923766756157051</v>
      </c>
      <c r="J513">
        <f t="shared" ca="1" si="154"/>
        <v>6.6663200752135632</v>
      </c>
      <c r="K513">
        <f t="shared" ca="1" si="155"/>
        <v>0.97361631793805592</v>
      </c>
      <c r="L513">
        <f t="shared" ca="1" si="156"/>
        <v>1.1360353065795004</v>
      </c>
      <c r="M513">
        <f t="shared" ca="1" si="157"/>
        <v>9.23891045514396E-4</v>
      </c>
      <c r="N513">
        <f t="shared" ca="1" si="158"/>
        <v>7.9784893205602607E-3</v>
      </c>
      <c r="O513">
        <f t="shared" ca="1" si="159"/>
        <v>-0.39236704091574831</v>
      </c>
      <c r="P513">
        <f t="shared" ca="1" si="160"/>
        <v>0.88572531933866783</v>
      </c>
      <c r="Q513">
        <f t="shared" ca="1" si="161"/>
        <v>1.0949390450045211</v>
      </c>
      <c r="R513">
        <f t="shared" ca="1" si="162"/>
        <v>1.7356393186849826</v>
      </c>
      <c r="T513">
        <f t="shared" si="163"/>
        <v>1.0175402684563757</v>
      </c>
      <c r="U513" s="6">
        <f t="shared" ca="1" si="164"/>
        <v>1.0790612433721218</v>
      </c>
      <c r="V513">
        <f t="shared" ca="1" si="165"/>
        <v>0.43183723603828361</v>
      </c>
      <c r="X513" t="b">
        <f t="shared" ca="1" si="166"/>
        <v>0</v>
      </c>
      <c r="BJ513" t="b">
        <f t="shared" si="147"/>
        <v>1</v>
      </c>
      <c r="BK513" t="b">
        <f t="shared" ca="1" si="148"/>
        <v>0</v>
      </c>
    </row>
    <row r="514" spans="1:63" x14ac:dyDescent="0.45">
      <c r="A514" s="1">
        <v>44490</v>
      </c>
      <c r="B514">
        <v>298</v>
      </c>
      <c r="C514" s="1">
        <v>44490</v>
      </c>
      <c r="D514">
        <v>453.59</v>
      </c>
      <c r="E514">
        <f t="shared" si="149"/>
        <v>3.2571032571032492E-2</v>
      </c>
      <c r="F514" s="4">
        <f t="shared" si="150"/>
        <v>2.6082535752966333E-3</v>
      </c>
      <c r="G514">
        <f t="shared" ca="1" si="151"/>
        <v>1.3500329947257689E-3</v>
      </c>
      <c r="H514">
        <f t="shared" ca="1" si="152"/>
        <v>3.2358830153809651E-2</v>
      </c>
      <c r="I514">
        <f t="shared" ca="1" si="153"/>
        <v>0.99995808910664519</v>
      </c>
      <c r="J514">
        <f t="shared" ca="1" si="154"/>
        <v>6.2666502583868438</v>
      </c>
      <c r="K514">
        <f t="shared" ca="1" si="155"/>
        <v>0.97546061462774403</v>
      </c>
      <c r="L514">
        <f t="shared" ca="1" si="156"/>
        <v>1.1360353065795004</v>
      </c>
      <c r="M514">
        <f t="shared" ca="1" si="157"/>
        <v>1.0033591797558347E-3</v>
      </c>
      <c r="N514">
        <f t="shared" ca="1" si="158"/>
        <v>8.0378005191232421E-3</v>
      </c>
      <c r="O514">
        <f t="shared" ca="1" si="159"/>
        <v>-0.38719098386816581</v>
      </c>
      <c r="P514">
        <f t="shared" ca="1" si="160"/>
        <v>0.83272871690726236</v>
      </c>
      <c r="Q514">
        <f t="shared" ca="1" si="161"/>
        <v>1.1051755956131724</v>
      </c>
      <c r="R514">
        <f t="shared" ca="1" si="162"/>
        <v>1.7652484392783445</v>
      </c>
      <c r="T514">
        <f t="shared" si="163"/>
        <v>1.0325710325710324</v>
      </c>
      <c r="U514" s="6">
        <f t="shared" ca="1" si="164"/>
        <v>1.0924834936009062</v>
      </c>
      <c r="V514">
        <f t="shared" ca="1" si="165"/>
        <v>0.43553267804153151</v>
      </c>
      <c r="X514" t="b">
        <f t="shared" ca="1" si="166"/>
        <v>0</v>
      </c>
      <c r="BJ514" t="b">
        <f t="shared" ref="BJ514:BJ577" si="167">ABS(W514-1)&gt;$S$21</f>
        <v>1</v>
      </c>
      <c r="BK514" t="b">
        <f t="shared" ref="BK514:BK577" ca="1" si="168">AND(X514,BJ514)</f>
        <v>0</v>
      </c>
    </row>
    <row r="515" spans="1:63" x14ac:dyDescent="0.45">
      <c r="A515" s="1">
        <v>44489</v>
      </c>
      <c r="B515">
        <v>288.60000000000002</v>
      </c>
      <c r="C515" s="1">
        <v>44489</v>
      </c>
      <c r="D515">
        <v>452.41</v>
      </c>
      <c r="E515">
        <f t="shared" ref="E515:E578" si="169">(B515-B516)/B516</f>
        <v>1.7702801207957505E-3</v>
      </c>
      <c r="F515" s="4">
        <f t="shared" ref="F515:F578" si="170">(D515-D516)/D516</f>
        <v>3.9277472039766529E-3</v>
      </c>
      <c r="G515">
        <f t="shared" ref="G515:G578" ca="1" si="171">AVERAGE(OFFSET(E515,0,0,$S$3,1))*$AK$25</f>
        <v>1.3291155800474114E-3</v>
      </c>
      <c r="H515">
        <f t="shared" ref="H515:H578" ca="1" si="172">STDEV(OFFSET(E515,0,0,$S$3,1))*$AJ$25</f>
        <v>3.2339893443511548E-2</v>
      </c>
      <c r="I515">
        <f t="shared" ref="I515:I578" ca="1" si="173">SKEW(OFFSET(E515,0,0,$S$3,1))*$AI$25</f>
        <v>1.002074815606528</v>
      </c>
      <c r="J515">
        <f t="shared" ref="J515:J578" ca="1" si="174">KURT(OFFSET(E515,0,0,$S$3,1))*$AH$25</f>
        <v>6.2891553011900916</v>
      </c>
      <c r="K515">
        <f t="shared" ref="K515:K578" ca="1" si="175">PERCENTILE(OFFSET(E515,0,0,$S$3,1), 0.95)/ABS(PERCENTILE(OFFSET(E515,0,0,$S$3,1), 0.05))*$AG$25</f>
        <v>0.97546061462774403</v>
      </c>
      <c r="L515">
        <f t="shared" ref="L515:L578" ca="1" si="176">PERCENTILE(OFFSET(E515,0,0,$S$3,1), 0.75)/ABS(PERCENTILE(OFFSET(E515,0,0,$S$3,1), 0.25))*$AF$25</f>
        <v>1.1360353065795004</v>
      </c>
      <c r="M515">
        <f t="shared" ref="M515:M578" ca="1" si="177">AVERAGE(OFFSET(F515,0,0,$S$3,1))*$AE$25</f>
        <v>1.0202104602864291E-3</v>
      </c>
      <c r="N515">
        <f t="shared" ref="N515:N578" ca="1" si="178">STDEV(OFFSET(F515,0,0,$S$3,1))*$AD$25</f>
        <v>8.044712000560535E-3</v>
      </c>
      <c r="O515">
        <f t="shared" ref="O515:O578" ca="1" si="179">SKEW(OFFSET(F515,0,0,$S$3,1))*$AC$25</f>
        <v>-0.39138118808049538</v>
      </c>
      <c r="P515">
        <f t="shared" ref="P515:P578" ca="1" si="180">KURT(OFFSET(F515,0,0,$S$3,1))*$AB$25</f>
        <v>0.82348544910475985</v>
      </c>
      <c r="Q515">
        <f t="shared" ref="Q515:Q578" ca="1" si="181">PERCENTILE(OFFSET(F515,0,0,$S$3,1), 0.95)/ABS(PERCENTILE(OFFSET(F515,0,0,$S$3,1), 0.05))*$AA$25</f>
        <v>1.1051755956131724</v>
      </c>
      <c r="R515">
        <f t="shared" ref="R515:R578" ca="1" si="182">PERCENTILE(OFFSET(F515,0,0,$S$3,1), 0.75)/ABS(PERCENTILE(OFFSET(F515,0,0,$S$3,1), 0.25))*$Z$25</f>
        <v>1.7685316534593494</v>
      </c>
      <c r="T515">
        <f t="shared" ref="T515:T578" si="183">E515+1</f>
        <v>1.0017702801207957</v>
      </c>
      <c r="U515" s="6">
        <f t="shared" ref="U515:U578" ca="1" si="184">PRODUCT(OFFSET(T515,0,0,$S$6,1))</f>
        <v>1.0674656014203285</v>
      </c>
      <c r="V515">
        <f t="shared" ref="V515:V578" ca="1" si="185">OFFSET(G515,$S$6,0) * $AK$2+ OFFSET(H515,$S$6,0)  * $AJ$2 + OFFSET(I515,$S$6,0) * $AI$2 + OFFSET(J515,$S$6,0) * $AH$2 + OFFSET(K515,$S$6,0) * $AG$2 + OFFSET(L515,$S$6,0) * $AF$2 + OFFSET(M515,$S$6,0) * $AE$2 + OFFSET(N515,$S$6,0) * $AD$2 + OFFSET(O515,$S$6,0) * $AC$2 + OFFSET(P515,$S$6,0) * $AB$2 +  OFFSET(Q515,$S$6,0) * $AA$2 + OFFSET(R515,$S$6,0)  * $Z$2  + AL$2</f>
        <v>0.45631898623224698</v>
      </c>
      <c r="X515" t="b">
        <f t="shared" ref="X515:X578" ca="1" si="186">OR(AND(U515&gt;1, W515&gt;1), AND(U515&lt;1, W515&lt;1))</f>
        <v>0</v>
      </c>
      <c r="BJ515" t="b">
        <f t="shared" si="167"/>
        <v>1</v>
      </c>
      <c r="BK515" t="b">
        <f t="shared" ca="1" si="168"/>
        <v>0</v>
      </c>
    </row>
    <row r="516" spans="1:63" x14ac:dyDescent="0.45">
      <c r="A516" s="1">
        <v>44488</v>
      </c>
      <c r="B516">
        <v>288.08999999999997</v>
      </c>
      <c r="C516" s="1">
        <v>44488</v>
      </c>
      <c r="D516">
        <v>450.64</v>
      </c>
      <c r="E516">
        <f t="shared" si="169"/>
        <v>-6.7129366253271235E-3</v>
      </c>
      <c r="F516" s="4">
        <f t="shared" si="170"/>
        <v>7.7148415662246219E-3</v>
      </c>
      <c r="G516">
        <f t="shared" ca="1" si="171"/>
        <v>1.3568509991444076E-3</v>
      </c>
      <c r="H516">
        <f t="shared" ca="1" si="172"/>
        <v>3.2342652231577076E-2</v>
      </c>
      <c r="I516">
        <f t="shared" ca="1" si="173"/>
        <v>0.9992519794100323</v>
      </c>
      <c r="J516">
        <f t="shared" ca="1" si="174"/>
        <v>6.2824749917548681</v>
      </c>
      <c r="K516">
        <f t="shared" ca="1" si="175"/>
        <v>0.97546061462774403</v>
      </c>
      <c r="L516">
        <f t="shared" ca="1" si="176"/>
        <v>1.1360353065795004</v>
      </c>
      <c r="M516">
        <f t="shared" ca="1" si="177"/>
        <v>1.0350086666999084E-3</v>
      </c>
      <c r="N516">
        <f t="shared" ca="1" si="178"/>
        <v>8.0528053271990644E-3</v>
      </c>
      <c r="O516">
        <f t="shared" ca="1" si="179"/>
        <v>-0.39404669897562317</v>
      </c>
      <c r="P516">
        <f t="shared" ca="1" si="180"/>
        <v>0.81225978684516598</v>
      </c>
      <c r="Q516">
        <f t="shared" ca="1" si="181"/>
        <v>1.1051755956131724</v>
      </c>
      <c r="R516">
        <f t="shared" ca="1" si="182"/>
        <v>1.8305062945662474</v>
      </c>
      <c r="T516">
        <f t="shared" si="183"/>
        <v>0.99328706337467287</v>
      </c>
      <c r="U516" s="6">
        <f t="shared" ca="1" si="184"/>
        <v>1.0726692556586108</v>
      </c>
      <c r="V516">
        <f t="shared" ca="1" si="185"/>
        <v>0.45218385280248363</v>
      </c>
      <c r="X516" t="b">
        <f t="shared" ca="1" si="186"/>
        <v>0</v>
      </c>
      <c r="BJ516" t="b">
        <f t="shared" si="167"/>
        <v>1</v>
      </c>
      <c r="BK516" t="b">
        <f t="shared" ca="1" si="168"/>
        <v>0</v>
      </c>
    </row>
    <row r="517" spans="1:63" x14ac:dyDescent="0.45">
      <c r="A517" s="1">
        <v>44487</v>
      </c>
      <c r="B517">
        <v>290.03699999999998</v>
      </c>
      <c r="C517" s="1">
        <v>44487</v>
      </c>
      <c r="D517">
        <v>447.19</v>
      </c>
      <c r="E517">
        <f t="shared" si="169"/>
        <v>3.212341197822137E-2</v>
      </c>
      <c r="F517" s="4">
        <f t="shared" si="170"/>
        <v>2.9605041828335461E-3</v>
      </c>
      <c r="G517">
        <f t="shared" ca="1" si="171"/>
        <v>1.561189798747748E-3</v>
      </c>
      <c r="H517">
        <f t="shared" ca="1" si="172"/>
        <v>3.242041807834864E-2</v>
      </c>
      <c r="I517">
        <f t="shared" ca="1" si="173"/>
        <v>0.97831256959847035</v>
      </c>
      <c r="J517">
        <f t="shared" ca="1" si="174"/>
        <v>6.1732888509654318</v>
      </c>
      <c r="K517">
        <f t="shared" ca="1" si="175"/>
        <v>0.97546061462774403</v>
      </c>
      <c r="L517">
        <f t="shared" ca="1" si="176"/>
        <v>1.181881444424288</v>
      </c>
      <c r="M517">
        <f t="shared" ca="1" si="177"/>
        <v>9.283644898947838E-4</v>
      </c>
      <c r="N517">
        <f t="shared" ca="1" si="178"/>
        <v>8.1049601920962604E-3</v>
      </c>
      <c r="O517">
        <f t="shared" ca="1" si="179"/>
        <v>-0.37942515739994415</v>
      </c>
      <c r="P517">
        <f t="shared" ca="1" si="180"/>
        <v>0.74534203958476164</v>
      </c>
      <c r="Q517">
        <f t="shared" ca="1" si="181"/>
        <v>1.0765429098714192</v>
      </c>
      <c r="R517">
        <f t="shared" ca="1" si="182"/>
        <v>1.7572847483895497</v>
      </c>
      <c r="T517">
        <f t="shared" si="183"/>
        <v>1.0321234119782214</v>
      </c>
      <c r="U517" s="6">
        <f t="shared" ca="1" si="184"/>
        <v>1.0987082354723843</v>
      </c>
      <c r="V517">
        <f t="shared" ca="1" si="185"/>
        <v>0.45612828627922963</v>
      </c>
      <c r="X517" t="b">
        <f t="shared" ca="1" si="186"/>
        <v>0</v>
      </c>
      <c r="BJ517" t="b">
        <f t="shared" si="167"/>
        <v>1</v>
      </c>
      <c r="BK517" t="b">
        <f t="shared" ca="1" si="168"/>
        <v>0</v>
      </c>
    </row>
    <row r="518" spans="1:63" x14ac:dyDescent="0.45">
      <c r="A518" s="1">
        <v>44484</v>
      </c>
      <c r="B518">
        <v>281.01</v>
      </c>
      <c r="C518" s="1">
        <v>44484</v>
      </c>
      <c r="D518">
        <v>445.87</v>
      </c>
      <c r="E518">
        <f t="shared" si="169"/>
        <v>3.0197270257686669E-2</v>
      </c>
      <c r="F518" s="4">
        <f t="shared" si="170"/>
        <v>7.6158192090395585E-3</v>
      </c>
      <c r="G518">
        <f t="shared" ca="1" si="171"/>
        <v>1.4789429832077238E-3</v>
      </c>
      <c r="H518">
        <f t="shared" ca="1" si="172"/>
        <v>3.2363310436969987E-2</v>
      </c>
      <c r="I518">
        <f t="shared" ca="1" si="173"/>
        <v>0.98734795026595401</v>
      </c>
      <c r="J518">
        <f t="shared" ca="1" si="174"/>
        <v>6.2448014624363841</v>
      </c>
      <c r="K518">
        <f t="shared" ca="1" si="175"/>
        <v>0.97546061462774403</v>
      </c>
      <c r="L518">
        <f t="shared" ca="1" si="176"/>
        <v>1.1360353065795004</v>
      </c>
      <c r="M518">
        <f t="shared" ca="1" si="177"/>
        <v>9.389658776878389E-4</v>
      </c>
      <c r="N518">
        <f t="shared" ca="1" si="178"/>
        <v>8.1090172721211499E-3</v>
      </c>
      <c r="O518">
        <f t="shared" ca="1" si="179"/>
        <v>-0.38221595264108121</v>
      </c>
      <c r="P518">
        <f t="shared" ca="1" si="180"/>
        <v>0.74012517632345887</v>
      </c>
      <c r="Q518">
        <f t="shared" ca="1" si="181"/>
        <v>1.0765429098714192</v>
      </c>
      <c r="R518">
        <f t="shared" ca="1" si="182"/>
        <v>1.7572847483895497</v>
      </c>
      <c r="T518">
        <f t="shared" si="183"/>
        <v>1.0301972702576867</v>
      </c>
      <c r="U518" s="6">
        <f t="shared" ca="1" si="184"/>
        <v>1.0732536378566244</v>
      </c>
      <c r="V518">
        <f t="shared" ca="1" si="185"/>
        <v>0.45731175141195324</v>
      </c>
      <c r="X518" t="b">
        <f t="shared" ca="1" si="186"/>
        <v>0</v>
      </c>
      <c r="BJ518" t="b">
        <f t="shared" si="167"/>
        <v>1</v>
      </c>
      <c r="BK518" t="b">
        <f t="shared" ca="1" si="168"/>
        <v>0</v>
      </c>
    </row>
    <row r="519" spans="1:63" x14ac:dyDescent="0.45">
      <c r="A519" s="1">
        <v>44483</v>
      </c>
      <c r="B519">
        <v>272.77300000000002</v>
      </c>
      <c r="C519" s="1">
        <v>44483</v>
      </c>
      <c r="D519">
        <v>442.5</v>
      </c>
      <c r="E519">
        <f t="shared" si="169"/>
        <v>8.925136854564324E-3</v>
      </c>
      <c r="F519" s="4">
        <f t="shared" si="170"/>
        <v>1.6820625947883618E-2</v>
      </c>
      <c r="G519">
        <f t="shared" ca="1" si="171"/>
        <v>1.5440856787082102E-3</v>
      </c>
      <c r="H519">
        <f t="shared" ca="1" si="172"/>
        <v>3.2434440907697995E-2</v>
      </c>
      <c r="I519">
        <f t="shared" ca="1" si="173"/>
        <v>0.98208001409869439</v>
      </c>
      <c r="J519">
        <f t="shared" ca="1" si="174"/>
        <v>6.1665261253913561</v>
      </c>
      <c r="K519">
        <f t="shared" ca="1" si="175"/>
        <v>0.97546061462774403</v>
      </c>
      <c r="L519">
        <f t="shared" ca="1" si="176"/>
        <v>1.1360353065795004</v>
      </c>
      <c r="M519">
        <f t="shared" ca="1" si="177"/>
        <v>9.0802079338011003E-4</v>
      </c>
      <c r="N519">
        <f t="shared" ca="1" si="178"/>
        <v>8.0952067699984111E-3</v>
      </c>
      <c r="O519">
        <f t="shared" ca="1" si="179"/>
        <v>-0.37543857293604327</v>
      </c>
      <c r="P519">
        <f t="shared" ca="1" si="180"/>
        <v>0.75768216520013221</v>
      </c>
      <c r="Q519">
        <f t="shared" ca="1" si="181"/>
        <v>1.0765429098714192</v>
      </c>
      <c r="R519">
        <f t="shared" ca="1" si="182"/>
        <v>1.7361190372998008</v>
      </c>
      <c r="T519">
        <f t="shared" si="183"/>
        <v>1.0089251368545644</v>
      </c>
      <c r="U519" s="6">
        <f t="shared" ca="1" si="184"/>
        <v>1.0311336410407619</v>
      </c>
      <c r="V519">
        <f t="shared" ca="1" si="185"/>
        <v>0.45951862946881794</v>
      </c>
      <c r="X519" t="b">
        <f t="shared" ca="1" si="186"/>
        <v>0</v>
      </c>
      <c r="BJ519" t="b">
        <f t="shared" si="167"/>
        <v>1</v>
      </c>
      <c r="BK519" t="b">
        <f t="shared" ca="1" si="168"/>
        <v>0</v>
      </c>
    </row>
    <row r="520" spans="1:63" x14ac:dyDescent="0.45">
      <c r="A520" s="1">
        <v>44482</v>
      </c>
      <c r="B520">
        <v>270.36</v>
      </c>
      <c r="C520" s="1">
        <v>44482</v>
      </c>
      <c r="D520">
        <v>435.18</v>
      </c>
      <c r="E520">
        <f t="shared" si="169"/>
        <v>6.6536844731228924E-3</v>
      </c>
      <c r="F520" s="4">
        <f t="shared" si="170"/>
        <v>3.5976200359762057E-3</v>
      </c>
      <c r="G520">
        <f t="shared" ca="1" si="171"/>
        <v>1.5167948947653626E-3</v>
      </c>
      <c r="H520">
        <f t="shared" ca="1" si="172"/>
        <v>3.2430495225292184E-2</v>
      </c>
      <c r="I520">
        <f t="shared" ca="1" si="173"/>
        <v>0.98492977992884889</v>
      </c>
      <c r="J520">
        <f t="shared" ca="1" si="174"/>
        <v>6.1743746679470162</v>
      </c>
      <c r="K520">
        <f t="shared" ca="1" si="175"/>
        <v>0.97546061462774403</v>
      </c>
      <c r="L520">
        <f t="shared" ca="1" si="176"/>
        <v>1.1360353065795004</v>
      </c>
      <c r="M520">
        <f t="shared" ca="1" si="177"/>
        <v>8.1437901194926022E-4</v>
      </c>
      <c r="N520">
        <f t="shared" ca="1" si="178"/>
        <v>8.0181658863871918E-3</v>
      </c>
      <c r="O520">
        <f t="shared" ca="1" si="179"/>
        <v>-0.39086746128934646</v>
      </c>
      <c r="P520">
        <f t="shared" ca="1" si="180"/>
        <v>0.806250871217149</v>
      </c>
      <c r="Q520">
        <f t="shared" ca="1" si="181"/>
        <v>1.0665715659302157</v>
      </c>
      <c r="R520">
        <f t="shared" ca="1" si="182"/>
        <v>1.7246015910794412</v>
      </c>
      <c r="T520">
        <f t="shared" si="183"/>
        <v>1.0066536844731229</v>
      </c>
      <c r="U520" s="6">
        <f t="shared" ca="1" si="184"/>
        <v>1.0361915858299766</v>
      </c>
      <c r="V520">
        <f t="shared" ca="1" si="185"/>
        <v>0.50155548277954454</v>
      </c>
      <c r="X520" t="b">
        <f t="shared" ca="1" si="186"/>
        <v>0</v>
      </c>
      <c r="BJ520" t="b">
        <f t="shared" si="167"/>
        <v>1</v>
      </c>
      <c r="BK520" t="b">
        <f t="shared" ca="1" si="168"/>
        <v>0</v>
      </c>
    </row>
    <row r="521" spans="1:63" x14ac:dyDescent="0.45">
      <c r="A521" s="1">
        <v>44481</v>
      </c>
      <c r="B521">
        <v>268.57299999999998</v>
      </c>
      <c r="C521" s="1">
        <v>44481</v>
      </c>
      <c r="D521">
        <v>433.62</v>
      </c>
      <c r="E521">
        <f t="shared" si="169"/>
        <v>1.7399045382225777E-2</v>
      </c>
      <c r="F521" s="4">
        <f t="shared" si="170"/>
        <v>-2.4615243046768806E-3</v>
      </c>
      <c r="G521">
        <f t="shared" ca="1" si="171"/>
        <v>1.4980330230140095E-3</v>
      </c>
      <c r="H521">
        <f t="shared" ca="1" si="172"/>
        <v>3.2428593835955151E-2</v>
      </c>
      <c r="I521">
        <f t="shared" ca="1" si="173"/>
        <v>0.98683646879421405</v>
      </c>
      <c r="J521">
        <f t="shared" ca="1" si="174"/>
        <v>6.1788621114629629</v>
      </c>
      <c r="K521">
        <f t="shared" ca="1" si="175"/>
        <v>0.97546061462774403</v>
      </c>
      <c r="L521">
        <f t="shared" ca="1" si="176"/>
        <v>1.1360353065795004</v>
      </c>
      <c r="M521">
        <f t="shared" ca="1" si="177"/>
        <v>8.3934484130867464E-4</v>
      </c>
      <c r="N521">
        <f t="shared" ca="1" si="178"/>
        <v>8.0346320949155753E-3</v>
      </c>
      <c r="O521">
        <f t="shared" ca="1" si="179"/>
        <v>-0.39349421785624011</v>
      </c>
      <c r="P521">
        <f t="shared" ca="1" si="180"/>
        <v>0.78417087179953437</v>
      </c>
      <c r="Q521">
        <f t="shared" ca="1" si="181"/>
        <v>1.0665715659302157</v>
      </c>
      <c r="R521">
        <f t="shared" ca="1" si="182"/>
        <v>1.7361190372998008</v>
      </c>
      <c r="T521">
        <f t="shared" si="183"/>
        <v>1.0173990453822257</v>
      </c>
      <c r="U521" s="6">
        <f t="shared" ca="1" si="184"/>
        <v>1.0321909937470455</v>
      </c>
      <c r="V521">
        <f t="shared" ca="1" si="185"/>
        <v>0.52857279610141072</v>
      </c>
      <c r="X521" t="b">
        <f t="shared" ca="1" si="186"/>
        <v>0</v>
      </c>
      <c r="BJ521" t="b">
        <f t="shared" si="167"/>
        <v>1</v>
      </c>
      <c r="BK521" t="b">
        <f t="shared" ca="1" si="168"/>
        <v>0</v>
      </c>
    </row>
    <row r="522" spans="1:63" x14ac:dyDescent="0.45">
      <c r="A522" s="1">
        <v>44480</v>
      </c>
      <c r="B522">
        <v>263.98</v>
      </c>
      <c r="C522" s="1">
        <v>44480</v>
      </c>
      <c r="D522">
        <v>434.69</v>
      </c>
      <c r="E522">
        <f t="shared" si="169"/>
        <v>8.2114349005080935E-3</v>
      </c>
      <c r="F522" s="4">
        <f t="shared" si="170"/>
        <v>-7.2397569999543597E-3</v>
      </c>
      <c r="G522">
        <f t="shared" ca="1" si="171"/>
        <v>1.533247272852197E-3</v>
      </c>
      <c r="H522">
        <f t="shared" ca="1" si="172"/>
        <v>3.2449764542435366E-2</v>
      </c>
      <c r="I522">
        <f t="shared" ca="1" si="173"/>
        <v>0.98281476482020924</v>
      </c>
      <c r="J522">
        <f t="shared" ca="1" si="174"/>
        <v>6.1514482311869765</v>
      </c>
      <c r="K522">
        <f t="shared" ca="1" si="175"/>
        <v>0.97546061462774403</v>
      </c>
      <c r="L522">
        <f t="shared" ca="1" si="176"/>
        <v>1.1614178989601132</v>
      </c>
      <c r="M522">
        <f t="shared" ca="1" si="177"/>
        <v>8.711045399874309E-4</v>
      </c>
      <c r="N522">
        <f t="shared" ca="1" si="178"/>
        <v>8.0340728002431076E-3</v>
      </c>
      <c r="O522">
        <f t="shared" ca="1" si="179"/>
        <v>-0.40492558604382595</v>
      </c>
      <c r="P522">
        <f t="shared" ca="1" si="180"/>
        <v>0.79163388059932682</v>
      </c>
      <c r="Q522">
        <f t="shared" ca="1" si="181"/>
        <v>1.0665715659302157</v>
      </c>
      <c r="R522">
        <f t="shared" ca="1" si="182"/>
        <v>1.7361190372998008</v>
      </c>
      <c r="T522">
        <f t="shared" si="183"/>
        <v>1.008211434900508</v>
      </c>
      <c r="U522" s="6">
        <f t="shared" ca="1" si="184"/>
        <v>1.0133200261026449</v>
      </c>
      <c r="V522">
        <f t="shared" ca="1" si="185"/>
        <v>0.5263812559511597</v>
      </c>
      <c r="X522" t="b">
        <f t="shared" ca="1" si="186"/>
        <v>0</v>
      </c>
      <c r="BJ522" t="b">
        <f t="shared" si="167"/>
        <v>1</v>
      </c>
      <c r="BK522" t="b">
        <f t="shared" ca="1" si="168"/>
        <v>0</v>
      </c>
    </row>
    <row r="523" spans="1:63" x14ac:dyDescent="0.45">
      <c r="A523" s="1">
        <v>44477</v>
      </c>
      <c r="B523">
        <v>261.83</v>
      </c>
      <c r="C523" s="1">
        <v>44477</v>
      </c>
      <c r="D523">
        <v>437.86</v>
      </c>
      <c r="E523">
        <f t="shared" si="169"/>
        <v>-1.0232973081270271E-2</v>
      </c>
      <c r="F523" s="4">
        <f t="shared" si="170"/>
        <v>-1.8237359230383699E-3</v>
      </c>
      <c r="G523">
        <f t="shared" ca="1" si="171"/>
        <v>1.5362291338010803E-3</v>
      </c>
      <c r="H523">
        <f t="shared" ca="1" si="172"/>
        <v>3.2450408689986873E-2</v>
      </c>
      <c r="I523">
        <f t="shared" ca="1" si="173"/>
        <v>0.98249072721684272</v>
      </c>
      <c r="J523">
        <f t="shared" ca="1" si="174"/>
        <v>6.1503532682903232</v>
      </c>
      <c r="K523">
        <f t="shared" ca="1" si="175"/>
        <v>0.97546061462774403</v>
      </c>
      <c r="L523">
        <f t="shared" ca="1" si="176"/>
        <v>1.1614178989601132</v>
      </c>
      <c r="M523">
        <f t="shared" ca="1" si="177"/>
        <v>9.117962996087035E-4</v>
      </c>
      <c r="N523">
        <f t="shared" ca="1" si="178"/>
        <v>8.0133689623118794E-3</v>
      </c>
      <c r="O523">
        <f t="shared" ca="1" si="179"/>
        <v>-0.41819682699294064</v>
      </c>
      <c r="P523">
        <f t="shared" ca="1" si="180"/>
        <v>0.83451777162826479</v>
      </c>
      <c r="Q523">
        <f t="shared" ca="1" si="181"/>
        <v>1.0665715659302157</v>
      </c>
      <c r="R523">
        <f t="shared" ca="1" si="182"/>
        <v>1.7472304784138704</v>
      </c>
      <c r="T523">
        <f t="shared" si="183"/>
        <v>0.98976702691872975</v>
      </c>
      <c r="U523" s="6">
        <f t="shared" ca="1" si="184"/>
        <v>1.0132465451787296</v>
      </c>
      <c r="V523">
        <f t="shared" ca="1" si="185"/>
        <v>0.54079294228762353</v>
      </c>
      <c r="X523" t="b">
        <f t="shared" ca="1" si="186"/>
        <v>0</v>
      </c>
      <c r="BJ523" t="b">
        <f t="shared" si="167"/>
        <v>1</v>
      </c>
      <c r="BK523" t="b">
        <f t="shared" ca="1" si="168"/>
        <v>0</v>
      </c>
    </row>
    <row r="524" spans="1:63" x14ac:dyDescent="0.45">
      <c r="A524" s="1">
        <v>44476</v>
      </c>
      <c r="B524">
        <v>264.53699999999998</v>
      </c>
      <c r="C524" s="1">
        <v>44476</v>
      </c>
      <c r="D524">
        <v>438.66</v>
      </c>
      <c r="E524">
        <f t="shared" si="169"/>
        <v>1.3874143884836959E-2</v>
      </c>
      <c r="F524" s="4">
        <f t="shared" si="170"/>
        <v>8.6456656702691374E-3</v>
      </c>
      <c r="G524">
        <f t="shared" ca="1" si="171"/>
        <v>1.5141551477625042E-3</v>
      </c>
      <c r="H524">
        <f t="shared" ca="1" si="172"/>
        <v>3.2459954924750768E-2</v>
      </c>
      <c r="I524">
        <f t="shared" ca="1" si="173"/>
        <v>0.98329770439709896</v>
      </c>
      <c r="J524">
        <f t="shared" ca="1" si="174"/>
        <v>6.1424966944493038</v>
      </c>
      <c r="K524">
        <f t="shared" ca="1" si="175"/>
        <v>0.97546061462774403</v>
      </c>
      <c r="L524">
        <f t="shared" ca="1" si="176"/>
        <v>1.1614178989601132</v>
      </c>
      <c r="M524">
        <f t="shared" ca="1" si="177"/>
        <v>9.1248786021122736E-4</v>
      </c>
      <c r="N524">
        <f t="shared" ca="1" si="178"/>
        <v>8.0131376621024528E-3</v>
      </c>
      <c r="O524">
        <f t="shared" ca="1" si="179"/>
        <v>-0.41846545835479348</v>
      </c>
      <c r="P524">
        <f t="shared" ca="1" si="180"/>
        <v>0.8350999742869698</v>
      </c>
      <c r="Q524">
        <f t="shared" ca="1" si="181"/>
        <v>1.0665715659302157</v>
      </c>
      <c r="R524">
        <f t="shared" ca="1" si="182"/>
        <v>1.7472304784138704</v>
      </c>
      <c r="T524">
        <f t="shared" si="183"/>
        <v>1.0138741438848369</v>
      </c>
      <c r="U524" s="6">
        <f t="shared" ca="1" si="184"/>
        <v>1.0233816776469766</v>
      </c>
      <c r="V524">
        <f t="shared" ca="1" si="185"/>
        <v>0.54401005015155424</v>
      </c>
      <c r="X524" t="b">
        <f t="shared" ca="1" si="186"/>
        <v>0</v>
      </c>
      <c r="BJ524" t="b">
        <f t="shared" si="167"/>
        <v>1</v>
      </c>
      <c r="BK524" t="b">
        <f t="shared" ca="1" si="168"/>
        <v>0</v>
      </c>
    </row>
    <row r="525" spans="1:63" x14ac:dyDescent="0.45">
      <c r="A525" s="1">
        <v>44475</v>
      </c>
      <c r="B525">
        <v>260.91699999999997</v>
      </c>
      <c r="C525" s="1">
        <v>44475</v>
      </c>
      <c r="D525">
        <v>434.9</v>
      </c>
      <c r="E525">
        <f t="shared" si="169"/>
        <v>2.7671341329837409E-3</v>
      </c>
      <c r="F525" s="4">
        <f t="shared" si="170"/>
        <v>4.1560840452550324E-3</v>
      </c>
      <c r="G525">
        <f t="shared" ca="1" si="171"/>
        <v>1.1200294999281449E-3</v>
      </c>
      <c r="H525">
        <f t="shared" ca="1" si="172"/>
        <v>3.2786032745019567E-2</v>
      </c>
      <c r="I525">
        <f t="shared" ca="1" si="173"/>
        <v>0.9481185435027859</v>
      </c>
      <c r="J525">
        <f t="shared" ca="1" si="174"/>
        <v>5.9153695165505313</v>
      </c>
      <c r="K525">
        <f t="shared" ca="1" si="175"/>
        <v>0.97020473300854393</v>
      </c>
      <c r="L525">
        <f t="shared" ca="1" si="176"/>
        <v>1.0750678987751947</v>
      </c>
      <c r="M525">
        <f t="shared" ca="1" si="177"/>
        <v>8.5138207370938606E-4</v>
      </c>
      <c r="N525">
        <f t="shared" ca="1" si="178"/>
        <v>8.0004578388474107E-3</v>
      </c>
      <c r="O525">
        <f t="shared" ca="1" si="179"/>
        <v>-0.40279300434591464</v>
      </c>
      <c r="P525">
        <f t="shared" ca="1" si="180"/>
        <v>0.84283711306024234</v>
      </c>
      <c r="Q525">
        <f t="shared" ca="1" si="181"/>
        <v>1.0665715659302157</v>
      </c>
      <c r="R525">
        <f t="shared" ca="1" si="182"/>
        <v>1.7246015910794412</v>
      </c>
      <c r="T525">
        <f t="shared" si="183"/>
        <v>1.0027671341329838</v>
      </c>
      <c r="U525" s="6">
        <f t="shared" ca="1" si="184"/>
        <v>1.00184305609418</v>
      </c>
      <c r="V525">
        <f t="shared" ca="1" si="185"/>
        <v>0.54709132932767812</v>
      </c>
      <c r="X525" t="b">
        <f t="shared" ca="1" si="186"/>
        <v>0</v>
      </c>
      <c r="BJ525" t="b">
        <f t="shared" si="167"/>
        <v>1</v>
      </c>
      <c r="BK525" t="b">
        <f t="shared" ca="1" si="168"/>
        <v>0</v>
      </c>
    </row>
    <row r="526" spans="1:63" x14ac:dyDescent="0.45">
      <c r="A526" s="1">
        <v>44474</v>
      </c>
      <c r="B526">
        <v>260.197</v>
      </c>
      <c r="C526" s="1">
        <v>44474</v>
      </c>
      <c r="D526">
        <v>433.1</v>
      </c>
      <c r="E526">
        <f t="shared" si="169"/>
        <v>-1.2014893862039391E-3</v>
      </c>
      <c r="F526" s="4">
        <f t="shared" si="170"/>
        <v>1.0405001866368132E-2</v>
      </c>
      <c r="G526">
        <f t="shared" ca="1" si="171"/>
        <v>1.4042732591754536E-3</v>
      </c>
      <c r="H526">
        <f t="shared" ca="1" si="172"/>
        <v>3.3045785054012129E-2</v>
      </c>
      <c r="I526">
        <f t="shared" ca="1" si="173"/>
        <v>0.92802356743969117</v>
      </c>
      <c r="J526">
        <f t="shared" ca="1" si="174"/>
        <v>5.6547356365629371</v>
      </c>
      <c r="K526">
        <f t="shared" ca="1" si="175"/>
        <v>0.98697213709257048</v>
      </c>
      <c r="L526">
        <f t="shared" ca="1" si="176"/>
        <v>1.1646810579549496</v>
      </c>
      <c r="M526">
        <f t="shared" ca="1" si="177"/>
        <v>7.89499138976341E-4</v>
      </c>
      <c r="N526">
        <f t="shared" ca="1" si="178"/>
        <v>8.0226031010760535E-3</v>
      </c>
      <c r="O526">
        <f t="shared" ca="1" si="179"/>
        <v>-0.38378586080098204</v>
      </c>
      <c r="P526">
        <f t="shared" ca="1" si="180"/>
        <v>0.79594773105508754</v>
      </c>
      <c r="Q526">
        <f t="shared" ca="1" si="181"/>
        <v>1.0665715659302157</v>
      </c>
      <c r="R526">
        <f t="shared" ca="1" si="182"/>
        <v>1.6881735911312272</v>
      </c>
      <c r="T526">
        <f t="shared" si="183"/>
        <v>0.9987985106137961</v>
      </c>
      <c r="U526" s="6">
        <f t="shared" ca="1" si="184"/>
        <v>1.0038968003796487</v>
      </c>
      <c r="V526">
        <f t="shared" ca="1" si="185"/>
        <v>0.55824905452191487</v>
      </c>
      <c r="X526" t="b">
        <f t="shared" ca="1" si="186"/>
        <v>0</v>
      </c>
      <c r="BJ526" t="b">
        <f t="shared" si="167"/>
        <v>1</v>
      </c>
      <c r="BK526" t="b">
        <f t="shared" ca="1" si="168"/>
        <v>0</v>
      </c>
    </row>
    <row r="527" spans="1:63" x14ac:dyDescent="0.45">
      <c r="A527" s="1">
        <v>44473</v>
      </c>
      <c r="B527">
        <v>260.51</v>
      </c>
      <c r="C527" s="1">
        <v>44473</v>
      </c>
      <c r="D527">
        <v>428.64</v>
      </c>
      <c r="E527">
        <f t="shared" si="169"/>
        <v>8.1383244261959194E-3</v>
      </c>
      <c r="F527" s="4">
        <f t="shared" si="170"/>
        <v>-1.2896094325718548E-2</v>
      </c>
      <c r="G527">
        <f t="shared" ca="1" si="171"/>
        <v>1.6762617263868338E-3</v>
      </c>
      <c r="H527">
        <f t="shared" ca="1" si="172"/>
        <v>3.3247478962030813E-2</v>
      </c>
      <c r="I527">
        <f t="shared" ca="1" si="173"/>
        <v>0.90563588227507696</v>
      </c>
      <c r="J527">
        <f t="shared" ca="1" si="174"/>
        <v>5.4453708339747733</v>
      </c>
      <c r="K527">
        <f t="shared" ca="1" si="175"/>
        <v>1.0457769739307312</v>
      </c>
      <c r="L527">
        <f t="shared" ca="1" si="176"/>
        <v>1.1680044170323489</v>
      </c>
      <c r="M527">
        <f t="shared" ca="1" si="177"/>
        <v>7.6543425607289775E-4</v>
      </c>
      <c r="N527">
        <f t="shared" ca="1" si="178"/>
        <v>8.0008041316753029E-3</v>
      </c>
      <c r="O527">
        <f t="shared" ca="1" si="179"/>
        <v>-0.3855300444607338</v>
      </c>
      <c r="P527">
        <f t="shared" ca="1" si="180"/>
        <v>0.82306715513555462</v>
      </c>
      <c r="Q527">
        <f t="shared" ca="1" si="181"/>
        <v>1.0665715659302157</v>
      </c>
      <c r="R527">
        <f t="shared" ca="1" si="182"/>
        <v>1.6381949701888912</v>
      </c>
      <c r="T527">
        <f t="shared" si="183"/>
        <v>1.0081383244261959</v>
      </c>
      <c r="U527" s="6">
        <f t="shared" ca="1" si="184"/>
        <v>0.98757709818906936</v>
      </c>
      <c r="V527">
        <f t="shared" ca="1" si="185"/>
        <v>0.56690448379028557</v>
      </c>
      <c r="X527" t="b">
        <f t="shared" ca="1" si="186"/>
        <v>1</v>
      </c>
      <c r="BJ527" t="b">
        <f t="shared" si="167"/>
        <v>1</v>
      </c>
      <c r="BK527" t="b">
        <f t="shared" ca="1" si="168"/>
        <v>1</v>
      </c>
    </row>
    <row r="528" spans="1:63" x14ac:dyDescent="0.45">
      <c r="A528" s="1">
        <v>44470</v>
      </c>
      <c r="B528">
        <v>258.40699999999998</v>
      </c>
      <c r="C528" s="1">
        <v>44470</v>
      </c>
      <c r="D528">
        <v>434.24</v>
      </c>
      <c r="E528">
        <f t="shared" si="169"/>
        <v>-3.3269759722705347E-4</v>
      </c>
      <c r="F528" s="4">
        <f t="shared" si="170"/>
        <v>1.1884233583446015E-2</v>
      </c>
      <c r="G528">
        <f t="shared" ca="1" si="171"/>
        <v>1.5528301394079037E-3</v>
      </c>
      <c r="H528">
        <f t="shared" ca="1" si="172"/>
        <v>3.3269184947140457E-2</v>
      </c>
      <c r="I528">
        <f t="shared" ca="1" si="173"/>
        <v>0.91423565384592076</v>
      </c>
      <c r="J528">
        <f t="shared" ca="1" si="174"/>
        <v>5.4374497367684347</v>
      </c>
      <c r="K528">
        <f t="shared" ca="1" si="175"/>
        <v>1.0457769739307312</v>
      </c>
      <c r="L528">
        <f t="shared" ca="1" si="176"/>
        <v>1.1496704443968584</v>
      </c>
      <c r="M528">
        <f t="shared" ca="1" si="177"/>
        <v>8.3776126034577295E-4</v>
      </c>
      <c r="N528">
        <f t="shared" ca="1" si="178"/>
        <v>7.9418499333047867E-3</v>
      </c>
      <c r="O528">
        <f t="shared" ca="1" si="179"/>
        <v>-0.39593511681425092</v>
      </c>
      <c r="P528">
        <f t="shared" ca="1" si="180"/>
        <v>0.9080859178370444</v>
      </c>
      <c r="Q528">
        <f t="shared" ca="1" si="181"/>
        <v>1.0665715659302157</v>
      </c>
      <c r="R528">
        <f t="shared" ca="1" si="182"/>
        <v>1.673544513981492</v>
      </c>
      <c r="T528">
        <f t="shared" si="183"/>
        <v>0.99966730240277291</v>
      </c>
      <c r="U528" s="6">
        <f t="shared" ca="1" si="184"/>
        <v>1.0010731027001896</v>
      </c>
      <c r="V528">
        <f t="shared" ca="1" si="185"/>
        <v>0.60781403677044754</v>
      </c>
      <c r="X528" t="b">
        <f t="shared" ca="1" si="186"/>
        <v>0</v>
      </c>
      <c r="BJ528" t="b">
        <f t="shared" si="167"/>
        <v>1</v>
      </c>
      <c r="BK528" t="b">
        <f t="shared" ca="1" si="168"/>
        <v>0</v>
      </c>
    </row>
    <row r="529" spans="1:63" x14ac:dyDescent="0.45">
      <c r="A529" s="1">
        <v>44469</v>
      </c>
      <c r="B529">
        <v>258.49299999999999</v>
      </c>
      <c r="C529" s="1">
        <v>44469</v>
      </c>
      <c r="D529">
        <v>429.14</v>
      </c>
      <c r="E529">
        <f t="shared" si="169"/>
        <v>-7.4643771814297379E-3</v>
      </c>
      <c r="F529" s="4">
        <f t="shared" si="170"/>
        <v>-1.2222350097824842E-2</v>
      </c>
      <c r="G529">
        <f t="shared" ca="1" si="171"/>
        <v>1.5030581702186285E-3</v>
      </c>
      <c r="H529">
        <f t="shared" ca="1" si="172"/>
        <v>3.3279464431800042E-2</v>
      </c>
      <c r="I529">
        <f t="shared" ca="1" si="173"/>
        <v>0.91769313785132123</v>
      </c>
      <c r="J529">
        <f t="shared" ca="1" si="174"/>
        <v>5.4326437651136912</v>
      </c>
      <c r="K529">
        <f t="shared" ca="1" si="175"/>
        <v>1.0457769739307312</v>
      </c>
      <c r="L529">
        <f t="shared" ca="1" si="176"/>
        <v>1.1496704443968584</v>
      </c>
      <c r="M529">
        <f t="shared" ca="1" si="177"/>
        <v>8.459373062715737E-4</v>
      </c>
      <c r="N529">
        <f t="shared" ca="1" si="178"/>
        <v>7.9541115494918147E-3</v>
      </c>
      <c r="O529">
        <f t="shared" ca="1" si="179"/>
        <v>-0.39024606494956954</v>
      </c>
      <c r="P529">
        <f t="shared" ca="1" si="180"/>
        <v>0.8995920136602904</v>
      </c>
      <c r="Q529">
        <f t="shared" ca="1" si="181"/>
        <v>1.0665715659302157</v>
      </c>
      <c r="R529">
        <f t="shared" ca="1" si="182"/>
        <v>1.673544513981492</v>
      </c>
      <c r="T529">
        <f t="shared" si="183"/>
        <v>0.99253562281857022</v>
      </c>
      <c r="U529" s="6">
        <f t="shared" ca="1" si="184"/>
        <v>1.0289793919900641</v>
      </c>
      <c r="V529">
        <f t="shared" ca="1" si="185"/>
        <v>0.60407789245512988</v>
      </c>
      <c r="X529" t="b">
        <f t="shared" ca="1" si="186"/>
        <v>0</v>
      </c>
      <c r="BJ529" t="b">
        <f t="shared" si="167"/>
        <v>1</v>
      </c>
      <c r="BK529" t="b">
        <f t="shared" ca="1" si="168"/>
        <v>0</v>
      </c>
    </row>
    <row r="530" spans="1:63" x14ac:dyDescent="0.45">
      <c r="A530" s="1">
        <v>44468</v>
      </c>
      <c r="B530">
        <v>260.43700000000001</v>
      </c>
      <c r="C530" s="1">
        <v>44468</v>
      </c>
      <c r="D530">
        <v>434.45</v>
      </c>
      <c r="E530">
        <f t="shared" si="169"/>
        <v>4.8227727470899389E-3</v>
      </c>
      <c r="F530" s="4">
        <f t="shared" si="170"/>
        <v>1.6831135294659257E-3</v>
      </c>
      <c r="G530">
        <f t="shared" ca="1" si="171"/>
        <v>1.7849824266564411E-3</v>
      </c>
      <c r="H530">
        <f t="shared" ca="1" si="172"/>
        <v>3.3441550900581561E-2</v>
      </c>
      <c r="I530">
        <f t="shared" ca="1" si="173"/>
        <v>0.89343456588097347</v>
      </c>
      <c r="J530">
        <f t="shared" ca="1" si="174"/>
        <v>5.2591882997342276</v>
      </c>
      <c r="K530">
        <f t="shared" ca="1" si="175"/>
        <v>1.0457769739307312</v>
      </c>
      <c r="L530">
        <f t="shared" ca="1" si="176"/>
        <v>1.1619966774470871</v>
      </c>
      <c r="M530">
        <f t="shared" ca="1" si="177"/>
        <v>8.8466303437467601E-4</v>
      </c>
      <c r="N530">
        <f t="shared" ca="1" si="178"/>
        <v>7.9088926427827496E-3</v>
      </c>
      <c r="O530">
        <f t="shared" ca="1" si="179"/>
        <v>-0.39046442588933145</v>
      </c>
      <c r="P530">
        <f t="shared" ca="1" si="180"/>
        <v>0.96071021424065428</v>
      </c>
      <c r="Q530">
        <f t="shared" ca="1" si="181"/>
        <v>1.0665715659302157</v>
      </c>
      <c r="R530">
        <f t="shared" ca="1" si="182"/>
        <v>1.673544513981492</v>
      </c>
      <c r="T530">
        <f t="shared" si="183"/>
        <v>1.00482277274709</v>
      </c>
      <c r="U530" s="6">
        <f t="shared" ca="1" si="184"/>
        <v>1.039058915526617</v>
      </c>
      <c r="V530">
        <f t="shared" ca="1" si="185"/>
        <v>0.61366232824910416</v>
      </c>
      <c r="X530" t="b">
        <f t="shared" ca="1" si="186"/>
        <v>0</v>
      </c>
      <c r="BJ530" t="b">
        <f t="shared" si="167"/>
        <v>1</v>
      </c>
      <c r="BK530" t="b">
        <f t="shared" ca="1" si="168"/>
        <v>0</v>
      </c>
    </row>
    <row r="531" spans="1:63" x14ac:dyDescent="0.45">
      <c r="A531" s="1">
        <v>44467</v>
      </c>
      <c r="B531">
        <v>259.18700000000001</v>
      </c>
      <c r="C531" s="1">
        <v>44467</v>
      </c>
      <c r="D531">
        <v>433.72</v>
      </c>
      <c r="E531">
        <f t="shared" si="169"/>
        <v>-1.7438311971401041E-2</v>
      </c>
      <c r="F531" s="4">
        <f t="shared" si="170"/>
        <v>-2.0151816374480297E-2</v>
      </c>
      <c r="G531">
        <f t="shared" ca="1" si="171"/>
        <v>1.6246873771184724E-3</v>
      </c>
      <c r="H531">
        <f t="shared" ca="1" si="172"/>
        <v>3.3503693047493732E-2</v>
      </c>
      <c r="I531">
        <f t="shared" ca="1" si="173"/>
        <v>0.89966791414144698</v>
      </c>
      <c r="J531">
        <f t="shared" ca="1" si="174"/>
        <v>5.2180847390575904</v>
      </c>
      <c r="K531">
        <f t="shared" ca="1" si="175"/>
        <v>1.0457769739307312</v>
      </c>
      <c r="L531">
        <f t="shared" ca="1" si="176"/>
        <v>1.1440919927249371</v>
      </c>
      <c r="M531">
        <f t="shared" ca="1" si="177"/>
        <v>8.7038484299871747E-4</v>
      </c>
      <c r="N531">
        <f t="shared" ca="1" si="178"/>
        <v>7.9100215391448136E-3</v>
      </c>
      <c r="O531">
        <f t="shared" ca="1" si="179"/>
        <v>-0.38492184814627917</v>
      </c>
      <c r="P531">
        <f t="shared" ca="1" si="180"/>
        <v>0.95559085613362171</v>
      </c>
      <c r="Q531">
        <f t="shared" ca="1" si="181"/>
        <v>1.0665715659302157</v>
      </c>
      <c r="R531">
        <f t="shared" ca="1" si="182"/>
        <v>1.673544513981492</v>
      </c>
      <c r="T531">
        <f t="shared" si="183"/>
        <v>0.982561688028599</v>
      </c>
      <c r="U531" s="6">
        <f t="shared" ca="1" si="184"/>
        <v>1.0516392112310311</v>
      </c>
      <c r="V531">
        <f t="shared" ca="1" si="185"/>
        <v>0.61672265567800888</v>
      </c>
      <c r="X531" t="b">
        <f t="shared" ca="1" si="186"/>
        <v>0</v>
      </c>
      <c r="BJ531" t="b">
        <f t="shared" si="167"/>
        <v>1</v>
      </c>
      <c r="BK531" t="b">
        <f t="shared" ca="1" si="168"/>
        <v>0</v>
      </c>
    </row>
    <row r="532" spans="1:63" x14ac:dyDescent="0.45">
      <c r="A532" s="1">
        <v>44466</v>
      </c>
      <c r="B532">
        <v>263.78699999999998</v>
      </c>
      <c r="C532" s="1">
        <v>44466</v>
      </c>
      <c r="D532">
        <v>442.64</v>
      </c>
      <c r="E532">
        <f t="shared" si="169"/>
        <v>2.1915313989075202E-2</v>
      </c>
      <c r="F532" s="4">
        <f t="shared" si="170"/>
        <v>-2.8609402806876135E-3</v>
      </c>
      <c r="G532">
        <f t="shared" ca="1" si="171"/>
        <v>1.8987340634562982E-3</v>
      </c>
      <c r="H532">
        <f t="shared" ca="1" si="172"/>
        <v>3.3571073224351378E-2</v>
      </c>
      <c r="I532">
        <f t="shared" ca="1" si="173"/>
        <v>0.87658143535301913</v>
      </c>
      <c r="J532">
        <f t="shared" ca="1" si="174"/>
        <v>5.1284420408040434</v>
      </c>
      <c r="K532">
        <f t="shared" ca="1" si="175"/>
        <v>1.0457769739307312</v>
      </c>
      <c r="L532">
        <f t="shared" ca="1" si="176"/>
        <v>1.1894932811230594</v>
      </c>
      <c r="M532">
        <f t="shared" ca="1" si="177"/>
        <v>9.6950837900768689E-4</v>
      </c>
      <c r="N532">
        <f t="shared" ca="1" si="178"/>
        <v>7.76820463985571E-3</v>
      </c>
      <c r="O532">
        <f t="shared" ca="1" si="179"/>
        <v>-0.34448155678396614</v>
      </c>
      <c r="P532">
        <f t="shared" ca="1" si="180"/>
        <v>0.99506052082374108</v>
      </c>
      <c r="Q532">
        <f t="shared" ca="1" si="181"/>
        <v>1.0949390450045211</v>
      </c>
      <c r="R532">
        <f t="shared" ca="1" si="182"/>
        <v>1.6842554680804696</v>
      </c>
      <c r="T532">
        <f t="shared" si="183"/>
        <v>1.0219153139890751</v>
      </c>
      <c r="U532" s="6">
        <f t="shared" ca="1" si="184"/>
        <v>1.0838037717243925</v>
      </c>
      <c r="V532">
        <f t="shared" ca="1" si="185"/>
        <v>0.62271536544576633</v>
      </c>
      <c r="X532" t="b">
        <f t="shared" ca="1" si="186"/>
        <v>0</v>
      </c>
      <c r="BJ532" t="b">
        <f t="shared" si="167"/>
        <v>1</v>
      </c>
      <c r="BK532" t="b">
        <f t="shared" ca="1" si="168"/>
        <v>0</v>
      </c>
    </row>
    <row r="533" spans="1:63" x14ac:dyDescent="0.45">
      <c r="A533" s="1">
        <v>44463</v>
      </c>
      <c r="B533">
        <v>258.13</v>
      </c>
      <c r="C533" s="1">
        <v>44463</v>
      </c>
      <c r="D533">
        <v>443.91</v>
      </c>
      <c r="E533">
        <f t="shared" si="169"/>
        <v>2.7534403076273927E-2</v>
      </c>
      <c r="F533" s="4">
        <f t="shared" si="170"/>
        <v>1.6471862448666865E-3</v>
      </c>
      <c r="G533">
        <f t="shared" ca="1" si="171"/>
        <v>1.4398473890456433E-3</v>
      </c>
      <c r="H533">
        <f t="shared" ca="1" si="172"/>
        <v>3.3921517578697678E-2</v>
      </c>
      <c r="I533">
        <f t="shared" ca="1" si="173"/>
        <v>0.84159044172085429</v>
      </c>
      <c r="J533">
        <f t="shared" ca="1" si="174"/>
        <v>4.9442798256073868</v>
      </c>
      <c r="K533">
        <f t="shared" ca="1" si="175"/>
        <v>1.012936229007559</v>
      </c>
      <c r="L533">
        <f t="shared" ca="1" si="176"/>
        <v>1.1209385806144392</v>
      </c>
      <c r="M533">
        <f t="shared" ca="1" si="177"/>
        <v>9.3896881966606168E-4</v>
      </c>
      <c r="N533">
        <f t="shared" ca="1" si="178"/>
        <v>7.7952980938814486E-3</v>
      </c>
      <c r="O533">
        <f t="shared" ca="1" si="179"/>
        <v>-0.33894668863388672</v>
      </c>
      <c r="P533">
        <f t="shared" ca="1" si="180"/>
        <v>0.94704173523168089</v>
      </c>
      <c r="Q533">
        <f t="shared" ca="1" si="181"/>
        <v>1.0949390450045211</v>
      </c>
      <c r="R533">
        <f t="shared" ca="1" si="182"/>
        <v>1.673544513981492</v>
      </c>
      <c r="T533">
        <f t="shared" si="183"/>
        <v>1.0275344030762739</v>
      </c>
      <c r="U533" s="6">
        <f t="shared" ca="1" si="184"/>
        <v>1.0196197706615893</v>
      </c>
      <c r="V533">
        <f t="shared" ca="1" si="185"/>
        <v>0.59830103382100608</v>
      </c>
      <c r="X533" t="b">
        <f t="shared" ca="1" si="186"/>
        <v>0</v>
      </c>
      <c r="BJ533" t="b">
        <f t="shared" si="167"/>
        <v>1</v>
      </c>
      <c r="BK533" t="b">
        <f t="shared" ca="1" si="168"/>
        <v>0</v>
      </c>
    </row>
    <row r="534" spans="1:63" x14ac:dyDescent="0.45">
      <c r="A534" s="1">
        <v>44462</v>
      </c>
      <c r="B534">
        <v>251.21299999999999</v>
      </c>
      <c r="C534" s="1">
        <v>44462</v>
      </c>
      <c r="D534">
        <v>443.18</v>
      </c>
      <c r="E534">
        <f t="shared" si="169"/>
        <v>2.2581558925500902E-3</v>
      </c>
      <c r="F534" s="4">
        <f t="shared" si="170"/>
        <v>1.2150002283835001E-2</v>
      </c>
      <c r="G534">
        <f t="shared" ca="1" si="171"/>
        <v>1.3654466900442285E-3</v>
      </c>
      <c r="H534">
        <f t="shared" ca="1" si="172"/>
        <v>3.3880289685678001E-2</v>
      </c>
      <c r="I534">
        <f t="shared" ca="1" si="173"/>
        <v>0.84918599209987244</v>
      </c>
      <c r="J534">
        <f t="shared" ca="1" si="174"/>
        <v>4.9890628004181012</v>
      </c>
      <c r="K534">
        <f t="shared" ca="1" si="175"/>
        <v>1.012936229007559</v>
      </c>
      <c r="L534">
        <f t="shared" ca="1" si="176"/>
        <v>1.1090478838096927</v>
      </c>
      <c r="M534">
        <f t="shared" ca="1" si="177"/>
        <v>9.4536346634955637E-4</v>
      </c>
      <c r="N534">
        <f t="shared" ca="1" si="178"/>
        <v>7.7964064664248732E-3</v>
      </c>
      <c r="O534">
        <f t="shared" ca="1" si="179"/>
        <v>-0.34120737749912311</v>
      </c>
      <c r="P534">
        <f t="shared" ca="1" si="180"/>
        <v>0.9459311917250095</v>
      </c>
      <c r="Q534">
        <f t="shared" ca="1" si="181"/>
        <v>1.0949390450045211</v>
      </c>
      <c r="R534">
        <f t="shared" ca="1" si="182"/>
        <v>1.673544513981492</v>
      </c>
      <c r="T534">
        <f t="shared" si="183"/>
        <v>1.0022581558925501</v>
      </c>
      <c r="U534" s="6">
        <f t="shared" ca="1" si="184"/>
        <v>0.99557325724249968</v>
      </c>
      <c r="V534">
        <f t="shared" ca="1" si="185"/>
        <v>0.51085834942156283</v>
      </c>
      <c r="X534" t="b">
        <f t="shared" ca="1" si="186"/>
        <v>1</v>
      </c>
      <c r="BJ534" t="b">
        <f t="shared" si="167"/>
        <v>1</v>
      </c>
      <c r="BK534" t="b">
        <f t="shared" ca="1" si="168"/>
        <v>1</v>
      </c>
    </row>
    <row r="535" spans="1:63" x14ac:dyDescent="0.45">
      <c r="A535" s="1">
        <v>44461</v>
      </c>
      <c r="B535">
        <v>250.64699999999999</v>
      </c>
      <c r="C535" s="1">
        <v>44461</v>
      </c>
      <c r="D535">
        <v>437.86</v>
      </c>
      <c r="E535">
        <f t="shared" si="169"/>
        <v>1.6988557981011048E-2</v>
      </c>
      <c r="F535" s="4">
        <f t="shared" si="170"/>
        <v>9.7548601342158474E-3</v>
      </c>
      <c r="G535">
        <f t="shared" ca="1" si="171"/>
        <v>1.7107264234019906E-3</v>
      </c>
      <c r="H535">
        <f t="shared" ca="1" si="172"/>
        <v>3.4239410255769806E-2</v>
      </c>
      <c r="I535">
        <f t="shared" ca="1" si="173"/>
        <v>0.83546399954725725</v>
      </c>
      <c r="J535">
        <f t="shared" ca="1" si="174"/>
        <v>4.7124322270745109</v>
      </c>
      <c r="K535">
        <f t="shared" ca="1" si="175"/>
        <v>1.0485071225266571</v>
      </c>
      <c r="L535">
        <f t="shared" ca="1" si="176"/>
        <v>1.1209385806144392</v>
      </c>
      <c r="M535">
        <f t="shared" ca="1" si="177"/>
        <v>8.7433901934838825E-4</v>
      </c>
      <c r="N535">
        <f t="shared" ca="1" si="178"/>
        <v>7.7584304875073489E-3</v>
      </c>
      <c r="O535">
        <f t="shared" ca="1" si="179"/>
        <v>-0.33408342227853111</v>
      </c>
      <c r="P535">
        <f t="shared" ca="1" si="180"/>
        <v>0.98924805688617301</v>
      </c>
      <c r="Q535">
        <f t="shared" ca="1" si="181"/>
        <v>1.0949390450045211</v>
      </c>
      <c r="R535">
        <f t="shared" ca="1" si="182"/>
        <v>1.6419324355193543</v>
      </c>
      <c r="T535">
        <f t="shared" si="183"/>
        <v>1.016988557981011</v>
      </c>
      <c r="U535" s="6">
        <f t="shared" ca="1" si="184"/>
        <v>0.99485597932865744</v>
      </c>
      <c r="V535">
        <f t="shared" ca="1" si="185"/>
        <v>0.48188225041439237</v>
      </c>
      <c r="X535" t="b">
        <f t="shared" ca="1" si="186"/>
        <v>1</v>
      </c>
      <c r="BJ535" t="b">
        <f t="shared" si="167"/>
        <v>1</v>
      </c>
      <c r="BK535" t="b">
        <f t="shared" ca="1" si="168"/>
        <v>1</v>
      </c>
    </row>
    <row r="536" spans="1:63" x14ac:dyDescent="0.45">
      <c r="A536" s="1">
        <v>44460</v>
      </c>
      <c r="B536">
        <v>246.46</v>
      </c>
      <c r="C536" s="1">
        <v>44460</v>
      </c>
      <c r="D536">
        <v>433.63</v>
      </c>
      <c r="E536">
        <f t="shared" si="169"/>
        <v>1.2613500965528665E-2</v>
      </c>
      <c r="F536" s="4">
        <f t="shared" si="170"/>
        <v>-9.4461339968672238E-4</v>
      </c>
      <c r="G536">
        <f t="shared" ca="1" si="171"/>
        <v>1.6734850182779945E-3</v>
      </c>
      <c r="H536">
        <f t="shared" ca="1" si="172"/>
        <v>3.422675773447776E-2</v>
      </c>
      <c r="I536">
        <f t="shared" ca="1" si="173"/>
        <v>0.83929740472558068</v>
      </c>
      <c r="J536">
        <f t="shared" ca="1" si="174"/>
        <v>4.7274387166328564</v>
      </c>
      <c r="K536">
        <f t="shared" ca="1" si="175"/>
        <v>1.0485071225266571</v>
      </c>
      <c r="L536">
        <f t="shared" ca="1" si="176"/>
        <v>1.1209385806144392</v>
      </c>
      <c r="M536">
        <f t="shared" ca="1" si="177"/>
        <v>8.6865288579394712E-4</v>
      </c>
      <c r="N536">
        <f t="shared" ca="1" si="178"/>
        <v>7.7523035865792308E-3</v>
      </c>
      <c r="O536">
        <f t="shared" ca="1" si="179"/>
        <v>-0.3352254742090291</v>
      </c>
      <c r="P536">
        <f t="shared" ca="1" si="180"/>
        <v>0.99724919316145133</v>
      </c>
      <c r="Q536">
        <f t="shared" ca="1" si="181"/>
        <v>1.0949390450045211</v>
      </c>
      <c r="R536">
        <f t="shared" ca="1" si="182"/>
        <v>1.6419324355193543</v>
      </c>
      <c r="T536">
        <f t="shared" si="183"/>
        <v>1.0126135009655286</v>
      </c>
      <c r="U536" s="6">
        <f t="shared" ca="1" si="184"/>
        <v>0.99313757490036791</v>
      </c>
      <c r="V536">
        <f t="shared" ca="1" si="185"/>
        <v>0.48631679406178052</v>
      </c>
      <c r="X536" t="b">
        <f t="shared" ca="1" si="186"/>
        <v>1</v>
      </c>
      <c r="BJ536" t="b">
        <f t="shared" si="167"/>
        <v>1</v>
      </c>
      <c r="BK536" t="b">
        <f t="shared" ca="1" si="168"/>
        <v>1</v>
      </c>
    </row>
    <row r="537" spans="1:63" x14ac:dyDescent="0.45">
      <c r="A537" s="1">
        <v>44459</v>
      </c>
      <c r="B537">
        <v>243.39</v>
      </c>
      <c r="C537" s="1">
        <v>44459</v>
      </c>
      <c r="D537">
        <v>434.04</v>
      </c>
      <c r="E537">
        <f t="shared" si="169"/>
        <v>-3.8603587412062677E-2</v>
      </c>
      <c r="F537" s="4">
        <f t="shared" si="170"/>
        <v>-1.6674218396012588E-2</v>
      </c>
      <c r="G537">
        <f t="shared" ca="1" si="171"/>
        <v>1.8262850710827172E-3</v>
      </c>
      <c r="H537">
        <f t="shared" ca="1" si="172"/>
        <v>3.4343858062582472E-2</v>
      </c>
      <c r="I537">
        <f t="shared" ca="1" si="173"/>
        <v>0.82605108880483114</v>
      </c>
      <c r="J537">
        <f t="shared" ca="1" si="174"/>
        <v>4.6178310451595639</v>
      </c>
      <c r="K537">
        <f t="shared" ca="1" si="175"/>
        <v>1.0485071225266571</v>
      </c>
      <c r="L537">
        <f t="shared" ca="1" si="176"/>
        <v>1.1474636167823378</v>
      </c>
      <c r="M537">
        <f t="shared" ca="1" si="177"/>
        <v>8.7201277495219933E-4</v>
      </c>
      <c r="N537">
        <f t="shared" ca="1" si="178"/>
        <v>7.7516593508852255E-3</v>
      </c>
      <c r="O537">
        <f t="shared" ca="1" si="179"/>
        <v>-0.3365737508439986</v>
      </c>
      <c r="P537">
        <f t="shared" ca="1" si="180"/>
        <v>0.99917456345352562</v>
      </c>
      <c r="Q537">
        <f t="shared" ca="1" si="181"/>
        <v>1.0949390450045211</v>
      </c>
      <c r="R537">
        <f t="shared" ca="1" si="182"/>
        <v>1.6419324355193543</v>
      </c>
      <c r="T537">
        <f t="shared" si="183"/>
        <v>0.96139641258793729</v>
      </c>
      <c r="U537" s="6">
        <f t="shared" ca="1" si="184"/>
        <v>0.98273084423843304</v>
      </c>
      <c r="V537">
        <f t="shared" ca="1" si="185"/>
        <v>0.48399249851231663</v>
      </c>
      <c r="X537" t="b">
        <f t="shared" ca="1" si="186"/>
        <v>1</v>
      </c>
      <c r="BJ537" t="b">
        <f t="shared" si="167"/>
        <v>1</v>
      </c>
      <c r="BK537" t="b">
        <f t="shared" ca="1" si="168"/>
        <v>1</v>
      </c>
    </row>
    <row r="538" spans="1:63" x14ac:dyDescent="0.45">
      <c r="A538" s="1">
        <v>44456</v>
      </c>
      <c r="B538">
        <v>253.16300000000001</v>
      </c>
      <c r="C538" s="1">
        <v>44456</v>
      </c>
      <c r="D538">
        <v>441.4</v>
      </c>
      <c r="E538">
        <f t="shared" si="169"/>
        <v>3.3012325129790289E-3</v>
      </c>
      <c r="F538" s="4">
        <f t="shared" si="170"/>
        <v>-1.2903370082966296E-2</v>
      </c>
      <c r="G538">
        <f t="shared" ca="1" si="171"/>
        <v>1.8830163264274551E-3</v>
      </c>
      <c r="H538">
        <f t="shared" ca="1" si="172"/>
        <v>3.4286060538041702E-2</v>
      </c>
      <c r="I538">
        <f t="shared" ca="1" si="173"/>
        <v>0.83044615840572622</v>
      </c>
      <c r="J538">
        <f t="shared" ca="1" si="174"/>
        <v>4.6566804243647084</v>
      </c>
      <c r="K538">
        <f t="shared" ca="1" si="175"/>
        <v>1.0485071225266571</v>
      </c>
      <c r="L538">
        <f t="shared" ca="1" si="176"/>
        <v>1.1474636167823378</v>
      </c>
      <c r="M538">
        <f t="shared" ca="1" si="177"/>
        <v>9.6590241783112098E-4</v>
      </c>
      <c r="N538">
        <f t="shared" ca="1" si="178"/>
        <v>7.6511371746264527E-3</v>
      </c>
      <c r="O538">
        <f t="shared" ca="1" si="179"/>
        <v>-0.32596240937104831</v>
      </c>
      <c r="P538">
        <f t="shared" ca="1" si="180"/>
        <v>1.0881276412334184</v>
      </c>
      <c r="Q538">
        <f t="shared" ca="1" si="181"/>
        <v>1.1407850027064688</v>
      </c>
      <c r="R538">
        <f t="shared" ca="1" si="182"/>
        <v>1.6524410672309962</v>
      </c>
      <c r="T538">
        <f t="shared" si="183"/>
        <v>1.0033012325129791</v>
      </c>
      <c r="U538" s="6">
        <f t="shared" ca="1" si="184"/>
        <v>1.0315373864715209</v>
      </c>
      <c r="V538">
        <f t="shared" ca="1" si="185"/>
        <v>0.47458605192500525</v>
      </c>
      <c r="X538" t="b">
        <f t="shared" ca="1" si="186"/>
        <v>0</v>
      </c>
      <c r="BJ538" t="b">
        <f t="shared" si="167"/>
        <v>1</v>
      </c>
      <c r="BK538" t="b">
        <f t="shared" ca="1" si="168"/>
        <v>0</v>
      </c>
    </row>
    <row r="539" spans="1:63" x14ac:dyDescent="0.45">
      <c r="A539" s="1">
        <v>44455</v>
      </c>
      <c r="B539">
        <v>252.33</v>
      </c>
      <c r="C539" s="1">
        <v>44455</v>
      </c>
      <c r="D539">
        <v>447.17</v>
      </c>
      <c r="E539">
        <f t="shared" si="169"/>
        <v>1.5360617282480578E-3</v>
      </c>
      <c r="F539" s="4">
        <f t="shared" si="170"/>
        <v>-1.5852460480485387E-3</v>
      </c>
      <c r="G539">
        <f t="shared" ca="1" si="171"/>
        <v>2.0176729545602345E-3</v>
      </c>
      <c r="H539">
        <f t="shared" ca="1" si="172"/>
        <v>3.4344494354354042E-2</v>
      </c>
      <c r="I539">
        <f t="shared" ca="1" si="173"/>
        <v>0.81718789538435521</v>
      </c>
      <c r="J539">
        <f t="shared" ca="1" si="174"/>
        <v>4.5936272764662771</v>
      </c>
      <c r="K539">
        <f t="shared" ca="1" si="175"/>
        <v>1.0485071225266571</v>
      </c>
      <c r="L539">
        <f t="shared" ca="1" si="176"/>
        <v>1.192450184362805</v>
      </c>
      <c r="M539">
        <f t="shared" ca="1" si="177"/>
        <v>1.0851063366876471E-3</v>
      </c>
      <c r="N539">
        <f t="shared" ca="1" si="178"/>
        <v>7.6196230783562319E-3</v>
      </c>
      <c r="O539">
        <f t="shared" ca="1" si="179"/>
        <v>-0.33544781801109264</v>
      </c>
      <c r="P539">
        <f t="shared" ca="1" si="180"/>
        <v>1.1351877379674749</v>
      </c>
      <c r="Q539">
        <f t="shared" ca="1" si="181"/>
        <v>1.2841834841935775</v>
      </c>
      <c r="R539">
        <f t="shared" ca="1" si="182"/>
        <v>1.6866003222669954</v>
      </c>
      <c r="T539">
        <f t="shared" si="183"/>
        <v>1.0015360617282481</v>
      </c>
      <c r="U539" s="6">
        <f t="shared" ca="1" si="184"/>
        <v>1.0028217152849537</v>
      </c>
      <c r="V539">
        <f t="shared" ca="1" si="185"/>
        <v>0.57926585478467663</v>
      </c>
      <c r="X539" t="b">
        <f t="shared" ca="1" si="186"/>
        <v>0</v>
      </c>
      <c r="BJ539" t="b">
        <f t="shared" si="167"/>
        <v>1</v>
      </c>
      <c r="BK539" t="b">
        <f t="shared" ca="1" si="168"/>
        <v>0</v>
      </c>
    </row>
    <row r="540" spans="1:63" x14ac:dyDescent="0.45">
      <c r="A540" s="1">
        <v>44454</v>
      </c>
      <c r="B540">
        <v>251.94300000000001</v>
      </c>
      <c r="C540" s="1">
        <v>44454</v>
      </c>
      <c r="D540">
        <v>447.88</v>
      </c>
      <c r="E540">
        <f t="shared" si="169"/>
        <v>1.5231924178866313E-2</v>
      </c>
      <c r="F540" s="4">
        <f t="shared" si="170"/>
        <v>8.3526577661705639E-3</v>
      </c>
      <c r="G540">
        <f t="shared" ca="1" si="171"/>
        <v>1.8549886254942121E-3</v>
      </c>
      <c r="H540">
        <f t="shared" ca="1" si="172"/>
        <v>3.4423756612006251E-2</v>
      </c>
      <c r="I540">
        <f t="shared" ca="1" si="173"/>
        <v>0.82139789493631088</v>
      </c>
      <c r="J540">
        <f t="shared" ca="1" si="174"/>
        <v>4.5435980642446347</v>
      </c>
      <c r="K540">
        <f t="shared" ca="1" si="175"/>
        <v>1.0485071225266571</v>
      </c>
      <c r="L540">
        <f t="shared" ca="1" si="176"/>
        <v>1.0743173261507053</v>
      </c>
      <c r="M540">
        <f t="shared" ca="1" si="177"/>
        <v>1.0708971144572431E-3</v>
      </c>
      <c r="N540">
        <f t="shared" ca="1" si="178"/>
        <v>7.6272737501320662E-3</v>
      </c>
      <c r="O540">
        <f t="shared" ca="1" si="179"/>
        <v>-0.33049218932486724</v>
      </c>
      <c r="P540">
        <f t="shared" ca="1" si="180"/>
        <v>1.1172385635823856</v>
      </c>
      <c r="Q540">
        <f t="shared" ca="1" si="181"/>
        <v>1.2841834841935775</v>
      </c>
      <c r="R540">
        <f t="shared" ca="1" si="182"/>
        <v>1.6842554680804696</v>
      </c>
      <c r="T540">
        <f t="shared" si="183"/>
        <v>1.0152319241788663</v>
      </c>
      <c r="U540" s="6">
        <f t="shared" ca="1" si="184"/>
        <v>1.002598591269052</v>
      </c>
      <c r="V540">
        <f t="shared" ca="1" si="185"/>
        <v>0.53768914522529865</v>
      </c>
      <c r="X540" t="b">
        <f t="shared" ca="1" si="186"/>
        <v>0</v>
      </c>
      <c r="BJ540" t="b">
        <f t="shared" si="167"/>
        <v>1</v>
      </c>
      <c r="BK540" t="b">
        <f t="shared" ca="1" si="168"/>
        <v>0</v>
      </c>
    </row>
    <row r="541" spans="1:63" x14ac:dyDescent="0.45">
      <c r="A541" s="1">
        <v>44453</v>
      </c>
      <c r="B541">
        <v>248.16300000000001</v>
      </c>
      <c r="C541" s="1">
        <v>44453</v>
      </c>
      <c r="D541">
        <v>444.17</v>
      </c>
      <c r="E541">
        <f t="shared" si="169"/>
        <v>2.0026890946311352E-3</v>
      </c>
      <c r="F541" s="4">
        <f t="shared" si="170"/>
        <v>-5.3965694836310809E-3</v>
      </c>
      <c r="G541">
        <f t="shared" ca="1" si="171"/>
        <v>1.8812682074556344E-3</v>
      </c>
      <c r="H541">
        <f t="shared" ca="1" si="172"/>
        <v>3.4436024105359134E-2</v>
      </c>
      <c r="I541">
        <f t="shared" ca="1" si="173"/>
        <v>0.81871437359507715</v>
      </c>
      <c r="J541">
        <f t="shared" ca="1" si="174"/>
        <v>4.530561769827842</v>
      </c>
      <c r="K541">
        <f t="shared" ca="1" si="175"/>
        <v>1.0485071225266571</v>
      </c>
      <c r="L541">
        <f t="shared" ca="1" si="176"/>
        <v>1.0782400303628423</v>
      </c>
      <c r="M541">
        <f t="shared" ca="1" si="177"/>
        <v>1.0430587139515426E-3</v>
      </c>
      <c r="N541">
        <f t="shared" ca="1" si="178"/>
        <v>7.6107054677554955E-3</v>
      </c>
      <c r="O541">
        <f t="shared" ca="1" si="179"/>
        <v>-0.32595880465257826</v>
      </c>
      <c r="P541">
        <f t="shared" ca="1" si="180"/>
        <v>1.1443326482269063</v>
      </c>
      <c r="Q541">
        <f t="shared" ca="1" si="181"/>
        <v>1.2841834841935775</v>
      </c>
      <c r="R541">
        <f t="shared" ca="1" si="182"/>
        <v>1.6524410672309962</v>
      </c>
      <c r="T541">
        <f t="shared" si="183"/>
        <v>1.0020026890946312</v>
      </c>
      <c r="U541" s="6">
        <f t="shared" ca="1" si="184"/>
        <v>0.98880357648033868</v>
      </c>
      <c r="V541">
        <f t="shared" ca="1" si="185"/>
        <v>0.52832656436130876</v>
      </c>
      <c r="X541" t="b">
        <f t="shared" ca="1" si="186"/>
        <v>1</v>
      </c>
      <c r="BJ541" t="b">
        <f t="shared" si="167"/>
        <v>1</v>
      </c>
      <c r="BK541" t="b">
        <f t="shared" ca="1" si="168"/>
        <v>1</v>
      </c>
    </row>
    <row r="542" spans="1:63" x14ac:dyDescent="0.45">
      <c r="A542" s="1">
        <v>44452</v>
      </c>
      <c r="B542">
        <v>247.667</v>
      </c>
      <c r="C542" s="1">
        <v>44452</v>
      </c>
      <c r="D542">
        <v>446.58</v>
      </c>
      <c r="E542">
        <f t="shared" si="169"/>
        <v>9.1433973180997698E-3</v>
      </c>
      <c r="F542" s="4">
        <f t="shared" si="170"/>
        <v>2.5592672413792799E-3</v>
      </c>
      <c r="G542">
        <f t="shared" ca="1" si="171"/>
        <v>2.0388694265100734E-3</v>
      </c>
      <c r="H542">
        <f t="shared" ca="1" si="172"/>
        <v>3.4508634419757177E-2</v>
      </c>
      <c r="I542">
        <f t="shared" ca="1" si="173"/>
        <v>0.80363067258373133</v>
      </c>
      <c r="J542">
        <f t="shared" ca="1" si="174"/>
        <v>4.4555496756226338</v>
      </c>
      <c r="K542">
        <f t="shared" ca="1" si="175"/>
        <v>1.0485071225266571</v>
      </c>
      <c r="L542">
        <f t="shared" ca="1" si="176"/>
        <v>1.0847156631575161</v>
      </c>
      <c r="M542">
        <f t="shared" ca="1" si="177"/>
        <v>1.062332734763234E-3</v>
      </c>
      <c r="N542">
        <f t="shared" ca="1" si="178"/>
        <v>7.599187642401856E-3</v>
      </c>
      <c r="O542">
        <f t="shared" ca="1" si="179"/>
        <v>-0.33223997748022599</v>
      </c>
      <c r="P542">
        <f t="shared" ca="1" si="180"/>
        <v>1.1705916055184549</v>
      </c>
      <c r="Q542">
        <f t="shared" ca="1" si="181"/>
        <v>1.2841834841935775</v>
      </c>
      <c r="R542">
        <f t="shared" ca="1" si="182"/>
        <v>1.6547416287716392</v>
      </c>
      <c r="T542">
        <f t="shared" si="183"/>
        <v>1.0091433973180999</v>
      </c>
      <c r="U542" s="6">
        <f t="shared" ca="1" si="184"/>
        <v>1.0128576861890293</v>
      </c>
      <c r="V542">
        <f t="shared" ca="1" si="185"/>
        <v>0.58800204368125397</v>
      </c>
      <c r="X542" t="b">
        <f t="shared" ca="1" si="186"/>
        <v>0</v>
      </c>
      <c r="BJ542" t="b">
        <f t="shared" si="167"/>
        <v>1</v>
      </c>
      <c r="BK542" t="b">
        <f t="shared" ca="1" si="168"/>
        <v>0</v>
      </c>
    </row>
    <row r="543" spans="1:63" x14ac:dyDescent="0.45">
      <c r="A543" s="1">
        <v>44449</v>
      </c>
      <c r="B543">
        <v>245.423</v>
      </c>
      <c r="C543" s="1">
        <v>44449</v>
      </c>
      <c r="D543">
        <v>445.44</v>
      </c>
      <c r="E543">
        <f t="shared" si="169"/>
        <v>-2.4628407916699797E-2</v>
      </c>
      <c r="F543" s="4">
        <f t="shared" si="170"/>
        <v>-7.8845382867834216E-3</v>
      </c>
      <c r="G543">
        <f t="shared" ca="1" si="171"/>
        <v>2.3144229199425696E-3</v>
      </c>
      <c r="H543">
        <f t="shared" ca="1" si="172"/>
        <v>3.4784577404001947E-2</v>
      </c>
      <c r="I543">
        <f t="shared" ca="1" si="173"/>
        <v>0.78965065839120563</v>
      </c>
      <c r="J543">
        <f t="shared" ca="1" si="174"/>
        <v>4.2474121481114215</v>
      </c>
      <c r="K543">
        <f t="shared" ca="1" si="175"/>
        <v>1.0632083314392033</v>
      </c>
      <c r="L543">
        <f t="shared" ca="1" si="176"/>
        <v>1.1186216027585749</v>
      </c>
      <c r="M543">
        <f t="shared" ca="1" si="177"/>
        <v>1.1301048537681103E-3</v>
      </c>
      <c r="N543">
        <f t="shared" ca="1" si="178"/>
        <v>7.6726908771702473E-3</v>
      </c>
      <c r="O543">
        <f t="shared" ca="1" si="179"/>
        <v>-0.31127011886413469</v>
      </c>
      <c r="P543">
        <f t="shared" ca="1" si="180"/>
        <v>1.0987539766537529</v>
      </c>
      <c r="Q543">
        <f t="shared" ca="1" si="181"/>
        <v>1.2961892750973876</v>
      </c>
      <c r="R543">
        <f t="shared" ca="1" si="182"/>
        <v>1.6866003222669954</v>
      </c>
      <c r="T543">
        <f t="shared" si="183"/>
        <v>0.97537159208330015</v>
      </c>
      <c r="U543" s="6">
        <f t="shared" ca="1" si="184"/>
        <v>1.0052963584975219</v>
      </c>
      <c r="V543">
        <f t="shared" ca="1" si="185"/>
        <v>0.53882038417772982</v>
      </c>
      <c r="X543" t="b">
        <f t="shared" ca="1" si="186"/>
        <v>0</v>
      </c>
      <c r="BJ543" t="b">
        <f t="shared" si="167"/>
        <v>1</v>
      </c>
      <c r="BK543" t="b">
        <f t="shared" ca="1" si="168"/>
        <v>0</v>
      </c>
    </row>
    <row r="544" spans="1:63" x14ac:dyDescent="0.45">
      <c r="A544" s="1">
        <v>44448</v>
      </c>
      <c r="B544">
        <v>251.62</v>
      </c>
      <c r="C544" s="1">
        <v>44448</v>
      </c>
      <c r="D544">
        <v>448.98</v>
      </c>
      <c r="E544">
        <f t="shared" si="169"/>
        <v>1.3132237653707371E-3</v>
      </c>
      <c r="F544" s="4">
        <f t="shared" si="170"/>
        <v>-4.280233305981253E-3</v>
      </c>
      <c r="G544">
        <f t="shared" ca="1" si="171"/>
        <v>2.7668174855213011E-3</v>
      </c>
      <c r="H544">
        <f t="shared" ca="1" si="172"/>
        <v>3.5019978767267805E-2</v>
      </c>
      <c r="I544">
        <f t="shared" ca="1" si="173"/>
        <v>0.76730961015598043</v>
      </c>
      <c r="J544">
        <f t="shared" ca="1" si="174"/>
        <v>4.0660961347486602</v>
      </c>
      <c r="K544">
        <f t="shared" ca="1" si="175"/>
        <v>1.1613697905673732</v>
      </c>
      <c r="L544">
        <f t="shared" ca="1" si="176"/>
        <v>1.2915216133253851</v>
      </c>
      <c r="M544">
        <f t="shared" ca="1" si="177"/>
        <v>1.1994996837774359E-3</v>
      </c>
      <c r="N544">
        <f t="shared" ca="1" si="178"/>
        <v>7.6534885767476331E-3</v>
      </c>
      <c r="O544">
        <f t="shared" ca="1" si="179"/>
        <v>-0.33149821156934245</v>
      </c>
      <c r="P544">
        <f t="shared" ca="1" si="180"/>
        <v>1.1431404163015326</v>
      </c>
      <c r="Q544">
        <f t="shared" ca="1" si="181"/>
        <v>1.2961892750973876</v>
      </c>
      <c r="R544">
        <f t="shared" ca="1" si="182"/>
        <v>2.0857612166573829</v>
      </c>
      <c r="T544">
        <f t="shared" si="183"/>
        <v>1.0013132237653708</v>
      </c>
      <c r="U544" s="6">
        <f t="shared" ca="1" si="184"/>
        <v>1.0282921327192405</v>
      </c>
      <c r="V544">
        <f t="shared" ca="1" si="185"/>
        <v>0.52759635941347416</v>
      </c>
      <c r="X544" t="b">
        <f t="shared" ca="1" si="186"/>
        <v>0</v>
      </c>
      <c r="BJ544" t="b">
        <f t="shared" si="167"/>
        <v>1</v>
      </c>
      <c r="BK544" t="b">
        <f t="shared" ca="1" si="168"/>
        <v>0</v>
      </c>
    </row>
    <row r="545" spans="1:63" x14ac:dyDescent="0.45">
      <c r="A545" s="1">
        <v>44447</v>
      </c>
      <c r="B545">
        <v>251.29</v>
      </c>
      <c r="C545" s="1">
        <v>44447</v>
      </c>
      <c r="D545">
        <v>450.91</v>
      </c>
      <c r="E545">
        <f t="shared" si="169"/>
        <v>1.2630840767731144E-3</v>
      </c>
      <c r="F545" s="4">
        <f t="shared" si="170"/>
        <v>-1.218269614140687E-3</v>
      </c>
      <c r="G545">
        <f t="shared" ca="1" si="171"/>
        <v>2.6635099307150464E-3</v>
      </c>
      <c r="H545">
        <f t="shared" ca="1" si="172"/>
        <v>3.505474642156093E-2</v>
      </c>
      <c r="I545">
        <f t="shared" ca="1" si="173"/>
        <v>0.77268509817983955</v>
      </c>
      <c r="J545">
        <f t="shared" ca="1" si="174"/>
        <v>4.047983742274484</v>
      </c>
      <c r="K545">
        <f t="shared" ca="1" si="175"/>
        <v>1.1613697905673732</v>
      </c>
      <c r="L545">
        <f t="shared" ca="1" si="176"/>
        <v>1.1662847722537746</v>
      </c>
      <c r="M545">
        <f t="shared" ca="1" si="177"/>
        <v>1.186661932536645E-3</v>
      </c>
      <c r="N545">
        <f t="shared" ca="1" si="178"/>
        <v>7.6648712235304469E-3</v>
      </c>
      <c r="O545">
        <f t="shared" ca="1" si="179"/>
        <v>-0.32896757770845497</v>
      </c>
      <c r="P545">
        <f t="shared" ca="1" si="180"/>
        <v>1.1209865615567844</v>
      </c>
      <c r="Q545">
        <f t="shared" ca="1" si="181"/>
        <v>1.2961892750973876</v>
      </c>
      <c r="R545">
        <f t="shared" ca="1" si="182"/>
        <v>2.0857612166573829</v>
      </c>
      <c r="T545">
        <f t="shared" si="183"/>
        <v>1.0012630840767731</v>
      </c>
      <c r="U545" s="6">
        <f t="shared" ca="1" si="184"/>
        <v>1.0246697113032133</v>
      </c>
      <c r="V545">
        <f t="shared" ca="1" si="185"/>
        <v>0.51525018169728043</v>
      </c>
      <c r="X545" t="b">
        <f t="shared" ca="1" si="186"/>
        <v>0</v>
      </c>
      <c r="BJ545" t="b">
        <f t="shared" si="167"/>
        <v>1</v>
      </c>
      <c r="BK545" t="b">
        <f t="shared" ca="1" si="168"/>
        <v>0</v>
      </c>
    </row>
    <row r="546" spans="1:63" x14ac:dyDescent="0.45">
      <c r="A546" s="1">
        <v>44446</v>
      </c>
      <c r="B546">
        <v>250.97300000000001</v>
      </c>
      <c r="C546" s="1">
        <v>44446</v>
      </c>
      <c r="D546">
        <v>451.46</v>
      </c>
      <c r="E546">
        <f t="shared" si="169"/>
        <v>2.6377886742760464E-2</v>
      </c>
      <c r="F546" s="4">
        <f t="shared" si="170"/>
        <v>-3.5755275006621448E-3</v>
      </c>
      <c r="G546">
        <f t="shared" ca="1" si="171"/>
        <v>2.7869621615058708E-3</v>
      </c>
      <c r="H546">
        <f t="shared" ca="1" si="172"/>
        <v>3.5093244768776392E-2</v>
      </c>
      <c r="I546">
        <f t="shared" ca="1" si="173"/>
        <v>0.76096879978346454</v>
      </c>
      <c r="J546">
        <f t="shared" ca="1" si="174"/>
        <v>4.0069095885193979</v>
      </c>
      <c r="K546">
        <f t="shared" ca="1" si="175"/>
        <v>1.1613697905673732</v>
      </c>
      <c r="L546">
        <f t="shared" ca="1" si="176"/>
        <v>1.1693947825480651</v>
      </c>
      <c r="M546">
        <f t="shared" ca="1" si="177"/>
        <v>1.2138041394823907E-3</v>
      </c>
      <c r="N546">
        <f t="shared" ca="1" si="178"/>
        <v>7.665923585698343E-3</v>
      </c>
      <c r="O546">
        <f t="shared" ca="1" si="179"/>
        <v>-0.33909320136705079</v>
      </c>
      <c r="P546">
        <f t="shared" ca="1" si="180"/>
        <v>1.1235965878705123</v>
      </c>
      <c r="Q546">
        <f t="shared" ca="1" si="181"/>
        <v>1.2961892750973876</v>
      </c>
      <c r="R546">
        <f t="shared" ca="1" si="182"/>
        <v>2.0857612166573829</v>
      </c>
      <c r="T546">
        <f t="shared" si="183"/>
        <v>1.0263778867427604</v>
      </c>
      <c r="U546" s="6">
        <f t="shared" ca="1" si="184"/>
        <v>1.0301103691147078</v>
      </c>
      <c r="V546">
        <f t="shared" ca="1" si="185"/>
        <v>0.51741935529557004</v>
      </c>
      <c r="X546" t="b">
        <f t="shared" ca="1" si="186"/>
        <v>0</v>
      </c>
      <c r="BJ546" t="b">
        <f t="shared" si="167"/>
        <v>1</v>
      </c>
      <c r="BK546" t="b">
        <f t="shared" ca="1" si="168"/>
        <v>0</v>
      </c>
    </row>
    <row r="547" spans="1:63" x14ac:dyDescent="0.45">
      <c r="A547" s="1">
        <v>44442</v>
      </c>
      <c r="B547">
        <v>244.523</v>
      </c>
      <c r="C547" s="1">
        <v>44442</v>
      </c>
      <c r="D547">
        <v>453.08</v>
      </c>
      <c r="E547">
        <f t="shared" si="169"/>
        <v>1.609798058411505E-3</v>
      </c>
      <c r="F547" s="4">
        <f t="shared" si="170"/>
        <v>-2.4272380237872336E-4</v>
      </c>
      <c r="G547">
        <f t="shared" ca="1" si="171"/>
        <v>3.1649128805063468E-3</v>
      </c>
      <c r="H547">
        <f t="shared" ca="1" si="172"/>
        <v>3.5749506311755712E-2</v>
      </c>
      <c r="I547">
        <f t="shared" ca="1" si="173"/>
        <v>0.79471851545623307</v>
      </c>
      <c r="J547">
        <f t="shared" ca="1" si="174"/>
        <v>3.7739776999544015</v>
      </c>
      <c r="K547">
        <f t="shared" ca="1" si="175"/>
        <v>1.1879604073756056</v>
      </c>
      <c r="L547">
        <f t="shared" ca="1" si="176"/>
        <v>1.1693947825480651</v>
      </c>
      <c r="M547">
        <f t="shared" ca="1" si="177"/>
        <v>1.1715076324568339E-3</v>
      </c>
      <c r="N547">
        <f t="shared" ca="1" si="178"/>
        <v>7.7156570181223082E-3</v>
      </c>
      <c r="O547">
        <f t="shared" ca="1" si="179"/>
        <v>-0.34045062123557879</v>
      </c>
      <c r="P547">
        <f t="shared" ca="1" si="180"/>
        <v>1.0535838447019081</v>
      </c>
      <c r="Q547">
        <f t="shared" ca="1" si="181"/>
        <v>1.1848333315086967</v>
      </c>
      <c r="R547">
        <f t="shared" ca="1" si="182"/>
        <v>2.0857612166573829</v>
      </c>
      <c r="T547">
        <f t="shared" si="183"/>
        <v>1.0016097980584115</v>
      </c>
      <c r="U547" s="6">
        <f t="shared" ca="1" si="184"/>
        <v>1.0304078682887572</v>
      </c>
      <c r="V547">
        <f t="shared" ca="1" si="185"/>
        <v>0.51129651407394061</v>
      </c>
      <c r="X547" t="b">
        <f t="shared" ca="1" si="186"/>
        <v>0</v>
      </c>
      <c r="BJ547" t="b">
        <f t="shared" si="167"/>
        <v>1</v>
      </c>
      <c r="BK547" t="b">
        <f t="shared" ca="1" si="168"/>
        <v>0</v>
      </c>
    </row>
    <row r="548" spans="1:63" x14ac:dyDescent="0.45">
      <c r="A548" s="1">
        <v>44441</v>
      </c>
      <c r="B548">
        <v>244.13</v>
      </c>
      <c r="C548" s="1">
        <v>44441</v>
      </c>
      <c r="D548">
        <v>453.19</v>
      </c>
      <c r="E548">
        <f t="shared" si="169"/>
        <v>-2.3171514158326716E-3</v>
      </c>
      <c r="F548" s="4">
        <f t="shared" si="170"/>
        <v>3.0765825586542414E-3</v>
      </c>
      <c r="G548">
        <f t="shared" ca="1" si="171"/>
        <v>3.5675453575376736E-3</v>
      </c>
      <c r="H548">
        <f t="shared" ca="1" si="172"/>
        <v>3.6182747429112185E-2</v>
      </c>
      <c r="I548">
        <f t="shared" ca="1" si="173"/>
        <v>0.78556392475692671</v>
      </c>
      <c r="J548">
        <f t="shared" ca="1" si="174"/>
        <v>3.5342463152623838</v>
      </c>
      <c r="K548">
        <f t="shared" ca="1" si="175"/>
        <v>1.2307349110223373</v>
      </c>
      <c r="L548">
        <f t="shared" ca="1" si="176"/>
        <v>1.1854521605606365</v>
      </c>
      <c r="M548">
        <f t="shared" ca="1" si="177"/>
        <v>1.1458298925587241E-3</v>
      </c>
      <c r="N548">
        <f t="shared" ca="1" si="178"/>
        <v>7.7289213987425725E-3</v>
      </c>
      <c r="O548">
        <f t="shared" ca="1" si="179"/>
        <v>-0.33169121703743742</v>
      </c>
      <c r="P548">
        <f t="shared" ca="1" si="180"/>
        <v>1.0236145350149721</v>
      </c>
      <c r="Q548">
        <f t="shared" ca="1" si="181"/>
        <v>1.1848333315086967</v>
      </c>
      <c r="R548">
        <f t="shared" ca="1" si="182"/>
        <v>1.7380557104971792</v>
      </c>
      <c r="T548">
        <f t="shared" si="183"/>
        <v>0.99768284858416734</v>
      </c>
      <c r="U548" s="6">
        <f t="shared" ca="1" si="184"/>
        <v>1.0445404757829884</v>
      </c>
      <c r="V548">
        <f t="shared" ca="1" si="185"/>
        <v>0.52820450993944801</v>
      </c>
      <c r="X548" t="b">
        <f t="shared" ca="1" si="186"/>
        <v>0</v>
      </c>
      <c r="BJ548" t="b">
        <f t="shared" si="167"/>
        <v>1</v>
      </c>
      <c r="BK548" t="b">
        <f t="shared" ca="1" si="168"/>
        <v>0</v>
      </c>
    </row>
    <row r="549" spans="1:63" x14ac:dyDescent="0.45">
      <c r="A549" s="1">
        <v>44440</v>
      </c>
      <c r="B549">
        <v>244.697</v>
      </c>
      <c r="C549" s="1">
        <v>44440</v>
      </c>
      <c r="D549">
        <v>451.8</v>
      </c>
      <c r="E549">
        <f t="shared" si="169"/>
        <v>-2.2141575599413077E-3</v>
      </c>
      <c r="F549" s="4">
        <f t="shared" si="170"/>
        <v>5.3149083178317188E-4</v>
      </c>
      <c r="G549">
        <f t="shared" ca="1" si="171"/>
        <v>3.5741005271764147E-3</v>
      </c>
      <c r="H549">
        <f t="shared" ca="1" si="172"/>
        <v>3.618179469715635E-2</v>
      </c>
      <c r="I549">
        <f t="shared" ca="1" si="173"/>
        <v>0.78508855823896762</v>
      </c>
      <c r="J549">
        <f t="shared" ca="1" si="174"/>
        <v>3.5343563919750167</v>
      </c>
      <c r="K549">
        <f t="shared" ca="1" si="175"/>
        <v>1.2307349110223373</v>
      </c>
      <c r="L549">
        <f t="shared" ca="1" si="176"/>
        <v>1.1854521605606365</v>
      </c>
      <c r="M549">
        <f t="shared" ca="1" si="177"/>
        <v>1.1928597136386724E-3</v>
      </c>
      <c r="N549">
        <f t="shared" ca="1" si="178"/>
        <v>7.7692409731879367E-3</v>
      </c>
      <c r="O549">
        <f t="shared" ca="1" si="179"/>
        <v>-0.32920524015689762</v>
      </c>
      <c r="P549">
        <f t="shared" ca="1" si="180"/>
        <v>0.971160922672893</v>
      </c>
      <c r="Q549">
        <f t="shared" ca="1" si="181"/>
        <v>1.1848333315086967</v>
      </c>
      <c r="R549">
        <f t="shared" ca="1" si="182"/>
        <v>1.7496630076707316</v>
      </c>
      <c r="T549">
        <f t="shared" si="183"/>
        <v>0.99778584244005875</v>
      </c>
      <c r="U549" s="6">
        <f t="shared" ca="1" si="184"/>
        <v>1.0321849941155878</v>
      </c>
      <c r="V549">
        <f t="shared" ca="1" si="185"/>
        <v>0.51308039530424765</v>
      </c>
      <c r="X549" t="b">
        <f t="shared" ca="1" si="186"/>
        <v>0</v>
      </c>
      <c r="BJ549" t="b">
        <f t="shared" si="167"/>
        <v>1</v>
      </c>
      <c r="BK549" t="b">
        <f t="shared" ca="1" si="168"/>
        <v>0</v>
      </c>
    </row>
    <row r="550" spans="1:63" x14ac:dyDescent="0.45">
      <c r="A550" s="1">
        <v>44439</v>
      </c>
      <c r="B550">
        <v>245.24</v>
      </c>
      <c r="C550" s="1">
        <v>44439</v>
      </c>
      <c r="D550">
        <v>451.56</v>
      </c>
      <c r="E550">
        <f t="shared" si="169"/>
        <v>6.5794604267825031E-3</v>
      </c>
      <c r="F550" s="4">
        <f t="shared" si="170"/>
        <v>-1.4815470004201753E-3</v>
      </c>
      <c r="G550">
        <f t="shared" ca="1" si="171"/>
        <v>3.5456093381887295E-3</v>
      </c>
      <c r="H550">
        <f t="shared" ca="1" si="172"/>
        <v>3.6188618420962153E-2</v>
      </c>
      <c r="I550">
        <f t="shared" ca="1" si="173"/>
        <v>0.78688873728275921</v>
      </c>
      <c r="J550">
        <f t="shared" ca="1" si="174"/>
        <v>3.5319685281986315</v>
      </c>
      <c r="K550">
        <f t="shared" ca="1" si="175"/>
        <v>1.2307349110223373</v>
      </c>
      <c r="L550">
        <f t="shared" ca="1" si="176"/>
        <v>1.1854521605606365</v>
      </c>
      <c r="M550">
        <f t="shared" ca="1" si="177"/>
        <v>1.2594245351797656E-3</v>
      </c>
      <c r="N550">
        <f t="shared" ca="1" si="178"/>
        <v>7.8204085659486083E-3</v>
      </c>
      <c r="O550">
        <f t="shared" ca="1" si="179"/>
        <v>-0.32708502230046455</v>
      </c>
      <c r="P550">
        <f t="shared" ca="1" si="180"/>
        <v>0.91344762100049515</v>
      </c>
      <c r="Q550">
        <f t="shared" ca="1" si="181"/>
        <v>1.1848333315086967</v>
      </c>
      <c r="R550">
        <f t="shared" ca="1" si="182"/>
        <v>1.7541176191254382</v>
      </c>
      <c r="T550">
        <f t="shared" si="183"/>
        <v>1.0065794604267826</v>
      </c>
      <c r="U550" s="6">
        <f t="shared" ca="1" si="184"/>
        <v>1.0384353179795311</v>
      </c>
      <c r="V550">
        <f t="shared" ca="1" si="185"/>
        <v>0.52517605920089838</v>
      </c>
      <c r="X550" t="b">
        <f t="shared" ca="1" si="186"/>
        <v>0</v>
      </c>
      <c r="BJ550" t="b">
        <f t="shared" si="167"/>
        <v>1</v>
      </c>
      <c r="BK550" t="b">
        <f t="shared" ca="1" si="168"/>
        <v>0</v>
      </c>
    </row>
    <row r="551" spans="1:63" x14ac:dyDescent="0.45">
      <c r="A551" s="1">
        <v>44438</v>
      </c>
      <c r="B551">
        <v>243.637</v>
      </c>
      <c r="C551" s="1">
        <v>44438</v>
      </c>
      <c r="D551">
        <v>452.23</v>
      </c>
      <c r="E551">
        <f t="shared" si="169"/>
        <v>2.6674307963945491E-2</v>
      </c>
      <c r="F551" s="4">
        <f t="shared" si="170"/>
        <v>4.3975569128262481E-3</v>
      </c>
      <c r="G551">
        <f t="shared" ca="1" si="171"/>
        <v>3.4483434594274418E-3</v>
      </c>
      <c r="H551">
        <f t="shared" ca="1" si="172"/>
        <v>3.6206561385159763E-2</v>
      </c>
      <c r="I551">
        <f t="shared" ca="1" si="173"/>
        <v>0.79338373743332391</v>
      </c>
      <c r="J551">
        <f t="shared" ca="1" si="174"/>
        <v>3.527811949409962</v>
      </c>
      <c r="K551">
        <f t="shared" ca="1" si="175"/>
        <v>1.2307349110223373</v>
      </c>
      <c r="L551">
        <f t="shared" ca="1" si="176"/>
        <v>1.1854521605606365</v>
      </c>
      <c r="M551">
        <f t="shared" ca="1" si="177"/>
        <v>1.2183280505951332E-3</v>
      </c>
      <c r="N551">
        <f t="shared" ca="1" si="178"/>
        <v>7.8563983503757411E-3</v>
      </c>
      <c r="O551">
        <f t="shared" ca="1" si="179"/>
        <v>-0.32032517986403708</v>
      </c>
      <c r="P551">
        <f t="shared" ca="1" si="180"/>
        <v>0.85392934101466889</v>
      </c>
      <c r="Q551">
        <f t="shared" ca="1" si="181"/>
        <v>1.1848333315086967</v>
      </c>
      <c r="R551">
        <f t="shared" ca="1" si="182"/>
        <v>1.7516788966915802</v>
      </c>
      <c r="T551">
        <f t="shared" si="183"/>
        <v>1.0266743079639455</v>
      </c>
      <c r="U551" s="6">
        <f t="shared" ca="1" si="184"/>
        <v>1.0348464318935753</v>
      </c>
      <c r="V551">
        <f t="shared" ca="1" si="185"/>
        <v>0.52240645474191527</v>
      </c>
      <c r="X551" t="b">
        <f t="shared" ca="1" si="186"/>
        <v>0</v>
      </c>
      <c r="BJ551" t="b">
        <f t="shared" si="167"/>
        <v>1</v>
      </c>
      <c r="BK551" t="b">
        <f t="shared" ca="1" si="168"/>
        <v>0</v>
      </c>
    </row>
    <row r="552" spans="1:63" x14ac:dyDescent="0.45">
      <c r="A552" s="1">
        <v>44435</v>
      </c>
      <c r="B552">
        <v>237.30699999999999</v>
      </c>
      <c r="C552" s="1">
        <v>44435</v>
      </c>
      <c r="D552">
        <v>450.25</v>
      </c>
      <c r="E552">
        <f t="shared" si="169"/>
        <v>1.534742426835525E-2</v>
      </c>
      <c r="F552" s="4">
        <f t="shared" si="170"/>
        <v>8.9409761125801308E-3</v>
      </c>
      <c r="G552">
        <f t="shared" ca="1" si="171"/>
        <v>3.3974358964476187E-3</v>
      </c>
      <c r="H552">
        <f t="shared" ca="1" si="172"/>
        <v>3.6180889508703892E-2</v>
      </c>
      <c r="I552">
        <f t="shared" ca="1" si="173"/>
        <v>0.79823260765584347</v>
      </c>
      <c r="J552">
        <f t="shared" ca="1" si="174"/>
        <v>3.5502682947882063</v>
      </c>
      <c r="K552">
        <f t="shared" ca="1" si="175"/>
        <v>1.2307349110223373</v>
      </c>
      <c r="L552">
        <f t="shared" ca="1" si="176"/>
        <v>1.1693947825480651</v>
      </c>
      <c r="M552">
        <f t="shared" ca="1" si="177"/>
        <v>1.2334829617715961E-3</v>
      </c>
      <c r="N552">
        <f t="shared" ca="1" si="178"/>
        <v>7.8654799852797257E-3</v>
      </c>
      <c r="O552">
        <f t="shared" ca="1" si="179"/>
        <v>-0.322892418200666</v>
      </c>
      <c r="P552">
        <f t="shared" ca="1" si="180"/>
        <v>0.84034039620629919</v>
      </c>
      <c r="Q552">
        <f t="shared" ca="1" si="181"/>
        <v>1.1848333315086967</v>
      </c>
      <c r="R552">
        <f t="shared" ca="1" si="182"/>
        <v>1.7720272657494636</v>
      </c>
      <c r="T552">
        <f t="shared" si="183"/>
        <v>1.0153474242683553</v>
      </c>
      <c r="U552" s="6">
        <f t="shared" ca="1" si="184"/>
        <v>1.0465440369035914</v>
      </c>
      <c r="V552">
        <f t="shared" ca="1" si="185"/>
        <v>0.53641510394500547</v>
      </c>
      <c r="X552" t="b">
        <f t="shared" ca="1" si="186"/>
        <v>0</v>
      </c>
      <c r="BJ552" t="b">
        <f t="shared" si="167"/>
        <v>1</v>
      </c>
      <c r="BK552" t="b">
        <f t="shared" ca="1" si="168"/>
        <v>0</v>
      </c>
    </row>
    <row r="553" spans="1:63" x14ac:dyDescent="0.45">
      <c r="A553" s="1">
        <v>44434</v>
      </c>
      <c r="B553">
        <v>233.72</v>
      </c>
      <c r="C553" s="1">
        <v>44434</v>
      </c>
      <c r="D553">
        <v>446.26</v>
      </c>
      <c r="E553">
        <f t="shared" si="169"/>
        <v>-1.4118371599590025E-2</v>
      </c>
      <c r="F553" s="4">
        <f t="shared" si="170"/>
        <v>-5.9031877213696149E-3</v>
      </c>
      <c r="G553">
        <f t="shared" ca="1" si="171"/>
        <v>3.1913368608486141E-3</v>
      </c>
      <c r="H553">
        <f t="shared" ca="1" si="172"/>
        <v>3.6229844236549111E-2</v>
      </c>
      <c r="I553">
        <f t="shared" ca="1" si="173"/>
        <v>0.80938105404079908</v>
      </c>
      <c r="J553">
        <f t="shared" ca="1" si="174"/>
        <v>3.535425516798699</v>
      </c>
      <c r="K553">
        <f t="shared" ca="1" si="175"/>
        <v>1.2307349110223373</v>
      </c>
      <c r="L553">
        <f t="shared" ca="1" si="176"/>
        <v>1.1430168926466262</v>
      </c>
      <c r="M553">
        <f t="shared" ca="1" si="177"/>
        <v>1.1814450487177212E-3</v>
      </c>
      <c r="N553">
        <f t="shared" ca="1" si="178"/>
        <v>7.8486412574084782E-3</v>
      </c>
      <c r="O553">
        <f t="shared" ca="1" si="179"/>
        <v>-0.30989694999056955</v>
      </c>
      <c r="P553">
        <f t="shared" ca="1" si="180"/>
        <v>0.86039616186465695</v>
      </c>
      <c r="Q553">
        <f t="shared" ca="1" si="181"/>
        <v>1.1848333315086967</v>
      </c>
      <c r="R553">
        <f t="shared" ca="1" si="182"/>
        <v>1.7516788966915802</v>
      </c>
      <c r="T553">
        <f t="shared" si="183"/>
        <v>0.98588162840040994</v>
      </c>
      <c r="U553" s="6">
        <f t="shared" ca="1" si="184"/>
        <v>1.0411154171678025</v>
      </c>
      <c r="V553">
        <f t="shared" ca="1" si="185"/>
        <v>0.52718698193589997</v>
      </c>
      <c r="X553" t="b">
        <f t="shared" ca="1" si="186"/>
        <v>0</v>
      </c>
      <c r="BJ553" t="b">
        <f t="shared" si="167"/>
        <v>1</v>
      </c>
      <c r="BK553" t="b">
        <f t="shared" ca="1" si="168"/>
        <v>0</v>
      </c>
    </row>
    <row r="554" spans="1:63" x14ac:dyDescent="0.45">
      <c r="A554" s="1">
        <v>44433</v>
      </c>
      <c r="B554">
        <v>237.06700000000001</v>
      </c>
      <c r="C554" s="1">
        <v>44433</v>
      </c>
      <c r="D554">
        <v>448.91</v>
      </c>
      <c r="E554">
        <f t="shared" si="169"/>
        <v>3.8278646528033446E-3</v>
      </c>
      <c r="F554" s="4">
        <f t="shared" si="170"/>
        <v>2.0983548005446741E-3</v>
      </c>
      <c r="G554">
        <f t="shared" ca="1" si="171"/>
        <v>3.1608590620717221E-3</v>
      </c>
      <c r="H554">
        <f t="shared" ca="1" si="172"/>
        <v>3.6247038753527347E-2</v>
      </c>
      <c r="I554">
        <f t="shared" ca="1" si="173"/>
        <v>0.80996396286672301</v>
      </c>
      <c r="J554">
        <f t="shared" ca="1" si="174"/>
        <v>3.5263528412074843</v>
      </c>
      <c r="K554">
        <f t="shared" ca="1" si="175"/>
        <v>1.2307349110223373</v>
      </c>
      <c r="L554">
        <f t="shared" ca="1" si="176"/>
        <v>1.1253336032416006</v>
      </c>
      <c r="M554">
        <f t="shared" ca="1" si="177"/>
        <v>1.273789408617692E-3</v>
      </c>
      <c r="N554">
        <f t="shared" ca="1" si="178"/>
        <v>7.8734769230338376E-3</v>
      </c>
      <c r="O554">
        <f t="shared" ca="1" si="179"/>
        <v>-0.32347481779387044</v>
      </c>
      <c r="P554">
        <f t="shared" ca="1" si="180"/>
        <v>0.84521694704322936</v>
      </c>
      <c r="Q554">
        <f t="shared" ca="1" si="181"/>
        <v>1.1848333315086967</v>
      </c>
      <c r="R554">
        <f t="shared" ca="1" si="182"/>
        <v>1.7744943175901597</v>
      </c>
      <c r="T554">
        <f t="shared" si="183"/>
        <v>1.0038278646528034</v>
      </c>
      <c r="U554" s="6">
        <f t="shared" ca="1" si="184"/>
        <v>1.032238540818504</v>
      </c>
      <c r="V554">
        <f t="shared" ca="1" si="185"/>
        <v>0.52301678872733903</v>
      </c>
      <c r="X554" t="b">
        <f t="shared" ca="1" si="186"/>
        <v>0</v>
      </c>
      <c r="BJ554" t="b">
        <f t="shared" si="167"/>
        <v>1</v>
      </c>
      <c r="BK554" t="b">
        <f t="shared" ca="1" si="168"/>
        <v>0</v>
      </c>
    </row>
    <row r="555" spans="1:63" x14ac:dyDescent="0.45">
      <c r="A555" s="1">
        <v>44432</v>
      </c>
      <c r="B555">
        <v>236.16300000000001</v>
      </c>
      <c r="C555" s="1">
        <v>44432</v>
      </c>
      <c r="D555">
        <v>447.97</v>
      </c>
      <c r="E555">
        <f t="shared" si="169"/>
        <v>3.1006698296331364E-3</v>
      </c>
      <c r="F555" s="4">
        <f t="shared" si="170"/>
        <v>1.5874435451416098E-3</v>
      </c>
      <c r="G555">
        <f t="shared" ca="1" si="171"/>
        <v>3.0488278672744585E-3</v>
      </c>
      <c r="H555">
        <f t="shared" ca="1" si="172"/>
        <v>3.6279578473920306E-2</v>
      </c>
      <c r="I555">
        <f t="shared" ca="1" si="173"/>
        <v>0.81605198299338999</v>
      </c>
      <c r="J555">
        <f t="shared" ca="1" si="174"/>
        <v>3.5136992576494839</v>
      </c>
      <c r="K555">
        <f t="shared" ca="1" si="175"/>
        <v>1.2307349110223373</v>
      </c>
      <c r="L555">
        <f t="shared" ca="1" si="176"/>
        <v>1.1253336032416006</v>
      </c>
      <c r="M555">
        <f t="shared" ca="1" si="177"/>
        <v>1.2621555606085735E-3</v>
      </c>
      <c r="N555">
        <f t="shared" ca="1" si="178"/>
        <v>7.8739714244986693E-3</v>
      </c>
      <c r="O555">
        <f t="shared" ca="1" si="179"/>
        <v>-0.31897765547719836</v>
      </c>
      <c r="P555">
        <f t="shared" ca="1" si="180"/>
        <v>0.84230888800137782</v>
      </c>
      <c r="Q555">
        <f t="shared" ca="1" si="181"/>
        <v>1.1848333315086967</v>
      </c>
      <c r="R555">
        <f t="shared" ca="1" si="182"/>
        <v>1.7744943175901597</v>
      </c>
      <c r="T555">
        <f t="shared" si="183"/>
        <v>1.0031006698296332</v>
      </c>
      <c r="U555" s="6">
        <f t="shared" ca="1" si="184"/>
        <v>1.0642623128123552</v>
      </c>
      <c r="V555">
        <f t="shared" ca="1" si="185"/>
        <v>0.54733561602699232</v>
      </c>
      <c r="X555" t="b">
        <f t="shared" ca="1" si="186"/>
        <v>0</v>
      </c>
      <c r="BJ555" t="b">
        <f t="shared" si="167"/>
        <v>1</v>
      </c>
      <c r="BK555" t="b">
        <f t="shared" ca="1" si="168"/>
        <v>0</v>
      </c>
    </row>
    <row r="556" spans="1:63" x14ac:dyDescent="0.45">
      <c r="A556" s="1">
        <v>44431</v>
      </c>
      <c r="B556">
        <v>235.43299999999999</v>
      </c>
      <c r="C556" s="1">
        <v>44431</v>
      </c>
      <c r="D556">
        <v>447.26</v>
      </c>
      <c r="E556">
        <f t="shared" si="169"/>
        <v>3.8279537646690481E-2</v>
      </c>
      <c r="F556" s="4">
        <f t="shared" si="170"/>
        <v>8.7964633706242717E-3</v>
      </c>
      <c r="G556">
        <f t="shared" ca="1" si="171"/>
        <v>3.2365284631974485E-3</v>
      </c>
      <c r="H556">
        <f t="shared" ca="1" si="172"/>
        <v>3.6376828838127484E-2</v>
      </c>
      <c r="I556">
        <f t="shared" ca="1" si="173"/>
        <v>0.79949007440086906</v>
      </c>
      <c r="J556">
        <f t="shared" ca="1" si="174"/>
        <v>3.4327409583210668</v>
      </c>
      <c r="K556">
        <f t="shared" ca="1" si="175"/>
        <v>1.2307349110223373</v>
      </c>
      <c r="L556">
        <f t="shared" ca="1" si="176"/>
        <v>1.1407859614419049</v>
      </c>
      <c r="M556">
        <f t="shared" ca="1" si="177"/>
        <v>1.3517324605984151E-3</v>
      </c>
      <c r="N556">
        <f t="shared" ca="1" si="178"/>
        <v>7.9788971432037305E-3</v>
      </c>
      <c r="O556">
        <f t="shared" ca="1" si="179"/>
        <v>-0.2799340814577172</v>
      </c>
      <c r="P556">
        <f t="shared" ca="1" si="180"/>
        <v>0.79529568486633329</v>
      </c>
      <c r="Q556">
        <f t="shared" ca="1" si="181"/>
        <v>1.1879304373512098</v>
      </c>
      <c r="R556">
        <f t="shared" ca="1" si="182"/>
        <v>1.8330547620817883</v>
      </c>
      <c r="T556">
        <f t="shared" si="183"/>
        <v>1.0382795376466905</v>
      </c>
      <c r="U556" s="6">
        <f t="shared" ca="1" si="184"/>
        <v>1.0293367960371278</v>
      </c>
      <c r="V556">
        <f t="shared" ca="1" si="185"/>
        <v>0.58076785318161661</v>
      </c>
      <c r="X556" t="b">
        <f t="shared" ca="1" si="186"/>
        <v>0</v>
      </c>
      <c r="BJ556" t="b">
        <f t="shared" si="167"/>
        <v>1</v>
      </c>
      <c r="BK556" t="b">
        <f t="shared" ca="1" si="168"/>
        <v>0</v>
      </c>
    </row>
    <row r="557" spans="1:63" x14ac:dyDescent="0.45">
      <c r="A557" s="1">
        <v>44428</v>
      </c>
      <c r="B557">
        <v>226.75299999999999</v>
      </c>
      <c r="C557" s="1">
        <v>44428</v>
      </c>
      <c r="D557">
        <v>443.36</v>
      </c>
      <c r="E557">
        <f t="shared" si="169"/>
        <v>1.0080627199429716E-2</v>
      </c>
      <c r="F557" s="4">
        <f t="shared" si="170"/>
        <v>7.9570772518528614E-3</v>
      </c>
      <c r="G557">
        <f t="shared" ca="1" si="171"/>
        <v>3.010700484801222E-3</v>
      </c>
      <c r="H557">
        <f t="shared" ca="1" si="172"/>
        <v>3.6298297660495076E-2</v>
      </c>
      <c r="I557">
        <f t="shared" ca="1" si="173"/>
        <v>0.81886614510992595</v>
      </c>
      <c r="J557">
        <f t="shared" ca="1" si="174"/>
        <v>3.5050730161367643</v>
      </c>
      <c r="K557">
        <f t="shared" ca="1" si="175"/>
        <v>1.2307349110223373</v>
      </c>
      <c r="L557">
        <f t="shared" ca="1" si="176"/>
        <v>1.1253336032416006</v>
      </c>
      <c r="M557">
        <f t="shared" ca="1" si="177"/>
        <v>1.4194961188070446E-3</v>
      </c>
      <c r="N557">
        <f t="shared" ca="1" si="178"/>
        <v>8.099087409773097E-3</v>
      </c>
      <c r="O557">
        <f t="shared" ca="1" si="179"/>
        <v>-0.20850114957321003</v>
      </c>
      <c r="P557">
        <f t="shared" ca="1" si="180"/>
        <v>0.80927792088486683</v>
      </c>
      <c r="Q557">
        <f t="shared" ca="1" si="181"/>
        <v>1.1891604978717525</v>
      </c>
      <c r="R557">
        <f t="shared" ca="1" si="182"/>
        <v>1.8330547620817883</v>
      </c>
      <c r="T557">
        <f t="shared" si="183"/>
        <v>1.0100806271994298</v>
      </c>
      <c r="U557" s="6">
        <f t="shared" ca="1" si="184"/>
        <v>0.94853110346068081</v>
      </c>
      <c r="V557">
        <f t="shared" ca="1" si="185"/>
        <v>0.54919575088684158</v>
      </c>
      <c r="X557" t="b">
        <f t="shared" ca="1" si="186"/>
        <v>1</v>
      </c>
      <c r="BJ557" t="b">
        <f t="shared" si="167"/>
        <v>1</v>
      </c>
      <c r="BK557" t="b">
        <f t="shared" ca="1" si="168"/>
        <v>1</v>
      </c>
    </row>
    <row r="558" spans="1:63" x14ac:dyDescent="0.45">
      <c r="A558" s="1">
        <v>44427</v>
      </c>
      <c r="B558">
        <v>224.49</v>
      </c>
      <c r="C558" s="1">
        <v>44427</v>
      </c>
      <c r="D558">
        <v>439.86</v>
      </c>
      <c r="E558">
        <f t="shared" si="169"/>
        <v>-2.2524307354689268E-2</v>
      </c>
      <c r="F558" s="4">
        <f t="shared" si="170"/>
        <v>1.5483400883464793E-3</v>
      </c>
      <c r="G558">
        <f t="shared" ca="1" si="171"/>
        <v>3.252313258558911E-3</v>
      </c>
      <c r="H558">
        <f t="shared" ca="1" si="172"/>
        <v>3.6505825513615073E-2</v>
      </c>
      <c r="I558">
        <f t="shared" ca="1" si="173"/>
        <v>0.80261982006401811</v>
      </c>
      <c r="J558">
        <f t="shared" ca="1" si="174"/>
        <v>3.3628733383108296</v>
      </c>
      <c r="K558">
        <f t="shared" ca="1" si="175"/>
        <v>1.2307349110223373</v>
      </c>
      <c r="L558">
        <f t="shared" ca="1" si="176"/>
        <v>1.1407859614419049</v>
      </c>
      <c r="M558">
        <f t="shared" ca="1" si="177"/>
        <v>1.4679905629535947E-3</v>
      </c>
      <c r="N558">
        <f t="shared" ca="1" si="178"/>
        <v>8.1671793242886707E-3</v>
      </c>
      <c r="O558">
        <f t="shared" ca="1" si="179"/>
        <v>-0.1840448763114009</v>
      </c>
      <c r="P558">
        <f t="shared" ca="1" si="180"/>
        <v>0.76532517166116376</v>
      </c>
      <c r="Q558">
        <f t="shared" ca="1" si="181"/>
        <v>1.1930412898089229</v>
      </c>
      <c r="R558">
        <f t="shared" ca="1" si="182"/>
        <v>1.8330547620817883</v>
      </c>
      <c r="T558">
        <f t="shared" si="183"/>
        <v>0.97747569264531076</v>
      </c>
      <c r="U558" s="6">
        <f t="shared" ca="1" si="184"/>
        <v>0.93246105919003131</v>
      </c>
      <c r="V558">
        <f t="shared" ca="1" si="185"/>
        <v>0.54472046140723218</v>
      </c>
      <c r="X558" t="b">
        <f t="shared" ca="1" si="186"/>
        <v>1</v>
      </c>
      <c r="BJ558" t="b">
        <f t="shared" si="167"/>
        <v>1</v>
      </c>
      <c r="BK558" t="b">
        <f t="shared" ca="1" si="168"/>
        <v>1</v>
      </c>
    </row>
    <row r="559" spans="1:63" x14ac:dyDescent="0.45">
      <c r="A559" s="1">
        <v>44426</v>
      </c>
      <c r="B559">
        <v>229.66300000000001</v>
      </c>
      <c r="C559" s="1">
        <v>44426</v>
      </c>
      <c r="D559">
        <v>439.18</v>
      </c>
      <c r="E559">
        <f t="shared" si="169"/>
        <v>3.4970234742207271E-2</v>
      </c>
      <c r="F559" s="4">
        <f t="shared" si="170"/>
        <v>-1.0944959913521334E-2</v>
      </c>
      <c r="G559">
        <f t="shared" ca="1" si="171"/>
        <v>3.5255879221926622E-3</v>
      </c>
      <c r="H559">
        <f t="shared" ca="1" si="172"/>
        <v>3.6516463618262926E-2</v>
      </c>
      <c r="I559">
        <f t="shared" ca="1" si="173"/>
        <v>0.78353640758945875</v>
      </c>
      <c r="J559">
        <f t="shared" ca="1" si="174"/>
        <v>3.331871249982802</v>
      </c>
      <c r="K559">
        <f t="shared" ca="1" si="175"/>
        <v>1.2307349110223373</v>
      </c>
      <c r="L559">
        <f t="shared" ca="1" si="176"/>
        <v>1.2013728840541673</v>
      </c>
      <c r="M559">
        <f t="shared" ca="1" si="177"/>
        <v>1.5162910013003716E-3</v>
      </c>
      <c r="N559">
        <f t="shared" ca="1" si="178"/>
        <v>8.196170167997693E-3</v>
      </c>
      <c r="O559">
        <f t="shared" ca="1" si="179"/>
        <v>-0.19143724672756418</v>
      </c>
      <c r="P559">
        <f t="shared" ca="1" si="180"/>
        <v>0.72640922199343905</v>
      </c>
      <c r="Q559">
        <f t="shared" ca="1" si="181"/>
        <v>1.1930412898089229</v>
      </c>
      <c r="R559">
        <f t="shared" ca="1" si="182"/>
        <v>1.85977644168168</v>
      </c>
      <c r="T559">
        <f t="shared" si="183"/>
        <v>1.0349702347422072</v>
      </c>
      <c r="U559" s="6">
        <f t="shared" ca="1" si="184"/>
        <v>0.97339577858777648</v>
      </c>
      <c r="V559">
        <f t="shared" ca="1" si="185"/>
        <v>0.58307628207438478</v>
      </c>
      <c r="X559" t="b">
        <f t="shared" ca="1" si="186"/>
        <v>1</v>
      </c>
      <c r="BJ559" t="b">
        <f t="shared" si="167"/>
        <v>1</v>
      </c>
      <c r="BK559" t="b">
        <f t="shared" ca="1" si="168"/>
        <v>1</v>
      </c>
    </row>
    <row r="560" spans="1:63" x14ac:dyDescent="0.45">
      <c r="A560" s="1">
        <v>44425</v>
      </c>
      <c r="B560">
        <v>221.90299999999999</v>
      </c>
      <c r="C560" s="1">
        <v>44425</v>
      </c>
      <c r="D560">
        <v>444.04</v>
      </c>
      <c r="E560">
        <f t="shared" si="169"/>
        <v>-2.9817727119703839E-2</v>
      </c>
      <c r="F560" s="4">
        <f t="shared" si="170"/>
        <v>-6.5552497930510024E-3</v>
      </c>
      <c r="G560">
        <f t="shared" ca="1" si="171"/>
        <v>3.0733950807804661E-3</v>
      </c>
      <c r="H560">
        <f t="shared" ca="1" si="172"/>
        <v>3.6684694287898251E-2</v>
      </c>
      <c r="I560">
        <f t="shared" ca="1" si="173"/>
        <v>0.78585485162785684</v>
      </c>
      <c r="J560">
        <f t="shared" ca="1" si="174"/>
        <v>3.2861209365172046</v>
      </c>
      <c r="K560">
        <f t="shared" ca="1" si="175"/>
        <v>1.1765352218354488</v>
      </c>
      <c r="L560">
        <f t="shared" ca="1" si="176"/>
        <v>1.1407859614419049</v>
      </c>
      <c r="M560">
        <f t="shared" ca="1" si="177"/>
        <v>1.5188914296939676E-3</v>
      </c>
      <c r="N560">
        <f t="shared" ca="1" si="178"/>
        <v>8.1922782553246892E-3</v>
      </c>
      <c r="O560">
        <f t="shared" ca="1" si="179"/>
        <v>-0.19052741367132722</v>
      </c>
      <c r="P560">
        <f t="shared" ca="1" si="180"/>
        <v>0.72948199026316285</v>
      </c>
      <c r="Q560">
        <f t="shared" ca="1" si="181"/>
        <v>1.1930412898089229</v>
      </c>
      <c r="R560">
        <f t="shared" ca="1" si="182"/>
        <v>1.85977644168168</v>
      </c>
      <c r="T560">
        <f t="shared" si="183"/>
        <v>0.97018227288029613</v>
      </c>
      <c r="U560" s="6">
        <f t="shared" ca="1" si="184"/>
        <v>0.93763283656507335</v>
      </c>
      <c r="V560">
        <f t="shared" ca="1" si="185"/>
        <v>0.58623510572856719</v>
      </c>
      <c r="X560" t="b">
        <f t="shared" ca="1" si="186"/>
        <v>1</v>
      </c>
      <c r="BJ560" t="b">
        <f t="shared" si="167"/>
        <v>1</v>
      </c>
      <c r="BK560" t="b">
        <f t="shared" ca="1" si="168"/>
        <v>1</v>
      </c>
    </row>
    <row r="561" spans="1:63" x14ac:dyDescent="0.45">
      <c r="A561" s="1">
        <v>44424</v>
      </c>
      <c r="B561">
        <v>228.72300000000001</v>
      </c>
      <c r="C561" s="1">
        <v>44424</v>
      </c>
      <c r="D561">
        <v>446.97</v>
      </c>
      <c r="E561">
        <f t="shared" si="169"/>
        <v>-4.3228184073254391E-2</v>
      </c>
      <c r="F561" s="4">
        <f t="shared" si="170"/>
        <v>2.354682454251909E-3</v>
      </c>
      <c r="G561">
        <f t="shared" ca="1" si="171"/>
        <v>3.281704937008511E-3</v>
      </c>
      <c r="H561">
        <f t="shared" ca="1" si="172"/>
        <v>3.66152078324741E-2</v>
      </c>
      <c r="I561">
        <f t="shared" ca="1" si="173"/>
        <v>0.77684639101354114</v>
      </c>
      <c r="J561">
        <f t="shared" ca="1" si="174"/>
        <v>3.3127305766830597</v>
      </c>
      <c r="K561">
        <f t="shared" ca="1" si="175"/>
        <v>1.1765352218354488</v>
      </c>
      <c r="L561">
        <f t="shared" ca="1" si="176"/>
        <v>1.158712066418472</v>
      </c>
      <c r="M561">
        <f t="shared" ca="1" si="177"/>
        <v>1.6024850422788888E-3</v>
      </c>
      <c r="N561">
        <f t="shared" ca="1" si="178"/>
        <v>8.1947742358014723E-3</v>
      </c>
      <c r="O561">
        <f t="shared" ca="1" si="179"/>
        <v>-0.21045265180276568</v>
      </c>
      <c r="P561">
        <f t="shared" ca="1" si="180"/>
        <v>0.73453513403073067</v>
      </c>
      <c r="Q561">
        <f t="shared" ca="1" si="181"/>
        <v>1.1930412898089229</v>
      </c>
      <c r="R561">
        <f t="shared" ca="1" si="182"/>
        <v>2.2876359414261129</v>
      </c>
      <c r="T561">
        <f t="shared" si="183"/>
        <v>0.95677181592674565</v>
      </c>
      <c r="U561" s="6">
        <f t="shared" ca="1" si="184"/>
        <v>0.96134414929388046</v>
      </c>
      <c r="V561">
        <f t="shared" ca="1" si="185"/>
        <v>0.57722039218522558</v>
      </c>
      <c r="X561" t="b">
        <f t="shared" ca="1" si="186"/>
        <v>1</v>
      </c>
      <c r="BJ561" t="b">
        <f t="shared" si="167"/>
        <v>1</v>
      </c>
      <c r="BK561" t="b">
        <f t="shared" ca="1" si="168"/>
        <v>1</v>
      </c>
    </row>
    <row r="562" spans="1:63" x14ac:dyDescent="0.45">
      <c r="A562" s="1">
        <v>44421</v>
      </c>
      <c r="B562">
        <v>239.05699999999999</v>
      </c>
      <c r="C562" s="1">
        <v>44421</v>
      </c>
      <c r="D562">
        <v>445.92</v>
      </c>
      <c r="E562">
        <f t="shared" si="169"/>
        <v>-7.032191069574297E-3</v>
      </c>
      <c r="F562" s="4">
        <f t="shared" si="170"/>
        <v>1.819774887106563E-3</v>
      </c>
      <c r="G562">
        <f t="shared" ca="1" si="171"/>
        <v>3.2781510283270286E-3</v>
      </c>
      <c r="H562">
        <f t="shared" ca="1" si="172"/>
        <v>3.6619779022960007E-2</v>
      </c>
      <c r="I562">
        <f t="shared" ca="1" si="173"/>
        <v>0.77636549974655278</v>
      </c>
      <c r="J562">
        <f t="shared" ca="1" si="174"/>
        <v>3.3107065868951846</v>
      </c>
      <c r="K562">
        <f t="shared" ca="1" si="175"/>
        <v>1.1765352218354488</v>
      </c>
      <c r="L562">
        <f t="shared" ca="1" si="176"/>
        <v>1.158712066418472</v>
      </c>
      <c r="M562">
        <f t="shared" ca="1" si="177"/>
        <v>1.4198169460740947E-3</v>
      </c>
      <c r="N562">
        <f t="shared" ca="1" si="178"/>
        <v>8.5762267683523238E-3</v>
      </c>
      <c r="O562">
        <f t="shared" ca="1" si="179"/>
        <v>-0.48768608163561988</v>
      </c>
      <c r="P562">
        <f t="shared" ca="1" si="180"/>
        <v>1.6295637714285442</v>
      </c>
      <c r="Q562">
        <f t="shared" ca="1" si="181"/>
        <v>1.1578287115454535</v>
      </c>
      <c r="R562">
        <f t="shared" ca="1" si="182"/>
        <v>1.9062770367866944</v>
      </c>
      <c r="T562">
        <f t="shared" si="183"/>
        <v>0.99296780893042569</v>
      </c>
      <c r="U562" s="6">
        <f t="shared" ca="1" si="184"/>
        <v>1.0258504160354971</v>
      </c>
      <c r="V562">
        <f t="shared" ca="1" si="185"/>
        <v>0.58241008927893845</v>
      </c>
      <c r="X562" t="b">
        <f t="shared" ca="1" si="186"/>
        <v>0</v>
      </c>
      <c r="BJ562" t="b">
        <f t="shared" si="167"/>
        <v>1</v>
      </c>
      <c r="BK562" t="b">
        <f t="shared" ca="1" si="168"/>
        <v>0</v>
      </c>
    </row>
    <row r="563" spans="1:63" x14ac:dyDescent="0.45">
      <c r="A563" s="1">
        <v>44420</v>
      </c>
      <c r="B563">
        <v>240.75</v>
      </c>
      <c r="C563" s="1">
        <v>44420</v>
      </c>
      <c r="D563">
        <v>445.11</v>
      </c>
      <c r="E563">
        <f t="shared" si="169"/>
        <v>2.0386538950580665E-2</v>
      </c>
      <c r="F563" s="4">
        <f t="shared" si="170"/>
        <v>2.9969804858264028E-3</v>
      </c>
      <c r="G563">
        <f t="shared" ca="1" si="171"/>
        <v>3.3656700600955642E-3</v>
      </c>
      <c r="H563">
        <f t="shared" ca="1" si="172"/>
        <v>3.6615930422477114E-2</v>
      </c>
      <c r="I563">
        <f t="shared" ca="1" si="173"/>
        <v>0.76951912735360217</v>
      </c>
      <c r="J563">
        <f t="shared" ca="1" si="174"/>
        <v>3.3058127098377836</v>
      </c>
      <c r="K563">
        <f t="shared" ca="1" si="175"/>
        <v>1.1765352218354488</v>
      </c>
      <c r="L563">
        <f t="shared" ca="1" si="176"/>
        <v>1.158712066418472</v>
      </c>
      <c r="M563">
        <f t="shared" ca="1" si="177"/>
        <v>1.3934812644256216E-3</v>
      </c>
      <c r="N563">
        <f t="shared" ca="1" si="178"/>
        <v>8.5830767803166258E-3</v>
      </c>
      <c r="O563">
        <f t="shared" ca="1" si="179"/>
        <v>-0.47814747711177513</v>
      </c>
      <c r="P563">
        <f t="shared" ca="1" si="180"/>
        <v>1.6091461028422014</v>
      </c>
      <c r="Q563">
        <f t="shared" ca="1" si="181"/>
        <v>1.1578287115454535</v>
      </c>
      <c r="R563">
        <f t="shared" ca="1" si="182"/>
        <v>1.9036267694818838</v>
      </c>
      <c r="T563">
        <f t="shared" si="183"/>
        <v>1.0203865389505806</v>
      </c>
      <c r="U563" s="6">
        <f t="shared" ca="1" si="184"/>
        <v>1.0106628605012382</v>
      </c>
      <c r="V563">
        <f t="shared" ca="1" si="185"/>
        <v>0.57930462070122346</v>
      </c>
      <c r="X563" t="b">
        <f t="shared" ca="1" si="186"/>
        <v>0</v>
      </c>
      <c r="BJ563" t="b">
        <f t="shared" si="167"/>
        <v>1</v>
      </c>
      <c r="BK563" t="b">
        <f t="shared" ca="1" si="168"/>
        <v>0</v>
      </c>
    </row>
    <row r="564" spans="1:63" x14ac:dyDescent="0.45">
      <c r="A564" s="1">
        <v>44419</v>
      </c>
      <c r="B564">
        <v>235.94</v>
      </c>
      <c r="C564" s="1">
        <v>44419</v>
      </c>
      <c r="D564">
        <v>443.78</v>
      </c>
      <c r="E564">
        <f t="shared" si="169"/>
        <v>-3.054976908092998E-3</v>
      </c>
      <c r="F564" s="4">
        <f t="shared" si="170"/>
        <v>2.4848649137073414E-3</v>
      </c>
      <c r="G564">
        <f t="shared" ca="1" si="171"/>
        <v>3.2595650523835279E-3</v>
      </c>
      <c r="H564">
        <f t="shared" ca="1" si="172"/>
        <v>3.6597101874851094E-2</v>
      </c>
      <c r="I564">
        <f t="shared" ca="1" si="173"/>
        <v>0.77897483633009013</v>
      </c>
      <c r="J564">
        <f t="shared" ca="1" si="174"/>
        <v>3.3278177594058844</v>
      </c>
      <c r="K564">
        <f t="shared" ca="1" si="175"/>
        <v>1.1765352218354488</v>
      </c>
      <c r="L564">
        <f t="shared" ca="1" si="176"/>
        <v>1.158712066418472</v>
      </c>
      <c r="M564">
        <f t="shared" ca="1" si="177"/>
        <v>1.2860965702213728E-3</v>
      </c>
      <c r="N564">
        <f t="shared" ca="1" si="178"/>
        <v>8.6965158778686425E-3</v>
      </c>
      <c r="O564">
        <f t="shared" ca="1" si="179"/>
        <v>-0.48286623333156059</v>
      </c>
      <c r="P564">
        <f t="shared" ca="1" si="180"/>
        <v>1.4869343614057557</v>
      </c>
      <c r="Q564">
        <f t="shared" ca="1" si="181"/>
        <v>1.0840006839546121</v>
      </c>
      <c r="R564">
        <f t="shared" ca="1" si="182"/>
        <v>1.899058883129594</v>
      </c>
      <c r="T564">
        <f t="shared" si="183"/>
        <v>0.99694502309190702</v>
      </c>
      <c r="U564" s="6">
        <f t="shared" ca="1" si="184"/>
        <v>0.99564085359935506</v>
      </c>
      <c r="V564">
        <f t="shared" ca="1" si="185"/>
        <v>0.59718065793330177</v>
      </c>
      <c r="X564" t="b">
        <f t="shared" ca="1" si="186"/>
        <v>1</v>
      </c>
      <c r="BJ564" t="b">
        <f t="shared" si="167"/>
        <v>1</v>
      </c>
      <c r="BK564" t="b">
        <f t="shared" ca="1" si="168"/>
        <v>1</v>
      </c>
    </row>
    <row r="565" spans="1:63" x14ac:dyDescent="0.45">
      <c r="A565" s="1">
        <v>44418</v>
      </c>
      <c r="B565">
        <v>236.66300000000001</v>
      </c>
      <c r="C565" s="1">
        <v>44418</v>
      </c>
      <c r="D565">
        <v>442.68</v>
      </c>
      <c r="E565">
        <f t="shared" si="169"/>
        <v>-5.2832885003361489E-3</v>
      </c>
      <c r="F565" s="4">
        <f t="shared" si="170"/>
        <v>1.2439780155158243E-3</v>
      </c>
      <c r="G565">
        <f t="shared" ca="1" si="171"/>
        <v>3.2142466867302361E-3</v>
      </c>
      <c r="H565">
        <f t="shared" ca="1" si="172"/>
        <v>3.6610569812032069E-2</v>
      </c>
      <c r="I565">
        <f t="shared" ca="1" si="173"/>
        <v>0.78151638005869062</v>
      </c>
      <c r="J565">
        <f t="shared" ca="1" si="174"/>
        <v>3.3225396705828123</v>
      </c>
      <c r="K565">
        <f t="shared" ca="1" si="175"/>
        <v>1.1765352218354488</v>
      </c>
      <c r="L565">
        <f t="shared" ca="1" si="176"/>
        <v>1.158712066418472</v>
      </c>
      <c r="M565">
        <f t="shared" ca="1" si="177"/>
        <v>1.2906479573269016E-3</v>
      </c>
      <c r="N565">
        <f t="shared" ca="1" si="178"/>
        <v>8.697384571884929E-3</v>
      </c>
      <c r="O565">
        <f t="shared" ca="1" si="179"/>
        <v>-0.48424824882246031</v>
      </c>
      <c r="P565">
        <f t="shared" ca="1" si="180"/>
        <v>1.4861722963290971</v>
      </c>
      <c r="Q565">
        <f t="shared" ca="1" si="181"/>
        <v>1.0840006839546121</v>
      </c>
      <c r="R565">
        <f t="shared" ca="1" si="182"/>
        <v>1.899058883129594</v>
      </c>
      <c r="T565">
        <f t="shared" si="183"/>
        <v>0.9947167114996639</v>
      </c>
      <c r="U565" s="6">
        <f t="shared" ca="1" si="184"/>
        <v>1.0003508326992983</v>
      </c>
      <c r="V565">
        <f t="shared" ca="1" si="185"/>
        <v>0.60006357947551636</v>
      </c>
      <c r="X565" t="b">
        <f t="shared" ca="1" si="186"/>
        <v>0</v>
      </c>
      <c r="BJ565" t="b">
        <f t="shared" si="167"/>
        <v>1</v>
      </c>
      <c r="BK565" t="b">
        <f t="shared" ca="1" si="168"/>
        <v>0</v>
      </c>
    </row>
    <row r="566" spans="1:63" x14ac:dyDescent="0.45">
      <c r="A566" s="1">
        <v>44417</v>
      </c>
      <c r="B566">
        <v>237.92</v>
      </c>
      <c r="C566" s="1">
        <v>44417</v>
      </c>
      <c r="D566">
        <v>442.13</v>
      </c>
      <c r="E566">
        <f t="shared" si="169"/>
        <v>2.097127874592869E-2</v>
      </c>
      <c r="F566" s="4">
        <f t="shared" si="170"/>
        <v>-8.1357770797083246E-4</v>
      </c>
      <c r="G566">
        <f t="shared" ca="1" si="171"/>
        <v>3.2779288873239104E-3</v>
      </c>
      <c r="H566">
        <f t="shared" ca="1" si="172"/>
        <v>3.6606791506563909E-2</v>
      </c>
      <c r="I566">
        <f t="shared" ca="1" si="173"/>
        <v>0.7765581592713231</v>
      </c>
      <c r="J566">
        <f t="shared" ca="1" si="174"/>
        <v>3.3196230211940554</v>
      </c>
      <c r="K566">
        <f t="shared" ca="1" si="175"/>
        <v>1.1765352218354488</v>
      </c>
      <c r="L566">
        <f t="shared" ca="1" si="176"/>
        <v>1.158712066418472</v>
      </c>
      <c r="M566">
        <f t="shared" ca="1" si="177"/>
        <v>1.3118549047015447E-3</v>
      </c>
      <c r="N566">
        <f t="shared" ca="1" si="178"/>
        <v>8.7024396529735981E-3</v>
      </c>
      <c r="O566">
        <f t="shared" ca="1" si="179"/>
        <v>-0.49022096011600108</v>
      </c>
      <c r="P566">
        <f t="shared" ca="1" si="180"/>
        <v>1.4807697548379055</v>
      </c>
      <c r="Q566">
        <f t="shared" ca="1" si="181"/>
        <v>1.0840006839546121</v>
      </c>
      <c r="R566">
        <f t="shared" ca="1" si="182"/>
        <v>1.899058883129594</v>
      </c>
      <c r="T566">
        <f t="shared" si="183"/>
        <v>1.0209712787459286</v>
      </c>
      <c r="U566" s="6">
        <f t="shared" ca="1" si="184"/>
        <v>1.0057618248455975</v>
      </c>
      <c r="V566">
        <f t="shared" ca="1" si="185"/>
        <v>0.61124362515932418</v>
      </c>
      <c r="X566" t="b">
        <f t="shared" ca="1" si="186"/>
        <v>0</v>
      </c>
      <c r="BJ566" t="b">
        <f t="shared" si="167"/>
        <v>1</v>
      </c>
      <c r="BK566" t="b">
        <f t="shared" ca="1" si="168"/>
        <v>0</v>
      </c>
    </row>
    <row r="567" spans="1:63" x14ac:dyDescent="0.45">
      <c r="A567" s="1">
        <v>44414</v>
      </c>
      <c r="B567">
        <v>233.03299999999999</v>
      </c>
      <c r="C567" s="1">
        <v>44414</v>
      </c>
      <c r="D567">
        <v>442.49</v>
      </c>
      <c r="E567">
        <f t="shared" si="169"/>
        <v>-2.1732924730280091E-2</v>
      </c>
      <c r="F567" s="4">
        <f t="shared" si="170"/>
        <v>1.6524809851503491E-3</v>
      </c>
      <c r="G567">
        <f t="shared" ca="1" si="171"/>
        <v>3.1813556421861323E-3</v>
      </c>
      <c r="H567">
        <f t="shared" ca="1" si="172"/>
        <v>3.6585350639391931E-2</v>
      </c>
      <c r="I567">
        <f t="shared" ca="1" si="173"/>
        <v>0.78534869978565813</v>
      </c>
      <c r="J567">
        <f t="shared" ca="1" si="174"/>
        <v>3.3426921396179079</v>
      </c>
      <c r="K567">
        <f t="shared" ca="1" si="175"/>
        <v>1.1765352218354488</v>
      </c>
      <c r="L567">
        <f t="shared" ca="1" si="176"/>
        <v>1.158712066418472</v>
      </c>
      <c r="M567">
        <f t="shared" ca="1" si="177"/>
        <v>1.3064580602924795E-3</v>
      </c>
      <c r="N567">
        <f t="shared" ca="1" si="178"/>
        <v>8.7040988988230181E-3</v>
      </c>
      <c r="O567">
        <f t="shared" ca="1" si="179"/>
        <v>-0.48824122708348772</v>
      </c>
      <c r="P567">
        <f t="shared" ca="1" si="180"/>
        <v>1.4761581020940051</v>
      </c>
      <c r="Q567">
        <f t="shared" ca="1" si="181"/>
        <v>1.0840006839546121</v>
      </c>
      <c r="R567">
        <f t="shared" ca="1" si="182"/>
        <v>1.899058883129594</v>
      </c>
      <c r="T567">
        <f t="shared" si="183"/>
        <v>0.9782670752697199</v>
      </c>
      <c r="U567" s="6">
        <f t="shared" ca="1" si="184"/>
        <v>1.0173137117088011</v>
      </c>
      <c r="V567">
        <f t="shared" ca="1" si="185"/>
        <v>0.60755700721665151</v>
      </c>
      <c r="X567" t="b">
        <f t="shared" ca="1" si="186"/>
        <v>0</v>
      </c>
      <c r="BJ567" t="b">
        <f t="shared" si="167"/>
        <v>1</v>
      </c>
      <c r="BK567" t="b">
        <f t="shared" ca="1" si="168"/>
        <v>0</v>
      </c>
    </row>
    <row r="568" spans="1:63" x14ac:dyDescent="0.45">
      <c r="A568" s="1">
        <v>44413</v>
      </c>
      <c r="B568">
        <v>238.21</v>
      </c>
      <c r="C568" s="1">
        <v>44413</v>
      </c>
      <c r="D568">
        <v>441.76</v>
      </c>
      <c r="E568">
        <f t="shared" si="169"/>
        <v>5.2200039666966055E-3</v>
      </c>
      <c r="F568" s="4">
        <f t="shared" si="170"/>
        <v>6.3328625449905977E-3</v>
      </c>
      <c r="G568">
        <f t="shared" ca="1" si="171"/>
        <v>3.186858926097959E-3</v>
      </c>
      <c r="H568">
        <f t="shared" ca="1" si="172"/>
        <v>3.6581666718778272E-2</v>
      </c>
      <c r="I568">
        <f t="shared" ca="1" si="173"/>
        <v>0.78533337886082533</v>
      </c>
      <c r="J568">
        <f t="shared" ca="1" si="174"/>
        <v>3.3445993563466923</v>
      </c>
      <c r="K568">
        <f t="shared" ca="1" si="175"/>
        <v>1.1765352218354488</v>
      </c>
      <c r="L568">
        <f t="shared" ca="1" si="176"/>
        <v>1.158712066418472</v>
      </c>
      <c r="M568">
        <f t="shared" ca="1" si="177"/>
        <v>1.3182243094996479E-3</v>
      </c>
      <c r="N568">
        <f t="shared" ca="1" si="178"/>
        <v>8.7061593292918713E-3</v>
      </c>
      <c r="O568">
        <f t="shared" ca="1" si="179"/>
        <v>-0.49183911784001844</v>
      </c>
      <c r="P568">
        <f t="shared" ca="1" si="180"/>
        <v>1.4746283147060142</v>
      </c>
      <c r="Q568">
        <f t="shared" ca="1" si="181"/>
        <v>1.0840006839546121</v>
      </c>
      <c r="R568">
        <f t="shared" ca="1" si="182"/>
        <v>1.899058883129594</v>
      </c>
      <c r="T568">
        <f t="shared" si="183"/>
        <v>1.0052200039666965</v>
      </c>
      <c r="U568" s="6">
        <f t="shared" ca="1" si="184"/>
        <v>1.0550395733956941</v>
      </c>
      <c r="V568">
        <f t="shared" ca="1" si="185"/>
        <v>0.60779677914236652</v>
      </c>
      <c r="X568" t="b">
        <f t="shared" ca="1" si="186"/>
        <v>0</v>
      </c>
      <c r="BJ568" t="b">
        <f t="shared" si="167"/>
        <v>1</v>
      </c>
      <c r="BK568" t="b">
        <f t="shared" ca="1" si="168"/>
        <v>0</v>
      </c>
    </row>
    <row r="569" spans="1:63" x14ac:dyDescent="0.45">
      <c r="A569" s="1">
        <v>44412</v>
      </c>
      <c r="B569">
        <v>236.97300000000001</v>
      </c>
      <c r="C569" s="1">
        <v>44412</v>
      </c>
      <c r="D569">
        <v>438.98</v>
      </c>
      <c r="E569">
        <f t="shared" si="169"/>
        <v>1.6611716966776595E-3</v>
      </c>
      <c r="F569" s="4">
        <f t="shared" si="170"/>
        <v>-4.918961804374837E-3</v>
      </c>
      <c r="G569">
        <f t="shared" ca="1" si="171"/>
        <v>3.060217819861235E-3</v>
      </c>
      <c r="H569">
        <f t="shared" ca="1" si="172"/>
        <v>3.6618415949783094E-2</v>
      </c>
      <c r="I569">
        <f t="shared" ca="1" si="173"/>
        <v>0.79214371649318571</v>
      </c>
      <c r="J569">
        <f t="shared" ca="1" si="174"/>
        <v>3.3309400783000562</v>
      </c>
      <c r="K569">
        <f t="shared" ca="1" si="175"/>
        <v>1.1765352218354488</v>
      </c>
      <c r="L569">
        <f t="shared" ca="1" si="176"/>
        <v>1.1423186578141968</v>
      </c>
      <c r="M569">
        <f t="shared" ca="1" si="177"/>
        <v>1.2105428353246092E-3</v>
      </c>
      <c r="N569">
        <f t="shared" ca="1" si="178"/>
        <v>8.7767235342456097E-3</v>
      </c>
      <c r="O569">
        <f t="shared" ca="1" si="179"/>
        <v>-0.47769641130422369</v>
      </c>
      <c r="P569">
        <f t="shared" ca="1" si="180"/>
        <v>1.370627436739432</v>
      </c>
      <c r="Q569">
        <f t="shared" ca="1" si="181"/>
        <v>1.0525263669279172</v>
      </c>
      <c r="R569">
        <f t="shared" ca="1" si="182"/>
        <v>1.8784818950307169</v>
      </c>
      <c r="T569">
        <f t="shared" si="183"/>
        <v>1.0016611716966777</v>
      </c>
      <c r="U569" s="6">
        <f t="shared" ca="1" si="184"/>
        <v>1.0988268570898636</v>
      </c>
      <c r="V569">
        <f t="shared" ca="1" si="185"/>
        <v>0.57551215291272706</v>
      </c>
      <c r="X569" t="b">
        <f t="shared" ca="1" si="186"/>
        <v>0</v>
      </c>
      <c r="BJ569" t="b">
        <f t="shared" si="167"/>
        <v>1</v>
      </c>
      <c r="BK569" t="b">
        <f t="shared" ca="1" si="168"/>
        <v>0</v>
      </c>
    </row>
    <row r="570" spans="1:63" x14ac:dyDescent="0.45">
      <c r="A570" s="1">
        <v>44411</v>
      </c>
      <c r="B570">
        <v>236.58</v>
      </c>
      <c r="C570" s="1">
        <v>44411</v>
      </c>
      <c r="D570">
        <v>441.15</v>
      </c>
      <c r="E570">
        <f t="shared" si="169"/>
        <v>9.7228152200207798E-5</v>
      </c>
      <c r="F570" s="4">
        <f t="shared" si="170"/>
        <v>8.1354692748920286E-3</v>
      </c>
      <c r="G570">
        <f t="shared" ca="1" si="171"/>
        <v>2.9493235247988864E-3</v>
      </c>
      <c r="H570">
        <f t="shared" ca="1" si="172"/>
        <v>3.6656237495583388E-2</v>
      </c>
      <c r="I570">
        <f t="shared" ca="1" si="173"/>
        <v>0.79751122563121979</v>
      </c>
      <c r="J570">
        <f t="shared" ca="1" si="174"/>
        <v>3.315339623245027</v>
      </c>
      <c r="K570">
        <f t="shared" ca="1" si="175"/>
        <v>1.1765352218354488</v>
      </c>
      <c r="L570">
        <f t="shared" ca="1" si="176"/>
        <v>1.1159998463026419</v>
      </c>
      <c r="M570">
        <f t="shared" ca="1" si="177"/>
        <v>1.232116061612671E-3</v>
      </c>
      <c r="N570">
        <f t="shared" ca="1" si="178"/>
        <v>8.7668786610192E-3</v>
      </c>
      <c r="O570">
        <f t="shared" ca="1" si="179"/>
        <v>-0.48507461885709191</v>
      </c>
      <c r="P570">
        <f t="shared" ca="1" si="180"/>
        <v>1.3941047120932977</v>
      </c>
      <c r="Q570">
        <f t="shared" ca="1" si="181"/>
        <v>1.0525263669279172</v>
      </c>
      <c r="R570">
        <f t="shared" ca="1" si="182"/>
        <v>1.899058883129594</v>
      </c>
      <c r="T570">
        <f t="shared" si="183"/>
        <v>1.0000972281522003</v>
      </c>
      <c r="U570" s="6">
        <f t="shared" ca="1" si="184"/>
        <v>1.1007458346322239</v>
      </c>
      <c r="V570">
        <f t="shared" ca="1" si="185"/>
        <v>0.58002337188299025</v>
      </c>
      <c r="X570" t="b">
        <f t="shared" ca="1" si="186"/>
        <v>0</v>
      </c>
      <c r="BJ570" t="b">
        <f t="shared" si="167"/>
        <v>1</v>
      </c>
      <c r="BK570" t="b">
        <f t="shared" ca="1" si="168"/>
        <v>0</v>
      </c>
    </row>
    <row r="571" spans="1:63" x14ac:dyDescent="0.45">
      <c r="A571" s="1">
        <v>44410</v>
      </c>
      <c r="B571">
        <v>236.55699999999999</v>
      </c>
      <c r="C571" s="1">
        <v>44410</v>
      </c>
      <c r="D571">
        <v>437.59</v>
      </c>
      <c r="E571">
        <f t="shared" si="169"/>
        <v>3.2697856958880937E-2</v>
      </c>
      <c r="F571" s="4">
        <f t="shared" si="170"/>
        <v>-2.0980137283072584E-3</v>
      </c>
      <c r="G571">
        <f t="shared" ca="1" si="171"/>
        <v>2.8142181224277874E-3</v>
      </c>
      <c r="H571">
        <f t="shared" ca="1" si="172"/>
        <v>3.6716549142952387E-2</v>
      </c>
      <c r="I571">
        <f t="shared" ca="1" si="173"/>
        <v>0.80200680703502947</v>
      </c>
      <c r="J571">
        <f t="shared" ca="1" si="174"/>
        <v>3.2878765367451823</v>
      </c>
      <c r="K571">
        <f t="shared" ca="1" si="175"/>
        <v>1.1765352218354488</v>
      </c>
      <c r="L571">
        <f t="shared" ca="1" si="176"/>
        <v>1.1074620603793637</v>
      </c>
      <c r="M571">
        <f t="shared" ca="1" si="177"/>
        <v>1.1852593113351262E-3</v>
      </c>
      <c r="N571">
        <f t="shared" ca="1" si="178"/>
        <v>8.7548320446185178E-3</v>
      </c>
      <c r="O571">
        <f t="shared" ca="1" si="179"/>
        <v>-0.47346338621118034</v>
      </c>
      <c r="P571">
        <f t="shared" ca="1" si="180"/>
        <v>1.406103703723244</v>
      </c>
      <c r="Q571">
        <f t="shared" ca="1" si="181"/>
        <v>1.0525263669279172</v>
      </c>
      <c r="R571">
        <f t="shared" ca="1" si="182"/>
        <v>1.829029107109142</v>
      </c>
      <c r="T571">
        <f t="shared" si="183"/>
        <v>1.0326978569588809</v>
      </c>
      <c r="U571" s="6">
        <f t="shared" ca="1" si="184"/>
        <v>1.0791489322877461</v>
      </c>
      <c r="V571">
        <f t="shared" ca="1" si="185"/>
        <v>0.57316381050303555</v>
      </c>
      <c r="X571" t="b">
        <f t="shared" ca="1" si="186"/>
        <v>0</v>
      </c>
      <c r="BJ571" t="b">
        <f t="shared" si="167"/>
        <v>1</v>
      </c>
      <c r="BK571" t="b">
        <f t="shared" ca="1" si="168"/>
        <v>0</v>
      </c>
    </row>
    <row r="572" spans="1:63" x14ac:dyDescent="0.45">
      <c r="A572" s="1">
        <v>44407</v>
      </c>
      <c r="B572">
        <v>229.06700000000001</v>
      </c>
      <c r="C572" s="1">
        <v>44407</v>
      </c>
      <c r="D572">
        <v>438.51</v>
      </c>
      <c r="E572">
        <f t="shared" si="169"/>
        <v>1.4544939167253603E-2</v>
      </c>
      <c r="F572" s="4">
        <f t="shared" si="170"/>
        <v>-4.8564620447066522E-3</v>
      </c>
      <c r="G572">
        <f t="shared" ca="1" si="171"/>
        <v>2.8147502504206052E-3</v>
      </c>
      <c r="H572">
        <f t="shared" ca="1" si="172"/>
        <v>3.6716985187494368E-2</v>
      </c>
      <c r="I572">
        <f t="shared" ca="1" si="173"/>
        <v>0.801963658712182</v>
      </c>
      <c r="J572">
        <f t="shared" ca="1" si="174"/>
        <v>3.2875607837381864</v>
      </c>
      <c r="K572">
        <f t="shared" ca="1" si="175"/>
        <v>1.1765352218354488</v>
      </c>
      <c r="L572">
        <f t="shared" ca="1" si="176"/>
        <v>1.1074620603793637</v>
      </c>
      <c r="M572">
        <f t="shared" ca="1" si="177"/>
        <v>1.164332477683229E-3</v>
      </c>
      <c r="N572">
        <f t="shared" ca="1" si="178"/>
        <v>8.7677122533796146E-3</v>
      </c>
      <c r="O572">
        <f t="shared" ca="1" si="179"/>
        <v>-0.46701797180784638</v>
      </c>
      <c r="P572">
        <f t="shared" ca="1" si="180"/>
        <v>1.3780417662967626</v>
      </c>
      <c r="Q572">
        <f t="shared" ca="1" si="181"/>
        <v>1.0525263669279172</v>
      </c>
      <c r="R572">
        <f t="shared" ca="1" si="182"/>
        <v>1.8092109168972292</v>
      </c>
      <c r="T572">
        <f t="shared" si="183"/>
        <v>1.0145449391672536</v>
      </c>
      <c r="U572" s="6">
        <f t="shared" ca="1" si="184"/>
        <v>1.0681106033759207</v>
      </c>
      <c r="V572">
        <f t="shared" ca="1" si="185"/>
        <v>0.53877941236218441</v>
      </c>
      <c r="X572" t="b">
        <f t="shared" ca="1" si="186"/>
        <v>0</v>
      </c>
      <c r="BJ572" t="b">
        <f t="shared" si="167"/>
        <v>1</v>
      </c>
      <c r="BK572" t="b">
        <f t="shared" ca="1" si="168"/>
        <v>0</v>
      </c>
    </row>
    <row r="573" spans="1:63" x14ac:dyDescent="0.45">
      <c r="A573" s="1">
        <v>44406</v>
      </c>
      <c r="B573">
        <v>225.78299999999999</v>
      </c>
      <c r="C573" s="1">
        <v>44406</v>
      </c>
      <c r="D573">
        <v>440.65</v>
      </c>
      <c r="E573">
        <f t="shared" si="169"/>
        <v>4.6939627190948671E-2</v>
      </c>
      <c r="F573" s="4">
        <f t="shared" si="170"/>
        <v>4.1473919285372318E-3</v>
      </c>
      <c r="G573">
        <f t="shared" ca="1" si="171"/>
        <v>2.7912004340210988E-3</v>
      </c>
      <c r="H573">
        <f t="shared" ca="1" si="172"/>
        <v>3.6710933740766859E-2</v>
      </c>
      <c r="I573">
        <f t="shared" ca="1" si="173"/>
        <v>0.80417413497390988</v>
      </c>
      <c r="J573">
        <f t="shared" ca="1" si="174"/>
        <v>3.2937935501574707</v>
      </c>
      <c r="K573">
        <f t="shared" ca="1" si="175"/>
        <v>1.1765352218354488</v>
      </c>
      <c r="L573">
        <f t="shared" ca="1" si="176"/>
        <v>1.1074620603793637</v>
      </c>
      <c r="M573">
        <f t="shared" ca="1" si="177"/>
        <v>1.155984194597453E-3</v>
      </c>
      <c r="N573">
        <f t="shared" ca="1" si="178"/>
        <v>8.7742662757105822E-3</v>
      </c>
      <c r="O573">
        <f t="shared" ca="1" si="179"/>
        <v>-0.46486675562984731</v>
      </c>
      <c r="P573">
        <f t="shared" ca="1" si="180"/>
        <v>1.3649364235414136</v>
      </c>
      <c r="Q573">
        <f t="shared" ca="1" si="181"/>
        <v>1.0525263669279172</v>
      </c>
      <c r="R573">
        <f t="shared" ca="1" si="182"/>
        <v>1.8092109168972292</v>
      </c>
      <c r="T573">
        <f t="shared" si="183"/>
        <v>1.0469396271909486</v>
      </c>
      <c r="U573" s="6">
        <f t="shared" ca="1" si="184"/>
        <v>1.043263099528694</v>
      </c>
      <c r="V573">
        <f t="shared" ca="1" si="185"/>
        <v>0.57356311294017492</v>
      </c>
      <c r="X573" t="b">
        <f t="shared" ca="1" si="186"/>
        <v>0</v>
      </c>
      <c r="BJ573" t="b">
        <f t="shared" si="167"/>
        <v>1</v>
      </c>
      <c r="BK573" t="b">
        <f t="shared" ca="1" si="168"/>
        <v>0</v>
      </c>
    </row>
    <row r="574" spans="1:63" x14ac:dyDescent="0.45">
      <c r="A574" s="1">
        <v>44405</v>
      </c>
      <c r="B574">
        <v>215.66</v>
      </c>
      <c r="C574" s="1">
        <v>44405</v>
      </c>
      <c r="D574">
        <v>438.83</v>
      </c>
      <c r="E574">
        <f t="shared" si="169"/>
        <v>3.410460295821391E-3</v>
      </c>
      <c r="F574" s="4">
        <f t="shared" si="170"/>
        <v>-4.1001343932941576E-4</v>
      </c>
      <c r="G574">
        <f t="shared" ca="1" si="171"/>
        <v>2.6521011561335016E-3</v>
      </c>
      <c r="H574">
        <f t="shared" ca="1" si="172"/>
        <v>3.6595336187015964E-2</v>
      </c>
      <c r="I574">
        <f t="shared" ca="1" si="173"/>
        <v>0.81487598873526701</v>
      </c>
      <c r="J574">
        <f t="shared" ca="1" si="174"/>
        <v>3.3760626704980732</v>
      </c>
      <c r="K574">
        <f t="shared" ca="1" si="175"/>
        <v>1.1765352218354488</v>
      </c>
      <c r="L574">
        <f t="shared" ca="1" si="176"/>
        <v>1.092461086464328</v>
      </c>
      <c r="M574">
        <f t="shared" ca="1" si="177"/>
        <v>1.215685464737093E-3</v>
      </c>
      <c r="N574">
        <f t="shared" ca="1" si="178"/>
        <v>8.8351329120505678E-3</v>
      </c>
      <c r="O574">
        <f t="shared" ca="1" si="179"/>
        <v>-0.45149729739104277</v>
      </c>
      <c r="P574">
        <f t="shared" ca="1" si="180"/>
        <v>1.2989930820079278</v>
      </c>
      <c r="Q574">
        <f t="shared" ca="1" si="181"/>
        <v>1.0894215107372589</v>
      </c>
      <c r="R574">
        <f t="shared" ca="1" si="182"/>
        <v>1.8784818950307169</v>
      </c>
      <c r="T574">
        <f t="shared" si="183"/>
        <v>1.0034104602958214</v>
      </c>
      <c r="U574" s="6">
        <f t="shared" ca="1" si="184"/>
        <v>0.98731859176852965</v>
      </c>
      <c r="V574">
        <f t="shared" ca="1" si="185"/>
        <v>0.53146515061398014</v>
      </c>
      <c r="X574" t="b">
        <f t="shared" ca="1" si="186"/>
        <v>1</v>
      </c>
      <c r="BJ574" t="b">
        <f t="shared" si="167"/>
        <v>1</v>
      </c>
      <c r="BK574" t="b">
        <f t="shared" ca="1" si="168"/>
        <v>1</v>
      </c>
    </row>
    <row r="575" spans="1:63" x14ac:dyDescent="0.45">
      <c r="A575" s="1">
        <v>44404</v>
      </c>
      <c r="B575">
        <v>214.92699999999999</v>
      </c>
      <c r="C575" s="1">
        <v>44404</v>
      </c>
      <c r="D575">
        <v>439.01</v>
      </c>
      <c r="E575">
        <f t="shared" si="169"/>
        <v>-1.9524923930348947E-2</v>
      </c>
      <c r="F575" s="4">
        <f t="shared" si="170"/>
        <v>-4.5576164346287943E-3</v>
      </c>
      <c r="G575">
        <f t="shared" ca="1" si="171"/>
        <v>2.7299260496139992E-3</v>
      </c>
      <c r="H575">
        <f t="shared" ca="1" si="172"/>
        <v>3.6613503042542718E-2</v>
      </c>
      <c r="I575">
        <f t="shared" ca="1" si="173"/>
        <v>0.80767220895630321</v>
      </c>
      <c r="J575">
        <f t="shared" ca="1" si="174"/>
        <v>3.3564967982285809</v>
      </c>
      <c r="K575">
        <f t="shared" ca="1" si="175"/>
        <v>1.1765352218354488</v>
      </c>
      <c r="L575">
        <f t="shared" ca="1" si="176"/>
        <v>1.092461086464328</v>
      </c>
      <c r="M575">
        <f t="shared" ca="1" si="177"/>
        <v>1.262386180604402E-3</v>
      </c>
      <c r="N575">
        <f t="shared" ca="1" si="178"/>
        <v>8.8511671158512713E-3</v>
      </c>
      <c r="O575">
        <f t="shared" ca="1" si="179"/>
        <v>-0.46164462119441524</v>
      </c>
      <c r="P575">
        <f t="shared" ca="1" si="180"/>
        <v>1.2803470894382505</v>
      </c>
      <c r="Q575">
        <f t="shared" ca="1" si="181"/>
        <v>1.0894215107372589</v>
      </c>
      <c r="R575">
        <f t="shared" ca="1" si="182"/>
        <v>2.0141591027548618</v>
      </c>
      <c r="T575">
        <f t="shared" si="183"/>
        <v>0.98047507606965101</v>
      </c>
      <c r="U575" s="6">
        <f t="shared" ca="1" si="184"/>
        <v>0.97619988463302843</v>
      </c>
      <c r="V575">
        <f t="shared" ca="1" si="185"/>
        <v>0.59877877749633146</v>
      </c>
      <c r="X575" t="b">
        <f t="shared" ca="1" si="186"/>
        <v>1</v>
      </c>
      <c r="BJ575" t="b">
        <f t="shared" si="167"/>
        <v>1</v>
      </c>
      <c r="BK575" t="b">
        <f t="shared" ca="1" si="168"/>
        <v>1</v>
      </c>
    </row>
    <row r="576" spans="1:63" x14ac:dyDescent="0.45">
      <c r="A576" s="1">
        <v>44403</v>
      </c>
      <c r="B576">
        <v>219.20699999999999</v>
      </c>
      <c r="C576" s="1">
        <v>44403</v>
      </c>
      <c r="D576">
        <v>441.02</v>
      </c>
      <c r="E576">
        <f t="shared" si="169"/>
        <v>2.2134663806770427E-2</v>
      </c>
      <c r="F576" s="4">
        <f t="shared" si="170"/>
        <v>2.4548802109378189E-3</v>
      </c>
      <c r="G576">
        <f t="shared" ca="1" si="171"/>
        <v>2.8348161118581677E-3</v>
      </c>
      <c r="H576">
        <f t="shared" ca="1" si="172"/>
        <v>3.6579460144326892E-2</v>
      </c>
      <c r="I576">
        <f t="shared" ca="1" si="173"/>
        <v>0.80238287000907338</v>
      </c>
      <c r="J576">
        <f t="shared" ca="1" si="174"/>
        <v>3.370212832569691</v>
      </c>
      <c r="K576">
        <f t="shared" ca="1" si="175"/>
        <v>1.1765352218354488</v>
      </c>
      <c r="L576">
        <f t="shared" ca="1" si="176"/>
        <v>1.092461086464328</v>
      </c>
      <c r="M576">
        <f t="shared" ca="1" si="177"/>
        <v>1.3294869755372599E-3</v>
      </c>
      <c r="N576">
        <f t="shared" ca="1" si="178"/>
        <v>8.8576906782965661E-3</v>
      </c>
      <c r="O576">
        <f t="shared" ca="1" si="179"/>
        <v>-0.47893541209556795</v>
      </c>
      <c r="P576">
        <f t="shared" ca="1" si="180"/>
        <v>1.2839108279959337</v>
      </c>
      <c r="Q576">
        <f t="shared" ca="1" si="181"/>
        <v>1.0894215107372589</v>
      </c>
      <c r="R576">
        <f t="shared" ca="1" si="182"/>
        <v>2.1130270825597157</v>
      </c>
      <c r="T576">
        <f t="shared" si="183"/>
        <v>1.0221346638067703</v>
      </c>
      <c r="U576" s="6">
        <f t="shared" ca="1" si="184"/>
        <v>1.0176410237364615</v>
      </c>
      <c r="V576">
        <f t="shared" ca="1" si="185"/>
        <v>0.60881709166842846</v>
      </c>
      <c r="X576" t="b">
        <f t="shared" ca="1" si="186"/>
        <v>0</v>
      </c>
      <c r="BJ576" t="b">
        <f t="shared" si="167"/>
        <v>1</v>
      </c>
      <c r="BK576" t="b">
        <f t="shared" ca="1" si="168"/>
        <v>0</v>
      </c>
    </row>
    <row r="577" spans="1:63" x14ac:dyDescent="0.45">
      <c r="A577" s="1">
        <v>44400</v>
      </c>
      <c r="B577">
        <v>214.46</v>
      </c>
      <c r="C577" s="1">
        <v>44400</v>
      </c>
      <c r="D577">
        <v>439.94</v>
      </c>
      <c r="E577">
        <f t="shared" si="169"/>
        <v>-9.0564642824137315E-3</v>
      </c>
      <c r="F577" s="4">
        <f t="shared" si="170"/>
        <v>1.0287971340651307E-2</v>
      </c>
      <c r="G577">
        <f t="shared" ca="1" si="171"/>
        <v>2.860888859653792E-3</v>
      </c>
      <c r="H577">
        <f t="shared" ca="1" si="172"/>
        <v>3.6595140654134106E-2</v>
      </c>
      <c r="I577">
        <f t="shared" ca="1" si="173"/>
        <v>0.79997415822347517</v>
      </c>
      <c r="J577">
        <f t="shared" ca="1" si="174"/>
        <v>3.3575362581938659</v>
      </c>
      <c r="K577">
        <f t="shared" ca="1" si="175"/>
        <v>1.1765352218354488</v>
      </c>
      <c r="L577">
        <f t="shared" ca="1" si="176"/>
        <v>1.1074620603793637</v>
      </c>
      <c r="M577">
        <f t="shared" ca="1" si="177"/>
        <v>1.4042456858789818E-3</v>
      </c>
      <c r="N577">
        <f t="shared" ca="1" si="178"/>
        <v>8.9300374331712888E-3</v>
      </c>
      <c r="O577">
        <f t="shared" ca="1" si="179"/>
        <v>-0.46314889788428781</v>
      </c>
      <c r="P577">
        <f t="shared" ca="1" si="180"/>
        <v>1.2150966537647312</v>
      </c>
      <c r="Q577">
        <f t="shared" ca="1" si="181"/>
        <v>1.1267280476943582</v>
      </c>
      <c r="R577">
        <f t="shared" ca="1" si="182"/>
        <v>2.1241731351997113</v>
      </c>
      <c r="T577">
        <f t="shared" si="183"/>
        <v>0.99094353571758631</v>
      </c>
      <c r="U577" s="6">
        <f t="shared" ca="1" si="184"/>
        <v>0.99869609760640798</v>
      </c>
      <c r="V577">
        <f t="shared" ca="1" si="185"/>
        <v>0.58629298975092847</v>
      </c>
      <c r="X577" t="b">
        <f t="shared" ca="1" si="186"/>
        <v>1</v>
      </c>
      <c r="BJ577" t="b">
        <f t="shared" si="167"/>
        <v>1</v>
      </c>
      <c r="BK577" t="b">
        <f t="shared" ca="1" si="168"/>
        <v>1</v>
      </c>
    </row>
    <row r="578" spans="1:63" x14ac:dyDescent="0.45">
      <c r="A578" s="1">
        <v>44399</v>
      </c>
      <c r="B578">
        <v>216.42</v>
      </c>
      <c r="C578" s="1">
        <v>44399</v>
      </c>
      <c r="D578">
        <v>435.46</v>
      </c>
      <c r="E578">
        <f t="shared" si="169"/>
        <v>-9.2020326878176958E-3</v>
      </c>
      <c r="F578" s="4">
        <f t="shared" si="170"/>
        <v>2.0941203543895252E-3</v>
      </c>
      <c r="G578">
        <f t="shared" ca="1" si="171"/>
        <v>2.7687436828806077E-3</v>
      </c>
      <c r="H578">
        <f t="shared" ca="1" si="172"/>
        <v>3.6648461848877378E-2</v>
      </c>
      <c r="I578">
        <f t="shared" ca="1" si="173"/>
        <v>0.80139932782318846</v>
      </c>
      <c r="J578">
        <f t="shared" ca="1" si="174"/>
        <v>3.3309131179311988</v>
      </c>
      <c r="K578">
        <f t="shared" ca="1" si="175"/>
        <v>1.1765352218354488</v>
      </c>
      <c r="L578">
        <f t="shared" ca="1" si="176"/>
        <v>1.0936385676580218</v>
      </c>
      <c r="M578">
        <f t="shared" ca="1" si="177"/>
        <v>1.2817262435858973E-3</v>
      </c>
      <c r="N578">
        <f t="shared" ca="1" si="178"/>
        <v>8.9755208257977885E-3</v>
      </c>
      <c r="O578">
        <f t="shared" ca="1" si="179"/>
        <v>-0.44645185505295898</v>
      </c>
      <c r="P578">
        <f t="shared" ca="1" si="180"/>
        <v>1.1458945622214447</v>
      </c>
      <c r="Q578">
        <f t="shared" ca="1" si="181"/>
        <v>1.0814591936895295</v>
      </c>
      <c r="R578">
        <f t="shared" ca="1" si="182"/>
        <v>2.0901316718293317</v>
      </c>
      <c r="T578">
        <f t="shared" si="183"/>
        <v>0.99079796731218228</v>
      </c>
      <c r="U578" s="6">
        <f t="shared" ca="1" si="184"/>
        <v>0.99793882886746255</v>
      </c>
      <c r="V578">
        <f t="shared" ca="1" si="185"/>
        <v>0.58578805879109674</v>
      </c>
      <c r="X578" t="b">
        <f t="shared" ca="1" si="186"/>
        <v>1</v>
      </c>
      <c r="BJ578" t="b">
        <f t="shared" ref="BJ578:BJ641" si="187">ABS(W578-1)&gt;$S$21</f>
        <v>1</v>
      </c>
      <c r="BK578" t="b">
        <f t="shared" ref="BK578:BK641" ca="1" si="188">AND(X578,BJ578)</f>
        <v>1</v>
      </c>
    </row>
    <row r="579" spans="1:63" x14ac:dyDescent="0.45">
      <c r="A579" s="1">
        <v>44398</v>
      </c>
      <c r="B579">
        <v>218.43</v>
      </c>
      <c r="C579" s="1">
        <v>44398</v>
      </c>
      <c r="D579">
        <v>434.55</v>
      </c>
      <c r="E579">
        <f t="shared" ref="E579:E642" si="189">(B579-B580)/B580</f>
        <v>-7.8894657237460423E-3</v>
      </c>
      <c r="F579" s="4">
        <f t="shared" ref="F579:F642" si="190">(D579-D580)/D580</f>
        <v>8.0963206978147111E-3</v>
      </c>
      <c r="G579">
        <f t="shared" ref="G579:G642" ca="1" si="191">AVERAGE(OFFSET(E579,0,0,$S$3,1))*$AK$25</f>
        <v>2.9423168508801644E-3</v>
      </c>
      <c r="H579">
        <f t="shared" ref="H579:H642" ca="1" si="192">STDEV(OFFSET(E579,0,0,$S$3,1))*$AJ$25</f>
        <v>3.6673679815287512E-2</v>
      </c>
      <c r="I579">
        <f t="shared" ref="I579:I642" ca="1" si="193">SKEW(OFFSET(E579,0,0,$S$3,1))*$AI$25</f>
        <v>0.78679224849123919</v>
      </c>
      <c r="J579">
        <f t="shared" ref="J579:J642" ca="1" si="194">KURT(OFFSET(E579,0,0,$S$3,1))*$AH$25</f>
        <v>3.2987630743770033</v>
      </c>
      <c r="K579">
        <f t="shared" ref="K579:K642" ca="1" si="195">PERCENTILE(OFFSET(E579,0,0,$S$3,1), 0.95)/ABS(PERCENTILE(OFFSET(E579,0,0,$S$3,1), 0.05))*$AG$25</f>
        <v>1.1765352218354488</v>
      </c>
      <c r="L579">
        <f t="shared" ref="L579:L642" ca="1" si="196">PERCENTILE(OFFSET(E579,0,0,$S$3,1), 0.75)/ABS(PERCENTILE(OFFSET(E579,0,0,$S$3,1), 0.25))*$AF$25</f>
        <v>1.1339035453400372</v>
      </c>
      <c r="M579">
        <f t="shared" ref="M579:M642" ca="1" si="197">AVERAGE(OFFSET(F579,0,0,$S$3,1))*$AE$25</f>
        <v>1.3599208706660947E-3</v>
      </c>
      <c r="N579">
        <f t="shared" ref="N579:N642" ca="1" si="198">STDEV(OFFSET(F579,0,0,$S$3,1))*$AD$25</f>
        <v>9.0504443087062857E-3</v>
      </c>
      <c r="O579">
        <f t="shared" ref="O579:O642" ca="1" si="199">SKEW(OFFSET(F579,0,0,$S$3,1))*$AC$25</f>
        <v>-0.43115509971750415</v>
      </c>
      <c r="P579">
        <f t="shared" ref="P579:P642" ca="1" si="200">KURT(OFFSET(F579,0,0,$S$3,1))*$AB$25</f>
        <v>1.0800895704271243</v>
      </c>
      <c r="Q579">
        <f t="shared" ref="Q579:Q642" ca="1" si="201">PERCENTILE(OFFSET(F579,0,0,$S$3,1), 0.95)/ABS(PERCENTILE(OFFSET(F579,0,0,$S$3,1), 0.05))*$AA$25</f>
        <v>1.1304289517380663</v>
      </c>
      <c r="R579">
        <f t="shared" ref="R579:R642" ca="1" si="202">PERCENTILE(OFFSET(F579,0,0,$S$3,1), 0.75)/ABS(PERCENTILE(OFFSET(F579,0,0,$S$3,1), 0.25))*$Z$25</f>
        <v>2.1011569529679486</v>
      </c>
      <c r="T579">
        <f t="shared" ref="T579:T642" si="203">E579+1</f>
        <v>0.99211053427625395</v>
      </c>
      <c r="U579" s="6">
        <f t="shared" ref="U579:U642" ca="1" si="204">PRODUCT(OFFSET(T579,0,0,$S$6,1))</f>
        <v>1.0029247955627594</v>
      </c>
      <c r="V579">
        <f t="shared" ref="V579:V642" ca="1" si="205">OFFSET(G579,$S$6,0) * $AK$2+ OFFSET(H579,$S$6,0)  * $AJ$2 + OFFSET(I579,$S$6,0) * $AI$2 + OFFSET(J579,$S$6,0) * $AH$2 + OFFSET(K579,$S$6,0) * $AG$2 + OFFSET(L579,$S$6,0) * $AF$2 + OFFSET(M579,$S$6,0) * $AE$2 + OFFSET(N579,$S$6,0) * $AD$2 + OFFSET(O579,$S$6,0) * $AC$2 + OFFSET(P579,$S$6,0) * $AB$2 +  OFFSET(Q579,$S$6,0) * $AA$2 + OFFSET(R579,$S$6,0)  * $Z$2  + AL$2</f>
        <v>0.57030502970071606</v>
      </c>
      <c r="X579" t="b">
        <f t="shared" ref="X579:X642" ca="1" si="206">OR(AND(U579&gt;1, W579&gt;1), AND(U579&lt;1, W579&lt;1))</f>
        <v>0</v>
      </c>
      <c r="BJ579" t="b">
        <f t="shared" si="187"/>
        <v>1</v>
      </c>
      <c r="BK579" t="b">
        <f t="shared" ca="1" si="188"/>
        <v>0</v>
      </c>
    </row>
    <row r="580" spans="1:63" x14ac:dyDescent="0.45">
      <c r="A580" s="1">
        <v>44397</v>
      </c>
      <c r="B580">
        <v>220.167</v>
      </c>
      <c r="C580" s="1">
        <v>44397</v>
      </c>
      <c r="D580">
        <v>431.06</v>
      </c>
      <c r="E580">
        <f t="shared" si="189"/>
        <v>2.2097703417251948E-2</v>
      </c>
      <c r="F580" s="4">
        <f t="shared" si="190"/>
        <v>1.4330423323999281E-2</v>
      </c>
      <c r="G580">
        <f t="shared" ca="1" si="191"/>
        <v>2.6127896368680096E-3</v>
      </c>
      <c r="H580">
        <f t="shared" ca="1" si="192"/>
        <v>3.7065496562907148E-2</v>
      </c>
      <c r="I580">
        <f t="shared" ca="1" si="193"/>
        <v>0.74412941235968955</v>
      </c>
      <c r="J580">
        <f t="shared" ca="1" si="194"/>
        <v>3.15633522483704</v>
      </c>
      <c r="K580">
        <f t="shared" ca="1" si="195"/>
        <v>1.1576028982716031</v>
      </c>
      <c r="L580">
        <f t="shared" ca="1" si="196"/>
        <v>1.1277502951961753</v>
      </c>
      <c r="M580">
        <f t="shared" ca="1" si="197"/>
        <v>1.2719671570417246E-3</v>
      </c>
      <c r="N580">
        <f t="shared" ca="1" si="198"/>
        <v>9.0701034108380575E-3</v>
      </c>
      <c r="O580">
        <f t="shared" ca="1" si="199"/>
        <v>-0.40975037823454746</v>
      </c>
      <c r="P580">
        <f t="shared" ca="1" si="200"/>
        <v>1.0366836379621782</v>
      </c>
      <c r="Q580">
        <f t="shared" ca="1" si="201"/>
        <v>1.1304289517380663</v>
      </c>
      <c r="R580">
        <f t="shared" ca="1" si="202"/>
        <v>2.0601842280883385</v>
      </c>
      <c r="T580">
        <f t="shared" si="203"/>
        <v>1.022097703417252</v>
      </c>
      <c r="U580" s="6">
        <f t="shared" ca="1" si="204"/>
        <v>0.98797381162860654</v>
      </c>
      <c r="V580">
        <f t="shared" ca="1" si="205"/>
        <v>0.54936978353326082</v>
      </c>
      <c r="X580" t="b">
        <f t="shared" ca="1" si="206"/>
        <v>1</v>
      </c>
      <c r="BJ580" t="b">
        <f t="shared" si="187"/>
        <v>1</v>
      </c>
      <c r="BK580" t="b">
        <f t="shared" ca="1" si="188"/>
        <v>1</v>
      </c>
    </row>
    <row r="581" spans="1:63" x14ac:dyDescent="0.45">
      <c r="A581" s="1">
        <v>44396</v>
      </c>
      <c r="B581">
        <v>215.40700000000001</v>
      </c>
      <c r="C581" s="1">
        <v>44396</v>
      </c>
      <c r="D581">
        <v>424.97</v>
      </c>
      <c r="E581">
        <f t="shared" si="189"/>
        <v>3.1060817733072625E-3</v>
      </c>
      <c r="F581" s="4">
        <f t="shared" si="190"/>
        <v>-1.4767932489451357E-2</v>
      </c>
      <c r="G581">
        <f t="shared" ca="1" si="191"/>
        <v>2.725513220227196E-3</v>
      </c>
      <c r="H581">
        <f t="shared" ca="1" si="192"/>
        <v>3.7159214870269297E-2</v>
      </c>
      <c r="I581">
        <f t="shared" ca="1" si="193"/>
        <v>0.7359337637026292</v>
      </c>
      <c r="J581">
        <f t="shared" ca="1" si="194"/>
        <v>3.0929193934036485</v>
      </c>
      <c r="K581">
        <f t="shared" ca="1" si="195"/>
        <v>1.1576028982716031</v>
      </c>
      <c r="L581">
        <f t="shared" ca="1" si="196"/>
        <v>1.1628656469437657</v>
      </c>
      <c r="M581">
        <f t="shared" ca="1" si="197"/>
        <v>1.2324151329894373E-3</v>
      </c>
      <c r="N581">
        <f t="shared" ca="1" si="198"/>
        <v>9.0300321606241619E-3</v>
      </c>
      <c r="O581">
        <f t="shared" ca="1" si="199"/>
        <v>-0.41636637116327452</v>
      </c>
      <c r="P581">
        <f t="shared" ca="1" si="200"/>
        <v>1.0799680656944872</v>
      </c>
      <c r="Q581">
        <f t="shared" ca="1" si="201"/>
        <v>1.1304289517380663</v>
      </c>
      <c r="R581">
        <f t="shared" ca="1" si="202"/>
        <v>1.9853001953337959</v>
      </c>
      <c r="T581">
        <f t="shared" si="203"/>
        <v>1.0031060817733073</v>
      </c>
      <c r="U581" s="6">
        <f t="shared" ca="1" si="204"/>
        <v>0.94242388446276171</v>
      </c>
      <c r="V581">
        <f t="shared" ca="1" si="205"/>
        <v>0.53421990239554329</v>
      </c>
      <c r="X581" t="b">
        <f t="shared" ca="1" si="206"/>
        <v>1</v>
      </c>
      <c r="BJ581" t="b">
        <f t="shared" si="187"/>
        <v>1</v>
      </c>
      <c r="BK581" t="b">
        <f t="shared" ca="1" si="188"/>
        <v>1</v>
      </c>
    </row>
    <row r="582" spans="1:63" x14ac:dyDescent="0.45">
      <c r="A582" s="1">
        <v>44393</v>
      </c>
      <c r="B582">
        <v>214.74</v>
      </c>
      <c r="C582" s="1">
        <v>44393</v>
      </c>
      <c r="D582">
        <v>431.34</v>
      </c>
      <c r="E582">
        <f t="shared" si="189"/>
        <v>-9.8078545836848448E-3</v>
      </c>
      <c r="F582" s="4">
        <f t="shared" si="190"/>
        <v>-7.843588269120242E-3</v>
      </c>
      <c r="G582">
        <f t="shared" ca="1" si="191"/>
        <v>2.8285668188057157E-3</v>
      </c>
      <c r="H582">
        <f t="shared" ca="1" si="192"/>
        <v>3.7188843632049544E-2</v>
      </c>
      <c r="I582">
        <f t="shared" ca="1" si="193"/>
        <v>0.72669175067940261</v>
      </c>
      <c r="J582">
        <f t="shared" ca="1" si="194"/>
        <v>3.0656395042290567</v>
      </c>
      <c r="K582">
        <f t="shared" ca="1" si="195"/>
        <v>1.1576028982716031</v>
      </c>
      <c r="L582">
        <f t="shared" ca="1" si="196"/>
        <v>1.1628656469437657</v>
      </c>
      <c r="M582">
        <f t="shared" ca="1" si="197"/>
        <v>1.3441643540611184E-3</v>
      </c>
      <c r="N582">
        <f t="shared" ca="1" si="198"/>
        <v>8.9691156544084941E-3</v>
      </c>
      <c r="O582">
        <f t="shared" ca="1" si="199"/>
        <v>-0.43204726824250339</v>
      </c>
      <c r="P582">
        <f t="shared" ca="1" si="200"/>
        <v>1.1630580613873969</v>
      </c>
      <c r="Q582">
        <f t="shared" ca="1" si="201"/>
        <v>1.1791880775337034</v>
      </c>
      <c r="R582">
        <f t="shared" ca="1" si="202"/>
        <v>2.0901316718293317</v>
      </c>
      <c r="T582">
        <f t="shared" si="203"/>
        <v>0.99019214541631517</v>
      </c>
      <c r="U582" s="6">
        <f t="shared" ca="1" si="204"/>
        <v>0.98062406670837476</v>
      </c>
      <c r="V582">
        <f t="shared" ca="1" si="205"/>
        <v>0.67076565417567247</v>
      </c>
      <c r="X582" t="b">
        <f t="shared" ca="1" si="206"/>
        <v>1</v>
      </c>
      <c r="BJ582" t="b">
        <f t="shared" si="187"/>
        <v>1</v>
      </c>
      <c r="BK582" t="b">
        <f t="shared" ca="1" si="188"/>
        <v>1</v>
      </c>
    </row>
    <row r="583" spans="1:63" x14ac:dyDescent="0.45">
      <c r="A583" s="1">
        <v>44392</v>
      </c>
      <c r="B583">
        <v>216.86699999999999</v>
      </c>
      <c r="C583" s="1">
        <v>44392</v>
      </c>
      <c r="D583">
        <v>434.75</v>
      </c>
      <c r="E583">
        <f t="shared" si="189"/>
        <v>-4.2517436281240264E-3</v>
      </c>
      <c r="F583" s="4">
        <f t="shared" si="190"/>
        <v>-3.4155510728039818E-3</v>
      </c>
      <c r="G583">
        <f t="shared" ca="1" si="191"/>
        <v>2.85232119143924E-3</v>
      </c>
      <c r="H583">
        <f t="shared" ca="1" si="192"/>
        <v>3.7182248283566928E-2</v>
      </c>
      <c r="I583">
        <f t="shared" ca="1" si="193"/>
        <v>0.72529339218558131</v>
      </c>
      <c r="J583">
        <f t="shared" ca="1" si="194"/>
        <v>3.0680245736105247</v>
      </c>
      <c r="K583">
        <f t="shared" ca="1" si="195"/>
        <v>1.1576028982716031</v>
      </c>
      <c r="L583">
        <f t="shared" ca="1" si="196"/>
        <v>1.1628656469437657</v>
      </c>
      <c r="M583">
        <f t="shared" ca="1" si="197"/>
        <v>1.3561522765551683E-3</v>
      </c>
      <c r="N583">
        <f t="shared" ca="1" si="198"/>
        <v>8.958369639123916E-3</v>
      </c>
      <c r="O583">
        <f t="shared" ca="1" si="199"/>
        <v>-0.43439353142320064</v>
      </c>
      <c r="P583">
        <f t="shared" ca="1" si="200"/>
        <v>1.181629829996421</v>
      </c>
      <c r="Q583">
        <f t="shared" ca="1" si="201"/>
        <v>1.1791880775337034</v>
      </c>
      <c r="R583">
        <f t="shared" ca="1" si="202"/>
        <v>2.0901316718293317</v>
      </c>
      <c r="T583">
        <f t="shared" si="203"/>
        <v>0.99574825637187603</v>
      </c>
      <c r="U583" s="6">
        <f t="shared" ca="1" si="204"/>
        <v>0.99661769368988484</v>
      </c>
      <c r="V583">
        <f t="shared" ca="1" si="205"/>
        <v>0.7122088852807148</v>
      </c>
      <c r="X583" t="b">
        <f t="shared" ca="1" si="206"/>
        <v>1</v>
      </c>
      <c r="BJ583" t="b">
        <f t="shared" si="187"/>
        <v>1</v>
      </c>
      <c r="BK583" t="b">
        <f t="shared" ca="1" si="188"/>
        <v>1</v>
      </c>
    </row>
    <row r="584" spans="1:63" x14ac:dyDescent="0.45">
      <c r="A584" s="1">
        <v>44391</v>
      </c>
      <c r="B584">
        <v>217.79300000000001</v>
      </c>
      <c r="C584" s="1">
        <v>44391</v>
      </c>
      <c r="D584">
        <v>436.24</v>
      </c>
      <c r="E584">
        <f t="shared" si="189"/>
        <v>-2.2679237324262844E-2</v>
      </c>
      <c r="F584" s="4">
        <f t="shared" si="190"/>
        <v>1.4922289308754429E-3</v>
      </c>
      <c r="G584">
        <f t="shared" ca="1" si="191"/>
        <v>3.0437080580553348E-3</v>
      </c>
      <c r="H584">
        <f t="shared" ca="1" si="192"/>
        <v>3.7243958704485526E-2</v>
      </c>
      <c r="I584">
        <f t="shared" ca="1" si="193"/>
        <v>0.70913366633262198</v>
      </c>
      <c r="J584">
        <f t="shared" ca="1" si="194"/>
        <v>3.0151043806860232</v>
      </c>
      <c r="K584">
        <f t="shared" ca="1" si="195"/>
        <v>1.1576028982716031</v>
      </c>
      <c r="L584">
        <f t="shared" ca="1" si="196"/>
        <v>1.1908200622770968</v>
      </c>
      <c r="M584">
        <f t="shared" ca="1" si="197"/>
        <v>1.4562769092957588E-3</v>
      </c>
      <c r="N584">
        <f t="shared" ca="1" si="198"/>
        <v>9.0164873014890751E-3</v>
      </c>
      <c r="O584">
        <f t="shared" ca="1" si="199"/>
        <v>-0.43437253921649394</v>
      </c>
      <c r="P584">
        <f t="shared" ca="1" si="200"/>
        <v>1.1346189578977608</v>
      </c>
      <c r="Q584">
        <f t="shared" ca="1" si="201"/>
        <v>1.1810061753942986</v>
      </c>
      <c r="R584">
        <f t="shared" ca="1" si="202"/>
        <v>2.1011569529679486</v>
      </c>
      <c r="T584">
        <f t="shared" si="203"/>
        <v>0.9773207626757372</v>
      </c>
      <c r="U584" s="6">
        <f t="shared" ca="1" si="204"/>
        <v>1.0135422532261742</v>
      </c>
      <c r="V584">
        <f t="shared" ca="1" si="205"/>
        <v>0.70815805201830606</v>
      </c>
      <c r="X584" t="b">
        <f t="shared" ca="1" si="206"/>
        <v>0</v>
      </c>
      <c r="BJ584" t="b">
        <f t="shared" si="187"/>
        <v>1</v>
      </c>
      <c r="BK584" t="b">
        <f t="shared" ca="1" si="188"/>
        <v>0</v>
      </c>
    </row>
    <row r="585" spans="1:63" x14ac:dyDescent="0.45">
      <c r="A585" s="1">
        <v>44390</v>
      </c>
      <c r="B585">
        <v>222.84700000000001</v>
      </c>
      <c r="C585" s="1">
        <v>44390</v>
      </c>
      <c r="D585">
        <v>435.59</v>
      </c>
      <c r="E585">
        <f t="shared" si="189"/>
        <v>-2.5025484868769328E-2</v>
      </c>
      <c r="F585" s="4">
        <f t="shared" si="190"/>
        <v>-3.4089869131509313E-3</v>
      </c>
      <c r="G585">
        <f t="shared" ca="1" si="191"/>
        <v>3.4091872073187053E-3</v>
      </c>
      <c r="H585">
        <f t="shared" ca="1" si="192"/>
        <v>3.7348769415830214E-2</v>
      </c>
      <c r="I585">
        <f t="shared" ca="1" si="193"/>
        <v>0.68554228296786035</v>
      </c>
      <c r="J585">
        <f t="shared" ca="1" si="194"/>
        <v>2.9316252464336872</v>
      </c>
      <c r="K585">
        <f t="shared" ca="1" si="195"/>
        <v>1.1576028982716031</v>
      </c>
      <c r="L585">
        <f t="shared" ca="1" si="196"/>
        <v>1.2257823626620818</v>
      </c>
      <c r="M585">
        <f t="shared" ca="1" si="197"/>
        <v>1.5296503859705936E-3</v>
      </c>
      <c r="N585">
        <f t="shared" ca="1" si="198"/>
        <v>9.0762921413551391E-3</v>
      </c>
      <c r="O585">
        <f t="shared" ca="1" si="199"/>
        <v>-0.42872899562356809</v>
      </c>
      <c r="P585">
        <f t="shared" ca="1" si="200"/>
        <v>1.0750021915072727</v>
      </c>
      <c r="Q585">
        <f t="shared" ca="1" si="201"/>
        <v>1.181284972023428</v>
      </c>
      <c r="R585">
        <f t="shared" ca="1" si="202"/>
        <v>2.1137358305263829</v>
      </c>
      <c r="T585">
        <f t="shared" si="203"/>
        <v>0.97497451513123068</v>
      </c>
      <c r="U585" s="6">
        <f t="shared" ca="1" si="204"/>
        <v>1.0135859183116527</v>
      </c>
      <c r="V585">
        <f t="shared" ca="1" si="205"/>
        <v>0.71066065914257026</v>
      </c>
      <c r="X585" t="b">
        <f t="shared" ca="1" si="206"/>
        <v>0</v>
      </c>
      <c r="BJ585" t="b">
        <f t="shared" si="187"/>
        <v>1</v>
      </c>
      <c r="BK585" t="b">
        <f t="shared" ca="1" si="188"/>
        <v>0</v>
      </c>
    </row>
    <row r="586" spans="1:63" x14ac:dyDescent="0.45">
      <c r="A586" s="1">
        <v>44389</v>
      </c>
      <c r="B586">
        <v>228.56700000000001</v>
      </c>
      <c r="C586" s="1">
        <v>44389</v>
      </c>
      <c r="D586">
        <v>437.08</v>
      </c>
      <c r="E586">
        <f t="shared" si="189"/>
        <v>4.3765954434819156E-2</v>
      </c>
      <c r="F586" s="4">
        <f t="shared" si="190"/>
        <v>3.5819250551065449E-3</v>
      </c>
      <c r="G586">
        <f t="shared" ca="1" si="191"/>
        <v>3.6319587118915976E-3</v>
      </c>
      <c r="H586">
        <f t="shared" ca="1" si="192"/>
        <v>3.7311170894329081E-2</v>
      </c>
      <c r="I586">
        <f t="shared" ca="1" si="193"/>
        <v>0.6721797685716876</v>
      </c>
      <c r="J586">
        <f t="shared" ca="1" si="194"/>
        <v>2.9375890976274386</v>
      </c>
      <c r="K586">
        <f t="shared" ca="1" si="195"/>
        <v>1.1576028982716031</v>
      </c>
      <c r="L586">
        <f t="shared" ca="1" si="196"/>
        <v>1.24127614101748</v>
      </c>
      <c r="M586">
        <f t="shared" ca="1" si="197"/>
        <v>1.5600228682675658E-3</v>
      </c>
      <c r="N586">
        <f t="shared" ca="1" si="198"/>
        <v>9.0698440835089537E-3</v>
      </c>
      <c r="O586">
        <f t="shared" ca="1" si="199"/>
        <v>-0.43896231118989981</v>
      </c>
      <c r="P586">
        <f t="shared" ca="1" si="200"/>
        <v>1.0922089710635703</v>
      </c>
      <c r="Q586">
        <f t="shared" ca="1" si="201"/>
        <v>1.181284972023428</v>
      </c>
      <c r="R586">
        <f t="shared" ca="1" si="202"/>
        <v>2.1137358305263829</v>
      </c>
      <c r="T586">
        <f t="shared" si="203"/>
        <v>1.0437659544348192</v>
      </c>
      <c r="U586" s="6">
        <f t="shared" ca="1" si="204"/>
        <v>1.0100176756517896</v>
      </c>
      <c r="V586">
        <f t="shared" ca="1" si="205"/>
        <v>0.71486904800539575</v>
      </c>
      <c r="X586" t="b">
        <f t="shared" ca="1" si="206"/>
        <v>0</v>
      </c>
      <c r="BJ586" t="b">
        <f t="shared" si="187"/>
        <v>1</v>
      </c>
      <c r="BK586" t="b">
        <f t="shared" ca="1" si="188"/>
        <v>0</v>
      </c>
    </row>
    <row r="587" spans="1:63" x14ac:dyDescent="0.45">
      <c r="A587" s="1">
        <v>44386</v>
      </c>
      <c r="B587">
        <v>218.983</v>
      </c>
      <c r="C587" s="1">
        <v>44386</v>
      </c>
      <c r="D587">
        <v>435.52</v>
      </c>
      <c r="E587">
        <f t="shared" si="189"/>
        <v>6.3418243314659973E-3</v>
      </c>
      <c r="F587" s="4">
        <f t="shared" si="190"/>
        <v>1.0674835236238665E-2</v>
      </c>
      <c r="G587">
        <f t="shared" ca="1" si="191"/>
        <v>2.8960862977544157E-3</v>
      </c>
      <c r="H587">
        <f t="shared" ca="1" si="192"/>
        <v>3.7961313145642529E-2</v>
      </c>
      <c r="I587">
        <f t="shared" ca="1" si="193"/>
        <v>0.57718529416409381</v>
      </c>
      <c r="J587">
        <f t="shared" ca="1" si="194"/>
        <v>2.9023671032064007</v>
      </c>
      <c r="K587">
        <f t="shared" ca="1" si="195"/>
        <v>1.1125097899057177</v>
      </c>
      <c r="L587">
        <f t="shared" ca="1" si="196"/>
        <v>1.1973174347457476</v>
      </c>
      <c r="M587">
        <f t="shared" ca="1" si="197"/>
        <v>1.4261580507425628E-3</v>
      </c>
      <c r="N587">
        <f t="shared" ca="1" si="198"/>
        <v>9.235907439013067E-3</v>
      </c>
      <c r="O587">
        <f t="shared" ca="1" si="199"/>
        <v>-0.46952769327435462</v>
      </c>
      <c r="P587">
        <f t="shared" ca="1" si="200"/>
        <v>1.0405639514222296</v>
      </c>
      <c r="Q587">
        <f t="shared" ca="1" si="201"/>
        <v>1.132439140176269</v>
      </c>
      <c r="R587">
        <f t="shared" ca="1" si="202"/>
        <v>2.0834501859800718</v>
      </c>
      <c r="T587">
        <f t="shared" si="203"/>
        <v>1.0063418243314659</v>
      </c>
      <c r="U587" s="6">
        <f t="shared" ca="1" si="204"/>
        <v>0.96906710093683757</v>
      </c>
      <c r="V587">
        <f t="shared" ca="1" si="205"/>
        <v>0.71853186042131145</v>
      </c>
      <c r="X587" t="b">
        <f t="shared" ca="1" si="206"/>
        <v>1</v>
      </c>
      <c r="BJ587" t="b">
        <f t="shared" si="187"/>
        <v>1</v>
      </c>
      <c r="BK587" t="b">
        <f t="shared" ca="1" si="188"/>
        <v>1</v>
      </c>
    </row>
    <row r="588" spans="1:63" x14ac:dyDescent="0.45">
      <c r="A588" s="1">
        <v>44385</v>
      </c>
      <c r="B588">
        <v>217.60300000000001</v>
      </c>
      <c r="C588" s="1">
        <v>44385</v>
      </c>
      <c r="D588">
        <v>430.92</v>
      </c>
      <c r="E588">
        <f t="shared" si="189"/>
        <v>1.2658051125496195E-2</v>
      </c>
      <c r="F588" s="4">
        <f t="shared" si="190"/>
        <v>-8.1480458500206316E-3</v>
      </c>
      <c r="G588">
        <f t="shared" ca="1" si="191"/>
        <v>2.5844316498181879E-3</v>
      </c>
      <c r="H588">
        <f t="shared" ca="1" si="192"/>
        <v>3.8188067067389767E-2</v>
      </c>
      <c r="I588">
        <f t="shared" ca="1" si="193"/>
        <v>0.57308180005331888</v>
      </c>
      <c r="J588">
        <f t="shared" ca="1" si="194"/>
        <v>2.8102990976611979</v>
      </c>
      <c r="K588">
        <f t="shared" ca="1" si="195"/>
        <v>1.1027009402384707</v>
      </c>
      <c r="L588">
        <f t="shared" ca="1" si="196"/>
        <v>1.1908200622770968</v>
      </c>
      <c r="M588">
        <f t="shared" ca="1" si="197"/>
        <v>1.4237059775065932E-3</v>
      </c>
      <c r="N588">
        <f t="shared" ca="1" si="198"/>
        <v>9.2335044248162204E-3</v>
      </c>
      <c r="O588">
        <f t="shared" ca="1" si="199"/>
        <v>-0.46985880932910634</v>
      </c>
      <c r="P588">
        <f t="shared" ca="1" si="200"/>
        <v>1.0432889673476078</v>
      </c>
      <c r="Q588">
        <f t="shared" ca="1" si="201"/>
        <v>1.132439140176269</v>
      </c>
      <c r="R588">
        <f t="shared" ca="1" si="202"/>
        <v>2.0834501859800718</v>
      </c>
      <c r="T588">
        <f t="shared" si="203"/>
        <v>1.0126580511254961</v>
      </c>
      <c r="U588" s="6">
        <f t="shared" ca="1" si="204"/>
        <v>0.96043554445263435</v>
      </c>
      <c r="V588">
        <f t="shared" ca="1" si="205"/>
        <v>0.71692280159130906</v>
      </c>
      <c r="X588" t="b">
        <f t="shared" ca="1" si="206"/>
        <v>1</v>
      </c>
      <c r="BJ588" t="b">
        <f t="shared" si="187"/>
        <v>1</v>
      </c>
      <c r="BK588" t="b">
        <f t="shared" ca="1" si="188"/>
        <v>1</v>
      </c>
    </row>
    <row r="589" spans="1:63" x14ac:dyDescent="0.45">
      <c r="A589" s="1">
        <v>44384</v>
      </c>
      <c r="B589">
        <v>214.88300000000001</v>
      </c>
      <c r="C589" s="1">
        <v>44384</v>
      </c>
      <c r="D589">
        <v>434.46</v>
      </c>
      <c r="E589">
        <f t="shared" si="189"/>
        <v>-2.2637132720822357E-2</v>
      </c>
      <c r="F589" s="4">
        <f t="shared" si="190"/>
        <v>3.5340586237959317E-3</v>
      </c>
      <c r="G589">
        <f t="shared" ca="1" si="191"/>
        <v>2.6030368638174607E-3</v>
      </c>
      <c r="H589">
        <f t="shared" ca="1" si="192"/>
        <v>3.8193905593299556E-2</v>
      </c>
      <c r="I589">
        <f t="shared" ca="1" si="193"/>
        <v>0.57148890655877982</v>
      </c>
      <c r="J589">
        <f t="shared" ca="1" si="194"/>
        <v>2.8056446040784619</v>
      </c>
      <c r="K589">
        <f t="shared" ca="1" si="195"/>
        <v>1.1027009402384707</v>
      </c>
      <c r="L589">
        <f t="shared" ca="1" si="196"/>
        <v>1.1908200622770968</v>
      </c>
      <c r="M589">
        <f t="shared" ca="1" si="197"/>
        <v>1.4087982406293723E-3</v>
      </c>
      <c r="N589">
        <f t="shared" ca="1" si="198"/>
        <v>9.2514254309455438E-3</v>
      </c>
      <c r="O589">
        <f t="shared" ca="1" si="199"/>
        <v>-0.46931013376581604</v>
      </c>
      <c r="P589">
        <f t="shared" ca="1" si="200"/>
        <v>1.0202169002639243</v>
      </c>
      <c r="Q589">
        <f t="shared" ca="1" si="201"/>
        <v>1.132439140176269</v>
      </c>
      <c r="R589">
        <f t="shared" ca="1" si="202"/>
        <v>2.0834501859800718</v>
      </c>
      <c r="T589">
        <f t="shared" si="203"/>
        <v>0.97736286727917765</v>
      </c>
      <c r="U589" s="6">
        <f t="shared" ca="1" si="204"/>
        <v>0.94695487396439282</v>
      </c>
      <c r="V589">
        <f t="shared" ca="1" si="205"/>
        <v>0.69400144892880811</v>
      </c>
      <c r="X589" t="b">
        <f t="shared" ca="1" si="206"/>
        <v>1</v>
      </c>
      <c r="BJ589" t="b">
        <f t="shared" si="187"/>
        <v>1</v>
      </c>
      <c r="BK589" t="b">
        <f t="shared" ca="1" si="188"/>
        <v>1</v>
      </c>
    </row>
    <row r="590" spans="1:63" x14ac:dyDescent="0.45">
      <c r="A590" s="1">
        <v>44383</v>
      </c>
      <c r="B590">
        <v>219.86</v>
      </c>
      <c r="C590" s="1">
        <v>44383</v>
      </c>
      <c r="D590">
        <v>432.93</v>
      </c>
      <c r="E590">
        <f t="shared" si="189"/>
        <v>-2.8457799381352174E-2</v>
      </c>
      <c r="F590" s="4">
        <f t="shared" si="190"/>
        <v>-1.8214516277783371E-3</v>
      </c>
      <c r="G590">
        <f t="shared" ca="1" si="191"/>
        <v>2.9372749352632654E-3</v>
      </c>
      <c r="H590">
        <f t="shared" ca="1" si="192"/>
        <v>3.8264346391305146E-2</v>
      </c>
      <c r="I590">
        <f t="shared" ca="1" si="193"/>
        <v>0.54985100066014059</v>
      </c>
      <c r="J590">
        <f t="shared" ca="1" si="194"/>
        <v>2.7488620984158594</v>
      </c>
      <c r="K590">
        <f t="shared" ca="1" si="195"/>
        <v>1.1027009402384707</v>
      </c>
      <c r="L590">
        <f t="shared" ca="1" si="196"/>
        <v>1.2257823626620818</v>
      </c>
      <c r="M590">
        <f t="shared" ca="1" si="197"/>
        <v>1.3138590099210647E-3</v>
      </c>
      <c r="N590">
        <f t="shared" ca="1" si="198"/>
        <v>9.3266282757003827E-3</v>
      </c>
      <c r="O590">
        <f t="shared" ca="1" si="199"/>
        <v>-0.45726058548394338</v>
      </c>
      <c r="P590">
        <f t="shared" ca="1" si="200"/>
        <v>0.92634342865907726</v>
      </c>
      <c r="Q590">
        <f t="shared" ca="1" si="201"/>
        <v>1.1052782639358325</v>
      </c>
      <c r="R590">
        <f t="shared" ca="1" si="202"/>
        <v>2.0616386435024703</v>
      </c>
      <c r="T590">
        <f t="shared" si="203"/>
        <v>0.97154220061864782</v>
      </c>
      <c r="U590" s="6">
        <f t="shared" ca="1" si="204"/>
        <v>0.95769101767193876</v>
      </c>
      <c r="V590">
        <f t="shared" ca="1" si="205"/>
        <v>0.68772186280873149</v>
      </c>
      <c r="X590" t="b">
        <f t="shared" ca="1" si="206"/>
        <v>1</v>
      </c>
      <c r="BJ590" t="b">
        <f t="shared" si="187"/>
        <v>1</v>
      </c>
      <c r="BK590" t="b">
        <f t="shared" ca="1" si="188"/>
        <v>1</v>
      </c>
    </row>
    <row r="591" spans="1:63" x14ac:dyDescent="0.45">
      <c r="A591" s="1">
        <v>44379</v>
      </c>
      <c r="B591">
        <v>226.3</v>
      </c>
      <c r="C591" s="1">
        <v>44379</v>
      </c>
      <c r="D591">
        <v>433.72</v>
      </c>
      <c r="E591">
        <f t="shared" si="189"/>
        <v>1.4470755355728258E-3</v>
      </c>
      <c r="F591" s="4">
        <f t="shared" si="190"/>
        <v>7.6435192714262952E-3</v>
      </c>
      <c r="G591">
        <f t="shared" ca="1" si="191"/>
        <v>2.872097870358044E-3</v>
      </c>
      <c r="H591">
        <f t="shared" ca="1" si="192"/>
        <v>3.8329138491735373E-2</v>
      </c>
      <c r="I591">
        <f t="shared" ca="1" si="193"/>
        <v>0.54710337997212288</v>
      </c>
      <c r="J591">
        <f t="shared" ca="1" si="194"/>
        <v>2.7205787316336068</v>
      </c>
      <c r="K591">
        <f t="shared" ca="1" si="195"/>
        <v>1.1027009402384707</v>
      </c>
      <c r="L591">
        <f t="shared" ca="1" si="196"/>
        <v>1.2257823626620818</v>
      </c>
      <c r="M591">
        <f t="shared" ca="1" si="197"/>
        <v>1.278990115530589E-3</v>
      </c>
      <c r="N591">
        <f t="shared" ca="1" si="198"/>
        <v>9.3514122636731006E-3</v>
      </c>
      <c r="O591">
        <f t="shared" ca="1" si="199"/>
        <v>-0.44855638523615371</v>
      </c>
      <c r="P591">
        <f t="shared" ca="1" si="200"/>
        <v>0.88449673965247477</v>
      </c>
      <c r="Q591">
        <f t="shared" ca="1" si="201"/>
        <v>1.1052782639358325</v>
      </c>
      <c r="R591">
        <f t="shared" ca="1" si="202"/>
        <v>2.0267984064969213</v>
      </c>
      <c r="T591">
        <f t="shared" si="203"/>
        <v>1.0014470755355729</v>
      </c>
      <c r="U591" s="6">
        <f t="shared" ca="1" si="204"/>
        <v>1.0104618297262424</v>
      </c>
      <c r="V591">
        <f t="shared" ca="1" si="205"/>
        <v>0.69466168454518662</v>
      </c>
      <c r="X591" t="b">
        <f t="shared" ca="1" si="206"/>
        <v>0</v>
      </c>
      <c r="BJ591" t="b">
        <f t="shared" si="187"/>
        <v>1</v>
      </c>
      <c r="BK591" t="b">
        <f t="shared" ca="1" si="188"/>
        <v>0</v>
      </c>
    </row>
    <row r="592" spans="1:63" x14ac:dyDescent="0.45">
      <c r="A592" s="1">
        <v>44378</v>
      </c>
      <c r="B592">
        <v>225.97300000000001</v>
      </c>
      <c r="C592" s="1">
        <v>44378</v>
      </c>
      <c r="D592">
        <v>430.43</v>
      </c>
      <c r="E592">
        <f t="shared" si="189"/>
        <v>-2.6217410302470973E-3</v>
      </c>
      <c r="F592" s="4">
        <f t="shared" si="190"/>
        <v>5.536607017707809E-3</v>
      </c>
      <c r="G592">
        <f t="shared" ca="1" si="191"/>
        <v>2.7759150540462418E-3</v>
      </c>
      <c r="H592">
        <f t="shared" ca="1" si="192"/>
        <v>3.8356858411325655E-2</v>
      </c>
      <c r="I592">
        <f t="shared" ca="1" si="193"/>
        <v>0.55272371871178216</v>
      </c>
      <c r="J592">
        <f t="shared" ca="1" si="194"/>
        <v>2.7099815092422928</v>
      </c>
      <c r="K592">
        <f t="shared" ca="1" si="195"/>
        <v>1.1027009402384707</v>
      </c>
      <c r="L592">
        <f t="shared" ca="1" si="196"/>
        <v>1.2257823626620818</v>
      </c>
      <c r="M592">
        <f t="shared" ca="1" si="197"/>
        <v>1.22092949950682E-3</v>
      </c>
      <c r="N592">
        <f t="shared" ca="1" si="198"/>
        <v>9.3477455854712385E-3</v>
      </c>
      <c r="O592">
        <f t="shared" ca="1" si="199"/>
        <v>-0.43276249771081687</v>
      </c>
      <c r="P592">
        <f t="shared" ca="1" si="200"/>
        <v>0.87885962225036485</v>
      </c>
      <c r="Q592">
        <f t="shared" ca="1" si="201"/>
        <v>1.1052782639358325</v>
      </c>
      <c r="R592">
        <f t="shared" ca="1" si="202"/>
        <v>1.92604192035983</v>
      </c>
      <c r="T592">
        <f t="shared" si="203"/>
        <v>0.99737825896975285</v>
      </c>
      <c r="U592" s="6">
        <f t="shared" ca="1" si="204"/>
        <v>0.99720220469800125</v>
      </c>
      <c r="V592">
        <f t="shared" ca="1" si="205"/>
        <v>0.68955447491057609</v>
      </c>
      <c r="X592" t="b">
        <f t="shared" ca="1" si="206"/>
        <v>1</v>
      </c>
      <c r="BJ592" t="b">
        <f t="shared" si="187"/>
        <v>1</v>
      </c>
      <c r="BK592" t="b">
        <f t="shared" ca="1" si="188"/>
        <v>1</v>
      </c>
    </row>
    <row r="593" spans="1:63" x14ac:dyDescent="0.45">
      <c r="A593" s="1">
        <v>44377</v>
      </c>
      <c r="B593">
        <v>226.56700000000001</v>
      </c>
      <c r="C593" s="1">
        <v>44377</v>
      </c>
      <c r="D593">
        <v>428.06</v>
      </c>
      <c r="E593">
        <f t="shared" si="189"/>
        <v>-1.5556143134143321E-3</v>
      </c>
      <c r="F593" s="4">
        <f t="shared" si="190"/>
        <v>8.4171148000938422E-4</v>
      </c>
      <c r="G593">
        <f t="shared" ca="1" si="191"/>
        <v>3.1481709856100082E-3</v>
      </c>
      <c r="H593">
        <f t="shared" ca="1" si="192"/>
        <v>3.8664255713129418E-2</v>
      </c>
      <c r="I593">
        <f t="shared" ca="1" si="193"/>
        <v>0.53939865535933462</v>
      </c>
      <c r="J593">
        <f t="shared" ca="1" si="194"/>
        <v>2.5600325284970324</v>
      </c>
      <c r="K593">
        <f t="shared" ca="1" si="195"/>
        <v>1.1332289951515744</v>
      </c>
      <c r="L593">
        <f t="shared" ca="1" si="196"/>
        <v>1.2470757628131317</v>
      </c>
      <c r="M593">
        <f t="shared" ca="1" si="197"/>
        <v>1.218507942879547E-3</v>
      </c>
      <c r="N593">
        <f t="shared" ca="1" si="198"/>
        <v>9.3466846513227606E-3</v>
      </c>
      <c r="O593">
        <f t="shared" ca="1" si="199"/>
        <v>-0.43227483539004735</v>
      </c>
      <c r="P593">
        <f t="shared" ca="1" si="200"/>
        <v>0.88009518414602805</v>
      </c>
      <c r="Q593">
        <f t="shared" ca="1" si="201"/>
        <v>1.1052782639358325</v>
      </c>
      <c r="R593">
        <f t="shared" ca="1" si="202"/>
        <v>1.92604192035983</v>
      </c>
      <c r="T593">
        <f t="shared" si="203"/>
        <v>0.99844438568658567</v>
      </c>
      <c r="U593" s="6">
        <f t="shared" ca="1" si="204"/>
        <v>1.035228482525119</v>
      </c>
      <c r="V593">
        <f t="shared" ca="1" si="205"/>
        <v>1.2344315993303221</v>
      </c>
      <c r="X593" t="b">
        <f t="shared" ca="1" si="206"/>
        <v>0</v>
      </c>
      <c r="BJ593" t="b">
        <f t="shared" si="187"/>
        <v>1</v>
      </c>
      <c r="BK593" t="b">
        <f t="shared" ca="1" si="188"/>
        <v>0</v>
      </c>
    </row>
    <row r="594" spans="1:63" x14ac:dyDescent="0.45">
      <c r="A594" s="1">
        <v>44376</v>
      </c>
      <c r="B594">
        <v>226.92</v>
      </c>
      <c r="C594" s="1">
        <v>44376</v>
      </c>
      <c r="D594">
        <v>427.7</v>
      </c>
      <c r="E594">
        <f t="shared" si="189"/>
        <v>-1.1556237013934652E-2</v>
      </c>
      <c r="F594" s="4">
        <f t="shared" si="190"/>
        <v>5.3804945376274675E-4</v>
      </c>
      <c r="G594">
        <f t="shared" ca="1" si="191"/>
        <v>3.7850942600103055E-3</v>
      </c>
      <c r="H594">
        <f t="shared" ca="1" si="192"/>
        <v>3.9623691279608762E-2</v>
      </c>
      <c r="I594">
        <f t="shared" ca="1" si="193"/>
        <v>0.60310441694547823</v>
      </c>
      <c r="J594">
        <f t="shared" ca="1" si="194"/>
        <v>2.4712391403918765</v>
      </c>
      <c r="K594">
        <f t="shared" ca="1" si="195"/>
        <v>1.1465242214589979</v>
      </c>
      <c r="L594">
        <f t="shared" ca="1" si="196"/>
        <v>1.2801530906398169</v>
      </c>
      <c r="M594">
        <f t="shared" ca="1" si="197"/>
        <v>1.2801558184556117E-3</v>
      </c>
      <c r="N594">
        <f t="shared" ca="1" si="198"/>
        <v>9.3847703875307355E-3</v>
      </c>
      <c r="O594">
        <f t="shared" ca="1" si="199"/>
        <v>-0.43645222065972106</v>
      </c>
      <c r="P594">
        <f t="shared" ca="1" si="200"/>
        <v>0.84181544322851654</v>
      </c>
      <c r="Q594">
        <f t="shared" ca="1" si="201"/>
        <v>1.1052782639358325</v>
      </c>
      <c r="R594">
        <f t="shared" ca="1" si="202"/>
        <v>1.9375724466512603</v>
      </c>
      <c r="T594">
        <f t="shared" si="203"/>
        <v>0.9884437629860654</v>
      </c>
      <c r="U594" s="6">
        <f t="shared" ca="1" si="204"/>
        <v>1.0914705415506272</v>
      </c>
      <c r="V594">
        <f t="shared" ca="1" si="205"/>
        <v>1.2319963525518882</v>
      </c>
      <c r="X594" t="b">
        <f t="shared" ca="1" si="206"/>
        <v>0</v>
      </c>
      <c r="BJ594" t="b">
        <f t="shared" si="187"/>
        <v>1</v>
      </c>
      <c r="BK594" t="b">
        <f t="shared" ca="1" si="188"/>
        <v>0</v>
      </c>
    </row>
    <row r="595" spans="1:63" x14ac:dyDescent="0.45">
      <c r="A595" s="1">
        <v>44375</v>
      </c>
      <c r="B595">
        <v>229.57300000000001</v>
      </c>
      <c r="C595" s="1">
        <v>44375</v>
      </c>
      <c r="D595">
        <v>427.47</v>
      </c>
      <c r="E595">
        <f t="shared" si="189"/>
        <v>2.5076242314372912E-2</v>
      </c>
      <c r="F595" s="4">
        <f t="shared" si="190"/>
        <v>2.0158927357539994E-3</v>
      </c>
      <c r="G595">
        <f t="shared" ca="1" si="191"/>
        <v>3.8614567990951677E-3</v>
      </c>
      <c r="H595">
        <f t="shared" ca="1" si="192"/>
        <v>3.9608690690039368E-2</v>
      </c>
      <c r="I595">
        <f t="shared" ca="1" si="193"/>
        <v>0.59824263531777999</v>
      </c>
      <c r="J595">
        <f t="shared" ca="1" si="194"/>
        <v>2.4747547980408111</v>
      </c>
      <c r="K595">
        <f t="shared" ca="1" si="195"/>
        <v>1.1465242214589979</v>
      </c>
      <c r="L595">
        <f t="shared" ca="1" si="196"/>
        <v>1.2801530906398169</v>
      </c>
      <c r="M595">
        <f t="shared" ca="1" si="197"/>
        <v>1.2800113197866364E-3</v>
      </c>
      <c r="N595">
        <f t="shared" ca="1" si="198"/>
        <v>9.3847820937480054E-3</v>
      </c>
      <c r="O595">
        <f t="shared" ca="1" si="199"/>
        <v>-0.43640423424610808</v>
      </c>
      <c r="P595">
        <f t="shared" ca="1" si="200"/>
        <v>0.84176865515226096</v>
      </c>
      <c r="Q595">
        <f t="shared" ca="1" si="201"/>
        <v>1.1052782639358325</v>
      </c>
      <c r="R595">
        <f t="shared" ca="1" si="202"/>
        <v>1.9375724466512603</v>
      </c>
      <c r="T595">
        <f t="shared" si="203"/>
        <v>1.0250762423143729</v>
      </c>
      <c r="U595" s="6">
        <f t="shared" ca="1" si="204"/>
        <v>1.1093537834089577</v>
      </c>
      <c r="V595">
        <f t="shared" ca="1" si="205"/>
        <v>1.3253086991876781</v>
      </c>
      <c r="X595" t="b">
        <f t="shared" ca="1" si="206"/>
        <v>0</v>
      </c>
      <c r="BJ595" t="b">
        <f t="shared" si="187"/>
        <v>1</v>
      </c>
      <c r="BK595" t="b">
        <f t="shared" ca="1" si="188"/>
        <v>0</v>
      </c>
    </row>
    <row r="596" spans="1:63" x14ac:dyDescent="0.45">
      <c r="A596" s="1">
        <v>44372</v>
      </c>
      <c r="B596">
        <v>223.95699999999999</v>
      </c>
      <c r="C596" s="1">
        <v>44372</v>
      </c>
      <c r="D596">
        <v>426.61</v>
      </c>
      <c r="E596">
        <f t="shared" si="189"/>
        <v>-1.1694254811192972E-2</v>
      </c>
      <c r="F596" s="4">
        <f t="shared" si="190"/>
        <v>3.5521053869677507E-3</v>
      </c>
      <c r="G596">
        <f t="shared" ca="1" si="191"/>
        <v>3.8051622673493375E-3</v>
      </c>
      <c r="H596">
        <f t="shared" ca="1" si="192"/>
        <v>3.9586381969418591E-2</v>
      </c>
      <c r="I596">
        <f t="shared" ca="1" si="193"/>
        <v>0.60286341035041924</v>
      </c>
      <c r="J596">
        <f t="shared" ca="1" si="194"/>
        <v>2.4902894807215992</v>
      </c>
      <c r="K596">
        <f t="shared" ca="1" si="195"/>
        <v>1.1465242214589979</v>
      </c>
      <c r="L596">
        <f t="shared" ca="1" si="196"/>
        <v>1.2801530906398169</v>
      </c>
      <c r="M596">
        <f t="shared" ca="1" si="197"/>
        <v>1.1831135271399742E-3</v>
      </c>
      <c r="N596">
        <f t="shared" ca="1" si="198"/>
        <v>9.4767422770353788E-3</v>
      </c>
      <c r="O596">
        <f t="shared" ca="1" si="199"/>
        <v>-0.4314880550696028</v>
      </c>
      <c r="P596">
        <f t="shared" ca="1" si="200"/>
        <v>0.75198017091132163</v>
      </c>
      <c r="Q596">
        <f t="shared" ca="1" si="201"/>
        <v>1.0592541624650751</v>
      </c>
      <c r="R596">
        <f t="shared" ca="1" si="202"/>
        <v>1.8106048553803953</v>
      </c>
      <c r="T596">
        <f t="shared" si="203"/>
        <v>0.98830574518880698</v>
      </c>
      <c r="U596" s="6">
        <f t="shared" ca="1" si="204"/>
        <v>1.0779082639457089</v>
      </c>
      <c r="V596">
        <f t="shared" ca="1" si="205"/>
        <v>1.3454567262530079</v>
      </c>
      <c r="X596" t="b">
        <f t="shared" ca="1" si="206"/>
        <v>0</v>
      </c>
      <c r="BJ596" t="b">
        <f t="shared" si="187"/>
        <v>1</v>
      </c>
      <c r="BK596" t="b">
        <f t="shared" ca="1" si="188"/>
        <v>0</v>
      </c>
    </row>
    <row r="597" spans="1:63" x14ac:dyDescent="0.45">
      <c r="A597" s="1">
        <v>44371</v>
      </c>
      <c r="B597">
        <v>226.607</v>
      </c>
      <c r="C597" s="1">
        <v>44371</v>
      </c>
      <c r="D597">
        <v>425.1</v>
      </c>
      <c r="E597">
        <f t="shared" si="189"/>
        <v>3.5411250268440123E-2</v>
      </c>
      <c r="F597" s="4">
        <f t="shared" si="190"/>
        <v>5.9157595835305247E-3</v>
      </c>
      <c r="G597">
        <f t="shared" ca="1" si="191"/>
        <v>4.4097859898472027E-3</v>
      </c>
      <c r="H597">
        <f t="shared" ca="1" si="192"/>
        <v>4.0266099786496881E-2</v>
      </c>
      <c r="I597">
        <f t="shared" ca="1" si="193"/>
        <v>0.61873163743800874</v>
      </c>
      <c r="J597">
        <f t="shared" ca="1" si="194"/>
        <v>2.329782560238181</v>
      </c>
      <c r="K597">
        <f t="shared" ca="1" si="195"/>
        <v>1.1784205083150729</v>
      </c>
      <c r="L597">
        <f t="shared" ca="1" si="196"/>
        <v>1.3437336063960372</v>
      </c>
      <c r="M597">
        <f t="shared" ca="1" si="197"/>
        <v>1.2640895327221677E-3</v>
      </c>
      <c r="N597">
        <f t="shared" ca="1" si="198"/>
        <v>9.5658589699119424E-3</v>
      </c>
      <c r="O597">
        <f t="shared" ca="1" si="199"/>
        <v>-0.40817071767271601</v>
      </c>
      <c r="P597">
        <f t="shared" ca="1" si="200"/>
        <v>0.69952335804878762</v>
      </c>
      <c r="Q597">
        <f t="shared" ca="1" si="201"/>
        <v>1.0639524164852485</v>
      </c>
      <c r="R597">
        <f t="shared" ca="1" si="202"/>
        <v>1.84803444697821</v>
      </c>
      <c r="T597">
        <f t="shared" si="203"/>
        <v>1.0354112502684401</v>
      </c>
      <c r="U597" s="6">
        <f t="shared" ca="1" si="204"/>
        <v>1.1025334131258728</v>
      </c>
      <c r="V597">
        <f t="shared" ca="1" si="205"/>
        <v>1.327390228903834</v>
      </c>
      <c r="X597" t="b">
        <f t="shared" ca="1" si="206"/>
        <v>0</v>
      </c>
      <c r="BJ597" t="b">
        <f t="shared" si="187"/>
        <v>1</v>
      </c>
      <c r="BK597" t="b">
        <f t="shared" ca="1" si="188"/>
        <v>0</v>
      </c>
    </row>
    <row r="598" spans="1:63" x14ac:dyDescent="0.45">
      <c r="A598" s="1">
        <v>44370</v>
      </c>
      <c r="B598">
        <v>218.857</v>
      </c>
      <c r="C598" s="1">
        <v>44370</v>
      </c>
      <c r="D598">
        <v>422.6</v>
      </c>
      <c r="E598">
        <f t="shared" si="189"/>
        <v>5.2688032399724909E-2</v>
      </c>
      <c r="F598" s="4">
        <f t="shared" si="190"/>
        <v>-1.205360308194065E-3</v>
      </c>
      <c r="G598">
        <f t="shared" ca="1" si="191"/>
        <v>3.1795886025325405E-3</v>
      </c>
      <c r="H598">
        <f t="shared" ca="1" si="192"/>
        <v>4.2981121180913677E-2</v>
      </c>
      <c r="I598">
        <f t="shared" ca="1" si="193"/>
        <v>-4.2076648369209539E-2</v>
      </c>
      <c r="J598">
        <f t="shared" ca="1" si="194"/>
        <v>4.3283437276017231</v>
      </c>
      <c r="K598">
        <f t="shared" ca="1" si="195"/>
        <v>1.125524097347345</v>
      </c>
      <c r="L598">
        <f t="shared" ca="1" si="196"/>
        <v>1.2732062015313763</v>
      </c>
      <c r="M598">
        <f t="shared" ca="1" si="197"/>
        <v>1.0978963202323106E-3</v>
      </c>
      <c r="N598">
        <f t="shared" ca="1" si="198"/>
        <v>9.7711705041657933E-3</v>
      </c>
      <c r="O598">
        <f t="shared" ca="1" si="199"/>
        <v>-0.45908884629510838</v>
      </c>
      <c r="P598">
        <f t="shared" ca="1" si="200"/>
        <v>0.74002694899260568</v>
      </c>
      <c r="Q598">
        <f t="shared" ca="1" si="201"/>
        <v>1.0433462915552048</v>
      </c>
      <c r="R598">
        <f t="shared" ca="1" si="202"/>
        <v>1.7369891955785735</v>
      </c>
      <c r="T598">
        <f t="shared" si="203"/>
        <v>1.052688032399725</v>
      </c>
      <c r="U598" s="6">
        <f t="shared" ca="1" si="204"/>
        <v>1.0854763593439241</v>
      </c>
      <c r="V598">
        <f t="shared" ca="1" si="205"/>
        <v>1.3279820524033856</v>
      </c>
      <c r="X598" t="b">
        <f t="shared" ca="1" si="206"/>
        <v>0</v>
      </c>
      <c r="BJ598" t="b">
        <f t="shared" si="187"/>
        <v>1</v>
      </c>
      <c r="BK598" t="b">
        <f t="shared" ca="1" si="188"/>
        <v>0</v>
      </c>
    </row>
    <row r="599" spans="1:63" x14ac:dyDescent="0.45">
      <c r="A599" s="1">
        <v>44369</v>
      </c>
      <c r="B599">
        <v>207.90299999999999</v>
      </c>
      <c r="C599" s="1">
        <v>44369</v>
      </c>
      <c r="D599">
        <v>423.11</v>
      </c>
      <c r="E599">
        <f t="shared" si="189"/>
        <v>4.638958553804572E-3</v>
      </c>
      <c r="F599" s="4">
        <f t="shared" si="190"/>
        <v>5.3461958846172126E-3</v>
      </c>
      <c r="G599">
        <f t="shared" ca="1" si="191"/>
        <v>3.055202152932656E-3</v>
      </c>
      <c r="H599">
        <f t="shared" ca="1" si="192"/>
        <v>4.2872985963041489E-2</v>
      </c>
      <c r="I599">
        <f t="shared" ca="1" si="193"/>
        <v>-4.0457773237943008E-2</v>
      </c>
      <c r="J599">
        <f t="shared" ca="1" si="194"/>
        <v>4.3938460938474639</v>
      </c>
      <c r="K599">
        <f t="shared" ca="1" si="195"/>
        <v>1.125524097347345</v>
      </c>
      <c r="L599">
        <f t="shared" ca="1" si="196"/>
        <v>1.2732062015313763</v>
      </c>
      <c r="M599">
        <f t="shared" ca="1" si="197"/>
        <v>1.0630997047664193E-3</v>
      </c>
      <c r="N599">
        <f t="shared" ca="1" si="198"/>
        <v>9.7917838244243865E-3</v>
      </c>
      <c r="O599">
        <f t="shared" ca="1" si="199"/>
        <v>-0.44965738758286278</v>
      </c>
      <c r="P599">
        <f t="shared" ca="1" si="200"/>
        <v>0.7057800829056764</v>
      </c>
      <c r="Q599">
        <f t="shared" ca="1" si="201"/>
        <v>1.0433462915552048</v>
      </c>
      <c r="R599">
        <f t="shared" ca="1" si="202"/>
        <v>1.6818745728632265</v>
      </c>
      <c r="T599">
        <f t="shared" si="203"/>
        <v>1.0046389585538045</v>
      </c>
      <c r="U599" s="6">
        <f t="shared" ca="1" si="204"/>
        <v>1.0406232637759212</v>
      </c>
      <c r="V599">
        <f t="shared" ca="1" si="205"/>
        <v>1.3363357333575143</v>
      </c>
      <c r="X599" t="b">
        <f t="shared" ca="1" si="206"/>
        <v>0</v>
      </c>
      <c r="BJ599" t="b">
        <f t="shared" si="187"/>
        <v>1</v>
      </c>
      <c r="BK599" t="b">
        <f t="shared" ca="1" si="188"/>
        <v>0</v>
      </c>
    </row>
    <row r="600" spans="1:63" x14ac:dyDescent="0.45">
      <c r="A600" s="1">
        <v>44368</v>
      </c>
      <c r="B600">
        <v>206.94300000000001</v>
      </c>
      <c r="C600" s="1">
        <v>44368</v>
      </c>
      <c r="D600">
        <v>420.86</v>
      </c>
      <c r="E600">
        <f t="shared" si="189"/>
        <v>-3.980362901285066E-3</v>
      </c>
      <c r="F600" s="4">
        <f t="shared" si="190"/>
        <v>1.4316012725344638E-2</v>
      </c>
      <c r="G600">
        <f t="shared" ca="1" si="191"/>
        <v>2.5808361793263389E-3</v>
      </c>
      <c r="H600">
        <f t="shared" ca="1" si="192"/>
        <v>4.3377268585307389E-2</v>
      </c>
      <c r="I600">
        <f t="shared" ca="1" si="193"/>
        <v>-5.6415158661164096E-2</v>
      </c>
      <c r="J600">
        <f t="shared" ca="1" si="194"/>
        <v>4.1614137701341027</v>
      </c>
      <c r="K600">
        <f t="shared" ca="1" si="195"/>
        <v>1.0256866131622466</v>
      </c>
      <c r="L600">
        <f t="shared" ca="1" si="196"/>
        <v>1.2577839675238855</v>
      </c>
      <c r="M600">
        <f t="shared" ca="1" si="197"/>
        <v>8.6429715698996463E-4</v>
      </c>
      <c r="N600">
        <f t="shared" ca="1" si="198"/>
        <v>1.0103067974931965E-2</v>
      </c>
      <c r="O600">
        <f t="shared" ca="1" si="199"/>
        <v>-0.56990214593627364</v>
      </c>
      <c r="P600">
        <f t="shared" ca="1" si="200"/>
        <v>1.0035045154343667</v>
      </c>
      <c r="Q600">
        <f t="shared" ca="1" si="201"/>
        <v>0.96707810864557142</v>
      </c>
      <c r="R600">
        <f t="shared" ca="1" si="202"/>
        <v>1.6281358535786721</v>
      </c>
      <c r="T600">
        <f t="shared" si="203"/>
        <v>0.99601963709871488</v>
      </c>
      <c r="U600" s="6">
        <f t="shared" ca="1" si="204"/>
        <v>1.0050802100079168</v>
      </c>
      <c r="V600">
        <f t="shared" ca="1" si="205"/>
        <v>1.326028844912825</v>
      </c>
      <c r="X600" t="b">
        <f t="shared" ca="1" si="206"/>
        <v>0</v>
      </c>
      <c r="BJ600" t="b">
        <f t="shared" si="187"/>
        <v>1</v>
      </c>
      <c r="BK600" t="b">
        <f t="shared" ca="1" si="188"/>
        <v>0</v>
      </c>
    </row>
    <row r="601" spans="1:63" x14ac:dyDescent="0.45">
      <c r="A601" s="1">
        <v>44365</v>
      </c>
      <c r="B601">
        <v>207.77</v>
      </c>
      <c r="C601" s="1">
        <v>44365</v>
      </c>
      <c r="D601">
        <v>414.92</v>
      </c>
      <c r="E601">
        <f t="shared" si="189"/>
        <v>1.0883896989777911E-2</v>
      </c>
      <c r="F601" s="4">
        <f t="shared" si="190"/>
        <v>-1.6707348863663318E-2</v>
      </c>
      <c r="G601">
        <f t="shared" ca="1" si="191"/>
        <v>2.3093897147042517E-3</v>
      </c>
      <c r="H601">
        <f t="shared" ca="1" si="192"/>
        <v>4.3587888166122885E-2</v>
      </c>
      <c r="I601">
        <f t="shared" ca="1" si="193"/>
        <v>-5.0522736181579556E-2</v>
      </c>
      <c r="J601">
        <f t="shared" ca="1" si="194"/>
        <v>4.0412627825314562</v>
      </c>
      <c r="K601">
        <f t="shared" ca="1" si="195"/>
        <v>1.0256866131622466</v>
      </c>
      <c r="L601">
        <f t="shared" ca="1" si="196"/>
        <v>1.2205644874756547</v>
      </c>
      <c r="M601">
        <f t="shared" ca="1" si="197"/>
        <v>8.650370026088447E-4</v>
      </c>
      <c r="N601">
        <f t="shared" ca="1" si="198"/>
        <v>1.010406336025768E-2</v>
      </c>
      <c r="O601">
        <f t="shared" ca="1" si="199"/>
        <v>-0.5695560070772846</v>
      </c>
      <c r="P601">
        <f t="shared" ca="1" si="200"/>
        <v>1.0028070424383753</v>
      </c>
      <c r="Q601">
        <f t="shared" ca="1" si="201"/>
        <v>0.96707810864557142</v>
      </c>
      <c r="R601">
        <f t="shared" ca="1" si="202"/>
        <v>1.6281358535786721</v>
      </c>
      <c r="T601">
        <f t="shared" si="203"/>
        <v>1.010883896989778</v>
      </c>
      <c r="U601" s="6">
        <f t="shared" ca="1" si="204"/>
        <v>1.0220022922128713</v>
      </c>
      <c r="V601">
        <f t="shared" ca="1" si="205"/>
        <v>1.3300566211707148</v>
      </c>
      <c r="X601" t="b">
        <f t="shared" ca="1" si="206"/>
        <v>0</v>
      </c>
      <c r="BJ601" t="b">
        <f t="shared" si="187"/>
        <v>1</v>
      </c>
      <c r="BK601" t="b">
        <f t="shared" ca="1" si="188"/>
        <v>0</v>
      </c>
    </row>
    <row r="602" spans="1:63" x14ac:dyDescent="0.45">
      <c r="A602" s="1">
        <v>44364</v>
      </c>
      <c r="B602">
        <v>205.53299999999999</v>
      </c>
      <c r="C602" s="1">
        <v>44364</v>
      </c>
      <c r="D602">
        <v>421.97</v>
      </c>
      <c r="E602">
        <f t="shared" si="189"/>
        <v>1.9392628817148823E-2</v>
      </c>
      <c r="F602" s="4">
        <f t="shared" si="190"/>
        <v>-3.3166710099259992E-4</v>
      </c>
      <c r="G602">
        <f t="shared" ca="1" si="191"/>
        <v>2.0214761566578992E-3</v>
      </c>
      <c r="H602">
        <f t="shared" ca="1" si="192"/>
        <v>4.3720939984663983E-2</v>
      </c>
      <c r="I602">
        <f t="shared" ca="1" si="193"/>
        <v>-3.7294635764550402E-2</v>
      </c>
      <c r="J602">
        <f t="shared" ca="1" si="194"/>
        <v>3.9622848730263502</v>
      </c>
      <c r="K602">
        <f t="shared" ca="1" si="195"/>
        <v>1.0256866131622466</v>
      </c>
      <c r="L602">
        <f t="shared" ca="1" si="196"/>
        <v>1.2012265230173631</v>
      </c>
      <c r="M602">
        <f t="shared" ca="1" si="197"/>
        <v>9.9566658709778389E-4</v>
      </c>
      <c r="N602">
        <f t="shared" ca="1" si="198"/>
        <v>1.0044446079471187E-2</v>
      </c>
      <c r="O602">
        <f t="shared" ca="1" si="199"/>
        <v>-0.58885661230900055</v>
      </c>
      <c r="P602">
        <f t="shared" ca="1" si="200"/>
        <v>1.0842038019492088</v>
      </c>
      <c r="Q602">
        <f t="shared" ca="1" si="201"/>
        <v>1.0411443703991634</v>
      </c>
      <c r="R602">
        <f t="shared" ca="1" si="202"/>
        <v>1.7229938439756847</v>
      </c>
      <c r="T602">
        <f t="shared" si="203"/>
        <v>1.0193926288171489</v>
      </c>
      <c r="U602" s="6">
        <f t="shared" ca="1" si="204"/>
        <v>1.0106208788777273</v>
      </c>
      <c r="V602">
        <f t="shared" ca="1" si="205"/>
        <v>1.3267597838339222</v>
      </c>
      <c r="X602" t="b">
        <f t="shared" ca="1" si="206"/>
        <v>0</v>
      </c>
      <c r="BJ602" t="b">
        <f t="shared" si="187"/>
        <v>1</v>
      </c>
      <c r="BK602" t="b">
        <f t="shared" ca="1" si="188"/>
        <v>0</v>
      </c>
    </row>
    <row r="603" spans="1:63" x14ac:dyDescent="0.45">
      <c r="A603" s="1">
        <v>44363</v>
      </c>
      <c r="B603">
        <v>201.62299999999999</v>
      </c>
      <c r="C603" s="1">
        <v>44363</v>
      </c>
      <c r="D603">
        <v>422.11</v>
      </c>
      <c r="E603">
        <f t="shared" si="189"/>
        <v>9.1897871232862211E-3</v>
      </c>
      <c r="F603" s="4">
        <f t="shared" si="190"/>
        <v>-5.5833019223520651E-3</v>
      </c>
      <c r="G603">
        <f t="shared" ca="1" si="191"/>
        <v>2.5529692337703113E-3</v>
      </c>
      <c r="H603">
        <f t="shared" ca="1" si="192"/>
        <v>4.4571018123139572E-2</v>
      </c>
      <c r="I603">
        <f t="shared" ca="1" si="193"/>
        <v>3.6790164001647488E-2</v>
      </c>
      <c r="J603">
        <f t="shared" ca="1" si="194"/>
        <v>3.7469178110106638</v>
      </c>
      <c r="K603">
        <f t="shared" ca="1" si="195"/>
        <v>1.1065981767588882</v>
      </c>
      <c r="L603">
        <f t="shared" ca="1" si="196"/>
        <v>1.254301384680002</v>
      </c>
      <c r="M603">
        <f t="shared" ca="1" si="197"/>
        <v>9.7921208102593154E-4</v>
      </c>
      <c r="N603">
        <f t="shared" ca="1" si="198"/>
        <v>1.0049325745620889E-2</v>
      </c>
      <c r="O603">
        <f t="shared" ca="1" si="199"/>
        <v>-0.5835184316843165</v>
      </c>
      <c r="P603">
        <f t="shared" ca="1" si="200"/>
        <v>1.0725015545156937</v>
      </c>
      <c r="Q603">
        <f t="shared" ca="1" si="201"/>
        <v>1.0411443703991634</v>
      </c>
      <c r="R603">
        <f t="shared" ca="1" si="202"/>
        <v>1.7229938439756847</v>
      </c>
      <c r="T603">
        <f t="shared" si="203"/>
        <v>1.0091897871232862</v>
      </c>
      <c r="U603" s="6">
        <f t="shared" ca="1" si="204"/>
        <v>1.0101706973691462</v>
      </c>
      <c r="V603">
        <f t="shared" ca="1" si="205"/>
        <v>1.337151232577066</v>
      </c>
      <c r="X603" t="b">
        <f t="shared" ca="1" si="206"/>
        <v>0</v>
      </c>
      <c r="BJ603" t="b">
        <f t="shared" si="187"/>
        <v>1</v>
      </c>
      <c r="BK603" t="b">
        <f t="shared" ca="1" si="188"/>
        <v>0</v>
      </c>
    </row>
    <row r="604" spans="1:63" x14ac:dyDescent="0.45">
      <c r="A604" s="1">
        <v>44362</v>
      </c>
      <c r="B604">
        <v>199.78700000000001</v>
      </c>
      <c r="C604" s="1">
        <v>44362</v>
      </c>
      <c r="D604">
        <v>424.48</v>
      </c>
      <c r="E604">
        <f t="shared" si="189"/>
        <v>-2.9675031690602514E-2</v>
      </c>
      <c r="F604" s="4">
        <f t="shared" si="190"/>
        <v>-1.8341720359308959E-3</v>
      </c>
      <c r="G604">
        <f t="shared" ca="1" si="191"/>
        <v>2.4504038827434962E-3</v>
      </c>
      <c r="H604">
        <f t="shared" ca="1" si="192"/>
        <v>4.4579270186763185E-2</v>
      </c>
      <c r="I604">
        <f t="shared" ca="1" si="193"/>
        <v>4.3571858643040542E-2</v>
      </c>
      <c r="J604">
        <f t="shared" ca="1" si="194"/>
        <v>3.7423121119329839</v>
      </c>
      <c r="K604">
        <f t="shared" ca="1" si="195"/>
        <v>1.1065981767588882</v>
      </c>
      <c r="L604">
        <f t="shared" ca="1" si="196"/>
        <v>1.254301384680002</v>
      </c>
      <c r="M604">
        <f t="shared" ca="1" si="197"/>
        <v>1.0394255504172112E-3</v>
      </c>
      <c r="N604">
        <f t="shared" ca="1" si="198"/>
        <v>1.0045885002051806E-2</v>
      </c>
      <c r="O604">
        <f t="shared" ca="1" si="199"/>
        <v>-0.60004257706640129</v>
      </c>
      <c r="P604">
        <f t="shared" ca="1" si="200"/>
        <v>1.0921182275151438</v>
      </c>
      <c r="Q604">
        <f t="shared" ca="1" si="201"/>
        <v>1.0411443703991634</v>
      </c>
      <c r="R604">
        <f t="shared" ca="1" si="202"/>
        <v>1.779455935253943</v>
      </c>
      <c r="T604">
        <f t="shared" si="203"/>
        <v>0.97032496830939752</v>
      </c>
      <c r="U604" s="6">
        <f t="shared" ca="1" si="204"/>
        <v>0.99299194321982964</v>
      </c>
      <c r="V604">
        <f t="shared" ca="1" si="205"/>
        <v>1.3234434831124862</v>
      </c>
      <c r="X604" t="b">
        <f t="shared" ca="1" si="206"/>
        <v>1</v>
      </c>
      <c r="BJ604" t="b">
        <f t="shared" si="187"/>
        <v>1</v>
      </c>
      <c r="BK604" t="b">
        <f t="shared" ca="1" si="188"/>
        <v>1</v>
      </c>
    </row>
    <row r="605" spans="1:63" x14ac:dyDescent="0.45">
      <c r="A605" s="1">
        <v>44361</v>
      </c>
      <c r="B605">
        <v>205.89699999999999</v>
      </c>
      <c r="C605" s="1">
        <v>44361</v>
      </c>
      <c r="D605">
        <v>425.26</v>
      </c>
      <c r="E605">
        <f t="shared" si="189"/>
        <v>1.2789170523913262E-2</v>
      </c>
      <c r="F605" s="4">
        <f t="shared" si="190"/>
        <v>2.2389290848671695E-3</v>
      </c>
      <c r="G605">
        <f t="shared" ca="1" si="191"/>
        <v>2.79749721319832E-3</v>
      </c>
      <c r="H605">
        <f t="shared" ca="1" si="192"/>
        <v>4.459812744915008E-2</v>
      </c>
      <c r="I605">
        <f t="shared" ca="1" si="193"/>
        <v>2.4797328685927291E-2</v>
      </c>
      <c r="J605">
        <f t="shared" ca="1" si="194"/>
        <v>3.7308143367045945</v>
      </c>
      <c r="K605">
        <f t="shared" ca="1" si="195"/>
        <v>1.1065981767588882</v>
      </c>
      <c r="L605">
        <f t="shared" ca="1" si="196"/>
        <v>1.2972483895415314</v>
      </c>
      <c r="M605">
        <f t="shared" ca="1" si="197"/>
        <v>1.0595294600545286E-3</v>
      </c>
      <c r="N605">
        <f t="shared" ca="1" si="198"/>
        <v>1.0044128494302827E-2</v>
      </c>
      <c r="O605">
        <f t="shared" ca="1" si="199"/>
        <v>-0.60629634602348725</v>
      </c>
      <c r="P605">
        <f t="shared" ca="1" si="200"/>
        <v>1.0999076237293837</v>
      </c>
      <c r="Q605">
        <f t="shared" ca="1" si="201"/>
        <v>1.0411443703991634</v>
      </c>
      <c r="R605">
        <f t="shared" ca="1" si="202"/>
        <v>1.779455935253943</v>
      </c>
      <c r="T605">
        <f t="shared" si="203"/>
        <v>1.0127891705239134</v>
      </c>
      <c r="U605" s="6">
        <f t="shared" ca="1" si="204"/>
        <v>1.020757523176838</v>
      </c>
      <c r="V605">
        <f t="shared" ca="1" si="205"/>
        <v>1.3356849460362765</v>
      </c>
      <c r="X605" t="b">
        <f t="shared" ca="1" si="206"/>
        <v>0</v>
      </c>
      <c r="BJ605" t="b">
        <f t="shared" si="187"/>
        <v>1</v>
      </c>
      <c r="BK605" t="b">
        <f t="shared" ca="1" si="188"/>
        <v>0</v>
      </c>
    </row>
    <row r="606" spans="1:63" x14ac:dyDescent="0.45">
      <c r="A606" s="1">
        <v>44358</v>
      </c>
      <c r="B606">
        <v>203.297</v>
      </c>
      <c r="C606" s="1">
        <v>44358</v>
      </c>
      <c r="D606">
        <v>424.31</v>
      </c>
      <c r="E606">
        <f t="shared" si="189"/>
        <v>-3.7369759014221855E-4</v>
      </c>
      <c r="F606" s="4">
        <f t="shared" si="190"/>
        <v>1.6524633507235161E-3</v>
      </c>
      <c r="G606">
        <f t="shared" ca="1" si="191"/>
        <v>3.0544077684400294E-3</v>
      </c>
      <c r="H606">
        <f t="shared" ca="1" si="192"/>
        <v>4.4803496626740165E-2</v>
      </c>
      <c r="I606">
        <f t="shared" ca="1" si="193"/>
        <v>2.0072574410819128E-2</v>
      </c>
      <c r="J606">
        <f t="shared" ca="1" si="194"/>
        <v>3.6249667490279203</v>
      </c>
      <c r="K606">
        <f t="shared" ca="1" si="195"/>
        <v>1.1065981767588882</v>
      </c>
      <c r="L606">
        <f t="shared" ca="1" si="196"/>
        <v>1.3387278209369282</v>
      </c>
      <c r="M606">
        <f t="shared" ca="1" si="197"/>
        <v>1.0984626770037835E-3</v>
      </c>
      <c r="N606">
        <f t="shared" ca="1" si="198"/>
        <v>1.0063795179505482E-2</v>
      </c>
      <c r="O606">
        <f t="shared" ca="1" si="199"/>
        <v>-0.61089073917668857</v>
      </c>
      <c r="P606">
        <f t="shared" ca="1" si="200"/>
        <v>1.0804111362281947</v>
      </c>
      <c r="Q606">
        <f t="shared" ca="1" si="201"/>
        <v>1.0411443703991634</v>
      </c>
      <c r="R606">
        <f t="shared" ca="1" si="202"/>
        <v>1.8343143033649143</v>
      </c>
      <c r="T606">
        <f t="shared" si="203"/>
        <v>0.99962630240985784</v>
      </c>
      <c r="U606" s="6">
        <f t="shared" ca="1" si="204"/>
        <v>1.0180986864179726</v>
      </c>
      <c r="V606">
        <f t="shared" ca="1" si="205"/>
        <v>1.3415315888997195</v>
      </c>
      <c r="X606" t="b">
        <f t="shared" ca="1" si="206"/>
        <v>0</v>
      </c>
      <c r="BJ606" t="b">
        <f t="shared" si="187"/>
        <v>1</v>
      </c>
      <c r="BK606" t="b">
        <f t="shared" ca="1" si="188"/>
        <v>0</v>
      </c>
    </row>
    <row r="607" spans="1:63" x14ac:dyDescent="0.45">
      <c r="A607" s="1">
        <v>44357</v>
      </c>
      <c r="B607">
        <v>203.37299999999999</v>
      </c>
      <c r="C607" s="1">
        <v>44357</v>
      </c>
      <c r="D607">
        <v>423.61</v>
      </c>
      <c r="E607">
        <f t="shared" si="189"/>
        <v>1.8938539928755022E-2</v>
      </c>
      <c r="F607" s="4">
        <f t="shared" si="190"/>
        <v>4.6484050752995058E-3</v>
      </c>
      <c r="G607">
        <f t="shared" ca="1" si="191"/>
        <v>3.0789527532629484E-3</v>
      </c>
      <c r="H607">
        <f t="shared" ca="1" si="192"/>
        <v>4.4802953808806979E-2</v>
      </c>
      <c r="I607">
        <f t="shared" ca="1" si="193"/>
        <v>1.8415630624600294E-2</v>
      </c>
      <c r="J607">
        <f t="shared" ca="1" si="194"/>
        <v>3.6252468342366111</v>
      </c>
      <c r="K607">
        <f t="shared" ca="1" si="195"/>
        <v>1.1065981767588882</v>
      </c>
      <c r="L607">
        <f t="shared" ca="1" si="196"/>
        <v>1.3387278209369282</v>
      </c>
      <c r="M607">
        <f t="shared" ca="1" si="197"/>
        <v>1.107697152504919E-3</v>
      </c>
      <c r="N607">
        <f t="shared" ca="1" si="198"/>
        <v>1.0065153339618294E-2</v>
      </c>
      <c r="O607">
        <f t="shared" ca="1" si="199"/>
        <v>-0.6133556443541085</v>
      </c>
      <c r="P607">
        <f t="shared" ca="1" si="200"/>
        <v>1.0804926556988006</v>
      </c>
      <c r="Q607">
        <f t="shared" ca="1" si="201"/>
        <v>1.0411443703991634</v>
      </c>
      <c r="R607">
        <f t="shared" ca="1" si="202"/>
        <v>1.8343143033649143</v>
      </c>
      <c r="T607">
        <f t="shared" si="203"/>
        <v>1.0189385399287549</v>
      </c>
      <c r="U607" s="6">
        <f t="shared" ca="1" si="204"/>
        <v>1.0650756492639319</v>
      </c>
      <c r="V607">
        <f t="shared" ca="1" si="205"/>
        <v>1.318076470843931</v>
      </c>
      <c r="X607" t="b">
        <f t="shared" ca="1" si="206"/>
        <v>0</v>
      </c>
      <c r="BJ607" t="b">
        <f t="shared" si="187"/>
        <v>1</v>
      </c>
      <c r="BK607" t="b">
        <f t="shared" ca="1" si="188"/>
        <v>0</v>
      </c>
    </row>
    <row r="608" spans="1:63" x14ac:dyDescent="0.45">
      <c r="A608" s="1">
        <v>44356</v>
      </c>
      <c r="B608">
        <v>199.59299999999999</v>
      </c>
      <c r="C608" s="1">
        <v>44356</v>
      </c>
      <c r="D608">
        <v>421.65</v>
      </c>
      <c r="E608">
        <f t="shared" si="189"/>
        <v>-7.9722858690736611E-3</v>
      </c>
      <c r="F608" s="4">
        <f t="shared" si="190"/>
        <v>-1.491901108269384E-3</v>
      </c>
      <c r="G608">
        <f t="shared" ca="1" si="191"/>
        <v>2.8970028919464725E-3</v>
      </c>
      <c r="H608">
        <f t="shared" ca="1" si="192"/>
        <v>4.4812113535539481E-2</v>
      </c>
      <c r="I608">
        <f t="shared" ca="1" si="193"/>
        <v>2.9995177515380146E-2</v>
      </c>
      <c r="J608">
        <f t="shared" ca="1" si="194"/>
        <v>3.620336228917493</v>
      </c>
      <c r="K608">
        <f t="shared" ca="1" si="195"/>
        <v>1.1065981767588882</v>
      </c>
      <c r="L608">
        <f t="shared" ca="1" si="196"/>
        <v>1.3387278209369282</v>
      </c>
      <c r="M608">
        <f t="shared" ca="1" si="197"/>
        <v>1.1351208511769662E-3</v>
      </c>
      <c r="N608">
        <f t="shared" ca="1" si="198"/>
        <v>1.0082306188891261E-2</v>
      </c>
      <c r="O608">
        <f t="shared" ca="1" si="199"/>
        <v>-0.61505157589894577</v>
      </c>
      <c r="P608">
        <f t="shared" ca="1" si="200"/>
        <v>1.0625132599464564</v>
      </c>
      <c r="Q608">
        <f t="shared" ca="1" si="201"/>
        <v>1.0411443703991634</v>
      </c>
      <c r="R608">
        <f t="shared" ca="1" si="202"/>
        <v>1.8575507559136801</v>
      </c>
      <c r="T608">
        <f t="shared" si="203"/>
        <v>0.99202771413092639</v>
      </c>
      <c r="U608" s="6">
        <f t="shared" ca="1" si="204"/>
        <v>0.98951945148160481</v>
      </c>
      <c r="V608">
        <f t="shared" ca="1" si="205"/>
        <v>1.3041360482975142</v>
      </c>
      <c r="X608" t="b">
        <f t="shared" ca="1" si="206"/>
        <v>1</v>
      </c>
      <c r="BJ608" t="b">
        <f t="shared" si="187"/>
        <v>1</v>
      </c>
      <c r="BK608" t="b">
        <f t="shared" ca="1" si="188"/>
        <v>1</v>
      </c>
    </row>
    <row r="609" spans="1:63" x14ac:dyDescent="0.45">
      <c r="A609" s="1">
        <v>44355</v>
      </c>
      <c r="B609">
        <v>201.197</v>
      </c>
      <c r="C609" s="1">
        <v>44355</v>
      </c>
      <c r="D609">
        <v>422.28</v>
      </c>
      <c r="E609">
        <f t="shared" si="189"/>
        <v>-2.5432551683109671E-3</v>
      </c>
      <c r="F609" s="4">
        <f t="shared" si="190"/>
        <v>2.1317416329134985E-4</v>
      </c>
      <c r="G609">
        <f t="shared" ca="1" si="191"/>
        <v>3.0571295792439584E-3</v>
      </c>
      <c r="H609">
        <f t="shared" ca="1" si="192"/>
        <v>4.483029346570689E-2</v>
      </c>
      <c r="I609">
        <f t="shared" ca="1" si="193"/>
        <v>1.9740695496119676E-2</v>
      </c>
      <c r="J609">
        <f t="shared" ca="1" si="194"/>
        <v>3.609401952989943</v>
      </c>
      <c r="K609">
        <f t="shared" ca="1" si="195"/>
        <v>1.1065981767588882</v>
      </c>
      <c r="L609">
        <f t="shared" ca="1" si="196"/>
        <v>1.3387278209369282</v>
      </c>
      <c r="M609">
        <f t="shared" ca="1" si="197"/>
        <v>1.1603171428126733E-3</v>
      </c>
      <c r="N609">
        <f t="shared" ca="1" si="198"/>
        <v>1.0082004812924875E-2</v>
      </c>
      <c r="O609">
        <f t="shared" ca="1" si="199"/>
        <v>-0.62252056573890724</v>
      </c>
      <c r="P609">
        <f t="shared" ca="1" si="200"/>
        <v>1.0693083938443957</v>
      </c>
      <c r="Q609">
        <f t="shared" ca="1" si="201"/>
        <v>1.0411443703991634</v>
      </c>
      <c r="R609">
        <f t="shared" ca="1" si="202"/>
        <v>1.8575507559136801</v>
      </c>
      <c r="T609">
        <f t="shared" si="203"/>
        <v>0.997456744831689</v>
      </c>
      <c r="U609" s="6">
        <f t="shared" ca="1" si="204"/>
        <v>0.96744675837993543</v>
      </c>
      <c r="V609">
        <f t="shared" ca="1" si="205"/>
        <v>1.2914890657620579</v>
      </c>
      <c r="X609" t="b">
        <f t="shared" ca="1" si="206"/>
        <v>1</v>
      </c>
      <c r="BJ609" t="b">
        <f t="shared" si="187"/>
        <v>1</v>
      </c>
      <c r="BK609" t="b">
        <f t="shared" ca="1" si="188"/>
        <v>1</v>
      </c>
    </row>
    <row r="610" spans="1:63" x14ac:dyDescent="0.45">
      <c r="A610" s="1">
        <v>44354</v>
      </c>
      <c r="B610">
        <v>201.71</v>
      </c>
      <c r="C610" s="1">
        <v>44354</v>
      </c>
      <c r="D610">
        <v>422.19</v>
      </c>
      <c r="E610">
        <f t="shared" si="189"/>
        <v>1.0151089476820838E-2</v>
      </c>
      <c r="F610" s="4">
        <f t="shared" si="190"/>
        <v>-9.7018457169906528E-4</v>
      </c>
      <c r="G610">
        <f t="shared" ca="1" si="191"/>
        <v>3.3980288710155648E-3</v>
      </c>
      <c r="H610">
        <f t="shared" ca="1" si="192"/>
        <v>4.5046200235417277E-2</v>
      </c>
      <c r="I610">
        <f t="shared" ca="1" si="193"/>
        <v>1.014409045104232E-2</v>
      </c>
      <c r="J610">
        <f t="shared" ca="1" si="194"/>
        <v>3.501344850832055</v>
      </c>
      <c r="K610">
        <f t="shared" ca="1" si="195"/>
        <v>1.1065981767588882</v>
      </c>
      <c r="L610">
        <f t="shared" ca="1" si="196"/>
        <v>1.418513363154885</v>
      </c>
      <c r="M610">
        <f t="shared" ca="1" si="197"/>
        <v>1.1748192819597426E-3</v>
      </c>
      <c r="N610">
        <f t="shared" ca="1" si="198"/>
        <v>1.0082721567663277E-2</v>
      </c>
      <c r="O610">
        <f t="shared" ca="1" si="199"/>
        <v>-0.62670523953694313</v>
      </c>
      <c r="P610">
        <f t="shared" ca="1" si="200"/>
        <v>1.0718113088985994</v>
      </c>
      <c r="Q610">
        <f t="shared" ca="1" si="201"/>
        <v>1.0411443703991634</v>
      </c>
      <c r="R610">
        <f t="shared" ca="1" si="202"/>
        <v>1.8575507559136801</v>
      </c>
      <c r="T610">
        <f t="shared" si="203"/>
        <v>1.0101510894768209</v>
      </c>
      <c r="U610" s="6">
        <f t="shared" ca="1" si="204"/>
        <v>0.96786576266632141</v>
      </c>
      <c r="V610">
        <f t="shared" ca="1" si="205"/>
        <v>1.3012221462372486</v>
      </c>
      <c r="X610" t="b">
        <f t="shared" ca="1" si="206"/>
        <v>1</v>
      </c>
      <c r="BJ610" t="b">
        <f t="shared" si="187"/>
        <v>1</v>
      </c>
      <c r="BK610" t="b">
        <f t="shared" ca="1" si="188"/>
        <v>1</v>
      </c>
    </row>
    <row r="611" spans="1:63" x14ac:dyDescent="0.45">
      <c r="A611" s="1">
        <v>44351</v>
      </c>
      <c r="B611">
        <v>199.68299999999999</v>
      </c>
      <c r="C611" s="1">
        <v>44351</v>
      </c>
      <c r="D611">
        <v>422.6</v>
      </c>
      <c r="E611">
        <f t="shared" si="189"/>
        <v>4.5750915175415116E-2</v>
      </c>
      <c r="F611" s="4">
        <f t="shared" si="190"/>
        <v>9.1458318408674001E-3</v>
      </c>
      <c r="G611">
        <f t="shared" ca="1" si="191"/>
        <v>3.3245797524234099E-3</v>
      </c>
      <c r="H611">
        <f t="shared" ca="1" si="192"/>
        <v>4.5047109924685226E-2</v>
      </c>
      <c r="I611">
        <f t="shared" ca="1" si="193"/>
        <v>1.5039514292026436E-2</v>
      </c>
      <c r="J611">
        <f t="shared" ca="1" si="194"/>
        <v>3.5009020277297953</v>
      </c>
      <c r="K611">
        <f t="shared" ca="1" si="195"/>
        <v>1.1065981767588882</v>
      </c>
      <c r="L611">
        <f t="shared" ca="1" si="196"/>
        <v>1.418513363154885</v>
      </c>
      <c r="M611">
        <f t="shared" ca="1" si="197"/>
        <v>1.1588516364270263E-3</v>
      </c>
      <c r="N611">
        <f t="shared" ca="1" si="198"/>
        <v>1.0088662592333424E-2</v>
      </c>
      <c r="O611">
        <f t="shared" ca="1" si="199"/>
        <v>-0.62150588186665912</v>
      </c>
      <c r="P611">
        <f t="shared" ca="1" si="200"/>
        <v>1.0584862150199319</v>
      </c>
      <c r="Q611">
        <f t="shared" ca="1" si="201"/>
        <v>1.0411443703991634</v>
      </c>
      <c r="R611">
        <f t="shared" ca="1" si="202"/>
        <v>1.8575507559136801</v>
      </c>
      <c r="T611">
        <f t="shared" si="203"/>
        <v>1.0457509151754152</v>
      </c>
      <c r="U611" s="6">
        <f t="shared" ca="1" si="204"/>
        <v>0.94959174065426133</v>
      </c>
      <c r="V611">
        <f t="shared" ca="1" si="205"/>
        <v>1.275323093691846</v>
      </c>
      <c r="X611" t="b">
        <f t="shared" ca="1" si="206"/>
        <v>1</v>
      </c>
      <c r="BJ611" t="b">
        <f t="shared" si="187"/>
        <v>1</v>
      </c>
      <c r="BK611" t="b">
        <f t="shared" ca="1" si="188"/>
        <v>1</v>
      </c>
    </row>
    <row r="612" spans="1:63" x14ac:dyDescent="0.45">
      <c r="A612" s="1">
        <v>44350</v>
      </c>
      <c r="B612">
        <v>190.947</v>
      </c>
      <c r="C612" s="1">
        <v>44350</v>
      </c>
      <c r="D612">
        <v>418.77</v>
      </c>
      <c r="E612">
        <f t="shared" si="189"/>
        <v>-5.3344702960234358E-2</v>
      </c>
      <c r="F612" s="4">
        <f t="shared" si="190"/>
        <v>-3.7113696381414658E-3</v>
      </c>
      <c r="G612">
        <f t="shared" ca="1" si="191"/>
        <v>3.2359670344269662E-3</v>
      </c>
      <c r="H612">
        <f t="shared" ca="1" si="192"/>
        <v>4.4980615219032814E-2</v>
      </c>
      <c r="I612">
        <f t="shared" ca="1" si="193"/>
        <v>1.7657604439031069E-2</v>
      </c>
      <c r="J612">
        <f t="shared" ca="1" si="194"/>
        <v>3.536189726848483</v>
      </c>
      <c r="K612">
        <f t="shared" ca="1" si="195"/>
        <v>1.1065981767588882</v>
      </c>
      <c r="L612">
        <f t="shared" ca="1" si="196"/>
        <v>1.3387278209369282</v>
      </c>
      <c r="M612">
        <f t="shared" ca="1" si="197"/>
        <v>1.1239241699811154E-3</v>
      </c>
      <c r="N612">
        <f t="shared" ca="1" si="198"/>
        <v>1.0072952141753303E-2</v>
      </c>
      <c r="O612">
        <f t="shared" ca="1" si="199"/>
        <v>-0.61643638897982256</v>
      </c>
      <c r="P612">
        <f t="shared" ca="1" si="200"/>
        <v>1.0733068009954234</v>
      </c>
      <c r="Q612">
        <f t="shared" ca="1" si="201"/>
        <v>1.0411443703991634</v>
      </c>
      <c r="R612">
        <f t="shared" ca="1" si="202"/>
        <v>1.8343143033649143</v>
      </c>
      <c r="T612">
        <f t="shared" si="203"/>
        <v>0.9466552970397657</v>
      </c>
      <c r="U612" s="6">
        <f t="shared" ca="1" si="204"/>
        <v>0.92523391657016052</v>
      </c>
      <c r="V612">
        <f t="shared" ca="1" si="205"/>
        <v>1.282075179493368</v>
      </c>
      <c r="X612" t="b">
        <f t="shared" ca="1" si="206"/>
        <v>1</v>
      </c>
      <c r="BJ612" t="b">
        <f t="shared" si="187"/>
        <v>1</v>
      </c>
      <c r="BK612" t="b">
        <f t="shared" ca="1" si="188"/>
        <v>1</v>
      </c>
    </row>
    <row r="613" spans="1:63" x14ac:dyDescent="0.45">
      <c r="A613" s="1">
        <v>44349</v>
      </c>
      <c r="B613">
        <v>201.70699999999999</v>
      </c>
      <c r="C613" s="1">
        <v>44349</v>
      </c>
      <c r="D613">
        <v>420.33</v>
      </c>
      <c r="E613">
        <f t="shared" si="189"/>
        <v>-3.0100929474387854E-2</v>
      </c>
      <c r="F613" s="4">
        <f t="shared" si="190"/>
        <v>1.5726642361854986E-3</v>
      </c>
      <c r="G613">
        <f t="shared" ca="1" si="191"/>
        <v>4.0628602948822668E-3</v>
      </c>
      <c r="H613">
        <f t="shared" ca="1" si="192"/>
        <v>4.545287313391469E-2</v>
      </c>
      <c r="I613">
        <f t="shared" ca="1" si="193"/>
        <v>4.1382646007270936E-2</v>
      </c>
      <c r="J613">
        <f t="shared" ca="1" si="194"/>
        <v>3.4193332755573023</v>
      </c>
      <c r="K613">
        <f t="shared" ca="1" si="195"/>
        <v>1.1192916654030676</v>
      </c>
      <c r="L613">
        <f t="shared" ca="1" si="196"/>
        <v>1.4617690291683081</v>
      </c>
      <c r="M613">
        <f t="shared" ca="1" si="197"/>
        <v>1.1583639299400223E-3</v>
      </c>
      <c r="N613">
        <f t="shared" ca="1" si="198"/>
        <v>1.0068110940755139E-2</v>
      </c>
      <c r="O613">
        <f t="shared" ca="1" si="199"/>
        <v>-0.62708650387892095</v>
      </c>
      <c r="P613">
        <f t="shared" ca="1" si="200"/>
        <v>1.0896505931242748</v>
      </c>
      <c r="Q613">
        <f t="shared" ca="1" si="201"/>
        <v>1.0411443703991634</v>
      </c>
      <c r="R613">
        <f t="shared" ca="1" si="202"/>
        <v>1.8343143033649143</v>
      </c>
      <c r="T613">
        <f t="shared" si="203"/>
        <v>0.96989907052561219</v>
      </c>
      <c r="U613" s="6">
        <f t="shared" ca="1" si="204"/>
        <v>1.0007144168324544</v>
      </c>
      <c r="V613">
        <f t="shared" ca="1" si="205"/>
        <v>1.2818376174652322</v>
      </c>
      <c r="X613" t="b">
        <f t="shared" ca="1" si="206"/>
        <v>0</v>
      </c>
      <c r="BJ613" t="b">
        <f t="shared" si="187"/>
        <v>1</v>
      </c>
      <c r="BK613" t="b">
        <f t="shared" ca="1" si="188"/>
        <v>0</v>
      </c>
    </row>
    <row r="614" spans="1:63" x14ac:dyDescent="0.45">
      <c r="A614" s="1">
        <v>44348</v>
      </c>
      <c r="B614">
        <v>207.96700000000001</v>
      </c>
      <c r="C614" s="1">
        <v>44348</v>
      </c>
      <c r="D614">
        <v>419.67</v>
      </c>
      <c r="E614">
        <f t="shared" si="189"/>
        <v>-2.1112534607762583E-3</v>
      </c>
      <c r="F614" s="4">
        <f t="shared" si="190"/>
        <v>-8.8086848871537127E-4</v>
      </c>
      <c r="G614">
        <f t="shared" ca="1" si="191"/>
        <v>4.3049747768938275E-3</v>
      </c>
      <c r="H614">
        <f t="shared" ca="1" si="192"/>
        <v>4.5398913345390597E-2</v>
      </c>
      <c r="I614">
        <f t="shared" ca="1" si="193"/>
        <v>2.7689838079633086E-2</v>
      </c>
      <c r="J614">
        <f t="shared" ca="1" si="194"/>
        <v>3.4477360173498397</v>
      </c>
      <c r="K614">
        <f t="shared" ca="1" si="195"/>
        <v>1.1192916654030676</v>
      </c>
      <c r="L614">
        <f t="shared" ca="1" si="196"/>
        <v>1.4796924123682997</v>
      </c>
      <c r="M614">
        <f t="shared" ca="1" si="197"/>
        <v>1.1506490515937589E-3</v>
      </c>
      <c r="N614">
        <f t="shared" ca="1" si="198"/>
        <v>1.0068383043400183E-2</v>
      </c>
      <c r="O614">
        <f t="shared" ca="1" si="199"/>
        <v>-0.62472120347805349</v>
      </c>
      <c r="P614">
        <f t="shared" ca="1" si="200"/>
        <v>1.087247093965833</v>
      </c>
      <c r="Q614">
        <f t="shared" ca="1" si="201"/>
        <v>1.0411443703991634</v>
      </c>
      <c r="R614">
        <f t="shared" ca="1" si="202"/>
        <v>1.8343143033649143</v>
      </c>
      <c r="T614">
        <f t="shared" si="203"/>
        <v>0.99788874653922377</v>
      </c>
      <c r="U614" s="6">
        <f t="shared" ca="1" si="204"/>
        <v>1.0287909293731792</v>
      </c>
      <c r="V614">
        <f t="shared" ca="1" si="205"/>
        <v>1.2818079562885374</v>
      </c>
      <c r="X614" t="b">
        <f t="shared" ca="1" si="206"/>
        <v>0</v>
      </c>
      <c r="BJ614" t="b">
        <f t="shared" si="187"/>
        <v>1</v>
      </c>
      <c r="BK614" t="b">
        <f t="shared" ca="1" si="188"/>
        <v>0</v>
      </c>
    </row>
    <row r="615" spans="1:63" x14ac:dyDescent="0.45">
      <c r="A615" s="1">
        <v>44344</v>
      </c>
      <c r="B615">
        <v>208.40700000000001</v>
      </c>
      <c r="C615" s="1">
        <v>44344</v>
      </c>
      <c r="D615">
        <v>420.04</v>
      </c>
      <c r="E615">
        <f t="shared" si="189"/>
        <v>-8.9213108049627232E-3</v>
      </c>
      <c r="F615" s="4">
        <f t="shared" si="190"/>
        <v>1.7887381048916024E-3</v>
      </c>
      <c r="G615">
        <f t="shared" ca="1" si="191"/>
        <v>4.5285535910134659E-3</v>
      </c>
      <c r="H615">
        <f t="shared" ca="1" si="192"/>
        <v>4.5477195904671162E-2</v>
      </c>
      <c r="I615">
        <f t="shared" ca="1" si="193"/>
        <v>1.5695269828060333E-2</v>
      </c>
      <c r="J615">
        <f t="shared" ca="1" si="194"/>
        <v>3.4052795461254588</v>
      </c>
      <c r="K615">
        <f t="shared" ca="1" si="195"/>
        <v>1.1192916654030676</v>
      </c>
      <c r="L615">
        <f t="shared" ca="1" si="196"/>
        <v>1.5351500240611566</v>
      </c>
      <c r="M615">
        <f t="shared" ca="1" si="197"/>
        <v>1.1460147501302709E-3</v>
      </c>
      <c r="N615">
        <f t="shared" ca="1" si="198"/>
        <v>1.006953605722753E-2</v>
      </c>
      <c r="O615">
        <f t="shared" ca="1" si="199"/>
        <v>-0.62319902833091112</v>
      </c>
      <c r="P615">
        <f t="shared" ca="1" si="200"/>
        <v>1.0842125568873007</v>
      </c>
      <c r="Q615">
        <f t="shared" ca="1" si="201"/>
        <v>1.0411443703991634</v>
      </c>
      <c r="R615">
        <f t="shared" ca="1" si="202"/>
        <v>1.8343143033649143</v>
      </c>
      <c r="T615">
        <f t="shared" si="203"/>
        <v>0.99107868919503728</v>
      </c>
      <c r="U615" s="6">
        <f t="shared" ca="1" si="204"/>
        <v>1.0763323296854261</v>
      </c>
      <c r="V615">
        <f t="shared" ca="1" si="205"/>
        <v>1.2829153149216803</v>
      </c>
      <c r="X615" t="b">
        <f t="shared" ca="1" si="206"/>
        <v>0</v>
      </c>
      <c r="BJ615" t="b">
        <f t="shared" si="187"/>
        <v>1</v>
      </c>
      <c r="BK615" t="b">
        <f t="shared" ca="1" si="188"/>
        <v>0</v>
      </c>
    </row>
    <row r="616" spans="1:63" x14ac:dyDescent="0.45">
      <c r="A616" s="1">
        <v>44343</v>
      </c>
      <c r="B616">
        <v>210.28299999999999</v>
      </c>
      <c r="C616" s="1">
        <v>44343</v>
      </c>
      <c r="D616">
        <v>419.29</v>
      </c>
      <c r="E616">
        <f t="shared" si="189"/>
        <v>1.8926527665388961E-2</v>
      </c>
      <c r="F616" s="4">
        <f t="shared" si="190"/>
        <v>5.2497196172483665E-4</v>
      </c>
      <c r="G616">
        <f t="shared" ca="1" si="191"/>
        <v>5.2293603502202137E-3</v>
      </c>
      <c r="H616">
        <f t="shared" ca="1" si="192"/>
        <v>4.6340642282220457E-2</v>
      </c>
      <c r="I616">
        <f t="shared" ca="1" si="193"/>
        <v>7.289809820591929E-2</v>
      </c>
      <c r="J616">
        <f t="shared" ca="1" si="194"/>
        <v>3.2213081549136335</v>
      </c>
      <c r="K616">
        <f t="shared" ca="1" si="195"/>
        <v>1.216988089082734</v>
      </c>
      <c r="L616">
        <f t="shared" ca="1" si="196"/>
        <v>1.5634792963471464</v>
      </c>
      <c r="M616">
        <f t="shared" ca="1" si="197"/>
        <v>1.2067825980673508E-3</v>
      </c>
      <c r="N616">
        <f t="shared" ca="1" si="198"/>
        <v>1.0110025174962307E-2</v>
      </c>
      <c r="O616">
        <f t="shared" ca="1" si="199"/>
        <v>-0.62366496069551003</v>
      </c>
      <c r="P616">
        <f t="shared" ca="1" si="200"/>
        <v>1.0468161041659281</v>
      </c>
      <c r="Q616">
        <f t="shared" ca="1" si="201"/>
        <v>1.0411443703991634</v>
      </c>
      <c r="R616">
        <f t="shared" ca="1" si="202"/>
        <v>1.8575507559136801</v>
      </c>
      <c r="T616">
        <f t="shared" si="203"/>
        <v>1.0189265276653889</v>
      </c>
      <c r="U616" s="6">
        <f t="shared" ca="1" si="204"/>
        <v>1.0751049372932568</v>
      </c>
      <c r="V616">
        <f t="shared" ca="1" si="205"/>
        <v>1.2734633806695888</v>
      </c>
      <c r="X616" t="b">
        <f t="shared" ca="1" si="206"/>
        <v>0</v>
      </c>
      <c r="BJ616" t="b">
        <f t="shared" si="187"/>
        <v>1</v>
      </c>
      <c r="BK616" t="b">
        <f t="shared" ca="1" si="188"/>
        <v>0</v>
      </c>
    </row>
    <row r="617" spans="1:63" x14ac:dyDescent="0.45">
      <c r="A617" s="1">
        <v>44342</v>
      </c>
      <c r="B617">
        <v>206.37700000000001</v>
      </c>
      <c r="C617" s="1">
        <v>44342</v>
      </c>
      <c r="D617">
        <v>419.07</v>
      </c>
      <c r="E617">
        <f t="shared" si="189"/>
        <v>2.388335160718992E-2</v>
      </c>
      <c r="F617" s="4">
        <f t="shared" si="190"/>
        <v>1.984506503442961E-3</v>
      </c>
      <c r="G617">
        <f t="shared" ca="1" si="191"/>
        <v>4.9790092222457751E-3</v>
      </c>
      <c r="H617">
        <f t="shared" ca="1" si="192"/>
        <v>4.6401482720706211E-2</v>
      </c>
      <c r="I617">
        <f t="shared" ca="1" si="193"/>
        <v>8.6385931354492976E-2</v>
      </c>
      <c r="J617">
        <f t="shared" ca="1" si="194"/>
        <v>3.1921420923879129</v>
      </c>
      <c r="K617">
        <f t="shared" ca="1" si="195"/>
        <v>1.216988089082734</v>
      </c>
      <c r="L617">
        <f t="shared" ca="1" si="196"/>
        <v>1.5445410100388239</v>
      </c>
      <c r="M617">
        <f t="shared" ca="1" si="197"/>
        <v>1.1628846804764459E-3</v>
      </c>
      <c r="N617">
        <f t="shared" ca="1" si="198"/>
        <v>1.0132037081016012E-2</v>
      </c>
      <c r="O617">
        <f t="shared" ca="1" si="199"/>
        <v>-0.61061156573528819</v>
      </c>
      <c r="P617">
        <f t="shared" ca="1" si="200"/>
        <v>1.0043920769862771</v>
      </c>
      <c r="Q617">
        <f t="shared" ca="1" si="201"/>
        <v>1.0411443703991634</v>
      </c>
      <c r="R617">
        <f t="shared" ca="1" si="202"/>
        <v>1.7986107179748205</v>
      </c>
      <c r="T617">
        <f t="shared" si="203"/>
        <v>1.0238833516071899</v>
      </c>
      <c r="U617" s="6">
        <f t="shared" ca="1" si="204"/>
        <v>1.0988020445107016</v>
      </c>
      <c r="V617">
        <f t="shared" ca="1" si="205"/>
        <v>1.2639148701956193</v>
      </c>
      <c r="X617" t="b">
        <f t="shared" ca="1" si="206"/>
        <v>0</v>
      </c>
      <c r="BJ617" t="b">
        <f t="shared" si="187"/>
        <v>1</v>
      </c>
      <c r="BK617" t="b">
        <f t="shared" ca="1" si="188"/>
        <v>0</v>
      </c>
    </row>
    <row r="618" spans="1:63" x14ac:dyDescent="0.45">
      <c r="A618" s="1">
        <v>44341</v>
      </c>
      <c r="B618">
        <v>201.56299999999999</v>
      </c>
      <c r="C618" s="1">
        <v>44341</v>
      </c>
      <c r="D618">
        <v>418.24</v>
      </c>
      <c r="E618">
        <f t="shared" si="189"/>
        <v>-2.8889867274805125E-3</v>
      </c>
      <c r="F618" s="4">
        <f t="shared" si="190"/>
        <v>-2.2186702292626066E-3</v>
      </c>
      <c r="G618">
        <f t="shared" ca="1" si="191"/>
        <v>4.7420878977428201E-3</v>
      </c>
      <c r="H618">
        <f t="shared" ca="1" si="192"/>
        <v>4.6425437470439104E-2</v>
      </c>
      <c r="I618">
        <f t="shared" ca="1" si="193"/>
        <v>0.10020232530189424</v>
      </c>
      <c r="J618">
        <f t="shared" ca="1" si="194"/>
        <v>3.1817944292132729</v>
      </c>
      <c r="K618">
        <f t="shared" ca="1" si="195"/>
        <v>1.216988089082734</v>
      </c>
      <c r="L618">
        <f t="shared" ca="1" si="196"/>
        <v>1.4988360123674156</v>
      </c>
      <c r="M618">
        <f t="shared" ca="1" si="197"/>
        <v>1.1679067036575901E-3</v>
      </c>
      <c r="N618">
        <f t="shared" ca="1" si="198"/>
        <v>1.0132695269843919E-2</v>
      </c>
      <c r="O618">
        <f t="shared" ca="1" si="199"/>
        <v>-0.61196747819150654</v>
      </c>
      <c r="P618">
        <f t="shared" ca="1" si="200"/>
        <v>1.0045814174914343</v>
      </c>
      <c r="Q618">
        <f t="shared" ca="1" si="201"/>
        <v>1.0411443703991634</v>
      </c>
      <c r="R618">
        <f t="shared" ca="1" si="202"/>
        <v>1.7986107179748205</v>
      </c>
      <c r="T618">
        <f t="shared" si="203"/>
        <v>0.9971110132725195</v>
      </c>
      <c r="U618" s="6">
        <f t="shared" ca="1" si="204"/>
        <v>1.0464119030437695</v>
      </c>
      <c r="V618">
        <f t="shared" ca="1" si="205"/>
        <v>1.263984755571836</v>
      </c>
      <c r="X618" t="b">
        <f t="shared" ca="1" si="206"/>
        <v>0</v>
      </c>
      <c r="BJ618" t="b">
        <f t="shared" si="187"/>
        <v>1</v>
      </c>
      <c r="BK618" t="b">
        <f t="shared" ca="1" si="188"/>
        <v>0</v>
      </c>
    </row>
    <row r="619" spans="1:63" x14ac:dyDescent="0.45">
      <c r="A619" s="1">
        <v>44340</v>
      </c>
      <c r="B619">
        <v>202.14699999999999</v>
      </c>
      <c r="C619" s="1">
        <v>44340</v>
      </c>
      <c r="D619">
        <v>419.17</v>
      </c>
      <c r="E619">
        <f t="shared" si="189"/>
        <v>4.400212780242415E-2</v>
      </c>
      <c r="F619" s="4">
        <f t="shared" si="190"/>
        <v>1.0194244951077309E-2</v>
      </c>
      <c r="G619">
        <f t="shared" ca="1" si="191"/>
        <v>4.6327730723341306E-3</v>
      </c>
      <c r="H619">
        <f t="shared" ca="1" si="192"/>
        <v>4.6469215116334062E-2</v>
      </c>
      <c r="I619">
        <f t="shared" ca="1" si="193"/>
        <v>0.10577258342367755</v>
      </c>
      <c r="J619">
        <f t="shared" ca="1" si="194"/>
        <v>3.1601781500423067</v>
      </c>
      <c r="K619">
        <f t="shared" ca="1" si="195"/>
        <v>1.216988089082734</v>
      </c>
      <c r="L619">
        <f t="shared" ca="1" si="196"/>
        <v>1.4750892641755904</v>
      </c>
      <c r="M619">
        <f t="shared" ca="1" si="197"/>
        <v>1.1825893228923192E-3</v>
      </c>
      <c r="N619">
        <f t="shared" ca="1" si="198"/>
        <v>1.0129890518506348E-2</v>
      </c>
      <c r="O619">
        <f t="shared" ca="1" si="199"/>
        <v>-0.61667895521577953</v>
      </c>
      <c r="P619">
        <f t="shared" ca="1" si="200"/>
        <v>1.0126393722465012</v>
      </c>
      <c r="Q619">
        <f t="shared" ca="1" si="201"/>
        <v>1.0411443703991634</v>
      </c>
      <c r="R619">
        <f t="shared" ca="1" si="202"/>
        <v>1.7986107179748205</v>
      </c>
      <c r="T619">
        <f t="shared" si="203"/>
        <v>1.0440021278024241</v>
      </c>
      <c r="U619" s="6">
        <f t="shared" ca="1" si="204"/>
        <v>1.0513321926179418</v>
      </c>
      <c r="V619">
        <f t="shared" ca="1" si="205"/>
        <v>1.2838616987959259</v>
      </c>
      <c r="X619" t="b">
        <f t="shared" ca="1" si="206"/>
        <v>0</v>
      </c>
      <c r="BJ619" t="b">
        <f t="shared" si="187"/>
        <v>1</v>
      </c>
      <c r="BK619" t="b">
        <f t="shared" ca="1" si="188"/>
        <v>0</v>
      </c>
    </row>
    <row r="620" spans="1:63" x14ac:dyDescent="0.45">
      <c r="A620" s="1">
        <v>44337</v>
      </c>
      <c r="B620">
        <v>193.62700000000001</v>
      </c>
      <c r="C620" s="1">
        <v>44337</v>
      </c>
      <c r="D620">
        <v>414.94</v>
      </c>
      <c r="E620">
        <f t="shared" si="189"/>
        <v>-1.0051484460077711E-2</v>
      </c>
      <c r="F620" s="4">
        <f t="shared" si="190"/>
        <v>-8.1872471585430319E-4</v>
      </c>
      <c r="G620">
        <f t="shared" ca="1" si="191"/>
        <v>4.4281157670661136E-3</v>
      </c>
      <c r="H620">
        <f t="shared" ca="1" si="192"/>
        <v>4.6385013170240866E-2</v>
      </c>
      <c r="I620">
        <f t="shared" ca="1" si="193"/>
        <v>0.11661616161598441</v>
      </c>
      <c r="J620">
        <f t="shared" ca="1" si="194"/>
        <v>3.2046550926975366</v>
      </c>
      <c r="K620">
        <f t="shared" ca="1" si="195"/>
        <v>1.216988089082734</v>
      </c>
      <c r="L620">
        <f t="shared" ca="1" si="196"/>
        <v>1.4483615642894434</v>
      </c>
      <c r="M620">
        <f t="shared" ca="1" si="197"/>
        <v>1.1650407593034127E-3</v>
      </c>
      <c r="N620">
        <f t="shared" ca="1" si="198"/>
        <v>1.0117232810760735E-2</v>
      </c>
      <c r="O620">
        <f t="shared" ca="1" si="199"/>
        <v>-0.61651103394994089</v>
      </c>
      <c r="P620">
        <f t="shared" ca="1" si="200"/>
        <v>1.025797575336501</v>
      </c>
      <c r="Q620">
        <f t="shared" ca="1" si="201"/>
        <v>1.0411443703991634</v>
      </c>
      <c r="R620">
        <f t="shared" ca="1" si="202"/>
        <v>1.7761115574706616</v>
      </c>
      <c r="T620">
        <f t="shared" si="203"/>
        <v>0.98994851553992225</v>
      </c>
      <c r="U620" s="6">
        <f t="shared" ca="1" si="204"/>
        <v>0.98497812595381018</v>
      </c>
      <c r="V620">
        <f t="shared" ca="1" si="205"/>
        <v>1.2860007135637961</v>
      </c>
      <c r="X620" t="b">
        <f t="shared" ca="1" si="206"/>
        <v>1</v>
      </c>
      <c r="BJ620" t="b">
        <f t="shared" si="187"/>
        <v>1</v>
      </c>
      <c r="BK620" t="b">
        <f t="shared" ca="1" si="188"/>
        <v>1</v>
      </c>
    </row>
    <row r="621" spans="1:63" x14ac:dyDescent="0.45">
      <c r="A621" s="1">
        <v>44336</v>
      </c>
      <c r="B621">
        <v>195.59299999999999</v>
      </c>
      <c r="C621" s="1">
        <v>44336</v>
      </c>
      <c r="D621">
        <v>415.28</v>
      </c>
      <c r="E621">
        <f t="shared" si="189"/>
        <v>4.1385368970290687E-2</v>
      </c>
      <c r="F621" s="4">
        <f t="shared" si="190"/>
        <v>1.0757922406659102E-2</v>
      </c>
      <c r="G621">
        <f t="shared" ca="1" si="191"/>
        <v>4.471715487060616E-3</v>
      </c>
      <c r="H621">
        <f t="shared" ca="1" si="192"/>
        <v>4.6375431815778988E-2</v>
      </c>
      <c r="I621">
        <f t="shared" ca="1" si="193"/>
        <v>0.11398429801312759</v>
      </c>
      <c r="J621">
        <f t="shared" ca="1" si="194"/>
        <v>3.2093313391610678</v>
      </c>
      <c r="K621">
        <f t="shared" ca="1" si="195"/>
        <v>1.216988089082734</v>
      </c>
      <c r="L621">
        <f t="shared" ca="1" si="196"/>
        <v>1.4483615642894434</v>
      </c>
      <c r="M621">
        <f t="shared" ca="1" si="197"/>
        <v>1.2001893425869806E-3</v>
      </c>
      <c r="N621">
        <f t="shared" ca="1" si="198"/>
        <v>1.0122516014665421E-2</v>
      </c>
      <c r="O621">
        <f t="shared" ca="1" si="199"/>
        <v>-0.62540148217912161</v>
      </c>
      <c r="P621">
        <f t="shared" ca="1" si="200"/>
        <v>1.0264043488147285</v>
      </c>
      <c r="Q621">
        <f t="shared" ca="1" si="201"/>
        <v>1.0411443703991634</v>
      </c>
      <c r="R621">
        <f t="shared" ca="1" si="202"/>
        <v>1.7761115574706616</v>
      </c>
      <c r="T621">
        <f t="shared" si="203"/>
        <v>1.0413853689702908</v>
      </c>
      <c r="U621" s="6">
        <f t="shared" ca="1" si="204"/>
        <v>1.0263954702644269</v>
      </c>
      <c r="V621">
        <f t="shared" ca="1" si="205"/>
        <v>1.274211598250619</v>
      </c>
      <c r="X621" t="b">
        <f t="shared" ca="1" si="206"/>
        <v>0</v>
      </c>
      <c r="BJ621" t="b">
        <f t="shared" si="187"/>
        <v>1</v>
      </c>
      <c r="BK621" t="b">
        <f t="shared" ca="1" si="188"/>
        <v>0</v>
      </c>
    </row>
    <row r="622" spans="1:63" x14ac:dyDescent="0.45">
      <c r="A622" s="1">
        <v>44335</v>
      </c>
      <c r="B622">
        <v>187.82</v>
      </c>
      <c r="C622" s="1">
        <v>44335</v>
      </c>
      <c r="D622">
        <v>410.86</v>
      </c>
      <c r="E622">
        <f t="shared" si="189"/>
        <v>-2.4934717037944573E-2</v>
      </c>
      <c r="F622" s="4">
        <f t="shared" si="190"/>
        <v>-2.6217410302470847E-3</v>
      </c>
      <c r="G622">
        <f t="shared" ca="1" si="191"/>
        <v>4.2715209654414863E-3</v>
      </c>
      <c r="H622">
        <f t="shared" ca="1" si="192"/>
        <v>4.6301643086745038E-2</v>
      </c>
      <c r="I622">
        <f t="shared" ca="1" si="193"/>
        <v>0.12505869550139243</v>
      </c>
      <c r="J622">
        <f t="shared" ca="1" si="194"/>
        <v>3.2492996249130721</v>
      </c>
      <c r="K622">
        <f t="shared" ca="1" si="195"/>
        <v>1.216988089082734</v>
      </c>
      <c r="L622">
        <f t="shared" ca="1" si="196"/>
        <v>1.3960392036313407</v>
      </c>
      <c r="M622">
        <f t="shared" ca="1" si="197"/>
        <v>1.1657129700074393E-3</v>
      </c>
      <c r="N622">
        <f t="shared" ca="1" si="198"/>
        <v>1.0101520225683284E-2</v>
      </c>
      <c r="O622">
        <f t="shared" ca="1" si="199"/>
        <v>-0.62317335650836969</v>
      </c>
      <c r="P622">
        <f t="shared" ca="1" si="200"/>
        <v>1.0474877394060629</v>
      </c>
      <c r="Q622">
        <f t="shared" ca="1" si="201"/>
        <v>1.0411443703991634</v>
      </c>
      <c r="R622">
        <f t="shared" ca="1" si="202"/>
        <v>1.7229938439756847</v>
      </c>
      <c r="T622">
        <f t="shared" si="203"/>
        <v>0.97506528296205541</v>
      </c>
      <c r="U622" s="6">
        <f t="shared" ca="1" si="204"/>
        <v>0.95519503636271164</v>
      </c>
      <c r="V622">
        <f t="shared" ca="1" si="205"/>
        <v>1.2791565658435089</v>
      </c>
      <c r="X622" t="b">
        <f t="shared" ca="1" si="206"/>
        <v>1</v>
      </c>
      <c r="BJ622" t="b">
        <f t="shared" si="187"/>
        <v>1</v>
      </c>
      <c r="BK622" t="b">
        <f t="shared" ca="1" si="188"/>
        <v>1</v>
      </c>
    </row>
    <row r="623" spans="1:63" x14ac:dyDescent="0.45">
      <c r="A623" s="1">
        <v>44334</v>
      </c>
      <c r="B623">
        <v>192.62299999999999</v>
      </c>
      <c r="C623" s="1">
        <v>44334</v>
      </c>
      <c r="D623">
        <v>411.94</v>
      </c>
      <c r="E623">
        <f t="shared" si="189"/>
        <v>1.7994871981568449E-3</v>
      </c>
      <c r="F623" s="4">
        <f t="shared" si="190"/>
        <v>-8.615710435117406E-3</v>
      </c>
      <c r="G623">
        <f t="shared" ca="1" si="191"/>
        <v>4.5857441606286936E-3</v>
      </c>
      <c r="H623">
        <f t="shared" ca="1" si="192"/>
        <v>4.6315684244297245E-2</v>
      </c>
      <c r="I623">
        <f t="shared" ca="1" si="193"/>
        <v>0.10760334433945189</v>
      </c>
      <c r="J623">
        <f t="shared" ca="1" si="194"/>
        <v>3.2390275190367586</v>
      </c>
      <c r="K623">
        <f t="shared" ca="1" si="195"/>
        <v>1.216988089082734</v>
      </c>
      <c r="L623">
        <f t="shared" ca="1" si="196"/>
        <v>1.4716780361757207</v>
      </c>
      <c r="M623">
        <f t="shared" ca="1" si="197"/>
        <v>1.2135821798750785E-3</v>
      </c>
      <c r="N623">
        <f t="shared" ca="1" si="198"/>
        <v>1.0106165253189539E-2</v>
      </c>
      <c r="O623">
        <f t="shared" ca="1" si="199"/>
        <v>-0.63544810609426949</v>
      </c>
      <c r="P623">
        <f t="shared" ca="1" si="200"/>
        <v>1.0525671972108226</v>
      </c>
      <c r="Q623">
        <f t="shared" ca="1" si="201"/>
        <v>1.0411443703991634</v>
      </c>
      <c r="R623">
        <f t="shared" ca="1" si="202"/>
        <v>1.7229938439756847</v>
      </c>
      <c r="T623">
        <f t="shared" si="203"/>
        <v>1.0017994871981568</v>
      </c>
      <c r="U623" s="6">
        <f t="shared" ca="1" si="204"/>
        <v>0.93627663038987397</v>
      </c>
      <c r="V623">
        <f t="shared" ca="1" si="205"/>
        <v>1.2854258120715265</v>
      </c>
      <c r="X623" t="b">
        <f t="shared" ca="1" si="206"/>
        <v>1</v>
      </c>
      <c r="BJ623" t="b">
        <f t="shared" si="187"/>
        <v>1</v>
      </c>
      <c r="BK623" t="b">
        <f t="shared" ca="1" si="188"/>
        <v>1</v>
      </c>
    </row>
    <row r="624" spans="1:63" x14ac:dyDescent="0.45">
      <c r="A624" s="1">
        <v>44333</v>
      </c>
      <c r="B624">
        <v>192.27699999999999</v>
      </c>
      <c r="C624" s="1">
        <v>44333</v>
      </c>
      <c r="D624">
        <v>415.52</v>
      </c>
      <c r="E624">
        <f t="shared" si="189"/>
        <v>-2.1889307152304534E-2</v>
      </c>
      <c r="F624" s="4">
        <f t="shared" si="190"/>
        <v>-2.5445292620865194E-3</v>
      </c>
      <c r="G624">
        <f t="shared" ca="1" si="191"/>
        <v>4.3860563670556733E-3</v>
      </c>
      <c r="H624">
        <f t="shared" ca="1" si="192"/>
        <v>4.6413748014808118E-2</v>
      </c>
      <c r="I624">
        <f t="shared" ca="1" si="193"/>
        <v>0.11600235585972447</v>
      </c>
      <c r="J624">
        <f t="shared" ca="1" si="194"/>
        <v>3.1917217174987025</v>
      </c>
      <c r="K624">
        <f t="shared" ca="1" si="195"/>
        <v>1.216988089082734</v>
      </c>
      <c r="L624">
        <f t="shared" ca="1" si="196"/>
        <v>1.4483615642894434</v>
      </c>
      <c r="M624">
        <f t="shared" ca="1" si="197"/>
        <v>1.2961717827976716E-3</v>
      </c>
      <c r="N624">
        <f t="shared" ca="1" si="198"/>
        <v>1.0092919850628695E-2</v>
      </c>
      <c r="O624">
        <f t="shared" ca="1" si="199"/>
        <v>-0.65658472257210188</v>
      </c>
      <c r="P624">
        <f t="shared" ca="1" si="200"/>
        <v>1.0919769417969238</v>
      </c>
      <c r="Q624">
        <f t="shared" ca="1" si="201"/>
        <v>1.0411443703991634</v>
      </c>
      <c r="R624">
        <f t="shared" ca="1" si="202"/>
        <v>1.8294992118097611</v>
      </c>
      <c r="T624">
        <f t="shared" si="203"/>
        <v>0.97811069284769547</v>
      </c>
      <c r="U624" s="6">
        <f t="shared" ca="1" si="204"/>
        <v>0.91700209843571145</v>
      </c>
      <c r="V624">
        <f t="shared" ca="1" si="205"/>
        <v>1.3035222247037388</v>
      </c>
      <c r="X624" t="b">
        <f t="shared" ca="1" si="206"/>
        <v>1</v>
      </c>
      <c r="BJ624" t="b">
        <f t="shared" si="187"/>
        <v>1</v>
      </c>
      <c r="BK624" t="b">
        <f t="shared" ca="1" si="188"/>
        <v>1</v>
      </c>
    </row>
    <row r="625" spans="1:63" x14ac:dyDescent="0.45">
      <c r="A625" s="1">
        <v>44330</v>
      </c>
      <c r="B625">
        <v>196.58</v>
      </c>
      <c r="C625" s="1">
        <v>44330</v>
      </c>
      <c r="D625">
        <v>416.58</v>
      </c>
      <c r="E625">
        <f t="shared" si="189"/>
        <v>3.1574859757665573E-2</v>
      </c>
      <c r="F625" s="4">
        <f t="shared" si="190"/>
        <v>1.5355367066393712E-2</v>
      </c>
      <c r="G625">
        <f t="shared" ca="1" si="191"/>
        <v>4.4567449193329885E-3</v>
      </c>
      <c r="H625">
        <f t="shared" ca="1" si="192"/>
        <v>4.6384285886947818E-2</v>
      </c>
      <c r="I625">
        <f t="shared" ca="1" si="193"/>
        <v>0.11243714556752216</v>
      </c>
      <c r="J625">
        <f t="shared" ca="1" si="194"/>
        <v>3.206361713225018</v>
      </c>
      <c r="K625">
        <f t="shared" ca="1" si="195"/>
        <v>1.216988089082734</v>
      </c>
      <c r="L625">
        <f t="shared" ca="1" si="196"/>
        <v>1.4711986556988423</v>
      </c>
      <c r="M625">
        <f t="shared" ca="1" si="197"/>
        <v>1.2910548621789702E-3</v>
      </c>
      <c r="N625">
        <f t="shared" ca="1" si="198"/>
        <v>1.0095135973549919E-2</v>
      </c>
      <c r="O625">
        <f t="shared" ca="1" si="199"/>
        <v>-0.65490470214534979</v>
      </c>
      <c r="P625">
        <f t="shared" ca="1" si="200"/>
        <v>1.0871590764440668</v>
      </c>
      <c r="Q625">
        <f t="shared" ca="1" si="201"/>
        <v>1.0411443703991634</v>
      </c>
      <c r="R625">
        <f t="shared" ca="1" si="202"/>
        <v>1.8294992118097611</v>
      </c>
      <c r="T625">
        <f t="shared" si="203"/>
        <v>1.0315748597576655</v>
      </c>
      <c r="U625" s="6">
        <f t="shared" ca="1" si="204"/>
        <v>0.87710765963332626</v>
      </c>
      <c r="V625">
        <f t="shared" ca="1" si="205"/>
        <v>1.2887042628642709</v>
      </c>
      <c r="X625" t="b">
        <f t="shared" ca="1" si="206"/>
        <v>1</v>
      </c>
      <c r="BJ625" t="b">
        <f t="shared" si="187"/>
        <v>1</v>
      </c>
      <c r="BK625" t="b">
        <f t="shared" ca="1" si="188"/>
        <v>1</v>
      </c>
    </row>
    <row r="626" spans="1:63" x14ac:dyDescent="0.45">
      <c r="A626" s="1">
        <v>44329</v>
      </c>
      <c r="B626">
        <v>190.56299999999999</v>
      </c>
      <c r="C626" s="1">
        <v>44329</v>
      </c>
      <c r="D626">
        <v>410.28</v>
      </c>
      <c r="E626">
        <f t="shared" si="189"/>
        <v>-3.0854905151808002E-2</v>
      </c>
      <c r="F626" s="4">
        <f t="shared" si="190"/>
        <v>1.2012530524653925E-2</v>
      </c>
      <c r="G626">
        <f t="shared" ca="1" si="191"/>
        <v>4.3754711811307273E-3</v>
      </c>
      <c r="H626">
        <f t="shared" ca="1" si="192"/>
        <v>4.6350759751654633E-2</v>
      </c>
      <c r="I626">
        <f t="shared" ca="1" si="193"/>
        <v>0.11704361390067491</v>
      </c>
      <c r="J626">
        <f t="shared" ca="1" si="194"/>
        <v>3.224697728338751</v>
      </c>
      <c r="K626">
        <f t="shared" ca="1" si="195"/>
        <v>1.216988089082734</v>
      </c>
      <c r="L626">
        <f t="shared" ca="1" si="196"/>
        <v>1.4244967720434951</v>
      </c>
      <c r="M626">
        <f t="shared" ca="1" si="197"/>
        <v>1.2757719397280302E-3</v>
      </c>
      <c r="N626">
        <f t="shared" ca="1" si="198"/>
        <v>1.0076032753201096E-2</v>
      </c>
      <c r="O626">
        <f t="shared" ca="1" si="199"/>
        <v>-0.6612260919373687</v>
      </c>
      <c r="P626">
        <f t="shared" ca="1" si="200"/>
        <v>1.1022015824706424</v>
      </c>
      <c r="Q626">
        <f t="shared" ca="1" si="201"/>
        <v>1.0411443703991634</v>
      </c>
      <c r="R626">
        <f t="shared" ca="1" si="202"/>
        <v>1.8294992118097611</v>
      </c>
      <c r="T626">
        <f t="shared" si="203"/>
        <v>0.969145094848192</v>
      </c>
      <c r="U626" s="6">
        <f t="shared" ca="1" si="204"/>
        <v>0.86157428338909481</v>
      </c>
      <c r="V626">
        <f t="shared" ca="1" si="205"/>
        <v>1.289881591871104</v>
      </c>
      <c r="X626" t="b">
        <f t="shared" ca="1" si="206"/>
        <v>1</v>
      </c>
      <c r="BJ626" t="b">
        <f t="shared" si="187"/>
        <v>1</v>
      </c>
      <c r="BK626" t="b">
        <f t="shared" ca="1" si="188"/>
        <v>1</v>
      </c>
    </row>
    <row r="627" spans="1:63" x14ac:dyDescent="0.45">
      <c r="A627" s="1">
        <v>44328</v>
      </c>
      <c r="B627">
        <v>196.63</v>
      </c>
      <c r="C627" s="1">
        <v>44328</v>
      </c>
      <c r="D627">
        <v>405.41</v>
      </c>
      <c r="E627">
        <f t="shared" si="189"/>
        <v>-4.4246669226619011E-2</v>
      </c>
      <c r="F627" s="4">
        <f t="shared" si="190"/>
        <v>-2.1245262065135932E-2</v>
      </c>
      <c r="G627">
        <f t="shared" ca="1" si="191"/>
        <v>4.3247914980043415E-3</v>
      </c>
      <c r="H627">
        <f t="shared" ca="1" si="192"/>
        <v>4.6394994219148618E-2</v>
      </c>
      <c r="I627">
        <f t="shared" ca="1" si="193"/>
        <v>0.11749617299266753</v>
      </c>
      <c r="J627">
        <f t="shared" ca="1" si="194"/>
        <v>3.2043472269175188</v>
      </c>
      <c r="K627">
        <f t="shared" ca="1" si="195"/>
        <v>1.216988089082734</v>
      </c>
      <c r="L627">
        <f t="shared" ca="1" si="196"/>
        <v>1.4244967720434951</v>
      </c>
      <c r="M627">
        <f t="shared" ca="1" si="197"/>
        <v>1.1839971405791737E-3</v>
      </c>
      <c r="N627">
        <f t="shared" ca="1" si="198"/>
        <v>1.0061328337533905E-2</v>
      </c>
      <c r="O627">
        <f t="shared" ca="1" si="199"/>
        <v>-0.64485938358044514</v>
      </c>
      <c r="P627">
        <f t="shared" ca="1" si="200"/>
        <v>1.0969689948846328</v>
      </c>
      <c r="Q627">
        <f t="shared" ca="1" si="201"/>
        <v>1.0411443703991634</v>
      </c>
      <c r="R627">
        <f t="shared" ca="1" si="202"/>
        <v>1.7229938439756847</v>
      </c>
      <c r="T627">
        <f t="shared" si="203"/>
        <v>0.95575333077338098</v>
      </c>
      <c r="U627" s="6">
        <f t="shared" ca="1" si="204"/>
        <v>0.87919802188269891</v>
      </c>
      <c r="V627">
        <f t="shared" ca="1" si="205"/>
        <v>1.2994283709294381</v>
      </c>
      <c r="X627" t="b">
        <f t="shared" ca="1" si="206"/>
        <v>1</v>
      </c>
      <c r="BJ627" t="b">
        <f t="shared" si="187"/>
        <v>1</v>
      </c>
      <c r="BK627" t="b">
        <f t="shared" ca="1" si="188"/>
        <v>1</v>
      </c>
    </row>
    <row r="628" spans="1:63" x14ac:dyDescent="0.45">
      <c r="A628" s="1">
        <v>44327</v>
      </c>
      <c r="B628">
        <v>205.733</v>
      </c>
      <c r="C628" s="1">
        <v>44327</v>
      </c>
      <c r="D628">
        <v>414.21</v>
      </c>
      <c r="E628">
        <f t="shared" si="189"/>
        <v>-1.8823922167111803E-2</v>
      </c>
      <c r="F628" s="4">
        <f t="shared" si="190"/>
        <v>-8.9247260372302684E-3</v>
      </c>
      <c r="G628">
        <f t="shared" ca="1" si="191"/>
        <v>4.9786270203540268E-3</v>
      </c>
      <c r="H628">
        <f t="shared" ca="1" si="192"/>
        <v>4.6627899379375365E-2</v>
      </c>
      <c r="I628">
        <f t="shared" ca="1" si="193"/>
        <v>0.10679161632664079</v>
      </c>
      <c r="J628">
        <f t="shared" ca="1" si="194"/>
        <v>3.1169874189665592</v>
      </c>
      <c r="K628">
        <f t="shared" ca="1" si="195"/>
        <v>1.2344336694181948</v>
      </c>
      <c r="L628">
        <f t="shared" ca="1" si="196"/>
        <v>1.5445410100388239</v>
      </c>
      <c r="M628">
        <f t="shared" ca="1" si="197"/>
        <v>1.3266856797754599E-3</v>
      </c>
      <c r="N628">
        <f t="shared" ca="1" si="198"/>
        <v>9.9433078243749053E-3</v>
      </c>
      <c r="O628">
        <f t="shared" ca="1" si="199"/>
        <v>-0.65214771819135875</v>
      </c>
      <c r="P628">
        <f t="shared" ca="1" si="200"/>
        <v>1.2007584021070814</v>
      </c>
      <c r="Q628">
        <f t="shared" ca="1" si="201"/>
        <v>1.0639524164852485</v>
      </c>
      <c r="R628">
        <f t="shared" ca="1" si="202"/>
        <v>1.779455935253943</v>
      </c>
      <c r="T628">
        <f t="shared" si="203"/>
        <v>0.98117607783288818</v>
      </c>
      <c r="U628" s="6">
        <f t="shared" ca="1" si="204"/>
        <v>0.91627065954670361</v>
      </c>
      <c r="V628">
        <f t="shared" ca="1" si="205"/>
        <v>1.2915281209145788</v>
      </c>
      <c r="X628" t="b">
        <f t="shared" ca="1" si="206"/>
        <v>1</v>
      </c>
      <c r="BJ628" t="b">
        <f t="shared" si="187"/>
        <v>1</v>
      </c>
      <c r="BK628" t="b">
        <f t="shared" ca="1" si="188"/>
        <v>1</v>
      </c>
    </row>
    <row r="629" spans="1:63" x14ac:dyDescent="0.45">
      <c r="A629" s="1">
        <v>44326</v>
      </c>
      <c r="B629">
        <v>209.68</v>
      </c>
      <c r="C629" s="1">
        <v>44326</v>
      </c>
      <c r="D629">
        <v>417.94</v>
      </c>
      <c r="E629">
        <f t="shared" si="189"/>
        <v>-6.44422928481235E-2</v>
      </c>
      <c r="F629" s="4">
        <f t="shared" si="190"/>
        <v>-9.9023974225338918E-3</v>
      </c>
      <c r="G629">
        <f t="shared" ca="1" si="191"/>
        <v>4.7552966207802536E-3</v>
      </c>
      <c r="H629">
        <f t="shared" ca="1" si="192"/>
        <v>4.6848920853155396E-2</v>
      </c>
      <c r="I629">
        <f t="shared" ca="1" si="193"/>
        <v>0.10455382268442293</v>
      </c>
      <c r="J629">
        <f t="shared" ca="1" si="194"/>
        <v>3.0266861625694759</v>
      </c>
      <c r="K629">
        <f t="shared" ca="1" si="195"/>
        <v>1.2344336694181948</v>
      </c>
      <c r="L629">
        <f t="shared" ca="1" si="196"/>
        <v>1.4983477855238336</v>
      </c>
      <c r="M629">
        <f t="shared" ca="1" si="197"/>
        <v>1.3391071796668382E-3</v>
      </c>
      <c r="N629">
        <f t="shared" ca="1" si="198"/>
        <v>9.9319823612983599E-3</v>
      </c>
      <c r="O629">
        <f t="shared" ca="1" si="199"/>
        <v>-0.65501714941677325</v>
      </c>
      <c r="P629">
        <f t="shared" ca="1" si="200"/>
        <v>1.2195534847936962</v>
      </c>
      <c r="Q629">
        <f t="shared" ca="1" si="201"/>
        <v>1.0639524164852485</v>
      </c>
      <c r="R629">
        <f t="shared" ca="1" si="202"/>
        <v>1.779455935253943</v>
      </c>
      <c r="T629">
        <f t="shared" si="203"/>
        <v>0.93555770715187647</v>
      </c>
      <c r="U629" s="6">
        <f t="shared" ca="1" si="204"/>
        <v>0.9184406482698203</v>
      </c>
      <c r="V629">
        <f t="shared" ca="1" si="205"/>
        <v>1.2880769985987315</v>
      </c>
      <c r="X629" t="b">
        <f t="shared" ca="1" si="206"/>
        <v>1</v>
      </c>
      <c r="BJ629" t="b">
        <f t="shared" si="187"/>
        <v>1</v>
      </c>
      <c r="BK629" t="b">
        <f t="shared" ca="1" si="188"/>
        <v>1</v>
      </c>
    </row>
    <row r="630" spans="1:63" x14ac:dyDescent="0.45">
      <c r="A630" s="1">
        <v>44323</v>
      </c>
      <c r="B630">
        <v>224.12299999999999</v>
      </c>
      <c r="C630" s="1">
        <v>44323</v>
      </c>
      <c r="D630">
        <v>422.12</v>
      </c>
      <c r="E630">
        <f t="shared" si="189"/>
        <v>1.3305904693010143E-2</v>
      </c>
      <c r="F630" s="4">
        <f t="shared" si="190"/>
        <v>7.2780203784570873E-3</v>
      </c>
      <c r="G630">
        <f t="shared" ca="1" si="191"/>
        <v>4.8286267322819511E-3</v>
      </c>
      <c r="H630">
        <f t="shared" ca="1" si="192"/>
        <v>4.6751441845093708E-2</v>
      </c>
      <c r="I630">
        <f t="shared" ca="1" si="193"/>
        <v>0.1088598812698153</v>
      </c>
      <c r="J630">
        <f t="shared" ca="1" si="194"/>
        <v>3.0615087853160663</v>
      </c>
      <c r="K630">
        <f t="shared" ca="1" si="195"/>
        <v>1.2520030398861903</v>
      </c>
      <c r="L630">
        <f t="shared" ca="1" si="196"/>
        <v>1.4983477855238336</v>
      </c>
      <c r="M630">
        <f t="shared" ca="1" si="197"/>
        <v>1.3289605973614076E-3</v>
      </c>
      <c r="N630">
        <f t="shared" ca="1" si="198"/>
        <v>9.9445530978180506E-3</v>
      </c>
      <c r="O630">
        <f t="shared" ca="1" si="199"/>
        <v>-0.65417515217023081</v>
      </c>
      <c r="P630">
        <f t="shared" ca="1" si="200"/>
        <v>1.2032648232253891</v>
      </c>
      <c r="Q630">
        <f t="shared" ca="1" si="201"/>
        <v>1.0639524164852485</v>
      </c>
      <c r="R630">
        <f t="shared" ca="1" si="202"/>
        <v>1.779455935253943</v>
      </c>
      <c r="T630">
        <f t="shared" si="203"/>
        <v>1.0133059046930102</v>
      </c>
      <c r="U630" s="6">
        <f t="shared" ca="1" si="204"/>
        <v>0.94774610960757755</v>
      </c>
      <c r="V630">
        <f t="shared" ca="1" si="205"/>
        <v>1.2869708961895703</v>
      </c>
      <c r="X630" t="b">
        <f t="shared" ca="1" si="206"/>
        <v>1</v>
      </c>
      <c r="BJ630" t="b">
        <f t="shared" si="187"/>
        <v>1</v>
      </c>
      <c r="BK630" t="b">
        <f t="shared" ca="1" si="188"/>
        <v>1</v>
      </c>
    </row>
    <row r="631" spans="1:63" x14ac:dyDescent="0.45">
      <c r="A631" s="1">
        <v>44322</v>
      </c>
      <c r="B631">
        <v>221.18</v>
      </c>
      <c r="C631" s="1">
        <v>44322</v>
      </c>
      <c r="D631">
        <v>419.07</v>
      </c>
      <c r="E631">
        <f t="shared" si="189"/>
        <v>-1.1030776178531277E-2</v>
      </c>
      <c r="F631" s="4">
        <f t="shared" si="190"/>
        <v>7.9855682501503138E-3</v>
      </c>
      <c r="G631">
        <f t="shared" ca="1" si="191"/>
        <v>4.8385148566071007E-3</v>
      </c>
      <c r="H631">
        <f t="shared" ca="1" si="192"/>
        <v>4.6753452929260808E-2</v>
      </c>
      <c r="I631">
        <f t="shared" ca="1" si="193"/>
        <v>0.10823144051688398</v>
      </c>
      <c r="J631">
        <f t="shared" ca="1" si="194"/>
        <v>3.0603716990252368</v>
      </c>
      <c r="K631">
        <f t="shared" ca="1" si="195"/>
        <v>1.2520030398861903</v>
      </c>
      <c r="L631">
        <f t="shared" ca="1" si="196"/>
        <v>1.4983477855238336</v>
      </c>
      <c r="M631">
        <f t="shared" ca="1" si="197"/>
        <v>1.3210311582179607E-3</v>
      </c>
      <c r="N631">
        <f t="shared" ca="1" si="198"/>
        <v>9.9404170940557562E-3</v>
      </c>
      <c r="O631">
        <f t="shared" ca="1" si="199"/>
        <v>-0.6532335854119713</v>
      </c>
      <c r="P631">
        <f t="shared" ca="1" si="200"/>
        <v>1.2077382396759209</v>
      </c>
      <c r="Q631">
        <f t="shared" ca="1" si="201"/>
        <v>1.0639524164852485</v>
      </c>
      <c r="R631">
        <f t="shared" ca="1" si="202"/>
        <v>1.779455935253943</v>
      </c>
      <c r="T631">
        <f t="shared" si="203"/>
        <v>0.98896922382146868</v>
      </c>
      <c r="U631" s="6">
        <f t="shared" ca="1" si="204"/>
        <v>0.98011672065476985</v>
      </c>
      <c r="V631">
        <f t="shared" ca="1" si="205"/>
        <v>1.290155058273021</v>
      </c>
      <c r="X631" t="b">
        <f t="shared" ca="1" si="206"/>
        <v>1</v>
      </c>
      <c r="BJ631" t="b">
        <f t="shared" si="187"/>
        <v>1</v>
      </c>
      <c r="BK631" t="b">
        <f t="shared" ca="1" si="188"/>
        <v>1</v>
      </c>
    </row>
    <row r="632" spans="1:63" x14ac:dyDescent="0.45">
      <c r="A632" s="1">
        <v>44321</v>
      </c>
      <c r="B632">
        <v>223.64699999999999</v>
      </c>
      <c r="C632" s="1">
        <v>44321</v>
      </c>
      <c r="D632">
        <v>415.75</v>
      </c>
      <c r="E632">
        <f t="shared" si="189"/>
        <v>-3.9459678532776732E-3</v>
      </c>
      <c r="F632" s="4">
        <f t="shared" si="190"/>
        <v>3.1278571772290904E-4</v>
      </c>
      <c r="G632">
        <f t="shared" ca="1" si="191"/>
        <v>4.6665225806337886E-3</v>
      </c>
      <c r="H632">
        <f t="shared" ca="1" si="192"/>
        <v>4.6875237081899855E-2</v>
      </c>
      <c r="I632">
        <f t="shared" ca="1" si="193"/>
        <v>0.11244605149205444</v>
      </c>
      <c r="J632">
        <f t="shared" ca="1" si="194"/>
        <v>3.0055439565186184</v>
      </c>
      <c r="K632">
        <f t="shared" ca="1" si="195"/>
        <v>1.2520030398861903</v>
      </c>
      <c r="L632">
        <f t="shared" ca="1" si="196"/>
        <v>1.4673375691126587</v>
      </c>
      <c r="M632">
        <f t="shared" ca="1" si="197"/>
        <v>1.2917409588024335E-3</v>
      </c>
      <c r="N632">
        <f t="shared" ca="1" si="198"/>
        <v>9.9293052150568103E-3</v>
      </c>
      <c r="O632">
        <f t="shared" ca="1" si="199"/>
        <v>-0.6480222293695872</v>
      </c>
      <c r="P632">
        <f t="shared" ca="1" si="200"/>
        <v>1.2179043042253337</v>
      </c>
      <c r="Q632">
        <f t="shared" ca="1" si="201"/>
        <v>1.0639524164852485</v>
      </c>
      <c r="R632">
        <f t="shared" ca="1" si="202"/>
        <v>1.7369891955785735</v>
      </c>
      <c r="T632">
        <f t="shared" si="203"/>
        <v>0.99605403214672228</v>
      </c>
      <c r="U632" s="6">
        <f t="shared" ca="1" si="204"/>
        <v>0.96621548644083155</v>
      </c>
      <c r="V632">
        <f t="shared" ca="1" si="205"/>
        <v>1.2804534328598129</v>
      </c>
      <c r="X632" t="b">
        <f t="shared" ca="1" si="206"/>
        <v>1</v>
      </c>
      <c r="BJ632" t="b">
        <f t="shared" si="187"/>
        <v>1</v>
      </c>
      <c r="BK632" t="b">
        <f t="shared" ca="1" si="188"/>
        <v>1</v>
      </c>
    </row>
    <row r="633" spans="1:63" x14ac:dyDescent="0.45">
      <c r="A633" s="1">
        <v>44320</v>
      </c>
      <c r="B633">
        <v>224.53299999999999</v>
      </c>
      <c r="C633" s="1">
        <v>44320</v>
      </c>
      <c r="D633">
        <v>415.62</v>
      </c>
      <c r="E633">
        <f t="shared" si="189"/>
        <v>-1.650021901007457E-2</v>
      </c>
      <c r="F633" s="4">
        <f t="shared" si="190"/>
        <v>-6.1692969870874798E-3</v>
      </c>
      <c r="G633">
        <f t="shared" ca="1" si="191"/>
        <v>5.1598372124163697E-3</v>
      </c>
      <c r="H633">
        <f t="shared" ca="1" si="192"/>
        <v>4.7301370819457761E-2</v>
      </c>
      <c r="I633">
        <f t="shared" ca="1" si="193"/>
        <v>0.1128827727218906</v>
      </c>
      <c r="J633">
        <f t="shared" ca="1" si="194"/>
        <v>2.8529557410010797</v>
      </c>
      <c r="K633">
        <f t="shared" ca="1" si="195"/>
        <v>1.2952095435527127</v>
      </c>
      <c r="L633">
        <f t="shared" ca="1" si="196"/>
        <v>1.4984526594257357</v>
      </c>
      <c r="M633">
        <f t="shared" ca="1" si="197"/>
        <v>1.3305848382456473E-3</v>
      </c>
      <c r="N633">
        <f t="shared" ca="1" si="198"/>
        <v>9.9406456749044012E-3</v>
      </c>
      <c r="O633">
        <f t="shared" ca="1" si="199"/>
        <v>-0.65602580668708987</v>
      </c>
      <c r="P633">
        <f t="shared" ca="1" si="200"/>
        <v>1.2099757464789427</v>
      </c>
      <c r="Q633">
        <f t="shared" ca="1" si="201"/>
        <v>1.0639524164852485</v>
      </c>
      <c r="R633">
        <f t="shared" ca="1" si="202"/>
        <v>1.779455935253943</v>
      </c>
      <c r="T633">
        <f t="shared" si="203"/>
        <v>0.98349978098992541</v>
      </c>
      <c r="U633" s="6">
        <f t="shared" ca="1" si="204"/>
        <v>0.9558134288013006</v>
      </c>
      <c r="V633">
        <f t="shared" ca="1" si="205"/>
        <v>1.2655017609749386</v>
      </c>
      <c r="X633" t="b">
        <f t="shared" ca="1" si="206"/>
        <v>1</v>
      </c>
      <c r="BJ633" t="b">
        <f t="shared" si="187"/>
        <v>1</v>
      </c>
      <c r="BK633" t="b">
        <f t="shared" ca="1" si="188"/>
        <v>1</v>
      </c>
    </row>
    <row r="634" spans="1:63" x14ac:dyDescent="0.45">
      <c r="A634" s="1">
        <v>44319</v>
      </c>
      <c r="B634">
        <v>228.3</v>
      </c>
      <c r="C634" s="1">
        <v>44319</v>
      </c>
      <c r="D634">
        <v>418.2</v>
      </c>
      <c r="E634">
        <f t="shared" si="189"/>
        <v>-3.4590663058186651E-2</v>
      </c>
      <c r="F634" s="4">
        <f t="shared" si="190"/>
        <v>2.1567217828899529E-3</v>
      </c>
      <c r="G634">
        <f t="shared" ca="1" si="191"/>
        <v>5.2429880280868753E-3</v>
      </c>
      <c r="H634">
        <f t="shared" ca="1" si="192"/>
        <v>4.7277714510389882E-2</v>
      </c>
      <c r="I634">
        <f t="shared" ca="1" si="193"/>
        <v>0.10820468420434373</v>
      </c>
      <c r="J634">
        <f t="shared" ca="1" si="194"/>
        <v>2.8637474318944669</v>
      </c>
      <c r="K634">
        <f t="shared" ca="1" si="195"/>
        <v>1.2952095435527127</v>
      </c>
      <c r="L634">
        <f t="shared" ca="1" si="196"/>
        <v>1.4984526594257357</v>
      </c>
      <c r="M634">
        <f t="shared" ca="1" si="197"/>
        <v>1.3759267875035391E-3</v>
      </c>
      <c r="N634">
        <f t="shared" ca="1" si="198"/>
        <v>9.9269370252435384E-3</v>
      </c>
      <c r="O634">
        <f t="shared" ca="1" si="199"/>
        <v>-0.67037965654407361</v>
      </c>
      <c r="P634">
        <f t="shared" ca="1" si="200"/>
        <v>1.2442160138960068</v>
      </c>
      <c r="Q634">
        <f t="shared" ca="1" si="201"/>
        <v>1.0639524164852485</v>
      </c>
      <c r="R634">
        <f t="shared" ca="1" si="202"/>
        <v>1.8270461700133827</v>
      </c>
      <c r="T634">
        <f t="shared" si="203"/>
        <v>0.9654093369418133</v>
      </c>
      <c r="U634" s="6">
        <f t="shared" ca="1" si="204"/>
        <v>0.9277960880573175</v>
      </c>
      <c r="V634">
        <f t="shared" ca="1" si="205"/>
        <v>1.2381334960546946</v>
      </c>
      <c r="X634" t="b">
        <f t="shared" ca="1" si="206"/>
        <v>1</v>
      </c>
      <c r="BJ634" t="b">
        <f t="shared" si="187"/>
        <v>1</v>
      </c>
      <c r="BK634" t="b">
        <f t="shared" ca="1" si="188"/>
        <v>1</v>
      </c>
    </row>
    <row r="635" spans="1:63" x14ac:dyDescent="0.45">
      <c r="A635" s="1">
        <v>44316</v>
      </c>
      <c r="B635">
        <v>236.48</v>
      </c>
      <c r="C635" s="1">
        <v>44316</v>
      </c>
      <c r="D635">
        <v>417.3</v>
      </c>
      <c r="E635">
        <f t="shared" si="189"/>
        <v>4.7915734245591902E-2</v>
      </c>
      <c r="F635" s="4">
        <f t="shared" si="190"/>
        <v>-6.5704899300099767E-3</v>
      </c>
      <c r="G635">
        <f t="shared" ca="1" si="191"/>
        <v>5.2692406535352768E-3</v>
      </c>
      <c r="H635">
        <f t="shared" ca="1" si="192"/>
        <v>4.7256937518434579E-2</v>
      </c>
      <c r="I635">
        <f t="shared" ca="1" si="193"/>
        <v>0.1077146519422436</v>
      </c>
      <c r="J635">
        <f t="shared" ca="1" si="194"/>
        <v>2.8727717973472862</v>
      </c>
      <c r="K635">
        <f t="shared" ca="1" si="195"/>
        <v>1.2952095435527127</v>
      </c>
      <c r="L635">
        <f t="shared" ca="1" si="196"/>
        <v>1.4984526594257357</v>
      </c>
      <c r="M635">
        <f t="shared" ca="1" si="197"/>
        <v>1.3486758801581433E-3</v>
      </c>
      <c r="N635">
        <f t="shared" ca="1" si="198"/>
        <v>9.9322622048703003E-3</v>
      </c>
      <c r="O635">
        <f t="shared" ca="1" si="199"/>
        <v>-0.66151764678452163</v>
      </c>
      <c r="P635">
        <f t="shared" ca="1" si="200"/>
        <v>1.2278219918603259</v>
      </c>
      <c r="Q635">
        <f t="shared" ca="1" si="201"/>
        <v>1.0639524164852485</v>
      </c>
      <c r="R635">
        <f t="shared" ca="1" si="202"/>
        <v>1.8270461700133827</v>
      </c>
      <c r="T635">
        <f t="shared" si="203"/>
        <v>1.0479157342455918</v>
      </c>
      <c r="U635" s="6">
        <f t="shared" ca="1" si="204"/>
        <v>0.97263637597528907</v>
      </c>
      <c r="V635">
        <f t="shared" ca="1" si="205"/>
        <v>1.2307212221730821</v>
      </c>
      <c r="X635" t="b">
        <f t="shared" ca="1" si="206"/>
        <v>1</v>
      </c>
      <c r="BJ635" t="b">
        <f t="shared" si="187"/>
        <v>1</v>
      </c>
      <c r="BK635" t="b">
        <f t="shared" ca="1" si="188"/>
        <v>1</v>
      </c>
    </row>
    <row r="636" spans="1:63" x14ac:dyDescent="0.45">
      <c r="A636" s="1">
        <v>44315</v>
      </c>
      <c r="B636">
        <v>225.667</v>
      </c>
      <c r="C636" s="1">
        <v>44315</v>
      </c>
      <c r="D636">
        <v>420.06</v>
      </c>
      <c r="E636">
        <f t="shared" si="189"/>
        <v>-2.5057567601429194E-2</v>
      </c>
      <c r="F636" s="4">
        <f t="shared" si="190"/>
        <v>6.3727839003354702E-3</v>
      </c>
      <c r="G636">
        <f t="shared" ca="1" si="191"/>
        <v>5.1259337386364333E-3</v>
      </c>
      <c r="H636">
        <f t="shared" ca="1" si="192"/>
        <v>4.7170340476301628E-2</v>
      </c>
      <c r="I636">
        <f t="shared" ca="1" si="193"/>
        <v>0.1138965067437534</v>
      </c>
      <c r="J636">
        <f t="shared" ca="1" si="194"/>
        <v>2.9142884416346098</v>
      </c>
      <c r="K636">
        <f t="shared" ca="1" si="195"/>
        <v>1.2952095435527127</v>
      </c>
      <c r="L636">
        <f t="shared" ca="1" si="196"/>
        <v>1.4673375691126587</v>
      </c>
      <c r="M636">
        <f t="shared" ca="1" si="197"/>
        <v>1.427464614769939E-3</v>
      </c>
      <c r="N636">
        <f t="shared" ca="1" si="198"/>
        <v>9.9316268846325936E-3</v>
      </c>
      <c r="O636">
        <f t="shared" ca="1" si="199"/>
        <v>-0.68061603235741497</v>
      </c>
      <c r="P636">
        <f t="shared" ca="1" si="200"/>
        <v>1.2504786708810824</v>
      </c>
      <c r="Q636">
        <f t="shared" ca="1" si="201"/>
        <v>1.0639524164852485</v>
      </c>
      <c r="R636">
        <f t="shared" ca="1" si="202"/>
        <v>1.9576333438326481</v>
      </c>
      <c r="T636">
        <f t="shared" si="203"/>
        <v>0.97494243239857081</v>
      </c>
      <c r="U636" s="6">
        <f t="shared" ca="1" si="204"/>
        <v>0.94068287640112225</v>
      </c>
      <c r="V636">
        <f t="shared" ca="1" si="205"/>
        <v>1.2441720978649125</v>
      </c>
      <c r="X636" t="b">
        <f t="shared" ca="1" si="206"/>
        <v>1</v>
      </c>
      <c r="BJ636" t="b">
        <f t="shared" si="187"/>
        <v>1</v>
      </c>
      <c r="BK636" t="b">
        <f t="shared" ca="1" si="188"/>
        <v>1</v>
      </c>
    </row>
    <row r="637" spans="1:63" x14ac:dyDescent="0.45">
      <c r="A637" s="1">
        <v>44314</v>
      </c>
      <c r="B637">
        <v>231.46700000000001</v>
      </c>
      <c r="C637" s="1">
        <v>44314</v>
      </c>
      <c r="D637">
        <v>417.4</v>
      </c>
      <c r="E637">
        <f t="shared" si="189"/>
        <v>-1.4669260534751153E-2</v>
      </c>
      <c r="F637" s="4">
        <f t="shared" si="190"/>
        <v>-2.8741138149071793E-4</v>
      </c>
      <c r="G637">
        <f t="shared" ca="1" si="191"/>
        <v>5.3171507979172727E-3</v>
      </c>
      <c r="H637">
        <f t="shared" ca="1" si="192"/>
        <v>4.7124861873944095E-2</v>
      </c>
      <c r="I637">
        <f t="shared" ca="1" si="193"/>
        <v>0.10328967814995793</v>
      </c>
      <c r="J637">
        <f t="shared" ca="1" si="194"/>
        <v>2.9346496511963061</v>
      </c>
      <c r="K637">
        <f t="shared" ca="1" si="195"/>
        <v>1.2952095435527127</v>
      </c>
      <c r="L637">
        <f t="shared" ca="1" si="196"/>
        <v>1.4983477855238336</v>
      </c>
      <c r="M637">
        <f t="shared" ca="1" si="197"/>
        <v>1.4603955116829492E-3</v>
      </c>
      <c r="N637">
        <f t="shared" ca="1" si="198"/>
        <v>9.9589881860884712E-3</v>
      </c>
      <c r="O637">
        <f t="shared" ca="1" si="199"/>
        <v>-0.67778341618896987</v>
      </c>
      <c r="P637">
        <f t="shared" ca="1" si="200"/>
        <v>1.2215326986245625</v>
      </c>
      <c r="Q637">
        <f t="shared" ca="1" si="201"/>
        <v>1.0639524164852485</v>
      </c>
      <c r="R637">
        <f t="shared" ca="1" si="202"/>
        <v>1.9721575562205909</v>
      </c>
      <c r="T637">
        <f t="shared" si="203"/>
        <v>0.98533073946524885</v>
      </c>
      <c r="U637" s="6">
        <f t="shared" ca="1" si="204"/>
        <v>0.93318416384454128</v>
      </c>
      <c r="V637">
        <f t="shared" ca="1" si="205"/>
        <v>1.239792472500612</v>
      </c>
      <c r="X637" t="b">
        <f t="shared" ca="1" si="206"/>
        <v>1</v>
      </c>
      <c r="BJ637" t="b">
        <f t="shared" si="187"/>
        <v>1</v>
      </c>
      <c r="BK637" t="b">
        <f t="shared" ca="1" si="188"/>
        <v>1</v>
      </c>
    </row>
    <row r="638" spans="1:63" x14ac:dyDescent="0.45">
      <c r="A638" s="1">
        <v>44313</v>
      </c>
      <c r="B638">
        <v>234.91300000000001</v>
      </c>
      <c r="C638" s="1">
        <v>44313</v>
      </c>
      <c r="D638">
        <v>417.52</v>
      </c>
      <c r="E638">
        <f t="shared" si="189"/>
        <v>-4.5329117679331225E-2</v>
      </c>
      <c r="F638" s="4">
        <f t="shared" si="190"/>
        <v>-2.1551208064948596E-4</v>
      </c>
      <c r="G638">
        <f t="shared" ca="1" si="191"/>
        <v>5.2364335718418894E-3</v>
      </c>
      <c r="H638">
        <f t="shared" ca="1" si="192"/>
        <v>4.7173068266372735E-2</v>
      </c>
      <c r="I638">
        <f t="shared" ca="1" si="193"/>
        <v>0.10626401417947297</v>
      </c>
      <c r="J638">
        <f t="shared" ca="1" si="194"/>
        <v>2.9125806297342161</v>
      </c>
      <c r="K638">
        <f t="shared" ca="1" si="195"/>
        <v>1.2952095435527127</v>
      </c>
      <c r="L638">
        <f t="shared" ca="1" si="196"/>
        <v>1.4673375691126587</v>
      </c>
      <c r="M638">
        <f t="shared" ca="1" si="197"/>
        <v>1.41853775452195E-3</v>
      </c>
      <c r="N638">
        <f t="shared" ca="1" si="198"/>
        <v>9.9839327862154444E-3</v>
      </c>
      <c r="O638">
        <f t="shared" ca="1" si="199"/>
        <v>-0.66526918832513304</v>
      </c>
      <c r="P638">
        <f t="shared" ca="1" si="200"/>
        <v>1.1730143852575505</v>
      </c>
      <c r="Q638">
        <f t="shared" ca="1" si="201"/>
        <v>1.0639524164852485</v>
      </c>
      <c r="R638">
        <f t="shared" ca="1" si="202"/>
        <v>1.8923643821571725</v>
      </c>
      <c r="T638">
        <f t="shared" si="203"/>
        <v>0.95467088232066877</v>
      </c>
      <c r="U638" s="6">
        <f t="shared" ca="1" si="204"/>
        <v>0.98018050345693741</v>
      </c>
      <c r="V638">
        <f t="shared" ca="1" si="205"/>
        <v>1.2158979609531801</v>
      </c>
      <c r="X638" t="b">
        <f t="shared" ca="1" si="206"/>
        <v>1</v>
      </c>
      <c r="BJ638" t="b">
        <f t="shared" si="187"/>
        <v>1</v>
      </c>
      <c r="BK638" t="b">
        <f t="shared" ca="1" si="188"/>
        <v>1</v>
      </c>
    </row>
    <row r="639" spans="1:63" x14ac:dyDescent="0.45">
      <c r="A639" s="1">
        <v>44312</v>
      </c>
      <c r="B639">
        <v>246.06700000000001</v>
      </c>
      <c r="C639" s="1">
        <v>44312</v>
      </c>
      <c r="D639">
        <v>417.61</v>
      </c>
      <c r="E639">
        <f t="shared" si="189"/>
        <v>1.206746924522791E-2</v>
      </c>
      <c r="F639" s="4">
        <f t="shared" si="190"/>
        <v>2.0876325766665173E-3</v>
      </c>
      <c r="G639">
        <f t="shared" ca="1" si="191"/>
        <v>6.0023359809632214E-3</v>
      </c>
      <c r="H639">
        <f t="shared" ca="1" si="192"/>
        <v>4.7589640529846128E-2</v>
      </c>
      <c r="I639">
        <f t="shared" ca="1" si="193"/>
        <v>0.1117000673400059</v>
      </c>
      <c r="J639">
        <f t="shared" ca="1" si="194"/>
        <v>2.8030934279655479</v>
      </c>
      <c r="K639">
        <f t="shared" ca="1" si="195"/>
        <v>1.3527963909881613</v>
      </c>
      <c r="L639">
        <f t="shared" ca="1" si="196"/>
        <v>1.5301204516426232</v>
      </c>
      <c r="M639">
        <f t="shared" ca="1" si="197"/>
        <v>1.4706681808835912E-3</v>
      </c>
      <c r="N639">
        <f t="shared" ca="1" si="198"/>
        <v>1.0002560002482111E-2</v>
      </c>
      <c r="O639">
        <f t="shared" ca="1" si="199"/>
        <v>-0.67388345132451999</v>
      </c>
      <c r="P639">
        <f t="shared" ca="1" si="200"/>
        <v>1.1589298071078948</v>
      </c>
      <c r="Q639">
        <f t="shared" ca="1" si="201"/>
        <v>1.0639524164852485</v>
      </c>
      <c r="R639">
        <f t="shared" ca="1" si="202"/>
        <v>1.912961514292139</v>
      </c>
      <c r="T639">
        <f t="shared" si="203"/>
        <v>1.0120674692452278</v>
      </c>
      <c r="U639" s="6">
        <f t="shared" ca="1" si="204"/>
        <v>1.0329835019520592</v>
      </c>
      <c r="V639">
        <f t="shared" ca="1" si="205"/>
        <v>1.2146018348196557</v>
      </c>
      <c r="X639" t="b">
        <f t="shared" ca="1" si="206"/>
        <v>0</v>
      </c>
      <c r="BJ639" t="b">
        <f t="shared" si="187"/>
        <v>1</v>
      </c>
      <c r="BK639" t="b">
        <f t="shared" ca="1" si="188"/>
        <v>0</v>
      </c>
    </row>
    <row r="640" spans="1:63" x14ac:dyDescent="0.45">
      <c r="A640" s="1">
        <v>44309</v>
      </c>
      <c r="B640">
        <v>243.13300000000001</v>
      </c>
      <c r="C640" s="1">
        <v>44309</v>
      </c>
      <c r="D640">
        <v>416.74</v>
      </c>
      <c r="E640">
        <f t="shared" si="189"/>
        <v>1.348912241503653E-2</v>
      </c>
      <c r="F640" s="4">
        <f t="shared" si="190"/>
        <v>1.0842409100832045E-2</v>
      </c>
      <c r="G640">
        <f t="shared" ca="1" si="191"/>
        <v>6.0459590470864797E-3</v>
      </c>
      <c r="H640">
        <f t="shared" ca="1" si="192"/>
        <v>4.7599225819870174E-2</v>
      </c>
      <c r="I640">
        <f t="shared" ca="1" si="193"/>
        <v>0.10899719194979456</v>
      </c>
      <c r="J640">
        <f t="shared" ca="1" si="194"/>
        <v>2.7980176296735202</v>
      </c>
      <c r="K640">
        <f t="shared" ca="1" si="195"/>
        <v>1.3527963909881613</v>
      </c>
      <c r="L640">
        <f t="shared" ca="1" si="196"/>
        <v>1.5301204516426232</v>
      </c>
      <c r="M640">
        <f t="shared" ca="1" si="197"/>
        <v>1.4317652194677766E-3</v>
      </c>
      <c r="N640">
        <f t="shared" ca="1" si="198"/>
        <v>1.0015270838920549E-2</v>
      </c>
      <c r="O640">
        <f t="shared" ca="1" si="199"/>
        <v>-0.66140873741125961</v>
      </c>
      <c r="P640">
        <f t="shared" ca="1" si="200"/>
        <v>1.1284018686471056</v>
      </c>
      <c r="Q640">
        <f t="shared" ca="1" si="201"/>
        <v>1.0639524164852485</v>
      </c>
      <c r="R640">
        <f t="shared" ca="1" si="202"/>
        <v>1.8631333878631997</v>
      </c>
      <c r="T640">
        <f t="shared" si="203"/>
        <v>1.0134891224150366</v>
      </c>
      <c r="U640" s="6">
        <f t="shared" ca="1" si="204"/>
        <v>0.98596878256884835</v>
      </c>
      <c r="V640">
        <f t="shared" ca="1" si="205"/>
        <v>1.2048274192805777</v>
      </c>
      <c r="X640" t="b">
        <f t="shared" ca="1" si="206"/>
        <v>1</v>
      </c>
      <c r="BJ640" t="b">
        <f t="shared" si="187"/>
        <v>1</v>
      </c>
      <c r="BK640" t="b">
        <f t="shared" ca="1" si="188"/>
        <v>1</v>
      </c>
    </row>
    <row r="641" spans="1:63" x14ac:dyDescent="0.45">
      <c r="A641" s="1">
        <v>44308</v>
      </c>
      <c r="B641">
        <v>239.89699999999999</v>
      </c>
      <c r="C641" s="1">
        <v>44308</v>
      </c>
      <c r="D641">
        <v>412.27</v>
      </c>
      <c r="E641">
        <f t="shared" si="189"/>
        <v>-3.2829382357684248E-2</v>
      </c>
      <c r="F641" s="4">
        <f t="shared" si="190"/>
        <v>-9.1330785685101341E-3</v>
      </c>
      <c r="G641">
        <f t="shared" ca="1" si="191"/>
        <v>5.8922493198255536E-3</v>
      </c>
      <c r="H641">
        <f t="shared" ca="1" si="192"/>
        <v>4.7624699086939407E-2</v>
      </c>
      <c r="I641">
        <f t="shared" ca="1" si="193"/>
        <v>0.11798909804848173</v>
      </c>
      <c r="J641">
        <f t="shared" ca="1" si="194"/>
        <v>2.7873082116671091</v>
      </c>
      <c r="K641">
        <f t="shared" ca="1" si="195"/>
        <v>1.3527963909881613</v>
      </c>
      <c r="L641">
        <f t="shared" ca="1" si="196"/>
        <v>1.5301204516426232</v>
      </c>
      <c r="M641">
        <f t="shared" ca="1" si="197"/>
        <v>1.4157965291806479E-3</v>
      </c>
      <c r="N641">
        <f t="shared" ca="1" si="198"/>
        <v>1.0002729035999405E-2</v>
      </c>
      <c r="O641">
        <f t="shared" ca="1" si="199"/>
        <v>-0.66207025004133602</v>
      </c>
      <c r="P641">
        <f t="shared" ca="1" si="200"/>
        <v>1.1417621945044187</v>
      </c>
      <c r="Q641">
        <f t="shared" ca="1" si="201"/>
        <v>1.0639524164852485</v>
      </c>
      <c r="R641">
        <f t="shared" ca="1" si="202"/>
        <v>1.8430727623418932</v>
      </c>
      <c r="T641">
        <f t="shared" si="203"/>
        <v>0.96717061764231571</v>
      </c>
      <c r="U641" s="6">
        <f t="shared" ca="1" si="204"/>
        <v>0.97407047989508</v>
      </c>
      <c r="V641">
        <f t="shared" ca="1" si="205"/>
        <v>1.1957643229443806</v>
      </c>
      <c r="X641" t="b">
        <f t="shared" ca="1" si="206"/>
        <v>1</v>
      </c>
      <c r="BJ641" t="b">
        <f t="shared" si="187"/>
        <v>1</v>
      </c>
      <c r="BK641" t="b">
        <f t="shared" ca="1" si="188"/>
        <v>1</v>
      </c>
    </row>
    <row r="642" spans="1:63" x14ac:dyDescent="0.45">
      <c r="A642" s="1">
        <v>44307</v>
      </c>
      <c r="B642">
        <v>248.04</v>
      </c>
      <c r="C642" s="1">
        <v>44307</v>
      </c>
      <c r="D642">
        <v>416.07</v>
      </c>
      <c r="E642">
        <f t="shared" si="189"/>
        <v>3.4953246850786233E-2</v>
      </c>
      <c r="F642" s="4">
        <f t="shared" si="190"/>
        <v>9.4621151466627289E-3</v>
      </c>
      <c r="G642">
        <f t="shared" ca="1" si="191"/>
        <v>6.1230310372269144E-3</v>
      </c>
      <c r="H642">
        <f t="shared" ca="1" si="192"/>
        <v>4.7547888517961788E-2</v>
      </c>
      <c r="I642">
        <f t="shared" ca="1" si="193"/>
        <v>0.10661447577638632</v>
      </c>
      <c r="J642">
        <f t="shared" ca="1" si="194"/>
        <v>2.8205590740638966</v>
      </c>
      <c r="K642">
        <f t="shared" ca="1" si="195"/>
        <v>1.3527963909881613</v>
      </c>
      <c r="L642">
        <f t="shared" ca="1" si="196"/>
        <v>1.5772932096902452</v>
      </c>
      <c r="M642">
        <f t="shared" ca="1" si="197"/>
        <v>1.409892768892777E-3</v>
      </c>
      <c r="N642">
        <f t="shared" ca="1" si="198"/>
        <v>1.0009332695756892E-2</v>
      </c>
      <c r="O642">
        <f t="shared" ca="1" si="199"/>
        <v>-0.66120023040702003</v>
      </c>
      <c r="P642">
        <f t="shared" ca="1" si="200"/>
        <v>1.1325061858298247</v>
      </c>
      <c r="Q642">
        <f t="shared" ca="1" si="201"/>
        <v>1.0639524164852485</v>
      </c>
      <c r="R642">
        <f t="shared" ca="1" si="202"/>
        <v>1.8430727623418932</v>
      </c>
      <c r="T642">
        <f t="shared" si="203"/>
        <v>1.0349532468507863</v>
      </c>
      <c r="U642" s="6">
        <f t="shared" ca="1" si="204"/>
        <v>1.0162366794085476</v>
      </c>
      <c r="V642">
        <f t="shared" ca="1" si="205"/>
        <v>1.2196766690451311</v>
      </c>
      <c r="X642" t="b">
        <f t="shared" ca="1" si="206"/>
        <v>0</v>
      </c>
      <c r="BJ642" t="b">
        <f t="shared" ref="BJ642:BJ705" si="207">ABS(W642-1)&gt;$S$21</f>
        <v>1</v>
      </c>
      <c r="BK642" t="b">
        <f t="shared" ref="BK642:BK705" ca="1" si="208">AND(X642,BJ642)</f>
        <v>0</v>
      </c>
    </row>
    <row r="643" spans="1:63" x14ac:dyDescent="0.45">
      <c r="A643" s="1">
        <v>44306</v>
      </c>
      <c r="B643">
        <v>239.66300000000001</v>
      </c>
      <c r="C643" s="1">
        <v>44306</v>
      </c>
      <c r="D643">
        <v>412.17</v>
      </c>
      <c r="E643">
        <f t="shared" ref="E643:E706" si="209">(B643-B644)/B644</f>
        <v>6.0996599638974136E-3</v>
      </c>
      <c r="F643" s="4">
        <f t="shared" ref="F643:F706" si="210">(D643-D644)/D644</f>
        <v>-7.3215963006670447E-3</v>
      </c>
      <c r="G643">
        <f t="shared" ref="G643:G706" ca="1" si="211">AVERAGE(OFFSET(E643,0,0,$S$3,1))*$AK$25</f>
        <v>6.6222387385603022E-3</v>
      </c>
      <c r="H643">
        <f t="shared" ref="H643:H706" ca="1" si="212">STDEV(OFFSET(E643,0,0,$S$3,1))*$AJ$25</f>
        <v>4.8369128023442683E-2</v>
      </c>
      <c r="I643">
        <f t="shared" ref="I643:I706" ca="1" si="213">SKEW(OFFSET(E643,0,0,$S$3,1))*$AI$25</f>
        <v>0.16448027542460572</v>
      </c>
      <c r="J643">
        <f t="shared" ref="J643:J706" ca="1" si="214">KURT(OFFSET(E643,0,0,$S$3,1))*$AH$25</f>
        <v>2.6833024626447433</v>
      </c>
      <c r="K643">
        <f t="shared" ref="K643:K706" ca="1" si="215">PERCENTILE(OFFSET(E643,0,0,$S$3,1), 0.95)/ABS(PERCENTILE(OFFSET(E643,0,0,$S$3,1), 0.05))*$AG$25</f>
        <v>1.3676225366867276</v>
      </c>
      <c r="L643">
        <f t="shared" ref="L643:L706" ca="1" si="216">PERCENTILE(OFFSET(E643,0,0,$S$3,1), 0.75)/ABS(PERCENTILE(OFFSET(E643,0,0,$S$3,1), 0.25))*$AF$25</f>
        <v>1.5772932096902452</v>
      </c>
      <c r="M643">
        <f t="shared" ref="M643:M706" ca="1" si="217">AVERAGE(OFFSET(F643,0,0,$S$3,1))*$AE$25</f>
        <v>1.4397688824590179E-3</v>
      </c>
      <c r="N643">
        <f t="shared" ref="N643:N706" ca="1" si="218">STDEV(OFFSET(F643,0,0,$S$3,1))*$AD$25</f>
        <v>1.0042350992031322E-2</v>
      </c>
      <c r="O643">
        <f t="shared" ref="O643:O706" ca="1" si="219">SKEW(OFFSET(F643,0,0,$S$3,1))*$AC$25</f>
        <v>-0.65249787417038307</v>
      </c>
      <c r="P643">
        <f t="shared" ref="P643:P706" ca="1" si="220">KURT(OFFSET(F643,0,0,$S$3,1))*$AB$25</f>
        <v>1.1032683494074336</v>
      </c>
      <c r="Q643">
        <f t="shared" ref="Q643:Q706" ca="1" si="221">PERCENTILE(OFFSET(F643,0,0,$S$3,1), 0.95)/ABS(PERCENTILE(OFFSET(F643,0,0,$S$3,1), 0.05))*$AA$25</f>
        <v>1.0639524164852485</v>
      </c>
      <c r="R643">
        <f t="shared" ref="R643:R706" ca="1" si="222">PERCENTILE(OFFSET(F643,0,0,$S$3,1), 0.75)/ABS(PERCENTILE(OFFSET(F643,0,0,$S$3,1), 0.25))*$Z$25</f>
        <v>1.8430727623418932</v>
      </c>
      <c r="T643">
        <f t="shared" ref="T643:T706" si="223">E643+1</f>
        <v>1.0060996599638974</v>
      </c>
      <c r="U643" s="6">
        <f t="shared" ref="U643:U706" ca="1" si="224">PRODUCT(OFFSET(T643,0,0,$S$6,1))</f>
        <v>0.94315780360241952</v>
      </c>
      <c r="V643">
        <f t="shared" ref="V643:V706" ca="1" si="225">OFFSET(G643,$S$6,0) * $AK$2+ OFFSET(H643,$S$6,0)  * $AJ$2 + OFFSET(I643,$S$6,0) * $AI$2 + OFFSET(J643,$S$6,0) * $AH$2 + OFFSET(K643,$S$6,0) * $AG$2 + OFFSET(L643,$S$6,0) * $AF$2 + OFFSET(M643,$S$6,0) * $AE$2 + OFFSET(N643,$S$6,0) * $AD$2 + OFFSET(O643,$S$6,0) * $AC$2 + OFFSET(P643,$S$6,0) * $AB$2 +  OFFSET(Q643,$S$6,0) * $AA$2 + OFFSET(R643,$S$6,0)  * $Z$2  + AL$2</f>
        <v>1.1945461621958122</v>
      </c>
      <c r="X643" t="b">
        <f t="shared" ref="X643:X706" ca="1" si="226">OR(AND(U643&gt;1, W643&gt;1), AND(U643&lt;1, W643&lt;1))</f>
        <v>1</v>
      </c>
      <c r="BJ643" t="b">
        <f t="shared" si="207"/>
        <v>1</v>
      </c>
      <c r="BK643" t="b">
        <f t="shared" ca="1" si="208"/>
        <v>1</v>
      </c>
    </row>
    <row r="644" spans="1:63" x14ac:dyDescent="0.45">
      <c r="A644" s="1">
        <v>44305</v>
      </c>
      <c r="B644">
        <v>238.21</v>
      </c>
      <c r="C644" s="1">
        <v>44305</v>
      </c>
      <c r="D644">
        <v>415.21</v>
      </c>
      <c r="E644">
        <f t="shared" si="209"/>
        <v>-3.3995287781891544E-2</v>
      </c>
      <c r="F644" s="4">
        <f t="shared" si="210"/>
        <v>-4.9130038824713885E-3</v>
      </c>
      <c r="G644">
        <f t="shared" ca="1" si="211"/>
        <v>6.9893249086103249E-3</v>
      </c>
      <c r="H644">
        <f t="shared" ca="1" si="212"/>
        <v>4.8642958443751404E-2</v>
      </c>
      <c r="I644">
        <f t="shared" ca="1" si="213"/>
        <v>0.15593137339345065</v>
      </c>
      <c r="J644">
        <f t="shared" ca="1" si="214"/>
        <v>2.5763465984166682</v>
      </c>
      <c r="K644">
        <f t="shared" ca="1" si="215"/>
        <v>1.3676225366867276</v>
      </c>
      <c r="L644">
        <f t="shared" ca="1" si="216"/>
        <v>1.6090773637449181</v>
      </c>
      <c r="M644">
        <f t="shared" ca="1" si="217"/>
        <v>1.50391132229032E-3</v>
      </c>
      <c r="N644">
        <f t="shared" ca="1" si="218"/>
        <v>1.0027066634519775E-2</v>
      </c>
      <c r="O644">
        <f t="shared" ca="1" si="219"/>
        <v>-0.6711462805918067</v>
      </c>
      <c r="P644">
        <f t="shared" ca="1" si="220"/>
        <v>1.1430140291982047</v>
      </c>
      <c r="Q644">
        <f t="shared" ca="1" si="221"/>
        <v>1.0639524164852485</v>
      </c>
      <c r="R644">
        <f t="shared" ca="1" si="222"/>
        <v>1.8923643821571725</v>
      </c>
      <c r="T644">
        <f t="shared" si="223"/>
        <v>0.96600471221810846</v>
      </c>
      <c r="U644" s="6">
        <f t="shared" ca="1" si="224"/>
        <v>1.018021906638233</v>
      </c>
      <c r="V644">
        <f t="shared" ca="1" si="225"/>
        <v>1.1661957140513057</v>
      </c>
      <c r="X644" t="b">
        <f t="shared" ca="1" si="226"/>
        <v>0</v>
      </c>
      <c r="BJ644" t="b">
        <f t="shared" si="207"/>
        <v>1</v>
      </c>
      <c r="BK644" t="b">
        <f t="shared" ca="1" si="208"/>
        <v>0</v>
      </c>
    </row>
    <row r="645" spans="1:63" x14ac:dyDescent="0.45">
      <c r="A645" s="1">
        <v>44302</v>
      </c>
      <c r="B645">
        <v>246.59299999999999</v>
      </c>
      <c r="C645" s="1">
        <v>44302</v>
      </c>
      <c r="D645">
        <v>417.26</v>
      </c>
      <c r="E645">
        <f t="shared" si="209"/>
        <v>1.2587145682000068E-3</v>
      </c>
      <c r="F645" s="4">
        <f t="shared" si="210"/>
        <v>3.342390650924535E-3</v>
      </c>
      <c r="G645">
        <f t="shared" ca="1" si="211"/>
        <v>7.3436880379499003E-3</v>
      </c>
      <c r="H645">
        <f t="shared" ca="1" si="212"/>
        <v>4.8601020732645911E-2</v>
      </c>
      <c r="I645">
        <f t="shared" ca="1" si="213"/>
        <v>0.13846468716785817</v>
      </c>
      <c r="J645">
        <f t="shared" ca="1" si="214"/>
        <v>2.5894495400370001</v>
      </c>
      <c r="K645">
        <f t="shared" ca="1" si="215"/>
        <v>1.3676225366867276</v>
      </c>
      <c r="L645">
        <f t="shared" ca="1" si="216"/>
        <v>1.6486207020372232</v>
      </c>
      <c r="M645">
        <f t="shared" ca="1" si="217"/>
        <v>1.5635003396271801E-3</v>
      </c>
      <c r="N645">
        <f t="shared" ca="1" si="218"/>
        <v>1.0024152690182378E-2</v>
      </c>
      <c r="O645">
        <f t="shared" ca="1" si="219"/>
        <v>-0.68757538846057686</v>
      </c>
      <c r="P645">
        <f t="shared" ca="1" si="220"/>
        <v>1.1639494560702053</v>
      </c>
      <c r="Q645">
        <f t="shared" ca="1" si="221"/>
        <v>1.0639524164852485</v>
      </c>
      <c r="R645">
        <f t="shared" ca="1" si="222"/>
        <v>1.9721575562205909</v>
      </c>
      <c r="T645">
        <f t="shared" si="223"/>
        <v>1.0012587145681999</v>
      </c>
      <c r="U645" s="6">
        <f t="shared" ca="1" si="224"/>
        <v>1.0927005002813808</v>
      </c>
      <c r="V645">
        <f t="shared" ca="1" si="225"/>
        <v>1.2300561443053808</v>
      </c>
      <c r="X645" t="b">
        <f t="shared" ca="1" si="226"/>
        <v>0</v>
      </c>
      <c r="BJ645" t="b">
        <f t="shared" si="207"/>
        <v>1</v>
      </c>
      <c r="BK645" t="b">
        <f t="shared" ca="1" si="208"/>
        <v>0</v>
      </c>
    </row>
    <row r="646" spans="1:63" x14ac:dyDescent="0.45">
      <c r="A646" s="1">
        <v>44301</v>
      </c>
      <c r="B646">
        <v>246.28299999999999</v>
      </c>
      <c r="C646" s="1">
        <v>44301</v>
      </c>
      <c r="D646">
        <v>415.87</v>
      </c>
      <c r="E646">
        <f t="shared" si="209"/>
        <v>9.0381314093502824E-3</v>
      </c>
      <c r="F646" s="4">
        <f t="shared" si="210"/>
        <v>1.0742496050552962E-2</v>
      </c>
      <c r="G646">
        <f t="shared" ca="1" si="211"/>
        <v>7.6864284969115453E-3</v>
      </c>
      <c r="H646">
        <f t="shared" ca="1" si="212"/>
        <v>4.8799193917820026E-2</v>
      </c>
      <c r="I646">
        <f t="shared" ca="1" si="213"/>
        <v>0.12615579245510872</v>
      </c>
      <c r="J646">
        <f t="shared" ca="1" si="214"/>
        <v>2.5084472127210988</v>
      </c>
      <c r="K646">
        <f t="shared" ca="1" si="215"/>
        <v>1.3676225366867276</v>
      </c>
      <c r="L646">
        <f t="shared" ca="1" si="216"/>
        <v>1.6856933984424536</v>
      </c>
      <c r="M646">
        <f t="shared" ca="1" si="217"/>
        <v>1.6108362087465971E-3</v>
      </c>
      <c r="N646">
        <f t="shared" ca="1" si="218"/>
        <v>1.0054900843850627E-2</v>
      </c>
      <c r="O646">
        <f t="shared" ca="1" si="219"/>
        <v>-0.68847889318762112</v>
      </c>
      <c r="P646">
        <f t="shared" ca="1" si="220"/>
        <v>1.1338820003444461</v>
      </c>
      <c r="Q646">
        <f t="shared" ca="1" si="221"/>
        <v>1.0639524164852485</v>
      </c>
      <c r="R646">
        <f t="shared" ca="1" si="222"/>
        <v>1.993623184172298</v>
      </c>
      <c r="T646">
        <f t="shared" si="223"/>
        <v>1.0090381314093504</v>
      </c>
      <c r="U646" s="6">
        <f t="shared" ca="1" si="224"/>
        <v>1.0805061136386573</v>
      </c>
      <c r="V646">
        <f t="shared" ca="1" si="225"/>
        <v>1.225487307823498</v>
      </c>
      <c r="X646" t="b">
        <f t="shared" ca="1" si="226"/>
        <v>0</v>
      </c>
      <c r="BJ646" t="b">
        <f t="shared" si="207"/>
        <v>1</v>
      </c>
      <c r="BK646" t="b">
        <f t="shared" ca="1" si="208"/>
        <v>0</v>
      </c>
    </row>
    <row r="647" spans="1:63" x14ac:dyDescent="0.45">
      <c r="A647" s="1">
        <v>44300</v>
      </c>
      <c r="B647">
        <v>244.077</v>
      </c>
      <c r="C647" s="1">
        <v>44300</v>
      </c>
      <c r="D647">
        <v>411.45</v>
      </c>
      <c r="E647">
        <f t="shared" si="209"/>
        <v>-3.9471561192725907E-2</v>
      </c>
      <c r="F647" s="4">
        <f t="shared" si="210"/>
        <v>-3.4152012788839438E-3</v>
      </c>
      <c r="G647">
        <f t="shared" ca="1" si="211"/>
        <v>7.8996905153536391E-3</v>
      </c>
      <c r="H647">
        <f t="shared" ca="1" si="212"/>
        <v>4.8898229985026777E-2</v>
      </c>
      <c r="I647">
        <f t="shared" ca="1" si="213"/>
        <v>0.11587366343898461</v>
      </c>
      <c r="J647">
        <f t="shared" ca="1" si="214"/>
        <v>2.4648032914266151</v>
      </c>
      <c r="K647">
        <f t="shared" ca="1" si="215"/>
        <v>1.3676225366867276</v>
      </c>
      <c r="L647">
        <f t="shared" ca="1" si="216"/>
        <v>1.7832858460292829</v>
      </c>
      <c r="M647">
        <f t="shared" ca="1" si="217"/>
        <v>1.6306114805351582E-3</v>
      </c>
      <c r="N647">
        <f t="shared" ca="1" si="218"/>
        <v>1.0076815977778526E-2</v>
      </c>
      <c r="O647">
        <f t="shared" ca="1" si="219"/>
        <v>-0.68260276608465364</v>
      </c>
      <c r="P647">
        <f t="shared" ca="1" si="220"/>
        <v>1.1143237614770722</v>
      </c>
      <c r="Q647">
        <f t="shared" ca="1" si="221"/>
        <v>1.0639524164852485</v>
      </c>
      <c r="R647">
        <f t="shared" ca="1" si="222"/>
        <v>1.993623184172298</v>
      </c>
      <c r="T647">
        <f t="shared" si="223"/>
        <v>0.96052843880727412</v>
      </c>
      <c r="U647" s="6">
        <f t="shared" ca="1" si="224"/>
        <v>1.0913005182042146</v>
      </c>
      <c r="V647">
        <f t="shared" ca="1" si="225"/>
        <v>1.2332623618779186</v>
      </c>
      <c r="X647" t="b">
        <f t="shared" ca="1" si="226"/>
        <v>0</v>
      </c>
      <c r="BJ647" t="b">
        <f t="shared" si="207"/>
        <v>1</v>
      </c>
      <c r="BK647" t="b">
        <f t="shared" ca="1" si="208"/>
        <v>0</v>
      </c>
    </row>
    <row r="648" spans="1:63" x14ac:dyDescent="0.45">
      <c r="A648" s="1">
        <v>44299</v>
      </c>
      <c r="B648">
        <v>254.107</v>
      </c>
      <c r="C648" s="1">
        <v>44299</v>
      </c>
      <c r="D648">
        <v>412.86</v>
      </c>
      <c r="E648">
        <f t="shared" si="209"/>
        <v>8.5959836405362575E-2</v>
      </c>
      <c r="F648" s="4">
        <f t="shared" si="210"/>
        <v>2.9637547371490314E-3</v>
      </c>
      <c r="G648">
        <f t="shared" ca="1" si="211"/>
        <v>7.9639852774421385E-3</v>
      </c>
      <c r="H648">
        <f t="shared" ca="1" si="212"/>
        <v>4.8844053905804694E-2</v>
      </c>
      <c r="I648">
        <f t="shared" ca="1" si="213"/>
        <v>0.11511061695379569</v>
      </c>
      <c r="J648">
        <f t="shared" ca="1" si="214"/>
        <v>2.4853722755235825</v>
      </c>
      <c r="K648">
        <f t="shared" ca="1" si="215"/>
        <v>1.3676225366867276</v>
      </c>
      <c r="L648">
        <f t="shared" ca="1" si="216"/>
        <v>1.7832858460292829</v>
      </c>
      <c r="M648">
        <f t="shared" ca="1" si="217"/>
        <v>1.5289303696365893E-3</v>
      </c>
      <c r="N648">
        <f t="shared" ca="1" si="218"/>
        <v>1.0229433709977514E-2</v>
      </c>
      <c r="O648">
        <f t="shared" ca="1" si="219"/>
        <v>-0.69931442039266523</v>
      </c>
      <c r="P648">
        <f t="shared" ca="1" si="220"/>
        <v>1.0385818661677408</v>
      </c>
      <c r="Q648">
        <f t="shared" ca="1" si="221"/>
        <v>1.0411443703991634</v>
      </c>
      <c r="R648">
        <f t="shared" ca="1" si="222"/>
        <v>1.912961514292139</v>
      </c>
      <c r="T648">
        <f t="shared" si="223"/>
        <v>1.0859598364053626</v>
      </c>
      <c r="U648" s="6">
        <f t="shared" ca="1" si="224"/>
        <v>1.1022252103756398</v>
      </c>
      <c r="V648">
        <f t="shared" ca="1" si="225"/>
        <v>1.2180394046519938</v>
      </c>
      <c r="X648" t="b">
        <f t="shared" ca="1" si="226"/>
        <v>0</v>
      </c>
      <c r="BJ648" t="b">
        <f t="shared" si="207"/>
        <v>1</v>
      </c>
      <c r="BK648" t="b">
        <f t="shared" ca="1" si="208"/>
        <v>0</v>
      </c>
    </row>
    <row r="649" spans="1:63" x14ac:dyDescent="0.45">
      <c r="A649" s="1">
        <v>44298</v>
      </c>
      <c r="B649">
        <v>233.99299999999999</v>
      </c>
      <c r="C649" s="1">
        <v>44298</v>
      </c>
      <c r="D649">
        <v>411.64</v>
      </c>
      <c r="E649">
        <f t="shared" si="209"/>
        <v>3.6867502979975424E-2</v>
      </c>
      <c r="F649" s="4">
        <f t="shared" si="210"/>
        <v>3.6452890714228114E-4</v>
      </c>
      <c r="G649">
        <f t="shared" ca="1" si="211"/>
        <v>7.6649530565606862E-3</v>
      </c>
      <c r="H649">
        <f t="shared" ca="1" si="212"/>
        <v>4.8546315059579959E-2</v>
      </c>
      <c r="I649">
        <f t="shared" ca="1" si="213"/>
        <v>0.11512440550558298</v>
      </c>
      <c r="J649">
        <f t="shared" ca="1" si="214"/>
        <v>2.5905724054534272</v>
      </c>
      <c r="K649">
        <f t="shared" ca="1" si="215"/>
        <v>1.3676225366867276</v>
      </c>
      <c r="L649">
        <f t="shared" ca="1" si="216"/>
        <v>1.6856933984424536</v>
      </c>
      <c r="M649">
        <f t="shared" ca="1" si="217"/>
        <v>1.5677141478269349E-3</v>
      </c>
      <c r="N649">
        <f t="shared" ca="1" si="218"/>
        <v>1.0249585621500449E-2</v>
      </c>
      <c r="O649">
        <f t="shared" ca="1" si="219"/>
        <v>-0.70301747757721988</v>
      </c>
      <c r="P649">
        <f t="shared" ca="1" si="220"/>
        <v>1.0206709342909193</v>
      </c>
      <c r="Q649">
        <f t="shared" ca="1" si="221"/>
        <v>1.0411443703991634</v>
      </c>
      <c r="R649">
        <f t="shared" ca="1" si="222"/>
        <v>1.9606647976564389</v>
      </c>
      <c r="T649">
        <f t="shared" si="223"/>
        <v>1.0368675029799754</v>
      </c>
      <c r="U649" s="6">
        <f t="shared" ca="1" si="224"/>
        <v>1.0158150640329935</v>
      </c>
      <c r="V649">
        <f t="shared" ca="1" si="225"/>
        <v>1.2133954215732263</v>
      </c>
      <c r="X649" t="b">
        <f t="shared" ca="1" si="226"/>
        <v>0</v>
      </c>
      <c r="BJ649" t="b">
        <f t="shared" si="207"/>
        <v>1</v>
      </c>
      <c r="BK649" t="b">
        <f t="shared" ca="1" si="208"/>
        <v>0</v>
      </c>
    </row>
    <row r="650" spans="1:63" x14ac:dyDescent="0.45">
      <c r="A650" s="1">
        <v>44295</v>
      </c>
      <c r="B650">
        <v>225.673</v>
      </c>
      <c r="C650" s="1">
        <v>44295</v>
      </c>
      <c r="D650">
        <v>411.49</v>
      </c>
      <c r="E650">
        <f t="shared" si="209"/>
        <v>-9.9151943772950429E-3</v>
      </c>
      <c r="F650" s="4">
        <f t="shared" si="210"/>
        <v>7.2701458924900311E-3</v>
      </c>
      <c r="G650">
        <f t="shared" ca="1" si="211"/>
        <v>7.2763340605564364E-3</v>
      </c>
      <c r="H650">
        <f t="shared" ca="1" si="212"/>
        <v>4.862240494329792E-2</v>
      </c>
      <c r="I650">
        <f t="shared" ca="1" si="213"/>
        <v>0.13266131630347799</v>
      </c>
      <c r="J650">
        <f t="shared" ca="1" si="214"/>
        <v>2.5637680526863225</v>
      </c>
      <c r="K650">
        <f t="shared" ca="1" si="215"/>
        <v>1.3676225366867276</v>
      </c>
      <c r="L650">
        <f t="shared" ca="1" si="216"/>
        <v>1.6286511054189921</v>
      </c>
      <c r="M650">
        <f t="shared" ca="1" si="217"/>
        <v>1.4383478404166833E-3</v>
      </c>
      <c r="N650">
        <f t="shared" ca="1" si="218"/>
        <v>1.0426600659491305E-2</v>
      </c>
      <c r="O650">
        <f t="shared" ca="1" si="219"/>
        <v>-0.71909943798313891</v>
      </c>
      <c r="P650">
        <f t="shared" ca="1" si="220"/>
        <v>0.9496357749814659</v>
      </c>
      <c r="Q650">
        <f t="shared" ca="1" si="221"/>
        <v>0.92936450654375202</v>
      </c>
      <c r="R650">
        <f t="shared" ca="1" si="222"/>
        <v>1.9095941134359324</v>
      </c>
      <c r="T650">
        <f t="shared" si="223"/>
        <v>0.99008480562270496</v>
      </c>
      <c r="U650" s="6">
        <f t="shared" ca="1" si="224"/>
        <v>1.0230752143184199</v>
      </c>
      <c r="V650">
        <f t="shared" ca="1" si="225"/>
        <v>1.2225246319224468</v>
      </c>
      <c r="X650" t="b">
        <f t="shared" ca="1" si="226"/>
        <v>0</v>
      </c>
      <c r="BJ650" t="b">
        <f t="shared" si="207"/>
        <v>1</v>
      </c>
      <c r="BK650" t="b">
        <f t="shared" ca="1" si="208"/>
        <v>0</v>
      </c>
    </row>
    <row r="651" spans="1:63" x14ac:dyDescent="0.45">
      <c r="A651" s="1">
        <v>44294</v>
      </c>
      <c r="B651">
        <v>227.93299999999999</v>
      </c>
      <c r="C651" s="1">
        <v>44294</v>
      </c>
      <c r="D651">
        <v>408.52</v>
      </c>
      <c r="E651">
        <f t="shared" si="209"/>
        <v>1.9118561010833472E-2</v>
      </c>
      <c r="F651" s="4">
        <f t="shared" si="210"/>
        <v>4.746796527214164E-3</v>
      </c>
      <c r="G651">
        <f t="shared" ca="1" si="211"/>
        <v>7.3634205924236022E-3</v>
      </c>
      <c r="H651">
        <f t="shared" ca="1" si="212"/>
        <v>4.860705429625093E-2</v>
      </c>
      <c r="I651">
        <f t="shared" ca="1" si="213"/>
        <v>0.12758238737851232</v>
      </c>
      <c r="J651">
        <f t="shared" ca="1" si="214"/>
        <v>2.5698238339006512</v>
      </c>
      <c r="K651">
        <f t="shared" ca="1" si="215"/>
        <v>1.3676225366867276</v>
      </c>
      <c r="L651">
        <f t="shared" ca="1" si="216"/>
        <v>1.6286511054189921</v>
      </c>
      <c r="M651">
        <f t="shared" ca="1" si="217"/>
        <v>1.4250155901249246E-3</v>
      </c>
      <c r="N651">
        <f t="shared" ca="1" si="218"/>
        <v>1.0420809358802829E-2</v>
      </c>
      <c r="O651">
        <f t="shared" ca="1" si="219"/>
        <v>-0.71716946121721248</v>
      </c>
      <c r="P651">
        <f t="shared" ca="1" si="220"/>
        <v>0.95430617002013118</v>
      </c>
      <c r="Q651">
        <f t="shared" ca="1" si="221"/>
        <v>0.92936450654375202</v>
      </c>
      <c r="R651">
        <f t="shared" ca="1" si="222"/>
        <v>1.9095941134359324</v>
      </c>
      <c r="T651">
        <f t="shared" si="223"/>
        <v>1.0191185610108335</v>
      </c>
      <c r="U651" s="6">
        <f t="shared" ca="1" si="224"/>
        <v>1.0237600104202693</v>
      </c>
      <c r="V651">
        <f t="shared" ca="1" si="225"/>
        <v>1.200458477746154</v>
      </c>
      <c r="X651" t="b">
        <f t="shared" ca="1" si="226"/>
        <v>0</v>
      </c>
      <c r="BJ651" t="b">
        <f t="shared" si="207"/>
        <v>1</v>
      </c>
      <c r="BK651" t="b">
        <f t="shared" ca="1" si="208"/>
        <v>0</v>
      </c>
    </row>
    <row r="652" spans="1:63" x14ac:dyDescent="0.45">
      <c r="A652" s="1">
        <v>44293</v>
      </c>
      <c r="B652">
        <v>223.65700000000001</v>
      </c>
      <c r="C652" s="1">
        <v>44293</v>
      </c>
      <c r="D652">
        <v>406.59</v>
      </c>
      <c r="E652">
        <f t="shared" si="209"/>
        <v>-2.9855990283681712E-2</v>
      </c>
      <c r="F652" s="4">
        <f t="shared" si="210"/>
        <v>1.1572934108144647E-3</v>
      </c>
      <c r="G652">
        <f t="shared" ca="1" si="211"/>
        <v>7.2349548894140451E-3</v>
      </c>
      <c r="H652">
        <f t="shared" ca="1" si="212"/>
        <v>4.8609782685825213E-2</v>
      </c>
      <c r="I652">
        <f t="shared" ca="1" si="213"/>
        <v>0.1353779532860119</v>
      </c>
      <c r="J652">
        <f t="shared" ca="1" si="214"/>
        <v>2.5699974331717748</v>
      </c>
      <c r="K652">
        <f t="shared" ca="1" si="215"/>
        <v>1.3676225366867276</v>
      </c>
      <c r="L652">
        <f t="shared" ca="1" si="216"/>
        <v>1.6286511054189921</v>
      </c>
      <c r="M652">
        <f t="shared" ca="1" si="217"/>
        <v>1.4333578127765675E-3</v>
      </c>
      <c r="N652">
        <f t="shared" ca="1" si="218"/>
        <v>1.0424149212453604E-2</v>
      </c>
      <c r="O652">
        <f t="shared" ca="1" si="219"/>
        <v>-0.71851281818523527</v>
      </c>
      <c r="P652">
        <f t="shared" ca="1" si="220"/>
        <v>0.9517435868976909</v>
      </c>
      <c r="Q652">
        <f t="shared" ca="1" si="221"/>
        <v>0.92936450654375202</v>
      </c>
      <c r="R652">
        <f t="shared" ca="1" si="222"/>
        <v>1.9095941134359324</v>
      </c>
      <c r="T652">
        <f t="shared" si="223"/>
        <v>0.97014400971631831</v>
      </c>
      <c r="U652" s="6">
        <f t="shared" ca="1" si="224"/>
        <v>1.0556182241248298</v>
      </c>
      <c r="V652">
        <f t="shared" ca="1" si="225"/>
        <v>1.1997423394433024</v>
      </c>
      <c r="X652" t="b">
        <f t="shared" ca="1" si="226"/>
        <v>0</v>
      </c>
      <c r="BJ652" t="b">
        <f t="shared" si="207"/>
        <v>1</v>
      </c>
      <c r="BK652" t="b">
        <f t="shared" ca="1" si="208"/>
        <v>0</v>
      </c>
    </row>
    <row r="653" spans="1:63" x14ac:dyDescent="0.45">
      <c r="A653" s="1">
        <v>44292</v>
      </c>
      <c r="B653">
        <v>230.54</v>
      </c>
      <c r="C653" s="1">
        <v>44292</v>
      </c>
      <c r="D653">
        <v>406.12</v>
      </c>
      <c r="E653">
        <f t="shared" si="209"/>
        <v>8.2483177772953219E-4</v>
      </c>
      <c r="F653" s="4">
        <f t="shared" si="210"/>
        <v>-5.9060931194017396E-4</v>
      </c>
      <c r="G653">
        <f t="shared" ca="1" si="211"/>
        <v>7.3689951974401091E-3</v>
      </c>
      <c r="H653">
        <f t="shared" ca="1" si="212"/>
        <v>4.8543907995915681E-2</v>
      </c>
      <c r="I653">
        <f t="shared" ca="1" si="213"/>
        <v>0.12977841829860914</v>
      </c>
      <c r="J653">
        <f t="shared" ca="1" si="214"/>
        <v>2.5972778318517884</v>
      </c>
      <c r="K653">
        <f t="shared" ca="1" si="215"/>
        <v>1.3676225366867276</v>
      </c>
      <c r="L653">
        <f t="shared" ca="1" si="216"/>
        <v>1.6486207020372232</v>
      </c>
      <c r="M653">
        <f t="shared" ca="1" si="217"/>
        <v>1.3772153254517922E-3</v>
      </c>
      <c r="N653">
        <f t="shared" ca="1" si="218"/>
        <v>1.0455832641771709E-2</v>
      </c>
      <c r="O653">
        <f t="shared" ca="1" si="219"/>
        <v>-0.70249095975114817</v>
      </c>
      <c r="P653">
        <f t="shared" ca="1" si="220"/>
        <v>0.89552823827775763</v>
      </c>
      <c r="Q653">
        <f t="shared" ca="1" si="221"/>
        <v>0.92936450654375202</v>
      </c>
      <c r="R653">
        <f t="shared" ca="1" si="222"/>
        <v>1.8490027410950052</v>
      </c>
      <c r="T653">
        <f t="shared" si="223"/>
        <v>1.0008248317777295</v>
      </c>
      <c r="U653" s="6">
        <f t="shared" ca="1" si="224"/>
        <v>1.1314124742961185</v>
      </c>
      <c r="V653">
        <f t="shared" ca="1" si="225"/>
        <v>1.2128841604538301</v>
      </c>
      <c r="X653" t="b">
        <f t="shared" ca="1" si="226"/>
        <v>0</v>
      </c>
      <c r="BJ653" t="b">
        <f t="shared" si="207"/>
        <v>1</v>
      </c>
      <c r="BK653" t="b">
        <f t="shared" ca="1" si="208"/>
        <v>0</v>
      </c>
    </row>
    <row r="654" spans="1:63" x14ac:dyDescent="0.45">
      <c r="A654" s="1">
        <v>44291</v>
      </c>
      <c r="B654">
        <v>230.35</v>
      </c>
      <c r="C654" s="1">
        <v>44291</v>
      </c>
      <c r="D654">
        <v>406.36</v>
      </c>
      <c r="E654">
        <f t="shared" si="209"/>
        <v>4.4278117533989456E-2</v>
      </c>
      <c r="F654" s="4">
        <f t="shared" si="210"/>
        <v>1.4353111504954942E-2</v>
      </c>
      <c r="G654">
        <f t="shared" ca="1" si="211"/>
        <v>7.4262298248665018E-3</v>
      </c>
      <c r="H654">
        <f t="shared" ca="1" si="212"/>
        <v>4.8542901583770899E-2</v>
      </c>
      <c r="I654">
        <f t="shared" ca="1" si="213"/>
        <v>0.12623126835685747</v>
      </c>
      <c r="J654">
        <f t="shared" ca="1" si="214"/>
        <v>2.5971286328786958</v>
      </c>
      <c r="K654">
        <f t="shared" ca="1" si="215"/>
        <v>1.3676225366867276</v>
      </c>
      <c r="L654">
        <f t="shared" ca="1" si="216"/>
        <v>1.6486207020372232</v>
      </c>
      <c r="M654">
        <f t="shared" ca="1" si="217"/>
        <v>1.3820935468815427E-3</v>
      </c>
      <c r="N654">
        <f t="shared" ca="1" si="218"/>
        <v>1.04551375024789E-2</v>
      </c>
      <c r="O654">
        <f t="shared" ca="1" si="219"/>
        <v>-0.70401548165258443</v>
      </c>
      <c r="P654">
        <f t="shared" ca="1" si="220"/>
        <v>0.8979097226866064</v>
      </c>
      <c r="Q654">
        <f t="shared" ca="1" si="221"/>
        <v>0.92936450654375202</v>
      </c>
      <c r="R654">
        <f t="shared" ca="1" si="222"/>
        <v>1.8490027410950052</v>
      </c>
      <c r="T654">
        <f t="shared" si="223"/>
        <v>1.0442781175339895</v>
      </c>
      <c r="U654" s="6">
        <f t="shared" ca="1" si="224"/>
        <v>1.1169188845842406</v>
      </c>
      <c r="V654">
        <f t="shared" ca="1" si="225"/>
        <v>1.3642849242927824</v>
      </c>
      <c r="X654" t="b">
        <f t="shared" ca="1" si="226"/>
        <v>0</v>
      </c>
      <c r="BJ654" t="b">
        <f t="shared" si="207"/>
        <v>1</v>
      </c>
      <c r="BK654" t="b">
        <f t="shared" ca="1" si="208"/>
        <v>0</v>
      </c>
    </row>
    <row r="655" spans="1:63" x14ac:dyDescent="0.45">
      <c r="A655" s="1">
        <v>44287</v>
      </c>
      <c r="B655">
        <v>220.583</v>
      </c>
      <c r="C655" s="1">
        <v>44287</v>
      </c>
      <c r="D655">
        <v>400.61</v>
      </c>
      <c r="E655">
        <f t="shared" si="209"/>
        <v>-9.2524804283090067E-3</v>
      </c>
      <c r="F655" s="4">
        <f t="shared" si="210"/>
        <v>1.0799081573436353E-2</v>
      </c>
      <c r="G655">
        <f t="shared" ca="1" si="211"/>
        <v>7.254018087847103E-3</v>
      </c>
      <c r="H655">
        <f t="shared" ca="1" si="212"/>
        <v>4.8472551338552092E-2</v>
      </c>
      <c r="I655">
        <f t="shared" ca="1" si="213"/>
        <v>0.13531780818967226</v>
      </c>
      <c r="J655">
        <f t="shared" ca="1" si="214"/>
        <v>2.6301129091714008</v>
      </c>
      <c r="K655">
        <f t="shared" ca="1" si="215"/>
        <v>1.3676225366867276</v>
      </c>
      <c r="L655">
        <f t="shared" ca="1" si="216"/>
        <v>1.6288069582385445</v>
      </c>
      <c r="M655">
        <f t="shared" ca="1" si="217"/>
        <v>1.289558561953906E-3</v>
      </c>
      <c r="N655">
        <f t="shared" ca="1" si="218"/>
        <v>1.0421604287998243E-2</v>
      </c>
      <c r="O655">
        <f t="shared" ca="1" si="219"/>
        <v>-0.69447340033063854</v>
      </c>
      <c r="P655">
        <f t="shared" ca="1" si="220"/>
        <v>0.91124360504887614</v>
      </c>
      <c r="Q655">
        <f t="shared" ca="1" si="221"/>
        <v>0.92936450654375202</v>
      </c>
      <c r="R655">
        <f t="shared" ca="1" si="222"/>
        <v>1.8040162131554762</v>
      </c>
      <c r="T655">
        <f t="shared" si="223"/>
        <v>0.99074751957169105</v>
      </c>
      <c r="U655" s="6">
        <f t="shared" ca="1" si="224"/>
        <v>1.0333547265802507</v>
      </c>
      <c r="V655">
        <f t="shared" ca="1" si="225"/>
        <v>1.346267908719248</v>
      </c>
      <c r="X655" t="b">
        <f t="shared" ca="1" si="226"/>
        <v>0</v>
      </c>
      <c r="BJ655" t="b">
        <f t="shared" si="207"/>
        <v>1</v>
      </c>
      <c r="BK655" t="b">
        <f t="shared" ca="1" si="208"/>
        <v>0</v>
      </c>
    </row>
    <row r="656" spans="1:63" x14ac:dyDescent="0.45">
      <c r="A656" s="1">
        <v>44286</v>
      </c>
      <c r="B656">
        <v>222.643</v>
      </c>
      <c r="C656" s="1">
        <v>44286</v>
      </c>
      <c r="D656">
        <v>396.33</v>
      </c>
      <c r="E656">
        <f t="shared" si="209"/>
        <v>5.083233824036102E-2</v>
      </c>
      <c r="F656" s="4">
        <f t="shared" si="210"/>
        <v>4.0534035923288471E-3</v>
      </c>
      <c r="G656">
        <f t="shared" ca="1" si="211"/>
        <v>7.256025267463672E-3</v>
      </c>
      <c r="H656">
        <f t="shared" ca="1" si="212"/>
        <v>4.8471872699823268E-2</v>
      </c>
      <c r="I656">
        <f t="shared" ca="1" si="213"/>
        <v>0.13521228158454815</v>
      </c>
      <c r="J656">
        <f t="shared" ca="1" si="214"/>
        <v>2.6304013865796199</v>
      </c>
      <c r="K656">
        <f t="shared" ca="1" si="215"/>
        <v>1.3676225366867276</v>
      </c>
      <c r="L656">
        <f t="shared" ca="1" si="216"/>
        <v>1.6288069582385445</v>
      </c>
      <c r="M656">
        <f t="shared" ca="1" si="217"/>
        <v>1.331801551741829E-3</v>
      </c>
      <c r="N656">
        <f t="shared" ca="1" si="218"/>
        <v>1.047731781674552E-2</v>
      </c>
      <c r="O656">
        <f t="shared" ca="1" si="219"/>
        <v>-0.673907554742737</v>
      </c>
      <c r="P656">
        <f t="shared" ca="1" si="220"/>
        <v>0.87991804216809522</v>
      </c>
      <c r="Q656">
        <f t="shared" ca="1" si="221"/>
        <v>0.95359799916345156</v>
      </c>
      <c r="R656">
        <f t="shared" ca="1" si="222"/>
        <v>1.8040162131554762</v>
      </c>
      <c r="T656">
        <f t="shared" si="223"/>
        <v>1.050832338240361</v>
      </c>
      <c r="U656" s="6">
        <f t="shared" ca="1" si="224"/>
        <v>1.0597505830834406</v>
      </c>
      <c r="V656">
        <f t="shared" ca="1" si="225"/>
        <v>1.3557844892144915</v>
      </c>
      <c r="X656" t="b">
        <f t="shared" ca="1" si="226"/>
        <v>0</v>
      </c>
      <c r="BJ656" t="b">
        <f t="shared" si="207"/>
        <v>1</v>
      </c>
      <c r="BK656" t="b">
        <f t="shared" ca="1" si="208"/>
        <v>0</v>
      </c>
    </row>
    <row r="657" spans="1:63" x14ac:dyDescent="0.45">
      <c r="A657" s="1">
        <v>44285</v>
      </c>
      <c r="B657">
        <v>211.87299999999999</v>
      </c>
      <c r="C657" s="1">
        <v>44285</v>
      </c>
      <c r="D657">
        <v>394.73</v>
      </c>
      <c r="E657">
        <f t="shared" si="209"/>
        <v>3.980114152225863E-2</v>
      </c>
      <c r="F657" s="4">
        <f t="shared" si="210"/>
        <v>-2.6529890343118768E-3</v>
      </c>
      <c r="G657">
        <f t="shared" ca="1" si="211"/>
        <v>7.2992076871163701E-3</v>
      </c>
      <c r="H657">
        <f t="shared" ca="1" si="212"/>
        <v>4.8514716946864447E-2</v>
      </c>
      <c r="I657">
        <f t="shared" ca="1" si="213"/>
        <v>0.13480622349059132</v>
      </c>
      <c r="J657">
        <f t="shared" ca="1" si="214"/>
        <v>2.6134594288665056</v>
      </c>
      <c r="K657">
        <f t="shared" ca="1" si="215"/>
        <v>1.3676225366867276</v>
      </c>
      <c r="L657">
        <f t="shared" ca="1" si="216"/>
        <v>1.6288069582385445</v>
      </c>
      <c r="M657">
        <f t="shared" ca="1" si="217"/>
        <v>1.3582128152304987E-3</v>
      </c>
      <c r="N657">
        <f t="shared" ca="1" si="218"/>
        <v>1.0490861924537525E-2</v>
      </c>
      <c r="O657">
        <f t="shared" ca="1" si="219"/>
        <v>-0.67676426541261037</v>
      </c>
      <c r="P657">
        <f t="shared" ca="1" si="220"/>
        <v>0.86832998964516062</v>
      </c>
      <c r="Q657">
        <f t="shared" ca="1" si="221"/>
        <v>0.95359799916345156</v>
      </c>
      <c r="R657">
        <f t="shared" ca="1" si="222"/>
        <v>1.8490027410950052</v>
      </c>
      <c r="T657">
        <f t="shared" si="223"/>
        <v>1.0398011415222586</v>
      </c>
      <c r="U657" s="6">
        <f t="shared" ca="1" si="224"/>
        <v>0.95991754258789408</v>
      </c>
      <c r="V657">
        <f t="shared" ca="1" si="225"/>
        <v>1.3263210331017636</v>
      </c>
      <c r="X657" t="b">
        <f t="shared" ca="1" si="226"/>
        <v>1</v>
      </c>
      <c r="BJ657" t="b">
        <f t="shared" si="207"/>
        <v>1</v>
      </c>
      <c r="BK657" t="b">
        <f t="shared" ca="1" si="208"/>
        <v>1</v>
      </c>
    </row>
    <row r="658" spans="1:63" x14ac:dyDescent="0.45">
      <c r="A658" s="1">
        <v>44284</v>
      </c>
      <c r="B658">
        <v>203.76300000000001</v>
      </c>
      <c r="C658" s="1">
        <v>44284</v>
      </c>
      <c r="D658">
        <v>395.78</v>
      </c>
      <c r="E658">
        <f t="shared" si="209"/>
        <v>-1.199590762084393E-2</v>
      </c>
      <c r="F658" s="4">
        <f t="shared" si="210"/>
        <v>-5.0507601394021284E-4</v>
      </c>
      <c r="G658">
        <f t="shared" ca="1" si="211"/>
        <v>6.9071589302883533E-3</v>
      </c>
      <c r="H658">
        <f t="shared" ca="1" si="212"/>
        <v>4.8567535007708898E-2</v>
      </c>
      <c r="I658">
        <f t="shared" ca="1" si="213"/>
        <v>0.15302069925913764</v>
      </c>
      <c r="J658">
        <f t="shared" ca="1" si="214"/>
        <v>2.5966154120140787</v>
      </c>
      <c r="K658">
        <f t="shared" ca="1" si="215"/>
        <v>1.3676225366867276</v>
      </c>
      <c r="L658">
        <f t="shared" ca="1" si="216"/>
        <v>1.5772932096902452</v>
      </c>
      <c r="M658">
        <f t="shared" ca="1" si="217"/>
        <v>1.4313560079653456E-3</v>
      </c>
      <c r="N658">
        <f t="shared" ca="1" si="218"/>
        <v>1.0513726093256367E-2</v>
      </c>
      <c r="O658">
        <f t="shared" ca="1" si="219"/>
        <v>-0.68793105619775741</v>
      </c>
      <c r="P658">
        <f t="shared" ca="1" si="220"/>
        <v>0.85890260087438408</v>
      </c>
      <c r="Q658">
        <f t="shared" ca="1" si="221"/>
        <v>0.95359799916345156</v>
      </c>
      <c r="R658">
        <f t="shared" ca="1" si="222"/>
        <v>1.9355577272555458</v>
      </c>
      <c r="T658">
        <f t="shared" si="223"/>
        <v>0.9880040923791561</v>
      </c>
      <c r="U658" s="6">
        <f t="shared" ca="1" si="224"/>
        <v>0.91237300354179651</v>
      </c>
      <c r="V658">
        <f t="shared" ca="1" si="225"/>
        <v>1.3141741494813495</v>
      </c>
      <c r="X658" t="b">
        <f t="shared" ca="1" si="226"/>
        <v>1</v>
      </c>
      <c r="BJ658" t="b">
        <f t="shared" si="207"/>
        <v>1</v>
      </c>
      <c r="BK658" t="b">
        <f t="shared" ca="1" si="208"/>
        <v>1</v>
      </c>
    </row>
    <row r="659" spans="1:63" x14ac:dyDescent="0.45">
      <c r="A659" s="1">
        <v>44281</v>
      </c>
      <c r="B659">
        <v>206.23699999999999</v>
      </c>
      <c r="C659" s="1">
        <v>44281</v>
      </c>
      <c r="D659">
        <v>395.98</v>
      </c>
      <c r="E659">
        <f t="shared" si="209"/>
        <v>-3.3851299756866529E-2</v>
      </c>
      <c r="F659" s="4">
        <f t="shared" si="210"/>
        <v>1.6114960225814805E-2</v>
      </c>
      <c r="G659">
        <f t="shared" ca="1" si="211"/>
        <v>6.7124656498338767E-3</v>
      </c>
      <c r="H659">
        <f t="shared" ca="1" si="212"/>
        <v>4.8721495660857018E-2</v>
      </c>
      <c r="I659">
        <f t="shared" ca="1" si="213"/>
        <v>0.15548713067328207</v>
      </c>
      <c r="J659">
        <f t="shared" ca="1" si="214"/>
        <v>2.5382403071868165</v>
      </c>
      <c r="K659">
        <f t="shared" ca="1" si="215"/>
        <v>1.3676225366867276</v>
      </c>
      <c r="L659">
        <f t="shared" ca="1" si="216"/>
        <v>1.5301204516426232</v>
      </c>
      <c r="M659">
        <f t="shared" ca="1" si="217"/>
        <v>1.1456368739284641E-3</v>
      </c>
      <c r="N659">
        <f t="shared" ca="1" si="218"/>
        <v>1.1312719964509835E-2</v>
      </c>
      <c r="O659">
        <f t="shared" ca="1" si="219"/>
        <v>-1.1986447406345193</v>
      </c>
      <c r="P659">
        <f t="shared" ca="1" si="220"/>
        <v>3.5922503174423692</v>
      </c>
      <c r="Q659">
        <f t="shared" ca="1" si="221"/>
        <v>0.89514658497585431</v>
      </c>
      <c r="R659">
        <f t="shared" ca="1" si="222"/>
        <v>1.867021533438318</v>
      </c>
      <c r="T659">
        <f t="shared" si="223"/>
        <v>0.96614870024313348</v>
      </c>
      <c r="U659" s="6">
        <f t="shared" ca="1" si="224"/>
        <v>0.94478446103806857</v>
      </c>
      <c r="V659">
        <f t="shared" ca="1" si="225"/>
        <v>1.3345330403998643</v>
      </c>
      <c r="X659" t="b">
        <f t="shared" ca="1" si="226"/>
        <v>1</v>
      </c>
      <c r="BJ659" t="b">
        <f t="shared" si="207"/>
        <v>1</v>
      </c>
      <c r="BK659" t="b">
        <f t="shared" ca="1" si="208"/>
        <v>1</v>
      </c>
    </row>
    <row r="660" spans="1:63" x14ac:dyDescent="0.45">
      <c r="A660" s="1">
        <v>44280</v>
      </c>
      <c r="B660">
        <v>213.46299999999999</v>
      </c>
      <c r="C660" s="1">
        <v>44280</v>
      </c>
      <c r="D660">
        <v>389.7</v>
      </c>
      <c r="E660">
        <f t="shared" si="209"/>
        <v>1.6055024037317296E-2</v>
      </c>
      <c r="F660" s="4">
        <f t="shared" si="210"/>
        <v>5.625516102394733E-3</v>
      </c>
      <c r="G660">
        <f t="shared" ca="1" si="211"/>
        <v>7.3302378068807539E-3</v>
      </c>
      <c r="H660">
        <f t="shared" ca="1" si="212"/>
        <v>4.8987166139978437E-2</v>
      </c>
      <c r="I660">
        <f t="shared" ca="1" si="213"/>
        <v>0.14231652554719776</v>
      </c>
      <c r="J660">
        <f t="shared" ca="1" si="214"/>
        <v>2.4500058703517276</v>
      </c>
      <c r="K660">
        <f t="shared" ca="1" si="215"/>
        <v>1.4151904480551454</v>
      </c>
      <c r="L660">
        <f t="shared" ca="1" si="216"/>
        <v>1.6090773637449181</v>
      </c>
      <c r="M660">
        <f t="shared" ca="1" si="217"/>
        <v>1.0371622006088597E-3</v>
      </c>
      <c r="N660">
        <f t="shared" ca="1" si="218"/>
        <v>1.1272403448366297E-2</v>
      </c>
      <c r="O660">
        <f t="shared" ca="1" si="219"/>
        <v>-1.1953552937736831</v>
      </c>
      <c r="P660">
        <f t="shared" ca="1" si="220"/>
        <v>3.6247580090819236</v>
      </c>
      <c r="Q660">
        <f t="shared" ca="1" si="221"/>
        <v>0.89514658497585431</v>
      </c>
      <c r="R660">
        <f t="shared" ca="1" si="222"/>
        <v>1.6401574053285195</v>
      </c>
      <c r="T660">
        <f t="shared" si="223"/>
        <v>1.0160550240373174</v>
      </c>
      <c r="U660" s="6">
        <f t="shared" ca="1" si="224"/>
        <v>0.9804473635862575</v>
      </c>
      <c r="V660">
        <f t="shared" ca="1" si="225"/>
        <v>1.3335628646534352</v>
      </c>
      <c r="X660" t="b">
        <f t="shared" ca="1" si="226"/>
        <v>1</v>
      </c>
      <c r="BJ660" t="b">
        <f t="shared" si="207"/>
        <v>1</v>
      </c>
      <c r="BK660" t="b">
        <f t="shared" ca="1" si="208"/>
        <v>1</v>
      </c>
    </row>
    <row r="661" spans="1:63" x14ac:dyDescent="0.45">
      <c r="A661" s="1">
        <v>44279</v>
      </c>
      <c r="B661">
        <v>210.09</v>
      </c>
      <c r="C661" s="1">
        <v>44279</v>
      </c>
      <c r="D661">
        <v>387.52</v>
      </c>
      <c r="E661">
        <f t="shared" si="209"/>
        <v>-4.8160565422254421E-2</v>
      </c>
      <c r="F661" s="4">
        <f t="shared" si="210"/>
        <v>-5.0834403080873385E-3</v>
      </c>
      <c r="G661">
        <f t="shared" ca="1" si="211"/>
        <v>7.2012717442990178E-3</v>
      </c>
      <c r="H661">
        <f t="shared" ca="1" si="212"/>
        <v>4.8998032453103191E-2</v>
      </c>
      <c r="I661">
        <f t="shared" ca="1" si="213"/>
        <v>0.14995461698053747</v>
      </c>
      <c r="J661">
        <f t="shared" ca="1" si="214"/>
        <v>2.4467713303248804</v>
      </c>
      <c r="K661">
        <f t="shared" ca="1" si="215"/>
        <v>1.4151904480551454</v>
      </c>
      <c r="L661">
        <f t="shared" ca="1" si="216"/>
        <v>1.6090773637449181</v>
      </c>
      <c r="M661">
        <f t="shared" ca="1" si="217"/>
        <v>9.717512042553021E-4</v>
      </c>
      <c r="N661">
        <f t="shared" ca="1" si="218"/>
        <v>1.1283595403106392E-2</v>
      </c>
      <c r="O661">
        <f t="shared" ca="1" si="219"/>
        <v>-1.176741440871186</v>
      </c>
      <c r="P661">
        <f t="shared" ca="1" si="220"/>
        <v>3.5718051657219547</v>
      </c>
      <c r="Q661">
        <f t="shared" ca="1" si="221"/>
        <v>0.89514658497585431</v>
      </c>
      <c r="R661">
        <f t="shared" ca="1" si="222"/>
        <v>1.6128123659909555</v>
      </c>
      <c r="T661">
        <f t="shared" si="223"/>
        <v>0.95183943457774556</v>
      </c>
      <c r="U661" s="6">
        <f t="shared" ca="1" si="224"/>
        <v>0.8980622988240422</v>
      </c>
      <c r="V661">
        <f t="shared" ca="1" si="225"/>
        <v>1.3181496372899355</v>
      </c>
      <c r="X661" t="b">
        <f t="shared" ca="1" si="226"/>
        <v>1</v>
      </c>
      <c r="BJ661" t="b">
        <f t="shared" si="207"/>
        <v>1</v>
      </c>
      <c r="BK661" t="b">
        <f t="shared" ca="1" si="208"/>
        <v>1</v>
      </c>
    </row>
    <row r="662" spans="1:63" x14ac:dyDescent="0.45">
      <c r="A662" s="1">
        <v>44278</v>
      </c>
      <c r="B662">
        <v>220.72</v>
      </c>
      <c r="C662" s="1">
        <v>44278</v>
      </c>
      <c r="D662">
        <v>389.5</v>
      </c>
      <c r="E662">
        <f t="shared" si="209"/>
        <v>-1.1700017462712629E-2</v>
      </c>
      <c r="F662" s="4">
        <f t="shared" si="210"/>
        <v>-7.8708066940064072E-3</v>
      </c>
      <c r="G662">
        <f t="shared" ca="1" si="211"/>
        <v>7.8048548708479996E-3</v>
      </c>
      <c r="H662">
        <f t="shared" ca="1" si="212"/>
        <v>4.9056120178752868E-2</v>
      </c>
      <c r="I662">
        <f t="shared" ca="1" si="213"/>
        <v>0.13143397021452616</v>
      </c>
      <c r="J662">
        <f t="shared" ca="1" si="214"/>
        <v>2.4211804546815294</v>
      </c>
      <c r="K662">
        <f t="shared" ca="1" si="215"/>
        <v>1.4151904480551454</v>
      </c>
      <c r="L662">
        <f t="shared" ca="1" si="216"/>
        <v>1.6486207020372232</v>
      </c>
      <c r="M662">
        <f t="shared" ca="1" si="217"/>
        <v>1.0576055574209662E-3</v>
      </c>
      <c r="N662">
        <f t="shared" ca="1" si="218"/>
        <v>1.130259993727006E-2</v>
      </c>
      <c r="O662">
        <f t="shared" ca="1" si="219"/>
        <v>-1.1882254931234875</v>
      </c>
      <c r="P662">
        <f t="shared" ca="1" si="220"/>
        <v>3.5683067436956906</v>
      </c>
      <c r="Q662">
        <f t="shared" ca="1" si="221"/>
        <v>0.89514658497585431</v>
      </c>
      <c r="R662">
        <f t="shared" ca="1" si="222"/>
        <v>1.7147623053451533</v>
      </c>
      <c r="T662">
        <f t="shared" si="223"/>
        <v>0.98829998253728735</v>
      </c>
      <c r="U662" s="6">
        <f t="shared" ca="1" si="224"/>
        <v>0.97825171632827634</v>
      </c>
      <c r="V662">
        <f t="shared" ca="1" si="225"/>
        <v>1.310684870005097</v>
      </c>
      <c r="X662" t="b">
        <f t="shared" ca="1" si="226"/>
        <v>1</v>
      </c>
      <c r="BJ662" t="b">
        <f t="shared" si="207"/>
        <v>1</v>
      </c>
      <c r="BK662" t="b">
        <f t="shared" ca="1" si="208"/>
        <v>1</v>
      </c>
    </row>
    <row r="663" spans="1:63" x14ac:dyDescent="0.45">
      <c r="A663" s="1">
        <v>44277</v>
      </c>
      <c r="B663">
        <v>223.333</v>
      </c>
      <c r="C663" s="1">
        <v>44277</v>
      </c>
      <c r="D663">
        <v>392.59</v>
      </c>
      <c r="E663">
        <f t="shared" si="209"/>
        <v>2.3102295112006992E-2</v>
      </c>
      <c r="F663" s="4">
        <f t="shared" si="210"/>
        <v>7.9850056485569389E-3</v>
      </c>
      <c r="G663">
        <f t="shared" ca="1" si="211"/>
        <v>7.9864519311925054E-3</v>
      </c>
      <c r="H663">
        <f t="shared" ca="1" si="212"/>
        <v>4.9050777488587737E-2</v>
      </c>
      <c r="I663">
        <f t="shared" ca="1" si="213"/>
        <v>0.12078163090812856</v>
      </c>
      <c r="J663">
        <f t="shared" ca="1" si="214"/>
        <v>2.4215950261076555</v>
      </c>
      <c r="K663">
        <f t="shared" ca="1" si="215"/>
        <v>1.4151904480551454</v>
      </c>
      <c r="L663">
        <f t="shared" ca="1" si="216"/>
        <v>1.6486207020372232</v>
      </c>
      <c r="M663">
        <f t="shared" ca="1" si="217"/>
        <v>1.2251070729053862E-3</v>
      </c>
      <c r="N663">
        <f t="shared" ca="1" si="218"/>
        <v>1.1417269434335282E-2</v>
      </c>
      <c r="O663">
        <f t="shared" ca="1" si="219"/>
        <v>-1.1442161485482114</v>
      </c>
      <c r="P663">
        <f t="shared" ca="1" si="220"/>
        <v>3.4829197535766623</v>
      </c>
      <c r="Q663">
        <f t="shared" ca="1" si="221"/>
        <v>0.89904668712604308</v>
      </c>
      <c r="R663">
        <f t="shared" ca="1" si="222"/>
        <v>1.8695022544020927</v>
      </c>
      <c r="T663">
        <f t="shared" si="223"/>
        <v>1.023102295112007</v>
      </c>
      <c r="U663" s="6">
        <f t="shared" ca="1" si="224"/>
        <v>0.94640647512501064</v>
      </c>
      <c r="V663">
        <f t="shared" ca="1" si="225"/>
        <v>1.2853421024691896</v>
      </c>
      <c r="X663" t="b">
        <f t="shared" ca="1" si="226"/>
        <v>1</v>
      </c>
      <c r="BJ663" t="b">
        <f t="shared" si="207"/>
        <v>1</v>
      </c>
      <c r="BK663" t="b">
        <f t="shared" ca="1" si="208"/>
        <v>1</v>
      </c>
    </row>
    <row r="664" spans="1:63" x14ac:dyDescent="0.45">
      <c r="A664" s="1">
        <v>44274</v>
      </c>
      <c r="B664">
        <v>218.29</v>
      </c>
      <c r="C664" s="1">
        <v>44274</v>
      </c>
      <c r="D664">
        <v>389.48</v>
      </c>
      <c r="E664">
        <f t="shared" si="209"/>
        <v>2.6180415212198843E-3</v>
      </c>
      <c r="F664" s="4">
        <f t="shared" si="210"/>
        <v>-5.1088178195565544E-3</v>
      </c>
      <c r="G664">
        <f t="shared" ca="1" si="211"/>
        <v>7.7657233450045826E-3</v>
      </c>
      <c r="H664">
        <f t="shared" ca="1" si="212"/>
        <v>4.9081732487231709E-2</v>
      </c>
      <c r="I664">
        <f t="shared" ca="1" si="213"/>
        <v>0.1329826053749778</v>
      </c>
      <c r="J664">
        <f t="shared" ca="1" si="214"/>
        <v>2.4107182834072889</v>
      </c>
      <c r="K664">
        <f t="shared" ca="1" si="215"/>
        <v>1.4151904480551454</v>
      </c>
      <c r="L664">
        <f t="shared" ca="1" si="216"/>
        <v>1.6363331691301455</v>
      </c>
      <c r="M664">
        <f t="shared" ca="1" si="217"/>
        <v>1.1720485960111824E-3</v>
      </c>
      <c r="N664">
        <f t="shared" ca="1" si="218"/>
        <v>1.1410352192753234E-2</v>
      </c>
      <c r="O664">
        <f t="shared" ca="1" si="219"/>
        <v>-1.1334579665881355</v>
      </c>
      <c r="P664">
        <f t="shared" ca="1" si="220"/>
        <v>3.4765505991376298</v>
      </c>
      <c r="Q664">
        <f t="shared" ca="1" si="221"/>
        <v>0.89904668712604308</v>
      </c>
      <c r="R664">
        <f t="shared" ca="1" si="222"/>
        <v>1.8695022544020927</v>
      </c>
      <c r="T664">
        <f t="shared" si="223"/>
        <v>1.0026180415212198</v>
      </c>
      <c r="U664" s="6">
        <f t="shared" ca="1" si="224"/>
        <v>0.94398533144787089</v>
      </c>
      <c r="V664">
        <f t="shared" ca="1" si="225"/>
        <v>1.305537997998885</v>
      </c>
      <c r="X664" t="b">
        <f t="shared" ca="1" si="226"/>
        <v>1</v>
      </c>
      <c r="BJ664" t="b">
        <f t="shared" si="207"/>
        <v>1</v>
      </c>
      <c r="BK664" t="b">
        <f t="shared" ca="1" si="208"/>
        <v>1</v>
      </c>
    </row>
    <row r="665" spans="1:63" x14ac:dyDescent="0.45">
      <c r="A665" s="1">
        <v>44273</v>
      </c>
      <c r="B665">
        <v>217.72</v>
      </c>
      <c r="C665" s="1">
        <v>44273</v>
      </c>
      <c r="D665">
        <v>391.48</v>
      </c>
      <c r="E665">
        <f t="shared" si="209"/>
        <v>-6.9322082440999119E-2</v>
      </c>
      <c r="F665" s="4">
        <f t="shared" si="210"/>
        <v>-1.4549665206665591E-2</v>
      </c>
      <c r="G665">
        <f t="shared" ca="1" si="211"/>
        <v>7.7605707661828937E-3</v>
      </c>
      <c r="H665">
        <f t="shared" ca="1" si="212"/>
        <v>4.9082329692118225E-2</v>
      </c>
      <c r="I665">
        <f t="shared" ca="1" si="213"/>
        <v>0.1332915996003837</v>
      </c>
      <c r="J665">
        <f t="shared" ca="1" si="214"/>
        <v>2.4105104360385994</v>
      </c>
      <c r="K665">
        <f t="shared" ca="1" si="215"/>
        <v>1.4151904480551454</v>
      </c>
      <c r="L665">
        <f t="shared" ca="1" si="216"/>
        <v>1.6363331691301455</v>
      </c>
      <c r="M665">
        <f t="shared" ca="1" si="217"/>
        <v>1.2641338432497085E-3</v>
      </c>
      <c r="N665">
        <f t="shared" ca="1" si="218"/>
        <v>1.1433700740596655E-2</v>
      </c>
      <c r="O665">
        <f t="shared" ca="1" si="219"/>
        <v>-1.1440228768635325</v>
      </c>
      <c r="P665">
        <f t="shared" ca="1" si="220"/>
        <v>3.4667418428318824</v>
      </c>
      <c r="Q665">
        <f t="shared" ca="1" si="221"/>
        <v>0.89904668712604308</v>
      </c>
      <c r="R665">
        <f t="shared" ca="1" si="222"/>
        <v>1.9548661101840652</v>
      </c>
      <c r="T665">
        <f t="shared" si="223"/>
        <v>0.93067791755900087</v>
      </c>
      <c r="U665" s="6">
        <f t="shared" ca="1" si="224"/>
        <v>0.93361921097770151</v>
      </c>
      <c r="V665">
        <f t="shared" ca="1" si="225"/>
        <v>1.2936927189353837</v>
      </c>
      <c r="X665" t="b">
        <f t="shared" ca="1" si="226"/>
        <v>1</v>
      </c>
      <c r="BJ665" t="b">
        <f t="shared" si="207"/>
        <v>1</v>
      </c>
      <c r="BK665" t="b">
        <f t="shared" ca="1" si="208"/>
        <v>1</v>
      </c>
    </row>
    <row r="666" spans="1:63" x14ac:dyDescent="0.45">
      <c r="A666" s="1">
        <v>44272</v>
      </c>
      <c r="B666">
        <v>233.93700000000001</v>
      </c>
      <c r="C666" s="1">
        <v>44272</v>
      </c>
      <c r="D666">
        <v>397.26</v>
      </c>
      <c r="E666">
        <f t="shared" si="209"/>
        <v>3.6830698453642521E-2</v>
      </c>
      <c r="F666" s="4">
        <f t="shared" si="210"/>
        <v>3.4098658786086882E-3</v>
      </c>
      <c r="G666">
        <f t="shared" ca="1" si="211"/>
        <v>8.015103407495016E-3</v>
      </c>
      <c r="H666">
        <f t="shared" ca="1" si="212"/>
        <v>4.8811834343924075E-2</v>
      </c>
      <c r="I666">
        <f t="shared" ca="1" si="213"/>
        <v>0.1389248784176238</v>
      </c>
      <c r="J666">
        <f t="shared" ca="1" si="214"/>
        <v>2.4975605944302597</v>
      </c>
      <c r="K666">
        <f t="shared" ca="1" si="215"/>
        <v>1.5323906728775778</v>
      </c>
      <c r="L666">
        <f t="shared" ca="1" si="216"/>
        <v>1.6486207020372232</v>
      </c>
      <c r="M666">
        <f t="shared" ca="1" si="217"/>
        <v>1.3782829220239951E-3</v>
      </c>
      <c r="N666">
        <f t="shared" ca="1" si="218"/>
        <v>1.1388903013880236E-2</v>
      </c>
      <c r="O666">
        <f t="shared" ca="1" si="219"/>
        <v>-1.1731738858676302</v>
      </c>
      <c r="P666">
        <f t="shared" ca="1" si="220"/>
        <v>3.5986770986192438</v>
      </c>
      <c r="Q666">
        <f t="shared" ca="1" si="221"/>
        <v>0.89904668712604308</v>
      </c>
      <c r="R666">
        <f t="shared" ca="1" si="222"/>
        <v>2.0189265995096117</v>
      </c>
      <c r="T666">
        <f t="shared" si="223"/>
        <v>1.0368306984536426</v>
      </c>
      <c r="U666" s="6">
        <f t="shared" ca="1" si="224"/>
        <v>1.0505193388028939</v>
      </c>
      <c r="V666">
        <f t="shared" ca="1" si="225"/>
        <v>1.2917889724477334</v>
      </c>
      <c r="X666" t="b">
        <f t="shared" ca="1" si="226"/>
        <v>0</v>
      </c>
      <c r="BJ666" t="b">
        <f t="shared" si="207"/>
        <v>1</v>
      </c>
      <c r="BK666" t="b">
        <f t="shared" ca="1" si="208"/>
        <v>0</v>
      </c>
    </row>
    <row r="667" spans="1:63" x14ac:dyDescent="0.45">
      <c r="A667" s="1">
        <v>44271</v>
      </c>
      <c r="B667">
        <v>225.62700000000001</v>
      </c>
      <c r="C667" s="1">
        <v>44271</v>
      </c>
      <c r="D667">
        <v>395.91</v>
      </c>
      <c r="E667">
        <f t="shared" si="209"/>
        <v>-4.3872362064581664E-2</v>
      </c>
      <c r="F667" s="4">
        <f t="shared" si="210"/>
        <v>-1.2613203501425291E-3</v>
      </c>
      <c r="G667">
        <f t="shared" ca="1" si="211"/>
        <v>8.2087880123297447E-3</v>
      </c>
      <c r="H667">
        <f t="shared" ca="1" si="212"/>
        <v>4.900322727492968E-2</v>
      </c>
      <c r="I667">
        <f t="shared" ca="1" si="213"/>
        <v>0.13759129373115495</v>
      </c>
      <c r="J667">
        <f t="shared" ca="1" si="214"/>
        <v>2.427231541756945</v>
      </c>
      <c r="K667">
        <f t="shared" ca="1" si="215"/>
        <v>1.5323906728775778</v>
      </c>
      <c r="L667">
        <f t="shared" ca="1" si="216"/>
        <v>1.6486207020372232</v>
      </c>
      <c r="M667">
        <f t="shared" ca="1" si="217"/>
        <v>1.3814425831672292E-3</v>
      </c>
      <c r="N667">
        <f t="shared" ca="1" si="218"/>
        <v>1.1389557115728359E-2</v>
      </c>
      <c r="O667">
        <f t="shared" ca="1" si="219"/>
        <v>-1.1737763202826472</v>
      </c>
      <c r="P667">
        <f t="shared" ca="1" si="220"/>
        <v>3.598489591931421</v>
      </c>
      <c r="Q667">
        <f t="shared" ca="1" si="221"/>
        <v>0.89904668712604308</v>
      </c>
      <c r="R667">
        <f t="shared" ca="1" si="222"/>
        <v>2.0189265995096117</v>
      </c>
      <c r="T667">
        <f t="shared" si="223"/>
        <v>0.95612763793541833</v>
      </c>
      <c r="U667" s="6">
        <f t="shared" ca="1" si="224"/>
        <v>1.0048991880709224</v>
      </c>
      <c r="V667">
        <f t="shared" ca="1" si="225"/>
        <v>1.2976163555314146</v>
      </c>
      <c r="X667" t="b">
        <f t="shared" ca="1" si="226"/>
        <v>0</v>
      </c>
      <c r="BJ667" t="b">
        <f t="shared" si="207"/>
        <v>1</v>
      </c>
      <c r="BK667" t="b">
        <f t="shared" ca="1" si="208"/>
        <v>0</v>
      </c>
    </row>
    <row r="668" spans="1:63" x14ac:dyDescent="0.45">
      <c r="A668" s="1">
        <v>44270</v>
      </c>
      <c r="B668">
        <v>235.98</v>
      </c>
      <c r="C668" s="1">
        <v>44270</v>
      </c>
      <c r="D668">
        <v>396.41</v>
      </c>
      <c r="E668">
        <f t="shared" si="209"/>
        <v>2.0484944409128038E-2</v>
      </c>
      <c r="F668" s="4">
        <f t="shared" si="210"/>
        <v>5.9635588489063158E-3</v>
      </c>
      <c r="G668">
        <f t="shared" ca="1" si="211"/>
        <v>8.6092718110109528E-3</v>
      </c>
      <c r="H668">
        <f t="shared" ca="1" si="212"/>
        <v>4.890264614131816E-2</v>
      </c>
      <c r="I668">
        <f t="shared" ca="1" si="213"/>
        <v>0.1207107879484806</v>
      </c>
      <c r="J668">
        <f t="shared" ca="1" si="214"/>
        <v>2.4618434186192264</v>
      </c>
      <c r="K668">
        <f t="shared" ca="1" si="215"/>
        <v>1.5323906728775778</v>
      </c>
      <c r="L668">
        <f t="shared" ca="1" si="216"/>
        <v>1.6875136686119285</v>
      </c>
      <c r="M668">
        <f t="shared" ca="1" si="217"/>
        <v>1.4100286185252298E-3</v>
      </c>
      <c r="N668">
        <f t="shared" ca="1" si="218"/>
        <v>1.1390065499776274E-2</v>
      </c>
      <c r="O668">
        <f t="shared" ca="1" si="219"/>
        <v>-1.1810612009145696</v>
      </c>
      <c r="P668">
        <f t="shared" ca="1" si="220"/>
        <v>3.6093743074344466</v>
      </c>
      <c r="Q668">
        <f t="shared" ca="1" si="221"/>
        <v>0.89904668712604308</v>
      </c>
      <c r="R668">
        <f t="shared" ca="1" si="222"/>
        <v>2.0189265995096117</v>
      </c>
      <c r="T668">
        <f t="shared" si="223"/>
        <v>1.020484944409128</v>
      </c>
      <c r="U668" s="6">
        <f t="shared" ca="1" si="224"/>
        <v>1.2574400400709769</v>
      </c>
      <c r="V668">
        <f t="shared" ca="1" si="225"/>
        <v>1.3372298607833288</v>
      </c>
      <c r="X668" t="b">
        <f t="shared" ca="1" si="226"/>
        <v>0</v>
      </c>
      <c r="BJ668" t="b">
        <f t="shared" si="207"/>
        <v>1</v>
      </c>
      <c r="BK668" t="b">
        <f t="shared" ca="1" si="208"/>
        <v>0</v>
      </c>
    </row>
    <row r="669" spans="1:63" x14ac:dyDescent="0.45">
      <c r="A669" s="1">
        <v>44267</v>
      </c>
      <c r="B669">
        <v>231.24299999999999</v>
      </c>
      <c r="C669" s="1">
        <v>44267</v>
      </c>
      <c r="D669">
        <v>394.06</v>
      </c>
      <c r="E669">
        <f t="shared" si="209"/>
        <v>-8.3919382504287904E-3</v>
      </c>
      <c r="F669" s="4">
        <f t="shared" si="210"/>
        <v>1.3467842350012187E-3</v>
      </c>
      <c r="G669">
        <f t="shared" ca="1" si="211"/>
        <v>8.418947963110374E-3</v>
      </c>
      <c r="H669">
        <f t="shared" ca="1" si="212"/>
        <v>4.8930259245299541E-2</v>
      </c>
      <c r="I669">
        <f t="shared" ca="1" si="213"/>
        <v>0.13144269895376984</v>
      </c>
      <c r="J669">
        <f t="shared" ca="1" si="214"/>
        <v>2.4518214890221532</v>
      </c>
      <c r="K669">
        <f t="shared" ca="1" si="215"/>
        <v>1.5323906728775778</v>
      </c>
      <c r="L669">
        <f t="shared" ca="1" si="216"/>
        <v>1.6875136686119285</v>
      </c>
      <c r="M669">
        <f t="shared" ca="1" si="217"/>
        <v>1.370986035956645E-3</v>
      </c>
      <c r="N669">
        <f t="shared" ca="1" si="218"/>
        <v>1.1387761273857763E-2</v>
      </c>
      <c r="O669">
        <f t="shared" ca="1" si="219"/>
        <v>-1.171831996316733</v>
      </c>
      <c r="P669">
        <f t="shared" ca="1" si="220"/>
        <v>3.5981952321139525</v>
      </c>
      <c r="Q669">
        <f t="shared" ca="1" si="221"/>
        <v>0.89904668712604308</v>
      </c>
      <c r="R669">
        <f t="shared" ca="1" si="222"/>
        <v>2.0189265995096117</v>
      </c>
      <c r="T669">
        <f t="shared" si="223"/>
        <v>0.99160806174957117</v>
      </c>
      <c r="U669" s="6">
        <f t="shared" ca="1" si="224"/>
        <v>1.1601770044702659</v>
      </c>
      <c r="V669">
        <f t="shared" ca="1" si="225"/>
        <v>1.2895074574170073</v>
      </c>
      <c r="X669" t="b">
        <f t="shared" ca="1" si="226"/>
        <v>0</v>
      </c>
      <c r="BJ669" t="b">
        <f t="shared" si="207"/>
        <v>1</v>
      </c>
      <c r="BK669" t="b">
        <f t="shared" ca="1" si="208"/>
        <v>0</v>
      </c>
    </row>
    <row r="670" spans="1:63" x14ac:dyDescent="0.45">
      <c r="A670" s="1">
        <v>44266</v>
      </c>
      <c r="B670">
        <v>233.2</v>
      </c>
      <c r="C670" s="1">
        <v>44266</v>
      </c>
      <c r="D670">
        <v>393.53</v>
      </c>
      <c r="E670">
        <f t="shared" si="209"/>
        <v>4.7209760785317405E-2</v>
      </c>
      <c r="F670" s="4">
        <f t="shared" si="210"/>
        <v>1.0139124185019737E-2</v>
      </c>
      <c r="G670">
        <f t="shared" ca="1" si="211"/>
        <v>8.4692148388406299E-3</v>
      </c>
      <c r="H670">
        <f t="shared" ca="1" si="212"/>
        <v>4.8918064836456852E-2</v>
      </c>
      <c r="I670">
        <f t="shared" ca="1" si="213"/>
        <v>0.1286197880307676</v>
      </c>
      <c r="J670">
        <f t="shared" ca="1" si="214"/>
        <v>2.4566890666890746</v>
      </c>
      <c r="K670">
        <f t="shared" ca="1" si="215"/>
        <v>1.5323906728775778</v>
      </c>
      <c r="L670">
        <f t="shared" ca="1" si="216"/>
        <v>1.6875136686119285</v>
      </c>
      <c r="M670">
        <f t="shared" ca="1" si="217"/>
        <v>1.4386469255346147E-3</v>
      </c>
      <c r="N670">
        <f t="shared" ca="1" si="218"/>
        <v>1.1427747570622388E-2</v>
      </c>
      <c r="O670">
        <f t="shared" ca="1" si="219"/>
        <v>-1.1691329484082036</v>
      </c>
      <c r="P670">
        <f t="shared" ca="1" si="220"/>
        <v>3.543836159139178</v>
      </c>
      <c r="Q670">
        <f t="shared" ca="1" si="221"/>
        <v>0.89904668712604308</v>
      </c>
      <c r="R670">
        <f t="shared" ca="1" si="222"/>
        <v>2.0655863592853492</v>
      </c>
      <c r="T670">
        <f t="shared" si="223"/>
        <v>1.0472097607853175</v>
      </c>
      <c r="U670" s="6">
        <f t="shared" ca="1" si="224"/>
        <v>1.1257705880365152</v>
      </c>
      <c r="V670">
        <f t="shared" ca="1" si="225"/>
        <v>1.2891635990806787</v>
      </c>
      <c r="X670" t="b">
        <f t="shared" ca="1" si="226"/>
        <v>0</v>
      </c>
      <c r="BJ670" t="b">
        <f t="shared" si="207"/>
        <v>1</v>
      </c>
      <c r="BK670" t="b">
        <f t="shared" ca="1" si="208"/>
        <v>0</v>
      </c>
    </row>
    <row r="671" spans="1:63" x14ac:dyDescent="0.45">
      <c r="A671" s="1">
        <v>44265</v>
      </c>
      <c r="B671">
        <v>222.68700000000001</v>
      </c>
      <c r="C671" s="1">
        <v>44265</v>
      </c>
      <c r="D671">
        <v>389.58</v>
      </c>
      <c r="E671">
        <f t="shared" si="209"/>
        <v>-8.1950055004519507E-3</v>
      </c>
      <c r="F671" s="4">
        <f t="shared" si="210"/>
        <v>6.2246558359376194E-3</v>
      </c>
      <c r="G671">
        <f t="shared" ca="1" si="211"/>
        <v>8.2453403982389109E-3</v>
      </c>
      <c r="H671">
        <f t="shared" ca="1" si="212"/>
        <v>4.8842274908724517E-2</v>
      </c>
      <c r="I671">
        <f t="shared" ca="1" si="213"/>
        <v>0.14056683134942838</v>
      </c>
      <c r="J671">
        <f t="shared" ca="1" si="214"/>
        <v>2.4913728699760744</v>
      </c>
      <c r="K671">
        <f t="shared" ca="1" si="215"/>
        <v>1.5323906728775778</v>
      </c>
      <c r="L671">
        <f t="shared" ca="1" si="216"/>
        <v>1.6576159340626069</v>
      </c>
      <c r="M671">
        <f t="shared" ca="1" si="217"/>
        <v>1.4495543373742054E-3</v>
      </c>
      <c r="N671">
        <f t="shared" ca="1" si="218"/>
        <v>1.1437130846830828E-2</v>
      </c>
      <c r="O671">
        <f t="shared" ca="1" si="219"/>
        <v>-1.1670102453878117</v>
      </c>
      <c r="P671">
        <f t="shared" ca="1" si="220"/>
        <v>3.529284223077485</v>
      </c>
      <c r="Q671">
        <f t="shared" ca="1" si="221"/>
        <v>0.89904668712604308</v>
      </c>
      <c r="R671">
        <f t="shared" ca="1" si="222"/>
        <v>2.0655863592853492</v>
      </c>
      <c r="T671">
        <f t="shared" si="223"/>
        <v>0.99180499449954806</v>
      </c>
      <c r="U671" s="6">
        <f t="shared" ca="1" si="224"/>
        <v>1.0227526374045279</v>
      </c>
      <c r="V671">
        <f t="shared" ca="1" si="225"/>
        <v>1.2687923126788121</v>
      </c>
      <c r="X671" t="b">
        <f t="shared" ca="1" si="226"/>
        <v>0</v>
      </c>
      <c r="BJ671" t="b">
        <f t="shared" si="207"/>
        <v>1</v>
      </c>
      <c r="BK671" t="b">
        <f t="shared" ca="1" si="208"/>
        <v>0</v>
      </c>
    </row>
    <row r="672" spans="1:63" x14ac:dyDescent="0.45">
      <c r="A672" s="1">
        <v>44264</v>
      </c>
      <c r="B672">
        <v>224.52699999999999</v>
      </c>
      <c r="C672" s="1">
        <v>44264</v>
      </c>
      <c r="D672">
        <v>387.17</v>
      </c>
      <c r="E672">
        <f t="shared" si="209"/>
        <v>0.19641172928644879</v>
      </c>
      <c r="F672" s="4">
        <f t="shared" si="210"/>
        <v>1.4277480876034759E-2</v>
      </c>
      <c r="G672">
        <f t="shared" ca="1" si="211"/>
        <v>8.221555840942002E-3</v>
      </c>
      <c r="H672">
        <f t="shared" ca="1" si="212"/>
        <v>4.8851478400388816E-2</v>
      </c>
      <c r="I672">
        <f t="shared" ca="1" si="213"/>
        <v>0.14174156226364523</v>
      </c>
      <c r="J672">
        <f t="shared" ca="1" si="214"/>
        <v>2.4875986608602991</v>
      </c>
      <c r="K672">
        <f t="shared" ca="1" si="215"/>
        <v>1.5323906728775778</v>
      </c>
      <c r="L672">
        <f t="shared" ca="1" si="216"/>
        <v>1.6576159340626069</v>
      </c>
      <c r="M672">
        <f t="shared" ca="1" si="217"/>
        <v>1.4279264461489396E-3</v>
      </c>
      <c r="N672">
        <f t="shared" ca="1" si="218"/>
        <v>1.1432144437865681E-2</v>
      </c>
      <c r="O672">
        <f t="shared" ca="1" si="219"/>
        <v>-1.1631746736019033</v>
      </c>
      <c r="P672">
        <f t="shared" ca="1" si="220"/>
        <v>3.5316025127823778</v>
      </c>
      <c r="Q672">
        <f t="shared" ca="1" si="221"/>
        <v>0.89904668712604308</v>
      </c>
      <c r="R672">
        <f t="shared" ca="1" si="222"/>
        <v>2.0655863592853492</v>
      </c>
      <c r="T672">
        <f t="shared" si="223"/>
        <v>1.1964117292864489</v>
      </c>
      <c r="U672" s="6">
        <f t="shared" ca="1" si="224"/>
        <v>0.98126854680459596</v>
      </c>
      <c r="V672">
        <f t="shared" ca="1" si="225"/>
        <v>1.2810590434342988</v>
      </c>
      <c r="X672" t="b">
        <f t="shared" ca="1" si="226"/>
        <v>1</v>
      </c>
      <c r="BJ672" t="b">
        <f t="shared" si="207"/>
        <v>1</v>
      </c>
      <c r="BK672" t="b">
        <f t="shared" ca="1" si="208"/>
        <v>1</v>
      </c>
    </row>
    <row r="673" spans="1:63" x14ac:dyDescent="0.45">
      <c r="A673" s="1">
        <v>44263</v>
      </c>
      <c r="B673">
        <v>187.667</v>
      </c>
      <c r="C673" s="1">
        <v>44263</v>
      </c>
      <c r="D673">
        <v>381.72</v>
      </c>
      <c r="E673">
        <f t="shared" si="209"/>
        <v>-5.8449605402449388E-2</v>
      </c>
      <c r="F673" s="4">
        <f t="shared" si="210"/>
        <v>-4.9787555717748042E-3</v>
      </c>
      <c r="G673">
        <f t="shared" ca="1" si="211"/>
        <v>7.3133053301416362E-3</v>
      </c>
      <c r="H673">
        <f t="shared" ca="1" si="212"/>
        <v>4.6988139677052142E-2</v>
      </c>
      <c r="I673">
        <f t="shared" ca="1" si="213"/>
        <v>-0.10821382099029773</v>
      </c>
      <c r="J673">
        <f t="shared" ca="1" si="214"/>
        <v>2.0755416517496315</v>
      </c>
      <c r="K673">
        <f t="shared" ca="1" si="215"/>
        <v>1.47661278056062</v>
      </c>
      <c r="L673">
        <f t="shared" ca="1" si="216"/>
        <v>1.6376940821814925</v>
      </c>
      <c r="M673">
        <f t="shared" ca="1" si="217"/>
        <v>1.3220191212487773E-3</v>
      </c>
      <c r="N673">
        <f t="shared" ca="1" si="218"/>
        <v>1.1410600241253229E-2</v>
      </c>
      <c r="O673">
        <f t="shared" ca="1" si="219"/>
        <v>-1.1508738061269947</v>
      </c>
      <c r="P673">
        <f t="shared" ca="1" si="220"/>
        <v>3.5304342576283751</v>
      </c>
      <c r="Q673">
        <f t="shared" ca="1" si="221"/>
        <v>0.89904668712604308</v>
      </c>
      <c r="R673">
        <f t="shared" ca="1" si="222"/>
        <v>1.9548661101840652</v>
      </c>
      <c r="T673">
        <f t="shared" si="223"/>
        <v>0.94155039459755063</v>
      </c>
      <c r="U673" s="6">
        <f t="shared" ca="1" si="224"/>
        <v>0.78365354501684936</v>
      </c>
      <c r="V673">
        <f t="shared" ca="1" si="225"/>
        <v>1.2575796733276121</v>
      </c>
      <c r="X673" t="b">
        <f t="shared" ca="1" si="226"/>
        <v>1</v>
      </c>
      <c r="BJ673" t="b">
        <f t="shared" si="207"/>
        <v>1</v>
      </c>
      <c r="BK673" t="b">
        <f t="shared" ca="1" si="208"/>
        <v>1</v>
      </c>
    </row>
    <row r="674" spans="1:63" x14ac:dyDescent="0.45">
      <c r="A674" s="1">
        <v>44260</v>
      </c>
      <c r="B674">
        <v>199.31700000000001</v>
      </c>
      <c r="C674" s="1">
        <v>44260</v>
      </c>
      <c r="D674">
        <v>383.63</v>
      </c>
      <c r="E674">
        <f t="shared" si="209"/>
        <v>-3.7799244015119624E-2</v>
      </c>
      <c r="F674" s="4">
        <f t="shared" si="210"/>
        <v>1.8396602070613239E-2</v>
      </c>
      <c r="G674">
        <f t="shared" ca="1" si="211"/>
        <v>7.6522792929256782E-3</v>
      </c>
      <c r="H674">
        <f t="shared" ca="1" si="212"/>
        <v>4.6755299930034959E-2</v>
      </c>
      <c r="I674">
        <f t="shared" ca="1" si="213"/>
        <v>-0.11768398031794712</v>
      </c>
      <c r="J674">
        <f t="shared" ca="1" si="214"/>
        <v>2.1612095247297516</v>
      </c>
      <c r="K674">
        <f t="shared" ca="1" si="215"/>
        <v>1.4809255628865536</v>
      </c>
      <c r="L674">
        <f t="shared" ca="1" si="216"/>
        <v>1.6583943874690978</v>
      </c>
      <c r="M674">
        <f t="shared" ca="1" si="217"/>
        <v>1.4318531326932935E-3</v>
      </c>
      <c r="N674">
        <f t="shared" ca="1" si="218"/>
        <v>1.1455281139751947E-2</v>
      </c>
      <c r="O674">
        <f t="shared" ca="1" si="219"/>
        <v>-1.1526875568041741</v>
      </c>
      <c r="P674">
        <f t="shared" ca="1" si="220"/>
        <v>3.4906111188000573</v>
      </c>
      <c r="Q674">
        <f t="shared" ca="1" si="221"/>
        <v>0.91658297555011659</v>
      </c>
      <c r="R674">
        <f t="shared" ca="1" si="222"/>
        <v>2.0655863592853492</v>
      </c>
      <c r="T674">
        <f t="shared" si="223"/>
        <v>0.96220075598488042</v>
      </c>
      <c r="U674" s="6">
        <f t="shared" ca="1" si="224"/>
        <v>0.88519632095289291</v>
      </c>
      <c r="V674">
        <f t="shared" ca="1" si="225"/>
        <v>1.2725118956897266</v>
      </c>
      <c r="X674" t="b">
        <f t="shared" ca="1" si="226"/>
        <v>1</v>
      </c>
      <c r="BJ674" t="b">
        <f t="shared" si="207"/>
        <v>1</v>
      </c>
      <c r="BK674" t="b">
        <f t="shared" ca="1" si="208"/>
        <v>1</v>
      </c>
    </row>
    <row r="675" spans="1:63" x14ac:dyDescent="0.45">
      <c r="A675" s="1">
        <v>44259</v>
      </c>
      <c r="B675">
        <v>207.14699999999999</v>
      </c>
      <c r="C675" s="1">
        <v>44259</v>
      </c>
      <c r="D675">
        <v>376.7</v>
      </c>
      <c r="E675">
        <f t="shared" si="209"/>
        <v>-4.8619180372290891E-2</v>
      </c>
      <c r="F675" s="4">
        <f t="shared" si="210"/>
        <v>-1.2374809920822261E-2</v>
      </c>
      <c r="G675">
        <f t="shared" ca="1" si="211"/>
        <v>7.8067358573838562E-3</v>
      </c>
      <c r="H675">
        <f t="shared" ca="1" si="212"/>
        <v>4.6655313841937399E-2</v>
      </c>
      <c r="I675">
        <f t="shared" ca="1" si="213"/>
        <v>-0.12393559256605509</v>
      </c>
      <c r="J675">
        <f t="shared" ca="1" si="214"/>
        <v>2.2029801516760363</v>
      </c>
      <c r="K675">
        <f t="shared" ca="1" si="215"/>
        <v>1.4809255628865536</v>
      </c>
      <c r="L675">
        <f t="shared" ca="1" si="216"/>
        <v>1.6711794902397763</v>
      </c>
      <c r="M675">
        <f t="shared" ca="1" si="217"/>
        <v>1.2885141901368376E-3</v>
      </c>
      <c r="N675">
        <f t="shared" ca="1" si="218"/>
        <v>1.1421244189939509E-2</v>
      </c>
      <c r="O675">
        <f t="shared" ca="1" si="219"/>
        <v>-1.1470864915814796</v>
      </c>
      <c r="P675">
        <f t="shared" ca="1" si="220"/>
        <v>3.4896485566290938</v>
      </c>
      <c r="Q675">
        <f t="shared" ca="1" si="221"/>
        <v>0.89791887306587581</v>
      </c>
      <c r="R675">
        <f t="shared" ca="1" si="222"/>
        <v>1.9548661101840652</v>
      </c>
      <c r="T675">
        <f t="shared" si="223"/>
        <v>0.95138081962770915</v>
      </c>
      <c r="U675" s="6">
        <f t="shared" ca="1" si="224"/>
        <v>0.91090863517833653</v>
      </c>
      <c r="V675">
        <f t="shared" ca="1" si="225"/>
        <v>1.2942696474685209</v>
      </c>
      <c r="X675" t="b">
        <f t="shared" ca="1" si="226"/>
        <v>1</v>
      </c>
      <c r="BJ675" t="b">
        <f t="shared" si="207"/>
        <v>1</v>
      </c>
      <c r="BK675" t="b">
        <f t="shared" ca="1" si="208"/>
        <v>1</v>
      </c>
    </row>
    <row r="676" spans="1:63" x14ac:dyDescent="0.45">
      <c r="A676" s="1">
        <v>44258</v>
      </c>
      <c r="B676">
        <v>217.733</v>
      </c>
      <c r="C676" s="1">
        <v>44258</v>
      </c>
      <c r="D676">
        <v>381.42</v>
      </c>
      <c r="E676">
        <f t="shared" si="209"/>
        <v>-4.8423822073046484E-2</v>
      </c>
      <c r="F676" s="4">
        <f t="shared" si="210"/>
        <v>-1.3245718425001305E-2</v>
      </c>
      <c r="G676">
        <f t="shared" ca="1" si="211"/>
        <v>8.1403006206890571E-3</v>
      </c>
      <c r="H676">
        <f t="shared" ca="1" si="212"/>
        <v>4.6488050533257809E-2</v>
      </c>
      <c r="I676">
        <f t="shared" ca="1" si="213"/>
        <v>-0.13789020589949086</v>
      </c>
      <c r="J676">
        <f t="shared" ca="1" si="214"/>
        <v>2.2714197813019821</v>
      </c>
      <c r="K676">
        <f t="shared" ca="1" si="215"/>
        <v>1.4809255628865536</v>
      </c>
      <c r="L676">
        <f t="shared" ca="1" si="216"/>
        <v>1.722189712301446</v>
      </c>
      <c r="M676">
        <f t="shared" ca="1" si="217"/>
        <v>1.5026866888117891E-3</v>
      </c>
      <c r="N676">
        <f t="shared" ca="1" si="218"/>
        <v>1.1564461250769303E-2</v>
      </c>
      <c r="O676">
        <f t="shared" ca="1" si="219"/>
        <v>-1.0712805785770894</v>
      </c>
      <c r="P676">
        <f t="shared" ca="1" si="220"/>
        <v>3.4503066143174728</v>
      </c>
      <c r="Q676">
        <f t="shared" ca="1" si="221"/>
        <v>0.91658297555011659</v>
      </c>
      <c r="R676">
        <f t="shared" ca="1" si="222"/>
        <v>2.0655863592853492</v>
      </c>
      <c r="T676">
        <f t="shared" si="223"/>
        <v>0.95157617792695348</v>
      </c>
      <c r="U676" s="6">
        <f t="shared" ca="1" si="224"/>
        <v>0.88029837470688121</v>
      </c>
      <c r="V676">
        <f t="shared" ca="1" si="225"/>
        <v>1.2360236648931693</v>
      </c>
      <c r="X676" t="b">
        <f t="shared" ca="1" si="226"/>
        <v>1</v>
      </c>
      <c r="BJ676" t="b">
        <f t="shared" si="207"/>
        <v>1</v>
      </c>
      <c r="BK676" t="b">
        <f t="shared" ca="1" si="208"/>
        <v>1</v>
      </c>
    </row>
    <row r="677" spans="1:63" x14ac:dyDescent="0.45">
      <c r="A677" s="1">
        <v>44257</v>
      </c>
      <c r="B677">
        <v>228.81299999999999</v>
      </c>
      <c r="C677" s="1">
        <v>44257</v>
      </c>
      <c r="D677">
        <v>386.54</v>
      </c>
      <c r="E677">
        <f t="shared" si="209"/>
        <v>-4.453037243660149E-2</v>
      </c>
      <c r="F677" s="4">
        <f t="shared" si="210"/>
        <v>-7.8032753221417006E-3</v>
      </c>
      <c r="G677">
        <f t="shared" ca="1" si="211"/>
        <v>8.356530603367579E-3</v>
      </c>
      <c r="H677">
        <f t="shared" ca="1" si="212"/>
        <v>4.6323916951346328E-2</v>
      </c>
      <c r="I677">
        <f t="shared" ca="1" si="213"/>
        <v>-0.14438563029430496</v>
      </c>
      <c r="J677">
        <f t="shared" ca="1" si="214"/>
        <v>2.3383183256763207</v>
      </c>
      <c r="K677">
        <f t="shared" ca="1" si="215"/>
        <v>1.4809255628865536</v>
      </c>
      <c r="L677">
        <f t="shared" ca="1" si="216"/>
        <v>1.7925987672112669</v>
      </c>
      <c r="M677">
        <f t="shared" ca="1" si="217"/>
        <v>1.5919001565377355E-3</v>
      </c>
      <c r="N677">
        <f t="shared" ca="1" si="218"/>
        <v>1.1518846998548733E-2</v>
      </c>
      <c r="O677">
        <f t="shared" ca="1" si="219"/>
        <v>-1.0967753473072939</v>
      </c>
      <c r="P677">
        <f t="shared" ca="1" si="220"/>
        <v>3.5742220612705973</v>
      </c>
      <c r="Q677">
        <f t="shared" ca="1" si="221"/>
        <v>0.91658297555011659</v>
      </c>
      <c r="R677">
        <f t="shared" ca="1" si="222"/>
        <v>2.1208289409119954</v>
      </c>
      <c r="T677">
        <f t="shared" si="223"/>
        <v>0.95546962756339848</v>
      </c>
      <c r="U677" s="6">
        <f t="shared" ca="1" si="224"/>
        <v>0.9822534739661809</v>
      </c>
      <c r="V677">
        <f t="shared" ca="1" si="225"/>
        <v>1.2317674448950666</v>
      </c>
      <c r="X677" t="b">
        <f t="shared" ca="1" si="226"/>
        <v>1</v>
      </c>
      <c r="BJ677" t="b">
        <f t="shared" si="207"/>
        <v>1</v>
      </c>
      <c r="BK677" t="b">
        <f t="shared" ca="1" si="208"/>
        <v>1</v>
      </c>
    </row>
    <row r="678" spans="1:63" x14ac:dyDescent="0.45">
      <c r="A678" s="1">
        <v>44256</v>
      </c>
      <c r="B678">
        <v>239.477</v>
      </c>
      <c r="C678" s="1">
        <v>44256</v>
      </c>
      <c r="D678">
        <v>389.58</v>
      </c>
      <c r="E678">
        <f t="shared" si="209"/>
        <v>6.3552829677528247E-2</v>
      </c>
      <c r="F678" s="4">
        <f t="shared" si="210"/>
        <v>2.4240193500893813E-2</v>
      </c>
      <c r="G678">
        <f t="shared" ca="1" si="211"/>
        <v>8.6573722108033522E-3</v>
      </c>
      <c r="H678">
        <f t="shared" ca="1" si="212"/>
        <v>4.6173860019350157E-2</v>
      </c>
      <c r="I678">
        <f t="shared" ca="1" si="213"/>
        <v>-0.15789469120753052</v>
      </c>
      <c r="J678">
        <f t="shared" ca="1" si="214"/>
        <v>2.4036752328863571</v>
      </c>
      <c r="K678">
        <f t="shared" ca="1" si="215"/>
        <v>1.4809255628865536</v>
      </c>
      <c r="L678">
        <f t="shared" ca="1" si="216"/>
        <v>1.8231542328794796</v>
      </c>
      <c r="M678">
        <f t="shared" ca="1" si="217"/>
        <v>1.6907531808757167E-3</v>
      </c>
      <c r="N678">
        <f t="shared" ca="1" si="218"/>
        <v>1.1522647402142056E-2</v>
      </c>
      <c r="O678">
        <f t="shared" ca="1" si="219"/>
        <v>-1.1152309352928786</v>
      </c>
      <c r="P678">
        <f t="shared" ca="1" si="220"/>
        <v>3.6052005500673525</v>
      </c>
      <c r="Q678">
        <f t="shared" ca="1" si="221"/>
        <v>0.91658297555011659</v>
      </c>
      <c r="R678">
        <f t="shared" ca="1" si="222"/>
        <v>2.1640207667649718</v>
      </c>
      <c r="T678">
        <f t="shared" si="223"/>
        <v>1.0635528296775283</v>
      </c>
      <c r="U678" s="6">
        <f t="shared" ca="1" si="224"/>
        <v>1.005500342196862</v>
      </c>
      <c r="V678">
        <f t="shared" ca="1" si="225"/>
        <v>1.2356388875338657</v>
      </c>
      <c r="X678" t="b">
        <f t="shared" ca="1" si="226"/>
        <v>0</v>
      </c>
      <c r="BJ678" t="b">
        <f t="shared" si="207"/>
        <v>1</v>
      </c>
      <c r="BK678" t="b">
        <f t="shared" ca="1" si="208"/>
        <v>0</v>
      </c>
    </row>
    <row r="679" spans="1:63" x14ac:dyDescent="0.45">
      <c r="A679" s="1">
        <v>44253</v>
      </c>
      <c r="B679">
        <v>225.167</v>
      </c>
      <c r="C679" s="1">
        <v>44253</v>
      </c>
      <c r="D679">
        <v>380.36</v>
      </c>
      <c r="E679">
        <f t="shared" si="209"/>
        <v>-9.850180513352751E-3</v>
      </c>
      <c r="F679" s="4">
        <f t="shared" si="210"/>
        <v>-5.1526168493185743E-3</v>
      </c>
      <c r="G679">
        <f t="shared" ca="1" si="211"/>
        <v>8.2256362273579759E-3</v>
      </c>
      <c r="H679">
        <f t="shared" ca="1" si="212"/>
        <v>4.6061542070576132E-2</v>
      </c>
      <c r="I679">
        <f t="shared" ca="1" si="213"/>
        <v>-0.14085679640427176</v>
      </c>
      <c r="J679">
        <f t="shared" ca="1" si="214"/>
        <v>2.4417685959962352</v>
      </c>
      <c r="K679">
        <f t="shared" ca="1" si="215"/>
        <v>1.4809255628865536</v>
      </c>
      <c r="L679">
        <f t="shared" ca="1" si="216"/>
        <v>1.7571895092979899</v>
      </c>
      <c r="M679">
        <f t="shared" ca="1" si="217"/>
        <v>1.4811230090596695E-3</v>
      </c>
      <c r="N679">
        <f t="shared" ca="1" si="218"/>
        <v>1.1491682682427142E-2</v>
      </c>
      <c r="O679">
        <f t="shared" ca="1" si="219"/>
        <v>-1.1316687763243054</v>
      </c>
      <c r="P679">
        <f t="shared" ca="1" si="220"/>
        <v>3.5559474438870131</v>
      </c>
      <c r="Q679">
        <f t="shared" ca="1" si="221"/>
        <v>0.89791887306587581</v>
      </c>
      <c r="R679">
        <f t="shared" ca="1" si="222"/>
        <v>2.1208289409119954</v>
      </c>
      <c r="T679">
        <f t="shared" si="223"/>
        <v>0.99014981948664726</v>
      </c>
      <c r="U679" s="6">
        <f t="shared" ca="1" si="224"/>
        <v>0.86458705310002948</v>
      </c>
      <c r="V679">
        <f t="shared" ca="1" si="225"/>
        <v>1.1695117067774636</v>
      </c>
      <c r="X679" t="b">
        <f t="shared" ca="1" si="226"/>
        <v>1</v>
      </c>
      <c r="BJ679" t="b">
        <f t="shared" si="207"/>
        <v>1</v>
      </c>
      <c r="BK679" t="b">
        <f t="shared" ca="1" si="208"/>
        <v>1</v>
      </c>
    </row>
    <row r="680" spans="1:63" x14ac:dyDescent="0.45">
      <c r="A680" s="1">
        <v>44252</v>
      </c>
      <c r="B680">
        <v>227.40700000000001</v>
      </c>
      <c r="C680" s="1">
        <v>44252</v>
      </c>
      <c r="D680">
        <v>382.33</v>
      </c>
      <c r="E680">
        <f t="shared" si="209"/>
        <v>-8.0589471981887248E-2</v>
      </c>
      <c r="F680" s="4">
        <f t="shared" si="210"/>
        <v>-2.4095770477576123E-2</v>
      </c>
      <c r="G680">
        <f t="shared" ca="1" si="211"/>
        <v>8.263303725716627E-3</v>
      </c>
      <c r="H680">
        <f t="shared" ca="1" si="212"/>
        <v>4.6049764836408914E-2</v>
      </c>
      <c r="I680">
        <f t="shared" ca="1" si="213"/>
        <v>-0.14319751888477023</v>
      </c>
      <c r="J680">
        <f t="shared" ca="1" si="214"/>
        <v>2.4477496774664758</v>
      </c>
      <c r="K680">
        <f t="shared" ca="1" si="215"/>
        <v>1.4809255628865536</v>
      </c>
      <c r="L680">
        <f t="shared" ca="1" si="216"/>
        <v>1.7571895092979899</v>
      </c>
      <c r="M680">
        <f t="shared" ca="1" si="217"/>
        <v>1.4072279736481433E-3</v>
      </c>
      <c r="N680">
        <f t="shared" ca="1" si="218"/>
        <v>1.1581718078350333E-2</v>
      </c>
      <c r="O680">
        <f t="shared" ca="1" si="219"/>
        <v>-1.117270709458416</v>
      </c>
      <c r="P680">
        <f t="shared" ca="1" si="220"/>
        <v>3.3836534947652748</v>
      </c>
      <c r="Q680">
        <f t="shared" ca="1" si="221"/>
        <v>0.8358049774374593</v>
      </c>
      <c r="R680">
        <f t="shared" ca="1" si="222"/>
        <v>2.1208289409119954</v>
      </c>
      <c r="T680">
        <f t="shared" si="223"/>
        <v>0.91941052801811274</v>
      </c>
      <c r="U680" s="6">
        <f t="shared" ca="1" si="224"/>
        <v>0.86644441057684984</v>
      </c>
      <c r="V680">
        <f t="shared" ca="1" si="225"/>
        <v>1.1615556912998617</v>
      </c>
      <c r="X680" t="b">
        <f t="shared" ca="1" si="226"/>
        <v>1</v>
      </c>
      <c r="BJ680" t="b">
        <f t="shared" si="207"/>
        <v>1</v>
      </c>
      <c r="BK680" t="b">
        <f t="shared" ca="1" si="208"/>
        <v>1</v>
      </c>
    </row>
    <row r="681" spans="1:63" x14ac:dyDescent="0.45">
      <c r="A681" s="1">
        <v>44251</v>
      </c>
      <c r="B681">
        <v>247.34</v>
      </c>
      <c r="C681" s="1">
        <v>44251</v>
      </c>
      <c r="D681">
        <v>391.77</v>
      </c>
      <c r="E681">
        <f t="shared" si="209"/>
        <v>6.1786586648465106E-2</v>
      </c>
      <c r="F681" s="4">
        <f t="shared" si="210"/>
        <v>1.101935483870963E-2</v>
      </c>
      <c r="G681">
        <f t="shared" ca="1" si="211"/>
        <v>8.6166428261254362E-3</v>
      </c>
      <c r="H681">
        <f t="shared" ca="1" si="212"/>
        <v>4.5633810892197112E-2</v>
      </c>
      <c r="I681">
        <f t="shared" ca="1" si="213"/>
        <v>-0.13346581189169712</v>
      </c>
      <c r="J681">
        <f t="shared" ca="1" si="214"/>
        <v>2.5803414015400463</v>
      </c>
      <c r="K681">
        <f t="shared" ca="1" si="215"/>
        <v>1.5450040980255593</v>
      </c>
      <c r="L681">
        <f t="shared" ca="1" si="216"/>
        <v>1.7871414119244913</v>
      </c>
      <c r="M681">
        <f t="shared" ca="1" si="217"/>
        <v>1.5287326774927334E-3</v>
      </c>
      <c r="N681">
        <f t="shared" ca="1" si="218"/>
        <v>1.143941697166859E-2</v>
      </c>
      <c r="O681">
        <f t="shared" ca="1" si="219"/>
        <v>-1.1354365638930985</v>
      </c>
      <c r="P681">
        <f t="shared" ca="1" si="220"/>
        <v>3.6301760582627374</v>
      </c>
      <c r="Q681">
        <f t="shared" ca="1" si="221"/>
        <v>0.89813175950736057</v>
      </c>
      <c r="R681">
        <f t="shared" ca="1" si="222"/>
        <v>2.1363588980987238</v>
      </c>
      <c r="T681">
        <f t="shared" si="223"/>
        <v>1.061786586648465</v>
      </c>
      <c r="U681" s="6">
        <f t="shared" ca="1" si="224"/>
        <v>0.92967487314414576</v>
      </c>
      <c r="V681">
        <f t="shared" ca="1" si="225"/>
        <v>1.1573584464507474</v>
      </c>
      <c r="X681" t="b">
        <f t="shared" ca="1" si="226"/>
        <v>1</v>
      </c>
      <c r="BJ681" t="b">
        <f t="shared" si="207"/>
        <v>1</v>
      </c>
      <c r="BK681" t="b">
        <f t="shared" ca="1" si="208"/>
        <v>1</v>
      </c>
    </row>
    <row r="682" spans="1:63" x14ac:dyDescent="0.45">
      <c r="A682" s="1">
        <v>44250</v>
      </c>
      <c r="B682">
        <v>232.947</v>
      </c>
      <c r="C682" s="1">
        <v>44250</v>
      </c>
      <c r="D682">
        <v>387.5</v>
      </c>
      <c r="E682">
        <f t="shared" si="209"/>
        <v>-2.1917394097419034E-2</v>
      </c>
      <c r="F682" s="4">
        <f t="shared" si="210"/>
        <v>1.2143761465520176E-3</v>
      </c>
      <c r="G682">
        <f t="shared" ca="1" si="211"/>
        <v>8.5601294787892301E-3</v>
      </c>
      <c r="H682">
        <f t="shared" ca="1" si="212"/>
        <v>4.5574594086107825E-2</v>
      </c>
      <c r="I682">
        <f t="shared" ca="1" si="213"/>
        <v>-0.13435402789171733</v>
      </c>
      <c r="J682">
        <f t="shared" ca="1" si="214"/>
        <v>2.6030439923809299</v>
      </c>
      <c r="K682">
        <f t="shared" ca="1" si="215"/>
        <v>1.5450040980255593</v>
      </c>
      <c r="L682">
        <f t="shared" ca="1" si="216"/>
        <v>1.7871414119244913</v>
      </c>
      <c r="M682">
        <f t="shared" ca="1" si="217"/>
        <v>1.5563667153125329E-3</v>
      </c>
      <c r="N682">
        <f t="shared" ca="1" si="218"/>
        <v>1.1469095557437869E-2</v>
      </c>
      <c r="O682">
        <f t="shared" ca="1" si="219"/>
        <v>-1.1254273902158844</v>
      </c>
      <c r="P682">
        <f t="shared" ca="1" si="220"/>
        <v>3.5851683503021823</v>
      </c>
      <c r="Q682">
        <f t="shared" ca="1" si="221"/>
        <v>0.89813175950736057</v>
      </c>
      <c r="R682">
        <f t="shared" ca="1" si="222"/>
        <v>2.1363588980987238</v>
      </c>
      <c r="T682">
        <f t="shared" si="223"/>
        <v>0.978082605902581</v>
      </c>
      <c r="U682" s="6">
        <f t="shared" ca="1" si="224"/>
        <v>0.8776972724909291</v>
      </c>
      <c r="V682">
        <f t="shared" ca="1" si="225"/>
        <v>1.2487965095617728</v>
      </c>
      <c r="X682" t="b">
        <f t="shared" ca="1" si="226"/>
        <v>1</v>
      </c>
      <c r="BJ682" t="b">
        <f t="shared" si="207"/>
        <v>1</v>
      </c>
      <c r="BK682" t="b">
        <f t="shared" ca="1" si="208"/>
        <v>1</v>
      </c>
    </row>
    <row r="683" spans="1:63" x14ac:dyDescent="0.45">
      <c r="A683" s="1">
        <v>44249</v>
      </c>
      <c r="B683">
        <v>238.167</v>
      </c>
      <c r="C683" s="1">
        <v>44249</v>
      </c>
      <c r="D683">
        <v>387.03</v>
      </c>
      <c r="E683">
        <f t="shared" si="209"/>
        <v>-8.5496077686007504E-2</v>
      </c>
      <c r="F683" s="4">
        <f t="shared" si="210"/>
        <v>-7.6917160218444736E-3</v>
      </c>
      <c r="G683">
        <f t="shared" ca="1" si="211"/>
        <v>8.6534912710197892E-3</v>
      </c>
      <c r="H683">
        <f t="shared" ca="1" si="212"/>
        <v>4.5530950365290694E-2</v>
      </c>
      <c r="I683">
        <f t="shared" ca="1" si="213"/>
        <v>-0.13952050334240224</v>
      </c>
      <c r="J683">
        <f t="shared" ca="1" si="214"/>
        <v>2.6248590544077839</v>
      </c>
      <c r="K683">
        <f t="shared" ca="1" si="215"/>
        <v>1.5450040980255593</v>
      </c>
      <c r="L683">
        <f t="shared" ca="1" si="216"/>
        <v>1.8379548182451597</v>
      </c>
      <c r="M683">
        <f t="shared" ca="1" si="217"/>
        <v>1.6106290474205824E-3</v>
      </c>
      <c r="N683">
        <f t="shared" ca="1" si="218"/>
        <v>1.1493116728136934E-2</v>
      </c>
      <c r="O683">
        <f t="shared" ca="1" si="219"/>
        <v>-1.1288103581343638</v>
      </c>
      <c r="P683">
        <f t="shared" ca="1" si="220"/>
        <v>3.5551410693517349</v>
      </c>
      <c r="Q683">
        <f t="shared" ca="1" si="221"/>
        <v>0.89813175950736057</v>
      </c>
      <c r="R683">
        <f t="shared" ca="1" si="222"/>
        <v>2.1640207667649718</v>
      </c>
      <c r="T683">
        <f t="shared" si="223"/>
        <v>0.91450392231399247</v>
      </c>
      <c r="U683" s="6">
        <f t="shared" ca="1" si="224"/>
        <v>0.87548522276135854</v>
      </c>
      <c r="V683">
        <f t="shared" ca="1" si="225"/>
        <v>1.240357220880302</v>
      </c>
      <c r="X683" t="b">
        <f t="shared" ca="1" si="226"/>
        <v>1</v>
      </c>
      <c r="BJ683" t="b">
        <f t="shared" si="207"/>
        <v>1</v>
      </c>
      <c r="BK683" t="b">
        <f t="shared" ca="1" si="208"/>
        <v>1</v>
      </c>
    </row>
    <row r="684" spans="1:63" x14ac:dyDescent="0.45">
      <c r="A684" s="1">
        <v>44246</v>
      </c>
      <c r="B684">
        <v>260.43299999999999</v>
      </c>
      <c r="C684" s="1">
        <v>44246</v>
      </c>
      <c r="D684">
        <v>390.03</v>
      </c>
      <c r="E684">
        <f t="shared" si="209"/>
        <v>-7.723081612436131E-3</v>
      </c>
      <c r="F684" s="4">
        <f t="shared" si="210"/>
        <v>-1.7659705159706555E-3</v>
      </c>
      <c r="G684">
        <f t="shared" ca="1" si="211"/>
        <v>9.1745007725829511E-3</v>
      </c>
      <c r="H684">
        <f t="shared" ca="1" si="212"/>
        <v>4.5041747170322256E-2</v>
      </c>
      <c r="I684">
        <f t="shared" ca="1" si="213"/>
        <v>-0.13275592984001128</v>
      </c>
      <c r="J684">
        <f t="shared" ca="1" si="214"/>
        <v>2.7818436884180455</v>
      </c>
      <c r="K684">
        <f t="shared" ca="1" si="215"/>
        <v>1.5619524420774993</v>
      </c>
      <c r="L684">
        <f t="shared" ca="1" si="216"/>
        <v>1.8706609953892872</v>
      </c>
      <c r="M684">
        <f t="shared" ca="1" si="217"/>
        <v>1.6151940603192103E-3</v>
      </c>
      <c r="N684">
        <f t="shared" ca="1" si="218"/>
        <v>1.1489584089839296E-2</v>
      </c>
      <c r="O684">
        <f t="shared" ca="1" si="219"/>
        <v>-1.1303379910790581</v>
      </c>
      <c r="P684">
        <f t="shared" ca="1" si="220"/>
        <v>3.5643416644803265</v>
      </c>
      <c r="Q684">
        <f t="shared" ca="1" si="221"/>
        <v>0.89813175950736057</v>
      </c>
      <c r="R684">
        <f t="shared" ca="1" si="222"/>
        <v>2.1640207667649718</v>
      </c>
      <c r="T684">
        <f t="shared" si="223"/>
        <v>0.99227691838756382</v>
      </c>
      <c r="U684" s="6">
        <f t="shared" ca="1" si="224"/>
        <v>0.96259512923530688</v>
      </c>
      <c r="V684">
        <f t="shared" ca="1" si="225"/>
        <v>1.212944701529858</v>
      </c>
      <c r="X684" t="b">
        <f t="shared" ca="1" si="226"/>
        <v>1</v>
      </c>
      <c r="BJ684" t="b">
        <f t="shared" si="207"/>
        <v>1</v>
      </c>
      <c r="BK684" t="b">
        <f t="shared" ca="1" si="208"/>
        <v>1</v>
      </c>
    </row>
    <row r="685" spans="1:63" x14ac:dyDescent="0.45">
      <c r="A685" s="1">
        <v>44245</v>
      </c>
      <c r="B685">
        <v>262.45999999999998</v>
      </c>
      <c r="C685" s="1">
        <v>44245</v>
      </c>
      <c r="D685">
        <v>390.72</v>
      </c>
      <c r="E685">
        <f t="shared" si="209"/>
        <v>-1.3493704190941671E-2</v>
      </c>
      <c r="F685" s="4">
        <f t="shared" si="210"/>
        <v>-4.2559698259383751E-3</v>
      </c>
      <c r="G685">
        <f t="shared" ca="1" si="211"/>
        <v>9.2592281894734139E-3</v>
      </c>
      <c r="H685">
        <f t="shared" ca="1" si="212"/>
        <v>4.5025736744069476E-2</v>
      </c>
      <c r="I685">
        <f t="shared" ca="1" si="213"/>
        <v>-0.1383316041706244</v>
      </c>
      <c r="J685">
        <f t="shared" ca="1" si="214"/>
        <v>2.7910746617063706</v>
      </c>
      <c r="K685">
        <f t="shared" ca="1" si="215"/>
        <v>1.5619524420774993</v>
      </c>
      <c r="L685">
        <f t="shared" ca="1" si="216"/>
        <v>1.8706609953892872</v>
      </c>
      <c r="M685">
        <f t="shared" ca="1" si="217"/>
        <v>1.6702206191796997E-3</v>
      </c>
      <c r="N685">
        <f t="shared" ca="1" si="218"/>
        <v>1.1499658664603474E-2</v>
      </c>
      <c r="O685">
        <f t="shared" ca="1" si="219"/>
        <v>-1.1402618680953596</v>
      </c>
      <c r="P685">
        <f t="shared" ca="1" si="220"/>
        <v>3.5642966282372281</v>
      </c>
      <c r="Q685">
        <f t="shared" ca="1" si="221"/>
        <v>0.89813175950736057</v>
      </c>
      <c r="R685">
        <f t="shared" ca="1" si="222"/>
        <v>2.2135514558555993</v>
      </c>
      <c r="T685">
        <f t="shared" si="223"/>
        <v>0.98650629580905835</v>
      </c>
      <c r="U685" s="6">
        <f t="shared" ca="1" si="224"/>
        <v>0.97833177397650872</v>
      </c>
      <c r="V685">
        <f t="shared" ca="1" si="225"/>
        <v>1.203131731277939</v>
      </c>
      <c r="X685" t="b">
        <f t="shared" ca="1" si="226"/>
        <v>1</v>
      </c>
      <c r="BJ685" t="b">
        <f t="shared" si="207"/>
        <v>1</v>
      </c>
      <c r="BK685" t="b">
        <f t="shared" ca="1" si="208"/>
        <v>1</v>
      </c>
    </row>
    <row r="686" spans="1:63" x14ac:dyDescent="0.45">
      <c r="A686" s="1">
        <v>44244</v>
      </c>
      <c r="B686">
        <v>266.05</v>
      </c>
      <c r="C686" s="1">
        <v>44244</v>
      </c>
      <c r="D686">
        <v>392.39</v>
      </c>
      <c r="E686">
        <f t="shared" si="209"/>
        <v>2.4226942017355575E-3</v>
      </c>
      <c r="F686" s="4">
        <f t="shared" si="210"/>
        <v>2.2941626306391787E-4</v>
      </c>
      <c r="G686">
        <f t="shared" ca="1" si="211"/>
        <v>9.753530804112823E-3</v>
      </c>
      <c r="H686">
        <f t="shared" ca="1" si="212"/>
        <v>4.5316412952419505E-2</v>
      </c>
      <c r="I686">
        <f t="shared" ca="1" si="213"/>
        <v>-0.14405427154765213</v>
      </c>
      <c r="J686">
        <f t="shared" ca="1" si="214"/>
        <v>2.689302153039602</v>
      </c>
      <c r="K686">
        <f t="shared" ca="1" si="215"/>
        <v>1.5619524420774993</v>
      </c>
      <c r="L686">
        <f t="shared" ca="1" si="216"/>
        <v>1.9083568257499577</v>
      </c>
      <c r="M686">
        <f t="shared" ca="1" si="217"/>
        <v>1.7052916207546686E-3</v>
      </c>
      <c r="N686">
        <f t="shared" ca="1" si="218"/>
        <v>1.149218781370105E-2</v>
      </c>
      <c r="O686">
        <f t="shared" ca="1" si="219"/>
        <v>-1.1510344416037839</v>
      </c>
      <c r="P686">
        <f t="shared" ca="1" si="220"/>
        <v>3.595414155794157</v>
      </c>
      <c r="Q686">
        <f t="shared" ca="1" si="221"/>
        <v>0.89813175950736057</v>
      </c>
      <c r="R686">
        <f t="shared" ca="1" si="222"/>
        <v>2.2915196712788242</v>
      </c>
      <c r="T686">
        <f t="shared" si="223"/>
        <v>1.0024226942017356</v>
      </c>
      <c r="U686" s="6">
        <f t="shared" ca="1" si="224"/>
        <v>0.93959802650863666</v>
      </c>
      <c r="V686">
        <f t="shared" ca="1" si="225"/>
        <v>1.171983518479164</v>
      </c>
      <c r="X686" t="b">
        <f t="shared" ca="1" si="226"/>
        <v>1</v>
      </c>
      <c r="BJ686" t="b">
        <f t="shared" si="207"/>
        <v>1</v>
      </c>
      <c r="BK686" t="b">
        <f t="shared" ca="1" si="208"/>
        <v>1</v>
      </c>
    </row>
    <row r="687" spans="1:63" x14ac:dyDescent="0.45">
      <c r="A687" s="1">
        <v>44243</v>
      </c>
      <c r="B687">
        <v>265.40699999999998</v>
      </c>
      <c r="C687" s="1">
        <v>44243</v>
      </c>
      <c r="D687">
        <v>392.3</v>
      </c>
      <c r="E687">
        <f t="shared" si="209"/>
        <v>-2.4382443758270981E-2</v>
      </c>
      <c r="F687" s="4">
        <f t="shared" si="210"/>
        <v>-8.6593317033408466E-4</v>
      </c>
      <c r="G687">
        <f t="shared" ca="1" si="211"/>
        <v>9.2262548304422893E-3</v>
      </c>
      <c r="H687">
        <f t="shared" ca="1" si="212"/>
        <v>4.6010334375560728E-2</v>
      </c>
      <c r="I687">
        <f t="shared" ca="1" si="213"/>
        <v>-0.17765235661573955</v>
      </c>
      <c r="J687">
        <f t="shared" ca="1" si="214"/>
        <v>2.5289445700277771</v>
      </c>
      <c r="K687">
        <f t="shared" ca="1" si="215"/>
        <v>1.5450040980255593</v>
      </c>
      <c r="L687">
        <f t="shared" ca="1" si="216"/>
        <v>1.8749915839712386</v>
      </c>
      <c r="M687">
        <f t="shared" ca="1" si="217"/>
        <v>1.5717774229425164E-3</v>
      </c>
      <c r="N687">
        <f t="shared" ca="1" si="218"/>
        <v>1.1663261549967035E-2</v>
      </c>
      <c r="O687">
        <f t="shared" ca="1" si="219"/>
        <v>-1.1380074185198712</v>
      </c>
      <c r="P687">
        <f t="shared" ca="1" si="220"/>
        <v>3.3367404227142252</v>
      </c>
      <c r="Q687">
        <f t="shared" ca="1" si="221"/>
        <v>0.8358049774374593</v>
      </c>
      <c r="R687">
        <f t="shared" ca="1" si="222"/>
        <v>2.2135514558555993</v>
      </c>
      <c r="T687">
        <f t="shared" si="223"/>
        <v>0.97561755624172897</v>
      </c>
      <c r="U687" s="6">
        <f t="shared" ca="1" si="224"/>
        <v>0.92217006535629764</v>
      </c>
      <c r="V687">
        <f t="shared" ca="1" si="225"/>
        <v>1.1488505220492597</v>
      </c>
      <c r="X687" t="b">
        <f t="shared" ca="1" si="226"/>
        <v>1</v>
      </c>
      <c r="BJ687" t="b">
        <f t="shared" si="207"/>
        <v>1</v>
      </c>
      <c r="BK687" t="b">
        <f t="shared" ca="1" si="208"/>
        <v>1</v>
      </c>
    </row>
    <row r="688" spans="1:63" x14ac:dyDescent="0.45">
      <c r="A688" s="1">
        <v>44239</v>
      </c>
      <c r="B688">
        <v>272.04000000000002</v>
      </c>
      <c r="C688" s="1">
        <v>44239</v>
      </c>
      <c r="D688">
        <v>392.64</v>
      </c>
      <c r="E688">
        <f t="shared" si="209"/>
        <v>5.4961504769861103E-3</v>
      </c>
      <c r="F688" s="4">
        <f t="shared" si="210"/>
        <v>4.9397251158148168E-3</v>
      </c>
      <c r="G688">
        <f t="shared" ca="1" si="211"/>
        <v>9.2318036581683291E-3</v>
      </c>
      <c r="H688">
        <f t="shared" ca="1" si="212"/>
        <v>4.6006327556451572E-2</v>
      </c>
      <c r="I688">
        <f t="shared" ca="1" si="213"/>
        <v>-0.17787463755600949</v>
      </c>
      <c r="J688">
        <f t="shared" ca="1" si="214"/>
        <v>2.5307889826577954</v>
      </c>
      <c r="K688">
        <f t="shared" ca="1" si="215"/>
        <v>1.5450040980255593</v>
      </c>
      <c r="L688">
        <f t="shared" ca="1" si="216"/>
        <v>1.8749915839712386</v>
      </c>
      <c r="M688">
        <f t="shared" ca="1" si="217"/>
        <v>1.5295534241852044E-3</v>
      </c>
      <c r="N688">
        <f t="shared" ca="1" si="218"/>
        <v>1.1687392243204647E-2</v>
      </c>
      <c r="O688">
        <f t="shared" ca="1" si="219"/>
        <v>-1.1240769345801283</v>
      </c>
      <c r="P688">
        <f t="shared" ca="1" si="220"/>
        <v>3.2714207179519361</v>
      </c>
      <c r="Q688">
        <f t="shared" ca="1" si="221"/>
        <v>0.8358049774374593</v>
      </c>
      <c r="R688">
        <f t="shared" ca="1" si="222"/>
        <v>2.1752339876899001</v>
      </c>
      <c r="T688">
        <f t="shared" si="223"/>
        <v>1.0054961504769862</v>
      </c>
      <c r="U688" s="6">
        <f t="shared" ca="1" si="224"/>
        <v>0.9576276854514798</v>
      </c>
      <c r="V688">
        <f t="shared" ca="1" si="225"/>
        <v>1.1581497146118749</v>
      </c>
      <c r="X688" t="b">
        <f t="shared" ca="1" si="226"/>
        <v>1</v>
      </c>
      <c r="BJ688" t="b">
        <f t="shared" si="207"/>
        <v>1</v>
      </c>
      <c r="BK688" t="b">
        <f t="shared" ca="1" si="208"/>
        <v>1</v>
      </c>
    </row>
    <row r="689" spans="1:63" x14ac:dyDescent="0.45">
      <c r="A689" s="1">
        <v>44238</v>
      </c>
      <c r="B689">
        <v>270.553</v>
      </c>
      <c r="C689" s="1">
        <v>44238</v>
      </c>
      <c r="D689">
        <v>390.71</v>
      </c>
      <c r="E689">
        <f t="shared" si="209"/>
        <v>8.4988053214448429E-3</v>
      </c>
      <c r="F689" s="4">
        <f t="shared" si="210"/>
        <v>1.6150533223953944E-3</v>
      </c>
      <c r="G689">
        <f t="shared" ca="1" si="211"/>
        <v>9.408380657462103E-3</v>
      </c>
      <c r="H689">
        <f t="shared" ca="1" si="212"/>
        <v>4.60596588378335E-2</v>
      </c>
      <c r="I689">
        <f t="shared" ca="1" si="213"/>
        <v>-0.18723600875098079</v>
      </c>
      <c r="J689">
        <f t="shared" ca="1" si="214"/>
        <v>2.5089888609444735</v>
      </c>
      <c r="K689">
        <f t="shared" ca="1" si="215"/>
        <v>1.5450040980255593</v>
      </c>
      <c r="L689">
        <f t="shared" ca="1" si="216"/>
        <v>1.8978000590219968</v>
      </c>
      <c r="M689">
        <f t="shared" ca="1" si="217"/>
        <v>1.63574759950208E-3</v>
      </c>
      <c r="N689">
        <f t="shared" ca="1" si="218"/>
        <v>1.1814334444370658E-2</v>
      </c>
      <c r="O689">
        <f t="shared" ca="1" si="219"/>
        <v>-1.0694939865604918</v>
      </c>
      <c r="P689">
        <f t="shared" ca="1" si="220"/>
        <v>3.1410871395601561</v>
      </c>
      <c r="Q689">
        <f t="shared" ca="1" si="221"/>
        <v>0.85317798319962557</v>
      </c>
      <c r="R689">
        <f t="shared" ca="1" si="222"/>
        <v>2.1901627244694506</v>
      </c>
      <c r="T689">
        <f t="shared" si="223"/>
        <v>1.0084988053214448</v>
      </c>
      <c r="U689" s="6">
        <f t="shared" ca="1" si="224"/>
        <v>0.95490417534323935</v>
      </c>
      <c r="V689">
        <f t="shared" ca="1" si="225"/>
        <v>1.1607148446806428</v>
      </c>
      <c r="X689" t="b">
        <f t="shared" ca="1" si="226"/>
        <v>1</v>
      </c>
      <c r="BJ689" t="b">
        <f t="shared" si="207"/>
        <v>1</v>
      </c>
      <c r="BK689" t="b">
        <f t="shared" ca="1" si="208"/>
        <v>1</v>
      </c>
    </row>
    <row r="690" spans="1:63" x14ac:dyDescent="0.45">
      <c r="A690" s="1">
        <v>44237</v>
      </c>
      <c r="B690">
        <v>268.27300000000002</v>
      </c>
      <c r="C690" s="1">
        <v>44237</v>
      </c>
      <c r="D690">
        <v>390.08</v>
      </c>
      <c r="E690">
        <f t="shared" si="209"/>
        <v>-5.2551094284715313E-2</v>
      </c>
      <c r="F690" s="4">
        <f t="shared" si="210"/>
        <v>-4.356181934657679E-4</v>
      </c>
      <c r="G690">
        <f t="shared" ca="1" si="211"/>
        <v>9.1804124524511223E-3</v>
      </c>
      <c r="H690">
        <f t="shared" ca="1" si="212"/>
        <v>4.6176865043358307E-2</v>
      </c>
      <c r="I690">
        <f t="shared" ca="1" si="213"/>
        <v>-0.17603785409278508</v>
      </c>
      <c r="J690">
        <f t="shared" ca="1" si="214"/>
        <v>2.4544362259592374</v>
      </c>
      <c r="K690">
        <f t="shared" ca="1" si="215"/>
        <v>1.5450040980255593</v>
      </c>
      <c r="L690">
        <f t="shared" ca="1" si="216"/>
        <v>1.8453321286043458</v>
      </c>
      <c r="M690">
        <f t="shared" ca="1" si="217"/>
        <v>1.6046798228744263E-3</v>
      </c>
      <c r="N690">
        <f t="shared" ca="1" si="218"/>
        <v>1.1822556069830117E-2</v>
      </c>
      <c r="O690">
        <f t="shared" ca="1" si="219"/>
        <v>-1.0600454015263883</v>
      </c>
      <c r="P690">
        <f t="shared" ca="1" si="220"/>
        <v>3.1128842572912205</v>
      </c>
      <c r="Q690">
        <f t="shared" ca="1" si="221"/>
        <v>0.85317798319962557</v>
      </c>
      <c r="R690">
        <f t="shared" ca="1" si="222"/>
        <v>2.0865349111464551</v>
      </c>
      <c r="T690">
        <f t="shared" si="223"/>
        <v>0.94744890571528473</v>
      </c>
      <c r="U690" s="6">
        <f t="shared" ca="1" si="224"/>
        <v>0.94164908721397578</v>
      </c>
      <c r="V690">
        <f t="shared" ca="1" si="225"/>
        <v>1.1673014078497488</v>
      </c>
      <c r="X690" t="b">
        <f t="shared" ca="1" si="226"/>
        <v>1</v>
      </c>
      <c r="BJ690" t="b">
        <f t="shared" si="207"/>
        <v>1</v>
      </c>
      <c r="BK690" t="b">
        <f t="shared" ca="1" si="208"/>
        <v>1</v>
      </c>
    </row>
    <row r="691" spans="1:63" x14ac:dyDescent="0.45">
      <c r="A691" s="1">
        <v>44236</v>
      </c>
      <c r="B691">
        <v>283.15300000000002</v>
      </c>
      <c r="C691" s="1">
        <v>44236</v>
      </c>
      <c r="D691">
        <v>390.25</v>
      </c>
      <c r="E691">
        <f t="shared" si="209"/>
        <v>-1.6170558742490612E-2</v>
      </c>
      <c r="F691" s="4">
        <f t="shared" si="210"/>
        <v>-6.657960103454224E-4</v>
      </c>
      <c r="G691">
        <f t="shared" ca="1" si="211"/>
        <v>9.950652932138513E-3</v>
      </c>
      <c r="H691">
        <f t="shared" ca="1" si="212"/>
        <v>4.6426101100723274E-2</v>
      </c>
      <c r="I691">
        <f t="shared" ca="1" si="213"/>
        <v>-0.17165601973227901</v>
      </c>
      <c r="J691">
        <f t="shared" ca="1" si="214"/>
        <v>2.4119732355415326</v>
      </c>
      <c r="K691">
        <f t="shared" ca="1" si="215"/>
        <v>1.6033654188426592</v>
      </c>
      <c r="L691">
        <f t="shared" ca="1" si="216"/>
        <v>1.9320298955157038</v>
      </c>
      <c r="M691">
        <f t="shared" ca="1" si="217"/>
        <v>1.6789503618044369E-3</v>
      </c>
      <c r="N691">
        <f t="shared" ca="1" si="218"/>
        <v>1.1856283717643436E-2</v>
      </c>
      <c r="O691">
        <f t="shared" ca="1" si="219"/>
        <v>-1.0635737885704586</v>
      </c>
      <c r="P691">
        <f t="shared" ca="1" si="220"/>
        <v>3.07711415649052</v>
      </c>
      <c r="Q691">
        <f t="shared" ca="1" si="221"/>
        <v>0.85317798319962557</v>
      </c>
      <c r="R691">
        <f t="shared" ca="1" si="222"/>
        <v>2.1074745935107875</v>
      </c>
      <c r="T691">
        <f t="shared" si="223"/>
        <v>0.98382944125750937</v>
      </c>
      <c r="U691" s="6">
        <f t="shared" ca="1" si="224"/>
        <v>0.97326848382772491</v>
      </c>
      <c r="V691">
        <f t="shared" ca="1" si="225"/>
        <v>1.147074224705301</v>
      </c>
      <c r="X691" t="b">
        <f t="shared" ca="1" si="226"/>
        <v>1</v>
      </c>
      <c r="BJ691" t="b">
        <f t="shared" si="207"/>
        <v>1</v>
      </c>
      <c r="BK691" t="b">
        <f t="shared" ca="1" si="208"/>
        <v>1</v>
      </c>
    </row>
    <row r="692" spans="1:63" x14ac:dyDescent="0.45">
      <c r="A692" s="1">
        <v>44235</v>
      </c>
      <c r="B692">
        <v>287.80700000000002</v>
      </c>
      <c r="C692" s="1">
        <v>44235</v>
      </c>
      <c r="D692">
        <v>390.51</v>
      </c>
      <c r="E692">
        <f t="shared" si="209"/>
        <v>1.3130242856690328E-2</v>
      </c>
      <c r="F692" s="4">
        <f t="shared" si="210"/>
        <v>7.2218926517242567E-3</v>
      </c>
      <c r="G692">
        <f t="shared" ca="1" si="211"/>
        <v>1.0169818297595364E-2</v>
      </c>
      <c r="H692">
        <f t="shared" ca="1" si="212"/>
        <v>4.6405627770361786E-2</v>
      </c>
      <c r="I692">
        <f t="shared" ca="1" si="213"/>
        <v>-0.18500749700811941</v>
      </c>
      <c r="J692">
        <f t="shared" ca="1" si="214"/>
        <v>2.4246290859699657</v>
      </c>
      <c r="K692">
        <f t="shared" ca="1" si="215"/>
        <v>1.6033654188426592</v>
      </c>
      <c r="L692">
        <f t="shared" ca="1" si="216"/>
        <v>1.9320298955157038</v>
      </c>
      <c r="M692">
        <f t="shared" ca="1" si="217"/>
        <v>1.7519726197693076E-3</v>
      </c>
      <c r="N692">
        <f t="shared" ca="1" si="218"/>
        <v>1.1886704988570966E-2</v>
      </c>
      <c r="O692">
        <f t="shared" ca="1" si="219"/>
        <v>-1.0684368784213769</v>
      </c>
      <c r="P692">
        <f t="shared" ca="1" si="220"/>
        <v>3.047080584546074</v>
      </c>
      <c r="Q692">
        <f t="shared" ca="1" si="221"/>
        <v>0.85317798319962557</v>
      </c>
      <c r="R692">
        <f t="shared" ca="1" si="222"/>
        <v>2.1556622687778266</v>
      </c>
      <c r="T692">
        <f t="shared" si="223"/>
        <v>1.0131302428566904</v>
      </c>
      <c r="U692" s="6">
        <f t="shared" ca="1" si="224"/>
        <v>1.0281134683875299</v>
      </c>
      <c r="V692">
        <f t="shared" ca="1" si="225"/>
        <v>1.1039676590943897</v>
      </c>
      <c r="X692" t="b">
        <f t="shared" ca="1" si="226"/>
        <v>0</v>
      </c>
      <c r="BJ692" t="b">
        <f t="shared" si="207"/>
        <v>1</v>
      </c>
      <c r="BK692" t="b">
        <f t="shared" ca="1" si="208"/>
        <v>0</v>
      </c>
    </row>
    <row r="693" spans="1:63" x14ac:dyDescent="0.45">
      <c r="A693" s="1">
        <v>44232</v>
      </c>
      <c r="B693">
        <v>284.077</v>
      </c>
      <c r="C693" s="1">
        <v>44232</v>
      </c>
      <c r="D693">
        <v>387.71</v>
      </c>
      <c r="E693">
        <f t="shared" si="209"/>
        <v>2.636501605901296E-3</v>
      </c>
      <c r="F693" s="4">
        <f t="shared" si="210"/>
        <v>3.935886480747771E-3</v>
      </c>
      <c r="G693">
        <f t="shared" ca="1" si="211"/>
        <v>9.9233232341336148E-3</v>
      </c>
      <c r="H693">
        <f t="shared" ca="1" si="212"/>
        <v>4.6520613258793059E-2</v>
      </c>
      <c r="I693">
        <f t="shared" ca="1" si="213"/>
        <v>-0.17260029697130105</v>
      </c>
      <c r="J693">
        <f t="shared" ca="1" si="214"/>
        <v>2.3719366051273569</v>
      </c>
      <c r="K693">
        <f t="shared" ca="1" si="215"/>
        <v>1.6033654188426592</v>
      </c>
      <c r="L693">
        <f t="shared" ca="1" si="216"/>
        <v>1.8786156226892086</v>
      </c>
      <c r="M693">
        <f t="shared" ca="1" si="217"/>
        <v>1.7155048619925917E-3</v>
      </c>
      <c r="N693">
        <f t="shared" ca="1" si="218"/>
        <v>1.1881025996861978E-2</v>
      </c>
      <c r="O693">
        <f t="shared" ca="1" si="219"/>
        <v>-1.0611821188325068</v>
      </c>
      <c r="P693">
        <f t="shared" ca="1" si="220"/>
        <v>3.045156748858207</v>
      </c>
      <c r="Q693">
        <f t="shared" ca="1" si="221"/>
        <v>0.85317798319962557</v>
      </c>
      <c r="R693">
        <f t="shared" ca="1" si="222"/>
        <v>2.1556622687778266</v>
      </c>
      <c r="T693">
        <f t="shared" si="223"/>
        <v>1.0026365016059013</v>
      </c>
      <c r="U693" s="6">
        <f t="shared" ca="1" si="224"/>
        <v>1.07397451892178</v>
      </c>
      <c r="V693">
        <f t="shared" ca="1" si="225"/>
        <v>1.1060189825346969</v>
      </c>
      <c r="X693" t="b">
        <f t="shared" ca="1" si="226"/>
        <v>0</v>
      </c>
      <c r="BJ693" t="b">
        <f t="shared" si="207"/>
        <v>1</v>
      </c>
      <c r="BK693" t="b">
        <f t="shared" ca="1" si="208"/>
        <v>0</v>
      </c>
    </row>
    <row r="694" spans="1:63" x14ac:dyDescent="0.45">
      <c r="A694" s="1">
        <v>44231</v>
      </c>
      <c r="B694">
        <v>283.33</v>
      </c>
      <c r="C694" s="1">
        <v>44231</v>
      </c>
      <c r="D694">
        <v>386.19</v>
      </c>
      <c r="E694">
        <f t="shared" si="209"/>
        <v>-5.5002334176913314E-3</v>
      </c>
      <c r="F694" s="4">
        <f t="shared" si="210"/>
        <v>1.1365719523372985E-2</v>
      </c>
      <c r="G694">
        <f t="shared" ca="1" si="211"/>
        <v>1.024062500680387E-2</v>
      </c>
      <c r="H694">
        <f t="shared" ca="1" si="212"/>
        <v>4.6686786789426685E-2</v>
      </c>
      <c r="I694">
        <f t="shared" ca="1" si="213"/>
        <v>-0.18249849707296303</v>
      </c>
      <c r="J694">
        <f t="shared" ca="1" si="214"/>
        <v>2.3108414297012052</v>
      </c>
      <c r="K694">
        <f t="shared" ca="1" si="215"/>
        <v>1.6033654188426592</v>
      </c>
      <c r="L694">
        <f t="shared" ca="1" si="216"/>
        <v>1.9715605616531164</v>
      </c>
      <c r="M694">
        <f t="shared" ca="1" si="217"/>
        <v>1.8067981808340919E-3</v>
      </c>
      <c r="N694">
        <f t="shared" ca="1" si="218"/>
        <v>1.1968004094734142E-2</v>
      </c>
      <c r="O694">
        <f t="shared" ca="1" si="219"/>
        <v>-1.0359299177354306</v>
      </c>
      <c r="P694">
        <f t="shared" ca="1" si="220"/>
        <v>2.9462990518900805</v>
      </c>
      <c r="Q694">
        <f t="shared" ca="1" si="221"/>
        <v>0.87374948754666093</v>
      </c>
      <c r="R694">
        <f t="shared" ca="1" si="222"/>
        <v>2.2642631228803975</v>
      </c>
      <c r="T694">
        <f t="shared" si="223"/>
        <v>0.99449976658230865</v>
      </c>
      <c r="U694" s="6">
        <f t="shared" ca="1" si="224"/>
        <v>1.0174269329244428</v>
      </c>
      <c r="V694">
        <f t="shared" ca="1" si="225"/>
        <v>1.1177098995309471</v>
      </c>
      <c r="X694" t="b">
        <f t="shared" ca="1" si="226"/>
        <v>0</v>
      </c>
      <c r="BJ694" t="b">
        <f t="shared" si="207"/>
        <v>1</v>
      </c>
      <c r="BK694" t="b">
        <f t="shared" ca="1" si="208"/>
        <v>0</v>
      </c>
    </row>
    <row r="695" spans="1:63" x14ac:dyDescent="0.45">
      <c r="A695" s="1">
        <v>44230</v>
      </c>
      <c r="B695">
        <v>284.89699999999999</v>
      </c>
      <c r="C695" s="1">
        <v>44230</v>
      </c>
      <c r="D695">
        <v>381.85</v>
      </c>
      <c r="E695">
        <f t="shared" si="209"/>
        <v>-2.0736947031932133E-2</v>
      </c>
      <c r="F695" s="4">
        <f t="shared" si="210"/>
        <v>7.8626654435856732E-4</v>
      </c>
      <c r="G695">
        <f t="shared" ca="1" si="211"/>
        <v>9.8685868098191132E-3</v>
      </c>
      <c r="H695">
        <f t="shared" ca="1" si="212"/>
        <v>4.7107428312170803E-2</v>
      </c>
      <c r="I695">
        <f t="shared" ca="1" si="213"/>
        <v>-0.1891039252295055</v>
      </c>
      <c r="J695">
        <f t="shared" ca="1" si="214"/>
        <v>2.1849754484260826</v>
      </c>
      <c r="K695">
        <f t="shared" ca="1" si="215"/>
        <v>1.5368663671810652</v>
      </c>
      <c r="L695">
        <f t="shared" ca="1" si="216"/>
        <v>1.9385178546961475</v>
      </c>
      <c r="M695">
        <f t="shared" ca="1" si="217"/>
        <v>1.598153112461874E-3</v>
      </c>
      <c r="N695">
        <f t="shared" ca="1" si="218"/>
        <v>1.2162680086578517E-2</v>
      </c>
      <c r="O695">
        <f t="shared" ca="1" si="219"/>
        <v>-1.0313789622110849</v>
      </c>
      <c r="P695">
        <f t="shared" ca="1" si="220"/>
        <v>2.7492460764027316</v>
      </c>
      <c r="Q695">
        <f t="shared" ca="1" si="221"/>
        <v>0.86326416972177211</v>
      </c>
      <c r="R695">
        <f t="shared" ca="1" si="222"/>
        <v>2.1231853293248313</v>
      </c>
      <c r="T695">
        <f t="shared" si="223"/>
        <v>0.97926305296806782</v>
      </c>
      <c r="U695" s="6">
        <f t="shared" ca="1" si="224"/>
        <v>0.98904368293334921</v>
      </c>
      <c r="V695">
        <f t="shared" ca="1" si="225"/>
        <v>1.0950554160478689</v>
      </c>
      <c r="X695" t="b">
        <f t="shared" ca="1" si="226"/>
        <v>1</v>
      </c>
      <c r="BJ695" t="b">
        <f t="shared" si="207"/>
        <v>1</v>
      </c>
      <c r="BK695" t="b">
        <f t="shared" ca="1" si="208"/>
        <v>1</v>
      </c>
    </row>
    <row r="696" spans="1:63" x14ac:dyDescent="0.45">
      <c r="A696" s="1">
        <v>44229</v>
      </c>
      <c r="B696">
        <v>290.93</v>
      </c>
      <c r="C696" s="1">
        <v>44229</v>
      </c>
      <c r="D696">
        <v>381.55</v>
      </c>
      <c r="E696">
        <f t="shared" si="209"/>
        <v>3.9269549934449519E-2</v>
      </c>
      <c r="F696" s="4">
        <f t="shared" si="210"/>
        <v>1.4140286526858552E-2</v>
      </c>
      <c r="G696">
        <f t="shared" ca="1" si="211"/>
        <v>9.9223305390355957E-3</v>
      </c>
      <c r="H696">
        <f t="shared" ca="1" si="212"/>
        <v>4.7078458318156588E-2</v>
      </c>
      <c r="I696">
        <f t="shared" ca="1" si="213"/>
        <v>-0.19189884827423259</v>
      </c>
      <c r="J696">
        <f t="shared" ca="1" si="214"/>
        <v>2.1979872771487114</v>
      </c>
      <c r="K696">
        <f t="shared" ca="1" si="215"/>
        <v>1.5368663671810652</v>
      </c>
      <c r="L696">
        <f t="shared" ca="1" si="216"/>
        <v>1.9715605616531164</v>
      </c>
      <c r="M696">
        <f t="shared" ca="1" si="217"/>
        <v>1.5061321900108032E-3</v>
      </c>
      <c r="N696">
        <f t="shared" ca="1" si="218"/>
        <v>1.2238240432507284E-2</v>
      </c>
      <c r="O696">
        <f t="shared" ca="1" si="219"/>
        <v>-1.009255310607132</v>
      </c>
      <c r="P696">
        <f t="shared" ca="1" si="220"/>
        <v>2.6076080666175319</v>
      </c>
      <c r="Q696">
        <f t="shared" ca="1" si="221"/>
        <v>0.86326416972177211</v>
      </c>
      <c r="R696">
        <f t="shared" ca="1" si="222"/>
        <v>1.9965432474266247</v>
      </c>
      <c r="T696">
        <f t="shared" si="223"/>
        <v>1.0392695499344495</v>
      </c>
      <c r="U696" s="6">
        <f t="shared" ca="1" si="224"/>
        <v>0.98833752883344717</v>
      </c>
      <c r="V696">
        <f t="shared" ca="1" si="225"/>
        <v>1.0805374252236746</v>
      </c>
      <c r="X696" t="b">
        <f t="shared" ca="1" si="226"/>
        <v>1</v>
      </c>
      <c r="BJ696" t="b">
        <f t="shared" si="207"/>
        <v>1</v>
      </c>
      <c r="BK696" t="b">
        <f t="shared" ca="1" si="208"/>
        <v>1</v>
      </c>
    </row>
    <row r="697" spans="1:63" x14ac:dyDescent="0.45">
      <c r="A697" s="1">
        <v>44228</v>
      </c>
      <c r="B697">
        <v>279.93700000000001</v>
      </c>
      <c r="C697" s="1">
        <v>44228</v>
      </c>
      <c r="D697">
        <v>376.23</v>
      </c>
      <c r="E697">
        <f t="shared" si="209"/>
        <v>5.8322936750973581E-2</v>
      </c>
      <c r="F697" s="4">
        <f t="shared" si="210"/>
        <v>1.6645499500094644E-2</v>
      </c>
      <c r="G697">
        <f t="shared" ca="1" si="211"/>
        <v>9.7842146580769535E-3</v>
      </c>
      <c r="H697">
        <f t="shared" ca="1" si="212"/>
        <v>4.7032425686468218E-2</v>
      </c>
      <c r="I697">
        <f t="shared" ca="1" si="213"/>
        <v>-0.18479692832432543</v>
      </c>
      <c r="J697">
        <f t="shared" ca="1" si="214"/>
        <v>2.2154933682214226</v>
      </c>
      <c r="K697">
        <f t="shared" ca="1" si="215"/>
        <v>1.5368663671810652</v>
      </c>
      <c r="L697">
        <f t="shared" ca="1" si="216"/>
        <v>1.8786156226892086</v>
      </c>
      <c r="M697">
        <f t="shared" ca="1" si="217"/>
        <v>1.5705077906979004E-3</v>
      </c>
      <c r="N697">
        <f t="shared" ca="1" si="218"/>
        <v>1.2338484883060054E-2</v>
      </c>
      <c r="O697">
        <f t="shared" ca="1" si="219"/>
        <v>-0.96125967870609252</v>
      </c>
      <c r="P697">
        <f t="shared" ca="1" si="220"/>
        <v>2.535338626819545</v>
      </c>
      <c r="Q697">
        <f t="shared" ca="1" si="221"/>
        <v>0.87519442007519643</v>
      </c>
      <c r="R697">
        <f t="shared" ca="1" si="222"/>
        <v>1.9965432474266247</v>
      </c>
      <c r="T697">
        <f t="shared" si="223"/>
        <v>1.0583229367509737</v>
      </c>
      <c r="U697" s="6">
        <f t="shared" ca="1" si="224"/>
        <v>0.95346389645776564</v>
      </c>
      <c r="V697">
        <f t="shared" ca="1" si="225"/>
        <v>1.0809550235569225</v>
      </c>
      <c r="X697" t="b">
        <f t="shared" ca="1" si="226"/>
        <v>1</v>
      </c>
      <c r="BJ697" t="b">
        <f t="shared" si="207"/>
        <v>1</v>
      </c>
      <c r="BK697" t="b">
        <f t="shared" ca="1" si="208"/>
        <v>1</v>
      </c>
    </row>
    <row r="698" spans="1:63" x14ac:dyDescent="0.45">
      <c r="A698" s="1">
        <v>44225</v>
      </c>
      <c r="B698">
        <v>264.51</v>
      </c>
      <c r="C698" s="1">
        <v>44225</v>
      </c>
      <c r="D698">
        <v>370.07</v>
      </c>
      <c r="E698">
        <f t="shared" si="209"/>
        <v>-5.0154949959960733E-2</v>
      </c>
      <c r="F698" s="4">
        <f t="shared" si="210"/>
        <v>-2.0019595900749417E-2</v>
      </c>
      <c r="G698">
        <f t="shared" ca="1" si="211"/>
        <v>9.5979739006980397E-3</v>
      </c>
      <c r="H698">
        <f t="shared" ca="1" si="212"/>
        <v>4.6912850691638891E-2</v>
      </c>
      <c r="I698">
        <f t="shared" ca="1" si="213"/>
        <v>-0.17973482565447896</v>
      </c>
      <c r="J698">
        <f t="shared" ca="1" si="214"/>
        <v>2.2604126691470636</v>
      </c>
      <c r="K698">
        <f t="shared" ca="1" si="215"/>
        <v>1.5368663671810652</v>
      </c>
      <c r="L698">
        <f t="shared" ca="1" si="216"/>
        <v>1.8453321286043458</v>
      </c>
      <c r="M698">
        <f t="shared" ca="1" si="217"/>
        <v>1.5114018369762298E-3</v>
      </c>
      <c r="N698">
        <f t="shared" ca="1" si="218"/>
        <v>1.22941414277421E-2</v>
      </c>
      <c r="O698">
        <f t="shared" ca="1" si="219"/>
        <v>-0.96639393591653422</v>
      </c>
      <c r="P698">
        <f t="shared" ca="1" si="220"/>
        <v>2.5855096427027986</v>
      </c>
      <c r="Q698">
        <f t="shared" ca="1" si="221"/>
        <v>0.87519442007519643</v>
      </c>
      <c r="R698">
        <f t="shared" ca="1" si="222"/>
        <v>1.951912518830099</v>
      </c>
      <c r="T698">
        <f t="shared" si="223"/>
        <v>0.94984505004003927</v>
      </c>
      <c r="U698" s="6">
        <f t="shared" ca="1" si="224"/>
        <v>0.93727078483273252</v>
      </c>
      <c r="V698">
        <f t="shared" ca="1" si="225"/>
        <v>1.0182060106607516</v>
      </c>
      <c r="X698" t="b">
        <f t="shared" ca="1" si="226"/>
        <v>1</v>
      </c>
      <c r="BJ698" t="b">
        <f t="shared" si="207"/>
        <v>1</v>
      </c>
      <c r="BK698" t="b">
        <f t="shared" ca="1" si="208"/>
        <v>1</v>
      </c>
    </row>
    <row r="699" spans="1:63" x14ac:dyDescent="0.45">
      <c r="A699" s="1">
        <v>44224</v>
      </c>
      <c r="B699">
        <v>278.47699999999998</v>
      </c>
      <c r="C699" s="1">
        <v>44224</v>
      </c>
      <c r="D699">
        <v>377.63</v>
      </c>
      <c r="E699">
        <f t="shared" si="209"/>
        <v>-3.3243882202233691E-2</v>
      </c>
      <c r="F699" s="4">
        <f t="shared" si="210"/>
        <v>8.6001976442936084E-3</v>
      </c>
      <c r="G699">
        <f t="shared" ca="1" si="211"/>
        <v>9.9891894230118954E-3</v>
      </c>
      <c r="H699">
        <f t="shared" ca="1" si="212"/>
        <v>4.6737971682132604E-2</v>
      </c>
      <c r="I699">
        <f t="shared" ca="1" si="213"/>
        <v>-0.196204393882879</v>
      </c>
      <c r="J699">
        <f t="shared" ca="1" si="214"/>
        <v>2.3328363619900196</v>
      </c>
      <c r="K699">
        <f t="shared" ca="1" si="215"/>
        <v>1.5368663671810652</v>
      </c>
      <c r="L699">
        <f t="shared" ca="1" si="216"/>
        <v>1.8978000590219968</v>
      </c>
      <c r="M699">
        <f t="shared" ca="1" si="217"/>
        <v>1.5052592865106328E-3</v>
      </c>
      <c r="N699">
        <f t="shared" ca="1" si="218"/>
        <v>1.230525494694523E-2</v>
      </c>
      <c r="O699">
        <f t="shared" ca="1" si="219"/>
        <v>-0.96719029844567728</v>
      </c>
      <c r="P699">
        <f t="shared" ca="1" si="220"/>
        <v>2.575285703418376</v>
      </c>
      <c r="Q699">
        <f t="shared" ca="1" si="221"/>
        <v>0.82734181612984714</v>
      </c>
      <c r="R699">
        <f t="shared" ca="1" si="222"/>
        <v>1.951912518830099</v>
      </c>
      <c r="T699">
        <f t="shared" si="223"/>
        <v>0.96675611779776627</v>
      </c>
      <c r="U699" s="6">
        <f t="shared" ca="1" si="224"/>
        <v>0.98868861014758758</v>
      </c>
      <c r="V699">
        <f t="shared" ca="1" si="225"/>
        <v>1.015302548541321</v>
      </c>
      <c r="X699" t="b">
        <f t="shared" ca="1" si="226"/>
        <v>1</v>
      </c>
      <c r="BJ699" t="b">
        <f t="shared" si="207"/>
        <v>1</v>
      </c>
      <c r="BK699" t="b">
        <f t="shared" ca="1" si="208"/>
        <v>1</v>
      </c>
    </row>
    <row r="700" spans="1:63" x14ac:dyDescent="0.45">
      <c r="A700" s="1">
        <v>44223</v>
      </c>
      <c r="B700">
        <v>288.053</v>
      </c>
      <c r="C700" s="1">
        <v>44223</v>
      </c>
      <c r="D700">
        <v>374.41</v>
      </c>
      <c r="E700">
        <f t="shared" si="209"/>
        <v>-2.1436117990372438E-2</v>
      </c>
      <c r="F700" s="4">
        <f t="shared" si="210"/>
        <v>-2.4440449203991754E-2</v>
      </c>
      <c r="G700">
        <f t="shared" ca="1" si="211"/>
        <v>1.060812758913578E-2</v>
      </c>
      <c r="H700">
        <f t="shared" ca="1" si="212"/>
        <v>4.6981578952688237E-2</v>
      </c>
      <c r="I700">
        <f t="shared" ca="1" si="213"/>
        <v>-0.20355075356874053</v>
      </c>
      <c r="J700">
        <f t="shared" ca="1" si="214"/>
        <v>2.273062793872759</v>
      </c>
      <c r="K700">
        <f t="shared" ca="1" si="215"/>
        <v>1.5505102970850069</v>
      </c>
      <c r="L700">
        <f t="shared" ca="1" si="216"/>
        <v>1.9664101269464298</v>
      </c>
      <c r="M700">
        <f t="shared" ca="1" si="217"/>
        <v>1.6097225658651645E-3</v>
      </c>
      <c r="N700">
        <f t="shared" ca="1" si="218"/>
        <v>1.2453577179304327E-2</v>
      </c>
      <c r="O700">
        <f t="shared" ca="1" si="219"/>
        <v>-0.9017867861954405</v>
      </c>
      <c r="P700">
        <f t="shared" ca="1" si="220"/>
        <v>2.4742435727345313</v>
      </c>
      <c r="Q700">
        <f t="shared" ca="1" si="221"/>
        <v>0.83432029492826842</v>
      </c>
      <c r="R700">
        <f t="shared" ca="1" si="222"/>
        <v>1.9965432474266247</v>
      </c>
      <c r="T700">
        <f t="shared" si="223"/>
        <v>0.97856388200962752</v>
      </c>
      <c r="U700" s="6">
        <f t="shared" ca="1" si="224"/>
        <v>1.0161208961383925</v>
      </c>
      <c r="V700">
        <f t="shared" ca="1" si="225"/>
        <v>1.3281444964244771</v>
      </c>
      <c r="X700" t="b">
        <f t="shared" ca="1" si="226"/>
        <v>0</v>
      </c>
      <c r="BJ700" t="b">
        <f t="shared" si="207"/>
        <v>1</v>
      </c>
      <c r="BK700" t="b">
        <f t="shared" ca="1" si="208"/>
        <v>0</v>
      </c>
    </row>
    <row r="701" spans="1:63" x14ac:dyDescent="0.45">
      <c r="A701" s="1">
        <v>44222</v>
      </c>
      <c r="B701">
        <v>294.363</v>
      </c>
      <c r="C701" s="1">
        <v>44222</v>
      </c>
      <c r="D701">
        <v>383.79</v>
      </c>
      <c r="E701">
        <f t="shared" si="209"/>
        <v>2.5987738419617737E-3</v>
      </c>
      <c r="F701" s="4">
        <f t="shared" si="210"/>
        <v>-1.5609146960117743E-3</v>
      </c>
      <c r="G701">
        <f t="shared" ca="1" si="211"/>
        <v>1.1395504514166176E-2</v>
      </c>
      <c r="H701">
        <f t="shared" ca="1" si="212"/>
        <v>4.7755061190655243E-2</v>
      </c>
      <c r="I701">
        <f t="shared" ca="1" si="213"/>
        <v>-0.15027854869601473</v>
      </c>
      <c r="J701">
        <f t="shared" ca="1" si="214"/>
        <v>2.1906149911662887</v>
      </c>
      <c r="K701">
        <f t="shared" ca="1" si="215"/>
        <v>1.6240366898868177</v>
      </c>
      <c r="L701">
        <f t="shared" ca="1" si="216"/>
        <v>2.0812519922334616</v>
      </c>
      <c r="M701">
        <f t="shared" ca="1" si="217"/>
        <v>1.6862742008139516E-3</v>
      </c>
      <c r="N701">
        <f t="shared" ca="1" si="218"/>
        <v>1.2339173659592752E-2</v>
      </c>
      <c r="O701">
        <f t="shared" ca="1" si="219"/>
        <v>-0.90148773043364172</v>
      </c>
      <c r="P701">
        <f t="shared" ca="1" si="220"/>
        <v>2.6045023699501986</v>
      </c>
      <c r="Q701">
        <f t="shared" ca="1" si="221"/>
        <v>0.89055250587596102</v>
      </c>
      <c r="R701">
        <f t="shared" ca="1" si="222"/>
        <v>1.9965432474266247</v>
      </c>
      <c r="T701">
        <f t="shared" si="223"/>
        <v>1.0025987738419617</v>
      </c>
      <c r="U701" s="6">
        <f t="shared" ca="1" si="224"/>
        <v>1.0456313473076226</v>
      </c>
      <c r="V701">
        <f t="shared" ca="1" si="225"/>
        <v>1.3080596989515993</v>
      </c>
      <c r="X701" t="b">
        <f t="shared" ca="1" si="226"/>
        <v>0</v>
      </c>
      <c r="BJ701" t="b">
        <f t="shared" si="207"/>
        <v>1</v>
      </c>
      <c r="BK701" t="b">
        <f t="shared" ca="1" si="208"/>
        <v>0</v>
      </c>
    </row>
    <row r="702" spans="1:63" x14ac:dyDescent="0.45">
      <c r="A702" s="1">
        <v>44221</v>
      </c>
      <c r="B702">
        <v>293.60000000000002</v>
      </c>
      <c r="C702" s="1">
        <v>44221</v>
      </c>
      <c r="D702">
        <v>384.39</v>
      </c>
      <c r="E702">
        <f t="shared" si="209"/>
        <v>4.034895628479198E-2</v>
      </c>
      <c r="F702" s="4">
        <f t="shared" si="210"/>
        <v>3.9437944003342844E-3</v>
      </c>
      <c r="G702">
        <f t="shared" ca="1" si="211"/>
        <v>1.1602615976296405E-2</v>
      </c>
      <c r="H702">
        <f t="shared" ca="1" si="212"/>
        <v>4.7806514020360569E-2</v>
      </c>
      <c r="I702">
        <f t="shared" ca="1" si="213"/>
        <v>-0.16127711028579947</v>
      </c>
      <c r="J702">
        <f t="shared" ca="1" si="214"/>
        <v>2.1719612070559569</v>
      </c>
      <c r="K702">
        <f t="shared" ca="1" si="215"/>
        <v>1.6240366898868177</v>
      </c>
      <c r="L702">
        <f t="shared" ca="1" si="216"/>
        <v>2.1163208309772235</v>
      </c>
      <c r="M702">
        <f t="shared" ca="1" si="217"/>
        <v>1.7701653341597192E-3</v>
      </c>
      <c r="N702">
        <f t="shared" ca="1" si="218"/>
        <v>1.2373972383449866E-2</v>
      </c>
      <c r="O702">
        <f t="shared" ca="1" si="219"/>
        <v>-0.90771934409838273</v>
      </c>
      <c r="P702">
        <f t="shared" ca="1" si="220"/>
        <v>2.5734222889530507</v>
      </c>
      <c r="Q702">
        <f t="shared" ca="1" si="221"/>
        <v>0.89055250587596102</v>
      </c>
      <c r="R702">
        <f t="shared" ca="1" si="222"/>
        <v>2.0971277893855946</v>
      </c>
      <c r="T702">
        <f t="shared" si="223"/>
        <v>1.0403489562847921</v>
      </c>
      <c r="U702" s="6">
        <f t="shared" ca="1" si="224"/>
        <v>1.0661360194925686</v>
      </c>
      <c r="V702">
        <f t="shared" ca="1" si="225"/>
        <v>1.3093045730382449</v>
      </c>
      <c r="X702" t="b">
        <f t="shared" ca="1" si="226"/>
        <v>0</v>
      </c>
      <c r="BJ702" t="b">
        <f t="shared" si="207"/>
        <v>1</v>
      </c>
      <c r="BK702" t="b">
        <f t="shared" ca="1" si="208"/>
        <v>0</v>
      </c>
    </row>
    <row r="703" spans="1:63" x14ac:dyDescent="0.45">
      <c r="A703" s="1">
        <v>44218</v>
      </c>
      <c r="B703">
        <v>282.21300000000002</v>
      </c>
      <c r="C703" s="1">
        <v>44218</v>
      </c>
      <c r="D703">
        <v>382.88</v>
      </c>
      <c r="E703">
        <f t="shared" si="209"/>
        <v>1.952688141502474E-3</v>
      </c>
      <c r="F703" s="4">
        <f t="shared" si="210"/>
        <v>-3.5394545075994525E-3</v>
      </c>
      <c r="G703">
        <f t="shared" ca="1" si="211"/>
        <v>1.1431946482318853E-2</v>
      </c>
      <c r="H703">
        <f t="shared" ca="1" si="212"/>
        <v>4.7764284183196164E-2</v>
      </c>
      <c r="I703">
        <f t="shared" ca="1" si="213"/>
        <v>-0.15199122992449479</v>
      </c>
      <c r="J703">
        <f t="shared" ca="1" si="214"/>
        <v>2.1874642475049813</v>
      </c>
      <c r="K703">
        <f t="shared" ca="1" si="215"/>
        <v>1.6240366898868177</v>
      </c>
      <c r="L703">
        <f t="shared" ca="1" si="216"/>
        <v>2.0812519922334616</v>
      </c>
      <c r="M703">
        <f t="shared" ca="1" si="217"/>
        <v>1.918288552781515E-3</v>
      </c>
      <c r="N703">
        <f t="shared" ca="1" si="218"/>
        <v>1.2575788477092618E-2</v>
      </c>
      <c r="O703">
        <f t="shared" ca="1" si="219"/>
        <v>-0.81837863450932991</v>
      </c>
      <c r="P703">
        <f t="shared" ca="1" si="220"/>
        <v>2.4714805961868347</v>
      </c>
      <c r="Q703">
        <f t="shared" ca="1" si="221"/>
        <v>0.96314473217629737</v>
      </c>
      <c r="R703">
        <f t="shared" ca="1" si="222"/>
        <v>2.1155406928330835</v>
      </c>
      <c r="T703">
        <f t="shared" si="223"/>
        <v>1.0019526881415024</v>
      </c>
      <c r="U703" s="6">
        <f t="shared" ca="1" si="224"/>
        <v>1.0019384592444269</v>
      </c>
      <c r="V703">
        <f t="shared" ca="1" si="225"/>
        <v>1.316655017875481</v>
      </c>
      <c r="X703" t="b">
        <f t="shared" ca="1" si="226"/>
        <v>0</v>
      </c>
      <c r="BJ703" t="b">
        <f t="shared" si="207"/>
        <v>1</v>
      </c>
      <c r="BK703" t="b">
        <f t="shared" ca="1" si="208"/>
        <v>0</v>
      </c>
    </row>
    <row r="704" spans="1:63" x14ac:dyDescent="0.45">
      <c r="A704" s="1">
        <v>44217</v>
      </c>
      <c r="B704">
        <v>281.66300000000001</v>
      </c>
      <c r="C704" s="1">
        <v>44217</v>
      </c>
      <c r="D704">
        <v>384.24</v>
      </c>
      <c r="E704">
        <f t="shared" si="209"/>
        <v>-6.4201380682439267E-3</v>
      </c>
      <c r="F704" s="4">
        <f t="shared" si="210"/>
        <v>9.1171950298268455E-4</v>
      </c>
      <c r="G704">
        <f t="shared" ca="1" si="211"/>
        <v>1.170508924802696E-2</v>
      </c>
      <c r="H704">
        <f t="shared" ca="1" si="212"/>
        <v>4.7865894266442159E-2</v>
      </c>
      <c r="I704">
        <f t="shared" ca="1" si="213"/>
        <v>-0.16401850779428939</v>
      </c>
      <c r="J704">
        <f t="shared" ca="1" si="214"/>
        <v>2.1508791267990395</v>
      </c>
      <c r="K704">
        <f t="shared" ca="1" si="215"/>
        <v>1.6240366898868177</v>
      </c>
      <c r="L704">
        <f t="shared" ca="1" si="216"/>
        <v>2.1163208309772235</v>
      </c>
      <c r="M704">
        <f t="shared" ca="1" si="217"/>
        <v>1.9410828577139847E-3</v>
      </c>
      <c r="N704">
        <f t="shared" ca="1" si="218"/>
        <v>1.2569976557766418E-2</v>
      </c>
      <c r="O704">
        <f t="shared" ca="1" si="219"/>
        <v>-0.82459584310934664</v>
      </c>
      <c r="P704">
        <f t="shared" ca="1" si="220"/>
        <v>2.4875900530099786</v>
      </c>
      <c r="Q704">
        <f t="shared" ca="1" si="221"/>
        <v>0.96314473217629737</v>
      </c>
      <c r="R704">
        <f t="shared" ca="1" si="222"/>
        <v>2.1155406928330835</v>
      </c>
      <c r="T704">
        <f t="shared" si="223"/>
        <v>0.99357986193175607</v>
      </c>
      <c r="U704" s="6">
        <f t="shared" ca="1" si="224"/>
        <v>0.98897483523698837</v>
      </c>
      <c r="V704">
        <f t="shared" ca="1" si="225"/>
        <v>1.3212063139493258</v>
      </c>
      <c r="X704" t="b">
        <f t="shared" ca="1" si="226"/>
        <v>1</v>
      </c>
      <c r="BJ704" t="b">
        <f t="shared" si="207"/>
        <v>1</v>
      </c>
      <c r="BK704" t="b">
        <f t="shared" ca="1" si="208"/>
        <v>1</v>
      </c>
    </row>
    <row r="705" spans="1:63" x14ac:dyDescent="0.45">
      <c r="A705" s="1">
        <v>44216</v>
      </c>
      <c r="B705">
        <v>283.483</v>
      </c>
      <c r="C705" s="1">
        <v>44216</v>
      </c>
      <c r="D705">
        <v>383.89</v>
      </c>
      <c r="E705">
        <f t="shared" si="209"/>
        <v>6.9835924651087079E-3</v>
      </c>
      <c r="F705" s="4">
        <f t="shared" si="210"/>
        <v>1.3838637263964108E-2</v>
      </c>
      <c r="G705">
        <f t="shared" ca="1" si="211"/>
        <v>1.2114572308128844E-2</v>
      </c>
      <c r="H705">
        <f t="shared" ca="1" si="212"/>
        <v>4.8059968471029224E-2</v>
      </c>
      <c r="I705">
        <f t="shared" ca="1" si="213"/>
        <v>-0.17572806762823334</v>
      </c>
      <c r="J705">
        <f t="shared" ca="1" si="214"/>
        <v>2.0890585120898466</v>
      </c>
      <c r="K705">
        <f t="shared" ca="1" si="215"/>
        <v>1.6240366898868177</v>
      </c>
      <c r="L705">
        <f t="shared" ca="1" si="216"/>
        <v>2.1452045614215915</v>
      </c>
      <c r="M705">
        <f t="shared" ca="1" si="217"/>
        <v>2.2723556796760847E-3</v>
      </c>
      <c r="N705">
        <f t="shared" ca="1" si="218"/>
        <v>1.3389070910019655E-2</v>
      </c>
      <c r="O705">
        <f t="shared" ca="1" si="219"/>
        <v>-0.17049456554922912</v>
      </c>
      <c r="P705">
        <f t="shared" ca="1" si="220"/>
        <v>4.1830074763935627</v>
      </c>
      <c r="Q705">
        <f t="shared" ca="1" si="221"/>
        <v>0.97587690475437538</v>
      </c>
      <c r="R705">
        <f t="shared" ca="1" si="222"/>
        <v>2.1213784369126225</v>
      </c>
      <c r="T705">
        <f t="shared" si="223"/>
        <v>1.0069835924651087</v>
      </c>
      <c r="U705" s="6">
        <f t="shared" ca="1" si="224"/>
        <v>1.001186662758214</v>
      </c>
      <c r="V705">
        <f t="shared" ca="1" si="225"/>
        <v>1.2046620790824463</v>
      </c>
      <c r="X705" t="b">
        <f t="shared" ca="1" si="226"/>
        <v>0</v>
      </c>
      <c r="BJ705" t="b">
        <f t="shared" si="207"/>
        <v>1</v>
      </c>
      <c r="BK705" t="b">
        <f t="shared" ca="1" si="208"/>
        <v>0</v>
      </c>
    </row>
    <row r="706" spans="1:63" x14ac:dyDescent="0.45">
      <c r="A706" s="1">
        <v>44215</v>
      </c>
      <c r="B706">
        <v>281.517</v>
      </c>
      <c r="C706" s="1">
        <v>44215</v>
      </c>
      <c r="D706">
        <v>378.65</v>
      </c>
      <c r="E706">
        <f t="shared" si="209"/>
        <v>2.2259583785726979E-2</v>
      </c>
      <c r="F706" s="4">
        <f t="shared" si="210"/>
        <v>7.8520095821133576E-3</v>
      </c>
      <c r="G706">
        <f t="shared" ca="1" si="211"/>
        <v>1.2360646490499318E-2</v>
      </c>
      <c r="H706">
        <f t="shared" ca="1" si="212"/>
        <v>4.8159455741099325E-2</v>
      </c>
      <c r="I706">
        <f t="shared" ca="1" si="213"/>
        <v>-0.18622561991704836</v>
      </c>
      <c r="J706">
        <f t="shared" ca="1" si="214"/>
        <v>2.0541173712893759</v>
      </c>
      <c r="K706">
        <f t="shared" ca="1" si="215"/>
        <v>1.6240366898868177</v>
      </c>
      <c r="L706">
        <f t="shared" ca="1" si="216"/>
        <v>2.1945424583390438</v>
      </c>
      <c r="M706">
        <f t="shared" ca="1" si="217"/>
        <v>2.1308915169038949E-3</v>
      </c>
      <c r="N706">
        <f t="shared" ca="1" si="218"/>
        <v>1.3415691136003808E-2</v>
      </c>
      <c r="O706">
        <f t="shared" ca="1" si="219"/>
        <v>-0.15061732969783692</v>
      </c>
      <c r="P706">
        <f t="shared" ca="1" si="220"/>
        <v>4.1282867941050636</v>
      </c>
      <c r="Q706">
        <f t="shared" ca="1" si="221"/>
        <v>0.97587690475437538</v>
      </c>
      <c r="R706">
        <f t="shared" ca="1" si="222"/>
        <v>1.8795814438016223</v>
      </c>
      <c r="T706">
        <f t="shared" si="223"/>
        <v>1.0222595837857269</v>
      </c>
      <c r="U706" s="6">
        <f t="shared" ca="1" si="224"/>
        <v>1.0411247166203765</v>
      </c>
      <c r="V706">
        <f t="shared" ca="1" si="225"/>
        <v>1.1918243828720407</v>
      </c>
      <c r="X706" t="b">
        <f t="shared" ca="1" si="226"/>
        <v>0</v>
      </c>
      <c r="BJ706" t="b">
        <f t="shared" ref="BJ706:BJ769" si="227">ABS(W706-1)&gt;$S$21</f>
        <v>1</v>
      </c>
      <c r="BK706" t="b">
        <f t="shared" ref="BK706:BK769" ca="1" si="228">AND(X706,BJ706)</f>
        <v>0</v>
      </c>
    </row>
    <row r="707" spans="1:63" x14ac:dyDescent="0.45">
      <c r="A707" s="1">
        <v>44211</v>
      </c>
      <c r="B707">
        <v>275.387</v>
      </c>
      <c r="C707" s="1">
        <v>44211</v>
      </c>
      <c r="D707">
        <v>375.7</v>
      </c>
      <c r="E707">
        <f t="shared" ref="E707:E770" si="229">(B707-B708)/B708</f>
        <v>-2.2295831602566055E-2</v>
      </c>
      <c r="F707" s="4">
        <f t="shared" ref="F707:F770" si="230">(D707-D708)/D708</f>
        <v>-7.2927125720023012E-3</v>
      </c>
      <c r="G707">
        <f t="shared" ref="G707:G770" ca="1" si="231">AVERAGE(OFFSET(E707,0,0,$S$3,1))*$AK$25</f>
        <v>1.1968075209995804E-2</v>
      </c>
      <c r="H707">
        <f t="shared" ref="H707:H770" ca="1" si="232">STDEV(OFFSET(E707,0,0,$S$3,1))*$AJ$25</f>
        <v>4.8397773571639678E-2</v>
      </c>
      <c r="I707">
        <f t="shared" ref="I707:I770" ca="1" si="233">SKEW(OFFSET(E707,0,0,$S$3,1))*$AI$25</f>
        <v>-0.17341552416807721</v>
      </c>
      <c r="J707">
        <f t="shared" ref="J707:J770" ca="1" si="234">KURT(OFFSET(E707,0,0,$S$3,1))*$AH$25</f>
        <v>1.9691729503531468</v>
      </c>
      <c r="K707">
        <f t="shared" ref="K707:K770" ca="1" si="235">PERCENTILE(OFFSET(E707,0,0,$S$3,1), 0.95)/ABS(PERCENTILE(OFFSET(E707,0,0,$S$3,1), 0.05))*$AG$25</f>
        <v>1.6240366898868177</v>
      </c>
      <c r="L707">
        <f t="shared" ref="L707:L770" ca="1" si="236">PERCENTILE(OFFSET(E707,0,0,$S$3,1), 0.75)/ABS(PERCENTILE(OFFSET(E707,0,0,$S$3,1), 0.25))*$AF$25</f>
        <v>2.1760336938052074</v>
      </c>
      <c r="M707">
        <f t="shared" ref="M707:M770" ca="1" si="237">AVERAGE(OFFSET(F707,0,0,$S$3,1))*$AE$25</f>
        <v>2.2070082717558725E-3</v>
      </c>
      <c r="N707">
        <f t="shared" ref="N707:N770" ca="1" si="238">STDEV(OFFSET(F707,0,0,$S$3,1))*$AD$25</f>
        <v>1.3491287678552509E-2</v>
      </c>
      <c r="O707">
        <f t="shared" ref="O707:O770" ca="1" si="239">SKEW(OFFSET(F707,0,0,$S$3,1))*$AC$25</f>
        <v>-0.14659206838022615</v>
      </c>
      <c r="P707">
        <f t="shared" ref="P707:P770" ca="1" si="240">KURT(OFFSET(F707,0,0,$S$3,1))*$AB$25</f>
        <v>4.0019311354831846</v>
      </c>
      <c r="Q707">
        <f t="shared" ref="Q707:Q770" ca="1" si="241">PERCENTILE(OFFSET(F707,0,0,$S$3,1), 0.95)/ABS(PERCENTILE(OFFSET(F707,0,0,$S$3,1), 0.05))*$AA$25</f>
        <v>0.9936102174724617</v>
      </c>
      <c r="R707">
        <f t="shared" ref="R707:R770" ca="1" si="242">PERCENTILE(OFFSET(F707,0,0,$S$3,1), 0.75)/ABS(PERCENTILE(OFFSET(F707,0,0,$S$3,1), 0.25))*$Z$25</f>
        <v>1.8847680684232788</v>
      </c>
      <c r="T707">
        <f t="shared" ref="T707:T770" si="243">E707+1</f>
        <v>0.9777041683974339</v>
      </c>
      <c r="U707" s="6">
        <f t="shared" ref="U707:U770" ca="1" si="244">PRODUCT(OFFSET(T707,0,0,$S$6,1))</f>
        <v>0.9387979818640485</v>
      </c>
      <c r="V707">
        <f t="shared" ref="V707:V770" ca="1" si="245">OFFSET(G707,$S$6,0) * $AK$2+ OFFSET(H707,$S$6,0)  * $AJ$2 + OFFSET(I707,$S$6,0) * $AI$2 + OFFSET(J707,$S$6,0) * $AH$2 + OFFSET(K707,$S$6,0) * $AG$2 + OFFSET(L707,$S$6,0) * $AF$2 + OFFSET(M707,$S$6,0) * $AE$2 + OFFSET(N707,$S$6,0) * $AD$2 + OFFSET(O707,$S$6,0) * $AC$2 + OFFSET(P707,$S$6,0) * $AB$2 +  OFFSET(Q707,$S$6,0) * $AA$2 + OFFSET(R707,$S$6,0)  * $Z$2  + AL$2</f>
        <v>1.193462422667479</v>
      </c>
      <c r="X707" t="b">
        <f t="shared" ref="X707:X770" ca="1" si="246">OR(AND(U707&gt;1, W707&gt;1), AND(U707&lt;1, W707&lt;1))</f>
        <v>1</v>
      </c>
      <c r="BJ707" t="b">
        <f t="shared" si="227"/>
        <v>1</v>
      </c>
      <c r="BK707" t="b">
        <f t="shared" ca="1" si="228"/>
        <v>1</v>
      </c>
    </row>
    <row r="708" spans="1:63" x14ac:dyDescent="0.45">
      <c r="A708" s="1">
        <v>44210</v>
      </c>
      <c r="B708">
        <v>281.66699999999997</v>
      </c>
      <c r="C708" s="1">
        <v>44210</v>
      </c>
      <c r="D708">
        <v>378.46</v>
      </c>
      <c r="E708">
        <f t="shared" si="229"/>
        <v>-1.1011119967135262E-2</v>
      </c>
      <c r="F708" s="4">
        <f t="shared" si="230"/>
        <v>-3.5019352800232783E-3</v>
      </c>
      <c r="G708">
        <f t="shared" ca="1" si="231"/>
        <v>1.1674596920530154E-2</v>
      </c>
      <c r="H708">
        <f t="shared" ca="1" si="232"/>
        <v>4.8783018315112281E-2</v>
      </c>
      <c r="I708">
        <f t="shared" ca="1" si="233"/>
        <v>-0.18447284455919086</v>
      </c>
      <c r="J708">
        <f t="shared" ca="1" si="234"/>
        <v>1.8748999905797543</v>
      </c>
      <c r="K708">
        <f t="shared" ca="1" si="235"/>
        <v>1.4954593710281547</v>
      </c>
      <c r="L708">
        <f t="shared" ca="1" si="236"/>
        <v>2.1760336938052074</v>
      </c>
      <c r="M708">
        <f t="shared" ca="1" si="237"/>
        <v>2.018447586313264E-3</v>
      </c>
      <c r="N708">
        <f t="shared" ca="1" si="238"/>
        <v>1.3882594143188999E-2</v>
      </c>
      <c r="O708">
        <f t="shared" ca="1" si="239"/>
        <v>-0.29139671141211693</v>
      </c>
      <c r="P708">
        <f t="shared" ca="1" si="240"/>
        <v>3.9145913531186771</v>
      </c>
      <c r="Q708">
        <f t="shared" ca="1" si="241"/>
        <v>0.93087062718436664</v>
      </c>
      <c r="R708">
        <f t="shared" ca="1" si="242"/>
        <v>1.8847680684232788</v>
      </c>
      <c r="T708">
        <f t="shared" si="243"/>
        <v>0.98898888003286478</v>
      </c>
      <c r="U708" s="6">
        <f t="shared" ca="1" si="244"/>
        <v>1.0354909508001457</v>
      </c>
      <c r="V708">
        <f t="shared" ca="1" si="245"/>
        <v>1.1938822197587418</v>
      </c>
      <c r="X708" t="b">
        <f t="shared" ca="1" si="246"/>
        <v>0</v>
      </c>
      <c r="BJ708" t="b">
        <f t="shared" si="227"/>
        <v>1</v>
      </c>
      <c r="BK708" t="b">
        <f t="shared" ca="1" si="228"/>
        <v>0</v>
      </c>
    </row>
    <row r="709" spans="1:63" x14ac:dyDescent="0.45">
      <c r="A709" s="1">
        <v>44209</v>
      </c>
      <c r="B709">
        <v>284.803</v>
      </c>
      <c r="C709" s="1">
        <v>44209</v>
      </c>
      <c r="D709">
        <v>379.79</v>
      </c>
      <c r="E709">
        <f t="shared" si="229"/>
        <v>5.8485521654829684E-3</v>
      </c>
      <c r="F709" s="4">
        <f t="shared" si="230"/>
        <v>2.6929271061595129E-3</v>
      </c>
      <c r="G709">
        <f t="shared" ca="1" si="231"/>
        <v>1.1947425027258974E-2</v>
      </c>
      <c r="H709">
        <f t="shared" ca="1" si="232"/>
        <v>4.8808084419369381E-2</v>
      </c>
      <c r="I709">
        <f t="shared" ca="1" si="233"/>
        <v>-0.199203656189511</v>
      </c>
      <c r="J709">
        <f t="shared" ca="1" si="234"/>
        <v>1.8698516586677076</v>
      </c>
      <c r="K709">
        <f t="shared" ca="1" si="235"/>
        <v>1.4954593710281547</v>
      </c>
      <c r="L709">
        <f t="shared" ca="1" si="236"/>
        <v>2.2667523365096991</v>
      </c>
      <c r="M709">
        <f t="shared" ca="1" si="237"/>
        <v>1.9614302227745316E-3</v>
      </c>
      <c r="N709">
        <f t="shared" ca="1" si="238"/>
        <v>1.3928721938525054E-2</v>
      </c>
      <c r="O709">
        <f t="shared" ca="1" si="239"/>
        <v>-0.28489549965767519</v>
      </c>
      <c r="P709">
        <f t="shared" ca="1" si="240"/>
        <v>3.8291422429195414</v>
      </c>
      <c r="Q709">
        <f t="shared" ca="1" si="241"/>
        <v>0.93087062718436664</v>
      </c>
      <c r="R709">
        <f t="shared" ca="1" si="242"/>
        <v>1.8557744870616859</v>
      </c>
      <c r="T709">
        <f t="shared" si="243"/>
        <v>1.005848552165483</v>
      </c>
      <c r="U709" s="6">
        <f t="shared" ca="1" si="244"/>
        <v>1.1302020294214521</v>
      </c>
      <c r="V709">
        <f t="shared" ca="1" si="245"/>
        <v>1.6272849844498074</v>
      </c>
      <c r="X709" t="b">
        <f t="shared" ca="1" si="246"/>
        <v>0</v>
      </c>
      <c r="BJ709" t="b">
        <f t="shared" si="227"/>
        <v>1</v>
      </c>
      <c r="BK709" t="b">
        <f t="shared" ca="1" si="228"/>
        <v>0</v>
      </c>
    </row>
    <row r="710" spans="1:63" x14ac:dyDescent="0.45">
      <c r="A710" s="1">
        <v>44208</v>
      </c>
      <c r="B710">
        <v>283.14699999999999</v>
      </c>
      <c r="C710" s="1">
        <v>44208</v>
      </c>
      <c r="D710">
        <v>378.77</v>
      </c>
      <c r="E710">
        <f t="shared" si="229"/>
        <v>4.7152890009874368E-2</v>
      </c>
      <c r="F710" s="4">
        <f t="shared" si="230"/>
        <v>2.1125458818554513E-4</v>
      </c>
      <c r="G710">
        <f t="shared" ca="1" si="231"/>
        <v>1.1799287055776774E-2</v>
      </c>
      <c r="H710">
        <f t="shared" ca="1" si="232"/>
        <v>4.8871608382195487E-2</v>
      </c>
      <c r="I710">
        <f t="shared" ca="1" si="233"/>
        <v>-0.19121558860246235</v>
      </c>
      <c r="J710">
        <f t="shared" ca="1" si="234"/>
        <v>1.8433993792537207</v>
      </c>
      <c r="K710">
        <f t="shared" ca="1" si="235"/>
        <v>1.4954593710281547</v>
      </c>
      <c r="L710">
        <f t="shared" ca="1" si="236"/>
        <v>2.2271209956935492</v>
      </c>
      <c r="M710">
        <f t="shared" ca="1" si="237"/>
        <v>2.1103442471758619E-3</v>
      </c>
      <c r="N710">
        <f t="shared" ca="1" si="238"/>
        <v>1.4094797878587582E-2</v>
      </c>
      <c r="O710">
        <f t="shared" ca="1" si="239"/>
        <v>-0.25545616398818233</v>
      </c>
      <c r="P710">
        <f t="shared" ca="1" si="240"/>
        <v>3.6348948050792025</v>
      </c>
      <c r="Q710">
        <f t="shared" ca="1" si="241"/>
        <v>1.0401508422473995</v>
      </c>
      <c r="R710">
        <f t="shared" ca="1" si="242"/>
        <v>1.8598349057054466</v>
      </c>
      <c r="T710">
        <f t="shared" si="243"/>
        <v>1.0471528900098743</v>
      </c>
      <c r="U710" s="6">
        <f t="shared" ca="1" si="244"/>
        <v>1.1555275325767129</v>
      </c>
      <c r="V710">
        <f t="shared" ca="1" si="245"/>
        <v>1.6136034564866351</v>
      </c>
      <c r="X710" t="b">
        <f t="shared" ca="1" si="246"/>
        <v>0</v>
      </c>
      <c r="BJ710" t="b">
        <f t="shared" si="227"/>
        <v>1</v>
      </c>
      <c r="BK710" t="b">
        <f t="shared" ca="1" si="228"/>
        <v>0</v>
      </c>
    </row>
    <row r="711" spans="1:63" x14ac:dyDescent="0.45">
      <c r="A711" s="1">
        <v>44207</v>
      </c>
      <c r="B711">
        <v>270.39699999999999</v>
      </c>
      <c r="C711" s="1">
        <v>44207</v>
      </c>
      <c r="D711">
        <v>378.69</v>
      </c>
      <c r="E711">
        <f t="shared" si="229"/>
        <v>-7.8212995159200882E-2</v>
      </c>
      <c r="F711" s="4">
        <f t="shared" si="230"/>
        <v>-6.7408067985101853E-3</v>
      </c>
      <c r="G711">
        <f t="shared" ca="1" si="231"/>
        <v>1.1432880499776654E-2</v>
      </c>
      <c r="H711">
        <f t="shared" ca="1" si="232"/>
        <v>4.8879925184620712E-2</v>
      </c>
      <c r="I711">
        <f t="shared" ca="1" si="233"/>
        <v>-0.17269410708967756</v>
      </c>
      <c r="J711">
        <f t="shared" ca="1" si="234"/>
        <v>1.8349020844070392</v>
      </c>
      <c r="K711">
        <f t="shared" ca="1" si="235"/>
        <v>1.4954593710281547</v>
      </c>
      <c r="L711">
        <f t="shared" ca="1" si="236"/>
        <v>2.0788801057633761</v>
      </c>
      <c r="M711">
        <f t="shared" ca="1" si="237"/>
        <v>1.9603599497326372E-3</v>
      </c>
      <c r="N711">
        <f t="shared" ca="1" si="238"/>
        <v>1.4273574010746077E-2</v>
      </c>
      <c r="O711">
        <f t="shared" ca="1" si="239"/>
        <v>-0.27076169082613999</v>
      </c>
      <c r="P711">
        <f t="shared" ca="1" si="240"/>
        <v>3.4232720945570181</v>
      </c>
      <c r="Q711">
        <f t="shared" ca="1" si="241"/>
        <v>0.95620945405110103</v>
      </c>
      <c r="R711">
        <f t="shared" ca="1" si="242"/>
        <v>1.8171465041292558</v>
      </c>
      <c r="T711">
        <f t="shared" si="243"/>
        <v>0.92178700484079912</v>
      </c>
      <c r="U711" s="6">
        <f t="shared" ca="1" si="244"/>
        <v>1.1115692456948822</v>
      </c>
      <c r="V711">
        <f t="shared" ca="1" si="245"/>
        <v>1.5430539603493676</v>
      </c>
      <c r="X711" t="b">
        <f t="shared" ca="1" si="246"/>
        <v>0</v>
      </c>
      <c r="BJ711" t="b">
        <f t="shared" si="227"/>
        <v>1</v>
      </c>
      <c r="BK711" t="b">
        <f t="shared" ca="1" si="228"/>
        <v>0</v>
      </c>
    </row>
    <row r="712" spans="1:63" x14ac:dyDescent="0.45">
      <c r="A712" s="1">
        <v>44204</v>
      </c>
      <c r="B712">
        <v>293.33999999999997</v>
      </c>
      <c r="C712" s="1">
        <v>44204</v>
      </c>
      <c r="D712">
        <v>381.26</v>
      </c>
      <c r="E712">
        <f t="shared" si="229"/>
        <v>7.8404340968997802E-2</v>
      </c>
      <c r="F712" s="4">
        <f t="shared" si="230"/>
        <v>5.6977050910049275E-3</v>
      </c>
      <c r="G712">
        <f t="shared" ca="1" si="231"/>
        <v>1.1721122109786845E-2</v>
      </c>
      <c r="H712">
        <f t="shared" ca="1" si="232"/>
        <v>4.8517261803915454E-2</v>
      </c>
      <c r="I712">
        <f t="shared" ca="1" si="233"/>
        <v>-0.1640356295589073</v>
      </c>
      <c r="J712">
        <f t="shared" ca="1" si="234"/>
        <v>1.9268519365470826</v>
      </c>
      <c r="K712">
        <f t="shared" ca="1" si="235"/>
        <v>1.6240366898868177</v>
      </c>
      <c r="L712">
        <f t="shared" ca="1" si="236"/>
        <v>2.0788801057633761</v>
      </c>
      <c r="M712">
        <f t="shared" ca="1" si="237"/>
        <v>2.2860126040096401E-3</v>
      </c>
      <c r="N712">
        <f t="shared" ca="1" si="238"/>
        <v>1.48070676105606E-2</v>
      </c>
      <c r="O712">
        <f t="shared" ca="1" si="239"/>
        <v>-2.7219383803952165E-2</v>
      </c>
      <c r="P712">
        <f t="shared" ca="1" si="240"/>
        <v>3.6313955359904408</v>
      </c>
      <c r="Q712">
        <f t="shared" ca="1" si="241"/>
        <v>0.96410042036463295</v>
      </c>
      <c r="R712">
        <f t="shared" ca="1" si="242"/>
        <v>1.886680209748361</v>
      </c>
      <c r="T712">
        <f t="shared" si="243"/>
        <v>1.0784043409689978</v>
      </c>
      <c r="U712" s="6">
        <f t="shared" ca="1" si="244"/>
        <v>1.2470719274900837</v>
      </c>
      <c r="V712">
        <f t="shared" ca="1" si="245"/>
        <v>1.5578065099313783</v>
      </c>
      <c r="X712" t="b">
        <f t="shared" ca="1" si="246"/>
        <v>0</v>
      </c>
      <c r="BJ712" t="b">
        <f t="shared" si="227"/>
        <v>1</v>
      </c>
      <c r="BK712" t="b">
        <f t="shared" ca="1" si="228"/>
        <v>0</v>
      </c>
    </row>
    <row r="713" spans="1:63" x14ac:dyDescent="0.45">
      <c r="A713" s="1">
        <v>44203</v>
      </c>
      <c r="B713">
        <v>272.01299999999998</v>
      </c>
      <c r="C713" s="1">
        <v>44203</v>
      </c>
      <c r="D713">
        <v>379.1</v>
      </c>
      <c r="E713">
        <f t="shared" si="229"/>
        <v>7.9446651295869253E-2</v>
      </c>
      <c r="F713" s="4">
        <f t="shared" si="230"/>
        <v>1.4857448802034564E-2</v>
      </c>
      <c r="G713">
        <f t="shared" ca="1" si="231"/>
        <v>1.1668204029591733E-2</v>
      </c>
      <c r="H713">
        <f t="shared" ca="1" si="232"/>
        <v>4.8449889545201366E-2</v>
      </c>
      <c r="I713">
        <f t="shared" ca="1" si="233"/>
        <v>-0.16676511361709709</v>
      </c>
      <c r="J713">
        <f t="shared" ca="1" si="234"/>
        <v>1.9445429656136062</v>
      </c>
      <c r="K713">
        <f t="shared" ca="1" si="235"/>
        <v>1.6240366898868177</v>
      </c>
      <c r="L713">
        <f t="shared" ca="1" si="236"/>
        <v>2.0788801057633761</v>
      </c>
      <c r="M713">
        <f t="shared" ca="1" si="237"/>
        <v>2.3323749936276154E-3</v>
      </c>
      <c r="N713">
        <f t="shared" ca="1" si="238"/>
        <v>1.4832298661408644E-2</v>
      </c>
      <c r="O713">
        <f t="shared" ca="1" si="239"/>
        <v>-3.3440073737818994E-2</v>
      </c>
      <c r="P713">
        <f t="shared" ca="1" si="240"/>
        <v>3.5891991205762519</v>
      </c>
      <c r="Q713">
        <f t="shared" ca="1" si="241"/>
        <v>0.96410042036463295</v>
      </c>
      <c r="R713">
        <f t="shared" ca="1" si="242"/>
        <v>1.9663734299073032</v>
      </c>
      <c r="T713">
        <f t="shared" si="243"/>
        <v>1.0794466512958691</v>
      </c>
      <c r="U713" s="6">
        <f t="shared" ca="1" si="244"/>
        <v>1.174530318273868</v>
      </c>
      <c r="V713">
        <f t="shared" ca="1" si="245"/>
        <v>1.6518779840334856</v>
      </c>
      <c r="X713" t="b">
        <f t="shared" ca="1" si="246"/>
        <v>0</v>
      </c>
      <c r="BJ713" t="b">
        <f t="shared" si="227"/>
        <v>1</v>
      </c>
      <c r="BK713" t="b">
        <f t="shared" ca="1" si="228"/>
        <v>0</v>
      </c>
    </row>
    <row r="714" spans="1:63" x14ac:dyDescent="0.45">
      <c r="A714" s="1">
        <v>44202</v>
      </c>
      <c r="B714">
        <v>251.99299999999999</v>
      </c>
      <c r="C714" s="1">
        <v>44202</v>
      </c>
      <c r="D714">
        <v>373.55</v>
      </c>
      <c r="E714">
        <f t="shared" si="229"/>
        <v>2.8387549635361144E-2</v>
      </c>
      <c r="F714" s="4">
        <f t="shared" si="230"/>
        <v>5.9785096814155263E-3</v>
      </c>
      <c r="G714">
        <f t="shared" ca="1" si="231"/>
        <v>1.208505719683107E-2</v>
      </c>
      <c r="H714">
        <f t="shared" ca="1" si="232"/>
        <v>4.93855888571028E-2</v>
      </c>
      <c r="I714">
        <f t="shared" ca="1" si="233"/>
        <v>-5.0643266841121623E-2</v>
      </c>
      <c r="J714">
        <f t="shared" ca="1" si="234"/>
        <v>2.0143103143168322</v>
      </c>
      <c r="K714">
        <f t="shared" ca="1" si="235"/>
        <v>1.7344846326476113</v>
      </c>
      <c r="L714">
        <f t="shared" ca="1" si="236"/>
        <v>2.0788801057633761</v>
      </c>
      <c r="M714">
        <f t="shared" ca="1" si="237"/>
        <v>2.711104121001162E-3</v>
      </c>
      <c r="N714">
        <f t="shared" ca="1" si="238"/>
        <v>1.6069198143904308E-2</v>
      </c>
      <c r="O714">
        <f t="shared" ca="1" si="239"/>
        <v>0.7412255324595991</v>
      </c>
      <c r="P714">
        <f t="shared" ca="1" si="240"/>
        <v>6.4092706948130216</v>
      </c>
      <c r="Q714">
        <f t="shared" ca="1" si="241"/>
        <v>0.99931132626015218</v>
      </c>
      <c r="R714">
        <f t="shared" ca="1" si="242"/>
        <v>1.9663734299073032</v>
      </c>
      <c r="T714">
        <f t="shared" si="243"/>
        <v>1.0283875496353612</v>
      </c>
      <c r="U714" s="6">
        <f t="shared" ca="1" si="244"/>
        <v>1.1351189430487796</v>
      </c>
      <c r="V714">
        <f t="shared" ca="1" si="245"/>
        <v>1.4795672593237068</v>
      </c>
      <c r="X714" t="b">
        <f t="shared" ca="1" si="246"/>
        <v>0</v>
      </c>
      <c r="BJ714" t="b">
        <f t="shared" si="227"/>
        <v>1</v>
      </c>
      <c r="BK714" t="b">
        <f t="shared" ca="1" si="228"/>
        <v>0</v>
      </c>
    </row>
    <row r="715" spans="1:63" x14ac:dyDescent="0.45">
      <c r="A715" s="1">
        <v>44201</v>
      </c>
      <c r="B715">
        <v>245.03700000000001</v>
      </c>
      <c r="C715" s="1">
        <v>44201</v>
      </c>
      <c r="D715">
        <v>371.33</v>
      </c>
      <c r="E715">
        <f t="shared" si="229"/>
        <v>7.3173639401949422E-3</v>
      </c>
      <c r="F715" s="4">
        <f t="shared" si="230"/>
        <v>6.8873884866725334E-3</v>
      </c>
      <c r="G715">
        <f t="shared" ca="1" si="231"/>
        <v>1.2022184075697984E-2</v>
      </c>
      <c r="H715">
        <f t="shared" ca="1" si="232"/>
        <v>4.9372732495563773E-2</v>
      </c>
      <c r="I715">
        <f t="shared" ca="1" si="233"/>
        <v>-4.7004479276042184E-2</v>
      </c>
      <c r="J715">
        <f t="shared" ca="1" si="234"/>
        <v>2.0192671110715512</v>
      </c>
      <c r="K715">
        <f t="shared" ca="1" si="235"/>
        <v>1.7344846326476113</v>
      </c>
      <c r="L715">
        <f t="shared" ca="1" si="236"/>
        <v>2.0788801057633761</v>
      </c>
      <c r="M715">
        <f t="shared" ca="1" si="237"/>
        <v>2.5533706635031744E-3</v>
      </c>
      <c r="N715">
        <f t="shared" ca="1" si="238"/>
        <v>1.6191329768382674E-2</v>
      </c>
      <c r="O715">
        <f t="shared" ca="1" si="239"/>
        <v>0.7270145478718707</v>
      </c>
      <c r="P715">
        <f t="shared" ca="1" si="240"/>
        <v>6.203706819114795</v>
      </c>
      <c r="Q715">
        <f t="shared" ca="1" si="241"/>
        <v>0.97331205760078221</v>
      </c>
      <c r="R715">
        <f t="shared" ca="1" si="242"/>
        <v>1.9212396718693576</v>
      </c>
      <c r="T715">
        <f t="shared" si="243"/>
        <v>1.0073173639401949</v>
      </c>
      <c r="U715" s="6">
        <f t="shared" ca="1" si="244"/>
        <v>1.1076119875242958</v>
      </c>
      <c r="V715">
        <f t="shared" ca="1" si="245"/>
        <v>1.6997755259373046</v>
      </c>
      <c r="X715" t="b">
        <f t="shared" ca="1" si="246"/>
        <v>0</v>
      </c>
      <c r="BJ715" t="b">
        <f t="shared" si="227"/>
        <v>1</v>
      </c>
      <c r="BK715" t="b">
        <f t="shared" ca="1" si="228"/>
        <v>0</v>
      </c>
    </row>
    <row r="716" spans="1:63" x14ac:dyDescent="0.45">
      <c r="A716" s="1">
        <v>44200</v>
      </c>
      <c r="B716">
        <v>243.25700000000001</v>
      </c>
      <c r="C716" s="1">
        <v>44200</v>
      </c>
      <c r="D716">
        <v>368.79</v>
      </c>
      <c r="E716">
        <f t="shared" si="229"/>
        <v>3.4154823295340982E-2</v>
      </c>
      <c r="F716" s="4">
        <f t="shared" si="230"/>
        <v>-1.3613993794800404E-2</v>
      </c>
      <c r="G716">
        <f t="shared" ca="1" si="231"/>
        <v>1.1984316972019498E-2</v>
      </c>
      <c r="H716">
        <f t="shared" ca="1" si="232"/>
        <v>4.9379262893872719E-2</v>
      </c>
      <c r="I716">
        <f t="shared" ca="1" si="233"/>
        <v>-4.4735650626100958E-2</v>
      </c>
      <c r="J716">
        <f t="shared" ca="1" si="234"/>
        <v>2.0164639692718458</v>
      </c>
      <c r="K716">
        <f t="shared" ca="1" si="235"/>
        <v>1.7344846326476113</v>
      </c>
      <c r="L716">
        <f t="shared" ca="1" si="236"/>
        <v>2.0788801057633761</v>
      </c>
      <c r="M716">
        <f t="shared" ca="1" si="237"/>
        <v>2.275492699906451E-3</v>
      </c>
      <c r="N716">
        <f t="shared" ca="1" si="238"/>
        <v>1.6588599467881326E-2</v>
      </c>
      <c r="O716">
        <f t="shared" ca="1" si="239"/>
        <v>0.57709198212551127</v>
      </c>
      <c r="P716">
        <f t="shared" ca="1" si="240"/>
        <v>5.8581974647674118</v>
      </c>
      <c r="Q716">
        <f t="shared" ca="1" si="241"/>
        <v>0.90950672686557499</v>
      </c>
      <c r="R716">
        <f t="shared" ca="1" si="242"/>
        <v>1.8448106301436087</v>
      </c>
      <c r="T716">
        <f t="shared" si="243"/>
        <v>1.034154823295341</v>
      </c>
      <c r="U716" s="6">
        <f t="shared" ca="1" si="244"/>
        <v>1.1027562446167098</v>
      </c>
      <c r="V716">
        <f t="shared" ca="1" si="245"/>
        <v>1.6852484485817216</v>
      </c>
      <c r="X716" t="b">
        <f t="shared" ca="1" si="246"/>
        <v>0</v>
      </c>
      <c r="BJ716" t="b">
        <f t="shared" si="227"/>
        <v>1</v>
      </c>
      <c r="BK716" t="b">
        <f t="shared" ca="1" si="228"/>
        <v>0</v>
      </c>
    </row>
    <row r="717" spans="1:63" x14ac:dyDescent="0.45">
      <c r="A717" s="1">
        <v>44196</v>
      </c>
      <c r="B717">
        <v>235.22300000000001</v>
      </c>
      <c r="C717" s="1">
        <v>44196</v>
      </c>
      <c r="D717">
        <v>373.88</v>
      </c>
      <c r="E717">
        <f t="shared" si="229"/>
        <v>1.5674048870216388E-2</v>
      </c>
      <c r="F717" s="4">
        <f t="shared" si="230"/>
        <v>5.0807817414446257E-3</v>
      </c>
      <c r="G717">
        <f t="shared" ca="1" si="231"/>
        <v>1.2732928436885995E-2</v>
      </c>
      <c r="H717">
        <f t="shared" ca="1" si="232"/>
        <v>5.0830664213801245E-2</v>
      </c>
      <c r="I717">
        <f t="shared" ca="1" si="233"/>
        <v>0.11022887660376564</v>
      </c>
      <c r="J717">
        <f t="shared" ca="1" si="234"/>
        <v>2.1317066476303959</v>
      </c>
      <c r="K717">
        <f t="shared" ca="1" si="235"/>
        <v>1.7471556662428891</v>
      </c>
      <c r="L717">
        <f t="shared" ca="1" si="236"/>
        <v>2.1655484244006824</v>
      </c>
      <c r="M717">
        <f t="shared" ca="1" si="237"/>
        <v>2.3541876688804534E-3</v>
      </c>
      <c r="N717">
        <f t="shared" ca="1" si="238"/>
        <v>1.6550129896135343E-2</v>
      </c>
      <c r="O717">
        <f t="shared" ca="1" si="239"/>
        <v>0.57120850150562508</v>
      </c>
      <c r="P717">
        <f t="shared" ca="1" si="240"/>
        <v>5.9256480862093452</v>
      </c>
      <c r="Q717">
        <f t="shared" ca="1" si="241"/>
        <v>0.90950672686557499</v>
      </c>
      <c r="R717">
        <f t="shared" ca="1" si="242"/>
        <v>1.9212396718693576</v>
      </c>
      <c r="T717">
        <f t="shared" si="243"/>
        <v>1.0156740488702163</v>
      </c>
      <c r="U717" s="6">
        <f t="shared" ca="1" si="244"/>
        <v>1.0923990024474404</v>
      </c>
      <c r="V717">
        <f t="shared" ca="1" si="245"/>
        <v>1.6030353745440409</v>
      </c>
      <c r="X717" t="b">
        <f t="shared" ca="1" si="246"/>
        <v>0</v>
      </c>
      <c r="BJ717" t="b">
        <f t="shared" si="227"/>
        <v>1</v>
      </c>
      <c r="BK717" t="b">
        <f t="shared" ca="1" si="228"/>
        <v>0</v>
      </c>
    </row>
    <row r="718" spans="1:63" x14ac:dyDescent="0.45">
      <c r="A718" s="1">
        <v>44195</v>
      </c>
      <c r="B718">
        <v>231.59299999999999</v>
      </c>
      <c r="C718" s="1">
        <v>44195</v>
      </c>
      <c r="D718">
        <v>371.99</v>
      </c>
      <c r="E718">
        <f t="shared" si="229"/>
        <v>4.3225809357784001E-2</v>
      </c>
      <c r="F718" s="4">
        <f t="shared" si="230"/>
        <v>1.4268023474937532E-3</v>
      </c>
      <c r="G718">
        <f t="shared" ca="1" si="231"/>
        <v>1.1852832251112317E-2</v>
      </c>
      <c r="H718">
        <f t="shared" ca="1" si="232"/>
        <v>5.2282571963760287E-2</v>
      </c>
      <c r="I718">
        <f t="shared" ca="1" si="233"/>
        <v>-3.1835516941457136E-2</v>
      </c>
      <c r="J718">
        <f t="shared" ca="1" si="234"/>
        <v>2.1981508771987039</v>
      </c>
      <c r="K718">
        <f t="shared" ca="1" si="235"/>
        <v>1.6088308410753691</v>
      </c>
      <c r="L718">
        <f t="shared" ca="1" si="236"/>
        <v>2.129254544628306</v>
      </c>
      <c r="M718">
        <f t="shared" ca="1" si="237"/>
        <v>2.0756192032112043E-3</v>
      </c>
      <c r="N718">
        <f t="shared" ca="1" si="238"/>
        <v>1.6967620862635792E-2</v>
      </c>
      <c r="O718">
        <f t="shared" ca="1" si="239"/>
        <v>0.4252251702724511</v>
      </c>
      <c r="P718">
        <f t="shared" ca="1" si="240"/>
        <v>5.59409140644276</v>
      </c>
      <c r="Q718">
        <f t="shared" ca="1" si="241"/>
        <v>0.90589408603720645</v>
      </c>
      <c r="R718">
        <f t="shared" ca="1" si="242"/>
        <v>1.8448106301436087</v>
      </c>
      <c r="T718">
        <f t="shared" si="243"/>
        <v>1.043225809357784</v>
      </c>
      <c r="U718" s="6">
        <f t="shared" ca="1" si="244"/>
        <v>1.0850140784363331</v>
      </c>
      <c r="V718">
        <f t="shared" ca="1" si="245"/>
        <v>1.5932969521629978</v>
      </c>
      <c r="X718" t="b">
        <f t="shared" ca="1" si="246"/>
        <v>0</v>
      </c>
      <c r="BJ718" t="b">
        <f t="shared" si="227"/>
        <v>1</v>
      </c>
      <c r="BK718" t="b">
        <f t="shared" ca="1" si="228"/>
        <v>0</v>
      </c>
    </row>
    <row r="719" spans="1:63" x14ac:dyDescent="0.45">
      <c r="A719" s="1">
        <v>44194</v>
      </c>
      <c r="B719">
        <v>221.99700000000001</v>
      </c>
      <c r="C719" s="1">
        <v>44194</v>
      </c>
      <c r="D719">
        <v>371.46</v>
      </c>
      <c r="E719">
        <f t="shared" si="229"/>
        <v>3.4669800659947762E-3</v>
      </c>
      <c r="F719" s="4">
        <f t="shared" si="230"/>
        <v>-1.9077303382863647E-3</v>
      </c>
      <c r="G719">
        <f t="shared" ca="1" si="231"/>
        <v>1.1469656259969763E-2</v>
      </c>
      <c r="H719">
        <f t="shared" ca="1" si="232"/>
        <v>5.2332289632525175E-2</v>
      </c>
      <c r="I719">
        <f t="shared" ca="1" si="233"/>
        <v>-1.3934331669469634E-2</v>
      </c>
      <c r="J719">
        <f t="shared" ca="1" si="234"/>
        <v>2.1797327904229551</v>
      </c>
      <c r="K719">
        <f t="shared" ca="1" si="235"/>
        <v>1.6088308410753691</v>
      </c>
      <c r="L719">
        <f t="shared" ca="1" si="236"/>
        <v>1.9637537333301966</v>
      </c>
      <c r="M719">
        <f t="shared" ca="1" si="237"/>
        <v>2.3384455833853472E-3</v>
      </c>
      <c r="N719">
        <f t="shared" ca="1" si="238"/>
        <v>1.736009598933896E-2</v>
      </c>
      <c r="O719">
        <f t="shared" ca="1" si="239"/>
        <v>0.48691045704242669</v>
      </c>
      <c r="P719">
        <f t="shared" ca="1" si="240"/>
        <v>5.2216131651782982</v>
      </c>
      <c r="Q719">
        <f t="shared" ca="1" si="241"/>
        <v>1.0016985493881678</v>
      </c>
      <c r="R719">
        <f t="shared" ca="1" si="242"/>
        <v>1.8842641772477009</v>
      </c>
      <c r="T719">
        <f t="shared" si="243"/>
        <v>1.0034669800659948</v>
      </c>
      <c r="U719" s="6">
        <f t="shared" ca="1" si="244"/>
        <v>1.0248222694118734</v>
      </c>
      <c r="V719">
        <f t="shared" ca="1" si="245"/>
        <v>1.5135628868705187</v>
      </c>
      <c r="X719" t="b">
        <f t="shared" ca="1" si="246"/>
        <v>0</v>
      </c>
      <c r="BJ719" t="b">
        <f t="shared" si="227"/>
        <v>1</v>
      </c>
      <c r="BK719" t="b">
        <f t="shared" ca="1" si="228"/>
        <v>0</v>
      </c>
    </row>
    <row r="720" spans="1:63" x14ac:dyDescent="0.45">
      <c r="A720" s="1">
        <v>44193</v>
      </c>
      <c r="B720">
        <v>221.23</v>
      </c>
      <c r="C720" s="1">
        <v>44193</v>
      </c>
      <c r="D720">
        <v>372.17</v>
      </c>
      <c r="E720">
        <f t="shared" si="229"/>
        <v>2.9013101228522885E-3</v>
      </c>
      <c r="F720" s="4">
        <f t="shared" si="230"/>
        <v>8.5907859078591213E-3</v>
      </c>
      <c r="G720">
        <f t="shared" ca="1" si="231"/>
        <v>1.0523430238851012E-2</v>
      </c>
      <c r="H720">
        <f t="shared" ca="1" si="232"/>
        <v>5.4156791445041798E-2</v>
      </c>
      <c r="I720">
        <f t="shared" ca="1" si="233"/>
        <v>-0.20484501891297277</v>
      </c>
      <c r="J720">
        <f t="shared" ca="1" si="234"/>
        <v>2.4051931449879147</v>
      </c>
      <c r="K720">
        <f t="shared" ca="1" si="235"/>
        <v>1.568521906750258</v>
      </c>
      <c r="L720">
        <f t="shared" ca="1" si="236"/>
        <v>1.9055885304515066</v>
      </c>
      <c r="M720">
        <f t="shared" ca="1" si="237"/>
        <v>1.8008655658357281E-3</v>
      </c>
      <c r="N720">
        <f t="shared" ca="1" si="238"/>
        <v>1.9072484048113354E-2</v>
      </c>
      <c r="O720">
        <f t="shared" ca="1" si="239"/>
        <v>-0.56867457394851539</v>
      </c>
      <c r="P720">
        <f t="shared" ca="1" si="240"/>
        <v>8.6651442298771322</v>
      </c>
      <c r="Q720">
        <f t="shared" ca="1" si="241"/>
        <v>0.967606349061221</v>
      </c>
      <c r="R720">
        <f t="shared" ca="1" si="242"/>
        <v>1.7473670861071886</v>
      </c>
      <c r="T720">
        <f t="shared" si="243"/>
        <v>1.0029013101228523</v>
      </c>
      <c r="U720" s="6">
        <f t="shared" ca="1" si="244"/>
        <v>0.95494826626148743</v>
      </c>
      <c r="V720">
        <f t="shared" ca="1" si="245"/>
        <v>1.474578814358166</v>
      </c>
      <c r="X720" t="b">
        <f t="shared" ca="1" si="246"/>
        <v>1</v>
      </c>
      <c r="BJ720" t="b">
        <f t="shared" si="227"/>
        <v>1</v>
      </c>
      <c r="BK720" t="b">
        <f t="shared" ca="1" si="228"/>
        <v>1</v>
      </c>
    </row>
    <row r="721" spans="1:63" x14ac:dyDescent="0.45">
      <c r="A721" s="1">
        <v>44189</v>
      </c>
      <c r="B721">
        <v>220.59</v>
      </c>
      <c r="C721" s="1">
        <v>44189</v>
      </c>
      <c r="D721">
        <v>369</v>
      </c>
      <c r="E721">
        <f t="shared" si="229"/>
        <v>2.4441895349863255E-2</v>
      </c>
      <c r="F721" s="4">
        <f t="shared" si="230"/>
        <v>3.8904154310743719E-3</v>
      </c>
      <c r="G721">
        <f t="shared" ca="1" si="231"/>
        <v>1.0384666262494178E-2</v>
      </c>
      <c r="H721">
        <f t="shared" ca="1" si="232"/>
        <v>5.4211946369285099E-2</v>
      </c>
      <c r="I721">
        <f t="shared" ca="1" si="233"/>
        <v>-0.19786007469193975</v>
      </c>
      <c r="J721">
        <f t="shared" ca="1" si="234"/>
        <v>2.3818733568073442</v>
      </c>
      <c r="K721">
        <f t="shared" ca="1" si="235"/>
        <v>1.568521906750258</v>
      </c>
      <c r="L721">
        <f t="shared" ca="1" si="236"/>
        <v>1.8910101172153837</v>
      </c>
      <c r="M721">
        <f t="shared" ca="1" si="237"/>
        <v>2.1853430175386222E-3</v>
      </c>
      <c r="N721">
        <f t="shared" ca="1" si="238"/>
        <v>1.9964258297694205E-2</v>
      </c>
      <c r="O721">
        <f t="shared" ca="1" si="239"/>
        <v>-0.18053418851453748</v>
      </c>
      <c r="P721">
        <f t="shared" ca="1" si="240"/>
        <v>8.3195293973150477</v>
      </c>
      <c r="Q721">
        <f t="shared" ca="1" si="241"/>
        <v>0.98885597629609734</v>
      </c>
      <c r="R721">
        <f t="shared" ca="1" si="242"/>
        <v>1.8097642116619892</v>
      </c>
      <c r="T721">
        <f t="shared" si="243"/>
        <v>1.0244418953498633</v>
      </c>
      <c r="U721" s="6">
        <f t="shared" ca="1" si="244"/>
        <v>1.0089510732597551</v>
      </c>
      <c r="V721">
        <f t="shared" ca="1" si="245"/>
        <v>1.4710638504262912</v>
      </c>
      <c r="X721" t="b">
        <f t="shared" ca="1" si="246"/>
        <v>0</v>
      </c>
      <c r="BJ721" t="b">
        <f t="shared" si="227"/>
        <v>1</v>
      </c>
      <c r="BK721" t="b">
        <f t="shared" ca="1" si="228"/>
        <v>0</v>
      </c>
    </row>
    <row r="722" spans="1:63" x14ac:dyDescent="0.45">
      <c r="A722" s="1">
        <v>44188</v>
      </c>
      <c r="B722">
        <v>215.327</v>
      </c>
      <c r="C722" s="1">
        <v>44188</v>
      </c>
      <c r="D722">
        <v>367.57</v>
      </c>
      <c r="E722">
        <f t="shared" si="229"/>
        <v>8.8078070902846868E-3</v>
      </c>
      <c r="F722" s="4">
        <f t="shared" si="230"/>
        <v>8.9859492430014181E-4</v>
      </c>
      <c r="G722">
        <f t="shared" ca="1" si="231"/>
        <v>9.6815949532866093E-3</v>
      </c>
      <c r="H722">
        <f t="shared" ca="1" si="232"/>
        <v>5.4935700454315749E-2</v>
      </c>
      <c r="I722">
        <f t="shared" ca="1" si="233"/>
        <v>-0.21350261120625227</v>
      </c>
      <c r="J722">
        <f t="shared" ca="1" si="234"/>
        <v>2.2351333131385909</v>
      </c>
      <c r="K722">
        <f t="shared" ca="1" si="235"/>
        <v>1.4596652223100761</v>
      </c>
      <c r="L722">
        <f t="shared" ca="1" si="236"/>
        <v>1.8689434164675298</v>
      </c>
      <c r="M722">
        <f t="shared" ca="1" si="237"/>
        <v>1.6875048782750721E-3</v>
      </c>
      <c r="N722">
        <f t="shared" ca="1" si="238"/>
        <v>2.1128983426711351E-2</v>
      </c>
      <c r="O722">
        <f t="shared" ca="1" si="239"/>
        <v>-0.58522646631361053</v>
      </c>
      <c r="P722">
        <f t="shared" ca="1" si="240"/>
        <v>8.3368801946436299</v>
      </c>
      <c r="Q722">
        <f t="shared" ca="1" si="241"/>
        <v>0.95534447055203986</v>
      </c>
      <c r="R722">
        <f t="shared" ca="1" si="242"/>
        <v>1.7902122218176704</v>
      </c>
      <c r="T722">
        <f t="shared" si="243"/>
        <v>1.0088078070902846</v>
      </c>
      <c r="U722" s="6">
        <f t="shared" ca="1" si="244"/>
        <v>1.0372705814345584</v>
      </c>
      <c r="V722">
        <f t="shared" ca="1" si="245"/>
        <v>1.5081780817810113</v>
      </c>
      <c r="X722" t="b">
        <f t="shared" ca="1" si="246"/>
        <v>0</v>
      </c>
      <c r="BJ722" t="b">
        <f t="shared" si="227"/>
        <v>1</v>
      </c>
      <c r="BK722" t="b">
        <f t="shared" ca="1" si="228"/>
        <v>0</v>
      </c>
    </row>
    <row r="723" spans="1:63" x14ac:dyDescent="0.45">
      <c r="A723" s="1">
        <v>44187</v>
      </c>
      <c r="B723">
        <v>213.447</v>
      </c>
      <c r="C723" s="1">
        <v>44187</v>
      </c>
      <c r="D723">
        <v>367.24</v>
      </c>
      <c r="E723">
        <f t="shared" si="229"/>
        <v>-1.4647770288985328E-2</v>
      </c>
      <c r="F723" s="4">
        <f t="shared" si="230"/>
        <v>-1.6854238025335849E-3</v>
      </c>
      <c r="G723">
        <f t="shared" ca="1" si="231"/>
        <v>9.5515534074916385E-3</v>
      </c>
      <c r="H723">
        <f t="shared" ca="1" si="232"/>
        <v>5.4968552323841416E-2</v>
      </c>
      <c r="I723">
        <f t="shared" ca="1" si="233"/>
        <v>-0.20654477311531472</v>
      </c>
      <c r="J723">
        <f t="shared" ca="1" si="234"/>
        <v>2.2207875624869358</v>
      </c>
      <c r="K723">
        <f t="shared" ca="1" si="235"/>
        <v>1.4596652223100761</v>
      </c>
      <c r="L723">
        <f t="shared" ca="1" si="236"/>
        <v>1.8689434164675298</v>
      </c>
      <c r="M723">
        <f t="shared" ca="1" si="237"/>
        <v>1.439270138172675E-3</v>
      </c>
      <c r="N723">
        <f t="shared" ca="1" si="238"/>
        <v>2.142782480302851E-2</v>
      </c>
      <c r="O723">
        <f t="shared" ca="1" si="239"/>
        <v>-0.59216447579929343</v>
      </c>
      <c r="P723">
        <f t="shared" ca="1" si="240"/>
        <v>7.8451849335227406</v>
      </c>
      <c r="Q723">
        <f t="shared" ca="1" si="241"/>
        <v>0.87945167144109848</v>
      </c>
      <c r="R723">
        <f t="shared" ca="1" si="242"/>
        <v>1.7639150705594888</v>
      </c>
      <c r="T723">
        <f t="shared" si="243"/>
        <v>0.98535222971101466</v>
      </c>
      <c r="U723" s="6">
        <f t="shared" ca="1" si="244"/>
        <v>1.0111993860235076</v>
      </c>
      <c r="V723">
        <f t="shared" ca="1" si="245"/>
        <v>1.3951171386778118</v>
      </c>
      <c r="X723" t="b">
        <f t="shared" ca="1" si="246"/>
        <v>0</v>
      </c>
      <c r="BJ723" t="b">
        <f t="shared" si="227"/>
        <v>1</v>
      </c>
      <c r="BK723" t="b">
        <f t="shared" ca="1" si="228"/>
        <v>0</v>
      </c>
    </row>
    <row r="724" spans="1:63" x14ac:dyDescent="0.45">
      <c r="A724" s="1">
        <v>44186</v>
      </c>
      <c r="B724">
        <v>216.62</v>
      </c>
      <c r="C724" s="1">
        <v>44186</v>
      </c>
      <c r="D724">
        <v>367.86</v>
      </c>
      <c r="E724">
        <f t="shared" si="229"/>
        <v>-6.4950985682034973E-2</v>
      </c>
      <c r="F724" s="4">
        <f t="shared" si="230"/>
        <v>-3.5754916300991201E-3</v>
      </c>
      <c r="G724">
        <f t="shared" ca="1" si="231"/>
        <v>9.9317867548201974E-3</v>
      </c>
      <c r="H724">
        <f t="shared" ca="1" si="232"/>
        <v>5.5063254247081216E-2</v>
      </c>
      <c r="I724">
        <f t="shared" ca="1" si="233"/>
        <v>-0.2217383550053941</v>
      </c>
      <c r="J724">
        <f t="shared" ca="1" si="234"/>
        <v>2.1944817387781095</v>
      </c>
      <c r="K724">
        <f t="shared" ca="1" si="235"/>
        <v>1.4596652223100761</v>
      </c>
      <c r="L724">
        <f t="shared" ca="1" si="236"/>
        <v>1.9468594940154578</v>
      </c>
      <c r="M724">
        <f t="shared" ca="1" si="237"/>
        <v>1.706421685584862E-3</v>
      </c>
      <c r="N724">
        <f t="shared" ca="1" si="238"/>
        <v>2.1719754657616063E-2</v>
      </c>
      <c r="O724">
        <f t="shared" ca="1" si="239"/>
        <v>-0.54279970209243344</v>
      </c>
      <c r="P724">
        <f t="shared" ca="1" si="240"/>
        <v>7.4466992605070788</v>
      </c>
      <c r="Q724">
        <f t="shared" ca="1" si="241"/>
        <v>0.91027146822488003</v>
      </c>
      <c r="R724">
        <f t="shared" ca="1" si="242"/>
        <v>1.8523195371569707</v>
      </c>
      <c r="T724">
        <f t="shared" si="243"/>
        <v>0.93504901431796505</v>
      </c>
      <c r="U724" s="6">
        <f t="shared" ca="1" si="244"/>
        <v>1.0156744515348586</v>
      </c>
      <c r="V724">
        <f t="shared" ca="1" si="245"/>
        <v>1.3840670829237145</v>
      </c>
      <c r="X724" t="b">
        <f t="shared" ca="1" si="246"/>
        <v>0</v>
      </c>
      <c r="BJ724" t="b">
        <f t="shared" si="227"/>
        <v>1</v>
      </c>
      <c r="BK724" t="b">
        <f t="shared" ca="1" si="228"/>
        <v>0</v>
      </c>
    </row>
    <row r="725" spans="1:63" x14ac:dyDescent="0.45">
      <c r="A725" s="1">
        <v>44183</v>
      </c>
      <c r="B725">
        <v>231.667</v>
      </c>
      <c r="C725" s="1">
        <v>44183</v>
      </c>
      <c r="D725">
        <v>369.18</v>
      </c>
      <c r="E725">
        <f t="shared" si="229"/>
        <v>5.9615885982445431E-2</v>
      </c>
      <c r="F725" s="4">
        <f t="shared" si="230"/>
        <v>-8.2205029013539717E-3</v>
      </c>
      <c r="G725">
        <f t="shared" ca="1" si="231"/>
        <v>9.5779088000161241E-3</v>
      </c>
      <c r="H725">
        <f t="shared" ca="1" si="232"/>
        <v>5.5769821047120513E-2</v>
      </c>
      <c r="I725">
        <f t="shared" ca="1" si="233"/>
        <v>-0.27233252552677145</v>
      </c>
      <c r="J725">
        <f t="shared" ca="1" si="234"/>
        <v>2.1507722867388743</v>
      </c>
      <c r="K725">
        <f t="shared" ca="1" si="235"/>
        <v>1.3800462738889163</v>
      </c>
      <c r="L725">
        <f t="shared" ca="1" si="236"/>
        <v>1.9468594940154578</v>
      </c>
      <c r="M725">
        <f t="shared" ca="1" si="237"/>
        <v>1.3338264751412612E-3</v>
      </c>
      <c r="N725">
        <f t="shared" ca="1" si="238"/>
        <v>2.2438114689390273E-2</v>
      </c>
      <c r="O725">
        <f t="shared" ca="1" si="239"/>
        <v>-0.67026437220856783</v>
      </c>
      <c r="P725">
        <f t="shared" ca="1" si="240"/>
        <v>6.9476115407882846</v>
      </c>
      <c r="Q725">
        <f t="shared" ca="1" si="241"/>
        <v>0.8882375875344376</v>
      </c>
      <c r="R725">
        <f t="shared" ca="1" si="242"/>
        <v>1.8165008169950587</v>
      </c>
      <c r="T725">
        <f t="shared" si="243"/>
        <v>1.0596158859824454</v>
      </c>
      <c r="U725" s="6">
        <f t="shared" ca="1" si="244"/>
        <v>1.1393645797472089</v>
      </c>
      <c r="V725">
        <f t="shared" ca="1" si="245"/>
        <v>1.3020200184286508</v>
      </c>
      <c r="X725" t="b">
        <f t="shared" ca="1" si="246"/>
        <v>0</v>
      </c>
      <c r="BJ725" t="b">
        <f t="shared" si="227"/>
        <v>1</v>
      </c>
      <c r="BK725" t="b">
        <f t="shared" ca="1" si="228"/>
        <v>0</v>
      </c>
    </row>
    <row r="726" spans="1:63" x14ac:dyDescent="0.45">
      <c r="A726" s="1">
        <v>44182</v>
      </c>
      <c r="B726">
        <v>218.63300000000001</v>
      </c>
      <c r="C726" s="1">
        <v>44182</v>
      </c>
      <c r="D726">
        <v>372.24</v>
      </c>
      <c r="E726">
        <f t="shared" si="229"/>
        <v>5.3196204056072095E-2</v>
      </c>
      <c r="F726" s="4">
        <f t="shared" si="230"/>
        <v>5.5920252856795343E-3</v>
      </c>
      <c r="G726">
        <f t="shared" ca="1" si="231"/>
        <v>9.1344958794294627E-3</v>
      </c>
      <c r="H726">
        <f t="shared" ca="1" si="232"/>
        <v>5.5722508757646706E-2</v>
      </c>
      <c r="I726">
        <f t="shared" ca="1" si="233"/>
        <v>-0.25428123361051785</v>
      </c>
      <c r="J726">
        <f t="shared" ca="1" si="234"/>
        <v>2.1576244256946353</v>
      </c>
      <c r="K726">
        <f t="shared" ca="1" si="235"/>
        <v>1.3800462738889163</v>
      </c>
      <c r="L726">
        <f t="shared" ca="1" si="236"/>
        <v>1.8642089326462419</v>
      </c>
      <c r="M726">
        <f t="shared" ca="1" si="237"/>
        <v>1.2922734318883274E-3</v>
      </c>
      <c r="N726">
        <f t="shared" ca="1" si="238"/>
        <v>2.246357796263897E-2</v>
      </c>
      <c r="O726">
        <f t="shared" ca="1" si="239"/>
        <v>-0.66454481834721568</v>
      </c>
      <c r="P726">
        <f t="shared" ca="1" si="240"/>
        <v>6.8992412843323132</v>
      </c>
      <c r="Q726">
        <f t="shared" ca="1" si="241"/>
        <v>0.8882375875344376</v>
      </c>
      <c r="R726">
        <f t="shared" ca="1" si="242"/>
        <v>1.8165008169950587</v>
      </c>
      <c r="T726">
        <f t="shared" si="243"/>
        <v>1.0531962040560721</v>
      </c>
      <c r="U726" s="6">
        <f t="shared" ca="1" si="244"/>
        <v>1.0459758017060325</v>
      </c>
      <c r="V726">
        <f t="shared" ca="1" si="245"/>
        <v>1.3020711479373102</v>
      </c>
      <c r="X726" t="b">
        <f t="shared" ca="1" si="246"/>
        <v>0</v>
      </c>
      <c r="BJ726" t="b">
        <f t="shared" si="227"/>
        <v>1</v>
      </c>
      <c r="BK726" t="b">
        <f t="shared" ca="1" si="228"/>
        <v>0</v>
      </c>
    </row>
    <row r="727" spans="1:63" x14ac:dyDescent="0.45">
      <c r="A727" s="1">
        <v>44181</v>
      </c>
      <c r="B727">
        <v>207.59</v>
      </c>
      <c r="C727" s="1">
        <v>44181</v>
      </c>
      <c r="D727">
        <v>370.17</v>
      </c>
      <c r="E727">
        <f t="shared" si="229"/>
        <v>-1.6547992969590138E-2</v>
      </c>
      <c r="F727" s="4">
        <f t="shared" si="230"/>
        <v>1.5693065288564111E-3</v>
      </c>
      <c r="G727">
        <f t="shared" ca="1" si="231"/>
        <v>8.7020039628921946E-3</v>
      </c>
      <c r="H727">
        <f t="shared" ca="1" si="232"/>
        <v>5.5714483284499544E-2</v>
      </c>
      <c r="I727">
        <f t="shared" ca="1" si="233"/>
        <v>-0.23562117552647288</v>
      </c>
      <c r="J727">
        <f t="shared" ca="1" si="234"/>
        <v>2.1525031045164997</v>
      </c>
      <c r="K727">
        <f t="shared" ca="1" si="235"/>
        <v>1.3800462738889163</v>
      </c>
      <c r="L727">
        <f t="shared" ca="1" si="236"/>
        <v>1.8088086466448841</v>
      </c>
      <c r="M727">
        <f t="shared" ca="1" si="237"/>
        <v>1.0981047776839269E-3</v>
      </c>
      <c r="N727">
        <f t="shared" ca="1" si="238"/>
        <v>2.2593682377005601E-2</v>
      </c>
      <c r="O727">
        <f t="shared" ca="1" si="239"/>
        <v>-0.64524820439895747</v>
      </c>
      <c r="P727">
        <f t="shared" ca="1" si="240"/>
        <v>6.677313684019718</v>
      </c>
      <c r="Q727">
        <f t="shared" ca="1" si="241"/>
        <v>0.81527327119908</v>
      </c>
      <c r="R727">
        <f t="shared" ca="1" si="242"/>
        <v>1.7612482421411058</v>
      </c>
      <c r="T727">
        <f t="shared" si="243"/>
        <v>0.98345200703040991</v>
      </c>
      <c r="U727" s="6">
        <f t="shared" ca="1" si="244"/>
        <v>1.0302591157012899</v>
      </c>
      <c r="V727">
        <f t="shared" ca="1" si="245"/>
        <v>1.3878108652952976</v>
      </c>
      <c r="X727" t="b">
        <f t="shared" ca="1" si="246"/>
        <v>0</v>
      </c>
      <c r="BJ727" t="b">
        <f t="shared" si="227"/>
        <v>1</v>
      </c>
      <c r="BK727" t="b">
        <f t="shared" ca="1" si="228"/>
        <v>0</v>
      </c>
    </row>
    <row r="728" spans="1:63" x14ac:dyDescent="0.45">
      <c r="A728" s="1">
        <v>44180</v>
      </c>
      <c r="B728">
        <v>211.083</v>
      </c>
      <c r="C728" s="1">
        <v>44180</v>
      </c>
      <c r="D728">
        <v>369.59</v>
      </c>
      <c r="E728">
        <f t="shared" si="229"/>
        <v>-1.0287091435082022E-2</v>
      </c>
      <c r="F728" s="4">
        <f t="shared" si="230"/>
        <v>1.3519442768606236E-2</v>
      </c>
      <c r="G728">
        <f t="shared" ca="1" si="231"/>
        <v>8.8115041142163928E-3</v>
      </c>
      <c r="H728">
        <f t="shared" ca="1" si="232"/>
        <v>5.5686121786251479E-2</v>
      </c>
      <c r="I728">
        <f t="shared" ca="1" si="233"/>
        <v>-0.24146800476572625</v>
      </c>
      <c r="J728">
        <f t="shared" ca="1" si="234"/>
        <v>2.164796379088239</v>
      </c>
      <c r="K728">
        <f t="shared" ca="1" si="235"/>
        <v>1.3800462738889163</v>
      </c>
      <c r="L728">
        <f t="shared" ca="1" si="236"/>
        <v>1.8088086466448841</v>
      </c>
      <c r="M728">
        <f t="shared" ca="1" si="237"/>
        <v>1.3004234462120402E-3</v>
      </c>
      <c r="N728">
        <f t="shared" ca="1" si="238"/>
        <v>2.2778337867841225E-2</v>
      </c>
      <c r="O728">
        <f t="shared" ca="1" si="239"/>
        <v>-0.62713914051528474</v>
      </c>
      <c r="P728">
        <f t="shared" ca="1" si="240"/>
        <v>6.4421041119765716</v>
      </c>
      <c r="Q728">
        <f t="shared" ca="1" si="241"/>
        <v>0.88742766327304379</v>
      </c>
      <c r="R728">
        <f t="shared" ca="1" si="242"/>
        <v>1.7655210968483128</v>
      </c>
      <c r="T728">
        <f t="shared" si="243"/>
        <v>0.989712908564918</v>
      </c>
      <c r="U728" s="6">
        <f t="shared" ca="1" si="244"/>
        <v>0.97440762231854761</v>
      </c>
      <c r="V728">
        <f t="shared" ca="1" si="245"/>
        <v>1.3606966247301253</v>
      </c>
      <c r="X728" t="b">
        <f t="shared" ca="1" si="246"/>
        <v>1</v>
      </c>
      <c r="BJ728" t="b">
        <f t="shared" si="227"/>
        <v>1</v>
      </c>
      <c r="BK728" t="b">
        <f t="shared" ca="1" si="228"/>
        <v>1</v>
      </c>
    </row>
    <row r="729" spans="1:63" x14ac:dyDescent="0.45">
      <c r="A729" s="1">
        <v>44179</v>
      </c>
      <c r="B729">
        <v>213.27699999999999</v>
      </c>
      <c r="C729" s="1">
        <v>44179</v>
      </c>
      <c r="D729">
        <v>364.66</v>
      </c>
      <c r="E729">
        <f t="shared" si="229"/>
        <v>4.8920474106132761E-2</v>
      </c>
      <c r="F729" s="4">
        <f t="shared" si="230"/>
        <v>-4.4772044772044394E-3</v>
      </c>
      <c r="G729">
        <f t="shared" ca="1" si="231"/>
        <v>8.8756476664483535E-3</v>
      </c>
      <c r="H729">
        <f t="shared" ca="1" si="232"/>
        <v>5.5671398608724283E-2</v>
      </c>
      <c r="I729">
        <f t="shared" ca="1" si="233"/>
        <v>-0.24495341022992023</v>
      </c>
      <c r="J729">
        <f t="shared" ca="1" si="234"/>
        <v>2.1713833596510295</v>
      </c>
      <c r="K729">
        <f t="shared" ca="1" si="235"/>
        <v>1.3800462738889163</v>
      </c>
      <c r="L729">
        <f t="shared" ca="1" si="236"/>
        <v>1.8088086466448841</v>
      </c>
      <c r="M729">
        <f t="shared" ca="1" si="237"/>
        <v>1.0896640465978753E-3</v>
      </c>
      <c r="N729">
        <f t="shared" ca="1" si="238"/>
        <v>2.2859574633655715E-2</v>
      </c>
      <c r="O729">
        <f t="shared" ca="1" si="239"/>
        <v>-0.60470860428501239</v>
      </c>
      <c r="P729">
        <f t="shared" ca="1" si="240"/>
        <v>6.2994749619747354</v>
      </c>
      <c r="Q729">
        <f t="shared" ca="1" si="241"/>
        <v>0.88742766327304379</v>
      </c>
      <c r="R729">
        <f t="shared" ca="1" si="242"/>
        <v>1.7443456188541728</v>
      </c>
      <c r="T729">
        <f t="shared" si="243"/>
        <v>1.0489204741061329</v>
      </c>
      <c r="U729" s="6">
        <f t="shared" ca="1" si="244"/>
        <v>0.99699420344053846</v>
      </c>
      <c r="V729">
        <f t="shared" ca="1" si="245"/>
        <v>1.345429840034841</v>
      </c>
      <c r="X729" t="b">
        <f t="shared" ca="1" si="246"/>
        <v>1</v>
      </c>
      <c r="BJ729" t="b">
        <f t="shared" si="227"/>
        <v>1</v>
      </c>
      <c r="BK729" t="b">
        <f t="shared" ca="1" si="228"/>
        <v>1</v>
      </c>
    </row>
    <row r="730" spans="1:63" x14ac:dyDescent="0.45">
      <c r="A730" s="1">
        <v>44176</v>
      </c>
      <c r="B730">
        <v>203.33</v>
      </c>
      <c r="C730" s="1">
        <v>44176</v>
      </c>
      <c r="D730">
        <v>366.3</v>
      </c>
      <c r="E730">
        <f t="shared" si="229"/>
        <v>-2.7236237160503791E-2</v>
      </c>
      <c r="F730" s="4">
        <f t="shared" si="230"/>
        <v>-1.1725247457257568E-3</v>
      </c>
      <c r="G730">
        <f t="shared" ca="1" si="231"/>
        <v>9.1971461611246048E-3</v>
      </c>
      <c r="H730">
        <f t="shared" ca="1" si="232"/>
        <v>5.6087921808297379E-2</v>
      </c>
      <c r="I730">
        <f t="shared" ca="1" si="233"/>
        <v>-0.22607162003539408</v>
      </c>
      <c r="J730">
        <f t="shared" ca="1" si="234"/>
        <v>2.0839013934499713</v>
      </c>
      <c r="K730">
        <f t="shared" ca="1" si="235"/>
        <v>1.4564036380981329</v>
      </c>
      <c r="L730">
        <f t="shared" ca="1" si="236"/>
        <v>1.8088086466448841</v>
      </c>
      <c r="M730">
        <f t="shared" ca="1" si="237"/>
        <v>1.3285828442488672E-3</v>
      </c>
      <c r="N730">
        <f t="shared" ca="1" si="238"/>
        <v>2.3050014416613713E-2</v>
      </c>
      <c r="O730">
        <f t="shared" ca="1" si="239"/>
        <v>-0.58999737416524878</v>
      </c>
      <c r="P730">
        <f t="shared" ca="1" si="240"/>
        <v>6.0769932556628445</v>
      </c>
      <c r="Q730">
        <f t="shared" ca="1" si="241"/>
        <v>0.91804768332548259</v>
      </c>
      <c r="R730">
        <f t="shared" ca="1" si="242"/>
        <v>1.748577467159359</v>
      </c>
      <c r="T730">
        <f t="shared" si="243"/>
        <v>0.97276376283949617</v>
      </c>
      <c r="U730" s="6">
        <f t="shared" ca="1" si="244"/>
        <v>1.0182792467948718</v>
      </c>
      <c r="V730">
        <f t="shared" ca="1" si="245"/>
        <v>1.3252727590372846</v>
      </c>
      <c r="X730" t="b">
        <f t="shared" ca="1" si="246"/>
        <v>0</v>
      </c>
      <c r="BJ730" t="b">
        <f t="shared" si="227"/>
        <v>1</v>
      </c>
      <c r="BK730" t="b">
        <f t="shared" ca="1" si="228"/>
        <v>0</v>
      </c>
    </row>
    <row r="731" spans="1:63" x14ac:dyDescent="0.45">
      <c r="A731" s="1">
        <v>44175</v>
      </c>
      <c r="B731">
        <v>209.023</v>
      </c>
      <c r="C731" s="1">
        <v>44175</v>
      </c>
      <c r="D731">
        <v>366.73</v>
      </c>
      <c r="E731">
        <f t="shared" si="229"/>
        <v>3.7371025296164144E-2</v>
      </c>
      <c r="F731" s="4">
        <f t="shared" si="230"/>
        <v>-3.2710917268639645E-4</v>
      </c>
      <c r="G731">
        <f t="shared" ca="1" si="231"/>
        <v>9.2522522961723756E-3</v>
      </c>
      <c r="H731">
        <f t="shared" ca="1" si="232"/>
        <v>5.6057352115449696E-2</v>
      </c>
      <c r="I731">
        <f t="shared" ca="1" si="233"/>
        <v>-0.22849990454656172</v>
      </c>
      <c r="J731">
        <f t="shared" ca="1" si="234"/>
        <v>2.095305357559492</v>
      </c>
      <c r="K731">
        <f t="shared" ca="1" si="235"/>
        <v>1.4564036380981329</v>
      </c>
      <c r="L731">
        <f t="shared" ca="1" si="236"/>
        <v>1.8222976231602968</v>
      </c>
      <c r="M731">
        <f t="shared" ca="1" si="237"/>
        <v>1.3134377707572343E-3</v>
      </c>
      <c r="N731">
        <f t="shared" ca="1" si="238"/>
        <v>2.3052660993275978E-2</v>
      </c>
      <c r="O731">
        <f t="shared" ca="1" si="239"/>
        <v>-0.58786694271115714</v>
      </c>
      <c r="P731">
        <f t="shared" ca="1" si="240"/>
        <v>6.0712421362487197</v>
      </c>
      <c r="Q731">
        <f t="shared" ca="1" si="241"/>
        <v>0.91804768332548259</v>
      </c>
      <c r="R731">
        <f t="shared" ca="1" si="242"/>
        <v>1.748577467159359</v>
      </c>
      <c r="T731">
        <f t="shared" si="243"/>
        <v>1.0373710252961641</v>
      </c>
      <c r="U731" s="6">
        <f t="shared" ca="1" si="244"/>
        <v>1.0567765289974875</v>
      </c>
      <c r="V731">
        <f t="shared" ca="1" si="245"/>
        <v>1.3213560561168047</v>
      </c>
      <c r="X731" t="b">
        <f t="shared" ca="1" si="246"/>
        <v>0</v>
      </c>
      <c r="BJ731" t="b">
        <f t="shared" si="227"/>
        <v>1</v>
      </c>
      <c r="BK731" t="b">
        <f t="shared" ca="1" si="228"/>
        <v>0</v>
      </c>
    </row>
    <row r="732" spans="1:63" x14ac:dyDescent="0.45">
      <c r="A732" s="1">
        <v>44174</v>
      </c>
      <c r="B732">
        <v>201.49299999999999</v>
      </c>
      <c r="C732" s="1">
        <v>44174</v>
      </c>
      <c r="D732">
        <v>366.85</v>
      </c>
      <c r="E732">
        <f t="shared" si="229"/>
        <v>-6.9862020893055876E-2</v>
      </c>
      <c r="F732" s="4">
        <f t="shared" si="230"/>
        <v>-8.9688521490125968E-3</v>
      </c>
      <c r="G732">
        <f t="shared" ca="1" si="231"/>
        <v>8.4246710525883121E-3</v>
      </c>
      <c r="H732">
        <f t="shared" ca="1" si="232"/>
        <v>5.6856220906955739E-2</v>
      </c>
      <c r="I732">
        <f t="shared" ca="1" si="233"/>
        <v>-0.24713873948346665</v>
      </c>
      <c r="J732">
        <f t="shared" ca="1" si="234"/>
        <v>1.9727168796967165</v>
      </c>
      <c r="K732">
        <f t="shared" ca="1" si="235"/>
        <v>1.3496441811792899</v>
      </c>
      <c r="L732">
        <f t="shared" ca="1" si="236"/>
        <v>1.7909516705743085</v>
      </c>
      <c r="M732">
        <f t="shared" ca="1" si="237"/>
        <v>1.0905147291407303E-3</v>
      </c>
      <c r="N732">
        <f t="shared" ca="1" si="238"/>
        <v>2.3283024338163892E-2</v>
      </c>
      <c r="O732">
        <f t="shared" ca="1" si="239"/>
        <v>-0.58129537749168292</v>
      </c>
      <c r="P732">
        <f t="shared" ca="1" si="240"/>
        <v>5.7729273016496885</v>
      </c>
      <c r="Q732">
        <f t="shared" ca="1" si="241"/>
        <v>0.89382454555594326</v>
      </c>
      <c r="R732">
        <f t="shared" ca="1" si="242"/>
        <v>1.7038024841381791</v>
      </c>
      <c r="T732">
        <f t="shared" si="243"/>
        <v>0.93013797910694418</v>
      </c>
      <c r="U732" s="6">
        <f t="shared" ca="1" si="244"/>
        <v>1.0626875590036235</v>
      </c>
      <c r="V732">
        <f t="shared" ca="1" si="245"/>
        <v>1.3143541250352082</v>
      </c>
      <c r="X732" t="b">
        <f t="shared" ca="1" si="246"/>
        <v>0</v>
      </c>
      <c r="BJ732" t="b">
        <f t="shared" si="227"/>
        <v>1</v>
      </c>
      <c r="BK732" t="b">
        <f t="shared" ca="1" si="228"/>
        <v>0</v>
      </c>
    </row>
    <row r="733" spans="1:63" x14ac:dyDescent="0.45">
      <c r="A733" s="1">
        <v>44173</v>
      </c>
      <c r="B733">
        <v>216.62700000000001</v>
      </c>
      <c r="C733" s="1">
        <v>44173</v>
      </c>
      <c r="D733">
        <v>370.17</v>
      </c>
      <c r="E733">
        <f t="shared" si="229"/>
        <v>1.2654263275991128E-2</v>
      </c>
      <c r="F733" s="4">
        <f t="shared" si="230"/>
        <v>2.926115581565583E-3</v>
      </c>
      <c r="G733">
        <f t="shared" ca="1" si="231"/>
        <v>8.642031855288836E-3</v>
      </c>
      <c r="H733">
        <f t="shared" ca="1" si="232"/>
        <v>5.6638106107514775E-2</v>
      </c>
      <c r="I733">
        <f t="shared" ca="1" si="233"/>
        <v>-0.24940886461681791</v>
      </c>
      <c r="J733">
        <f t="shared" ca="1" si="234"/>
        <v>2.0361201962351521</v>
      </c>
      <c r="K733">
        <f t="shared" ca="1" si="235"/>
        <v>1.3496441811792899</v>
      </c>
      <c r="L733">
        <f t="shared" ca="1" si="236"/>
        <v>1.7909516705743085</v>
      </c>
      <c r="M733">
        <f t="shared" ca="1" si="237"/>
        <v>1.1169678176484673E-3</v>
      </c>
      <c r="N733">
        <f t="shared" ca="1" si="238"/>
        <v>2.3274541853277871E-2</v>
      </c>
      <c r="O733">
        <f t="shared" ca="1" si="239"/>
        <v>-0.58500917179570378</v>
      </c>
      <c r="P733">
        <f t="shared" ca="1" si="240"/>
        <v>5.7883243692731083</v>
      </c>
      <c r="Q733">
        <f t="shared" ca="1" si="241"/>
        <v>0.89382454555594326</v>
      </c>
      <c r="R733">
        <f t="shared" ca="1" si="242"/>
        <v>1.748577467159359</v>
      </c>
      <c r="T733">
        <f t="shared" si="243"/>
        <v>1.0126542632759912</v>
      </c>
      <c r="U733" s="6">
        <f t="shared" ca="1" si="244"/>
        <v>1.1113636363636363</v>
      </c>
      <c r="V733">
        <f t="shared" ca="1" si="245"/>
        <v>1.3529070611625258</v>
      </c>
      <c r="X733" t="b">
        <f t="shared" ca="1" si="246"/>
        <v>0</v>
      </c>
      <c r="BJ733" t="b">
        <f t="shared" si="227"/>
        <v>1</v>
      </c>
      <c r="BK733" t="b">
        <f t="shared" ca="1" si="228"/>
        <v>0</v>
      </c>
    </row>
    <row r="734" spans="1:63" x14ac:dyDescent="0.45">
      <c r="A734" s="1">
        <v>44172</v>
      </c>
      <c r="B734">
        <v>213.92</v>
      </c>
      <c r="C734" s="1">
        <v>44172</v>
      </c>
      <c r="D734">
        <v>369.09</v>
      </c>
      <c r="E734">
        <f t="shared" si="229"/>
        <v>7.1314102564102463E-2</v>
      </c>
      <c r="F734" s="4">
        <f t="shared" si="230"/>
        <v>-2.0548871163986689E-3</v>
      </c>
      <c r="G734">
        <f t="shared" ca="1" si="231"/>
        <v>8.3755888769796172E-3</v>
      </c>
      <c r="H734">
        <f t="shared" ca="1" si="232"/>
        <v>5.6744379719724902E-2</v>
      </c>
      <c r="I734">
        <f t="shared" ca="1" si="233"/>
        <v>-0.23710707326886571</v>
      </c>
      <c r="J734">
        <f t="shared" ca="1" si="234"/>
        <v>1.9964215374689509</v>
      </c>
      <c r="K734">
        <f t="shared" ca="1" si="235"/>
        <v>1.3496441811792899</v>
      </c>
      <c r="L734">
        <f t="shared" ca="1" si="236"/>
        <v>1.728746814505792</v>
      </c>
      <c r="M734">
        <f t="shared" ca="1" si="237"/>
        <v>9.5082678753544093E-4</v>
      </c>
      <c r="N734">
        <f t="shared" ca="1" si="238"/>
        <v>2.337992084396787E-2</v>
      </c>
      <c r="O734">
        <f t="shared" ca="1" si="239"/>
        <v>-0.56792128241543327</v>
      </c>
      <c r="P734">
        <f t="shared" ca="1" si="240"/>
        <v>5.6302357737532889</v>
      </c>
      <c r="Q734">
        <f t="shared" ca="1" si="241"/>
        <v>0.89382454555594326</v>
      </c>
      <c r="R734">
        <f t="shared" ca="1" si="242"/>
        <v>1.7038024841381791</v>
      </c>
      <c r="T734">
        <f t="shared" si="243"/>
        <v>1.0713141025641024</v>
      </c>
      <c r="U734" s="6">
        <f t="shared" ca="1" si="244"/>
        <v>1.1306553911205075</v>
      </c>
      <c r="V734">
        <f t="shared" ca="1" si="245"/>
        <v>1.3659108325057088</v>
      </c>
      <c r="X734" t="b">
        <f t="shared" ca="1" si="246"/>
        <v>0</v>
      </c>
      <c r="BJ734" t="b">
        <f t="shared" si="227"/>
        <v>1</v>
      </c>
      <c r="BK734" t="b">
        <f t="shared" ca="1" si="228"/>
        <v>0</v>
      </c>
    </row>
    <row r="735" spans="1:63" x14ac:dyDescent="0.45">
      <c r="A735" s="1">
        <v>44169</v>
      </c>
      <c r="B735">
        <v>199.68</v>
      </c>
      <c r="C735" s="1">
        <v>44169</v>
      </c>
      <c r="D735">
        <v>369.85</v>
      </c>
      <c r="E735">
        <f t="shared" si="229"/>
        <v>9.5402769562117993E-3</v>
      </c>
      <c r="F735" s="4">
        <f t="shared" si="230"/>
        <v>8.6176334233276745E-3</v>
      </c>
      <c r="G735">
        <f t="shared" ca="1" si="231"/>
        <v>7.6460413236358162E-3</v>
      </c>
      <c r="H735">
        <f t="shared" ca="1" si="232"/>
        <v>5.6868952911019441E-2</v>
      </c>
      <c r="I735">
        <f t="shared" ca="1" si="233"/>
        <v>-0.21932039599489009</v>
      </c>
      <c r="J735">
        <f t="shared" ca="1" si="234"/>
        <v>1.9555824119987069</v>
      </c>
      <c r="K735">
        <f t="shared" ca="1" si="235"/>
        <v>1.3496441811792899</v>
      </c>
      <c r="L735">
        <f t="shared" ca="1" si="236"/>
        <v>1.5880125868293311</v>
      </c>
      <c r="M735">
        <f t="shared" ca="1" si="237"/>
        <v>7.9527418701332009E-4</v>
      </c>
      <c r="N735">
        <f t="shared" ca="1" si="238"/>
        <v>2.3503187298010316E-2</v>
      </c>
      <c r="O735">
        <f t="shared" ca="1" si="239"/>
        <v>-0.55449022915783219</v>
      </c>
      <c r="P735">
        <f t="shared" ca="1" si="240"/>
        <v>5.4573942192019471</v>
      </c>
      <c r="Q735">
        <f t="shared" ca="1" si="241"/>
        <v>0.89382454555594326</v>
      </c>
      <c r="R735">
        <f t="shared" ca="1" si="242"/>
        <v>1.5717770072977018</v>
      </c>
      <c r="T735">
        <f t="shared" si="243"/>
        <v>1.0095402769562118</v>
      </c>
      <c r="U735" s="6">
        <f t="shared" ca="1" si="244"/>
        <v>1.0226731471475472</v>
      </c>
      <c r="V735">
        <f t="shared" ca="1" si="245"/>
        <v>1.374474819168686</v>
      </c>
      <c r="X735" t="b">
        <f t="shared" ca="1" si="246"/>
        <v>0</v>
      </c>
      <c r="BJ735" t="b">
        <f t="shared" si="227"/>
        <v>1</v>
      </c>
      <c r="BK735" t="b">
        <f t="shared" ca="1" si="228"/>
        <v>0</v>
      </c>
    </row>
    <row r="736" spans="1:63" x14ac:dyDescent="0.45">
      <c r="A736" s="1">
        <v>44168</v>
      </c>
      <c r="B736">
        <v>197.79300000000001</v>
      </c>
      <c r="C736" s="1">
        <v>44168</v>
      </c>
      <c r="D736">
        <v>366.69</v>
      </c>
      <c r="E736">
        <f t="shared" si="229"/>
        <v>4.3173511526473217E-2</v>
      </c>
      <c r="F736" s="4">
        <f t="shared" si="230"/>
        <v>-2.72635568036268E-4</v>
      </c>
      <c r="G736">
        <f t="shared" ca="1" si="231"/>
        <v>7.6071790618136292E-3</v>
      </c>
      <c r="H736">
        <f t="shared" ca="1" si="232"/>
        <v>5.6870307647051643E-2</v>
      </c>
      <c r="I736">
        <f t="shared" ca="1" si="233"/>
        <v>-0.21723976097402251</v>
      </c>
      <c r="J736">
        <f t="shared" ca="1" si="234"/>
        <v>1.9544977090012026</v>
      </c>
      <c r="K736">
        <f t="shared" ca="1" si="235"/>
        <v>1.3496441811792899</v>
      </c>
      <c r="L736">
        <f t="shared" ca="1" si="236"/>
        <v>1.5880125868293311</v>
      </c>
      <c r="M736">
        <f t="shared" ca="1" si="237"/>
        <v>7.0069470070985925E-4</v>
      </c>
      <c r="N736">
        <f t="shared" ca="1" si="238"/>
        <v>2.3509610036109248E-2</v>
      </c>
      <c r="O736">
        <f t="shared" ca="1" si="239"/>
        <v>-0.54256517673647531</v>
      </c>
      <c r="P736">
        <f t="shared" ca="1" si="240"/>
        <v>5.4392908463591327</v>
      </c>
      <c r="Q736">
        <f t="shared" ca="1" si="241"/>
        <v>0.89382454555594326</v>
      </c>
      <c r="R736">
        <f t="shared" ca="1" si="242"/>
        <v>1.4655191548594853</v>
      </c>
      <c r="T736">
        <f t="shared" si="243"/>
        <v>1.0431735115264733</v>
      </c>
      <c r="U736" s="6">
        <f t="shared" ca="1" si="244"/>
        <v>1.033763125022866</v>
      </c>
      <c r="V736">
        <f t="shared" ca="1" si="245"/>
        <v>1.3923722740444693</v>
      </c>
      <c r="X736" t="b">
        <f t="shared" ca="1" si="246"/>
        <v>0</v>
      </c>
      <c r="BJ736" t="b">
        <f t="shared" si="227"/>
        <v>1</v>
      </c>
      <c r="BK736" t="b">
        <f t="shared" ca="1" si="228"/>
        <v>0</v>
      </c>
    </row>
    <row r="737" spans="1:63" x14ac:dyDescent="0.45">
      <c r="A737" s="1">
        <v>44167</v>
      </c>
      <c r="B737">
        <v>189.607</v>
      </c>
      <c r="C737" s="1">
        <v>44167</v>
      </c>
      <c r="D737">
        <v>366.79</v>
      </c>
      <c r="E737">
        <f t="shared" si="229"/>
        <v>-2.7257336343115064E-2</v>
      </c>
      <c r="F737" s="4">
        <f t="shared" si="230"/>
        <v>2.1037101797717027E-3</v>
      </c>
      <c r="G737">
        <f t="shared" ca="1" si="231"/>
        <v>7.2931612032556773E-3</v>
      </c>
      <c r="H737">
        <f t="shared" ca="1" si="232"/>
        <v>5.6846320566853244E-2</v>
      </c>
      <c r="I737">
        <f t="shared" ca="1" si="233"/>
        <v>-0.20257685775483283</v>
      </c>
      <c r="J737">
        <f t="shared" ca="1" si="234"/>
        <v>1.95766644077914</v>
      </c>
      <c r="K737">
        <f t="shared" ca="1" si="235"/>
        <v>1.3496441811792899</v>
      </c>
      <c r="L737">
        <f t="shared" ca="1" si="236"/>
        <v>1.5089205273480768</v>
      </c>
      <c r="M737">
        <f t="shared" ca="1" si="237"/>
        <v>6.81516411386832E-4</v>
      </c>
      <c r="N737">
        <f t="shared" ca="1" si="238"/>
        <v>2.3511972410483296E-2</v>
      </c>
      <c r="O737">
        <f t="shared" ca="1" si="239"/>
        <v>-0.53997295756645458</v>
      </c>
      <c r="P737">
        <f t="shared" ca="1" si="240"/>
        <v>5.4340885818522873</v>
      </c>
      <c r="Q737">
        <f t="shared" ca="1" si="241"/>
        <v>0.89382454555594326</v>
      </c>
      <c r="R737">
        <f t="shared" ca="1" si="242"/>
        <v>1.4655191548594853</v>
      </c>
      <c r="T737">
        <f t="shared" si="243"/>
        <v>0.97274266365688489</v>
      </c>
      <c r="U737" s="6">
        <f t="shared" ca="1" si="244"/>
        <v>1.0241996035154244</v>
      </c>
      <c r="V737">
        <f t="shared" ca="1" si="245"/>
        <v>1.4029565053963906</v>
      </c>
      <c r="X737" t="b">
        <f t="shared" ca="1" si="246"/>
        <v>0</v>
      </c>
      <c r="BJ737" t="b">
        <f t="shared" si="227"/>
        <v>1</v>
      </c>
      <c r="BK737" t="b">
        <f t="shared" ca="1" si="228"/>
        <v>0</v>
      </c>
    </row>
    <row r="738" spans="1:63" x14ac:dyDescent="0.45">
      <c r="A738" s="1">
        <v>44166</v>
      </c>
      <c r="B738">
        <v>194.92</v>
      </c>
      <c r="C738" s="1">
        <v>44166</v>
      </c>
      <c r="D738">
        <v>366.02</v>
      </c>
      <c r="E738">
        <f t="shared" si="229"/>
        <v>3.023255813953488E-2</v>
      </c>
      <c r="F738" s="4">
        <f t="shared" si="230"/>
        <v>1.0937413688338893E-2</v>
      </c>
      <c r="G738">
        <f t="shared" ca="1" si="231"/>
        <v>7.773220983891862E-3</v>
      </c>
      <c r="H738">
        <f t="shared" ca="1" si="232"/>
        <v>5.6958373708481301E-2</v>
      </c>
      <c r="I738">
        <f t="shared" ca="1" si="233"/>
        <v>-0.21941402566914059</v>
      </c>
      <c r="J738">
        <f t="shared" ca="1" si="234"/>
        <v>1.9318381142954824</v>
      </c>
      <c r="K738">
        <f t="shared" ca="1" si="235"/>
        <v>1.3496441811792899</v>
      </c>
      <c r="L738">
        <f t="shared" ca="1" si="236"/>
        <v>1.6939325239048313</v>
      </c>
      <c r="M738">
        <f t="shared" ca="1" si="237"/>
        <v>6.9490425433467483E-4</v>
      </c>
      <c r="N738">
        <f t="shared" ca="1" si="238"/>
        <v>2.3513548542714036E-2</v>
      </c>
      <c r="O738">
        <f t="shared" ca="1" si="239"/>
        <v>-0.54156395378599076</v>
      </c>
      <c r="P738">
        <f t="shared" ca="1" si="240"/>
        <v>5.4330763162911184</v>
      </c>
      <c r="Q738">
        <f t="shared" ca="1" si="241"/>
        <v>0.89382454555594326</v>
      </c>
      <c r="R738">
        <f t="shared" ca="1" si="242"/>
        <v>1.4655191548594853</v>
      </c>
      <c r="T738">
        <f t="shared" si="243"/>
        <v>1.0302325581395348</v>
      </c>
      <c r="U738" s="6">
        <f t="shared" ca="1" si="244"/>
        <v>1.120551882724921</v>
      </c>
      <c r="V738">
        <f t="shared" ca="1" si="245"/>
        <v>1.4086234004262566</v>
      </c>
      <c r="X738" t="b">
        <f t="shared" ca="1" si="246"/>
        <v>0</v>
      </c>
      <c r="BJ738" t="b">
        <f t="shared" si="227"/>
        <v>1</v>
      </c>
      <c r="BK738" t="b">
        <f t="shared" ca="1" si="228"/>
        <v>0</v>
      </c>
    </row>
    <row r="739" spans="1:63" x14ac:dyDescent="0.45">
      <c r="A739" s="1">
        <v>44165</v>
      </c>
      <c r="B739">
        <v>189.2</v>
      </c>
      <c r="C739" s="1">
        <v>44165</v>
      </c>
      <c r="D739">
        <v>362.06</v>
      </c>
      <c r="E739">
        <f t="shared" si="229"/>
        <v>-3.1000804084956431E-2</v>
      </c>
      <c r="F739" s="4">
        <f t="shared" si="230"/>
        <v>-4.4270904941293302E-3</v>
      </c>
      <c r="G739">
        <f t="shared" ca="1" si="231"/>
        <v>7.9868634909988304E-3</v>
      </c>
      <c r="H739">
        <f t="shared" ca="1" si="232"/>
        <v>5.7122935163464922E-2</v>
      </c>
      <c r="I739">
        <f t="shared" ca="1" si="233"/>
        <v>-0.22162162019019269</v>
      </c>
      <c r="J739">
        <f t="shared" ca="1" si="234"/>
        <v>1.8866830477287921</v>
      </c>
      <c r="K739">
        <f t="shared" ca="1" si="235"/>
        <v>1.3496441811792899</v>
      </c>
      <c r="L739">
        <f t="shared" ca="1" si="236"/>
        <v>1.728746814505792</v>
      </c>
      <c r="M739">
        <f t="shared" ca="1" si="237"/>
        <v>6.2733211480293298E-4</v>
      </c>
      <c r="N739">
        <f t="shared" ca="1" si="238"/>
        <v>2.3503382553654119E-2</v>
      </c>
      <c r="O739">
        <f t="shared" ca="1" si="239"/>
        <v>-0.53398863773498217</v>
      </c>
      <c r="P739">
        <f t="shared" ca="1" si="240"/>
        <v>5.4412538447358996</v>
      </c>
      <c r="Q739">
        <f t="shared" ca="1" si="241"/>
        <v>0.89382454555594326</v>
      </c>
      <c r="R739">
        <f t="shared" ca="1" si="242"/>
        <v>1.4655191548594853</v>
      </c>
      <c r="T739">
        <f t="shared" si="243"/>
        <v>0.96899919591504358</v>
      </c>
      <c r="U739" s="6">
        <f t="shared" ca="1" si="244"/>
        <v>1.1592924149678623</v>
      </c>
      <c r="V739">
        <f t="shared" ca="1" si="245"/>
        <v>1.4013620374283176</v>
      </c>
      <c r="X739" t="b">
        <f t="shared" ca="1" si="246"/>
        <v>0</v>
      </c>
      <c r="BJ739" t="b">
        <f t="shared" si="227"/>
        <v>1</v>
      </c>
      <c r="BK739" t="b">
        <f t="shared" ca="1" si="228"/>
        <v>0</v>
      </c>
    </row>
    <row r="740" spans="1:63" x14ac:dyDescent="0.45">
      <c r="A740" s="1">
        <v>44162</v>
      </c>
      <c r="B740">
        <v>195.25299999999999</v>
      </c>
      <c r="C740" s="1">
        <v>44162</v>
      </c>
      <c r="D740">
        <v>363.67</v>
      </c>
      <c r="E740">
        <f t="shared" si="229"/>
        <v>2.0487840571150755E-2</v>
      </c>
      <c r="F740" s="4">
        <f t="shared" si="230"/>
        <v>2.7849776650305819E-3</v>
      </c>
      <c r="G740">
        <f t="shared" ca="1" si="231"/>
        <v>8.1171753472445082E-3</v>
      </c>
      <c r="H740">
        <f t="shared" ca="1" si="232"/>
        <v>5.7063243740103138E-2</v>
      </c>
      <c r="I740">
        <f t="shared" ca="1" si="233"/>
        <v>-0.22767803810908721</v>
      </c>
      <c r="J740">
        <f t="shared" ca="1" si="234"/>
        <v>1.9083287260066317</v>
      </c>
      <c r="K740">
        <f t="shared" ca="1" si="235"/>
        <v>1.3496441811792899</v>
      </c>
      <c r="L740">
        <f t="shared" ca="1" si="236"/>
        <v>1.7909516705743085</v>
      </c>
      <c r="M740">
        <f t="shared" ca="1" si="237"/>
        <v>6.5747801051810621E-4</v>
      </c>
      <c r="N740">
        <f t="shared" ca="1" si="238"/>
        <v>2.3500733497438135E-2</v>
      </c>
      <c r="O740">
        <f t="shared" ca="1" si="239"/>
        <v>-0.53800554009080548</v>
      </c>
      <c r="P740">
        <f t="shared" ca="1" si="240"/>
        <v>5.4478765416939874</v>
      </c>
      <c r="Q740">
        <f t="shared" ca="1" si="241"/>
        <v>0.89382454555594326</v>
      </c>
      <c r="R740">
        <f t="shared" ca="1" si="242"/>
        <v>1.4655191548594853</v>
      </c>
      <c r="T740">
        <f t="shared" si="243"/>
        <v>1.0204878405711508</v>
      </c>
      <c r="U740" s="6">
        <f t="shared" ca="1" si="244"/>
        <v>1.1732332670364074</v>
      </c>
      <c r="V740">
        <f t="shared" ca="1" si="245"/>
        <v>1.3926486987917586</v>
      </c>
      <c r="X740" t="b">
        <f t="shared" ca="1" si="246"/>
        <v>0</v>
      </c>
      <c r="BJ740" t="b">
        <f t="shared" si="227"/>
        <v>1</v>
      </c>
      <c r="BK740" t="b">
        <f t="shared" ca="1" si="228"/>
        <v>0</v>
      </c>
    </row>
    <row r="741" spans="1:63" x14ac:dyDescent="0.45">
      <c r="A741" s="1">
        <v>44160</v>
      </c>
      <c r="B741">
        <v>191.333</v>
      </c>
      <c r="C741" s="1">
        <v>44160</v>
      </c>
      <c r="D741">
        <v>362.66</v>
      </c>
      <c r="E741">
        <f t="shared" si="229"/>
        <v>3.3522932905518853E-2</v>
      </c>
      <c r="F741" s="4">
        <f t="shared" si="230"/>
        <v>-1.5417653212928865E-3</v>
      </c>
      <c r="G741">
        <f t="shared" ca="1" si="231"/>
        <v>8.253951278682739E-3</v>
      </c>
      <c r="H741">
        <f t="shared" ca="1" si="232"/>
        <v>5.712579400640113E-2</v>
      </c>
      <c r="I741">
        <f t="shared" ca="1" si="233"/>
        <v>-0.23253095509092103</v>
      </c>
      <c r="J741">
        <f t="shared" ca="1" si="234"/>
        <v>1.8901028199237313</v>
      </c>
      <c r="K741">
        <f t="shared" ca="1" si="235"/>
        <v>1.3496441811792899</v>
      </c>
      <c r="L741">
        <f t="shared" ca="1" si="236"/>
        <v>1.85040972103959</v>
      </c>
      <c r="M741">
        <f t="shared" ca="1" si="237"/>
        <v>6.3821852436235602E-4</v>
      </c>
      <c r="N741">
        <f t="shared" ca="1" si="238"/>
        <v>2.3500559558746647E-2</v>
      </c>
      <c r="O741">
        <f t="shared" ca="1" si="239"/>
        <v>-0.53553982350699514</v>
      </c>
      <c r="P741">
        <f t="shared" ca="1" si="240"/>
        <v>5.4463324387292902</v>
      </c>
      <c r="Q741">
        <f t="shared" ca="1" si="241"/>
        <v>0.89382454555594326</v>
      </c>
      <c r="R741">
        <f t="shared" ca="1" si="242"/>
        <v>1.4655191548594853</v>
      </c>
      <c r="T741">
        <f t="shared" si="243"/>
        <v>1.0335229329055189</v>
      </c>
      <c r="U741" s="6">
        <f t="shared" ca="1" si="244"/>
        <v>1.1795170547366736</v>
      </c>
      <c r="V741">
        <f t="shared" ca="1" si="245"/>
        <v>1.3952235766471945</v>
      </c>
      <c r="X741" t="b">
        <f t="shared" ca="1" si="246"/>
        <v>0</v>
      </c>
      <c r="BJ741" t="b">
        <f t="shared" si="227"/>
        <v>1</v>
      </c>
      <c r="BK741" t="b">
        <f t="shared" ca="1" si="228"/>
        <v>0</v>
      </c>
    </row>
    <row r="742" spans="1:63" x14ac:dyDescent="0.45">
      <c r="A742" s="1">
        <v>44159</v>
      </c>
      <c r="B742">
        <v>185.12700000000001</v>
      </c>
      <c r="C742" s="1">
        <v>44159</v>
      </c>
      <c r="D742">
        <v>363.22</v>
      </c>
      <c r="E742">
        <f t="shared" si="229"/>
        <v>6.4254096004599151E-2</v>
      </c>
      <c r="F742" s="4">
        <f t="shared" si="230"/>
        <v>1.6113691042354522E-2</v>
      </c>
      <c r="G742">
        <f t="shared" ca="1" si="231"/>
        <v>8.0405644830488839E-3</v>
      </c>
      <c r="H742">
        <f t="shared" ca="1" si="232"/>
        <v>5.7110636488372855E-2</v>
      </c>
      <c r="I742">
        <f t="shared" ca="1" si="233"/>
        <v>-0.22197717235959499</v>
      </c>
      <c r="J742">
        <f t="shared" ca="1" si="234"/>
        <v>1.8917199207509148</v>
      </c>
      <c r="K742">
        <f t="shared" ca="1" si="235"/>
        <v>1.3496441811792899</v>
      </c>
      <c r="L742">
        <f t="shared" ca="1" si="236"/>
        <v>1.85040972103959</v>
      </c>
      <c r="M742">
        <f t="shared" ca="1" si="237"/>
        <v>6.7814115518047757E-4</v>
      </c>
      <c r="N742">
        <f t="shared" ca="1" si="238"/>
        <v>2.3503619440496035E-2</v>
      </c>
      <c r="O742">
        <f t="shared" ca="1" si="239"/>
        <v>-0.5403973807119874</v>
      </c>
      <c r="P742">
        <f t="shared" ca="1" si="240"/>
        <v>5.4456582487452208</v>
      </c>
      <c r="Q742">
        <f t="shared" ca="1" si="241"/>
        <v>0.89382454555594326</v>
      </c>
      <c r="R742">
        <f t="shared" ca="1" si="242"/>
        <v>1.4655191548594853</v>
      </c>
      <c r="T742">
        <f t="shared" si="243"/>
        <v>1.0642540960045992</v>
      </c>
      <c r="U742" s="6">
        <f t="shared" ca="1" si="244"/>
        <v>1.2576306189411903</v>
      </c>
      <c r="V742">
        <f t="shared" ca="1" si="245"/>
        <v>1.5738437386383923</v>
      </c>
      <c r="X742" t="b">
        <f t="shared" ca="1" si="246"/>
        <v>0</v>
      </c>
      <c r="BJ742" t="b">
        <f t="shared" si="227"/>
        <v>1</v>
      </c>
      <c r="BK742" t="b">
        <f t="shared" ca="1" si="228"/>
        <v>0</v>
      </c>
    </row>
    <row r="743" spans="1:63" x14ac:dyDescent="0.45">
      <c r="A743" s="1">
        <v>44158</v>
      </c>
      <c r="B743">
        <v>173.95</v>
      </c>
      <c r="C743" s="1">
        <v>44158</v>
      </c>
      <c r="D743">
        <v>357.46</v>
      </c>
      <c r="E743">
        <f t="shared" si="229"/>
        <v>6.5850505199046491E-2</v>
      </c>
      <c r="F743" s="4">
        <f t="shared" si="230"/>
        <v>5.9944277150817422E-3</v>
      </c>
      <c r="G743">
        <f t="shared" ca="1" si="231"/>
        <v>7.7393839702946067E-3</v>
      </c>
      <c r="H743">
        <f t="shared" ca="1" si="232"/>
        <v>5.6971358987543137E-2</v>
      </c>
      <c r="I743">
        <f t="shared" ca="1" si="233"/>
        <v>-0.21246702808198123</v>
      </c>
      <c r="J743">
        <f t="shared" ca="1" si="234"/>
        <v>1.9305141798489398</v>
      </c>
      <c r="K743">
        <f t="shared" ca="1" si="235"/>
        <v>1.3496441811792899</v>
      </c>
      <c r="L743">
        <f t="shared" ca="1" si="236"/>
        <v>1.7909516705743085</v>
      </c>
      <c r="M743">
        <f t="shared" ca="1" si="237"/>
        <v>6.0623769339526127E-4</v>
      </c>
      <c r="N743">
        <f t="shared" ca="1" si="238"/>
        <v>2.3478144197467157E-2</v>
      </c>
      <c r="O743">
        <f t="shared" ca="1" si="239"/>
        <v>-0.53431978272247316</v>
      </c>
      <c r="P743">
        <f t="shared" ca="1" si="240"/>
        <v>5.4748691457901453</v>
      </c>
      <c r="Q743">
        <f t="shared" ca="1" si="241"/>
        <v>0.89382454555594326</v>
      </c>
      <c r="R743">
        <f t="shared" ca="1" si="242"/>
        <v>1.4619723547501451</v>
      </c>
      <c r="T743">
        <f t="shared" si="243"/>
        <v>1.0658505051990466</v>
      </c>
      <c r="U743" s="6">
        <f t="shared" ca="1" si="244"/>
        <v>1.2787620377857825</v>
      </c>
      <c r="V743">
        <f t="shared" ca="1" si="245"/>
        <v>1.5510483577362293</v>
      </c>
      <c r="X743" t="b">
        <f t="shared" ca="1" si="246"/>
        <v>0</v>
      </c>
      <c r="BJ743" t="b">
        <f t="shared" si="227"/>
        <v>1</v>
      </c>
      <c r="BK743" t="b">
        <f t="shared" ca="1" si="228"/>
        <v>0</v>
      </c>
    </row>
    <row r="744" spans="1:63" x14ac:dyDescent="0.45">
      <c r="A744" s="1">
        <v>44155</v>
      </c>
      <c r="B744">
        <v>163.203</v>
      </c>
      <c r="C744" s="1">
        <v>44155</v>
      </c>
      <c r="D744">
        <v>355.33</v>
      </c>
      <c r="E744">
        <f t="shared" si="229"/>
        <v>-1.934828719588037E-2</v>
      </c>
      <c r="F744" s="4">
        <f t="shared" si="230"/>
        <v>-6.8477835541393842E-3</v>
      </c>
      <c r="G744">
        <f t="shared" ca="1" si="231"/>
        <v>7.5652707729312743E-3</v>
      </c>
      <c r="H744">
        <f t="shared" ca="1" si="232"/>
        <v>5.6845943673921671E-2</v>
      </c>
      <c r="I744">
        <f t="shared" ca="1" si="233"/>
        <v>-0.20966824054025038</v>
      </c>
      <c r="J744">
        <f t="shared" ca="1" si="234"/>
        <v>1.9663863179507066</v>
      </c>
      <c r="K744">
        <f t="shared" ca="1" si="235"/>
        <v>1.3496441811792899</v>
      </c>
      <c r="L744">
        <f t="shared" ca="1" si="236"/>
        <v>1.7548846702544989</v>
      </c>
      <c r="M744">
        <f t="shared" ca="1" si="237"/>
        <v>6.1359246631894975E-4</v>
      </c>
      <c r="N744">
        <f t="shared" ca="1" si="238"/>
        <v>2.3480070902846831E-2</v>
      </c>
      <c r="O744">
        <f t="shared" ca="1" si="239"/>
        <v>-0.5350722565591377</v>
      </c>
      <c r="P744">
        <f t="shared" ca="1" si="240"/>
        <v>5.4727795508117163</v>
      </c>
      <c r="Q744">
        <f t="shared" ca="1" si="241"/>
        <v>0.89382454555594326</v>
      </c>
      <c r="R744">
        <f t="shared" ca="1" si="242"/>
        <v>1.4619723547501451</v>
      </c>
      <c r="T744">
        <f t="shared" si="243"/>
        <v>0.98065171280411967</v>
      </c>
      <c r="U744" s="6">
        <f t="shared" ca="1" si="244"/>
        <v>1.1985503095463661</v>
      </c>
      <c r="V744">
        <f t="shared" ca="1" si="245"/>
        <v>1.5449062480862259</v>
      </c>
      <c r="X744" t="b">
        <f t="shared" ca="1" si="246"/>
        <v>0</v>
      </c>
      <c r="BJ744" t="b">
        <f t="shared" si="227"/>
        <v>1</v>
      </c>
      <c r="BK744" t="b">
        <f t="shared" ca="1" si="228"/>
        <v>0</v>
      </c>
    </row>
    <row r="745" spans="1:63" x14ac:dyDescent="0.45">
      <c r="A745" s="1">
        <v>44154</v>
      </c>
      <c r="B745">
        <v>166.423</v>
      </c>
      <c r="C745" s="1">
        <v>44154</v>
      </c>
      <c r="D745">
        <v>357.78</v>
      </c>
      <c r="E745">
        <f t="shared" si="229"/>
        <v>2.5953530234938064E-2</v>
      </c>
      <c r="F745" s="4">
        <f t="shared" si="230"/>
        <v>4.2101717750084207E-3</v>
      </c>
      <c r="G745">
        <f t="shared" ca="1" si="231"/>
        <v>7.6560639646441218E-3</v>
      </c>
      <c r="H745">
        <f t="shared" ca="1" si="232"/>
        <v>5.6817235930513597E-2</v>
      </c>
      <c r="I745">
        <f t="shared" ca="1" si="233"/>
        <v>-0.21430768232488212</v>
      </c>
      <c r="J745">
        <f t="shared" ca="1" si="234"/>
        <v>1.977647892623656</v>
      </c>
      <c r="K745">
        <f t="shared" ca="1" si="235"/>
        <v>1.3496441811792899</v>
      </c>
      <c r="L745">
        <f t="shared" ca="1" si="236"/>
        <v>1.7548846702544989</v>
      </c>
      <c r="M745">
        <f t="shared" ca="1" si="237"/>
        <v>6.2118308179609592E-4</v>
      </c>
      <c r="N745">
        <f t="shared" ca="1" si="238"/>
        <v>2.3477891962617944E-2</v>
      </c>
      <c r="O745">
        <f t="shared" ca="1" si="239"/>
        <v>-0.5361203850908236</v>
      </c>
      <c r="P745">
        <f t="shared" ca="1" si="240"/>
        <v>5.4766175507198964</v>
      </c>
      <c r="Q745">
        <f t="shared" ca="1" si="241"/>
        <v>0.89382454555594326</v>
      </c>
      <c r="R745">
        <f t="shared" ca="1" si="242"/>
        <v>1.4619723547501451</v>
      </c>
      <c r="T745">
        <f t="shared" si="243"/>
        <v>1.0259535302349381</v>
      </c>
      <c r="U745" s="6">
        <f t="shared" ca="1" si="244"/>
        <v>1.2125272307344832</v>
      </c>
      <c r="V745">
        <f t="shared" ca="1" si="245"/>
        <v>1.5261135604947462</v>
      </c>
      <c r="X745" t="b">
        <f t="shared" ca="1" si="246"/>
        <v>0</v>
      </c>
      <c r="BJ745" t="b">
        <f t="shared" si="227"/>
        <v>1</v>
      </c>
      <c r="BK745" t="b">
        <f t="shared" ca="1" si="228"/>
        <v>0</v>
      </c>
    </row>
    <row r="746" spans="1:63" x14ac:dyDescent="0.45">
      <c r="A746" s="1">
        <v>44153</v>
      </c>
      <c r="B746">
        <v>162.21299999999999</v>
      </c>
      <c r="C746" s="1">
        <v>44153</v>
      </c>
      <c r="D746">
        <v>356.28</v>
      </c>
      <c r="E746">
        <f t="shared" si="229"/>
        <v>0.10196803054285572</v>
      </c>
      <c r="F746" s="4">
        <f t="shared" si="230"/>
        <v>-1.2034828905773478E-2</v>
      </c>
      <c r="G746">
        <f t="shared" ca="1" si="231"/>
        <v>7.6233461297209636E-3</v>
      </c>
      <c r="H746">
        <f t="shared" ca="1" si="232"/>
        <v>5.6808529874907622E-2</v>
      </c>
      <c r="I746">
        <f t="shared" ca="1" si="233"/>
        <v>-0.21278562723221975</v>
      </c>
      <c r="J746">
        <f t="shared" ca="1" si="234"/>
        <v>1.9801795521724195</v>
      </c>
      <c r="K746">
        <f t="shared" ca="1" si="235"/>
        <v>1.3496441811792899</v>
      </c>
      <c r="L746">
        <f t="shared" ca="1" si="236"/>
        <v>1.7548846702544989</v>
      </c>
      <c r="M746">
        <f t="shared" ca="1" si="237"/>
        <v>6.1695611284474515E-4</v>
      </c>
      <c r="N746">
        <f t="shared" ca="1" si="238"/>
        <v>2.3477318648140823E-2</v>
      </c>
      <c r="O746">
        <f t="shared" ca="1" si="239"/>
        <v>-0.53562410460065091</v>
      </c>
      <c r="P746">
        <f t="shared" ca="1" si="240"/>
        <v>5.4770544042359157</v>
      </c>
      <c r="Q746">
        <f t="shared" ca="1" si="241"/>
        <v>0.89382454555594326</v>
      </c>
      <c r="R746">
        <f t="shared" ca="1" si="242"/>
        <v>1.4619723547501451</v>
      </c>
      <c r="T746">
        <f t="shared" si="243"/>
        <v>1.1019680305428556</v>
      </c>
      <c r="U746" s="6">
        <f t="shared" ca="1" si="244"/>
        <v>1.166639097257683</v>
      </c>
      <c r="V746">
        <f t="shared" ca="1" si="245"/>
        <v>1.5191370328037221</v>
      </c>
      <c r="X746" t="b">
        <f t="shared" ca="1" si="246"/>
        <v>0</v>
      </c>
      <c r="BJ746" t="b">
        <f t="shared" si="227"/>
        <v>1</v>
      </c>
      <c r="BK746" t="b">
        <f t="shared" ca="1" si="228"/>
        <v>0</v>
      </c>
    </row>
    <row r="747" spans="1:63" x14ac:dyDescent="0.45">
      <c r="A747" s="1">
        <v>44152</v>
      </c>
      <c r="B747">
        <v>147.203</v>
      </c>
      <c r="C747" s="1">
        <v>44152</v>
      </c>
      <c r="D747">
        <v>360.62</v>
      </c>
      <c r="E747">
        <f t="shared" si="229"/>
        <v>8.2136293464676921E-2</v>
      </c>
      <c r="F747" s="4">
        <f t="shared" si="230"/>
        <v>-5.378271782000686E-3</v>
      </c>
      <c r="G747">
        <f t="shared" ca="1" si="231"/>
        <v>6.2547163467733102E-3</v>
      </c>
      <c r="H747">
        <f t="shared" ca="1" si="232"/>
        <v>5.7812584747281522E-2</v>
      </c>
      <c r="I747">
        <f t="shared" ca="1" si="233"/>
        <v>-0.30382524434363156</v>
      </c>
      <c r="J747">
        <f t="shared" ca="1" si="234"/>
        <v>2.0504906511756475</v>
      </c>
      <c r="K747">
        <f t="shared" ca="1" si="235"/>
        <v>1.3249295902844644</v>
      </c>
      <c r="L747">
        <f t="shared" ca="1" si="236"/>
        <v>1.6095650490818429</v>
      </c>
      <c r="M747">
        <f t="shared" ca="1" si="237"/>
        <v>7.3487048711894825E-4</v>
      </c>
      <c r="N747">
        <f t="shared" ca="1" si="238"/>
        <v>2.3472677797201923E-2</v>
      </c>
      <c r="O747">
        <f t="shared" ca="1" si="239"/>
        <v>-0.54985716123211492</v>
      </c>
      <c r="P747">
        <f t="shared" ca="1" si="240"/>
        <v>5.4947202153128201</v>
      </c>
      <c r="Q747">
        <f t="shared" ca="1" si="241"/>
        <v>0.89382454555594326</v>
      </c>
      <c r="R747">
        <f t="shared" ca="1" si="242"/>
        <v>1.5679730455119714</v>
      </c>
      <c r="T747">
        <f t="shared" si="243"/>
        <v>1.082136293464677</v>
      </c>
      <c r="U747" s="6">
        <f t="shared" ca="1" si="244"/>
        <v>1.0761475871245074</v>
      </c>
      <c r="V747">
        <f t="shared" ca="1" si="245"/>
        <v>1.5216238102527209</v>
      </c>
      <c r="X747" t="b">
        <f t="shared" ca="1" si="246"/>
        <v>0</v>
      </c>
      <c r="BJ747" t="b">
        <f t="shared" si="227"/>
        <v>1</v>
      </c>
      <c r="BK747" t="b">
        <f t="shared" ca="1" si="228"/>
        <v>0</v>
      </c>
    </row>
    <row r="748" spans="1:63" x14ac:dyDescent="0.45">
      <c r="A748" s="1">
        <v>44151</v>
      </c>
      <c r="B748">
        <v>136.03</v>
      </c>
      <c r="C748" s="1">
        <v>44151</v>
      </c>
      <c r="D748">
        <v>362.57</v>
      </c>
      <c r="E748">
        <f t="shared" si="229"/>
        <v>-1.0061174880844879E-3</v>
      </c>
      <c r="F748" s="4">
        <f t="shared" si="230"/>
        <v>1.248254677464387E-2</v>
      </c>
      <c r="G748">
        <f t="shared" ca="1" si="231"/>
        <v>6.5303137256037726E-3</v>
      </c>
      <c r="H748">
        <f t="shared" ca="1" si="232"/>
        <v>5.8305415222309212E-2</v>
      </c>
      <c r="I748">
        <f t="shared" ca="1" si="233"/>
        <v>-0.26412690653746923</v>
      </c>
      <c r="J748">
        <f t="shared" ca="1" si="234"/>
        <v>2.0024358406780927</v>
      </c>
      <c r="K748">
        <f t="shared" ca="1" si="235"/>
        <v>1.342735331966598</v>
      </c>
      <c r="L748">
        <f t="shared" ca="1" si="236"/>
        <v>1.6095650490818429</v>
      </c>
      <c r="M748">
        <f t="shared" ca="1" si="237"/>
        <v>8.3796818935858287E-4</v>
      </c>
      <c r="N748">
        <f t="shared" ca="1" si="238"/>
        <v>2.349096835359793E-2</v>
      </c>
      <c r="O748">
        <f t="shared" ca="1" si="239"/>
        <v>-0.56058853545809428</v>
      </c>
      <c r="P748">
        <f t="shared" ca="1" si="240"/>
        <v>5.4788034756829314</v>
      </c>
      <c r="Q748">
        <f t="shared" ca="1" si="241"/>
        <v>0.89382454555594326</v>
      </c>
      <c r="R748">
        <f t="shared" ca="1" si="242"/>
        <v>1.5717770072977018</v>
      </c>
      <c r="T748">
        <f t="shared" si="243"/>
        <v>0.99899388251191557</v>
      </c>
      <c r="U748" s="6">
        <f t="shared" ca="1" si="244"/>
        <v>0.96873664720125363</v>
      </c>
      <c r="V748">
        <f t="shared" ca="1" si="245"/>
        <v>1.5191329246006466</v>
      </c>
      <c r="X748" t="b">
        <f t="shared" ca="1" si="246"/>
        <v>1</v>
      </c>
      <c r="BJ748" t="b">
        <f t="shared" si="227"/>
        <v>1</v>
      </c>
      <c r="BK748" t="b">
        <f t="shared" ca="1" si="228"/>
        <v>1</v>
      </c>
    </row>
    <row r="749" spans="1:63" x14ac:dyDescent="0.45">
      <c r="A749" s="1">
        <v>44148</v>
      </c>
      <c r="B749">
        <v>136.167</v>
      </c>
      <c r="C749" s="1">
        <v>44148</v>
      </c>
      <c r="D749">
        <v>358.1</v>
      </c>
      <c r="E749">
        <f t="shared" si="229"/>
        <v>-7.9123953574784123E-3</v>
      </c>
      <c r="F749" s="4">
        <f t="shared" si="230"/>
        <v>1.3844455140001821E-2</v>
      </c>
      <c r="G749">
        <f t="shared" ca="1" si="231"/>
        <v>7.5300919918087237E-3</v>
      </c>
      <c r="H749">
        <f t="shared" ca="1" si="232"/>
        <v>5.9868919432909166E-2</v>
      </c>
      <c r="I749">
        <f t="shared" ca="1" si="233"/>
        <v>-0.12604770644955304</v>
      </c>
      <c r="J749">
        <f t="shared" ca="1" si="234"/>
        <v>2.0548810600509206</v>
      </c>
      <c r="K749">
        <f t="shared" ca="1" si="235"/>
        <v>1.3761604570571917</v>
      </c>
      <c r="L749">
        <f t="shared" ca="1" si="236"/>
        <v>1.6939325239048313</v>
      </c>
      <c r="M749">
        <f t="shared" ca="1" si="237"/>
        <v>8.1269840143382926E-4</v>
      </c>
      <c r="N749">
        <f t="shared" ca="1" si="238"/>
        <v>2.3481095315517054E-2</v>
      </c>
      <c r="O749">
        <f t="shared" ca="1" si="239"/>
        <v>-0.55854163675378155</v>
      </c>
      <c r="P749">
        <f t="shared" ca="1" si="240"/>
        <v>5.4904083078520189</v>
      </c>
      <c r="Q749">
        <f t="shared" ca="1" si="241"/>
        <v>0.89382454555594326</v>
      </c>
      <c r="R749">
        <f t="shared" ca="1" si="242"/>
        <v>1.5679730455119714</v>
      </c>
      <c r="T749">
        <f t="shared" si="243"/>
        <v>0.99208760464252155</v>
      </c>
      <c r="U749" s="6">
        <f t="shared" ca="1" si="244"/>
        <v>0.95011059399792064</v>
      </c>
      <c r="V749">
        <f t="shared" ca="1" si="245"/>
        <v>1.5048676667546772</v>
      </c>
      <c r="X749" t="b">
        <f t="shared" ca="1" si="246"/>
        <v>1</v>
      </c>
      <c r="BJ749" t="b">
        <f t="shared" si="227"/>
        <v>1</v>
      </c>
      <c r="BK749" t="b">
        <f t="shared" ca="1" si="228"/>
        <v>1</v>
      </c>
    </row>
    <row r="750" spans="1:63" x14ac:dyDescent="0.45">
      <c r="A750" s="1">
        <v>44147</v>
      </c>
      <c r="B750">
        <v>137.25299999999999</v>
      </c>
      <c r="C750" s="1">
        <v>44147</v>
      </c>
      <c r="D750">
        <v>353.21</v>
      </c>
      <c r="E750">
        <f t="shared" si="229"/>
        <v>-1.2873715325475E-2</v>
      </c>
      <c r="F750" s="4">
        <f t="shared" si="230"/>
        <v>-9.700843917346668E-3</v>
      </c>
      <c r="G750">
        <f t="shared" ca="1" si="231"/>
        <v>7.6457997246347576E-3</v>
      </c>
      <c r="H750">
        <f t="shared" ca="1" si="232"/>
        <v>5.9861286167345616E-2</v>
      </c>
      <c r="I750">
        <f t="shared" ca="1" si="233"/>
        <v>-0.13185536506682177</v>
      </c>
      <c r="J750">
        <f t="shared" ca="1" si="234"/>
        <v>2.0584787563618594</v>
      </c>
      <c r="K750">
        <f t="shared" ca="1" si="235"/>
        <v>1.3761604570571917</v>
      </c>
      <c r="L750">
        <f t="shared" ca="1" si="236"/>
        <v>1.6939325239048313</v>
      </c>
      <c r="M750">
        <f t="shared" ca="1" si="237"/>
        <v>6.5268633081194498E-4</v>
      </c>
      <c r="N750">
        <f t="shared" ca="1" si="238"/>
        <v>2.3500876065298833E-2</v>
      </c>
      <c r="O750">
        <f t="shared" ca="1" si="239"/>
        <v>-0.54003496224318281</v>
      </c>
      <c r="P750">
        <f t="shared" ca="1" si="240"/>
        <v>5.4481210599863532</v>
      </c>
      <c r="Q750">
        <f t="shared" ca="1" si="241"/>
        <v>0.89382454555594326</v>
      </c>
      <c r="R750">
        <f t="shared" ca="1" si="242"/>
        <v>1.4233090723961239</v>
      </c>
      <c r="T750">
        <f t="shared" si="243"/>
        <v>0.98712628467452501</v>
      </c>
      <c r="U750" s="6">
        <f t="shared" ca="1" si="244"/>
        <v>0.93989591179894538</v>
      </c>
      <c r="V750">
        <f t="shared" ca="1" si="245"/>
        <v>1.5001413416032654</v>
      </c>
      <c r="X750" t="b">
        <f t="shared" ca="1" si="246"/>
        <v>1</v>
      </c>
      <c r="BJ750" t="b">
        <f t="shared" si="227"/>
        <v>1</v>
      </c>
      <c r="BK750" t="b">
        <f t="shared" ca="1" si="228"/>
        <v>1</v>
      </c>
    </row>
    <row r="751" spans="1:63" x14ac:dyDescent="0.45">
      <c r="A751" s="1">
        <v>44146</v>
      </c>
      <c r="B751">
        <v>139.04300000000001</v>
      </c>
      <c r="C751" s="1">
        <v>44146</v>
      </c>
      <c r="D751">
        <v>356.67</v>
      </c>
      <c r="E751">
        <f t="shared" si="229"/>
        <v>1.6492795367980876E-2</v>
      </c>
      <c r="F751" s="4">
        <f t="shared" si="230"/>
        <v>7.4285391481188432E-3</v>
      </c>
      <c r="G751">
        <f t="shared" ca="1" si="231"/>
        <v>8.2249787843939551E-3</v>
      </c>
      <c r="H751">
        <f t="shared" ca="1" si="232"/>
        <v>6.0221050052706851E-2</v>
      </c>
      <c r="I751">
        <f t="shared" ca="1" si="233"/>
        <v>-0.13832401848045076</v>
      </c>
      <c r="J751">
        <f t="shared" ca="1" si="234"/>
        <v>1.9748854613335141</v>
      </c>
      <c r="K751">
        <f t="shared" ca="1" si="235"/>
        <v>1.3761604570571917</v>
      </c>
      <c r="L751">
        <f t="shared" ca="1" si="236"/>
        <v>1.728746814505792</v>
      </c>
      <c r="M751">
        <f t="shared" ca="1" si="237"/>
        <v>7.1741735831001288E-4</v>
      </c>
      <c r="N751">
        <f t="shared" ca="1" si="238"/>
        <v>2.3490041977265605E-2</v>
      </c>
      <c r="O751">
        <f t="shared" ca="1" si="239"/>
        <v>-0.5486916366304283</v>
      </c>
      <c r="P751">
        <f t="shared" ca="1" si="240"/>
        <v>5.4697313424138132</v>
      </c>
      <c r="Q751">
        <f t="shared" ca="1" si="241"/>
        <v>0.89382454555594326</v>
      </c>
      <c r="R751">
        <f t="shared" ca="1" si="242"/>
        <v>1.5265064716843939</v>
      </c>
      <c r="T751">
        <f t="shared" si="243"/>
        <v>1.016492795367981</v>
      </c>
      <c r="U751" s="6">
        <f t="shared" ca="1" si="244"/>
        <v>0.99084994334661192</v>
      </c>
      <c r="V751">
        <f t="shared" ca="1" si="245"/>
        <v>1.5074649616265869</v>
      </c>
      <c r="X751" t="b">
        <f t="shared" ca="1" si="246"/>
        <v>1</v>
      </c>
      <c r="BJ751" t="b">
        <f t="shared" si="227"/>
        <v>1</v>
      </c>
      <c r="BK751" t="b">
        <f t="shared" ca="1" si="228"/>
        <v>1</v>
      </c>
    </row>
    <row r="752" spans="1:63" x14ac:dyDescent="0.45">
      <c r="A752" s="1">
        <v>44145</v>
      </c>
      <c r="B752">
        <v>136.78700000000001</v>
      </c>
      <c r="C752" s="1">
        <v>44145</v>
      </c>
      <c r="D752">
        <v>354.04</v>
      </c>
      <c r="E752">
        <f t="shared" si="229"/>
        <v>-2.5872382851445531E-2</v>
      </c>
      <c r="F752" s="4">
        <f t="shared" si="230"/>
        <v>-1.4666064981948945E-3</v>
      </c>
      <c r="G752">
        <f t="shared" ca="1" si="231"/>
        <v>8.2667960955072062E-3</v>
      </c>
      <c r="H752">
        <f t="shared" ca="1" si="232"/>
        <v>6.0229723205584493E-2</v>
      </c>
      <c r="I752">
        <f t="shared" ca="1" si="233"/>
        <v>-0.14027446054066214</v>
      </c>
      <c r="J752">
        <f t="shared" ca="1" si="234"/>
        <v>1.9724169367171491</v>
      </c>
      <c r="K752">
        <f t="shared" ca="1" si="235"/>
        <v>1.3761604570571917</v>
      </c>
      <c r="L752">
        <f t="shared" ca="1" si="236"/>
        <v>1.728746814505792</v>
      </c>
      <c r="M752">
        <f t="shared" ca="1" si="237"/>
        <v>6.7614483296312951E-4</v>
      </c>
      <c r="N752">
        <f t="shared" ca="1" si="238"/>
        <v>2.3485442357059554E-2</v>
      </c>
      <c r="O752">
        <f t="shared" ca="1" si="239"/>
        <v>-0.54380860654825547</v>
      </c>
      <c r="P752">
        <f t="shared" ca="1" si="240"/>
        <v>5.4724505000150616</v>
      </c>
      <c r="Q752">
        <f t="shared" ca="1" si="241"/>
        <v>0.89382454555594326</v>
      </c>
      <c r="R752">
        <f t="shared" ca="1" si="242"/>
        <v>1.5265064716843939</v>
      </c>
      <c r="T752">
        <f t="shared" si="243"/>
        <v>0.97412761714855445</v>
      </c>
      <c r="U752" s="6">
        <f t="shared" ca="1" si="244"/>
        <v>0.9680608634111818</v>
      </c>
      <c r="V752">
        <f t="shared" ca="1" si="245"/>
        <v>1.5220329065304217</v>
      </c>
      <c r="X752" t="b">
        <f t="shared" ca="1" si="246"/>
        <v>1</v>
      </c>
      <c r="BJ752" t="b">
        <f t="shared" si="227"/>
        <v>1</v>
      </c>
      <c r="BK752" t="b">
        <f t="shared" ca="1" si="228"/>
        <v>1</v>
      </c>
    </row>
    <row r="753" spans="1:63" x14ac:dyDescent="0.45">
      <c r="A753" s="1">
        <v>44144</v>
      </c>
      <c r="B753">
        <v>140.41999999999999</v>
      </c>
      <c r="C753" s="1">
        <v>44144</v>
      </c>
      <c r="D753">
        <v>354.56</v>
      </c>
      <c r="E753">
        <f t="shared" si="229"/>
        <v>-2.0213931354968493E-2</v>
      </c>
      <c r="F753" s="4">
        <f t="shared" si="230"/>
        <v>1.2565684258624563E-2</v>
      </c>
      <c r="G753">
        <f t="shared" ca="1" si="231"/>
        <v>8.475725121666439E-3</v>
      </c>
      <c r="H753">
        <f t="shared" ca="1" si="232"/>
        <v>6.0183160511173367E-2</v>
      </c>
      <c r="I753">
        <f t="shared" ca="1" si="233"/>
        <v>-0.15018328396395519</v>
      </c>
      <c r="J753">
        <f t="shared" ca="1" si="234"/>
        <v>1.9894833045860922</v>
      </c>
      <c r="K753">
        <f t="shared" ca="1" si="235"/>
        <v>1.3761604570571917</v>
      </c>
      <c r="L753">
        <f t="shared" ca="1" si="236"/>
        <v>1.7909516705743085</v>
      </c>
      <c r="M753">
        <f t="shared" ca="1" si="237"/>
        <v>7.3587353778795204E-4</v>
      </c>
      <c r="N753">
        <f t="shared" ca="1" si="238"/>
        <v>2.3495153809887502E-2</v>
      </c>
      <c r="O753">
        <f t="shared" ca="1" si="239"/>
        <v>-0.55046558726859263</v>
      </c>
      <c r="P753">
        <f t="shared" ca="1" si="240"/>
        <v>5.4642034024155377</v>
      </c>
      <c r="Q753">
        <f t="shared" ca="1" si="241"/>
        <v>0.89382454555594326</v>
      </c>
      <c r="R753">
        <f t="shared" ca="1" si="242"/>
        <v>1.5265064716843939</v>
      </c>
      <c r="T753">
        <f t="shared" si="243"/>
        <v>0.97978606864503148</v>
      </c>
      <c r="U753" s="6">
        <f t="shared" ca="1" si="244"/>
        <v>1.0518115697774582</v>
      </c>
      <c r="V753">
        <f t="shared" ca="1" si="245"/>
        <v>1.5318502979790432</v>
      </c>
      <c r="X753" t="b">
        <f t="shared" ca="1" si="246"/>
        <v>0</v>
      </c>
      <c r="BJ753" t="b">
        <f t="shared" si="227"/>
        <v>1</v>
      </c>
      <c r="BK753" t="b">
        <f t="shared" ca="1" si="228"/>
        <v>0</v>
      </c>
    </row>
    <row r="754" spans="1:63" x14ac:dyDescent="0.45">
      <c r="A754" s="1">
        <v>44141</v>
      </c>
      <c r="B754">
        <v>143.31700000000001</v>
      </c>
      <c r="C754" s="1">
        <v>44141</v>
      </c>
      <c r="D754">
        <v>350.16</v>
      </c>
      <c r="E754">
        <f t="shared" si="229"/>
        <v>-1.8578374306649277E-2</v>
      </c>
      <c r="F754" s="4">
        <f t="shared" si="230"/>
        <v>-2.2841480127907743E-4</v>
      </c>
      <c r="G754">
        <f t="shared" ca="1" si="231"/>
        <v>8.5165898106683343E-3</v>
      </c>
      <c r="H754">
        <f t="shared" ca="1" si="232"/>
        <v>6.0166354576648262E-2</v>
      </c>
      <c r="I754">
        <f t="shared" ca="1" si="233"/>
        <v>-0.15201826918901643</v>
      </c>
      <c r="J754">
        <f t="shared" ca="1" si="234"/>
        <v>1.9953323412175417</v>
      </c>
      <c r="K754">
        <f t="shared" ca="1" si="235"/>
        <v>1.3761604570571917</v>
      </c>
      <c r="L754">
        <f t="shared" ca="1" si="236"/>
        <v>1.7909516705743085</v>
      </c>
      <c r="M754">
        <f t="shared" ca="1" si="237"/>
        <v>5.9289790111629746E-4</v>
      </c>
      <c r="N754">
        <f t="shared" ca="1" si="238"/>
        <v>2.3509804569725182E-2</v>
      </c>
      <c r="O754">
        <f t="shared" ca="1" si="239"/>
        <v>-0.53349546709220552</v>
      </c>
      <c r="P754">
        <f t="shared" ca="1" si="240"/>
        <v>5.4305476144022711</v>
      </c>
      <c r="Q754">
        <f t="shared" ca="1" si="241"/>
        <v>0.89382454555594326</v>
      </c>
      <c r="R754">
        <f t="shared" ca="1" si="242"/>
        <v>1.379394662060905</v>
      </c>
      <c r="T754">
        <f t="shared" si="243"/>
        <v>0.98142162569335067</v>
      </c>
      <c r="U754" s="6">
        <f t="shared" ca="1" si="244"/>
        <v>1.1080040511183098</v>
      </c>
      <c r="V754">
        <f t="shared" ca="1" si="245"/>
        <v>1.5509792163611853</v>
      </c>
      <c r="X754" t="b">
        <f t="shared" ca="1" si="246"/>
        <v>0</v>
      </c>
      <c r="BJ754" t="b">
        <f t="shared" si="227"/>
        <v>1</v>
      </c>
      <c r="BK754" t="b">
        <f t="shared" ca="1" si="228"/>
        <v>0</v>
      </c>
    </row>
    <row r="755" spans="1:63" x14ac:dyDescent="0.45">
      <c r="A755" s="1">
        <v>44140</v>
      </c>
      <c r="B755">
        <v>146.03</v>
      </c>
      <c r="C755" s="1">
        <v>44140</v>
      </c>
      <c r="D755">
        <v>350.24</v>
      </c>
      <c r="E755">
        <f t="shared" si="229"/>
        <v>4.0640789014231064E-2</v>
      </c>
      <c r="F755" s="4">
        <f t="shared" si="230"/>
        <v>1.9502823543109938E-2</v>
      </c>
      <c r="G755">
        <f t="shared" ca="1" si="231"/>
        <v>8.5449937972731302E-3</v>
      </c>
      <c r="H755">
        <f t="shared" ca="1" si="232"/>
        <v>6.0154838837907995E-2</v>
      </c>
      <c r="I755">
        <f t="shared" ca="1" si="233"/>
        <v>-0.15330158886363099</v>
      </c>
      <c r="J755">
        <f t="shared" ca="1" si="234"/>
        <v>1.9993576671374695</v>
      </c>
      <c r="K755">
        <f t="shared" ca="1" si="235"/>
        <v>1.3761604570571917</v>
      </c>
      <c r="L755">
        <f t="shared" ca="1" si="236"/>
        <v>1.7909516705743085</v>
      </c>
      <c r="M755">
        <f t="shared" ca="1" si="237"/>
        <v>5.4957476349843065E-4</v>
      </c>
      <c r="N755">
        <f t="shared" ca="1" si="238"/>
        <v>2.3519307197496557E-2</v>
      </c>
      <c r="O755">
        <f t="shared" ca="1" si="239"/>
        <v>-0.52759998778618877</v>
      </c>
      <c r="P755">
        <f t="shared" ca="1" si="240"/>
        <v>5.4130067206408077</v>
      </c>
      <c r="Q755">
        <f t="shared" ca="1" si="241"/>
        <v>0.89382454555594326</v>
      </c>
      <c r="R755">
        <f t="shared" ca="1" si="242"/>
        <v>1.3515723585097772</v>
      </c>
      <c r="T755">
        <f t="shared" si="243"/>
        <v>1.0406407890142311</v>
      </c>
      <c r="U755" s="6">
        <f t="shared" ca="1" si="244"/>
        <v>1.0663560751553567</v>
      </c>
      <c r="V755">
        <f t="shared" ca="1" si="245"/>
        <v>1.5231592540425698</v>
      </c>
      <c r="X755" t="b">
        <f t="shared" ca="1" si="246"/>
        <v>0</v>
      </c>
      <c r="BJ755" t="b">
        <f t="shared" si="227"/>
        <v>1</v>
      </c>
      <c r="BK755" t="b">
        <f t="shared" ca="1" si="228"/>
        <v>0</v>
      </c>
    </row>
    <row r="756" spans="1:63" x14ac:dyDescent="0.45">
      <c r="A756" s="1">
        <v>44139</v>
      </c>
      <c r="B756">
        <v>140.327</v>
      </c>
      <c r="C756" s="1">
        <v>44139</v>
      </c>
      <c r="D756">
        <v>343.54</v>
      </c>
      <c r="E756">
        <f t="shared" si="229"/>
        <v>-6.886058032554941E-3</v>
      </c>
      <c r="F756" s="4">
        <f t="shared" si="230"/>
        <v>2.2349195012350231E-2</v>
      </c>
      <c r="G756">
        <f t="shared" ca="1" si="231"/>
        <v>8.3649656166730028E-3</v>
      </c>
      <c r="H756">
        <f t="shared" ca="1" si="232"/>
        <v>6.0112164307282445E-2</v>
      </c>
      <c r="I756">
        <f t="shared" ca="1" si="233"/>
        <v>-0.14532694216263561</v>
      </c>
      <c r="J756">
        <f t="shared" ca="1" si="234"/>
        <v>2.0114467897292538</v>
      </c>
      <c r="K756">
        <f t="shared" ca="1" si="235"/>
        <v>1.3761604570571917</v>
      </c>
      <c r="L756">
        <f t="shared" ca="1" si="236"/>
        <v>1.7548846702544989</v>
      </c>
      <c r="M756">
        <f t="shared" ca="1" si="237"/>
        <v>4.5779493684342432E-4</v>
      </c>
      <c r="N756">
        <f t="shared" ca="1" si="238"/>
        <v>2.3480757737327336E-2</v>
      </c>
      <c r="O756">
        <f t="shared" ca="1" si="239"/>
        <v>-0.52102752583643275</v>
      </c>
      <c r="P756">
        <f t="shared" ca="1" si="240"/>
        <v>5.4580876963059231</v>
      </c>
      <c r="Q756">
        <f t="shared" ca="1" si="241"/>
        <v>0.89382454555594326</v>
      </c>
      <c r="R756">
        <f t="shared" ca="1" si="242"/>
        <v>1.2976160629683635</v>
      </c>
      <c r="T756">
        <f t="shared" si="243"/>
        <v>0.99311394196744507</v>
      </c>
      <c r="U756" s="6">
        <f t="shared" ca="1" si="244"/>
        <v>1.0368479385251961</v>
      </c>
      <c r="V756">
        <f t="shared" ca="1" si="245"/>
        <v>1.5478143520933694</v>
      </c>
      <c r="X756" t="b">
        <f t="shared" ca="1" si="246"/>
        <v>0</v>
      </c>
      <c r="BJ756" t="b">
        <f t="shared" si="227"/>
        <v>1</v>
      </c>
      <c r="BK756" t="b">
        <f t="shared" ca="1" si="228"/>
        <v>0</v>
      </c>
    </row>
    <row r="757" spans="1:63" x14ac:dyDescent="0.45">
      <c r="A757" s="1">
        <v>44138</v>
      </c>
      <c r="B757">
        <v>141.30000000000001</v>
      </c>
      <c r="C757" s="1">
        <v>44138</v>
      </c>
      <c r="D757">
        <v>336.03</v>
      </c>
      <c r="E757">
        <f t="shared" si="229"/>
        <v>5.8403181950967588E-2</v>
      </c>
      <c r="F757" s="4">
        <f t="shared" si="230"/>
        <v>1.7655966081162884E-2</v>
      </c>
      <c r="G757">
        <f t="shared" ca="1" si="231"/>
        <v>8.6037133410463047E-3</v>
      </c>
      <c r="H757">
        <f t="shared" ca="1" si="232"/>
        <v>6.0146101320526564E-2</v>
      </c>
      <c r="I757">
        <f t="shared" ca="1" si="233"/>
        <v>-0.15622634872883154</v>
      </c>
      <c r="J757">
        <f t="shared" ca="1" si="234"/>
        <v>2.0028959643788742</v>
      </c>
      <c r="K757">
        <f t="shared" ca="1" si="235"/>
        <v>1.3761604570571917</v>
      </c>
      <c r="L757">
        <f t="shared" ca="1" si="236"/>
        <v>1.7909516705743085</v>
      </c>
      <c r="M757">
        <f t="shared" ca="1" si="237"/>
        <v>3.4665264424469717E-4</v>
      </c>
      <c r="N757">
        <f t="shared" ca="1" si="238"/>
        <v>2.3429168404073476E-2</v>
      </c>
      <c r="O757">
        <f t="shared" ca="1" si="239"/>
        <v>-0.51424237396490258</v>
      </c>
      <c r="P757">
        <f t="shared" ca="1" si="240"/>
        <v>5.5191924746986176</v>
      </c>
      <c r="Q757">
        <f t="shared" ca="1" si="241"/>
        <v>0.89382454555594326</v>
      </c>
      <c r="R757">
        <f t="shared" ca="1" si="242"/>
        <v>1.2613520396338933</v>
      </c>
      <c r="T757">
        <f t="shared" si="243"/>
        <v>1.0584031819509676</v>
      </c>
      <c r="U757" s="6">
        <f t="shared" ca="1" si="244"/>
        <v>0.99816332297259125</v>
      </c>
      <c r="V757">
        <f t="shared" ca="1" si="245"/>
        <v>1.5330447347192036</v>
      </c>
      <c r="X757" t="b">
        <f t="shared" ca="1" si="246"/>
        <v>1</v>
      </c>
      <c r="BJ757" t="b">
        <f t="shared" si="227"/>
        <v>1</v>
      </c>
      <c r="BK757" t="b">
        <f t="shared" ca="1" si="228"/>
        <v>1</v>
      </c>
    </row>
    <row r="758" spans="1:63" x14ac:dyDescent="0.45">
      <c r="A758" s="1">
        <v>44137</v>
      </c>
      <c r="B758">
        <v>133.50299999999999</v>
      </c>
      <c r="C758" s="1">
        <v>44137</v>
      </c>
      <c r="D758">
        <v>330.2</v>
      </c>
      <c r="E758">
        <f t="shared" si="229"/>
        <v>3.2130625372061024E-2</v>
      </c>
      <c r="F758" s="4">
        <f t="shared" si="230"/>
        <v>1.1208427757701868E-2</v>
      </c>
      <c r="G758">
        <f t="shared" ca="1" si="231"/>
        <v>8.6711541986340384E-3</v>
      </c>
      <c r="H758">
        <f t="shared" ca="1" si="232"/>
        <v>6.0209749622572854E-2</v>
      </c>
      <c r="I758">
        <f t="shared" ca="1" si="233"/>
        <v>-0.15610288815663761</v>
      </c>
      <c r="J758">
        <f t="shared" ca="1" si="234"/>
        <v>1.9861859624093885</v>
      </c>
      <c r="K758">
        <f t="shared" ca="1" si="235"/>
        <v>1.3761604570571917</v>
      </c>
      <c r="L758">
        <f t="shared" ca="1" si="236"/>
        <v>1.7909516705743085</v>
      </c>
      <c r="M758">
        <f t="shared" ca="1" si="237"/>
        <v>2.4858218271973833E-4</v>
      </c>
      <c r="N758">
        <f t="shared" ca="1" si="238"/>
        <v>2.3397379550915382E-2</v>
      </c>
      <c r="O758">
        <f t="shared" ca="1" si="239"/>
        <v>-0.50569964530835942</v>
      </c>
      <c r="P758">
        <f t="shared" ca="1" si="240"/>
        <v>5.5555243470969886</v>
      </c>
      <c r="Q758">
        <f t="shared" ca="1" si="241"/>
        <v>0.89382454555594326</v>
      </c>
      <c r="R758">
        <f t="shared" ca="1" si="242"/>
        <v>1.2300243288325552</v>
      </c>
      <c r="T758">
        <f t="shared" si="243"/>
        <v>1.032130625372061</v>
      </c>
      <c r="U758" s="6">
        <f t="shared" ca="1" si="244"/>
        <v>0.952959819548443</v>
      </c>
      <c r="V758">
        <f t="shared" ca="1" si="245"/>
        <v>1.5299957323753057</v>
      </c>
      <c r="X758" t="b">
        <f t="shared" ca="1" si="246"/>
        <v>1</v>
      </c>
      <c r="BJ758" t="b">
        <f t="shared" si="227"/>
        <v>1</v>
      </c>
      <c r="BK758" t="b">
        <f t="shared" ca="1" si="228"/>
        <v>1</v>
      </c>
    </row>
    <row r="759" spans="1:63" x14ac:dyDescent="0.45">
      <c r="A759" s="1">
        <v>44134</v>
      </c>
      <c r="B759">
        <v>129.34700000000001</v>
      </c>
      <c r="C759" s="1">
        <v>44134</v>
      </c>
      <c r="D759">
        <v>326.54000000000002</v>
      </c>
      <c r="E759">
        <f t="shared" si="229"/>
        <v>-5.546833354023209E-2</v>
      </c>
      <c r="F759" s="4">
        <f t="shared" si="230"/>
        <v>-1.0424874234802102E-2</v>
      </c>
      <c r="G759">
        <f t="shared" ca="1" si="231"/>
        <v>8.4813768718128776E-3</v>
      </c>
      <c r="H759">
        <f t="shared" ca="1" si="232"/>
        <v>6.0195250148433216E-2</v>
      </c>
      <c r="I759">
        <f t="shared" ca="1" si="233"/>
        <v>-0.14703340515649169</v>
      </c>
      <c r="J759">
        <f t="shared" ca="1" si="234"/>
        <v>1.9889806051288534</v>
      </c>
      <c r="K759">
        <f t="shared" ca="1" si="235"/>
        <v>1.3761604570571917</v>
      </c>
      <c r="L759">
        <f t="shared" ca="1" si="236"/>
        <v>1.7909516705743085</v>
      </c>
      <c r="M759">
        <f t="shared" ca="1" si="237"/>
        <v>2.0810271768923635E-4</v>
      </c>
      <c r="N759">
        <f t="shared" ca="1" si="238"/>
        <v>2.3385322985053664E-2</v>
      </c>
      <c r="O759">
        <f t="shared" ca="1" si="239"/>
        <v>-0.50175000163553218</v>
      </c>
      <c r="P759">
        <f t="shared" ca="1" si="240"/>
        <v>5.5694642009105548</v>
      </c>
      <c r="Q759">
        <f t="shared" ca="1" si="241"/>
        <v>0.89382454555594326</v>
      </c>
      <c r="R759">
        <f t="shared" ca="1" si="242"/>
        <v>1.2196416227419389</v>
      </c>
      <c r="T759">
        <f t="shared" si="243"/>
        <v>0.94453166645976794</v>
      </c>
      <c r="U759" s="6">
        <f t="shared" ca="1" si="244"/>
        <v>0.9225233578204125</v>
      </c>
      <c r="V759">
        <f t="shared" ca="1" si="245"/>
        <v>1.5502096754999064</v>
      </c>
      <c r="X759" t="b">
        <f t="shared" ca="1" si="246"/>
        <v>1</v>
      </c>
      <c r="BJ759" t="b">
        <f t="shared" si="227"/>
        <v>1</v>
      </c>
      <c r="BK759" t="b">
        <f t="shared" ca="1" si="228"/>
        <v>1</v>
      </c>
    </row>
    <row r="760" spans="1:63" x14ac:dyDescent="0.45">
      <c r="A760" s="1">
        <v>44133</v>
      </c>
      <c r="B760">
        <v>136.94300000000001</v>
      </c>
      <c r="C760" s="1">
        <v>44133</v>
      </c>
      <c r="D760">
        <v>329.98</v>
      </c>
      <c r="E760">
        <f t="shared" si="229"/>
        <v>1.1844244125905191E-2</v>
      </c>
      <c r="F760" s="4">
        <f t="shared" si="230"/>
        <v>1.016347272393312E-2</v>
      </c>
      <c r="G760">
        <f t="shared" ca="1" si="231"/>
        <v>8.7104061463726627E-3</v>
      </c>
      <c r="H760">
        <f t="shared" ca="1" si="232"/>
        <v>6.0037647447497053E-2</v>
      </c>
      <c r="I760">
        <f t="shared" ca="1" si="233"/>
        <v>-0.15376021982120996</v>
      </c>
      <c r="J760">
        <f t="shared" ca="1" si="234"/>
        <v>2.0377357674090195</v>
      </c>
      <c r="K760">
        <f t="shared" ca="1" si="235"/>
        <v>1.3761604570571917</v>
      </c>
      <c r="L760">
        <f t="shared" ca="1" si="236"/>
        <v>1.804307480803006</v>
      </c>
      <c r="M760">
        <f t="shared" ca="1" si="237"/>
        <v>3.0181884973347464E-4</v>
      </c>
      <c r="N760">
        <f t="shared" ca="1" si="238"/>
        <v>2.3380053378103588E-2</v>
      </c>
      <c r="O760">
        <f t="shared" ca="1" si="239"/>
        <v>-0.51354667828835998</v>
      </c>
      <c r="P760">
        <f t="shared" ca="1" si="240"/>
        <v>5.5853891650336243</v>
      </c>
      <c r="Q760">
        <f t="shared" ca="1" si="241"/>
        <v>0.89382454555594326</v>
      </c>
      <c r="R760">
        <f t="shared" ca="1" si="242"/>
        <v>1.2447481138875038</v>
      </c>
      <c r="T760">
        <f t="shared" si="243"/>
        <v>1.0118442441259052</v>
      </c>
      <c r="U760" s="6">
        <f t="shared" ca="1" si="244"/>
        <v>0.96486296061438759</v>
      </c>
      <c r="V760">
        <f t="shared" ca="1" si="245"/>
        <v>1.5473725133410925</v>
      </c>
      <c r="X760" t="b">
        <f t="shared" ca="1" si="246"/>
        <v>1</v>
      </c>
      <c r="BJ760" t="b">
        <f t="shared" si="227"/>
        <v>1</v>
      </c>
      <c r="BK760" t="b">
        <f t="shared" ca="1" si="228"/>
        <v>1</v>
      </c>
    </row>
    <row r="761" spans="1:63" x14ac:dyDescent="0.45">
      <c r="A761" s="1">
        <v>44132</v>
      </c>
      <c r="B761">
        <v>135.34</v>
      </c>
      <c r="C761" s="1">
        <v>44132</v>
      </c>
      <c r="D761">
        <v>326.66000000000003</v>
      </c>
      <c r="E761">
        <f t="shared" si="229"/>
        <v>-4.3938965809550715E-2</v>
      </c>
      <c r="F761" s="4">
        <f t="shared" si="230"/>
        <v>-3.417893678670688E-2</v>
      </c>
      <c r="G761">
        <f t="shared" ca="1" si="231"/>
        <v>8.4706839400008459E-3</v>
      </c>
      <c r="H761">
        <f t="shared" ca="1" si="232"/>
        <v>6.0120731922598383E-2</v>
      </c>
      <c r="I761">
        <f t="shared" ca="1" si="233"/>
        <v>-0.1431431655733455</v>
      </c>
      <c r="J761">
        <f t="shared" ca="1" si="234"/>
        <v>2.0088637724055411</v>
      </c>
      <c r="K761">
        <f t="shared" ca="1" si="235"/>
        <v>1.3761604570571917</v>
      </c>
      <c r="L761">
        <f t="shared" ca="1" si="236"/>
        <v>1.7909516705743085</v>
      </c>
      <c r="M761">
        <f t="shared" ca="1" si="237"/>
        <v>2.6230092114205774E-4</v>
      </c>
      <c r="N761">
        <f t="shared" ca="1" si="238"/>
        <v>2.3369978355294987E-2</v>
      </c>
      <c r="O761">
        <f t="shared" ca="1" si="239"/>
        <v>-0.50946541268426815</v>
      </c>
      <c r="P761">
        <f t="shared" ca="1" si="240"/>
        <v>5.5965851121527654</v>
      </c>
      <c r="Q761">
        <f t="shared" ca="1" si="241"/>
        <v>0.89382454555594326</v>
      </c>
      <c r="R761">
        <f t="shared" ca="1" si="242"/>
        <v>1.2447481138875038</v>
      </c>
      <c r="T761">
        <f t="shared" si="243"/>
        <v>0.9560610341904493</v>
      </c>
      <c r="U761" s="6">
        <f t="shared" ca="1" si="244"/>
        <v>0.96067575241340164</v>
      </c>
      <c r="V761">
        <f t="shared" ca="1" si="245"/>
        <v>1.5659485934948147</v>
      </c>
      <c r="X761" t="b">
        <f t="shared" ca="1" si="246"/>
        <v>1</v>
      </c>
      <c r="BJ761" t="b">
        <f t="shared" si="227"/>
        <v>1</v>
      </c>
      <c r="BK761" t="b">
        <f t="shared" ca="1" si="228"/>
        <v>1</v>
      </c>
    </row>
    <row r="762" spans="1:63" x14ac:dyDescent="0.45">
      <c r="A762" s="1">
        <v>44131</v>
      </c>
      <c r="B762">
        <v>141.56</v>
      </c>
      <c r="C762" s="1">
        <v>44131</v>
      </c>
      <c r="D762">
        <v>338.22</v>
      </c>
      <c r="E762">
        <f t="shared" si="229"/>
        <v>1.0471615284132776E-2</v>
      </c>
      <c r="F762" s="4">
        <f t="shared" si="230"/>
        <v>-3.4473614425880525E-3</v>
      </c>
      <c r="G762">
        <f t="shared" ca="1" si="231"/>
        <v>8.8147832536687992E-3</v>
      </c>
      <c r="H762">
        <f t="shared" ca="1" si="232"/>
        <v>6.0016112652711839E-2</v>
      </c>
      <c r="I762">
        <f t="shared" ca="1" si="233"/>
        <v>-0.15778336450101216</v>
      </c>
      <c r="J762">
        <f t="shared" ca="1" si="234"/>
        <v>2.0447066533930389</v>
      </c>
      <c r="K762">
        <f t="shared" ca="1" si="235"/>
        <v>1.3761604570571917</v>
      </c>
      <c r="L762">
        <f t="shared" ca="1" si="236"/>
        <v>1.804307480803006</v>
      </c>
      <c r="M762">
        <f t="shared" ca="1" si="237"/>
        <v>4.2557249179612909E-4</v>
      </c>
      <c r="N762">
        <f t="shared" ca="1" si="238"/>
        <v>2.3241866194556628E-2</v>
      </c>
      <c r="O762">
        <f t="shared" ca="1" si="239"/>
        <v>-0.52270971425097357</v>
      </c>
      <c r="P762">
        <f t="shared" ca="1" si="240"/>
        <v>5.7784254082959086</v>
      </c>
      <c r="Q762">
        <f t="shared" ca="1" si="241"/>
        <v>0.9177232313390411</v>
      </c>
      <c r="R762">
        <f t="shared" ca="1" si="242"/>
        <v>1.3349989038342844</v>
      </c>
      <c r="T762">
        <f t="shared" si="243"/>
        <v>1.0104716152841329</v>
      </c>
      <c r="U762" s="6">
        <f t="shared" ca="1" si="244"/>
        <v>1.0064914288964573</v>
      </c>
      <c r="V762">
        <f t="shared" ca="1" si="245"/>
        <v>1.5538092913240038</v>
      </c>
      <c r="X762" t="b">
        <f t="shared" ca="1" si="246"/>
        <v>0</v>
      </c>
      <c r="BJ762" t="b">
        <f t="shared" si="227"/>
        <v>1</v>
      </c>
      <c r="BK762" t="b">
        <f t="shared" ca="1" si="228"/>
        <v>0</v>
      </c>
    </row>
    <row r="763" spans="1:63" x14ac:dyDescent="0.45">
      <c r="A763" s="1">
        <v>44130</v>
      </c>
      <c r="B763">
        <v>140.09299999999999</v>
      </c>
      <c r="C763" s="1">
        <v>44130</v>
      </c>
      <c r="D763">
        <v>339.39</v>
      </c>
      <c r="E763">
        <f t="shared" si="229"/>
        <v>-8.3446259182667882E-4</v>
      </c>
      <c r="F763" s="4">
        <f t="shared" si="230"/>
        <v>-1.8479958355023387E-2</v>
      </c>
      <c r="G763">
        <f t="shared" ca="1" si="231"/>
        <v>9.250869715108077E-3</v>
      </c>
      <c r="H763">
        <f t="shared" ca="1" si="232"/>
        <v>6.0344182518911188E-2</v>
      </c>
      <c r="I763">
        <f t="shared" ca="1" si="233"/>
        <v>-0.16090778676590436</v>
      </c>
      <c r="J763">
        <f t="shared" ca="1" si="234"/>
        <v>1.9636956179223954</v>
      </c>
      <c r="K763">
        <f t="shared" ca="1" si="235"/>
        <v>1.3761604570571917</v>
      </c>
      <c r="L763">
        <f t="shared" ca="1" si="236"/>
        <v>1.8642089326462419</v>
      </c>
      <c r="M763">
        <f t="shared" ca="1" si="237"/>
        <v>4.7719571637421085E-4</v>
      </c>
      <c r="N763">
        <f t="shared" ca="1" si="238"/>
        <v>2.3244686696361733E-2</v>
      </c>
      <c r="O763">
        <f t="shared" ca="1" si="239"/>
        <v>-0.52911734302244429</v>
      </c>
      <c r="P763">
        <f t="shared" ca="1" si="240"/>
        <v>5.7789353625532032</v>
      </c>
      <c r="Q763">
        <f t="shared" ca="1" si="241"/>
        <v>0.9177232313390411</v>
      </c>
      <c r="R763">
        <f t="shared" ca="1" si="242"/>
        <v>1.3349989038342844</v>
      </c>
      <c r="T763">
        <f t="shared" si="243"/>
        <v>0.99916553740817338</v>
      </c>
      <c r="U763" s="6">
        <f t="shared" ca="1" si="244"/>
        <v>0.97551006197339984</v>
      </c>
      <c r="V763">
        <f t="shared" ca="1" si="245"/>
        <v>1.538551853811609</v>
      </c>
      <c r="X763" t="b">
        <f t="shared" ca="1" si="246"/>
        <v>1</v>
      </c>
      <c r="BJ763" t="b">
        <f t="shared" si="227"/>
        <v>1</v>
      </c>
      <c r="BK763" t="b">
        <f t="shared" ca="1" si="228"/>
        <v>1</v>
      </c>
    </row>
    <row r="764" spans="1:63" x14ac:dyDescent="0.45">
      <c r="A764" s="1">
        <v>44127</v>
      </c>
      <c r="B764">
        <v>140.21</v>
      </c>
      <c r="C764" s="1">
        <v>44127</v>
      </c>
      <c r="D764">
        <v>345.78</v>
      </c>
      <c r="E764">
        <f t="shared" si="229"/>
        <v>-1.2118650038751488E-2</v>
      </c>
      <c r="F764" s="4">
        <f t="shared" si="230"/>
        <v>3.3951423348131484E-3</v>
      </c>
      <c r="G764">
        <f t="shared" ca="1" si="231"/>
        <v>9.2219157211674008E-3</v>
      </c>
      <c r="H764">
        <f t="shared" ca="1" si="232"/>
        <v>6.0350434851043994E-2</v>
      </c>
      <c r="I764">
        <f t="shared" ca="1" si="233"/>
        <v>-0.15947266800826942</v>
      </c>
      <c r="J764">
        <f t="shared" ca="1" si="234"/>
        <v>1.9613271012621443</v>
      </c>
      <c r="K764">
        <f t="shared" ca="1" si="235"/>
        <v>1.3761604570571917</v>
      </c>
      <c r="L764">
        <f t="shared" ca="1" si="236"/>
        <v>1.8642089326462419</v>
      </c>
      <c r="M764">
        <f t="shared" ca="1" si="237"/>
        <v>5.5520701894069455E-4</v>
      </c>
      <c r="N764">
        <f t="shared" ca="1" si="238"/>
        <v>2.3206895627711669E-2</v>
      </c>
      <c r="O764">
        <f t="shared" ca="1" si="239"/>
        <v>-0.53914156054503759</v>
      </c>
      <c r="P764">
        <f t="shared" ca="1" si="240"/>
        <v>5.8415809016641669</v>
      </c>
      <c r="Q764">
        <f t="shared" ca="1" si="241"/>
        <v>0.9177232313390411</v>
      </c>
      <c r="R764">
        <f t="shared" ca="1" si="242"/>
        <v>1.4471355911899946</v>
      </c>
      <c r="T764">
        <f t="shared" si="243"/>
        <v>0.98788134996124854</v>
      </c>
      <c r="U764" s="6">
        <f t="shared" ca="1" si="244"/>
        <v>0.9566926178892855</v>
      </c>
      <c r="V764">
        <f t="shared" ca="1" si="245"/>
        <v>1.5197209146999002</v>
      </c>
      <c r="X764" t="b">
        <f t="shared" ca="1" si="246"/>
        <v>1</v>
      </c>
      <c r="BJ764" t="b">
        <f t="shared" si="227"/>
        <v>1</v>
      </c>
      <c r="BK764" t="b">
        <f t="shared" ca="1" si="228"/>
        <v>1</v>
      </c>
    </row>
    <row r="765" spans="1:63" x14ac:dyDescent="0.45">
      <c r="A765" s="1">
        <v>44126</v>
      </c>
      <c r="B765">
        <v>141.93</v>
      </c>
      <c r="C765" s="1">
        <v>44126</v>
      </c>
      <c r="D765">
        <v>344.61</v>
      </c>
      <c r="E765">
        <f t="shared" si="229"/>
        <v>7.4531516183987184E-3</v>
      </c>
      <c r="F765" s="4">
        <f t="shared" si="230"/>
        <v>5.4853674904443593E-3</v>
      </c>
      <c r="G765">
        <f t="shared" ca="1" si="231"/>
        <v>9.1727839848481894E-3</v>
      </c>
      <c r="H765">
        <f t="shared" ca="1" si="232"/>
        <v>6.0371891704595317E-2</v>
      </c>
      <c r="I765">
        <f t="shared" ca="1" si="233"/>
        <v>-0.15731075784011322</v>
      </c>
      <c r="J765">
        <f t="shared" ca="1" si="234"/>
        <v>1.9539730050987441</v>
      </c>
      <c r="K765">
        <f t="shared" ca="1" si="235"/>
        <v>1.3761604570571917</v>
      </c>
      <c r="L765">
        <f t="shared" ca="1" si="236"/>
        <v>1.85040972103959</v>
      </c>
      <c r="M765">
        <f t="shared" ca="1" si="237"/>
        <v>5.7213483631578851E-4</v>
      </c>
      <c r="N765">
        <f t="shared" ca="1" si="238"/>
        <v>2.321021210250622E-2</v>
      </c>
      <c r="O765">
        <f t="shared" ca="1" si="239"/>
        <v>-0.54103191193478783</v>
      </c>
      <c r="P765">
        <f t="shared" ca="1" si="240"/>
        <v>5.8381351484401298</v>
      </c>
      <c r="Q765">
        <f t="shared" ca="1" si="241"/>
        <v>0.9177232313390411</v>
      </c>
      <c r="R765">
        <f t="shared" ca="1" si="242"/>
        <v>1.4471355911899946</v>
      </c>
      <c r="T765">
        <f t="shared" si="243"/>
        <v>1.0074531516183987</v>
      </c>
      <c r="U765" s="6">
        <f t="shared" ca="1" si="244"/>
        <v>0.94855874942356666</v>
      </c>
      <c r="V765">
        <f t="shared" ca="1" si="245"/>
        <v>1.4925510507478186</v>
      </c>
      <c r="X765" t="b">
        <f t="shared" ca="1" si="246"/>
        <v>1</v>
      </c>
      <c r="BJ765" t="b">
        <f t="shared" si="227"/>
        <v>1</v>
      </c>
      <c r="BK765" t="b">
        <f t="shared" ca="1" si="228"/>
        <v>1</v>
      </c>
    </row>
    <row r="766" spans="1:63" x14ac:dyDescent="0.45">
      <c r="A766" s="1">
        <v>44125</v>
      </c>
      <c r="B766">
        <v>140.88</v>
      </c>
      <c r="C766" s="1">
        <v>44125</v>
      </c>
      <c r="D766">
        <v>342.73</v>
      </c>
      <c r="E766">
        <f t="shared" si="229"/>
        <v>1.6566297183729772E-3</v>
      </c>
      <c r="F766" s="4">
        <f t="shared" si="230"/>
        <v>-1.8929465897838467E-3</v>
      </c>
      <c r="G766">
        <f t="shared" ca="1" si="231"/>
        <v>9.3815312677178637E-3</v>
      </c>
      <c r="H766">
        <f t="shared" ca="1" si="232"/>
        <v>6.0438057949606168E-2</v>
      </c>
      <c r="I766">
        <f t="shared" ca="1" si="233"/>
        <v>-0.16578617088323164</v>
      </c>
      <c r="J766">
        <f t="shared" ca="1" si="234"/>
        <v>1.935374340696316</v>
      </c>
      <c r="K766">
        <f t="shared" ca="1" si="235"/>
        <v>1.3761604570571917</v>
      </c>
      <c r="L766">
        <f t="shared" ca="1" si="236"/>
        <v>1.9296119785835322</v>
      </c>
      <c r="M766">
        <f t="shared" ca="1" si="237"/>
        <v>5.7135566099599888E-4</v>
      </c>
      <c r="N766">
        <f t="shared" ca="1" si="238"/>
        <v>2.3210048949794171E-2</v>
      </c>
      <c r="O766">
        <f t="shared" ca="1" si="239"/>
        <v>-0.54094602999815389</v>
      </c>
      <c r="P766">
        <f t="shared" ca="1" si="240"/>
        <v>5.8383095656072213</v>
      </c>
      <c r="Q766">
        <f t="shared" ca="1" si="241"/>
        <v>0.9177232313390411</v>
      </c>
      <c r="R766">
        <f t="shared" ca="1" si="242"/>
        <v>1.4471355911899946</v>
      </c>
      <c r="T766">
        <f t="shared" si="243"/>
        <v>1.0016566297183729</v>
      </c>
      <c r="U766" s="6">
        <f t="shared" ca="1" si="244"/>
        <v>0.91619138046524939</v>
      </c>
      <c r="V766">
        <f t="shared" ca="1" si="245"/>
        <v>1.5050546013355719</v>
      </c>
      <c r="X766" t="b">
        <f t="shared" ca="1" si="246"/>
        <v>1</v>
      </c>
      <c r="BJ766" t="b">
        <f t="shared" si="227"/>
        <v>1</v>
      </c>
      <c r="BK766" t="b">
        <f t="shared" ca="1" si="228"/>
        <v>1</v>
      </c>
    </row>
    <row r="767" spans="1:63" x14ac:dyDescent="0.45">
      <c r="A767" s="1">
        <v>44124</v>
      </c>
      <c r="B767">
        <v>140.64699999999999</v>
      </c>
      <c r="C767" s="1">
        <v>44124</v>
      </c>
      <c r="D767">
        <v>343.38</v>
      </c>
      <c r="E767">
        <f t="shared" si="229"/>
        <v>-2.0632267947914645E-2</v>
      </c>
      <c r="F767" s="4">
        <f t="shared" si="230"/>
        <v>4.0057308265840311E-3</v>
      </c>
      <c r="G767">
        <f t="shared" ca="1" si="231"/>
        <v>9.5672506504603967E-3</v>
      </c>
      <c r="H767">
        <f t="shared" ca="1" si="232"/>
        <v>6.0471261272749099E-2</v>
      </c>
      <c r="I767">
        <f t="shared" ca="1" si="233"/>
        <v>-0.17422490020443371</v>
      </c>
      <c r="J767">
        <f t="shared" ca="1" si="234"/>
        <v>1.9268574329176005</v>
      </c>
      <c r="K767">
        <f t="shared" ca="1" si="235"/>
        <v>1.3761604570571917</v>
      </c>
      <c r="L767">
        <f t="shared" ca="1" si="236"/>
        <v>1.9296119785835322</v>
      </c>
      <c r="M767">
        <f t="shared" ca="1" si="237"/>
        <v>5.6676156314526495E-4</v>
      </c>
      <c r="N767">
        <f t="shared" ca="1" si="238"/>
        <v>2.3210630100700954E-2</v>
      </c>
      <c r="O767">
        <f t="shared" ca="1" si="239"/>
        <v>-0.54031525138529979</v>
      </c>
      <c r="P767">
        <f t="shared" ca="1" si="240"/>
        <v>5.8369848079524056</v>
      </c>
      <c r="Q767">
        <f t="shared" ca="1" si="241"/>
        <v>0.9177232313390411</v>
      </c>
      <c r="R767">
        <f t="shared" ca="1" si="242"/>
        <v>1.4471355911899946</v>
      </c>
      <c r="T767">
        <f t="shared" si="243"/>
        <v>0.97936773205208538</v>
      </c>
      <c r="U767" s="6">
        <f t="shared" ca="1" si="244"/>
        <v>0.94468139411484187</v>
      </c>
      <c r="V767">
        <f t="shared" ca="1" si="245"/>
        <v>1.5045410554372447</v>
      </c>
      <c r="X767" t="b">
        <f t="shared" ca="1" si="246"/>
        <v>1</v>
      </c>
      <c r="BJ767" t="b">
        <f t="shared" si="227"/>
        <v>1</v>
      </c>
      <c r="BK767" t="b">
        <f t="shared" ca="1" si="228"/>
        <v>1</v>
      </c>
    </row>
    <row r="768" spans="1:63" x14ac:dyDescent="0.45">
      <c r="A768" s="1">
        <v>44123</v>
      </c>
      <c r="B768">
        <v>143.61000000000001</v>
      </c>
      <c r="C768" s="1">
        <v>44123</v>
      </c>
      <c r="D768">
        <v>342.01</v>
      </c>
      <c r="E768">
        <f t="shared" si="229"/>
        <v>-2.0108217280648311E-2</v>
      </c>
      <c r="F768" s="4">
        <f t="shared" si="230"/>
        <v>-1.5203432290017072E-2</v>
      </c>
      <c r="G768">
        <f t="shared" ca="1" si="231"/>
        <v>9.7666908552368759E-3</v>
      </c>
      <c r="H768">
        <f t="shared" ca="1" si="232"/>
        <v>6.0436927370454238E-2</v>
      </c>
      <c r="I768">
        <f t="shared" ca="1" si="233"/>
        <v>-0.18386774707988685</v>
      </c>
      <c r="J768">
        <f t="shared" ca="1" si="234"/>
        <v>1.9402562641534011</v>
      </c>
      <c r="K768">
        <f t="shared" ca="1" si="235"/>
        <v>1.3761604570571917</v>
      </c>
      <c r="L768">
        <f t="shared" ca="1" si="236"/>
        <v>1.9343413386679289</v>
      </c>
      <c r="M768">
        <f t="shared" ca="1" si="237"/>
        <v>5.6580799973533649E-4</v>
      </c>
      <c r="N768">
        <f t="shared" ca="1" si="238"/>
        <v>2.3210492024516527E-2</v>
      </c>
      <c r="O768">
        <f t="shared" ca="1" si="239"/>
        <v>-0.54020299663729288</v>
      </c>
      <c r="P768">
        <f t="shared" ca="1" si="240"/>
        <v>5.8371050835688782</v>
      </c>
      <c r="Q768">
        <f t="shared" ca="1" si="241"/>
        <v>0.9177232313390411</v>
      </c>
      <c r="R768">
        <f t="shared" ca="1" si="242"/>
        <v>1.4471355911899946</v>
      </c>
      <c r="T768">
        <f t="shared" si="243"/>
        <v>0.97989178271935173</v>
      </c>
      <c r="U768" s="6">
        <f t="shared" ca="1" si="244"/>
        <v>0.97406957736734678</v>
      </c>
      <c r="V768">
        <f t="shared" ca="1" si="245"/>
        <v>1.5073418648154084</v>
      </c>
      <c r="X768" t="b">
        <f t="shared" ca="1" si="246"/>
        <v>1</v>
      </c>
      <c r="BJ768" t="b">
        <f t="shared" si="227"/>
        <v>1</v>
      </c>
      <c r="BK768" t="b">
        <f t="shared" ca="1" si="228"/>
        <v>1</v>
      </c>
    </row>
    <row r="769" spans="1:63" x14ac:dyDescent="0.45">
      <c r="A769" s="1">
        <v>44120</v>
      </c>
      <c r="B769">
        <v>146.55699999999999</v>
      </c>
      <c r="C769" s="1">
        <v>44120</v>
      </c>
      <c r="D769">
        <v>347.29</v>
      </c>
      <c r="E769">
        <f t="shared" si="229"/>
        <v>-2.051768731579208E-2</v>
      </c>
      <c r="F769" s="4">
        <f t="shared" si="230"/>
        <v>-6.0431654676253101E-4</v>
      </c>
      <c r="G769">
        <f t="shared" ca="1" si="231"/>
        <v>1.0015398166713327E-2</v>
      </c>
      <c r="H769">
        <f t="shared" ca="1" si="232"/>
        <v>6.041571289589049E-2</v>
      </c>
      <c r="I769">
        <f t="shared" ca="1" si="233"/>
        <v>-0.19574190519505466</v>
      </c>
      <c r="J769">
        <f t="shared" ca="1" si="234"/>
        <v>1.9501978718842263</v>
      </c>
      <c r="K769">
        <f t="shared" ca="1" si="235"/>
        <v>1.3761604570571917</v>
      </c>
      <c r="L769">
        <f t="shared" ca="1" si="236"/>
        <v>1.9343413386679289</v>
      </c>
      <c r="M769">
        <f t="shared" ca="1" si="237"/>
        <v>6.0396386281992228E-4</v>
      </c>
      <c r="N769">
        <f t="shared" ca="1" si="238"/>
        <v>2.3190702639752907E-2</v>
      </c>
      <c r="O769">
        <f t="shared" ca="1" si="239"/>
        <v>-0.54519634437119369</v>
      </c>
      <c r="P769">
        <f t="shared" ca="1" si="240"/>
        <v>5.8700795882853987</v>
      </c>
      <c r="Q769">
        <f t="shared" ca="1" si="241"/>
        <v>0.9177232313390411</v>
      </c>
      <c r="R769">
        <f t="shared" ca="1" si="242"/>
        <v>1.4471355911899946</v>
      </c>
      <c r="T769">
        <f t="shared" si="243"/>
        <v>0.97948231268420793</v>
      </c>
      <c r="U769" s="6">
        <f t="shared" ca="1" si="244"/>
        <v>1.0130644860265301</v>
      </c>
      <c r="V769">
        <f t="shared" ca="1" si="245"/>
        <v>1.5191668218926684</v>
      </c>
      <c r="X769" t="b">
        <f t="shared" ca="1" si="246"/>
        <v>0</v>
      </c>
      <c r="BJ769" t="b">
        <f t="shared" si="227"/>
        <v>1</v>
      </c>
      <c r="BK769" t="b">
        <f t="shared" ca="1" si="228"/>
        <v>0</v>
      </c>
    </row>
    <row r="770" spans="1:63" x14ac:dyDescent="0.45">
      <c r="A770" s="1">
        <v>44119</v>
      </c>
      <c r="B770">
        <v>149.62700000000001</v>
      </c>
      <c r="C770" s="1">
        <v>44119</v>
      </c>
      <c r="D770">
        <v>347.5</v>
      </c>
      <c r="E770">
        <f t="shared" si="229"/>
        <v>-2.692385232201959E-2</v>
      </c>
      <c r="F770" s="4">
        <f t="shared" si="230"/>
        <v>-1.2358807806168103E-3</v>
      </c>
      <c r="G770">
        <f t="shared" ca="1" si="231"/>
        <v>1.0260571234343575E-2</v>
      </c>
      <c r="H770">
        <f t="shared" ca="1" si="232"/>
        <v>6.0390672423771545E-2</v>
      </c>
      <c r="I770">
        <f t="shared" ca="1" si="233"/>
        <v>-0.20748596436456254</v>
      </c>
      <c r="J770">
        <f t="shared" ca="1" si="234"/>
        <v>1.9615322549230774</v>
      </c>
      <c r="K770">
        <f t="shared" ca="1" si="235"/>
        <v>1.3761604570571917</v>
      </c>
      <c r="L770">
        <f t="shared" ca="1" si="236"/>
        <v>1.9343413386679289</v>
      </c>
      <c r="M770">
        <f t="shared" ca="1" si="237"/>
        <v>6.5374490618879332E-4</v>
      </c>
      <c r="N770">
        <f t="shared" ca="1" si="238"/>
        <v>2.3198780484006011E-2</v>
      </c>
      <c r="O770">
        <f t="shared" ca="1" si="239"/>
        <v>-0.55085672456980084</v>
      </c>
      <c r="P770">
        <f t="shared" ca="1" si="240"/>
        <v>5.8625684677369323</v>
      </c>
      <c r="Q770">
        <f t="shared" ca="1" si="241"/>
        <v>0.9177232313390411</v>
      </c>
      <c r="R770">
        <f t="shared" ca="1" si="242"/>
        <v>1.4471355911899946</v>
      </c>
      <c r="T770">
        <f t="shared" si="243"/>
        <v>0.97307614767798045</v>
      </c>
      <c r="U770" s="6">
        <f t="shared" ca="1" si="244"/>
        <v>1.0539116592591553</v>
      </c>
      <c r="V770">
        <f t="shared" ca="1" si="245"/>
        <v>1.5270339072143422</v>
      </c>
      <c r="X770" t="b">
        <f t="shared" ca="1" si="246"/>
        <v>0</v>
      </c>
      <c r="BJ770" t="b">
        <f t="shared" ref="BJ770:BJ833" si="247">ABS(W770-1)&gt;$S$21</f>
        <v>1</v>
      </c>
      <c r="BK770" t="b">
        <f t="shared" ref="BK770:BK833" ca="1" si="248">AND(X770,BJ770)</f>
        <v>0</v>
      </c>
    </row>
    <row r="771" spans="1:63" x14ac:dyDescent="0.45">
      <c r="A771" s="1">
        <v>44118</v>
      </c>
      <c r="B771">
        <v>153.767</v>
      </c>
      <c r="C771" s="1">
        <v>44118</v>
      </c>
      <c r="D771">
        <v>347.93</v>
      </c>
      <c r="E771">
        <f t="shared" ref="E771:E834" si="249">(B771-B772)/B772</f>
        <v>3.2804282557444338E-2</v>
      </c>
      <c r="F771" s="4">
        <f t="shared" ref="F771:F834" si="250">(D771-D772)/D772</f>
        <v>-6.2833804586867412E-3</v>
      </c>
      <c r="G771">
        <f t="shared" ref="G771:G834" ca="1" si="251">AVERAGE(OFFSET(E771,0,0,$S$3,1))*$AK$25</f>
        <v>1.0438957021434114E-2</v>
      </c>
      <c r="H771">
        <f t="shared" ref="H771:H834" ca="1" si="252">STDEV(OFFSET(E771,0,0,$S$3,1))*$AJ$25</f>
        <v>6.0332947907618006E-2</v>
      </c>
      <c r="I771">
        <f t="shared" ref="I771:I834" ca="1" si="253">SKEW(OFFSET(E771,0,0,$S$3,1))*$AI$25</f>
        <v>-0.21585353702895857</v>
      </c>
      <c r="J771">
        <f t="shared" ref="J771:J834" ca="1" si="254">KURT(OFFSET(E771,0,0,$S$3,1))*$AH$25</f>
        <v>1.9825263851716599</v>
      </c>
      <c r="K771">
        <f t="shared" ref="K771:K834" ca="1" si="255">PERCENTILE(OFFSET(E771,0,0,$S$3,1), 0.95)/ABS(PERCENTILE(OFFSET(E771,0,0,$S$3,1), 0.05))*$AG$25</f>
        <v>1.3761604570571917</v>
      </c>
      <c r="L771">
        <f t="shared" ref="L771:L834" ca="1" si="256">PERCENTILE(OFFSET(E771,0,0,$S$3,1), 0.75)/ABS(PERCENTILE(OFFSET(E771,0,0,$S$3,1), 0.25))*$AF$25</f>
        <v>2.014256474700701</v>
      </c>
      <c r="M771">
        <f t="shared" ref="M771:M834" ca="1" si="257">AVERAGE(OFFSET(F771,0,0,$S$3,1))*$AE$25</f>
        <v>6.7207081563566782E-4</v>
      </c>
      <c r="N771">
        <f t="shared" ref="N771:N834" ca="1" si="258">STDEV(OFFSET(F771,0,0,$S$3,1))*$AD$25</f>
        <v>2.3198727928203541E-2</v>
      </c>
      <c r="O771">
        <f t="shared" ref="O771:O834" ca="1" si="259">SKEW(OFFSET(F771,0,0,$S$3,1))*$AC$25</f>
        <v>-0.55324924762766681</v>
      </c>
      <c r="P771">
        <f t="shared" ref="P771:P834" ca="1" si="260">KURT(OFFSET(F771,0,0,$S$3,1))*$AB$25</f>
        <v>5.8644289446475293</v>
      </c>
      <c r="Q771">
        <f t="shared" ref="Q771:Q834" ca="1" si="261">PERCENTILE(OFFSET(F771,0,0,$S$3,1), 0.95)/ABS(PERCENTILE(OFFSET(F771,0,0,$S$3,1), 0.05))*$AA$25</f>
        <v>0.9177232313390411</v>
      </c>
      <c r="R771">
        <f t="shared" ref="R771:R834" ca="1" si="262">PERCENTILE(OFFSET(F771,0,0,$S$3,1), 0.75)/ABS(PERCENTILE(OFFSET(F771,0,0,$S$3,1), 0.25))*$Z$25</f>
        <v>1.4471355911899946</v>
      </c>
      <c r="T771">
        <f t="shared" ref="T771:T834" si="263">E771+1</f>
        <v>1.0328042825574444</v>
      </c>
      <c r="U771" s="6">
        <f t="shared" ref="U771:U834" ca="1" si="264">PRODUCT(OFFSET(T771,0,0,$S$6,1))</f>
        <v>1.0846459331156055</v>
      </c>
      <c r="V771">
        <f t="shared" ref="V771:V834" ca="1" si="265">OFFSET(G771,$S$6,0) * $AK$2+ OFFSET(H771,$S$6,0)  * $AJ$2 + OFFSET(I771,$S$6,0) * $AI$2 + OFFSET(J771,$S$6,0) * $AH$2 + OFFSET(K771,$S$6,0) * $AG$2 + OFFSET(L771,$S$6,0) * $AF$2 + OFFSET(M771,$S$6,0) * $AE$2 + OFFSET(N771,$S$6,0) * $AD$2 + OFFSET(O771,$S$6,0) * $AC$2 + OFFSET(P771,$S$6,0) * $AB$2 +  OFFSET(Q771,$S$6,0) * $AA$2 + OFFSET(R771,$S$6,0)  * $Z$2  + AL$2</f>
        <v>1.5212997189349795</v>
      </c>
      <c r="X771" t="b">
        <f t="shared" ref="X771:X834" ca="1" si="266">OR(AND(U771&gt;1, W771&gt;1), AND(U771&lt;1, W771&lt;1))</f>
        <v>0</v>
      </c>
      <c r="BJ771" t="b">
        <f t="shared" si="247"/>
        <v>1</v>
      </c>
      <c r="BK771" t="b">
        <f t="shared" ca="1" si="248"/>
        <v>0</v>
      </c>
    </row>
    <row r="772" spans="1:63" x14ac:dyDescent="0.45">
      <c r="A772" s="1">
        <v>44117</v>
      </c>
      <c r="B772">
        <v>148.88300000000001</v>
      </c>
      <c r="C772" s="1">
        <v>44117</v>
      </c>
      <c r="D772">
        <v>350.13</v>
      </c>
      <c r="E772">
        <f t="shared" si="249"/>
        <v>9.8349758873523367E-3</v>
      </c>
      <c r="F772" s="4">
        <f t="shared" si="250"/>
        <v>-6.526118661861962E-3</v>
      </c>
      <c r="G772">
        <f t="shared" ca="1" si="251"/>
        <v>1.0092776818740292E-2</v>
      </c>
      <c r="H772">
        <f t="shared" ca="1" si="252"/>
        <v>6.0402566754400269E-2</v>
      </c>
      <c r="I772">
        <f t="shared" ca="1" si="253"/>
        <v>-0.2003698389679068</v>
      </c>
      <c r="J772">
        <f t="shared" ca="1" si="254"/>
        <v>1.95627491381489</v>
      </c>
      <c r="K772">
        <f t="shared" ca="1" si="255"/>
        <v>1.3761604570571917</v>
      </c>
      <c r="L772">
        <f t="shared" ca="1" si="256"/>
        <v>1.9343413386679289</v>
      </c>
      <c r="M772">
        <f t="shared" ca="1" si="257"/>
        <v>6.759215901957175E-4</v>
      </c>
      <c r="N772">
        <f t="shared" ca="1" si="258"/>
        <v>2.3197631479214428E-2</v>
      </c>
      <c r="O772">
        <f t="shared" ca="1" si="259"/>
        <v>-0.55379012341117473</v>
      </c>
      <c r="P772">
        <f t="shared" ca="1" si="260"/>
        <v>5.8664729734637548</v>
      </c>
      <c r="Q772">
        <f t="shared" ca="1" si="261"/>
        <v>0.9177232313390411</v>
      </c>
      <c r="R772">
        <f t="shared" ca="1" si="262"/>
        <v>1.4471355911899946</v>
      </c>
      <c r="T772">
        <f t="shared" si="263"/>
        <v>1.0098349758873524</v>
      </c>
      <c r="U772" s="6">
        <f t="shared" ca="1" si="264"/>
        <v>1.0789170465168527</v>
      </c>
      <c r="V772">
        <f t="shared" ca="1" si="265"/>
        <v>1.5438525511355596</v>
      </c>
      <c r="X772" t="b">
        <f t="shared" ca="1" si="266"/>
        <v>0</v>
      </c>
      <c r="BJ772" t="b">
        <f t="shared" si="247"/>
        <v>1</v>
      </c>
      <c r="BK772" t="b">
        <f t="shared" ca="1" si="248"/>
        <v>0</v>
      </c>
    </row>
    <row r="773" spans="1:63" x14ac:dyDescent="0.45">
      <c r="A773" s="1">
        <v>44116</v>
      </c>
      <c r="B773">
        <v>147.43299999999999</v>
      </c>
      <c r="C773" s="1">
        <v>44116</v>
      </c>
      <c r="D773">
        <v>352.43</v>
      </c>
      <c r="E773">
        <f t="shared" si="249"/>
        <v>1.9119771613429402E-2</v>
      </c>
      <c r="F773" s="4">
        <f t="shared" si="250"/>
        <v>1.6087645956465283E-2</v>
      </c>
      <c r="G773">
        <f t="shared" ca="1" si="251"/>
        <v>1.0037110308807837E-2</v>
      </c>
      <c r="H773">
        <f t="shared" ca="1" si="252"/>
        <v>6.0407935476819094E-2</v>
      </c>
      <c r="I773">
        <f t="shared" ca="1" si="253"/>
        <v>-0.19755800013893812</v>
      </c>
      <c r="J773">
        <f t="shared" ca="1" si="254"/>
        <v>1.9537552422746458</v>
      </c>
      <c r="K773">
        <f t="shared" ca="1" si="255"/>
        <v>1.3761604570571917</v>
      </c>
      <c r="L773">
        <f t="shared" ca="1" si="256"/>
        <v>1.9343413386679289</v>
      </c>
      <c r="M773">
        <f t="shared" ca="1" si="257"/>
        <v>7.0731356332790439E-4</v>
      </c>
      <c r="N773">
        <f t="shared" ca="1" si="258"/>
        <v>2.3192083837142108E-2</v>
      </c>
      <c r="O773">
        <f t="shared" ca="1" si="259"/>
        <v>-0.55813765239370339</v>
      </c>
      <c r="P773">
        <f t="shared" ca="1" si="260"/>
        <v>5.8780271877472918</v>
      </c>
      <c r="Q773">
        <f t="shared" ca="1" si="261"/>
        <v>0.9177232313390411</v>
      </c>
      <c r="R773">
        <f t="shared" ca="1" si="262"/>
        <v>1.4471355911899946</v>
      </c>
      <c r="T773">
        <f t="shared" si="263"/>
        <v>1.0191197716134295</v>
      </c>
      <c r="U773" s="6">
        <f t="shared" ca="1" si="264"/>
        <v>1.0390435046126307</v>
      </c>
      <c r="V773">
        <f t="shared" ca="1" si="265"/>
        <v>1.5548155947503943</v>
      </c>
      <c r="X773" t="b">
        <f t="shared" ca="1" si="266"/>
        <v>0</v>
      </c>
      <c r="BJ773" t="b">
        <f t="shared" si="247"/>
        <v>1</v>
      </c>
      <c r="BK773" t="b">
        <f t="shared" ca="1" si="248"/>
        <v>0</v>
      </c>
    </row>
    <row r="774" spans="1:63" x14ac:dyDescent="0.45">
      <c r="A774" s="1">
        <v>44113</v>
      </c>
      <c r="B774">
        <v>144.667</v>
      </c>
      <c r="C774" s="1">
        <v>44113</v>
      </c>
      <c r="D774">
        <v>346.85</v>
      </c>
      <c r="E774">
        <f t="shared" si="249"/>
        <v>1.8975438991920914E-2</v>
      </c>
      <c r="F774" s="4">
        <f t="shared" si="250"/>
        <v>8.9301297341324408E-3</v>
      </c>
      <c r="G774">
        <f t="shared" ca="1" si="251"/>
        <v>1.00084073943033E-2</v>
      </c>
      <c r="H774">
        <f t="shared" ca="1" si="252"/>
        <v>6.0404961900832249E-2</v>
      </c>
      <c r="I774">
        <f t="shared" ca="1" si="253"/>
        <v>-0.19616364969026082</v>
      </c>
      <c r="J774">
        <f t="shared" ca="1" si="254"/>
        <v>1.9543553532930797</v>
      </c>
      <c r="K774">
        <f t="shared" ca="1" si="255"/>
        <v>1.3761604570571917</v>
      </c>
      <c r="L774">
        <f t="shared" ca="1" si="256"/>
        <v>1.9343413386679289</v>
      </c>
      <c r="M774">
        <f t="shared" ca="1" si="257"/>
        <v>6.5349177659261657E-4</v>
      </c>
      <c r="N774">
        <f t="shared" ca="1" si="258"/>
        <v>2.3168689996350765E-2</v>
      </c>
      <c r="O774">
        <f t="shared" ca="1" si="259"/>
        <v>-0.55423530073695537</v>
      </c>
      <c r="P774">
        <f t="shared" ca="1" si="260"/>
        <v>5.9078382603338619</v>
      </c>
      <c r="Q774">
        <f t="shared" ca="1" si="261"/>
        <v>0.9177232313390411</v>
      </c>
      <c r="R774">
        <f t="shared" ca="1" si="262"/>
        <v>1.4407462174211669</v>
      </c>
      <c r="T774">
        <f t="shared" si="263"/>
        <v>1.018975438991921</v>
      </c>
      <c r="U774" s="6">
        <f t="shared" ca="1" si="264"/>
        <v>1.0455613133568946</v>
      </c>
      <c r="V774">
        <f t="shared" ca="1" si="265"/>
        <v>1.5578306731127327</v>
      </c>
      <c r="X774" t="b">
        <f t="shared" ca="1" si="266"/>
        <v>0</v>
      </c>
      <c r="BJ774" t="b">
        <f t="shared" si="247"/>
        <v>1</v>
      </c>
      <c r="BK774" t="b">
        <f t="shared" ca="1" si="248"/>
        <v>0</v>
      </c>
    </row>
    <row r="775" spans="1:63" x14ac:dyDescent="0.45">
      <c r="A775" s="1">
        <v>44112</v>
      </c>
      <c r="B775">
        <v>141.97300000000001</v>
      </c>
      <c r="C775" s="1">
        <v>44112</v>
      </c>
      <c r="D775">
        <v>343.78</v>
      </c>
      <c r="E775">
        <f t="shared" si="249"/>
        <v>1.4530885184846777E-3</v>
      </c>
      <c r="F775" s="4">
        <f t="shared" si="250"/>
        <v>8.8625425519426627E-3</v>
      </c>
      <c r="G775">
        <f t="shared" ca="1" si="251"/>
        <v>9.9854494780040656E-3</v>
      </c>
      <c r="H775">
        <f t="shared" ca="1" si="252"/>
        <v>6.0402409204557923E-2</v>
      </c>
      <c r="I775">
        <f t="shared" ca="1" si="253"/>
        <v>-0.19505143293253399</v>
      </c>
      <c r="J775">
        <f t="shared" ca="1" si="254"/>
        <v>1.9548948265718167</v>
      </c>
      <c r="K775">
        <f t="shared" ca="1" si="255"/>
        <v>1.3761604570571917</v>
      </c>
      <c r="L775">
        <f t="shared" ca="1" si="256"/>
        <v>1.9343413386679289</v>
      </c>
      <c r="M775">
        <f t="shared" ca="1" si="257"/>
        <v>6.0899678448132159E-4</v>
      </c>
      <c r="N775">
        <f t="shared" ca="1" si="258"/>
        <v>2.3161258988555866E-2</v>
      </c>
      <c r="O775">
        <f t="shared" ca="1" si="259"/>
        <v>-0.54917914628668851</v>
      </c>
      <c r="P775">
        <f t="shared" ca="1" si="260"/>
        <v>5.9149213455476284</v>
      </c>
      <c r="Q775">
        <f t="shared" ca="1" si="261"/>
        <v>0.9177232313390411</v>
      </c>
      <c r="R775">
        <f t="shared" ca="1" si="262"/>
        <v>1.4407462174211669</v>
      </c>
      <c r="T775">
        <f t="shared" si="263"/>
        <v>1.0014530885184847</v>
      </c>
      <c r="U775" s="6">
        <f t="shared" ca="1" si="264"/>
        <v>0.95037051416789975</v>
      </c>
      <c r="V775">
        <f t="shared" ca="1" si="265"/>
        <v>1.5660903959863126</v>
      </c>
      <c r="X775" t="b">
        <f t="shared" ca="1" si="266"/>
        <v>1</v>
      </c>
      <c r="BJ775" t="b">
        <f t="shared" si="247"/>
        <v>1</v>
      </c>
      <c r="BK775" t="b">
        <f t="shared" ca="1" si="248"/>
        <v>1</v>
      </c>
    </row>
    <row r="776" spans="1:63" x14ac:dyDescent="0.45">
      <c r="A776" s="1">
        <v>44111</v>
      </c>
      <c r="B776">
        <v>141.767</v>
      </c>
      <c r="C776" s="1">
        <v>44111</v>
      </c>
      <c r="D776">
        <v>340.76</v>
      </c>
      <c r="E776">
        <f t="shared" si="249"/>
        <v>2.7349213365895381E-2</v>
      </c>
      <c r="F776" s="4">
        <f t="shared" si="250"/>
        <v>1.7406622279282191E-2</v>
      </c>
      <c r="G776">
        <f t="shared" ca="1" si="251"/>
        <v>1.014621723153728E-2</v>
      </c>
      <c r="H776">
        <f t="shared" ca="1" si="252"/>
        <v>6.0422372086888276E-2</v>
      </c>
      <c r="I776">
        <f t="shared" ca="1" si="253"/>
        <v>-0.20260345331229646</v>
      </c>
      <c r="J776">
        <f t="shared" ca="1" si="254"/>
        <v>1.9505646588407739</v>
      </c>
      <c r="K776">
        <f t="shared" ca="1" si="255"/>
        <v>1.3761604570571917</v>
      </c>
      <c r="L776">
        <f t="shared" ca="1" si="256"/>
        <v>1.9343413386679289</v>
      </c>
      <c r="M776">
        <f t="shared" ca="1" si="257"/>
        <v>5.723228956545116E-4</v>
      </c>
      <c r="N776">
        <f t="shared" ca="1" si="258"/>
        <v>2.3153930366414204E-2</v>
      </c>
      <c r="O776">
        <f t="shared" ca="1" si="259"/>
        <v>-0.54513062869804008</v>
      </c>
      <c r="P776">
        <f t="shared" ca="1" si="260"/>
        <v>5.9226485702858751</v>
      </c>
      <c r="Q776">
        <f t="shared" ca="1" si="261"/>
        <v>0.9177232313390411</v>
      </c>
      <c r="R776">
        <f t="shared" ca="1" si="262"/>
        <v>1.4407462174211669</v>
      </c>
      <c r="T776">
        <f t="shared" si="263"/>
        <v>1.0273492133658955</v>
      </c>
      <c r="U776" s="6">
        <f t="shared" ca="1" si="264"/>
        <v>0.99135682468199993</v>
      </c>
      <c r="V776">
        <f t="shared" ca="1" si="265"/>
        <v>1.5611390819713598</v>
      </c>
      <c r="X776" t="b">
        <f t="shared" ca="1" si="266"/>
        <v>1</v>
      </c>
      <c r="BJ776" t="b">
        <f t="shared" si="247"/>
        <v>1</v>
      </c>
      <c r="BK776" t="b">
        <f t="shared" ca="1" si="248"/>
        <v>1</v>
      </c>
    </row>
    <row r="777" spans="1:63" x14ac:dyDescent="0.45">
      <c r="A777" s="1">
        <v>44110</v>
      </c>
      <c r="B777">
        <v>137.99299999999999</v>
      </c>
      <c r="C777" s="1">
        <v>44110</v>
      </c>
      <c r="D777">
        <v>334.93</v>
      </c>
      <c r="E777">
        <f t="shared" si="249"/>
        <v>-2.7485499637050492E-2</v>
      </c>
      <c r="F777" s="4">
        <f t="shared" si="250"/>
        <v>-1.4215917117965576E-2</v>
      </c>
      <c r="G777">
        <f t="shared" ca="1" si="251"/>
        <v>1.0028646246382883E-2</v>
      </c>
      <c r="H777">
        <f t="shared" ca="1" si="252"/>
        <v>6.0411606187398187E-2</v>
      </c>
      <c r="I777">
        <f t="shared" ca="1" si="253"/>
        <v>-0.19693730815688601</v>
      </c>
      <c r="J777">
        <f t="shared" ca="1" si="254"/>
        <v>1.9525060972476744</v>
      </c>
      <c r="K777">
        <f t="shared" ca="1" si="255"/>
        <v>1.3761604570571917</v>
      </c>
      <c r="L777">
        <f t="shared" ca="1" si="256"/>
        <v>1.9343413386679289</v>
      </c>
      <c r="M777">
        <f t="shared" ca="1" si="257"/>
        <v>4.8264098400880207E-4</v>
      </c>
      <c r="N777">
        <f t="shared" ca="1" si="258"/>
        <v>2.3123114474065277E-2</v>
      </c>
      <c r="O777">
        <f t="shared" ca="1" si="259"/>
        <v>-0.53751925863831329</v>
      </c>
      <c r="P777">
        <f t="shared" ca="1" si="260"/>
        <v>5.9604963982491617</v>
      </c>
      <c r="Q777">
        <f t="shared" ca="1" si="261"/>
        <v>0.9177232313390411</v>
      </c>
      <c r="R777">
        <f t="shared" ca="1" si="262"/>
        <v>1.4274692951304191</v>
      </c>
      <c r="T777">
        <f t="shared" si="263"/>
        <v>0.97251450036294951</v>
      </c>
      <c r="U777" s="6">
        <f t="shared" ca="1" si="264"/>
        <v>0.98785167155845088</v>
      </c>
      <c r="V777">
        <f t="shared" ca="1" si="265"/>
        <v>1.5764426625067967</v>
      </c>
      <c r="X777" t="b">
        <f t="shared" ca="1" si="266"/>
        <v>1</v>
      </c>
      <c r="BJ777" t="b">
        <f t="shared" si="247"/>
        <v>1</v>
      </c>
      <c r="BK777" t="b">
        <f t="shared" ca="1" si="248"/>
        <v>1</v>
      </c>
    </row>
    <row r="778" spans="1:63" x14ac:dyDescent="0.45">
      <c r="A778" s="1">
        <v>44109</v>
      </c>
      <c r="B778">
        <v>141.893</v>
      </c>
      <c r="C778" s="1">
        <v>44109</v>
      </c>
      <c r="D778">
        <v>339.76</v>
      </c>
      <c r="E778">
        <f t="shared" si="249"/>
        <v>2.551260091209356E-2</v>
      </c>
      <c r="F778" s="4">
        <f t="shared" si="250"/>
        <v>1.7733045770428998E-2</v>
      </c>
      <c r="G778">
        <f t="shared" ca="1" si="251"/>
        <v>1.030457050153113E-2</v>
      </c>
      <c r="H778">
        <f t="shared" ca="1" si="252"/>
        <v>6.0365410996321228E-2</v>
      </c>
      <c r="I778">
        <f t="shared" ca="1" si="253"/>
        <v>-0.20989552511210008</v>
      </c>
      <c r="J778">
        <f t="shared" ca="1" si="254"/>
        <v>1.9708755048324491</v>
      </c>
      <c r="K778">
        <f t="shared" ca="1" si="255"/>
        <v>1.3761604570571917</v>
      </c>
      <c r="L778">
        <f t="shared" ca="1" si="256"/>
        <v>2.014256474700701</v>
      </c>
      <c r="M778">
        <f t="shared" ca="1" si="257"/>
        <v>5.742155788292071E-4</v>
      </c>
      <c r="N778">
        <f t="shared" ca="1" si="258"/>
        <v>2.3100866812196041E-2</v>
      </c>
      <c r="O778">
        <f t="shared" ca="1" si="259"/>
        <v>-0.54975929911055599</v>
      </c>
      <c r="P778">
        <f t="shared" ca="1" si="260"/>
        <v>6.0031923811457562</v>
      </c>
      <c r="Q778">
        <f t="shared" ca="1" si="261"/>
        <v>0.9177232313390411</v>
      </c>
      <c r="R778">
        <f t="shared" ca="1" si="262"/>
        <v>1.476126231973323</v>
      </c>
      <c r="T778">
        <f t="shared" si="263"/>
        <v>1.0255126009120936</v>
      </c>
      <c r="U778" s="6">
        <f t="shared" ca="1" si="264"/>
        <v>1.0106339031339033</v>
      </c>
      <c r="V778">
        <f t="shared" ca="1" si="265"/>
        <v>1.5588309309369137</v>
      </c>
      <c r="X778" t="b">
        <f t="shared" ca="1" si="266"/>
        <v>0</v>
      </c>
      <c r="BJ778" t="b">
        <f t="shared" si="247"/>
        <v>1</v>
      </c>
      <c r="BK778" t="b">
        <f t="shared" ca="1" si="248"/>
        <v>0</v>
      </c>
    </row>
    <row r="779" spans="1:63" x14ac:dyDescent="0.45">
      <c r="A779" s="1">
        <v>44106</v>
      </c>
      <c r="B779">
        <v>138.363</v>
      </c>
      <c r="C779" s="1">
        <v>44106</v>
      </c>
      <c r="D779">
        <v>333.84</v>
      </c>
      <c r="E779">
        <f t="shared" si="249"/>
        <v>-7.3794908526176983E-2</v>
      </c>
      <c r="F779" s="4">
        <f t="shared" si="250"/>
        <v>-9.4944220270592374E-3</v>
      </c>
      <c r="G779">
        <f t="shared" ca="1" si="251"/>
        <v>1.0363819813918339E-2</v>
      </c>
      <c r="H779">
        <f t="shared" ca="1" si="252"/>
        <v>6.0386224650831932E-2</v>
      </c>
      <c r="I779">
        <f t="shared" ca="1" si="253"/>
        <v>-0.21227624801760142</v>
      </c>
      <c r="J779">
        <f t="shared" ca="1" si="254"/>
        <v>1.9649946469283588</v>
      </c>
      <c r="K779">
        <f t="shared" ca="1" si="255"/>
        <v>1.3761604570571917</v>
      </c>
      <c r="L779">
        <f t="shared" ca="1" si="256"/>
        <v>2.014256474700701</v>
      </c>
      <c r="M779">
        <f t="shared" ca="1" si="257"/>
        <v>4.8586327046396552E-4</v>
      </c>
      <c r="N779">
        <f t="shared" ca="1" si="258"/>
        <v>2.3068679906669519E-2</v>
      </c>
      <c r="O779">
        <f t="shared" ca="1" si="259"/>
        <v>-0.54254657081373259</v>
      </c>
      <c r="P779">
        <f t="shared" ca="1" si="260"/>
        <v>6.0436444310207902</v>
      </c>
      <c r="Q779">
        <f t="shared" ca="1" si="261"/>
        <v>0.9177232313390411</v>
      </c>
      <c r="R779">
        <f t="shared" ca="1" si="262"/>
        <v>1.4053267882445473</v>
      </c>
      <c r="T779">
        <f t="shared" si="263"/>
        <v>0.92620509147382302</v>
      </c>
      <c r="U779" s="6">
        <f t="shared" ca="1" si="264"/>
        <v>1.0190234202386212</v>
      </c>
      <c r="V779">
        <f t="shared" ca="1" si="265"/>
        <v>1.5754481447007525</v>
      </c>
      <c r="X779" t="b">
        <f t="shared" ca="1" si="266"/>
        <v>0</v>
      </c>
      <c r="BJ779" t="b">
        <f t="shared" si="247"/>
        <v>1</v>
      </c>
      <c r="BK779" t="b">
        <f t="shared" ca="1" si="248"/>
        <v>0</v>
      </c>
    </row>
    <row r="780" spans="1:63" x14ac:dyDescent="0.45">
      <c r="A780" s="1">
        <v>44105</v>
      </c>
      <c r="B780">
        <v>149.387</v>
      </c>
      <c r="C780" s="1">
        <v>44105</v>
      </c>
      <c r="D780">
        <v>337.04</v>
      </c>
      <c r="E780">
        <f t="shared" si="249"/>
        <v>4.4642420089089148E-2</v>
      </c>
      <c r="F780" s="4">
        <f t="shared" si="250"/>
        <v>6.4200185135418622E-3</v>
      </c>
      <c r="G780">
        <f t="shared" ca="1" si="251"/>
        <v>1.0699904405186245E-2</v>
      </c>
      <c r="H780">
        <f t="shared" ca="1" si="252"/>
        <v>6.0101859610159104E-2</v>
      </c>
      <c r="I780">
        <f t="shared" ca="1" si="253"/>
        <v>-0.21842644343708642</v>
      </c>
      <c r="J780">
        <f t="shared" ca="1" si="254"/>
        <v>2.0454146041436028</v>
      </c>
      <c r="K780">
        <f t="shared" ca="1" si="255"/>
        <v>1.3761604570571917</v>
      </c>
      <c r="L780">
        <f t="shared" ca="1" si="256"/>
        <v>2.1374126393527031</v>
      </c>
      <c r="M780">
        <f t="shared" ca="1" si="257"/>
        <v>5.3443084225810388E-4</v>
      </c>
      <c r="N780">
        <f t="shared" ca="1" si="258"/>
        <v>2.3057784942552919E-2</v>
      </c>
      <c r="O780">
        <f t="shared" ca="1" si="259"/>
        <v>-0.54928726424856711</v>
      </c>
      <c r="P780">
        <f t="shared" ca="1" si="260"/>
        <v>6.0653485441475228</v>
      </c>
      <c r="Q780">
        <f t="shared" ca="1" si="261"/>
        <v>0.9177232313390411</v>
      </c>
      <c r="R780">
        <f t="shared" ca="1" si="262"/>
        <v>1.4667160486461321</v>
      </c>
      <c r="T780">
        <f t="shared" si="263"/>
        <v>1.0446424200890891</v>
      </c>
      <c r="U780" s="6">
        <f t="shared" ca="1" si="264"/>
        <v>1.1556826005894958</v>
      </c>
      <c r="V780">
        <f t="shared" ca="1" si="265"/>
        <v>1.575552387294497</v>
      </c>
      <c r="X780" t="b">
        <f t="shared" ca="1" si="266"/>
        <v>0</v>
      </c>
      <c r="BJ780" t="b">
        <f t="shared" si="247"/>
        <v>1</v>
      </c>
      <c r="BK780" t="b">
        <f t="shared" ca="1" si="248"/>
        <v>0</v>
      </c>
    </row>
    <row r="781" spans="1:63" x14ac:dyDescent="0.45">
      <c r="A781" s="1">
        <v>44104</v>
      </c>
      <c r="B781">
        <v>143.00299999999999</v>
      </c>
      <c r="C781" s="1">
        <v>44104</v>
      </c>
      <c r="D781">
        <v>334.89</v>
      </c>
      <c r="E781">
        <f t="shared" si="249"/>
        <v>2.3716801489011299E-2</v>
      </c>
      <c r="F781" s="4">
        <f t="shared" si="250"/>
        <v>7.5819117248848624E-3</v>
      </c>
      <c r="G781">
        <f t="shared" ca="1" si="251"/>
        <v>1.0799092033528253E-2</v>
      </c>
      <c r="H781">
        <f t="shared" ca="1" si="252"/>
        <v>6.0174482606333055E-2</v>
      </c>
      <c r="I781">
        <f t="shared" ca="1" si="253"/>
        <v>-0.21991890741663808</v>
      </c>
      <c r="J781">
        <f t="shared" ca="1" si="254"/>
        <v>2.0251240654351044</v>
      </c>
      <c r="K781">
        <f t="shared" ca="1" si="255"/>
        <v>1.3761604570571917</v>
      </c>
      <c r="L781">
        <f t="shared" ca="1" si="256"/>
        <v>2.1374126393527031</v>
      </c>
      <c r="M781">
        <f t="shared" ca="1" si="257"/>
        <v>5.3668093247118348E-4</v>
      </c>
      <c r="N781">
        <f t="shared" ca="1" si="258"/>
        <v>2.3058384122508734E-2</v>
      </c>
      <c r="O781">
        <f t="shared" ca="1" si="259"/>
        <v>-0.549519268612917</v>
      </c>
      <c r="P781">
        <f t="shared" ca="1" si="260"/>
        <v>6.0646278840627916</v>
      </c>
      <c r="Q781">
        <f t="shared" ca="1" si="261"/>
        <v>0.9177232313390411</v>
      </c>
      <c r="R781">
        <f t="shared" ca="1" si="262"/>
        <v>1.4667160486461321</v>
      </c>
      <c r="T781">
        <f t="shared" si="263"/>
        <v>1.0237168014890112</v>
      </c>
      <c r="U781" s="6">
        <f t="shared" ca="1" si="264"/>
        <v>1.1278995480609209</v>
      </c>
      <c r="V781">
        <f t="shared" ca="1" si="265"/>
        <v>1.5813786257163729</v>
      </c>
      <c r="X781" t="b">
        <f t="shared" ca="1" si="266"/>
        <v>0</v>
      </c>
      <c r="BJ781" t="b">
        <f t="shared" si="247"/>
        <v>1</v>
      </c>
      <c r="BK781" t="b">
        <f t="shared" ca="1" si="248"/>
        <v>0</v>
      </c>
    </row>
    <row r="782" spans="1:63" x14ac:dyDescent="0.45">
      <c r="A782" s="1">
        <v>44103</v>
      </c>
      <c r="B782">
        <v>139.69</v>
      </c>
      <c r="C782" s="1">
        <v>44103</v>
      </c>
      <c r="D782">
        <v>332.37</v>
      </c>
      <c r="E782">
        <f t="shared" si="249"/>
        <v>-5.0569800569801133E-3</v>
      </c>
      <c r="F782" s="4">
        <f t="shared" si="250"/>
        <v>-5.4460037703102822E-3</v>
      </c>
      <c r="G782">
        <f t="shared" ca="1" si="251"/>
        <v>1.0662575444250153E-2</v>
      </c>
      <c r="H782">
        <f t="shared" ca="1" si="252"/>
        <v>6.0176000415977128E-2</v>
      </c>
      <c r="I782">
        <f t="shared" ca="1" si="253"/>
        <v>-0.21314720112655253</v>
      </c>
      <c r="J782">
        <f t="shared" ca="1" si="254"/>
        <v>2.0226130934781139</v>
      </c>
      <c r="K782">
        <f t="shared" ca="1" si="255"/>
        <v>1.3761604570571917</v>
      </c>
      <c r="L782">
        <f t="shared" ca="1" si="256"/>
        <v>2.1374126393527031</v>
      </c>
      <c r="M782">
        <f t="shared" ca="1" si="257"/>
        <v>5.017669907861846E-4</v>
      </c>
      <c r="N782">
        <f t="shared" ca="1" si="258"/>
        <v>2.3052948820562191E-2</v>
      </c>
      <c r="O782">
        <f t="shared" ca="1" si="259"/>
        <v>-0.54546350112541298</v>
      </c>
      <c r="P782">
        <f t="shared" ca="1" si="260"/>
        <v>6.0697920233904208</v>
      </c>
      <c r="Q782">
        <f t="shared" ca="1" si="261"/>
        <v>0.9177232313390411</v>
      </c>
      <c r="R782">
        <f t="shared" ca="1" si="262"/>
        <v>1.4667160486461321</v>
      </c>
      <c r="T782">
        <f t="shared" si="263"/>
        <v>0.99494301994301992</v>
      </c>
      <c r="U782" s="6">
        <f t="shared" ca="1" si="264"/>
        <v>0.98783678664875174</v>
      </c>
      <c r="V782">
        <f t="shared" ca="1" si="265"/>
        <v>1.5325313814550641</v>
      </c>
      <c r="X782" t="b">
        <f t="shared" ca="1" si="266"/>
        <v>1</v>
      </c>
      <c r="BJ782" t="b">
        <f t="shared" si="247"/>
        <v>1</v>
      </c>
      <c r="BK782" t="b">
        <f t="shared" ca="1" si="248"/>
        <v>1</v>
      </c>
    </row>
    <row r="783" spans="1:63" x14ac:dyDescent="0.45">
      <c r="A783" s="1">
        <v>44102</v>
      </c>
      <c r="B783">
        <v>140.4</v>
      </c>
      <c r="C783" s="1">
        <v>44102</v>
      </c>
      <c r="D783">
        <v>334.19</v>
      </c>
      <c r="E783">
        <f t="shared" si="249"/>
        <v>3.4025629695095039E-2</v>
      </c>
      <c r="F783" s="4">
        <f t="shared" si="250"/>
        <v>1.6609375475314023E-2</v>
      </c>
      <c r="G783">
        <f t="shared" ca="1" si="251"/>
        <v>1.0786825611001267E-2</v>
      </c>
      <c r="H783">
        <f t="shared" ca="1" si="252"/>
        <v>6.0169034414257618E-2</v>
      </c>
      <c r="I783">
        <f t="shared" ca="1" si="253"/>
        <v>-0.21937063074048624</v>
      </c>
      <c r="J783">
        <f t="shared" ca="1" si="254"/>
        <v>2.0267617022849995</v>
      </c>
      <c r="K783">
        <f t="shared" ca="1" si="255"/>
        <v>1.3761604570571917</v>
      </c>
      <c r="L783">
        <f t="shared" ca="1" si="256"/>
        <v>2.1374126393527031</v>
      </c>
      <c r="M783">
        <f t="shared" ca="1" si="257"/>
        <v>5.7209223258792999E-4</v>
      </c>
      <c r="N783">
        <f t="shared" ca="1" si="258"/>
        <v>2.3056166563703909E-2</v>
      </c>
      <c r="O783">
        <f t="shared" ca="1" si="259"/>
        <v>-0.55416948354029139</v>
      </c>
      <c r="P783">
        <f t="shared" ca="1" si="260"/>
        <v>6.071602014532437</v>
      </c>
      <c r="Q783">
        <f t="shared" ca="1" si="261"/>
        <v>0.9177232313390411</v>
      </c>
      <c r="R783">
        <f t="shared" ca="1" si="262"/>
        <v>1.4667160486461321</v>
      </c>
      <c r="T783">
        <f t="shared" si="263"/>
        <v>1.0340256296950949</v>
      </c>
      <c r="U783" s="6">
        <f t="shared" ca="1" si="264"/>
        <v>0.93726843661755588</v>
      </c>
      <c r="V783">
        <f t="shared" ca="1" si="265"/>
        <v>1.5223190623977021</v>
      </c>
      <c r="X783" t="b">
        <f t="shared" ca="1" si="266"/>
        <v>1</v>
      </c>
      <c r="BJ783" t="b">
        <f t="shared" si="247"/>
        <v>1</v>
      </c>
      <c r="BK783" t="b">
        <f t="shared" ca="1" si="248"/>
        <v>1</v>
      </c>
    </row>
    <row r="784" spans="1:63" x14ac:dyDescent="0.45">
      <c r="A784" s="1">
        <v>44099</v>
      </c>
      <c r="B784">
        <v>135.78</v>
      </c>
      <c r="C784" s="1">
        <v>44099</v>
      </c>
      <c r="D784">
        <v>328.73</v>
      </c>
      <c r="E784">
        <f t="shared" si="249"/>
        <v>5.0416592528411033E-2</v>
      </c>
      <c r="F784" s="4">
        <f t="shared" si="250"/>
        <v>1.6166924265842406E-2</v>
      </c>
      <c r="G784">
        <f t="shared" ca="1" si="251"/>
        <v>1.0672016519973331E-2</v>
      </c>
      <c r="H784">
        <f t="shared" ca="1" si="252"/>
        <v>6.0146371973231402E-2</v>
      </c>
      <c r="I784">
        <f t="shared" ca="1" si="253"/>
        <v>-0.21412712628409949</v>
      </c>
      <c r="J784">
        <f t="shared" ca="1" si="254"/>
        <v>2.0326050229050825</v>
      </c>
      <c r="K784">
        <f t="shared" ca="1" si="255"/>
        <v>1.3761604570571917</v>
      </c>
      <c r="L784">
        <f t="shared" ca="1" si="256"/>
        <v>2.1374126393527031</v>
      </c>
      <c r="M784">
        <f t="shared" ca="1" si="257"/>
        <v>5.0323857436104314E-4</v>
      </c>
      <c r="N784">
        <f t="shared" ca="1" si="258"/>
        <v>2.3028578611803657E-2</v>
      </c>
      <c r="O784">
        <f t="shared" ca="1" si="259"/>
        <v>-0.54881266080424651</v>
      </c>
      <c r="P784">
        <f t="shared" ca="1" si="260"/>
        <v>6.1074007134839166</v>
      </c>
      <c r="Q784">
        <f t="shared" ca="1" si="261"/>
        <v>0.9177232313390411</v>
      </c>
      <c r="R784">
        <f t="shared" ca="1" si="262"/>
        <v>1.435795266229293</v>
      </c>
      <c r="T784">
        <f t="shared" si="263"/>
        <v>1.050416592528411</v>
      </c>
      <c r="U784" s="6">
        <f t="shared" ca="1" si="264"/>
        <v>0.92127314547810812</v>
      </c>
      <c r="V784">
        <f t="shared" ca="1" si="265"/>
        <v>1.5449891549130559</v>
      </c>
      <c r="X784" t="b">
        <f t="shared" ca="1" si="266"/>
        <v>1</v>
      </c>
      <c r="BJ784" t="b">
        <f t="shared" si="247"/>
        <v>1</v>
      </c>
      <c r="BK784" t="b">
        <f t="shared" ca="1" si="248"/>
        <v>1</v>
      </c>
    </row>
    <row r="785" spans="1:63" x14ac:dyDescent="0.45">
      <c r="A785" s="1">
        <v>44098</v>
      </c>
      <c r="B785">
        <v>129.26300000000001</v>
      </c>
      <c r="C785" s="1">
        <v>44098</v>
      </c>
      <c r="D785">
        <v>323.5</v>
      </c>
      <c r="E785">
        <f t="shared" si="249"/>
        <v>1.9528816045809104E-2</v>
      </c>
      <c r="F785" s="4">
        <f t="shared" si="250"/>
        <v>2.6655095462435334E-3</v>
      </c>
      <c r="G785">
        <f t="shared" ca="1" si="251"/>
        <v>1.0557042409433968E-2</v>
      </c>
      <c r="H785">
        <f t="shared" ca="1" si="252"/>
        <v>6.0091969102449565E-2</v>
      </c>
      <c r="I785">
        <f t="shared" ca="1" si="253"/>
        <v>-0.21026997664149147</v>
      </c>
      <c r="J785">
        <f t="shared" ca="1" si="254"/>
        <v>2.0483960183407559</v>
      </c>
      <c r="K785">
        <f t="shared" ca="1" si="255"/>
        <v>1.3761604570571917</v>
      </c>
      <c r="L785">
        <f t="shared" ca="1" si="256"/>
        <v>2.0853630811695001</v>
      </c>
      <c r="M785">
        <f t="shared" ca="1" si="257"/>
        <v>4.1682857390605002E-4</v>
      </c>
      <c r="N785">
        <f t="shared" ca="1" si="258"/>
        <v>2.3001916644801251E-2</v>
      </c>
      <c r="O785">
        <f t="shared" ca="1" si="259"/>
        <v>-0.54094411954471888</v>
      </c>
      <c r="P785">
        <f t="shared" ca="1" si="260"/>
        <v>6.1404185858256257</v>
      </c>
      <c r="Q785">
        <f t="shared" ca="1" si="261"/>
        <v>0.9177232313390411</v>
      </c>
      <c r="R785">
        <f t="shared" ca="1" si="262"/>
        <v>1.4313744441982503</v>
      </c>
      <c r="T785">
        <f t="shared" si="263"/>
        <v>1.0195288160458091</v>
      </c>
      <c r="U785" s="6">
        <f t="shared" ca="1" si="264"/>
        <v>0.91583004470643259</v>
      </c>
      <c r="V785">
        <f t="shared" ca="1" si="265"/>
        <v>1.5397878924724981</v>
      </c>
      <c r="X785" t="b">
        <f t="shared" ca="1" si="266"/>
        <v>1</v>
      </c>
      <c r="BJ785" t="b">
        <f t="shared" si="247"/>
        <v>1</v>
      </c>
      <c r="BK785" t="b">
        <f t="shared" ca="1" si="248"/>
        <v>1</v>
      </c>
    </row>
    <row r="786" spans="1:63" x14ac:dyDescent="0.45">
      <c r="A786" s="1">
        <v>44097</v>
      </c>
      <c r="B786">
        <v>126.78700000000001</v>
      </c>
      <c r="C786" s="1">
        <v>44097</v>
      </c>
      <c r="D786">
        <v>322.64</v>
      </c>
      <c r="E786">
        <f t="shared" si="249"/>
        <v>-0.10340852839261715</v>
      </c>
      <c r="F786" s="4">
        <f t="shared" si="250"/>
        <v>-2.3191038449894112E-2</v>
      </c>
      <c r="G786">
        <f t="shared" ca="1" si="251"/>
        <v>1.0513567768352503E-2</v>
      </c>
      <c r="H786">
        <f t="shared" ca="1" si="252"/>
        <v>6.0088590848589175E-2</v>
      </c>
      <c r="I786">
        <f t="shared" ca="1" si="253"/>
        <v>-0.20812988638290164</v>
      </c>
      <c r="J786">
        <f t="shared" ca="1" si="254"/>
        <v>2.0489213376892366</v>
      </c>
      <c r="K786">
        <f t="shared" ca="1" si="255"/>
        <v>1.3761604570571917</v>
      </c>
      <c r="L786">
        <f t="shared" ca="1" si="256"/>
        <v>2.0853630811695001</v>
      </c>
      <c r="M786">
        <f t="shared" ca="1" si="257"/>
        <v>3.8778025252221354E-4</v>
      </c>
      <c r="N786">
        <f t="shared" ca="1" si="258"/>
        <v>2.3002730990640482E-2</v>
      </c>
      <c r="O786">
        <f t="shared" ca="1" si="259"/>
        <v>-0.53708351224594875</v>
      </c>
      <c r="P786">
        <f t="shared" ca="1" si="260"/>
        <v>6.1363424075680149</v>
      </c>
      <c r="Q786">
        <f t="shared" ca="1" si="261"/>
        <v>0.9177232313390411</v>
      </c>
      <c r="R786">
        <f t="shared" ca="1" si="262"/>
        <v>1.4313744441982503</v>
      </c>
      <c r="T786">
        <f t="shared" si="263"/>
        <v>0.89659147160738284</v>
      </c>
      <c r="U786" s="6">
        <f t="shared" ca="1" si="264"/>
        <v>0.8610147161687709</v>
      </c>
      <c r="V786">
        <f t="shared" ca="1" si="265"/>
        <v>1.5180555703839453</v>
      </c>
      <c r="X786" t="b">
        <f t="shared" ca="1" si="266"/>
        <v>1</v>
      </c>
      <c r="BJ786" t="b">
        <f t="shared" si="247"/>
        <v>1</v>
      </c>
      <c r="BK786" t="b">
        <f t="shared" ca="1" si="248"/>
        <v>1</v>
      </c>
    </row>
    <row r="787" spans="1:63" x14ac:dyDescent="0.45">
      <c r="A787" s="1">
        <v>44096</v>
      </c>
      <c r="B787">
        <v>141.41</v>
      </c>
      <c r="C787" s="1">
        <v>44096</v>
      </c>
      <c r="D787">
        <v>330.3</v>
      </c>
      <c r="E787">
        <f t="shared" si="249"/>
        <v>-5.5989105255779492E-2</v>
      </c>
      <c r="F787" s="4">
        <f t="shared" si="250"/>
        <v>1.0184420589044818E-2</v>
      </c>
      <c r="G787">
        <f t="shared" ca="1" si="251"/>
        <v>1.1114152978432294E-2</v>
      </c>
      <c r="H787">
        <f t="shared" ca="1" si="252"/>
        <v>5.9542016925223026E-2</v>
      </c>
      <c r="I787">
        <f t="shared" ca="1" si="253"/>
        <v>-0.20892347372519376</v>
      </c>
      <c r="J787">
        <f t="shared" ca="1" si="254"/>
        <v>2.1771511802898891</v>
      </c>
      <c r="K787">
        <f t="shared" ca="1" si="255"/>
        <v>1.4018306835742871</v>
      </c>
      <c r="L787">
        <f t="shared" ca="1" si="256"/>
        <v>2.1752077822593838</v>
      </c>
      <c r="M787">
        <f t="shared" ca="1" si="257"/>
        <v>5.4940559412108511E-4</v>
      </c>
      <c r="N787">
        <f t="shared" ca="1" si="258"/>
        <v>2.2949727953334983E-2</v>
      </c>
      <c r="O787">
        <f t="shared" ca="1" si="259"/>
        <v>-0.55636904659780428</v>
      </c>
      <c r="P787">
        <f t="shared" ca="1" si="260"/>
        <v>6.2314853298242232</v>
      </c>
      <c r="Q787">
        <f t="shared" ca="1" si="261"/>
        <v>0.9177232313390411</v>
      </c>
      <c r="R787">
        <f t="shared" ca="1" si="262"/>
        <v>1.4669106553847142</v>
      </c>
      <c r="T787">
        <f t="shared" si="263"/>
        <v>0.94401089474422051</v>
      </c>
      <c r="U787" s="6">
        <f t="shared" ca="1" si="264"/>
        <v>0.94323639274279625</v>
      </c>
      <c r="V787">
        <f t="shared" ca="1" si="265"/>
        <v>1.5202176071538531</v>
      </c>
      <c r="X787" t="b">
        <f t="shared" ca="1" si="266"/>
        <v>1</v>
      </c>
      <c r="BJ787" t="b">
        <f t="shared" si="247"/>
        <v>1</v>
      </c>
      <c r="BK787" t="b">
        <f t="shared" ca="1" si="248"/>
        <v>1</v>
      </c>
    </row>
    <row r="788" spans="1:63" x14ac:dyDescent="0.45">
      <c r="A788" s="1">
        <v>44095</v>
      </c>
      <c r="B788">
        <v>149.797</v>
      </c>
      <c r="C788" s="1">
        <v>44095</v>
      </c>
      <c r="D788">
        <v>326.97000000000003</v>
      </c>
      <c r="E788">
        <f t="shared" si="249"/>
        <v>1.637909392535087E-2</v>
      </c>
      <c r="F788" s="4">
        <f t="shared" si="250"/>
        <v>-1.1129593225464843E-2</v>
      </c>
      <c r="G788">
        <f t="shared" ca="1" si="251"/>
        <v>1.1354169669471122E-2</v>
      </c>
      <c r="H788">
        <f t="shared" ca="1" si="252"/>
        <v>5.9366654862461218E-2</v>
      </c>
      <c r="I788">
        <f t="shared" ca="1" si="253"/>
        <v>-0.21587065094606631</v>
      </c>
      <c r="J788">
        <f t="shared" ca="1" si="254"/>
        <v>2.2341992597886779</v>
      </c>
      <c r="K788">
        <f t="shared" ca="1" si="255"/>
        <v>1.4018306835742871</v>
      </c>
      <c r="L788">
        <f t="shared" ca="1" si="256"/>
        <v>2.2139153339062658</v>
      </c>
      <c r="M788">
        <f t="shared" ca="1" si="257"/>
        <v>5.0747340962445831E-4</v>
      </c>
      <c r="N788">
        <f t="shared" ca="1" si="258"/>
        <v>2.2939694414355002E-2</v>
      </c>
      <c r="O788">
        <f t="shared" ca="1" si="259"/>
        <v>-0.55193550484623399</v>
      </c>
      <c r="P788">
        <f t="shared" ca="1" si="260"/>
        <v>6.2434276615672859</v>
      </c>
      <c r="Q788">
        <f t="shared" ca="1" si="261"/>
        <v>0.9177232313390411</v>
      </c>
      <c r="R788">
        <f t="shared" ca="1" si="262"/>
        <v>1.454927603467937</v>
      </c>
      <c r="T788">
        <f t="shared" si="263"/>
        <v>1.016379093925351</v>
      </c>
      <c r="U788" s="6">
        <f t="shared" ca="1" si="264"/>
        <v>1.0709500761404991</v>
      </c>
      <c r="V788">
        <f t="shared" ca="1" si="265"/>
        <v>1.5242565316649803</v>
      </c>
      <c r="X788" t="b">
        <f t="shared" ca="1" si="266"/>
        <v>0</v>
      </c>
      <c r="BJ788" t="b">
        <f t="shared" si="247"/>
        <v>1</v>
      </c>
      <c r="BK788" t="b">
        <f t="shared" ca="1" si="248"/>
        <v>0</v>
      </c>
    </row>
    <row r="789" spans="1:63" x14ac:dyDescent="0.45">
      <c r="A789" s="1">
        <v>44092</v>
      </c>
      <c r="B789">
        <v>147.38300000000001</v>
      </c>
      <c r="C789" s="1">
        <v>44092</v>
      </c>
      <c r="D789">
        <v>330.65</v>
      </c>
      <c r="E789">
        <f t="shared" si="249"/>
        <v>4.421048156833856E-2</v>
      </c>
      <c r="F789" s="4">
        <f t="shared" si="250"/>
        <v>-1.5453787517865645E-2</v>
      </c>
      <c r="G789">
        <f t="shared" ca="1" si="251"/>
        <v>1.1225137008980014E-2</v>
      </c>
      <c r="H789">
        <f t="shared" ca="1" si="252"/>
        <v>5.9383721001524788E-2</v>
      </c>
      <c r="I789">
        <f t="shared" ca="1" si="253"/>
        <v>-0.2093207659068046</v>
      </c>
      <c r="J789">
        <f t="shared" ca="1" si="254"/>
        <v>2.2263242706424577</v>
      </c>
      <c r="K789">
        <f t="shared" ca="1" si="255"/>
        <v>1.4018306835742871</v>
      </c>
      <c r="L789">
        <f t="shared" ca="1" si="256"/>
        <v>2.2139153339062658</v>
      </c>
      <c r="M789">
        <f t="shared" ca="1" si="257"/>
        <v>5.9397261141645621E-4</v>
      </c>
      <c r="N789">
        <f t="shared" ca="1" si="258"/>
        <v>2.2928207337324383E-2</v>
      </c>
      <c r="O789">
        <f t="shared" ca="1" si="259"/>
        <v>-0.56345758241043964</v>
      </c>
      <c r="P789">
        <f t="shared" ca="1" si="260"/>
        <v>6.270320331416591</v>
      </c>
      <c r="Q789">
        <f t="shared" ca="1" si="261"/>
        <v>0.9177232313390411</v>
      </c>
      <c r="R789">
        <f t="shared" ca="1" si="262"/>
        <v>1.5820499600917364</v>
      </c>
      <c r="T789">
        <f t="shared" si="263"/>
        <v>1.0442104815683386</v>
      </c>
      <c r="U789" s="6">
        <f t="shared" ca="1" si="264"/>
        <v>1.1862765614938831</v>
      </c>
      <c r="V789">
        <f t="shared" ca="1" si="265"/>
        <v>1.5505658275939269</v>
      </c>
      <c r="X789" t="b">
        <f t="shared" ca="1" si="266"/>
        <v>0</v>
      </c>
      <c r="BJ789" t="b">
        <f t="shared" si="247"/>
        <v>1</v>
      </c>
      <c r="BK789" t="b">
        <f t="shared" ca="1" si="248"/>
        <v>0</v>
      </c>
    </row>
    <row r="790" spans="1:63" x14ac:dyDescent="0.45">
      <c r="A790" s="1">
        <v>44091</v>
      </c>
      <c r="B790">
        <v>141.143</v>
      </c>
      <c r="C790" s="1">
        <v>44091</v>
      </c>
      <c r="D790">
        <v>335.84</v>
      </c>
      <c r="E790">
        <f t="shared" si="249"/>
        <v>-4.1493212362396593E-2</v>
      </c>
      <c r="F790" s="4">
        <f t="shared" si="250"/>
        <v>-8.795230505873379E-3</v>
      </c>
      <c r="G790">
        <f t="shared" ca="1" si="251"/>
        <v>1.1023928092876173E-2</v>
      </c>
      <c r="H790">
        <f t="shared" ca="1" si="252"/>
        <v>5.9339554529416257E-2</v>
      </c>
      <c r="I790">
        <f t="shared" ca="1" si="253"/>
        <v>-0.20039442999606016</v>
      </c>
      <c r="J790">
        <f t="shared" ca="1" si="254"/>
        <v>2.2387002727668115</v>
      </c>
      <c r="K790">
        <f t="shared" ca="1" si="255"/>
        <v>1.4018306835742871</v>
      </c>
      <c r="L790">
        <f t="shared" ca="1" si="256"/>
        <v>2.162661483437156</v>
      </c>
      <c r="M790">
        <f t="shared" ca="1" si="257"/>
        <v>6.3770926816892227E-4</v>
      </c>
      <c r="N790">
        <f t="shared" ca="1" si="258"/>
        <v>2.2905773638002013E-2</v>
      </c>
      <c r="O790">
        <f t="shared" ca="1" si="259"/>
        <v>-0.56931968739206418</v>
      </c>
      <c r="P790">
        <f t="shared" ca="1" si="260"/>
        <v>6.3100900473363444</v>
      </c>
      <c r="Q790">
        <f t="shared" ca="1" si="261"/>
        <v>0.9177232313390411</v>
      </c>
      <c r="R790">
        <f t="shared" ca="1" si="262"/>
        <v>1.5820499600917364</v>
      </c>
      <c r="T790">
        <f t="shared" si="263"/>
        <v>0.95850678763760344</v>
      </c>
      <c r="U790" s="6">
        <f t="shared" ca="1" si="264"/>
        <v>1.1402730651155275</v>
      </c>
      <c r="V790">
        <f t="shared" ca="1" si="265"/>
        <v>1.5430809749294592</v>
      </c>
      <c r="X790" t="b">
        <f t="shared" ca="1" si="266"/>
        <v>0</v>
      </c>
      <c r="BJ790" t="b">
        <f t="shared" si="247"/>
        <v>1</v>
      </c>
      <c r="BK790" t="b">
        <f t="shared" ca="1" si="248"/>
        <v>0</v>
      </c>
    </row>
    <row r="791" spans="1:63" x14ac:dyDescent="0.45">
      <c r="A791" s="1">
        <v>44090</v>
      </c>
      <c r="B791">
        <v>147.25299999999999</v>
      </c>
      <c r="C791" s="1">
        <v>44090</v>
      </c>
      <c r="D791">
        <v>338.82</v>
      </c>
      <c r="E791">
        <f t="shared" si="249"/>
        <v>-1.7789487726787633E-2</v>
      </c>
      <c r="F791" s="4">
        <f t="shared" si="250"/>
        <v>-3.9686039333275205E-3</v>
      </c>
      <c r="G791">
        <f t="shared" ca="1" si="251"/>
        <v>1.1306112285257351E-2</v>
      </c>
      <c r="H791">
        <f t="shared" ca="1" si="252"/>
        <v>5.9222633865245775E-2</v>
      </c>
      <c r="I791">
        <f t="shared" ca="1" si="253"/>
        <v>-0.21248151986810401</v>
      </c>
      <c r="J791">
        <f t="shared" ca="1" si="254"/>
        <v>2.281344678516275</v>
      </c>
      <c r="K791">
        <f t="shared" ca="1" si="255"/>
        <v>1.4018306835742871</v>
      </c>
      <c r="L791">
        <f t="shared" ca="1" si="256"/>
        <v>2.1810565075019439</v>
      </c>
      <c r="M791">
        <f t="shared" ca="1" si="257"/>
        <v>6.3921143005211121E-4</v>
      </c>
      <c r="N791">
        <f t="shared" ca="1" si="258"/>
        <v>2.2905161759704439E-2</v>
      </c>
      <c r="O791">
        <f t="shared" ca="1" si="259"/>
        <v>-0.56953123987598542</v>
      </c>
      <c r="P791">
        <f t="shared" ca="1" si="260"/>
        <v>6.3112241195403032</v>
      </c>
      <c r="Q791">
        <f t="shared" ca="1" si="261"/>
        <v>0.9177232313390411</v>
      </c>
      <c r="R791">
        <f t="shared" ca="1" si="262"/>
        <v>1.5820499600917364</v>
      </c>
      <c r="T791">
        <f t="shared" si="263"/>
        <v>0.98221051227321232</v>
      </c>
      <c r="U791" s="6">
        <f t="shared" ca="1" si="264"/>
        <v>1.2060724202042701</v>
      </c>
      <c r="V791">
        <f t="shared" ca="1" si="265"/>
        <v>1.582154819538895</v>
      </c>
      <c r="X791" t="b">
        <f t="shared" ca="1" si="266"/>
        <v>0</v>
      </c>
      <c r="BJ791" t="b">
        <f t="shared" si="247"/>
        <v>1</v>
      </c>
      <c r="BK791" t="b">
        <f t="shared" ca="1" si="248"/>
        <v>0</v>
      </c>
    </row>
    <row r="792" spans="1:63" x14ac:dyDescent="0.45">
      <c r="A792" s="1">
        <v>44089</v>
      </c>
      <c r="B792">
        <v>149.91999999999999</v>
      </c>
      <c r="C792" s="1">
        <v>44089</v>
      </c>
      <c r="D792">
        <v>340.17</v>
      </c>
      <c r="E792">
        <f t="shared" si="249"/>
        <v>7.182944528250626E-2</v>
      </c>
      <c r="F792" s="4">
        <f t="shared" si="250"/>
        <v>5.0522956922532548E-3</v>
      </c>
      <c r="G792">
        <f t="shared" ca="1" si="251"/>
        <v>1.137468482576578E-2</v>
      </c>
      <c r="H792">
        <f t="shared" ca="1" si="252"/>
        <v>5.9196709624159564E-2</v>
      </c>
      <c r="I792">
        <f t="shared" ca="1" si="253"/>
        <v>-0.21575739712356529</v>
      </c>
      <c r="J792">
        <f t="shared" ca="1" si="254"/>
        <v>2.2914155713370477</v>
      </c>
      <c r="K792">
        <f t="shared" ca="1" si="255"/>
        <v>1.4018306835742871</v>
      </c>
      <c r="L792">
        <f t="shared" ca="1" si="256"/>
        <v>2.2038793449866194</v>
      </c>
      <c r="M792">
        <f t="shared" ca="1" si="257"/>
        <v>6.4051127740988604E-4</v>
      </c>
      <c r="N792">
        <f t="shared" ca="1" si="258"/>
        <v>2.2904906331396836E-2</v>
      </c>
      <c r="O792">
        <f t="shared" ca="1" si="259"/>
        <v>-0.56971565533489554</v>
      </c>
      <c r="P792">
        <f t="shared" ca="1" si="260"/>
        <v>6.3117716837674402</v>
      </c>
      <c r="Q792">
        <f t="shared" ca="1" si="261"/>
        <v>0.9177232313390411</v>
      </c>
      <c r="R792">
        <f t="shared" ca="1" si="262"/>
        <v>1.5820499600917364</v>
      </c>
      <c r="T792">
        <f t="shared" si="263"/>
        <v>1.0718294452825063</v>
      </c>
      <c r="U792" s="6">
        <f t="shared" ca="1" si="264"/>
        <v>1.3620423366948307</v>
      </c>
      <c r="V792">
        <f t="shared" ca="1" si="265"/>
        <v>1.6100683537670024</v>
      </c>
      <c r="X792" t="b">
        <f t="shared" ca="1" si="266"/>
        <v>0</v>
      </c>
      <c r="BJ792" t="b">
        <f t="shared" si="247"/>
        <v>1</v>
      </c>
      <c r="BK792" t="b">
        <f t="shared" ca="1" si="248"/>
        <v>0</v>
      </c>
    </row>
    <row r="793" spans="1:63" x14ac:dyDescent="0.45">
      <c r="A793" s="1">
        <v>44088</v>
      </c>
      <c r="B793">
        <v>139.87299999999999</v>
      </c>
      <c r="C793" s="1">
        <v>44088</v>
      </c>
      <c r="D793">
        <v>338.46</v>
      </c>
      <c r="E793">
        <f t="shared" si="249"/>
        <v>0.12582904056664518</v>
      </c>
      <c r="F793" s="4">
        <f t="shared" si="250"/>
        <v>1.3171286595222346E-2</v>
      </c>
      <c r="G793">
        <f t="shared" ca="1" si="251"/>
        <v>1.1051564596799436E-2</v>
      </c>
      <c r="H793">
        <f t="shared" ca="1" si="252"/>
        <v>5.9041232469710964E-2</v>
      </c>
      <c r="I793">
        <f t="shared" ca="1" si="253"/>
        <v>-0.2063330581933274</v>
      </c>
      <c r="J793">
        <f t="shared" ca="1" si="254"/>
        <v>2.337370317872594</v>
      </c>
      <c r="K793">
        <f t="shared" ca="1" si="255"/>
        <v>1.4018306835742871</v>
      </c>
      <c r="L793">
        <f t="shared" ca="1" si="256"/>
        <v>2.1672811120120534</v>
      </c>
      <c r="M793">
        <f t="shared" ca="1" si="257"/>
        <v>6.3753711428229357E-4</v>
      </c>
      <c r="N793">
        <f t="shared" ca="1" si="258"/>
        <v>2.2904369202692031E-2</v>
      </c>
      <c r="O793">
        <f t="shared" ca="1" si="259"/>
        <v>-0.56937503149345126</v>
      </c>
      <c r="P793">
        <f t="shared" ca="1" si="260"/>
        <v>6.3123445058257053</v>
      </c>
      <c r="Q793">
        <f t="shared" ca="1" si="261"/>
        <v>0.9177232313390411</v>
      </c>
      <c r="R793">
        <f t="shared" ca="1" si="262"/>
        <v>1.5820499600917364</v>
      </c>
      <c r="T793">
        <f t="shared" si="263"/>
        <v>1.1258290405666451</v>
      </c>
      <c r="U793" s="6">
        <f t="shared" ca="1" si="264"/>
        <v>1.0031052782558805</v>
      </c>
      <c r="V793">
        <f t="shared" ca="1" si="265"/>
        <v>1.3089854251701185</v>
      </c>
      <c r="X793" t="b">
        <f t="shared" ca="1" si="266"/>
        <v>0</v>
      </c>
      <c r="BJ793" t="b">
        <f t="shared" si="247"/>
        <v>1</v>
      </c>
      <c r="BK793" t="b">
        <f t="shared" ca="1" si="248"/>
        <v>0</v>
      </c>
    </row>
    <row r="794" spans="1:63" x14ac:dyDescent="0.45">
      <c r="A794" s="1">
        <v>44085</v>
      </c>
      <c r="B794">
        <v>124.24</v>
      </c>
      <c r="C794" s="1">
        <v>44085</v>
      </c>
      <c r="D794">
        <v>334.06</v>
      </c>
      <c r="E794">
        <f t="shared" si="249"/>
        <v>3.7162708030375967E-3</v>
      </c>
      <c r="F794" s="4">
        <f t="shared" si="250"/>
        <v>5.0914971996770175E-4</v>
      </c>
      <c r="G794">
        <f t="shared" ca="1" si="251"/>
        <v>1.0312107076537892E-2</v>
      </c>
      <c r="H794">
        <f t="shared" ca="1" si="252"/>
        <v>5.8520316858470062E-2</v>
      </c>
      <c r="I794">
        <f t="shared" ca="1" si="253"/>
        <v>-0.21281594682352836</v>
      </c>
      <c r="J794">
        <f t="shared" ca="1" si="254"/>
        <v>2.4435466471257445</v>
      </c>
      <c r="K794">
        <f t="shared" ca="1" si="255"/>
        <v>1.3677820624894306</v>
      </c>
      <c r="L794">
        <f t="shared" ca="1" si="256"/>
        <v>2.1161984028067904</v>
      </c>
      <c r="M794">
        <f t="shared" ca="1" si="257"/>
        <v>5.830091428691899E-4</v>
      </c>
      <c r="N794">
        <f t="shared" ca="1" si="258"/>
        <v>2.2887355458782743E-2</v>
      </c>
      <c r="O794">
        <f t="shared" ca="1" si="259"/>
        <v>-0.56425797662231281</v>
      </c>
      <c r="P794">
        <f t="shared" ca="1" si="260"/>
        <v>6.3342144469780211</v>
      </c>
      <c r="Q794">
        <f t="shared" ca="1" si="261"/>
        <v>0.9177232313390411</v>
      </c>
      <c r="R794">
        <f t="shared" ca="1" si="262"/>
        <v>1.5712662830788651</v>
      </c>
      <c r="T794">
        <f t="shared" si="263"/>
        <v>1.0037162708030376</v>
      </c>
      <c r="U794" s="6">
        <f t="shared" ca="1" si="264"/>
        <v>0.91577170572062483</v>
      </c>
      <c r="V794">
        <f t="shared" ca="1" si="265"/>
        <v>1.3141420076150392</v>
      </c>
      <c r="X794" t="b">
        <f t="shared" ca="1" si="266"/>
        <v>1</v>
      </c>
      <c r="BJ794" t="b">
        <f t="shared" si="247"/>
        <v>1</v>
      </c>
      <c r="BK794" t="b">
        <f t="shared" ca="1" si="248"/>
        <v>1</v>
      </c>
    </row>
    <row r="795" spans="1:63" x14ac:dyDescent="0.45">
      <c r="A795" s="1">
        <v>44084</v>
      </c>
      <c r="B795">
        <v>123.78</v>
      </c>
      <c r="C795" s="1">
        <v>44084</v>
      </c>
      <c r="D795">
        <v>333.89</v>
      </c>
      <c r="E795">
        <f t="shared" si="249"/>
        <v>1.3817335965206831E-2</v>
      </c>
      <c r="F795" s="4">
        <f t="shared" si="250"/>
        <v>-1.7363665793578485E-2</v>
      </c>
      <c r="G795">
        <f t="shared" ca="1" si="251"/>
        <v>1.0343069246508525E-2</v>
      </c>
      <c r="H795">
        <f t="shared" ca="1" si="252"/>
        <v>5.8518447699213418E-2</v>
      </c>
      <c r="I795">
        <f t="shared" ca="1" si="253"/>
        <v>-0.21443241012018457</v>
      </c>
      <c r="J795">
        <f t="shared" ca="1" si="254"/>
        <v>2.4447084982297209</v>
      </c>
      <c r="K795">
        <f t="shared" ca="1" si="255"/>
        <v>1.3677820624894306</v>
      </c>
      <c r="L795">
        <f t="shared" ca="1" si="256"/>
        <v>2.1161984028067904</v>
      </c>
      <c r="M795">
        <f t="shared" ca="1" si="257"/>
        <v>6.1921435902366094E-4</v>
      </c>
      <c r="N795">
        <f t="shared" ca="1" si="258"/>
        <v>2.289296460408629E-2</v>
      </c>
      <c r="O795">
        <f t="shared" ca="1" si="259"/>
        <v>-0.56847999013557282</v>
      </c>
      <c r="P795">
        <f t="shared" ca="1" si="260"/>
        <v>6.3287283540183159</v>
      </c>
      <c r="Q795">
        <f t="shared" ca="1" si="261"/>
        <v>0.9177232313390411</v>
      </c>
      <c r="R795">
        <f t="shared" ca="1" si="262"/>
        <v>1.5712662830788651</v>
      </c>
      <c r="T795">
        <f t="shared" si="263"/>
        <v>1.0138173359652067</v>
      </c>
      <c r="U795" s="6">
        <f t="shared" ca="1" si="264"/>
        <v>0.83005304346076736</v>
      </c>
      <c r="V795">
        <f t="shared" ca="1" si="265"/>
        <v>1.3302205343661209</v>
      </c>
      <c r="X795" t="b">
        <f t="shared" ca="1" si="266"/>
        <v>1</v>
      </c>
      <c r="BJ795" t="b">
        <f t="shared" si="247"/>
        <v>1</v>
      </c>
      <c r="BK795" t="b">
        <f t="shared" ca="1" si="248"/>
        <v>1</v>
      </c>
    </row>
    <row r="796" spans="1:63" x14ac:dyDescent="0.45">
      <c r="A796" s="1">
        <v>44083</v>
      </c>
      <c r="B796">
        <v>122.093</v>
      </c>
      <c r="C796" s="1">
        <v>44083</v>
      </c>
      <c r="D796">
        <v>339.79</v>
      </c>
      <c r="E796">
        <f t="shared" si="249"/>
        <v>0.10923048968838023</v>
      </c>
      <c r="F796" s="4">
        <f t="shared" si="250"/>
        <v>1.9747306503406385E-2</v>
      </c>
      <c r="G796">
        <f t="shared" ca="1" si="251"/>
        <v>9.9669477795523327E-3</v>
      </c>
      <c r="H796">
        <f t="shared" ca="1" si="252"/>
        <v>5.8737343887754853E-2</v>
      </c>
      <c r="I796">
        <f t="shared" ca="1" si="253"/>
        <v>-0.20189234665960107</v>
      </c>
      <c r="J796">
        <f t="shared" ca="1" si="254"/>
        <v>2.3693209354461722</v>
      </c>
      <c r="K796">
        <f t="shared" ca="1" si="255"/>
        <v>1.3677820624894306</v>
      </c>
      <c r="L796">
        <f t="shared" ca="1" si="256"/>
        <v>2.0798877927416841</v>
      </c>
      <c r="M796">
        <f t="shared" ca="1" si="257"/>
        <v>7.1715203565649044E-4</v>
      </c>
      <c r="N796">
        <f t="shared" ca="1" si="258"/>
        <v>2.2857516981172058E-2</v>
      </c>
      <c r="O796">
        <f t="shared" ca="1" si="259"/>
        <v>-0.5816394394480302</v>
      </c>
      <c r="P796">
        <f t="shared" ca="1" si="260"/>
        <v>6.3950894371909941</v>
      </c>
      <c r="Q796">
        <f t="shared" ca="1" si="261"/>
        <v>0.9177232313390411</v>
      </c>
      <c r="R796">
        <f t="shared" ca="1" si="262"/>
        <v>1.6404985573646071</v>
      </c>
      <c r="T796">
        <f t="shared" si="263"/>
        <v>1.1092304896883802</v>
      </c>
      <c r="U796" s="6">
        <f t="shared" ca="1" si="264"/>
        <v>0.77103252289232727</v>
      </c>
      <c r="V796">
        <f t="shared" ca="1" si="265"/>
        <v>1.2936344719998463</v>
      </c>
      <c r="X796" t="b">
        <f t="shared" ca="1" si="266"/>
        <v>1</v>
      </c>
      <c r="BJ796" t="b">
        <f t="shared" si="247"/>
        <v>1</v>
      </c>
      <c r="BK796" t="b">
        <f t="shared" ca="1" si="248"/>
        <v>1</v>
      </c>
    </row>
    <row r="797" spans="1:63" x14ac:dyDescent="0.45">
      <c r="A797" s="1">
        <v>44082</v>
      </c>
      <c r="B797">
        <v>110.07</v>
      </c>
      <c r="C797" s="1">
        <v>44082</v>
      </c>
      <c r="D797">
        <v>333.21</v>
      </c>
      <c r="E797">
        <f t="shared" si="249"/>
        <v>-0.21062822719449228</v>
      </c>
      <c r="F797" s="4">
        <f t="shared" si="250"/>
        <v>-2.7322882914440884E-2</v>
      </c>
      <c r="G797">
        <f t="shared" ca="1" si="251"/>
        <v>9.457846090650996E-3</v>
      </c>
      <c r="H797">
        <f t="shared" ca="1" si="252"/>
        <v>5.8312383825608841E-2</v>
      </c>
      <c r="I797">
        <f t="shared" ca="1" si="253"/>
        <v>-0.20491990538419563</v>
      </c>
      <c r="J797">
        <f t="shared" ca="1" si="254"/>
        <v>2.4776480326804426</v>
      </c>
      <c r="K797">
        <f t="shared" ca="1" si="255"/>
        <v>1.3513971748272278</v>
      </c>
      <c r="L797">
        <f t="shared" ca="1" si="256"/>
        <v>2.0455410071779099</v>
      </c>
      <c r="M797">
        <f t="shared" ca="1" si="257"/>
        <v>6.1037096859622715E-4</v>
      </c>
      <c r="N797">
        <f t="shared" ca="1" si="258"/>
        <v>2.2818018728292713E-2</v>
      </c>
      <c r="O797">
        <f t="shared" ca="1" si="259"/>
        <v>-0.57343401829820706</v>
      </c>
      <c r="P797">
        <f t="shared" ca="1" si="260"/>
        <v>6.4470359654535754</v>
      </c>
      <c r="Q797">
        <f t="shared" ca="1" si="261"/>
        <v>0.9177232313390411</v>
      </c>
      <c r="R797">
        <f t="shared" ca="1" si="262"/>
        <v>1.631058592336994</v>
      </c>
      <c r="T797">
        <f t="shared" si="263"/>
        <v>0.78937177280550774</v>
      </c>
      <c r="U797" s="6">
        <f t="shared" ca="1" si="264"/>
        <v>0.66264516245552563</v>
      </c>
      <c r="V797">
        <f t="shared" ca="1" si="265"/>
        <v>1.2618592183086372</v>
      </c>
      <c r="X797" t="b">
        <f t="shared" ca="1" si="266"/>
        <v>1</v>
      </c>
      <c r="BJ797" t="b">
        <f t="shared" si="247"/>
        <v>1</v>
      </c>
      <c r="BK797" t="b">
        <f t="shared" ca="1" si="248"/>
        <v>1</v>
      </c>
    </row>
    <row r="798" spans="1:63" x14ac:dyDescent="0.45">
      <c r="A798" s="1">
        <v>44078</v>
      </c>
      <c r="B798">
        <v>139.44</v>
      </c>
      <c r="C798" s="1">
        <v>44078</v>
      </c>
      <c r="D798">
        <v>342.57</v>
      </c>
      <c r="E798">
        <f t="shared" si="249"/>
        <v>2.7810742479748178E-2</v>
      </c>
      <c r="F798" s="4">
        <f t="shared" si="250"/>
        <v>-8.1646834013723423E-3</v>
      </c>
      <c r="G798">
        <f t="shared" ca="1" si="251"/>
        <v>1.040945601834576E-2</v>
      </c>
      <c r="H798">
        <f t="shared" ca="1" si="252"/>
        <v>5.6218051624028841E-2</v>
      </c>
      <c r="I798">
        <f t="shared" ca="1" si="253"/>
        <v>2.3814102475921056E-2</v>
      </c>
      <c r="J798">
        <f t="shared" ca="1" si="254"/>
        <v>2.128364797508338</v>
      </c>
      <c r="K798">
        <f t="shared" ca="1" si="255"/>
        <v>1.443481227278588</v>
      </c>
      <c r="L798">
        <f t="shared" ca="1" si="256"/>
        <v>2.0455410071779099</v>
      </c>
      <c r="M798">
        <f t="shared" ca="1" si="257"/>
        <v>7.2839146786692164E-4</v>
      </c>
      <c r="N798">
        <f t="shared" ca="1" si="258"/>
        <v>2.2733702306629161E-2</v>
      </c>
      <c r="O798">
        <f t="shared" ca="1" si="259"/>
        <v>-0.58618891776313975</v>
      </c>
      <c r="P798">
        <f t="shared" ca="1" si="260"/>
        <v>6.5891072030942786</v>
      </c>
      <c r="Q798">
        <f t="shared" ca="1" si="261"/>
        <v>0.9177232313390411</v>
      </c>
      <c r="R798">
        <f t="shared" ca="1" si="262"/>
        <v>1.6541556859437214</v>
      </c>
      <c r="T798">
        <f t="shared" si="263"/>
        <v>1.0278107424797482</v>
      </c>
      <c r="U798" s="6">
        <f t="shared" ca="1" si="264"/>
        <v>0.94497153700189762</v>
      </c>
      <c r="V798">
        <f t="shared" ca="1" si="265"/>
        <v>1.2384205785543956</v>
      </c>
      <c r="X798" t="b">
        <f t="shared" ca="1" si="266"/>
        <v>1</v>
      </c>
      <c r="BJ798" t="b">
        <f t="shared" si="247"/>
        <v>1</v>
      </c>
      <c r="BK798" t="b">
        <f t="shared" ca="1" si="248"/>
        <v>1</v>
      </c>
    </row>
    <row r="799" spans="1:63" x14ac:dyDescent="0.45">
      <c r="A799" s="1">
        <v>44077</v>
      </c>
      <c r="B799">
        <v>135.667</v>
      </c>
      <c r="C799" s="1">
        <v>44077</v>
      </c>
      <c r="D799">
        <v>345.39</v>
      </c>
      <c r="E799">
        <f t="shared" si="249"/>
        <v>-9.0234236167459014E-2</v>
      </c>
      <c r="F799" s="4">
        <f t="shared" si="250"/>
        <v>-3.4414313670673755E-2</v>
      </c>
      <c r="G799">
        <f t="shared" ca="1" si="251"/>
        <v>1.0406541715445279E-2</v>
      </c>
      <c r="H799">
        <f t="shared" ca="1" si="252"/>
        <v>5.6217160121447514E-2</v>
      </c>
      <c r="I799">
        <f t="shared" ca="1" si="253"/>
        <v>2.3957700632255507E-2</v>
      </c>
      <c r="J799">
        <f t="shared" ca="1" si="254"/>
        <v>2.128692009692382</v>
      </c>
      <c r="K799">
        <f t="shared" ca="1" si="255"/>
        <v>1.443481227278588</v>
      </c>
      <c r="L799">
        <f t="shared" ca="1" si="256"/>
        <v>2.0455410071779099</v>
      </c>
      <c r="M799">
        <f t="shared" ca="1" si="257"/>
        <v>7.6777266963117116E-4</v>
      </c>
      <c r="N799">
        <f t="shared" ca="1" si="258"/>
        <v>2.2725039859738512E-2</v>
      </c>
      <c r="O799">
        <f t="shared" ca="1" si="259"/>
        <v>-0.59180711953968068</v>
      </c>
      <c r="P799">
        <f t="shared" ca="1" si="260"/>
        <v>6.6078518387024525</v>
      </c>
      <c r="Q799">
        <f t="shared" ca="1" si="261"/>
        <v>0.9177232313390411</v>
      </c>
      <c r="R799">
        <f t="shared" ca="1" si="262"/>
        <v>1.7016554037148515</v>
      </c>
      <c r="T799">
        <f t="shared" si="263"/>
        <v>0.90976576383254093</v>
      </c>
      <c r="U799" s="6">
        <f t="shared" ca="1" si="264"/>
        <v>0.9089916247906199</v>
      </c>
      <c r="V799">
        <f t="shared" ca="1" si="265"/>
        <v>1.2307302446470518</v>
      </c>
      <c r="X799" t="b">
        <f t="shared" ca="1" si="266"/>
        <v>1</v>
      </c>
      <c r="BJ799" t="b">
        <f t="shared" si="247"/>
        <v>1</v>
      </c>
      <c r="BK799" t="b">
        <f t="shared" ca="1" si="248"/>
        <v>1</v>
      </c>
    </row>
    <row r="800" spans="1:63" x14ac:dyDescent="0.45">
      <c r="A800" s="1">
        <v>44076</v>
      </c>
      <c r="B800">
        <v>149.12299999999999</v>
      </c>
      <c r="C800" s="1">
        <v>44076</v>
      </c>
      <c r="D800">
        <v>357.7</v>
      </c>
      <c r="E800">
        <f t="shared" si="249"/>
        <v>-5.8269655825702586E-2</v>
      </c>
      <c r="F800" s="4">
        <f t="shared" si="250"/>
        <v>1.4463981849120719E-2</v>
      </c>
      <c r="G800">
        <f t="shared" ca="1" si="251"/>
        <v>1.0826769033943362E-2</v>
      </c>
      <c r="H800">
        <f t="shared" ca="1" si="252"/>
        <v>5.5773454602093132E-2</v>
      </c>
      <c r="I800">
        <f t="shared" ca="1" si="253"/>
        <v>3.1390938485828933E-2</v>
      </c>
      <c r="J800">
        <f t="shared" ca="1" si="254"/>
        <v>2.2391461296998481</v>
      </c>
      <c r="K800">
        <f t="shared" ca="1" si="255"/>
        <v>1.6872516795307142</v>
      </c>
      <c r="L800">
        <f t="shared" ca="1" si="256"/>
        <v>2.0812519922334616</v>
      </c>
      <c r="M800">
        <f t="shared" ca="1" si="257"/>
        <v>9.4353261798389677E-4</v>
      </c>
      <c r="N800">
        <f t="shared" ca="1" si="258"/>
        <v>2.2587084770039151E-2</v>
      </c>
      <c r="O800">
        <f t="shared" ca="1" si="259"/>
        <v>-0.60711571719908086</v>
      </c>
      <c r="P800">
        <f t="shared" ca="1" si="260"/>
        <v>6.8342879133861265</v>
      </c>
      <c r="Q800">
        <f t="shared" ca="1" si="261"/>
        <v>0.92135087751098599</v>
      </c>
      <c r="R800">
        <f t="shared" ca="1" si="262"/>
        <v>1.9131517972922474</v>
      </c>
      <c r="T800">
        <f t="shared" si="263"/>
        <v>0.94173034417429746</v>
      </c>
      <c r="U800" s="6">
        <f t="shared" ca="1" si="264"/>
        <v>1.0388588944233517</v>
      </c>
      <c r="V800">
        <f t="shared" ca="1" si="265"/>
        <v>1.1779251327440825</v>
      </c>
      <c r="X800" t="b">
        <f t="shared" ca="1" si="266"/>
        <v>0</v>
      </c>
      <c r="BJ800" t="b">
        <f t="shared" si="247"/>
        <v>1</v>
      </c>
      <c r="BK800" t="b">
        <f t="shared" ca="1" si="248"/>
        <v>0</v>
      </c>
    </row>
    <row r="801" spans="1:63" x14ac:dyDescent="0.45">
      <c r="A801" s="1">
        <v>44075</v>
      </c>
      <c r="B801">
        <v>158.35</v>
      </c>
      <c r="C801" s="1">
        <v>44075</v>
      </c>
      <c r="D801">
        <v>352.6</v>
      </c>
      <c r="E801">
        <f t="shared" si="249"/>
        <v>-4.6698814619492282E-2</v>
      </c>
      <c r="F801" s="4">
        <f t="shared" si="250"/>
        <v>9.4185680341244745E-3</v>
      </c>
      <c r="G801">
        <f t="shared" ca="1" si="251"/>
        <v>1.1158477982887246E-2</v>
      </c>
      <c r="H801">
        <f t="shared" ca="1" si="252"/>
        <v>5.5557305981330088E-2</v>
      </c>
      <c r="I801">
        <f t="shared" ca="1" si="253"/>
        <v>2.3429880470016172E-2</v>
      </c>
      <c r="J801">
        <f t="shared" ca="1" si="254"/>
        <v>2.3086900786975928</v>
      </c>
      <c r="K801">
        <f t="shared" ca="1" si="255"/>
        <v>1.6872516795307142</v>
      </c>
      <c r="L801">
        <f t="shared" ca="1" si="256"/>
        <v>2.1030304632726211</v>
      </c>
      <c r="M801">
        <f t="shared" ca="1" si="257"/>
        <v>9.0739426260681255E-4</v>
      </c>
      <c r="N801">
        <f t="shared" ca="1" si="258"/>
        <v>2.2571120272050393E-2</v>
      </c>
      <c r="O801">
        <f t="shared" ca="1" si="259"/>
        <v>-0.60453408202971359</v>
      </c>
      <c r="P801">
        <f t="shared" ca="1" si="260"/>
        <v>6.8576685033373233</v>
      </c>
      <c r="Q801">
        <f t="shared" ca="1" si="261"/>
        <v>0.92135087751098599</v>
      </c>
      <c r="R801">
        <f t="shared" ca="1" si="262"/>
        <v>1.8295874024589911</v>
      </c>
      <c r="T801">
        <f t="shared" si="263"/>
        <v>0.95330118538050768</v>
      </c>
      <c r="U801" s="6">
        <f t="shared" ca="1" si="264"/>
        <v>1.1739281928103849</v>
      </c>
      <c r="V801">
        <f t="shared" ca="1" si="265"/>
        <v>1.1587987005182958</v>
      </c>
      <c r="X801" t="b">
        <f t="shared" ca="1" si="266"/>
        <v>0</v>
      </c>
      <c r="BJ801" t="b">
        <f t="shared" si="247"/>
        <v>1</v>
      </c>
      <c r="BK801" t="b">
        <f t="shared" ca="1" si="248"/>
        <v>0</v>
      </c>
    </row>
    <row r="802" spans="1:63" x14ac:dyDescent="0.45">
      <c r="A802" s="1">
        <v>44074</v>
      </c>
      <c r="B802">
        <v>166.107</v>
      </c>
      <c r="C802" s="1">
        <v>44074</v>
      </c>
      <c r="D802">
        <v>349.31</v>
      </c>
      <c r="E802">
        <f t="shared" si="249"/>
        <v>0.12569124423963132</v>
      </c>
      <c r="F802" s="4">
        <f t="shared" si="250"/>
        <v>-3.6225683153630608E-3</v>
      </c>
      <c r="G802">
        <f t="shared" ca="1" si="251"/>
        <v>1.1438777984735686E-2</v>
      </c>
      <c r="H802">
        <f t="shared" ca="1" si="252"/>
        <v>5.5405144875965068E-2</v>
      </c>
      <c r="I802">
        <f t="shared" ca="1" si="253"/>
        <v>1.4072653873414482E-2</v>
      </c>
      <c r="J802">
        <f t="shared" ca="1" si="254"/>
        <v>2.3611460134294742</v>
      </c>
      <c r="K802">
        <f t="shared" ca="1" si="255"/>
        <v>1.6872516795307142</v>
      </c>
      <c r="L802">
        <f t="shared" ca="1" si="256"/>
        <v>2.1138907705679246</v>
      </c>
      <c r="M802">
        <f t="shared" ca="1" si="257"/>
        <v>8.6758062010684712E-4</v>
      </c>
      <c r="N802">
        <f t="shared" ca="1" si="258"/>
        <v>2.2563053168069218E-2</v>
      </c>
      <c r="O802">
        <f t="shared" ca="1" si="259"/>
        <v>-0.60010799117515168</v>
      </c>
      <c r="P802">
        <f t="shared" ca="1" si="260"/>
        <v>6.8673936352308589</v>
      </c>
      <c r="Q802">
        <f t="shared" ca="1" si="261"/>
        <v>0.92135087751098599</v>
      </c>
      <c r="R802">
        <f t="shared" ca="1" si="262"/>
        <v>1.755493274693706</v>
      </c>
      <c r="T802">
        <f t="shared" si="263"/>
        <v>1.1256912442396314</v>
      </c>
      <c r="U802" s="6">
        <f t="shared" ca="1" si="264"/>
        <v>1.2370196604110815</v>
      </c>
      <c r="V802">
        <f t="shared" ca="1" si="265"/>
        <v>1.1509208450953774</v>
      </c>
      <c r="X802" t="b">
        <f t="shared" ca="1" si="266"/>
        <v>0</v>
      </c>
      <c r="BJ802" t="b">
        <f t="shared" si="247"/>
        <v>1</v>
      </c>
      <c r="BK802" t="b">
        <f t="shared" ca="1" si="248"/>
        <v>0</v>
      </c>
    </row>
    <row r="803" spans="1:63" x14ac:dyDescent="0.45">
      <c r="A803" s="1">
        <v>44071</v>
      </c>
      <c r="B803">
        <v>147.56</v>
      </c>
      <c r="C803" s="1">
        <v>44071</v>
      </c>
      <c r="D803">
        <v>350.58</v>
      </c>
      <c r="E803">
        <f t="shared" si="249"/>
        <v>-1.1323283082077036E-2</v>
      </c>
      <c r="F803" s="4">
        <f t="shared" si="250"/>
        <v>6.4593919559038848E-3</v>
      </c>
      <c r="G803">
        <f t="shared" ca="1" si="251"/>
        <v>1.0755732352211562E-2</v>
      </c>
      <c r="H803">
        <f t="shared" ca="1" si="252"/>
        <v>5.4828612345348852E-2</v>
      </c>
      <c r="I803">
        <f t="shared" ca="1" si="253"/>
        <v>6.0011441602385272E-3</v>
      </c>
      <c r="J803">
        <f t="shared" ca="1" si="254"/>
        <v>2.4940145929922277</v>
      </c>
      <c r="K803">
        <f t="shared" ca="1" si="255"/>
        <v>1.6114625820480986</v>
      </c>
      <c r="L803">
        <f t="shared" ca="1" si="256"/>
        <v>1.9903514688646489</v>
      </c>
      <c r="M803">
        <f t="shared" ca="1" si="257"/>
        <v>8.8731158466100939E-4</v>
      </c>
      <c r="N803">
        <f t="shared" ca="1" si="258"/>
        <v>2.2560832212418166E-2</v>
      </c>
      <c r="O803">
        <f t="shared" ca="1" si="259"/>
        <v>-0.60289549790580887</v>
      </c>
      <c r="P803">
        <f t="shared" ca="1" si="260"/>
        <v>6.8734367953138795</v>
      </c>
      <c r="Q803">
        <f t="shared" ca="1" si="261"/>
        <v>0.92135087751098599</v>
      </c>
      <c r="R803">
        <f t="shared" ca="1" si="262"/>
        <v>1.755493274693706</v>
      </c>
      <c r="T803">
        <f t="shared" si="263"/>
        <v>0.98867671691792292</v>
      </c>
      <c r="U803" s="6">
        <f t="shared" ca="1" si="264"/>
        <v>1.0797204843961512</v>
      </c>
      <c r="V803">
        <f t="shared" ca="1" si="265"/>
        <v>1.1663492916176477</v>
      </c>
      <c r="X803" t="b">
        <f t="shared" ca="1" si="266"/>
        <v>0</v>
      </c>
      <c r="BJ803" t="b">
        <f t="shared" si="247"/>
        <v>1</v>
      </c>
      <c r="BK803" t="b">
        <f t="shared" ca="1" si="248"/>
        <v>0</v>
      </c>
    </row>
    <row r="804" spans="1:63" x14ac:dyDescent="0.45">
      <c r="A804" s="1">
        <v>44070</v>
      </c>
      <c r="B804">
        <v>149.25</v>
      </c>
      <c r="C804" s="1">
        <v>44070</v>
      </c>
      <c r="D804">
        <v>348.33</v>
      </c>
      <c r="E804">
        <f t="shared" si="249"/>
        <v>3.9743634400362347E-2</v>
      </c>
      <c r="F804" s="4">
        <f t="shared" si="250"/>
        <v>2.1866098915326146E-3</v>
      </c>
      <c r="G804">
        <f t="shared" ca="1" si="251"/>
        <v>1.0882482645740699E-2</v>
      </c>
      <c r="H804">
        <f t="shared" ca="1" si="252"/>
        <v>5.4806611735064618E-2</v>
      </c>
      <c r="I804">
        <f t="shared" ca="1" si="253"/>
        <v>-6.6683050821421332E-4</v>
      </c>
      <c r="J804">
        <f t="shared" ca="1" si="254"/>
        <v>2.5027519977961976</v>
      </c>
      <c r="K804">
        <f t="shared" ca="1" si="255"/>
        <v>1.6114625820480986</v>
      </c>
      <c r="L804">
        <f t="shared" ca="1" si="256"/>
        <v>1.9903514688646489</v>
      </c>
      <c r="M804">
        <f t="shared" ca="1" si="257"/>
        <v>8.6555459569387773E-4</v>
      </c>
      <c r="N804">
        <f t="shared" ca="1" si="258"/>
        <v>2.255752959965673E-2</v>
      </c>
      <c r="O804">
        <f t="shared" ca="1" si="259"/>
        <v>-0.60031328220409819</v>
      </c>
      <c r="P804">
        <f t="shared" ca="1" si="260"/>
        <v>6.8768590376904557</v>
      </c>
      <c r="Q804">
        <f t="shared" ca="1" si="261"/>
        <v>0.92135087751098599</v>
      </c>
      <c r="R804">
        <f t="shared" ca="1" si="262"/>
        <v>1.755493274693706</v>
      </c>
      <c r="T804">
        <f t="shared" si="263"/>
        <v>1.0397436344003623</v>
      </c>
      <c r="U804" s="6">
        <f t="shared" ca="1" si="264"/>
        <v>1.1183545015173655</v>
      </c>
      <c r="V804">
        <f t="shared" ca="1" si="265"/>
        <v>1.1779353953822578</v>
      </c>
      <c r="X804" t="b">
        <f t="shared" ca="1" si="266"/>
        <v>0</v>
      </c>
      <c r="BJ804" t="b">
        <f t="shared" si="247"/>
        <v>1</v>
      </c>
      <c r="BK804" t="b">
        <f t="shared" ca="1" si="248"/>
        <v>0</v>
      </c>
    </row>
    <row r="805" spans="1:63" x14ac:dyDescent="0.45">
      <c r="A805" s="1">
        <v>44069</v>
      </c>
      <c r="B805">
        <v>143.54499999999999</v>
      </c>
      <c r="C805" s="1">
        <v>44069</v>
      </c>
      <c r="D805">
        <v>347.57</v>
      </c>
      <c r="E805">
        <f t="shared" si="249"/>
        <v>6.4171281572255531E-2</v>
      </c>
      <c r="F805" s="4">
        <f t="shared" si="250"/>
        <v>1.0025572474718088E-2</v>
      </c>
      <c r="G805">
        <f t="shared" ca="1" si="251"/>
        <v>1.0801668015294323E-2</v>
      </c>
      <c r="H805">
        <f t="shared" ca="1" si="252"/>
        <v>5.4775748675038816E-2</v>
      </c>
      <c r="I805">
        <f t="shared" ca="1" si="253"/>
        <v>3.1236231365267407E-3</v>
      </c>
      <c r="J805">
        <f t="shared" ca="1" si="254"/>
        <v>2.5148888254839044</v>
      </c>
      <c r="K805">
        <f t="shared" ca="1" si="255"/>
        <v>1.6114625820480986</v>
      </c>
      <c r="L805">
        <f t="shared" ca="1" si="256"/>
        <v>1.8399748831572438</v>
      </c>
      <c r="M805">
        <f t="shared" ca="1" si="257"/>
        <v>8.4507276653789207E-4</v>
      </c>
      <c r="N805">
        <f t="shared" ca="1" si="258"/>
        <v>2.2558183781297335E-2</v>
      </c>
      <c r="O805">
        <f t="shared" ca="1" si="259"/>
        <v>-0.59752014723676528</v>
      </c>
      <c r="P805">
        <f t="shared" ca="1" si="260"/>
        <v>6.8734899518699981</v>
      </c>
      <c r="Q805">
        <f t="shared" ca="1" si="261"/>
        <v>0.92135087751098599</v>
      </c>
      <c r="R805">
        <f t="shared" ca="1" si="262"/>
        <v>1.755493274693706</v>
      </c>
      <c r="T805">
        <f t="shared" si="263"/>
        <v>1.0641712815722555</v>
      </c>
      <c r="U805" s="6">
        <f t="shared" ca="1" si="264"/>
        <v>1.1462051343474269</v>
      </c>
      <c r="V805">
        <f t="shared" ca="1" si="265"/>
        <v>1.1800659051879525</v>
      </c>
      <c r="X805" t="b">
        <f t="shared" ca="1" si="266"/>
        <v>0</v>
      </c>
      <c r="BJ805" t="b">
        <f t="shared" si="247"/>
        <v>1</v>
      </c>
      <c r="BK805" t="b">
        <f t="shared" ca="1" si="248"/>
        <v>0</v>
      </c>
    </row>
    <row r="806" spans="1:63" x14ac:dyDescent="0.45">
      <c r="A806" s="1">
        <v>44068</v>
      </c>
      <c r="B806">
        <v>134.88900000000001</v>
      </c>
      <c r="C806" s="1">
        <v>44068</v>
      </c>
      <c r="D806">
        <v>344.12</v>
      </c>
      <c r="E806">
        <f t="shared" si="249"/>
        <v>4.5352993744415312E-3</v>
      </c>
      <c r="F806" s="4">
        <f t="shared" si="250"/>
        <v>3.4993584509506255E-3</v>
      </c>
      <c r="G806">
        <f t="shared" ca="1" si="251"/>
        <v>1.0504661258517345E-2</v>
      </c>
      <c r="H806">
        <f t="shared" ca="1" si="252"/>
        <v>5.4645801907021598E-2</v>
      </c>
      <c r="I806">
        <f t="shared" ca="1" si="253"/>
        <v>1.4880871156318707E-2</v>
      </c>
      <c r="J806">
        <f t="shared" ca="1" si="254"/>
        <v>2.5634066620280427</v>
      </c>
      <c r="K806">
        <f t="shared" ca="1" si="255"/>
        <v>1.6114625820480986</v>
      </c>
      <c r="L806">
        <f t="shared" ca="1" si="256"/>
        <v>1.741758319169423</v>
      </c>
      <c r="M806">
        <f t="shared" ca="1" si="257"/>
        <v>8.0727536039118151E-4</v>
      </c>
      <c r="N806">
        <f t="shared" ca="1" si="258"/>
        <v>2.2549055384050345E-2</v>
      </c>
      <c r="O806">
        <f t="shared" ca="1" si="259"/>
        <v>-0.59350728790408802</v>
      </c>
      <c r="P806">
        <f t="shared" ca="1" si="260"/>
        <v>6.8853421585773047</v>
      </c>
      <c r="Q806">
        <f t="shared" ca="1" si="261"/>
        <v>0.92135087751098599</v>
      </c>
      <c r="R806">
        <f t="shared" ca="1" si="262"/>
        <v>1.7337785725368826</v>
      </c>
      <c r="T806">
        <f t="shared" si="263"/>
        <v>1.0045352993744416</v>
      </c>
      <c r="U806" s="6">
        <f t="shared" ca="1" si="264"/>
        <v>1.0721984643021798</v>
      </c>
      <c r="V806">
        <f t="shared" ca="1" si="265"/>
        <v>1.1767738425216425</v>
      </c>
      <c r="X806" t="b">
        <f t="shared" ca="1" si="266"/>
        <v>0</v>
      </c>
      <c r="BJ806" t="b">
        <f t="shared" si="247"/>
        <v>1</v>
      </c>
      <c r="BK806" t="b">
        <f t="shared" ca="1" si="248"/>
        <v>0</v>
      </c>
    </row>
    <row r="807" spans="1:63" x14ac:dyDescent="0.45">
      <c r="A807" s="1">
        <v>44067</v>
      </c>
      <c r="B807">
        <v>134.28</v>
      </c>
      <c r="C807" s="1">
        <v>44067</v>
      </c>
      <c r="D807">
        <v>342.92</v>
      </c>
      <c r="E807">
        <f t="shared" si="249"/>
        <v>-1.7451432334540599E-2</v>
      </c>
      <c r="F807" s="4">
        <f t="shared" si="250"/>
        <v>1.013314480970896E-2</v>
      </c>
      <c r="G807">
        <f t="shared" ca="1" si="251"/>
        <v>1.061915635819116E-2</v>
      </c>
      <c r="H807">
        <f t="shared" ca="1" si="252"/>
        <v>5.4657219992346837E-2</v>
      </c>
      <c r="I807">
        <f t="shared" ca="1" si="253"/>
        <v>8.6811571354051577E-3</v>
      </c>
      <c r="J807">
        <f t="shared" ca="1" si="254"/>
        <v>2.558666611005517</v>
      </c>
      <c r="K807">
        <f t="shared" ca="1" si="255"/>
        <v>1.6114625820480986</v>
      </c>
      <c r="L807">
        <f t="shared" ca="1" si="256"/>
        <v>1.741758319169423</v>
      </c>
      <c r="M807">
        <f t="shared" ca="1" si="257"/>
        <v>8.0736241704557825E-4</v>
      </c>
      <c r="N807">
        <f t="shared" ca="1" si="258"/>
        <v>2.2549065863393343E-2</v>
      </c>
      <c r="O807">
        <f t="shared" ca="1" si="259"/>
        <v>-0.5935179910432663</v>
      </c>
      <c r="P807">
        <f t="shared" ca="1" si="260"/>
        <v>6.8853330764921177</v>
      </c>
      <c r="Q807">
        <f t="shared" ca="1" si="261"/>
        <v>0.92135087751098599</v>
      </c>
      <c r="R807">
        <f t="shared" ca="1" si="262"/>
        <v>1.7337785725368826</v>
      </c>
      <c r="T807">
        <f t="shared" si="263"/>
        <v>0.98254856766545939</v>
      </c>
      <c r="U807" s="6">
        <f t="shared" ca="1" si="264"/>
        <v>1.0972739752892726</v>
      </c>
      <c r="V807">
        <f t="shared" ca="1" si="265"/>
        <v>1.1888967090722353</v>
      </c>
      <c r="X807" t="b">
        <f t="shared" ca="1" si="266"/>
        <v>0</v>
      </c>
      <c r="BJ807" t="b">
        <f t="shared" si="247"/>
        <v>1</v>
      </c>
      <c r="BK807" t="b">
        <f t="shared" ca="1" si="248"/>
        <v>0</v>
      </c>
    </row>
    <row r="808" spans="1:63" x14ac:dyDescent="0.45">
      <c r="A808" s="1">
        <v>44064</v>
      </c>
      <c r="B808">
        <v>136.66499999999999</v>
      </c>
      <c r="C808" s="1">
        <v>44064</v>
      </c>
      <c r="D808">
        <v>339.48</v>
      </c>
      <c r="E808">
        <f t="shared" si="249"/>
        <v>2.4053051590423584E-2</v>
      </c>
      <c r="F808" s="4">
        <f t="shared" si="250"/>
        <v>3.5473572188720751E-3</v>
      </c>
      <c r="G808">
        <f t="shared" ca="1" si="251"/>
        <v>1.0853945201346743E-2</v>
      </c>
      <c r="H808">
        <f t="shared" ca="1" si="252"/>
        <v>5.4636885870030009E-2</v>
      </c>
      <c r="I808">
        <f t="shared" ca="1" si="253"/>
        <v>-3.4331960454183942E-3</v>
      </c>
      <c r="J808">
        <f t="shared" ca="1" si="254"/>
        <v>2.5666735796589739</v>
      </c>
      <c r="K808">
        <f t="shared" ca="1" si="255"/>
        <v>1.6114625820480986</v>
      </c>
      <c r="L808">
        <f t="shared" ca="1" si="256"/>
        <v>1.8213475717739953</v>
      </c>
      <c r="M808">
        <f t="shared" ca="1" si="257"/>
        <v>7.5783664674748219E-4</v>
      </c>
      <c r="N808">
        <f t="shared" ca="1" si="258"/>
        <v>2.2539355729660416E-2</v>
      </c>
      <c r="O808">
        <f t="shared" ca="1" si="259"/>
        <v>-0.58798651961800352</v>
      </c>
      <c r="P808">
        <f t="shared" ca="1" si="260"/>
        <v>6.8970032155240917</v>
      </c>
      <c r="Q808">
        <f t="shared" ca="1" si="261"/>
        <v>0.92135087751098599</v>
      </c>
      <c r="R808">
        <f t="shared" ca="1" si="262"/>
        <v>1.7006301838737652</v>
      </c>
      <c r="T808">
        <f t="shared" si="263"/>
        <v>1.0240530515904236</v>
      </c>
      <c r="U808" s="6">
        <f t="shared" ca="1" si="264"/>
        <v>1.2418784701082264</v>
      </c>
      <c r="V808">
        <f t="shared" ca="1" si="265"/>
        <v>1.1958040567733859</v>
      </c>
      <c r="X808" t="b">
        <f t="shared" ca="1" si="266"/>
        <v>0</v>
      </c>
      <c r="BJ808" t="b">
        <f t="shared" si="247"/>
        <v>1</v>
      </c>
      <c r="BK808" t="b">
        <f t="shared" ca="1" si="248"/>
        <v>0</v>
      </c>
    </row>
    <row r="809" spans="1:63" x14ac:dyDescent="0.45">
      <c r="A809" s="1">
        <v>44063</v>
      </c>
      <c r="B809">
        <v>133.45500000000001</v>
      </c>
      <c r="C809" s="1">
        <v>44063</v>
      </c>
      <c r="D809">
        <v>338.28</v>
      </c>
      <c r="E809">
        <f t="shared" si="249"/>
        <v>6.5636603186010403E-2</v>
      </c>
      <c r="F809" s="4">
        <f t="shared" si="250"/>
        <v>3.1136019927051404E-3</v>
      </c>
      <c r="G809">
        <f t="shared" ca="1" si="251"/>
        <v>1.0729734694938471E-2</v>
      </c>
      <c r="H809">
        <f t="shared" ca="1" si="252"/>
        <v>5.4634966231484755E-2</v>
      </c>
      <c r="I809">
        <f t="shared" ca="1" si="253"/>
        <v>3.3350376606333942E-3</v>
      </c>
      <c r="J809">
        <f t="shared" ca="1" si="254"/>
        <v>2.5674544316023269</v>
      </c>
      <c r="K809">
        <f t="shared" ca="1" si="255"/>
        <v>1.6114625820480986</v>
      </c>
      <c r="L809">
        <f t="shared" ca="1" si="256"/>
        <v>1.8213475717739953</v>
      </c>
      <c r="M809">
        <f t="shared" ca="1" si="257"/>
        <v>7.3456906714692335E-4</v>
      </c>
      <c r="N809">
        <f t="shared" ca="1" si="258"/>
        <v>2.2538863539691922E-2</v>
      </c>
      <c r="O809">
        <f t="shared" ca="1" si="259"/>
        <v>-0.58490925621397294</v>
      </c>
      <c r="P809">
        <f t="shared" ca="1" si="260"/>
        <v>6.895399854988276</v>
      </c>
      <c r="Q809">
        <f t="shared" ca="1" si="261"/>
        <v>0.92135087751098599</v>
      </c>
      <c r="R809">
        <f t="shared" ca="1" si="262"/>
        <v>1.7006301838737652</v>
      </c>
      <c r="T809">
        <f t="shared" si="263"/>
        <v>1.0656366031860105</v>
      </c>
      <c r="U809" s="6">
        <f t="shared" ca="1" si="264"/>
        <v>1.2349283314980526</v>
      </c>
      <c r="V809">
        <f t="shared" ca="1" si="265"/>
        <v>1.1918365788168916</v>
      </c>
      <c r="X809" t="b">
        <f t="shared" ca="1" si="266"/>
        <v>0</v>
      </c>
      <c r="BJ809" t="b">
        <f t="shared" si="247"/>
        <v>1</v>
      </c>
      <c r="BK809" t="b">
        <f t="shared" ca="1" si="248"/>
        <v>0</v>
      </c>
    </row>
    <row r="810" spans="1:63" x14ac:dyDescent="0.45">
      <c r="A810" s="1">
        <v>44062</v>
      </c>
      <c r="B810">
        <v>125.235</v>
      </c>
      <c r="C810" s="1">
        <v>44062</v>
      </c>
      <c r="D810">
        <v>337.23</v>
      </c>
      <c r="E810">
        <f t="shared" si="249"/>
        <v>-4.5387342416100818E-3</v>
      </c>
      <c r="F810" s="4">
        <f t="shared" si="250"/>
        <v>-4.1637136782422873E-3</v>
      </c>
      <c r="G810">
        <f t="shared" ca="1" si="251"/>
        <v>1.0467955666120198E-2</v>
      </c>
      <c r="H810">
        <f t="shared" ca="1" si="252"/>
        <v>5.4495814488191165E-2</v>
      </c>
      <c r="I810">
        <f t="shared" ca="1" si="253"/>
        <v>1.2726197427020686E-2</v>
      </c>
      <c r="J810">
        <f t="shared" ca="1" si="254"/>
        <v>2.6197762721168196</v>
      </c>
      <c r="K810">
        <f t="shared" ca="1" si="255"/>
        <v>1.6114625820480986</v>
      </c>
      <c r="L810">
        <f t="shared" ca="1" si="256"/>
        <v>1.7943852738329222</v>
      </c>
      <c r="M810">
        <f t="shared" ca="1" si="257"/>
        <v>7.3908990542276526E-4</v>
      </c>
      <c r="N810">
        <f t="shared" ca="1" si="258"/>
        <v>2.2539433794918417E-2</v>
      </c>
      <c r="O810">
        <f t="shared" ca="1" si="259"/>
        <v>-0.58546294450383296</v>
      </c>
      <c r="P810">
        <f t="shared" ca="1" si="260"/>
        <v>6.8948745277130739</v>
      </c>
      <c r="Q810">
        <f t="shared" ca="1" si="261"/>
        <v>0.92135087751098599</v>
      </c>
      <c r="R810">
        <f t="shared" ca="1" si="262"/>
        <v>1.7006301838737652</v>
      </c>
      <c r="T810">
        <f t="shared" si="263"/>
        <v>0.99546126575838989</v>
      </c>
      <c r="U810" s="6">
        <f t="shared" ca="1" si="264"/>
        <v>1.2082372577206204</v>
      </c>
      <c r="V810">
        <f t="shared" ca="1" si="265"/>
        <v>1.1885927686927533</v>
      </c>
      <c r="X810" t="b">
        <f t="shared" ca="1" si="266"/>
        <v>0</v>
      </c>
      <c r="BJ810" t="b">
        <f t="shared" si="247"/>
        <v>1</v>
      </c>
      <c r="BK810" t="b">
        <f t="shared" ca="1" si="248"/>
        <v>0</v>
      </c>
    </row>
    <row r="811" spans="1:63" x14ac:dyDescent="0.45">
      <c r="A811" s="1">
        <v>44061</v>
      </c>
      <c r="B811">
        <v>125.806</v>
      </c>
      <c r="C811" s="1">
        <v>44061</v>
      </c>
      <c r="D811">
        <v>338.64</v>
      </c>
      <c r="E811">
        <f t="shared" si="249"/>
        <v>2.8028371576125977E-2</v>
      </c>
      <c r="F811" s="4">
        <f t="shared" si="250"/>
        <v>2.1603385516852456E-3</v>
      </c>
      <c r="G811">
        <f t="shared" ca="1" si="251"/>
        <v>1.0465071453386113E-2</v>
      </c>
      <c r="H811">
        <f t="shared" ca="1" si="252"/>
        <v>5.4496627973114838E-2</v>
      </c>
      <c r="I811">
        <f t="shared" ca="1" si="253"/>
        <v>1.2873307055596195E-2</v>
      </c>
      <c r="J811">
        <f t="shared" ca="1" si="254"/>
        <v>2.6194456087248152</v>
      </c>
      <c r="K811">
        <f t="shared" ca="1" si="255"/>
        <v>1.6114625820480986</v>
      </c>
      <c r="L811">
        <f t="shared" ca="1" si="256"/>
        <v>1.7943852738329222</v>
      </c>
      <c r="M811">
        <f t="shared" ca="1" si="257"/>
        <v>8.0622766413474987E-4</v>
      </c>
      <c r="N811">
        <f t="shared" ca="1" si="258"/>
        <v>2.2544754087440225E-2</v>
      </c>
      <c r="O811">
        <f t="shared" ca="1" si="259"/>
        <v>-0.59374612781193081</v>
      </c>
      <c r="P811">
        <f t="shared" ca="1" si="260"/>
        <v>6.8927500699681756</v>
      </c>
      <c r="Q811">
        <f t="shared" ca="1" si="261"/>
        <v>0.92135087751098599</v>
      </c>
      <c r="R811">
        <f t="shared" ca="1" si="262"/>
        <v>1.7337785725368826</v>
      </c>
      <c r="T811">
        <f t="shared" si="263"/>
        <v>1.028028371576126</v>
      </c>
      <c r="U811" s="6">
        <f t="shared" ca="1" si="264"/>
        <v>1.3730382205924083</v>
      </c>
      <c r="V811">
        <f t="shared" ca="1" si="265"/>
        <v>1.1945064183790675</v>
      </c>
      <c r="X811" t="b">
        <f t="shared" ca="1" si="266"/>
        <v>0</v>
      </c>
      <c r="BJ811" t="b">
        <f t="shared" si="247"/>
        <v>1</v>
      </c>
      <c r="BK811" t="b">
        <f t="shared" ca="1" si="248"/>
        <v>0</v>
      </c>
    </row>
    <row r="812" spans="1:63" x14ac:dyDescent="0.45">
      <c r="A812" s="1">
        <v>44060</v>
      </c>
      <c r="B812">
        <v>122.376</v>
      </c>
      <c r="C812" s="1">
        <v>44060</v>
      </c>
      <c r="D812">
        <v>337.91</v>
      </c>
      <c r="E812">
        <f t="shared" si="249"/>
        <v>0.112033949130826</v>
      </c>
      <c r="F812" s="4">
        <f t="shared" si="250"/>
        <v>3.176582353639859E-3</v>
      </c>
      <c r="G812">
        <f t="shared" ca="1" si="251"/>
        <v>1.0323501071694375E-2</v>
      </c>
      <c r="H812">
        <f t="shared" ca="1" si="252"/>
        <v>5.4487549214956937E-2</v>
      </c>
      <c r="I812">
        <f t="shared" ca="1" si="253"/>
        <v>2.054415579470676E-2</v>
      </c>
      <c r="J812">
        <f t="shared" ca="1" si="254"/>
        <v>2.6233503621234568</v>
      </c>
      <c r="K812">
        <f t="shared" ca="1" si="255"/>
        <v>1.6114625820480986</v>
      </c>
      <c r="L812">
        <f t="shared" ca="1" si="256"/>
        <v>1.7943852738329222</v>
      </c>
      <c r="M812">
        <f t="shared" ca="1" si="257"/>
        <v>7.8210973543235056E-4</v>
      </c>
      <c r="N812">
        <f t="shared" ca="1" si="258"/>
        <v>2.2545878267120754E-2</v>
      </c>
      <c r="O812">
        <f t="shared" ca="1" si="259"/>
        <v>-0.59043531566282159</v>
      </c>
      <c r="P812">
        <f t="shared" ca="1" si="260"/>
        <v>6.8881860521110339</v>
      </c>
      <c r="Q812">
        <f t="shared" ca="1" si="261"/>
        <v>0.92135087751098599</v>
      </c>
      <c r="R812">
        <f t="shared" ca="1" si="262"/>
        <v>1.7337785725368826</v>
      </c>
      <c r="T812">
        <f t="shared" si="263"/>
        <v>1.112033949130826</v>
      </c>
      <c r="U812" s="6">
        <f t="shared" ca="1" si="264"/>
        <v>1.2940078015211804</v>
      </c>
      <c r="V812">
        <f t="shared" ca="1" si="265"/>
        <v>1.2107820457590983</v>
      </c>
      <c r="X812" t="b">
        <f t="shared" ca="1" si="266"/>
        <v>0</v>
      </c>
      <c r="BJ812" t="b">
        <f t="shared" si="247"/>
        <v>1</v>
      </c>
      <c r="BK812" t="b">
        <f t="shared" ca="1" si="248"/>
        <v>0</v>
      </c>
    </row>
    <row r="813" spans="1:63" x14ac:dyDescent="0.45">
      <c r="A813" s="1">
        <v>44057</v>
      </c>
      <c r="B813">
        <v>110.047</v>
      </c>
      <c r="C813" s="1">
        <v>44057</v>
      </c>
      <c r="D813">
        <v>336.84</v>
      </c>
      <c r="E813">
        <f t="shared" si="249"/>
        <v>1.8321966927924382E-2</v>
      </c>
      <c r="F813" s="4">
        <f t="shared" si="250"/>
        <v>2.9688566932847149E-5</v>
      </c>
      <c r="G813">
        <f t="shared" ca="1" si="251"/>
        <v>9.7442148578907491E-3</v>
      </c>
      <c r="H813">
        <f t="shared" ca="1" si="252"/>
        <v>5.4014594757820278E-2</v>
      </c>
      <c r="I813">
        <f t="shared" ca="1" si="253"/>
        <v>1.9607200380804973E-2</v>
      </c>
      <c r="J813">
        <f t="shared" ca="1" si="254"/>
        <v>2.7595891630264671</v>
      </c>
      <c r="K813">
        <f t="shared" ca="1" si="255"/>
        <v>1.5859134112823787</v>
      </c>
      <c r="L813">
        <f t="shared" ca="1" si="256"/>
        <v>1.7473792149782832</v>
      </c>
      <c r="M813">
        <f t="shared" ca="1" si="257"/>
        <v>7.8156272947200675E-4</v>
      </c>
      <c r="N813">
        <f t="shared" ca="1" si="258"/>
        <v>2.2545821207789644E-2</v>
      </c>
      <c r="O813">
        <f t="shared" ca="1" si="259"/>
        <v>-0.59036707335826411</v>
      </c>
      <c r="P813">
        <f t="shared" ca="1" si="260"/>
        <v>6.8882280432389384</v>
      </c>
      <c r="Q813">
        <f t="shared" ca="1" si="261"/>
        <v>0.92135087751098599</v>
      </c>
      <c r="R813">
        <f t="shared" ca="1" si="262"/>
        <v>1.7337785725368826</v>
      </c>
      <c r="T813">
        <f t="shared" si="263"/>
        <v>1.0183219669279244</v>
      </c>
      <c r="U813" s="6">
        <f t="shared" ca="1" si="264"/>
        <v>1.1362939390153364</v>
      </c>
      <c r="V813">
        <f t="shared" ca="1" si="265"/>
        <v>1.3349328246300467</v>
      </c>
      <c r="X813" t="b">
        <f t="shared" ca="1" si="266"/>
        <v>0</v>
      </c>
      <c r="BJ813" t="b">
        <f t="shared" si="247"/>
        <v>1</v>
      </c>
      <c r="BK813" t="b">
        <f t="shared" ca="1" si="248"/>
        <v>0</v>
      </c>
    </row>
    <row r="814" spans="1:63" x14ac:dyDescent="0.45">
      <c r="A814" s="1">
        <v>44056</v>
      </c>
      <c r="B814">
        <v>108.06699999999999</v>
      </c>
      <c r="C814" s="1">
        <v>44056</v>
      </c>
      <c r="D814">
        <v>336.83</v>
      </c>
      <c r="E814">
        <f t="shared" si="249"/>
        <v>4.2604509363151313E-2</v>
      </c>
      <c r="F814" s="4">
        <f t="shared" si="250"/>
        <v>-1.8077287814130324E-3</v>
      </c>
      <c r="G814">
        <f t="shared" ca="1" si="251"/>
        <v>9.4772973193243248E-3</v>
      </c>
      <c r="H814">
        <f t="shared" ca="1" si="252"/>
        <v>5.4103819881916905E-2</v>
      </c>
      <c r="I814">
        <f t="shared" ca="1" si="253"/>
        <v>3.1557145564050329E-2</v>
      </c>
      <c r="J814">
        <f t="shared" ca="1" si="254"/>
        <v>2.7243058330188408</v>
      </c>
      <c r="K814">
        <f t="shared" ca="1" si="255"/>
        <v>1.5859134112823787</v>
      </c>
      <c r="L814">
        <f t="shared" ca="1" si="256"/>
        <v>1.6710222318894219</v>
      </c>
      <c r="M814">
        <f t="shared" ca="1" si="257"/>
        <v>7.7993060711211944E-4</v>
      </c>
      <c r="N814">
        <f t="shared" ca="1" si="258"/>
        <v>2.2545887725541749E-2</v>
      </c>
      <c r="O814">
        <f t="shared" ca="1" si="259"/>
        <v>-0.59014284801915795</v>
      </c>
      <c r="P814">
        <f t="shared" ca="1" si="260"/>
        <v>6.8879364437742039</v>
      </c>
      <c r="Q814">
        <f t="shared" ca="1" si="261"/>
        <v>0.92135087751098599</v>
      </c>
      <c r="R814">
        <f t="shared" ca="1" si="262"/>
        <v>1.7337785725368826</v>
      </c>
      <c r="T814">
        <f t="shared" si="263"/>
        <v>1.0426045093631513</v>
      </c>
      <c r="U814" s="6">
        <f t="shared" ca="1" si="264"/>
        <v>1.0882299333469612</v>
      </c>
      <c r="V814">
        <f t="shared" ca="1" si="265"/>
        <v>1.3749090954923564</v>
      </c>
      <c r="X814" t="b">
        <f t="shared" ca="1" si="266"/>
        <v>0</v>
      </c>
      <c r="BJ814" t="b">
        <f t="shared" si="247"/>
        <v>1</v>
      </c>
      <c r="BK814" t="b">
        <f t="shared" ca="1" si="248"/>
        <v>0</v>
      </c>
    </row>
    <row r="815" spans="1:63" x14ac:dyDescent="0.45">
      <c r="A815" s="1">
        <v>44055</v>
      </c>
      <c r="B815">
        <v>103.651</v>
      </c>
      <c r="C815" s="1">
        <v>44055</v>
      </c>
      <c r="D815">
        <v>337.44</v>
      </c>
      <c r="E815">
        <f t="shared" si="249"/>
        <v>0.13124004103638695</v>
      </c>
      <c r="F815" s="4">
        <f t="shared" si="250"/>
        <v>1.3942307692307651E-2</v>
      </c>
      <c r="G815">
        <f t="shared" ca="1" si="251"/>
        <v>9.2578748602787919E-3</v>
      </c>
      <c r="H815">
        <f t="shared" ca="1" si="252"/>
        <v>5.4057763609432874E-2</v>
      </c>
      <c r="I815">
        <f t="shared" ca="1" si="253"/>
        <v>4.2729921256829242E-2</v>
      </c>
      <c r="J815">
        <f t="shared" ca="1" si="254"/>
        <v>2.7438786832524613</v>
      </c>
      <c r="K815">
        <f t="shared" ca="1" si="255"/>
        <v>1.5859134112823787</v>
      </c>
      <c r="L815">
        <f t="shared" ca="1" si="256"/>
        <v>1.6379709301968346</v>
      </c>
      <c r="M815">
        <f t="shared" ca="1" si="257"/>
        <v>8.1715227489186375E-4</v>
      </c>
      <c r="N815">
        <f t="shared" ca="1" si="258"/>
        <v>2.2547739173517829E-2</v>
      </c>
      <c r="O815">
        <f t="shared" ca="1" si="259"/>
        <v>-0.59494149889611547</v>
      </c>
      <c r="P815">
        <f t="shared" ca="1" si="260"/>
        <v>6.8886757956135058</v>
      </c>
      <c r="Q815">
        <f t="shared" ca="1" si="261"/>
        <v>0.92135087751098599</v>
      </c>
      <c r="R815">
        <f t="shared" ca="1" si="262"/>
        <v>1.7337785725368826</v>
      </c>
      <c r="T815">
        <f t="shared" si="263"/>
        <v>1.131240041036387</v>
      </c>
      <c r="U815" s="6">
        <f t="shared" ca="1" si="264"/>
        <v>1.0469660499407583</v>
      </c>
      <c r="V815">
        <f t="shared" ca="1" si="265"/>
        <v>1.3717794634363254</v>
      </c>
      <c r="X815" t="b">
        <f t="shared" ca="1" si="266"/>
        <v>0</v>
      </c>
      <c r="BJ815" t="b">
        <f t="shared" si="247"/>
        <v>1</v>
      </c>
      <c r="BK815" t="b">
        <f t="shared" ca="1" si="248"/>
        <v>0</v>
      </c>
    </row>
    <row r="816" spans="1:63" x14ac:dyDescent="0.45">
      <c r="A816" s="1">
        <v>44054</v>
      </c>
      <c r="B816">
        <v>91.626000000000005</v>
      </c>
      <c r="C816" s="1">
        <v>44054</v>
      </c>
      <c r="D816">
        <v>332.8</v>
      </c>
      <c r="E816">
        <f t="shared" si="249"/>
        <v>-3.114369792949858E-2</v>
      </c>
      <c r="F816" s="4">
        <f t="shared" si="250"/>
        <v>-8.2546115564561245E-3</v>
      </c>
      <c r="G816">
        <f t="shared" ca="1" si="251"/>
        <v>9.0763301632130026E-3</v>
      </c>
      <c r="H816">
        <f t="shared" ca="1" si="252"/>
        <v>5.370587031292922E-2</v>
      </c>
      <c r="I816">
        <f t="shared" ca="1" si="253"/>
        <v>1.4949189363081875E-2</v>
      </c>
      <c r="J816">
        <f t="shared" ca="1" si="254"/>
        <v>2.7929614747809728</v>
      </c>
      <c r="K816">
        <f t="shared" ca="1" si="255"/>
        <v>1.5282831758554276</v>
      </c>
      <c r="L816">
        <f t="shared" ca="1" si="256"/>
        <v>1.6379709301968346</v>
      </c>
      <c r="M816">
        <f t="shared" ca="1" si="257"/>
        <v>7.6791548424135847E-4</v>
      </c>
      <c r="N816">
        <f t="shared" ca="1" si="258"/>
        <v>2.2529678608646943E-2</v>
      </c>
      <c r="O816">
        <f t="shared" ca="1" si="259"/>
        <v>-0.5907388975300496</v>
      </c>
      <c r="P816">
        <f t="shared" ca="1" si="260"/>
        <v>6.9146766132691129</v>
      </c>
      <c r="Q816">
        <f t="shared" ca="1" si="261"/>
        <v>0.92135087751098599</v>
      </c>
      <c r="R816">
        <f t="shared" ca="1" si="262"/>
        <v>1.7006301838737652</v>
      </c>
      <c r="T816">
        <f t="shared" si="263"/>
        <v>0.96885630207050144</v>
      </c>
      <c r="U816" s="6">
        <f t="shared" ca="1" si="264"/>
        <v>0.92427065375610407</v>
      </c>
      <c r="V816">
        <f t="shared" ca="1" si="265"/>
        <v>1.3137520786641632</v>
      </c>
      <c r="X816" t="b">
        <f t="shared" ca="1" si="266"/>
        <v>1</v>
      </c>
      <c r="BJ816" t="b">
        <f t="shared" si="247"/>
        <v>1</v>
      </c>
      <c r="BK816" t="b">
        <f t="shared" ca="1" si="248"/>
        <v>1</v>
      </c>
    </row>
    <row r="817" spans="1:63" x14ac:dyDescent="0.45">
      <c r="A817" s="1">
        <v>44053</v>
      </c>
      <c r="B817">
        <v>94.571299999999994</v>
      </c>
      <c r="C817" s="1">
        <v>44053</v>
      </c>
      <c r="D817">
        <v>335.57</v>
      </c>
      <c r="E817">
        <f t="shared" si="249"/>
        <v>-2.3500913293401163E-2</v>
      </c>
      <c r="F817" s="4">
        <f t="shared" si="250"/>
        <v>2.9889111396718174E-3</v>
      </c>
      <c r="G817">
        <f t="shared" ca="1" si="251"/>
        <v>1.0115508517278852E-2</v>
      </c>
      <c r="H817">
        <f t="shared" ca="1" si="252"/>
        <v>5.4920735729565032E-2</v>
      </c>
      <c r="I817">
        <f t="shared" ca="1" si="253"/>
        <v>0.10292132901099516</v>
      </c>
      <c r="J817">
        <f t="shared" ca="1" si="254"/>
        <v>2.7309006344112987</v>
      </c>
      <c r="K817">
        <f t="shared" ca="1" si="255"/>
        <v>1.5859134112823787</v>
      </c>
      <c r="L817">
        <f t="shared" ca="1" si="256"/>
        <v>1.7473792149782832</v>
      </c>
      <c r="M817">
        <f t="shared" ca="1" si="257"/>
        <v>8.1735847666416258E-4</v>
      </c>
      <c r="N817">
        <f t="shared" ca="1" si="258"/>
        <v>2.2520627327234224E-2</v>
      </c>
      <c r="O817">
        <f t="shared" ca="1" si="259"/>
        <v>-0.59777766494067286</v>
      </c>
      <c r="P817">
        <f t="shared" ca="1" si="260"/>
        <v>6.9358920429793764</v>
      </c>
      <c r="Q817">
        <f t="shared" ca="1" si="261"/>
        <v>0.92135087751098599</v>
      </c>
      <c r="R817">
        <f t="shared" ca="1" si="262"/>
        <v>1.8906358110257471</v>
      </c>
      <c r="T817">
        <f t="shared" si="263"/>
        <v>0.9764990867065988</v>
      </c>
      <c r="U817" s="6">
        <f t="shared" ca="1" si="264"/>
        <v>0.95526565656565643</v>
      </c>
      <c r="V817">
        <f t="shared" ca="1" si="265"/>
        <v>1.3114800824040866</v>
      </c>
      <c r="X817" t="b">
        <f t="shared" ca="1" si="266"/>
        <v>1</v>
      </c>
      <c r="BJ817" t="b">
        <f t="shared" si="247"/>
        <v>1</v>
      </c>
      <c r="BK817" t="b">
        <f t="shared" ca="1" si="248"/>
        <v>1</v>
      </c>
    </row>
    <row r="818" spans="1:63" x14ac:dyDescent="0.45">
      <c r="A818" s="1">
        <v>44050</v>
      </c>
      <c r="B818">
        <v>96.847300000000004</v>
      </c>
      <c r="C818" s="1">
        <v>44050</v>
      </c>
      <c r="D818">
        <v>334.57</v>
      </c>
      <c r="E818">
        <f t="shared" si="249"/>
        <v>-2.4751951809218624E-2</v>
      </c>
      <c r="F818" s="4">
        <f t="shared" si="250"/>
        <v>7.1785361768315469E-4</v>
      </c>
      <c r="G818">
        <f t="shared" ca="1" si="251"/>
        <v>1.021540610668775E-2</v>
      </c>
      <c r="H818">
        <f t="shared" ca="1" si="252"/>
        <v>5.4877435882109193E-2</v>
      </c>
      <c r="I818">
        <f t="shared" ca="1" si="253"/>
        <v>9.8737725912792992E-2</v>
      </c>
      <c r="J818">
        <f t="shared" ca="1" si="254"/>
        <v>2.7476904812137715</v>
      </c>
      <c r="K818">
        <f t="shared" ca="1" si="255"/>
        <v>1.5859134112823787</v>
      </c>
      <c r="L818">
        <f t="shared" ca="1" si="256"/>
        <v>2.0892595775774314</v>
      </c>
      <c r="M818">
        <f t="shared" ca="1" si="257"/>
        <v>8.1696192939361497E-4</v>
      </c>
      <c r="N818">
        <f t="shared" ca="1" si="258"/>
        <v>2.2520589596212805E-2</v>
      </c>
      <c r="O818">
        <f t="shared" ca="1" si="259"/>
        <v>-0.59772779190548042</v>
      </c>
      <c r="P818">
        <f t="shared" ca="1" si="260"/>
        <v>6.9359159179387708</v>
      </c>
      <c r="Q818">
        <f t="shared" ca="1" si="261"/>
        <v>0.92135087751098599</v>
      </c>
      <c r="R818">
        <f t="shared" ca="1" si="262"/>
        <v>1.8906358110257471</v>
      </c>
      <c r="T818">
        <f t="shared" si="263"/>
        <v>0.97524804819078137</v>
      </c>
      <c r="U818" s="6">
        <f t="shared" ca="1" si="264"/>
        <v>1.0153411473622411</v>
      </c>
      <c r="V818">
        <f t="shared" ca="1" si="265"/>
        <v>1.3105202032400278</v>
      </c>
      <c r="X818" t="b">
        <f t="shared" ca="1" si="266"/>
        <v>0</v>
      </c>
      <c r="BJ818" t="b">
        <f t="shared" si="247"/>
        <v>1</v>
      </c>
      <c r="BK818" t="b">
        <f t="shared" ca="1" si="248"/>
        <v>0</v>
      </c>
    </row>
    <row r="819" spans="1:63" x14ac:dyDescent="0.45">
      <c r="A819" s="1">
        <v>44049</v>
      </c>
      <c r="B819">
        <v>99.305300000000003</v>
      </c>
      <c r="C819" s="1">
        <v>44049</v>
      </c>
      <c r="D819">
        <v>334.33</v>
      </c>
      <c r="E819">
        <f t="shared" si="249"/>
        <v>3.0706667488204905E-3</v>
      </c>
      <c r="F819" s="4">
        <f t="shared" si="250"/>
        <v>6.6845322332961081E-3</v>
      </c>
      <c r="G819">
        <f t="shared" ca="1" si="251"/>
        <v>1.0380201368692422E-2</v>
      </c>
      <c r="H819">
        <f t="shared" ca="1" si="252"/>
        <v>5.4821361171831784E-2</v>
      </c>
      <c r="I819">
        <f t="shared" ca="1" si="253"/>
        <v>9.1248725866785396E-2</v>
      </c>
      <c r="J819">
        <f t="shared" ca="1" si="254"/>
        <v>2.7693979362137657</v>
      </c>
      <c r="K819">
        <f t="shared" ca="1" si="255"/>
        <v>1.5859134112823787</v>
      </c>
      <c r="L819">
        <f t="shared" ca="1" si="256"/>
        <v>2.227861348042838</v>
      </c>
      <c r="M819">
        <f t="shared" ca="1" si="257"/>
        <v>7.9703878350927278E-4</v>
      </c>
      <c r="N819">
        <f t="shared" ca="1" si="258"/>
        <v>2.2522440166484099E-2</v>
      </c>
      <c r="O819">
        <f t="shared" ca="1" si="259"/>
        <v>-0.59493014423547785</v>
      </c>
      <c r="P819">
        <f t="shared" ca="1" si="260"/>
        <v>6.9304886562167338</v>
      </c>
      <c r="Q819">
        <f t="shared" ca="1" si="261"/>
        <v>0.92135087751098599</v>
      </c>
      <c r="R819">
        <f t="shared" ca="1" si="262"/>
        <v>1.8906358110257471</v>
      </c>
      <c r="T819">
        <f t="shared" si="263"/>
        <v>1.0030706667488205</v>
      </c>
      <c r="U819" s="6">
        <f t="shared" ca="1" si="264"/>
        <v>1.0014047153258177</v>
      </c>
      <c r="V819">
        <f t="shared" ca="1" si="265"/>
        <v>1.3536974857901045</v>
      </c>
      <c r="X819" t="b">
        <f t="shared" ca="1" si="266"/>
        <v>0</v>
      </c>
      <c r="BJ819" t="b">
        <f t="shared" si="247"/>
        <v>1</v>
      </c>
      <c r="BK819" t="b">
        <f t="shared" ca="1" si="248"/>
        <v>0</v>
      </c>
    </row>
    <row r="820" spans="1:63" x14ac:dyDescent="0.45">
      <c r="A820" s="1">
        <v>44048</v>
      </c>
      <c r="B820">
        <v>99.001300000000001</v>
      </c>
      <c r="C820" s="1">
        <v>44048</v>
      </c>
      <c r="D820">
        <v>332.11</v>
      </c>
      <c r="E820">
        <f t="shared" si="249"/>
        <v>-1.3315404611770716E-3</v>
      </c>
      <c r="F820" s="4">
        <f t="shared" si="250"/>
        <v>6.2109919408592723E-3</v>
      </c>
      <c r="G820">
        <f t="shared" ca="1" si="251"/>
        <v>1.0297714351352289E-2</v>
      </c>
      <c r="H820">
        <f t="shared" ca="1" si="252"/>
        <v>5.4844821136292375E-2</v>
      </c>
      <c r="I820">
        <f t="shared" ca="1" si="253"/>
        <v>9.5286138632655559E-2</v>
      </c>
      <c r="J820">
        <f t="shared" ca="1" si="254"/>
        <v>2.7602076733523244</v>
      </c>
      <c r="K820">
        <f t="shared" ca="1" si="255"/>
        <v>1.5859134112823787</v>
      </c>
      <c r="L820">
        <f t="shared" ca="1" si="256"/>
        <v>2.2006817236866261</v>
      </c>
      <c r="M820">
        <f t="shared" ca="1" si="257"/>
        <v>7.9751215214444993E-4</v>
      </c>
      <c r="N820">
        <f t="shared" ca="1" si="258"/>
        <v>2.2522565524102766E-2</v>
      </c>
      <c r="O820">
        <f t="shared" ca="1" si="259"/>
        <v>-0.59497945523936291</v>
      </c>
      <c r="P820">
        <f t="shared" ca="1" si="260"/>
        <v>6.9303191783478573</v>
      </c>
      <c r="Q820">
        <f t="shared" ca="1" si="261"/>
        <v>0.92135087751098599</v>
      </c>
      <c r="R820">
        <f t="shared" ca="1" si="262"/>
        <v>1.8906358110257471</v>
      </c>
      <c r="T820">
        <f t="shared" si="263"/>
        <v>0.99866845953882288</v>
      </c>
      <c r="U820" s="6">
        <f t="shared" ca="1" si="264"/>
        <v>0.99060042605264909</v>
      </c>
      <c r="V820">
        <f t="shared" ca="1" si="265"/>
        <v>1.3543113026000135</v>
      </c>
      <c r="X820" t="b">
        <f t="shared" ca="1" si="266"/>
        <v>1</v>
      </c>
      <c r="BJ820" t="b">
        <f t="shared" si="247"/>
        <v>1</v>
      </c>
      <c r="BK820" t="b">
        <f t="shared" ca="1" si="248"/>
        <v>1</v>
      </c>
    </row>
    <row r="821" spans="1:63" x14ac:dyDescent="0.45">
      <c r="A821" s="1">
        <v>44047</v>
      </c>
      <c r="B821">
        <v>99.133300000000006</v>
      </c>
      <c r="C821" s="1">
        <v>44047</v>
      </c>
      <c r="D821">
        <v>330.06</v>
      </c>
      <c r="E821">
        <f t="shared" si="249"/>
        <v>1.3464646464647022E-3</v>
      </c>
      <c r="F821" s="4">
        <f t="shared" si="250"/>
        <v>3.8626478907508796E-3</v>
      </c>
      <c r="G821">
        <f t="shared" ca="1" si="251"/>
        <v>1.0208550195853573E-2</v>
      </c>
      <c r="H821">
        <f t="shared" ca="1" si="252"/>
        <v>5.487830811348824E-2</v>
      </c>
      <c r="I821">
        <f t="shared" ca="1" si="253"/>
        <v>9.9298222147718773E-2</v>
      </c>
      <c r="J821">
        <f t="shared" ca="1" si="254"/>
        <v>2.7471112307647596</v>
      </c>
      <c r="K821">
        <f t="shared" ca="1" si="255"/>
        <v>1.5859134112823787</v>
      </c>
      <c r="L821">
        <f t="shared" ca="1" si="256"/>
        <v>2.0365814010269188</v>
      </c>
      <c r="M821">
        <f t="shared" ca="1" si="257"/>
        <v>7.4457133304427019E-4</v>
      </c>
      <c r="N821">
        <f t="shared" ca="1" si="258"/>
        <v>2.2522220925171994E-2</v>
      </c>
      <c r="O821">
        <f t="shared" ca="1" si="259"/>
        <v>-0.58801576195261662</v>
      </c>
      <c r="P821">
        <f t="shared" ca="1" si="260"/>
        <v>6.9252516956838575</v>
      </c>
      <c r="Q821">
        <f t="shared" ca="1" si="261"/>
        <v>0.92135087751098599</v>
      </c>
      <c r="R821">
        <f t="shared" ca="1" si="262"/>
        <v>1.834450254166194</v>
      </c>
      <c r="T821">
        <f t="shared" si="263"/>
        <v>1.0013464646464647</v>
      </c>
      <c r="U821" s="6">
        <f t="shared" ca="1" si="264"/>
        <v>1.0071175534146684</v>
      </c>
      <c r="V821">
        <f t="shared" ca="1" si="265"/>
        <v>1.3572965051709387</v>
      </c>
      <c r="X821" t="b">
        <f t="shared" ca="1" si="266"/>
        <v>0</v>
      </c>
      <c r="BJ821" t="b">
        <f t="shared" si="247"/>
        <v>1</v>
      </c>
      <c r="BK821" t="b">
        <f t="shared" ca="1" si="248"/>
        <v>0</v>
      </c>
    </row>
    <row r="822" spans="1:63" x14ac:dyDescent="0.45">
      <c r="A822" s="1">
        <v>44046</v>
      </c>
      <c r="B822">
        <v>99</v>
      </c>
      <c r="C822" s="1">
        <v>44046</v>
      </c>
      <c r="D822">
        <v>328.79</v>
      </c>
      <c r="E822">
        <f t="shared" si="249"/>
        <v>3.7909921999496769E-2</v>
      </c>
      <c r="F822" s="4">
        <f t="shared" si="250"/>
        <v>6.9521009432807757E-3</v>
      </c>
      <c r="G822">
        <f t="shared" ca="1" si="251"/>
        <v>1.0244551187860298E-2</v>
      </c>
      <c r="H822">
        <f t="shared" ca="1" si="252"/>
        <v>5.4874826846842299E-2</v>
      </c>
      <c r="I822">
        <f t="shared" ca="1" si="253"/>
        <v>9.7350309884539105E-2</v>
      </c>
      <c r="J822">
        <f t="shared" ca="1" si="254"/>
        <v>2.7483145370002431</v>
      </c>
      <c r="K822">
        <f t="shared" ca="1" si="255"/>
        <v>1.5859134112823787</v>
      </c>
      <c r="L822">
        <f t="shared" ca="1" si="256"/>
        <v>2.0365814010269188</v>
      </c>
      <c r="M822">
        <f t="shared" ca="1" si="257"/>
        <v>7.4000340190150777E-4</v>
      </c>
      <c r="N822">
        <f t="shared" ca="1" si="258"/>
        <v>2.2521677982243832E-2</v>
      </c>
      <c r="O822">
        <f t="shared" ca="1" si="259"/>
        <v>-0.58745238221565343</v>
      </c>
      <c r="P822">
        <f t="shared" ca="1" si="260"/>
        <v>6.9257252821038504</v>
      </c>
      <c r="Q822">
        <f t="shared" ca="1" si="261"/>
        <v>0.92135087751098599</v>
      </c>
      <c r="R822">
        <f t="shared" ca="1" si="262"/>
        <v>1.834450254166194</v>
      </c>
      <c r="T822">
        <f t="shared" si="263"/>
        <v>1.0379099219994967</v>
      </c>
      <c r="U822" s="6">
        <f t="shared" ca="1" si="264"/>
        <v>0.96453624318004672</v>
      </c>
      <c r="V822">
        <f t="shared" ca="1" si="265"/>
        <v>1.3491246672393733</v>
      </c>
      <c r="X822" t="b">
        <f t="shared" ca="1" si="266"/>
        <v>1</v>
      </c>
      <c r="BJ822" t="b">
        <f t="shared" si="247"/>
        <v>1</v>
      </c>
      <c r="BK822" t="b">
        <f t="shared" ca="1" si="248"/>
        <v>1</v>
      </c>
    </row>
    <row r="823" spans="1:63" x14ac:dyDescent="0.45">
      <c r="A823" s="1">
        <v>44043</v>
      </c>
      <c r="B823">
        <v>95.384</v>
      </c>
      <c r="C823" s="1">
        <v>44043</v>
      </c>
      <c r="D823">
        <v>326.52</v>
      </c>
      <c r="E823">
        <f t="shared" si="249"/>
        <v>-3.8138071516447138E-2</v>
      </c>
      <c r="F823" s="4">
        <f t="shared" si="250"/>
        <v>7.9022101494011683E-3</v>
      </c>
      <c r="G823">
        <f t="shared" ca="1" si="251"/>
        <v>1.0091063394796746E-2</v>
      </c>
      <c r="H823">
        <f t="shared" ca="1" si="252"/>
        <v>5.4839976770834402E-2</v>
      </c>
      <c r="I823">
        <f t="shared" ca="1" si="253"/>
        <v>0.10536481822162201</v>
      </c>
      <c r="J823">
        <f t="shared" ca="1" si="254"/>
        <v>2.7638765428855026</v>
      </c>
      <c r="K823">
        <f t="shared" ca="1" si="255"/>
        <v>1.5859134112823787</v>
      </c>
      <c r="L823">
        <f t="shared" ca="1" si="256"/>
        <v>1.9962996710640901</v>
      </c>
      <c r="M823">
        <f t="shared" ca="1" si="257"/>
        <v>6.9721291859837998E-4</v>
      </c>
      <c r="N823">
        <f t="shared" ca="1" si="258"/>
        <v>2.2517945629466806E-2</v>
      </c>
      <c r="O823">
        <f t="shared" ca="1" si="259"/>
        <v>-0.58209841065576906</v>
      </c>
      <c r="P823">
        <f t="shared" ca="1" si="260"/>
        <v>6.927771863248581</v>
      </c>
      <c r="Q823">
        <f t="shared" ca="1" si="261"/>
        <v>0.92135087751098599</v>
      </c>
      <c r="R823">
        <f t="shared" ca="1" si="262"/>
        <v>1.834450254166194</v>
      </c>
      <c r="T823">
        <f t="shared" si="263"/>
        <v>0.9618619284835529</v>
      </c>
      <c r="U823" s="6">
        <f t="shared" ca="1" si="264"/>
        <v>1.0097103000316514</v>
      </c>
      <c r="V823">
        <f t="shared" ca="1" si="265"/>
        <v>1.3478707859200827</v>
      </c>
      <c r="X823" t="b">
        <f t="shared" ca="1" si="266"/>
        <v>0</v>
      </c>
      <c r="BJ823" t="b">
        <f t="shared" si="247"/>
        <v>1</v>
      </c>
      <c r="BK823" t="b">
        <f t="shared" ca="1" si="248"/>
        <v>0</v>
      </c>
    </row>
    <row r="824" spans="1:63" x14ac:dyDescent="0.45">
      <c r="A824" s="1">
        <v>44042</v>
      </c>
      <c r="B824">
        <v>99.165999999999997</v>
      </c>
      <c r="C824" s="1">
        <v>44042</v>
      </c>
      <c r="D824">
        <v>323.95999999999998</v>
      </c>
      <c r="E824">
        <f t="shared" si="249"/>
        <v>-7.7515966968413254E-3</v>
      </c>
      <c r="F824" s="4">
        <f t="shared" si="250"/>
        <v>-3.5679133858268486E-3</v>
      </c>
      <c r="G824">
        <f t="shared" ca="1" si="251"/>
        <v>1.0299849918910413E-2</v>
      </c>
      <c r="H824">
        <f t="shared" ca="1" si="252"/>
        <v>5.4734824617729272E-2</v>
      </c>
      <c r="I824">
        <f t="shared" ca="1" si="253"/>
        <v>9.7878226759978842E-2</v>
      </c>
      <c r="J824">
        <f t="shared" ca="1" si="254"/>
        <v>2.8039147483079105</v>
      </c>
      <c r="K824">
        <f t="shared" ca="1" si="255"/>
        <v>1.5859134112823787</v>
      </c>
      <c r="L824">
        <f t="shared" ca="1" si="256"/>
        <v>2.1571542384199049</v>
      </c>
      <c r="M824">
        <f t="shared" ca="1" si="257"/>
        <v>7.0720347285221951E-4</v>
      </c>
      <c r="N824">
        <f t="shared" ca="1" si="258"/>
        <v>2.2521601294630191E-2</v>
      </c>
      <c r="O824">
        <f t="shared" ca="1" si="259"/>
        <v>-0.58297908212488714</v>
      </c>
      <c r="P824">
        <f t="shared" ca="1" si="260"/>
        <v>6.9224422761709663</v>
      </c>
      <c r="Q824">
        <f t="shared" ca="1" si="261"/>
        <v>0.92135087751098599</v>
      </c>
      <c r="R824">
        <f t="shared" ca="1" si="262"/>
        <v>1.8702070404357063</v>
      </c>
      <c r="T824">
        <f t="shared" si="263"/>
        <v>0.99224840330315867</v>
      </c>
      <c r="U824" s="6">
        <f t="shared" ca="1" si="264"/>
        <v>0.98309722318604942</v>
      </c>
      <c r="V824">
        <f t="shared" ca="1" si="265"/>
        <v>1.3489434304047445</v>
      </c>
      <c r="X824" t="b">
        <f t="shared" ca="1" si="266"/>
        <v>1</v>
      </c>
      <c r="BJ824" t="b">
        <f t="shared" si="247"/>
        <v>1</v>
      </c>
      <c r="BK824" t="b">
        <f t="shared" ca="1" si="248"/>
        <v>1</v>
      </c>
    </row>
    <row r="825" spans="1:63" x14ac:dyDescent="0.45">
      <c r="A825" s="1">
        <v>44041</v>
      </c>
      <c r="B825">
        <v>99.940700000000007</v>
      </c>
      <c r="C825" s="1">
        <v>44041</v>
      </c>
      <c r="D825">
        <v>325.12</v>
      </c>
      <c r="E825">
        <f t="shared" si="249"/>
        <v>1.532011211721318E-2</v>
      </c>
      <c r="F825" s="4">
        <f t="shared" si="250"/>
        <v>1.2298782576205711E-2</v>
      </c>
      <c r="G825">
        <f t="shared" ca="1" si="251"/>
        <v>1.0521562035276141E-2</v>
      </c>
      <c r="H825">
        <f t="shared" ca="1" si="252"/>
        <v>5.4751142510598275E-2</v>
      </c>
      <c r="I825">
        <f t="shared" ca="1" si="253"/>
        <v>8.6263540612111805E-2</v>
      </c>
      <c r="J825">
        <f t="shared" ca="1" si="254"/>
        <v>2.7956312831148669</v>
      </c>
      <c r="K825">
        <f t="shared" ca="1" si="255"/>
        <v>1.5859134112823787</v>
      </c>
      <c r="L825">
        <f t="shared" ca="1" si="256"/>
        <v>2.2006817236866261</v>
      </c>
      <c r="M825">
        <f t="shared" ca="1" si="257"/>
        <v>7.1947398348325728E-4</v>
      </c>
      <c r="N825">
        <f t="shared" ca="1" si="258"/>
        <v>2.2519928841185279E-2</v>
      </c>
      <c r="O825">
        <f t="shared" ca="1" si="259"/>
        <v>-0.58472806699637003</v>
      </c>
      <c r="P825">
        <f t="shared" ca="1" si="260"/>
        <v>6.9266957271623459</v>
      </c>
      <c r="Q825">
        <f t="shared" ca="1" si="261"/>
        <v>0.92135087751098599</v>
      </c>
      <c r="R825">
        <f t="shared" ca="1" si="262"/>
        <v>1.8702070404357063</v>
      </c>
      <c r="T825">
        <f t="shared" si="263"/>
        <v>1.0153201121172133</v>
      </c>
      <c r="U825" s="6">
        <f t="shared" ca="1" si="264"/>
        <v>0.94146012905656828</v>
      </c>
      <c r="V825">
        <f t="shared" ca="1" si="265"/>
        <v>1.3953282069199466</v>
      </c>
      <c r="X825" t="b">
        <f t="shared" ca="1" si="266"/>
        <v>1</v>
      </c>
      <c r="BJ825" t="b">
        <f t="shared" si="247"/>
        <v>1</v>
      </c>
      <c r="BK825" t="b">
        <f t="shared" ca="1" si="248"/>
        <v>1</v>
      </c>
    </row>
    <row r="826" spans="1:63" x14ac:dyDescent="0.45">
      <c r="A826" s="1">
        <v>44040</v>
      </c>
      <c r="B826">
        <v>98.432699999999997</v>
      </c>
      <c r="C826" s="1">
        <v>44040</v>
      </c>
      <c r="D826">
        <v>321.17</v>
      </c>
      <c r="E826">
        <f t="shared" si="249"/>
        <v>-4.0990841777084994E-2</v>
      </c>
      <c r="F826" s="4">
        <f t="shared" si="250"/>
        <v>-6.3424293051172927E-3</v>
      </c>
      <c r="G826">
        <f t="shared" ca="1" si="251"/>
        <v>1.0509315483025451E-2</v>
      </c>
      <c r="H826">
        <f t="shared" ca="1" si="252"/>
        <v>5.4750337714261112E-2</v>
      </c>
      <c r="I826">
        <f t="shared" ca="1" si="253"/>
        <v>8.6942146445398674E-2</v>
      </c>
      <c r="J826">
        <f t="shared" ca="1" si="254"/>
        <v>2.7960535211816326</v>
      </c>
      <c r="K826">
        <f t="shared" ca="1" si="255"/>
        <v>1.5859134112823787</v>
      </c>
      <c r="L826">
        <f t="shared" ca="1" si="256"/>
        <v>2.2006817236866261</v>
      </c>
      <c r="M826">
        <f t="shared" ca="1" si="257"/>
        <v>7.0981474527144093E-4</v>
      </c>
      <c r="N826">
        <f t="shared" ca="1" si="258"/>
        <v>2.2515351129731399E-2</v>
      </c>
      <c r="O826">
        <f t="shared" ca="1" si="259"/>
        <v>-0.58407589300267471</v>
      </c>
      <c r="P826">
        <f t="shared" ca="1" si="260"/>
        <v>6.9335969108229021</v>
      </c>
      <c r="Q826">
        <f t="shared" ca="1" si="261"/>
        <v>0.92135087751098599</v>
      </c>
      <c r="R826">
        <f t="shared" ca="1" si="262"/>
        <v>1.8702070404357063</v>
      </c>
      <c r="T826">
        <f t="shared" si="263"/>
        <v>0.95900915822291499</v>
      </c>
      <c r="U826" s="6">
        <f t="shared" ca="1" si="264"/>
        <v>0.94142620771445229</v>
      </c>
      <c r="V826">
        <f t="shared" ca="1" si="265"/>
        <v>1.408026456124801</v>
      </c>
      <c r="X826" t="b">
        <f t="shared" ca="1" si="266"/>
        <v>1</v>
      </c>
      <c r="BJ826" t="b">
        <f t="shared" si="247"/>
        <v>1</v>
      </c>
      <c r="BK826" t="b">
        <f t="shared" ca="1" si="248"/>
        <v>1</v>
      </c>
    </row>
    <row r="827" spans="1:63" x14ac:dyDescent="0.45">
      <c r="A827" s="1">
        <v>44039</v>
      </c>
      <c r="B827">
        <v>102.64</v>
      </c>
      <c r="C827" s="1">
        <v>44039</v>
      </c>
      <c r="D827">
        <v>323.22000000000003</v>
      </c>
      <c r="E827">
        <f t="shared" si="249"/>
        <v>8.6520435243318511E-2</v>
      </c>
      <c r="F827" s="4">
        <f t="shared" si="250"/>
        <v>7.2924457741212661E-3</v>
      </c>
      <c r="G827">
        <f t="shared" ca="1" si="251"/>
        <v>1.0718563643573249E-2</v>
      </c>
      <c r="H827">
        <f t="shared" ca="1" si="252"/>
        <v>5.4632366847501203E-2</v>
      </c>
      <c r="I827">
        <f t="shared" ca="1" si="253"/>
        <v>8.0124084295064082E-2</v>
      </c>
      <c r="J827">
        <f t="shared" ca="1" si="254"/>
        <v>2.8412478065922437</v>
      </c>
      <c r="K827">
        <f t="shared" ca="1" si="255"/>
        <v>1.5859134112823787</v>
      </c>
      <c r="L827">
        <f t="shared" ca="1" si="256"/>
        <v>2.227861348042838</v>
      </c>
      <c r="M827">
        <f t="shared" ca="1" si="257"/>
        <v>7.753443120600143E-4</v>
      </c>
      <c r="N827">
        <f t="shared" ca="1" si="258"/>
        <v>2.2513794788910309E-2</v>
      </c>
      <c r="O827">
        <f t="shared" ca="1" si="259"/>
        <v>-0.59276249163506567</v>
      </c>
      <c r="P827">
        <f t="shared" ca="1" si="260"/>
        <v>6.9433228487885623</v>
      </c>
      <c r="Q827">
        <f t="shared" ca="1" si="261"/>
        <v>0.92135087751098599</v>
      </c>
      <c r="R827">
        <f t="shared" ca="1" si="262"/>
        <v>1.9526094366947802</v>
      </c>
      <c r="T827">
        <f t="shared" si="263"/>
        <v>1.0865204352433184</v>
      </c>
      <c r="U827" s="6">
        <f t="shared" ca="1" si="264"/>
        <v>0.93706919375895836</v>
      </c>
      <c r="V827">
        <f t="shared" ca="1" si="265"/>
        <v>1.4003941531775839</v>
      </c>
      <c r="X827" t="b">
        <f t="shared" ca="1" si="266"/>
        <v>1</v>
      </c>
      <c r="BJ827" t="b">
        <f t="shared" si="247"/>
        <v>1</v>
      </c>
      <c r="BK827" t="b">
        <f t="shared" ca="1" si="248"/>
        <v>1</v>
      </c>
    </row>
    <row r="828" spans="1:63" x14ac:dyDescent="0.45">
      <c r="A828" s="1">
        <v>44036</v>
      </c>
      <c r="B828">
        <v>94.466700000000003</v>
      </c>
      <c r="C828" s="1">
        <v>44036</v>
      </c>
      <c r="D828">
        <v>320.88</v>
      </c>
      <c r="E828">
        <f t="shared" si="249"/>
        <v>-6.3490002081866864E-2</v>
      </c>
      <c r="F828" s="4">
        <f t="shared" si="250"/>
        <v>-6.4404260589546207E-3</v>
      </c>
      <c r="G828">
        <f t="shared" ca="1" si="251"/>
        <v>1.0379285969178153E-2</v>
      </c>
      <c r="H828">
        <f t="shared" ca="1" si="252"/>
        <v>5.4369321669698947E-2</v>
      </c>
      <c r="I828">
        <f t="shared" ca="1" si="253"/>
        <v>8.6462660258674523E-2</v>
      </c>
      <c r="J828">
        <f t="shared" ca="1" si="254"/>
        <v>2.93840107830147</v>
      </c>
      <c r="K828">
        <f t="shared" ca="1" si="255"/>
        <v>1.5859134112823787</v>
      </c>
      <c r="L828">
        <f t="shared" ca="1" si="256"/>
        <v>2.1837962744979094</v>
      </c>
      <c r="M828">
        <f t="shared" ca="1" si="257"/>
        <v>7.8636414744615772E-4</v>
      </c>
      <c r="N828">
        <f t="shared" ca="1" si="258"/>
        <v>2.2517539823544951E-2</v>
      </c>
      <c r="O828">
        <f t="shared" ca="1" si="259"/>
        <v>-0.59377794962975272</v>
      </c>
      <c r="P828">
        <f t="shared" ca="1" si="260"/>
        <v>6.9379437785582612</v>
      </c>
      <c r="Q828">
        <f t="shared" ca="1" si="261"/>
        <v>0.92135087751098599</v>
      </c>
      <c r="R828">
        <f t="shared" ca="1" si="262"/>
        <v>1.9770648850536723</v>
      </c>
      <c r="T828">
        <f t="shared" si="263"/>
        <v>0.93650999791813316</v>
      </c>
      <c r="U828" s="6">
        <f t="shared" ca="1" si="264"/>
        <v>0.94413828256176535</v>
      </c>
      <c r="V828">
        <f t="shared" ca="1" si="265"/>
        <v>1.4093401899823297</v>
      </c>
      <c r="X828" t="b">
        <f t="shared" ca="1" si="266"/>
        <v>1</v>
      </c>
      <c r="BJ828" t="b">
        <f t="shared" si="247"/>
        <v>1</v>
      </c>
      <c r="BK828" t="b">
        <f t="shared" ca="1" si="248"/>
        <v>1</v>
      </c>
    </row>
    <row r="829" spans="1:63" x14ac:dyDescent="0.45">
      <c r="A829" s="1">
        <v>44035</v>
      </c>
      <c r="B829">
        <v>100.871</v>
      </c>
      <c r="C829" s="1">
        <v>44035</v>
      </c>
      <c r="D829">
        <v>322.95999999999998</v>
      </c>
      <c r="E829">
        <f t="shared" si="249"/>
        <v>-4.9776270547783955E-2</v>
      </c>
      <c r="F829" s="4">
        <f t="shared" si="250"/>
        <v>-1.1931713883620002E-2</v>
      </c>
      <c r="G829">
        <f t="shared" ca="1" si="251"/>
        <v>1.0745732698416364E-2</v>
      </c>
      <c r="H829">
        <f t="shared" ca="1" si="252"/>
        <v>5.4115334333744353E-2</v>
      </c>
      <c r="I829">
        <f t="shared" ca="1" si="253"/>
        <v>8.0076003509556362E-2</v>
      </c>
      <c r="J829">
        <f t="shared" ca="1" si="254"/>
        <v>3.0310622073703497</v>
      </c>
      <c r="K829">
        <f t="shared" ca="1" si="255"/>
        <v>1.6364778559175348</v>
      </c>
      <c r="L829">
        <f t="shared" ca="1" si="256"/>
        <v>2.3006957718673742</v>
      </c>
      <c r="M829">
        <f t="shared" ca="1" si="257"/>
        <v>7.4094242077354965E-4</v>
      </c>
      <c r="N829">
        <f t="shared" ca="1" si="258"/>
        <v>2.2541340509444036E-2</v>
      </c>
      <c r="O829">
        <f t="shared" ca="1" si="259"/>
        <v>-0.5875488240868364</v>
      </c>
      <c r="P829">
        <f t="shared" ca="1" si="260"/>
        <v>6.8923527864765104</v>
      </c>
      <c r="Q829">
        <f t="shared" ca="1" si="261"/>
        <v>0.92135087751098599</v>
      </c>
      <c r="R829">
        <f t="shared" ca="1" si="262"/>
        <v>1.9770648850536723</v>
      </c>
      <c r="T829">
        <f t="shared" si="263"/>
        <v>0.950223729452216</v>
      </c>
      <c r="U829" s="6">
        <f t="shared" ca="1" si="264"/>
        <v>1.0082764411303136</v>
      </c>
      <c r="V829">
        <f t="shared" ca="1" si="265"/>
        <v>1.3994568696929153</v>
      </c>
      <c r="X829" t="b">
        <f t="shared" ca="1" si="266"/>
        <v>0</v>
      </c>
      <c r="BJ829" t="b">
        <f t="shared" si="247"/>
        <v>1</v>
      </c>
      <c r="BK829" t="b">
        <f t="shared" ca="1" si="248"/>
        <v>0</v>
      </c>
    </row>
    <row r="830" spans="1:63" x14ac:dyDescent="0.45">
      <c r="A830" s="1">
        <v>44034</v>
      </c>
      <c r="B830">
        <v>106.155</v>
      </c>
      <c r="C830" s="1">
        <v>44034</v>
      </c>
      <c r="D830">
        <v>326.86</v>
      </c>
      <c r="E830">
        <f t="shared" si="249"/>
        <v>1.5283529558040103E-2</v>
      </c>
      <c r="F830" s="4">
        <f t="shared" si="250"/>
        <v>5.6921325497677694E-3</v>
      </c>
      <c r="G830">
        <f t="shared" ca="1" si="251"/>
        <v>1.1130497178055154E-2</v>
      </c>
      <c r="H830">
        <f t="shared" ca="1" si="252"/>
        <v>5.395619222556558E-2</v>
      </c>
      <c r="I830">
        <f t="shared" ca="1" si="253"/>
        <v>6.6483902039631643E-2</v>
      </c>
      <c r="J830">
        <f t="shared" ca="1" si="254"/>
        <v>3.0926704035390751</v>
      </c>
      <c r="K830">
        <f t="shared" ca="1" si="255"/>
        <v>1.6364778559175348</v>
      </c>
      <c r="L830">
        <f t="shared" ca="1" si="256"/>
        <v>2.5177429450723734</v>
      </c>
      <c r="M830">
        <f t="shared" ca="1" si="257"/>
        <v>7.7902803282796644E-4</v>
      </c>
      <c r="N830">
        <f t="shared" ca="1" si="258"/>
        <v>2.2526251181146855E-2</v>
      </c>
      <c r="O830">
        <f t="shared" ca="1" si="259"/>
        <v>-0.59300736479383553</v>
      </c>
      <c r="P830">
        <f t="shared" ca="1" si="260"/>
        <v>6.9225765347113866</v>
      </c>
      <c r="Q830">
        <f t="shared" ca="1" si="261"/>
        <v>0.92135087751098599</v>
      </c>
      <c r="R830">
        <f t="shared" ca="1" si="262"/>
        <v>1.9843776097903092</v>
      </c>
      <c r="T830">
        <f t="shared" si="263"/>
        <v>1.01528352955804</v>
      </c>
      <c r="U830" s="6">
        <f t="shared" ca="1" si="264"/>
        <v>1.0299610932694265</v>
      </c>
      <c r="V830">
        <f t="shared" ca="1" si="265"/>
        <v>1.4756008912488237</v>
      </c>
      <c r="X830" t="b">
        <f t="shared" ca="1" si="266"/>
        <v>0</v>
      </c>
      <c r="BJ830" t="b">
        <f t="shared" si="247"/>
        <v>1</v>
      </c>
      <c r="BK830" t="b">
        <f t="shared" ca="1" si="248"/>
        <v>0</v>
      </c>
    </row>
    <row r="831" spans="1:63" x14ac:dyDescent="0.45">
      <c r="A831" s="1">
        <v>44033</v>
      </c>
      <c r="B831">
        <v>104.557</v>
      </c>
      <c r="C831" s="1">
        <v>44033</v>
      </c>
      <c r="D831">
        <v>325.01</v>
      </c>
      <c r="E831">
        <f t="shared" si="249"/>
        <v>-4.5429231373193456E-2</v>
      </c>
      <c r="F831" s="4">
        <f t="shared" si="250"/>
        <v>2.1275283670448872E-3</v>
      </c>
      <c r="G831">
        <f t="shared" ca="1" si="251"/>
        <v>1.1019770569382319E-2</v>
      </c>
      <c r="H831">
        <f t="shared" ca="1" si="252"/>
        <v>5.3970347709214564E-2</v>
      </c>
      <c r="I831">
        <f t="shared" ca="1" si="253"/>
        <v>7.2458263400324449E-2</v>
      </c>
      <c r="J831">
        <f t="shared" ca="1" si="254"/>
        <v>3.0868773800227771</v>
      </c>
      <c r="K831">
        <f t="shared" ca="1" si="255"/>
        <v>1.6364778559175348</v>
      </c>
      <c r="L831">
        <f t="shared" ca="1" si="256"/>
        <v>2.5177429450723734</v>
      </c>
      <c r="M831">
        <f t="shared" ca="1" si="257"/>
        <v>8.1822799951236245E-4</v>
      </c>
      <c r="N831">
        <f t="shared" ca="1" si="258"/>
        <v>2.2541660152568494E-2</v>
      </c>
      <c r="O831">
        <f t="shared" ca="1" si="259"/>
        <v>-0.5961951762169585</v>
      </c>
      <c r="P831">
        <f t="shared" ca="1" si="260"/>
        <v>6.9000794880116159</v>
      </c>
      <c r="Q831">
        <f t="shared" ca="1" si="261"/>
        <v>0.92135087751098599</v>
      </c>
      <c r="R831">
        <f t="shared" ca="1" si="262"/>
        <v>2.0681322617014808</v>
      </c>
      <c r="T831">
        <f t="shared" si="263"/>
        <v>0.95457076862680657</v>
      </c>
      <c r="U831" s="6">
        <f t="shared" ca="1" si="264"/>
        <v>1.0339893196202532</v>
      </c>
      <c r="V831">
        <f t="shared" ca="1" si="265"/>
        <v>1.4619638101480676</v>
      </c>
      <c r="X831" t="b">
        <f t="shared" ca="1" si="266"/>
        <v>0</v>
      </c>
      <c r="BJ831" t="b">
        <f t="shared" si="247"/>
        <v>1</v>
      </c>
      <c r="BK831" t="b">
        <f t="shared" ca="1" si="248"/>
        <v>0</v>
      </c>
    </row>
    <row r="832" spans="1:63" x14ac:dyDescent="0.45">
      <c r="A832" s="1">
        <v>44032</v>
      </c>
      <c r="B832">
        <v>109.533</v>
      </c>
      <c r="C832" s="1">
        <v>44032</v>
      </c>
      <c r="D832">
        <v>324.32</v>
      </c>
      <c r="E832">
        <f t="shared" si="249"/>
        <v>9.4716958503238233E-2</v>
      </c>
      <c r="F832" s="4">
        <f t="shared" si="250"/>
        <v>8.0815616063656774E-3</v>
      </c>
      <c r="G832">
        <f t="shared" ca="1" si="251"/>
        <v>1.1039188777677456E-2</v>
      </c>
      <c r="H832">
        <f t="shared" ca="1" si="252"/>
        <v>5.395063068948814E-2</v>
      </c>
      <c r="I832">
        <f t="shared" ca="1" si="253"/>
        <v>7.2566421781435728E-2</v>
      </c>
      <c r="J832">
        <f t="shared" ca="1" si="254"/>
        <v>3.0942001302016617</v>
      </c>
      <c r="K832">
        <f t="shared" ca="1" si="255"/>
        <v>1.6364778559175348</v>
      </c>
      <c r="L832">
        <f t="shared" ca="1" si="256"/>
        <v>2.5177429450723734</v>
      </c>
      <c r="M832">
        <f t="shared" ca="1" si="257"/>
        <v>8.4855404579766867E-4</v>
      </c>
      <c r="N832">
        <f t="shared" ca="1" si="258"/>
        <v>2.2547509554537399E-2</v>
      </c>
      <c r="O832">
        <f t="shared" ca="1" si="259"/>
        <v>-0.59963040924456457</v>
      </c>
      <c r="P832">
        <f t="shared" ca="1" si="260"/>
        <v>6.893102171798577</v>
      </c>
      <c r="Q832">
        <f t="shared" ca="1" si="261"/>
        <v>0.92135087751098599</v>
      </c>
      <c r="R832">
        <f t="shared" ca="1" si="262"/>
        <v>2.0681322617014808</v>
      </c>
      <c r="T832">
        <f t="shared" si="263"/>
        <v>1.0947169585032381</v>
      </c>
      <c r="U832" s="6">
        <f t="shared" ca="1" si="264"/>
        <v>1.097481062883251</v>
      </c>
      <c r="V832">
        <f t="shared" ca="1" si="265"/>
        <v>1.4737672771494439</v>
      </c>
      <c r="X832" t="b">
        <f t="shared" ca="1" si="266"/>
        <v>0</v>
      </c>
      <c r="BJ832" t="b">
        <f t="shared" si="247"/>
        <v>1</v>
      </c>
      <c r="BK832" t="b">
        <f t="shared" ca="1" si="248"/>
        <v>0</v>
      </c>
    </row>
    <row r="833" spans="1:63" x14ac:dyDescent="0.45">
      <c r="A833" s="1">
        <v>44029</v>
      </c>
      <c r="B833">
        <v>100.056</v>
      </c>
      <c r="C833" s="1">
        <v>44029</v>
      </c>
      <c r="D833">
        <v>321.72000000000003</v>
      </c>
      <c r="E833">
        <f t="shared" si="249"/>
        <v>1.2994412402657875E-4</v>
      </c>
      <c r="F833" s="4">
        <f t="shared" si="250"/>
        <v>2.8990928644908095E-3</v>
      </c>
      <c r="G833">
        <f t="shared" ca="1" si="251"/>
        <v>1.0533726981354415E-2</v>
      </c>
      <c r="H833">
        <f t="shared" ca="1" si="252"/>
        <v>5.363536110744016E-2</v>
      </c>
      <c r="I833">
        <f t="shared" ca="1" si="253"/>
        <v>8.2963672288857426E-2</v>
      </c>
      <c r="J833">
        <f t="shared" ca="1" si="254"/>
        <v>3.2118589360212875</v>
      </c>
      <c r="K833">
        <f t="shared" ca="1" si="255"/>
        <v>1.6364778559175348</v>
      </c>
      <c r="L833">
        <f t="shared" ca="1" si="256"/>
        <v>2.4821319651512654</v>
      </c>
      <c r="M833">
        <f t="shared" ca="1" si="257"/>
        <v>7.1982268027027344E-4</v>
      </c>
      <c r="N833">
        <f t="shared" ca="1" si="258"/>
        <v>2.2579480777614975E-2</v>
      </c>
      <c r="O833">
        <f t="shared" ca="1" si="259"/>
        <v>-0.58277483763294602</v>
      </c>
      <c r="P833">
        <f t="shared" ca="1" si="260"/>
        <v>6.8254551938974499</v>
      </c>
      <c r="Q833">
        <f t="shared" ca="1" si="261"/>
        <v>0.92135087751098599</v>
      </c>
      <c r="R833">
        <f t="shared" ca="1" si="262"/>
        <v>2.0201646630170598</v>
      </c>
      <c r="T833">
        <f t="shared" si="263"/>
        <v>1.0001299441240266</v>
      </c>
      <c r="U833" s="6">
        <f t="shared" ca="1" si="264"/>
        <v>0.97163444264253196</v>
      </c>
      <c r="V833">
        <f t="shared" ca="1" si="265"/>
        <v>1.4922669345789799</v>
      </c>
      <c r="X833" t="b">
        <f t="shared" ca="1" si="266"/>
        <v>1</v>
      </c>
      <c r="BJ833" t="b">
        <f t="shared" si="247"/>
        <v>1</v>
      </c>
      <c r="BK833" t="b">
        <f t="shared" ca="1" si="248"/>
        <v>1</v>
      </c>
    </row>
    <row r="834" spans="1:63" x14ac:dyDescent="0.45">
      <c r="A834" s="1">
        <v>44028</v>
      </c>
      <c r="B834">
        <v>100.04300000000001</v>
      </c>
      <c r="C834" s="1">
        <v>44028</v>
      </c>
      <c r="D834">
        <v>320.79000000000002</v>
      </c>
      <c r="E834">
        <f t="shared" si="249"/>
        <v>-2.9340137968505795E-2</v>
      </c>
      <c r="F834" s="4">
        <f t="shared" si="250"/>
        <v>-3.2934596861892255E-3</v>
      </c>
      <c r="G834">
        <f t="shared" ca="1" si="251"/>
        <v>1.0612383525524415E-2</v>
      </c>
      <c r="H834">
        <f t="shared" ca="1" si="252"/>
        <v>5.3631562124592316E-2</v>
      </c>
      <c r="I834">
        <f t="shared" ca="1" si="253"/>
        <v>7.8579058549910805E-2</v>
      </c>
      <c r="J834">
        <f t="shared" ca="1" si="254"/>
        <v>3.21314168541093</v>
      </c>
      <c r="K834">
        <f t="shared" ca="1" si="255"/>
        <v>1.6364778559175348</v>
      </c>
      <c r="L834">
        <f t="shared" ca="1" si="256"/>
        <v>2.4821319651512654</v>
      </c>
      <c r="M834">
        <f t="shared" ca="1" si="257"/>
        <v>6.4585354947209765E-4</v>
      </c>
      <c r="N834">
        <f t="shared" ca="1" si="258"/>
        <v>2.2596531174466538E-2</v>
      </c>
      <c r="O834">
        <f t="shared" ca="1" si="259"/>
        <v>-0.57242460787378213</v>
      </c>
      <c r="P834">
        <f t="shared" ca="1" si="260"/>
        <v>6.788484097943841</v>
      </c>
      <c r="Q834">
        <f t="shared" ca="1" si="261"/>
        <v>0.92135087751098599</v>
      </c>
      <c r="R834">
        <f t="shared" ca="1" si="262"/>
        <v>1.9735549252778017</v>
      </c>
      <c r="T834">
        <f t="shared" si="263"/>
        <v>0.97065986203149424</v>
      </c>
      <c r="U834" s="6">
        <f t="shared" ca="1" si="264"/>
        <v>1.0762866856011706</v>
      </c>
      <c r="V834">
        <f t="shared" ca="1" si="265"/>
        <v>1.4852958579646791</v>
      </c>
      <c r="X834" t="b">
        <f t="shared" ca="1" si="266"/>
        <v>0</v>
      </c>
      <c r="BJ834" t="b">
        <f t="shared" ref="BJ834:BJ897" si="267">ABS(W834-1)&gt;$S$21</f>
        <v>1</v>
      </c>
      <c r="BK834" t="b">
        <f t="shared" ref="BK834:BK897" ca="1" si="268">AND(X834,BJ834)</f>
        <v>0</v>
      </c>
    </row>
    <row r="835" spans="1:63" x14ac:dyDescent="0.45">
      <c r="A835" s="1">
        <v>44027</v>
      </c>
      <c r="B835">
        <v>103.06699999999999</v>
      </c>
      <c r="C835" s="1">
        <v>44027</v>
      </c>
      <c r="D835">
        <v>321.85000000000002</v>
      </c>
      <c r="E835">
        <f t="shared" ref="E835:E898" si="269">(B835-B836)/B836</f>
        <v>1.9254351265822669E-2</v>
      </c>
      <c r="F835" s="4">
        <f t="shared" ref="F835:F898" si="270">(D835-D836)/D836</f>
        <v>9.1872569923491989E-3</v>
      </c>
      <c r="G835">
        <f t="shared" ref="G835:G898" ca="1" si="271">AVERAGE(OFFSET(E835,0,0,$S$3,1))*$AK$25</f>
        <v>1.0733065134707795E-2</v>
      </c>
      <c r="H835">
        <f t="shared" ref="H835:H898" ca="1" si="272">STDEV(OFFSET(E835,0,0,$S$3,1))*$AJ$25</f>
        <v>5.3568327762581303E-2</v>
      </c>
      <c r="I835">
        <f t="shared" ref="I835:I898" ca="1" si="273">SKEW(OFFSET(E835,0,0,$S$3,1))*$AI$25</f>
        <v>7.4005989108252457E-2</v>
      </c>
      <c r="J835">
        <f t="shared" ref="J835:J898" ca="1" si="274">KURT(OFFSET(E835,0,0,$S$3,1))*$AH$25</f>
        <v>3.2404722514846016</v>
      </c>
      <c r="K835">
        <f t="shared" ref="K835:K898" ca="1" si="275">PERCENTILE(OFFSET(E835,0,0,$S$3,1), 0.95)/ABS(PERCENTILE(OFFSET(E835,0,0,$S$3,1), 0.05))*$AG$25</f>
        <v>1.6364778559175348</v>
      </c>
      <c r="L835">
        <f t="shared" ref="L835:L898" ca="1" si="276">PERCENTILE(OFFSET(E835,0,0,$S$3,1), 0.75)/ABS(PERCENTILE(OFFSET(E835,0,0,$S$3,1), 0.25))*$AF$25</f>
        <v>2.7196538180176812</v>
      </c>
      <c r="M835">
        <f t="shared" ref="M835:M898" ca="1" si="277">AVERAGE(OFFSET(F835,0,0,$S$3,1))*$AE$25</f>
        <v>6.8550974431468904E-4</v>
      </c>
      <c r="N835">
        <f t="shared" ref="N835:N898" ca="1" si="278">STDEV(OFFSET(F835,0,0,$S$3,1))*$AD$25</f>
        <v>2.2596542600543706E-2</v>
      </c>
      <c r="O835">
        <f t="shared" ref="O835:O898" ca="1" si="279">SKEW(OFFSET(F835,0,0,$S$3,1))*$AC$25</f>
        <v>-0.57768694893817341</v>
      </c>
      <c r="P835">
        <f t="shared" ref="P835:P898" ca="1" si="280">KURT(OFFSET(F835,0,0,$S$3,1))*$AB$25</f>
        <v>6.7925830503797373</v>
      </c>
      <c r="Q835">
        <f t="shared" ref="Q835:Q898" ca="1" si="281">PERCENTILE(OFFSET(F835,0,0,$S$3,1), 0.95)/ABS(PERCENTILE(OFFSET(F835,0,0,$S$3,1), 0.05))*$AA$25</f>
        <v>0.92135087751098599</v>
      </c>
      <c r="R835">
        <f t="shared" ref="R835:R898" ca="1" si="282">PERCENTILE(OFFSET(F835,0,0,$S$3,1), 0.75)/ABS(PERCENTILE(OFFSET(F835,0,0,$S$3,1), 0.25))*$Z$25</f>
        <v>1.9735549252778017</v>
      </c>
      <c r="T835">
        <f t="shared" ref="T835:T898" si="283">E835+1</f>
        <v>1.0192543512658228</v>
      </c>
      <c r="U835" s="6">
        <f t="shared" ref="U835:U898" ca="1" si="284">PRODUCT(OFFSET(T835,0,0,$S$6,1))</f>
        <v>1.1318742745064447</v>
      </c>
      <c r="V835">
        <f t="shared" ref="V835:V898" ca="1" si="285">OFFSET(G835,$S$6,0) * $AK$2+ OFFSET(H835,$S$6,0)  * $AJ$2 + OFFSET(I835,$S$6,0) * $AI$2 + OFFSET(J835,$S$6,0) * $AH$2 + OFFSET(K835,$S$6,0) * $AG$2 + OFFSET(L835,$S$6,0) * $AF$2 + OFFSET(M835,$S$6,0) * $AE$2 + OFFSET(N835,$S$6,0) * $AD$2 + OFFSET(O835,$S$6,0) * $AC$2 + OFFSET(P835,$S$6,0) * $AB$2 +  OFFSET(Q835,$S$6,0) * $AA$2 + OFFSET(R835,$S$6,0)  * $Z$2  + AL$2</f>
        <v>1.5088949470974762</v>
      </c>
      <c r="X835" t="b">
        <f t="shared" ref="X835:X898" ca="1" si="286">OR(AND(U835&gt;1, W835&gt;1), AND(U835&lt;1, W835&lt;1))</f>
        <v>0</v>
      </c>
      <c r="BJ835" t="b">
        <f t="shared" si="267"/>
        <v>1</v>
      </c>
      <c r="BK835" t="b">
        <f t="shared" ca="1" si="268"/>
        <v>0</v>
      </c>
    </row>
    <row r="836" spans="1:63" x14ac:dyDescent="0.45">
      <c r="A836" s="1">
        <v>44026</v>
      </c>
      <c r="B836">
        <v>101.12</v>
      </c>
      <c r="C836" s="1">
        <v>44026</v>
      </c>
      <c r="D836">
        <v>318.92</v>
      </c>
      <c r="E836">
        <f t="shared" si="269"/>
        <v>1.3185844254739313E-2</v>
      </c>
      <c r="F836" s="4">
        <f t="shared" si="270"/>
        <v>1.2958963282937497E-2</v>
      </c>
      <c r="G836">
        <f t="shared" ca="1" si="271"/>
        <v>1.0627919303663301E-2</v>
      </c>
      <c r="H836">
        <f t="shared" ca="1" si="272"/>
        <v>5.3572156090750854E-2</v>
      </c>
      <c r="I836">
        <f t="shared" ca="1" si="273"/>
        <v>7.9852665282220042E-2</v>
      </c>
      <c r="J836">
        <f t="shared" ca="1" si="274"/>
        <v>3.2393034463150174</v>
      </c>
      <c r="K836">
        <f t="shared" ca="1" si="275"/>
        <v>1.6364778559175348</v>
      </c>
      <c r="L836">
        <f t="shared" ca="1" si="276"/>
        <v>2.7196538180176812</v>
      </c>
      <c r="M836">
        <f t="shared" ca="1" si="277"/>
        <v>6.1263743241691659E-4</v>
      </c>
      <c r="N836">
        <f t="shared" ca="1" si="278"/>
        <v>2.2592487728438585E-2</v>
      </c>
      <c r="O836">
        <f t="shared" ca="1" si="279"/>
        <v>-0.5685928042946985</v>
      </c>
      <c r="P836">
        <f t="shared" ca="1" si="280"/>
        <v>6.7920219327704929</v>
      </c>
      <c r="Q836">
        <f t="shared" ca="1" si="281"/>
        <v>0.92135087751098599</v>
      </c>
      <c r="R836">
        <f t="shared" ca="1" si="282"/>
        <v>1.755493274693706</v>
      </c>
      <c r="T836">
        <f t="shared" si="283"/>
        <v>1.0131858442547392</v>
      </c>
      <c r="U836" s="6">
        <f t="shared" ca="1" si="284"/>
        <v>1.0913333326138359</v>
      </c>
      <c r="V836">
        <f t="shared" ca="1" si="285"/>
        <v>1.501344768477376</v>
      </c>
      <c r="X836" t="b">
        <f t="shared" ca="1" si="286"/>
        <v>0</v>
      </c>
      <c r="BJ836" t="b">
        <f t="shared" si="267"/>
        <v>1</v>
      </c>
      <c r="BK836" t="b">
        <f t="shared" ca="1" si="268"/>
        <v>0</v>
      </c>
    </row>
    <row r="837" spans="1:63" x14ac:dyDescent="0.45">
      <c r="A837" s="1">
        <v>44025</v>
      </c>
      <c r="B837">
        <v>99.804000000000002</v>
      </c>
      <c r="C837" s="1">
        <v>44025</v>
      </c>
      <c r="D837">
        <v>314.83999999999997</v>
      </c>
      <c r="E837">
        <f t="shared" si="269"/>
        <v>-3.0812705749827647E-2</v>
      </c>
      <c r="F837" s="4">
        <f t="shared" si="270"/>
        <v>-8.6589628136906089E-3</v>
      </c>
      <c r="G837">
        <f t="shared" ca="1" si="271"/>
        <v>1.0865006472821631E-2</v>
      </c>
      <c r="H837">
        <f t="shared" ca="1" si="272"/>
        <v>5.3688331793096407E-2</v>
      </c>
      <c r="I837">
        <f t="shared" ca="1" si="273"/>
        <v>7.0046906530781466E-2</v>
      </c>
      <c r="J837">
        <f t="shared" ca="1" si="274"/>
        <v>3.1875841076689868</v>
      </c>
      <c r="K837">
        <f t="shared" ca="1" si="275"/>
        <v>1.6364778559175348</v>
      </c>
      <c r="L837">
        <f t="shared" ca="1" si="276"/>
        <v>2.758672507944544</v>
      </c>
      <c r="M837">
        <f t="shared" ca="1" si="277"/>
        <v>5.3742664933332217E-4</v>
      </c>
      <c r="N837">
        <f t="shared" ca="1" si="278"/>
        <v>2.2576211994856554E-2</v>
      </c>
      <c r="O837">
        <f t="shared" ca="1" si="279"/>
        <v>-0.56056700761021283</v>
      </c>
      <c r="P837">
        <f t="shared" ca="1" si="280"/>
        <v>6.8122694044321728</v>
      </c>
      <c r="Q837">
        <f t="shared" ca="1" si="281"/>
        <v>0.92135087751098599</v>
      </c>
      <c r="R837">
        <f t="shared" ca="1" si="282"/>
        <v>1.7337785725368826</v>
      </c>
      <c r="T837">
        <f t="shared" si="283"/>
        <v>0.96918729425017236</v>
      </c>
      <c r="U837" s="6">
        <f t="shared" ca="1" si="284"/>
        <v>1.091485333890355</v>
      </c>
      <c r="V837">
        <f t="shared" ca="1" si="285"/>
        <v>1.5186565167387416</v>
      </c>
      <c r="X837" t="b">
        <f t="shared" ca="1" si="286"/>
        <v>0</v>
      </c>
      <c r="BJ837" t="b">
        <f t="shared" si="267"/>
        <v>1</v>
      </c>
      <c r="BK837" t="b">
        <f t="shared" ca="1" si="268"/>
        <v>0</v>
      </c>
    </row>
    <row r="838" spans="1:63" x14ac:dyDescent="0.45">
      <c r="A838" s="1">
        <v>44022</v>
      </c>
      <c r="B838">
        <v>102.977</v>
      </c>
      <c r="C838" s="1">
        <v>44022</v>
      </c>
      <c r="D838">
        <v>317.58999999999997</v>
      </c>
      <c r="E838">
        <f t="shared" si="269"/>
        <v>0.10785136414493508</v>
      </c>
      <c r="F838" s="4">
        <f t="shared" si="270"/>
        <v>1.0210573191678795E-2</v>
      </c>
      <c r="G838">
        <f t="shared" ca="1" si="271"/>
        <v>1.1142048087279104E-2</v>
      </c>
      <c r="H838">
        <f t="shared" ca="1" si="272"/>
        <v>5.3615095036386604E-2</v>
      </c>
      <c r="I838">
        <f t="shared" ca="1" si="273"/>
        <v>5.7145489244664394E-2</v>
      </c>
      <c r="J838">
        <f t="shared" ca="1" si="274"/>
        <v>3.2184732563357077</v>
      </c>
      <c r="K838">
        <f t="shared" ca="1" si="275"/>
        <v>1.6364778559175348</v>
      </c>
      <c r="L838">
        <f t="shared" ca="1" si="276"/>
        <v>2.8370423519715224</v>
      </c>
      <c r="M838">
        <f t="shared" ca="1" si="277"/>
        <v>6.1029526270552342E-4</v>
      </c>
      <c r="N838">
        <f t="shared" ca="1" si="278"/>
        <v>2.25698986206628E-2</v>
      </c>
      <c r="O838">
        <f t="shared" ca="1" si="279"/>
        <v>-0.57040912156073686</v>
      </c>
      <c r="P838">
        <f t="shared" ca="1" si="280"/>
        <v>6.8306296836517761</v>
      </c>
      <c r="Q838">
        <f t="shared" ca="1" si="281"/>
        <v>0.92135087751098599</v>
      </c>
      <c r="R838">
        <f t="shared" ca="1" si="282"/>
        <v>1.8702070404357063</v>
      </c>
      <c r="T838">
        <f t="shared" si="283"/>
        <v>1.107851364144935</v>
      </c>
      <c r="U838" s="6">
        <f t="shared" ca="1" si="284"/>
        <v>1.2779902031961856</v>
      </c>
      <c r="V838">
        <f t="shared" ca="1" si="285"/>
        <v>1.5461173066110794</v>
      </c>
      <c r="X838" t="b">
        <f t="shared" ca="1" si="286"/>
        <v>0</v>
      </c>
      <c r="BJ838" t="b">
        <f t="shared" si="267"/>
        <v>1</v>
      </c>
      <c r="BK838" t="b">
        <f t="shared" ca="1" si="268"/>
        <v>0</v>
      </c>
    </row>
    <row r="839" spans="1:63" x14ac:dyDescent="0.45">
      <c r="A839" s="1">
        <v>44021</v>
      </c>
      <c r="B839">
        <v>92.951999999999998</v>
      </c>
      <c r="C839" s="1">
        <v>44021</v>
      </c>
      <c r="D839">
        <v>314.38</v>
      </c>
      <c r="E839">
        <f t="shared" si="269"/>
        <v>2.0792082469879281E-2</v>
      </c>
      <c r="F839" s="4">
        <f t="shared" si="270"/>
        <v>-5.6929597064963354E-3</v>
      </c>
      <c r="G839">
        <f t="shared" ca="1" si="271"/>
        <v>1.0229299163582157E-2</v>
      </c>
      <c r="H839">
        <f t="shared" ca="1" si="272"/>
        <v>5.3514210617650007E-2</v>
      </c>
      <c r="I839">
        <f t="shared" ca="1" si="273"/>
        <v>5.8252180404845977E-2</v>
      </c>
      <c r="J839">
        <f t="shared" ca="1" si="274"/>
        <v>3.2471492775715571</v>
      </c>
      <c r="K839">
        <f t="shared" ca="1" si="275"/>
        <v>1.3120452975613566</v>
      </c>
      <c r="L839">
        <f t="shared" ca="1" si="276"/>
        <v>2.7196538180176812</v>
      </c>
      <c r="M839">
        <f t="shared" ca="1" si="277"/>
        <v>5.2000829996969099E-4</v>
      </c>
      <c r="N839">
        <f t="shared" ca="1" si="278"/>
        <v>2.2567418985068238E-2</v>
      </c>
      <c r="O839">
        <f t="shared" ca="1" si="279"/>
        <v>-0.5591314708371572</v>
      </c>
      <c r="P839">
        <f t="shared" ca="1" si="280"/>
        <v>6.8256752015833433</v>
      </c>
      <c r="Q839">
        <f t="shared" ca="1" si="281"/>
        <v>0.92135087751098599</v>
      </c>
      <c r="R839">
        <f t="shared" ca="1" si="282"/>
        <v>1.7180694074108469</v>
      </c>
      <c r="T839">
        <f t="shared" si="283"/>
        <v>1.0207920824698793</v>
      </c>
      <c r="U839" s="6">
        <f t="shared" ca="1" si="284"/>
        <v>1.2453042522976341</v>
      </c>
      <c r="V839">
        <f t="shared" ca="1" si="285"/>
        <v>1.55861994366296</v>
      </c>
      <c r="X839" t="b">
        <f t="shared" ca="1" si="286"/>
        <v>0</v>
      </c>
      <c r="BJ839" t="b">
        <f t="shared" si="267"/>
        <v>1</v>
      </c>
      <c r="BK839" t="b">
        <f t="shared" ca="1" si="268"/>
        <v>0</v>
      </c>
    </row>
    <row r="840" spans="1:63" x14ac:dyDescent="0.45">
      <c r="A840" s="1">
        <v>44020</v>
      </c>
      <c r="B840">
        <v>91.058700000000002</v>
      </c>
      <c r="C840" s="1">
        <v>44020</v>
      </c>
      <c r="D840">
        <v>316.18</v>
      </c>
      <c r="E840">
        <f t="shared" si="269"/>
        <v>-1.7252823037148767E-2</v>
      </c>
      <c r="F840" s="4">
        <f t="shared" si="270"/>
        <v>7.6486710434063177E-3</v>
      </c>
      <c r="G840">
        <f t="shared" ca="1" si="271"/>
        <v>1.0138024755484287E-2</v>
      </c>
      <c r="H840">
        <f t="shared" ca="1" si="272"/>
        <v>5.3511671889325797E-2</v>
      </c>
      <c r="I840">
        <f t="shared" ca="1" si="273"/>
        <v>6.3375123347960943E-2</v>
      </c>
      <c r="J840">
        <f t="shared" ca="1" si="274"/>
        <v>3.248761100009494</v>
      </c>
      <c r="K840">
        <f t="shared" ca="1" si="275"/>
        <v>1.3120452975613566</v>
      </c>
      <c r="L840">
        <f t="shared" ca="1" si="276"/>
        <v>2.7196538180176812</v>
      </c>
      <c r="M840">
        <f t="shared" ca="1" si="277"/>
        <v>5.4729970437584824E-4</v>
      </c>
      <c r="N840">
        <f t="shared" ca="1" si="278"/>
        <v>2.2563167739189413E-2</v>
      </c>
      <c r="O840">
        <f t="shared" ca="1" si="279"/>
        <v>-0.56300711235774714</v>
      </c>
      <c r="P840">
        <f t="shared" ca="1" si="280"/>
        <v>6.8358574713518747</v>
      </c>
      <c r="Q840">
        <f t="shared" ca="1" si="281"/>
        <v>0.92135087751098599</v>
      </c>
      <c r="R840">
        <f t="shared" ca="1" si="282"/>
        <v>1.8532617443734238</v>
      </c>
      <c r="T840">
        <f t="shared" si="283"/>
        <v>0.98274717696285119</v>
      </c>
      <c r="U840" s="6">
        <f t="shared" ca="1" si="284"/>
        <v>1.2649272857851315</v>
      </c>
      <c r="V840">
        <f t="shared" ca="1" si="285"/>
        <v>1.5783722915829341</v>
      </c>
      <c r="X840" t="b">
        <f t="shared" ca="1" si="286"/>
        <v>0</v>
      </c>
      <c r="BJ840" t="b">
        <f t="shared" si="267"/>
        <v>1</v>
      </c>
      <c r="BK840" t="b">
        <f t="shared" ca="1" si="268"/>
        <v>0</v>
      </c>
    </row>
    <row r="841" spans="1:63" x14ac:dyDescent="0.45">
      <c r="A841" s="1">
        <v>44019</v>
      </c>
      <c r="B841">
        <v>92.657300000000006</v>
      </c>
      <c r="C841" s="1">
        <v>44019</v>
      </c>
      <c r="D841">
        <v>313.77999999999997</v>
      </c>
      <c r="E841">
        <f t="shared" si="269"/>
        <v>1.332696112258824E-2</v>
      </c>
      <c r="F841" s="4">
        <f t="shared" si="270"/>
        <v>-1.0313830626084335E-2</v>
      </c>
      <c r="G841">
        <f t="shared" ca="1" si="271"/>
        <v>1.0103029746582439E-2</v>
      </c>
      <c r="H841">
        <f t="shared" ca="1" si="272"/>
        <v>5.3531959407841084E-2</v>
      </c>
      <c r="I841">
        <f t="shared" ca="1" si="273"/>
        <v>6.461829473974362E-2</v>
      </c>
      <c r="J841">
        <f t="shared" ca="1" si="274"/>
        <v>3.2399213966481941</v>
      </c>
      <c r="K841">
        <f t="shared" ca="1" si="275"/>
        <v>1.3120452975613566</v>
      </c>
      <c r="L841">
        <f t="shared" ca="1" si="276"/>
        <v>2.7196538180176812</v>
      </c>
      <c r="M841">
        <f t="shared" ca="1" si="277"/>
        <v>4.625570798616203E-4</v>
      </c>
      <c r="N841">
        <f t="shared" ca="1" si="278"/>
        <v>2.2568189450857062E-2</v>
      </c>
      <c r="O841">
        <f t="shared" ca="1" si="279"/>
        <v>-0.55183244381392715</v>
      </c>
      <c r="P841">
        <f t="shared" ca="1" si="280"/>
        <v>6.8186582865421181</v>
      </c>
      <c r="Q841">
        <f t="shared" ca="1" si="281"/>
        <v>0.92135087751098599</v>
      </c>
      <c r="R841">
        <f t="shared" ca="1" si="282"/>
        <v>1.7180694074108469</v>
      </c>
      <c r="T841">
        <f t="shared" si="283"/>
        <v>1.0133269611225881</v>
      </c>
      <c r="U841" s="6">
        <f t="shared" ca="1" si="284"/>
        <v>1.3769846931193341</v>
      </c>
      <c r="V841">
        <f t="shared" ca="1" si="285"/>
        <v>1.5936493792970357</v>
      </c>
      <c r="X841" t="b">
        <f t="shared" ca="1" si="286"/>
        <v>0</v>
      </c>
      <c r="BJ841" t="b">
        <f t="shared" si="267"/>
        <v>1</v>
      </c>
      <c r="BK841" t="b">
        <f t="shared" ca="1" si="268"/>
        <v>0</v>
      </c>
    </row>
    <row r="842" spans="1:63" x14ac:dyDescent="0.45">
      <c r="A842" s="1">
        <v>44018</v>
      </c>
      <c r="B842">
        <v>91.438699999999997</v>
      </c>
      <c r="C842" s="1">
        <v>44018</v>
      </c>
      <c r="D842">
        <v>317.05</v>
      </c>
      <c r="E842">
        <f t="shared" si="269"/>
        <v>0.13479478711746365</v>
      </c>
      <c r="F842" s="4">
        <f t="shared" si="270"/>
        <v>1.543733785991094E-2</v>
      </c>
      <c r="G842">
        <f t="shared" ca="1" si="271"/>
        <v>1.0100247534807861E-2</v>
      </c>
      <c r="H842">
        <f t="shared" ca="1" si="272"/>
        <v>5.3531805468489596E-2</v>
      </c>
      <c r="I842">
        <f t="shared" ca="1" si="273"/>
        <v>6.4775865611549674E-2</v>
      </c>
      <c r="J842">
        <f t="shared" ca="1" si="274"/>
        <v>3.240007385879732</v>
      </c>
      <c r="K842">
        <f t="shared" ca="1" si="275"/>
        <v>1.3120452975613566</v>
      </c>
      <c r="L842">
        <f t="shared" ca="1" si="276"/>
        <v>2.7196538180176812</v>
      </c>
      <c r="M842">
        <f t="shared" ca="1" si="277"/>
        <v>5.137941174158207E-4</v>
      </c>
      <c r="N842">
        <f t="shared" ca="1" si="278"/>
        <v>2.2555229377729889E-2</v>
      </c>
      <c r="O842">
        <f t="shared" ca="1" si="279"/>
        <v>-0.55911442710666581</v>
      </c>
      <c r="P842">
        <f t="shared" ca="1" si="280"/>
        <v>6.8462317137837774</v>
      </c>
      <c r="Q842">
        <f t="shared" ca="1" si="281"/>
        <v>0.92135087751098599</v>
      </c>
      <c r="R842">
        <f t="shared" ca="1" si="282"/>
        <v>1.8532617443734238</v>
      </c>
      <c r="T842">
        <f t="shared" si="283"/>
        <v>1.1347947871174637</v>
      </c>
      <c r="U842" s="6">
        <f t="shared" ca="1" si="284"/>
        <v>1.4291159954175117</v>
      </c>
      <c r="V842">
        <f t="shared" ca="1" si="285"/>
        <v>1.615781825007883</v>
      </c>
      <c r="X842" t="b">
        <f t="shared" ca="1" si="286"/>
        <v>0</v>
      </c>
      <c r="BJ842" t="b">
        <f t="shared" si="267"/>
        <v>1</v>
      </c>
      <c r="BK842" t="b">
        <f t="shared" ca="1" si="268"/>
        <v>0</v>
      </c>
    </row>
    <row r="843" spans="1:63" x14ac:dyDescent="0.45">
      <c r="A843" s="1">
        <v>44014</v>
      </c>
      <c r="B843">
        <v>80.577299999999994</v>
      </c>
      <c r="C843" s="1">
        <v>44014</v>
      </c>
      <c r="D843">
        <v>312.23</v>
      </c>
      <c r="E843">
        <f t="shared" si="269"/>
        <v>7.9516893973902075E-2</v>
      </c>
      <c r="F843" s="4">
        <f t="shared" si="270"/>
        <v>5.5068916655933156E-3</v>
      </c>
      <c r="G843">
        <f t="shared" ca="1" si="271"/>
        <v>9.3997405984178224E-3</v>
      </c>
      <c r="H843">
        <f t="shared" ca="1" si="272"/>
        <v>5.2803593884994664E-2</v>
      </c>
      <c r="I843">
        <f t="shared" ca="1" si="273"/>
        <v>4.072589314803856E-2</v>
      </c>
      <c r="J843">
        <f t="shared" ca="1" si="274"/>
        <v>3.4340914287345745</v>
      </c>
      <c r="K843">
        <f t="shared" ca="1" si="275"/>
        <v>1.2743737250793901</v>
      </c>
      <c r="L843">
        <f t="shared" ca="1" si="276"/>
        <v>2.7074404158427146</v>
      </c>
      <c r="M843">
        <f t="shared" ca="1" si="277"/>
        <v>4.3959825624334309E-4</v>
      </c>
      <c r="N843">
        <f t="shared" ca="1" si="278"/>
        <v>2.2530284480945462E-2</v>
      </c>
      <c r="O843">
        <f t="shared" ca="1" si="279"/>
        <v>-0.55246939886244539</v>
      </c>
      <c r="P843">
        <f t="shared" ca="1" si="280"/>
        <v>6.8816238352329107</v>
      </c>
      <c r="Q843">
        <f t="shared" ca="1" si="281"/>
        <v>0.92135087751098599</v>
      </c>
      <c r="R843">
        <f t="shared" ca="1" si="282"/>
        <v>1.7734509414460375</v>
      </c>
      <c r="T843">
        <f t="shared" si="283"/>
        <v>1.0795168939739022</v>
      </c>
      <c r="U843" s="6">
        <f t="shared" ca="1" si="284"/>
        <v>1.2258458589423722</v>
      </c>
      <c r="V843">
        <f t="shared" ca="1" si="285"/>
        <v>1.6288622286982495</v>
      </c>
      <c r="X843" t="b">
        <f t="shared" ca="1" si="286"/>
        <v>0</v>
      </c>
      <c r="BJ843" t="b">
        <f t="shared" si="267"/>
        <v>1</v>
      </c>
      <c r="BK843" t="b">
        <f t="shared" ca="1" si="268"/>
        <v>0</v>
      </c>
    </row>
    <row r="844" spans="1:63" x14ac:dyDescent="0.45">
      <c r="A844" s="1">
        <v>44013</v>
      </c>
      <c r="B844">
        <v>74.641999999999996</v>
      </c>
      <c r="C844" s="1">
        <v>44013</v>
      </c>
      <c r="D844">
        <v>310.52</v>
      </c>
      <c r="E844">
        <f t="shared" si="269"/>
        <v>3.6877338086023378E-2</v>
      </c>
      <c r="F844" s="4">
        <f t="shared" si="270"/>
        <v>7.0047995849006617E-3</v>
      </c>
      <c r="G844">
        <f t="shared" ca="1" si="271"/>
        <v>9.0429288330759368E-3</v>
      </c>
      <c r="H844">
        <f t="shared" ca="1" si="272"/>
        <v>5.256799178516617E-2</v>
      </c>
      <c r="I844">
        <f t="shared" ca="1" si="273"/>
        <v>4.9799364292700432E-2</v>
      </c>
      <c r="J844">
        <f t="shared" ca="1" si="274"/>
        <v>3.5357436177553945</v>
      </c>
      <c r="K844">
        <f t="shared" ca="1" si="275"/>
        <v>1.2743737250793901</v>
      </c>
      <c r="L844">
        <f t="shared" ca="1" si="276"/>
        <v>2.6897941756966413</v>
      </c>
      <c r="M844">
        <f t="shared" ca="1" si="277"/>
        <v>4.2472371262753018E-4</v>
      </c>
      <c r="N844">
        <f t="shared" ca="1" si="278"/>
        <v>2.252790412630155E-2</v>
      </c>
      <c r="O844">
        <f t="shared" ca="1" si="279"/>
        <v>-0.55069741851460452</v>
      </c>
      <c r="P844">
        <f t="shared" ca="1" si="280"/>
        <v>6.8843207699468261</v>
      </c>
      <c r="Q844">
        <f t="shared" ca="1" si="281"/>
        <v>0.92135087751098599</v>
      </c>
      <c r="R844">
        <f t="shared" ca="1" si="282"/>
        <v>1.7734509414460375</v>
      </c>
      <c r="T844">
        <f t="shared" si="283"/>
        <v>1.0368773380860234</v>
      </c>
      <c r="U844" s="6">
        <f t="shared" ca="1" si="284"/>
        <v>1.1652489122917664</v>
      </c>
      <c r="V844">
        <f t="shared" ca="1" si="285"/>
        <v>1.6357833875297327</v>
      </c>
      <c r="X844" t="b">
        <f t="shared" ca="1" si="286"/>
        <v>0</v>
      </c>
      <c r="BJ844" t="b">
        <f t="shared" si="267"/>
        <v>1</v>
      </c>
      <c r="BK844" t="b">
        <f t="shared" ca="1" si="268"/>
        <v>0</v>
      </c>
    </row>
    <row r="845" spans="1:63" x14ac:dyDescent="0.45">
      <c r="A845" s="1">
        <v>44012</v>
      </c>
      <c r="B845">
        <v>71.987300000000005</v>
      </c>
      <c r="C845" s="1">
        <v>44012</v>
      </c>
      <c r="D845">
        <v>308.36</v>
      </c>
      <c r="E845">
        <f t="shared" si="269"/>
        <v>6.9806806360529022E-2</v>
      </c>
      <c r="F845" s="4">
        <f t="shared" si="270"/>
        <v>1.280956447480797E-2</v>
      </c>
      <c r="G845">
        <f t="shared" ca="1" si="271"/>
        <v>8.8097861246115988E-3</v>
      </c>
      <c r="H845">
        <f t="shared" ca="1" si="272"/>
        <v>5.254732025239961E-2</v>
      </c>
      <c r="I845">
        <f t="shared" ca="1" si="273"/>
        <v>6.2316497700139778E-2</v>
      </c>
      <c r="J845">
        <f t="shared" ca="1" si="274"/>
        <v>3.5467897936551287</v>
      </c>
      <c r="K845">
        <f t="shared" ca="1" si="275"/>
        <v>1.2743737250793901</v>
      </c>
      <c r="L845">
        <f t="shared" ca="1" si="276"/>
        <v>2.6832915939609423</v>
      </c>
      <c r="M845">
        <f t="shared" ca="1" si="277"/>
        <v>3.742558274932234E-4</v>
      </c>
      <c r="N845">
        <f t="shared" ca="1" si="278"/>
        <v>2.2524394848042646E-2</v>
      </c>
      <c r="O845">
        <f t="shared" ca="1" si="279"/>
        <v>-0.54431099158770413</v>
      </c>
      <c r="P845">
        <f t="shared" ca="1" si="280"/>
        <v>6.8854675504665162</v>
      </c>
      <c r="Q845">
        <f t="shared" ca="1" si="281"/>
        <v>0.92135087751098599</v>
      </c>
      <c r="R845">
        <f t="shared" ca="1" si="282"/>
        <v>1.7734509414460375</v>
      </c>
      <c r="T845">
        <f t="shared" si="283"/>
        <v>1.0698068063605291</v>
      </c>
      <c r="U845" s="6">
        <f t="shared" ca="1" si="284"/>
        <v>1.0778913922674604</v>
      </c>
      <c r="V845">
        <f t="shared" ca="1" si="285"/>
        <v>1.637013559313488</v>
      </c>
      <c r="X845" t="b">
        <f t="shared" ca="1" si="286"/>
        <v>0</v>
      </c>
      <c r="BJ845" t="b">
        <f t="shared" si="267"/>
        <v>1</v>
      </c>
      <c r="BK845" t="b">
        <f t="shared" ca="1" si="268"/>
        <v>0</v>
      </c>
    </row>
    <row r="846" spans="1:63" x14ac:dyDescent="0.45">
      <c r="A846" s="1">
        <v>44011</v>
      </c>
      <c r="B846">
        <v>67.290000000000006</v>
      </c>
      <c r="C846" s="1">
        <v>44011</v>
      </c>
      <c r="D846">
        <v>304.45999999999998</v>
      </c>
      <c r="E846">
        <f t="shared" si="269"/>
        <v>5.1690535097768692E-2</v>
      </c>
      <c r="F846" s="4">
        <f t="shared" si="270"/>
        <v>1.4697550408265182E-2</v>
      </c>
      <c r="G846">
        <f t="shared" ca="1" si="271"/>
        <v>8.4471473146644476E-3</v>
      </c>
      <c r="H846">
        <f t="shared" ca="1" si="272"/>
        <v>5.237423186001379E-2</v>
      </c>
      <c r="I846">
        <f t="shared" ca="1" si="273"/>
        <v>7.5846004712150472E-2</v>
      </c>
      <c r="J846">
        <f t="shared" ca="1" si="274"/>
        <v>3.6267029650200788</v>
      </c>
      <c r="K846">
        <f t="shared" ca="1" si="275"/>
        <v>1.2743737250793901</v>
      </c>
      <c r="L846">
        <f t="shared" ca="1" si="276"/>
        <v>2.6687568992317554</v>
      </c>
      <c r="M846">
        <f t="shared" ca="1" si="277"/>
        <v>3.0688894374973782E-4</v>
      </c>
      <c r="N846">
        <f t="shared" ca="1" si="278"/>
        <v>2.2507157690718572E-2</v>
      </c>
      <c r="O846">
        <f t="shared" ca="1" si="279"/>
        <v>-0.53734900026161825</v>
      </c>
      <c r="P846">
        <f t="shared" ca="1" si="280"/>
        <v>6.9088239109352285</v>
      </c>
      <c r="Q846">
        <f t="shared" ca="1" si="281"/>
        <v>0.92135087751098599</v>
      </c>
      <c r="R846">
        <f t="shared" ca="1" si="282"/>
        <v>1.7002994842587091</v>
      </c>
      <c r="T846">
        <f t="shared" si="283"/>
        <v>1.0516905350977688</v>
      </c>
      <c r="U846" s="6">
        <f t="shared" ca="1" si="284"/>
        <v>1.01511585807386</v>
      </c>
      <c r="V846">
        <f t="shared" ca="1" si="285"/>
        <v>1.6465704555795817</v>
      </c>
      <c r="X846" t="b">
        <f t="shared" ca="1" si="286"/>
        <v>0</v>
      </c>
      <c r="BJ846" t="b">
        <f t="shared" si="267"/>
        <v>1</v>
      </c>
      <c r="BK846" t="b">
        <f t="shared" ca="1" si="268"/>
        <v>0</v>
      </c>
    </row>
    <row r="847" spans="1:63" x14ac:dyDescent="0.45">
      <c r="A847" s="1">
        <v>44008</v>
      </c>
      <c r="B847">
        <v>63.982700000000001</v>
      </c>
      <c r="C847" s="1">
        <v>44008</v>
      </c>
      <c r="D847">
        <v>300.05</v>
      </c>
      <c r="E847">
        <f t="shared" si="269"/>
        <v>-2.6612608775025835E-2</v>
      </c>
      <c r="F847" s="4">
        <f t="shared" si="270"/>
        <v>-2.3751423458597726E-2</v>
      </c>
      <c r="G847">
        <f t="shared" ca="1" si="271"/>
        <v>8.1638058797892047E-3</v>
      </c>
      <c r="H847">
        <f t="shared" ca="1" si="272"/>
        <v>5.2292334117316756E-2</v>
      </c>
      <c r="I847">
        <f t="shared" ca="1" si="273"/>
        <v>8.9666132886110292E-2</v>
      </c>
      <c r="J847">
        <f t="shared" ca="1" si="274"/>
        <v>3.6680034782094362</v>
      </c>
      <c r="K847">
        <f t="shared" ca="1" si="275"/>
        <v>1.2743737250793901</v>
      </c>
      <c r="L847">
        <f t="shared" ca="1" si="276"/>
        <v>2.6602530601707963</v>
      </c>
      <c r="M847">
        <f t="shared" ca="1" si="277"/>
        <v>2.5072009262431556E-4</v>
      </c>
      <c r="N847">
        <f t="shared" ca="1" si="278"/>
        <v>2.2485070552519432E-2</v>
      </c>
      <c r="O847">
        <f t="shared" ca="1" si="279"/>
        <v>-0.53268083165019608</v>
      </c>
      <c r="P847">
        <f t="shared" ca="1" si="280"/>
        <v>6.9416589946137366</v>
      </c>
      <c r="Q847">
        <f t="shared" ca="1" si="281"/>
        <v>0.92135087751098599</v>
      </c>
      <c r="R847">
        <f t="shared" ca="1" si="282"/>
        <v>1.6780101673820647</v>
      </c>
      <c r="T847">
        <f t="shared" si="283"/>
        <v>0.9733873912249742</v>
      </c>
      <c r="U847" s="6">
        <f t="shared" ca="1" si="284"/>
        <v>0.95887703123337453</v>
      </c>
      <c r="V847">
        <f t="shared" ca="1" si="285"/>
        <v>1.6352158502787457</v>
      </c>
      <c r="X847" t="b">
        <f t="shared" ca="1" si="286"/>
        <v>1</v>
      </c>
      <c r="BJ847" t="b">
        <f t="shared" si="267"/>
        <v>1</v>
      </c>
      <c r="BK847" t="b">
        <f t="shared" ca="1" si="268"/>
        <v>1</v>
      </c>
    </row>
    <row r="848" spans="1:63" x14ac:dyDescent="0.45">
      <c r="A848" s="1">
        <v>44007</v>
      </c>
      <c r="B848">
        <v>65.731999999999999</v>
      </c>
      <c r="C848" s="1">
        <v>44007</v>
      </c>
      <c r="D848">
        <v>307.35000000000002</v>
      </c>
      <c r="E848">
        <f t="shared" si="269"/>
        <v>2.6153392229071943E-2</v>
      </c>
      <c r="F848" s="4">
        <f t="shared" si="270"/>
        <v>1.0720510375218021E-2</v>
      </c>
      <c r="G848">
        <f t="shared" ca="1" si="271"/>
        <v>8.5422407387025119E-3</v>
      </c>
      <c r="H848">
        <f t="shared" ca="1" si="272"/>
        <v>5.2313261352793017E-2</v>
      </c>
      <c r="I848">
        <f t="shared" ca="1" si="273"/>
        <v>7.1555740649075231E-2</v>
      </c>
      <c r="J848">
        <f t="shared" ca="1" si="274"/>
        <v>3.6557563277968885</v>
      </c>
      <c r="K848">
        <f t="shared" ca="1" si="275"/>
        <v>1.2743737250793901</v>
      </c>
      <c r="L848">
        <f t="shared" ca="1" si="276"/>
        <v>2.7445723725568407</v>
      </c>
      <c r="M848">
        <f t="shared" ca="1" si="277"/>
        <v>4.05032169163271E-4</v>
      </c>
      <c r="N848">
        <f t="shared" ca="1" si="278"/>
        <v>2.242534226252996E-2</v>
      </c>
      <c r="O848">
        <f t="shared" ca="1" si="279"/>
        <v>-0.55143178158891137</v>
      </c>
      <c r="P848">
        <f t="shared" ca="1" si="280"/>
        <v>7.0569301353789688</v>
      </c>
      <c r="Q848">
        <f t="shared" ca="1" si="281"/>
        <v>0.92135087751098599</v>
      </c>
      <c r="R848">
        <f t="shared" ca="1" si="282"/>
        <v>1.7176399809857965</v>
      </c>
      <c r="T848">
        <f t="shared" si="283"/>
        <v>1.026153392229072</v>
      </c>
      <c r="U848" s="6">
        <f t="shared" ca="1" si="284"/>
        <v>0.98209043084862391</v>
      </c>
      <c r="V848">
        <f t="shared" ca="1" si="285"/>
        <v>1.6235046755450937</v>
      </c>
      <c r="X848" t="b">
        <f t="shared" ca="1" si="286"/>
        <v>1</v>
      </c>
      <c r="BJ848" t="b">
        <f t="shared" si="267"/>
        <v>1</v>
      </c>
      <c r="BK848" t="b">
        <f t="shared" ca="1" si="268"/>
        <v>1</v>
      </c>
    </row>
    <row r="849" spans="1:63" x14ac:dyDescent="0.45">
      <c r="A849" s="1">
        <v>44006</v>
      </c>
      <c r="B849">
        <v>64.056700000000006</v>
      </c>
      <c r="C849" s="1">
        <v>44006</v>
      </c>
      <c r="D849">
        <v>304.08999999999997</v>
      </c>
      <c r="E849">
        <f t="shared" si="269"/>
        <v>-4.0856296220874951E-2</v>
      </c>
      <c r="F849" s="4">
        <f t="shared" si="270"/>
        <v>-2.5508732574907982E-2</v>
      </c>
      <c r="G849">
        <f t="shared" ca="1" si="271"/>
        <v>8.4923657899562827E-3</v>
      </c>
      <c r="H849">
        <f t="shared" ca="1" si="272"/>
        <v>5.2301140305169171E-2</v>
      </c>
      <c r="I849">
        <f t="shared" ca="1" si="273"/>
        <v>7.431723742692263E-2</v>
      </c>
      <c r="J849">
        <f t="shared" ca="1" si="274"/>
        <v>3.662190312260206</v>
      </c>
      <c r="K849">
        <f t="shared" ca="1" si="275"/>
        <v>1.2743737250793901</v>
      </c>
      <c r="L849">
        <f t="shared" ca="1" si="276"/>
        <v>2.7445723725568407</v>
      </c>
      <c r="M849">
        <f t="shared" ca="1" si="277"/>
        <v>3.5025590836699312E-4</v>
      </c>
      <c r="N849">
        <f t="shared" ca="1" si="278"/>
        <v>2.2413395500563697E-2</v>
      </c>
      <c r="O849">
        <f t="shared" ca="1" si="279"/>
        <v>-0.54540317675594063</v>
      </c>
      <c r="P849">
        <f t="shared" ca="1" si="280"/>
        <v>7.0727778546088329</v>
      </c>
      <c r="Q849">
        <f t="shared" ca="1" si="281"/>
        <v>0.92135087751098599</v>
      </c>
      <c r="R849">
        <f t="shared" ca="1" si="282"/>
        <v>1.6822130275411682</v>
      </c>
      <c r="T849">
        <f t="shared" si="283"/>
        <v>0.95914370377912506</v>
      </c>
      <c r="U849" s="6">
        <f t="shared" ca="1" si="284"/>
        <v>0.96880487240488056</v>
      </c>
      <c r="V849">
        <f t="shared" ca="1" si="285"/>
        <v>1.6273293726924449</v>
      </c>
      <c r="X849" t="b">
        <f t="shared" ca="1" si="286"/>
        <v>1</v>
      </c>
      <c r="BJ849" t="b">
        <f t="shared" si="267"/>
        <v>1</v>
      </c>
      <c r="BK849" t="b">
        <f t="shared" ca="1" si="268"/>
        <v>1</v>
      </c>
    </row>
    <row r="850" spans="1:63" x14ac:dyDescent="0.45">
      <c r="A850" s="1">
        <v>44005</v>
      </c>
      <c r="B850">
        <v>66.785300000000007</v>
      </c>
      <c r="C850" s="1">
        <v>44005</v>
      </c>
      <c r="D850">
        <v>312.05</v>
      </c>
      <c r="E850">
        <f t="shared" si="269"/>
        <v>7.5021119961382133E-3</v>
      </c>
      <c r="F850" s="4">
        <f t="shared" si="270"/>
        <v>4.6036958341381974E-3</v>
      </c>
      <c r="G850">
        <f t="shared" ca="1" si="271"/>
        <v>8.7920750473362685E-3</v>
      </c>
      <c r="H850">
        <f t="shared" ca="1" si="272"/>
        <v>5.2188554852455854E-2</v>
      </c>
      <c r="I850">
        <f t="shared" ca="1" si="273"/>
        <v>6.1730559157138348E-2</v>
      </c>
      <c r="J850">
        <f t="shared" ca="1" si="274"/>
        <v>3.7144793164262335</v>
      </c>
      <c r="K850">
        <f t="shared" ca="1" si="275"/>
        <v>1.2743737250793901</v>
      </c>
      <c r="L850">
        <f t="shared" ca="1" si="276"/>
        <v>2.7850589515501163</v>
      </c>
      <c r="M850">
        <f t="shared" ca="1" si="277"/>
        <v>4.8031592755758709E-4</v>
      </c>
      <c r="N850">
        <f t="shared" ca="1" si="278"/>
        <v>2.2337931356659936E-2</v>
      </c>
      <c r="O850">
        <f t="shared" ca="1" si="279"/>
        <v>-0.56071885907530516</v>
      </c>
      <c r="P850">
        <f t="shared" ca="1" si="280"/>
        <v>7.2140197036593188</v>
      </c>
      <c r="Q850">
        <f t="shared" ca="1" si="281"/>
        <v>0.92135087751098599</v>
      </c>
      <c r="R850">
        <f t="shared" ca="1" si="282"/>
        <v>1.7221561672683474</v>
      </c>
      <c r="T850">
        <f t="shared" si="283"/>
        <v>1.0075021119961383</v>
      </c>
      <c r="U850" s="6">
        <f t="shared" ca="1" si="284"/>
        <v>1.0200075448298827</v>
      </c>
      <c r="V850">
        <f t="shared" ca="1" si="285"/>
        <v>1.6235160107131672</v>
      </c>
      <c r="X850" t="b">
        <f t="shared" ca="1" si="286"/>
        <v>0</v>
      </c>
      <c r="BJ850" t="b">
        <f t="shared" si="267"/>
        <v>1</v>
      </c>
      <c r="BK850" t="b">
        <f t="shared" ca="1" si="268"/>
        <v>0</v>
      </c>
    </row>
    <row r="851" spans="1:63" x14ac:dyDescent="0.45">
      <c r="A851" s="1">
        <v>44004</v>
      </c>
      <c r="B851">
        <v>66.287999999999997</v>
      </c>
      <c r="C851" s="1">
        <v>44004</v>
      </c>
      <c r="D851">
        <v>310.62</v>
      </c>
      <c r="E851">
        <f t="shared" si="269"/>
        <v>-6.574579591078193E-3</v>
      </c>
      <c r="F851" s="4">
        <f t="shared" si="270"/>
        <v>6.4152410575428276E-3</v>
      </c>
      <c r="G851">
        <f t="shared" ca="1" si="271"/>
        <v>8.7081753280447496E-3</v>
      </c>
      <c r="H851">
        <f t="shared" ca="1" si="272"/>
        <v>5.2204124673793408E-2</v>
      </c>
      <c r="I851">
        <f t="shared" ca="1" si="273"/>
        <v>6.6335060361178658E-2</v>
      </c>
      <c r="J851">
        <f t="shared" ca="1" si="274"/>
        <v>3.7069114558086786</v>
      </c>
      <c r="K851">
        <f t="shared" ca="1" si="275"/>
        <v>1.2743737250793901</v>
      </c>
      <c r="L851">
        <f t="shared" ca="1" si="276"/>
        <v>2.7850589515501163</v>
      </c>
      <c r="M851">
        <f t="shared" ca="1" si="277"/>
        <v>4.6115884117448611E-4</v>
      </c>
      <c r="N851">
        <f t="shared" ca="1" si="278"/>
        <v>2.233602019849491E-2</v>
      </c>
      <c r="O851">
        <f t="shared" ca="1" si="279"/>
        <v>-0.5582957048449193</v>
      </c>
      <c r="P851">
        <f t="shared" ca="1" si="280"/>
        <v>7.2155668213239865</v>
      </c>
      <c r="Q851">
        <f t="shared" ca="1" si="281"/>
        <v>0.92135087751098599</v>
      </c>
      <c r="R851">
        <f t="shared" ca="1" si="282"/>
        <v>1.7221561672683474</v>
      </c>
      <c r="T851">
        <f t="shared" si="283"/>
        <v>0.99342542040892179</v>
      </c>
      <c r="U851" s="6">
        <f t="shared" ca="1" si="284"/>
        <v>1.0034514078110806</v>
      </c>
      <c r="V851">
        <f t="shared" ca="1" si="285"/>
        <v>1.6212954791307013</v>
      </c>
      <c r="X851" t="b">
        <f t="shared" ca="1" si="286"/>
        <v>0</v>
      </c>
      <c r="BJ851" t="b">
        <f t="shared" si="267"/>
        <v>1</v>
      </c>
      <c r="BK851" t="b">
        <f t="shared" ca="1" si="268"/>
        <v>0</v>
      </c>
    </row>
    <row r="852" spans="1:63" x14ac:dyDescent="0.45">
      <c r="A852" s="1">
        <v>44001</v>
      </c>
      <c r="B852">
        <v>66.726699999999994</v>
      </c>
      <c r="C852" s="1">
        <v>44001</v>
      </c>
      <c r="D852">
        <v>308.64</v>
      </c>
      <c r="E852">
        <f t="shared" si="269"/>
        <v>-3.0479286784690393E-3</v>
      </c>
      <c r="F852" s="4">
        <f t="shared" si="270"/>
        <v>-1.0071204054140697E-2</v>
      </c>
      <c r="G852">
        <f t="shared" ca="1" si="271"/>
        <v>8.9426863445428249E-3</v>
      </c>
      <c r="H852">
        <f t="shared" ca="1" si="272"/>
        <v>5.2240460829740806E-2</v>
      </c>
      <c r="I852">
        <f t="shared" ca="1" si="273"/>
        <v>5.3846013544637285E-2</v>
      </c>
      <c r="J852">
        <f t="shared" ca="1" si="274"/>
        <v>3.6876896252561062</v>
      </c>
      <c r="K852">
        <f t="shared" ca="1" si="275"/>
        <v>1.2743737250793901</v>
      </c>
      <c r="L852">
        <f t="shared" ca="1" si="276"/>
        <v>2.8002270553497626</v>
      </c>
      <c r="M852">
        <f t="shared" ca="1" si="277"/>
        <v>4.9335960500661942E-4</v>
      </c>
      <c r="N852">
        <f t="shared" ca="1" si="278"/>
        <v>2.2349285336020146E-2</v>
      </c>
      <c r="O852">
        <f t="shared" ca="1" si="279"/>
        <v>-0.56089849001288039</v>
      </c>
      <c r="P852">
        <f t="shared" ca="1" si="280"/>
        <v>7.1949756960999585</v>
      </c>
      <c r="Q852">
        <f t="shared" ca="1" si="281"/>
        <v>0.92135087751098599</v>
      </c>
      <c r="R852">
        <f t="shared" ca="1" si="282"/>
        <v>1.7584243124814256</v>
      </c>
      <c r="T852">
        <f t="shared" si="283"/>
        <v>0.99695207132153096</v>
      </c>
      <c r="U852" s="6">
        <f t="shared" ca="1" si="284"/>
        <v>1.0701613420579932</v>
      </c>
      <c r="V852">
        <f t="shared" ca="1" si="285"/>
        <v>1.6316466973188968</v>
      </c>
      <c r="X852" t="b">
        <f t="shared" ca="1" si="286"/>
        <v>0</v>
      </c>
      <c r="BJ852" t="b">
        <f t="shared" si="267"/>
        <v>1</v>
      </c>
      <c r="BK852" t="b">
        <f t="shared" ca="1" si="268"/>
        <v>0</v>
      </c>
    </row>
    <row r="853" spans="1:63" x14ac:dyDescent="0.45">
      <c r="A853" s="1">
        <v>44000</v>
      </c>
      <c r="B853">
        <v>66.930700000000002</v>
      </c>
      <c r="C853" s="1">
        <v>44000</v>
      </c>
      <c r="D853">
        <v>311.77999999999997</v>
      </c>
      <c r="E853">
        <f t="shared" si="269"/>
        <v>1.2271757263008019E-2</v>
      </c>
      <c r="F853" s="4">
        <f t="shared" si="270"/>
        <v>3.8503497400997145E-4</v>
      </c>
      <c r="G853">
        <f t="shared" ca="1" si="271"/>
        <v>8.8616971452811621E-3</v>
      </c>
      <c r="H853">
        <f t="shared" ca="1" si="272"/>
        <v>5.22716900272455E-2</v>
      </c>
      <c r="I853">
        <f t="shared" ca="1" si="273"/>
        <v>5.7709929733772446E-2</v>
      </c>
      <c r="J853">
        <f t="shared" ca="1" si="274"/>
        <v>3.6723864313196835</v>
      </c>
      <c r="K853">
        <f t="shared" ca="1" si="275"/>
        <v>1.2743737250793901</v>
      </c>
      <c r="L853">
        <f t="shared" ca="1" si="276"/>
        <v>2.7595199766674874</v>
      </c>
      <c r="M853">
        <f t="shared" ca="1" si="277"/>
        <v>6.0046736222442334E-4</v>
      </c>
      <c r="N853">
        <f t="shared" ca="1" si="278"/>
        <v>2.2349731622420418E-2</v>
      </c>
      <c r="O853">
        <f t="shared" ca="1" si="279"/>
        <v>-0.57426930703939827</v>
      </c>
      <c r="P853">
        <f t="shared" ca="1" si="280"/>
        <v>7.2052775001543781</v>
      </c>
      <c r="Q853">
        <f t="shared" ca="1" si="281"/>
        <v>0.92135087751098599</v>
      </c>
      <c r="R853">
        <f t="shared" ca="1" si="282"/>
        <v>1.8091571423021664</v>
      </c>
      <c r="T853">
        <f t="shared" si="283"/>
        <v>1.012271757263008</v>
      </c>
      <c r="U853" s="6">
        <f t="shared" ca="1" si="284"/>
        <v>1.0319893302084617</v>
      </c>
      <c r="V853">
        <f t="shared" ca="1" si="285"/>
        <v>1.6344355279050742</v>
      </c>
      <c r="X853" t="b">
        <f t="shared" ca="1" si="286"/>
        <v>0</v>
      </c>
      <c r="BJ853" t="b">
        <f t="shared" si="267"/>
        <v>1</v>
      </c>
      <c r="BK853" t="b">
        <f t="shared" ca="1" si="268"/>
        <v>0</v>
      </c>
    </row>
    <row r="854" spans="1:63" x14ac:dyDescent="0.45">
      <c r="A854" s="1">
        <v>43999</v>
      </c>
      <c r="B854">
        <v>66.119299999999996</v>
      </c>
      <c r="C854" s="1">
        <v>43999</v>
      </c>
      <c r="D854">
        <v>311.66000000000003</v>
      </c>
      <c r="E854">
        <f t="shared" si="269"/>
        <v>9.8357701301099981E-3</v>
      </c>
      <c r="F854" s="4">
        <f t="shared" si="270"/>
        <v>-4.153885480572452E-3</v>
      </c>
      <c r="G854">
        <f t="shared" ca="1" si="271"/>
        <v>8.7870411055138223E-3</v>
      </c>
      <c r="H854">
        <f t="shared" ca="1" si="272"/>
        <v>5.2277457487743088E-2</v>
      </c>
      <c r="I854">
        <f t="shared" ca="1" si="273"/>
        <v>6.1962588377145994E-2</v>
      </c>
      <c r="J854">
        <f t="shared" ca="1" si="274"/>
        <v>3.6697828762205251</v>
      </c>
      <c r="K854">
        <f t="shared" ca="1" si="275"/>
        <v>1.2743737250793901</v>
      </c>
      <c r="L854">
        <f t="shared" ca="1" si="276"/>
        <v>2.7595199766674874</v>
      </c>
      <c r="M854">
        <f t="shared" ca="1" si="277"/>
        <v>5.6930642055663108E-4</v>
      </c>
      <c r="N854">
        <f t="shared" ca="1" si="278"/>
        <v>2.2354377604210107E-2</v>
      </c>
      <c r="O854">
        <f t="shared" ca="1" si="279"/>
        <v>-0.56980901186877797</v>
      </c>
      <c r="P854">
        <f t="shared" ca="1" si="280"/>
        <v>7.193540299773086</v>
      </c>
      <c r="Q854">
        <f t="shared" ca="1" si="281"/>
        <v>0.92135087751098599</v>
      </c>
      <c r="R854">
        <f t="shared" ca="1" si="282"/>
        <v>1.7817817851990327</v>
      </c>
      <c r="T854">
        <f t="shared" si="283"/>
        <v>1.0098357701301099</v>
      </c>
      <c r="U854" s="6">
        <f t="shared" ca="1" si="284"/>
        <v>0.9675518425677565</v>
      </c>
      <c r="V854">
        <f t="shared" ca="1" si="285"/>
        <v>1.6325802524353796</v>
      </c>
      <c r="X854" t="b">
        <f t="shared" ca="1" si="286"/>
        <v>1</v>
      </c>
      <c r="BJ854" t="b">
        <f t="shared" si="267"/>
        <v>1</v>
      </c>
      <c r="BK854" t="b">
        <f t="shared" ca="1" si="268"/>
        <v>1</v>
      </c>
    </row>
    <row r="855" spans="1:63" x14ac:dyDescent="0.45">
      <c r="A855" s="1">
        <v>43998</v>
      </c>
      <c r="B855">
        <v>65.475300000000004</v>
      </c>
      <c r="C855" s="1">
        <v>43998</v>
      </c>
      <c r="D855">
        <v>312.95999999999998</v>
      </c>
      <c r="E855">
        <f t="shared" si="269"/>
        <v>-8.851044504995428E-3</v>
      </c>
      <c r="F855" s="4">
        <f t="shared" si="270"/>
        <v>1.9247679531020901E-2</v>
      </c>
      <c r="G855">
        <f t="shared" ca="1" si="271"/>
        <v>8.8258147875579351E-3</v>
      </c>
      <c r="H855">
        <f t="shared" ca="1" si="272"/>
        <v>5.2281114906937161E-2</v>
      </c>
      <c r="I855">
        <f t="shared" ca="1" si="273"/>
        <v>5.9726389451471261E-2</v>
      </c>
      <c r="J855">
        <f t="shared" ca="1" si="274"/>
        <v>3.6677238639116121</v>
      </c>
      <c r="K855">
        <f t="shared" ca="1" si="275"/>
        <v>1.2743737250793901</v>
      </c>
      <c r="L855">
        <f t="shared" ca="1" si="276"/>
        <v>2.7595199766674874</v>
      </c>
      <c r="M855">
        <f t="shared" ca="1" si="277"/>
        <v>5.8785423335835831E-4</v>
      </c>
      <c r="N855">
        <f t="shared" ca="1" si="278"/>
        <v>2.2351977812580501E-2</v>
      </c>
      <c r="O855">
        <f t="shared" ca="1" si="279"/>
        <v>-0.57245970779031685</v>
      </c>
      <c r="P855">
        <f t="shared" ca="1" si="280"/>
        <v>7.1998624688675692</v>
      </c>
      <c r="Q855">
        <f t="shared" ca="1" si="281"/>
        <v>0.92135087751098599</v>
      </c>
      <c r="R855">
        <f t="shared" ca="1" si="282"/>
        <v>1.7817817851990327</v>
      </c>
      <c r="T855">
        <f t="shared" si="283"/>
        <v>0.99114895549500459</v>
      </c>
      <c r="U855" s="6">
        <f t="shared" ca="1" si="284"/>
        <v>1.044074991269516</v>
      </c>
      <c r="V855">
        <f t="shared" ca="1" si="285"/>
        <v>1.6580120578751609</v>
      </c>
      <c r="X855" t="b">
        <f t="shared" ca="1" si="286"/>
        <v>0</v>
      </c>
      <c r="BJ855" t="b">
        <f t="shared" si="267"/>
        <v>1</v>
      </c>
      <c r="BK855" t="b">
        <f t="shared" ca="1" si="268"/>
        <v>0</v>
      </c>
    </row>
    <row r="856" spans="1:63" x14ac:dyDescent="0.45">
      <c r="A856" s="1">
        <v>43997</v>
      </c>
      <c r="B856">
        <v>66.06</v>
      </c>
      <c r="C856" s="1">
        <v>43997</v>
      </c>
      <c r="D856">
        <v>307.05</v>
      </c>
      <c r="E856">
        <f t="shared" si="269"/>
        <v>5.9468822170900784E-2</v>
      </c>
      <c r="F856" s="4">
        <f t="shared" si="270"/>
        <v>9.3356562900628916E-3</v>
      </c>
      <c r="G856">
        <f t="shared" ca="1" si="271"/>
        <v>9.0120057632816844E-3</v>
      </c>
      <c r="H856">
        <f t="shared" ca="1" si="272"/>
        <v>5.2284154103651753E-2</v>
      </c>
      <c r="I856">
        <f t="shared" ca="1" si="273"/>
        <v>4.9386596617608934E-2</v>
      </c>
      <c r="J856">
        <f t="shared" ca="1" si="274"/>
        <v>3.6654006352591786</v>
      </c>
      <c r="K856">
        <f t="shared" ca="1" si="275"/>
        <v>1.2743737250793901</v>
      </c>
      <c r="L856">
        <f t="shared" ca="1" si="276"/>
        <v>2.7662072872229109</v>
      </c>
      <c r="M856">
        <f t="shared" ca="1" si="277"/>
        <v>5.5548097468348845E-4</v>
      </c>
      <c r="N856">
        <f t="shared" ca="1" si="278"/>
        <v>2.2329493676702585E-2</v>
      </c>
      <c r="O856">
        <f t="shared" ca="1" si="279"/>
        <v>-0.57193463761833818</v>
      </c>
      <c r="P856">
        <f t="shared" ca="1" si="280"/>
        <v>7.2357277602661201</v>
      </c>
      <c r="Q856">
        <f t="shared" ca="1" si="281"/>
        <v>0.92135087751098599</v>
      </c>
      <c r="R856">
        <f t="shared" ca="1" si="282"/>
        <v>1.7817817851990327</v>
      </c>
      <c r="T856">
        <f t="shared" si="283"/>
        <v>1.0594688221709008</v>
      </c>
      <c r="U856" s="6">
        <f t="shared" ca="1" si="284"/>
        <v>1.0431404749873672</v>
      </c>
      <c r="V856">
        <f t="shared" ca="1" si="285"/>
        <v>1.6600622296552134</v>
      </c>
      <c r="X856" t="b">
        <f t="shared" ca="1" si="286"/>
        <v>0</v>
      </c>
      <c r="BJ856" t="b">
        <f t="shared" si="267"/>
        <v>1</v>
      </c>
      <c r="BK856" t="b">
        <f t="shared" ca="1" si="268"/>
        <v>0</v>
      </c>
    </row>
    <row r="857" spans="1:63" x14ac:dyDescent="0.45">
      <c r="A857" s="1">
        <v>43994</v>
      </c>
      <c r="B857">
        <v>62.351999999999997</v>
      </c>
      <c r="C857" s="1">
        <v>43994</v>
      </c>
      <c r="D857">
        <v>304.20999999999998</v>
      </c>
      <c r="E857">
        <f t="shared" si="269"/>
        <v>-3.8608609843345229E-2</v>
      </c>
      <c r="F857" s="4">
        <f t="shared" si="270"/>
        <v>1.1975649512657482E-2</v>
      </c>
      <c r="G857">
        <f t="shared" ca="1" si="271"/>
        <v>8.7499405201401856E-3</v>
      </c>
      <c r="H857">
        <f t="shared" ca="1" si="272"/>
        <v>5.2161188240847242E-2</v>
      </c>
      <c r="I857">
        <f t="shared" ca="1" si="273"/>
        <v>6.0366830520435719E-2</v>
      </c>
      <c r="J857">
        <f t="shared" ca="1" si="274"/>
        <v>3.7254561072726116</v>
      </c>
      <c r="K857">
        <f t="shared" ca="1" si="275"/>
        <v>1.2743737250793901</v>
      </c>
      <c r="L857">
        <f t="shared" ca="1" si="276"/>
        <v>2.7595199766674874</v>
      </c>
      <c r="M857">
        <f t="shared" ca="1" si="277"/>
        <v>5.4401027855056482E-4</v>
      </c>
      <c r="N857">
        <f t="shared" ca="1" si="278"/>
        <v>2.2325549524648002E-2</v>
      </c>
      <c r="O857">
        <f t="shared" ca="1" si="279"/>
        <v>-0.57086515945765581</v>
      </c>
      <c r="P857">
        <f t="shared" ca="1" si="280"/>
        <v>7.2417095419248758</v>
      </c>
      <c r="Q857">
        <f t="shared" ca="1" si="281"/>
        <v>0.92135087751098599</v>
      </c>
      <c r="R857">
        <f t="shared" ca="1" si="282"/>
        <v>1.7584243124814256</v>
      </c>
      <c r="T857">
        <f t="shared" si="283"/>
        <v>0.96139139015665476</v>
      </c>
      <c r="U857" s="6">
        <f t="shared" ca="1" si="284"/>
        <v>1.0560260144976625</v>
      </c>
      <c r="V857">
        <f t="shared" ca="1" si="285"/>
        <v>1.6749590179759677</v>
      </c>
      <c r="X857" t="b">
        <f t="shared" ca="1" si="286"/>
        <v>0</v>
      </c>
      <c r="BJ857" t="b">
        <f t="shared" si="267"/>
        <v>1</v>
      </c>
      <c r="BK857" t="b">
        <f t="shared" ca="1" si="268"/>
        <v>0</v>
      </c>
    </row>
    <row r="858" spans="1:63" x14ac:dyDescent="0.45">
      <c r="A858" s="1">
        <v>43993</v>
      </c>
      <c r="B858">
        <v>64.855999999999995</v>
      </c>
      <c r="C858" s="1">
        <v>43993</v>
      </c>
      <c r="D858">
        <v>300.61</v>
      </c>
      <c r="E858">
        <f t="shared" si="269"/>
        <v>-5.0934563711739066E-2</v>
      </c>
      <c r="F858" s="4">
        <f t="shared" si="270"/>
        <v>-5.7648902821316572E-2</v>
      </c>
      <c r="G858">
        <f t="shared" ca="1" si="271"/>
        <v>8.9215997986969789E-3</v>
      </c>
      <c r="H858">
        <f t="shared" ca="1" si="272"/>
        <v>5.2060946660976409E-2</v>
      </c>
      <c r="I858">
        <f t="shared" ca="1" si="273"/>
        <v>5.4465849487304617E-2</v>
      </c>
      <c r="J858">
        <f t="shared" ca="1" si="274"/>
        <v>3.7734316616774857</v>
      </c>
      <c r="K858">
        <f t="shared" ca="1" si="275"/>
        <v>1.2743737250793901</v>
      </c>
      <c r="L858">
        <f t="shared" ca="1" si="276"/>
        <v>2.8002270553497626</v>
      </c>
      <c r="M858">
        <f t="shared" ca="1" si="277"/>
        <v>4.6451397543172178E-4</v>
      </c>
      <c r="N858">
        <f t="shared" ca="1" si="278"/>
        <v>2.2312942757656572E-2</v>
      </c>
      <c r="O858">
        <f t="shared" ca="1" si="279"/>
        <v>-0.56176028879800299</v>
      </c>
      <c r="P858">
        <f t="shared" ca="1" si="280"/>
        <v>7.2563835814265412</v>
      </c>
      <c r="Q858">
        <f t="shared" ca="1" si="281"/>
        <v>0.92135087751098599</v>
      </c>
      <c r="R858">
        <f t="shared" ca="1" si="282"/>
        <v>1.7221561672683474</v>
      </c>
      <c r="T858">
        <f t="shared" si="283"/>
        <v>0.9490654362882609</v>
      </c>
      <c r="U858" s="6">
        <f t="shared" ca="1" si="284"/>
        <v>1.1254778716987155</v>
      </c>
      <c r="V858">
        <f t="shared" ca="1" si="285"/>
        <v>1.7026909138658759</v>
      </c>
      <c r="X858" t="b">
        <f t="shared" ca="1" si="286"/>
        <v>0</v>
      </c>
      <c r="BJ858" t="b">
        <f t="shared" si="267"/>
        <v>1</v>
      </c>
      <c r="BK858" t="b">
        <f t="shared" ca="1" si="268"/>
        <v>0</v>
      </c>
    </row>
    <row r="859" spans="1:63" x14ac:dyDescent="0.45">
      <c r="A859" s="1">
        <v>43992</v>
      </c>
      <c r="B859">
        <v>68.336699999999993</v>
      </c>
      <c r="C859" s="1">
        <v>43992</v>
      </c>
      <c r="D859">
        <v>319</v>
      </c>
      <c r="E859">
        <f t="shared" si="269"/>
        <v>8.9703131652509066E-2</v>
      </c>
      <c r="F859" s="4">
        <f t="shared" si="270"/>
        <v>-5.5799744381059896E-3</v>
      </c>
      <c r="G859">
        <f t="shared" ca="1" si="271"/>
        <v>9.2614194600816983E-3</v>
      </c>
      <c r="H859">
        <f t="shared" ca="1" si="272"/>
        <v>5.1889812296057672E-2</v>
      </c>
      <c r="I859">
        <f t="shared" ca="1" si="273"/>
        <v>4.2971514476477866E-2</v>
      </c>
      <c r="J859">
        <f t="shared" ca="1" si="274"/>
        <v>3.8532572114916839</v>
      </c>
      <c r="K859">
        <f t="shared" ca="1" si="275"/>
        <v>1.2743737250793901</v>
      </c>
      <c r="L859">
        <f t="shared" ca="1" si="276"/>
        <v>2.8152820607013429</v>
      </c>
      <c r="M859">
        <f t="shared" ca="1" si="277"/>
        <v>8.0805074862203257E-4</v>
      </c>
      <c r="N859">
        <f t="shared" ca="1" si="278"/>
        <v>2.1939509608573323E-2</v>
      </c>
      <c r="O859">
        <f t="shared" ca="1" si="279"/>
        <v>-0.54348627552429496</v>
      </c>
      <c r="P859">
        <f t="shared" ca="1" si="280"/>
        <v>7.754464559868544</v>
      </c>
      <c r="Q859">
        <f t="shared" ca="1" si="281"/>
        <v>1.0018716640960854</v>
      </c>
      <c r="R859">
        <f t="shared" ca="1" si="282"/>
        <v>1.8002174901397805</v>
      </c>
      <c r="T859">
        <f t="shared" si="283"/>
        <v>1.089703131652509</v>
      </c>
      <c r="U859" s="6">
        <f t="shared" ca="1" si="284"/>
        <v>1.1609251834737699</v>
      </c>
      <c r="V859">
        <f t="shared" ca="1" si="285"/>
        <v>1.6952792648913624</v>
      </c>
      <c r="X859" t="b">
        <f t="shared" ca="1" si="286"/>
        <v>0</v>
      </c>
      <c r="BJ859" t="b">
        <f t="shared" si="267"/>
        <v>1</v>
      </c>
      <c r="BK859" t="b">
        <f t="shared" ca="1" si="268"/>
        <v>0</v>
      </c>
    </row>
    <row r="860" spans="1:63" x14ac:dyDescent="0.45">
      <c r="A860" s="1">
        <v>43991</v>
      </c>
      <c r="B860">
        <v>62.711300000000001</v>
      </c>
      <c r="C860" s="1">
        <v>43991</v>
      </c>
      <c r="D860">
        <v>320.79000000000002</v>
      </c>
      <c r="E860">
        <f t="shared" si="269"/>
        <v>-9.7381884790298367E-3</v>
      </c>
      <c r="F860" s="4">
        <f t="shared" si="270"/>
        <v>-7.4566831683167334E-3</v>
      </c>
      <c r="G860">
        <f t="shared" ca="1" si="271"/>
        <v>8.570938913230363E-3</v>
      </c>
      <c r="H860">
        <f t="shared" ca="1" si="272"/>
        <v>5.1732583512577458E-2</v>
      </c>
      <c r="I860">
        <f t="shared" ca="1" si="273"/>
        <v>5.7702856310669966E-2</v>
      </c>
      <c r="J860">
        <f t="shared" ca="1" si="274"/>
        <v>3.9172662016140629</v>
      </c>
      <c r="K860">
        <f t="shared" ca="1" si="275"/>
        <v>1.2743737250793901</v>
      </c>
      <c r="L860">
        <f t="shared" ca="1" si="276"/>
        <v>2.7850589515501163</v>
      </c>
      <c r="M860">
        <f t="shared" ca="1" si="277"/>
        <v>7.0751307805705572E-4</v>
      </c>
      <c r="N860">
        <f t="shared" ca="1" si="278"/>
        <v>2.2014871689240392E-2</v>
      </c>
      <c r="O860">
        <f t="shared" ca="1" si="279"/>
        <v>-0.53280976110188838</v>
      </c>
      <c r="P860">
        <f t="shared" ca="1" si="280"/>
        <v>7.6081050745759837</v>
      </c>
      <c r="Q860">
        <f t="shared" ca="1" si="281"/>
        <v>1.0018716640960854</v>
      </c>
      <c r="R860">
        <f t="shared" ca="1" si="282"/>
        <v>1.8002174901397805</v>
      </c>
      <c r="T860">
        <f t="shared" si="283"/>
        <v>0.99026181152097015</v>
      </c>
      <c r="U860" s="6">
        <f t="shared" ca="1" si="284"/>
        <v>1.0670504179803884</v>
      </c>
      <c r="V860">
        <f t="shared" ca="1" si="285"/>
        <v>1.686904804943953</v>
      </c>
      <c r="X860" t="b">
        <f t="shared" ca="1" si="286"/>
        <v>0</v>
      </c>
      <c r="BJ860" t="b">
        <f t="shared" si="267"/>
        <v>1</v>
      </c>
      <c r="BK860" t="b">
        <f t="shared" ca="1" si="268"/>
        <v>0</v>
      </c>
    </row>
    <row r="861" spans="1:63" x14ac:dyDescent="0.45">
      <c r="A861" s="1">
        <v>43990</v>
      </c>
      <c r="B861">
        <v>63.328000000000003</v>
      </c>
      <c r="C861" s="1">
        <v>43990</v>
      </c>
      <c r="D861">
        <v>323.2</v>
      </c>
      <c r="E861">
        <f t="shared" si="269"/>
        <v>7.2556059887541602E-2</v>
      </c>
      <c r="F861" s="4">
        <f t="shared" si="270"/>
        <v>1.208743032504545E-2</v>
      </c>
      <c r="G861">
        <f t="shared" ca="1" si="271"/>
        <v>8.6495170992065499E-3</v>
      </c>
      <c r="H861">
        <f t="shared" ca="1" si="272"/>
        <v>5.171656647378018E-2</v>
      </c>
      <c r="I861">
        <f t="shared" ca="1" si="273"/>
        <v>5.3376827547820645E-2</v>
      </c>
      <c r="J861">
        <f t="shared" ca="1" si="274"/>
        <v>3.925469645081189</v>
      </c>
      <c r="K861">
        <f t="shared" ca="1" si="275"/>
        <v>1.2743737250793901</v>
      </c>
      <c r="L861">
        <f t="shared" ca="1" si="276"/>
        <v>2.7850589515501163</v>
      </c>
      <c r="M861">
        <f t="shared" ca="1" si="277"/>
        <v>7.4325776933033749E-4</v>
      </c>
      <c r="N861">
        <f t="shared" ca="1" si="278"/>
        <v>2.2007351630864629E-2</v>
      </c>
      <c r="O861">
        <f t="shared" ca="1" si="279"/>
        <v>-0.53801936236450598</v>
      </c>
      <c r="P861">
        <f t="shared" ca="1" si="280"/>
        <v>7.6261265617470686</v>
      </c>
      <c r="Q861">
        <f t="shared" ca="1" si="281"/>
        <v>1.0018716640960854</v>
      </c>
      <c r="R861">
        <f t="shared" ca="1" si="282"/>
        <v>1.8736011310551606</v>
      </c>
      <c r="T861">
        <f t="shared" si="283"/>
        <v>1.0725560598875417</v>
      </c>
      <c r="U861" s="6">
        <f t="shared" ca="1" si="284"/>
        <v>1.0577001768734982</v>
      </c>
      <c r="V861">
        <f t="shared" ca="1" si="285"/>
        <v>1.6863523669885945</v>
      </c>
      <c r="X861" t="b">
        <f t="shared" ca="1" si="286"/>
        <v>0</v>
      </c>
      <c r="BJ861" t="b">
        <f t="shared" si="267"/>
        <v>1</v>
      </c>
      <c r="BK861" t="b">
        <f t="shared" ca="1" si="268"/>
        <v>0</v>
      </c>
    </row>
    <row r="862" spans="1:63" x14ac:dyDescent="0.45">
      <c r="A862" s="1">
        <v>43987</v>
      </c>
      <c r="B862">
        <v>59.043999999999997</v>
      </c>
      <c r="C862" s="1">
        <v>43987</v>
      </c>
      <c r="D862">
        <v>319.33999999999997</v>
      </c>
      <c r="E862">
        <f t="shared" si="269"/>
        <v>2.4619394606188498E-2</v>
      </c>
      <c r="F862" s="4">
        <f t="shared" si="270"/>
        <v>2.5629496402877573E-2</v>
      </c>
      <c r="G862">
        <f t="shared" ca="1" si="271"/>
        <v>8.175395457031432E-3</v>
      </c>
      <c r="H862">
        <f t="shared" ca="1" si="272"/>
        <v>5.1562176513320318E-2</v>
      </c>
      <c r="I862">
        <f t="shared" ca="1" si="273"/>
        <v>7.0964345806942414E-2</v>
      </c>
      <c r="J862">
        <f t="shared" ca="1" si="274"/>
        <v>3.9999288102791795</v>
      </c>
      <c r="K862">
        <f t="shared" ca="1" si="275"/>
        <v>1.2743737250793901</v>
      </c>
      <c r="L862">
        <f t="shared" ca="1" si="276"/>
        <v>2.7358269518877281</v>
      </c>
      <c r="M862">
        <f t="shared" ca="1" si="277"/>
        <v>7.2349764897126922E-4</v>
      </c>
      <c r="N862">
        <f t="shared" ca="1" si="278"/>
        <v>2.1998887266384805E-2</v>
      </c>
      <c r="O862">
        <f t="shared" ca="1" si="279"/>
        <v>-0.53642215911700997</v>
      </c>
      <c r="P862">
        <f t="shared" ca="1" si="280"/>
        <v>7.640289014858813</v>
      </c>
      <c r="Q862">
        <f t="shared" ca="1" si="281"/>
        <v>1.0018716640960854</v>
      </c>
      <c r="R862">
        <f t="shared" ca="1" si="282"/>
        <v>1.8736011310551606</v>
      </c>
      <c r="T862">
        <f t="shared" si="283"/>
        <v>1.0246193946061886</v>
      </c>
      <c r="U862" s="6">
        <f t="shared" ca="1" si="284"/>
        <v>1.0606700235508841</v>
      </c>
      <c r="V862">
        <f t="shared" ca="1" si="285"/>
        <v>1.7097314665996164</v>
      </c>
      <c r="X862" t="b">
        <f t="shared" ca="1" si="286"/>
        <v>0</v>
      </c>
      <c r="BJ862" t="b">
        <f t="shared" si="267"/>
        <v>1</v>
      </c>
      <c r="BK862" t="b">
        <f t="shared" ca="1" si="268"/>
        <v>0</v>
      </c>
    </row>
    <row r="863" spans="1:63" x14ac:dyDescent="0.45">
      <c r="A863" s="1">
        <v>43986</v>
      </c>
      <c r="B863">
        <v>57.625300000000003</v>
      </c>
      <c r="C863" s="1">
        <v>43986</v>
      </c>
      <c r="D863">
        <v>311.36</v>
      </c>
      <c r="E863">
        <f t="shared" si="269"/>
        <v>-2.1043422125577509E-2</v>
      </c>
      <c r="F863" s="4">
        <f t="shared" si="270"/>
        <v>-2.6266897302837889E-3</v>
      </c>
      <c r="G863">
        <f t="shared" ca="1" si="271"/>
        <v>8.0309058110736246E-3</v>
      </c>
      <c r="H863">
        <f t="shared" ca="1" si="272"/>
        <v>5.1556354058890794E-2</v>
      </c>
      <c r="I863">
        <f t="shared" ca="1" si="273"/>
        <v>7.9244768605506513E-2</v>
      </c>
      <c r="J863">
        <f t="shared" ca="1" si="274"/>
        <v>4.003933993152021</v>
      </c>
      <c r="K863">
        <f t="shared" ca="1" si="275"/>
        <v>1.2743737250793901</v>
      </c>
      <c r="L863">
        <f t="shared" ca="1" si="276"/>
        <v>2.7358269518877281</v>
      </c>
      <c r="M863">
        <f t="shared" ca="1" si="277"/>
        <v>5.5703730135978264E-4</v>
      </c>
      <c r="N863">
        <f t="shared" ca="1" si="278"/>
        <v>2.1935347297393899E-2</v>
      </c>
      <c r="O863">
        <f t="shared" ca="1" si="279"/>
        <v>-0.52581443296393304</v>
      </c>
      <c r="P863">
        <f t="shared" ca="1" si="280"/>
        <v>7.7395068363941322</v>
      </c>
      <c r="Q863">
        <f t="shared" ca="1" si="281"/>
        <v>1.0018716640960854</v>
      </c>
      <c r="R863">
        <f t="shared" ca="1" si="282"/>
        <v>1.7630873453368023</v>
      </c>
      <c r="T863">
        <f t="shared" si="283"/>
        <v>0.97895657787442247</v>
      </c>
      <c r="U863" s="6">
        <f t="shared" ca="1" si="284"/>
        <v>1.0726833418030668</v>
      </c>
      <c r="V863">
        <f t="shared" ca="1" si="285"/>
        <v>1.6744376848499636</v>
      </c>
      <c r="X863" t="b">
        <f t="shared" ca="1" si="286"/>
        <v>0</v>
      </c>
      <c r="BJ863" t="b">
        <f t="shared" si="267"/>
        <v>1</v>
      </c>
      <c r="BK863" t="b">
        <f t="shared" ca="1" si="268"/>
        <v>0</v>
      </c>
    </row>
    <row r="864" spans="1:63" x14ac:dyDescent="0.45">
      <c r="A864" s="1">
        <v>43985</v>
      </c>
      <c r="B864">
        <v>58.863999999999997</v>
      </c>
      <c r="C864" s="1">
        <v>43985</v>
      </c>
      <c r="D864">
        <v>312.18</v>
      </c>
      <c r="E864">
        <f t="shared" si="269"/>
        <v>1.5875257568822437E-3</v>
      </c>
      <c r="F864" s="4">
        <f t="shared" si="270"/>
        <v>1.3308231628148608E-2</v>
      </c>
      <c r="G864">
        <f t="shared" ca="1" si="271"/>
        <v>8.2927448262620652E-3</v>
      </c>
      <c r="H864">
        <f t="shared" ca="1" si="272"/>
        <v>5.1540930148241453E-2</v>
      </c>
      <c r="I864">
        <f t="shared" ca="1" si="273"/>
        <v>6.5300898444222086E-2</v>
      </c>
      <c r="J864">
        <f t="shared" ca="1" si="274"/>
        <v>4.0105545663324609</v>
      </c>
      <c r="K864">
        <f t="shared" ca="1" si="275"/>
        <v>1.2743737250793901</v>
      </c>
      <c r="L864">
        <f t="shared" ca="1" si="276"/>
        <v>2.7850589515501163</v>
      </c>
      <c r="M864">
        <f t="shared" ca="1" si="277"/>
        <v>6.3040962832174279E-4</v>
      </c>
      <c r="N864">
        <f t="shared" ca="1" si="278"/>
        <v>2.1949182629324233E-2</v>
      </c>
      <c r="O864">
        <f t="shared" ca="1" si="279"/>
        <v>-0.53420678595655391</v>
      </c>
      <c r="P864">
        <f t="shared" ca="1" si="280"/>
        <v>7.7199449165239775</v>
      </c>
      <c r="Q864">
        <f t="shared" ca="1" si="281"/>
        <v>1.0018716640960854</v>
      </c>
      <c r="R864">
        <f t="shared" ca="1" si="282"/>
        <v>1.8002174901397805</v>
      </c>
      <c r="T864">
        <f t="shared" si="283"/>
        <v>1.0015875257568823</v>
      </c>
      <c r="U864" s="6">
        <f t="shared" ca="1" si="284"/>
        <v>1.0764785486997548</v>
      </c>
      <c r="V864">
        <f t="shared" ca="1" si="285"/>
        <v>1.6731480660453162</v>
      </c>
      <c r="X864" t="b">
        <f t="shared" ca="1" si="286"/>
        <v>0</v>
      </c>
      <c r="BJ864" t="b">
        <f t="shared" si="267"/>
        <v>1</v>
      </c>
      <c r="BK864" t="b">
        <f t="shared" ca="1" si="268"/>
        <v>0</v>
      </c>
    </row>
    <row r="865" spans="1:63" x14ac:dyDescent="0.45">
      <c r="A865" s="1">
        <v>43984</v>
      </c>
      <c r="B865">
        <v>58.770699999999998</v>
      </c>
      <c r="C865" s="1">
        <v>43984</v>
      </c>
      <c r="D865">
        <v>308.08</v>
      </c>
      <c r="E865">
        <f t="shared" si="269"/>
        <v>-1.8415554178573795E-2</v>
      </c>
      <c r="F865" s="4">
        <f t="shared" si="270"/>
        <v>8.2801505481916952E-3</v>
      </c>
      <c r="G865">
        <f t="shared" ca="1" si="271"/>
        <v>8.384521999926179E-3</v>
      </c>
      <c r="H865">
        <f t="shared" ca="1" si="272"/>
        <v>5.1545272659795041E-2</v>
      </c>
      <c r="I865">
        <f t="shared" ca="1" si="273"/>
        <v>5.9958667523808615E-2</v>
      </c>
      <c r="J865">
        <f t="shared" ca="1" si="274"/>
        <v>4.007733713783999</v>
      </c>
      <c r="K865">
        <f t="shared" ca="1" si="275"/>
        <v>1.2743737250793901</v>
      </c>
      <c r="L865">
        <f t="shared" ca="1" si="276"/>
        <v>2.7850589515501163</v>
      </c>
      <c r="M865">
        <f t="shared" ca="1" si="277"/>
        <v>6.376432813526144E-4</v>
      </c>
      <c r="N865">
        <f t="shared" ca="1" si="278"/>
        <v>2.1953619720942973E-2</v>
      </c>
      <c r="O865">
        <f t="shared" ca="1" si="279"/>
        <v>-0.53450712659654109</v>
      </c>
      <c r="P865">
        <f t="shared" ca="1" si="280"/>
        <v>7.7122735722704912</v>
      </c>
      <c r="Q865">
        <f t="shared" ca="1" si="281"/>
        <v>1.0018716640960854</v>
      </c>
      <c r="R865">
        <f t="shared" ca="1" si="282"/>
        <v>1.8002174901397805</v>
      </c>
      <c r="T865">
        <f t="shared" si="283"/>
        <v>0.98158444582142623</v>
      </c>
      <c r="U865" s="6">
        <f t="shared" ca="1" si="284"/>
        <v>1.0765579863458099</v>
      </c>
      <c r="V865">
        <f t="shared" ca="1" si="285"/>
        <v>1.6568625505571299</v>
      </c>
      <c r="X865" t="b">
        <f t="shared" ca="1" si="286"/>
        <v>0</v>
      </c>
      <c r="BJ865" t="b">
        <f t="shared" si="267"/>
        <v>1</v>
      </c>
      <c r="BK865" t="b">
        <f t="shared" ca="1" si="268"/>
        <v>0</v>
      </c>
    </row>
    <row r="866" spans="1:63" x14ac:dyDescent="0.45">
      <c r="A866" s="1">
        <v>43983</v>
      </c>
      <c r="B866">
        <v>59.8733</v>
      </c>
      <c r="C866" s="1">
        <v>43983</v>
      </c>
      <c r="D866">
        <v>305.55</v>
      </c>
      <c r="E866">
        <f t="shared" si="269"/>
        <v>7.5567619420587206E-2</v>
      </c>
      <c r="F866" s="4">
        <f t="shared" si="270"/>
        <v>4.0417981072555804E-3</v>
      </c>
      <c r="G866">
        <f t="shared" ca="1" si="271"/>
        <v>8.3859998923929528E-3</v>
      </c>
      <c r="H866">
        <f t="shared" ca="1" si="272"/>
        <v>5.1544504625399369E-2</v>
      </c>
      <c r="I866">
        <f t="shared" ca="1" si="273"/>
        <v>5.9897809501822441E-2</v>
      </c>
      <c r="J866">
        <f t="shared" ca="1" si="274"/>
        <v>4.0081306856674921</v>
      </c>
      <c r="K866">
        <f t="shared" ca="1" si="275"/>
        <v>1.2743737250793901</v>
      </c>
      <c r="L866">
        <f t="shared" ca="1" si="276"/>
        <v>2.7850589515501163</v>
      </c>
      <c r="M866">
        <f t="shared" ca="1" si="277"/>
        <v>6.0945140497657311E-4</v>
      </c>
      <c r="N866">
        <f t="shared" ca="1" si="278"/>
        <v>2.194737561981365E-2</v>
      </c>
      <c r="O866">
        <f t="shared" ca="1" si="279"/>
        <v>-0.53128143134370298</v>
      </c>
      <c r="P866">
        <f t="shared" ca="1" si="280"/>
        <v>7.7216503985238871</v>
      </c>
      <c r="Q866">
        <f t="shared" ca="1" si="281"/>
        <v>1.0018716640960854</v>
      </c>
      <c r="R866">
        <f t="shared" ca="1" si="282"/>
        <v>1.7630873453368023</v>
      </c>
      <c r="T866">
        <f t="shared" si="283"/>
        <v>1.0755676194205872</v>
      </c>
      <c r="U866" s="6">
        <f t="shared" ca="1" si="284"/>
        <v>1.0994258034069855</v>
      </c>
      <c r="V866">
        <f t="shared" ca="1" si="285"/>
        <v>1.6402258637906089</v>
      </c>
      <c r="X866" t="b">
        <f t="shared" ca="1" si="286"/>
        <v>0</v>
      </c>
      <c r="BJ866" t="b">
        <f t="shared" si="267"/>
        <v>1</v>
      </c>
      <c r="BK866" t="b">
        <f t="shared" ca="1" si="268"/>
        <v>0</v>
      </c>
    </row>
    <row r="867" spans="1:63" x14ac:dyDescent="0.45">
      <c r="A867" s="1">
        <v>43980</v>
      </c>
      <c r="B867">
        <v>55.666699999999999</v>
      </c>
      <c r="C867" s="1">
        <v>43980</v>
      </c>
      <c r="D867">
        <v>304.32</v>
      </c>
      <c r="E867">
        <f t="shared" si="269"/>
        <v>3.6224397671660975E-2</v>
      </c>
      <c r="F867" s="4">
        <f t="shared" si="270"/>
        <v>4.4558867214574572E-3</v>
      </c>
      <c r="G867">
        <f t="shared" ca="1" si="271"/>
        <v>7.6809071724275079E-3</v>
      </c>
      <c r="H867">
        <f t="shared" ca="1" si="272"/>
        <v>5.1585390287018439E-2</v>
      </c>
      <c r="I867">
        <f t="shared" ca="1" si="273"/>
        <v>7.5080543606832681E-2</v>
      </c>
      <c r="J867">
        <f t="shared" ca="1" si="274"/>
        <v>3.9956672596240219</v>
      </c>
      <c r="K867">
        <f t="shared" ca="1" si="275"/>
        <v>1.2743737250793901</v>
      </c>
      <c r="L867">
        <f t="shared" ca="1" si="276"/>
        <v>2.7358269518877281</v>
      </c>
      <c r="M867">
        <f t="shared" ca="1" si="277"/>
        <v>4.4140443802600642E-4</v>
      </c>
      <c r="N867">
        <f t="shared" ca="1" si="278"/>
        <v>2.2049396031922089E-2</v>
      </c>
      <c r="O867">
        <f t="shared" ca="1" si="279"/>
        <v>-0.51387675778158082</v>
      </c>
      <c r="P867">
        <f t="shared" ca="1" si="280"/>
        <v>7.5255742759590705</v>
      </c>
      <c r="Q867">
        <f t="shared" ca="1" si="281"/>
        <v>1.0018716640960854</v>
      </c>
      <c r="R867">
        <f t="shared" ca="1" si="282"/>
        <v>1.7221561672683474</v>
      </c>
      <c r="T867">
        <f t="shared" si="283"/>
        <v>1.036224397671661</v>
      </c>
      <c r="U867" s="6">
        <f t="shared" ca="1" si="284"/>
        <v>1.0089427313573778</v>
      </c>
      <c r="V867">
        <f t="shared" ca="1" si="285"/>
        <v>1.659707729376382</v>
      </c>
      <c r="X867" t="b">
        <f t="shared" ca="1" si="286"/>
        <v>0</v>
      </c>
      <c r="BJ867" t="b">
        <f t="shared" si="267"/>
        <v>1</v>
      </c>
      <c r="BK867" t="b">
        <f t="shared" ca="1" si="268"/>
        <v>0</v>
      </c>
    </row>
    <row r="868" spans="1:63" x14ac:dyDescent="0.45">
      <c r="A868" s="1">
        <v>43979</v>
      </c>
      <c r="B868">
        <v>53.720700000000001</v>
      </c>
      <c r="C868" s="1">
        <v>43979</v>
      </c>
      <c r="D868">
        <v>302.97000000000003</v>
      </c>
      <c r="E868">
        <f t="shared" si="269"/>
        <v>-1.7579825170988651E-2</v>
      </c>
      <c r="F868" s="4">
        <f t="shared" si="270"/>
        <v>-1.8449576648105475E-3</v>
      </c>
      <c r="G868">
        <f t="shared" ca="1" si="271"/>
        <v>7.6305876180293676E-3</v>
      </c>
      <c r="H868">
        <f t="shared" ca="1" si="272"/>
        <v>5.1562310615374002E-2</v>
      </c>
      <c r="I868">
        <f t="shared" ca="1" si="273"/>
        <v>7.7511274744631126E-2</v>
      </c>
      <c r="J868">
        <f t="shared" ca="1" si="274"/>
        <v>4.0081848405083758</v>
      </c>
      <c r="K868">
        <f t="shared" ca="1" si="275"/>
        <v>1.2743737250793901</v>
      </c>
      <c r="L868">
        <f t="shared" ca="1" si="276"/>
        <v>2.6578539674488937</v>
      </c>
      <c r="M868">
        <f t="shared" ca="1" si="277"/>
        <v>4.9688388246919314E-4</v>
      </c>
      <c r="N868">
        <f t="shared" ca="1" si="278"/>
        <v>2.2073494060112019E-2</v>
      </c>
      <c r="O868">
        <f t="shared" ca="1" si="279"/>
        <v>-0.5182142123391833</v>
      </c>
      <c r="P868">
        <f t="shared" ca="1" si="280"/>
        <v>7.485894371081625</v>
      </c>
      <c r="Q868">
        <f t="shared" ca="1" si="281"/>
        <v>1.0018716640960854</v>
      </c>
      <c r="R868">
        <f t="shared" ca="1" si="282"/>
        <v>1.7584243124814256</v>
      </c>
      <c r="T868">
        <f t="shared" si="283"/>
        <v>0.98242017482901134</v>
      </c>
      <c r="U868" s="6">
        <f t="shared" ca="1" si="284"/>
        <v>0.98804503160709733</v>
      </c>
      <c r="V868">
        <f t="shared" ca="1" si="285"/>
        <v>1.6566202999812321</v>
      </c>
      <c r="X868" t="b">
        <f t="shared" ca="1" si="286"/>
        <v>1</v>
      </c>
      <c r="BJ868" t="b">
        <f t="shared" si="267"/>
        <v>1</v>
      </c>
      <c r="BK868" t="b">
        <f t="shared" ca="1" si="268"/>
        <v>1</v>
      </c>
    </row>
    <row r="869" spans="1:63" x14ac:dyDescent="0.45">
      <c r="A869" s="1">
        <v>43978</v>
      </c>
      <c r="B869">
        <v>54.682000000000002</v>
      </c>
      <c r="C869" s="1">
        <v>43978</v>
      </c>
      <c r="D869">
        <v>303.52999999999997</v>
      </c>
      <c r="E869">
        <f t="shared" si="269"/>
        <v>1.6614368956226603E-3</v>
      </c>
      <c r="F869" s="4">
        <f t="shared" si="270"/>
        <v>1.487896215059512E-2</v>
      </c>
      <c r="G869">
        <f t="shared" ca="1" si="271"/>
        <v>7.5908323299138112E-3</v>
      </c>
      <c r="H869">
        <f t="shared" ca="1" si="272"/>
        <v>5.1584906124439549E-2</v>
      </c>
      <c r="I869">
        <f t="shared" ca="1" si="273"/>
        <v>7.8988859827408248E-2</v>
      </c>
      <c r="J869">
        <f t="shared" ca="1" si="274"/>
        <v>3.9966675273097545</v>
      </c>
      <c r="K869">
        <f t="shared" ca="1" si="275"/>
        <v>1.2743737250793901</v>
      </c>
      <c r="L869">
        <f t="shared" ca="1" si="276"/>
        <v>2.6578539674488937</v>
      </c>
      <c r="M869">
        <f t="shared" ca="1" si="277"/>
        <v>4.4524178923505337E-4</v>
      </c>
      <c r="N869">
        <f t="shared" ca="1" si="278"/>
        <v>2.2091075388781582E-2</v>
      </c>
      <c r="O869">
        <f t="shared" ca="1" si="279"/>
        <v>-0.51084562830003677</v>
      </c>
      <c r="P869">
        <f t="shared" ca="1" si="280"/>
        <v>7.4480598096228325</v>
      </c>
      <c r="Q869">
        <f t="shared" ca="1" si="281"/>
        <v>1.0018716640960854</v>
      </c>
      <c r="R869">
        <f t="shared" ca="1" si="282"/>
        <v>1.7176399809857965</v>
      </c>
      <c r="T869">
        <f t="shared" si="283"/>
        <v>1.0016614368956227</v>
      </c>
      <c r="U869" s="6">
        <f t="shared" ca="1" si="284"/>
        <v>1.0151242033664212</v>
      </c>
      <c r="V869">
        <f t="shared" ca="1" si="285"/>
        <v>1.6333983176853386</v>
      </c>
      <c r="X869" t="b">
        <f t="shared" ca="1" si="286"/>
        <v>0</v>
      </c>
      <c r="BJ869" t="b">
        <f t="shared" si="267"/>
        <v>1</v>
      </c>
      <c r="BK869" t="b">
        <f t="shared" ca="1" si="268"/>
        <v>0</v>
      </c>
    </row>
    <row r="870" spans="1:63" x14ac:dyDescent="0.45">
      <c r="A870" s="1">
        <v>43977</v>
      </c>
      <c r="B870">
        <v>54.591299999999997</v>
      </c>
      <c r="C870" s="1">
        <v>43977</v>
      </c>
      <c r="D870">
        <v>299.08</v>
      </c>
      <c r="E870">
        <f t="shared" si="269"/>
        <v>2.4348726649735765E-3</v>
      </c>
      <c r="F870" s="4">
        <f t="shared" si="270"/>
        <v>1.2320606552937945E-2</v>
      </c>
      <c r="G870">
        <f t="shared" ca="1" si="271"/>
        <v>7.5134736747086116E-3</v>
      </c>
      <c r="H870">
        <f t="shared" ca="1" si="272"/>
        <v>5.160543965744839E-2</v>
      </c>
      <c r="I870">
        <f t="shared" ca="1" si="273"/>
        <v>8.3082837837792287E-2</v>
      </c>
      <c r="J870">
        <f t="shared" ca="1" si="274"/>
        <v>3.9861123092112107</v>
      </c>
      <c r="K870">
        <f t="shared" ca="1" si="275"/>
        <v>1.2743737250793901</v>
      </c>
      <c r="L870">
        <f t="shared" ca="1" si="276"/>
        <v>2.5844339845816284</v>
      </c>
      <c r="M870">
        <f t="shared" ca="1" si="277"/>
        <v>3.3678935297972828E-4</v>
      </c>
      <c r="N870">
        <f t="shared" ca="1" si="278"/>
        <v>2.2073094965605718E-2</v>
      </c>
      <c r="O870">
        <f t="shared" ca="1" si="279"/>
        <v>-0.49880563174066922</v>
      </c>
      <c r="P870">
        <f t="shared" ca="1" si="280"/>
        <v>7.4712561594492337</v>
      </c>
      <c r="Q870">
        <f t="shared" ca="1" si="281"/>
        <v>1.0018716640960854</v>
      </c>
      <c r="R870">
        <f t="shared" ca="1" si="282"/>
        <v>1.6434005933516911</v>
      </c>
      <c r="T870">
        <f t="shared" si="283"/>
        <v>1.0024348726649737</v>
      </c>
      <c r="U870" s="6">
        <f t="shared" ca="1" si="284"/>
        <v>1.0064396593045979</v>
      </c>
      <c r="V870">
        <f t="shared" ca="1" si="285"/>
        <v>1.6299242113135892</v>
      </c>
      <c r="X870" t="b">
        <f t="shared" ca="1" si="286"/>
        <v>0</v>
      </c>
      <c r="BJ870" t="b">
        <f t="shared" si="267"/>
        <v>1</v>
      </c>
      <c r="BK870" t="b">
        <f t="shared" ca="1" si="268"/>
        <v>0</v>
      </c>
    </row>
    <row r="871" spans="1:63" x14ac:dyDescent="0.45">
      <c r="A871" s="1">
        <v>43973</v>
      </c>
      <c r="B871">
        <v>54.4587</v>
      </c>
      <c r="C871" s="1">
        <v>43973</v>
      </c>
      <c r="D871">
        <v>295.44</v>
      </c>
      <c r="E871">
        <f t="shared" si="269"/>
        <v>-1.2951916959833783E-2</v>
      </c>
      <c r="F871" s="4">
        <f t="shared" si="270"/>
        <v>1.8990775908844352E-3</v>
      </c>
      <c r="G871">
        <f t="shared" ca="1" si="271"/>
        <v>7.6058535581369092E-3</v>
      </c>
      <c r="H871">
        <f t="shared" ca="1" si="272"/>
        <v>5.1612839240743925E-2</v>
      </c>
      <c r="I871">
        <f t="shared" ca="1" si="273"/>
        <v>7.7716889723320928E-2</v>
      </c>
      <c r="J871">
        <f t="shared" ca="1" si="274"/>
        <v>3.9815161270117709</v>
      </c>
      <c r="K871">
        <f t="shared" ca="1" si="275"/>
        <v>1.2743737250793901</v>
      </c>
      <c r="L871">
        <f t="shared" ca="1" si="276"/>
        <v>2.5844339845816284</v>
      </c>
      <c r="M871">
        <f t="shared" ca="1" si="277"/>
        <v>3.7328681679454299E-4</v>
      </c>
      <c r="N871">
        <f t="shared" ca="1" si="278"/>
        <v>2.2099029118290606E-2</v>
      </c>
      <c r="O871">
        <f t="shared" ca="1" si="279"/>
        <v>-0.49949330255098057</v>
      </c>
      <c r="P871">
        <f t="shared" ca="1" si="280"/>
        <v>7.4278787859173514</v>
      </c>
      <c r="Q871">
        <f t="shared" ca="1" si="281"/>
        <v>1.0018716640960854</v>
      </c>
      <c r="R871">
        <f t="shared" ca="1" si="282"/>
        <v>1.6434005933516911</v>
      </c>
      <c r="T871">
        <f t="shared" si="283"/>
        <v>0.98704808304016622</v>
      </c>
      <c r="U871" s="6">
        <f t="shared" ca="1" si="284"/>
        <v>1.0221611171590523</v>
      </c>
      <c r="V871">
        <f t="shared" ca="1" si="285"/>
        <v>1.6068118951350399</v>
      </c>
      <c r="X871" t="b">
        <f t="shared" ca="1" si="286"/>
        <v>0</v>
      </c>
      <c r="BJ871" t="b">
        <f t="shared" si="267"/>
        <v>1</v>
      </c>
      <c r="BK871" t="b">
        <f t="shared" ca="1" si="268"/>
        <v>0</v>
      </c>
    </row>
    <row r="872" spans="1:63" x14ac:dyDescent="0.45">
      <c r="A872" s="1">
        <v>43972</v>
      </c>
      <c r="B872">
        <v>55.173299999999998</v>
      </c>
      <c r="C872" s="1">
        <v>43972</v>
      </c>
      <c r="D872">
        <v>294.88</v>
      </c>
      <c r="E872">
        <f t="shared" si="269"/>
        <v>1.4761627126375019E-2</v>
      </c>
      <c r="F872" s="4">
        <f t="shared" si="270"/>
        <v>-6.9039841039976136E-3</v>
      </c>
      <c r="G872">
        <f t="shared" ca="1" si="271"/>
        <v>7.7284680895340109E-3</v>
      </c>
      <c r="H872">
        <f t="shared" ca="1" si="272"/>
        <v>5.1592880738277919E-2</v>
      </c>
      <c r="I872">
        <f t="shared" ca="1" si="273"/>
        <v>7.0928777821712752E-2</v>
      </c>
      <c r="J872">
        <f t="shared" ca="1" si="274"/>
        <v>3.9915430776749776</v>
      </c>
      <c r="K872">
        <f t="shared" ca="1" si="275"/>
        <v>1.2743737250793901</v>
      </c>
      <c r="L872">
        <f t="shared" ca="1" si="276"/>
        <v>2.6578539674488937</v>
      </c>
      <c r="M872">
        <f t="shared" ca="1" si="277"/>
        <v>3.6674486872893266E-4</v>
      </c>
      <c r="N872">
        <f t="shared" ca="1" si="278"/>
        <v>2.2098768829550627E-2</v>
      </c>
      <c r="O872">
        <f t="shared" ca="1" si="279"/>
        <v>-0.49861555091537607</v>
      </c>
      <c r="P872">
        <f t="shared" ca="1" si="280"/>
        <v>7.4277691737132896</v>
      </c>
      <c r="Q872">
        <f t="shared" ca="1" si="281"/>
        <v>1.0018716640960854</v>
      </c>
      <c r="R872">
        <f t="shared" ca="1" si="282"/>
        <v>1.6434005933516911</v>
      </c>
      <c r="T872">
        <f t="shared" si="283"/>
        <v>1.0147616271263751</v>
      </c>
      <c r="U872" s="6">
        <f t="shared" ca="1" si="284"/>
        <v>1.030211762421273</v>
      </c>
      <c r="V872">
        <f t="shared" ca="1" si="285"/>
        <v>1.5886661330078482</v>
      </c>
      <c r="X872" t="b">
        <f t="shared" ca="1" si="286"/>
        <v>0</v>
      </c>
      <c r="BJ872" t="b">
        <f t="shared" si="267"/>
        <v>1</v>
      </c>
      <c r="BK872" t="b">
        <f t="shared" ca="1" si="268"/>
        <v>0</v>
      </c>
    </row>
    <row r="873" spans="1:63" x14ac:dyDescent="0.45">
      <c r="A873" s="1">
        <v>43971</v>
      </c>
      <c r="B873">
        <v>54.370699999999999</v>
      </c>
      <c r="C873" s="1">
        <v>43971</v>
      </c>
      <c r="D873">
        <v>296.93</v>
      </c>
      <c r="E873">
        <f t="shared" si="269"/>
        <v>9.3451871543589367E-3</v>
      </c>
      <c r="F873" s="4">
        <f t="shared" si="270"/>
        <v>1.6988046717128402E-2</v>
      </c>
      <c r="G873">
        <f t="shared" ca="1" si="271"/>
        <v>7.707874856702818E-3</v>
      </c>
      <c r="H873">
        <f t="shared" ca="1" si="272"/>
        <v>5.1590881292392227E-2</v>
      </c>
      <c r="I873">
        <f t="shared" ca="1" si="273"/>
        <v>7.2134668444529149E-2</v>
      </c>
      <c r="J873">
        <f t="shared" ca="1" si="274"/>
        <v>3.9927488782925762</v>
      </c>
      <c r="K873">
        <f t="shared" ca="1" si="275"/>
        <v>1.2743737250793901</v>
      </c>
      <c r="L873">
        <f t="shared" ca="1" si="276"/>
        <v>2.6578539674488937</v>
      </c>
      <c r="M873">
        <f t="shared" ca="1" si="277"/>
        <v>4.7137965078087782E-4</v>
      </c>
      <c r="N873">
        <f t="shared" ca="1" si="278"/>
        <v>2.211370803553692E-2</v>
      </c>
      <c r="O873">
        <f t="shared" ca="1" si="279"/>
        <v>-0.51056837127796073</v>
      </c>
      <c r="P873">
        <f t="shared" ca="1" si="280"/>
        <v>7.4099095374763921</v>
      </c>
      <c r="Q873">
        <f t="shared" ca="1" si="281"/>
        <v>1.0018716640960854</v>
      </c>
      <c r="R873">
        <f t="shared" ca="1" si="282"/>
        <v>1.7176399809857965</v>
      </c>
      <c r="T873">
        <f t="shared" si="283"/>
        <v>1.0093451871543588</v>
      </c>
      <c r="U873" s="6">
        <f t="shared" ca="1" si="284"/>
        <v>1.0311014266831278</v>
      </c>
      <c r="V873">
        <f t="shared" ca="1" si="285"/>
        <v>1.6220978279989833</v>
      </c>
      <c r="X873" t="b">
        <f t="shared" ca="1" si="286"/>
        <v>0</v>
      </c>
      <c r="BJ873" t="b">
        <f t="shared" si="267"/>
        <v>1</v>
      </c>
      <c r="BK873" t="b">
        <f t="shared" ca="1" si="268"/>
        <v>0</v>
      </c>
    </row>
    <row r="874" spans="1:63" x14ac:dyDescent="0.45">
      <c r="A874" s="1">
        <v>43970</v>
      </c>
      <c r="B874">
        <v>53.8673</v>
      </c>
      <c r="C874" s="1">
        <v>43970</v>
      </c>
      <c r="D874">
        <v>291.97000000000003</v>
      </c>
      <c r="E874">
        <f t="shared" si="269"/>
        <v>-6.9079311234835948E-3</v>
      </c>
      <c r="F874" s="4">
        <f t="shared" si="270"/>
        <v>-1.0271186440677874E-2</v>
      </c>
      <c r="G874">
        <f t="shared" ca="1" si="271"/>
        <v>7.532682010601823E-3</v>
      </c>
      <c r="H874">
        <f t="shared" ca="1" si="272"/>
        <v>5.164475738658842E-2</v>
      </c>
      <c r="I874">
        <f t="shared" ca="1" si="273"/>
        <v>8.0815466302185252E-2</v>
      </c>
      <c r="J874">
        <f t="shared" ca="1" si="274"/>
        <v>3.9653781693080061</v>
      </c>
      <c r="K874">
        <f t="shared" ca="1" si="275"/>
        <v>1.2743737250793901</v>
      </c>
      <c r="L874">
        <f t="shared" ca="1" si="276"/>
        <v>2.5844339845816284</v>
      </c>
      <c r="M874">
        <f t="shared" ca="1" si="277"/>
        <v>2.360737552445831E-4</v>
      </c>
      <c r="N874">
        <f t="shared" ca="1" si="278"/>
        <v>2.2187335525336173E-2</v>
      </c>
      <c r="O874">
        <f t="shared" ca="1" si="279"/>
        <v>-0.48870073211809051</v>
      </c>
      <c r="P874">
        <f t="shared" ca="1" si="280"/>
        <v>7.2669758582458863</v>
      </c>
      <c r="Q874">
        <f t="shared" ca="1" si="281"/>
        <v>1.0018716640960854</v>
      </c>
      <c r="R874">
        <f t="shared" ca="1" si="282"/>
        <v>1.6434005933516911</v>
      </c>
      <c r="T874">
        <f t="shared" si="283"/>
        <v>0.99309206887651635</v>
      </c>
      <c r="U874" s="6">
        <f t="shared" ca="1" si="284"/>
        <v>0.99826911066757817</v>
      </c>
      <c r="V874">
        <f t="shared" ca="1" si="285"/>
        <v>1.7191108464435643</v>
      </c>
      <c r="X874" t="b">
        <f t="shared" ca="1" si="286"/>
        <v>1</v>
      </c>
      <c r="BJ874" t="b">
        <f t="shared" si="267"/>
        <v>1</v>
      </c>
      <c r="BK874" t="b">
        <f t="shared" ca="1" si="268"/>
        <v>1</v>
      </c>
    </row>
    <row r="875" spans="1:63" x14ac:dyDescent="0.45">
      <c r="A875" s="1">
        <v>43969</v>
      </c>
      <c r="B875">
        <v>54.241999999999997</v>
      </c>
      <c r="C875" s="1">
        <v>43969</v>
      </c>
      <c r="D875">
        <v>295</v>
      </c>
      <c r="E875">
        <f t="shared" si="269"/>
        <v>1.8093772288749553E-2</v>
      </c>
      <c r="F875" s="4">
        <f t="shared" si="270"/>
        <v>3.0459689814168047E-2</v>
      </c>
      <c r="G875">
        <f t="shared" ca="1" si="271"/>
        <v>7.5777091582012786E-3</v>
      </c>
      <c r="H875">
        <f t="shared" ca="1" si="272"/>
        <v>5.1636028896645356E-2</v>
      </c>
      <c r="I875">
        <f t="shared" ca="1" si="273"/>
        <v>7.831910265189064E-2</v>
      </c>
      <c r="J875">
        <f t="shared" ca="1" si="274"/>
        <v>3.9698055166957067</v>
      </c>
      <c r="K875">
        <f t="shared" ca="1" si="275"/>
        <v>1.2743737250793901</v>
      </c>
      <c r="L875">
        <f t="shared" ca="1" si="276"/>
        <v>2.5844339845816284</v>
      </c>
      <c r="M875">
        <f t="shared" ca="1" si="277"/>
        <v>2.4978214980043523E-4</v>
      </c>
      <c r="N875">
        <f t="shared" ca="1" si="278"/>
        <v>2.2181657259510896E-2</v>
      </c>
      <c r="O875">
        <f t="shared" ca="1" si="279"/>
        <v>-0.49062716840335618</v>
      </c>
      <c r="P875">
        <f t="shared" ca="1" si="280"/>
        <v>7.2785918676898769</v>
      </c>
      <c r="Q875">
        <f t="shared" ca="1" si="281"/>
        <v>1.0018716640960854</v>
      </c>
      <c r="R875">
        <f t="shared" ca="1" si="282"/>
        <v>1.6434005933516911</v>
      </c>
      <c r="T875">
        <f t="shared" si="283"/>
        <v>1.0180937722887495</v>
      </c>
      <c r="U875" s="6">
        <f t="shared" ca="1" si="284"/>
        <v>1.0028842953814296</v>
      </c>
      <c r="V875">
        <f t="shared" ca="1" si="285"/>
        <v>1.7347580613300342</v>
      </c>
      <c r="X875" t="b">
        <f t="shared" ca="1" si="286"/>
        <v>0</v>
      </c>
      <c r="BJ875" t="b">
        <f t="shared" si="267"/>
        <v>1</v>
      </c>
      <c r="BK875" t="b">
        <f t="shared" ca="1" si="268"/>
        <v>0</v>
      </c>
    </row>
    <row r="876" spans="1:63" x14ac:dyDescent="0.45">
      <c r="A876" s="1">
        <v>43966</v>
      </c>
      <c r="B876">
        <v>53.277999999999999</v>
      </c>
      <c r="C876" s="1">
        <v>43966</v>
      </c>
      <c r="D876">
        <v>286.27999999999997</v>
      </c>
      <c r="E876">
        <f t="shared" si="269"/>
        <v>-5.1778255373418477E-3</v>
      </c>
      <c r="F876" s="4">
        <f t="shared" si="270"/>
        <v>4.5969751201878984E-3</v>
      </c>
      <c r="G876">
        <f t="shared" ca="1" si="271"/>
        <v>7.3266609321216225E-3</v>
      </c>
      <c r="H876">
        <f t="shared" ca="1" si="272"/>
        <v>5.1706652488195295E-2</v>
      </c>
      <c r="I876">
        <f t="shared" ca="1" si="273"/>
        <v>9.0372564495316846E-2</v>
      </c>
      <c r="J876">
        <f t="shared" ca="1" si="274"/>
        <v>3.9349898254648155</v>
      </c>
      <c r="K876">
        <f t="shared" ca="1" si="275"/>
        <v>1.2743737250793901</v>
      </c>
      <c r="L876">
        <f t="shared" ca="1" si="276"/>
        <v>2.3587215999531335</v>
      </c>
      <c r="M876">
        <f t="shared" ca="1" si="277"/>
        <v>5.3944044339856138E-5</v>
      </c>
      <c r="N876">
        <f t="shared" ca="1" si="278"/>
        <v>2.2086295966330612E-2</v>
      </c>
      <c r="O876">
        <f t="shared" ca="1" si="279"/>
        <v>-0.48346758834607945</v>
      </c>
      <c r="P876">
        <f t="shared" ca="1" si="280"/>
        <v>7.4220888806819021</v>
      </c>
      <c r="Q876">
        <f t="shared" ca="1" si="281"/>
        <v>0.97176044731681566</v>
      </c>
      <c r="R876">
        <f t="shared" ca="1" si="282"/>
        <v>1.4938058902081739</v>
      </c>
      <c r="T876">
        <f t="shared" si="283"/>
        <v>0.99482217446265819</v>
      </c>
      <c r="U876" s="6">
        <f t="shared" ca="1" si="284"/>
        <v>0.97528739840374912</v>
      </c>
      <c r="V876">
        <f t="shared" ca="1" si="285"/>
        <v>1.781796185533572</v>
      </c>
      <c r="X876" t="b">
        <f t="shared" ca="1" si="286"/>
        <v>1</v>
      </c>
      <c r="BJ876" t="b">
        <f t="shared" si="267"/>
        <v>1</v>
      </c>
      <c r="BK876" t="b">
        <f t="shared" ca="1" si="268"/>
        <v>1</v>
      </c>
    </row>
    <row r="877" spans="1:63" x14ac:dyDescent="0.45">
      <c r="A877" s="1">
        <v>43965</v>
      </c>
      <c r="B877">
        <v>53.555300000000003</v>
      </c>
      <c r="C877" s="1">
        <v>43965</v>
      </c>
      <c r="D877">
        <v>284.97000000000003</v>
      </c>
      <c r="E877">
        <f t="shared" si="269"/>
        <v>1.5637949050553164E-2</v>
      </c>
      <c r="F877" s="4">
        <f t="shared" si="270"/>
        <v>1.196732954545456E-2</v>
      </c>
      <c r="G877">
        <f t="shared" ca="1" si="271"/>
        <v>7.3391141096637545E-3</v>
      </c>
      <c r="H877">
        <f t="shared" ca="1" si="272"/>
        <v>5.170392559226003E-2</v>
      </c>
      <c r="I877">
        <f t="shared" ca="1" si="273"/>
        <v>8.9691925138922116E-2</v>
      </c>
      <c r="J877">
        <f t="shared" ca="1" si="274"/>
        <v>3.9363636628563414</v>
      </c>
      <c r="K877">
        <f t="shared" ca="1" si="275"/>
        <v>1.2743737250793901</v>
      </c>
      <c r="L877">
        <f t="shared" ca="1" si="276"/>
        <v>2.3587215999531335</v>
      </c>
      <c r="M877">
        <f t="shared" ca="1" si="277"/>
        <v>-2.3742879678216067E-5</v>
      </c>
      <c r="N877">
        <f t="shared" ca="1" si="278"/>
        <v>2.2097558821022406E-2</v>
      </c>
      <c r="O877">
        <f t="shared" ca="1" si="279"/>
        <v>-0.47274449599737267</v>
      </c>
      <c r="P877">
        <f t="shared" ca="1" si="280"/>
        <v>7.3942125524401421</v>
      </c>
      <c r="Q877">
        <f t="shared" ca="1" si="281"/>
        <v>0.97176044731681566</v>
      </c>
      <c r="R877">
        <f t="shared" ca="1" si="282"/>
        <v>1.3365005946844162</v>
      </c>
      <c r="T877">
        <f t="shared" si="283"/>
        <v>1.0156379490505532</v>
      </c>
      <c r="U877" s="6">
        <f t="shared" ca="1" si="284"/>
        <v>1.0298561420849301</v>
      </c>
      <c r="V877">
        <f t="shared" ca="1" si="285"/>
        <v>1.7967123176757531</v>
      </c>
      <c r="X877" t="b">
        <f t="shared" ca="1" si="286"/>
        <v>0</v>
      </c>
      <c r="BJ877" t="b">
        <f t="shared" si="267"/>
        <v>1</v>
      </c>
      <c r="BK877" t="b">
        <f t="shared" ca="1" si="268"/>
        <v>0</v>
      </c>
    </row>
    <row r="878" spans="1:63" x14ac:dyDescent="0.45">
      <c r="A878" s="1">
        <v>43964</v>
      </c>
      <c r="B878">
        <v>52.730699999999999</v>
      </c>
      <c r="C878" s="1">
        <v>43964</v>
      </c>
      <c r="D878">
        <v>281.60000000000002</v>
      </c>
      <c r="E878">
        <f t="shared" si="269"/>
        <v>-2.2794367011547367E-2</v>
      </c>
      <c r="F878" s="4">
        <f t="shared" si="270"/>
        <v>-1.7685840862315529E-2</v>
      </c>
      <c r="G878">
        <f t="shared" ca="1" si="271"/>
        <v>7.3985691029273392E-3</v>
      </c>
      <c r="H878">
        <f t="shared" ca="1" si="272"/>
        <v>5.1720350676613298E-2</v>
      </c>
      <c r="I878">
        <f t="shared" ca="1" si="273"/>
        <v>8.6403996502432079E-2</v>
      </c>
      <c r="J878">
        <f t="shared" ca="1" si="274"/>
        <v>3.9272017839181865</v>
      </c>
      <c r="K878">
        <f t="shared" ca="1" si="275"/>
        <v>1.2743737250793901</v>
      </c>
      <c r="L878">
        <f t="shared" ca="1" si="276"/>
        <v>2.4279189918569544</v>
      </c>
      <c r="M878">
        <f t="shared" ca="1" si="277"/>
        <v>-9.5853129210039592E-5</v>
      </c>
      <c r="N878">
        <f t="shared" ca="1" si="278"/>
        <v>2.2081757963829055E-2</v>
      </c>
      <c r="O878">
        <f t="shared" ca="1" si="279"/>
        <v>-0.4646838292251943</v>
      </c>
      <c r="P878">
        <f t="shared" ca="1" si="280"/>
        <v>7.4174177604386129</v>
      </c>
      <c r="Q878">
        <f t="shared" ca="1" si="281"/>
        <v>0.97176044731681566</v>
      </c>
      <c r="R878">
        <f t="shared" ca="1" si="282"/>
        <v>1.320887740747887</v>
      </c>
      <c r="T878">
        <f t="shared" si="283"/>
        <v>0.97720563298845264</v>
      </c>
      <c r="U878" s="6">
        <f t="shared" ca="1" si="284"/>
        <v>1.0107088093230086</v>
      </c>
      <c r="V878">
        <f t="shared" ca="1" si="285"/>
        <v>1.7946529287215687</v>
      </c>
      <c r="X878" t="b">
        <f t="shared" ca="1" si="286"/>
        <v>0</v>
      </c>
      <c r="BJ878" t="b">
        <f t="shared" si="267"/>
        <v>1</v>
      </c>
      <c r="BK878" t="b">
        <f t="shared" ca="1" si="268"/>
        <v>0</v>
      </c>
    </row>
    <row r="879" spans="1:63" x14ac:dyDescent="0.45">
      <c r="A879" s="1">
        <v>43963</v>
      </c>
      <c r="B879">
        <v>53.960700000000003</v>
      </c>
      <c r="C879" s="1">
        <v>43963</v>
      </c>
      <c r="D879">
        <v>286.67</v>
      </c>
      <c r="E879">
        <f t="shared" si="269"/>
        <v>-2.3166808416225223E-3</v>
      </c>
      <c r="F879" s="4">
        <f t="shared" si="270"/>
        <v>-1.9931623931623878E-2</v>
      </c>
      <c r="G879">
        <f t="shared" ca="1" si="271"/>
        <v>7.6820174125586706E-3</v>
      </c>
      <c r="H879">
        <f t="shared" ca="1" si="272"/>
        <v>5.1709389651448709E-2</v>
      </c>
      <c r="I879">
        <f t="shared" ca="1" si="273"/>
        <v>7.1541385313596981E-2</v>
      </c>
      <c r="J879">
        <f t="shared" ca="1" si="274"/>
        <v>3.9310847796747934</v>
      </c>
      <c r="K879">
        <f t="shared" ca="1" si="275"/>
        <v>1.2743737250793901</v>
      </c>
      <c r="L879">
        <f t="shared" ca="1" si="276"/>
        <v>2.6687568992317554</v>
      </c>
      <c r="M879">
        <f t="shared" ca="1" si="277"/>
        <v>-1.6529583651483186E-5</v>
      </c>
      <c r="N879">
        <f t="shared" ca="1" si="278"/>
        <v>2.2046719852280978E-2</v>
      </c>
      <c r="O879">
        <f t="shared" ca="1" si="279"/>
        <v>-0.47523034426769206</v>
      </c>
      <c r="P879">
        <f t="shared" ca="1" si="280"/>
        <v>7.4888915090588162</v>
      </c>
      <c r="Q879">
        <f t="shared" ca="1" si="281"/>
        <v>0.97176044731681566</v>
      </c>
      <c r="R879">
        <f t="shared" ca="1" si="282"/>
        <v>1.4763554129946905</v>
      </c>
      <c r="T879">
        <f t="shared" si="283"/>
        <v>0.99768331915837749</v>
      </c>
      <c r="U879" s="6">
        <f t="shared" ca="1" si="284"/>
        <v>1.0536318194243761</v>
      </c>
      <c r="V879">
        <f t="shared" ca="1" si="285"/>
        <v>1.8118400213380261</v>
      </c>
      <c r="X879" t="b">
        <f t="shared" ca="1" si="286"/>
        <v>0</v>
      </c>
      <c r="BJ879" t="b">
        <f t="shared" si="267"/>
        <v>1</v>
      </c>
      <c r="BK879" t="b">
        <f t="shared" ca="1" si="268"/>
        <v>0</v>
      </c>
    </row>
    <row r="880" spans="1:63" x14ac:dyDescent="0.45">
      <c r="A880" s="1">
        <v>43962</v>
      </c>
      <c r="B880">
        <v>54.085999999999999</v>
      </c>
      <c r="C880" s="1">
        <v>43962</v>
      </c>
      <c r="D880">
        <v>292.5</v>
      </c>
      <c r="E880">
        <f t="shared" si="269"/>
        <v>-9.921651900124508E-3</v>
      </c>
      <c r="F880" s="4">
        <f t="shared" si="270"/>
        <v>2.0517029134182148E-4</v>
      </c>
      <c r="G880">
        <f t="shared" ca="1" si="271"/>
        <v>7.6765568893214717E-3</v>
      </c>
      <c r="H880">
        <f t="shared" ca="1" si="272"/>
        <v>5.171050847324303E-2</v>
      </c>
      <c r="I880">
        <f t="shared" ca="1" si="273"/>
        <v>7.1843350418270155E-2</v>
      </c>
      <c r="J880">
        <f t="shared" ca="1" si="274"/>
        <v>3.9305156009596782</v>
      </c>
      <c r="K880">
        <f t="shared" ca="1" si="275"/>
        <v>1.2743737250793901</v>
      </c>
      <c r="L880">
        <f t="shared" ca="1" si="276"/>
        <v>2.6687568992317554</v>
      </c>
      <c r="M880">
        <f t="shared" ca="1" si="277"/>
        <v>1.1662853600663618E-4</v>
      </c>
      <c r="N880">
        <f t="shared" ca="1" si="278"/>
        <v>2.2006219765204428E-2</v>
      </c>
      <c r="O880">
        <f t="shared" ca="1" si="279"/>
        <v>-0.49228904063693008</v>
      </c>
      <c r="P880">
        <f t="shared" ca="1" si="280"/>
        <v>7.5751594790209937</v>
      </c>
      <c r="Q880">
        <f t="shared" ca="1" si="281"/>
        <v>0.97176044731681566</v>
      </c>
      <c r="R880">
        <f t="shared" ca="1" si="282"/>
        <v>1.5925276337496659</v>
      </c>
      <c r="T880">
        <f t="shared" si="283"/>
        <v>0.99007834809987549</v>
      </c>
      <c r="U880" s="6">
        <f t="shared" ca="1" si="284"/>
        <v>1.0658179955070348</v>
      </c>
      <c r="V880">
        <f t="shared" ca="1" si="285"/>
        <v>1.8071190136992157</v>
      </c>
      <c r="X880" t="b">
        <f t="shared" ca="1" si="286"/>
        <v>0</v>
      </c>
      <c r="BJ880" t="b">
        <f t="shared" si="267"/>
        <v>1</v>
      </c>
      <c r="BK880" t="b">
        <f t="shared" ca="1" si="268"/>
        <v>0</v>
      </c>
    </row>
    <row r="881" spans="1:63" x14ac:dyDescent="0.45">
      <c r="A881" s="1">
        <v>43959</v>
      </c>
      <c r="B881">
        <v>54.628</v>
      </c>
      <c r="C881" s="1">
        <v>43959</v>
      </c>
      <c r="D881">
        <v>292.44</v>
      </c>
      <c r="E881">
        <f t="shared" si="269"/>
        <v>5.0483917181223338E-2</v>
      </c>
      <c r="F881" s="4">
        <f t="shared" si="270"/>
        <v>1.6546162402669602E-2</v>
      </c>
      <c r="G881">
        <f t="shared" ca="1" si="271"/>
        <v>7.0454808402376588E-3</v>
      </c>
      <c r="H881">
        <f t="shared" ca="1" si="272"/>
        <v>5.2687297471173483E-2</v>
      </c>
      <c r="I881">
        <f t="shared" ca="1" si="273"/>
        <v>1.181594759930106E-3</v>
      </c>
      <c r="J881">
        <f t="shared" ca="1" si="274"/>
        <v>3.7139737474110248</v>
      </c>
      <c r="K881">
        <f t="shared" ca="1" si="275"/>
        <v>1.2682816922080444</v>
      </c>
      <c r="L881">
        <f t="shared" ca="1" si="276"/>
        <v>2.4356801453610775</v>
      </c>
      <c r="M881">
        <f t="shared" ca="1" si="277"/>
        <v>9.1717334231455802E-5</v>
      </c>
      <c r="N881">
        <f t="shared" ca="1" si="278"/>
        <v>2.2008938829905723E-2</v>
      </c>
      <c r="O881">
        <f t="shared" ca="1" si="279"/>
        <v>-0.48873250202700491</v>
      </c>
      <c r="P881">
        <f t="shared" ca="1" si="280"/>
        <v>7.5676589485124213</v>
      </c>
      <c r="Q881">
        <f t="shared" ca="1" si="281"/>
        <v>0.97176044731681566</v>
      </c>
      <c r="R881">
        <f t="shared" ca="1" si="282"/>
        <v>1.5202814584522319</v>
      </c>
      <c r="T881">
        <f t="shared" si="283"/>
        <v>1.0504839171812232</v>
      </c>
      <c r="U881" s="6">
        <f t="shared" ca="1" si="284"/>
        <v>1.1683959045828547</v>
      </c>
      <c r="V881">
        <f t="shared" ca="1" si="285"/>
        <v>1.8026228290260615</v>
      </c>
      <c r="X881" t="b">
        <f t="shared" ca="1" si="286"/>
        <v>0</v>
      </c>
      <c r="BJ881" t="b">
        <f t="shared" si="267"/>
        <v>1</v>
      </c>
      <c r="BK881" t="b">
        <f t="shared" ca="1" si="268"/>
        <v>0</v>
      </c>
    </row>
    <row r="882" spans="1:63" x14ac:dyDescent="0.45">
      <c r="A882" s="1">
        <v>43958</v>
      </c>
      <c r="B882">
        <v>52.002699999999997</v>
      </c>
      <c r="C882" s="1">
        <v>43958</v>
      </c>
      <c r="D882">
        <v>287.68</v>
      </c>
      <c r="E882">
        <f t="shared" si="269"/>
        <v>-3.2450356513072107E-3</v>
      </c>
      <c r="F882" s="4">
        <f t="shared" si="270"/>
        <v>1.2066842568161854E-2</v>
      </c>
      <c r="G882">
        <f t="shared" ca="1" si="271"/>
        <v>6.8835788187748574E-3</v>
      </c>
      <c r="H882">
        <f t="shared" ca="1" si="272"/>
        <v>5.2602828301423168E-2</v>
      </c>
      <c r="I882">
        <f t="shared" ca="1" si="273"/>
        <v>7.702911377419748E-3</v>
      </c>
      <c r="J882">
        <f t="shared" ca="1" si="274"/>
        <v>3.7551373879314172</v>
      </c>
      <c r="K882">
        <f t="shared" ca="1" si="275"/>
        <v>1.2682816922080444</v>
      </c>
      <c r="L882">
        <f t="shared" ca="1" si="276"/>
        <v>2.4279189918569544</v>
      </c>
      <c r="M882">
        <f t="shared" ca="1" si="277"/>
        <v>3.248417245308472E-5</v>
      </c>
      <c r="N882">
        <f t="shared" ca="1" si="278"/>
        <v>2.1980355066071298E-2</v>
      </c>
      <c r="O882">
        <f t="shared" ca="1" si="279"/>
        <v>-0.48455814886044513</v>
      </c>
      <c r="P882">
        <f t="shared" ca="1" si="280"/>
        <v>7.6159839050505918</v>
      </c>
      <c r="Q882">
        <f t="shared" ca="1" si="281"/>
        <v>0.97176044731681566</v>
      </c>
      <c r="R882">
        <f t="shared" ca="1" si="282"/>
        <v>1.4900123372031155</v>
      </c>
      <c r="T882">
        <f t="shared" si="283"/>
        <v>0.99675496434869282</v>
      </c>
      <c r="U882" s="6">
        <f t="shared" ca="1" si="284"/>
        <v>0.99764797516752868</v>
      </c>
      <c r="V882">
        <f t="shared" ca="1" si="285"/>
        <v>1.8126339035041843</v>
      </c>
      <c r="X882" t="b">
        <f t="shared" ca="1" si="286"/>
        <v>1</v>
      </c>
      <c r="BJ882" t="b">
        <f t="shared" si="267"/>
        <v>1</v>
      </c>
      <c r="BK882" t="b">
        <f t="shared" ca="1" si="268"/>
        <v>1</v>
      </c>
    </row>
    <row r="883" spans="1:63" x14ac:dyDescent="0.45">
      <c r="A883" s="1">
        <v>43957</v>
      </c>
      <c r="B883">
        <v>52.171999999999997</v>
      </c>
      <c r="C883" s="1">
        <v>43957</v>
      </c>
      <c r="D883">
        <v>284.25</v>
      </c>
      <c r="E883">
        <f t="shared" si="269"/>
        <v>1.8705822626625502E-2</v>
      </c>
      <c r="F883" s="4">
        <f t="shared" si="270"/>
        <v>-6.7787134421188645E-3</v>
      </c>
      <c r="G883">
        <f t="shared" ca="1" si="271"/>
        <v>6.9876287933095457E-3</v>
      </c>
      <c r="H883">
        <f t="shared" ca="1" si="272"/>
        <v>5.2603274316472902E-2</v>
      </c>
      <c r="I883">
        <f t="shared" ca="1" si="273"/>
        <v>1.7874593243983881E-3</v>
      </c>
      <c r="J883">
        <f t="shared" ca="1" si="274"/>
        <v>3.7548697981632522</v>
      </c>
      <c r="K883">
        <f t="shared" ca="1" si="275"/>
        <v>1.2682816922080444</v>
      </c>
      <c r="L883">
        <f t="shared" ca="1" si="276"/>
        <v>2.4279189918569544</v>
      </c>
      <c r="M883">
        <f t="shared" ca="1" si="277"/>
        <v>7.9002113746114283E-6</v>
      </c>
      <c r="N883">
        <f t="shared" ca="1" si="278"/>
        <v>2.196957453555462E-2</v>
      </c>
      <c r="O883">
        <f t="shared" ca="1" si="279"/>
        <v>-0.4825425965320731</v>
      </c>
      <c r="P883">
        <f t="shared" ca="1" si="280"/>
        <v>7.634305619857046</v>
      </c>
      <c r="Q883">
        <f t="shared" ca="1" si="281"/>
        <v>0.97176044731681566</v>
      </c>
      <c r="R883">
        <f t="shared" ca="1" si="282"/>
        <v>1.4900123372031155</v>
      </c>
      <c r="T883">
        <f t="shared" si="283"/>
        <v>1.0187058226266255</v>
      </c>
      <c r="U883" s="6">
        <f t="shared" ca="1" si="284"/>
        <v>0.97760238947820088</v>
      </c>
      <c r="V883">
        <f t="shared" ca="1" si="285"/>
        <v>1.8552202056122242</v>
      </c>
      <c r="X883" t="b">
        <f t="shared" ca="1" si="286"/>
        <v>1</v>
      </c>
      <c r="BJ883" t="b">
        <f t="shared" si="267"/>
        <v>1</v>
      </c>
      <c r="BK883" t="b">
        <f t="shared" ca="1" si="268"/>
        <v>1</v>
      </c>
    </row>
    <row r="884" spans="1:63" x14ac:dyDescent="0.45">
      <c r="A884" s="1">
        <v>43956</v>
      </c>
      <c r="B884">
        <v>51.213999999999999</v>
      </c>
      <c r="C884" s="1">
        <v>43956</v>
      </c>
      <c r="D884">
        <v>286.19</v>
      </c>
      <c r="E884">
        <f t="shared" si="269"/>
        <v>9.2224017656563351E-3</v>
      </c>
      <c r="F884" s="4">
        <f t="shared" si="270"/>
        <v>9.2393412561272512E-3</v>
      </c>
      <c r="G884">
        <f t="shared" ca="1" si="271"/>
        <v>6.8456741630953145E-3</v>
      </c>
      <c r="H884">
        <f t="shared" ca="1" si="272"/>
        <v>5.2609800136171447E-2</v>
      </c>
      <c r="I884">
        <f t="shared" ca="1" si="273"/>
        <v>9.7456925621906467E-3</v>
      </c>
      <c r="J884">
        <f t="shared" ca="1" si="274"/>
        <v>3.7515979656770142</v>
      </c>
      <c r="K884">
        <f t="shared" ca="1" si="275"/>
        <v>1.2682816922080444</v>
      </c>
      <c r="L884">
        <f t="shared" ca="1" si="276"/>
        <v>2.4279189918569544</v>
      </c>
      <c r="M884">
        <f t="shared" ca="1" si="277"/>
        <v>5.4076310469312174E-5</v>
      </c>
      <c r="N884">
        <f t="shared" ca="1" si="278"/>
        <v>2.1964943511616344E-2</v>
      </c>
      <c r="O884">
        <f t="shared" ca="1" si="279"/>
        <v>-0.48906162701743766</v>
      </c>
      <c r="P884">
        <f t="shared" ca="1" si="280"/>
        <v>7.6474378058628547</v>
      </c>
      <c r="Q884">
        <f t="shared" ca="1" si="281"/>
        <v>0.97176044731681566</v>
      </c>
      <c r="R884">
        <f t="shared" ca="1" si="282"/>
        <v>1.5608200760664901</v>
      </c>
      <c r="T884">
        <f t="shared" si="283"/>
        <v>1.0092224017656564</v>
      </c>
      <c r="U884" s="6">
        <f t="shared" ca="1" si="284"/>
        <v>0.99881618029944597</v>
      </c>
      <c r="V884">
        <f t="shared" ca="1" si="285"/>
        <v>1.888146124692438</v>
      </c>
      <c r="X884" t="b">
        <f t="shared" ca="1" si="286"/>
        <v>1</v>
      </c>
      <c r="BJ884" t="b">
        <f t="shared" si="267"/>
        <v>1</v>
      </c>
      <c r="BK884" t="b">
        <f t="shared" ca="1" si="268"/>
        <v>1</v>
      </c>
    </row>
    <row r="885" spans="1:63" x14ac:dyDescent="0.45">
      <c r="A885" s="1">
        <v>43955</v>
      </c>
      <c r="B885">
        <v>50.746000000000002</v>
      </c>
      <c r="C885" s="1">
        <v>43955</v>
      </c>
      <c r="D885">
        <v>283.57</v>
      </c>
      <c r="E885">
        <f t="shared" si="269"/>
        <v>8.5366818736939867E-2</v>
      </c>
      <c r="F885" s="4">
        <f t="shared" si="270"/>
        <v>2.758230489055386E-3</v>
      </c>
      <c r="G885">
        <f t="shared" ca="1" si="271"/>
        <v>6.891056412580792E-3</v>
      </c>
      <c r="H885">
        <f t="shared" ca="1" si="272"/>
        <v>5.2615775073681349E-2</v>
      </c>
      <c r="I885">
        <f t="shared" ca="1" si="273"/>
        <v>7.1805551465629379E-3</v>
      </c>
      <c r="J885">
        <f t="shared" ca="1" si="274"/>
        <v>3.7484926444404181</v>
      </c>
      <c r="K885">
        <f t="shared" ca="1" si="275"/>
        <v>1.2682816922080444</v>
      </c>
      <c r="L885">
        <f t="shared" ca="1" si="276"/>
        <v>2.4279189918569544</v>
      </c>
      <c r="M885">
        <f t="shared" ca="1" si="277"/>
        <v>-1.9895384935575004E-5</v>
      </c>
      <c r="N885">
        <f t="shared" ca="1" si="278"/>
        <v>2.1958765400899936E-2</v>
      </c>
      <c r="O885">
        <f t="shared" ca="1" si="279"/>
        <v>-0.4797225277678755</v>
      </c>
      <c r="P885">
        <f t="shared" ca="1" si="280"/>
        <v>7.6526750130175705</v>
      </c>
      <c r="Q885">
        <f t="shared" ca="1" si="281"/>
        <v>0.97176044731681566</v>
      </c>
      <c r="R885">
        <f t="shared" ca="1" si="282"/>
        <v>1.4799989529354178</v>
      </c>
      <c r="T885">
        <f t="shared" si="283"/>
        <v>1.0853668187369399</v>
      </c>
      <c r="U885" s="6">
        <f t="shared" ca="1" si="284"/>
        <v>0.95297652582159642</v>
      </c>
      <c r="V885">
        <f t="shared" ca="1" si="285"/>
        <v>1.9018188075397897</v>
      </c>
      <c r="X885" t="b">
        <f t="shared" ca="1" si="286"/>
        <v>1</v>
      </c>
      <c r="BJ885" t="b">
        <f t="shared" si="267"/>
        <v>1</v>
      </c>
      <c r="BK885" t="b">
        <f t="shared" ca="1" si="268"/>
        <v>1</v>
      </c>
    </row>
    <row r="886" spans="1:63" x14ac:dyDescent="0.45">
      <c r="A886" s="1">
        <v>43952</v>
      </c>
      <c r="B886">
        <v>46.7547</v>
      </c>
      <c r="C886" s="1">
        <v>43952</v>
      </c>
      <c r="D886">
        <v>282.79000000000002</v>
      </c>
      <c r="E886">
        <f t="shared" si="269"/>
        <v>-0.10303250053237109</v>
      </c>
      <c r="F886" s="4">
        <f t="shared" si="270"/>
        <v>-2.6473423299366555E-2</v>
      </c>
      <c r="G886">
        <f t="shared" ca="1" si="271"/>
        <v>6.4383257990352303E-3</v>
      </c>
      <c r="H886">
        <f t="shared" ca="1" si="272"/>
        <v>5.232589186144259E-2</v>
      </c>
      <c r="I886">
        <f t="shared" ca="1" si="273"/>
        <v>1.6334947131801218E-2</v>
      </c>
      <c r="J886">
        <f t="shared" ca="1" si="274"/>
        <v>3.874235543247754</v>
      </c>
      <c r="K886">
        <f t="shared" ca="1" si="275"/>
        <v>1.2682816922080444</v>
      </c>
      <c r="L886">
        <f t="shared" ca="1" si="276"/>
        <v>2.3587215999531335</v>
      </c>
      <c r="M886">
        <f t="shared" ca="1" si="277"/>
        <v>-1.5381976354453836E-5</v>
      </c>
      <c r="N886">
        <f t="shared" ca="1" si="278"/>
        <v>2.1959432045381894E-2</v>
      </c>
      <c r="O886">
        <f t="shared" ca="1" si="279"/>
        <v>-0.48028804247032253</v>
      </c>
      <c r="P886">
        <f t="shared" ca="1" si="280"/>
        <v>7.6517813192155346</v>
      </c>
      <c r="Q886">
        <f t="shared" ca="1" si="281"/>
        <v>0.97176044731681566</v>
      </c>
      <c r="R886">
        <f t="shared" ca="1" si="282"/>
        <v>1.4799989529354178</v>
      </c>
      <c r="T886">
        <f t="shared" si="283"/>
        <v>0.89696749946762888</v>
      </c>
      <c r="U886" s="6">
        <f t="shared" ca="1" si="284"/>
        <v>0.96713918991876846</v>
      </c>
      <c r="V886">
        <f t="shared" ca="1" si="285"/>
        <v>1.9032677444129926</v>
      </c>
      <c r="X886" t="b">
        <f t="shared" ca="1" si="286"/>
        <v>1</v>
      </c>
      <c r="BJ886" t="b">
        <f t="shared" si="267"/>
        <v>1</v>
      </c>
      <c r="BK886" t="b">
        <f t="shared" ca="1" si="268"/>
        <v>1</v>
      </c>
    </row>
    <row r="887" spans="1:63" x14ac:dyDescent="0.45">
      <c r="A887" s="1">
        <v>43951</v>
      </c>
      <c r="B887">
        <v>52.125300000000003</v>
      </c>
      <c r="C887" s="1">
        <v>43951</v>
      </c>
      <c r="D887">
        <v>290.48</v>
      </c>
      <c r="E887">
        <f t="shared" si="269"/>
        <v>-2.3272678213063006E-2</v>
      </c>
      <c r="F887" s="4">
        <f t="shared" si="270"/>
        <v>-9.3107329217965336E-3</v>
      </c>
      <c r="G887">
        <f t="shared" ca="1" si="271"/>
        <v>7.0026404713463622E-3</v>
      </c>
      <c r="H887">
        <f t="shared" ca="1" si="272"/>
        <v>5.1744722607611572E-2</v>
      </c>
      <c r="I887">
        <f t="shared" ca="1" si="273"/>
        <v>3.1906716455688919E-2</v>
      </c>
      <c r="J887">
        <f t="shared" ca="1" si="274"/>
        <v>4.0844980198970253</v>
      </c>
      <c r="K887">
        <f t="shared" ca="1" si="275"/>
        <v>1.2743737250793901</v>
      </c>
      <c r="L887">
        <f t="shared" ca="1" si="276"/>
        <v>2.5844339845816284</v>
      </c>
      <c r="M887">
        <f t="shared" ca="1" si="277"/>
        <v>8.4120037209544813E-5</v>
      </c>
      <c r="N887">
        <f t="shared" ca="1" si="278"/>
        <v>2.1883899802056652E-2</v>
      </c>
      <c r="O887">
        <f t="shared" ca="1" si="279"/>
        <v>-0.49022288738000014</v>
      </c>
      <c r="P887">
        <f t="shared" ca="1" si="280"/>
        <v>7.7981831200585772</v>
      </c>
      <c r="Q887">
        <f t="shared" ca="1" si="281"/>
        <v>0.97176044731681566</v>
      </c>
      <c r="R887">
        <f t="shared" ca="1" si="282"/>
        <v>1.4799989529354178</v>
      </c>
      <c r="T887">
        <f t="shared" si="283"/>
        <v>0.976727321786937</v>
      </c>
      <c r="U887" s="6">
        <f t="shared" ca="1" si="284"/>
        <v>1.1080587560052721</v>
      </c>
      <c r="V887">
        <f t="shared" ca="1" si="285"/>
        <v>1.9105845053310651</v>
      </c>
      <c r="X887" t="b">
        <f t="shared" ca="1" si="286"/>
        <v>0</v>
      </c>
      <c r="BJ887" t="b">
        <f t="shared" si="267"/>
        <v>1</v>
      </c>
      <c r="BK887" t="b">
        <f t="shared" ca="1" si="268"/>
        <v>0</v>
      </c>
    </row>
    <row r="888" spans="1:63" x14ac:dyDescent="0.45">
      <c r="A888" s="1">
        <v>43950</v>
      </c>
      <c r="B888">
        <v>53.3673</v>
      </c>
      <c r="C888" s="1">
        <v>43950</v>
      </c>
      <c r="D888">
        <v>293.20999999999998</v>
      </c>
      <c r="E888">
        <f t="shared" si="269"/>
        <v>4.0811550335740576E-2</v>
      </c>
      <c r="F888" s="4">
        <f t="shared" si="270"/>
        <v>2.6178560179190007E-2</v>
      </c>
      <c r="G888">
        <f t="shared" ca="1" si="271"/>
        <v>7.0969032706957001E-3</v>
      </c>
      <c r="H888">
        <f t="shared" ca="1" si="272"/>
        <v>5.1706450839855249E-2</v>
      </c>
      <c r="I888">
        <f t="shared" ca="1" si="273"/>
        <v>2.7417459134768733E-2</v>
      </c>
      <c r="J888">
        <f t="shared" ca="1" si="274"/>
        <v>4.1048110732965819</v>
      </c>
      <c r="K888">
        <f t="shared" ca="1" si="275"/>
        <v>1.2743737250793901</v>
      </c>
      <c r="L888">
        <f t="shared" ca="1" si="276"/>
        <v>2.6924874348663357</v>
      </c>
      <c r="M888">
        <f t="shared" ca="1" si="277"/>
        <v>1.1338359375535158E-4</v>
      </c>
      <c r="N888">
        <f t="shared" ca="1" si="278"/>
        <v>2.1875185141837328E-2</v>
      </c>
      <c r="O888">
        <f t="shared" ca="1" si="279"/>
        <v>-0.49448225892495146</v>
      </c>
      <c r="P888">
        <f t="shared" ca="1" si="280"/>
        <v>7.8179895414708058</v>
      </c>
      <c r="Q888">
        <f t="shared" ca="1" si="281"/>
        <v>0.97176044731681566</v>
      </c>
      <c r="R888">
        <f t="shared" ca="1" si="282"/>
        <v>1.5503308399681313</v>
      </c>
      <c r="T888">
        <f t="shared" si="283"/>
        <v>1.0408115503357407</v>
      </c>
      <c r="U888" s="6">
        <f t="shared" ca="1" si="284"/>
        <v>1.0934286469442074</v>
      </c>
      <c r="V888">
        <f t="shared" ca="1" si="285"/>
        <v>1.89493902382377</v>
      </c>
      <c r="X888" t="b">
        <f t="shared" ca="1" si="286"/>
        <v>0</v>
      </c>
      <c r="BJ888" t="b">
        <f t="shared" si="267"/>
        <v>1</v>
      </c>
      <c r="BK888" t="b">
        <f t="shared" ca="1" si="268"/>
        <v>0</v>
      </c>
    </row>
    <row r="889" spans="1:63" x14ac:dyDescent="0.45">
      <c r="A889" s="1">
        <v>43949</v>
      </c>
      <c r="B889">
        <v>51.274700000000003</v>
      </c>
      <c r="C889" s="1">
        <v>43949</v>
      </c>
      <c r="D889">
        <v>285.73</v>
      </c>
      <c r="E889">
        <f t="shared" si="269"/>
        <v>-3.7094835680751122E-2</v>
      </c>
      <c r="F889" s="4">
        <f t="shared" si="270"/>
        <v>-4.5985020031353184E-3</v>
      </c>
      <c r="G889">
        <f t="shared" ca="1" si="271"/>
        <v>7.0646156108847705E-3</v>
      </c>
      <c r="H889">
        <f t="shared" ca="1" si="272"/>
        <v>5.1687304849131047E-2</v>
      </c>
      <c r="I889">
        <f t="shared" ca="1" si="273"/>
        <v>2.8676583859745405E-2</v>
      </c>
      <c r="J889">
        <f t="shared" ca="1" si="274"/>
        <v>4.1149455087340545</v>
      </c>
      <c r="K889">
        <f t="shared" ca="1" si="275"/>
        <v>1.2743737250793901</v>
      </c>
      <c r="L889">
        <f t="shared" ca="1" si="276"/>
        <v>2.6924874348663357</v>
      </c>
      <c r="M889">
        <f t="shared" ca="1" si="277"/>
        <v>-1.584614377788394E-5</v>
      </c>
      <c r="N889">
        <f t="shared" ca="1" si="278"/>
        <v>2.1796631503951246E-2</v>
      </c>
      <c r="O889">
        <f t="shared" ca="1" si="279"/>
        <v>-0.49056137521946225</v>
      </c>
      <c r="P889">
        <f t="shared" ca="1" si="280"/>
        <v>7.9527689314993344</v>
      </c>
      <c r="Q889">
        <f t="shared" ca="1" si="281"/>
        <v>0.97176044731681566</v>
      </c>
      <c r="R889">
        <f t="shared" ca="1" si="282"/>
        <v>1.5348069323541518</v>
      </c>
      <c r="T889">
        <f t="shared" si="283"/>
        <v>0.96290516431924889</v>
      </c>
      <c r="U889" s="6">
        <f t="shared" ca="1" si="284"/>
        <v>1.1199922238992777</v>
      </c>
      <c r="V889">
        <f t="shared" ca="1" si="285"/>
        <v>1.885490211837749</v>
      </c>
      <c r="X889" t="b">
        <f t="shared" ca="1" si="286"/>
        <v>0</v>
      </c>
      <c r="BJ889" t="b">
        <f t="shared" si="267"/>
        <v>1</v>
      </c>
      <c r="BK889" t="b">
        <f t="shared" ca="1" si="268"/>
        <v>0</v>
      </c>
    </row>
    <row r="890" spans="1:63" x14ac:dyDescent="0.45">
      <c r="A890" s="1">
        <v>43948</v>
      </c>
      <c r="B890">
        <v>53.25</v>
      </c>
      <c r="C890" s="1">
        <v>43948</v>
      </c>
      <c r="D890">
        <v>287.05</v>
      </c>
      <c r="E890">
        <f t="shared" si="269"/>
        <v>0.10149700165276265</v>
      </c>
      <c r="F890" s="4">
        <f t="shared" si="270"/>
        <v>1.4418489592536254E-2</v>
      </c>
      <c r="G890">
        <f t="shared" ca="1" si="271"/>
        <v>7.3858816254330426E-3</v>
      </c>
      <c r="H890">
        <f t="shared" ca="1" si="272"/>
        <v>5.1611078354605551E-2</v>
      </c>
      <c r="I890">
        <f t="shared" ca="1" si="273"/>
        <v>1.3419723351879461E-2</v>
      </c>
      <c r="J890">
        <f t="shared" ca="1" si="274"/>
        <v>4.1541058965514832</v>
      </c>
      <c r="K890">
        <f t="shared" ca="1" si="275"/>
        <v>1.2743737250793901</v>
      </c>
      <c r="L890">
        <f t="shared" ca="1" si="276"/>
        <v>2.7998322001104943</v>
      </c>
      <c r="M890">
        <f t="shared" ca="1" si="277"/>
        <v>2.9531184653482055E-5</v>
      </c>
      <c r="N890">
        <f t="shared" ca="1" si="278"/>
        <v>2.1796490038757044E-2</v>
      </c>
      <c r="O890">
        <f t="shared" ca="1" si="279"/>
        <v>-0.49678798729599827</v>
      </c>
      <c r="P890">
        <f t="shared" ca="1" si="280"/>
        <v>7.9572478763843444</v>
      </c>
      <c r="Q890">
        <f t="shared" ca="1" si="281"/>
        <v>0.97176044731681566</v>
      </c>
      <c r="R890">
        <f t="shared" ca="1" si="282"/>
        <v>1.5710546940359567</v>
      </c>
      <c r="T890">
        <f t="shared" si="283"/>
        <v>1.1014970016527625</v>
      </c>
      <c r="U890" s="6">
        <f t="shared" ca="1" si="284"/>
        <v>1.0701947251961019</v>
      </c>
      <c r="V890">
        <f t="shared" ca="1" si="285"/>
        <v>1.8743081666005859</v>
      </c>
      <c r="X890" t="b">
        <f t="shared" ca="1" si="286"/>
        <v>0</v>
      </c>
      <c r="BJ890" t="b">
        <f t="shared" si="267"/>
        <v>1</v>
      </c>
      <c r="BK890" t="b">
        <f t="shared" ca="1" si="268"/>
        <v>0</v>
      </c>
    </row>
    <row r="891" spans="1:63" x14ac:dyDescent="0.45">
      <c r="A891" s="1">
        <v>43945</v>
      </c>
      <c r="B891">
        <v>48.343299999999999</v>
      </c>
      <c r="C891" s="1">
        <v>43945</v>
      </c>
      <c r="D891">
        <v>282.97000000000003</v>
      </c>
      <c r="E891">
        <f t="shared" si="269"/>
        <v>2.7662514348879674E-2</v>
      </c>
      <c r="F891" s="4">
        <f t="shared" si="270"/>
        <v>1.3938655582628792E-2</v>
      </c>
      <c r="G891">
        <f t="shared" ca="1" si="271"/>
        <v>6.8717102786458768E-3</v>
      </c>
      <c r="H891">
        <f t="shared" ca="1" si="272"/>
        <v>5.1179224661955652E-2</v>
      </c>
      <c r="I891">
        <f t="shared" ca="1" si="273"/>
        <v>1.26209037312055E-2</v>
      </c>
      <c r="J891">
        <f t="shared" ca="1" si="274"/>
        <v>4.3408937971174186</v>
      </c>
      <c r="K891">
        <f t="shared" ca="1" si="275"/>
        <v>1.216654675229875</v>
      </c>
      <c r="L891">
        <f t="shared" ca="1" si="276"/>
        <v>2.7222189552594545</v>
      </c>
      <c r="M891">
        <f t="shared" ca="1" si="277"/>
        <v>-3.0840289463716068E-5</v>
      </c>
      <c r="N891">
        <f t="shared" ca="1" si="278"/>
        <v>2.1773144587958978E-2</v>
      </c>
      <c r="O891">
        <f t="shared" ca="1" si="279"/>
        <v>-0.49144429372080595</v>
      </c>
      <c r="P891">
        <f t="shared" ca="1" si="280"/>
        <v>7.9979181423544725</v>
      </c>
      <c r="Q891">
        <f t="shared" ca="1" si="281"/>
        <v>0.97176044731681566</v>
      </c>
      <c r="R891">
        <f t="shared" ca="1" si="282"/>
        <v>1.5656375364963926</v>
      </c>
      <c r="T891">
        <f t="shared" si="283"/>
        <v>1.0276625143488798</v>
      </c>
      <c r="U891" s="6">
        <f t="shared" ca="1" si="284"/>
        <v>0.96187770223620306</v>
      </c>
      <c r="V891">
        <f t="shared" ca="1" si="285"/>
        <v>1.9295468102121807</v>
      </c>
      <c r="X891" t="b">
        <f t="shared" ca="1" si="286"/>
        <v>1</v>
      </c>
      <c r="BJ891" t="b">
        <f t="shared" si="267"/>
        <v>1</v>
      </c>
      <c r="BK891" t="b">
        <f t="shared" ca="1" si="268"/>
        <v>1</v>
      </c>
    </row>
    <row r="892" spans="1:63" x14ac:dyDescent="0.45">
      <c r="A892" s="1">
        <v>43944</v>
      </c>
      <c r="B892">
        <v>47.042000000000002</v>
      </c>
      <c r="C892" s="1">
        <v>43944</v>
      </c>
      <c r="D892">
        <v>279.08</v>
      </c>
      <c r="E892">
        <f t="shared" si="269"/>
        <v>-3.6168769835659753E-2</v>
      </c>
      <c r="F892" s="4">
        <f t="shared" si="270"/>
        <v>-7.1658903618913118E-5</v>
      </c>
      <c r="G892">
        <f t="shared" ca="1" si="271"/>
        <v>6.9259674551622567E-3</v>
      </c>
      <c r="H892">
        <f t="shared" ca="1" si="272"/>
        <v>5.1207121019264092E-2</v>
      </c>
      <c r="I892">
        <f t="shared" ca="1" si="273"/>
        <v>1.0247388265349168E-2</v>
      </c>
      <c r="J892">
        <f t="shared" ca="1" si="274"/>
        <v>4.3253737666401308</v>
      </c>
      <c r="K892">
        <f t="shared" ca="1" si="275"/>
        <v>1.216654675229875</v>
      </c>
      <c r="L892">
        <f t="shared" ca="1" si="276"/>
        <v>2.7222189552594545</v>
      </c>
      <c r="M892">
        <f t="shared" ca="1" si="277"/>
        <v>-7.6643126917894059E-5</v>
      </c>
      <c r="N892">
        <f t="shared" ca="1" si="278"/>
        <v>2.1753236300745375E-2</v>
      </c>
      <c r="O892">
        <f t="shared" ca="1" si="279"/>
        <v>-0.48770373101786607</v>
      </c>
      <c r="P892">
        <f t="shared" ca="1" si="280"/>
        <v>8.0333150251809009</v>
      </c>
      <c r="Q892">
        <f t="shared" ca="1" si="281"/>
        <v>0.97176044731681566</v>
      </c>
      <c r="R892">
        <f t="shared" ca="1" si="282"/>
        <v>1.5628278994322595</v>
      </c>
      <c r="T892">
        <f t="shared" si="283"/>
        <v>0.96383123016434025</v>
      </c>
      <c r="U892" s="6">
        <f t="shared" ca="1" si="284"/>
        <v>0.94688681922758733</v>
      </c>
      <c r="V892">
        <f t="shared" ca="1" si="285"/>
        <v>1.9518411471357289</v>
      </c>
      <c r="X892" t="b">
        <f t="shared" ca="1" si="286"/>
        <v>1</v>
      </c>
      <c r="BJ892" t="b">
        <f t="shared" si="267"/>
        <v>1</v>
      </c>
      <c r="BK892" t="b">
        <f t="shared" ca="1" si="268"/>
        <v>1</v>
      </c>
    </row>
    <row r="893" spans="1:63" x14ac:dyDescent="0.45">
      <c r="A893" s="1">
        <v>43943</v>
      </c>
      <c r="B893">
        <v>48.807299999999998</v>
      </c>
      <c r="C893" s="1">
        <v>43943</v>
      </c>
      <c r="D893">
        <v>279.10000000000002</v>
      </c>
      <c r="E893">
        <f t="shared" si="269"/>
        <v>6.6096856139952254E-2</v>
      </c>
      <c r="F893" s="4">
        <f t="shared" si="270"/>
        <v>2.2194550249047765E-2</v>
      </c>
      <c r="G893">
        <f t="shared" ca="1" si="271"/>
        <v>7.1007224791256552E-3</v>
      </c>
      <c r="H893">
        <f t="shared" ca="1" si="272"/>
        <v>5.1118874932885125E-2</v>
      </c>
      <c r="I893">
        <f t="shared" ca="1" si="273"/>
        <v>2.9617594153528034E-3</v>
      </c>
      <c r="J893">
        <f t="shared" ca="1" si="274"/>
        <v>4.3736785319459797</v>
      </c>
      <c r="K893">
        <f t="shared" ca="1" si="275"/>
        <v>1.216654675229875</v>
      </c>
      <c r="L893">
        <f t="shared" ca="1" si="276"/>
        <v>2.7316496282452025</v>
      </c>
      <c r="M893">
        <f t="shared" ca="1" si="277"/>
        <v>-7.0052098756514115E-5</v>
      </c>
      <c r="N893">
        <f t="shared" ca="1" si="278"/>
        <v>2.1753437519596432E-2</v>
      </c>
      <c r="O893">
        <f t="shared" ca="1" si="279"/>
        <v>-0.48860720021003545</v>
      </c>
      <c r="P893">
        <f t="shared" ca="1" si="280"/>
        <v>8.0335088011270237</v>
      </c>
      <c r="Q893">
        <f t="shared" ca="1" si="281"/>
        <v>0.97176044731681566</v>
      </c>
      <c r="R893">
        <f t="shared" ca="1" si="282"/>
        <v>1.5628278994322595</v>
      </c>
      <c r="T893">
        <f t="shared" si="283"/>
        <v>1.0660968561399522</v>
      </c>
      <c r="U893" s="6">
        <f t="shared" ca="1" si="284"/>
        <v>1.0031240173218539</v>
      </c>
      <c r="V893">
        <f t="shared" ca="1" si="285"/>
        <v>1.9505157727938562</v>
      </c>
      <c r="X893" t="b">
        <f t="shared" ca="1" si="286"/>
        <v>0</v>
      </c>
      <c r="BJ893" t="b">
        <f t="shared" si="267"/>
        <v>1</v>
      </c>
      <c r="BK893" t="b">
        <f t="shared" ca="1" si="268"/>
        <v>0</v>
      </c>
    </row>
    <row r="894" spans="1:63" x14ac:dyDescent="0.45">
      <c r="A894" s="1">
        <v>43942</v>
      </c>
      <c r="B894">
        <v>45.781300000000002</v>
      </c>
      <c r="C894" s="1">
        <v>43942</v>
      </c>
      <c r="D894">
        <v>273.04000000000002</v>
      </c>
      <c r="E894">
        <f t="shared" si="269"/>
        <v>-7.9907872814642247E-2</v>
      </c>
      <c r="F894" s="4">
        <f t="shared" si="270"/>
        <v>-3.0363294151070547E-2</v>
      </c>
      <c r="G894">
        <f t="shared" ca="1" si="271"/>
        <v>6.7110361392238331E-3</v>
      </c>
      <c r="H894">
        <f t="shared" ca="1" si="272"/>
        <v>5.0963707019468077E-2</v>
      </c>
      <c r="I894">
        <f t="shared" ca="1" si="273"/>
        <v>1.8025451212453962E-2</v>
      </c>
      <c r="J894">
        <f t="shared" ca="1" si="274"/>
        <v>4.4554507725439301</v>
      </c>
      <c r="K894">
        <f t="shared" ca="1" si="275"/>
        <v>1.216654675229875</v>
      </c>
      <c r="L894">
        <f t="shared" ca="1" si="276"/>
        <v>2.5975839504543896</v>
      </c>
      <c r="M894">
        <f t="shared" ca="1" si="277"/>
        <v>-2.0849921842633232E-4</v>
      </c>
      <c r="N894">
        <f t="shared" ca="1" si="278"/>
        <v>2.1699070145469714E-2</v>
      </c>
      <c r="O894">
        <f t="shared" ca="1" si="279"/>
        <v>-0.4785169695255817</v>
      </c>
      <c r="P894">
        <f t="shared" ca="1" si="280"/>
        <v>8.126531812957829</v>
      </c>
      <c r="Q894">
        <f t="shared" ca="1" si="281"/>
        <v>0.97176044731681566</v>
      </c>
      <c r="R894">
        <f t="shared" ca="1" si="282"/>
        <v>1.5000338106409783</v>
      </c>
      <c r="T894">
        <f t="shared" si="283"/>
        <v>0.92009212718535771</v>
      </c>
      <c r="U894" s="6">
        <f t="shared" ca="1" si="284"/>
        <v>0.96736043612390665</v>
      </c>
      <c r="V894">
        <f t="shared" ca="1" si="285"/>
        <v>1.9184753041890916</v>
      </c>
      <c r="X894" t="b">
        <f t="shared" ca="1" si="286"/>
        <v>1</v>
      </c>
      <c r="BJ894" t="b">
        <f t="shared" si="267"/>
        <v>1</v>
      </c>
      <c r="BK894" t="b">
        <f t="shared" ca="1" si="268"/>
        <v>1</v>
      </c>
    </row>
    <row r="895" spans="1:63" x14ac:dyDescent="0.45">
      <c r="A895" s="1">
        <v>43941</v>
      </c>
      <c r="B895">
        <v>49.757300000000001</v>
      </c>
      <c r="C895" s="1">
        <v>43941</v>
      </c>
      <c r="D895">
        <v>281.58999999999997</v>
      </c>
      <c r="E895">
        <f t="shared" si="269"/>
        <v>-9.9882011886357827E-3</v>
      </c>
      <c r="F895" s="4">
        <f t="shared" si="270"/>
        <v>-1.7617917945855471E-2</v>
      </c>
      <c r="G895">
        <f t="shared" ca="1" si="271"/>
        <v>7.0722613270518334E-3</v>
      </c>
      <c r="H895">
        <f t="shared" ca="1" si="272"/>
        <v>5.0601421279378445E-2</v>
      </c>
      <c r="I895">
        <f t="shared" ca="1" si="273"/>
        <v>2.2126641272830778E-2</v>
      </c>
      <c r="J895">
        <f t="shared" ca="1" si="274"/>
        <v>4.6271980625466531</v>
      </c>
      <c r="K895">
        <f t="shared" ca="1" si="275"/>
        <v>1.3771152774762871</v>
      </c>
      <c r="L895">
        <f t="shared" ca="1" si="276"/>
        <v>2.6065828462788545</v>
      </c>
      <c r="M895">
        <f t="shared" ca="1" si="277"/>
        <v>-6.2372172035103155E-5</v>
      </c>
      <c r="N895">
        <f t="shared" ca="1" si="278"/>
        <v>2.159312668280023E-2</v>
      </c>
      <c r="O895">
        <f t="shared" ca="1" si="279"/>
        <v>-0.49227855483459582</v>
      </c>
      <c r="P895">
        <f t="shared" ca="1" si="280"/>
        <v>8.3410272969607</v>
      </c>
      <c r="Q895">
        <f t="shared" ca="1" si="281"/>
        <v>0.97361628905732966</v>
      </c>
      <c r="R895">
        <f t="shared" ca="1" si="282"/>
        <v>1.5509247353679845</v>
      </c>
      <c r="T895">
        <f t="shared" si="283"/>
        <v>0.99001179881136425</v>
      </c>
      <c r="U895" s="6">
        <f t="shared" ca="1" si="284"/>
        <v>1.146568748314964</v>
      </c>
      <c r="V895">
        <f t="shared" ca="1" si="285"/>
        <v>2.0817707087779835</v>
      </c>
      <c r="X895" t="b">
        <f t="shared" ca="1" si="286"/>
        <v>0</v>
      </c>
      <c r="BJ895" t="b">
        <f t="shared" si="267"/>
        <v>1</v>
      </c>
      <c r="BK895" t="b">
        <f t="shared" ca="1" si="268"/>
        <v>0</v>
      </c>
    </row>
    <row r="896" spans="1:63" x14ac:dyDescent="0.45">
      <c r="A896" s="1">
        <v>43938</v>
      </c>
      <c r="B896">
        <v>50.259300000000003</v>
      </c>
      <c r="C896" s="1">
        <v>43938</v>
      </c>
      <c r="D896">
        <v>286.64</v>
      </c>
      <c r="E896">
        <f t="shared" si="269"/>
        <v>1.1646373742721048E-2</v>
      </c>
      <c r="F896" s="4">
        <f t="shared" si="270"/>
        <v>2.7015406664277902E-2</v>
      </c>
      <c r="G896">
        <f t="shared" ca="1" si="271"/>
        <v>7.3526632548386976E-3</v>
      </c>
      <c r="H896">
        <f t="shared" ca="1" si="272"/>
        <v>5.0661753150682762E-2</v>
      </c>
      <c r="I896">
        <f t="shared" ca="1" si="273"/>
        <v>7.7884341458984352E-3</v>
      </c>
      <c r="J896">
        <f t="shared" ca="1" si="274"/>
        <v>4.592103653459767</v>
      </c>
      <c r="K896">
        <f t="shared" ca="1" si="275"/>
        <v>1.3771152774762871</v>
      </c>
      <c r="L896">
        <f t="shared" ca="1" si="276"/>
        <v>2.7840401500164584</v>
      </c>
      <c r="M896">
        <f t="shared" ca="1" si="277"/>
        <v>6.5693128654604178E-5</v>
      </c>
      <c r="N896">
        <f t="shared" ca="1" si="278"/>
        <v>2.1564418752909431E-2</v>
      </c>
      <c r="O896">
        <f t="shared" ca="1" si="279"/>
        <v>-0.50924012977208388</v>
      </c>
      <c r="P896">
        <f t="shared" ca="1" si="280"/>
        <v>8.4117343878375976</v>
      </c>
      <c r="Q896">
        <f t="shared" ca="1" si="281"/>
        <v>0.97361628905732966</v>
      </c>
      <c r="R896">
        <f t="shared" ca="1" si="282"/>
        <v>1.5999363108727533</v>
      </c>
      <c r="T896">
        <f t="shared" si="283"/>
        <v>1.011646373742721</v>
      </c>
      <c r="U896" s="6">
        <f t="shared" ca="1" si="284"/>
        <v>1.3156884816753924</v>
      </c>
      <c r="V896">
        <f t="shared" ca="1" si="285"/>
        <v>2.112947646936993</v>
      </c>
      <c r="X896" t="b">
        <f t="shared" ca="1" si="286"/>
        <v>0</v>
      </c>
      <c r="BJ896" t="b">
        <f t="shared" si="267"/>
        <v>1</v>
      </c>
      <c r="BK896" t="b">
        <f t="shared" ca="1" si="268"/>
        <v>0</v>
      </c>
    </row>
    <row r="897" spans="1:63" x14ac:dyDescent="0.45">
      <c r="A897" s="1">
        <v>43937</v>
      </c>
      <c r="B897">
        <v>49.680700000000002</v>
      </c>
      <c r="C897" s="1">
        <v>43937</v>
      </c>
      <c r="D897">
        <v>279.10000000000002</v>
      </c>
      <c r="E897">
        <f t="shared" si="269"/>
        <v>2.1074785275191084E-2</v>
      </c>
      <c r="F897" s="4">
        <f t="shared" si="270"/>
        <v>4.8243087557604831E-3</v>
      </c>
      <c r="G897">
        <f t="shared" ca="1" si="271"/>
        <v>7.2367544430360954E-3</v>
      </c>
      <c r="H897">
        <f t="shared" ca="1" si="272"/>
        <v>5.0678396218426895E-2</v>
      </c>
      <c r="I897">
        <f t="shared" ca="1" si="273"/>
        <v>1.4445641726316598E-2</v>
      </c>
      <c r="J897">
        <f t="shared" ca="1" si="274"/>
        <v>4.5822774813343843</v>
      </c>
      <c r="K897">
        <f t="shared" ca="1" si="275"/>
        <v>1.3771152774762871</v>
      </c>
      <c r="L897">
        <f t="shared" ca="1" si="276"/>
        <v>2.7316496282452025</v>
      </c>
      <c r="M897">
        <f t="shared" ca="1" si="277"/>
        <v>-5.6362190535689738E-5</v>
      </c>
      <c r="N897">
        <f t="shared" ca="1" si="278"/>
        <v>2.1480034583558363E-2</v>
      </c>
      <c r="O897">
        <f t="shared" ca="1" si="279"/>
        <v>-0.50806246763512009</v>
      </c>
      <c r="P897">
        <f t="shared" ca="1" si="280"/>
        <v>8.5680272847244865</v>
      </c>
      <c r="Q897">
        <f t="shared" ca="1" si="281"/>
        <v>0.97361628905732966</v>
      </c>
      <c r="R897">
        <f t="shared" ca="1" si="282"/>
        <v>1.5877505133146039</v>
      </c>
      <c r="T897">
        <f t="shared" si="283"/>
        <v>1.0210747852751911</v>
      </c>
      <c r="U897" s="6">
        <f t="shared" ca="1" si="284"/>
        <v>1.3577931253125914</v>
      </c>
      <c r="V897">
        <f t="shared" ca="1" si="285"/>
        <v>2.0981312405943422</v>
      </c>
      <c r="X897" t="b">
        <f t="shared" ca="1" si="286"/>
        <v>0</v>
      </c>
      <c r="BJ897" t="b">
        <f t="shared" si="267"/>
        <v>1</v>
      </c>
      <c r="BK897" t="b">
        <f t="shared" ca="1" si="268"/>
        <v>0</v>
      </c>
    </row>
    <row r="898" spans="1:63" x14ac:dyDescent="0.45">
      <c r="A898" s="1">
        <v>43936</v>
      </c>
      <c r="B898">
        <v>48.655299999999997</v>
      </c>
      <c r="C898" s="1">
        <v>43936</v>
      </c>
      <c r="D898">
        <v>277.76</v>
      </c>
      <c r="E898">
        <f t="shared" si="269"/>
        <v>2.8088154502810218E-2</v>
      </c>
      <c r="F898" s="4">
        <f t="shared" si="270"/>
        <v>-2.124810599386881E-2</v>
      </c>
      <c r="G898">
        <f t="shared" ca="1" si="271"/>
        <v>7.2144156975318422E-3</v>
      </c>
      <c r="H898">
        <f t="shared" ca="1" si="272"/>
        <v>5.0673250259950321E-2</v>
      </c>
      <c r="I898">
        <f t="shared" ca="1" si="273"/>
        <v>1.5714642789673359E-2</v>
      </c>
      <c r="J898">
        <f t="shared" ca="1" si="274"/>
        <v>4.5853808419014479</v>
      </c>
      <c r="K898">
        <f t="shared" ca="1" si="275"/>
        <v>1.3771152774762871</v>
      </c>
      <c r="L898">
        <f t="shared" ca="1" si="276"/>
        <v>2.7316496282452025</v>
      </c>
      <c r="M898">
        <f t="shared" ca="1" si="277"/>
        <v>-3.5091242846915063E-5</v>
      </c>
      <c r="N898">
        <f t="shared" ca="1" si="278"/>
        <v>2.1486997294378335E-2</v>
      </c>
      <c r="O898">
        <f t="shared" ca="1" si="279"/>
        <v>-0.51023802411767527</v>
      </c>
      <c r="P898">
        <f t="shared" ca="1" si="280"/>
        <v>8.5551919188171937</v>
      </c>
      <c r="Q898">
        <f t="shared" ca="1" si="281"/>
        <v>0.97361628905732966</v>
      </c>
      <c r="R898">
        <f t="shared" ca="1" si="282"/>
        <v>1.5999363108727533</v>
      </c>
      <c r="T898">
        <f t="shared" si="283"/>
        <v>1.0280881545028102</v>
      </c>
      <c r="U898" s="6">
        <f t="shared" ca="1" si="284"/>
        <v>1.3380331268064227</v>
      </c>
      <c r="V898">
        <f t="shared" ca="1" si="285"/>
        <v>2.2291870207963154</v>
      </c>
      <c r="X898" t="b">
        <f t="shared" ca="1" si="286"/>
        <v>0</v>
      </c>
      <c r="BJ898" t="b">
        <f t="shared" ref="BJ898:BJ961" si="287">ABS(W898-1)&gt;$S$21</f>
        <v>1</v>
      </c>
      <c r="BK898" t="b">
        <f t="shared" ref="BK898:BK961" ca="1" si="288">AND(X898,BJ898)</f>
        <v>0</v>
      </c>
    </row>
    <row r="899" spans="1:63" x14ac:dyDescent="0.45">
      <c r="A899" s="1">
        <v>43935</v>
      </c>
      <c r="B899">
        <v>47.326000000000001</v>
      </c>
      <c r="C899" s="1">
        <v>43935</v>
      </c>
      <c r="D899">
        <v>283.79000000000002</v>
      </c>
      <c r="E899">
        <f t="shared" ref="E899:E962" si="289">(B899-B900)/B900</f>
        <v>9.0543751022543126E-2</v>
      </c>
      <c r="F899" s="4">
        <f t="shared" ref="F899:F962" si="290">(D899-D900)/D900</f>
        <v>2.9492853515199865E-2</v>
      </c>
      <c r="G899">
        <f t="shared" ref="G899:G962" ca="1" si="291">AVERAGE(OFFSET(E899,0,0,$S$3,1))*$AK$25</f>
        <v>7.0878750327183814E-3</v>
      </c>
      <c r="H899">
        <f t="shared" ref="H899:H962" ca="1" si="292">STDEV(OFFSET(E899,0,0,$S$3,1))*$AJ$25</f>
        <v>5.0652457983856612E-2</v>
      </c>
      <c r="I899">
        <f t="shared" ref="I899:I962" ca="1" si="293">SKEW(OFFSET(E899,0,0,$S$3,1))*$AI$25</f>
        <v>2.2945726415122596E-2</v>
      </c>
      <c r="J899">
        <f t="shared" ref="J899:J962" ca="1" si="294">KURT(OFFSET(E899,0,0,$S$3,1))*$AH$25</f>
        <v>4.5979648581877246</v>
      </c>
      <c r="K899">
        <f t="shared" ref="K899:K962" ca="1" si="295">PERCENTILE(OFFSET(E899,0,0,$S$3,1), 0.95)/ABS(PERCENTILE(OFFSET(E899,0,0,$S$3,1), 0.05))*$AG$25</f>
        <v>1.3771152774762871</v>
      </c>
      <c r="L899">
        <f t="shared" ref="L899:L962" ca="1" si="296">PERCENTILE(OFFSET(E899,0,0,$S$3,1), 0.75)/ABS(PERCENTILE(OFFSET(E899,0,0,$S$3,1), 0.25))*$AF$25</f>
        <v>2.6065828462788545</v>
      </c>
      <c r="M899">
        <f t="shared" ref="M899:M962" ca="1" si="297">AVERAGE(OFFSET(F899,0,0,$S$3,1))*$AE$25</f>
        <v>9.6878275115568202E-5</v>
      </c>
      <c r="N899">
        <f t="shared" ref="N899:N962" ca="1" si="298">STDEV(OFFSET(F899,0,0,$S$3,1))*$AD$25</f>
        <v>2.1437051229358985E-2</v>
      </c>
      <c r="O899">
        <f t="shared" ref="O899:O962" ca="1" si="299">SKEW(OFFSET(F899,0,0,$S$3,1))*$AC$25</f>
        <v>-0.52747790135333661</v>
      </c>
      <c r="P899">
        <f t="shared" ref="P899:P962" ca="1" si="300">KURT(OFFSET(F899,0,0,$S$3,1))*$AB$25</f>
        <v>8.6717564917321361</v>
      </c>
      <c r="Q899">
        <f t="shared" ref="Q899:Q962" ca="1" si="301">PERCENTILE(OFFSET(F899,0,0,$S$3,1), 0.95)/ABS(PERCENTILE(OFFSET(F899,0,0,$S$3,1), 0.05))*$AA$25</f>
        <v>0.97361628905732966</v>
      </c>
      <c r="R899">
        <f t="shared" ref="R899:R962" ca="1" si="302">PERCENTILE(OFFSET(F899,0,0,$S$3,1), 0.75)/ABS(PERCENTILE(OFFSET(F899,0,0,$S$3,1), 0.25))*$Z$25</f>
        <v>1.6379626404723473</v>
      </c>
      <c r="T899">
        <f t="shared" ref="T899:T962" si="303">E899+1</f>
        <v>1.0905437510225431</v>
      </c>
      <c r="U899" s="6">
        <f t="shared" ref="U899:U962" ca="1" si="304">PRODUCT(OFFSET(T899,0,0,$S$6,1))</f>
        <v>1.3751162250116227</v>
      </c>
      <c r="V899">
        <f t="shared" ref="V899:V962" ca="1" si="305">OFFSET(G899,$S$6,0) * $AK$2+ OFFSET(H899,$S$6,0)  * $AJ$2 + OFFSET(I899,$S$6,0) * $AI$2 + OFFSET(J899,$S$6,0) * $AH$2 + OFFSET(K899,$S$6,0) * $AG$2 + OFFSET(L899,$S$6,0) * $AF$2 + OFFSET(M899,$S$6,0) * $AE$2 + OFFSET(N899,$S$6,0) * $AD$2 + OFFSET(O899,$S$6,0) * $AC$2 + OFFSET(P899,$S$6,0) * $AB$2 +  OFFSET(Q899,$S$6,0) * $AA$2 + OFFSET(R899,$S$6,0)  * $Z$2  + AL$2</f>
        <v>2.147196673476671</v>
      </c>
      <c r="X899" t="b">
        <f t="shared" ref="X899:X962" ca="1" si="306">OR(AND(U899&gt;1, W899&gt;1), AND(U899&lt;1, W899&lt;1))</f>
        <v>0</v>
      </c>
      <c r="BJ899" t="b">
        <f t="shared" si="287"/>
        <v>1</v>
      </c>
      <c r="BK899" t="b">
        <f t="shared" ca="1" si="288"/>
        <v>0</v>
      </c>
    </row>
    <row r="900" spans="1:63" x14ac:dyDescent="0.45">
      <c r="A900" s="1">
        <v>43934</v>
      </c>
      <c r="B900">
        <v>43.396700000000003</v>
      </c>
      <c r="C900" s="1">
        <v>43934</v>
      </c>
      <c r="D900">
        <v>275.66000000000003</v>
      </c>
      <c r="E900">
        <f t="shared" si="289"/>
        <v>0.13603926701570679</v>
      </c>
      <c r="F900" s="4">
        <f t="shared" si="290"/>
        <v>-9.1301222142342337E-3</v>
      </c>
      <c r="G900">
        <f t="shared" ca="1" si="291"/>
        <v>6.7165627627609513E-3</v>
      </c>
      <c r="H900">
        <f t="shared" ca="1" si="292"/>
        <v>5.0308629871597045E-2</v>
      </c>
      <c r="I900">
        <f t="shared" ca="1" si="293"/>
        <v>2.2644964575802826E-2</v>
      </c>
      <c r="J900">
        <f t="shared" ca="1" si="294"/>
        <v>4.7702090235281993</v>
      </c>
      <c r="K900">
        <f t="shared" ca="1" si="295"/>
        <v>1.1599355586014757</v>
      </c>
      <c r="L900">
        <f t="shared" ca="1" si="296"/>
        <v>2.5715836480704639</v>
      </c>
      <c r="M900">
        <f t="shared" ca="1" si="297"/>
        <v>-3.2856106413680085E-5</v>
      </c>
      <c r="N900">
        <f t="shared" ca="1" si="298"/>
        <v>2.1336534435037951E-2</v>
      </c>
      <c r="O900">
        <f t="shared" ca="1" si="299"/>
        <v>-0.52979492353072244</v>
      </c>
      <c r="P900">
        <f t="shared" ca="1" si="300"/>
        <v>8.8620959450712604</v>
      </c>
      <c r="Q900">
        <f t="shared" ca="1" si="301"/>
        <v>0.77336774266700292</v>
      </c>
      <c r="R900">
        <f t="shared" ca="1" si="302"/>
        <v>1.625487218163993</v>
      </c>
      <c r="T900">
        <f t="shared" si="303"/>
        <v>1.1360392670157067</v>
      </c>
      <c r="U900" s="6">
        <f t="shared" ca="1" si="304"/>
        <v>1.3561172099360326</v>
      </c>
      <c r="V900">
        <f t="shared" ca="1" si="305"/>
        <v>2.2810745732891515</v>
      </c>
      <c r="X900" t="b">
        <f t="shared" ca="1" si="306"/>
        <v>0</v>
      </c>
      <c r="BJ900" t="b">
        <f t="shared" si="287"/>
        <v>1</v>
      </c>
      <c r="BK900" t="b">
        <f t="shared" ca="1" si="288"/>
        <v>0</v>
      </c>
    </row>
    <row r="901" spans="1:63" x14ac:dyDescent="0.45">
      <c r="A901" s="1">
        <v>43930</v>
      </c>
      <c r="B901">
        <v>38.200000000000003</v>
      </c>
      <c r="C901" s="1">
        <v>43930</v>
      </c>
      <c r="D901">
        <v>278.2</v>
      </c>
      <c r="E901">
        <f t="shared" si="289"/>
        <v>4.402106626800735E-2</v>
      </c>
      <c r="F901" s="4">
        <f t="shared" si="290"/>
        <v>1.5217311973141686E-2</v>
      </c>
      <c r="G901">
        <f t="shared" ca="1" si="291"/>
        <v>6.0252065513625155E-3</v>
      </c>
      <c r="H901">
        <f t="shared" ca="1" si="292"/>
        <v>4.9465525759151419E-2</v>
      </c>
      <c r="I901">
        <f t="shared" ca="1" si="293"/>
        <v>-2.4555818684062206E-2</v>
      </c>
      <c r="J901">
        <f t="shared" ca="1" si="294"/>
        <v>5.0723027301449024</v>
      </c>
      <c r="K901">
        <f t="shared" ca="1" si="295"/>
        <v>1.1089194836697216</v>
      </c>
      <c r="L901">
        <f t="shared" ca="1" si="296"/>
        <v>2.5507274877334605</v>
      </c>
      <c r="M901">
        <f t="shared" ca="1" si="297"/>
        <v>7.8075738554556708E-6</v>
      </c>
      <c r="N901">
        <f t="shared" ca="1" si="298"/>
        <v>2.1326857109357132E-2</v>
      </c>
      <c r="O901">
        <f t="shared" ca="1" si="299"/>
        <v>-0.53590080476712543</v>
      </c>
      <c r="P901">
        <f t="shared" ca="1" si="300"/>
        <v>8.887700261368515</v>
      </c>
      <c r="Q901">
        <f t="shared" ca="1" si="301"/>
        <v>0.77336774266700292</v>
      </c>
      <c r="R901">
        <f t="shared" ca="1" si="302"/>
        <v>1.6917481955090274</v>
      </c>
      <c r="T901">
        <f t="shared" si="303"/>
        <v>1.0440210662680074</v>
      </c>
      <c r="U901" s="6">
        <f t="shared" ca="1" si="304"/>
        <v>1.2608092943428615</v>
      </c>
      <c r="V901">
        <f t="shared" ca="1" si="305"/>
        <v>2.2846410051284347</v>
      </c>
      <c r="X901" t="b">
        <f t="shared" ca="1" si="306"/>
        <v>0</v>
      </c>
      <c r="BJ901" t="b">
        <f t="shared" si="287"/>
        <v>1</v>
      </c>
      <c r="BK901" t="b">
        <f t="shared" ca="1" si="288"/>
        <v>0</v>
      </c>
    </row>
    <row r="902" spans="1:63" x14ac:dyDescent="0.45">
      <c r="A902" s="1">
        <v>43929</v>
      </c>
      <c r="B902">
        <v>36.589300000000001</v>
      </c>
      <c r="C902" s="1">
        <v>43929</v>
      </c>
      <c r="D902">
        <v>274.02999999999997</v>
      </c>
      <c r="E902">
        <f t="shared" si="289"/>
        <v>6.2150574892817501E-3</v>
      </c>
      <c r="F902" s="4">
        <f t="shared" si="290"/>
        <v>3.3568438124693463E-2</v>
      </c>
      <c r="G902">
        <f t="shared" ca="1" si="291"/>
        <v>5.7183768265231224E-3</v>
      </c>
      <c r="H902">
        <f t="shared" ca="1" si="292"/>
        <v>4.9418958384819266E-2</v>
      </c>
      <c r="I902">
        <f t="shared" ca="1" si="293"/>
        <v>-8.6544359310095822E-3</v>
      </c>
      <c r="J902">
        <f t="shared" ca="1" si="294"/>
        <v>5.1009361564328168</v>
      </c>
      <c r="K902">
        <f t="shared" ca="1" si="295"/>
        <v>1.1089194836697216</v>
      </c>
      <c r="L902">
        <f t="shared" ca="1" si="296"/>
        <v>2.4567458553455817</v>
      </c>
      <c r="M902">
        <f t="shared" ca="1" si="297"/>
        <v>-1.1731862638622345E-4</v>
      </c>
      <c r="N902">
        <f t="shared" ca="1" si="298"/>
        <v>2.131057966517487E-2</v>
      </c>
      <c r="O902">
        <f t="shared" ca="1" si="299"/>
        <v>-0.52167827962034985</v>
      </c>
      <c r="P902">
        <f t="shared" ca="1" si="300"/>
        <v>8.910377259711062</v>
      </c>
      <c r="Q902">
        <f t="shared" ca="1" si="301"/>
        <v>0.77336774266700292</v>
      </c>
      <c r="R902">
        <f t="shared" ca="1" si="302"/>
        <v>1.5749498641186002</v>
      </c>
      <c r="T902">
        <f t="shared" si="303"/>
        <v>1.0062150574892819</v>
      </c>
      <c r="U902" s="6">
        <f t="shared" ca="1" si="304"/>
        <v>1.1397115624221286</v>
      </c>
      <c r="V902">
        <f t="shared" ca="1" si="305"/>
        <v>2.3123117931047239</v>
      </c>
      <c r="X902" t="b">
        <f t="shared" ca="1" si="306"/>
        <v>0</v>
      </c>
      <c r="BJ902" t="b">
        <f t="shared" si="287"/>
        <v>1</v>
      </c>
      <c r="BK902" t="b">
        <f t="shared" ca="1" si="288"/>
        <v>0</v>
      </c>
    </row>
    <row r="903" spans="1:63" x14ac:dyDescent="0.45">
      <c r="A903" s="1">
        <v>43928</v>
      </c>
      <c r="B903">
        <v>36.363300000000002</v>
      </c>
      <c r="C903" s="1">
        <v>43928</v>
      </c>
      <c r="D903">
        <v>265.13</v>
      </c>
      <c r="E903">
        <f t="shared" si="289"/>
        <v>5.6581241283124299E-2</v>
      </c>
      <c r="F903" s="4">
        <f t="shared" si="290"/>
        <v>1.0194064788944415E-3</v>
      </c>
      <c r="G903">
        <f t="shared" ca="1" si="291"/>
        <v>5.7273943000684183E-3</v>
      </c>
      <c r="H903">
        <f t="shared" ca="1" si="292"/>
        <v>4.9419214010634704E-2</v>
      </c>
      <c r="I903">
        <f t="shared" ca="1" si="293"/>
        <v>-9.2067312863527914E-3</v>
      </c>
      <c r="J903">
        <f t="shared" ca="1" si="294"/>
        <v>5.1007742738817532</v>
      </c>
      <c r="K903">
        <f t="shared" ca="1" si="295"/>
        <v>1.1089194836697216</v>
      </c>
      <c r="L903">
        <f t="shared" ca="1" si="296"/>
        <v>2.4567458553455817</v>
      </c>
      <c r="M903">
        <f t="shared" ca="1" si="297"/>
        <v>-2.9128326598928256E-4</v>
      </c>
      <c r="N903">
        <f t="shared" ca="1" si="298"/>
        <v>2.1175797221876735E-2</v>
      </c>
      <c r="O903">
        <f t="shared" ca="1" si="299"/>
        <v>-0.52724155673445361</v>
      </c>
      <c r="P903">
        <f t="shared" ca="1" si="300"/>
        <v>9.1664368871658581</v>
      </c>
      <c r="Q903">
        <f t="shared" ca="1" si="301"/>
        <v>0.65011318005277163</v>
      </c>
      <c r="R903">
        <f t="shared" ca="1" si="302"/>
        <v>1.5099157972947737</v>
      </c>
      <c r="T903">
        <f t="shared" si="303"/>
        <v>1.0565812412831244</v>
      </c>
      <c r="U903" s="6">
        <f t="shared" ca="1" si="304"/>
        <v>1.0409351535640778</v>
      </c>
      <c r="V903">
        <f t="shared" ca="1" si="305"/>
        <v>2.3377201828616907</v>
      </c>
      <c r="X903" t="b">
        <f t="shared" ca="1" si="306"/>
        <v>0</v>
      </c>
      <c r="BJ903" t="b">
        <f t="shared" si="287"/>
        <v>1</v>
      </c>
      <c r="BK903" t="b">
        <f t="shared" ca="1" si="288"/>
        <v>0</v>
      </c>
    </row>
    <row r="904" spans="1:63" x14ac:dyDescent="0.45">
      <c r="A904" s="1">
        <v>43927</v>
      </c>
      <c r="B904">
        <v>34.415999999999997</v>
      </c>
      <c r="C904" s="1">
        <v>43927</v>
      </c>
      <c r="D904">
        <v>264.86</v>
      </c>
      <c r="E904">
        <f t="shared" si="289"/>
        <v>7.5476473952132139E-2</v>
      </c>
      <c r="F904" s="4">
        <f t="shared" si="290"/>
        <v>6.7166283895402787E-2</v>
      </c>
      <c r="G904">
        <f t="shared" ca="1" si="291"/>
        <v>5.4955081533469485E-3</v>
      </c>
      <c r="H904">
        <f t="shared" ca="1" si="292"/>
        <v>4.9288029272706785E-2</v>
      </c>
      <c r="I904">
        <f t="shared" ca="1" si="293"/>
        <v>-5.9499779719627351E-4</v>
      </c>
      <c r="J904">
        <f t="shared" ca="1" si="294"/>
        <v>5.1818352163843615</v>
      </c>
      <c r="K904">
        <f t="shared" ca="1" si="295"/>
        <v>1.1089194836697216</v>
      </c>
      <c r="L904">
        <f t="shared" ca="1" si="296"/>
        <v>2.2241950587049582</v>
      </c>
      <c r="M904">
        <f t="shared" ca="1" si="297"/>
        <v>-3.2781408463400841E-4</v>
      </c>
      <c r="N904">
        <f t="shared" ca="1" si="298"/>
        <v>2.1179826386770056E-2</v>
      </c>
      <c r="O904">
        <f t="shared" ca="1" si="299"/>
        <v>-0.52183040203437547</v>
      </c>
      <c r="P904">
        <f t="shared" ca="1" si="300"/>
        <v>9.1534882241966855</v>
      </c>
      <c r="Q904">
        <f t="shared" ca="1" si="301"/>
        <v>0.65011318005277163</v>
      </c>
      <c r="R904">
        <f t="shared" ca="1" si="302"/>
        <v>1.4748621554369792</v>
      </c>
      <c r="T904">
        <f t="shared" si="303"/>
        <v>1.0754764739521321</v>
      </c>
      <c r="U904" s="6">
        <f t="shared" ca="1" si="304"/>
        <v>1.0281013164930561</v>
      </c>
      <c r="V904">
        <f t="shared" ca="1" si="305"/>
        <v>2.3491331014439503</v>
      </c>
      <c r="X904" t="b">
        <f t="shared" ca="1" si="306"/>
        <v>0</v>
      </c>
      <c r="BJ904" t="b">
        <f t="shared" si="287"/>
        <v>1</v>
      </c>
      <c r="BK904" t="b">
        <f t="shared" ca="1" si="288"/>
        <v>0</v>
      </c>
    </row>
    <row r="905" spans="1:63" x14ac:dyDescent="0.45">
      <c r="A905" s="1">
        <v>43924</v>
      </c>
      <c r="B905">
        <v>32.000700000000002</v>
      </c>
      <c r="C905" s="1">
        <v>43924</v>
      </c>
      <c r="D905">
        <v>248.19</v>
      </c>
      <c r="E905">
        <f t="shared" si="289"/>
        <v>5.6198428939204029E-2</v>
      </c>
      <c r="F905" s="4">
        <f t="shared" si="290"/>
        <v>-1.445419529047379E-2</v>
      </c>
      <c r="G905">
        <f t="shared" ca="1" si="291"/>
        <v>4.9677478513822197E-3</v>
      </c>
      <c r="H905">
        <f t="shared" ca="1" si="292"/>
        <v>4.90996789997123E-2</v>
      </c>
      <c r="I905">
        <f t="shared" ca="1" si="293"/>
        <v>1.5344765950599528E-2</v>
      </c>
      <c r="J905">
        <f t="shared" ca="1" si="294"/>
        <v>5.2888236542088025</v>
      </c>
      <c r="K905">
        <f t="shared" ca="1" si="295"/>
        <v>1.0915924682850116</v>
      </c>
      <c r="L905">
        <f t="shared" ca="1" si="296"/>
        <v>2.0098762733924636</v>
      </c>
      <c r="M905">
        <f t="shared" ca="1" si="297"/>
        <v>-6.158737167637206E-4</v>
      </c>
      <c r="N905">
        <f t="shared" ca="1" si="298"/>
        <v>2.0642205933100784E-2</v>
      </c>
      <c r="O905">
        <f t="shared" ca="1" si="299"/>
        <v>-0.69826271065284351</v>
      </c>
      <c r="P905">
        <f t="shared" ca="1" si="300"/>
        <v>9.8422667299017483</v>
      </c>
      <c r="Q905">
        <f t="shared" ca="1" si="301"/>
        <v>0.51749250032491778</v>
      </c>
      <c r="R905">
        <f t="shared" ca="1" si="302"/>
        <v>1.4748621554369792</v>
      </c>
      <c r="T905">
        <f t="shared" si="303"/>
        <v>1.0561984289392041</v>
      </c>
      <c r="U905" s="6">
        <f t="shared" ca="1" si="304"/>
        <v>0.93321804454268931</v>
      </c>
      <c r="V905">
        <f t="shared" ca="1" si="305"/>
        <v>2.4110906317792113</v>
      </c>
      <c r="X905" t="b">
        <f t="shared" ca="1" si="306"/>
        <v>1</v>
      </c>
      <c r="BJ905" t="b">
        <f t="shared" si="287"/>
        <v>1</v>
      </c>
      <c r="BK905" t="b">
        <f t="shared" ca="1" si="288"/>
        <v>1</v>
      </c>
    </row>
    <row r="906" spans="1:63" x14ac:dyDescent="0.45">
      <c r="A906" s="1">
        <v>43923</v>
      </c>
      <c r="B906">
        <v>30.297999999999998</v>
      </c>
      <c r="C906" s="1">
        <v>43923</v>
      </c>
      <c r="D906">
        <v>251.83</v>
      </c>
      <c r="E906">
        <f t="shared" si="289"/>
        <v>-5.6254672314976356E-2</v>
      </c>
      <c r="F906" s="4">
        <f t="shared" si="290"/>
        <v>2.307536055250866E-2</v>
      </c>
      <c r="G906">
        <f t="shared" ca="1" si="291"/>
        <v>4.7243323784476347E-3</v>
      </c>
      <c r="H906">
        <f t="shared" ca="1" si="292"/>
        <v>4.8964912798667826E-2</v>
      </c>
      <c r="I906">
        <f t="shared" ca="1" si="293"/>
        <v>2.4723338304565835E-2</v>
      </c>
      <c r="J906">
        <f t="shared" ca="1" si="294"/>
        <v>5.3751030110317233</v>
      </c>
      <c r="K906">
        <f t="shared" ca="1" si="295"/>
        <v>1.0915924682850116</v>
      </c>
      <c r="L906">
        <f t="shared" ca="1" si="296"/>
        <v>1.9745873074760083</v>
      </c>
      <c r="M906">
        <f t="shared" ca="1" si="297"/>
        <v>-5.323168305986295E-4</v>
      </c>
      <c r="N906">
        <f t="shared" ca="1" si="298"/>
        <v>2.0619719235073972E-2</v>
      </c>
      <c r="O906">
        <f t="shared" ca="1" si="299"/>
        <v>-0.71128132258404353</v>
      </c>
      <c r="P906">
        <f t="shared" ca="1" si="300"/>
        <v>9.9091917152532574</v>
      </c>
      <c r="Q906">
        <f t="shared" ca="1" si="301"/>
        <v>0.51749250032491778</v>
      </c>
      <c r="R906">
        <f t="shared" ca="1" si="302"/>
        <v>1.5099157972947737</v>
      </c>
      <c r="T906">
        <f t="shared" si="303"/>
        <v>0.94374532768502362</v>
      </c>
      <c r="U906" s="6">
        <f t="shared" ca="1" si="304"/>
        <v>0.8604770708903825</v>
      </c>
      <c r="V906">
        <f t="shared" ca="1" si="305"/>
        <v>2.4515761488523768</v>
      </c>
      <c r="X906" t="b">
        <f t="shared" ca="1" si="306"/>
        <v>1</v>
      </c>
      <c r="BJ906" t="b">
        <f t="shared" si="287"/>
        <v>1</v>
      </c>
      <c r="BK906" t="b">
        <f t="shared" ca="1" si="288"/>
        <v>1</v>
      </c>
    </row>
    <row r="907" spans="1:63" x14ac:dyDescent="0.45">
      <c r="A907" s="1">
        <v>43922</v>
      </c>
      <c r="B907">
        <v>32.103999999999999</v>
      </c>
      <c r="C907" s="1">
        <v>43922</v>
      </c>
      <c r="D907">
        <v>246.15</v>
      </c>
      <c r="E907">
        <f t="shared" si="289"/>
        <v>-8.0991489495696178E-2</v>
      </c>
      <c r="F907" s="4">
        <f t="shared" si="290"/>
        <v>-4.5004849660523739E-2</v>
      </c>
      <c r="G907">
        <f t="shared" ca="1" si="291"/>
        <v>4.999173264352604E-3</v>
      </c>
      <c r="H907">
        <f t="shared" ca="1" si="292"/>
        <v>4.8774816279789586E-2</v>
      </c>
      <c r="I907">
        <f t="shared" ca="1" si="293"/>
        <v>1.7847375176824932E-2</v>
      </c>
      <c r="J907">
        <f t="shared" ca="1" si="294"/>
        <v>5.4938932677204706</v>
      </c>
      <c r="K907">
        <f t="shared" ca="1" si="295"/>
        <v>1.0915924682850116</v>
      </c>
      <c r="L907">
        <f t="shared" ca="1" si="296"/>
        <v>2.0440413860616555</v>
      </c>
      <c r="M907">
        <f t="shared" ca="1" si="297"/>
        <v>-5.9533851707406667E-4</v>
      </c>
      <c r="N907">
        <f t="shared" ca="1" si="298"/>
        <v>2.0566395501438597E-2</v>
      </c>
      <c r="O907">
        <f t="shared" ca="1" si="299"/>
        <v>-0.71444218305377205</v>
      </c>
      <c r="P907">
        <f t="shared" ca="1" si="300"/>
        <v>10.026511611087493</v>
      </c>
      <c r="Q907">
        <f t="shared" ca="1" si="301"/>
        <v>0.50112220678341202</v>
      </c>
      <c r="R907">
        <f t="shared" ca="1" si="302"/>
        <v>1.5099157972947737</v>
      </c>
      <c r="T907">
        <f t="shared" si="303"/>
        <v>0.91900851050430377</v>
      </c>
      <c r="U907" s="6">
        <f t="shared" ca="1" si="304"/>
        <v>0.89301808066759358</v>
      </c>
      <c r="V907">
        <f t="shared" ca="1" si="305"/>
        <v>2.5602104819408438</v>
      </c>
      <c r="X907" t="b">
        <f t="shared" ca="1" si="306"/>
        <v>1</v>
      </c>
      <c r="BJ907" t="b">
        <f t="shared" si="287"/>
        <v>1</v>
      </c>
      <c r="BK907" t="b">
        <f t="shared" ca="1" si="288"/>
        <v>1</v>
      </c>
    </row>
    <row r="908" spans="1:63" x14ac:dyDescent="0.45">
      <c r="A908" s="1">
        <v>43921</v>
      </c>
      <c r="B908">
        <v>34.933300000000003</v>
      </c>
      <c r="C908" s="1">
        <v>43921</v>
      </c>
      <c r="D908">
        <v>257.75</v>
      </c>
      <c r="E908">
        <f t="shared" si="289"/>
        <v>4.3554501378628589E-2</v>
      </c>
      <c r="F908" s="4">
        <f t="shared" si="290"/>
        <v>-1.4905407987769835E-2</v>
      </c>
      <c r="G908">
        <f t="shared" ca="1" si="291"/>
        <v>5.6393345085926742E-3</v>
      </c>
      <c r="H908">
        <f t="shared" ca="1" si="292"/>
        <v>4.847984078356031E-2</v>
      </c>
      <c r="I908">
        <f t="shared" ca="1" si="293"/>
        <v>9.7946679742252872E-3</v>
      </c>
      <c r="J908">
        <f t="shared" ca="1" si="294"/>
        <v>5.6536960373356857</v>
      </c>
      <c r="K908">
        <f t="shared" ca="1" si="295"/>
        <v>1.1677621265599765</v>
      </c>
      <c r="L908">
        <f t="shared" ca="1" si="296"/>
        <v>2.0877793979658108</v>
      </c>
      <c r="M908">
        <f t="shared" ca="1" si="297"/>
        <v>-3.6841286518989497E-4</v>
      </c>
      <c r="N908">
        <f t="shared" ca="1" si="298"/>
        <v>2.032287077896321E-2</v>
      </c>
      <c r="O908">
        <f t="shared" ca="1" si="299"/>
        <v>-0.72130702946533032</v>
      </c>
      <c r="P908">
        <f t="shared" ca="1" si="300"/>
        <v>10.578445070166474</v>
      </c>
      <c r="Q908">
        <f t="shared" ca="1" si="301"/>
        <v>0.50713002690115039</v>
      </c>
      <c r="R908">
        <f t="shared" ca="1" si="302"/>
        <v>1.5714656485144372</v>
      </c>
      <c r="T908">
        <f t="shared" si="303"/>
        <v>1.0435545013786285</v>
      </c>
      <c r="U908" s="6">
        <f t="shared" ca="1" si="304"/>
        <v>1.0376217449289653</v>
      </c>
      <c r="V908">
        <f t="shared" ca="1" si="305"/>
        <v>2.5872965061886317</v>
      </c>
      <c r="X908" t="b">
        <f t="shared" ca="1" si="306"/>
        <v>0</v>
      </c>
      <c r="BJ908" t="b">
        <f t="shared" si="287"/>
        <v>1</v>
      </c>
      <c r="BK908" t="b">
        <f t="shared" ca="1" si="288"/>
        <v>0</v>
      </c>
    </row>
    <row r="909" spans="1:63" x14ac:dyDescent="0.45">
      <c r="A909" s="1">
        <v>43920</v>
      </c>
      <c r="B909">
        <v>33.475299999999997</v>
      </c>
      <c r="C909" s="1">
        <v>43920</v>
      </c>
      <c r="D909">
        <v>261.64999999999998</v>
      </c>
      <c r="E909">
        <f t="shared" si="289"/>
        <v>-2.3779042130956902E-2</v>
      </c>
      <c r="F909" s="4">
        <f t="shared" si="290"/>
        <v>3.2475731986425657E-2</v>
      </c>
      <c r="G909">
        <f t="shared" ca="1" si="291"/>
        <v>5.4451583188508627E-3</v>
      </c>
      <c r="H909">
        <f t="shared" ca="1" si="292"/>
        <v>4.8404931602803562E-2</v>
      </c>
      <c r="I909">
        <f t="shared" ca="1" si="293"/>
        <v>1.9556897634375459E-2</v>
      </c>
      <c r="J909">
        <f t="shared" ca="1" si="294"/>
        <v>5.7059437732021197</v>
      </c>
      <c r="K909">
        <f t="shared" ca="1" si="295"/>
        <v>1.1677621265599765</v>
      </c>
      <c r="L909">
        <f t="shared" ca="1" si="296"/>
        <v>2.0511226261081403</v>
      </c>
      <c r="M909">
        <f t="shared" ca="1" si="297"/>
        <v>-2.9941106870708562E-4</v>
      </c>
      <c r="N909">
        <f t="shared" ca="1" si="298"/>
        <v>2.0296676760751007E-2</v>
      </c>
      <c r="O909">
        <f t="shared" ca="1" si="299"/>
        <v>-0.73254065781930666</v>
      </c>
      <c r="P909">
        <f t="shared" ca="1" si="300"/>
        <v>10.657642136443581</v>
      </c>
      <c r="Q909">
        <f t="shared" ca="1" si="301"/>
        <v>0.50713002690115039</v>
      </c>
      <c r="R909">
        <f t="shared" ca="1" si="302"/>
        <v>1.6547458851297596</v>
      </c>
      <c r="T909">
        <f t="shared" si="303"/>
        <v>0.97622095786904306</v>
      </c>
      <c r="U909" s="6">
        <f t="shared" ca="1" si="304"/>
        <v>1.1562065023296617</v>
      </c>
      <c r="V909">
        <f t="shared" ca="1" si="305"/>
        <v>2.606596235167455</v>
      </c>
      <c r="X909" t="b">
        <f t="shared" ca="1" si="306"/>
        <v>0</v>
      </c>
      <c r="BJ909" t="b">
        <f t="shared" si="287"/>
        <v>1</v>
      </c>
      <c r="BK909" t="b">
        <f t="shared" ca="1" si="288"/>
        <v>0</v>
      </c>
    </row>
    <row r="910" spans="1:63" x14ac:dyDescent="0.45">
      <c r="A910" s="1">
        <v>43917</v>
      </c>
      <c r="B910">
        <v>34.290700000000001</v>
      </c>
      <c r="C910" s="1">
        <v>43917</v>
      </c>
      <c r="D910">
        <v>253.42</v>
      </c>
      <c r="E910">
        <f t="shared" si="289"/>
        <v>-2.6128421190149631E-2</v>
      </c>
      <c r="F910" s="4">
        <f t="shared" si="290"/>
        <v>-2.9785604900459423E-2</v>
      </c>
      <c r="G910">
        <f t="shared" ca="1" si="291"/>
        <v>5.6751590654285748E-3</v>
      </c>
      <c r="H910">
        <f t="shared" ca="1" si="292"/>
        <v>4.8374649793737151E-2</v>
      </c>
      <c r="I910">
        <f t="shared" ca="1" si="293"/>
        <v>6.5165888911564614E-3</v>
      </c>
      <c r="J910">
        <f t="shared" ca="1" si="294"/>
        <v>5.7269969472423741</v>
      </c>
      <c r="K910">
        <f t="shared" ca="1" si="295"/>
        <v>1.1677621265599765</v>
      </c>
      <c r="L910">
        <f t="shared" ca="1" si="296"/>
        <v>2.1278210822549384</v>
      </c>
      <c r="M910">
        <f t="shared" ca="1" si="297"/>
        <v>-4.411579452902769E-4</v>
      </c>
      <c r="N910">
        <f t="shared" ca="1" si="298"/>
        <v>2.0165199811105254E-2</v>
      </c>
      <c r="O910">
        <f t="shared" ca="1" si="299"/>
        <v>-0.7474019406441107</v>
      </c>
      <c r="P910">
        <f t="shared" ca="1" si="300"/>
        <v>10.96066011536962</v>
      </c>
      <c r="Q910">
        <f t="shared" ca="1" si="301"/>
        <v>0.49805372557628846</v>
      </c>
      <c r="R910">
        <f t="shared" ca="1" si="302"/>
        <v>1.5858481224146923</v>
      </c>
      <c r="T910">
        <f t="shared" si="303"/>
        <v>0.97387157880985042</v>
      </c>
      <c r="U910" s="6">
        <f t="shared" ca="1" si="304"/>
        <v>1.2030980282085471</v>
      </c>
      <c r="V910">
        <f t="shared" ca="1" si="305"/>
        <v>2.6459068576835696</v>
      </c>
      <c r="X910" t="b">
        <f t="shared" ca="1" si="306"/>
        <v>0</v>
      </c>
      <c r="BJ910" t="b">
        <f t="shared" si="287"/>
        <v>1</v>
      </c>
      <c r="BK910" t="b">
        <f t="shared" ca="1" si="288"/>
        <v>0</v>
      </c>
    </row>
    <row r="911" spans="1:63" x14ac:dyDescent="0.45">
      <c r="A911" s="1">
        <v>43916</v>
      </c>
      <c r="B911">
        <v>35.210700000000003</v>
      </c>
      <c r="C911" s="1">
        <v>43916</v>
      </c>
      <c r="D911">
        <v>261.2</v>
      </c>
      <c r="E911">
        <f t="shared" si="289"/>
        <v>-2.0564673157162726E-2</v>
      </c>
      <c r="F911" s="4">
        <f t="shared" si="290"/>
        <v>5.8389724056890462E-2</v>
      </c>
      <c r="G911">
        <f t="shared" ca="1" si="291"/>
        <v>5.6252618334259909E-3</v>
      </c>
      <c r="H911">
        <f t="shared" ca="1" si="292"/>
        <v>4.8412751001306945E-2</v>
      </c>
      <c r="I911">
        <f t="shared" ca="1" si="293"/>
        <v>7.8003233854510995E-3</v>
      </c>
      <c r="J911">
        <f t="shared" ca="1" si="294"/>
        <v>5.7013477888559061</v>
      </c>
      <c r="K911">
        <f t="shared" ca="1" si="295"/>
        <v>1.1677621265599765</v>
      </c>
      <c r="L911">
        <f t="shared" ca="1" si="296"/>
        <v>2.1278210822549384</v>
      </c>
      <c r="M911">
        <f t="shared" ca="1" si="297"/>
        <v>-3.0105650438091823E-4</v>
      </c>
      <c r="N911">
        <f t="shared" ca="1" si="298"/>
        <v>2.0057349001865111E-2</v>
      </c>
      <c r="O911">
        <f t="shared" ca="1" si="299"/>
        <v>-0.76479679638061782</v>
      </c>
      <c r="P911">
        <f t="shared" ca="1" si="300"/>
        <v>11.262129005177222</v>
      </c>
      <c r="Q911">
        <f t="shared" ca="1" si="301"/>
        <v>0.49805372557628846</v>
      </c>
      <c r="R911">
        <f t="shared" ca="1" si="302"/>
        <v>1.6109822732052475</v>
      </c>
      <c r="T911">
        <f t="shared" si="303"/>
        <v>0.97943532684283729</v>
      </c>
      <c r="U911" s="6">
        <f t="shared" ca="1" si="304"/>
        <v>1.2350601382706698</v>
      </c>
      <c r="V911">
        <f t="shared" ca="1" si="305"/>
        <v>2.7692876316568289</v>
      </c>
      <c r="X911" t="b">
        <f t="shared" ca="1" si="306"/>
        <v>0</v>
      </c>
      <c r="BJ911" t="b">
        <f t="shared" si="287"/>
        <v>1</v>
      </c>
      <c r="BK911" t="b">
        <f t="shared" ca="1" si="288"/>
        <v>0</v>
      </c>
    </row>
    <row r="912" spans="1:63" x14ac:dyDescent="0.45">
      <c r="A912" s="1">
        <v>43915</v>
      </c>
      <c r="B912">
        <v>35.950000000000003</v>
      </c>
      <c r="C912" s="1">
        <v>43915</v>
      </c>
      <c r="D912">
        <v>246.79</v>
      </c>
      <c r="E912">
        <f t="shared" si="289"/>
        <v>6.7820724929975443E-2</v>
      </c>
      <c r="F912" s="4">
        <f t="shared" si="290"/>
        <v>1.4970183014599984E-2</v>
      </c>
      <c r="G912">
        <f t="shared" ca="1" si="291"/>
        <v>5.827190328862311E-3</v>
      </c>
      <c r="H912">
        <f t="shared" ca="1" si="292"/>
        <v>4.8387181607702417E-2</v>
      </c>
      <c r="I912">
        <f t="shared" ca="1" si="293"/>
        <v>-3.9003428778888022E-3</v>
      </c>
      <c r="J912">
        <f t="shared" ca="1" si="294"/>
        <v>5.719404121608604</v>
      </c>
      <c r="K912">
        <f t="shared" ca="1" si="295"/>
        <v>1.1677621265599765</v>
      </c>
      <c r="L912">
        <f t="shared" ca="1" si="296"/>
        <v>2.1668735233842851</v>
      </c>
      <c r="M912">
        <f t="shared" ca="1" si="297"/>
        <v>-5.9421632305966783E-4</v>
      </c>
      <c r="N912">
        <f t="shared" ca="1" si="298"/>
        <v>1.9618901734485387E-2</v>
      </c>
      <c r="O912">
        <f t="shared" ca="1" si="299"/>
        <v>-0.90783546181130148</v>
      </c>
      <c r="P912">
        <f t="shared" ca="1" si="300"/>
        <v>12.113141000052025</v>
      </c>
      <c r="Q912">
        <f t="shared" ca="1" si="301"/>
        <v>0.49080702239118518</v>
      </c>
      <c r="R912">
        <f t="shared" ca="1" si="302"/>
        <v>1.5375585242551033</v>
      </c>
      <c r="T912">
        <f t="shared" si="303"/>
        <v>1.0678207249299754</v>
      </c>
      <c r="U912" s="6">
        <f t="shared" ca="1" si="304"/>
        <v>1.4928596047555578</v>
      </c>
      <c r="V912">
        <f t="shared" ca="1" si="305"/>
        <v>2.7926107109686042</v>
      </c>
      <c r="X912" t="b">
        <f t="shared" ca="1" si="306"/>
        <v>0</v>
      </c>
      <c r="BJ912" t="b">
        <f t="shared" si="287"/>
        <v>1</v>
      </c>
      <c r="BK912" t="b">
        <f t="shared" ca="1" si="288"/>
        <v>0</v>
      </c>
    </row>
    <row r="913" spans="1:63" x14ac:dyDescent="0.45">
      <c r="A913" s="1">
        <v>43914</v>
      </c>
      <c r="B913">
        <v>33.666699999999999</v>
      </c>
      <c r="C913" s="1">
        <v>43914</v>
      </c>
      <c r="D913">
        <v>243.15</v>
      </c>
      <c r="E913">
        <f t="shared" si="289"/>
        <v>0.16281728474373716</v>
      </c>
      <c r="F913" s="4">
        <f t="shared" si="290"/>
        <v>9.060327427674375E-2</v>
      </c>
      <c r="G913">
        <f t="shared" ca="1" si="291"/>
        <v>5.6929894056860289E-3</v>
      </c>
      <c r="H913">
        <f t="shared" ca="1" si="292"/>
        <v>4.8251409599913406E-2</v>
      </c>
      <c r="I913">
        <f t="shared" ca="1" si="293"/>
        <v>-4.3075463278828881E-3</v>
      </c>
      <c r="J913">
        <f t="shared" ca="1" si="294"/>
        <v>5.8057269581242297</v>
      </c>
      <c r="K913">
        <f t="shared" ca="1" si="295"/>
        <v>1.1677621265599765</v>
      </c>
      <c r="L913">
        <f t="shared" ca="1" si="296"/>
        <v>2.1668735233842851</v>
      </c>
      <c r="M913">
        <f t="shared" ca="1" si="297"/>
        <v>-6.4612268746345081E-4</v>
      </c>
      <c r="N913">
        <f t="shared" ca="1" si="298"/>
        <v>1.9591229086548648E-2</v>
      </c>
      <c r="O913">
        <f t="shared" ca="1" si="299"/>
        <v>-0.90611035816806462</v>
      </c>
      <c r="P913">
        <f t="shared" ca="1" si="300"/>
        <v>12.187091571994351</v>
      </c>
      <c r="Q913">
        <f t="shared" ca="1" si="301"/>
        <v>0.46733481624175249</v>
      </c>
      <c r="R913">
        <f t="shared" ca="1" si="302"/>
        <v>1.4567638146628537</v>
      </c>
      <c r="T913">
        <f t="shared" si="303"/>
        <v>1.1628172847437372</v>
      </c>
      <c r="U913" s="6">
        <f t="shared" ca="1" si="304"/>
        <v>1.1738737796373782</v>
      </c>
      <c r="V913">
        <f t="shared" ca="1" si="305"/>
        <v>2.7495534938677304</v>
      </c>
      <c r="X913" t="b">
        <f t="shared" ca="1" si="306"/>
        <v>0</v>
      </c>
      <c r="BJ913" t="b">
        <f t="shared" si="287"/>
        <v>1</v>
      </c>
      <c r="BK913" t="b">
        <f t="shared" ca="1" si="288"/>
        <v>0</v>
      </c>
    </row>
    <row r="914" spans="1:63" x14ac:dyDescent="0.45">
      <c r="A914" s="1">
        <v>43913</v>
      </c>
      <c r="B914">
        <v>28.9527</v>
      </c>
      <c r="C914" s="1">
        <v>43913</v>
      </c>
      <c r="D914">
        <v>222.95</v>
      </c>
      <c r="E914">
        <f t="shared" si="289"/>
        <v>1.5812925408743288E-2</v>
      </c>
      <c r="F914" s="4">
        <f t="shared" si="290"/>
        <v>-2.5568181818181917E-2</v>
      </c>
      <c r="G914">
        <f t="shared" ca="1" si="291"/>
        <v>4.843688123992107E-3</v>
      </c>
      <c r="H914">
        <f t="shared" ca="1" si="292"/>
        <v>4.6949208369127374E-2</v>
      </c>
      <c r="I914">
        <f t="shared" ca="1" si="293"/>
        <v>-0.14021791812024365</v>
      </c>
      <c r="J914">
        <f t="shared" ca="1" si="294"/>
        <v>6.1673467591666293</v>
      </c>
      <c r="K914">
        <f t="shared" ca="1" si="295"/>
        <v>1.1185262253984543</v>
      </c>
      <c r="L914">
        <f t="shared" ca="1" si="296"/>
        <v>2.1310802030034419</v>
      </c>
      <c r="M914">
        <f t="shared" ca="1" si="297"/>
        <v>-1.0491039464876198E-3</v>
      </c>
      <c r="N914">
        <f t="shared" ca="1" si="298"/>
        <v>1.8503563889185764E-2</v>
      </c>
      <c r="O914">
        <f t="shared" ca="1" si="299"/>
        <v>-1.6172445938714408</v>
      </c>
      <c r="P914">
        <f t="shared" ca="1" si="300"/>
        <v>12.888021378043899</v>
      </c>
      <c r="Q914">
        <f t="shared" ca="1" si="301"/>
        <v>0.45061849212283922</v>
      </c>
      <c r="R914">
        <f t="shared" ca="1" si="302"/>
        <v>1.4567638146628537</v>
      </c>
      <c r="T914">
        <f t="shared" si="303"/>
        <v>1.0158129254087434</v>
      </c>
      <c r="U914" s="6">
        <f t="shared" ca="1" si="304"/>
        <v>0.97578131055936235</v>
      </c>
      <c r="V914">
        <f t="shared" ca="1" si="305"/>
        <v>2.8444125532953697</v>
      </c>
      <c r="X914" t="b">
        <f t="shared" ca="1" si="306"/>
        <v>1</v>
      </c>
      <c r="BJ914" t="b">
        <f t="shared" si="287"/>
        <v>1</v>
      </c>
      <c r="BK914" t="b">
        <f t="shared" ca="1" si="288"/>
        <v>1</v>
      </c>
    </row>
    <row r="915" spans="1:63" x14ac:dyDescent="0.45">
      <c r="A915" s="1">
        <v>43910</v>
      </c>
      <c r="B915">
        <v>28.501999999999999</v>
      </c>
      <c r="C915" s="1">
        <v>43910</v>
      </c>
      <c r="D915">
        <v>228.8</v>
      </c>
      <c r="E915">
        <f t="shared" si="289"/>
        <v>-2.5605679550184501E-4</v>
      </c>
      <c r="F915" s="4">
        <f t="shared" si="290"/>
        <v>-4.8688204232672158E-2</v>
      </c>
      <c r="G915">
        <f t="shared" ca="1" si="291"/>
        <v>5.0026824012670236E-3</v>
      </c>
      <c r="H915">
        <f t="shared" ca="1" si="292"/>
        <v>4.7040297857663588E-2</v>
      </c>
      <c r="I915">
        <f t="shared" ca="1" si="293"/>
        <v>-0.14589692894414455</v>
      </c>
      <c r="J915">
        <f t="shared" ca="1" si="294"/>
        <v>6.1016574729728239</v>
      </c>
      <c r="K915">
        <f t="shared" ca="1" si="295"/>
        <v>1.1185262253984543</v>
      </c>
      <c r="L915">
        <f t="shared" ca="1" si="296"/>
        <v>2.1668735233842851</v>
      </c>
      <c r="M915">
        <f t="shared" ca="1" si="297"/>
        <v>-8.8874960793671538E-4</v>
      </c>
      <c r="N915">
        <f t="shared" ca="1" si="298"/>
        <v>1.8428824796268794E-2</v>
      </c>
      <c r="O915">
        <f t="shared" ca="1" si="299"/>
        <v>-1.6510653784530567</v>
      </c>
      <c r="P915">
        <f t="shared" ca="1" si="300"/>
        <v>13.190161420638333</v>
      </c>
      <c r="Q915">
        <f t="shared" ca="1" si="301"/>
        <v>0.45061849212283922</v>
      </c>
      <c r="R915">
        <f t="shared" ca="1" si="302"/>
        <v>1.5481280078859982</v>
      </c>
      <c r="T915">
        <f t="shared" si="303"/>
        <v>0.99974394320449811</v>
      </c>
      <c r="U915" s="6">
        <f t="shared" ca="1" si="304"/>
        <v>0.78213455612176297</v>
      </c>
      <c r="V915">
        <f t="shared" ca="1" si="305"/>
        <v>2.711882499454183</v>
      </c>
      <c r="X915" t="b">
        <f t="shared" ca="1" si="306"/>
        <v>1</v>
      </c>
      <c r="BJ915" t="b">
        <f t="shared" si="287"/>
        <v>1</v>
      </c>
      <c r="BK915" t="b">
        <f t="shared" ca="1" si="288"/>
        <v>1</v>
      </c>
    </row>
    <row r="916" spans="1:63" x14ac:dyDescent="0.45">
      <c r="A916" s="1">
        <v>43909</v>
      </c>
      <c r="B916">
        <v>28.5093</v>
      </c>
      <c r="C916" s="1">
        <v>43909</v>
      </c>
      <c r="D916">
        <v>240.51</v>
      </c>
      <c r="E916">
        <f t="shared" si="289"/>
        <v>0.18387711626864003</v>
      </c>
      <c r="F916" s="4">
        <f t="shared" si="290"/>
        <v>2.124999999999962E-3</v>
      </c>
      <c r="G916">
        <f t="shared" ca="1" si="291"/>
        <v>5.08117064700083E-3</v>
      </c>
      <c r="H916">
        <f t="shared" ca="1" si="292"/>
        <v>4.7044575211382472E-2</v>
      </c>
      <c r="I916">
        <f t="shared" ca="1" si="293"/>
        <v>-0.15085029424991828</v>
      </c>
      <c r="J916">
        <f t="shared" ca="1" si="294"/>
        <v>6.0993528234416141</v>
      </c>
      <c r="K916">
        <f t="shared" ca="1" si="295"/>
        <v>1.1185262253984543</v>
      </c>
      <c r="L916">
        <f t="shared" ca="1" si="296"/>
        <v>2.1668735233842851</v>
      </c>
      <c r="M916">
        <f t="shared" ca="1" si="297"/>
        <v>-6.0199771093119841E-4</v>
      </c>
      <c r="N916">
        <f t="shared" ca="1" si="298"/>
        <v>1.8125010076242863E-2</v>
      </c>
      <c r="O916">
        <f t="shared" ca="1" si="299"/>
        <v>-1.6895951635852937</v>
      </c>
      <c r="P916">
        <f t="shared" ca="1" si="300"/>
        <v>14.163875673857454</v>
      </c>
      <c r="Q916">
        <f t="shared" ca="1" si="301"/>
        <v>0.45810586226014616</v>
      </c>
      <c r="R916">
        <f t="shared" ca="1" si="302"/>
        <v>1.7018230418761744</v>
      </c>
      <c r="T916">
        <f t="shared" si="303"/>
        <v>1.1838771162686401</v>
      </c>
      <c r="U916" s="6">
        <f t="shared" ca="1" si="304"/>
        <v>0.76289269467487308</v>
      </c>
      <c r="V916">
        <f t="shared" ca="1" si="305"/>
        <v>2.4615214934773881</v>
      </c>
      <c r="X916" t="b">
        <f t="shared" ca="1" si="306"/>
        <v>1</v>
      </c>
      <c r="BJ916" t="b">
        <f t="shared" si="287"/>
        <v>1</v>
      </c>
      <c r="BK916" t="b">
        <f t="shared" ca="1" si="288"/>
        <v>1</v>
      </c>
    </row>
    <row r="917" spans="1:63" x14ac:dyDescent="0.45">
      <c r="A917" s="1">
        <v>43908</v>
      </c>
      <c r="B917">
        <v>24.081299999999999</v>
      </c>
      <c r="C917" s="1">
        <v>43908</v>
      </c>
      <c r="D917">
        <v>240</v>
      </c>
      <c r="E917">
        <f t="shared" si="289"/>
        <v>-0.16034518828451885</v>
      </c>
      <c r="F917" s="4">
        <f t="shared" si="290"/>
        <v>-5.0632911392405104E-2</v>
      </c>
      <c r="G917">
        <f t="shared" ca="1" si="291"/>
        <v>4.5705418650005339E-3</v>
      </c>
      <c r="H917">
        <f t="shared" ca="1" si="292"/>
        <v>4.5627032821844E-2</v>
      </c>
      <c r="I917">
        <f t="shared" ca="1" si="293"/>
        <v>-0.41278753740045215</v>
      </c>
      <c r="J917">
        <f t="shared" ca="1" si="294"/>
        <v>6.0903766541336468</v>
      </c>
      <c r="K917">
        <f t="shared" ca="1" si="295"/>
        <v>1.1185262253984543</v>
      </c>
      <c r="L917">
        <f t="shared" ca="1" si="296"/>
        <v>2.1668735233842851</v>
      </c>
      <c r="M917">
        <f t="shared" ca="1" si="297"/>
        <v>-5.0408936788570919E-4</v>
      </c>
      <c r="N917">
        <f t="shared" ca="1" si="298"/>
        <v>1.8192577443049942E-2</v>
      </c>
      <c r="O917">
        <f t="shared" ca="1" si="299"/>
        <v>-1.6778057089303087</v>
      </c>
      <c r="P917">
        <f t="shared" ca="1" si="300"/>
        <v>13.958009579948598</v>
      </c>
      <c r="Q917">
        <f t="shared" ca="1" si="301"/>
        <v>0.47509994086140178</v>
      </c>
      <c r="R917">
        <f t="shared" ca="1" si="302"/>
        <v>1.7757593781904524</v>
      </c>
      <c r="T917">
        <f t="shared" si="303"/>
        <v>0.83965481171548118</v>
      </c>
      <c r="U917" s="6">
        <f t="shared" ca="1" si="304"/>
        <v>0.56954022988505759</v>
      </c>
      <c r="V917">
        <f t="shared" ca="1" si="305"/>
        <v>2.0735109612064604</v>
      </c>
      <c r="X917" t="b">
        <f t="shared" ca="1" si="306"/>
        <v>1</v>
      </c>
      <c r="BJ917" t="b">
        <f t="shared" si="287"/>
        <v>1</v>
      </c>
      <c r="BK917" t="b">
        <f t="shared" ca="1" si="288"/>
        <v>1</v>
      </c>
    </row>
    <row r="918" spans="1:63" x14ac:dyDescent="0.45">
      <c r="A918" s="1">
        <v>43907</v>
      </c>
      <c r="B918">
        <v>28.68</v>
      </c>
      <c r="C918" s="1">
        <v>43907</v>
      </c>
      <c r="D918">
        <v>252.8</v>
      </c>
      <c r="E918">
        <f t="shared" si="289"/>
        <v>-3.3409388870726899E-2</v>
      </c>
      <c r="F918" s="4">
        <f t="shared" si="290"/>
        <v>5.399207838232236E-2</v>
      </c>
      <c r="G918">
        <f t="shared" ca="1" si="291"/>
        <v>5.2051015718152229E-3</v>
      </c>
      <c r="H918">
        <f t="shared" ca="1" si="292"/>
        <v>4.4181555271077477E-2</v>
      </c>
      <c r="I918">
        <f t="shared" ca="1" si="293"/>
        <v>-0.2374167145649469</v>
      </c>
      <c r="J918">
        <f t="shared" ca="1" si="294"/>
        <v>6.3560679686313533</v>
      </c>
      <c r="K918">
        <f t="shared" ca="1" si="295"/>
        <v>1.4051037993218867</v>
      </c>
      <c r="L918">
        <f t="shared" ca="1" si="296"/>
        <v>2.1668735233842851</v>
      </c>
      <c r="M918">
        <f t="shared" ca="1" si="297"/>
        <v>-2.6363960003982433E-4</v>
      </c>
      <c r="N918">
        <f t="shared" ca="1" si="298"/>
        <v>1.7841104915855392E-2</v>
      </c>
      <c r="O918">
        <f t="shared" ca="1" si="299"/>
        <v>-1.7071890433290311</v>
      </c>
      <c r="P918">
        <f t="shared" ca="1" si="300"/>
        <v>15.108035493609012</v>
      </c>
      <c r="Q918">
        <f t="shared" ca="1" si="301"/>
        <v>0.49023592792793164</v>
      </c>
      <c r="R918">
        <f t="shared" ca="1" si="302"/>
        <v>1.8820973544341746</v>
      </c>
      <c r="T918">
        <f t="shared" si="303"/>
        <v>0.96659061112927314</v>
      </c>
      <c r="U918" s="6">
        <f t="shared" ca="1" si="304"/>
        <v>0.66663567477104735</v>
      </c>
      <c r="V918">
        <f t="shared" ca="1" si="305"/>
        <v>2.2473416491552252</v>
      </c>
      <c r="X918" t="b">
        <f t="shared" ca="1" si="306"/>
        <v>1</v>
      </c>
      <c r="BJ918" t="b">
        <f t="shared" si="287"/>
        <v>1</v>
      </c>
      <c r="BK918" t="b">
        <f t="shared" ca="1" si="288"/>
        <v>1</v>
      </c>
    </row>
    <row r="919" spans="1:63" x14ac:dyDescent="0.45">
      <c r="A919" s="1">
        <v>43906</v>
      </c>
      <c r="B919">
        <v>29.671299999999999</v>
      </c>
      <c r="C919" s="1">
        <v>43906</v>
      </c>
      <c r="D919">
        <v>239.85</v>
      </c>
      <c r="E919">
        <f t="shared" si="289"/>
        <v>-0.18577822415775508</v>
      </c>
      <c r="F919" s="4">
        <f t="shared" si="290"/>
        <v>-0.1094237338482103</v>
      </c>
      <c r="G919">
        <f t="shared" ca="1" si="291"/>
        <v>5.2908606615306676E-3</v>
      </c>
      <c r="H919">
        <f t="shared" ca="1" si="292"/>
        <v>4.4122832881853313E-2</v>
      </c>
      <c r="I919">
        <f t="shared" ca="1" si="293"/>
        <v>-0.24143765401545811</v>
      </c>
      <c r="J919">
        <f t="shared" ca="1" si="294"/>
        <v>6.4053627394042687</v>
      </c>
      <c r="K919">
        <f t="shared" ca="1" si="295"/>
        <v>1.4051037993218867</v>
      </c>
      <c r="L919">
        <f t="shared" ca="1" si="296"/>
        <v>2.1668735233842851</v>
      </c>
      <c r="M919">
        <f t="shared" ca="1" si="297"/>
        <v>-6.009762597362615E-4</v>
      </c>
      <c r="N919">
        <f t="shared" ca="1" si="298"/>
        <v>1.7443491609162198E-2</v>
      </c>
      <c r="O919">
        <f t="shared" ca="1" si="299"/>
        <v>-1.9229470419440091</v>
      </c>
      <c r="P919">
        <f t="shared" ca="1" si="300"/>
        <v>16.183614100948137</v>
      </c>
      <c r="Q919">
        <f t="shared" ca="1" si="301"/>
        <v>0.47270044291553265</v>
      </c>
      <c r="R919">
        <f t="shared" ca="1" si="302"/>
        <v>1.7018230418761744</v>
      </c>
      <c r="T919">
        <f t="shared" si="303"/>
        <v>0.81422177584224498</v>
      </c>
      <c r="U919" s="6">
        <f t="shared" ca="1" si="304"/>
        <v>0.73202280593980751</v>
      </c>
      <c r="V919">
        <f t="shared" ca="1" si="305"/>
        <v>2.1900700524423113</v>
      </c>
      <c r="X919" t="b">
        <f t="shared" ca="1" si="306"/>
        <v>1</v>
      </c>
      <c r="BJ919" t="b">
        <f t="shared" si="287"/>
        <v>1</v>
      </c>
      <c r="BK919" t="b">
        <f t="shared" ca="1" si="288"/>
        <v>1</v>
      </c>
    </row>
    <row r="920" spans="1:63" x14ac:dyDescent="0.45">
      <c r="A920" s="1">
        <v>43903</v>
      </c>
      <c r="B920">
        <v>36.441299999999998</v>
      </c>
      <c r="C920" s="1">
        <v>43903</v>
      </c>
      <c r="D920">
        <v>269.32</v>
      </c>
      <c r="E920">
        <f t="shared" si="289"/>
        <v>-2.4851485148514832E-2</v>
      </c>
      <c r="F920" s="4">
        <f t="shared" si="290"/>
        <v>8.5486276248438103E-2</v>
      </c>
      <c r="G920">
        <f t="shared" ca="1" si="291"/>
        <v>6.1765751174699098E-3</v>
      </c>
      <c r="H920">
        <f t="shared" ca="1" si="292"/>
        <v>4.1994717159882081E-2</v>
      </c>
      <c r="I920">
        <f t="shared" ca="1" si="293"/>
        <v>0.13393697940005642</v>
      </c>
      <c r="J920">
        <f t="shared" ca="1" si="294"/>
        <v>6.2381817929155714</v>
      </c>
      <c r="K920">
        <f t="shared" ca="1" si="295"/>
        <v>1.6451375986169954</v>
      </c>
      <c r="L920">
        <f t="shared" ca="1" si="296"/>
        <v>2.1975310398629535</v>
      </c>
      <c r="M920">
        <f t="shared" ca="1" si="297"/>
        <v>-4.0201788576211177E-5</v>
      </c>
      <c r="N920">
        <f t="shared" ca="1" si="298"/>
        <v>1.5636675974089347E-2</v>
      </c>
      <c r="O920">
        <f t="shared" ca="1" si="299"/>
        <v>-1.0672483922945333</v>
      </c>
      <c r="P920">
        <f t="shared" ca="1" si="300"/>
        <v>14.733194931399726</v>
      </c>
      <c r="Q920">
        <f t="shared" ca="1" si="301"/>
        <v>0.52474537565651935</v>
      </c>
      <c r="R920">
        <f t="shared" ca="1" si="302"/>
        <v>1.8037334811060994</v>
      </c>
      <c r="T920">
        <f t="shared" si="303"/>
        <v>0.97514851485148513</v>
      </c>
      <c r="U920" s="6">
        <f t="shared" ca="1" si="304"/>
        <v>0.77702153791043238</v>
      </c>
      <c r="V920">
        <f t="shared" ca="1" si="305"/>
        <v>1.6800869332053079</v>
      </c>
      <c r="X920" t="b">
        <f t="shared" ca="1" si="306"/>
        <v>1</v>
      </c>
      <c r="BJ920" t="b">
        <f t="shared" si="287"/>
        <v>1</v>
      </c>
      <c r="BK920" t="b">
        <f t="shared" ca="1" si="288"/>
        <v>1</v>
      </c>
    </row>
    <row r="921" spans="1:63" x14ac:dyDescent="0.45">
      <c r="A921" s="1">
        <v>43902</v>
      </c>
      <c r="B921">
        <v>37.369999999999997</v>
      </c>
      <c r="C921" s="1">
        <v>43902</v>
      </c>
      <c r="D921">
        <v>248.11</v>
      </c>
      <c r="E921">
        <f t="shared" si="289"/>
        <v>-0.11617236649165127</v>
      </c>
      <c r="F921" s="4">
        <f t="shared" si="290"/>
        <v>-9.5677212421635807E-2</v>
      </c>
      <c r="G921">
        <f t="shared" ca="1" si="291"/>
        <v>6.3315559136417369E-3</v>
      </c>
      <c r="H921">
        <f t="shared" ca="1" si="292"/>
        <v>4.1936788654196991E-2</v>
      </c>
      <c r="I921">
        <f t="shared" ca="1" si="293"/>
        <v>0.12534984196499996</v>
      </c>
      <c r="J921">
        <f t="shared" ca="1" si="294"/>
        <v>6.286057910606206</v>
      </c>
      <c r="K921">
        <f t="shared" ca="1" si="295"/>
        <v>1.6451375986169954</v>
      </c>
      <c r="L921">
        <f t="shared" ca="1" si="296"/>
        <v>2.3028736964294096</v>
      </c>
      <c r="M921">
        <f t="shared" ca="1" si="297"/>
        <v>-5.0118662332545129E-4</v>
      </c>
      <c r="N921">
        <f t="shared" ca="1" si="298"/>
        <v>1.4413811955316285E-2</v>
      </c>
      <c r="O921">
        <f t="shared" ca="1" si="299"/>
        <v>-2.3265526704130828</v>
      </c>
      <c r="P921">
        <f t="shared" ca="1" si="300"/>
        <v>14.849137757299253</v>
      </c>
      <c r="Q921">
        <f t="shared" ca="1" si="301"/>
        <v>0.49891049620768879</v>
      </c>
      <c r="R921">
        <f t="shared" ca="1" si="302"/>
        <v>1.624259042654957</v>
      </c>
      <c r="T921">
        <f t="shared" si="303"/>
        <v>0.8838276335083487</v>
      </c>
      <c r="U921" s="6">
        <f t="shared" ca="1" si="304"/>
        <v>0.77366275591219535</v>
      </c>
      <c r="V921">
        <f t="shared" ca="1" si="305"/>
        <v>1.7469520590065422</v>
      </c>
      <c r="X921" t="b">
        <f t="shared" ca="1" si="306"/>
        <v>1</v>
      </c>
      <c r="BJ921" t="b">
        <f t="shared" si="287"/>
        <v>1</v>
      </c>
      <c r="BK921" t="b">
        <f t="shared" ca="1" si="288"/>
        <v>1</v>
      </c>
    </row>
    <row r="922" spans="1:63" x14ac:dyDescent="0.45">
      <c r="A922" s="1">
        <v>43901</v>
      </c>
      <c r="B922">
        <v>42.281999999999996</v>
      </c>
      <c r="C922" s="1">
        <v>43901</v>
      </c>
      <c r="D922">
        <v>274.36</v>
      </c>
      <c r="E922">
        <f t="shared" si="289"/>
        <v>-1.720050206870908E-2</v>
      </c>
      <c r="F922" s="4">
        <f t="shared" si="290"/>
        <v>-4.8748353096179191E-2</v>
      </c>
      <c r="G922">
        <f t="shared" ca="1" si="291"/>
        <v>6.861783141459076E-3</v>
      </c>
      <c r="H922">
        <f t="shared" ca="1" si="292"/>
        <v>4.1040952494859492E-2</v>
      </c>
      <c r="I922">
        <f t="shared" ca="1" si="293"/>
        <v>0.22925165266727732</v>
      </c>
      <c r="J922">
        <f t="shared" ca="1" si="294"/>
        <v>6.7037910184083271</v>
      </c>
      <c r="K922">
        <f t="shared" ca="1" si="295"/>
        <v>1.6939929673122496</v>
      </c>
      <c r="L922">
        <f t="shared" ca="1" si="296"/>
        <v>2.3028736964294096</v>
      </c>
      <c r="M922">
        <f t="shared" ca="1" si="297"/>
        <v>-6.9303142729402065E-5</v>
      </c>
      <c r="N922">
        <f t="shared" ca="1" si="298"/>
        <v>1.274518032649872E-2</v>
      </c>
      <c r="O922">
        <f t="shared" ca="1" si="299"/>
        <v>-1.3558356717257989</v>
      </c>
      <c r="P922">
        <f t="shared" ca="1" si="300"/>
        <v>10.30311683953288</v>
      </c>
      <c r="Q922">
        <f t="shared" ca="1" si="301"/>
        <v>0.69542068101367138</v>
      </c>
      <c r="R922">
        <f t="shared" ca="1" si="302"/>
        <v>1.624259042654957</v>
      </c>
      <c r="T922">
        <f t="shared" si="303"/>
        <v>0.98279949793129096</v>
      </c>
      <c r="U922" s="6">
        <f t="shared" ca="1" si="304"/>
        <v>0.84620357157867121</v>
      </c>
      <c r="V922">
        <f t="shared" ca="1" si="305"/>
        <v>1.8078538751959976</v>
      </c>
      <c r="X922" t="b">
        <f t="shared" ca="1" si="306"/>
        <v>1</v>
      </c>
      <c r="BJ922" t="b">
        <f t="shared" si="287"/>
        <v>1</v>
      </c>
      <c r="BK922" t="b">
        <f t="shared" ca="1" si="288"/>
        <v>1</v>
      </c>
    </row>
    <row r="923" spans="1:63" x14ac:dyDescent="0.45">
      <c r="A923" s="1">
        <v>43900</v>
      </c>
      <c r="B923">
        <v>43.021999999999998</v>
      </c>
      <c r="C923" s="1">
        <v>43900</v>
      </c>
      <c r="D923">
        <v>288.42</v>
      </c>
      <c r="E923">
        <f t="shared" si="289"/>
        <v>6.1398899176726335E-2</v>
      </c>
      <c r="F923" s="4">
        <f t="shared" si="290"/>
        <v>5.1744885679903721E-2</v>
      </c>
      <c r="G923">
        <f t="shared" ca="1" si="291"/>
        <v>6.8234829363253988E-3</v>
      </c>
      <c r="H923">
        <f t="shared" ca="1" si="292"/>
        <v>4.1067086650536981E-2</v>
      </c>
      <c r="I923">
        <f t="shared" ca="1" si="293"/>
        <v>0.23032192164165566</v>
      </c>
      <c r="J923">
        <f t="shared" ca="1" si="294"/>
        <v>6.6811018640970614</v>
      </c>
      <c r="K923">
        <f t="shared" ca="1" si="295"/>
        <v>1.6939929673122496</v>
      </c>
      <c r="L923">
        <f t="shared" ca="1" si="296"/>
        <v>2.3028736964294096</v>
      </c>
      <c r="M923">
        <f t="shared" ca="1" si="297"/>
        <v>1.857805097579443E-4</v>
      </c>
      <c r="N923">
        <f t="shared" ca="1" si="298"/>
        <v>1.2267595506240403E-2</v>
      </c>
      <c r="O923">
        <f t="shared" ca="1" si="299"/>
        <v>-1.2662684821328414</v>
      </c>
      <c r="P923">
        <f t="shared" ca="1" si="300"/>
        <v>11.327176024499163</v>
      </c>
      <c r="Q923">
        <f t="shared" ca="1" si="301"/>
        <v>0.72864254661395034</v>
      </c>
      <c r="R923">
        <f t="shared" ca="1" si="302"/>
        <v>1.7215247091708228</v>
      </c>
      <c r="T923">
        <f t="shared" si="303"/>
        <v>1.0613988991767263</v>
      </c>
      <c r="U923" s="6">
        <f t="shared" ca="1" si="304"/>
        <v>0.86562161096322587</v>
      </c>
      <c r="V923">
        <f t="shared" ca="1" si="305"/>
        <v>1.7057920465612684</v>
      </c>
      <c r="X923" t="b">
        <f t="shared" ca="1" si="306"/>
        <v>1</v>
      </c>
      <c r="BJ923" t="b">
        <f t="shared" si="287"/>
        <v>1</v>
      </c>
      <c r="BK923" t="b">
        <f t="shared" ca="1" si="288"/>
        <v>1</v>
      </c>
    </row>
    <row r="924" spans="1:63" x14ac:dyDescent="0.45">
      <c r="A924" s="1">
        <v>43899</v>
      </c>
      <c r="B924">
        <v>40.533299999999997</v>
      </c>
      <c r="C924" s="1">
        <v>43899</v>
      </c>
      <c r="D924">
        <v>274.23</v>
      </c>
      <c r="E924">
        <f t="shared" si="289"/>
        <v>-0.1357265766428494</v>
      </c>
      <c r="F924" s="4">
        <f t="shared" si="290"/>
        <v>-7.8094533718819206E-2</v>
      </c>
      <c r="G924">
        <f t="shared" ca="1" si="291"/>
        <v>6.5880910150212992E-3</v>
      </c>
      <c r="H924">
        <f t="shared" ca="1" si="292"/>
        <v>4.0887224672713086E-2</v>
      </c>
      <c r="I924">
        <f t="shared" ca="1" si="293"/>
        <v>0.23878119326513489</v>
      </c>
      <c r="J924">
        <f t="shared" ca="1" si="294"/>
        <v>6.84235970262612</v>
      </c>
      <c r="K924">
        <f t="shared" ca="1" si="295"/>
        <v>1.6939929673122496</v>
      </c>
      <c r="L924">
        <f t="shared" ca="1" si="296"/>
        <v>2.2648338684821945</v>
      </c>
      <c r="M924">
        <f t="shared" ca="1" si="297"/>
        <v>-1.3403694108319458E-4</v>
      </c>
      <c r="N924">
        <f t="shared" ca="1" si="298"/>
        <v>1.1739072070521607E-2</v>
      </c>
      <c r="O924">
        <f t="shared" ca="1" si="299"/>
        <v>-1.7985850414673026</v>
      </c>
      <c r="P924">
        <f t="shared" ca="1" si="300"/>
        <v>11.970396080835016</v>
      </c>
      <c r="Q924">
        <f t="shared" ca="1" si="301"/>
        <v>0.72230629466616725</v>
      </c>
      <c r="R924">
        <f t="shared" ca="1" si="302"/>
        <v>1.5389084458589943</v>
      </c>
      <c r="T924">
        <f t="shared" si="303"/>
        <v>0.86427342335715063</v>
      </c>
      <c r="U924" s="6">
        <f t="shared" ca="1" si="304"/>
        <v>0.81762068151698342</v>
      </c>
      <c r="V924">
        <f t="shared" ca="1" si="305"/>
        <v>1.6754105559044938</v>
      </c>
      <c r="X924" t="b">
        <f t="shared" ca="1" si="306"/>
        <v>1</v>
      </c>
      <c r="BJ924" t="b">
        <f t="shared" si="287"/>
        <v>1</v>
      </c>
      <c r="BK924" t="b">
        <f t="shared" ca="1" si="288"/>
        <v>1</v>
      </c>
    </row>
    <row r="925" spans="1:63" x14ac:dyDescent="0.45">
      <c r="A925" s="1">
        <v>43896</v>
      </c>
      <c r="B925">
        <v>46.898699999999998</v>
      </c>
      <c r="C925" s="1">
        <v>43896</v>
      </c>
      <c r="D925">
        <v>297.45999999999998</v>
      </c>
      <c r="E925">
        <f t="shared" si="289"/>
        <v>-2.906669813488694E-2</v>
      </c>
      <c r="F925" s="4">
        <f t="shared" si="290"/>
        <v>-1.6531111551940755E-2</v>
      </c>
      <c r="G925">
        <f t="shared" ca="1" si="291"/>
        <v>6.9656340796281713E-3</v>
      </c>
      <c r="H925">
        <f t="shared" ca="1" si="292"/>
        <v>3.9903296403654649E-2</v>
      </c>
      <c r="I925">
        <f t="shared" ca="1" si="293"/>
        <v>0.43466077862618879</v>
      </c>
      <c r="J925">
        <f t="shared" ca="1" si="294"/>
        <v>7.039732491216955</v>
      </c>
      <c r="K925">
        <f t="shared" ca="1" si="295"/>
        <v>1.6939929673122496</v>
      </c>
      <c r="L925">
        <f t="shared" ca="1" si="296"/>
        <v>2.2648338684821945</v>
      </c>
      <c r="M925">
        <f t="shared" ca="1" si="297"/>
        <v>2.4107849739676967E-4</v>
      </c>
      <c r="N925">
        <f t="shared" ca="1" si="298"/>
        <v>1.0352093905674355E-2</v>
      </c>
      <c r="O925">
        <f t="shared" ca="1" si="299"/>
        <v>-0.56470550544583809</v>
      </c>
      <c r="P925">
        <f t="shared" ca="1" si="300"/>
        <v>5.2017484831130796</v>
      </c>
      <c r="Q925">
        <f t="shared" ca="1" si="301"/>
        <v>0.77027409341798247</v>
      </c>
      <c r="R925">
        <f t="shared" ca="1" si="302"/>
        <v>1.6310630540603461</v>
      </c>
      <c r="T925">
        <f t="shared" si="303"/>
        <v>0.97093330186511306</v>
      </c>
      <c r="U925" s="6">
        <f t="shared" ca="1" si="304"/>
        <v>1.0531294980991495</v>
      </c>
      <c r="V925">
        <f t="shared" ca="1" si="305"/>
        <v>1.4643901479809212</v>
      </c>
      <c r="X925" t="b">
        <f t="shared" ca="1" si="306"/>
        <v>0</v>
      </c>
      <c r="BJ925" t="b">
        <f t="shared" si="287"/>
        <v>1</v>
      </c>
      <c r="BK925" t="b">
        <f t="shared" ca="1" si="288"/>
        <v>0</v>
      </c>
    </row>
    <row r="926" spans="1:63" x14ac:dyDescent="0.45">
      <c r="A926" s="1">
        <v>43895</v>
      </c>
      <c r="B926">
        <v>48.302700000000002</v>
      </c>
      <c r="C926" s="1">
        <v>43895</v>
      </c>
      <c r="D926">
        <v>302.45999999999998</v>
      </c>
      <c r="E926">
        <f t="shared" si="289"/>
        <v>-3.3302179251381445E-2</v>
      </c>
      <c r="F926" s="4">
        <f t="shared" si="290"/>
        <v>-3.3241705555200514E-2</v>
      </c>
      <c r="G926">
        <f t="shared" ca="1" si="291"/>
        <v>7.1041381167319352E-3</v>
      </c>
      <c r="H926">
        <f t="shared" ca="1" si="292"/>
        <v>3.982559897303365E-2</v>
      </c>
      <c r="I926">
        <f t="shared" ca="1" si="293"/>
        <v>0.430383800389468</v>
      </c>
      <c r="J926">
        <f t="shared" ca="1" si="294"/>
        <v>7.1090241834842489</v>
      </c>
      <c r="K926">
        <f t="shared" ca="1" si="295"/>
        <v>1.6939929673122496</v>
      </c>
      <c r="L926">
        <f t="shared" ca="1" si="296"/>
        <v>2.4363185252961044</v>
      </c>
      <c r="M926">
        <f t="shared" ca="1" si="297"/>
        <v>3.6881241402247087E-4</v>
      </c>
      <c r="N926">
        <f t="shared" ca="1" si="298"/>
        <v>1.0301589801579532E-2</v>
      </c>
      <c r="O926">
        <f t="shared" ca="1" si="299"/>
        <v>-0.58558476288374706</v>
      </c>
      <c r="P926">
        <f t="shared" ca="1" si="300"/>
        <v>5.359695804346523</v>
      </c>
      <c r="Q926">
        <f t="shared" ca="1" si="301"/>
        <v>0.7930595452252448</v>
      </c>
      <c r="R926">
        <f t="shared" ca="1" si="302"/>
        <v>1.7973181570177974</v>
      </c>
      <c r="T926">
        <f t="shared" si="303"/>
        <v>0.96669782074861854</v>
      </c>
      <c r="U926" s="6">
        <f t="shared" ca="1" si="304"/>
        <v>1.0670691700521577</v>
      </c>
      <c r="V926">
        <f t="shared" ca="1" si="305"/>
        <v>1.4968697376113917</v>
      </c>
      <c r="X926" t="b">
        <f t="shared" ca="1" si="306"/>
        <v>0</v>
      </c>
      <c r="BJ926" t="b">
        <f t="shared" si="287"/>
        <v>1</v>
      </c>
      <c r="BK926" t="b">
        <f t="shared" ca="1" si="288"/>
        <v>0</v>
      </c>
    </row>
    <row r="927" spans="1:63" x14ac:dyDescent="0.45">
      <c r="A927" s="1">
        <v>43894</v>
      </c>
      <c r="B927">
        <v>49.966700000000003</v>
      </c>
      <c r="C927" s="1">
        <v>43894</v>
      </c>
      <c r="D927">
        <v>312.86</v>
      </c>
      <c r="E927">
        <f t="shared" si="289"/>
        <v>5.3520372952494703E-3</v>
      </c>
      <c r="F927" s="4">
        <f t="shared" si="290"/>
        <v>4.2033040234479097E-2</v>
      </c>
      <c r="G927">
        <f t="shared" ca="1" si="291"/>
        <v>7.1363082423419443E-3</v>
      </c>
      <c r="H927">
        <f t="shared" ca="1" si="292"/>
        <v>3.9795382901329668E-2</v>
      </c>
      <c r="I927">
        <f t="shared" ca="1" si="293"/>
        <v>0.43107067445758668</v>
      </c>
      <c r="J927">
        <f t="shared" ca="1" si="294"/>
        <v>7.135720754617668</v>
      </c>
      <c r="K927">
        <f t="shared" ca="1" si="295"/>
        <v>1.6939929673122496</v>
      </c>
      <c r="L927">
        <f t="shared" ca="1" si="296"/>
        <v>2.4363185252961044</v>
      </c>
      <c r="M927">
        <f t="shared" ca="1" si="297"/>
        <v>5.0196048839797015E-4</v>
      </c>
      <c r="N927">
        <f t="shared" ca="1" si="298"/>
        <v>1.0033598868232218E-2</v>
      </c>
      <c r="O927">
        <f t="shared" ca="1" si="299"/>
        <v>-0.48490056590930458</v>
      </c>
      <c r="P927">
        <f t="shared" ca="1" si="300"/>
        <v>5.66862058241193</v>
      </c>
      <c r="Q927">
        <f t="shared" ca="1" si="301"/>
        <v>0.82168115803556296</v>
      </c>
      <c r="R927">
        <f t="shared" ca="1" si="302"/>
        <v>1.7973181570177974</v>
      </c>
      <c r="T927">
        <f t="shared" si="303"/>
        <v>1.0053520372952496</v>
      </c>
      <c r="U927" s="6">
        <f t="shared" ca="1" si="304"/>
        <v>0.96237865947611723</v>
      </c>
      <c r="V927">
        <f t="shared" ca="1" si="305"/>
        <v>1.2334877025719093</v>
      </c>
      <c r="X927" t="b">
        <f t="shared" ca="1" si="306"/>
        <v>1</v>
      </c>
      <c r="BJ927" t="b">
        <f t="shared" si="287"/>
        <v>1</v>
      </c>
      <c r="BK927" t="b">
        <f t="shared" ca="1" si="288"/>
        <v>1</v>
      </c>
    </row>
    <row r="928" spans="1:63" x14ac:dyDescent="0.45">
      <c r="A928" s="1">
        <v>43893</v>
      </c>
      <c r="B928">
        <v>49.700699999999998</v>
      </c>
      <c r="C928" s="1">
        <v>43893</v>
      </c>
      <c r="D928">
        <v>300.24</v>
      </c>
      <c r="E928">
        <f t="shared" si="289"/>
        <v>2.5416190113101574E-3</v>
      </c>
      <c r="F928" s="4">
        <f t="shared" si="290"/>
        <v>-2.8632437154226816E-2</v>
      </c>
      <c r="G928">
        <f t="shared" ca="1" si="291"/>
        <v>6.7307213576657246E-3</v>
      </c>
      <c r="H928">
        <f t="shared" ca="1" si="292"/>
        <v>4.0224709711718681E-2</v>
      </c>
      <c r="I928">
        <f t="shared" ca="1" si="293"/>
        <v>0.4035361382565914</v>
      </c>
      <c r="J928">
        <f t="shared" ca="1" si="294"/>
        <v>6.8173690098050495</v>
      </c>
      <c r="K928">
        <f t="shared" ca="1" si="295"/>
        <v>1.6451375986169954</v>
      </c>
      <c r="L928">
        <f t="shared" ca="1" si="296"/>
        <v>2.2648338684821945</v>
      </c>
      <c r="M928">
        <f t="shared" ca="1" si="297"/>
        <v>2.5946994833089229E-4</v>
      </c>
      <c r="N928">
        <f t="shared" ca="1" si="298"/>
        <v>9.6015850631006767E-3</v>
      </c>
      <c r="O928">
        <f t="shared" ca="1" si="299"/>
        <v>-0.88950801483125452</v>
      </c>
      <c r="P928">
        <f t="shared" ca="1" si="300"/>
        <v>5.4390171046860436</v>
      </c>
      <c r="Q928">
        <f t="shared" ca="1" si="301"/>
        <v>0.7771083215871577</v>
      </c>
      <c r="R928">
        <f t="shared" ca="1" si="302"/>
        <v>1.6310630540603461</v>
      </c>
      <c r="T928">
        <f t="shared" si="303"/>
        <v>1.0025416190113101</v>
      </c>
      <c r="U928" s="6">
        <f t="shared" ca="1" si="304"/>
        <v>0.93199355677110973</v>
      </c>
      <c r="V928">
        <f t="shared" ca="1" si="305"/>
        <v>1.2210327396520433</v>
      </c>
      <c r="X928" t="b">
        <f t="shared" ca="1" si="306"/>
        <v>1</v>
      </c>
      <c r="BJ928" t="b">
        <f t="shared" si="287"/>
        <v>1</v>
      </c>
      <c r="BK928" t="b">
        <f t="shared" ca="1" si="288"/>
        <v>1</v>
      </c>
    </row>
    <row r="929" spans="1:63" x14ac:dyDescent="0.45">
      <c r="A929" s="1">
        <v>43892</v>
      </c>
      <c r="B929">
        <v>49.5747</v>
      </c>
      <c r="C929" s="1">
        <v>43892</v>
      </c>
      <c r="D929">
        <v>309.08999999999997</v>
      </c>
      <c r="E929">
        <f t="shared" si="289"/>
        <v>0.11322017304138311</v>
      </c>
      <c r="F929" s="4">
        <f t="shared" si="290"/>
        <v>4.3306555052993939E-2</v>
      </c>
      <c r="G929">
        <f t="shared" ca="1" si="291"/>
        <v>6.6399898135394405E-3</v>
      </c>
      <c r="H929">
        <f t="shared" ca="1" si="292"/>
        <v>4.0254660617096844E-2</v>
      </c>
      <c r="I929">
        <f t="shared" ca="1" si="293"/>
        <v>0.40860487030220155</v>
      </c>
      <c r="J929">
        <f t="shared" ca="1" si="294"/>
        <v>6.7922651803269192</v>
      </c>
      <c r="K929">
        <f t="shared" ca="1" si="295"/>
        <v>1.6451375986169954</v>
      </c>
      <c r="L929">
        <f t="shared" ca="1" si="296"/>
        <v>2.1612313058416466</v>
      </c>
      <c r="M929">
        <f t="shared" ca="1" si="297"/>
        <v>4.4893817493553477E-4</v>
      </c>
      <c r="N929">
        <f t="shared" ca="1" si="298"/>
        <v>9.4003651330287728E-3</v>
      </c>
      <c r="O929">
        <f t="shared" ca="1" si="299"/>
        <v>-0.85711981287715833</v>
      </c>
      <c r="P929">
        <f t="shared" ca="1" si="300"/>
        <v>5.799377764850342</v>
      </c>
      <c r="Q929">
        <f t="shared" ca="1" si="301"/>
        <v>0.88998961972109369</v>
      </c>
      <c r="R929">
        <f t="shared" ca="1" si="302"/>
        <v>1.7973181570177974</v>
      </c>
      <c r="T929">
        <f t="shared" si="303"/>
        <v>1.1132201730413831</v>
      </c>
      <c r="U929" s="6">
        <f t="shared" ca="1" si="304"/>
        <v>0.89185586298708297</v>
      </c>
      <c r="V929">
        <f t="shared" ca="1" si="305"/>
        <v>1.1778007251461329</v>
      </c>
      <c r="X929" t="b">
        <f t="shared" ca="1" si="306"/>
        <v>1</v>
      </c>
      <c r="BJ929" t="b">
        <f t="shared" si="287"/>
        <v>1</v>
      </c>
      <c r="BK929" t="b">
        <f t="shared" ca="1" si="288"/>
        <v>1</v>
      </c>
    </row>
    <row r="930" spans="1:63" x14ac:dyDescent="0.45">
      <c r="A930" s="1">
        <v>43889</v>
      </c>
      <c r="B930">
        <v>44.532699999999998</v>
      </c>
      <c r="C930" s="1">
        <v>43889</v>
      </c>
      <c r="D930">
        <v>296.26</v>
      </c>
      <c r="E930">
        <f t="shared" si="289"/>
        <v>-1.6215010150949855E-2</v>
      </c>
      <c r="F930" s="4">
        <f t="shared" si="290"/>
        <v>-4.2015394440523008E-3</v>
      </c>
      <c r="G930">
        <f t="shared" ca="1" si="291"/>
        <v>6.0661406642546038E-3</v>
      </c>
      <c r="H930">
        <f t="shared" ca="1" si="292"/>
        <v>3.9539368897133234E-2</v>
      </c>
      <c r="I930">
        <f t="shared" ca="1" si="293"/>
        <v>0.37570709148791859</v>
      </c>
      <c r="J930">
        <f t="shared" ca="1" si="294"/>
        <v>7.271263543460516</v>
      </c>
      <c r="K930">
        <f t="shared" ca="1" si="295"/>
        <v>1.5444457268071168</v>
      </c>
      <c r="L930">
        <f t="shared" ca="1" si="296"/>
        <v>2.1556285228219223</v>
      </c>
      <c r="M930">
        <f t="shared" ca="1" si="297"/>
        <v>2.6169262620549859E-4</v>
      </c>
      <c r="N930">
        <f t="shared" ca="1" si="298"/>
        <v>8.9021680234545458E-3</v>
      </c>
      <c r="O930">
        <f t="shared" ca="1" si="299"/>
        <v>-1.5107202262598551</v>
      </c>
      <c r="P930">
        <f t="shared" ca="1" si="300"/>
        <v>5.038101082019911</v>
      </c>
      <c r="Q930">
        <f t="shared" ca="1" si="301"/>
        <v>0.8523540315313809</v>
      </c>
      <c r="R930">
        <f t="shared" ca="1" si="302"/>
        <v>1.7928049298571276</v>
      </c>
      <c r="T930">
        <f t="shared" si="303"/>
        <v>0.98378498984905016</v>
      </c>
      <c r="U930" s="6">
        <f t="shared" ca="1" si="304"/>
        <v>0.74138749090594303</v>
      </c>
      <c r="V930">
        <f t="shared" ca="1" si="305"/>
        <v>1.1598897717992838</v>
      </c>
      <c r="X930" t="b">
        <f t="shared" ca="1" si="306"/>
        <v>1</v>
      </c>
      <c r="BJ930" t="b">
        <f t="shared" si="287"/>
        <v>1</v>
      </c>
      <c r="BK930" t="b">
        <f t="shared" ca="1" si="288"/>
        <v>1</v>
      </c>
    </row>
    <row r="931" spans="1:63" x14ac:dyDescent="0.45">
      <c r="A931" s="1">
        <v>43888</v>
      </c>
      <c r="B931">
        <v>45.2667</v>
      </c>
      <c r="C931" s="1">
        <v>43888</v>
      </c>
      <c r="D931">
        <v>297.51</v>
      </c>
      <c r="E931">
        <f t="shared" si="289"/>
        <v>-0.12814522342064719</v>
      </c>
      <c r="F931" s="4">
        <f t="shared" si="290"/>
        <v>-4.4911717495987186E-2</v>
      </c>
      <c r="G931">
        <f t="shared" ca="1" si="291"/>
        <v>6.2639396478757449E-3</v>
      </c>
      <c r="H931">
        <f t="shared" ca="1" si="292"/>
        <v>3.9526293894583016E-2</v>
      </c>
      <c r="I931">
        <f t="shared" ca="1" si="293"/>
        <v>0.3622488038878392</v>
      </c>
      <c r="J931">
        <f t="shared" ca="1" si="294"/>
        <v>7.277034480699073</v>
      </c>
      <c r="K931">
        <f t="shared" ca="1" si="295"/>
        <v>1.5444457268071168</v>
      </c>
      <c r="L931">
        <f t="shared" ca="1" si="296"/>
        <v>2.2648338684821945</v>
      </c>
      <c r="M931">
        <f t="shared" ca="1" si="297"/>
        <v>3.2791858163269536E-4</v>
      </c>
      <c r="N931">
        <f t="shared" ca="1" si="298"/>
        <v>8.9180511696521862E-3</v>
      </c>
      <c r="O931">
        <f t="shared" ca="1" si="299"/>
        <v>-1.5196830677864925</v>
      </c>
      <c r="P931">
        <f t="shared" ca="1" si="300"/>
        <v>5.0309266031035103</v>
      </c>
      <c r="Q931">
        <f t="shared" ca="1" si="301"/>
        <v>0.8523540315313809</v>
      </c>
      <c r="R931">
        <f t="shared" ca="1" si="302"/>
        <v>1.8925200658894736</v>
      </c>
      <c r="T931">
        <f t="shared" si="303"/>
        <v>0.87185477657935284</v>
      </c>
      <c r="U931" s="6">
        <f t="shared" ca="1" si="304"/>
        <v>0.75493948536291289</v>
      </c>
      <c r="V931">
        <f t="shared" ca="1" si="305"/>
        <v>1.1404805846609385</v>
      </c>
      <c r="X931" t="b">
        <f t="shared" ca="1" si="306"/>
        <v>1</v>
      </c>
      <c r="BJ931" t="b">
        <f t="shared" si="287"/>
        <v>1</v>
      </c>
      <c r="BK931" t="b">
        <f t="shared" ca="1" si="288"/>
        <v>1</v>
      </c>
    </row>
    <row r="932" spans="1:63" x14ac:dyDescent="0.45">
      <c r="A932" s="1">
        <v>43887</v>
      </c>
      <c r="B932">
        <v>51.92</v>
      </c>
      <c r="C932" s="1">
        <v>43887</v>
      </c>
      <c r="D932">
        <v>311.5</v>
      </c>
      <c r="E932">
        <f t="shared" si="289"/>
        <v>-2.6389860352952415E-2</v>
      </c>
      <c r="F932" s="4">
        <f t="shared" si="290"/>
        <v>-3.6782344474651442E-3</v>
      </c>
      <c r="G932">
        <f t="shared" ca="1" si="291"/>
        <v>6.6435184703898028E-3</v>
      </c>
      <c r="H932">
        <f t="shared" ca="1" si="292"/>
        <v>3.8582294246907504E-2</v>
      </c>
      <c r="I932">
        <f t="shared" ca="1" si="293"/>
        <v>0.55659537081098953</v>
      </c>
      <c r="J932">
        <f t="shared" ca="1" si="294"/>
        <v>7.5666230410703692</v>
      </c>
      <c r="K932">
        <f t="shared" ca="1" si="295"/>
        <v>1.5444457268071168</v>
      </c>
      <c r="L932">
        <f t="shared" ca="1" si="296"/>
        <v>2.2648338684821945</v>
      </c>
      <c r="M932">
        <f t="shared" ca="1" si="297"/>
        <v>4.2682635342363427E-4</v>
      </c>
      <c r="N932">
        <f t="shared" ca="1" si="298"/>
        <v>8.5143474534854265E-3</v>
      </c>
      <c r="O932">
        <f t="shared" ca="1" si="299"/>
        <v>-1.1557452452556303</v>
      </c>
      <c r="P932">
        <f t="shared" ca="1" si="300"/>
        <v>3.0153245782496416</v>
      </c>
      <c r="Q932">
        <f t="shared" ca="1" si="301"/>
        <v>0.8523540315313809</v>
      </c>
      <c r="R932">
        <f t="shared" ca="1" si="302"/>
        <v>1.8925200658894736</v>
      </c>
      <c r="T932">
        <f t="shared" si="303"/>
        <v>0.97361013964704757</v>
      </c>
      <c r="U932" s="6">
        <f t="shared" ca="1" si="304"/>
        <v>0.84890281926643174</v>
      </c>
      <c r="V932">
        <f t="shared" ca="1" si="305"/>
        <v>1.1604869155425743</v>
      </c>
      <c r="X932" t="b">
        <f t="shared" ca="1" si="306"/>
        <v>1</v>
      </c>
      <c r="BJ932" t="b">
        <f t="shared" si="287"/>
        <v>1</v>
      </c>
      <c r="BK932" t="b">
        <f t="shared" ca="1" si="288"/>
        <v>1</v>
      </c>
    </row>
    <row r="933" spans="1:63" x14ac:dyDescent="0.45">
      <c r="A933" s="1">
        <v>43886</v>
      </c>
      <c r="B933">
        <v>53.327300000000001</v>
      </c>
      <c r="C933" s="1">
        <v>43886</v>
      </c>
      <c r="D933">
        <v>312.64999999999998</v>
      </c>
      <c r="E933">
        <f t="shared" si="289"/>
        <v>-4.0634332385852512E-2</v>
      </c>
      <c r="F933" s="4">
        <f t="shared" si="290"/>
        <v>-3.0302090441039757E-2</v>
      </c>
      <c r="G933">
        <f t="shared" ca="1" si="291"/>
        <v>6.7246371249936442E-3</v>
      </c>
      <c r="H933">
        <f t="shared" ca="1" si="292"/>
        <v>3.85295120550294E-2</v>
      </c>
      <c r="I933">
        <f t="shared" ca="1" si="293"/>
        <v>0.55528338521930509</v>
      </c>
      <c r="J933">
        <f t="shared" ca="1" si="294"/>
        <v>7.6174857180499886</v>
      </c>
      <c r="K933">
        <f t="shared" ca="1" si="295"/>
        <v>1.5444457268071168</v>
      </c>
      <c r="L933">
        <f t="shared" ca="1" si="296"/>
        <v>2.2648338684821945</v>
      </c>
      <c r="M933">
        <f t="shared" ca="1" si="297"/>
        <v>4.7033438884382453E-4</v>
      </c>
      <c r="N933">
        <f t="shared" ca="1" si="298"/>
        <v>8.5154977024308742E-3</v>
      </c>
      <c r="O933">
        <f t="shared" ca="1" si="299"/>
        <v>-1.1693927938067628</v>
      </c>
      <c r="P933">
        <f t="shared" ca="1" si="300"/>
        <v>3.0364332060861789</v>
      </c>
      <c r="Q933">
        <f t="shared" ca="1" si="301"/>
        <v>0.8523540315313809</v>
      </c>
      <c r="R933">
        <f t="shared" ca="1" si="302"/>
        <v>1.9090364356718794</v>
      </c>
      <c r="T933">
        <f t="shared" si="303"/>
        <v>0.95936566761414754</v>
      </c>
      <c r="U933" s="6">
        <f t="shared" ca="1" si="304"/>
        <v>0.93186047771407421</v>
      </c>
      <c r="V933">
        <f t="shared" ca="1" si="305"/>
        <v>1.1535106535205366</v>
      </c>
      <c r="X933" t="b">
        <f t="shared" ca="1" si="306"/>
        <v>1</v>
      </c>
      <c r="BJ933" t="b">
        <f t="shared" si="287"/>
        <v>1</v>
      </c>
      <c r="BK933" t="b">
        <f t="shared" ca="1" si="288"/>
        <v>1</v>
      </c>
    </row>
    <row r="934" spans="1:63" x14ac:dyDescent="0.45">
      <c r="A934" s="1">
        <v>43885</v>
      </c>
      <c r="B934">
        <v>55.585999999999999</v>
      </c>
      <c r="C934" s="1">
        <v>43885</v>
      </c>
      <c r="D934">
        <v>322.42</v>
      </c>
      <c r="E934">
        <f t="shared" si="289"/>
        <v>-7.4595408104656979E-2</v>
      </c>
      <c r="F934" s="4">
        <f t="shared" si="290"/>
        <v>-3.316540722082284E-2</v>
      </c>
      <c r="G934">
        <f t="shared" ca="1" si="291"/>
        <v>6.8693932061672722E-3</v>
      </c>
      <c r="H934">
        <f t="shared" ca="1" si="292"/>
        <v>3.8404872954491145E-2</v>
      </c>
      <c r="I934">
        <f t="shared" ca="1" si="293"/>
        <v>0.55824476465647999</v>
      </c>
      <c r="J934">
        <f t="shared" ca="1" si="294"/>
        <v>7.7362091879635164</v>
      </c>
      <c r="K934">
        <f t="shared" ca="1" si="295"/>
        <v>1.5444457268071168</v>
      </c>
      <c r="L934">
        <f t="shared" ca="1" si="296"/>
        <v>2.2648338684821945</v>
      </c>
      <c r="M934">
        <f t="shared" ca="1" si="297"/>
        <v>6.0671598492966286E-4</v>
      </c>
      <c r="N934">
        <f t="shared" ca="1" si="298"/>
        <v>8.2339495641277297E-3</v>
      </c>
      <c r="O934">
        <f t="shared" ca="1" si="299"/>
        <v>-1.0791284130292358</v>
      </c>
      <c r="P934">
        <f t="shared" ca="1" si="300"/>
        <v>2.9730769522724767</v>
      </c>
      <c r="Q934">
        <f t="shared" ca="1" si="301"/>
        <v>0.94231908608116666</v>
      </c>
      <c r="R934">
        <f t="shared" ca="1" si="302"/>
        <v>1.9332916587734872</v>
      </c>
      <c r="T934">
        <f t="shared" si="303"/>
        <v>0.92540459189534308</v>
      </c>
      <c r="U934" s="6">
        <f t="shared" ca="1" si="304"/>
        <v>1.0421990689093339</v>
      </c>
      <c r="V934">
        <f t="shared" ca="1" si="305"/>
        <v>1.131186236364309</v>
      </c>
      <c r="X934" t="b">
        <f t="shared" ca="1" si="306"/>
        <v>0</v>
      </c>
      <c r="BJ934" t="b">
        <f t="shared" si="287"/>
        <v>1</v>
      </c>
      <c r="BK934" t="b">
        <f t="shared" ca="1" si="288"/>
        <v>0</v>
      </c>
    </row>
    <row r="935" spans="1:63" x14ac:dyDescent="0.45">
      <c r="A935" s="1">
        <v>43882</v>
      </c>
      <c r="B935">
        <v>60.066699999999997</v>
      </c>
      <c r="C935" s="1">
        <v>43882</v>
      </c>
      <c r="D935">
        <v>333.48</v>
      </c>
      <c r="E935">
        <f t="shared" si="289"/>
        <v>1.7678245917741877E-3</v>
      </c>
      <c r="F935" s="4">
        <f t="shared" si="290"/>
        <v>-1.0298263837364506E-2</v>
      </c>
      <c r="G935">
        <f t="shared" ca="1" si="291"/>
        <v>7.1974419801323656E-3</v>
      </c>
      <c r="H935">
        <f t="shared" ca="1" si="292"/>
        <v>3.7983417732873261E-2</v>
      </c>
      <c r="I935">
        <f t="shared" ca="1" si="293"/>
        <v>0.60056989118545345</v>
      </c>
      <c r="J935">
        <f t="shared" ca="1" si="294"/>
        <v>8.0917134589015198</v>
      </c>
      <c r="K935">
        <f t="shared" ca="1" si="295"/>
        <v>1.7633735847181511</v>
      </c>
      <c r="L935">
        <f t="shared" ca="1" si="296"/>
        <v>2.2757889989343298</v>
      </c>
      <c r="M935">
        <f t="shared" ca="1" si="297"/>
        <v>7.6559688829318001E-4</v>
      </c>
      <c r="N935">
        <f t="shared" ca="1" si="298"/>
        <v>7.8778890407626961E-3</v>
      </c>
      <c r="O935">
        <f t="shared" ca="1" si="299"/>
        <v>-0.89346349253884805</v>
      </c>
      <c r="P935">
        <f t="shared" ca="1" si="300"/>
        <v>2.4591042730516826</v>
      </c>
      <c r="Q935">
        <f t="shared" ca="1" si="301"/>
        <v>0.95050729172564197</v>
      </c>
      <c r="R935">
        <f t="shared" ca="1" si="302"/>
        <v>2.0145268246309809</v>
      </c>
      <c r="T935">
        <f t="shared" si="303"/>
        <v>1.0017678245917743</v>
      </c>
      <c r="U935" s="6">
        <f t="shared" ca="1" si="304"/>
        <v>1.1206473880597012</v>
      </c>
      <c r="V935">
        <f t="shared" ca="1" si="305"/>
        <v>1.096021256223402</v>
      </c>
      <c r="X935" t="b">
        <f t="shared" ca="1" si="306"/>
        <v>0</v>
      </c>
      <c r="BJ935" t="b">
        <f t="shared" si="287"/>
        <v>1</v>
      </c>
      <c r="BK935" t="b">
        <f t="shared" ca="1" si="288"/>
        <v>0</v>
      </c>
    </row>
    <row r="936" spans="1:63" x14ac:dyDescent="0.45">
      <c r="A936" s="1">
        <v>43881</v>
      </c>
      <c r="B936">
        <v>59.960700000000003</v>
      </c>
      <c r="C936" s="1">
        <v>43881</v>
      </c>
      <c r="D936">
        <v>336.95</v>
      </c>
      <c r="E936">
        <f t="shared" si="289"/>
        <v>-1.9630060185116968E-2</v>
      </c>
      <c r="F936" s="4">
        <f t="shared" si="290"/>
        <v>-4.108293432641681E-3</v>
      </c>
      <c r="G936">
        <f t="shared" ca="1" si="291"/>
        <v>7.0264664158334001E-3</v>
      </c>
      <c r="H936">
        <f t="shared" ca="1" si="292"/>
        <v>3.8084807274686806E-2</v>
      </c>
      <c r="I936">
        <f t="shared" ca="1" si="293"/>
        <v>0.60368815224587058</v>
      </c>
      <c r="J936">
        <f t="shared" ca="1" si="294"/>
        <v>7.9905880275074059</v>
      </c>
      <c r="K936">
        <f t="shared" ca="1" si="295"/>
        <v>1.7633735847181511</v>
      </c>
      <c r="L936">
        <f t="shared" ca="1" si="296"/>
        <v>2.198919696314384</v>
      </c>
      <c r="M936">
        <f t="shared" ca="1" si="297"/>
        <v>7.3358981256162322E-4</v>
      </c>
      <c r="N936">
        <f t="shared" ca="1" si="298"/>
        <v>7.9358571677893251E-3</v>
      </c>
      <c r="O936">
        <f t="shared" ca="1" si="299"/>
        <v>-0.90215778661663959</v>
      </c>
      <c r="P936">
        <f t="shared" ca="1" si="300"/>
        <v>2.3869965959202881</v>
      </c>
      <c r="Q936">
        <f t="shared" ca="1" si="301"/>
        <v>0.94231908608116666</v>
      </c>
      <c r="R936">
        <f t="shared" ca="1" si="302"/>
        <v>2.0145268246309809</v>
      </c>
      <c r="T936">
        <f t="shared" si="303"/>
        <v>0.98036993981488307</v>
      </c>
      <c r="U936" s="6">
        <f t="shared" ca="1" si="304"/>
        <v>1.1721903242644083</v>
      </c>
      <c r="V936">
        <f t="shared" ca="1" si="305"/>
        <v>1.0949076327386171</v>
      </c>
      <c r="X936" t="b">
        <f t="shared" ca="1" si="306"/>
        <v>0</v>
      </c>
      <c r="BJ936" t="b">
        <f t="shared" si="287"/>
        <v>1</v>
      </c>
      <c r="BK936" t="b">
        <f t="shared" ca="1" si="288"/>
        <v>0</v>
      </c>
    </row>
    <row r="937" spans="1:63" x14ac:dyDescent="0.45">
      <c r="A937" s="1">
        <v>43880</v>
      </c>
      <c r="B937">
        <v>61.161299999999997</v>
      </c>
      <c r="C937" s="1">
        <v>43880</v>
      </c>
      <c r="D937">
        <v>338.34</v>
      </c>
      <c r="E937">
        <f t="shared" si="289"/>
        <v>6.8754619784121673E-2</v>
      </c>
      <c r="F937" s="4">
        <f t="shared" si="290"/>
        <v>4.7812787693402928E-3</v>
      </c>
      <c r="G937">
        <f t="shared" ca="1" si="291"/>
        <v>7.1307042358743824E-3</v>
      </c>
      <c r="H937">
        <f t="shared" ca="1" si="292"/>
        <v>3.8039985377476652E-2</v>
      </c>
      <c r="I937">
        <f t="shared" ca="1" si="293"/>
        <v>0.59924946282004465</v>
      </c>
      <c r="J937">
        <f t="shared" ca="1" si="294"/>
        <v>8.0347017619416476</v>
      </c>
      <c r="K937">
        <f t="shared" ca="1" si="295"/>
        <v>1.7633735847181511</v>
      </c>
      <c r="L937">
        <f t="shared" ca="1" si="296"/>
        <v>2.2757889989343298</v>
      </c>
      <c r="M937">
        <f t="shared" ca="1" si="297"/>
        <v>7.335551480375888E-4</v>
      </c>
      <c r="N937">
        <f t="shared" ca="1" si="298"/>
        <v>7.9358784389559137E-3</v>
      </c>
      <c r="O937">
        <f t="shared" ca="1" si="299"/>
        <v>-0.90214225488645161</v>
      </c>
      <c r="P937">
        <f t="shared" ca="1" si="300"/>
        <v>2.3869263852521785</v>
      </c>
      <c r="Q937">
        <f t="shared" ca="1" si="301"/>
        <v>0.94231908608116666</v>
      </c>
      <c r="R937">
        <f t="shared" ca="1" si="302"/>
        <v>2.0145268246309809</v>
      </c>
      <c r="T937">
        <f t="shared" si="303"/>
        <v>1.0687546197841216</v>
      </c>
      <c r="U937" s="6">
        <f t="shared" ca="1" si="304"/>
        <v>1.1847156336137512</v>
      </c>
      <c r="V937">
        <f t="shared" ca="1" si="305"/>
        <v>1.0982771482832465</v>
      </c>
      <c r="X937" t="b">
        <f t="shared" ca="1" si="306"/>
        <v>0</v>
      </c>
      <c r="BJ937" t="b">
        <f t="shared" si="287"/>
        <v>1</v>
      </c>
      <c r="BK937" t="b">
        <f t="shared" ca="1" si="288"/>
        <v>0</v>
      </c>
    </row>
    <row r="938" spans="1:63" x14ac:dyDescent="0.45">
      <c r="A938" s="1">
        <v>43879</v>
      </c>
      <c r="B938">
        <v>57.226700000000001</v>
      </c>
      <c r="C938" s="1">
        <v>43879</v>
      </c>
      <c r="D938">
        <v>336.73</v>
      </c>
      <c r="E938">
        <f t="shared" si="289"/>
        <v>7.2961059560928784E-2</v>
      </c>
      <c r="F938" s="4">
        <f t="shared" si="290"/>
        <v>-2.5770142180094918E-3</v>
      </c>
      <c r="G938">
        <f t="shared" ca="1" si="291"/>
        <v>7.0108254915100133E-3</v>
      </c>
      <c r="H938">
        <f t="shared" ca="1" si="292"/>
        <v>3.7882260092938422E-2</v>
      </c>
      <c r="I938">
        <f t="shared" ca="1" si="293"/>
        <v>0.59948750675389362</v>
      </c>
      <c r="J938">
        <f t="shared" ca="1" si="294"/>
        <v>8.1968614044483274</v>
      </c>
      <c r="K938">
        <f t="shared" ca="1" si="295"/>
        <v>1.6571637490727416</v>
      </c>
      <c r="L938">
        <f t="shared" ca="1" si="296"/>
        <v>2.2757889989343298</v>
      </c>
      <c r="M938">
        <f t="shared" ca="1" si="297"/>
        <v>7.5858755493269606E-4</v>
      </c>
      <c r="N938">
        <f t="shared" ca="1" si="298"/>
        <v>7.9565795251836085E-3</v>
      </c>
      <c r="O938">
        <f t="shared" ca="1" si="299"/>
        <v>-0.89784144549161449</v>
      </c>
      <c r="P938">
        <f t="shared" ca="1" si="300"/>
        <v>2.3504130811285773</v>
      </c>
      <c r="Q938">
        <f t="shared" ca="1" si="301"/>
        <v>0.94231908608116666</v>
      </c>
      <c r="R938">
        <f t="shared" ca="1" si="302"/>
        <v>2.0511882786124951</v>
      </c>
      <c r="T938">
        <f t="shared" si="303"/>
        <v>1.0729610595609287</v>
      </c>
      <c r="U938" s="6">
        <f t="shared" ca="1" si="304"/>
        <v>1.1129550144208236</v>
      </c>
      <c r="V938">
        <f t="shared" ca="1" si="305"/>
        <v>1.0935213110184865</v>
      </c>
      <c r="X938" t="b">
        <f t="shared" ca="1" si="306"/>
        <v>0</v>
      </c>
      <c r="BJ938" t="b">
        <f t="shared" si="287"/>
        <v>1</v>
      </c>
      <c r="BK938" t="b">
        <f t="shared" ca="1" si="288"/>
        <v>0</v>
      </c>
    </row>
    <row r="939" spans="1:63" x14ac:dyDescent="0.45">
      <c r="A939" s="1">
        <v>43875</v>
      </c>
      <c r="B939">
        <v>53.335299999999997</v>
      </c>
      <c r="C939" s="1">
        <v>43875</v>
      </c>
      <c r="D939">
        <v>337.6</v>
      </c>
      <c r="E939">
        <f t="shared" si="289"/>
        <v>-4.9384328358209858E-3</v>
      </c>
      <c r="F939" s="4">
        <f t="shared" si="290"/>
        <v>1.6020886489053001E-3</v>
      </c>
      <c r="G939">
        <f t="shared" ca="1" si="291"/>
        <v>6.8615874438928606E-3</v>
      </c>
      <c r="H939">
        <f t="shared" ca="1" si="292"/>
        <v>3.7679391488539903E-2</v>
      </c>
      <c r="I939">
        <f t="shared" ca="1" si="293"/>
        <v>0.59847246886580574</v>
      </c>
      <c r="J939">
        <f t="shared" ca="1" si="294"/>
        <v>8.406284165398624</v>
      </c>
      <c r="K939">
        <f t="shared" ca="1" si="295"/>
        <v>1.3566667149984371</v>
      </c>
      <c r="L939">
        <f t="shared" ca="1" si="296"/>
        <v>2.2757889989343298</v>
      </c>
      <c r="M939">
        <f t="shared" ca="1" si="297"/>
        <v>7.606779308443741E-4</v>
      </c>
      <c r="N939">
        <f t="shared" ca="1" si="298"/>
        <v>7.9557536584956082E-3</v>
      </c>
      <c r="O939">
        <f t="shared" ca="1" si="299"/>
        <v>-0.89879352258114964</v>
      </c>
      <c r="P939">
        <f t="shared" ca="1" si="300"/>
        <v>2.3535510998501996</v>
      </c>
      <c r="Q939">
        <f t="shared" ca="1" si="301"/>
        <v>0.94231908608116666</v>
      </c>
      <c r="R939">
        <f t="shared" ca="1" si="302"/>
        <v>2.0511882786124951</v>
      </c>
      <c r="T939">
        <f t="shared" si="303"/>
        <v>0.99506156716417904</v>
      </c>
      <c r="U939" s="6">
        <f t="shared" ca="1" si="304"/>
        <v>1.0694587869175258</v>
      </c>
      <c r="V939">
        <f t="shared" ca="1" si="305"/>
        <v>1.1102595748503683</v>
      </c>
      <c r="X939" t="b">
        <f t="shared" ca="1" si="306"/>
        <v>0</v>
      </c>
      <c r="BJ939" t="b">
        <f t="shared" si="287"/>
        <v>1</v>
      </c>
      <c r="BK939" t="b">
        <f t="shared" ca="1" si="288"/>
        <v>0</v>
      </c>
    </row>
    <row r="940" spans="1:63" x14ac:dyDescent="0.45">
      <c r="A940" s="1">
        <v>43874</v>
      </c>
      <c r="B940">
        <v>53.6</v>
      </c>
      <c r="C940" s="1">
        <v>43874</v>
      </c>
      <c r="D940">
        <v>337.06</v>
      </c>
      <c r="E940">
        <f t="shared" si="289"/>
        <v>4.7843026858797252E-2</v>
      </c>
      <c r="F940" s="4">
        <f t="shared" si="290"/>
        <v>-1.0669195661194169E-3</v>
      </c>
      <c r="G940">
        <f t="shared" ca="1" si="291"/>
        <v>6.7882447051328069E-3</v>
      </c>
      <c r="H940">
        <f t="shared" ca="1" si="292"/>
        <v>3.771673320914315E-2</v>
      </c>
      <c r="I940">
        <f t="shared" ca="1" si="293"/>
        <v>0.60099044938597235</v>
      </c>
      <c r="J940">
        <f t="shared" ca="1" si="294"/>
        <v>8.3669514444828756</v>
      </c>
      <c r="K940">
        <f t="shared" ca="1" si="295"/>
        <v>1.3566667149984371</v>
      </c>
      <c r="L940">
        <f t="shared" ca="1" si="296"/>
        <v>2.198919696314384</v>
      </c>
      <c r="M940">
        <f t="shared" ca="1" si="297"/>
        <v>7.1508501021735676E-4</v>
      </c>
      <c r="N940">
        <f t="shared" ca="1" si="298"/>
        <v>7.9770075129262461E-3</v>
      </c>
      <c r="O940">
        <f t="shared" ca="1" si="299"/>
        <v>-0.87998509848451401</v>
      </c>
      <c r="P940">
        <f t="shared" ca="1" si="300"/>
        <v>2.2815112407665179</v>
      </c>
      <c r="Q940">
        <f t="shared" ca="1" si="301"/>
        <v>0.94231908608116666</v>
      </c>
      <c r="R940">
        <f t="shared" ca="1" si="302"/>
        <v>1.9684747510581744</v>
      </c>
      <c r="T940">
        <f t="shared" si="303"/>
        <v>1.0478430268587973</v>
      </c>
      <c r="U940" s="6">
        <f t="shared" ca="1" si="304"/>
        <v>1.0734878541658739</v>
      </c>
      <c r="V940">
        <f t="shared" ca="1" si="305"/>
        <v>1.1157663709487013</v>
      </c>
      <c r="X940" t="b">
        <f t="shared" ca="1" si="306"/>
        <v>0</v>
      </c>
      <c r="BJ940" t="b">
        <f t="shared" si="287"/>
        <v>1</v>
      </c>
      <c r="BK940" t="b">
        <f t="shared" ca="1" si="288"/>
        <v>0</v>
      </c>
    </row>
    <row r="941" spans="1:63" x14ac:dyDescent="0.45">
      <c r="A941" s="1">
        <v>43873</v>
      </c>
      <c r="B941">
        <v>51.152700000000003</v>
      </c>
      <c r="C941" s="1">
        <v>43873</v>
      </c>
      <c r="D941">
        <v>337.42</v>
      </c>
      <c r="E941">
        <f t="shared" si="289"/>
        <v>-9.1544262212519805E-3</v>
      </c>
      <c r="F941" s="4">
        <f t="shared" si="290"/>
        <v>6.4427608423313996E-3</v>
      </c>
      <c r="G941">
        <f t="shared" ca="1" si="291"/>
        <v>6.4914758374557888E-3</v>
      </c>
      <c r="H941">
        <f t="shared" ca="1" si="292"/>
        <v>3.7625474131853347E-2</v>
      </c>
      <c r="I941">
        <f t="shared" ca="1" si="293"/>
        <v>0.62209791189087882</v>
      </c>
      <c r="J941">
        <f t="shared" ca="1" si="294"/>
        <v>8.4906686409620526</v>
      </c>
      <c r="K941">
        <f t="shared" ca="1" si="295"/>
        <v>1.3566667149984371</v>
      </c>
      <c r="L941">
        <f t="shared" ca="1" si="296"/>
        <v>2.1556285228219223</v>
      </c>
      <c r="M941">
        <f t="shared" ca="1" si="297"/>
        <v>7.2297175695733512E-4</v>
      </c>
      <c r="N941">
        <f t="shared" ca="1" si="298"/>
        <v>7.9760165076379948E-3</v>
      </c>
      <c r="O941">
        <f t="shared" ca="1" si="299"/>
        <v>-0.88325301428473435</v>
      </c>
      <c r="P941">
        <f t="shared" ca="1" si="300"/>
        <v>2.2877048046900068</v>
      </c>
      <c r="Q941">
        <f t="shared" ca="1" si="301"/>
        <v>0.94231908608116666</v>
      </c>
      <c r="R941">
        <f t="shared" ca="1" si="302"/>
        <v>1.9684747510581744</v>
      </c>
      <c r="T941">
        <f t="shared" si="303"/>
        <v>0.99084557377874805</v>
      </c>
      <c r="U941" s="6">
        <f t="shared" ca="1" si="304"/>
        <v>1.0443589220089835</v>
      </c>
      <c r="V941">
        <f t="shared" ca="1" si="305"/>
        <v>1.1212419161590428</v>
      </c>
      <c r="X941" t="b">
        <f t="shared" ca="1" si="306"/>
        <v>0</v>
      </c>
      <c r="BJ941" t="b">
        <f t="shared" si="287"/>
        <v>1</v>
      </c>
      <c r="BK941" t="b">
        <f t="shared" ca="1" si="288"/>
        <v>0</v>
      </c>
    </row>
    <row r="942" spans="1:63" x14ac:dyDescent="0.45">
      <c r="A942" s="1">
        <v>43872</v>
      </c>
      <c r="B942">
        <v>51.625300000000003</v>
      </c>
      <c r="C942" s="1">
        <v>43872</v>
      </c>
      <c r="D942">
        <v>335.26</v>
      </c>
      <c r="E942">
        <f t="shared" si="289"/>
        <v>4.0179934537435151E-3</v>
      </c>
      <c r="F942" s="4">
        <f t="shared" si="290"/>
        <v>1.7329986853112946E-3</v>
      </c>
      <c r="G942">
        <f t="shared" ca="1" si="291"/>
        <v>6.6718486319965976E-3</v>
      </c>
      <c r="H942">
        <f t="shared" ca="1" si="292"/>
        <v>3.7636559616008723E-2</v>
      </c>
      <c r="I942">
        <f t="shared" ca="1" si="293"/>
        <v>0.60820193696688607</v>
      </c>
      <c r="J942">
        <f t="shared" ca="1" si="294"/>
        <v>8.4653397661372374</v>
      </c>
      <c r="K942">
        <f t="shared" ca="1" si="295"/>
        <v>1.3566667149984371</v>
      </c>
      <c r="L942">
        <f t="shared" ca="1" si="296"/>
        <v>2.1914307863197955</v>
      </c>
      <c r="M942">
        <f t="shared" ca="1" si="297"/>
        <v>6.9859681304355436E-4</v>
      </c>
      <c r="N942">
        <f t="shared" ca="1" si="298"/>
        <v>7.9658914523470618E-3</v>
      </c>
      <c r="O942">
        <f t="shared" ca="1" si="299"/>
        <v>-0.87922582010128969</v>
      </c>
      <c r="P942">
        <f t="shared" ca="1" si="300"/>
        <v>2.3024591620536796</v>
      </c>
      <c r="Q942">
        <f t="shared" ca="1" si="301"/>
        <v>0.94231908608116666</v>
      </c>
      <c r="R942">
        <f t="shared" ca="1" si="302"/>
        <v>1.9332916587734872</v>
      </c>
      <c r="T942">
        <f t="shared" si="303"/>
        <v>1.0040179934537434</v>
      </c>
      <c r="U942" s="6">
        <f t="shared" ca="1" si="304"/>
        <v>0.87297357167134793</v>
      </c>
      <c r="V942">
        <f t="shared" ca="1" si="305"/>
        <v>0.67680160533153588</v>
      </c>
      <c r="X942" t="b">
        <f t="shared" ca="1" si="306"/>
        <v>1</v>
      </c>
      <c r="BJ942" t="b">
        <f t="shared" si="287"/>
        <v>1</v>
      </c>
      <c r="BK942" t="b">
        <f t="shared" ca="1" si="288"/>
        <v>1</v>
      </c>
    </row>
    <row r="943" spans="1:63" x14ac:dyDescent="0.45">
      <c r="A943" s="1">
        <v>43871</v>
      </c>
      <c r="B943">
        <v>51.418700000000001</v>
      </c>
      <c r="C943" s="1">
        <v>43871</v>
      </c>
      <c r="D943">
        <v>334.68</v>
      </c>
      <c r="E943">
        <f t="shared" si="289"/>
        <v>3.1027865726379767E-2</v>
      </c>
      <c r="F943" s="4">
        <f t="shared" si="290"/>
        <v>7.4653822998194405E-3</v>
      </c>
      <c r="G943">
        <f t="shared" ca="1" si="291"/>
        <v>6.3995583097635278E-3</v>
      </c>
      <c r="H943">
        <f t="shared" ca="1" si="292"/>
        <v>3.7852232752010315E-2</v>
      </c>
      <c r="I943">
        <f t="shared" ca="1" si="293"/>
        <v>0.60223069766602966</v>
      </c>
      <c r="J943">
        <f t="shared" ca="1" si="294"/>
        <v>8.2494235972114716</v>
      </c>
      <c r="K943">
        <f t="shared" ca="1" si="295"/>
        <v>1.1882326744821274</v>
      </c>
      <c r="L943">
        <f t="shared" ca="1" si="296"/>
        <v>2.1310802030034419</v>
      </c>
      <c r="M943">
        <f t="shared" ca="1" si="297"/>
        <v>7.132155039176317E-4</v>
      </c>
      <c r="N943">
        <f t="shared" ca="1" si="298"/>
        <v>7.9704807278772362E-3</v>
      </c>
      <c r="O943">
        <f t="shared" ca="1" si="299"/>
        <v>-0.88265532453477935</v>
      </c>
      <c r="P943">
        <f t="shared" ca="1" si="300"/>
        <v>2.2970518228128141</v>
      </c>
      <c r="Q943">
        <f t="shared" ca="1" si="301"/>
        <v>0.94231908608116666</v>
      </c>
      <c r="R943">
        <f t="shared" ca="1" si="302"/>
        <v>1.9332916587734872</v>
      </c>
      <c r="T943">
        <f t="shared" si="303"/>
        <v>1.0310278657263798</v>
      </c>
      <c r="U943" s="6">
        <f t="shared" ca="1" si="304"/>
        <v>0.9888211538461541</v>
      </c>
      <c r="V943">
        <f t="shared" ca="1" si="305"/>
        <v>0.69999286978066311</v>
      </c>
      <c r="X943" t="b">
        <f t="shared" ca="1" si="306"/>
        <v>1</v>
      </c>
      <c r="BJ943" t="b">
        <f t="shared" si="287"/>
        <v>1</v>
      </c>
      <c r="BK943" t="b">
        <f t="shared" ca="1" si="288"/>
        <v>1</v>
      </c>
    </row>
    <row r="944" spans="1:63" x14ac:dyDescent="0.45">
      <c r="A944" s="1">
        <v>43868</v>
      </c>
      <c r="B944">
        <v>49.871299999999998</v>
      </c>
      <c r="C944" s="1">
        <v>43868</v>
      </c>
      <c r="D944">
        <v>332.2</v>
      </c>
      <c r="E944">
        <f t="shared" si="289"/>
        <v>-1.1896488533107621E-3</v>
      </c>
      <c r="F944" s="4">
        <f t="shared" si="290"/>
        <v>-5.3296604587101904E-3</v>
      </c>
      <c r="G944">
        <f t="shared" ca="1" si="291"/>
        <v>6.0312143882297522E-3</v>
      </c>
      <c r="H944">
        <f t="shared" ca="1" si="292"/>
        <v>3.7969625041766687E-2</v>
      </c>
      <c r="I944">
        <f t="shared" ca="1" si="293"/>
        <v>0.61373867589309838</v>
      </c>
      <c r="J944">
        <f t="shared" ca="1" si="294"/>
        <v>8.1475950165723283</v>
      </c>
      <c r="K944">
        <f t="shared" ca="1" si="295"/>
        <v>1.1594306047519938</v>
      </c>
      <c r="L944">
        <f t="shared" ca="1" si="296"/>
        <v>2.0872477945324523</v>
      </c>
      <c r="M944">
        <f t="shared" ca="1" si="297"/>
        <v>6.7280882648074582E-4</v>
      </c>
      <c r="N944">
        <f t="shared" ca="1" si="298"/>
        <v>7.9565504876093502E-3</v>
      </c>
      <c r="O944">
        <f t="shared" ca="1" si="299"/>
        <v>-0.87503604313656791</v>
      </c>
      <c r="P944">
        <f t="shared" ca="1" si="300"/>
        <v>2.3135891494964271</v>
      </c>
      <c r="Q944">
        <f t="shared" ca="1" si="301"/>
        <v>0.94231908608116666</v>
      </c>
      <c r="R944">
        <f t="shared" ca="1" si="302"/>
        <v>1.8740398364294351</v>
      </c>
      <c r="T944">
        <f t="shared" si="303"/>
        <v>0.99881035114668926</v>
      </c>
      <c r="U944" s="6">
        <f t="shared" ca="1" si="304"/>
        <v>1.1498686919691135</v>
      </c>
      <c r="V944">
        <f t="shared" ca="1" si="305"/>
        <v>0.82446262550934224</v>
      </c>
      <c r="X944" t="b">
        <f t="shared" ca="1" si="306"/>
        <v>0</v>
      </c>
      <c r="BJ944" t="b">
        <f t="shared" si="287"/>
        <v>1</v>
      </c>
      <c r="BK944" t="b">
        <f t="shared" ca="1" si="288"/>
        <v>0</v>
      </c>
    </row>
    <row r="945" spans="1:63" x14ac:dyDescent="0.45">
      <c r="A945" s="1">
        <v>43867</v>
      </c>
      <c r="B945">
        <v>49.930700000000002</v>
      </c>
      <c r="C945" s="1">
        <v>43867</v>
      </c>
      <c r="D945">
        <v>333.98</v>
      </c>
      <c r="E945">
        <f t="shared" si="289"/>
        <v>1.9409963250306347E-2</v>
      </c>
      <c r="F945" s="4">
        <f t="shared" si="290"/>
        <v>3.3647779847383419E-3</v>
      </c>
      <c r="G945">
        <f t="shared" ca="1" si="291"/>
        <v>5.9378918873831087E-3</v>
      </c>
      <c r="H945">
        <f t="shared" ca="1" si="292"/>
        <v>3.8010376928282082E-2</v>
      </c>
      <c r="I945">
        <f t="shared" ca="1" si="293"/>
        <v>0.61763841851243306</v>
      </c>
      <c r="J945">
        <f t="shared" ca="1" si="294"/>
        <v>8.1069281496023891</v>
      </c>
      <c r="K945">
        <f t="shared" ca="1" si="295"/>
        <v>1.1594306047519938</v>
      </c>
      <c r="L945">
        <f t="shared" ca="1" si="296"/>
        <v>2.0479696249913948</v>
      </c>
      <c r="M945">
        <f t="shared" ca="1" si="297"/>
        <v>6.8836043388219119E-4</v>
      </c>
      <c r="N945">
        <f t="shared" ca="1" si="298"/>
        <v>7.9477941529452738E-3</v>
      </c>
      <c r="O945">
        <f t="shared" ca="1" si="299"/>
        <v>-0.88191888213873315</v>
      </c>
      <c r="P945">
        <f t="shared" ca="1" si="300"/>
        <v>2.3426715338948156</v>
      </c>
      <c r="Q945">
        <f t="shared" ca="1" si="301"/>
        <v>0.94231908608116666</v>
      </c>
      <c r="R945">
        <f t="shared" ca="1" si="302"/>
        <v>1.9527852943353974</v>
      </c>
      <c r="T945">
        <f t="shared" si="303"/>
        <v>1.0194099632503064</v>
      </c>
      <c r="U945" s="6">
        <f t="shared" ca="1" si="304"/>
        <v>1.1687706428031377</v>
      </c>
      <c r="V945">
        <f t="shared" ca="1" si="305"/>
        <v>0.86091909497694641</v>
      </c>
      <c r="X945" t="b">
        <f t="shared" ca="1" si="306"/>
        <v>0</v>
      </c>
      <c r="BJ945" t="b">
        <f t="shared" si="287"/>
        <v>1</v>
      </c>
      <c r="BK945" t="b">
        <f t="shared" ca="1" si="288"/>
        <v>0</v>
      </c>
    </row>
    <row r="946" spans="1:63" x14ac:dyDescent="0.45">
      <c r="A946" s="1">
        <v>43866</v>
      </c>
      <c r="B946">
        <v>48.98</v>
      </c>
      <c r="C946" s="1">
        <v>43866</v>
      </c>
      <c r="D946">
        <v>332.86</v>
      </c>
      <c r="E946">
        <f t="shared" si="289"/>
        <v>-0.17175792604667453</v>
      </c>
      <c r="F946" s="4">
        <f t="shared" si="290"/>
        <v>1.1548045949067075E-2</v>
      </c>
      <c r="G946">
        <f t="shared" ca="1" si="291"/>
        <v>5.8627069201042702E-3</v>
      </c>
      <c r="H946">
        <f t="shared" ca="1" si="292"/>
        <v>3.799846491280956E-2</v>
      </c>
      <c r="I946">
        <f t="shared" ca="1" si="293"/>
        <v>0.62398875940802057</v>
      </c>
      <c r="J946">
        <f t="shared" ca="1" si="294"/>
        <v>8.1258524368410896</v>
      </c>
      <c r="K946">
        <f t="shared" ca="1" si="295"/>
        <v>1.1594306047519938</v>
      </c>
      <c r="L946">
        <f t="shared" ca="1" si="296"/>
        <v>2.0479696249913948</v>
      </c>
      <c r="M946">
        <f t="shared" ca="1" si="297"/>
        <v>7.1649468637762686E-4</v>
      </c>
      <c r="N946">
        <f t="shared" ca="1" si="298"/>
        <v>7.9672513402393539E-3</v>
      </c>
      <c r="O946">
        <f t="shared" ca="1" si="299"/>
        <v>-0.88062093468275293</v>
      </c>
      <c r="P946">
        <f t="shared" ca="1" si="300"/>
        <v>2.3088843857434389</v>
      </c>
      <c r="Q946">
        <f t="shared" ca="1" si="301"/>
        <v>0.94231908608116666</v>
      </c>
      <c r="R946">
        <f t="shared" ca="1" si="302"/>
        <v>2.0145268246309809</v>
      </c>
      <c r="T946">
        <f t="shared" si="303"/>
        <v>0.8282420739533255</v>
      </c>
      <c r="U946" s="6">
        <f t="shared" ca="1" si="304"/>
        <v>1.2645645668905083</v>
      </c>
      <c r="V946">
        <f t="shared" ca="1" si="305"/>
        <v>0.88907132226652819</v>
      </c>
      <c r="X946" t="b">
        <f t="shared" ca="1" si="306"/>
        <v>0</v>
      </c>
      <c r="BJ946" t="b">
        <f t="shared" si="287"/>
        <v>1</v>
      </c>
      <c r="BK946" t="b">
        <f t="shared" ca="1" si="288"/>
        <v>0</v>
      </c>
    </row>
    <row r="947" spans="1:63" x14ac:dyDescent="0.45">
      <c r="A947" s="1">
        <v>43865</v>
      </c>
      <c r="B947">
        <v>59.137300000000003</v>
      </c>
      <c r="C947" s="1">
        <v>43865</v>
      </c>
      <c r="D947">
        <v>329.06</v>
      </c>
      <c r="E947">
        <f t="shared" si="289"/>
        <v>0.13725576923076929</v>
      </c>
      <c r="F947" s="4">
        <f t="shared" si="290"/>
        <v>1.5241268665926193E-2</v>
      </c>
      <c r="G947">
        <f t="shared" ca="1" si="291"/>
        <v>6.5292068037780529E-3</v>
      </c>
      <c r="H947">
        <f t="shared" ca="1" si="292"/>
        <v>3.5982908471011432E-2</v>
      </c>
      <c r="I947">
        <f t="shared" ca="1" si="293"/>
        <v>1.279732472572743</v>
      </c>
      <c r="J947">
        <f t="shared" ca="1" si="294"/>
        <v>7.6853707069332531</v>
      </c>
      <c r="K947">
        <f t="shared" ca="1" si="295"/>
        <v>1.1964474895028432</v>
      </c>
      <c r="L947">
        <f t="shared" ca="1" si="296"/>
        <v>2.0479696249913948</v>
      </c>
      <c r="M947">
        <f t="shared" ca="1" si="297"/>
        <v>6.6306450421521677E-4</v>
      </c>
      <c r="N947">
        <f t="shared" ca="1" si="298"/>
        <v>7.9299918586354795E-3</v>
      </c>
      <c r="O947">
        <f t="shared" ca="1" si="299"/>
        <v>-0.88560953104738371</v>
      </c>
      <c r="P947">
        <f t="shared" ca="1" si="300"/>
        <v>2.3675722904598508</v>
      </c>
      <c r="Q947">
        <f t="shared" ca="1" si="301"/>
        <v>0.92702660584817065</v>
      </c>
      <c r="R947">
        <f t="shared" ca="1" si="302"/>
        <v>1.9527852943353974</v>
      </c>
      <c r="T947">
        <f t="shared" si="303"/>
        <v>1.1372557692307692</v>
      </c>
      <c r="U947" s="6">
        <f t="shared" ca="1" si="304"/>
        <v>1.5647561869431879</v>
      </c>
      <c r="V947">
        <f t="shared" ca="1" si="305"/>
        <v>0.87733348358981755</v>
      </c>
      <c r="X947" t="b">
        <f t="shared" ca="1" si="306"/>
        <v>0</v>
      </c>
      <c r="BJ947" t="b">
        <f t="shared" si="287"/>
        <v>1</v>
      </c>
      <c r="BK947" t="b">
        <f t="shared" ca="1" si="288"/>
        <v>0</v>
      </c>
    </row>
    <row r="948" spans="1:63" x14ac:dyDescent="0.45">
      <c r="A948" s="1">
        <v>43864</v>
      </c>
      <c r="B948">
        <v>52</v>
      </c>
      <c r="C948" s="1">
        <v>43864</v>
      </c>
      <c r="D948">
        <v>324.12</v>
      </c>
      <c r="E948">
        <f t="shared" si="289"/>
        <v>0.19894953575290578</v>
      </c>
      <c r="F948" s="4">
        <f t="shared" si="290"/>
        <v>7.428589189693178E-3</v>
      </c>
      <c r="G948">
        <f t="shared" ca="1" si="291"/>
        <v>5.8803408544276566E-3</v>
      </c>
      <c r="H948">
        <f t="shared" ca="1" si="292"/>
        <v>3.4763120880407068E-2</v>
      </c>
      <c r="I948">
        <f t="shared" ca="1" si="293"/>
        <v>1.2058674646162608</v>
      </c>
      <c r="J948">
        <f t="shared" ca="1" si="294"/>
        <v>8.3267086560524568</v>
      </c>
      <c r="K948">
        <f t="shared" ca="1" si="295"/>
        <v>1.1798162275601007</v>
      </c>
      <c r="L948">
        <f t="shared" ca="1" si="296"/>
        <v>2.0055670953390905</v>
      </c>
      <c r="M948">
        <f t="shared" ca="1" si="297"/>
        <v>5.9670442103414319E-4</v>
      </c>
      <c r="N948">
        <f t="shared" ca="1" si="298"/>
        <v>7.8626305141703701E-3</v>
      </c>
      <c r="O948">
        <f t="shared" ca="1" si="299"/>
        <v>-0.91532086619635322</v>
      </c>
      <c r="P948">
        <f t="shared" ca="1" si="300"/>
        <v>2.4623102234357184</v>
      </c>
      <c r="Q948">
        <f t="shared" ca="1" si="301"/>
        <v>0.90160839060546827</v>
      </c>
      <c r="R948">
        <f t="shared" ca="1" si="302"/>
        <v>1.8548291381245832</v>
      </c>
      <c r="T948">
        <f t="shared" si="303"/>
        <v>1.1989495357529059</v>
      </c>
      <c r="U948" s="6">
        <f t="shared" ca="1" si="304"/>
        <v>1.3978006144946544</v>
      </c>
      <c r="V948">
        <f t="shared" ca="1" si="305"/>
        <v>0.90267623401131092</v>
      </c>
      <c r="X948" t="b">
        <f t="shared" ca="1" si="306"/>
        <v>0</v>
      </c>
      <c r="BJ948" t="b">
        <f t="shared" si="287"/>
        <v>1</v>
      </c>
      <c r="BK948" t="b">
        <f t="shared" ca="1" si="288"/>
        <v>0</v>
      </c>
    </row>
    <row r="949" spans="1:63" x14ac:dyDescent="0.45">
      <c r="A949" s="1">
        <v>43861</v>
      </c>
      <c r="B949">
        <v>43.371299999999998</v>
      </c>
      <c r="C949" s="1">
        <v>43861</v>
      </c>
      <c r="D949">
        <v>321.73</v>
      </c>
      <c r="E949">
        <f t="shared" si="289"/>
        <v>1.5229151207728272E-2</v>
      </c>
      <c r="F949" s="4">
        <f t="shared" si="290"/>
        <v>-1.8157958984374965E-2</v>
      </c>
      <c r="G949">
        <f t="shared" ca="1" si="291"/>
        <v>4.8466335619669057E-3</v>
      </c>
      <c r="H949">
        <f t="shared" ca="1" si="292"/>
        <v>3.1953479589350763E-2</v>
      </c>
      <c r="I949">
        <f t="shared" ca="1" si="293"/>
        <v>0.5307317308451307</v>
      </c>
      <c r="J949">
        <f t="shared" ca="1" si="294"/>
        <v>6.0468017907311866</v>
      </c>
      <c r="K949">
        <f t="shared" ca="1" si="295"/>
        <v>1.1462620606038274</v>
      </c>
      <c r="L949">
        <f t="shared" ca="1" si="296"/>
        <v>1.9784694813324259</v>
      </c>
      <c r="M949">
        <f t="shared" ca="1" si="297"/>
        <v>5.4732684591556372E-4</v>
      </c>
      <c r="N949">
        <f t="shared" ca="1" si="298"/>
        <v>7.8505103916663432E-3</v>
      </c>
      <c r="O949">
        <f t="shared" ca="1" si="299"/>
        <v>-0.90414790594007954</v>
      </c>
      <c r="P949">
        <f t="shared" ca="1" si="300"/>
        <v>2.4700966837608114</v>
      </c>
      <c r="Q949">
        <f t="shared" ca="1" si="301"/>
        <v>0.90160839060546827</v>
      </c>
      <c r="R949">
        <f t="shared" ca="1" si="302"/>
        <v>1.8268844105461477</v>
      </c>
      <c r="T949">
        <f t="shared" si="303"/>
        <v>1.0152291512077283</v>
      </c>
      <c r="U949" s="6">
        <f t="shared" ca="1" si="304"/>
        <v>1.151816373520437</v>
      </c>
      <c r="V949">
        <f t="shared" ca="1" si="305"/>
        <v>0.91417817930874501</v>
      </c>
      <c r="X949" t="b">
        <f t="shared" ca="1" si="306"/>
        <v>0</v>
      </c>
      <c r="BJ949" t="b">
        <f t="shared" si="287"/>
        <v>1</v>
      </c>
      <c r="BK949" t="b">
        <f t="shared" ca="1" si="288"/>
        <v>0</v>
      </c>
    </row>
    <row r="950" spans="1:63" x14ac:dyDescent="0.45">
      <c r="A950" s="1">
        <v>43860</v>
      </c>
      <c r="B950">
        <v>42.720700000000001</v>
      </c>
      <c r="C950" s="1">
        <v>43860</v>
      </c>
      <c r="D950">
        <v>327.68</v>
      </c>
      <c r="E950">
        <f t="shared" si="289"/>
        <v>0.10296209662636478</v>
      </c>
      <c r="F950" s="4">
        <f t="shared" si="290"/>
        <v>3.2453615822668615E-3</v>
      </c>
      <c r="G950">
        <f t="shared" ca="1" si="291"/>
        <v>4.9014940169684867E-3</v>
      </c>
      <c r="H950">
        <f t="shared" ca="1" si="292"/>
        <v>3.1980801984548245E-2</v>
      </c>
      <c r="I950">
        <f t="shared" ca="1" si="293"/>
        <v>0.52551188550639438</v>
      </c>
      <c r="J950">
        <f t="shared" ca="1" si="294"/>
        <v>6.0130438417892185</v>
      </c>
      <c r="K950">
        <f t="shared" ca="1" si="295"/>
        <v>1.1462620606038274</v>
      </c>
      <c r="L950">
        <f t="shared" ca="1" si="296"/>
        <v>2.0055670953390905</v>
      </c>
      <c r="M950">
        <f t="shared" ca="1" si="297"/>
        <v>6.4139284182374761E-4</v>
      </c>
      <c r="N950">
        <f t="shared" ca="1" si="298"/>
        <v>7.7371473628262922E-3</v>
      </c>
      <c r="O950">
        <f t="shared" ca="1" si="299"/>
        <v>-0.90959493051977924</v>
      </c>
      <c r="P950">
        <f t="shared" ca="1" si="300"/>
        <v>2.6678388589089161</v>
      </c>
      <c r="Q950">
        <f t="shared" ca="1" si="301"/>
        <v>0.90944284394734409</v>
      </c>
      <c r="R950">
        <f t="shared" ca="1" si="302"/>
        <v>1.8827371325309288</v>
      </c>
      <c r="T950">
        <f t="shared" si="303"/>
        <v>1.1029620966263647</v>
      </c>
      <c r="U950" s="6">
        <f t="shared" ca="1" si="304"/>
        <v>1.1199055226271211</v>
      </c>
      <c r="V950">
        <f t="shared" ca="1" si="305"/>
        <v>0.92986858940304107</v>
      </c>
      <c r="X950" t="b">
        <f t="shared" ca="1" si="306"/>
        <v>0</v>
      </c>
      <c r="BJ950" t="b">
        <f t="shared" si="287"/>
        <v>1</v>
      </c>
      <c r="BK950" t="b">
        <f t="shared" ca="1" si="288"/>
        <v>0</v>
      </c>
    </row>
    <row r="951" spans="1:63" x14ac:dyDescent="0.45">
      <c r="A951" s="1">
        <v>43859</v>
      </c>
      <c r="B951">
        <v>38.732700000000001</v>
      </c>
      <c r="C951" s="1">
        <v>43859</v>
      </c>
      <c r="D951">
        <v>326.62</v>
      </c>
      <c r="E951">
        <f t="shared" si="289"/>
        <v>2.485625759063112E-2</v>
      </c>
      <c r="F951" s="4">
        <f t="shared" si="290"/>
        <v>-8.2596592125785994E-4</v>
      </c>
      <c r="G951">
        <f t="shared" ca="1" si="291"/>
        <v>4.3620291159330712E-3</v>
      </c>
      <c r="H951">
        <f t="shared" ca="1" si="292"/>
        <v>3.1219288974340946E-2</v>
      </c>
      <c r="I951">
        <f t="shared" ca="1" si="293"/>
        <v>0.45982372831602059</v>
      </c>
      <c r="J951">
        <f t="shared" ca="1" si="294"/>
        <v>6.4562956118538013</v>
      </c>
      <c r="K951">
        <f t="shared" ca="1" si="295"/>
        <v>1.1314641213577308</v>
      </c>
      <c r="L951">
        <f t="shared" ca="1" si="296"/>
        <v>1.9784694813324259</v>
      </c>
      <c r="M951">
        <f t="shared" ca="1" si="297"/>
        <v>6.2189197821900283E-4</v>
      </c>
      <c r="N951">
        <f t="shared" ca="1" si="298"/>
        <v>7.735466141335386E-3</v>
      </c>
      <c r="O951">
        <f t="shared" ca="1" si="299"/>
        <v>-0.9027663244783547</v>
      </c>
      <c r="P951">
        <f t="shared" ca="1" si="300"/>
        <v>2.6634177015283136</v>
      </c>
      <c r="Q951">
        <f t="shared" ca="1" si="301"/>
        <v>0.90944284394734409</v>
      </c>
      <c r="R951">
        <f t="shared" ca="1" si="302"/>
        <v>1.8827371325309288</v>
      </c>
      <c r="T951">
        <f t="shared" si="303"/>
        <v>1.024856257590631</v>
      </c>
      <c r="U951" s="6">
        <f t="shared" ca="1" si="304"/>
        <v>1.0200681051442297</v>
      </c>
      <c r="V951">
        <f t="shared" ca="1" si="305"/>
        <v>0.93400113073321533</v>
      </c>
      <c r="X951" t="b">
        <f t="shared" ca="1" si="306"/>
        <v>0</v>
      </c>
      <c r="BJ951" t="b">
        <f t="shared" si="287"/>
        <v>1</v>
      </c>
      <c r="BK951" t="b">
        <f t="shared" ca="1" si="288"/>
        <v>0</v>
      </c>
    </row>
    <row r="952" spans="1:63" x14ac:dyDescent="0.45">
      <c r="A952" s="1">
        <v>43858</v>
      </c>
      <c r="B952">
        <v>37.793300000000002</v>
      </c>
      <c r="C952" s="1">
        <v>43858</v>
      </c>
      <c r="D952">
        <v>326.89</v>
      </c>
      <c r="E952">
        <f t="shared" si="289"/>
        <v>1.5913422380400648E-2</v>
      </c>
      <c r="F952" s="4">
        <f t="shared" si="290"/>
        <v>1.0479134466769664E-2</v>
      </c>
      <c r="G952">
        <f t="shared" ca="1" si="291"/>
        <v>4.2243360356615158E-3</v>
      </c>
      <c r="H952">
        <f t="shared" ca="1" si="292"/>
        <v>3.118915986528395E-2</v>
      </c>
      <c r="I952">
        <f t="shared" ca="1" si="293"/>
        <v>0.47303719897009466</v>
      </c>
      <c r="J952">
        <f t="shared" ca="1" si="294"/>
        <v>6.5005157388926031</v>
      </c>
      <c r="K952">
        <f t="shared" ca="1" si="295"/>
        <v>1.1314641213577308</v>
      </c>
      <c r="L952">
        <f t="shared" ca="1" si="296"/>
        <v>1.9414359052960022</v>
      </c>
      <c r="M952">
        <f t="shared" ca="1" si="297"/>
        <v>6.5985130714870277E-4</v>
      </c>
      <c r="N952">
        <f t="shared" ca="1" si="298"/>
        <v>7.7469443503144003E-3</v>
      </c>
      <c r="O952">
        <f t="shared" ca="1" si="299"/>
        <v>-0.91104265887882629</v>
      </c>
      <c r="P952">
        <f t="shared" ca="1" si="300"/>
        <v>2.6497697649010616</v>
      </c>
      <c r="Q952">
        <f t="shared" ca="1" si="301"/>
        <v>0.90944284394734409</v>
      </c>
      <c r="R952">
        <f t="shared" ca="1" si="302"/>
        <v>1.911536204856831</v>
      </c>
      <c r="T952">
        <f t="shared" si="303"/>
        <v>1.0159134223804007</v>
      </c>
      <c r="U952" s="6">
        <f t="shared" ca="1" si="304"/>
        <v>1.0360005482456143</v>
      </c>
      <c r="V952">
        <f t="shared" ca="1" si="305"/>
        <v>0.93165273882762378</v>
      </c>
      <c r="X952" t="b">
        <f t="shared" ca="1" si="306"/>
        <v>0</v>
      </c>
      <c r="BJ952" t="b">
        <f t="shared" si="287"/>
        <v>1</v>
      </c>
      <c r="BK952" t="b">
        <f t="shared" ca="1" si="288"/>
        <v>0</v>
      </c>
    </row>
    <row r="953" spans="1:63" x14ac:dyDescent="0.45">
      <c r="A953" s="1">
        <v>43857</v>
      </c>
      <c r="B953">
        <v>37.201300000000003</v>
      </c>
      <c r="C953" s="1">
        <v>43857</v>
      </c>
      <c r="D953">
        <v>323.5</v>
      </c>
      <c r="E953">
        <f t="shared" si="289"/>
        <v>-1.2040993554589333E-2</v>
      </c>
      <c r="F953" s="4">
        <f t="shared" si="290"/>
        <v>-1.6029443075706366E-2</v>
      </c>
      <c r="G953">
        <f t="shared" ca="1" si="291"/>
        <v>4.0064022643376482E-3</v>
      </c>
      <c r="H953">
        <f t="shared" ca="1" si="292"/>
        <v>3.1259274192132959E-2</v>
      </c>
      <c r="I953">
        <f t="shared" ca="1" si="293"/>
        <v>0.48532964616151469</v>
      </c>
      <c r="J953">
        <f t="shared" ca="1" si="294"/>
        <v>6.4341771881708114</v>
      </c>
      <c r="K953">
        <f t="shared" ca="1" si="295"/>
        <v>1.1314641213577308</v>
      </c>
      <c r="L953">
        <f t="shared" ca="1" si="296"/>
        <v>1.93473334470539</v>
      </c>
      <c r="M953">
        <f t="shared" ca="1" si="297"/>
        <v>6.0606814305308595E-4</v>
      </c>
      <c r="N953">
        <f t="shared" ca="1" si="298"/>
        <v>7.7157073959859875E-3</v>
      </c>
      <c r="O953">
        <f t="shared" ca="1" si="299"/>
        <v>-0.91150047901903841</v>
      </c>
      <c r="P953">
        <f t="shared" ca="1" si="300"/>
        <v>2.7027494152482099</v>
      </c>
      <c r="Q953">
        <f t="shared" ca="1" si="301"/>
        <v>0.90944284394734409</v>
      </c>
      <c r="R953">
        <f t="shared" ca="1" si="302"/>
        <v>1.8827371325309288</v>
      </c>
      <c r="T953">
        <f t="shared" si="303"/>
        <v>0.98795900644541068</v>
      </c>
      <c r="U953" s="6">
        <f t="shared" ca="1" si="304"/>
        <v>1.0930853017485815</v>
      </c>
      <c r="V953">
        <f t="shared" ca="1" si="305"/>
        <v>1.0171976087030674</v>
      </c>
      <c r="X953" t="b">
        <f t="shared" ca="1" si="306"/>
        <v>0</v>
      </c>
      <c r="BJ953" t="b">
        <f t="shared" si="287"/>
        <v>1</v>
      </c>
      <c r="BK953" t="b">
        <f t="shared" ca="1" si="288"/>
        <v>0</v>
      </c>
    </row>
    <row r="954" spans="1:63" x14ac:dyDescent="0.45">
      <c r="A954" s="1">
        <v>43854</v>
      </c>
      <c r="B954">
        <v>37.654699999999998</v>
      </c>
      <c r="C954" s="1">
        <v>43854</v>
      </c>
      <c r="D954">
        <v>328.77</v>
      </c>
      <c r="E954">
        <f t="shared" si="289"/>
        <v>-1.2897576985689573E-2</v>
      </c>
      <c r="F954" s="4">
        <f t="shared" si="290"/>
        <v>-8.8930423248524213E-3</v>
      </c>
      <c r="G954">
        <f t="shared" ca="1" si="291"/>
        <v>4.1354625807940824E-3</v>
      </c>
      <c r="H954">
        <f t="shared" ca="1" si="292"/>
        <v>3.1245968655428707E-2</v>
      </c>
      <c r="I954">
        <f t="shared" ca="1" si="293"/>
        <v>0.47427582115185746</v>
      </c>
      <c r="J954">
        <f t="shared" ca="1" si="294"/>
        <v>6.4419235178764049</v>
      </c>
      <c r="K954">
        <f t="shared" ca="1" si="295"/>
        <v>1.1314641213577308</v>
      </c>
      <c r="L954">
        <f t="shared" ca="1" si="296"/>
        <v>1.9414359052960022</v>
      </c>
      <c r="M954">
        <f t="shared" ca="1" si="297"/>
        <v>7.0327010765719358E-4</v>
      </c>
      <c r="N954">
        <f t="shared" ca="1" si="298"/>
        <v>7.6270259577053108E-3</v>
      </c>
      <c r="O954">
        <f t="shared" ca="1" si="299"/>
        <v>-0.92936650884278516</v>
      </c>
      <c r="P954">
        <f t="shared" ca="1" si="300"/>
        <v>2.9050255304866637</v>
      </c>
      <c r="Q954">
        <f t="shared" ca="1" si="301"/>
        <v>0.92983102477930824</v>
      </c>
      <c r="R954">
        <f t="shared" ca="1" si="302"/>
        <v>1.9718912205950161</v>
      </c>
      <c r="T954">
        <f t="shared" si="303"/>
        <v>0.98710242301431039</v>
      </c>
      <c r="U954" s="6">
        <f t="shared" ca="1" si="304"/>
        <v>1.0999629009689564</v>
      </c>
      <c r="V954">
        <f t="shared" ca="1" si="305"/>
        <v>1.0269974713216086</v>
      </c>
      <c r="X954" t="b">
        <f t="shared" ca="1" si="306"/>
        <v>0</v>
      </c>
      <c r="BJ954" t="b">
        <f t="shared" si="287"/>
        <v>1</v>
      </c>
      <c r="BK954" t="b">
        <f t="shared" ca="1" si="288"/>
        <v>0</v>
      </c>
    </row>
    <row r="955" spans="1:63" x14ac:dyDescent="0.45">
      <c r="A955" s="1">
        <v>43853</v>
      </c>
      <c r="B955">
        <v>38.146700000000003</v>
      </c>
      <c r="C955" s="1">
        <v>43853</v>
      </c>
      <c r="D955">
        <v>331.72</v>
      </c>
      <c r="E955">
        <f t="shared" si="289"/>
        <v>4.6351528942053192E-3</v>
      </c>
      <c r="F955" s="4">
        <f t="shared" si="290"/>
        <v>1.1468582121085661E-3</v>
      </c>
      <c r="G955">
        <f t="shared" ca="1" si="291"/>
        <v>4.1836711533519014E-3</v>
      </c>
      <c r="H955">
        <f t="shared" ca="1" si="292"/>
        <v>3.1226988980904369E-2</v>
      </c>
      <c r="I955">
        <f t="shared" ca="1" si="293"/>
        <v>0.47121936138360926</v>
      </c>
      <c r="J955">
        <f t="shared" ca="1" si="294"/>
        <v>6.4615850002395154</v>
      </c>
      <c r="K955">
        <f t="shared" ca="1" si="295"/>
        <v>1.1314641213577308</v>
      </c>
      <c r="L955">
        <f t="shared" ca="1" si="296"/>
        <v>1.9786708562985755</v>
      </c>
      <c r="M955">
        <f t="shared" ca="1" si="297"/>
        <v>7.221111633203761E-4</v>
      </c>
      <c r="N955">
        <f t="shared" ca="1" si="298"/>
        <v>7.6078312014383363E-3</v>
      </c>
      <c r="O955">
        <f t="shared" ca="1" si="299"/>
        <v>-0.93601845202509204</v>
      </c>
      <c r="P955">
        <f t="shared" ca="1" si="300"/>
        <v>2.9634050863111909</v>
      </c>
      <c r="Q955">
        <f t="shared" ca="1" si="301"/>
        <v>0.92983102477930824</v>
      </c>
      <c r="R955">
        <f t="shared" ca="1" si="302"/>
        <v>1.9718912205950161</v>
      </c>
      <c r="T955">
        <f t="shared" si="303"/>
        <v>1.0046351528942052</v>
      </c>
      <c r="U955" s="6">
        <f t="shared" ca="1" si="304"/>
        <v>1.103567884698279</v>
      </c>
      <c r="V955">
        <f t="shared" ca="1" si="305"/>
        <v>1.0281182492170835</v>
      </c>
      <c r="X955" t="b">
        <f t="shared" ca="1" si="306"/>
        <v>0</v>
      </c>
      <c r="BJ955" t="b">
        <f t="shared" si="287"/>
        <v>1</v>
      </c>
      <c r="BK955" t="b">
        <f t="shared" ca="1" si="288"/>
        <v>0</v>
      </c>
    </row>
    <row r="956" spans="1:63" x14ac:dyDescent="0.45">
      <c r="A956" s="1">
        <v>43852</v>
      </c>
      <c r="B956">
        <v>37.970700000000001</v>
      </c>
      <c r="C956" s="1">
        <v>43852</v>
      </c>
      <c r="D956">
        <v>331.34</v>
      </c>
      <c r="E956">
        <f t="shared" si="289"/>
        <v>4.0863486842105376E-2</v>
      </c>
      <c r="F956" s="4">
        <f t="shared" si="290"/>
        <v>1.2073649260478001E-4</v>
      </c>
      <c r="G956">
        <f t="shared" ca="1" si="291"/>
        <v>4.1284726074268113E-3</v>
      </c>
      <c r="H956">
        <f t="shared" ca="1" si="292"/>
        <v>3.1235942821901244E-2</v>
      </c>
      <c r="I956">
        <f t="shared" ca="1" si="293"/>
        <v>0.47597153019805688</v>
      </c>
      <c r="J956">
        <f t="shared" ca="1" si="294"/>
        <v>6.4541703219969806</v>
      </c>
      <c r="K956">
        <f t="shared" ca="1" si="295"/>
        <v>1.1314641213577308</v>
      </c>
      <c r="L956">
        <f t="shared" ca="1" si="296"/>
        <v>1.9786708562985755</v>
      </c>
      <c r="M956">
        <f t="shared" ca="1" si="297"/>
        <v>7.2018877231874484E-4</v>
      </c>
      <c r="N956">
        <f t="shared" ca="1" si="298"/>
        <v>7.6077719104131599E-3</v>
      </c>
      <c r="O956">
        <f t="shared" ca="1" si="299"/>
        <v>-0.9352754987492351</v>
      </c>
      <c r="P956">
        <f t="shared" ca="1" si="300"/>
        <v>2.9626274473796599</v>
      </c>
      <c r="Q956">
        <f t="shared" ca="1" si="301"/>
        <v>0.92983102477930824</v>
      </c>
      <c r="R956">
        <f t="shared" ca="1" si="302"/>
        <v>1.9718912205950161</v>
      </c>
      <c r="T956">
        <f t="shared" si="303"/>
        <v>1.0408634868421054</v>
      </c>
      <c r="U956" s="6">
        <f t="shared" ca="1" si="304"/>
        <v>1.058821068951767</v>
      </c>
      <c r="V956">
        <f t="shared" ca="1" si="305"/>
        <v>1.0067723879211945</v>
      </c>
      <c r="X956" t="b">
        <f t="shared" ca="1" si="306"/>
        <v>0</v>
      </c>
      <c r="BJ956" t="b">
        <f t="shared" si="287"/>
        <v>1</v>
      </c>
      <c r="BK956" t="b">
        <f t="shared" ca="1" si="288"/>
        <v>0</v>
      </c>
    </row>
    <row r="957" spans="1:63" x14ac:dyDescent="0.45">
      <c r="A957" s="1">
        <v>43851</v>
      </c>
      <c r="B957">
        <v>36.479999999999997</v>
      </c>
      <c r="C957" s="1">
        <v>43851</v>
      </c>
      <c r="D957">
        <v>331.3</v>
      </c>
      <c r="E957">
        <f t="shared" si="289"/>
        <v>7.1891353468514663E-2</v>
      </c>
      <c r="F957" s="4">
        <f t="shared" si="290"/>
        <v>-1.9581262238288215E-3</v>
      </c>
      <c r="G957">
        <f t="shared" ca="1" si="291"/>
        <v>4.0582297867049677E-3</v>
      </c>
      <c r="H957">
        <f t="shared" ca="1" si="292"/>
        <v>3.1168642243934813E-2</v>
      </c>
      <c r="I957">
        <f t="shared" ca="1" si="293"/>
        <v>0.47953796437496082</v>
      </c>
      <c r="J957">
        <f t="shared" ca="1" si="294"/>
        <v>6.532326862685335</v>
      </c>
      <c r="K957">
        <f t="shared" ca="1" si="295"/>
        <v>1.1314641213577308</v>
      </c>
      <c r="L957">
        <f t="shared" ca="1" si="296"/>
        <v>1.9786708562985755</v>
      </c>
      <c r="M957">
        <f t="shared" ca="1" si="297"/>
        <v>7.4378593949706061E-4</v>
      </c>
      <c r="N957">
        <f t="shared" ca="1" si="298"/>
        <v>7.6132204607997928E-3</v>
      </c>
      <c r="O957">
        <f t="shared" ca="1" si="299"/>
        <v>-0.94185442630763005</v>
      </c>
      <c r="P957">
        <f t="shared" ca="1" si="300"/>
        <v>2.9577445855663109</v>
      </c>
      <c r="Q957">
        <f t="shared" ca="1" si="301"/>
        <v>0.92983102477930824</v>
      </c>
      <c r="R957">
        <f t="shared" ca="1" si="302"/>
        <v>1.9718912205950161</v>
      </c>
      <c r="T957">
        <f t="shared" si="303"/>
        <v>1.0718913534685146</v>
      </c>
      <c r="U957" s="6">
        <f t="shared" ca="1" si="304"/>
        <v>1.0425627380989806</v>
      </c>
      <c r="V957">
        <f t="shared" ca="1" si="305"/>
        <v>0.9932341827789456</v>
      </c>
      <c r="X957" t="b">
        <f t="shared" ca="1" si="306"/>
        <v>0</v>
      </c>
      <c r="BJ957" t="b">
        <f t="shared" si="287"/>
        <v>1</v>
      </c>
      <c r="BK957" t="b">
        <f t="shared" ca="1" si="288"/>
        <v>0</v>
      </c>
    </row>
    <row r="958" spans="1:63" x14ac:dyDescent="0.45">
      <c r="A958" s="1">
        <v>43847</v>
      </c>
      <c r="B958">
        <v>34.033299999999997</v>
      </c>
      <c r="C958" s="1">
        <v>43847</v>
      </c>
      <c r="D958">
        <v>331.95</v>
      </c>
      <c r="E958">
        <f t="shared" si="289"/>
        <v>-5.8248399921713521E-3</v>
      </c>
      <c r="F958" s="4">
        <f t="shared" si="290"/>
        <v>3.1125347516015129E-3</v>
      </c>
      <c r="G958">
        <f t="shared" ca="1" si="291"/>
        <v>3.2870325032731585E-3</v>
      </c>
      <c r="H958">
        <f t="shared" ca="1" si="292"/>
        <v>3.1389203747748541E-2</v>
      </c>
      <c r="I958">
        <f t="shared" ca="1" si="293"/>
        <v>0.38686121122609762</v>
      </c>
      <c r="J958">
        <f t="shared" ca="1" si="294"/>
        <v>6.4854241749243906</v>
      </c>
      <c r="K958">
        <f t="shared" ca="1" si="295"/>
        <v>1.0748008891451253</v>
      </c>
      <c r="L958">
        <f t="shared" ca="1" si="296"/>
        <v>1.902162533986121</v>
      </c>
      <c r="M958">
        <f t="shared" ca="1" si="297"/>
        <v>7.6684380055824786E-4</v>
      </c>
      <c r="N958">
        <f t="shared" ca="1" si="298"/>
        <v>7.611979506786608E-3</v>
      </c>
      <c r="O958">
        <f t="shared" ca="1" si="299"/>
        <v>-0.95118727639987399</v>
      </c>
      <c r="P958">
        <f t="shared" ca="1" si="300"/>
        <v>2.9733012137590897</v>
      </c>
      <c r="Q958">
        <f t="shared" ca="1" si="301"/>
        <v>0.92983102477930824</v>
      </c>
      <c r="R958">
        <f t="shared" ca="1" si="302"/>
        <v>1.9718912205950161</v>
      </c>
      <c r="T958">
        <f t="shared" si="303"/>
        <v>0.99417516000782868</v>
      </c>
      <c r="U958" s="6">
        <f t="shared" ca="1" si="304"/>
        <v>1.0676544309793672</v>
      </c>
      <c r="V958">
        <f t="shared" ca="1" si="305"/>
        <v>1.009637480466314</v>
      </c>
      <c r="X958" t="b">
        <f t="shared" ca="1" si="306"/>
        <v>0</v>
      </c>
      <c r="BJ958" t="b">
        <f t="shared" si="287"/>
        <v>1</v>
      </c>
      <c r="BK958" t="b">
        <f t="shared" ca="1" si="288"/>
        <v>0</v>
      </c>
    </row>
    <row r="959" spans="1:63" x14ac:dyDescent="0.45">
      <c r="A959" s="1">
        <v>43846</v>
      </c>
      <c r="B959">
        <v>34.232700000000001</v>
      </c>
      <c r="C959" s="1">
        <v>43846</v>
      </c>
      <c r="D959">
        <v>330.92</v>
      </c>
      <c r="E959">
        <f t="shared" si="289"/>
        <v>-9.6624786282750764E-3</v>
      </c>
      <c r="F959" s="4">
        <f t="shared" si="290"/>
        <v>8.3183521740455776E-3</v>
      </c>
      <c r="G959">
        <f t="shared" ca="1" si="291"/>
        <v>3.4198626223155898E-3</v>
      </c>
      <c r="H959">
        <f t="shared" ca="1" si="292"/>
        <v>3.1406656200148979E-2</v>
      </c>
      <c r="I959">
        <f t="shared" ca="1" si="293"/>
        <v>0.37439552288218342</v>
      </c>
      <c r="J959">
        <f t="shared" ca="1" si="294"/>
        <v>6.4581404811102212</v>
      </c>
      <c r="K959">
        <f t="shared" ca="1" si="295"/>
        <v>1.0748008891451253</v>
      </c>
      <c r="L959">
        <f t="shared" ca="1" si="296"/>
        <v>1.9414359052960022</v>
      </c>
      <c r="M959">
        <f t="shared" ca="1" si="297"/>
        <v>7.5914908497767104E-4</v>
      </c>
      <c r="N959">
        <f t="shared" ca="1" si="298"/>
        <v>7.6103740703491523E-3</v>
      </c>
      <c r="O959">
        <f t="shared" ca="1" si="299"/>
        <v>-0.94886806886955377</v>
      </c>
      <c r="P959">
        <f t="shared" ca="1" si="300"/>
        <v>2.9744139318379625</v>
      </c>
      <c r="Q959">
        <f t="shared" ca="1" si="301"/>
        <v>0.92983102477930824</v>
      </c>
      <c r="R959">
        <f t="shared" ca="1" si="302"/>
        <v>1.9718912205950161</v>
      </c>
      <c r="T959">
        <f t="shared" si="303"/>
        <v>0.99033752137172493</v>
      </c>
      <c r="U959" s="6">
        <f t="shared" ca="1" si="304"/>
        <v>1.0667948506199887</v>
      </c>
      <c r="V959">
        <f t="shared" ca="1" si="305"/>
        <v>1.0153559914549022</v>
      </c>
      <c r="X959" t="b">
        <f t="shared" ca="1" si="306"/>
        <v>0</v>
      </c>
      <c r="BJ959" t="b">
        <f t="shared" si="287"/>
        <v>1</v>
      </c>
      <c r="BK959" t="b">
        <f t="shared" ca="1" si="288"/>
        <v>0</v>
      </c>
    </row>
    <row r="960" spans="1:63" x14ac:dyDescent="0.45">
      <c r="A960" s="1">
        <v>43845</v>
      </c>
      <c r="B960">
        <v>34.566699999999997</v>
      </c>
      <c r="C960" s="1">
        <v>43845</v>
      </c>
      <c r="D960">
        <v>328.19</v>
      </c>
      <c r="E960">
        <f t="shared" si="289"/>
        <v>-3.6100197148458163E-2</v>
      </c>
      <c r="F960" s="4">
        <f t="shared" si="290"/>
        <v>2.2598870056497453E-3</v>
      </c>
      <c r="G960">
        <f t="shared" ca="1" si="291"/>
        <v>3.4111172262906836E-3</v>
      </c>
      <c r="H960">
        <f t="shared" ca="1" si="292"/>
        <v>3.1410560651265559E-2</v>
      </c>
      <c r="I960">
        <f t="shared" ca="1" si="293"/>
        <v>0.37493199419080409</v>
      </c>
      <c r="J960">
        <f t="shared" ca="1" si="294"/>
        <v>6.4539430305361654</v>
      </c>
      <c r="K960">
        <f t="shared" ca="1" si="295"/>
        <v>1.0748008891451253</v>
      </c>
      <c r="L960">
        <f t="shared" ca="1" si="296"/>
        <v>1.93473334470539</v>
      </c>
      <c r="M960">
        <f t="shared" ca="1" si="297"/>
        <v>7.2000633225914297E-4</v>
      </c>
      <c r="N960">
        <f t="shared" ca="1" si="298"/>
        <v>7.5914079540802728E-3</v>
      </c>
      <c r="O960">
        <f t="shared" ca="1" si="299"/>
        <v>-0.9453845343357804</v>
      </c>
      <c r="P960">
        <f t="shared" ca="1" si="300"/>
        <v>3.0096519281230618</v>
      </c>
      <c r="Q960">
        <f t="shared" ca="1" si="301"/>
        <v>0.92983102477930824</v>
      </c>
      <c r="R960">
        <f t="shared" ca="1" si="302"/>
        <v>1.9220169934900617</v>
      </c>
      <c r="T960">
        <f t="shared" si="303"/>
        <v>0.96389980285154186</v>
      </c>
      <c r="U960" s="6">
        <f t="shared" ca="1" si="304"/>
        <v>1.0535640809160818</v>
      </c>
      <c r="V960">
        <f t="shared" ca="1" si="305"/>
        <v>1.0274502233197973</v>
      </c>
      <c r="X960" t="b">
        <f t="shared" ca="1" si="306"/>
        <v>0</v>
      </c>
      <c r="BJ960" t="b">
        <f t="shared" si="287"/>
        <v>1</v>
      </c>
      <c r="BK960" t="b">
        <f t="shared" ca="1" si="288"/>
        <v>0</v>
      </c>
    </row>
    <row r="961" spans="1:63" x14ac:dyDescent="0.45">
      <c r="A961" s="1">
        <v>43844</v>
      </c>
      <c r="B961">
        <v>35.8613</v>
      </c>
      <c r="C961" s="1">
        <v>43844</v>
      </c>
      <c r="D961">
        <v>327.45</v>
      </c>
      <c r="E961">
        <f t="shared" si="289"/>
        <v>2.488089692403991E-2</v>
      </c>
      <c r="F961" s="4">
        <f t="shared" si="290"/>
        <v>-1.5246226558926666E-3</v>
      </c>
      <c r="G961">
        <f t="shared" ca="1" si="291"/>
        <v>3.7581482029748585E-3</v>
      </c>
      <c r="H961">
        <f t="shared" ca="1" si="292"/>
        <v>3.1355195974823745E-2</v>
      </c>
      <c r="I961">
        <f t="shared" ca="1" si="293"/>
        <v>0.35793740137247704</v>
      </c>
      <c r="J961">
        <f t="shared" ca="1" si="294"/>
        <v>6.4955120826564157</v>
      </c>
      <c r="K961">
        <f t="shared" ca="1" si="295"/>
        <v>1.0748008891451253</v>
      </c>
      <c r="L961">
        <f t="shared" ca="1" si="296"/>
        <v>2.0152131204728048</v>
      </c>
      <c r="M961">
        <f t="shared" ca="1" si="297"/>
        <v>7.6800313059254758E-4</v>
      </c>
      <c r="N961">
        <f t="shared" ca="1" si="298"/>
        <v>7.6314333350334575E-3</v>
      </c>
      <c r="O961">
        <f t="shared" ca="1" si="299"/>
        <v>-0.93390238538926906</v>
      </c>
      <c r="P961">
        <f t="shared" ca="1" si="300"/>
        <v>2.9308377224460491</v>
      </c>
      <c r="Q961">
        <f t="shared" ca="1" si="301"/>
        <v>0.95525333255677936</v>
      </c>
      <c r="R961">
        <f t="shared" ca="1" si="302"/>
        <v>1.9718912205950161</v>
      </c>
      <c r="T961">
        <f t="shared" si="303"/>
        <v>1.0248808969240399</v>
      </c>
      <c r="U961" s="6">
        <f t="shared" ca="1" si="304"/>
        <v>1.1468019583827676</v>
      </c>
      <c r="V961">
        <f t="shared" ca="1" si="305"/>
        <v>1.0114934948879872</v>
      </c>
      <c r="X961" t="b">
        <f t="shared" ca="1" si="306"/>
        <v>0</v>
      </c>
      <c r="BJ961" t="b">
        <f t="shared" si="287"/>
        <v>1</v>
      </c>
      <c r="BK961" t="b">
        <f t="shared" ca="1" si="288"/>
        <v>0</v>
      </c>
    </row>
    <row r="962" spans="1:63" x14ac:dyDescent="0.45">
      <c r="A962" s="1">
        <v>43843</v>
      </c>
      <c r="B962">
        <v>34.990699999999997</v>
      </c>
      <c r="C962" s="1">
        <v>43843</v>
      </c>
      <c r="D962">
        <v>327.95</v>
      </c>
      <c r="E962">
        <f t="shared" si="289"/>
        <v>9.7688907571988226E-2</v>
      </c>
      <c r="F962" s="4">
        <f t="shared" si="290"/>
        <v>6.8772834730281823E-3</v>
      </c>
      <c r="G962">
        <f t="shared" ca="1" si="291"/>
        <v>3.655978263192531E-3</v>
      </c>
      <c r="H962">
        <f t="shared" ca="1" si="292"/>
        <v>3.1319293485988879E-2</v>
      </c>
      <c r="I962">
        <f t="shared" ca="1" si="293"/>
        <v>0.36749818365924602</v>
      </c>
      <c r="J962">
        <f t="shared" ca="1" si="294"/>
        <v>6.5430929330940097</v>
      </c>
      <c r="K962">
        <f t="shared" ca="1" si="295"/>
        <v>1.0748008891451253</v>
      </c>
      <c r="L962">
        <f t="shared" ca="1" si="296"/>
        <v>1.97749176614776</v>
      </c>
      <c r="M962">
        <f t="shared" ca="1" si="297"/>
        <v>8.0715344276054439E-4</v>
      </c>
      <c r="N962">
        <f t="shared" ca="1" si="298"/>
        <v>7.6396929273776816E-3</v>
      </c>
      <c r="O962">
        <f t="shared" ca="1" si="299"/>
        <v>-0.94433573848006891</v>
      </c>
      <c r="P962">
        <f t="shared" ca="1" si="300"/>
        <v>2.9260088503996773</v>
      </c>
      <c r="Q962">
        <f t="shared" ca="1" si="301"/>
        <v>0.95525333255677936</v>
      </c>
      <c r="R962">
        <f t="shared" ca="1" si="302"/>
        <v>2.0020540281901407</v>
      </c>
      <c r="T962">
        <f t="shared" si="303"/>
        <v>1.0976889075719882</v>
      </c>
      <c r="U962" s="6">
        <f t="shared" ca="1" si="304"/>
        <v>1.1623774611579691</v>
      </c>
      <c r="V962">
        <f t="shared" ca="1" si="305"/>
        <v>0.9857428893226502</v>
      </c>
      <c r="X962" t="b">
        <f t="shared" ca="1" si="306"/>
        <v>0</v>
      </c>
      <c r="BJ962" t="b">
        <f t="shared" ref="BJ962:BJ1025" si="307">ABS(W962-1)&gt;$S$21</f>
        <v>1</v>
      </c>
      <c r="BK962" t="b">
        <f t="shared" ref="BK962:BK1025" ca="1" si="308">AND(X962,BJ962)</f>
        <v>0</v>
      </c>
    </row>
    <row r="963" spans="1:63" x14ac:dyDescent="0.45">
      <c r="A963" s="1">
        <v>43840</v>
      </c>
      <c r="B963">
        <v>31.8767</v>
      </c>
      <c r="C963" s="1">
        <v>43840</v>
      </c>
      <c r="D963">
        <v>325.70999999999998</v>
      </c>
      <c r="E963">
        <f t="shared" ref="E963:E1026" si="309">(B963-B964)/B964</f>
        <v>-6.6252613799616033E-3</v>
      </c>
      <c r="F963" s="4">
        <f t="shared" ref="F963:F1026" si="310">(D963-D964)/D964</f>
        <v>-2.8776978417266118E-3</v>
      </c>
      <c r="G963">
        <f t="shared" ref="G963:G1026" ca="1" si="311">AVERAGE(OFFSET(E963,0,0,$S$3,1))*$AK$25</f>
        <v>3.2364945374710008E-3</v>
      </c>
      <c r="H963">
        <f t="shared" ref="H963:H1026" ca="1" si="312">STDEV(OFFSET(E963,0,0,$S$3,1))*$AJ$25</f>
        <v>3.060726158326324E-2</v>
      </c>
      <c r="I963">
        <f t="shared" ref="I963:I1026" ca="1" si="313">SKEW(OFFSET(E963,0,0,$S$3,1))*$AI$25</f>
        <v>0.28827576678118455</v>
      </c>
      <c r="J963">
        <f t="shared" ref="J963:J1026" ca="1" si="314">KURT(OFFSET(E963,0,0,$S$3,1))*$AH$25</f>
        <v>7.0206364389815077</v>
      </c>
      <c r="K963">
        <f t="shared" ref="K963:K1026" ca="1" si="315">PERCENTILE(OFFSET(E963,0,0,$S$3,1), 0.95)/ABS(PERCENTILE(OFFSET(E963,0,0,$S$3,1), 0.05))*$AG$25</f>
        <v>1.0446326819155551</v>
      </c>
      <c r="L963">
        <f t="shared" ref="L963:L1026" ca="1" si="316">PERCENTILE(OFFSET(E963,0,0,$S$3,1), 0.75)/ABS(PERCENTILE(OFFSET(E963,0,0,$S$3,1), 0.25))*$AF$25</f>
        <v>1.9374890196330286</v>
      </c>
      <c r="M963">
        <f t="shared" ref="M963:M1026" ca="1" si="317">AVERAGE(OFFSET(F963,0,0,$S$3,1))*$AE$25</f>
        <v>7.9171928715116935E-4</v>
      </c>
      <c r="N963">
        <f t="shared" ref="N963:N1026" ca="1" si="318">STDEV(OFFSET(F963,0,0,$S$3,1))*$AD$25</f>
        <v>7.6304806147690475E-3</v>
      </c>
      <c r="O963">
        <f t="shared" ref="O963:O1026" ca="1" si="319">SKEW(OFFSET(F963,0,0,$S$3,1))*$AC$25</f>
        <v>-0.94388277233673457</v>
      </c>
      <c r="P963">
        <f t="shared" ref="P963:P1026" ca="1" si="320">KURT(OFFSET(F963,0,0,$S$3,1))*$AB$25</f>
        <v>2.945129909069311</v>
      </c>
      <c r="Q963">
        <f t="shared" ref="Q963:Q1026" ca="1" si="321">PERCENTILE(OFFSET(F963,0,0,$S$3,1), 0.95)/ABS(PERCENTILE(OFFSET(F963,0,0,$S$3,1), 0.05))*$AA$25</f>
        <v>0.95525333255677936</v>
      </c>
      <c r="R963">
        <f t="shared" ref="R963:R1026" ca="1" si="322">PERCENTILE(OFFSET(F963,0,0,$S$3,1), 0.75)/ABS(PERCENTILE(OFFSET(F963,0,0,$S$3,1), 0.25))*$Z$25</f>
        <v>1.9718912205950161</v>
      </c>
      <c r="T963">
        <f t="shared" ref="T963:T1026" si="323">E963+1</f>
        <v>0.99337473862003844</v>
      </c>
      <c r="U963" s="6">
        <f t="shared" ref="U963:U1026" ca="1" si="324">PRODUCT(OFFSET(T963,0,0,$S$6,1))</f>
        <v>1.0793221371978057</v>
      </c>
      <c r="V963">
        <f t="shared" ref="V963:V1026" ca="1" si="325">OFFSET(G963,$S$6,0) * $AK$2+ OFFSET(H963,$S$6,0)  * $AJ$2 + OFFSET(I963,$S$6,0) * $AI$2 + OFFSET(J963,$S$6,0) * $AH$2 + OFFSET(K963,$S$6,0) * $AG$2 + OFFSET(L963,$S$6,0) * $AF$2 + OFFSET(M963,$S$6,0) * $AE$2 + OFFSET(N963,$S$6,0) * $AD$2 + OFFSET(O963,$S$6,0) * $AC$2 + OFFSET(P963,$S$6,0) * $AB$2 +  OFFSET(Q963,$S$6,0) * $AA$2 + OFFSET(R963,$S$6,0)  * $Z$2  + AL$2</f>
        <v>0.98128537409060101</v>
      </c>
      <c r="X963" t="b">
        <f t="shared" ref="X963:X1026" ca="1" si="326">OR(AND(U963&gt;1, W963&gt;1), AND(U963&lt;1, W963&lt;1))</f>
        <v>0</v>
      </c>
      <c r="BJ963" t="b">
        <f t="shared" si="307"/>
        <v>1</v>
      </c>
      <c r="BK963" t="b">
        <f t="shared" ca="1" si="308"/>
        <v>0</v>
      </c>
    </row>
    <row r="964" spans="1:63" x14ac:dyDescent="0.45">
      <c r="A964" s="1">
        <v>43839</v>
      </c>
      <c r="B964">
        <v>32.089300000000001</v>
      </c>
      <c r="C964" s="1">
        <v>43839</v>
      </c>
      <c r="D964">
        <v>326.64999999999998</v>
      </c>
      <c r="E964">
        <f t="shared" si="309"/>
        <v>-2.1944997302594048E-2</v>
      </c>
      <c r="F964" s="4">
        <f t="shared" si="310"/>
        <v>6.7807058098319885E-3</v>
      </c>
      <c r="G964">
        <f t="shared" ca="1" si="311"/>
        <v>3.4014599821366848E-3</v>
      </c>
      <c r="H964">
        <f t="shared" ca="1" si="312"/>
        <v>3.0642733772823522E-2</v>
      </c>
      <c r="I964">
        <f t="shared" ca="1" si="313"/>
        <v>0.27331455951997258</v>
      </c>
      <c r="J964">
        <f t="shared" ca="1" si="314"/>
        <v>6.9695474491297906</v>
      </c>
      <c r="K964">
        <f t="shared" ca="1" si="315"/>
        <v>1.0446326819155551</v>
      </c>
      <c r="L964">
        <f t="shared" ca="1" si="316"/>
        <v>1.97749176614776</v>
      </c>
      <c r="M964">
        <f t="shared" ca="1" si="317"/>
        <v>7.7996235803310906E-4</v>
      </c>
      <c r="N964">
        <f t="shared" ca="1" si="318"/>
        <v>7.6379706219430734E-3</v>
      </c>
      <c r="O964">
        <f t="shared" ca="1" si="319"/>
        <v>-0.93836763991298933</v>
      </c>
      <c r="P964">
        <f t="shared" ca="1" si="320"/>
        <v>2.9174792663513145</v>
      </c>
      <c r="Q964">
        <f t="shared" ca="1" si="321"/>
        <v>0.95525333255677936</v>
      </c>
      <c r="R964">
        <f t="shared" ca="1" si="322"/>
        <v>1.9718912205950161</v>
      </c>
      <c r="T964">
        <f t="shared" si="323"/>
        <v>0.97805500269740597</v>
      </c>
      <c r="U964" s="6">
        <f t="shared" ca="1" si="324"/>
        <v>1.1187177520568954</v>
      </c>
      <c r="V964">
        <f t="shared" ca="1" si="325"/>
        <v>0.98675973444447218</v>
      </c>
      <c r="X964" t="b">
        <f t="shared" ca="1" si="326"/>
        <v>0</v>
      </c>
      <c r="BJ964" t="b">
        <f t="shared" si="307"/>
        <v>1</v>
      </c>
      <c r="BK964" t="b">
        <f t="shared" ca="1" si="308"/>
        <v>0</v>
      </c>
    </row>
    <row r="965" spans="1:63" x14ac:dyDescent="0.45">
      <c r="A965" s="1">
        <v>43838</v>
      </c>
      <c r="B965">
        <v>32.8093</v>
      </c>
      <c r="C965" s="1">
        <v>43838</v>
      </c>
      <c r="D965">
        <v>324.45</v>
      </c>
      <c r="E965">
        <f t="shared" si="309"/>
        <v>4.9202608192333359E-2</v>
      </c>
      <c r="F965" s="4">
        <f t="shared" si="310"/>
        <v>5.3295324264864448E-3</v>
      </c>
      <c r="G965">
        <f t="shared" ca="1" si="311"/>
        <v>3.6523034332807615E-3</v>
      </c>
      <c r="H965">
        <f t="shared" ca="1" si="312"/>
        <v>3.0639545287161743E-2</v>
      </c>
      <c r="I965">
        <f t="shared" ca="1" si="313"/>
        <v>0.2541629341006838</v>
      </c>
      <c r="J965">
        <f t="shared" ca="1" si="314"/>
        <v>6.9646158237915303</v>
      </c>
      <c r="K965">
        <f t="shared" ca="1" si="315"/>
        <v>1.0446326819155551</v>
      </c>
      <c r="L965">
        <f t="shared" ca="1" si="316"/>
        <v>2.0534224737058531</v>
      </c>
      <c r="M965">
        <f t="shared" ca="1" si="317"/>
        <v>7.8332947118578324E-4</v>
      </c>
      <c r="N965">
        <f t="shared" ca="1" si="318"/>
        <v>7.6407771949864259E-3</v>
      </c>
      <c r="O965">
        <f t="shared" ca="1" si="319"/>
        <v>-0.93774521596927329</v>
      </c>
      <c r="P965">
        <f t="shared" ca="1" si="320"/>
        <v>2.9114526089240522</v>
      </c>
      <c r="Q965">
        <f t="shared" ca="1" si="321"/>
        <v>0.95525333255677936</v>
      </c>
      <c r="R965">
        <f t="shared" ca="1" si="322"/>
        <v>1.9718912205950161</v>
      </c>
      <c r="T965">
        <f t="shared" si="323"/>
        <v>1.0492026081923334</v>
      </c>
      <c r="U965" s="6">
        <f t="shared" ca="1" si="324"/>
        <v>1.1764370515656875</v>
      </c>
      <c r="V965">
        <f t="shared" ca="1" si="325"/>
        <v>0.97889101055980954</v>
      </c>
      <c r="X965" t="b">
        <f t="shared" ca="1" si="326"/>
        <v>0</v>
      </c>
      <c r="BJ965" t="b">
        <f t="shared" si="307"/>
        <v>1</v>
      </c>
      <c r="BK965" t="b">
        <f t="shared" ca="1" si="308"/>
        <v>0</v>
      </c>
    </row>
    <row r="966" spans="1:63" x14ac:dyDescent="0.45">
      <c r="A966" s="1">
        <v>43837</v>
      </c>
      <c r="B966">
        <v>31.270700000000001</v>
      </c>
      <c r="C966" s="1">
        <v>43837</v>
      </c>
      <c r="D966">
        <v>322.73</v>
      </c>
      <c r="E966">
        <f t="shared" si="309"/>
        <v>3.8800506266879808E-2</v>
      </c>
      <c r="F966" s="4">
        <f t="shared" si="310"/>
        <v>-2.8117661599306892E-3</v>
      </c>
      <c r="G966">
        <f t="shared" ca="1" si="311"/>
        <v>3.3286052948157899E-3</v>
      </c>
      <c r="H966">
        <f t="shared" ca="1" si="312"/>
        <v>3.0497549872710503E-2</v>
      </c>
      <c r="I966">
        <f t="shared" ca="1" si="313"/>
        <v>0.27171790554612557</v>
      </c>
      <c r="J966">
        <f t="shared" ca="1" si="314"/>
        <v>7.1384670030077517</v>
      </c>
      <c r="K966">
        <f t="shared" ca="1" si="315"/>
        <v>1.0062475839916398</v>
      </c>
      <c r="L966">
        <f t="shared" ca="1" si="316"/>
        <v>1.97749176614776</v>
      </c>
      <c r="M966">
        <f t="shared" ca="1" si="317"/>
        <v>7.529217374329394E-4</v>
      </c>
      <c r="N966">
        <f t="shared" ca="1" si="318"/>
        <v>7.6346927505767043E-3</v>
      </c>
      <c r="O966">
        <f t="shared" ca="1" si="319"/>
        <v>-0.92903274323048313</v>
      </c>
      <c r="P966">
        <f t="shared" ca="1" si="320"/>
        <v>2.9146236360821325</v>
      </c>
      <c r="Q966">
        <f t="shared" ca="1" si="321"/>
        <v>0.95525333255677936</v>
      </c>
      <c r="R966">
        <f t="shared" ca="1" si="322"/>
        <v>1.9220169934900617</v>
      </c>
      <c r="T966">
        <f t="shared" si="323"/>
        <v>1.0388005062668797</v>
      </c>
      <c r="U966" s="6">
        <f t="shared" ca="1" si="324"/>
        <v>1.1310825523480197</v>
      </c>
      <c r="V966">
        <f t="shared" ca="1" si="325"/>
        <v>0.97905270516036424</v>
      </c>
      <c r="X966" t="b">
        <f t="shared" ca="1" si="326"/>
        <v>0</v>
      </c>
      <c r="BJ966" t="b">
        <f t="shared" si="307"/>
        <v>1</v>
      </c>
      <c r="BK966" t="b">
        <f t="shared" ca="1" si="308"/>
        <v>0</v>
      </c>
    </row>
    <row r="967" spans="1:63" x14ac:dyDescent="0.45">
      <c r="A967" s="1">
        <v>43836</v>
      </c>
      <c r="B967">
        <v>30.102699999999999</v>
      </c>
      <c r="C967" s="1">
        <v>43836</v>
      </c>
      <c r="D967">
        <v>323.64</v>
      </c>
      <c r="E967">
        <f t="shared" si="309"/>
        <v>1.9255773007381315E-2</v>
      </c>
      <c r="F967" s="4">
        <f t="shared" si="310"/>
        <v>3.8150181445983722E-3</v>
      </c>
      <c r="G967">
        <f t="shared" ca="1" si="311"/>
        <v>2.9614310971796619E-3</v>
      </c>
      <c r="H967">
        <f t="shared" ca="1" si="312"/>
        <v>3.0510396503581307E-2</v>
      </c>
      <c r="I967">
        <f t="shared" ca="1" si="313"/>
        <v>0.29008984488440809</v>
      </c>
      <c r="J967">
        <f t="shared" ca="1" si="314"/>
        <v>7.1376286824552464</v>
      </c>
      <c r="K967">
        <f t="shared" ca="1" si="315"/>
        <v>1.0062475839916398</v>
      </c>
      <c r="L967">
        <f t="shared" ca="1" si="316"/>
        <v>1.8955955597159657</v>
      </c>
      <c r="M967">
        <f t="shared" ca="1" si="317"/>
        <v>6.7074905065453634E-4</v>
      </c>
      <c r="N967">
        <f t="shared" ca="1" si="318"/>
        <v>7.7606563749278356E-3</v>
      </c>
      <c r="O967">
        <f t="shared" ca="1" si="319"/>
        <v>-0.9388136226477195</v>
      </c>
      <c r="P967">
        <f t="shared" ca="1" si="320"/>
        <v>2.7238793204163017</v>
      </c>
      <c r="Q967">
        <f t="shared" ca="1" si="321"/>
        <v>0.93430772290783637</v>
      </c>
      <c r="R967">
        <f t="shared" ca="1" si="322"/>
        <v>1.8846768008526225</v>
      </c>
      <c r="T967">
        <f t="shared" si="323"/>
        <v>1.0192557730073812</v>
      </c>
      <c r="U967" s="6">
        <f t="shared" ca="1" si="324"/>
        <v>1.049167015195873</v>
      </c>
      <c r="V967">
        <f t="shared" ca="1" si="325"/>
        <v>1.0024764270235629</v>
      </c>
      <c r="X967" t="b">
        <f t="shared" ca="1" si="326"/>
        <v>0</v>
      </c>
      <c r="BJ967" t="b">
        <f t="shared" si="307"/>
        <v>1</v>
      </c>
      <c r="BK967" t="b">
        <f t="shared" ca="1" si="308"/>
        <v>0</v>
      </c>
    </row>
    <row r="968" spans="1:63" x14ac:dyDescent="0.45">
      <c r="A968" s="1">
        <v>43833</v>
      </c>
      <c r="B968">
        <v>29.533999999999999</v>
      </c>
      <c r="C968" s="1">
        <v>43833</v>
      </c>
      <c r="D968">
        <v>322.41000000000003</v>
      </c>
      <c r="E968">
        <f t="shared" si="309"/>
        <v>2.9633245014642234E-2</v>
      </c>
      <c r="F968" s="4">
        <f t="shared" si="310"/>
        <v>-7.572259673099946E-3</v>
      </c>
      <c r="G968">
        <f t="shared" ca="1" si="311"/>
        <v>2.8728276707392464E-3</v>
      </c>
      <c r="H968">
        <f t="shared" ca="1" si="312"/>
        <v>3.0488562270083348E-2</v>
      </c>
      <c r="I968">
        <f t="shared" ca="1" si="313"/>
        <v>0.29874462175595529</v>
      </c>
      <c r="J968">
        <f t="shared" ca="1" si="314"/>
        <v>7.1698997243969496</v>
      </c>
      <c r="K968">
        <f t="shared" ca="1" si="315"/>
        <v>1.0062475839916398</v>
      </c>
      <c r="L968">
        <f t="shared" ca="1" si="316"/>
        <v>1.8710619201481637</v>
      </c>
      <c r="M968">
        <f t="shared" ca="1" si="317"/>
        <v>7.0814705529648853E-4</v>
      </c>
      <c r="N968">
        <f t="shared" ca="1" si="318"/>
        <v>7.793835391077102E-3</v>
      </c>
      <c r="O968">
        <f t="shared" ca="1" si="319"/>
        <v>-0.92889278201950265</v>
      </c>
      <c r="P968">
        <f t="shared" ca="1" si="320"/>
        <v>2.6620487800781127</v>
      </c>
      <c r="Q968">
        <f t="shared" ca="1" si="321"/>
        <v>0.93430772290783637</v>
      </c>
      <c r="R968">
        <f t="shared" ca="1" si="322"/>
        <v>1.9614584462986357</v>
      </c>
      <c r="T968">
        <f t="shared" si="323"/>
        <v>1.0296332450146422</v>
      </c>
      <c r="U968" s="6">
        <f t="shared" ca="1" si="324"/>
        <v>1.0280097322245931</v>
      </c>
      <c r="V968">
        <f t="shared" ca="1" si="325"/>
        <v>1.0012182897392421</v>
      </c>
      <c r="X968" t="b">
        <f t="shared" ca="1" si="326"/>
        <v>0</v>
      </c>
      <c r="BJ968" t="b">
        <f t="shared" si="307"/>
        <v>1</v>
      </c>
      <c r="BK968" t="b">
        <f t="shared" ca="1" si="308"/>
        <v>0</v>
      </c>
    </row>
    <row r="969" spans="1:63" x14ac:dyDescent="0.45">
      <c r="A969" s="1">
        <v>43832</v>
      </c>
      <c r="B969">
        <v>28.684000000000001</v>
      </c>
      <c r="C969" s="1">
        <v>43832</v>
      </c>
      <c r="D969">
        <v>324.87</v>
      </c>
      <c r="E969">
        <f t="shared" si="309"/>
        <v>2.8516926210257237E-2</v>
      </c>
      <c r="F969" s="4">
        <f t="shared" si="310"/>
        <v>9.3518921270117159E-3</v>
      </c>
      <c r="G969">
        <f t="shared" ca="1" si="311"/>
        <v>2.8392632974659597E-3</v>
      </c>
      <c r="H969">
        <f t="shared" ca="1" si="312"/>
        <v>3.0462638138417361E-2</v>
      </c>
      <c r="I969">
        <f t="shared" ca="1" si="313"/>
        <v>0.30085255339037698</v>
      </c>
      <c r="J969">
        <f t="shared" ca="1" si="314"/>
        <v>7.2039514205275816</v>
      </c>
      <c r="K969">
        <f t="shared" ca="1" si="315"/>
        <v>1.0062475839916398</v>
      </c>
      <c r="L969">
        <f t="shared" ca="1" si="316"/>
        <v>1.8710619201481637</v>
      </c>
      <c r="M969">
        <f t="shared" ca="1" si="317"/>
        <v>7.3095877859116754E-4</v>
      </c>
      <c r="N969">
        <f t="shared" ca="1" si="318"/>
        <v>7.7761343839713587E-3</v>
      </c>
      <c r="O969">
        <f t="shared" ca="1" si="319"/>
        <v>-0.93856624887575979</v>
      </c>
      <c r="P969">
        <f t="shared" ca="1" si="320"/>
        <v>2.7189935022721077</v>
      </c>
      <c r="Q969">
        <f t="shared" ca="1" si="321"/>
        <v>0.93430772290783637</v>
      </c>
      <c r="R969">
        <f t="shared" ca="1" si="322"/>
        <v>1.9642859251594658</v>
      </c>
      <c r="T969">
        <f t="shared" si="323"/>
        <v>1.0285169262102571</v>
      </c>
      <c r="U969" s="6">
        <f t="shared" ca="1" si="324"/>
        <v>1.0117813051146385</v>
      </c>
      <c r="V969">
        <f t="shared" ca="1" si="325"/>
        <v>1.0195231772478026</v>
      </c>
      <c r="X969" t="b">
        <f t="shared" ca="1" si="326"/>
        <v>0</v>
      </c>
      <c r="BJ969" t="b">
        <f t="shared" si="307"/>
        <v>1</v>
      </c>
      <c r="BK969" t="b">
        <f t="shared" ca="1" si="308"/>
        <v>0</v>
      </c>
    </row>
    <row r="970" spans="1:63" x14ac:dyDescent="0.45">
      <c r="A970" s="1">
        <v>43830</v>
      </c>
      <c r="B970">
        <v>27.8887</v>
      </c>
      <c r="C970" s="1">
        <v>43830</v>
      </c>
      <c r="D970">
        <v>321.86</v>
      </c>
      <c r="E970">
        <f t="shared" si="309"/>
        <v>8.7533050960874499E-3</v>
      </c>
      <c r="F970" s="4">
        <f t="shared" si="310"/>
        <v>2.4293011087580343E-3</v>
      </c>
      <c r="G970">
        <f t="shared" ca="1" si="311"/>
        <v>2.659191190070468E-3</v>
      </c>
      <c r="H970">
        <f t="shared" ca="1" si="312"/>
        <v>3.0416498528185142E-2</v>
      </c>
      <c r="I970">
        <f t="shared" ca="1" si="313"/>
        <v>0.31691089921164756</v>
      </c>
      <c r="J970">
        <f t="shared" ca="1" si="314"/>
        <v>7.2711643632456573</v>
      </c>
      <c r="K970">
        <f t="shared" ca="1" si="315"/>
        <v>1.0062475839916398</v>
      </c>
      <c r="L970">
        <f t="shared" ca="1" si="316"/>
        <v>1.8263694793445626</v>
      </c>
      <c r="M970">
        <f t="shared" ca="1" si="317"/>
        <v>6.8543900201377189E-4</v>
      </c>
      <c r="N970">
        <f t="shared" ca="1" si="318"/>
        <v>7.7520246452362079E-3</v>
      </c>
      <c r="O970">
        <f t="shared" ca="1" si="319"/>
        <v>-0.93653899022340303</v>
      </c>
      <c r="P970">
        <f t="shared" ca="1" si="320"/>
        <v>2.7604666410868619</v>
      </c>
      <c r="Q970">
        <f t="shared" ca="1" si="321"/>
        <v>0.93430772290783637</v>
      </c>
      <c r="R970">
        <f t="shared" ca="1" si="322"/>
        <v>1.8873935975423324</v>
      </c>
      <c r="T970">
        <f t="shared" si="323"/>
        <v>1.0087533050960875</v>
      </c>
      <c r="U970" s="6">
        <f t="shared" ca="1" si="324"/>
        <v>0.99787820237584079</v>
      </c>
      <c r="V970">
        <f t="shared" ca="1" si="325"/>
        <v>1.0113713130025515</v>
      </c>
      <c r="X970" t="b">
        <f t="shared" ca="1" si="326"/>
        <v>1</v>
      </c>
      <c r="BJ970" t="b">
        <f t="shared" si="307"/>
        <v>1</v>
      </c>
      <c r="BK970" t="b">
        <f t="shared" ca="1" si="308"/>
        <v>1</v>
      </c>
    </row>
    <row r="971" spans="1:63" x14ac:dyDescent="0.45">
      <c r="A971" s="1">
        <v>43829</v>
      </c>
      <c r="B971">
        <v>27.646699999999999</v>
      </c>
      <c r="C971" s="1">
        <v>43829</v>
      </c>
      <c r="D971">
        <v>321.08</v>
      </c>
      <c r="E971">
        <f t="shared" si="309"/>
        <v>-3.6431757981318869E-2</v>
      </c>
      <c r="F971" s="4">
        <f t="shared" si="310"/>
        <v>-5.5132255466766693E-3</v>
      </c>
      <c r="G971">
        <f t="shared" ca="1" si="311"/>
        <v>2.507593273674009E-3</v>
      </c>
      <c r="H971">
        <f t="shared" ca="1" si="312"/>
        <v>3.0461496572735742E-2</v>
      </c>
      <c r="I971">
        <f t="shared" ca="1" si="313"/>
        <v>0.32799580989488936</v>
      </c>
      <c r="J971">
        <f t="shared" ca="1" si="314"/>
        <v>7.2189103896901861</v>
      </c>
      <c r="K971">
        <f t="shared" ca="1" si="315"/>
        <v>1.0062475839916398</v>
      </c>
      <c r="L971">
        <f t="shared" ca="1" si="316"/>
        <v>1.799747981000106</v>
      </c>
      <c r="M971">
        <f t="shared" ca="1" si="317"/>
        <v>6.9142196218396218E-4</v>
      </c>
      <c r="N971">
        <f t="shared" ca="1" si="318"/>
        <v>7.7538388580594515E-3</v>
      </c>
      <c r="O971">
        <f t="shared" ca="1" si="319"/>
        <v>-0.93800089970502043</v>
      </c>
      <c r="P971">
        <f t="shared" ca="1" si="320"/>
        <v>2.7580785290059735</v>
      </c>
      <c r="Q971">
        <f t="shared" ca="1" si="321"/>
        <v>0.93430772290783637</v>
      </c>
      <c r="R971">
        <f t="shared" ca="1" si="322"/>
        <v>1.8873935975423324</v>
      </c>
      <c r="T971">
        <f t="shared" si="323"/>
        <v>0.96356824201868108</v>
      </c>
      <c r="U971" s="6">
        <f t="shared" ca="1" si="324"/>
        <v>1.0224635992795668</v>
      </c>
      <c r="V971">
        <f t="shared" ca="1" si="325"/>
        <v>0.99380038426293626</v>
      </c>
      <c r="X971" t="b">
        <f t="shared" ca="1" si="326"/>
        <v>0</v>
      </c>
      <c r="BJ971" t="b">
        <f t="shared" si="307"/>
        <v>1</v>
      </c>
      <c r="BK971" t="b">
        <f t="shared" ca="1" si="308"/>
        <v>0</v>
      </c>
    </row>
    <row r="972" spans="1:63" x14ac:dyDescent="0.45">
      <c r="A972" s="1">
        <v>43826</v>
      </c>
      <c r="B972">
        <v>28.692</v>
      </c>
      <c r="C972" s="1">
        <v>43826</v>
      </c>
      <c r="D972">
        <v>322.86</v>
      </c>
      <c r="E972">
        <f t="shared" si="309"/>
        <v>-1.2983260991391483E-3</v>
      </c>
      <c r="F972" s="4">
        <f t="shared" si="310"/>
        <v>-2.4772403542448778E-4</v>
      </c>
      <c r="G972">
        <f t="shared" ca="1" si="311"/>
        <v>2.4391920735129901E-3</v>
      </c>
      <c r="H972">
        <f t="shared" ca="1" si="312"/>
        <v>3.0564559277599324E-2</v>
      </c>
      <c r="I972">
        <f t="shared" ca="1" si="313"/>
        <v>0.31606660806259146</v>
      </c>
      <c r="J972">
        <f t="shared" ca="1" si="314"/>
        <v>7.1158673806538948</v>
      </c>
      <c r="K972">
        <f t="shared" ca="1" si="315"/>
        <v>0.8910411638734369</v>
      </c>
      <c r="L972">
        <f t="shared" ca="1" si="316"/>
        <v>1.799747981000106</v>
      </c>
      <c r="M972">
        <f t="shared" ca="1" si="317"/>
        <v>7.2165561019049912E-4</v>
      </c>
      <c r="N972">
        <f t="shared" ca="1" si="318"/>
        <v>7.7413027427983344E-3</v>
      </c>
      <c r="O972">
        <f t="shared" ca="1" si="319"/>
        <v>-0.95178668216589091</v>
      </c>
      <c r="P972">
        <f t="shared" ca="1" si="320"/>
        <v>2.8087036055609724</v>
      </c>
      <c r="Q972">
        <f t="shared" ca="1" si="321"/>
        <v>0.93430772290783637</v>
      </c>
      <c r="R972">
        <f t="shared" ca="1" si="322"/>
        <v>2.0171432199629216</v>
      </c>
      <c r="T972">
        <f t="shared" si="323"/>
        <v>0.99870167390086084</v>
      </c>
      <c r="U972" s="6">
        <f t="shared" ca="1" si="324"/>
        <v>1.0651915651915649</v>
      </c>
      <c r="V972">
        <f t="shared" ca="1" si="325"/>
        <v>0.99812566236458167</v>
      </c>
      <c r="X972" t="b">
        <f t="shared" ca="1" si="326"/>
        <v>0</v>
      </c>
      <c r="BJ972" t="b">
        <f t="shared" si="307"/>
        <v>1</v>
      </c>
      <c r="BK972" t="b">
        <f t="shared" ca="1" si="308"/>
        <v>0</v>
      </c>
    </row>
    <row r="973" spans="1:63" x14ac:dyDescent="0.45">
      <c r="A973" s="1">
        <v>43825</v>
      </c>
      <c r="B973">
        <v>28.729299999999999</v>
      </c>
      <c r="C973" s="1">
        <v>43825</v>
      </c>
      <c r="D973">
        <v>322.94</v>
      </c>
      <c r="E973">
        <f t="shared" si="309"/>
        <v>1.3379188712521943E-2</v>
      </c>
      <c r="F973" s="4">
        <f t="shared" si="310"/>
        <v>5.323288609407526E-3</v>
      </c>
      <c r="G973">
        <f t="shared" ca="1" si="311"/>
        <v>2.4629957887262934E-3</v>
      </c>
      <c r="H973">
        <f t="shared" ca="1" si="312"/>
        <v>3.0563487684330547E-2</v>
      </c>
      <c r="I973">
        <f t="shared" ca="1" si="313"/>
        <v>0.3137492401447326</v>
      </c>
      <c r="J973">
        <f t="shared" ca="1" si="314"/>
        <v>7.1162903961336275</v>
      </c>
      <c r="K973">
        <f t="shared" ca="1" si="315"/>
        <v>0.8910411638734369</v>
      </c>
      <c r="L973">
        <f t="shared" ca="1" si="316"/>
        <v>1.799747981000106</v>
      </c>
      <c r="M973">
        <f t="shared" ca="1" si="317"/>
        <v>7.1969525404004715E-4</v>
      </c>
      <c r="N973">
        <f t="shared" ca="1" si="318"/>
        <v>7.7415990927193201E-3</v>
      </c>
      <c r="O973">
        <f t="shared" ca="1" si="319"/>
        <v>-0.95092767998862282</v>
      </c>
      <c r="P973">
        <f t="shared" ca="1" si="320"/>
        <v>2.8068277538871733</v>
      </c>
      <c r="Q973">
        <f t="shared" ca="1" si="321"/>
        <v>0.93430772290783637</v>
      </c>
      <c r="R973">
        <f t="shared" ca="1" si="322"/>
        <v>2.0171432199629216</v>
      </c>
      <c r="T973">
        <f t="shared" si="323"/>
        <v>1.0133791887125219</v>
      </c>
      <c r="U973" s="6">
        <f t="shared" ca="1" si="324"/>
        <v>1.0961198016024414</v>
      </c>
      <c r="V973">
        <f t="shared" ca="1" si="325"/>
        <v>0.97490294589548687</v>
      </c>
      <c r="X973" t="b">
        <f t="shared" ca="1" si="326"/>
        <v>0</v>
      </c>
      <c r="BJ973" t="b">
        <f t="shared" si="307"/>
        <v>1</v>
      </c>
      <c r="BK973" t="b">
        <f t="shared" ca="1" si="308"/>
        <v>0</v>
      </c>
    </row>
    <row r="974" spans="1:63" x14ac:dyDescent="0.45">
      <c r="A974" s="1">
        <v>43823</v>
      </c>
      <c r="B974">
        <v>28.35</v>
      </c>
      <c r="C974" s="1">
        <v>43823</v>
      </c>
      <c r="D974">
        <v>321.23</v>
      </c>
      <c r="E974">
        <f t="shared" si="309"/>
        <v>1.4383855732073889E-2</v>
      </c>
      <c r="F974" s="4">
        <f t="shared" si="310"/>
        <v>3.1131311873454034E-5</v>
      </c>
      <c r="G974">
        <f t="shared" ca="1" si="311"/>
        <v>2.4949050773678894E-3</v>
      </c>
      <c r="H974">
        <f t="shared" ca="1" si="312"/>
        <v>3.0578269680538155E-2</v>
      </c>
      <c r="I974">
        <f t="shared" ca="1" si="313"/>
        <v>0.31082019747040751</v>
      </c>
      <c r="J974">
        <f t="shared" ca="1" si="314"/>
        <v>7.0957704617859045</v>
      </c>
      <c r="K974">
        <f t="shared" ca="1" si="315"/>
        <v>0.8910411638734369</v>
      </c>
      <c r="L974">
        <f t="shared" ca="1" si="316"/>
        <v>1.843788976544509</v>
      </c>
      <c r="M974">
        <f t="shared" ca="1" si="317"/>
        <v>7.2617480727194569E-4</v>
      </c>
      <c r="N974">
        <f t="shared" ca="1" si="318"/>
        <v>7.7460126311577927E-3</v>
      </c>
      <c r="O974">
        <f t="shared" ca="1" si="319"/>
        <v>-0.95066107725200588</v>
      </c>
      <c r="P974">
        <f t="shared" ca="1" si="320"/>
        <v>2.7978379746352928</v>
      </c>
      <c r="Q974">
        <f t="shared" ca="1" si="321"/>
        <v>0.93430772290783637</v>
      </c>
      <c r="R974">
        <f t="shared" ca="1" si="322"/>
        <v>2.0475855530374107</v>
      </c>
      <c r="T974">
        <f t="shared" si="323"/>
        <v>1.0143838557320739</v>
      </c>
      <c r="U974" s="6">
        <f t="shared" ca="1" si="324"/>
        <v>1.1220612681073381</v>
      </c>
      <c r="V974">
        <f t="shared" ca="1" si="325"/>
        <v>0.94089556369168081</v>
      </c>
      <c r="X974" t="b">
        <f t="shared" ca="1" si="326"/>
        <v>0</v>
      </c>
      <c r="BJ974" t="b">
        <f t="shared" si="307"/>
        <v>1</v>
      </c>
      <c r="BK974" t="b">
        <f t="shared" ca="1" si="308"/>
        <v>0</v>
      </c>
    </row>
    <row r="975" spans="1:63" x14ac:dyDescent="0.45">
      <c r="A975" s="1">
        <v>43822</v>
      </c>
      <c r="B975">
        <v>27.948</v>
      </c>
      <c r="C975" s="1">
        <v>43822</v>
      </c>
      <c r="D975">
        <v>321.22000000000003</v>
      </c>
      <c r="E975">
        <f t="shared" si="309"/>
        <v>3.3606639225127855E-2</v>
      </c>
      <c r="F975" s="4">
        <f t="shared" si="310"/>
        <v>1.5277647865806411E-3</v>
      </c>
      <c r="G975">
        <f t="shared" ca="1" si="311"/>
        <v>2.2930533944939984E-3</v>
      </c>
      <c r="H975">
        <f t="shared" ca="1" si="312"/>
        <v>3.0632591614109896E-2</v>
      </c>
      <c r="I975">
        <f t="shared" ca="1" si="313"/>
        <v>0.32476125956804353</v>
      </c>
      <c r="J975">
        <f t="shared" ca="1" si="314"/>
        <v>7.0362422688130595</v>
      </c>
      <c r="K975">
        <f t="shared" ca="1" si="315"/>
        <v>0.8910411638734369</v>
      </c>
      <c r="L975">
        <f t="shared" ca="1" si="316"/>
        <v>1.7907510627602736</v>
      </c>
      <c r="M975">
        <f t="shared" ca="1" si="317"/>
        <v>7.4487420027442321E-4</v>
      </c>
      <c r="N975">
        <f t="shared" ca="1" si="318"/>
        <v>7.7488399607176604E-3</v>
      </c>
      <c r="O975">
        <f t="shared" ca="1" si="319"/>
        <v>-0.95662192736766372</v>
      </c>
      <c r="P975">
        <f t="shared" ca="1" si="320"/>
        <v>2.798822633613514</v>
      </c>
      <c r="Q975">
        <f t="shared" ca="1" si="321"/>
        <v>0.93430772290783637</v>
      </c>
      <c r="R975">
        <f t="shared" ca="1" si="322"/>
        <v>2.0475855530374107</v>
      </c>
      <c r="T975">
        <f t="shared" si="323"/>
        <v>1.0336066392251277</v>
      </c>
      <c r="U975" s="6">
        <f t="shared" ca="1" si="324"/>
        <v>1.0988743104512586</v>
      </c>
      <c r="V975">
        <f t="shared" ca="1" si="325"/>
        <v>0.94094120837409012</v>
      </c>
      <c r="X975" t="b">
        <f t="shared" ca="1" si="326"/>
        <v>0</v>
      </c>
      <c r="BJ975" t="b">
        <f t="shared" si="307"/>
        <v>1</v>
      </c>
      <c r="BK975" t="b">
        <f t="shared" ca="1" si="308"/>
        <v>0</v>
      </c>
    </row>
    <row r="976" spans="1:63" x14ac:dyDescent="0.45">
      <c r="A976" s="1">
        <v>43819</v>
      </c>
      <c r="B976">
        <v>27.039300000000001</v>
      </c>
      <c r="C976" s="1">
        <v>43819</v>
      </c>
      <c r="D976">
        <v>320.73</v>
      </c>
      <c r="E976">
        <f t="shared" si="309"/>
        <v>3.8350163350163659E-3</v>
      </c>
      <c r="F976" s="4">
        <f t="shared" si="310"/>
        <v>-5.2976004985964191E-4</v>
      </c>
      <c r="G976">
        <f t="shared" ca="1" si="311"/>
        <v>2.2443273721081116E-3</v>
      </c>
      <c r="H976">
        <f t="shared" ca="1" si="312"/>
        <v>3.0590253456656495E-2</v>
      </c>
      <c r="I976">
        <f t="shared" ca="1" si="313"/>
        <v>0.3272730550437471</v>
      </c>
      <c r="J976">
        <f t="shared" ca="1" si="314"/>
        <v>7.0898791944666035</v>
      </c>
      <c r="K976">
        <f t="shared" ca="1" si="315"/>
        <v>0.8910411638734369</v>
      </c>
      <c r="L976">
        <f t="shared" ca="1" si="316"/>
        <v>1.7907510627602736</v>
      </c>
      <c r="M976">
        <f t="shared" ca="1" si="317"/>
        <v>8.0974138814651916E-4</v>
      </c>
      <c r="N976">
        <f t="shared" ca="1" si="318"/>
        <v>7.809490979689704E-3</v>
      </c>
      <c r="O976">
        <f t="shared" ca="1" si="319"/>
        <v>-0.93193941933626656</v>
      </c>
      <c r="P976">
        <f t="shared" ca="1" si="320"/>
        <v>2.7003891393729758</v>
      </c>
      <c r="Q976">
        <f t="shared" ca="1" si="321"/>
        <v>0.97478862251813991</v>
      </c>
      <c r="R976">
        <f t="shared" ca="1" si="322"/>
        <v>2.2121057832564297</v>
      </c>
      <c r="T976">
        <f t="shared" si="323"/>
        <v>1.0038350163350163</v>
      </c>
      <c r="U976" s="6">
        <f t="shared" ca="1" si="324"/>
        <v>1.1316971292486828</v>
      </c>
      <c r="V976">
        <f t="shared" ca="1" si="325"/>
        <v>0.91121710959326296</v>
      </c>
      <c r="X976" t="b">
        <f t="shared" ca="1" si="326"/>
        <v>0</v>
      </c>
      <c r="BJ976" t="b">
        <f t="shared" si="307"/>
        <v>1</v>
      </c>
      <c r="BK976" t="b">
        <f t="shared" ca="1" si="308"/>
        <v>0</v>
      </c>
    </row>
    <row r="977" spans="1:63" x14ac:dyDescent="0.45">
      <c r="A977" s="1">
        <v>43818</v>
      </c>
      <c r="B977">
        <v>26.936</v>
      </c>
      <c r="C977" s="1">
        <v>43818</v>
      </c>
      <c r="D977">
        <v>320.89999999999998</v>
      </c>
      <c r="E977">
        <f t="shared" si="309"/>
        <v>2.7699351392598208E-2</v>
      </c>
      <c r="F977" s="4">
        <f t="shared" si="310"/>
        <v>4.0990018461153424E-3</v>
      </c>
      <c r="G977">
        <f t="shared" ca="1" si="311"/>
        <v>2.3616542183804022E-3</v>
      </c>
      <c r="H977">
        <f t="shared" ca="1" si="312"/>
        <v>3.0641342350428674E-2</v>
      </c>
      <c r="I977">
        <f t="shared" ca="1" si="313"/>
        <v>0.31681027292587338</v>
      </c>
      <c r="J977">
        <f t="shared" ca="1" si="314"/>
        <v>7.0197247256093549</v>
      </c>
      <c r="K977">
        <f t="shared" ca="1" si="315"/>
        <v>0.8910411638734369</v>
      </c>
      <c r="L977">
        <f t="shared" ca="1" si="316"/>
        <v>1.8142316545334953</v>
      </c>
      <c r="M977">
        <f t="shared" ca="1" si="317"/>
        <v>8.0239055201895826E-4</v>
      </c>
      <c r="N977">
        <f t="shared" ca="1" si="318"/>
        <v>7.8114498136190392E-3</v>
      </c>
      <c r="O977">
        <f t="shared" ca="1" si="319"/>
        <v>-0.9285974924443815</v>
      </c>
      <c r="P977">
        <f t="shared" ca="1" si="320"/>
        <v>2.691137977051687</v>
      </c>
      <c r="Q977">
        <f t="shared" ca="1" si="321"/>
        <v>0.97478862251813991</v>
      </c>
      <c r="R977">
        <f t="shared" ca="1" si="322"/>
        <v>2.2121057832564297</v>
      </c>
      <c r="T977">
        <f t="shared" si="323"/>
        <v>1.0276993513925983</v>
      </c>
      <c r="U977" s="6">
        <f t="shared" ca="1" si="324"/>
        <v>1.1233302889647898</v>
      </c>
      <c r="V977">
        <f t="shared" ca="1" si="325"/>
        <v>0.98721808276841172</v>
      </c>
      <c r="X977" t="b">
        <f t="shared" ca="1" si="326"/>
        <v>0</v>
      </c>
      <c r="BJ977" t="b">
        <f t="shared" si="307"/>
        <v>1</v>
      </c>
      <c r="BK977" t="b">
        <f t="shared" ca="1" si="308"/>
        <v>0</v>
      </c>
    </row>
    <row r="978" spans="1:63" x14ac:dyDescent="0.45">
      <c r="A978" s="1">
        <v>43817</v>
      </c>
      <c r="B978">
        <v>26.21</v>
      </c>
      <c r="C978" s="1">
        <v>43817</v>
      </c>
      <c r="D978">
        <v>319.58999999999997</v>
      </c>
      <c r="E978">
        <f t="shared" si="309"/>
        <v>3.7362463389535451E-2</v>
      </c>
      <c r="F978" s="4">
        <f t="shared" si="310"/>
        <v>6.2584097380798611E-5</v>
      </c>
      <c r="G978">
        <f t="shared" ca="1" si="311"/>
        <v>2.2294834822688438E-3</v>
      </c>
      <c r="H978">
        <f t="shared" ca="1" si="312"/>
        <v>3.0588465477232523E-2</v>
      </c>
      <c r="I978">
        <f t="shared" ca="1" si="313"/>
        <v>0.32866470590031599</v>
      </c>
      <c r="J978">
        <f t="shared" ca="1" si="314"/>
        <v>7.0927465743175153</v>
      </c>
      <c r="K978">
        <f t="shared" ca="1" si="315"/>
        <v>0.8910411638734369</v>
      </c>
      <c r="L978">
        <f t="shared" ca="1" si="316"/>
        <v>1.7907510627602736</v>
      </c>
      <c r="M978">
        <f t="shared" ca="1" si="317"/>
        <v>7.4006811697797503E-4</v>
      </c>
      <c r="N978">
        <f t="shared" ca="1" si="318"/>
        <v>7.8347045147482905E-3</v>
      </c>
      <c r="O978">
        <f t="shared" ca="1" si="319"/>
        <v>-0.90475888763484746</v>
      </c>
      <c r="P978">
        <f t="shared" ca="1" si="320"/>
        <v>2.603112134074788</v>
      </c>
      <c r="Q978">
        <f t="shared" ca="1" si="321"/>
        <v>0.97478862251813991</v>
      </c>
      <c r="R978">
        <f t="shared" ca="1" si="322"/>
        <v>2.069815495045165</v>
      </c>
      <c r="T978">
        <f t="shared" si="323"/>
        <v>1.0373624633895355</v>
      </c>
      <c r="U978" s="6">
        <f t="shared" ca="1" si="324"/>
        <v>1.1146882828016484</v>
      </c>
      <c r="V978">
        <f t="shared" ca="1" si="325"/>
        <v>0.96564175591428592</v>
      </c>
      <c r="X978" t="b">
        <f t="shared" ca="1" si="326"/>
        <v>0</v>
      </c>
      <c r="BJ978" t="b">
        <f t="shared" si="307"/>
        <v>1</v>
      </c>
      <c r="BK978" t="b">
        <f t="shared" ca="1" si="308"/>
        <v>0</v>
      </c>
    </row>
    <row r="979" spans="1:63" x14ac:dyDescent="0.45">
      <c r="A979" s="1">
        <v>43816</v>
      </c>
      <c r="B979">
        <v>25.265999999999998</v>
      </c>
      <c r="C979" s="1">
        <v>43816</v>
      </c>
      <c r="D979">
        <v>319.57</v>
      </c>
      <c r="E979">
        <f t="shared" si="309"/>
        <v>-6.5779902725954121E-3</v>
      </c>
      <c r="F979" s="4">
        <f t="shared" si="310"/>
        <v>2.1909233176836676E-4</v>
      </c>
      <c r="G979">
        <f t="shared" ca="1" si="311"/>
        <v>2.0372469952191939E-3</v>
      </c>
      <c r="H979">
        <f t="shared" ca="1" si="312"/>
        <v>3.0487204440112568E-2</v>
      </c>
      <c r="I979">
        <f t="shared" ca="1" si="313"/>
        <v>0.34328384979923054</v>
      </c>
      <c r="J979">
        <f t="shared" ca="1" si="314"/>
        <v>7.2275720025060393</v>
      </c>
      <c r="K979">
        <f t="shared" ca="1" si="315"/>
        <v>0.8910411638734369</v>
      </c>
      <c r="L979">
        <f t="shared" ca="1" si="316"/>
        <v>1.7479769380749393</v>
      </c>
      <c r="M979">
        <f t="shared" ca="1" si="317"/>
        <v>7.094706290765489E-4</v>
      </c>
      <c r="N979">
        <f t="shared" ca="1" si="318"/>
        <v>7.8492995254063058E-3</v>
      </c>
      <c r="O979">
        <f t="shared" ca="1" si="319"/>
        <v>-0.89120138145199324</v>
      </c>
      <c r="P979">
        <f t="shared" ca="1" si="320"/>
        <v>2.5498545435643054</v>
      </c>
      <c r="Q979">
        <f t="shared" ca="1" si="321"/>
        <v>0.97478862251813991</v>
      </c>
      <c r="R979">
        <f t="shared" ca="1" si="322"/>
        <v>1.8885346033761725</v>
      </c>
      <c r="T979">
        <f t="shared" si="323"/>
        <v>0.99342200972740458</v>
      </c>
      <c r="U979" s="6">
        <f t="shared" ca="1" si="324"/>
        <v>1.0864293085655312</v>
      </c>
      <c r="V979">
        <f t="shared" ca="1" si="325"/>
        <v>0.97475604305801944</v>
      </c>
      <c r="X979" t="b">
        <f t="shared" ca="1" si="326"/>
        <v>0</v>
      </c>
      <c r="BJ979" t="b">
        <f t="shared" si="307"/>
        <v>1</v>
      </c>
      <c r="BK979" t="b">
        <f t="shared" ca="1" si="308"/>
        <v>0</v>
      </c>
    </row>
    <row r="980" spans="1:63" x14ac:dyDescent="0.45">
      <c r="A980" s="1">
        <v>43815</v>
      </c>
      <c r="B980">
        <v>25.433299999999999</v>
      </c>
      <c r="C980" s="1">
        <v>43815</v>
      </c>
      <c r="D980">
        <v>319.5</v>
      </c>
      <c r="E980">
        <f t="shared" si="309"/>
        <v>6.4479945757490678E-2</v>
      </c>
      <c r="F980" s="4">
        <f t="shared" si="310"/>
        <v>6.8700365561578432E-3</v>
      </c>
      <c r="G980">
        <f t="shared" ca="1" si="311"/>
        <v>1.9155953149589586E-3</v>
      </c>
      <c r="H980">
        <f t="shared" ca="1" si="312"/>
        <v>3.0570183353413469E-2</v>
      </c>
      <c r="I980">
        <f t="shared" ca="1" si="313"/>
        <v>0.34631512142512494</v>
      </c>
      <c r="J980">
        <f t="shared" ca="1" si="314"/>
        <v>7.1289626674501774</v>
      </c>
      <c r="K980">
        <f t="shared" ca="1" si="315"/>
        <v>0.8910411638734369</v>
      </c>
      <c r="L980">
        <f t="shared" ca="1" si="316"/>
        <v>1.7112847570327545</v>
      </c>
      <c r="M980">
        <f t="shared" ca="1" si="317"/>
        <v>7.0157488108986172E-4</v>
      </c>
      <c r="N980">
        <f t="shared" ca="1" si="318"/>
        <v>7.8505894254703862E-3</v>
      </c>
      <c r="O980">
        <f t="shared" ca="1" si="319"/>
        <v>-0.8878061780949621</v>
      </c>
      <c r="P980">
        <f t="shared" ca="1" si="320"/>
        <v>2.5425523763073743</v>
      </c>
      <c r="Q980">
        <f t="shared" ca="1" si="321"/>
        <v>0.97478862251813991</v>
      </c>
      <c r="R980">
        <f t="shared" ca="1" si="322"/>
        <v>1.8885346033761725</v>
      </c>
      <c r="T980">
        <f t="shared" si="323"/>
        <v>1.0644799457574907</v>
      </c>
      <c r="U980" s="6">
        <f t="shared" ca="1" si="324"/>
        <v>1.1236122339885042</v>
      </c>
      <c r="V980">
        <f t="shared" ca="1" si="325"/>
        <v>0.96785784428737542</v>
      </c>
      <c r="X980" t="b">
        <f t="shared" ca="1" si="326"/>
        <v>0</v>
      </c>
      <c r="BJ980" t="b">
        <f t="shared" si="307"/>
        <v>1</v>
      </c>
      <c r="BK980" t="b">
        <f t="shared" ca="1" si="308"/>
        <v>0</v>
      </c>
    </row>
    <row r="981" spans="1:63" x14ac:dyDescent="0.45">
      <c r="A981" s="1">
        <v>43812</v>
      </c>
      <c r="B981">
        <v>23.892700000000001</v>
      </c>
      <c r="C981" s="1">
        <v>43812</v>
      </c>
      <c r="D981">
        <v>317.32</v>
      </c>
      <c r="E981">
        <f t="shared" si="309"/>
        <v>-3.5865163666086368E-3</v>
      </c>
      <c r="F981" s="4">
        <f t="shared" si="310"/>
        <v>5.9912338788508724E-4</v>
      </c>
      <c r="G981">
        <f t="shared" ca="1" si="311"/>
        <v>1.433243009680745E-3</v>
      </c>
      <c r="H981">
        <f t="shared" ca="1" si="312"/>
        <v>3.0338250528703519E-2</v>
      </c>
      <c r="I981">
        <f t="shared" ca="1" si="313"/>
        <v>0.35089988981087133</v>
      </c>
      <c r="J981">
        <f t="shared" ca="1" si="314"/>
        <v>7.3793062168563788</v>
      </c>
      <c r="K981">
        <f t="shared" ca="1" si="315"/>
        <v>0.84752668542929999</v>
      </c>
      <c r="L981">
        <f t="shared" ca="1" si="316"/>
        <v>1.5914198721936088</v>
      </c>
      <c r="M981">
        <f t="shared" ca="1" si="317"/>
        <v>6.4903769310259581E-4</v>
      </c>
      <c r="N981">
        <f t="shared" ca="1" si="318"/>
        <v>7.8442578532953305E-3</v>
      </c>
      <c r="O981">
        <f t="shared" ca="1" si="319"/>
        <v>-0.87298914010227491</v>
      </c>
      <c r="P981">
        <f t="shared" ca="1" si="320"/>
        <v>2.5349816109966623</v>
      </c>
      <c r="Q981">
        <f t="shared" ca="1" si="321"/>
        <v>0.97478862251813991</v>
      </c>
      <c r="R981">
        <f t="shared" ca="1" si="322"/>
        <v>1.734662475878842</v>
      </c>
      <c r="T981">
        <f t="shared" si="323"/>
        <v>0.99641348363339133</v>
      </c>
      <c r="U981" s="6">
        <f t="shared" ca="1" si="324"/>
        <v>1.0669861160110212</v>
      </c>
      <c r="V981">
        <f t="shared" ca="1" si="325"/>
        <v>0.96738857839610659</v>
      </c>
      <c r="X981" t="b">
        <f t="shared" ca="1" si="326"/>
        <v>0</v>
      </c>
      <c r="BJ981" t="b">
        <f t="shared" si="307"/>
        <v>1</v>
      </c>
      <c r="BK981" t="b">
        <f t="shared" ca="1" si="308"/>
        <v>0</v>
      </c>
    </row>
    <row r="982" spans="1:63" x14ac:dyDescent="0.45">
      <c r="A982" s="1">
        <v>43811</v>
      </c>
      <c r="B982">
        <v>23.9787</v>
      </c>
      <c r="C982" s="1">
        <v>43811</v>
      </c>
      <c r="D982">
        <v>317.13</v>
      </c>
      <c r="E982">
        <f t="shared" si="309"/>
        <v>1.9793053293242501E-2</v>
      </c>
      <c r="F982" s="4">
        <f t="shared" si="310"/>
        <v>8.6190445900387359E-3</v>
      </c>
      <c r="G982">
        <f t="shared" ca="1" si="311"/>
        <v>1.0590122925215107E-3</v>
      </c>
      <c r="H982">
        <f t="shared" ca="1" si="312"/>
        <v>3.0857659458538186E-2</v>
      </c>
      <c r="I982">
        <f t="shared" ca="1" si="313"/>
        <v>0.28224616977217504</v>
      </c>
      <c r="J982">
        <f t="shared" ca="1" si="314"/>
        <v>6.9403706151541931</v>
      </c>
      <c r="K982">
        <f t="shared" ca="1" si="315"/>
        <v>0.81963885580263929</v>
      </c>
      <c r="L982">
        <f t="shared" ca="1" si="316"/>
        <v>1.5364463597630895</v>
      </c>
      <c r="M982">
        <f t="shared" ca="1" si="317"/>
        <v>6.772606781439369E-4</v>
      </c>
      <c r="N982">
        <f t="shared" ca="1" si="318"/>
        <v>7.8542254249822658E-3</v>
      </c>
      <c r="O982">
        <f t="shared" ca="1" si="319"/>
        <v>-0.87872414324079129</v>
      </c>
      <c r="P982">
        <f t="shared" ca="1" si="320"/>
        <v>2.5208462164553769</v>
      </c>
      <c r="Q982">
        <f t="shared" ca="1" si="321"/>
        <v>0.97478862251813991</v>
      </c>
      <c r="R982">
        <f t="shared" ca="1" si="322"/>
        <v>1.8740398364294351</v>
      </c>
      <c r="T982">
        <f t="shared" si="323"/>
        <v>1.0197930532932424</v>
      </c>
      <c r="U982" s="6">
        <f t="shared" ca="1" si="324"/>
        <v>1.0887185750543706</v>
      </c>
      <c r="V982">
        <f t="shared" ca="1" si="325"/>
        <v>0.9725379575805414</v>
      </c>
      <c r="X982" t="b">
        <f t="shared" ca="1" si="326"/>
        <v>0</v>
      </c>
      <c r="BJ982" t="b">
        <f t="shared" si="307"/>
        <v>1</v>
      </c>
      <c r="BK982" t="b">
        <f t="shared" ca="1" si="308"/>
        <v>0</v>
      </c>
    </row>
    <row r="983" spans="1:63" x14ac:dyDescent="0.45">
      <c r="A983" s="1">
        <v>43810</v>
      </c>
      <c r="B983">
        <v>23.513300000000001</v>
      </c>
      <c r="C983" s="1">
        <v>43810</v>
      </c>
      <c r="D983">
        <v>314.42</v>
      </c>
      <c r="E983">
        <f t="shared" si="309"/>
        <v>1.1063811489508116E-2</v>
      </c>
      <c r="F983" s="4">
        <f t="shared" si="310"/>
        <v>2.8386438299366672E-3</v>
      </c>
      <c r="G983">
        <f t="shared" ca="1" si="311"/>
        <v>1.0416857093515366E-3</v>
      </c>
      <c r="H983">
        <f t="shared" ca="1" si="312"/>
        <v>3.0848058824444125E-2</v>
      </c>
      <c r="I983">
        <f t="shared" ca="1" si="313"/>
        <v>0.28369043317761872</v>
      </c>
      <c r="J983">
        <f t="shared" ca="1" si="314"/>
        <v>6.9530628294540184</v>
      </c>
      <c r="K983">
        <f t="shared" ca="1" si="315"/>
        <v>0.81963885580263929</v>
      </c>
      <c r="L983">
        <f t="shared" ca="1" si="316"/>
        <v>1.5007636761570426</v>
      </c>
      <c r="M983">
        <f t="shared" ca="1" si="317"/>
        <v>6.2485313427683854E-4</v>
      </c>
      <c r="N983">
        <f t="shared" ca="1" si="318"/>
        <v>7.8359150946683189E-3</v>
      </c>
      <c r="O983">
        <f t="shared" ca="1" si="319"/>
        <v>-0.8700884435817825</v>
      </c>
      <c r="P983">
        <f t="shared" ca="1" si="320"/>
        <v>2.5436256025312316</v>
      </c>
      <c r="Q983">
        <f t="shared" ca="1" si="321"/>
        <v>0.97478862251813991</v>
      </c>
      <c r="R983">
        <f t="shared" ca="1" si="322"/>
        <v>1.734662475878842</v>
      </c>
      <c r="T983">
        <f t="shared" si="323"/>
        <v>1.0110638114895081</v>
      </c>
      <c r="U983" s="6">
        <f t="shared" ca="1" si="324"/>
        <v>1.0590622466444464</v>
      </c>
      <c r="V983">
        <f t="shared" ca="1" si="325"/>
        <v>0.98678390847020114</v>
      </c>
      <c r="X983" t="b">
        <f t="shared" ca="1" si="326"/>
        <v>0</v>
      </c>
      <c r="BJ983" t="b">
        <f t="shared" si="307"/>
        <v>1</v>
      </c>
      <c r="BK983" t="b">
        <f t="shared" ca="1" si="308"/>
        <v>0</v>
      </c>
    </row>
    <row r="984" spans="1:63" x14ac:dyDescent="0.45">
      <c r="A984" s="1">
        <v>43809</v>
      </c>
      <c r="B984">
        <v>23.256</v>
      </c>
      <c r="C984" s="1">
        <v>43809</v>
      </c>
      <c r="D984">
        <v>313.52999999999997</v>
      </c>
      <c r="E984">
        <f t="shared" si="309"/>
        <v>2.7421770420537804E-2</v>
      </c>
      <c r="F984" s="4">
        <f t="shared" si="310"/>
        <v>-1.1150758251561831E-3</v>
      </c>
      <c r="G984">
        <f t="shared" ca="1" si="311"/>
        <v>1.2697385101123142E-3</v>
      </c>
      <c r="H984">
        <f t="shared" ca="1" si="312"/>
        <v>3.109016673358813E-2</v>
      </c>
      <c r="I984">
        <f t="shared" ca="1" si="313"/>
        <v>0.28379861036397286</v>
      </c>
      <c r="J984">
        <f t="shared" ca="1" si="314"/>
        <v>6.6894396977704575</v>
      </c>
      <c r="K984">
        <f t="shared" ca="1" si="315"/>
        <v>0.8617214921797286</v>
      </c>
      <c r="L984">
        <f t="shared" ca="1" si="316"/>
        <v>1.5364463597630895</v>
      </c>
      <c r="M984">
        <f t="shared" ca="1" si="317"/>
        <v>6.0851184123341296E-4</v>
      </c>
      <c r="N984">
        <f t="shared" ca="1" si="318"/>
        <v>7.8346829519517439E-3</v>
      </c>
      <c r="O984">
        <f t="shared" ca="1" si="319"/>
        <v>-0.86430540367606989</v>
      </c>
      <c r="P984">
        <f t="shared" ca="1" si="320"/>
        <v>2.5397269761421244</v>
      </c>
      <c r="Q984">
        <f t="shared" ca="1" si="321"/>
        <v>0.97478862251813991</v>
      </c>
      <c r="R984">
        <f t="shared" ca="1" si="322"/>
        <v>1.734662475878842</v>
      </c>
      <c r="T984">
        <f t="shared" si="323"/>
        <v>1.0274217704205377</v>
      </c>
      <c r="U984" s="6">
        <f t="shared" ca="1" si="324"/>
        <v>1.0375982117760434</v>
      </c>
      <c r="V984">
        <f t="shared" ca="1" si="325"/>
        <v>0.98261426138886832</v>
      </c>
      <c r="X984" t="b">
        <f t="shared" ca="1" si="326"/>
        <v>0</v>
      </c>
      <c r="BJ984" t="b">
        <f t="shared" si="307"/>
        <v>1</v>
      </c>
      <c r="BK984" t="b">
        <f t="shared" ca="1" si="308"/>
        <v>0</v>
      </c>
    </row>
    <row r="985" spans="1:63" x14ac:dyDescent="0.45">
      <c r="A985" s="1">
        <v>43808</v>
      </c>
      <c r="B985">
        <v>22.635300000000001</v>
      </c>
      <c r="C985" s="1">
        <v>43808</v>
      </c>
      <c r="D985">
        <v>313.88</v>
      </c>
      <c r="E985">
        <f t="shared" si="309"/>
        <v>1.0833887829515845E-2</v>
      </c>
      <c r="F985" s="4">
        <f t="shared" si="310"/>
        <v>-3.1441547305237371E-3</v>
      </c>
      <c r="G985">
        <f t="shared" ca="1" si="311"/>
        <v>1.117392184367693E-3</v>
      </c>
      <c r="H985">
        <f t="shared" ca="1" si="312"/>
        <v>3.1035978707013575E-2</v>
      </c>
      <c r="I985">
        <f t="shared" ca="1" si="313"/>
        <v>0.29711212185738262</v>
      </c>
      <c r="J985">
        <f t="shared" ca="1" si="314"/>
        <v>6.760801785785044</v>
      </c>
      <c r="K985">
        <f t="shared" ca="1" si="315"/>
        <v>0.8617214921797286</v>
      </c>
      <c r="L985">
        <f t="shared" ca="1" si="316"/>
        <v>1.5007636761570426</v>
      </c>
      <c r="M985">
        <f t="shared" ca="1" si="317"/>
        <v>6.105096588251358E-4</v>
      </c>
      <c r="N985">
        <f t="shared" ca="1" si="318"/>
        <v>7.8342921682775027E-3</v>
      </c>
      <c r="O985">
        <f t="shared" ca="1" si="319"/>
        <v>-0.86517795320946977</v>
      </c>
      <c r="P985">
        <f t="shared" ca="1" si="320"/>
        <v>2.5417336250242597</v>
      </c>
      <c r="Q985">
        <f t="shared" ca="1" si="321"/>
        <v>0.97478862251813991</v>
      </c>
      <c r="R985">
        <f t="shared" ca="1" si="322"/>
        <v>1.734662475878842</v>
      </c>
      <c r="T985">
        <f t="shared" si="323"/>
        <v>1.0108338878295158</v>
      </c>
      <c r="U985" s="6">
        <f t="shared" ca="1" si="324"/>
        <v>1.0139128409340323</v>
      </c>
      <c r="V985">
        <f t="shared" ca="1" si="325"/>
        <v>0.98829841745227809</v>
      </c>
      <c r="X985" t="b">
        <f t="shared" ca="1" si="326"/>
        <v>0</v>
      </c>
      <c r="BJ985" t="b">
        <f t="shared" si="307"/>
        <v>1</v>
      </c>
      <c r="BK985" t="b">
        <f t="shared" ca="1" si="308"/>
        <v>0</v>
      </c>
    </row>
    <row r="986" spans="1:63" x14ac:dyDescent="0.45">
      <c r="A986" s="1">
        <v>43805</v>
      </c>
      <c r="B986">
        <v>22.392700000000001</v>
      </c>
      <c r="C986" s="1">
        <v>43805</v>
      </c>
      <c r="D986">
        <v>314.87</v>
      </c>
      <c r="E986">
        <f t="shared" si="309"/>
        <v>1.6708513623341165E-2</v>
      </c>
      <c r="F986" s="4">
        <f t="shared" si="310"/>
        <v>9.1340298698802096E-3</v>
      </c>
      <c r="G986">
        <f t="shared" ca="1" si="311"/>
        <v>1.1321126181288593E-3</v>
      </c>
      <c r="H986">
        <f t="shared" ca="1" si="312"/>
        <v>3.1041308156955754E-2</v>
      </c>
      <c r="I986">
        <f t="shared" ca="1" si="313"/>
        <v>0.2957107988073906</v>
      </c>
      <c r="J986">
        <f t="shared" ca="1" si="314"/>
        <v>6.75358869378445</v>
      </c>
      <c r="K986">
        <f t="shared" ca="1" si="315"/>
        <v>0.8617214921797286</v>
      </c>
      <c r="L986">
        <f t="shared" ca="1" si="316"/>
        <v>1.5007636761570426</v>
      </c>
      <c r="M986">
        <f t="shared" ca="1" si="317"/>
        <v>6.3303705281163715E-4</v>
      </c>
      <c r="N986">
        <f t="shared" ca="1" si="318"/>
        <v>7.8299179298058352E-3</v>
      </c>
      <c r="O986">
        <f t="shared" ca="1" si="319"/>
        <v>-0.8747830881746802</v>
      </c>
      <c r="P986">
        <f t="shared" ca="1" si="320"/>
        <v>2.5641772162387664</v>
      </c>
      <c r="Q986">
        <f t="shared" ca="1" si="321"/>
        <v>0.97478862251813991</v>
      </c>
      <c r="R986">
        <f t="shared" ca="1" si="322"/>
        <v>1.7480792281966688</v>
      </c>
      <c r="T986">
        <f t="shared" si="323"/>
        <v>1.0167085136233411</v>
      </c>
      <c r="U986" s="6">
        <f t="shared" ca="1" si="324"/>
        <v>1.0180350972904166</v>
      </c>
      <c r="V986">
        <f t="shared" ca="1" si="325"/>
        <v>1.0127044232608551</v>
      </c>
      <c r="X986" t="b">
        <f t="shared" ca="1" si="326"/>
        <v>0</v>
      </c>
      <c r="BJ986" t="b">
        <f t="shared" si="307"/>
        <v>1</v>
      </c>
      <c r="BK986" t="b">
        <f t="shared" ca="1" si="308"/>
        <v>0</v>
      </c>
    </row>
    <row r="987" spans="1:63" x14ac:dyDescent="0.45">
      <c r="A987" s="1">
        <v>43804</v>
      </c>
      <c r="B987">
        <v>22.024699999999999</v>
      </c>
      <c r="C987" s="1">
        <v>43804</v>
      </c>
      <c r="D987">
        <v>312.02</v>
      </c>
      <c r="E987">
        <f t="shared" si="309"/>
        <v>-7.9857670480138025E-3</v>
      </c>
      <c r="F987" s="4">
        <f t="shared" si="310"/>
        <v>1.7979836897193935E-3</v>
      </c>
      <c r="G987">
        <f t="shared" ca="1" si="311"/>
        <v>1.1083167446292862E-3</v>
      </c>
      <c r="H987">
        <f t="shared" ca="1" si="312"/>
        <v>3.1031129974783394E-2</v>
      </c>
      <c r="I987">
        <f t="shared" ca="1" si="313"/>
        <v>0.29789866290448702</v>
      </c>
      <c r="J987">
        <f t="shared" ca="1" si="314"/>
        <v>6.7671280946800936</v>
      </c>
      <c r="K987">
        <f t="shared" ca="1" si="315"/>
        <v>0.8617214921797286</v>
      </c>
      <c r="L987">
        <f t="shared" ca="1" si="316"/>
        <v>1.5007636761570426</v>
      </c>
      <c r="M987">
        <f t="shared" ca="1" si="317"/>
        <v>6.1836683136937988E-4</v>
      </c>
      <c r="N987">
        <f t="shared" ca="1" si="318"/>
        <v>7.8166477208160695E-3</v>
      </c>
      <c r="O987">
        <f t="shared" ca="1" si="319"/>
        <v>-0.87825431907675444</v>
      </c>
      <c r="P987">
        <f t="shared" ca="1" si="320"/>
        <v>2.5897085186517383</v>
      </c>
      <c r="Q987">
        <f t="shared" ca="1" si="321"/>
        <v>0.97478862251813991</v>
      </c>
      <c r="R987">
        <f t="shared" ca="1" si="322"/>
        <v>1.7480792281966688</v>
      </c>
      <c r="T987">
        <f t="shared" si="323"/>
        <v>0.99201423295198621</v>
      </c>
      <c r="U987" s="6">
        <f t="shared" ca="1" si="324"/>
        <v>0.99722448609979186</v>
      </c>
      <c r="V987">
        <f t="shared" ca="1" si="325"/>
        <v>1.0323092451597415</v>
      </c>
      <c r="X987" t="b">
        <f t="shared" ca="1" si="326"/>
        <v>1</v>
      </c>
      <c r="BJ987" t="b">
        <f t="shared" si="307"/>
        <v>1</v>
      </c>
      <c r="BK987" t="b">
        <f t="shared" ca="1" si="308"/>
        <v>1</v>
      </c>
    </row>
    <row r="988" spans="1:63" x14ac:dyDescent="0.45">
      <c r="A988" s="1">
        <v>43803</v>
      </c>
      <c r="B988">
        <v>22.202000000000002</v>
      </c>
      <c r="C988" s="1">
        <v>43803</v>
      </c>
      <c r="D988">
        <v>311.45999999999998</v>
      </c>
      <c r="E988">
        <f t="shared" si="309"/>
        <v>-9.4274381728704747E-3</v>
      </c>
      <c r="F988" s="4">
        <f t="shared" si="310"/>
        <v>6.1702471329348023E-3</v>
      </c>
      <c r="G988">
        <f t="shared" ca="1" si="311"/>
        <v>9.6099377403217456E-4</v>
      </c>
      <c r="H988">
        <f t="shared" ca="1" si="312"/>
        <v>3.1144258522603861E-2</v>
      </c>
      <c r="I988">
        <f t="shared" ca="1" si="313"/>
        <v>0.29949240917291003</v>
      </c>
      <c r="J988">
        <f t="shared" ca="1" si="314"/>
        <v>6.6430993328666679</v>
      </c>
      <c r="K988">
        <f t="shared" ca="1" si="315"/>
        <v>0.8617214921797286</v>
      </c>
      <c r="L988">
        <f t="shared" ca="1" si="316"/>
        <v>1.4902669611320483</v>
      </c>
      <c r="M988">
        <f t="shared" ca="1" si="317"/>
        <v>5.9159737913966825E-4</v>
      </c>
      <c r="N988">
        <f t="shared" ca="1" si="318"/>
        <v>7.8217536107836171E-3</v>
      </c>
      <c r="O988">
        <f t="shared" ca="1" si="319"/>
        <v>-0.86695338163891178</v>
      </c>
      <c r="P988">
        <f t="shared" ca="1" si="320"/>
        <v>2.5632436489666688</v>
      </c>
      <c r="Q988">
        <f t="shared" ca="1" si="321"/>
        <v>0.97478862251813991</v>
      </c>
      <c r="R988">
        <f t="shared" ca="1" si="322"/>
        <v>1.734662475878842</v>
      </c>
      <c r="T988">
        <f t="shared" si="323"/>
        <v>0.99057256182712949</v>
      </c>
      <c r="U988" s="6">
        <f t="shared" ca="1" si="324"/>
        <v>1.0124954396205763</v>
      </c>
      <c r="V988">
        <f t="shared" ca="1" si="325"/>
        <v>1.0348706217389996</v>
      </c>
      <c r="X988" t="b">
        <f t="shared" ca="1" si="326"/>
        <v>0</v>
      </c>
      <c r="BJ988" t="b">
        <f t="shared" si="307"/>
        <v>1</v>
      </c>
      <c r="BK988" t="b">
        <f t="shared" ca="1" si="308"/>
        <v>0</v>
      </c>
    </row>
    <row r="989" spans="1:63" x14ac:dyDescent="0.45">
      <c r="A989" s="1">
        <v>43802</v>
      </c>
      <c r="B989">
        <v>22.4133</v>
      </c>
      <c r="C989" s="1">
        <v>43802</v>
      </c>
      <c r="D989">
        <v>309.55</v>
      </c>
      <c r="E989">
        <f t="shared" si="309"/>
        <v>3.9686983475701607E-3</v>
      </c>
      <c r="F989" s="4">
        <f t="shared" si="310"/>
        <v>-6.7064561673725294E-3</v>
      </c>
      <c r="G989">
        <f t="shared" ca="1" si="311"/>
        <v>9.5775306933311996E-4</v>
      </c>
      <c r="H989">
        <f t="shared" ca="1" si="312"/>
        <v>3.114537862005819E-2</v>
      </c>
      <c r="I989">
        <f t="shared" ca="1" si="313"/>
        <v>0.29973790329001126</v>
      </c>
      <c r="J989">
        <f t="shared" ca="1" si="314"/>
        <v>6.6418504015247501</v>
      </c>
      <c r="K989">
        <f t="shared" ca="1" si="315"/>
        <v>0.8617214921797286</v>
      </c>
      <c r="L989">
        <f t="shared" ca="1" si="316"/>
        <v>1.4902669611320483</v>
      </c>
      <c r="M989">
        <f t="shared" ca="1" si="317"/>
        <v>5.7082352335622514E-4</v>
      </c>
      <c r="N989">
        <f t="shared" ca="1" si="318"/>
        <v>7.8123744987967352E-3</v>
      </c>
      <c r="O989">
        <f t="shared" ca="1" si="319"/>
        <v>-0.863839168956544</v>
      </c>
      <c r="P989">
        <f t="shared" ca="1" si="320"/>
        <v>2.5794684076122323</v>
      </c>
      <c r="Q989">
        <f t="shared" ca="1" si="321"/>
        <v>0.97478862251813991</v>
      </c>
      <c r="R989">
        <f t="shared" ca="1" si="322"/>
        <v>1.66403122761528</v>
      </c>
      <c r="T989">
        <f t="shared" si="323"/>
        <v>1.0039686983475702</v>
      </c>
      <c r="U989" s="6">
        <f t="shared" ca="1" si="324"/>
        <v>0.99958078197540889</v>
      </c>
      <c r="V989">
        <f t="shared" ca="1" si="325"/>
        <v>1.029001100792748</v>
      </c>
      <c r="X989" t="b">
        <f t="shared" ca="1" si="326"/>
        <v>1</v>
      </c>
      <c r="BJ989" t="b">
        <f t="shared" si="307"/>
        <v>1</v>
      </c>
      <c r="BK989" t="b">
        <f t="shared" ca="1" si="308"/>
        <v>1</v>
      </c>
    </row>
    <row r="990" spans="1:63" x14ac:dyDescent="0.45">
      <c r="A990" s="1">
        <v>43801</v>
      </c>
      <c r="B990">
        <v>22.3247</v>
      </c>
      <c r="C990" s="1">
        <v>43801</v>
      </c>
      <c r="D990">
        <v>311.64</v>
      </c>
      <c r="E990">
        <f t="shared" si="309"/>
        <v>1.4943626113838942E-2</v>
      </c>
      <c r="F990" s="4">
        <f t="shared" si="310"/>
        <v>-8.4947981292355194E-3</v>
      </c>
      <c r="G990">
        <f t="shared" ca="1" si="311"/>
        <v>9.015398290410458E-4</v>
      </c>
      <c r="H990">
        <f t="shared" ca="1" si="312"/>
        <v>3.1150062343879199E-2</v>
      </c>
      <c r="I990">
        <f t="shared" ca="1" si="313"/>
        <v>0.30497293812445575</v>
      </c>
      <c r="J990">
        <f t="shared" ca="1" si="314"/>
        <v>6.638275972644414</v>
      </c>
      <c r="K990">
        <f t="shared" ca="1" si="315"/>
        <v>0.8617214921797286</v>
      </c>
      <c r="L990">
        <f t="shared" ca="1" si="316"/>
        <v>1.4902669611320483</v>
      </c>
      <c r="M990">
        <f t="shared" ca="1" si="317"/>
        <v>6.1300850635986892E-4</v>
      </c>
      <c r="N990">
        <f t="shared" ca="1" si="318"/>
        <v>7.795642416221416E-3</v>
      </c>
      <c r="O990">
        <f t="shared" ca="1" si="319"/>
        <v>-0.88166570683737688</v>
      </c>
      <c r="P990">
        <f t="shared" ca="1" si="320"/>
        <v>2.6432787972692404</v>
      </c>
      <c r="Q990">
        <f t="shared" ca="1" si="321"/>
        <v>0.97478862251813991</v>
      </c>
      <c r="R990">
        <f t="shared" ca="1" si="322"/>
        <v>1.6769016823236129</v>
      </c>
      <c r="T990">
        <f t="shared" si="323"/>
        <v>1.0149436261138389</v>
      </c>
      <c r="U990" s="6">
        <f t="shared" ca="1" si="324"/>
        <v>1.0054948272057003</v>
      </c>
      <c r="V990">
        <f t="shared" ca="1" si="325"/>
        <v>1.0261429886865696</v>
      </c>
      <c r="X990" t="b">
        <f t="shared" ca="1" si="326"/>
        <v>0</v>
      </c>
      <c r="BJ990" t="b">
        <f t="shared" si="307"/>
        <v>1</v>
      </c>
      <c r="BK990" t="b">
        <f t="shared" ca="1" si="308"/>
        <v>0</v>
      </c>
    </row>
    <row r="991" spans="1:63" x14ac:dyDescent="0.45">
      <c r="A991" s="1">
        <v>43798</v>
      </c>
      <c r="B991">
        <v>21.995999999999999</v>
      </c>
      <c r="C991" s="1">
        <v>43798</v>
      </c>
      <c r="D991">
        <v>314.31</v>
      </c>
      <c r="E991">
        <f t="shared" si="309"/>
        <v>-4.0749796251018681E-3</v>
      </c>
      <c r="F991" s="4">
        <f t="shared" si="310"/>
        <v>-3.7086344617725873E-3</v>
      </c>
      <c r="G991">
        <f t="shared" ca="1" si="311"/>
        <v>8.9447167649795226E-4</v>
      </c>
      <c r="H991">
        <f t="shared" ca="1" si="312"/>
        <v>3.1147020324009646E-2</v>
      </c>
      <c r="I991">
        <f t="shared" ca="1" si="313"/>
        <v>0.30562316345049556</v>
      </c>
      <c r="J991">
        <f t="shared" ca="1" si="314"/>
        <v>6.6422684899210251</v>
      </c>
      <c r="K991">
        <f t="shared" ca="1" si="315"/>
        <v>0.8617214921797286</v>
      </c>
      <c r="L991">
        <f t="shared" ca="1" si="316"/>
        <v>1.4902669611320483</v>
      </c>
      <c r="M991">
        <f t="shared" ca="1" si="317"/>
        <v>7.0996897561235951E-4</v>
      </c>
      <c r="N991">
        <f t="shared" ca="1" si="318"/>
        <v>7.8023866503673144E-3</v>
      </c>
      <c r="O991">
        <f t="shared" ca="1" si="319"/>
        <v>-0.89734343671847117</v>
      </c>
      <c r="P991">
        <f t="shared" ca="1" si="320"/>
        <v>2.674206921412309</v>
      </c>
      <c r="Q991">
        <f t="shared" ca="1" si="321"/>
        <v>0.97478862251813991</v>
      </c>
      <c r="R991">
        <f t="shared" ca="1" si="322"/>
        <v>1.9158777745558508</v>
      </c>
      <c r="T991">
        <f t="shared" si="323"/>
        <v>0.99592502037489816</v>
      </c>
      <c r="U991" s="6">
        <f t="shared" ca="1" si="324"/>
        <v>0.92985504305589006</v>
      </c>
      <c r="V991">
        <f t="shared" ca="1" si="325"/>
        <v>0.98229274746112927</v>
      </c>
      <c r="X991" t="b">
        <f t="shared" ca="1" si="326"/>
        <v>1</v>
      </c>
      <c r="BJ991" t="b">
        <f t="shared" si="307"/>
        <v>1</v>
      </c>
      <c r="BK991" t="b">
        <f t="shared" ca="1" si="308"/>
        <v>1</v>
      </c>
    </row>
    <row r="992" spans="1:63" x14ac:dyDescent="0.45">
      <c r="A992" s="1">
        <v>43796</v>
      </c>
      <c r="B992">
        <v>22.085999999999999</v>
      </c>
      <c r="C992" s="1">
        <v>43796</v>
      </c>
      <c r="D992">
        <v>315.48</v>
      </c>
      <c r="E992">
        <f t="shared" si="309"/>
        <v>7.2053994892373992E-3</v>
      </c>
      <c r="F992" s="4">
        <f t="shared" si="310"/>
        <v>4.4574630667346985E-3</v>
      </c>
      <c r="G992">
        <f t="shared" ca="1" si="311"/>
        <v>8.4344129735000443E-4</v>
      </c>
      <c r="H992">
        <f t="shared" ca="1" si="312"/>
        <v>3.1163559322144659E-2</v>
      </c>
      <c r="I992">
        <f t="shared" ca="1" si="313"/>
        <v>0.30953339662320745</v>
      </c>
      <c r="J992">
        <f t="shared" ca="1" si="314"/>
        <v>6.6240583939990243</v>
      </c>
      <c r="K992">
        <f t="shared" ca="1" si="315"/>
        <v>0.8617214921797286</v>
      </c>
      <c r="L992">
        <f t="shared" ca="1" si="316"/>
        <v>1.4831309101862835</v>
      </c>
      <c r="M992">
        <f t="shared" ca="1" si="317"/>
        <v>7.1742083550986222E-4</v>
      </c>
      <c r="N992">
        <f t="shared" ca="1" si="318"/>
        <v>7.7988562581156173E-3</v>
      </c>
      <c r="O992">
        <f t="shared" ca="1" si="319"/>
        <v>-0.90080362083929111</v>
      </c>
      <c r="P992">
        <f t="shared" ca="1" si="320"/>
        <v>2.6876476706865615</v>
      </c>
      <c r="Q992">
        <f t="shared" ca="1" si="321"/>
        <v>0.97478862251813991</v>
      </c>
      <c r="R992">
        <f t="shared" ca="1" si="322"/>
        <v>2.0475855530374107</v>
      </c>
      <c r="T992">
        <f t="shared" si="323"/>
        <v>1.0072053994892374</v>
      </c>
      <c r="U992" s="6">
        <f t="shared" ca="1" si="324"/>
        <v>0.94057824737131224</v>
      </c>
      <c r="V992">
        <f t="shared" ca="1" si="325"/>
        <v>0.97218133348031743</v>
      </c>
      <c r="X992" t="b">
        <f t="shared" ca="1" si="326"/>
        <v>1</v>
      </c>
      <c r="BJ992" t="b">
        <f t="shared" si="307"/>
        <v>1</v>
      </c>
      <c r="BK992" t="b">
        <f t="shared" ca="1" si="308"/>
        <v>1</v>
      </c>
    </row>
    <row r="993" spans="1:63" x14ac:dyDescent="0.45">
      <c r="A993" s="1">
        <v>43795</v>
      </c>
      <c r="B993">
        <v>21.928000000000001</v>
      </c>
      <c r="C993" s="1">
        <v>43795</v>
      </c>
      <c r="D993">
        <v>314.08</v>
      </c>
      <c r="E993">
        <f t="shared" si="309"/>
        <v>-2.2062463485664E-2</v>
      </c>
      <c r="F993" s="4">
        <f t="shared" si="310"/>
        <v>2.2656923126016513E-3</v>
      </c>
      <c r="G993">
        <f t="shared" ca="1" si="311"/>
        <v>7.4906136325499843E-4</v>
      </c>
      <c r="H993">
        <f t="shared" ca="1" si="312"/>
        <v>3.1172777018452828E-2</v>
      </c>
      <c r="I993">
        <f t="shared" ca="1" si="313"/>
        <v>0.31806205946196653</v>
      </c>
      <c r="J993">
        <f t="shared" ca="1" si="314"/>
        <v>6.6166250730149736</v>
      </c>
      <c r="K993">
        <f t="shared" ca="1" si="315"/>
        <v>0.8617214921797286</v>
      </c>
      <c r="L993">
        <f t="shared" ca="1" si="316"/>
        <v>1.4702482945730118</v>
      </c>
      <c r="M993">
        <f t="shared" ca="1" si="317"/>
        <v>7.1136847092409029E-4</v>
      </c>
      <c r="N993">
        <f t="shared" ca="1" si="318"/>
        <v>7.7964084975956655E-3</v>
      </c>
      <c r="O993">
        <f t="shared" ca="1" si="319"/>
        <v>-0.89968688660665808</v>
      </c>
      <c r="P993">
        <f t="shared" ca="1" si="320"/>
        <v>2.6917802702584028</v>
      </c>
      <c r="Q993">
        <f t="shared" ca="1" si="321"/>
        <v>0.97478862251813991</v>
      </c>
      <c r="R993">
        <f t="shared" ca="1" si="322"/>
        <v>2.0475855530374107</v>
      </c>
      <c r="T993">
        <f t="shared" si="323"/>
        <v>0.97793753651433601</v>
      </c>
      <c r="U993" s="6">
        <f t="shared" ca="1" si="324"/>
        <v>0.91488651535380494</v>
      </c>
      <c r="V993">
        <f t="shared" ca="1" si="325"/>
        <v>0.9866082477417778</v>
      </c>
      <c r="X993" t="b">
        <f t="shared" ca="1" si="326"/>
        <v>1</v>
      </c>
      <c r="BJ993" t="b">
        <f t="shared" si="307"/>
        <v>1</v>
      </c>
      <c r="BK993" t="b">
        <f t="shared" ca="1" si="308"/>
        <v>1</v>
      </c>
    </row>
    <row r="994" spans="1:63" x14ac:dyDescent="0.45">
      <c r="A994" s="1">
        <v>43794</v>
      </c>
      <c r="B994">
        <v>22.422699999999999</v>
      </c>
      <c r="C994" s="1">
        <v>43794</v>
      </c>
      <c r="D994">
        <v>313.37</v>
      </c>
      <c r="E994">
        <f t="shared" si="309"/>
        <v>9.9087047971642573E-3</v>
      </c>
      <c r="F994" s="4">
        <f t="shared" si="310"/>
        <v>7.7501929508619278E-3</v>
      </c>
      <c r="G994">
        <f t="shared" ca="1" si="311"/>
        <v>8.4290360013095913E-4</v>
      </c>
      <c r="H994">
        <f t="shared" ca="1" si="312"/>
        <v>3.1131983821667052E-2</v>
      </c>
      <c r="I994">
        <f t="shared" ca="1" si="313"/>
        <v>0.31216539356237438</v>
      </c>
      <c r="J994">
        <f t="shared" ca="1" si="314"/>
        <v>6.6619804690626898</v>
      </c>
      <c r="K994">
        <f t="shared" ca="1" si="315"/>
        <v>0.8617214921797286</v>
      </c>
      <c r="L994">
        <f t="shared" ca="1" si="316"/>
        <v>1.4835324483442933</v>
      </c>
      <c r="M994">
        <f t="shared" ca="1" si="317"/>
        <v>7.6433680930195879E-4</v>
      </c>
      <c r="N994">
        <f t="shared" ca="1" si="318"/>
        <v>7.84286948600889E-3</v>
      </c>
      <c r="O994">
        <f t="shared" ca="1" si="319"/>
        <v>-0.88543526269386819</v>
      </c>
      <c r="P994">
        <f t="shared" ca="1" si="320"/>
        <v>2.6109526071404741</v>
      </c>
      <c r="Q994">
        <f t="shared" ca="1" si="321"/>
        <v>0.99247682513470459</v>
      </c>
      <c r="R994">
        <f t="shared" ca="1" si="322"/>
        <v>2.2121057832564297</v>
      </c>
      <c r="T994">
        <f t="shared" si="323"/>
        <v>1.0099087047971642</v>
      </c>
      <c r="U994" s="6">
        <f t="shared" ca="1" si="324"/>
        <v>0.96099894139983799</v>
      </c>
      <c r="V994">
        <f t="shared" ca="1" si="325"/>
        <v>0.98246508625054052</v>
      </c>
      <c r="X994" t="b">
        <f t="shared" ca="1" si="326"/>
        <v>1</v>
      </c>
      <c r="BJ994" t="b">
        <f t="shared" si="307"/>
        <v>1</v>
      </c>
      <c r="BK994" t="b">
        <f t="shared" ca="1" si="308"/>
        <v>1</v>
      </c>
    </row>
    <row r="995" spans="1:63" x14ac:dyDescent="0.45">
      <c r="A995" s="1">
        <v>43791</v>
      </c>
      <c r="B995">
        <v>22.2027</v>
      </c>
      <c r="C995" s="1">
        <v>43791</v>
      </c>
      <c r="D995">
        <v>310.95999999999998</v>
      </c>
      <c r="E995">
        <f t="shared" si="309"/>
        <v>-6.1406957426031389E-2</v>
      </c>
      <c r="F995" s="4">
        <f t="shared" si="310"/>
        <v>2.223869532987391E-3</v>
      </c>
      <c r="G995">
        <f t="shared" ca="1" si="311"/>
        <v>9.0845962634208022E-4</v>
      </c>
      <c r="H995">
        <f t="shared" ca="1" si="312"/>
        <v>3.1164956987505741E-2</v>
      </c>
      <c r="I995">
        <f t="shared" ca="1" si="313"/>
        <v>0.30650538688380896</v>
      </c>
      <c r="J995">
        <f t="shared" ca="1" si="314"/>
        <v>6.6195938563540215</v>
      </c>
      <c r="K995">
        <f t="shared" ca="1" si="315"/>
        <v>0.8617214921797286</v>
      </c>
      <c r="L995">
        <f t="shared" ca="1" si="316"/>
        <v>1.5188054362334498</v>
      </c>
      <c r="M995">
        <f t="shared" ca="1" si="317"/>
        <v>7.2835879533701502E-4</v>
      </c>
      <c r="N995">
        <f t="shared" ca="1" si="318"/>
        <v>7.8271504911043913E-3</v>
      </c>
      <c r="O995">
        <f t="shared" ca="1" si="319"/>
        <v>-0.88046033425996117</v>
      </c>
      <c r="P995">
        <f t="shared" ca="1" si="320"/>
        <v>2.6365964035588769</v>
      </c>
      <c r="Q995">
        <f t="shared" ca="1" si="321"/>
        <v>0.99247682513470459</v>
      </c>
      <c r="R995">
        <f t="shared" ca="1" si="322"/>
        <v>2.0475855530374107</v>
      </c>
      <c r="T995">
        <f t="shared" si="323"/>
        <v>0.93859304257396858</v>
      </c>
      <c r="U995" s="6">
        <f t="shared" ca="1" si="324"/>
        <v>0.94568106312292355</v>
      </c>
      <c r="V995">
        <f t="shared" ca="1" si="325"/>
        <v>0.99496419495520161</v>
      </c>
      <c r="X995" t="b">
        <f t="shared" ca="1" si="326"/>
        <v>1</v>
      </c>
      <c r="BJ995" t="b">
        <f t="shared" si="307"/>
        <v>1</v>
      </c>
      <c r="BK995" t="b">
        <f t="shared" ca="1" si="308"/>
        <v>1</v>
      </c>
    </row>
    <row r="996" spans="1:63" x14ac:dyDescent="0.45">
      <c r="A996" s="1">
        <v>43790</v>
      </c>
      <c r="B996">
        <v>23.6553</v>
      </c>
      <c r="C996" s="1">
        <v>43790</v>
      </c>
      <c r="D996">
        <v>310.27</v>
      </c>
      <c r="E996">
        <f t="shared" si="309"/>
        <v>7.4101519081140946E-3</v>
      </c>
      <c r="F996" s="4">
        <f t="shared" si="310"/>
        <v>-1.6089069086462659E-3</v>
      </c>
      <c r="G996">
        <f t="shared" ca="1" si="311"/>
        <v>1.1876904848258979E-3</v>
      </c>
      <c r="H996">
        <f t="shared" ca="1" si="312"/>
        <v>3.0852436944803118E-2</v>
      </c>
      <c r="I996">
        <f t="shared" ca="1" si="313"/>
        <v>0.33026531999110764</v>
      </c>
      <c r="J996">
        <f t="shared" ca="1" si="314"/>
        <v>6.9183184574374588</v>
      </c>
      <c r="K996">
        <f t="shared" ca="1" si="315"/>
        <v>0.8910411638734369</v>
      </c>
      <c r="L996">
        <f t="shared" ca="1" si="316"/>
        <v>1.525700071159596</v>
      </c>
      <c r="M996">
        <f t="shared" ca="1" si="317"/>
        <v>7.2334739170110075E-4</v>
      </c>
      <c r="N996">
        <f t="shared" ca="1" si="318"/>
        <v>7.8265089985948885E-3</v>
      </c>
      <c r="O996">
        <f t="shared" ca="1" si="319"/>
        <v>-0.8787706558648497</v>
      </c>
      <c r="P996">
        <f t="shared" ca="1" si="320"/>
        <v>2.6361538232247961</v>
      </c>
      <c r="Q996">
        <f t="shared" ca="1" si="321"/>
        <v>0.99247682513470459</v>
      </c>
      <c r="R996">
        <f t="shared" ca="1" si="322"/>
        <v>2.0475855530374107</v>
      </c>
      <c r="T996">
        <f t="shared" si="323"/>
        <v>1.007410151908114</v>
      </c>
      <c r="U996" s="6">
        <f t="shared" ca="1" si="324"/>
        <v>1.015684843280378</v>
      </c>
      <c r="V996">
        <f t="shared" ca="1" si="325"/>
        <v>0.9783015659296882</v>
      </c>
      <c r="X996" t="b">
        <f t="shared" ca="1" si="326"/>
        <v>0</v>
      </c>
      <c r="BJ996" t="b">
        <f t="shared" si="307"/>
        <v>1</v>
      </c>
      <c r="BK996" t="b">
        <f t="shared" ca="1" si="308"/>
        <v>0</v>
      </c>
    </row>
    <row r="997" spans="1:63" x14ac:dyDescent="0.45">
      <c r="A997" s="1">
        <v>43789</v>
      </c>
      <c r="B997">
        <v>23.481300000000001</v>
      </c>
      <c r="C997" s="1">
        <v>43789</v>
      </c>
      <c r="D997">
        <v>310.77</v>
      </c>
      <c r="E997">
        <f t="shared" si="309"/>
        <v>-2.030624165554068E-2</v>
      </c>
      <c r="F997" s="4">
        <f t="shared" si="310"/>
        <v>-3.7187830603020709E-3</v>
      </c>
      <c r="G997">
        <f t="shared" ca="1" si="311"/>
        <v>9.975992486445102E-4</v>
      </c>
      <c r="H997">
        <f t="shared" ca="1" si="312"/>
        <v>3.0930926958090892E-2</v>
      </c>
      <c r="I997">
        <f t="shared" ca="1" si="313"/>
        <v>0.34082592913568421</v>
      </c>
      <c r="J997">
        <f t="shared" ca="1" si="314"/>
        <v>6.8316532008399209</v>
      </c>
      <c r="K997">
        <f t="shared" ca="1" si="315"/>
        <v>0.8910411638734369</v>
      </c>
      <c r="L997">
        <f t="shared" ca="1" si="316"/>
        <v>1.5188054362334498</v>
      </c>
      <c r="M997">
        <f t="shared" ca="1" si="317"/>
        <v>6.8372748391830709E-4</v>
      </c>
      <c r="N997">
        <f t="shared" ca="1" si="318"/>
        <v>7.8583666626498676E-3</v>
      </c>
      <c r="O997">
        <f t="shared" ca="1" si="319"/>
        <v>-0.86399993067285319</v>
      </c>
      <c r="P997">
        <f t="shared" ca="1" si="320"/>
        <v>2.5416263807786033</v>
      </c>
      <c r="Q997">
        <f t="shared" ca="1" si="321"/>
        <v>0.99247682513470459</v>
      </c>
      <c r="R997">
        <f t="shared" ca="1" si="322"/>
        <v>1.9158777745558508</v>
      </c>
      <c r="T997">
        <f t="shared" si="323"/>
        <v>0.97969375834445938</v>
      </c>
      <c r="U997" s="6">
        <f t="shared" ca="1" si="324"/>
        <v>1.0176519025743265</v>
      </c>
      <c r="V997">
        <f t="shared" ca="1" si="325"/>
        <v>0.99591708053445005</v>
      </c>
      <c r="X997" t="b">
        <f t="shared" ca="1" si="326"/>
        <v>0</v>
      </c>
      <c r="BJ997" t="b">
        <f t="shared" si="307"/>
        <v>1</v>
      </c>
      <c r="BK997" t="b">
        <f t="shared" ca="1" si="308"/>
        <v>0</v>
      </c>
    </row>
    <row r="998" spans="1:63" x14ac:dyDescent="0.45">
      <c r="A998" s="1">
        <v>43788</v>
      </c>
      <c r="B998">
        <v>23.968</v>
      </c>
      <c r="C998" s="1">
        <v>43788</v>
      </c>
      <c r="D998">
        <v>311.93</v>
      </c>
      <c r="E998">
        <f t="shared" si="309"/>
        <v>2.7227881899651599E-2</v>
      </c>
      <c r="F998" s="4">
        <f t="shared" si="310"/>
        <v>-2.8844304852245048E-4</v>
      </c>
      <c r="G998">
        <f t="shared" ca="1" si="311"/>
        <v>1.0348779841472446E-3</v>
      </c>
      <c r="H998">
        <f t="shared" ca="1" si="312"/>
        <v>3.0909607585657146E-2</v>
      </c>
      <c r="I998">
        <f t="shared" ca="1" si="313"/>
        <v>0.33908237546356251</v>
      </c>
      <c r="J998">
        <f t="shared" ca="1" si="314"/>
        <v>6.856294465701553</v>
      </c>
      <c r="K998">
        <f t="shared" ca="1" si="315"/>
        <v>0.8910411638734369</v>
      </c>
      <c r="L998">
        <f t="shared" ca="1" si="316"/>
        <v>1.5188054362334498</v>
      </c>
      <c r="M998">
        <f t="shared" ca="1" si="317"/>
        <v>6.9573040690930831E-4</v>
      </c>
      <c r="N998">
        <f t="shared" ca="1" si="318"/>
        <v>7.8534402373276208E-3</v>
      </c>
      <c r="O998">
        <f t="shared" ca="1" si="319"/>
        <v>-0.86944819243599003</v>
      </c>
      <c r="P998">
        <f t="shared" ca="1" si="320"/>
        <v>2.5605785809232904</v>
      </c>
      <c r="Q998">
        <f t="shared" ca="1" si="321"/>
        <v>0.99247682513470459</v>
      </c>
      <c r="R998">
        <f t="shared" ca="1" si="322"/>
        <v>2.0475855530374107</v>
      </c>
      <c r="T998">
        <f t="shared" si="323"/>
        <v>1.0272278818996516</v>
      </c>
      <c r="U998" s="6">
        <f t="shared" ca="1" si="324"/>
        <v>1.0274040130825979</v>
      </c>
      <c r="V998">
        <f t="shared" ca="1" si="325"/>
        <v>0.94375172300942045</v>
      </c>
      <c r="X998" t="b">
        <f t="shared" ca="1" si="326"/>
        <v>0</v>
      </c>
      <c r="BJ998" t="b">
        <f t="shared" si="307"/>
        <v>1</v>
      </c>
      <c r="BK998" t="b">
        <f t="shared" ca="1" si="308"/>
        <v>0</v>
      </c>
    </row>
    <row r="999" spans="1:63" x14ac:dyDescent="0.45">
      <c r="A999" s="1">
        <v>43787</v>
      </c>
      <c r="B999">
        <v>23.332699999999999</v>
      </c>
      <c r="C999" s="1">
        <v>43787</v>
      </c>
      <c r="D999">
        <v>312.02</v>
      </c>
      <c r="E999">
        <f t="shared" si="309"/>
        <v>-6.1887724678423382E-3</v>
      </c>
      <c r="F999" s="4">
        <f t="shared" si="310"/>
        <v>7.3767599987158454E-4</v>
      </c>
      <c r="G999">
        <f t="shared" ca="1" si="311"/>
        <v>1.0339300719667298E-3</v>
      </c>
      <c r="H999">
        <f t="shared" ca="1" si="312"/>
        <v>3.0908803178666691E-2</v>
      </c>
      <c r="I999">
        <f t="shared" ca="1" si="313"/>
        <v>0.33913519378018908</v>
      </c>
      <c r="J999">
        <f t="shared" ca="1" si="314"/>
        <v>6.8572912675343849</v>
      </c>
      <c r="K999">
        <f t="shared" ca="1" si="315"/>
        <v>0.8910411638734369</v>
      </c>
      <c r="L999">
        <f t="shared" ca="1" si="316"/>
        <v>1.5188054362334498</v>
      </c>
      <c r="M999">
        <f t="shared" ca="1" si="317"/>
        <v>7.1813158670553236E-4</v>
      </c>
      <c r="N999">
        <f t="shared" ca="1" si="318"/>
        <v>7.857007780646557E-3</v>
      </c>
      <c r="O999">
        <f t="shared" ca="1" si="319"/>
        <v>-0.87644698270242527</v>
      </c>
      <c r="P999">
        <f t="shared" ca="1" si="320"/>
        <v>2.5607528886850739</v>
      </c>
      <c r="Q999">
        <f t="shared" ca="1" si="321"/>
        <v>0.99247682513470459</v>
      </c>
      <c r="R999">
        <f t="shared" ca="1" si="322"/>
        <v>2.0475855530374107</v>
      </c>
      <c r="T999">
        <f t="shared" si="323"/>
        <v>0.99381122753215767</v>
      </c>
      <c r="U999" s="6">
        <f t="shared" ca="1" si="324"/>
        <v>1.0142006433104407</v>
      </c>
      <c r="V999">
        <f t="shared" ca="1" si="325"/>
        <v>0.94838690114530133</v>
      </c>
      <c r="X999" t="b">
        <f t="shared" ca="1" si="326"/>
        <v>0</v>
      </c>
      <c r="BJ999" t="b">
        <f t="shared" si="307"/>
        <v>1</v>
      </c>
      <c r="BK999" t="b">
        <f t="shared" ca="1" si="308"/>
        <v>0</v>
      </c>
    </row>
    <row r="1000" spans="1:63" x14ac:dyDescent="0.45">
      <c r="A1000" s="1">
        <v>43784</v>
      </c>
      <c r="B1000">
        <v>23.478000000000002</v>
      </c>
      <c r="C1000" s="1">
        <v>43784</v>
      </c>
      <c r="D1000">
        <v>311.79000000000002</v>
      </c>
      <c r="E1000">
        <f t="shared" si="309"/>
        <v>8.0721339630743828E-3</v>
      </c>
      <c r="F1000" s="4">
        <f t="shared" si="310"/>
        <v>7.236310773703793E-3</v>
      </c>
      <c r="G1000">
        <f t="shared" ca="1" si="311"/>
        <v>1.0757560328934304E-3</v>
      </c>
      <c r="H1000">
        <f t="shared" ca="1" si="312"/>
        <v>3.0904639895089289E-2</v>
      </c>
      <c r="I1000">
        <f t="shared" ca="1" si="313"/>
        <v>0.33523614458380463</v>
      </c>
      <c r="J1000">
        <f t="shared" ca="1" si="314"/>
        <v>6.8607502261272417</v>
      </c>
      <c r="K1000">
        <f t="shared" ca="1" si="315"/>
        <v>0.8910411638734369</v>
      </c>
      <c r="L1000">
        <f t="shared" ca="1" si="316"/>
        <v>1.5188054362334498</v>
      </c>
      <c r="M1000">
        <f t="shared" ca="1" si="317"/>
        <v>7.4962057469847186E-4</v>
      </c>
      <c r="N1000">
        <f t="shared" ca="1" si="318"/>
        <v>7.8696962832724166E-3</v>
      </c>
      <c r="O1000">
        <f t="shared" ca="1" si="319"/>
        <v>-0.88171399477259904</v>
      </c>
      <c r="P1000">
        <f t="shared" ca="1" si="320"/>
        <v>2.5411322302468307</v>
      </c>
      <c r="Q1000">
        <f t="shared" ca="1" si="321"/>
        <v>0.99247682513470459</v>
      </c>
      <c r="R1000">
        <f t="shared" ca="1" si="322"/>
        <v>2.2121057832564297</v>
      </c>
      <c r="T1000">
        <f t="shared" si="323"/>
        <v>1.0080721339630745</v>
      </c>
      <c r="U1000" s="6">
        <f t="shared" ca="1" si="324"/>
        <v>1.0445808862786974</v>
      </c>
      <c r="V1000">
        <f t="shared" ca="1" si="325"/>
        <v>0.92604468496552717</v>
      </c>
      <c r="X1000" t="b">
        <f t="shared" ca="1" si="326"/>
        <v>0</v>
      </c>
      <c r="BJ1000" t="b">
        <f t="shared" si="307"/>
        <v>1</v>
      </c>
      <c r="BK1000" t="b">
        <f t="shared" ca="1" si="308"/>
        <v>0</v>
      </c>
    </row>
    <row r="1001" spans="1:63" x14ac:dyDescent="0.45">
      <c r="A1001" s="1">
        <v>43783</v>
      </c>
      <c r="B1001">
        <v>23.29</v>
      </c>
      <c r="C1001" s="1">
        <v>43783</v>
      </c>
      <c r="D1001">
        <v>309.55</v>
      </c>
      <c r="E1001">
        <f t="shared" si="309"/>
        <v>9.3611857501949176E-3</v>
      </c>
      <c r="F1001" s="4">
        <f t="shared" si="310"/>
        <v>1.4558395341313121E-3</v>
      </c>
      <c r="G1001">
        <f t="shared" ca="1" si="311"/>
        <v>1.1199175440434687E-3</v>
      </c>
      <c r="H1001">
        <f t="shared" ca="1" si="312"/>
        <v>3.092099386072324E-2</v>
      </c>
      <c r="I1001">
        <f t="shared" ca="1" si="313"/>
        <v>0.33099871950098547</v>
      </c>
      <c r="J1001">
        <f t="shared" ca="1" si="314"/>
        <v>6.8382089378074395</v>
      </c>
      <c r="K1001">
        <f t="shared" ca="1" si="315"/>
        <v>0.8910411638734369</v>
      </c>
      <c r="L1001">
        <f t="shared" ca="1" si="316"/>
        <v>1.5188054362334498</v>
      </c>
      <c r="M1001">
        <f t="shared" ca="1" si="317"/>
        <v>7.1584705254187778E-4</v>
      </c>
      <c r="N1001">
        <f t="shared" ca="1" si="318"/>
        <v>7.8562008125868821E-3</v>
      </c>
      <c r="O1001">
        <f t="shared" ca="1" si="319"/>
        <v>-0.87609583632273158</v>
      </c>
      <c r="P1001">
        <f t="shared" ca="1" si="320"/>
        <v>2.5617277559582714</v>
      </c>
      <c r="Q1001">
        <f t="shared" ca="1" si="321"/>
        <v>0.99247682513470459</v>
      </c>
      <c r="R1001">
        <f t="shared" ca="1" si="322"/>
        <v>2.0475855530374107</v>
      </c>
      <c r="T1001">
        <f t="shared" si="323"/>
        <v>1.009361185750195</v>
      </c>
      <c r="U1001" s="6">
        <f t="shared" ca="1" si="324"/>
        <v>1.0411590885722846</v>
      </c>
      <c r="V1001">
        <f t="shared" ca="1" si="325"/>
        <v>0.92575812713000361</v>
      </c>
      <c r="X1001" t="b">
        <f t="shared" ca="1" si="326"/>
        <v>0</v>
      </c>
      <c r="BJ1001" t="b">
        <f t="shared" si="307"/>
        <v>1</v>
      </c>
      <c r="BK1001" t="b">
        <f t="shared" ca="1" si="308"/>
        <v>0</v>
      </c>
    </row>
    <row r="1002" spans="1:63" x14ac:dyDescent="0.45">
      <c r="A1002" s="1">
        <v>43782</v>
      </c>
      <c r="B1002">
        <v>23.074000000000002</v>
      </c>
      <c r="C1002" s="1">
        <v>43782</v>
      </c>
      <c r="D1002">
        <v>309.10000000000002</v>
      </c>
      <c r="E1002">
        <f t="shared" si="309"/>
        <v>-1.0917882265192646E-2</v>
      </c>
      <c r="F1002" s="4">
        <f t="shared" si="310"/>
        <v>3.2362459546932923E-4</v>
      </c>
      <c r="G1002">
        <f t="shared" ca="1" si="311"/>
        <v>1.0447653192570884E-3</v>
      </c>
      <c r="H1002">
        <f t="shared" ca="1" si="312"/>
        <v>3.0919128526074931E-2</v>
      </c>
      <c r="I1002">
        <f t="shared" ca="1" si="313"/>
        <v>0.33827426026766305</v>
      </c>
      <c r="J1002">
        <f t="shared" ca="1" si="314"/>
        <v>6.8438993241891604</v>
      </c>
      <c r="K1002">
        <f t="shared" ca="1" si="315"/>
        <v>0.8910411638734369</v>
      </c>
      <c r="L1002">
        <f t="shared" ca="1" si="316"/>
        <v>1.5188054362334498</v>
      </c>
      <c r="M1002">
        <f t="shared" ca="1" si="317"/>
        <v>7.5247995592511209E-4</v>
      </c>
      <c r="N1002">
        <f t="shared" ca="1" si="318"/>
        <v>7.8767235395726682E-3</v>
      </c>
      <c r="O1002">
        <f t="shared" ca="1" si="319"/>
        <v>-0.8779114391557814</v>
      </c>
      <c r="P1002">
        <f t="shared" ca="1" si="320"/>
        <v>2.5257406606978829</v>
      </c>
      <c r="Q1002">
        <f t="shared" ca="1" si="321"/>
        <v>0.99247682513470459</v>
      </c>
      <c r="R1002">
        <f t="shared" ca="1" si="322"/>
        <v>2.2121057832564297</v>
      </c>
      <c r="T1002">
        <f t="shared" si="323"/>
        <v>0.98908211773480736</v>
      </c>
      <c r="U1002" s="6">
        <f t="shared" ca="1" si="324"/>
        <v>1.0598015800110239</v>
      </c>
      <c r="V1002">
        <f t="shared" ca="1" si="325"/>
        <v>0.92635066396394972</v>
      </c>
      <c r="X1002" t="b">
        <f t="shared" ca="1" si="326"/>
        <v>0</v>
      </c>
      <c r="BJ1002" t="b">
        <f t="shared" si="307"/>
        <v>1</v>
      </c>
      <c r="BK1002" t="b">
        <f t="shared" ca="1" si="308"/>
        <v>0</v>
      </c>
    </row>
    <row r="1003" spans="1:63" x14ac:dyDescent="0.45">
      <c r="A1003" s="1">
        <v>43781</v>
      </c>
      <c r="B1003">
        <v>23.328700000000001</v>
      </c>
      <c r="C1003" s="1">
        <v>43781</v>
      </c>
      <c r="D1003">
        <v>309</v>
      </c>
      <c r="E1003">
        <f t="shared" si="309"/>
        <v>1.4026775623750374E-2</v>
      </c>
      <c r="F1003" s="4">
        <f t="shared" si="310"/>
        <v>2.1079941624776301E-3</v>
      </c>
      <c r="G1003">
        <f t="shared" ca="1" si="311"/>
        <v>1.2894640055960372E-3</v>
      </c>
      <c r="H1003">
        <f t="shared" ca="1" si="312"/>
        <v>3.1017480400475056E-2</v>
      </c>
      <c r="I1003">
        <f t="shared" ca="1" si="313"/>
        <v>0.32005089374822476</v>
      </c>
      <c r="J1003">
        <f t="shared" ca="1" si="314"/>
        <v>6.7187162546901424</v>
      </c>
      <c r="K1003">
        <f t="shared" ca="1" si="315"/>
        <v>0.8910411638734369</v>
      </c>
      <c r="L1003">
        <f t="shared" ca="1" si="316"/>
        <v>1.5315472160489669</v>
      </c>
      <c r="M1003">
        <f t="shared" ca="1" si="317"/>
        <v>8.3001600325261242E-4</v>
      </c>
      <c r="N1003">
        <f t="shared" ca="1" si="318"/>
        <v>7.9484780781232164E-3</v>
      </c>
      <c r="O1003">
        <f t="shared" ca="1" si="319"/>
        <v>-0.84925827689259337</v>
      </c>
      <c r="P1003">
        <f t="shared" ca="1" si="320"/>
        <v>2.4275533865870935</v>
      </c>
      <c r="Q1003">
        <f t="shared" ca="1" si="321"/>
        <v>1.0494026178159765</v>
      </c>
      <c r="R1003">
        <f t="shared" ca="1" si="322"/>
        <v>2.2820462916319011</v>
      </c>
      <c r="T1003">
        <f t="shared" si="323"/>
        <v>1.0140267756237504</v>
      </c>
      <c r="U1003" s="6">
        <f t="shared" ca="1" si="324"/>
        <v>1.1031161339133726</v>
      </c>
      <c r="V1003">
        <f t="shared" ca="1" si="325"/>
        <v>0.93397812510626699</v>
      </c>
      <c r="X1003" t="b">
        <f t="shared" ca="1" si="326"/>
        <v>0</v>
      </c>
      <c r="BJ1003" t="b">
        <f t="shared" si="307"/>
        <v>1</v>
      </c>
      <c r="BK1003" t="b">
        <f t="shared" ca="1" si="308"/>
        <v>0</v>
      </c>
    </row>
    <row r="1004" spans="1:63" x14ac:dyDescent="0.45">
      <c r="A1004" s="1">
        <v>43780</v>
      </c>
      <c r="B1004">
        <v>23.006</v>
      </c>
      <c r="C1004" s="1">
        <v>43780</v>
      </c>
      <c r="D1004">
        <v>308.35000000000002</v>
      </c>
      <c r="E1004">
        <f t="shared" si="309"/>
        <v>2.3580708311087432E-2</v>
      </c>
      <c r="F1004" s="4">
        <f t="shared" si="310"/>
        <v>-1.909755939664579E-3</v>
      </c>
      <c r="G1004">
        <f t="shared" ca="1" si="311"/>
        <v>1.2375499496315766E-3</v>
      </c>
      <c r="H1004">
        <f t="shared" ca="1" si="312"/>
        <v>3.1004741049319016E-2</v>
      </c>
      <c r="I1004">
        <f t="shared" ca="1" si="313"/>
        <v>0.32516977309498685</v>
      </c>
      <c r="J1004">
        <f t="shared" ca="1" si="314"/>
        <v>6.7368318039816062</v>
      </c>
      <c r="K1004">
        <f t="shared" ca="1" si="315"/>
        <v>0.8910411638734369</v>
      </c>
      <c r="L1004">
        <f t="shared" ca="1" si="316"/>
        <v>1.5315472160489669</v>
      </c>
      <c r="M1004">
        <f t="shared" ca="1" si="317"/>
        <v>8.1284121290731636E-4</v>
      </c>
      <c r="N1004">
        <f t="shared" ca="1" si="318"/>
        <v>7.949413804561347E-3</v>
      </c>
      <c r="O1004">
        <f t="shared" ca="1" si="319"/>
        <v>-0.8425338937760577</v>
      </c>
      <c r="P1004">
        <f t="shared" ca="1" si="320"/>
        <v>2.4175434778754763</v>
      </c>
      <c r="Q1004">
        <f t="shared" ca="1" si="321"/>
        <v>1.0494026178159765</v>
      </c>
      <c r="R1004">
        <f t="shared" ca="1" si="322"/>
        <v>2.2820462916319011</v>
      </c>
      <c r="T1004">
        <f t="shared" si="323"/>
        <v>1.0235807083110875</v>
      </c>
      <c r="U1004" s="6">
        <f t="shared" ca="1" si="324"/>
        <v>1.0869986345187981</v>
      </c>
      <c r="V1004">
        <f t="shared" ca="1" si="325"/>
        <v>0.90427154821371947</v>
      </c>
      <c r="X1004" t="b">
        <f t="shared" ca="1" si="326"/>
        <v>0</v>
      </c>
      <c r="BJ1004" t="b">
        <f t="shared" si="307"/>
        <v>1</v>
      </c>
      <c r="BK1004" t="b">
        <f t="shared" ca="1" si="308"/>
        <v>0</v>
      </c>
    </row>
    <row r="1005" spans="1:63" x14ac:dyDescent="0.45">
      <c r="A1005" s="1">
        <v>43777</v>
      </c>
      <c r="B1005">
        <v>22.475999999999999</v>
      </c>
      <c r="C1005" s="1">
        <v>43777</v>
      </c>
      <c r="D1005">
        <v>308.94</v>
      </c>
      <c r="E1005">
        <f t="shared" si="309"/>
        <v>4.7699302168597146E-3</v>
      </c>
      <c r="F1005" s="4">
        <f t="shared" si="310"/>
        <v>2.4660912453760495E-3</v>
      </c>
      <c r="G1005">
        <f t="shared" ca="1" si="311"/>
        <v>1.1085368119099599E-3</v>
      </c>
      <c r="H1005">
        <f t="shared" ca="1" si="312"/>
        <v>3.0964960085242483E-2</v>
      </c>
      <c r="I1005">
        <f t="shared" ca="1" si="313"/>
        <v>0.33713622437302565</v>
      </c>
      <c r="J1005">
        <f t="shared" ca="1" si="314"/>
        <v>6.7914221617586792</v>
      </c>
      <c r="K1005">
        <f t="shared" ca="1" si="315"/>
        <v>0.8910411638734369</v>
      </c>
      <c r="L1005">
        <f t="shared" ca="1" si="316"/>
        <v>1.5188054362334498</v>
      </c>
      <c r="M1005">
        <f t="shared" ca="1" si="317"/>
        <v>7.8438863810191485E-4</v>
      </c>
      <c r="N1005">
        <f t="shared" ca="1" si="318"/>
        <v>7.9693662218998911E-3</v>
      </c>
      <c r="O1005">
        <f t="shared" ca="1" si="319"/>
        <v>-0.83117203696334752</v>
      </c>
      <c r="P1005">
        <f t="shared" ca="1" si="320"/>
        <v>2.3572080958563904</v>
      </c>
      <c r="Q1005">
        <f t="shared" ca="1" si="321"/>
        <v>1.0494026178159765</v>
      </c>
      <c r="R1005">
        <f t="shared" ca="1" si="322"/>
        <v>2.1352571882329929</v>
      </c>
      <c r="T1005">
        <f t="shared" si="323"/>
        <v>1.0047699302168598</v>
      </c>
      <c r="U1005" s="6">
        <f t="shared" ca="1" si="324"/>
        <v>1.0760605726924974</v>
      </c>
      <c r="V1005">
        <f t="shared" ca="1" si="325"/>
        <v>1.1679197565302881</v>
      </c>
      <c r="X1005" t="b">
        <f t="shared" ca="1" si="326"/>
        <v>0</v>
      </c>
      <c r="BJ1005" t="b">
        <f t="shared" si="307"/>
        <v>1</v>
      </c>
      <c r="BK1005" t="b">
        <f t="shared" ca="1" si="308"/>
        <v>0</v>
      </c>
    </row>
    <row r="1006" spans="1:63" x14ac:dyDescent="0.45">
      <c r="A1006" s="1">
        <v>43776</v>
      </c>
      <c r="B1006">
        <v>22.369299999999999</v>
      </c>
      <c r="C1006" s="1">
        <v>43776</v>
      </c>
      <c r="D1006">
        <v>308.18</v>
      </c>
      <c r="E1006">
        <f t="shared" si="309"/>
        <v>2.7434319309204511E-2</v>
      </c>
      <c r="F1006" s="4">
        <f t="shared" si="310"/>
        <v>3.5167697818299709E-3</v>
      </c>
      <c r="G1006">
        <f t="shared" ca="1" si="311"/>
        <v>1.1795466853702736E-3</v>
      </c>
      <c r="H1006">
        <f t="shared" ca="1" si="312"/>
        <v>3.0989673065185463E-2</v>
      </c>
      <c r="I1006">
        <f t="shared" ca="1" si="313"/>
        <v>0.33035046671745666</v>
      </c>
      <c r="J1006">
        <f t="shared" ca="1" si="314"/>
        <v>6.7575296447240936</v>
      </c>
      <c r="K1006">
        <f t="shared" ca="1" si="315"/>
        <v>0.8910411638734369</v>
      </c>
      <c r="L1006">
        <f t="shared" ca="1" si="316"/>
        <v>1.5315472160489669</v>
      </c>
      <c r="M1006">
        <f t="shared" ca="1" si="317"/>
        <v>8.1436514450072145E-4</v>
      </c>
      <c r="N1006">
        <f t="shared" ca="1" si="318"/>
        <v>7.9869797766617973E-3</v>
      </c>
      <c r="O1006">
        <f t="shared" ca="1" si="319"/>
        <v>-0.83259839123446744</v>
      </c>
      <c r="P1006">
        <f t="shared" ca="1" si="320"/>
        <v>2.3267818182706428</v>
      </c>
      <c r="Q1006">
        <f t="shared" ca="1" si="321"/>
        <v>1.0494026178159765</v>
      </c>
      <c r="R1006">
        <f t="shared" ca="1" si="322"/>
        <v>2.1768193387074453</v>
      </c>
      <c r="T1006">
        <f t="shared" si="323"/>
        <v>1.0274343193092046</v>
      </c>
      <c r="U1006" s="6">
        <f t="shared" ca="1" si="324"/>
        <v>1.0654736671636176</v>
      </c>
      <c r="V1006">
        <f t="shared" ca="1" si="325"/>
        <v>1.1674882488211731</v>
      </c>
      <c r="X1006" t="b">
        <f t="shared" ca="1" si="326"/>
        <v>0</v>
      </c>
      <c r="BJ1006" t="b">
        <f t="shared" si="307"/>
        <v>1</v>
      </c>
      <c r="BK1006" t="b">
        <f t="shared" ca="1" si="308"/>
        <v>0</v>
      </c>
    </row>
    <row r="1007" spans="1:63" x14ac:dyDescent="0.45">
      <c r="A1007" s="1">
        <v>43775</v>
      </c>
      <c r="B1007">
        <v>21.771999999999998</v>
      </c>
      <c r="C1007" s="1">
        <v>43775</v>
      </c>
      <c r="D1007">
        <v>307.10000000000002</v>
      </c>
      <c r="E1007">
        <f t="shared" si="309"/>
        <v>2.9506336296576452E-2</v>
      </c>
      <c r="F1007" s="4">
        <f t="shared" si="310"/>
        <v>2.2799075008973074E-4</v>
      </c>
      <c r="G1007">
        <f t="shared" ca="1" si="311"/>
        <v>1.1105188557428384E-3</v>
      </c>
      <c r="H1007">
        <f t="shared" ca="1" si="312"/>
        <v>3.0946243242531996E-2</v>
      </c>
      <c r="I1007">
        <f t="shared" ca="1" si="313"/>
        <v>0.33573338278780385</v>
      </c>
      <c r="J1007">
        <f t="shared" ca="1" si="314"/>
        <v>6.8131552531743411</v>
      </c>
      <c r="K1007">
        <f t="shared" ca="1" si="315"/>
        <v>0.8910411638734369</v>
      </c>
      <c r="L1007">
        <f t="shared" ca="1" si="316"/>
        <v>1.5188054362334498</v>
      </c>
      <c r="M1007">
        <f t="shared" ca="1" si="317"/>
        <v>7.9943874975048693E-4</v>
      </c>
      <c r="N1007">
        <f t="shared" ca="1" si="318"/>
        <v>7.9846932119833139E-3</v>
      </c>
      <c r="O1007">
        <f t="shared" ca="1" si="319"/>
        <v>-0.8278461121946521</v>
      </c>
      <c r="P1007">
        <f t="shared" ca="1" si="320"/>
        <v>2.3265331048186395</v>
      </c>
      <c r="Q1007">
        <f t="shared" ca="1" si="321"/>
        <v>1.0494026178159765</v>
      </c>
      <c r="R1007">
        <f t="shared" ca="1" si="322"/>
        <v>2.1768193387074453</v>
      </c>
      <c r="T1007">
        <f t="shared" si="323"/>
        <v>1.0295063362965764</v>
      </c>
      <c r="U1007" s="6">
        <f t="shared" ca="1" si="324"/>
        <v>1.0367273471836653</v>
      </c>
      <c r="V1007">
        <f t="shared" ca="1" si="325"/>
        <v>1.1634012295591947</v>
      </c>
      <c r="X1007" t="b">
        <f t="shared" ca="1" si="326"/>
        <v>0</v>
      </c>
      <c r="BJ1007" t="b">
        <f t="shared" si="307"/>
        <v>1</v>
      </c>
      <c r="BK1007" t="b">
        <f t="shared" ca="1" si="308"/>
        <v>0</v>
      </c>
    </row>
    <row r="1008" spans="1:63" x14ac:dyDescent="0.45">
      <c r="A1008" s="1">
        <v>43774</v>
      </c>
      <c r="B1008">
        <v>21.148</v>
      </c>
      <c r="C1008" s="1">
        <v>43774</v>
      </c>
      <c r="D1008">
        <v>307.02999999999997</v>
      </c>
      <c r="E1008">
        <f t="shared" si="309"/>
        <v>-7.8904969123116129E-4</v>
      </c>
      <c r="F1008" s="4">
        <f t="shared" si="310"/>
        <v>-1.1061587012396519E-3</v>
      </c>
      <c r="G1008">
        <f t="shared" ca="1" si="311"/>
        <v>7.7347994824630557E-4</v>
      </c>
      <c r="H1008">
        <f t="shared" ca="1" si="312"/>
        <v>3.1002448925875201E-2</v>
      </c>
      <c r="I1008">
        <f t="shared" ca="1" si="313"/>
        <v>0.35284146080716822</v>
      </c>
      <c r="J1008">
        <f t="shared" ca="1" si="314"/>
        <v>6.7661193748183761</v>
      </c>
      <c r="K1008">
        <f t="shared" ca="1" si="315"/>
        <v>0.8910411638734369</v>
      </c>
      <c r="L1008">
        <f t="shared" ca="1" si="316"/>
        <v>1.4702482945730118</v>
      </c>
      <c r="M1008">
        <f t="shared" ca="1" si="317"/>
        <v>8.0876063880609488E-4</v>
      </c>
      <c r="N1008">
        <f t="shared" ca="1" si="318"/>
        <v>7.9851110027013353E-3</v>
      </c>
      <c r="O1008">
        <f t="shared" ca="1" si="319"/>
        <v>-0.83123037365286323</v>
      </c>
      <c r="P1008">
        <f t="shared" ca="1" si="320"/>
        <v>2.3293642052376242</v>
      </c>
      <c r="Q1008">
        <f t="shared" ca="1" si="321"/>
        <v>1.0494026178159765</v>
      </c>
      <c r="R1008">
        <f t="shared" ca="1" si="322"/>
        <v>2.1768193387074453</v>
      </c>
      <c r="T1008">
        <f t="shared" si="323"/>
        <v>0.99921095030876883</v>
      </c>
      <c r="U1008" s="6">
        <f t="shared" ca="1" si="324"/>
        <v>1.0031639415026588</v>
      </c>
      <c r="V1008">
        <f t="shared" ca="1" si="325"/>
        <v>1.1603191382310207</v>
      </c>
      <c r="X1008" t="b">
        <f t="shared" ca="1" si="326"/>
        <v>0</v>
      </c>
      <c r="BJ1008" t="b">
        <f t="shared" si="307"/>
        <v>1</v>
      </c>
      <c r="BK1008" t="b">
        <f t="shared" ca="1" si="308"/>
        <v>0</v>
      </c>
    </row>
    <row r="1009" spans="1:63" x14ac:dyDescent="0.45">
      <c r="A1009" s="1">
        <v>43773</v>
      </c>
      <c r="B1009">
        <v>21.1647</v>
      </c>
      <c r="C1009" s="1">
        <v>43773</v>
      </c>
      <c r="D1009">
        <v>307.37</v>
      </c>
      <c r="E1009">
        <f t="shared" si="309"/>
        <v>1.3280797422357131E-2</v>
      </c>
      <c r="F1009" s="4">
        <f t="shared" si="310"/>
        <v>4.0177696478735812E-3</v>
      </c>
      <c r="G1009">
        <f t="shared" ca="1" si="311"/>
        <v>7.2216657045126435E-4</v>
      </c>
      <c r="H1009">
        <f t="shared" ca="1" si="312"/>
        <v>3.1013539222618187E-2</v>
      </c>
      <c r="I1009">
        <f t="shared" ca="1" si="313"/>
        <v>0.35719613332363803</v>
      </c>
      <c r="J1009">
        <f t="shared" ca="1" si="314"/>
        <v>6.7545966636014247</v>
      </c>
      <c r="K1009">
        <f t="shared" ca="1" si="315"/>
        <v>0.8910411638734369</v>
      </c>
      <c r="L1009">
        <f t="shared" ca="1" si="316"/>
        <v>1.4702482945730118</v>
      </c>
      <c r="M1009">
        <f t="shared" ca="1" si="317"/>
        <v>7.4673907923866203E-4</v>
      </c>
      <c r="N1009">
        <f t="shared" ca="1" si="318"/>
        <v>8.0479847598341255E-3</v>
      </c>
      <c r="O1009">
        <f t="shared" ca="1" si="319"/>
        <v>-0.8170684659564531</v>
      </c>
      <c r="P1009">
        <f t="shared" ca="1" si="320"/>
        <v>2.1891710510309359</v>
      </c>
      <c r="Q1009">
        <f t="shared" ca="1" si="321"/>
        <v>1.0403624720818729</v>
      </c>
      <c r="R1009">
        <f t="shared" ca="1" si="322"/>
        <v>1.9861667169313282</v>
      </c>
      <c r="T1009">
        <f t="shared" si="323"/>
        <v>1.0132807974223572</v>
      </c>
      <c r="U1009" s="6">
        <f t="shared" ca="1" si="324"/>
        <v>0.96875586456907714</v>
      </c>
      <c r="V1009">
        <f t="shared" ca="1" si="325"/>
        <v>1.1588619789740449</v>
      </c>
      <c r="X1009" t="b">
        <f t="shared" ca="1" si="326"/>
        <v>1</v>
      </c>
      <c r="BJ1009" t="b">
        <f t="shared" si="307"/>
        <v>1</v>
      </c>
      <c r="BK1009" t="b">
        <f t="shared" ca="1" si="308"/>
        <v>1</v>
      </c>
    </row>
    <row r="1010" spans="1:63" x14ac:dyDescent="0.45">
      <c r="A1010" s="1">
        <v>43770</v>
      </c>
      <c r="B1010">
        <v>20.8873</v>
      </c>
      <c r="C1010" s="1">
        <v>43770</v>
      </c>
      <c r="D1010">
        <v>306.14</v>
      </c>
      <c r="E1010">
        <f t="shared" si="309"/>
        <v>-5.1155767884276471E-3</v>
      </c>
      <c r="F1010" s="4">
        <f t="shared" si="310"/>
        <v>9.2638380641545583E-3</v>
      </c>
      <c r="G1010">
        <f t="shared" ca="1" si="311"/>
        <v>7.2137364879623632E-6</v>
      </c>
      <c r="H1010">
        <f t="shared" ca="1" si="312"/>
        <v>3.2342282373854885E-2</v>
      </c>
      <c r="I1010">
        <f t="shared" ca="1" si="313"/>
        <v>4.8727356525159825E-2</v>
      </c>
      <c r="J1010">
        <f t="shared" ca="1" si="314"/>
        <v>6.6117885674789116</v>
      </c>
      <c r="K1010">
        <f t="shared" ca="1" si="315"/>
        <v>0.8617214921797286</v>
      </c>
      <c r="L1010">
        <f t="shared" ca="1" si="316"/>
        <v>1.4641376821099519</v>
      </c>
      <c r="M1010">
        <f t="shared" ca="1" si="317"/>
        <v>7.9320027663361086E-4</v>
      </c>
      <c r="N1010">
        <f t="shared" ca="1" si="318"/>
        <v>8.0936559513003423E-3</v>
      </c>
      <c r="O1010">
        <f t="shared" ca="1" si="319"/>
        <v>-0.80206125756926372</v>
      </c>
      <c r="P1010">
        <f t="shared" ca="1" si="320"/>
        <v>2.1205225101345118</v>
      </c>
      <c r="Q1010">
        <f t="shared" ca="1" si="321"/>
        <v>1.046749838243398</v>
      </c>
      <c r="R1010">
        <f t="shared" ca="1" si="322"/>
        <v>2.060772561831667</v>
      </c>
      <c r="T1010">
        <f t="shared" si="323"/>
        <v>0.99488442321157233</v>
      </c>
      <c r="U1010" s="6">
        <f t="shared" ca="1" si="324"/>
        <v>0.9548349051213012</v>
      </c>
      <c r="V1010">
        <f t="shared" ca="1" si="325"/>
        <v>1.1621280046460525</v>
      </c>
      <c r="X1010" t="b">
        <f t="shared" ca="1" si="326"/>
        <v>1</v>
      </c>
      <c r="BJ1010" t="b">
        <f t="shared" si="307"/>
        <v>1</v>
      </c>
      <c r="BK1010" t="b">
        <f t="shared" ca="1" si="308"/>
        <v>1</v>
      </c>
    </row>
    <row r="1011" spans="1:63" x14ac:dyDescent="0.45">
      <c r="A1011" s="1">
        <v>43769</v>
      </c>
      <c r="B1011">
        <v>20.994700000000002</v>
      </c>
      <c r="C1011" s="1">
        <v>43769</v>
      </c>
      <c r="D1011">
        <v>303.33</v>
      </c>
      <c r="E1011">
        <f t="shared" si="309"/>
        <v>-2.8570476222205334E-4</v>
      </c>
      <c r="F1011" s="4">
        <f t="shared" si="310"/>
        <v>-2.6632471887946415E-3</v>
      </c>
      <c r="G1011">
        <f t="shared" ca="1" si="311"/>
        <v>5.0997082068592305E-5</v>
      </c>
      <c r="H1011">
        <f t="shared" ca="1" si="312"/>
        <v>3.2341239701105341E-2</v>
      </c>
      <c r="I1011">
        <f t="shared" ca="1" si="313"/>
        <v>4.4657036765878247E-2</v>
      </c>
      <c r="J1011">
        <f t="shared" ca="1" si="314"/>
        <v>6.6127735513480443</v>
      </c>
      <c r="K1011">
        <f t="shared" ca="1" si="315"/>
        <v>0.8617214921797286</v>
      </c>
      <c r="L1011">
        <f t="shared" ca="1" si="316"/>
        <v>1.4641376821099519</v>
      </c>
      <c r="M1011">
        <f t="shared" ca="1" si="317"/>
        <v>7.8481502761102123E-4</v>
      </c>
      <c r="N1011">
        <f t="shared" ca="1" si="318"/>
        <v>8.0857008645174103E-3</v>
      </c>
      <c r="O1011">
        <f t="shared" ca="1" si="319"/>
        <v>-0.80411360232889528</v>
      </c>
      <c r="P1011">
        <f t="shared" ca="1" si="320"/>
        <v>2.1338168860831468</v>
      </c>
      <c r="Q1011">
        <f t="shared" ca="1" si="321"/>
        <v>1.046749838243398</v>
      </c>
      <c r="R1011">
        <f t="shared" ca="1" si="322"/>
        <v>2.060772561831667</v>
      </c>
      <c r="T1011">
        <f t="shared" si="323"/>
        <v>0.99971429523777799</v>
      </c>
      <c r="U1011" s="6">
        <f t="shared" ca="1" si="324"/>
        <v>1.0508541596800596</v>
      </c>
      <c r="V1011">
        <f t="shared" ca="1" si="325"/>
        <v>1.1975136838854032</v>
      </c>
      <c r="X1011" t="b">
        <f t="shared" ca="1" si="326"/>
        <v>0</v>
      </c>
      <c r="BJ1011" t="b">
        <f t="shared" si="307"/>
        <v>1</v>
      </c>
      <c r="BK1011" t="b">
        <f t="shared" ca="1" si="308"/>
        <v>0</v>
      </c>
    </row>
    <row r="1012" spans="1:63" x14ac:dyDescent="0.45">
      <c r="A1012" s="1">
        <v>43768</v>
      </c>
      <c r="B1012">
        <v>21.000699999999998</v>
      </c>
      <c r="C1012" s="1">
        <v>43768</v>
      </c>
      <c r="D1012">
        <v>304.14</v>
      </c>
      <c r="E1012">
        <f t="shared" si="309"/>
        <v>-3.823293629899506E-3</v>
      </c>
      <c r="F1012" s="4">
        <f t="shared" si="310"/>
        <v>3.0671811615712108E-3</v>
      </c>
      <c r="G1012">
        <f t="shared" ca="1" si="311"/>
        <v>7.5942721113567648E-5</v>
      </c>
      <c r="H1012">
        <f t="shared" ca="1" si="312"/>
        <v>3.2342902768396943E-2</v>
      </c>
      <c r="I1012">
        <f t="shared" ca="1" si="313"/>
        <v>4.2328030493271891E-2</v>
      </c>
      <c r="J1012">
        <f t="shared" ca="1" si="314"/>
        <v>6.6106524417503012</v>
      </c>
      <c r="K1012">
        <f t="shared" ca="1" si="315"/>
        <v>0.8617214921797286</v>
      </c>
      <c r="L1012">
        <f t="shared" ca="1" si="316"/>
        <v>1.4641376821099519</v>
      </c>
      <c r="M1012">
        <f t="shared" ca="1" si="317"/>
        <v>8.1023036092392063E-4</v>
      </c>
      <c r="N1012">
        <f t="shared" ca="1" si="318"/>
        <v>8.0827964382820788E-3</v>
      </c>
      <c r="O1012">
        <f t="shared" ca="1" si="319"/>
        <v>-0.81407312404004206</v>
      </c>
      <c r="P1012">
        <f t="shared" ca="1" si="320"/>
        <v>2.1514886215511346</v>
      </c>
      <c r="Q1012">
        <f t="shared" ca="1" si="321"/>
        <v>1.046749838243398</v>
      </c>
      <c r="R1012">
        <f t="shared" ca="1" si="322"/>
        <v>2.060772561831667</v>
      </c>
      <c r="T1012">
        <f t="shared" si="323"/>
        <v>0.99617670637010047</v>
      </c>
      <c r="U1012" s="6">
        <f t="shared" ca="1" si="324"/>
        <v>1.2368850383127092</v>
      </c>
      <c r="V1012">
        <f t="shared" ca="1" si="325"/>
        <v>1.4438038508913253</v>
      </c>
      <c r="X1012" t="b">
        <f t="shared" ca="1" si="326"/>
        <v>0</v>
      </c>
      <c r="BJ1012" t="b">
        <f t="shared" si="307"/>
        <v>1</v>
      </c>
      <c r="BK1012" t="b">
        <f t="shared" ca="1" si="308"/>
        <v>0</v>
      </c>
    </row>
    <row r="1013" spans="1:63" x14ac:dyDescent="0.45">
      <c r="A1013" s="1">
        <v>43767</v>
      </c>
      <c r="B1013">
        <v>21.081299999999999</v>
      </c>
      <c r="C1013" s="1">
        <v>43767</v>
      </c>
      <c r="D1013">
        <v>303.20999999999998</v>
      </c>
      <c r="E1013">
        <f t="shared" si="309"/>
        <v>-3.5061540785360286E-2</v>
      </c>
      <c r="F1013" s="4">
        <f t="shared" si="310"/>
        <v>-2.9673590504461533E-4</v>
      </c>
      <c r="G1013">
        <f t="shared" ca="1" si="311"/>
        <v>2.4503698528249683E-4</v>
      </c>
      <c r="H1013">
        <f t="shared" ca="1" si="312"/>
        <v>3.2410748680031298E-2</v>
      </c>
      <c r="I1013">
        <f t="shared" ca="1" si="313"/>
        <v>3.0254803807037066E-2</v>
      </c>
      <c r="J1013">
        <f t="shared" ca="1" si="314"/>
        <v>6.5329977415292406</v>
      </c>
      <c r="K1013">
        <f t="shared" ca="1" si="315"/>
        <v>0.8617214921797286</v>
      </c>
      <c r="L1013">
        <f t="shared" ca="1" si="316"/>
        <v>1.4989495332337748</v>
      </c>
      <c r="M1013">
        <f t="shared" ca="1" si="317"/>
        <v>8.5219826241987292E-4</v>
      </c>
      <c r="N1013">
        <f t="shared" ca="1" si="318"/>
        <v>8.1162953461741353E-3</v>
      </c>
      <c r="O1013">
        <f t="shared" ca="1" si="319"/>
        <v>-0.80834347958798103</v>
      </c>
      <c r="P1013">
        <f t="shared" ca="1" si="320"/>
        <v>2.0984335600700827</v>
      </c>
      <c r="Q1013">
        <f t="shared" ca="1" si="321"/>
        <v>1.046749838243398</v>
      </c>
      <c r="R1013">
        <f t="shared" ca="1" si="322"/>
        <v>2.0767755119720324</v>
      </c>
      <c r="T1013">
        <f t="shared" si="323"/>
        <v>0.96493845921463972</v>
      </c>
      <c r="U1013" s="6">
        <f t="shared" ca="1" si="324"/>
        <v>1.23725988485037</v>
      </c>
      <c r="V1013">
        <f t="shared" ca="1" si="325"/>
        <v>1.4386715422244984</v>
      </c>
      <c r="X1013" t="b">
        <f t="shared" ca="1" si="326"/>
        <v>0</v>
      </c>
      <c r="BJ1013" t="b">
        <f t="shared" si="307"/>
        <v>1</v>
      </c>
      <c r="BK1013" t="b">
        <f t="shared" ca="1" si="308"/>
        <v>0</v>
      </c>
    </row>
    <row r="1014" spans="1:63" x14ac:dyDescent="0.45">
      <c r="A1014" s="1">
        <v>43766</v>
      </c>
      <c r="B1014">
        <v>21.847300000000001</v>
      </c>
      <c r="C1014" s="1">
        <v>43766</v>
      </c>
      <c r="D1014">
        <v>303.3</v>
      </c>
      <c r="E1014">
        <f t="shared" si="309"/>
        <v>-1.2799824459549672E-3</v>
      </c>
      <c r="F1014" s="4">
        <f t="shared" si="310"/>
        <v>5.6366047745357705E-3</v>
      </c>
      <c r="G1014">
        <f t="shared" ca="1" si="311"/>
        <v>2.3516670323047451E-4</v>
      </c>
      <c r="H1014">
        <f t="shared" ca="1" si="312"/>
        <v>3.2421853565552758E-2</v>
      </c>
      <c r="I1014">
        <f t="shared" ca="1" si="313"/>
        <v>2.9984143246048409E-2</v>
      </c>
      <c r="J1014">
        <f t="shared" ca="1" si="314"/>
        <v>6.5216883916882695</v>
      </c>
      <c r="K1014">
        <f t="shared" ca="1" si="315"/>
        <v>0.8617214921797286</v>
      </c>
      <c r="L1014">
        <f t="shared" ca="1" si="316"/>
        <v>1.4989495332337748</v>
      </c>
      <c r="M1014">
        <f t="shared" ca="1" si="317"/>
        <v>8.2317765589984076E-4</v>
      </c>
      <c r="N1014">
        <f t="shared" ca="1" si="318"/>
        <v>8.1307877787363675E-3</v>
      </c>
      <c r="O1014">
        <f t="shared" ca="1" si="319"/>
        <v>-0.79637281926406611</v>
      </c>
      <c r="P1014">
        <f t="shared" ca="1" si="320"/>
        <v>2.0529432972614803</v>
      </c>
      <c r="Q1014">
        <f t="shared" ca="1" si="321"/>
        <v>1.046749838243398</v>
      </c>
      <c r="R1014">
        <f t="shared" ca="1" si="322"/>
        <v>2.0608359697508249</v>
      </c>
      <c r="T1014">
        <f t="shared" si="323"/>
        <v>0.99872001755404505</v>
      </c>
      <c r="U1014" s="6">
        <f t="shared" ca="1" si="324"/>
        <v>1.2927396449704143</v>
      </c>
      <c r="V1014">
        <f t="shared" ca="1" si="325"/>
        <v>1.4310467799822537</v>
      </c>
      <c r="X1014" t="b">
        <f t="shared" ca="1" si="326"/>
        <v>0</v>
      </c>
      <c r="BJ1014" t="b">
        <f t="shared" si="307"/>
        <v>1</v>
      </c>
      <c r="BK1014" t="b">
        <f t="shared" ca="1" si="308"/>
        <v>0</v>
      </c>
    </row>
    <row r="1015" spans="1:63" x14ac:dyDescent="0.45">
      <c r="A1015" s="1">
        <v>43763</v>
      </c>
      <c r="B1015">
        <v>21.875299999999999</v>
      </c>
      <c r="C1015" s="1">
        <v>43763</v>
      </c>
      <c r="D1015">
        <v>301.60000000000002</v>
      </c>
      <c r="E1015">
        <f t="shared" si="309"/>
        <v>9.4931101623228709E-2</v>
      </c>
      <c r="F1015" s="4">
        <f t="shared" si="310"/>
        <v>4.0949495622066723E-3</v>
      </c>
      <c r="G1015">
        <f t="shared" ca="1" si="311"/>
        <v>2.7476515446364018E-4</v>
      </c>
      <c r="H1015">
        <f t="shared" ca="1" si="312"/>
        <v>3.2424829960760307E-2</v>
      </c>
      <c r="I1015">
        <f t="shared" ca="1" si="313"/>
        <v>2.6314795149279906E-2</v>
      </c>
      <c r="J1015">
        <f t="shared" ca="1" si="314"/>
        <v>6.5180434275285011</v>
      </c>
      <c r="K1015">
        <f t="shared" ca="1" si="315"/>
        <v>0.8617214921797286</v>
      </c>
      <c r="L1015">
        <f t="shared" ca="1" si="316"/>
        <v>1.4989495332337748</v>
      </c>
      <c r="M1015">
        <f t="shared" ca="1" si="317"/>
        <v>7.9692602881331815E-4</v>
      </c>
      <c r="N1015">
        <f t="shared" ca="1" si="318"/>
        <v>8.123641360106482E-3</v>
      </c>
      <c r="O1015">
        <f t="shared" ca="1" si="319"/>
        <v>-0.78974059233258898</v>
      </c>
      <c r="P1015">
        <f t="shared" ca="1" si="320"/>
        <v>2.0597900714709629</v>
      </c>
      <c r="Q1015">
        <f t="shared" ca="1" si="321"/>
        <v>1.046749838243398</v>
      </c>
      <c r="R1015">
        <f t="shared" ca="1" si="322"/>
        <v>2.0608359697508249</v>
      </c>
      <c r="T1015">
        <f t="shared" si="323"/>
        <v>1.0949311016232288</v>
      </c>
      <c r="U1015" s="6">
        <f t="shared" ca="1" si="324"/>
        <v>1.2770169293636893</v>
      </c>
      <c r="V1015">
        <f t="shared" ca="1" si="325"/>
        <v>1.5394045498698374</v>
      </c>
      <c r="X1015" t="b">
        <f t="shared" ca="1" si="326"/>
        <v>0</v>
      </c>
      <c r="BJ1015" t="b">
        <f t="shared" si="307"/>
        <v>1</v>
      </c>
      <c r="BK1015" t="b">
        <f t="shared" ca="1" si="308"/>
        <v>0</v>
      </c>
    </row>
    <row r="1016" spans="1:63" x14ac:dyDescent="0.45">
      <c r="A1016" s="1">
        <v>43762</v>
      </c>
      <c r="B1016">
        <v>19.9787</v>
      </c>
      <c r="C1016" s="1">
        <v>43762</v>
      </c>
      <c r="D1016">
        <v>300.37</v>
      </c>
      <c r="E1016">
        <f t="shared" si="309"/>
        <v>0.17669197288367189</v>
      </c>
      <c r="F1016" s="4">
        <f t="shared" si="310"/>
        <v>1.6339869281046056E-3</v>
      </c>
      <c r="G1016">
        <f t="shared" ca="1" si="311"/>
        <v>-1.0478075496051084E-4</v>
      </c>
      <c r="H1016">
        <f t="shared" ca="1" si="312"/>
        <v>3.174849125926562E-2</v>
      </c>
      <c r="I1016">
        <f t="shared" ca="1" si="313"/>
        <v>-6.9215429257578884E-2</v>
      </c>
      <c r="J1016">
        <f t="shared" ca="1" si="314"/>
        <v>6.9465655762108396</v>
      </c>
      <c r="K1016">
        <f t="shared" ca="1" si="315"/>
        <v>0.81963885580263929</v>
      </c>
      <c r="L1016">
        <f t="shared" ca="1" si="316"/>
        <v>1.4989495332337748</v>
      </c>
      <c r="M1016">
        <f t="shared" ca="1" si="317"/>
        <v>7.9408899081350262E-4</v>
      </c>
      <c r="N1016">
        <f t="shared" ca="1" si="318"/>
        <v>8.1225828054883754E-3</v>
      </c>
      <c r="O1016">
        <f t="shared" ca="1" si="319"/>
        <v>-0.78913790568739606</v>
      </c>
      <c r="P1016">
        <f t="shared" ca="1" si="320"/>
        <v>2.0612517958777907</v>
      </c>
      <c r="Q1016">
        <f t="shared" ca="1" si="321"/>
        <v>1.046749838243398</v>
      </c>
      <c r="R1016">
        <f t="shared" ca="1" si="322"/>
        <v>2.0608359697508249</v>
      </c>
      <c r="T1016">
        <f t="shared" si="323"/>
        <v>1.1766919728836718</v>
      </c>
      <c r="U1016" s="6">
        <f t="shared" ca="1" si="324"/>
        <v>1.1439475055397457</v>
      </c>
      <c r="V1016">
        <f t="shared" ca="1" si="325"/>
        <v>1.5708413552665021</v>
      </c>
      <c r="X1016" t="b">
        <f t="shared" ca="1" si="326"/>
        <v>0</v>
      </c>
      <c r="BJ1016" t="b">
        <f t="shared" si="307"/>
        <v>1</v>
      </c>
      <c r="BK1016" t="b">
        <f t="shared" ca="1" si="308"/>
        <v>0</v>
      </c>
    </row>
    <row r="1017" spans="1:63" x14ac:dyDescent="0.45">
      <c r="A1017" s="1">
        <v>43761</v>
      </c>
      <c r="B1017">
        <v>16.9787</v>
      </c>
      <c r="C1017" s="1">
        <v>43761</v>
      </c>
      <c r="D1017">
        <v>299.88</v>
      </c>
      <c r="E1017">
        <f t="shared" si="309"/>
        <v>-3.5213954116217038E-3</v>
      </c>
      <c r="F1017" s="4">
        <f t="shared" si="310"/>
        <v>2.9096016855623711E-3</v>
      </c>
      <c r="G1017">
        <f t="shared" ca="1" si="311"/>
        <v>-9.4082753963096609E-4</v>
      </c>
      <c r="H1017">
        <f t="shared" ca="1" si="312"/>
        <v>2.9165995549635722E-2</v>
      </c>
      <c r="I1017">
        <f t="shared" ca="1" si="313"/>
        <v>-1.1327967217337915</v>
      </c>
      <c r="J1017">
        <f t="shared" ca="1" si="314"/>
        <v>3.854019062019046</v>
      </c>
      <c r="K1017">
        <f t="shared" ca="1" si="315"/>
        <v>0.80513777019240407</v>
      </c>
      <c r="L1017">
        <f t="shared" ca="1" si="316"/>
        <v>1.4641376821099519</v>
      </c>
      <c r="M1017">
        <f t="shared" ca="1" si="317"/>
        <v>8.0928627196921862E-4</v>
      </c>
      <c r="N1017">
        <f t="shared" ca="1" si="318"/>
        <v>8.1270043383879845E-3</v>
      </c>
      <c r="O1017">
        <f t="shared" ca="1" si="319"/>
        <v>-0.79297072387734979</v>
      </c>
      <c r="P1017">
        <f t="shared" ca="1" si="320"/>
        <v>2.0564453226986235</v>
      </c>
      <c r="Q1017">
        <f t="shared" ca="1" si="321"/>
        <v>1.046749838243398</v>
      </c>
      <c r="R1017">
        <f t="shared" ca="1" si="322"/>
        <v>2.0608359697508249</v>
      </c>
      <c r="T1017">
        <f t="shared" si="323"/>
        <v>0.99647860458837834</v>
      </c>
      <c r="U1017" s="6">
        <f t="shared" ca="1" si="324"/>
        <v>0.98048126952594883</v>
      </c>
      <c r="V1017">
        <f t="shared" ca="1" si="325"/>
        <v>1.6179171595159572</v>
      </c>
      <c r="X1017" t="b">
        <f t="shared" ca="1" si="326"/>
        <v>1</v>
      </c>
      <c r="BJ1017" t="b">
        <f t="shared" si="307"/>
        <v>1</v>
      </c>
      <c r="BK1017" t="b">
        <f t="shared" ca="1" si="308"/>
        <v>1</v>
      </c>
    </row>
    <row r="1018" spans="1:63" x14ac:dyDescent="0.45">
      <c r="A1018" s="1">
        <v>43760</v>
      </c>
      <c r="B1018">
        <v>17.038699999999999</v>
      </c>
      <c r="C1018" s="1">
        <v>43760</v>
      </c>
      <c r="D1018">
        <v>299.01</v>
      </c>
      <c r="E1018">
        <f t="shared" si="309"/>
        <v>8.2071005917159802E-3</v>
      </c>
      <c r="F1018" s="4">
        <f t="shared" si="310"/>
        <v>-3.2667755591853668E-3</v>
      </c>
      <c r="G1018">
        <f t="shared" ca="1" si="311"/>
        <v>-9.1739898062513539E-4</v>
      </c>
      <c r="H1018">
        <f t="shared" ca="1" si="312"/>
        <v>2.916579418214884E-2</v>
      </c>
      <c r="I1018">
        <f t="shared" ca="1" si="313"/>
        <v>-1.1352489699335984</v>
      </c>
      <c r="J1018">
        <f t="shared" ca="1" si="314"/>
        <v>3.857927245084336</v>
      </c>
      <c r="K1018">
        <f t="shared" ca="1" si="315"/>
        <v>0.80513777019240407</v>
      </c>
      <c r="L1018">
        <f t="shared" ca="1" si="316"/>
        <v>1.4641376821099519</v>
      </c>
      <c r="M1018">
        <f t="shared" ca="1" si="317"/>
        <v>8.417152271391734E-4</v>
      </c>
      <c r="N1018">
        <f t="shared" ca="1" si="318"/>
        <v>8.1483393120714738E-3</v>
      </c>
      <c r="O1018">
        <f t="shared" ca="1" si="319"/>
        <v>-0.79296660006326125</v>
      </c>
      <c r="P1018">
        <f t="shared" ca="1" si="320"/>
        <v>2.0223617680964239</v>
      </c>
      <c r="Q1018">
        <f t="shared" ca="1" si="321"/>
        <v>1.046749838243398</v>
      </c>
      <c r="R1018">
        <f t="shared" ca="1" si="322"/>
        <v>2.0923127845508791</v>
      </c>
      <c r="T1018">
        <f t="shared" si="323"/>
        <v>1.0082071005917159</v>
      </c>
      <c r="U1018" s="6">
        <f t="shared" ca="1" si="324"/>
        <v>0.99104270998737831</v>
      </c>
      <c r="V1018">
        <f t="shared" ca="1" si="325"/>
        <v>1.6140361523296125</v>
      </c>
      <c r="X1018" t="b">
        <f t="shared" ca="1" si="326"/>
        <v>1</v>
      </c>
      <c r="BJ1018" t="b">
        <f t="shared" si="307"/>
        <v>1</v>
      </c>
      <c r="BK1018" t="b">
        <f t="shared" ca="1" si="308"/>
        <v>1</v>
      </c>
    </row>
    <row r="1019" spans="1:63" x14ac:dyDescent="0.45">
      <c r="A1019" s="1">
        <v>43759</v>
      </c>
      <c r="B1019">
        <v>16.899999999999999</v>
      </c>
      <c r="C1019" s="1">
        <v>43759</v>
      </c>
      <c r="D1019">
        <v>299.99</v>
      </c>
      <c r="E1019">
        <f t="shared" si="309"/>
        <v>-1.3426736719206097E-2</v>
      </c>
      <c r="F1019" s="4">
        <f t="shared" si="310"/>
        <v>6.7792059603315157E-3</v>
      </c>
      <c r="G1019">
        <f t="shared" ca="1" si="311"/>
        <v>-6.8661246869181633E-4</v>
      </c>
      <c r="H1019">
        <f t="shared" ca="1" si="312"/>
        <v>2.9419871173857581E-2</v>
      </c>
      <c r="I1019">
        <f t="shared" ca="1" si="313"/>
        <v>-1.0963355882114736</v>
      </c>
      <c r="J1019">
        <f t="shared" ca="1" si="314"/>
        <v>3.7217490636622284</v>
      </c>
      <c r="K1019">
        <f t="shared" ca="1" si="315"/>
        <v>0.81963885580263929</v>
      </c>
      <c r="L1019">
        <f t="shared" ca="1" si="316"/>
        <v>1.4989495332337748</v>
      </c>
      <c r="M1019">
        <f t="shared" ca="1" si="317"/>
        <v>8.9747221995550549E-4</v>
      </c>
      <c r="N1019">
        <f t="shared" ca="1" si="318"/>
        <v>8.1582317648735119E-3</v>
      </c>
      <c r="O1019">
        <f t="shared" ca="1" si="319"/>
        <v>-0.80688225539434344</v>
      </c>
      <c r="P1019">
        <f t="shared" ca="1" si="320"/>
        <v>2.022585375257143</v>
      </c>
      <c r="Q1019">
        <f t="shared" ca="1" si="321"/>
        <v>1.046749838243398</v>
      </c>
      <c r="R1019">
        <f t="shared" ca="1" si="322"/>
        <v>2.1672449652513146</v>
      </c>
      <c r="T1019">
        <f t="shared" si="323"/>
        <v>0.98657326328079387</v>
      </c>
      <c r="U1019" s="6">
        <f t="shared" ca="1" si="324"/>
        <v>0.98653294961676985</v>
      </c>
      <c r="V1019">
        <f t="shared" ca="1" si="325"/>
        <v>1.6163345406046292</v>
      </c>
      <c r="X1019" t="b">
        <f t="shared" ca="1" si="326"/>
        <v>1</v>
      </c>
      <c r="BJ1019" t="b">
        <f t="shared" si="307"/>
        <v>1</v>
      </c>
      <c r="BK1019" t="b">
        <f t="shared" ca="1" si="308"/>
        <v>1</v>
      </c>
    </row>
    <row r="1020" spans="1:63" x14ac:dyDescent="0.45">
      <c r="A1020" s="1">
        <v>43756</v>
      </c>
      <c r="B1020">
        <v>17.13</v>
      </c>
      <c r="C1020" s="1">
        <v>43756</v>
      </c>
      <c r="D1020">
        <v>297.97000000000003</v>
      </c>
      <c r="E1020">
        <f t="shared" si="309"/>
        <v>-1.9164371560920115E-2</v>
      </c>
      <c r="F1020" s="4">
        <f t="shared" si="310"/>
        <v>-4.3771718791765085E-3</v>
      </c>
      <c r="G1020">
        <f t="shared" ca="1" si="311"/>
        <v>-3.3099995968627728E-4</v>
      </c>
      <c r="H1020">
        <f t="shared" ca="1" si="312"/>
        <v>2.9693673450044544E-2</v>
      </c>
      <c r="I1020">
        <f t="shared" ca="1" si="313"/>
        <v>-1.0635983736838843</v>
      </c>
      <c r="J1020">
        <f t="shared" ca="1" si="314"/>
        <v>3.6038881569437748</v>
      </c>
      <c r="K1020">
        <f t="shared" ca="1" si="315"/>
        <v>0.8617214921797286</v>
      </c>
      <c r="L1020">
        <f t="shared" ca="1" si="316"/>
        <v>1.5178331184916947</v>
      </c>
      <c r="M1020">
        <f t="shared" ca="1" si="317"/>
        <v>1.031054999375419E-3</v>
      </c>
      <c r="N1020">
        <f t="shared" ca="1" si="318"/>
        <v>8.4678752038709702E-3</v>
      </c>
      <c r="O1020">
        <f t="shared" ca="1" si="319"/>
        <v>-0.48149003676829366</v>
      </c>
      <c r="P1020">
        <f t="shared" ca="1" si="320"/>
        <v>2.4866123395734903</v>
      </c>
      <c r="Q1020">
        <f t="shared" ca="1" si="321"/>
        <v>1.0488913069538395</v>
      </c>
      <c r="R1020">
        <f t="shared" ca="1" si="322"/>
        <v>2.1672449652513146</v>
      </c>
      <c r="T1020">
        <f t="shared" si="323"/>
        <v>0.9808356284390799</v>
      </c>
      <c r="U1020" s="6">
        <f t="shared" ca="1" si="324"/>
        <v>1.036548469079027</v>
      </c>
      <c r="V1020">
        <f t="shared" ca="1" si="325"/>
        <v>1.6017862343061888</v>
      </c>
      <c r="X1020" t="b">
        <f t="shared" ca="1" si="326"/>
        <v>0</v>
      </c>
      <c r="BJ1020" t="b">
        <f t="shared" si="307"/>
        <v>1</v>
      </c>
      <c r="BK1020" t="b">
        <f t="shared" ca="1" si="308"/>
        <v>0</v>
      </c>
    </row>
    <row r="1021" spans="1:63" x14ac:dyDescent="0.45">
      <c r="A1021" s="1">
        <v>43755</v>
      </c>
      <c r="B1021">
        <v>17.464700000000001</v>
      </c>
      <c r="C1021" s="1">
        <v>43755</v>
      </c>
      <c r="D1021">
        <v>299.27999999999997</v>
      </c>
      <c r="E1021">
        <f t="shared" si="309"/>
        <v>8.546663047809322E-3</v>
      </c>
      <c r="F1021" s="4">
        <f t="shared" si="310"/>
        <v>2.9490616621983762E-3</v>
      </c>
      <c r="G1021">
        <f t="shared" ca="1" si="311"/>
        <v>-3.925443514524084E-4</v>
      </c>
      <c r="H1021">
        <f t="shared" ca="1" si="312"/>
        <v>2.9745614993126449E-2</v>
      </c>
      <c r="I1021">
        <f t="shared" ca="1" si="313"/>
        <v>-1.0563032074588896</v>
      </c>
      <c r="J1021">
        <f t="shared" ca="1" si="314"/>
        <v>3.5540073912496428</v>
      </c>
      <c r="K1021">
        <f t="shared" ca="1" si="315"/>
        <v>0.8617214921797286</v>
      </c>
      <c r="L1021">
        <f t="shared" ca="1" si="316"/>
        <v>1.5178331184916947</v>
      </c>
      <c r="M1021">
        <f t="shared" ca="1" si="317"/>
        <v>9.3362676491887532E-4</v>
      </c>
      <c r="N1021">
        <f t="shared" ca="1" si="318"/>
        <v>8.6407457000472806E-3</v>
      </c>
      <c r="O1021">
        <f t="shared" ca="1" si="319"/>
        <v>-0.53912835375168022</v>
      </c>
      <c r="P1021">
        <f t="shared" ca="1" si="320"/>
        <v>2.3873846158445771</v>
      </c>
      <c r="Q1021">
        <f t="shared" ca="1" si="321"/>
        <v>0.95584170598583307</v>
      </c>
      <c r="R1021">
        <f t="shared" ca="1" si="322"/>
        <v>2.1672449652513146</v>
      </c>
      <c r="T1021">
        <f t="shared" si="323"/>
        <v>1.0085466630478093</v>
      </c>
      <c r="U1021" s="6">
        <f t="shared" ca="1" si="324"/>
        <v>1.0704032851189018</v>
      </c>
      <c r="V1021">
        <f t="shared" ca="1" si="325"/>
        <v>2.0552121078460872</v>
      </c>
      <c r="X1021" t="b">
        <f t="shared" ca="1" si="326"/>
        <v>0</v>
      </c>
      <c r="BJ1021" t="b">
        <f t="shared" si="307"/>
        <v>1</v>
      </c>
      <c r="BK1021" t="b">
        <f t="shared" ca="1" si="308"/>
        <v>0</v>
      </c>
    </row>
    <row r="1022" spans="1:63" x14ac:dyDescent="0.45">
      <c r="A1022" s="1">
        <v>43754</v>
      </c>
      <c r="B1022">
        <v>17.316700000000001</v>
      </c>
      <c r="C1022" s="1">
        <v>43754</v>
      </c>
      <c r="D1022">
        <v>298.39999999999998</v>
      </c>
      <c r="E1022">
        <f t="shared" si="309"/>
        <v>7.2123633867863888E-3</v>
      </c>
      <c r="F1022" s="4">
        <f t="shared" si="310"/>
        <v>-1.6059957173448147E-3</v>
      </c>
      <c r="G1022">
        <f t="shared" ca="1" si="311"/>
        <v>-7.7602234706302797E-4</v>
      </c>
      <c r="H1022">
        <f t="shared" ca="1" si="312"/>
        <v>3.0121790370378963E-2</v>
      </c>
      <c r="I1022">
        <f t="shared" ca="1" si="313"/>
        <v>-1.0365449255887917</v>
      </c>
      <c r="J1022">
        <f t="shared" ca="1" si="314"/>
        <v>3.3081414649232839</v>
      </c>
      <c r="K1022">
        <f t="shared" ca="1" si="315"/>
        <v>0.85488054608325459</v>
      </c>
      <c r="L1022">
        <f t="shared" ca="1" si="316"/>
        <v>1.5115247350676595</v>
      </c>
      <c r="M1022">
        <f t="shared" ca="1" si="317"/>
        <v>9.2408312114053426E-4</v>
      </c>
      <c r="N1022">
        <f t="shared" ca="1" si="318"/>
        <v>8.6395624878967906E-3</v>
      </c>
      <c r="O1022">
        <f t="shared" ca="1" si="319"/>
        <v>-0.53606690957556613</v>
      </c>
      <c r="P1022">
        <f t="shared" ca="1" si="320"/>
        <v>2.3879219353500289</v>
      </c>
      <c r="Q1022">
        <f t="shared" ca="1" si="321"/>
        <v>0.95584170598583307</v>
      </c>
      <c r="R1022">
        <f t="shared" ca="1" si="322"/>
        <v>2.1672449652513146</v>
      </c>
      <c r="T1022">
        <f t="shared" si="323"/>
        <v>1.0072123633867864</v>
      </c>
      <c r="U1022" s="6">
        <f t="shared" ca="1" si="324"/>
        <v>1.0622438964544232</v>
      </c>
      <c r="V1022">
        <f t="shared" ca="1" si="325"/>
        <v>2.0008827493466494</v>
      </c>
      <c r="X1022" t="b">
        <f t="shared" ca="1" si="326"/>
        <v>0</v>
      </c>
      <c r="BJ1022" t="b">
        <f t="shared" si="307"/>
        <v>1</v>
      </c>
      <c r="BK1022" t="b">
        <f t="shared" ca="1" si="308"/>
        <v>0</v>
      </c>
    </row>
    <row r="1023" spans="1:63" x14ac:dyDescent="0.45">
      <c r="A1023" s="1">
        <v>43753</v>
      </c>
      <c r="B1023">
        <v>17.192699999999999</v>
      </c>
      <c r="C1023" s="1">
        <v>43753</v>
      </c>
      <c r="D1023">
        <v>298.88</v>
      </c>
      <c r="E1023">
        <f t="shared" si="309"/>
        <v>3.619233306286235E-3</v>
      </c>
      <c r="F1023" s="4">
        <f t="shared" si="310"/>
        <v>9.9003210001689709E-3</v>
      </c>
      <c r="G1023">
        <f t="shared" ca="1" si="311"/>
        <v>-8.2810087708888212E-4</v>
      </c>
      <c r="H1023">
        <f t="shared" ca="1" si="312"/>
        <v>3.011691321936609E-2</v>
      </c>
      <c r="I1023">
        <f t="shared" ca="1" si="313"/>
        <v>-1.0319059222868048</v>
      </c>
      <c r="J1023">
        <f t="shared" ca="1" si="314"/>
        <v>3.3049319165086368</v>
      </c>
      <c r="K1023">
        <f t="shared" ca="1" si="315"/>
        <v>0.85488054608325459</v>
      </c>
      <c r="L1023">
        <f t="shared" ca="1" si="316"/>
        <v>1.5115247350676595</v>
      </c>
      <c r="M1023">
        <f t="shared" ca="1" si="317"/>
        <v>9.7590724705319152E-4</v>
      </c>
      <c r="N1023">
        <f t="shared" ca="1" si="318"/>
        <v>8.6553816760939362E-3</v>
      </c>
      <c r="O1023">
        <f t="shared" ca="1" si="319"/>
        <v>-0.54738572429512611</v>
      </c>
      <c r="P1023">
        <f t="shared" ca="1" si="320"/>
        <v>2.3649002839328084</v>
      </c>
      <c r="Q1023">
        <f t="shared" ca="1" si="321"/>
        <v>0.95584170598583307</v>
      </c>
      <c r="R1023">
        <f t="shared" ca="1" si="322"/>
        <v>2.2029415564274304</v>
      </c>
      <c r="T1023">
        <f t="shared" si="323"/>
        <v>1.0036192333062863</v>
      </c>
      <c r="U1023" s="6">
        <f t="shared" ca="1" si="324"/>
        <v>1.0743221710522206</v>
      </c>
      <c r="V1023">
        <f t="shared" ca="1" si="325"/>
        <v>2.0117388797399545</v>
      </c>
      <c r="X1023" t="b">
        <f t="shared" ca="1" si="326"/>
        <v>0</v>
      </c>
      <c r="BJ1023" t="b">
        <f t="shared" si="307"/>
        <v>1</v>
      </c>
      <c r="BK1023" t="b">
        <f t="shared" ca="1" si="308"/>
        <v>0</v>
      </c>
    </row>
    <row r="1024" spans="1:63" x14ac:dyDescent="0.45">
      <c r="A1024" s="1">
        <v>43752</v>
      </c>
      <c r="B1024">
        <v>17.130700000000001</v>
      </c>
      <c r="C1024" s="1">
        <v>43752</v>
      </c>
      <c r="D1024">
        <v>295.95</v>
      </c>
      <c r="E1024">
        <f t="shared" si="309"/>
        <v>3.6590826576304074E-2</v>
      </c>
      <c r="F1024" s="4">
        <f t="shared" si="310"/>
        <v>-1.1138112596192253E-3</v>
      </c>
      <c r="G1024">
        <f t="shared" ca="1" si="311"/>
        <v>-5.6560791796136641E-4</v>
      </c>
      <c r="H1024">
        <f t="shared" ca="1" si="312"/>
        <v>3.038347401143077E-2</v>
      </c>
      <c r="I1024">
        <f t="shared" ca="1" si="313"/>
        <v>-0.99776193385629341</v>
      </c>
      <c r="J1024">
        <f t="shared" ca="1" si="314"/>
        <v>3.1836058955670952</v>
      </c>
      <c r="K1024">
        <f t="shared" ca="1" si="315"/>
        <v>0.88749148000916256</v>
      </c>
      <c r="L1024">
        <f t="shared" ca="1" si="316"/>
        <v>1.5485127216219647</v>
      </c>
      <c r="M1024">
        <f t="shared" ca="1" si="317"/>
        <v>9.1995584965503955E-4</v>
      </c>
      <c r="N1024">
        <f t="shared" ca="1" si="318"/>
        <v>8.6335426370520406E-3</v>
      </c>
      <c r="O1024">
        <f t="shared" ca="1" si="319"/>
        <v>-0.53760956458586706</v>
      </c>
      <c r="P1024">
        <f t="shared" ca="1" si="320"/>
        <v>2.3994872715794555</v>
      </c>
      <c r="Q1024">
        <f t="shared" ca="1" si="321"/>
        <v>0.95584170598583307</v>
      </c>
      <c r="R1024">
        <f t="shared" ca="1" si="322"/>
        <v>2.1672449652513146</v>
      </c>
      <c r="T1024">
        <f t="shared" si="323"/>
        <v>1.036590826576304</v>
      </c>
      <c r="U1024" s="6">
        <f t="shared" ca="1" si="324"/>
        <v>1.0809376577486121</v>
      </c>
      <c r="V1024">
        <f t="shared" ca="1" si="325"/>
        <v>2.0343731173500355</v>
      </c>
      <c r="X1024" t="b">
        <f t="shared" ca="1" si="326"/>
        <v>0</v>
      </c>
      <c r="BJ1024" t="b">
        <f t="shared" si="307"/>
        <v>1</v>
      </c>
      <c r="BK1024" t="b">
        <f t="shared" ca="1" si="308"/>
        <v>0</v>
      </c>
    </row>
    <row r="1025" spans="1:63" x14ac:dyDescent="0.45">
      <c r="A1025" s="1">
        <v>43749</v>
      </c>
      <c r="B1025">
        <v>16.526</v>
      </c>
      <c r="C1025" s="1">
        <v>43749</v>
      </c>
      <c r="D1025">
        <v>296.27999999999997</v>
      </c>
      <c r="E1025">
        <f t="shared" si="309"/>
        <v>1.2870801667075316E-2</v>
      </c>
      <c r="F1025" s="4">
        <f t="shared" si="310"/>
        <v>1.0366934933842461E-2</v>
      </c>
      <c r="G1025">
        <f t="shared" ca="1" si="311"/>
        <v>-9.0128085963617894E-4</v>
      </c>
      <c r="H1025">
        <f t="shared" ca="1" si="312"/>
        <v>3.0341730134736799E-2</v>
      </c>
      <c r="I1025">
        <f t="shared" ca="1" si="313"/>
        <v>-0.98257712655698493</v>
      </c>
      <c r="J1025">
        <f t="shared" ca="1" si="314"/>
        <v>3.1661249953942292</v>
      </c>
      <c r="K1025">
        <f t="shared" ca="1" si="315"/>
        <v>0.88749148000916256</v>
      </c>
      <c r="L1025">
        <f t="shared" ca="1" si="316"/>
        <v>1.465215992766199</v>
      </c>
      <c r="M1025">
        <f t="shared" ca="1" si="317"/>
        <v>9.6391145238257706E-4</v>
      </c>
      <c r="N1025">
        <f t="shared" ca="1" si="318"/>
        <v>8.6455068158557049E-3</v>
      </c>
      <c r="O1025">
        <f t="shared" ca="1" si="319"/>
        <v>-0.54829783433034396</v>
      </c>
      <c r="P1025">
        <f t="shared" ca="1" si="320"/>
        <v>2.3825420673639348</v>
      </c>
      <c r="Q1025">
        <f t="shared" ca="1" si="321"/>
        <v>0.95584170598583307</v>
      </c>
      <c r="R1025">
        <f t="shared" ca="1" si="322"/>
        <v>2.2029415564274304</v>
      </c>
      <c r="T1025">
        <f t="shared" si="323"/>
        <v>1.0128708016670753</v>
      </c>
      <c r="U1025" s="6">
        <f t="shared" ca="1" si="324"/>
        <v>1.0711207036237662</v>
      </c>
      <c r="V1025">
        <f t="shared" ca="1" si="325"/>
        <v>2.020582363364249</v>
      </c>
      <c r="X1025" t="b">
        <f t="shared" ca="1" si="326"/>
        <v>0</v>
      </c>
      <c r="BJ1025" t="b">
        <f t="shared" si="307"/>
        <v>1</v>
      </c>
      <c r="BK1025" t="b">
        <f t="shared" ca="1" si="308"/>
        <v>0</v>
      </c>
    </row>
    <row r="1026" spans="1:63" x14ac:dyDescent="0.45">
      <c r="A1026" s="1">
        <v>43748</v>
      </c>
      <c r="B1026">
        <v>16.315999999999999</v>
      </c>
      <c r="C1026" s="1">
        <v>43748</v>
      </c>
      <c r="D1026">
        <v>293.24</v>
      </c>
      <c r="E1026">
        <f t="shared" si="309"/>
        <v>8.5879033247450291E-4</v>
      </c>
      <c r="F1026" s="4">
        <f t="shared" si="310"/>
        <v>6.7634840525973407E-3</v>
      </c>
      <c r="G1026">
        <f t="shared" ca="1" si="311"/>
        <v>-4.4600068880871785E-4</v>
      </c>
      <c r="H1026">
        <f t="shared" ca="1" si="312"/>
        <v>3.1219864240156908E-2</v>
      </c>
      <c r="I1026">
        <f t="shared" ca="1" si="313"/>
        <v>-0.75445001199401118</v>
      </c>
      <c r="J1026">
        <f t="shared" ca="1" si="314"/>
        <v>3.1978641796394376</v>
      </c>
      <c r="K1026">
        <f t="shared" ca="1" si="315"/>
        <v>0.91312156735651462</v>
      </c>
      <c r="L1026">
        <f t="shared" ca="1" si="316"/>
        <v>1.5010707744857736</v>
      </c>
      <c r="M1026">
        <f t="shared" ca="1" si="317"/>
        <v>1.1647011696225566E-3</v>
      </c>
      <c r="N1026">
        <f t="shared" ca="1" si="318"/>
        <v>9.3060800687033256E-3</v>
      </c>
      <c r="O1026">
        <f t="shared" ca="1" si="319"/>
        <v>0.2564502393153324</v>
      </c>
      <c r="P1026">
        <f t="shared" ca="1" si="320"/>
        <v>5.1330283334994613</v>
      </c>
      <c r="Q1026">
        <f t="shared" ca="1" si="321"/>
        <v>0.98843219720187669</v>
      </c>
      <c r="R1026">
        <f t="shared" ca="1" si="322"/>
        <v>2.2029415564274304</v>
      </c>
      <c r="T1026">
        <f t="shared" si="323"/>
        <v>1.0008587903324746</v>
      </c>
      <c r="U1026" s="6">
        <f t="shared" ca="1" si="324"/>
        <v>1.0502532941108316</v>
      </c>
      <c r="V1026">
        <f t="shared" ca="1" si="325"/>
        <v>2.0508929659400366</v>
      </c>
      <c r="X1026" t="b">
        <f t="shared" ca="1" si="326"/>
        <v>0</v>
      </c>
      <c r="BJ1026" t="b">
        <f t="shared" ref="BJ1026:BJ1089" si="327">ABS(W1026-1)&gt;$S$21</f>
        <v>1</v>
      </c>
      <c r="BK1026" t="b">
        <f t="shared" ref="BK1026:BK1089" ca="1" si="328">AND(X1026,BJ1026)</f>
        <v>0</v>
      </c>
    </row>
    <row r="1027" spans="1:63" x14ac:dyDescent="0.45">
      <c r="A1027" s="1">
        <v>43747</v>
      </c>
      <c r="B1027">
        <v>16.302</v>
      </c>
      <c r="C1027" s="1">
        <v>43747</v>
      </c>
      <c r="D1027">
        <v>291.27</v>
      </c>
      <c r="E1027">
        <f t="shared" ref="E1027:E1090" si="329">(B1027-B1028)/B1028</f>
        <v>1.8664900364299877E-2</v>
      </c>
      <c r="F1027" s="4">
        <f t="shared" ref="F1027:F1090" si="330">(D1027-D1028)/D1028</f>
        <v>9.4964128513499793E-3</v>
      </c>
      <c r="G1027">
        <f t="shared" ref="G1027:G1090" ca="1" si="331">AVERAGE(OFFSET(E1027,0,0,$S$3,1))*$AK$25</f>
        <v>-8.3149831811439698E-4</v>
      </c>
      <c r="H1027">
        <f t="shared" ref="H1027:H1090" ca="1" si="332">STDEV(OFFSET(E1027,0,0,$S$3,1))*$AJ$25</f>
        <v>3.167634077207266E-2</v>
      </c>
      <c r="I1027">
        <f t="shared" ref="I1027:I1090" ca="1" si="333">SKEW(OFFSET(E1027,0,0,$S$3,1))*$AI$25</f>
        <v>-0.75495976728119063</v>
      </c>
      <c r="J1027">
        <f t="shared" ref="J1027:J1090" ca="1" si="334">KURT(OFFSET(E1027,0,0,$S$3,1))*$AH$25</f>
        <v>2.9770260324818167</v>
      </c>
      <c r="K1027">
        <f t="shared" ref="K1027:K1090" ca="1" si="335">PERCENTILE(OFFSET(E1027,0,0,$S$3,1), 0.95)/ABS(PERCENTILE(OFFSET(E1027,0,0,$S$3,1), 0.05))*$AG$25</f>
        <v>0.87669753702895881</v>
      </c>
      <c r="L1027">
        <f t="shared" ref="L1027:L1090" ca="1" si="336">PERCENTILE(OFFSET(E1027,0,0,$S$3,1), 0.75)/ABS(PERCENTILE(OFFSET(E1027,0,0,$S$3,1), 0.25))*$AF$25</f>
        <v>1.386686880488655</v>
      </c>
      <c r="M1027">
        <f t="shared" ref="M1027:M1090" ca="1" si="337">AVERAGE(OFFSET(F1027,0,0,$S$3,1))*$AE$25</f>
        <v>9.987690838007832E-4</v>
      </c>
      <c r="N1027">
        <f t="shared" ref="N1027:N1090" ca="1" si="338">STDEV(OFFSET(F1027,0,0,$S$3,1))*$AD$25</f>
        <v>9.4996023790974386E-3</v>
      </c>
      <c r="O1027">
        <f t="shared" ref="O1027:O1090" ca="1" si="339">SKEW(OFFSET(F1027,0,0,$S$3,1))*$AC$25</f>
        <v>0.16867242977284641</v>
      </c>
      <c r="P1027">
        <f t="shared" ref="P1027:P1090" ca="1" si="340">KURT(OFFSET(F1027,0,0,$S$3,1))*$AB$25</f>
        <v>4.8645346368952449</v>
      </c>
      <c r="Q1027">
        <f t="shared" ref="Q1027:Q1090" ca="1" si="341">PERCENTILE(OFFSET(F1027,0,0,$S$3,1), 0.95)/ABS(PERCENTILE(OFFSET(F1027,0,0,$S$3,1), 0.05))*$AA$25</f>
        <v>0.97868880080016218</v>
      </c>
      <c r="R1027">
        <f t="shared" ref="R1027:R1090" ca="1" si="342">PERCENTILE(OFFSET(F1027,0,0,$S$3,1), 0.75)/ABS(PERCENTILE(OFFSET(F1027,0,0,$S$3,1), 0.25))*$Z$25</f>
        <v>2.1506110573358077</v>
      </c>
      <c r="T1027">
        <f t="shared" ref="T1027:T1090" si="343">E1027+1</f>
        <v>1.0186649003642998</v>
      </c>
      <c r="U1027" s="6">
        <f t="shared" ref="U1027:U1090" ca="1" si="344">PRODUCT(OFFSET(T1027,0,0,$S$6,1))</f>
        <v>1.0057561679838602</v>
      </c>
      <c r="V1027">
        <f t="shared" ref="V1027:V1050" ca="1" si="345">OFFSET(G1027,$S$6,0) * $AK$2+ OFFSET(H1027,$S$6,0)  * $AJ$2 + OFFSET(I1027,$S$6,0) * $AI$2 + OFFSET(J1027,$S$6,0) * $AH$2 + OFFSET(K1027,$S$6,0) * $AG$2 + OFFSET(L1027,$S$6,0) * $AF$2 + OFFSET(M1027,$S$6,0) * $AE$2 + OFFSET(N1027,$S$6,0) * $AD$2 + OFFSET(O1027,$S$6,0) * $AC$2 + OFFSET(P1027,$S$6,0) * $AB$2 +  OFFSET(Q1027,$S$6,0) * $AA$2 + OFFSET(R1027,$S$6,0)  * $Z$2  + AL$2</f>
        <v>2.0361639096917816</v>
      </c>
      <c r="X1027" t="b">
        <f t="shared" ref="X1027:X1048" ca="1" si="346">OR(AND(U1027&gt;1, W1027&gt;1), AND(U1027&lt;1, W1027&lt;1))</f>
        <v>0</v>
      </c>
      <c r="BJ1027" t="b">
        <f t="shared" si="327"/>
        <v>1</v>
      </c>
      <c r="BK1027" t="b">
        <f t="shared" ca="1" si="328"/>
        <v>0</v>
      </c>
    </row>
    <row r="1028" spans="1:63" x14ac:dyDescent="0.45">
      <c r="A1028" s="1">
        <v>43746</v>
      </c>
      <c r="B1028">
        <v>16.003299999999999</v>
      </c>
      <c r="C1028" s="1">
        <v>43746</v>
      </c>
      <c r="D1028">
        <v>288.52999999999997</v>
      </c>
      <c r="E1028">
        <f t="shared" si="329"/>
        <v>9.7993437657747755E-3</v>
      </c>
      <c r="F1028" s="4">
        <f t="shared" si="330"/>
        <v>-1.5524771393476224E-2</v>
      </c>
      <c r="G1028">
        <f t="shared" ca="1" si="331"/>
        <v>-8.5521620314564896E-4</v>
      </c>
      <c r="H1028">
        <f t="shared" ca="1" si="332"/>
        <v>3.1663442615535692E-2</v>
      </c>
      <c r="I1028">
        <f t="shared" ca="1" si="333"/>
        <v>-0.75428440333152413</v>
      </c>
      <c r="J1028">
        <f t="shared" ca="1" si="334"/>
        <v>2.9840358526652615</v>
      </c>
      <c r="K1028">
        <f t="shared" ca="1" si="335"/>
        <v>0.87669753702895881</v>
      </c>
      <c r="L1028">
        <f t="shared" ca="1" si="336"/>
        <v>1.3535642880976657</v>
      </c>
      <c r="M1028">
        <f t="shared" ca="1" si="337"/>
        <v>8.2040544006432316E-4</v>
      </c>
      <c r="N1028">
        <f t="shared" ca="1" si="338"/>
        <v>9.6725688914487181E-3</v>
      </c>
      <c r="O1028">
        <f t="shared" ca="1" si="339"/>
        <v>9.9664576829534682E-2</v>
      </c>
      <c r="P1028">
        <f t="shared" ca="1" si="340"/>
        <v>4.6387005554569871</v>
      </c>
      <c r="Q1028">
        <f t="shared" ca="1" si="341"/>
        <v>0.85482084428750571</v>
      </c>
      <c r="R1028">
        <f t="shared" ca="1" si="342"/>
        <v>2.0660624704002331</v>
      </c>
      <c r="T1028">
        <f t="shared" si="343"/>
        <v>1.0097993437657748</v>
      </c>
      <c r="U1028" s="6">
        <f t="shared" ca="1" si="344"/>
        <v>0.98103318273492446</v>
      </c>
      <c r="V1028">
        <f t="shared" ca="1" si="345"/>
        <v>2.0146014484084178</v>
      </c>
      <c r="X1028" t="b">
        <f t="shared" ca="1" si="346"/>
        <v>1</v>
      </c>
      <c r="BJ1028" t="b">
        <f t="shared" si="327"/>
        <v>1</v>
      </c>
      <c r="BK1028" t="b">
        <f t="shared" ca="1" si="328"/>
        <v>1</v>
      </c>
    </row>
    <row r="1029" spans="1:63" x14ac:dyDescent="0.45">
      <c r="A1029" s="1">
        <v>43745</v>
      </c>
      <c r="B1029">
        <v>15.848000000000001</v>
      </c>
      <c r="C1029" s="1">
        <v>43745</v>
      </c>
      <c r="D1029">
        <v>293.08</v>
      </c>
      <c r="E1029">
        <f t="shared" si="329"/>
        <v>2.7176625379973788E-2</v>
      </c>
      <c r="F1029" s="4">
        <f t="shared" si="330"/>
        <v>-4.3145914727366688E-3</v>
      </c>
      <c r="G1029">
        <f t="shared" ca="1" si="331"/>
        <v>-1.1683583404806942E-3</v>
      </c>
      <c r="H1029">
        <f t="shared" ca="1" si="332"/>
        <v>3.1866579404848681E-2</v>
      </c>
      <c r="I1029">
        <f t="shared" ca="1" si="333"/>
        <v>-0.73238454826793209</v>
      </c>
      <c r="J1029">
        <f t="shared" ca="1" si="334"/>
        <v>2.8383626635047525</v>
      </c>
      <c r="K1029">
        <f t="shared" ca="1" si="335"/>
        <v>0.86730996346667988</v>
      </c>
      <c r="L1029">
        <f t="shared" ca="1" si="336"/>
        <v>1.2721695778057429</v>
      </c>
      <c r="M1029">
        <f t="shared" ca="1" si="337"/>
        <v>8.1663950160067666E-4</v>
      </c>
      <c r="N1029">
        <f t="shared" ca="1" si="338"/>
        <v>9.6791091491470853E-3</v>
      </c>
      <c r="O1029">
        <f t="shared" ca="1" si="339"/>
        <v>9.7104439972128392E-2</v>
      </c>
      <c r="P1029">
        <f t="shared" ca="1" si="340"/>
        <v>4.6264213251201758</v>
      </c>
      <c r="Q1029">
        <f t="shared" ca="1" si="341"/>
        <v>0.81729419721137853</v>
      </c>
      <c r="R1029">
        <f t="shared" ca="1" si="342"/>
        <v>2.0660624704002331</v>
      </c>
      <c r="T1029">
        <f t="shared" si="343"/>
        <v>1.0271766253799739</v>
      </c>
      <c r="U1029" s="6">
        <f t="shared" ca="1" si="344"/>
        <v>0.98692240627724492</v>
      </c>
      <c r="V1029">
        <f t="shared" ca="1" si="345"/>
        <v>2.0344541584497642</v>
      </c>
      <c r="X1029" t="b">
        <f t="shared" ca="1" si="346"/>
        <v>1</v>
      </c>
      <c r="BJ1029" t="b">
        <f t="shared" si="327"/>
        <v>1</v>
      </c>
      <c r="BK1029" t="b">
        <f t="shared" ca="1" si="328"/>
        <v>1</v>
      </c>
    </row>
    <row r="1030" spans="1:63" x14ac:dyDescent="0.45">
      <c r="A1030" s="1">
        <v>43742</v>
      </c>
      <c r="B1030">
        <v>15.428699999999999</v>
      </c>
      <c r="C1030" s="1">
        <v>43742</v>
      </c>
      <c r="D1030">
        <v>294.35000000000002</v>
      </c>
      <c r="E1030">
        <f t="shared" si="329"/>
        <v>-6.8617921765270224E-3</v>
      </c>
      <c r="F1030" s="4">
        <f t="shared" si="330"/>
        <v>1.3532125886646948E-2</v>
      </c>
      <c r="G1030">
        <f t="shared" ca="1" si="331"/>
        <v>-1.3644808225724517E-3</v>
      </c>
      <c r="H1030">
        <f t="shared" ca="1" si="332"/>
        <v>3.1811910367044532E-2</v>
      </c>
      <c r="I1030">
        <f t="shared" ca="1" si="333"/>
        <v>-0.72127828491852297</v>
      </c>
      <c r="J1030">
        <f t="shared" ca="1" si="334"/>
        <v>2.8573381935037476</v>
      </c>
      <c r="K1030">
        <f t="shared" ca="1" si="335"/>
        <v>0.86730996346667988</v>
      </c>
      <c r="L1030">
        <f t="shared" ca="1" si="336"/>
        <v>1.2615857025725539</v>
      </c>
      <c r="M1030">
        <f t="shared" ca="1" si="337"/>
        <v>7.6333398946459472E-4</v>
      </c>
      <c r="N1030">
        <f t="shared" ca="1" si="338"/>
        <v>9.7366957541915027E-3</v>
      </c>
      <c r="O1030">
        <f t="shared" ca="1" si="339"/>
        <v>9.1066888077853916E-2</v>
      </c>
      <c r="P1030">
        <f t="shared" ca="1" si="340"/>
        <v>4.4838110787703114</v>
      </c>
      <c r="Q1030">
        <f t="shared" ca="1" si="341"/>
        <v>0.81729419721137853</v>
      </c>
      <c r="R1030">
        <f t="shared" ca="1" si="342"/>
        <v>2.0660624704002331</v>
      </c>
      <c r="T1030">
        <f t="shared" si="343"/>
        <v>0.99313820782347295</v>
      </c>
      <c r="U1030" s="6">
        <f t="shared" ca="1" si="344"/>
        <v>0.95581092801387679</v>
      </c>
      <c r="V1030">
        <f t="shared" ca="1" si="345"/>
        <v>2.0323631767779364</v>
      </c>
      <c r="X1030" t="b">
        <f t="shared" ca="1" si="346"/>
        <v>1</v>
      </c>
      <c r="BJ1030" t="b">
        <f t="shared" si="327"/>
        <v>1</v>
      </c>
      <c r="BK1030" t="b">
        <f t="shared" ca="1" si="328"/>
        <v>1</v>
      </c>
    </row>
    <row r="1031" spans="1:63" x14ac:dyDescent="0.45">
      <c r="A1031" s="1">
        <v>43741</v>
      </c>
      <c r="B1031">
        <v>15.535299999999999</v>
      </c>
      <c r="C1031" s="1">
        <v>43741</v>
      </c>
      <c r="D1031">
        <v>290.42</v>
      </c>
      <c r="E1031">
        <f t="shared" si="329"/>
        <v>-4.1545589714165901E-2</v>
      </c>
      <c r="F1031" s="4">
        <f t="shared" si="330"/>
        <v>8.1927376241061368E-3</v>
      </c>
      <c r="G1031">
        <f t="shared" ca="1" si="331"/>
        <v>-1.4936168418861323E-3</v>
      </c>
      <c r="H1031">
        <f t="shared" ca="1" si="332"/>
        <v>3.1886671196450271E-2</v>
      </c>
      <c r="I1031">
        <f t="shared" ca="1" si="333"/>
        <v>-0.70873068751806412</v>
      </c>
      <c r="J1031">
        <f t="shared" ca="1" si="334"/>
        <v>2.7951746124630255</v>
      </c>
      <c r="K1031">
        <f t="shared" ca="1" si="335"/>
        <v>0.86730996346667988</v>
      </c>
      <c r="L1031">
        <f t="shared" ca="1" si="336"/>
        <v>1.2039253261144656</v>
      </c>
      <c r="M1031">
        <f t="shared" ca="1" si="337"/>
        <v>6.9019090389100895E-4</v>
      </c>
      <c r="N1031">
        <f t="shared" ca="1" si="338"/>
        <v>9.6951504529757294E-3</v>
      </c>
      <c r="O1031">
        <f t="shared" ca="1" si="339"/>
        <v>0.10347301502359503</v>
      </c>
      <c r="P1031">
        <f t="shared" ca="1" si="340"/>
        <v>4.6009638321127593</v>
      </c>
      <c r="Q1031">
        <f t="shared" ca="1" si="341"/>
        <v>0.7903464516497265</v>
      </c>
      <c r="R1031">
        <f t="shared" ca="1" si="342"/>
        <v>2.03498056609495</v>
      </c>
      <c r="T1031">
        <f t="shared" si="343"/>
        <v>0.95845441028583411</v>
      </c>
      <c r="U1031" s="6">
        <f t="shared" ca="1" si="344"/>
        <v>0.96070671028465071</v>
      </c>
      <c r="V1031">
        <f t="shared" ca="1" si="345"/>
        <v>2.0339276342370329</v>
      </c>
      <c r="X1031" t="b">
        <f t="shared" ca="1" si="346"/>
        <v>1</v>
      </c>
      <c r="BJ1031" t="b">
        <f t="shared" si="327"/>
        <v>1</v>
      </c>
      <c r="BK1031" t="b">
        <f t="shared" ca="1" si="328"/>
        <v>1</v>
      </c>
    </row>
    <row r="1032" spans="1:63" x14ac:dyDescent="0.45">
      <c r="A1032" s="1">
        <v>43740</v>
      </c>
      <c r="B1032">
        <v>16.2087</v>
      </c>
      <c r="C1032" s="1">
        <v>43740</v>
      </c>
      <c r="D1032">
        <v>288.06</v>
      </c>
      <c r="E1032">
        <f t="shared" si="329"/>
        <v>-6.375400761369927E-3</v>
      </c>
      <c r="F1032" s="4">
        <f t="shared" si="330"/>
        <v>-1.7664711499113375E-2</v>
      </c>
      <c r="G1032">
        <f t="shared" ca="1" si="331"/>
        <v>-1.522284895070789E-3</v>
      </c>
      <c r="H1032">
        <f t="shared" ca="1" si="332"/>
        <v>3.1925415196080088E-2</v>
      </c>
      <c r="I1032">
        <f t="shared" ca="1" si="333"/>
        <v>-0.70838224115373494</v>
      </c>
      <c r="J1032">
        <f t="shared" ca="1" si="334"/>
        <v>2.7733508076023066</v>
      </c>
      <c r="K1032">
        <f t="shared" ca="1" si="335"/>
        <v>0.86730996346667988</v>
      </c>
      <c r="L1032">
        <f t="shared" ca="1" si="336"/>
        <v>1.2039253261144656</v>
      </c>
      <c r="M1032">
        <f t="shared" ca="1" si="337"/>
        <v>5.5113530499380497E-4</v>
      </c>
      <c r="N1032">
        <f t="shared" ca="1" si="338"/>
        <v>9.7860209907265593E-3</v>
      </c>
      <c r="O1032">
        <f t="shared" ca="1" si="339"/>
        <v>9.6026190073143433E-2</v>
      </c>
      <c r="P1032">
        <f t="shared" ca="1" si="340"/>
        <v>4.4194623824647392</v>
      </c>
      <c r="Q1032">
        <f t="shared" ca="1" si="341"/>
        <v>0.76916323249171215</v>
      </c>
      <c r="R1032">
        <f t="shared" ca="1" si="342"/>
        <v>1.9524509661144016</v>
      </c>
      <c r="T1032">
        <f t="shared" si="343"/>
        <v>0.99362459923863011</v>
      </c>
      <c r="U1032" s="6">
        <f t="shared" ca="1" si="344"/>
        <v>1.0630956206916908</v>
      </c>
      <c r="V1032">
        <f t="shared" ca="1" si="345"/>
        <v>2.0466511457185335</v>
      </c>
      <c r="X1032" t="b">
        <f t="shared" ca="1" si="346"/>
        <v>0</v>
      </c>
      <c r="BJ1032" t="b">
        <f t="shared" si="327"/>
        <v>1</v>
      </c>
      <c r="BK1032" t="b">
        <f t="shared" ca="1" si="328"/>
        <v>0</v>
      </c>
    </row>
    <row r="1033" spans="1:63" x14ac:dyDescent="0.45">
      <c r="A1033" s="1">
        <v>43739</v>
      </c>
      <c r="B1033">
        <v>16.3127</v>
      </c>
      <c r="C1033" s="1">
        <v>43739</v>
      </c>
      <c r="D1033">
        <v>293.24</v>
      </c>
      <c r="E1033">
        <f t="shared" si="329"/>
        <v>1.5861252958027133E-2</v>
      </c>
      <c r="F1033" s="4">
        <f t="shared" si="330"/>
        <v>-1.1894733295144297E-2</v>
      </c>
      <c r="G1033">
        <f t="shared" ca="1" si="331"/>
        <v>-1.637426319325231E-3</v>
      </c>
      <c r="H1033">
        <f t="shared" ca="1" si="332"/>
        <v>3.1984478271978554E-2</v>
      </c>
      <c r="I1033">
        <f t="shared" ca="1" si="333"/>
        <v>-0.69690084654637929</v>
      </c>
      <c r="J1033">
        <f t="shared" ca="1" si="334"/>
        <v>2.7231557471163121</v>
      </c>
      <c r="K1033">
        <f t="shared" ca="1" si="335"/>
        <v>0.86730996346667988</v>
      </c>
      <c r="L1033">
        <f t="shared" ca="1" si="336"/>
        <v>1.1297040734593145</v>
      </c>
      <c r="M1033">
        <f t="shared" ca="1" si="337"/>
        <v>5.4713493740364322E-4</v>
      </c>
      <c r="N1033">
        <f t="shared" ca="1" si="338"/>
        <v>9.7936652969213799E-3</v>
      </c>
      <c r="O1033">
        <f t="shared" ca="1" si="339"/>
        <v>9.2543955428037644E-2</v>
      </c>
      <c r="P1033">
        <f t="shared" ca="1" si="340"/>
        <v>4.4079633152358584</v>
      </c>
      <c r="Q1033">
        <f t="shared" ca="1" si="341"/>
        <v>0.7673304068357949</v>
      </c>
      <c r="R1033">
        <f t="shared" ca="1" si="342"/>
        <v>1.9524509661144016</v>
      </c>
      <c r="T1033">
        <f t="shared" si="343"/>
        <v>1.0158612529580271</v>
      </c>
      <c r="U1033" s="6">
        <f t="shared" ca="1" si="344"/>
        <v>1.0962320320952643</v>
      </c>
      <c r="V1033">
        <f t="shared" ca="1" si="345"/>
        <v>2.059536357962378</v>
      </c>
      <c r="X1033" t="b">
        <f t="shared" ca="1" si="346"/>
        <v>0</v>
      </c>
      <c r="BJ1033" t="b">
        <f t="shared" si="327"/>
        <v>1</v>
      </c>
      <c r="BK1033" t="b">
        <f t="shared" ca="1" si="328"/>
        <v>0</v>
      </c>
    </row>
    <row r="1034" spans="1:63" x14ac:dyDescent="0.45">
      <c r="A1034" s="1">
        <v>43738</v>
      </c>
      <c r="B1034">
        <v>16.058</v>
      </c>
      <c r="C1034" s="1">
        <v>43738</v>
      </c>
      <c r="D1034">
        <v>296.77</v>
      </c>
      <c r="E1034">
        <f t="shared" si="329"/>
        <v>-5.2038161318299862E-3</v>
      </c>
      <c r="F1034" s="4">
        <f t="shared" si="330"/>
        <v>4.637779282329061E-3</v>
      </c>
      <c r="G1034">
        <f t="shared" ca="1" si="331"/>
        <v>-1.5777595890253504E-3</v>
      </c>
      <c r="H1034">
        <f t="shared" ca="1" si="332"/>
        <v>3.2028386556026342E-2</v>
      </c>
      <c r="I1034">
        <f t="shared" ca="1" si="333"/>
        <v>-0.69657281652173275</v>
      </c>
      <c r="J1034">
        <f t="shared" ca="1" si="334"/>
        <v>2.7000920741687073</v>
      </c>
      <c r="K1034">
        <f t="shared" ca="1" si="335"/>
        <v>0.86730996346667988</v>
      </c>
      <c r="L1034">
        <f t="shared" ca="1" si="336"/>
        <v>1.1391815484652039</v>
      </c>
      <c r="M1034">
        <f t="shared" ca="1" si="337"/>
        <v>6.0491343323218667E-4</v>
      </c>
      <c r="N1034">
        <f t="shared" ca="1" si="338"/>
        <v>9.7539008172144274E-3</v>
      </c>
      <c r="O1034">
        <f t="shared" ca="1" si="339"/>
        <v>8.6260984063936702E-2</v>
      </c>
      <c r="P1034">
        <f t="shared" ca="1" si="340"/>
        <v>4.5142442490785415</v>
      </c>
      <c r="Q1034">
        <f t="shared" ca="1" si="341"/>
        <v>0.7673304068357949</v>
      </c>
      <c r="R1034">
        <f t="shared" ca="1" si="342"/>
        <v>2.0192996740832245</v>
      </c>
      <c r="T1034">
        <f t="shared" si="343"/>
        <v>0.99479618386817004</v>
      </c>
      <c r="U1034" s="6">
        <f t="shared" ca="1" si="344"/>
        <v>0.99850764830244998</v>
      </c>
      <c r="V1034">
        <f t="shared" ca="1" si="345"/>
        <v>2.0358032352642721</v>
      </c>
      <c r="X1034" t="b">
        <f t="shared" ca="1" si="346"/>
        <v>1</v>
      </c>
      <c r="BJ1034" t="b">
        <f t="shared" si="327"/>
        <v>1</v>
      </c>
      <c r="BK1034" t="b">
        <f t="shared" ca="1" si="328"/>
        <v>1</v>
      </c>
    </row>
    <row r="1035" spans="1:63" x14ac:dyDescent="0.45">
      <c r="A1035" s="1">
        <v>43735</v>
      </c>
      <c r="B1035">
        <v>16.141999999999999</v>
      </c>
      <c r="C1035" s="1">
        <v>43735</v>
      </c>
      <c r="D1035">
        <v>295.39999999999998</v>
      </c>
      <c r="E1035">
        <f t="shared" si="329"/>
        <v>-1.7748149430760953E-3</v>
      </c>
      <c r="F1035" s="4">
        <f t="shared" si="330"/>
        <v>-5.3872053872054638E-3</v>
      </c>
      <c r="G1035">
        <f t="shared" ca="1" si="331"/>
        <v>-1.5539285847811907E-3</v>
      </c>
      <c r="H1035">
        <f t="shared" ca="1" si="332"/>
        <v>3.2027448152001668E-2</v>
      </c>
      <c r="I1035">
        <f t="shared" ca="1" si="333"/>
        <v>-0.69888124202352442</v>
      </c>
      <c r="J1035">
        <f t="shared" ca="1" si="334"/>
        <v>2.702883582979152</v>
      </c>
      <c r="K1035">
        <f t="shared" ca="1" si="335"/>
        <v>0.86730996346667988</v>
      </c>
      <c r="L1035">
        <f t="shared" ca="1" si="336"/>
        <v>1.1391815484652039</v>
      </c>
      <c r="M1035">
        <f t="shared" ca="1" si="337"/>
        <v>6.0690153299666641E-4</v>
      </c>
      <c r="N1035">
        <f t="shared" ca="1" si="338"/>
        <v>9.7547674354532144E-3</v>
      </c>
      <c r="O1035">
        <f t="shared" ca="1" si="339"/>
        <v>8.5737290295164387E-2</v>
      </c>
      <c r="P1035">
        <f t="shared" ca="1" si="340"/>
        <v>4.5115555838301766</v>
      </c>
      <c r="Q1035">
        <f t="shared" ca="1" si="341"/>
        <v>0.7673304068357949</v>
      </c>
      <c r="R1035">
        <f t="shared" ca="1" si="342"/>
        <v>2.0192996740832245</v>
      </c>
      <c r="T1035">
        <f t="shared" si="343"/>
        <v>0.99822518505692392</v>
      </c>
      <c r="U1035" s="6">
        <f t="shared" ca="1" si="344"/>
        <v>1.0062775460841702</v>
      </c>
      <c r="V1035">
        <f t="shared" ca="1" si="345"/>
        <v>1.9721832645025397</v>
      </c>
      <c r="X1035" t="b">
        <f t="shared" ca="1" si="346"/>
        <v>0</v>
      </c>
      <c r="BJ1035" t="b">
        <f t="shared" si="327"/>
        <v>1</v>
      </c>
      <c r="BK1035" t="b">
        <f t="shared" ca="1" si="328"/>
        <v>0</v>
      </c>
    </row>
    <row r="1036" spans="1:63" x14ac:dyDescent="0.45">
      <c r="A1036" s="1">
        <v>43734</v>
      </c>
      <c r="B1036">
        <v>16.1707</v>
      </c>
      <c r="C1036" s="1">
        <v>43734</v>
      </c>
      <c r="D1036">
        <v>297</v>
      </c>
      <c r="E1036">
        <f t="shared" si="329"/>
        <v>6.0603278086405546E-2</v>
      </c>
      <c r="F1036" s="4">
        <f t="shared" si="330"/>
        <v>-2.0831933337813473E-3</v>
      </c>
      <c r="G1036">
        <f t="shared" ca="1" si="331"/>
        <v>-1.5229950522273081E-3</v>
      </c>
      <c r="H1036">
        <f t="shared" ca="1" si="332"/>
        <v>3.2030221316038193E-2</v>
      </c>
      <c r="I1036">
        <f t="shared" ca="1" si="333"/>
        <v>-0.70159348068730576</v>
      </c>
      <c r="J1036">
        <f t="shared" ca="1" si="334"/>
        <v>2.7036587619602512</v>
      </c>
      <c r="K1036">
        <f t="shared" ca="1" si="335"/>
        <v>0.86730996346667988</v>
      </c>
      <c r="L1036">
        <f t="shared" ca="1" si="336"/>
        <v>1.1391815484652039</v>
      </c>
      <c r="M1036">
        <f t="shared" ca="1" si="337"/>
        <v>6.3497362234038901E-4</v>
      </c>
      <c r="N1036">
        <f t="shared" ca="1" si="338"/>
        <v>9.7455051599760582E-3</v>
      </c>
      <c r="O1036">
        <f t="shared" ca="1" si="339"/>
        <v>7.8433878571564655E-2</v>
      </c>
      <c r="P1036">
        <f t="shared" ca="1" si="340"/>
        <v>4.5386123812402888</v>
      </c>
      <c r="Q1036">
        <f t="shared" ca="1" si="341"/>
        <v>0.7673304068357949</v>
      </c>
      <c r="R1036">
        <f t="shared" ca="1" si="342"/>
        <v>2.044955844488717</v>
      </c>
      <c r="T1036">
        <f t="shared" si="343"/>
        <v>1.0606032780864056</v>
      </c>
      <c r="U1036" s="6">
        <f t="shared" ca="1" si="344"/>
        <v>0.98361922141119207</v>
      </c>
      <c r="V1036">
        <f t="shared" ca="1" si="345"/>
        <v>1.9509840548046471</v>
      </c>
      <c r="X1036" t="b">
        <f t="shared" ca="1" si="346"/>
        <v>1</v>
      </c>
      <c r="BJ1036" t="b">
        <f t="shared" si="327"/>
        <v>1</v>
      </c>
      <c r="BK1036" t="b">
        <f t="shared" ca="1" si="328"/>
        <v>1</v>
      </c>
    </row>
    <row r="1037" spans="1:63" x14ac:dyDescent="0.45">
      <c r="A1037" s="1">
        <v>43733</v>
      </c>
      <c r="B1037">
        <v>15.246700000000001</v>
      </c>
      <c r="C1037" s="1">
        <v>43733</v>
      </c>
      <c r="D1037">
        <v>297.62</v>
      </c>
      <c r="E1037">
        <f t="shared" si="329"/>
        <v>2.4595617141666821E-2</v>
      </c>
      <c r="F1037" s="4">
        <f t="shared" si="330"/>
        <v>5.9147598607496533E-3</v>
      </c>
      <c r="G1037">
        <f t="shared" ca="1" si="331"/>
        <v>-1.7256523288365967E-3</v>
      </c>
      <c r="H1037">
        <f t="shared" ca="1" si="332"/>
        <v>3.1762270907051596E-2</v>
      </c>
      <c r="I1037">
        <f t="shared" ca="1" si="333"/>
        <v>-0.73655391167015394</v>
      </c>
      <c r="J1037">
        <f t="shared" ca="1" si="334"/>
        <v>2.8060091792865673</v>
      </c>
      <c r="K1037">
        <f t="shared" ca="1" si="335"/>
        <v>0.8429657458777412</v>
      </c>
      <c r="L1037">
        <f t="shared" ca="1" si="336"/>
        <v>1.1391815484652039</v>
      </c>
      <c r="M1037">
        <f t="shared" ca="1" si="337"/>
        <v>6.5487473527025099E-4</v>
      </c>
      <c r="N1037">
        <f t="shared" ca="1" si="338"/>
        <v>9.7439904004151638E-3</v>
      </c>
      <c r="O1037">
        <f t="shared" ca="1" si="339"/>
        <v>7.2402583575029822E-2</v>
      </c>
      <c r="P1037">
        <f t="shared" ca="1" si="340"/>
        <v>4.5426704117833943</v>
      </c>
      <c r="Q1037">
        <f t="shared" ca="1" si="341"/>
        <v>0.7673304068357949</v>
      </c>
      <c r="R1037">
        <f t="shared" ca="1" si="342"/>
        <v>2.044955844488717</v>
      </c>
      <c r="T1037">
        <f t="shared" si="343"/>
        <v>1.0245956171416668</v>
      </c>
      <c r="U1037" s="6">
        <f t="shared" ca="1" si="344"/>
        <v>0.93925841049240133</v>
      </c>
      <c r="V1037">
        <f t="shared" ca="1" si="345"/>
        <v>1.9509318551649732</v>
      </c>
      <c r="X1037" t="b">
        <f t="shared" ca="1" si="346"/>
        <v>1</v>
      </c>
      <c r="BJ1037" t="b">
        <f t="shared" si="327"/>
        <v>1</v>
      </c>
      <c r="BK1037" t="b">
        <f t="shared" ca="1" si="328"/>
        <v>1</v>
      </c>
    </row>
    <row r="1038" spans="1:63" x14ac:dyDescent="0.45">
      <c r="A1038" s="1">
        <v>43732</v>
      </c>
      <c r="B1038">
        <v>14.880699999999999</v>
      </c>
      <c r="C1038" s="1">
        <v>43732</v>
      </c>
      <c r="D1038">
        <v>295.87</v>
      </c>
      <c r="E1038">
        <f t="shared" si="329"/>
        <v>-7.4698420594453516E-2</v>
      </c>
      <c r="F1038" s="4">
        <f t="shared" si="330"/>
        <v>-7.8468193554876598E-3</v>
      </c>
      <c r="G1038">
        <f t="shared" ca="1" si="331"/>
        <v>-1.9188047658918155E-3</v>
      </c>
      <c r="H1038">
        <f t="shared" ca="1" si="332"/>
        <v>3.1718831876663987E-2</v>
      </c>
      <c r="I1038">
        <f t="shared" ca="1" si="333"/>
        <v>-0.72432808504339352</v>
      </c>
      <c r="J1038">
        <f t="shared" ca="1" si="334"/>
        <v>2.8175619984776787</v>
      </c>
      <c r="K1038">
        <f t="shared" ca="1" si="335"/>
        <v>0.8429657458777412</v>
      </c>
      <c r="L1038">
        <f t="shared" ca="1" si="336"/>
        <v>1.1297040734593145</v>
      </c>
      <c r="M1038">
        <f t="shared" ca="1" si="337"/>
        <v>5.0912097747258069E-4</v>
      </c>
      <c r="N1038">
        <f t="shared" ca="1" si="338"/>
        <v>9.8819623281670814E-3</v>
      </c>
      <c r="O1038">
        <f t="shared" ca="1" si="339"/>
        <v>4.1619067356461183E-2</v>
      </c>
      <c r="P1038">
        <f t="shared" ca="1" si="340"/>
        <v>4.3053372480731591</v>
      </c>
      <c r="Q1038">
        <f t="shared" ca="1" si="341"/>
        <v>0.69617321949401423</v>
      </c>
      <c r="R1038">
        <f t="shared" ca="1" si="342"/>
        <v>2.0192996740832245</v>
      </c>
      <c r="T1038">
        <f t="shared" si="343"/>
        <v>0.92530157940554647</v>
      </c>
      <c r="U1038" s="6">
        <f t="shared" ca="1" si="344"/>
        <v>0.91184670911129795</v>
      </c>
      <c r="V1038">
        <f t="shared" ca="1" si="345"/>
        <v>1.939899834060232</v>
      </c>
      <c r="X1038" t="b">
        <f t="shared" ca="1" si="346"/>
        <v>1</v>
      </c>
      <c r="BJ1038" t="b">
        <f t="shared" si="327"/>
        <v>1</v>
      </c>
      <c r="BK1038" t="b">
        <f t="shared" ca="1" si="328"/>
        <v>1</v>
      </c>
    </row>
    <row r="1039" spans="1:63" x14ac:dyDescent="0.45">
      <c r="A1039" s="1">
        <v>43731</v>
      </c>
      <c r="B1039">
        <v>16.082000000000001</v>
      </c>
      <c r="C1039" s="1">
        <v>43731</v>
      </c>
      <c r="D1039">
        <v>298.20999999999998</v>
      </c>
      <c r="E1039">
        <f t="shared" si="329"/>
        <v>2.5372008503052163E-3</v>
      </c>
      <c r="F1039" s="4">
        <f t="shared" si="330"/>
        <v>-2.3467882526482896E-4</v>
      </c>
      <c r="G1039">
        <f t="shared" ca="1" si="331"/>
        <v>-1.4986070749295568E-3</v>
      </c>
      <c r="H1039">
        <f t="shared" ca="1" si="332"/>
        <v>3.1303777846086081E-2</v>
      </c>
      <c r="I1039">
        <f t="shared" ca="1" si="333"/>
        <v>-0.73017613283921334</v>
      </c>
      <c r="J1039">
        <f t="shared" ca="1" si="334"/>
        <v>3.0224213831665336</v>
      </c>
      <c r="K1039">
        <f t="shared" ca="1" si="335"/>
        <v>0.8581136049179463</v>
      </c>
      <c r="L1039">
        <f t="shared" ca="1" si="336"/>
        <v>1.2039253261144656</v>
      </c>
      <c r="M1039">
        <f t="shared" ca="1" si="337"/>
        <v>5.4076950533234972E-4</v>
      </c>
      <c r="N1039">
        <f t="shared" ca="1" si="338"/>
        <v>9.8651883446995922E-3</v>
      </c>
      <c r="O1039">
        <f t="shared" ca="1" si="339"/>
        <v>3.5150668187422532E-2</v>
      </c>
      <c r="P1039">
        <f t="shared" ca="1" si="340"/>
        <v>4.3522815229232057</v>
      </c>
      <c r="Q1039">
        <f t="shared" ca="1" si="341"/>
        <v>0.69617321949401423</v>
      </c>
      <c r="R1039">
        <f t="shared" ca="1" si="342"/>
        <v>2.044955844488717</v>
      </c>
      <c r="T1039">
        <f t="shared" si="343"/>
        <v>1.0025372008503053</v>
      </c>
      <c r="U1039" s="6">
        <f t="shared" ca="1" si="344"/>
        <v>0.99349490032309307</v>
      </c>
      <c r="V1039">
        <f t="shared" ca="1" si="345"/>
        <v>1.9048396363494686</v>
      </c>
      <c r="X1039" t="b">
        <f t="shared" ca="1" si="346"/>
        <v>1</v>
      </c>
      <c r="BJ1039" t="b">
        <f t="shared" si="327"/>
        <v>1</v>
      </c>
      <c r="BK1039" t="b">
        <f t="shared" ca="1" si="328"/>
        <v>1</v>
      </c>
    </row>
    <row r="1040" spans="1:63" x14ac:dyDescent="0.45">
      <c r="A1040" s="1">
        <v>43728</v>
      </c>
      <c r="B1040">
        <v>16.0413</v>
      </c>
      <c r="C1040" s="1">
        <v>43728</v>
      </c>
      <c r="D1040">
        <v>298.27999999999997</v>
      </c>
      <c r="E1040">
        <f t="shared" si="329"/>
        <v>-2.4251824817518343E-2</v>
      </c>
      <c r="F1040" s="4">
        <f t="shared" si="330"/>
        <v>-9.2998538594393897E-3</v>
      </c>
      <c r="G1040">
        <f t="shared" ca="1" si="331"/>
        <v>-1.4944097395016779E-3</v>
      </c>
      <c r="H1040">
        <f t="shared" ca="1" si="332"/>
        <v>3.1304377976392565E-2</v>
      </c>
      <c r="I1040">
        <f t="shared" ca="1" si="333"/>
        <v>-0.73053215007542616</v>
      </c>
      <c r="J1040">
        <f t="shared" ca="1" si="334"/>
        <v>3.022357331860146</v>
      </c>
      <c r="K1040">
        <f t="shared" ca="1" si="335"/>
        <v>0.8581136049179463</v>
      </c>
      <c r="L1040">
        <f t="shared" ca="1" si="336"/>
        <v>1.2039253261144656</v>
      </c>
      <c r="M1040">
        <f t="shared" ca="1" si="337"/>
        <v>3.7993072616830464E-4</v>
      </c>
      <c r="N1040">
        <f t="shared" ca="1" si="338"/>
        <v>1.013639292192554E-2</v>
      </c>
      <c r="O1040">
        <f t="shared" ca="1" si="339"/>
        <v>-9.3750850330628618E-2</v>
      </c>
      <c r="P1040">
        <f t="shared" ca="1" si="340"/>
        <v>4.1619030924793226</v>
      </c>
      <c r="Q1040">
        <f t="shared" ca="1" si="341"/>
        <v>0.66867139020261623</v>
      </c>
      <c r="R1040">
        <f t="shared" ca="1" si="342"/>
        <v>2.0192996740832245</v>
      </c>
      <c r="T1040">
        <f t="shared" si="343"/>
        <v>0.97574817518248169</v>
      </c>
      <c r="U1040" s="6">
        <f t="shared" ca="1" si="344"/>
        <v>0.98131733010332367</v>
      </c>
      <c r="V1040">
        <f t="shared" ca="1" si="345"/>
        <v>1.9013764995689657</v>
      </c>
      <c r="X1040" t="b">
        <f t="shared" ca="1" si="346"/>
        <v>1</v>
      </c>
      <c r="BJ1040" t="b">
        <f t="shared" si="327"/>
        <v>1</v>
      </c>
      <c r="BK1040" t="b">
        <f t="shared" ca="1" si="328"/>
        <v>1</v>
      </c>
    </row>
    <row r="1041" spans="1:63" x14ac:dyDescent="0.45">
      <c r="A1041" s="1">
        <v>43727</v>
      </c>
      <c r="B1041">
        <v>16.440000000000001</v>
      </c>
      <c r="C1041" s="1">
        <v>43727</v>
      </c>
      <c r="D1041">
        <v>301.08</v>
      </c>
      <c r="E1041">
        <f t="shared" si="329"/>
        <v>1.2770518767672661E-2</v>
      </c>
      <c r="F1041" s="4">
        <f t="shared" si="330"/>
        <v>-6.6423115244233316E-5</v>
      </c>
      <c r="G1041">
        <f t="shared" ca="1" si="331"/>
        <v>-1.2588785966512197E-3</v>
      </c>
      <c r="H1041">
        <f t="shared" ca="1" si="332"/>
        <v>3.1309503896189035E-2</v>
      </c>
      <c r="I1041">
        <f t="shared" ca="1" si="333"/>
        <v>-0.74863328229392467</v>
      </c>
      <c r="J1041">
        <f t="shared" ca="1" si="334"/>
        <v>3.0414675856858073</v>
      </c>
      <c r="K1041">
        <f t="shared" ca="1" si="335"/>
        <v>0.8581136049179463</v>
      </c>
      <c r="L1041">
        <f t="shared" ca="1" si="336"/>
        <v>1.2569689639757271</v>
      </c>
      <c r="M1041">
        <f t="shared" ca="1" si="337"/>
        <v>4.9263714220956192E-4</v>
      </c>
      <c r="N1041">
        <f t="shared" ca="1" si="338"/>
        <v>1.0153526308261197E-2</v>
      </c>
      <c r="O1041">
        <f t="shared" ca="1" si="339"/>
        <v>-0.11220087745461746</v>
      </c>
      <c r="P1041">
        <f t="shared" ca="1" si="340"/>
        <v>4.1267527680881608</v>
      </c>
      <c r="Q1041">
        <f t="shared" ca="1" si="341"/>
        <v>0.6875121707042684</v>
      </c>
      <c r="R1041">
        <f t="shared" ca="1" si="342"/>
        <v>2.0608359697508249</v>
      </c>
      <c r="T1041">
        <f t="shared" si="343"/>
        <v>1.0127705187676728</v>
      </c>
      <c r="U1041" s="6">
        <f t="shared" ca="1" si="344"/>
        <v>1.0029710883212437</v>
      </c>
      <c r="V1041">
        <f t="shared" ca="1" si="345"/>
        <v>1.8412011876419512</v>
      </c>
      <c r="X1041" t="b">
        <f t="shared" ca="1" si="346"/>
        <v>0</v>
      </c>
      <c r="BJ1041" t="b">
        <f t="shared" si="327"/>
        <v>1</v>
      </c>
      <c r="BK1041" t="b">
        <f t="shared" ca="1" si="328"/>
        <v>0</v>
      </c>
    </row>
    <row r="1042" spans="1:63" x14ac:dyDescent="0.45">
      <c r="A1042" s="1">
        <v>43726</v>
      </c>
      <c r="B1042">
        <v>16.232700000000001</v>
      </c>
      <c r="C1042" s="1">
        <v>43726</v>
      </c>
      <c r="D1042">
        <v>301.10000000000002</v>
      </c>
      <c r="E1042">
        <f t="shared" si="329"/>
        <v>-5.3066001605459262E-3</v>
      </c>
      <c r="F1042" s="4">
        <f t="shared" si="330"/>
        <v>5.9816562541541542E-4</v>
      </c>
      <c r="G1042">
        <f t="shared" ca="1" si="331"/>
        <v>-1.1863038030103022E-3</v>
      </c>
      <c r="H1042">
        <f t="shared" ca="1" si="332"/>
        <v>3.1358970782985947E-2</v>
      </c>
      <c r="I1042">
        <f t="shared" ca="1" si="333"/>
        <v>-0.74873558577071375</v>
      </c>
      <c r="J1042">
        <f t="shared" ca="1" si="334"/>
        <v>3.0135361247928918</v>
      </c>
      <c r="K1042">
        <f t="shared" ca="1" si="335"/>
        <v>0.8581136049179463</v>
      </c>
      <c r="L1042">
        <f t="shared" ca="1" si="336"/>
        <v>1.2877278063949562</v>
      </c>
      <c r="M1042">
        <f t="shared" ca="1" si="337"/>
        <v>5.2344593491549982E-4</v>
      </c>
      <c r="N1042">
        <f t="shared" ca="1" si="338"/>
        <v>1.0161166851584797E-2</v>
      </c>
      <c r="O1042">
        <f t="shared" ca="1" si="339"/>
        <v>-0.12028417754885104</v>
      </c>
      <c r="P1042">
        <f t="shared" ca="1" si="340"/>
        <v>4.1071142410784516</v>
      </c>
      <c r="Q1042">
        <f t="shared" ca="1" si="341"/>
        <v>0.6875121707042684</v>
      </c>
      <c r="R1042">
        <f t="shared" ca="1" si="342"/>
        <v>2.0608359697508249</v>
      </c>
      <c r="T1042">
        <f t="shared" si="343"/>
        <v>0.99469339983945404</v>
      </c>
      <c r="U1042" s="6">
        <f t="shared" ca="1" si="344"/>
        <v>0.98539454754056588</v>
      </c>
      <c r="V1042">
        <f t="shared" ca="1" si="345"/>
        <v>1.8256155437685964</v>
      </c>
      <c r="X1042" t="b">
        <f t="shared" ca="1" si="346"/>
        <v>1</v>
      </c>
      <c r="BJ1042" t="b">
        <f t="shared" si="327"/>
        <v>1</v>
      </c>
      <c r="BK1042" t="b">
        <f t="shared" ca="1" si="328"/>
        <v>1</v>
      </c>
    </row>
    <row r="1043" spans="1:63" x14ac:dyDescent="0.45">
      <c r="A1043" s="1">
        <v>43725</v>
      </c>
      <c r="B1043">
        <v>16.319299999999998</v>
      </c>
      <c r="C1043" s="1">
        <v>43725</v>
      </c>
      <c r="D1043">
        <v>300.92</v>
      </c>
      <c r="E1043">
        <f t="shared" si="329"/>
        <v>8.154540905524572E-3</v>
      </c>
      <c r="F1043" s="4">
        <f t="shared" si="330"/>
        <v>2.5319829424306733E-3</v>
      </c>
      <c r="G1043">
        <f t="shared" ca="1" si="331"/>
        <v>-1.2560569094978056E-3</v>
      </c>
      <c r="H1043">
        <f t="shared" ca="1" si="332"/>
        <v>3.1383687532846802E-2</v>
      </c>
      <c r="I1043">
        <f t="shared" ca="1" si="333"/>
        <v>-0.74119035567222635</v>
      </c>
      <c r="J1043">
        <f t="shared" ca="1" si="334"/>
        <v>2.9882842277252468</v>
      </c>
      <c r="K1043">
        <f t="shared" ca="1" si="335"/>
        <v>0.8581136049179463</v>
      </c>
      <c r="L1043">
        <f t="shared" ca="1" si="336"/>
        <v>1.2437334560218105</v>
      </c>
      <c r="M1043">
        <f t="shared" ca="1" si="337"/>
        <v>5.0952932923725431E-4</v>
      </c>
      <c r="N1043">
        <f t="shared" ca="1" si="338"/>
        <v>1.0162969842955852E-2</v>
      </c>
      <c r="O1043">
        <f t="shared" ca="1" si="339"/>
        <v>-0.11616673331778048</v>
      </c>
      <c r="P1043">
        <f t="shared" ca="1" si="340"/>
        <v>4.1014050102133179</v>
      </c>
      <c r="Q1043">
        <f t="shared" ca="1" si="341"/>
        <v>0.6875121707042684</v>
      </c>
      <c r="R1043">
        <f t="shared" ca="1" si="342"/>
        <v>2.0608359697508249</v>
      </c>
      <c r="T1043">
        <f t="shared" si="343"/>
        <v>1.0081545409055246</v>
      </c>
      <c r="U1043" s="6">
        <f t="shared" ca="1" si="344"/>
        <v>1.0392671324039815</v>
      </c>
      <c r="V1043">
        <f t="shared" ca="1" si="345"/>
        <v>1.833039073433762</v>
      </c>
      <c r="X1043" t="b">
        <f t="shared" ca="1" si="346"/>
        <v>0</v>
      </c>
      <c r="BJ1043" t="b">
        <f t="shared" si="327"/>
        <v>1</v>
      </c>
      <c r="BK1043" t="b">
        <f t="shared" ca="1" si="328"/>
        <v>0</v>
      </c>
    </row>
    <row r="1044" spans="1:63" x14ac:dyDescent="0.45">
      <c r="A1044" s="1">
        <v>43724</v>
      </c>
      <c r="B1044">
        <v>16.1873</v>
      </c>
      <c r="C1044" s="1">
        <v>43724</v>
      </c>
      <c r="D1044">
        <v>300.16000000000003</v>
      </c>
      <c r="E1044">
        <f t="shared" si="329"/>
        <v>-9.7512036068440732E-3</v>
      </c>
      <c r="F1044" s="4">
        <f t="shared" si="330"/>
        <v>-3.0887774419607098E-3</v>
      </c>
      <c r="G1044">
        <f t="shared" ca="1" si="331"/>
        <v>-1.239410737542526E-3</v>
      </c>
      <c r="H1044">
        <f t="shared" ca="1" si="332"/>
        <v>3.1389586448415552E-2</v>
      </c>
      <c r="I1044">
        <f t="shared" ca="1" si="333"/>
        <v>-0.742176990326743</v>
      </c>
      <c r="J1044">
        <f t="shared" ca="1" si="334"/>
        <v>2.9854529385913402</v>
      </c>
      <c r="K1044">
        <f t="shared" ca="1" si="335"/>
        <v>0.8581136049179463</v>
      </c>
      <c r="L1044">
        <f t="shared" ca="1" si="336"/>
        <v>1.2437334560218105</v>
      </c>
      <c r="M1044">
        <f t="shared" ca="1" si="337"/>
        <v>6.1199609112718779E-4</v>
      </c>
      <c r="N1044">
        <f t="shared" ca="1" si="338"/>
        <v>1.0286029106969099E-2</v>
      </c>
      <c r="O1044">
        <f t="shared" ca="1" si="339"/>
        <v>-8.9034602827016862E-2</v>
      </c>
      <c r="P1044">
        <f t="shared" ca="1" si="340"/>
        <v>3.8873705170274047</v>
      </c>
      <c r="Q1044">
        <f t="shared" ca="1" si="341"/>
        <v>0.69274442777061485</v>
      </c>
      <c r="R1044">
        <f t="shared" ca="1" si="342"/>
        <v>2.0923127845508791</v>
      </c>
      <c r="T1044">
        <f t="shared" si="343"/>
        <v>0.99024879639315588</v>
      </c>
      <c r="U1044" s="6">
        <f t="shared" ca="1" si="344"/>
        <v>1.0475386178467194</v>
      </c>
      <c r="V1044">
        <f t="shared" ca="1" si="345"/>
        <v>1.789421871010894</v>
      </c>
      <c r="X1044" t="b">
        <f t="shared" ca="1" si="346"/>
        <v>0</v>
      </c>
      <c r="BJ1044" t="b">
        <f t="shared" si="327"/>
        <v>1</v>
      </c>
      <c r="BK1044" t="b">
        <f t="shared" ca="1" si="328"/>
        <v>0</v>
      </c>
    </row>
    <row r="1045" spans="1:63" x14ac:dyDescent="0.45">
      <c r="A1045" s="1">
        <v>43721</v>
      </c>
      <c r="B1045">
        <v>16.346699999999998</v>
      </c>
      <c r="C1045" s="1">
        <v>43721</v>
      </c>
      <c r="D1045">
        <v>301.08999999999997</v>
      </c>
      <c r="E1045">
        <f t="shared" si="329"/>
        <v>-2.7209556289008582E-3</v>
      </c>
      <c r="F1045" s="4">
        <f t="shared" si="330"/>
        <v>-6.6381227388909506E-4</v>
      </c>
      <c r="G1045">
        <f t="shared" ca="1" si="331"/>
        <v>-1.2207197049635293E-3</v>
      </c>
      <c r="H1045">
        <f t="shared" ca="1" si="332"/>
        <v>3.138560531533547E-2</v>
      </c>
      <c r="I1045">
        <f t="shared" ca="1" si="333"/>
        <v>-0.74418069694552014</v>
      </c>
      <c r="J1045">
        <f t="shared" ca="1" si="334"/>
        <v>2.9902949398911955</v>
      </c>
      <c r="K1045">
        <f t="shared" ca="1" si="335"/>
        <v>0.8581136049179463</v>
      </c>
      <c r="L1045">
        <f t="shared" ca="1" si="336"/>
        <v>1.2437334560218105</v>
      </c>
      <c r="M1045">
        <f t="shared" ca="1" si="337"/>
        <v>6.4426240824353278E-4</v>
      </c>
      <c r="N1045">
        <f t="shared" ca="1" si="338"/>
        <v>1.0284483315404526E-2</v>
      </c>
      <c r="O1045">
        <f t="shared" ca="1" si="339"/>
        <v>-9.8248182213333979E-2</v>
      </c>
      <c r="P1045">
        <f t="shared" ca="1" si="340"/>
        <v>3.8926766212471735</v>
      </c>
      <c r="Q1045">
        <f t="shared" ca="1" si="341"/>
        <v>0.69274442777061485</v>
      </c>
      <c r="R1045">
        <f t="shared" ca="1" si="342"/>
        <v>2.1084957842941114</v>
      </c>
      <c r="T1045">
        <f t="shared" si="343"/>
        <v>0.99727904437109915</v>
      </c>
      <c r="U1045" s="6">
        <f t="shared" ca="1" si="344"/>
        <v>1.0780436976119974</v>
      </c>
      <c r="V1045">
        <f t="shared" ca="1" si="345"/>
        <v>1.7428380413817521</v>
      </c>
      <c r="X1045" t="b">
        <f t="shared" ca="1" si="346"/>
        <v>0</v>
      </c>
      <c r="BJ1045" t="b">
        <f t="shared" si="327"/>
        <v>1</v>
      </c>
      <c r="BK1045" t="b">
        <f t="shared" ca="1" si="328"/>
        <v>0</v>
      </c>
    </row>
    <row r="1046" spans="1:63" x14ac:dyDescent="0.45">
      <c r="A1046" s="1">
        <v>43720</v>
      </c>
      <c r="B1046">
        <v>16.391300000000001</v>
      </c>
      <c r="C1046" s="1">
        <v>43720</v>
      </c>
      <c r="D1046">
        <v>301.29000000000002</v>
      </c>
      <c r="E1046">
        <f t="shared" si="329"/>
        <v>-4.977751877280035E-3</v>
      </c>
      <c r="F1046" s="4">
        <f t="shared" si="330"/>
        <v>3.463780183180751E-3</v>
      </c>
      <c r="G1046">
        <f t="shared" ca="1" si="331"/>
        <v>-8.9759002119339229E-4</v>
      </c>
      <c r="H1046">
        <f t="shared" ca="1" si="332"/>
        <v>3.1701172942485749E-2</v>
      </c>
      <c r="I1046">
        <f t="shared" ca="1" si="333"/>
        <v>-0.71298800138463347</v>
      </c>
      <c r="J1046">
        <f t="shared" ca="1" si="334"/>
        <v>2.8639615043696578</v>
      </c>
      <c r="K1046">
        <f t="shared" ca="1" si="335"/>
        <v>0.88289528129840122</v>
      </c>
      <c r="L1046">
        <f t="shared" ca="1" si="336"/>
        <v>1.2653001836672795</v>
      </c>
      <c r="M1046">
        <f t="shared" ca="1" si="337"/>
        <v>7.2830321700139214E-4</v>
      </c>
      <c r="N1046">
        <f t="shared" ca="1" si="338"/>
        <v>1.0342253159878613E-2</v>
      </c>
      <c r="O1046">
        <f t="shared" ca="1" si="339"/>
        <v>-0.10413828113654998</v>
      </c>
      <c r="P1046">
        <f t="shared" ca="1" si="340"/>
        <v>3.7681162195000821</v>
      </c>
      <c r="Q1046">
        <f t="shared" ca="1" si="341"/>
        <v>0.72914359164874232</v>
      </c>
      <c r="R1046">
        <f t="shared" ca="1" si="342"/>
        <v>2.1672449652513146</v>
      </c>
      <c r="T1046">
        <f t="shared" si="343"/>
        <v>0.99502224812272</v>
      </c>
      <c r="U1046" s="6">
        <f t="shared" ca="1" si="344"/>
        <v>1.0709558126923355</v>
      </c>
      <c r="V1046">
        <f t="shared" ca="1" si="345"/>
        <v>1.7337815168588993</v>
      </c>
      <c r="X1046" t="b">
        <f t="shared" ca="1" si="346"/>
        <v>0</v>
      </c>
      <c r="BJ1046" t="b">
        <f t="shared" si="327"/>
        <v>1</v>
      </c>
      <c r="BK1046" t="b">
        <f t="shared" ca="1" si="328"/>
        <v>0</v>
      </c>
    </row>
    <row r="1047" spans="1:63" x14ac:dyDescent="0.45">
      <c r="A1047" s="1">
        <v>43719</v>
      </c>
      <c r="B1047">
        <v>16.473299999999998</v>
      </c>
      <c r="C1047" s="1">
        <v>43719</v>
      </c>
      <c r="D1047">
        <v>300.25</v>
      </c>
      <c r="E1047">
        <f t="shared" si="329"/>
        <v>4.9074363007635513E-2</v>
      </c>
      <c r="F1047" s="4">
        <f t="shared" si="330"/>
        <v>7.1109918491933204E-3</v>
      </c>
      <c r="G1047">
        <f t="shared" ca="1" si="331"/>
        <v>-1.0554387762219649E-3</v>
      </c>
      <c r="H1047">
        <f t="shared" ca="1" si="332"/>
        <v>3.180003430202142E-2</v>
      </c>
      <c r="I1047">
        <f t="shared" ca="1" si="333"/>
        <v>-0.69845792607394974</v>
      </c>
      <c r="J1047">
        <f t="shared" ca="1" si="334"/>
        <v>2.7846907241395069</v>
      </c>
      <c r="K1047">
        <f t="shared" ca="1" si="335"/>
        <v>0.88289528129840122</v>
      </c>
      <c r="L1047">
        <f t="shared" ca="1" si="336"/>
        <v>1.1872952089570379</v>
      </c>
      <c r="M1047">
        <f t="shared" ca="1" si="337"/>
        <v>6.7759060995010317E-4</v>
      </c>
      <c r="N1047">
        <f t="shared" ca="1" si="338"/>
        <v>1.0353632869005019E-2</v>
      </c>
      <c r="O1047">
        <f t="shared" ca="1" si="339"/>
        <v>-9.090472531810935E-2</v>
      </c>
      <c r="P1047">
        <f t="shared" ca="1" si="340"/>
        <v>3.7375747760021536</v>
      </c>
      <c r="Q1047">
        <f t="shared" ca="1" si="341"/>
        <v>0.72914359164874232</v>
      </c>
      <c r="R1047">
        <f t="shared" ca="1" si="342"/>
        <v>2.1506110573358077</v>
      </c>
      <c r="T1047">
        <f t="shared" si="343"/>
        <v>1.0490743630076356</v>
      </c>
      <c r="U1047" s="6">
        <f t="shared" ca="1" si="344"/>
        <v>1.1197185970636216</v>
      </c>
      <c r="V1047">
        <f t="shared" ca="1" si="345"/>
        <v>1.7439658864775582</v>
      </c>
      <c r="X1047" t="b">
        <f t="shared" ca="1" si="346"/>
        <v>0</v>
      </c>
      <c r="BJ1047" t="b">
        <f t="shared" si="327"/>
        <v>1</v>
      </c>
      <c r="BK1047" t="b">
        <f t="shared" ca="1" si="328"/>
        <v>0</v>
      </c>
    </row>
    <row r="1048" spans="1:63" x14ac:dyDescent="0.45">
      <c r="A1048" s="1">
        <v>43718</v>
      </c>
      <c r="B1048">
        <v>15.7027</v>
      </c>
      <c r="C1048" s="1">
        <v>43718</v>
      </c>
      <c r="D1048">
        <v>298.13</v>
      </c>
      <c r="E1048">
        <f t="shared" si="329"/>
        <v>1.6178402479825531E-2</v>
      </c>
      <c r="F1048" s="4">
        <f t="shared" si="330"/>
        <v>-2.3474178403753583E-4</v>
      </c>
      <c r="G1048">
        <f t="shared" ca="1" si="331"/>
        <v>-1.4346273917436104E-3</v>
      </c>
      <c r="H1048">
        <f t="shared" ca="1" si="332"/>
        <v>3.1651076456551921E-2</v>
      </c>
      <c r="I1048">
        <f t="shared" ca="1" si="333"/>
        <v>-0.69494668467458909</v>
      </c>
      <c r="J1048">
        <f t="shared" ca="1" si="334"/>
        <v>2.8300248519424844</v>
      </c>
      <c r="K1048">
        <f t="shared" ca="1" si="335"/>
        <v>0.8581136049179463</v>
      </c>
      <c r="L1048">
        <f t="shared" ca="1" si="336"/>
        <v>1.1512208958478292</v>
      </c>
      <c r="M1048">
        <f t="shared" ca="1" si="337"/>
        <v>6.5907336083589408E-4</v>
      </c>
      <c r="N1048">
        <f t="shared" ca="1" si="338"/>
        <v>1.0345377529456556E-2</v>
      </c>
      <c r="O1048">
        <f t="shared" ca="1" si="339"/>
        <v>-8.6825946289232667E-2</v>
      </c>
      <c r="P1048">
        <f t="shared" ca="1" si="340"/>
        <v>3.757848947297532</v>
      </c>
      <c r="Q1048">
        <f t="shared" ca="1" si="341"/>
        <v>0.72914359164874232</v>
      </c>
      <c r="R1048">
        <f t="shared" ca="1" si="342"/>
        <v>2.0923127845508791</v>
      </c>
      <c r="T1048">
        <f t="shared" si="343"/>
        <v>1.0161784024798255</v>
      </c>
      <c r="U1048" s="6">
        <f t="shared" ca="1" si="344"/>
        <v>1.0467978161019151</v>
      </c>
      <c r="V1048">
        <f t="shared" ca="1" si="345"/>
        <v>1.7585058390589934</v>
      </c>
      <c r="X1048" t="b">
        <f t="shared" ca="1" si="346"/>
        <v>0</v>
      </c>
      <c r="BJ1048" t="b">
        <f t="shared" si="327"/>
        <v>1</v>
      </c>
      <c r="BK1048" t="b">
        <f t="shared" ca="1" si="328"/>
        <v>0</v>
      </c>
    </row>
    <row r="1049" spans="1:63" x14ac:dyDescent="0.45">
      <c r="A1049" s="1">
        <v>43717</v>
      </c>
      <c r="B1049">
        <v>15.4527</v>
      </c>
      <c r="C1049" s="1">
        <v>43717</v>
      </c>
      <c r="D1049">
        <v>298.2</v>
      </c>
      <c r="E1049">
        <f t="shared" si="329"/>
        <v>1.9085555255122601E-2</v>
      </c>
      <c r="F1049" s="4">
        <f t="shared" si="330"/>
        <v>5.0327126321079432E-4</v>
      </c>
      <c r="G1049">
        <f t="shared" ca="1" si="331"/>
        <v>-1.6001162799782031E-3</v>
      </c>
      <c r="H1049">
        <f t="shared" ca="1" si="332"/>
        <v>3.1645049213784367E-2</v>
      </c>
      <c r="I1049">
        <f t="shared" ca="1" si="333"/>
        <v>-0.68096651735388902</v>
      </c>
      <c r="J1049">
        <f t="shared" ca="1" si="334"/>
        <v>2.8195996596473929</v>
      </c>
      <c r="K1049">
        <f t="shared" ca="1" si="335"/>
        <v>0.8581136049179463</v>
      </c>
      <c r="L1049">
        <f t="shared" ca="1" si="336"/>
        <v>1.1052988661891781</v>
      </c>
      <c r="M1049">
        <f t="shared" ca="1" si="337"/>
        <v>5.6771641200803241E-4</v>
      </c>
      <c r="N1049">
        <f t="shared" ca="1" si="338"/>
        <v>1.0433608568529292E-2</v>
      </c>
      <c r="O1049">
        <f t="shared" ca="1" si="339"/>
        <v>-8.9563784839092844E-2</v>
      </c>
      <c r="P1049">
        <f t="shared" ca="1" si="340"/>
        <v>3.5858998049666688</v>
      </c>
      <c r="Q1049">
        <f t="shared" ca="1" si="341"/>
        <v>0.72914359164874232</v>
      </c>
      <c r="R1049">
        <f t="shared" ca="1" si="342"/>
        <v>2.0058620387015154</v>
      </c>
      <c r="T1049">
        <f t="shared" si="343"/>
        <v>1.0190855552551226</v>
      </c>
      <c r="U1049" s="6">
        <f t="shared" ca="1" si="344"/>
        <v>1.0273923421117366</v>
      </c>
      <c r="V1049">
        <f t="shared" ca="1" si="345"/>
        <v>1.7620079928766508</v>
      </c>
      <c r="BJ1049" t="b">
        <f t="shared" si="327"/>
        <v>1</v>
      </c>
      <c r="BK1049" t="b">
        <f t="shared" si="328"/>
        <v>1</v>
      </c>
    </row>
    <row r="1050" spans="1:63" x14ac:dyDescent="0.45">
      <c r="A1050" s="1">
        <v>43714</v>
      </c>
      <c r="B1050">
        <v>15.1633</v>
      </c>
      <c r="C1050" s="1">
        <v>43714</v>
      </c>
      <c r="D1050">
        <v>298.05</v>
      </c>
      <c r="E1050">
        <f t="shared" si="329"/>
        <v>-9.2778318621654747E-3</v>
      </c>
      <c r="F1050" s="4">
        <f t="shared" si="330"/>
        <v>7.7227855751802496E-4</v>
      </c>
      <c r="G1050">
        <f t="shared" ca="1" si="331"/>
        <v>-1.7073980656608198E-3</v>
      </c>
      <c r="H1050">
        <f t="shared" ca="1" si="332"/>
        <v>3.1610920913741923E-2</v>
      </c>
      <c r="I1050">
        <f t="shared" ca="1" si="333"/>
        <v>-0.67431257676724787</v>
      </c>
      <c r="J1050">
        <f t="shared" ca="1" si="334"/>
        <v>2.8346098020208252</v>
      </c>
      <c r="K1050">
        <f t="shared" ca="1" si="335"/>
        <v>0.8581136049179463</v>
      </c>
      <c r="L1050">
        <f t="shared" ca="1" si="336"/>
        <v>1.0788975463742061</v>
      </c>
      <c r="M1050">
        <f t="shared" ca="1" si="337"/>
        <v>4.8062766684165147E-4</v>
      </c>
      <c r="N1050">
        <f t="shared" ca="1" si="338"/>
        <v>1.0506586456552117E-2</v>
      </c>
      <c r="O1050">
        <f t="shared" ca="1" si="339"/>
        <v>-8.5975525218489154E-2</v>
      </c>
      <c r="P1050">
        <f t="shared" ca="1" si="340"/>
        <v>3.4399242952050502</v>
      </c>
      <c r="Q1050">
        <f t="shared" ca="1" si="341"/>
        <v>0.72914359164874232</v>
      </c>
      <c r="R1050">
        <f t="shared" ca="1" si="342"/>
        <v>1.8247707867425567</v>
      </c>
      <c r="T1050">
        <f t="shared" si="343"/>
        <v>0.99072216813783454</v>
      </c>
      <c r="U1050" s="6">
        <f t="shared" ca="1" si="344"/>
        <v>1.0258851069299828</v>
      </c>
      <c r="V1050">
        <f t="shared" ca="1" si="345"/>
        <v>1.7506218536288753</v>
      </c>
      <c r="BJ1050" t="b">
        <f t="shared" si="327"/>
        <v>1</v>
      </c>
      <c r="BK1050" t="b">
        <f t="shared" si="328"/>
        <v>1</v>
      </c>
    </row>
    <row r="1051" spans="1:63" x14ac:dyDescent="0.45">
      <c r="A1051" s="1">
        <v>43713</v>
      </c>
      <c r="B1051">
        <v>15.305300000000001</v>
      </c>
      <c r="C1051" s="1">
        <v>43713</v>
      </c>
      <c r="D1051">
        <v>297.82</v>
      </c>
      <c r="E1051">
        <f t="shared" si="329"/>
        <v>4.0327623708537319E-2</v>
      </c>
      <c r="F1051" s="4">
        <f t="shared" si="330"/>
        <v>1.2855393823969434E-2</v>
      </c>
      <c r="G1051">
        <f t="shared" ca="1" si="331"/>
        <v>-1.5767618562882169E-3</v>
      </c>
      <c r="H1051">
        <f t="shared" ca="1" si="332"/>
        <v>3.1633456970126782E-2</v>
      </c>
      <c r="I1051">
        <f t="shared" ca="1" si="333"/>
        <v>-0.68429246992632942</v>
      </c>
      <c r="J1051">
        <f t="shared" ca="1" si="334"/>
        <v>2.8298947202312172</v>
      </c>
      <c r="K1051">
        <f t="shared" ca="1" si="335"/>
        <v>0.8581136049179463</v>
      </c>
      <c r="L1051">
        <f t="shared" ca="1" si="336"/>
        <v>1.0788975463742061</v>
      </c>
      <c r="M1051">
        <f t="shared" ca="1" si="337"/>
        <v>4.8976898447820698E-4</v>
      </c>
      <c r="N1051">
        <f t="shared" ca="1" si="338"/>
        <v>1.0507636777515676E-2</v>
      </c>
      <c r="O1051">
        <f t="shared" ca="1" si="339"/>
        <v>-8.8544442441037055E-2</v>
      </c>
      <c r="P1051">
        <f t="shared" ca="1" si="340"/>
        <v>3.4376497794012959</v>
      </c>
      <c r="Q1051">
        <f t="shared" ca="1" si="341"/>
        <v>0.72914359164874232</v>
      </c>
      <c r="R1051">
        <f t="shared" ca="1" si="342"/>
        <v>1.8247707867425567</v>
      </c>
      <c r="T1051">
        <f t="shared" si="343"/>
        <v>1.0403276237085373</v>
      </c>
      <c r="U1051" s="6">
        <f t="shared" ca="1" si="344"/>
        <v>1.0648869036437134</v>
      </c>
      <c r="BJ1051" t="b">
        <f t="shared" si="327"/>
        <v>1</v>
      </c>
      <c r="BK1051" t="b">
        <f t="shared" si="328"/>
        <v>1</v>
      </c>
    </row>
    <row r="1052" spans="1:63" x14ac:dyDescent="0.45">
      <c r="A1052" s="1">
        <v>43712</v>
      </c>
      <c r="B1052">
        <v>14.712</v>
      </c>
      <c r="C1052" s="1">
        <v>43712</v>
      </c>
      <c r="D1052">
        <v>294.04000000000002</v>
      </c>
      <c r="E1052">
        <f t="shared" si="329"/>
        <v>-1.9245768530801923E-2</v>
      </c>
      <c r="F1052" s="4">
        <f t="shared" si="330"/>
        <v>1.1350347389420139E-2</v>
      </c>
      <c r="G1052">
        <f t="shared" ca="1" si="331"/>
        <v>-1.7138649973091329E-3</v>
      </c>
      <c r="H1052">
        <f t="shared" ca="1" si="332"/>
        <v>3.1510107385344502E-2</v>
      </c>
      <c r="I1052">
        <f t="shared" ca="1" si="333"/>
        <v>-0.69062027516926594</v>
      </c>
      <c r="J1052">
        <f t="shared" ca="1" si="334"/>
        <v>2.8940914245233724</v>
      </c>
      <c r="K1052">
        <f t="shared" ca="1" si="335"/>
        <v>0.8581136049179463</v>
      </c>
      <c r="L1052">
        <f t="shared" ca="1" si="336"/>
        <v>1.0699216069873252</v>
      </c>
      <c r="M1052">
        <f t="shared" ca="1" si="337"/>
        <v>4.776755830859685E-4</v>
      </c>
      <c r="N1052">
        <f t="shared" ca="1" si="338"/>
        <v>1.0494717378329157E-2</v>
      </c>
      <c r="O1052">
        <f t="shared" ca="1" si="339"/>
        <v>-8.9361335328376978E-2</v>
      </c>
      <c r="P1052">
        <f t="shared" ca="1" si="340"/>
        <v>3.463402935421743</v>
      </c>
      <c r="Q1052">
        <f t="shared" ca="1" si="341"/>
        <v>0.72914359164874232</v>
      </c>
      <c r="R1052">
        <f t="shared" ca="1" si="342"/>
        <v>1.8247707867425567</v>
      </c>
      <c r="T1052">
        <f t="shared" si="343"/>
        <v>0.98075423146919805</v>
      </c>
      <c r="U1052" s="6">
        <f t="shared" ca="1" si="344"/>
        <v>1.030829596412556</v>
      </c>
      <c r="BJ1052" t="b">
        <f t="shared" si="327"/>
        <v>1</v>
      </c>
      <c r="BK1052" t="b">
        <f t="shared" si="328"/>
        <v>1</v>
      </c>
    </row>
    <row r="1053" spans="1:63" x14ac:dyDescent="0.45">
      <c r="A1053" s="1">
        <v>43711</v>
      </c>
      <c r="B1053">
        <v>15.0007</v>
      </c>
      <c r="C1053" s="1">
        <v>43711</v>
      </c>
      <c r="D1053">
        <v>290.74</v>
      </c>
      <c r="E1053">
        <f t="shared" si="329"/>
        <v>-2.6594506904598289E-3</v>
      </c>
      <c r="F1053" s="4">
        <f t="shared" si="330"/>
        <v>-5.8471533595485714E-3</v>
      </c>
      <c r="G1053">
        <f t="shared" ca="1" si="331"/>
        <v>-1.5398529645036759E-3</v>
      </c>
      <c r="H1053">
        <f t="shared" ca="1" si="332"/>
        <v>3.1508899055285561E-2</v>
      </c>
      <c r="I1053">
        <f t="shared" ca="1" si="333"/>
        <v>-0.70572492362626127</v>
      </c>
      <c r="J1053">
        <f t="shared" ca="1" si="334"/>
        <v>2.9106914536829773</v>
      </c>
      <c r="K1053">
        <f t="shared" ca="1" si="335"/>
        <v>0.8581136049179463</v>
      </c>
      <c r="L1053">
        <f t="shared" ca="1" si="336"/>
        <v>1.1143738119713971</v>
      </c>
      <c r="M1053">
        <f t="shared" ca="1" si="337"/>
        <v>3.8674021017621199E-4</v>
      </c>
      <c r="N1053">
        <f t="shared" ca="1" si="338"/>
        <v>1.0478815941755404E-2</v>
      </c>
      <c r="O1053">
        <f t="shared" ca="1" si="339"/>
        <v>-7.0867366078887994E-2</v>
      </c>
      <c r="P1053">
        <f t="shared" ca="1" si="340"/>
        <v>3.4952544558044538</v>
      </c>
      <c r="Q1053">
        <f t="shared" ca="1" si="341"/>
        <v>0.72914359164874232</v>
      </c>
      <c r="R1053">
        <f t="shared" ca="1" si="342"/>
        <v>1.7501844565783515</v>
      </c>
      <c r="T1053">
        <f t="shared" si="343"/>
        <v>0.99734054930954019</v>
      </c>
      <c r="U1053" s="6">
        <f t="shared" ca="1" si="344"/>
        <v>1.0465628989834861</v>
      </c>
      <c r="BJ1053" t="b">
        <f t="shared" si="327"/>
        <v>1</v>
      </c>
      <c r="BK1053" t="b">
        <f t="shared" si="328"/>
        <v>1</v>
      </c>
    </row>
    <row r="1054" spans="1:63" x14ac:dyDescent="0.45">
      <c r="A1054" s="1">
        <v>43707</v>
      </c>
      <c r="B1054">
        <v>15.040699999999999</v>
      </c>
      <c r="C1054" s="1">
        <v>43707</v>
      </c>
      <c r="D1054">
        <v>292.45</v>
      </c>
      <c r="E1054">
        <f t="shared" si="329"/>
        <v>1.7590506538932512E-2</v>
      </c>
      <c r="F1054" s="4">
        <f t="shared" si="330"/>
        <v>-4.4432292022693098E-4</v>
      </c>
      <c r="G1054">
        <f t="shared" ca="1" si="331"/>
        <v>-1.4141053481403001E-3</v>
      </c>
      <c r="H1054">
        <f t="shared" ca="1" si="332"/>
        <v>3.1554559477951452E-2</v>
      </c>
      <c r="I1054">
        <f t="shared" ca="1" si="333"/>
        <v>-0.71249986482434846</v>
      </c>
      <c r="J1054">
        <f t="shared" ca="1" si="334"/>
        <v>2.8895212325443662</v>
      </c>
      <c r="K1054">
        <f t="shared" ca="1" si="335"/>
        <v>0.8581136049179463</v>
      </c>
      <c r="L1054">
        <f t="shared" ca="1" si="336"/>
        <v>1.1237226761547721</v>
      </c>
      <c r="M1054">
        <f t="shared" ca="1" si="337"/>
        <v>4.0662058202953726E-4</v>
      </c>
      <c r="N1054">
        <f t="shared" ca="1" si="338"/>
        <v>1.047069814218253E-2</v>
      </c>
      <c r="O1054">
        <f t="shared" ca="1" si="339"/>
        <v>-7.5765576822353894E-2</v>
      </c>
      <c r="P1054">
        <f t="shared" ca="1" si="340"/>
        <v>3.515488036447203</v>
      </c>
      <c r="Q1054">
        <f t="shared" ca="1" si="341"/>
        <v>0.72914359164874232</v>
      </c>
      <c r="R1054">
        <f t="shared" ca="1" si="342"/>
        <v>1.7973188815919729</v>
      </c>
      <c r="T1054">
        <f t="shared" si="343"/>
        <v>1.0175905065389326</v>
      </c>
      <c r="U1054" s="6">
        <f t="shared" ca="1" si="344"/>
        <v>1.0672234324111458</v>
      </c>
      <c r="BJ1054" t="b">
        <f t="shared" si="327"/>
        <v>1</v>
      </c>
      <c r="BK1054" t="b">
        <f t="shared" si="328"/>
        <v>1</v>
      </c>
    </row>
    <row r="1055" spans="1:63" x14ac:dyDescent="0.45">
      <c r="A1055" s="1">
        <v>43706</v>
      </c>
      <c r="B1055">
        <v>14.7807</v>
      </c>
      <c r="C1055" s="1">
        <v>43706</v>
      </c>
      <c r="D1055">
        <v>292.58</v>
      </c>
      <c r="E1055">
        <f t="shared" si="329"/>
        <v>2.8387150639754499E-2</v>
      </c>
      <c r="F1055" s="4">
        <f t="shared" si="330"/>
        <v>1.2773027796046931E-2</v>
      </c>
      <c r="G1055">
        <f t="shared" ca="1" si="331"/>
        <v>-1.7763728423409986E-3</v>
      </c>
      <c r="H1055">
        <f t="shared" ca="1" si="332"/>
        <v>3.1750575924958169E-2</v>
      </c>
      <c r="I1055">
        <f t="shared" ca="1" si="333"/>
        <v>-0.69011125526610595</v>
      </c>
      <c r="J1055">
        <f t="shared" ca="1" si="334"/>
        <v>2.7522885371278925</v>
      </c>
      <c r="K1055">
        <f t="shared" ca="1" si="335"/>
        <v>0.84722985983140875</v>
      </c>
      <c r="L1055">
        <f t="shared" ca="1" si="336"/>
        <v>1.0777308632575977</v>
      </c>
      <c r="M1055">
        <f t="shared" ca="1" si="337"/>
        <v>3.154162173679992E-4</v>
      </c>
      <c r="N1055">
        <f t="shared" ca="1" si="338"/>
        <v>1.0557232891811321E-2</v>
      </c>
      <c r="O1055">
        <f t="shared" ca="1" si="339"/>
        <v>-7.7754973917588829E-2</v>
      </c>
      <c r="P1055">
        <f t="shared" ca="1" si="340"/>
        <v>3.3551821236014385</v>
      </c>
      <c r="Q1055">
        <f t="shared" ca="1" si="341"/>
        <v>0.72914359164874232</v>
      </c>
      <c r="R1055">
        <f t="shared" ca="1" si="342"/>
        <v>1.7501844565783515</v>
      </c>
      <c r="T1055">
        <f t="shared" si="343"/>
        <v>1.0283871506397544</v>
      </c>
      <c r="U1055" s="6">
        <f t="shared" ca="1" si="344"/>
        <v>0.99802160702228193</v>
      </c>
      <c r="BJ1055" t="b">
        <f t="shared" si="327"/>
        <v>1</v>
      </c>
      <c r="BK1055" t="b">
        <f t="shared" si="328"/>
        <v>1</v>
      </c>
    </row>
    <row r="1056" spans="1:63" x14ac:dyDescent="0.45">
      <c r="A1056" s="1">
        <v>43705</v>
      </c>
      <c r="B1056">
        <v>14.3727</v>
      </c>
      <c r="C1056" s="1">
        <v>43705</v>
      </c>
      <c r="D1056">
        <v>288.89</v>
      </c>
      <c r="E1056">
        <f t="shared" si="329"/>
        <v>7.0557735426008822E-3</v>
      </c>
      <c r="F1056" s="4">
        <f t="shared" si="330"/>
        <v>7.0415170634781669E-3</v>
      </c>
      <c r="G1056">
        <f t="shared" ca="1" si="331"/>
        <v>-1.9309864374893416E-3</v>
      </c>
      <c r="H1056">
        <f t="shared" ca="1" si="332"/>
        <v>3.167816111214878E-2</v>
      </c>
      <c r="I1056">
        <f t="shared" ca="1" si="333"/>
        <v>-0.68444658793798652</v>
      </c>
      <c r="J1056">
        <f t="shared" ca="1" si="334"/>
        <v>2.7874485388548909</v>
      </c>
      <c r="K1056">
        <f t="shared" ca="1" si="335"/>
        <v>0.84722985983140875</v>
      </c>
      <c r="L1056">
        <f t="shared" ca="1" si="336"/>
        <v>1.045073571165698</v>
      </c>
      <c r="M1056">
        <f t="shared" ca="1" si="337"/>
        <v>2.0270972366405636E-4</v>
      </c>
      <c r="N1056">
        <f t="shared" ca="1" si="338"/>
        <v>1.0543884414292494E-2</v>
      </c>
      <c r="O1056">
        <f t="shared" ca="1" si="339"/>
        <v>-5.8469229377608921E-2</v>
      </c>
      <c r="P1056">
        <f t="shared" ca="1" si="340"/>
        <v>3.3786408765952514</v>
      </c>
      <c r="Q1056">
        <f t="shared" ca="1" si="341"/>
        <v>0.72914359164874232</v>
      </c>
      <c r="R1056">
        <f t="shared" ca="1" si="342"/>
        <v>1.6745745630755056</v>
      </c>
      <c r="T1056">
        <f t="shared" si="343"/>
        <v>1.0070557735426009</v>
      </c>
      <c r="U1056" s="6">
        <f t="shared" ca="1" si="344"/>
        <v>0.97627360412987385</v>
      </c>
      <c r="BJ1056" t="b">
        <f t="shared" si="327"/>
        <v>1</v>
      </c>
      <c r="BK1056" t="b">
        <f t="shared" si="328"/>
        <v>1</v>
      </c>
    </row>
    <row r="1057" spans="1:63" x14ac:dyDescent="0.45">
      <c r="A1057" s="1">
        <v>43704</v>
      </c>
      <c r="B1057">
        <v>14.272</v>
      </c>
      <c r="C1057" s="1">
        <v>43704</v>
      </c>
      <c r="D1057">
        <v>286.87</v>
      </c>
      <c r="E1057">
        <f t="shared" si="329"/>
        <v>-4.276754131986301E-3</v>
      </c>
      <c r="F1057" s="4">
        <f t="shared" si="330"/>
        <v>-3.9236111111110956E-3</v>
      </c>
      <c r="G1057">
        <f t="shared" ca="1" si="331"/>
        <v>-1.9761460353792423E-3</v>
      </c>
      <c r="H1057">
        <f t="shared" ca="1" si="332"/>
        <v>3.1751600986009071E-2</v>
      </c>
      <c r="I1057">
        <f t="shared" ca="1" si="333"/>
        <v>-0.67898135802316306</v>
      </c>
      <c r="J1057">
        <f t="shared" ca="1" si="334"/>
        <v>2.7595200489647178</v>
      </c>
      <c r="K1057">
        <f t="shared" ca="1" si="335"/>
        <v>0.84684342242304189</v>
      </c>
      <c r="L1057">
        <f t="shared" ca="1" si="336"/>
        <v>1.0427218865189454</v>
      </c>
      <c r="M1057">
        <f t="shared" ca="1" si="337"/>
        <v>1.6834385763483974E-4</v>
      </c>
      <c r="N1057">
        <f t="shared" ca="1" si="338"/>
        <v>1.0559241704122101E-2</v>
      </c>
      <c r="O1057">
        <f t="shared" ca="1" si="339"/>
        <v>-5.0034584891236897E-2</v>
      </c>
      <c r="P1057">
        <f t="shared" ca="1" si="340"/>
        <v>3.3727036780439077</v>
      </c>
      <c r="Q1057">
        <f t="shared" ca="1" si="341"/>
        <v>0.72968014148863303</v>
      </c>
      <c r="R1057">
        <f t="shared" ca="1" si="342"/>
        <v>1.626147499770769</v>
      </c>
      <c r="T1057">
        <f t="shared" si="343"/>
        <v>0.99572324586801375</v>
      </c>
      <c r="U1057" s="6">
        <f t="shared" ca="1" si="344"/>
        <v>0.94784589534644337</v>
      </c>
      <c r="BJ1057" t="b">
        <f t="shared" si="327"/>
        <v>1</v>
      </c>
      <c r="BK1057" t="b">
        <f t="shared" si="328"/>
        <v>1</v>
      </c>
    </row>
    <row r="1058" spans="1:63" x14ac:dyDescent="0.45">
      <c r="A1058" s="1">
        <v>43703</v>
      </c>
      <c r="B1058">
        <v>14.333299999999999</v>
      </c>
      <c r="C1058" s="1">
        <v>43703</v>
      </c>
      <c r="D1058">
        <v>288</v>
      </c>
      <c r="E1058">
        <f t="shared" si="329"/>
        <v>1.7029368565204758E-2</v>
      </c>
      <c r="F1058" s="4">
        <f t="shared" si="330"/>
        <v>1.1058451816745574E-2</v>
      </c>
      <c r="G1058">
        <f t="shared" ca="1" si="331"/>
        <v>-1.9645268025680956E-3</v>
      </c>
      <c r="H1058">
        <f t="shared" ca="1" si="332"/>
        <v>3.1831662650334158E-2</v>
      </c>
      <c r="I1058">
        <f t="shared" ca="1" si="333"/>
        <v>-0.67843069280156776</v>
      </c>
      <c r="J1058">
        <f t="shared" ca="1" si="334"/>
        <v>2.7321694654157338</v>
      </c>
      <c r="K1058">
        <f t="shared" ca="1" si="335"/>
        <v>0.84645846424803461</v>
      </c>
      <c r="L1058">
        <f t="shared" ca="1" si="336"/>
        <v>1.0404166493450091</v>
      </c>
      <c r="M1058">
        <f t="shared" ca="1" si="337"/>
        <v>1.8901029687093035E-4</v>
      </c>
      <c r="N1058">
        <f t="shared" ca="1" si="338"/>
        <v>1.05819723245983E-2</v>
      </c>
      <c r="O1058">
        <f t="shared" ca="1" si="339"/>
        <v>-5.5590000062641275E-2</v>
      </c>
      <c r="P1058">
        <f t="shared" ca="1" si="340"/>
        <v>3.3510838169527992</v>
      </c>
      <c r="Q1058">
        <f t="shared" ca="1" si="341"/>
        <v>0.7302156570442937</v>
      </c>
      <c r="R1058">
        <f t="shared" ca="1" si="342"/>
        <v>1.7068775655472022</v>
      </c>
      <c r="T1058">
        <f t="shared" si="343"/>
        <v>1.0170293685652048</v>
      </c>
      <c r="U1058" s="6">
        <f t="shared" ca="1" si="344"/>
        <v>0.94784420050257923</v>
      </c>
      <c r="BJ1058" t="b">
        <f t="shared" si="327"/>
        <v>1</v>
      </c>
      <c r="BK1058" t="b">
        <f t="shared" si="328"/>
        <v>1</v>
      </c>
    </row>
    <row r="1059" spans="1:63" x14ac:dyDescent="0.45">
      <c r="A1059" s="1">
        <v>43700</v>
      </c>
      <c r="B1059">
        <v>14.093299999999999</v>
      </c>
      <c r="C1059" s="1">
        <v>43700</v>
      </c>
      <c r="D1059">
        <v>284.85000000000002</v>
      </c>
      <c r="E1059">
        <f t="shared" si="329"/>
        <v>-4.8392977717758349E-2</v>
      </c>
      <c r="F1059" s="4">
        <f t="shared" si="330"/>
        <v>-2.568750855110135E-2</v>
      </c>
      <c r="G1059">
        <f t="shared" ca="1" si="331"/>
        <v>-2.0609425150948614E-3</v>
      </c>
      <c r="H1059">
        <f t="shared" ca="1" si="332"/>
        <v>3.1883764165634799E-2</v>
      </c>
      <c r="I1059">
        <f t="shared" ca="1" si="333"/>
        <v>-0.67051453249990656</v>
      </c>
      <c r="J1059">
        <f t="shared" ca="1" si="334"/>
        <v>2.7154424381163986</v>
      </c>
      <c r="K1059">
        <f t="shared" ca="1" si="335"/>
        <v>0.8460749768291369</v>
      </c>
      <c r="L1059">
        <f t="shared" ca="1" si="336"/>
        <v>1.0381564970432855</v>
      </c>
      <c r="M1059">
        <f t="shared" ca="1" si="337"/>
        <v>1.3383546682080533E-4</v>
      </c>
      <c r="N1059">
        <f t="shared" ca="1" si="338"/>
        <v>1.0580341021647659E-2</v>
      </c>
      <c r="O1059">
        <f t="shared" ca="1" si="339"/>
        <v>-4.5685771294186876E-2</v>
      </c>
      <c r="P1059">
        <f t="shared" ca="1" si="340"/>
        <v>3.3814503842584802</v>
      </c>
      <c r="Q1059">
        <f t="shared" ca="1" si="341"/>
        <v>0.73075014130346461</v>
      </c>
      <c r="R1059">
        <f t="shared" ca="1" si="342"/>
        <v>1.6757391766107543</v>
      </c>
      <c r="T1059">
        <f t="shared" si="343"/>
        <v>0.9516070222822417</v>
      </c>
      <c r="U1059" s="6">
        <f t="shared" ca="1" si="344"/>
        <v>0.96116677010373275</v>
      </c>
      <c r="BJ1059" t="b">
        <f t="shared" si="327"/>
        <v>1</v>
      </c>
      <c r="BK1059" t="b">
        <f t="shared" si="328"/>
        <v>1</v>
      </c>
    </row>
    <row r="1060" spans="1:63" x14ac:dyDescent="0.45">
      <c r="A1060" s="1">
        <v>43699</v>
      </c>
      <c r="B1060">
        <v>14.81</v>
      </c>
      <c r="C1060" s="1">
        <v>43699</v>
      </c>
      <c r="D1060">
        <v>292.36</v>
      </c>
      <c r="E1060">
        <f t="shared" si="329"/>
        <v>5.977448716207103E-3</v>
      </c>
      <c r="F1060" s="4">
        <f t="shared" si="330"/>
        <v>-3.0774491366036924E-4</v>
      </c>
      <c r="G1060">
        <f t="shared" ca="1" si="331"/>
        <v>-1.8245545803873943E-3</v>
      </c>
      <c r="H1060">
        <f t="shared" ca="1" si="332"/>
        <v>3.1791869302793492E-2</v>
      </c>
      <c r="I1060">
        <f t="shared" ca="1" si="333"/>
        <v>-0.68634987504830347</v>
      </c>
      <c r="J1060">
        <f t="shared" ca="1" si="334"/>
        <v>2.8095602926672387</v>
      </c>
      <c r="K1060">
        <f t="shared" ca="1" si="335"/>
        <v>0.8456929517537487</v>
      </c>
      <c r="L1060">
        <f t="shared" ca="1" si="336"/>
        <v>1.0777308632575977</v>
      </c>
      <c r="M1060">
        <f t="shared" ca="1" si="337"/>
        <v>2.6557701793265332E-4</v>
      </c>
      <c r="N1060">
        <f t="shared" ca="1" si="338"/>
        <v>1.0444187491941178E-2</v>
      </c>
      <c r="O1060">
        <f t="shared" ca="1" si="339"/>
        <v>-7.6810130031790946E-3</v>
      </c>
      <c r="P1060">
        <f t="shared" ca="1" si="340"/>
        <v>3.5606207143971242</v>
      </c>
      <c r="Q1060">
        <f t="shared" ca="1" si="341"/>
        <v>0.75124433761127996</v>
      </c>
      <c r="R1060">
        <f t="shared" ca="1" si="342"/>
        <v>1.7116941079138976</v>
      </c>
      <c r="T1060">
        <f t="shared" si="343"/>
        <v>1.0059774487162072</v>
      </c>
      <c r="U1060" s="6">
        <f t="shared" ca="1" si="344"/>
        <v>1.0301892042292711</v>
      </c>
      <c r="BJ1060" t="b">
        <f t="shared" si="327"/>
        <v>1</v>
      </c>
      <c r="BK1060" t="b">
        <f t="shared" si="328"/>
        <v>1</v>
      </c>
    </row>
    <row r="1061" spans="1:63" x14ac:dyDescent="0.45">
      <c r="A1061" s="1">
        <v>43698</v>
      </c>
      <c r="B1061">
        <v>14.722</v>
      </c>
      <c r="C1061" s="1">
        <v>43698</v>
      </c>
      <c r="D1061">
        <v>292.45</v>
      </c>
      <c r="E1061">
        <f t="shared" si="329"/>
        <v>-2.2268268547481963E-2</v>
      </c>
      <c r="F1061" s="4">
        <f t="shared" si="330"/>
        <v>8.1354062532318031E-3</v>
      </c>
      <c r="G1061">
        <f t="shared" ca="1" si="331"/>
        <v>-1.8645648537032634E-3</v>
      </c>
      <c r="H1061">
        <f t="shared" ca="1" si="332"/>
        <v>3.1868754093424295E-2</v>
      </c>
      <c r="I1061">
        <f t="shared" ca="1" si="333"/>
        <v>-0.6812138297179251</v>
      </c>
      <c r="J1061">
        <f t="shared" ca="1" si="334"/>
        <v>2.7803070972264816</v>
      </c>
      <c r="K1061">
        <f t="shared" ca="1" si="335"/>
        <v>0.84531238067330727</v>
      </c>
      <c r="L1061">
        <f t="shared" ca="1" si="336"/>
        <v>1.0750981130827648</v>
      </c>
      <c r="M1061">
        <f t="shared" ca="1" si="337"/>
        <v>2.6851713040236113E-4</v>
      </c>
      <c r="N1061">
        <f t="shared" ca="1" si="338"/>
        <v>1.0470989581889092E-2</v>
      </c>
      <c r="O1061">
        <f t="shared" ca="1" si="339"/>
        <v>-8.5121100885572828E-3</v>
      </c>
      <c r="P1061">
        <f t="shared" ca="1" si="340"/>
        <v>3.5277494499359827</v>
      </c>
      <c r="Q1061">
        <f t="shared" ca="1" si="341"/>
        <v>0.75139471026162974</v>
      </c>
      <c r="R1061">
        <f t="shared" ca="1" si="342"/>
        <v>1.7092721948606429</v>
      </c>
      <c r="T1061">
        <f t="shared" si="343"/>
        <v>0.97773173145251802</v>
      </c>
      <c r="U1061" s="6">
        <f t="shared" ca="1" si="344"/>
        <v>1.0055118056456736</v>
      </c>
      <c r="BJ1061" t="b">
        <f t="shared" si="327"/>
        <v>1</v>
      </c>
      <c r="BK1061" t="b">
        <f t="shared" si="328"/>
        <v>1</v>
      </c>
    </row>
    <row r="1062" spans="1:63" x14ac:dyDescent="0.45">
      <c r="A1062" s="1">
        <v>43697</v>
      </c>
      <c r="B1062">
        <v>15.0573</v>
      </c>
      <c r="C1062" s="1">
        <v>43697</v>
      </c>
      <c r="D1062">
        <v>290.08999999999997</v>
      </c>
      <c r="E1062">
        <f t="shared" si="329"/>
        <v>-4.2785345853723188E-3</v>
      </c>
      <c r="F1062" s="4">
        <f t="shared" si="330"/>
        <v>-7.6625731194198653E-3</v>
      </c>
      <c r="G1062">
        <f t="shared" ca="1" si="331"/>
        <v>-1.7593911233229613E-3</v>
      </c>
      <c r="H1062">
        <f t="shared" ca="1" si="332"/>
        <v>3.1917261520317375E-2</v>
      </c>
      <c r="I1062">
        <f t="shared" ca="1" si="333"/>
        <v>-0.69028349797051181</v>
      </c>
      <c r="J1062">
        <f t="shared" ca="1" si="334"/>
        <v>2.7839889438558854</v>
      </c>
      <c r="K1062">
        <f t="shared" ca="1" si="335"/>
        <v>0.84493325530268026</v>
      </c>
      <c r="L1062">
        <f t="shared" ca="1" si="336"/>
        <v>1.1164709202655216</v>
      </c>
      <c r="M1062">
        <f t="shared" ca="1" si="337"/>
        <v>2.2796615554241537E-4</v>
      </c>
      <c r="N1062">
        <f t="shared" ca="1" si="338"/>
        <v>1.0482719032178889E-2</v>
      </c>
      <c r="O1062">
        <f t="shared" ca="1" si="339"/>
        <v>9.8531696593048682E-4</v>
      </c>
      <c r="P1062">
        <f t="shared" ca="1" si="340"/>
        <v>3.5313216266779865</v>
      </c>
      <c r="Q1062">
        <f t="shared" ca="1" si="341"/>
        <v>0.75154463604667188</v>
      </c>
      <c r="R1062">
        <f t="shared" ca="1" si="342"/>
        <v>1.6687357080422613</v>
      </c>
      <c r="T1062">
        <f t="shared" si="343"/>
        <v>0.99572146541462769</v>
      </c>
      <c r="U1062" s="6">
        <f t="shared" ca="1" si="344"/>
        <v>0.96110221042082866</v>
      </c>
      <c r="BJ1062" t="b">
        <f t="shared" si="327"/>
        <v>1</v>
      </c>
      <c r="BK1062" t="b">
        <f t="shared" si="328"/>
        <v>1</v>
      </c>
    </row>
    <row r="1063" spans="1:63" x14ac:dyDescent="0.45">
      <c r="A1063" s="1">
        <v>43696</v>
      </c>
      <c r="B1063">
        <v>15.122</v>
      </c>
      <c r="C1063" s="1">
        <v>43696</v>
      </c>
      <c r="D1063">
        <v>292.33</v>
      </c>
      <c r="E1063">
        <f t="shared" si="329"/>
        <v>3.1324380912110372E-2</v>
      </c>
      <c r="F1063" s="4">
        <f t="shared" si="330"/>
        <v>1.2047775662108226E-2</v>
      </c>
      <c r="G1063">
        <f t="shared" ca="1" si="331"/>
        <v>-1.7463385665247783E-3</v>
      </c>
      <c r="H1063">
        <f t="shared" ca="1" si="332"/>
        <v>3.1999752322082402E-2</v>
      </c>
      <c r="I1063">
        <f t="shared" ca="1" si="333"/>
        <v>-0.68979748033017607</v>
      </c>
      <c r="J1063">
        <f t="shared" ca="1" si="334"/>
        <v>2.7559905026893756</v>
      </c>
      <c r="K1063">
        <f t="shared" ca="1" si="335"/>
        <v>0.84455556741956139</v>
      </c>
      <c r="L1063">
        <f t="shared" ca="1" si="336"/>
        <v>1.1135435280732726</v>
      </c>
      <c r="M1063">
        <f t="shared" ca="1" si="337"/>
        <v>2.6884977872874846E-4</v>
      </c>
      <c r="N1063">
        <f t="shared" ca="1" si="338"/>
        <v>1.0494463984417095E-2</v>
      </c>
      <c r="O1063">
        <f t="shared" ca="1" si="339"/>
        <v>-8.5854764007279299E-3</v>
      </c>
      <c r="P1063">
        <f t="shared" ca="1" si="340"/>
        <v>3.5351740028713299</v>
      </c>
      <c r="Q1063">
        <f t="shared" ca="1" si="341"/>
        <v>0.75169411695538746</v>
      </c>
      <c r="R1063">
        <f t="shared" ca="1" si="342"/>
        <v>1.7141437736736085</v>
      </c>
      <c r="T1063">
        <f t="shared" si="343"/>
        <v>1.0313243809121104</v>
      </c>
      <c r="U1063" s="6">
        <f t="shared" ca="1" si="344"/>
        <v>0.99048292756414036</v>
      </c>
      <c r="BJ1063" t="b">
        <f t="shared" si="327"/>
        <v>1</v>
      </c>
      <c r="BK1063" t="b">
        <f t="shared" si="328"/>
        <v>1</v>
      </c>
    </row>
    <row r="1064" spans="1:63" x14ac:dyDescent="0.45">
      <c r="A1064" s="1">
        <v>43693</v>
      </c>
      <c r="B1064">
        <v>14.662699999999999</v>
      </c>
      <c r="C1064" s="1">
        <v>43693</v>
      </c>
      <c r="D1064">
        <v>288.85000000000002</v>
      </c>
      <c r="E1064">
        <f t="shared" si="329"/>
        <v>1.9942960489705047E-2</v>
      </c>
      <c r="F1064" s="4">
        <f t="shared" si="330"/>
        <v>1.4754962234323014E-2</v>
      </c>
      <c r="G1064">
        <f t="shared" ca="1" si="331"/>
        <v>-1.9185818971426689E-3</v>
      </c>
      <c r="H1064">
        <f t="shared" ca="1" si="332"/>
        <v>3.1993584750256557E-2</v>
      </c>
      <c r="I1064">
        <f t="shared" ca="1" si="333"/>
        <v>-0.68336997717866521</v>
      </c>
      <c r="J1064">
        <f t="shared" ca="1" si="334"/>
        <v>2.7702037287705266</v>
      </c>
      <c r="K1064">
        <f t="shared" ca="1" si="335"/>
        <v>0.8441793088638786</v>
      </c>
      <c r="L1064">
        <f t="shared" ca="1" si="336"/>
        <v>1.0777308632575977</v>
      </c>
      <c r="M1064">
        <f t="shared" ca="1" si="337"/>
        <v>2.0750120641948027E-4</v>
      </c>
      <c r="N1064">
        <f t="shared" ca="1" si="338"/>
        <v>1.0487144699528786E-2</v>
      </c>
      <c r="O1064">
        <f t="shared" ca="1" si="339"/>
        <v>1.5890879034025911E-3</v>
      </c>
      <c r="P1064">
        <f t="shared" ca="1" si="340"/>
        <v>3.580192708133541</v>
      </c>
      <c r="Q1064">
        <f t="shared" ca="1" si="341"/>
        <v>0.75184315496497334</v>
      </c>
      <c r="R1064">
        <f t="shared" ca="1" si="342"/>
        <v>1.6544893841912509</v>
      </c>
      <c r="T1064">
        <f t="shared" si="343"/>
        <v>1.019942960489705</v>
      </c>
      <c r="U1064" s="6">
        <f t="shared" ca="1" si="344"/>
        <v>0.93587918786261826</v>
      </c>
      <c r="BJ1064" t="b">
        <f t="shared" si="327"/>
        <v>1</v>
      </c>
      <c r="BK1064" t="b">
        <f t="shared" si="328"/>
        <v>1</v>
      </c>
    </row>
    <row r="1065" spans="1:63" x14ac:dyDescent="0.45">
      <c r="A1065" s="1">
        <v>43692</v>
      </c>
      <c r="B1065">
        <v>14.375999999999999</v>
      </c>
      <c r="C1065" s="1">
        <v>43692</v>
      </c>
      <c r="D1065">
        <v>284.64999999999998</v>
      </c>
      <c r="E1065">
        <f t="shared" si="329"/>
        <v>-1.8119975685219201E-2</v>
      </c>
      <c r="F1065" s="4">
        <f t="shared" si="330"/>
        <v>2.6417752729834452E-3</v>
      </c>
      <c r="G1065">
        <f t="shared" ca="1" si="331"/>
        <v>-2.0330402342465838E-3</v>
      </c>
      <c r="H1065">
        <f t="shared" ca="1" si="332"/>
        <v>3.203823033555734E-2</v>
      </c>
      <c r="I1065">
        <f t="shared" ca="1" si="333"/>
        <v>-0.67499523147556872</v>
      </c>
      <c r="J1065">
        <f t="shared" ca="1" si="334"/>
        <v>2.7578922843304197</v>
      </c>
      <c r="K1065">
        <f t="shared" ca="1" si="335"/>
        <v>0.84380447153720495</v>
      </c>
      <c r="L1065">
        <f t="shared" ca="1" si="336"/>
        <v>1.0389562484229571</v>
      </c>
      <c r="M1065">
        <f t="shared" ca="1" si="337"/>
        <v>1.3133648899590141E-4</v>
      </c>
      <c r="N1065">
        <f t="shared" ca="1" si="338"/>
        <v>1.0461327863943382E-2</v>
      </c>
      <c r="O1065">
        <f t="shared" ca="1" si="339"/>
        <v>9.3799745680435039E-3</v>
      </c>
      <c r="P1065">
        <f t="shared" ca="1" si="340"/>
        <v>3.6615875612455708</v>
      </c>
      <c r="Q1065">
        <f t="shared" ca="1" si="341"/>
        <v>0.72058795166448186</v>
      </c>
      <c r="R1065">
        <f t="shared" ca="1" si="342"/>
        <v>1.5296499489999222</v>
      </c>
      <c r="T1065">
        <f t="shared" si="343"/>
        <v>0.98188002431478083</v>
      </c>
      <c r="U1065" s="6">
        <f t="shared" ca="1" si="344"/>
        <v>0.90490787891758506</v>
      </c>
      <c r="BJ1065" t="b">
        <f t="shared" si="327"/>
        <v>1</v>
      </c>
      <c r="BK1065" t="b">
        <f t="shared" si="328"/>
        <v>1</v>
      </c>
    </row>
    <row r="1066" spans="1:63" x14ac:dyDescent="0.45">
      <c r="A1066" s="1">
        <v>43691</v>
      </c>
      <c r="B1066">
        <v>14.641299999999999</v>
      </c>
      <c r="C1066" s="1">
        <v>43691</v>
      </c>
      <c r="D1066">
        <v>283.89999999999998</v>
      </c>
      <c r="E1066">
        <f t="shared" si="329"/>
        <v>-6.5450924572500985E-2</v>
      </c>
      <c r="F1066" s="4">
        <f t="shared" si="330"/>
        <v>-2.9567595282857746E-2</v>
      </c>
      <c r="G1066">
        <f t="shared" ca="1" si="331"/>
        <v>-1.948372152925675E-3</v>
      </c>
      <c r="H1066">
        <f t="shared" ca="1" si="332"/>
        <v>3.2101443623634394E-2</v>
      </c>
      <c r="I1066">
        <f t="shared" ca="1" si="333"/>
        <v>-0.68192724810891114</v>
      </c>
      <c r="J1066">
        <f t="shared" ca="1" si="334"/>
        <v>2.7504453694094795</v>
      </c>
      <c r="K1066">
        <f t="shared" ca="1" si="335"/>
        <v>0.843431047402177</v>
      </c>
      <c r="L1066">
        <f t="shared" ca="1" si="336"/>
        <v>1.0811140423886512</v>
      </c>
      <c r="M1066">
        <f t="shared" ca="1" si="337"/>
        <v>1.181236532907039E-4</v>
      </c>
      <c r="N1066">
        <f t="shared" ca="1" si="338"/>
        <v>1.0487368783373238E-2</v>
      </c>
      <c r="O1066">
        <f t="shared" ca="1" si="339"/>
        <v>1.3106562984659009E-2</v>
      </c>
      <c r="P1066">
        <f t="shared" ca="1" si="340"/>
        <v>3.6312419332467498</v>
      </c>
      <c r="Q1066">
        <f t="shared" ca="1" si="341"/>
        <v>0.72140041593068782</v>
      </c>
      <c r="R1066">
        <f t="shared" ca="1" si="342"/>
        <v>1.5702212457496805</v>
      </c>
      <c r="T1066">
        <f t="shared" si="343"/>
        <v>0.93454907542749899</v>
      </c>
      <c r="U1066" s="6">
        <f t="shared" ca="1" si="344"/>
        <v>0.94087897540693899</v>
      </c>
      <c r="BJ1066" t="b">
        <f t="shared" si="327"/>
        <v>1</v>
      </c>
      <c r="BK1066" t="b">
        <f t="shared" si="328"/>
        <v>1</v>
      </c>
    </row>
    <row r="1067" spans="1:63" x14ac:dyDescent="0.45">
      <c r="A1067" s="1">
        <v>43690</v>
      </c>
      <c r="B1067">
        <v>15.666700000000001</v>
      </c>
      <c r="C1067" s="1">
        <v>43690</v>
      </c>
      <c r="D1067">
        <v>292.55</v>
      </c>
      <c r="E1067">
        <f t="shared" si="329"/>
        <v>2.6160486792032641E-2</v>
      </c>
      <c r="F1067" s="4">
        <f t="shared" si="330"/>
        <v>1.5551775610094833E-2</v>
      </c>
      <c r="G1067">
        <f t="shared" ca="1" si="331"/>
        <v>-1.6123798120813617E-3</v>
      </c>
      <c r="H1067">
        <f t="shared" ca="1" si="332"/>
        <v>3.1849972151638054E-2</v>
      </c>
      <c r="I1067">
        <f t="shared" ca="1" si="333"/>
        <v>-0.6913385722866584</v>
      </c>
      <c r="J1067">
        <f t="shared" ca="1" si="334"/>
        <v>2.9106728822826953</v>
      </c>
      <c r="K1067">
        <f t="shared" ca="1" si="335"/>
        <v>0.8664674440692729</v>
      </c>
      <c r="L1067">
        <f t="shared" ca="1" si="336"/>
        <v>1.1256205323563624</v>
      </c>
      <c r="M1067">
        <f t="shared" ca="1" si="337"/>
        <v>2.7519094924916156E-4</v>
      </c>
      <c r="N1067">
        <f t="shared" ca="1" si="338"/>
        <v>1.0288715748941513E-2</v>
      </c>
      <c r="O1067">
        <f t="shared" ca="1" si="339"/>
        <v>9.6792085667860239E-2</v>
      </c>
      <c r="P1067">
        <f t="shared" ca="1" si="340"/>
        <v>3.8134937731027985</v>
      </c>
      <c r="Q1067">
        <f t="shared" ca="1" si="341"/>
        <v>0.73805223488166016</v>
      </c>
      <c r="R1067">
        <f t="shared" ca="1" si="342"/>
        <v>1.6472437857759059</v>
      </c>
      <c r="T1067">
        <f t="shared" si="343"/>
        <v>1.0261604867920326</v>
      </c>
      <c r="U1067" s="6">
        <f t="shared" ca="1" si="344"/>
        <v>1.0184225751301736</v>
      </c>
      <c r="BJ1067" t="b">
        <f t="shared" si="327"/>
        <v>1</v>
      </c>
      <c r="BK1067" t="b">
        <f t="shared" si="328"/>
        <v>1</v>
      </c>
    </row>
    <row r="1068" spans="1:63" x14ac:dyDescent="0.45">
      <c r="A1068" s="1">
        <v>43689</v>
      </c>
      <c r="B1068">
        <v>15.267300000000001</v>
      </c>
      <c r="C1068" s="1">
        <v>43689</v>
      </c>
      <c r="D1068">
        <v>288.07</v>
      </c>
      <c r="E1068">
        <f t="shared" si="329"/>
        <v>-2.5530882794099725E-2</v>
      </c>
      <c r="F1068" s="4">
        <f t="shared" si="330"/>
        <v>-1.2173376311638472E-2</v>
      </c>
      <c r="G1068">
        <f t="shared" ca="1" si="331"/>
        <v>-1.7601078259330326E-3</v>
      </c>
      <c r="H1068">
        <f t="shared" ca="1" si="332"/>
        <v>3.1870028629787522E-2</v>
      </c>
      <c r="I1068">
        <f t="shared" ca="1" si="333"/>
        <v>-0.68328504488437614</v>
      </c>
      <c r="J1068">
        <f t="shared" ca="1" si="334"/>
        <v>2.9119701318109819</v>
      </c>
      <c r="K1068">
        <f t="shared" ca="1" si="335"/>
        <v>0.86722169145172678</v>
      </c>
      <c r="L1068">
        <f t="shared" ca="1" si="336"/>
        <v>1.0825510076303333</v>
      </c>
      <c r="M1068">
        <f t="shared" ca="1" si="337"/>
        <v>1.9393252020210994E-4</v>
      </c>
      <c r="N1068">
        <f t="shared" ca="1" si="338"/>
        <v>1.0255200037727697E-2</v>
      </c>
      <c r="O1068">
        <f t="shared" ca="1" si="339"/>
        <v>0.10443255708472418</v>
      </c>
      <c r="P1068">
        <f t="shared" ca="1" si="340"/>
        <v>3.9175480724426084</v>
      </c>
      <c r="Q1068">
        <f t="shared" ca="1" si="341"/>
        <v>0.71343748413314034</v>
      </c>
      <c r="R1068">
        <f t="shared" ca="1" si="342"/>
        <v>1.4886163941886708</v>
      </c>
      <c r="T1068">
        <f t="shared" si="343"/>
        <v>0.97446911720590024</v>
      </c>
      <c r="U1068" s="6">
        <f t="shared" ca="1" si="344"/>
        <v>1.0030220808997921</v>
      </c>
      <c r="BJ1068" t="b">
        <f t="shared" si="327"/>
        <v>1</v>
      </c>
      <c r="BK1068" t="b">
        <f t="shared" si="328"/>
        <v>1</v>
      </c>
    </row>
    <row r="1069" spans="1:63" x14ac:dyDescent="0.45">
      <c r="A1069" s="1">
        <v>43686</v>
      </c>
      <c r="B1069">
        <v>15.667299999999999</v>
      </c>
      <c r="C1069" s="1">
        <v>43686</v>
      </c>
      <c r="D1069">
        <v>291.62</v>
      </c>
      <c r="E1069">
        <f t="shared" si="329"/>
        <v>-1.3810294145417254E-2</v>
      </c>
      <c r="F1069" s="4">
        <f t="shared" si="330"/>
        <v>-6.8115251004699949E-3</v>
      </c>
      <c r="G1069">
        <f t="shared" ca="1" si="331"/>
        <v>-1.6329913822529965E-3</v>
      </c>
      <c r="H1069">
        <f t="shared" ca="1" si="332"/>
        <v>3.1907762744978127E-2</v>
      </c>
      <c r="I1069">
        <f t="shared" ca="1" si="333"/>
        <v>-0.69439758692643894</v>
      </c>
      <c r="J1069">
        <f t="shared" ca="1" si="334"/>
        <v>2.9259802136242317</v>
      </c>
      <c r="K1069">
        <f t="shared" ca="1" si="335"/>
        <v>0.8679750798174134</v>
      </c>
      <c r="L1069">
        <f t="shared" ca="1" si="336"/>
        <v>1.1068562454452118</v>
      </c>
      <c r="M1069">
        <f t="shared" ca="1" si="337"/>
        <v>2.6006786154885098E-4</v>
      </c>
      <c r="N1069">
        <f t="shared" ca="1" si="338"/>
        <v>1.0242452940740098E-2</v>
      </c>
      <c r="O1069">
        <f t="shared" ca="1" si="339"/>
        <v>9.5378826236815886E-2</v>
      </c>
      <c r="P1069">
        <f t="shared" ca="1" si="340"/>
        <v>3.9763029474559706</v>
      </c>
      <c r="Q1069">
        <f t="shared" ca="1" si="341"/>
        <v>0.71327868993470567</v>
      </c>
      <c r="R1069">
        <f t="shared" ca="1" si="342"/>
        <v>1.5687703562056736</v>
      </c>
      <c r="T1069">
        <f t="shared" si="343"/>
        <v>0.98618970585458277</v>
      </c>
      <c r="U1069" s="6">
        <f t="shared" ca="1" si="344"/>
        <v>1.0028548202295378</v>
      </c>
      <c r="BJ1069" t="b">
        <f t="shared" si="327"/>
        <v>1</v>
      </c>
      <c r="BK1069" t="b">
        <f t="shared" si="328"/>
        <v>1</v>
      </c>
    </row>
    <row r="1070" spans="1:63" x14ac:dyDescent="0.45">
      <c r="A1070" s="1">
        <v>43685</v>
      </c>
      <c r="B1070">
        <v>15.886699999999999</v>
      </c>
      <c r="C1070" s="1">
        <v>43685</v>
      </c>
      <c r="D1070">
        <v>293.62</v>
      </c>
      <c r="E1070">
        <f t="shared" si="329"/>
        <v>2.0910849350632667E-2</v>
      </c>
      <c r="F1070" s="4">
        <f t="shared" si="330"/>
        <v>1.962009931590088E-2</v>
      </c>
      <c r="G1070">
        <f t="shared" ca="1" si="331"/>
        <v>-1.5675220125585651E-3</v>
      </c>
      <c r="H1070">
        <f t="shared" ca="1" si="332"/>
        <v>3.1981287282678385E-2</v>
      </c>
      <c r="I1070">
        <f t="shared" ca="1" si="333"/>
        <v>-0.69929379838569439</v>
      </c>
      <c r="J1070">
        <f t="shared" ca="1" si="334"/>
        <v>2.9097027938759705</v>
      </c>
      <c r="K1070">
        <f t="shared" ca="1" si="335"/>
        <v>0.86872761063300785</v>
      </c>
      <c r="L1070">
        <f t="shared" ca="1" si="336"/>
        <v>1.1162485714428676</v>
      </c>
      <c r="M1070">
        <f t="shared" ca="1" si="337"/>
        <v>2.9808717854895236E-4</v>
      </c>
      <c r="N1070">
        <f t="shared" ca="1" si="338"/>
        <v>1.025685858158684E-2</v>
      </c>
      <c r="O1070">
        <f t="shared" ca="1" si="339"/>
        <v>8.6046108230349555E-2</v>
      </c>
      <c r="P1070">
        <f t="shared" ca="1" si="340"/>
        <v>3.9729861272702545</v>
      </c>
      <c r="Q1070">
        <f t="shared" ca="1" si="341"/>
        <v>0.7131200482776705</v>
      </c>
      <c r="R1070">
        <f t="shared" ca="1" si="342"/>
        <v>1.6896445032770779</v>
      </c>
      <c r="T1070">
        <f t="shared" si="343"/>
        <v>1.0209108493506327</v>
      </c>
      <c r="U1070" s="6">
        <f t="shared" ca="1" si="344"/>
        <v>1.0190314304041053</v>
      </c>
      <c r="BJ1070" t="b">
        <f t="shared" si="327"/>
        <v>1</v>
      </c>
      <c r="BK1070" t="b">
        <f t="shared" si="328"/>
        <v>1</v>
      </c>
    </row>
    <row r="1071" spans="1:63" x14ac:dyDescent="0.45">
      <c r="A1071" s="1">
        <v>43684</v>
      </c>
      <c r="B1071">
        <v>15.561299999999999</v>
      </c>
      <c r="C1071" s="1">
        <v>43684</v>
      </c>
      <c r="D1071">
        <v>287.97000000000003</v>
      </c>
      <c r="E1071">
        <f t="shared" si="329"/>
        <v>1.1570989319586762E-2</v>
      </c>
      <c r="F1071" s="4">
        <f t="shared" si="330"/>
        <v>5.9068797776239026E-4</v>
      </c>
      <c r="G1071">
        <f t="shared" ca="1" si="331"/>
        <v>-1.6890267226298686E-3</v>
      </c>
      <c r="H1071">
        <f t="shared" ca="1" si="332"/>
        <v>3.2024998540580205E-2</v>
      </c>
      <c r="I1071">
        <f t="shared" ca="1" si="333"/>
        <v>-0.69065366788182092</v>
      </c>
      <c r="J1071">
        <f t="shared" ca="1" si="334"/>
        <v>2.8980600746409806</v>
      </c>
      <c r="K1071">
        <f t="shared" ca="1" si="335"/>
        <v>0.8694792853618456</v>
      </c>
      <c r="L1071">
        <f t="shared" ca="1" si="336"/>
        <v>1.0832920355759734</v>
      </c>
      <c r="M1071">
        <f t="shared" ca="1" si="337"/>
        <v>1.9364386969840142E-4</v>
      </c>
      <c r="N1071">
        <f t="shared" ca="1" si="338"/>
        <v>1.0185033821307582E-2</v>
      </c>
      <c r="O1071">
        <f t="shared" ca="1" si="339"/>
        <v>8.1951040860930857E-2</v>
      </c>
      <c r="P1071">
        <f t="shared" ca="1" si="340"/>
        <v>4.1434913806379949</v>
      </c>
      <c r="Q1071">
        <f t="shared" ca="1" si="341"/>
        <v>0.70592230758345353</v>
      </c>
      <c r="R1071">
        <f t="shared" ca="1" si="342"/>
        <v>1.4880756036416123</v>
      </c>
      <c r="T1071">
        <f t="shared" si="343"/>
        <v>1.0115709893195868</v>
      </c>
      <c r="U1071" s="6">
        <f t="shared" ca="1" si="344"/>
        <v>0.96610232627442216</v>
      </c>
      <c r="BJ1071" t="b">
        <f t="shared" si="327"/>
        <v>1</v>
      </c>
      <c r="BK1071" t="b">
        <f t="shared" si="328"/>
        <v>1</v>
      </c>
    </row>
    <row r="1072" spans="1:63" x14ac:dyDescent="0.45">
      <c r="A1072" s="1">
        <v>43683</v>
      </c>
      <c r="B1072">
        <v>15.3833</v>
      </c>
      <c r="C1072" s="1">
        <v>43683</v>
      </c>
      <c r="D1072">
        <v>287.8</v>
      </c>
      <c r="E1072">
        <f t="shared" si="329"/>
        <v>1.0642980560136179E-2</v>
      </c>
      <c r="F1072" s="4">
        <f t="shared" si="330"/>
        <v>1.402297230639144E-2</v>
      </c>
      <c r="G1072">
        <f t="shared" ca="1" si="331"/>
        <v>-1.7610920272071329E-3</v>
      </c>
      <c r="H1072">
        <f t="shared" ca="1" si="332"/>
        <v>3.2097334396235765E-2</v>
      </c>
      <c r="I1072">
        <f t="shared" ca="1" si="333"/>
        <v>-0.68336415148021223</v>
      </c>
      <c r="J1072">
        <f t="shared" ca="1" si="334"/>
        <v>2.8711480518251338</v>
      </c>
      <c r="K1072">
        <f t="shared" ca="1" si="335"/>
        <v>0.87023010546393686</v>
      </c>
      <c r="L1072">
        <f t="shared" ca="1" si="336"/>
        <v>1.0825510076303333</v>
      </c>
      <c r="M1072">
        <f t="shared" ca="1" si="337"/>
        <v>1.9148602128501017E-4</v>
      </c>
      <c r="N1072">
        <f t="shared" ca="1" si="338"/>
        <v>1.0212781465883966E-2</v>
      </c>
      <c r="O1072">
        <f t="shared" ca="1" si="339"/>
        <v>8.2374425114177502E-2</v>
      </c>
      <c r="P1072">
        <f t="shared" ca="1" si="340"/>
        <v>4.1055893011428957</v>
      </c>
      <c r="Q1072">
        <f t="shared" ca="1" si="341"/>
        <v>0.70660742728510495</v>
      </c>
      <c r="R1072">
        <f t="shared" ca="1" si="342"/>
        <v>1.5287064987157715</v>
      </c>
      <c r="T1072">
        <f t="shared" si="343"/>
        <v>1.0106429805601362</v>
      </c>
      <c r="U1072" s="6">
        <f t="shared" ca="1" si="344"/>
        <v>0.95248503160853715</v>
      </c>
      <c r="BJ1072" t="b">
        <f t="shared" si="327"/>
        <v>1</v>
      </c>
      <c r="BK1072" t="b">
        <f t="shared" si="328"/>
        <v>1</v>
      </c>
    </row>
    <row r="1073" spans="1:63" x14ac:dyDescent="0.45">
      <c r="A1073" s="1">
        <v>43682</v>
      </c>
      <c r="B1073">
        <v>15.221299999999999</v>
      </c>
      <c r="C1073" s="1">
        <v>43682</v>
      </c>
      <c r="D1073">
        <v>283.82</v>
      </c>
      <c r="E1073">
        <f t="shared" si="329"/>
        <v>-2.5693382065840133E-2</v>
      </c>
      <c r="F1073" s="4">
        <f t="shared" si="330"/>
        <v>-3.0073132390130583E-2</v>
      </c>
      <c r="G1073">
        <f t="shared" ca="1" si="331"/>
        <v>-1.8288738446243099E-3</v>
      </c>
      <c r="H1073">
        <f t="shared" ca="1" si="332"/>
        <v>3.2172185481942082E-2</v>
      </c>
      <c r="I1073">
        <f t="shared" ca="1" si="333"/>
        <v>-0.67630311802647725</v>
      </c>
      <c r="J1073">
        <f t="shared" ca="1" si="334"/>
        <v>2.8432751658265834</v>
      </c>
      <c r="K1073">
        <f t="shared" ca="1" si="335"/>
        <v>0.87098007239597219</v>
      </c>
      <c r="L1073">
        <f t="shared" ca="1" si="336"/>
        <v>1.0818251638913112</v>
      </c>
      <c r="M1073">
        <f t="shared" ca="1" si="337"/>
        <v>1.1590412901666907E-4</v>
      </c>
      <c r="N1073">
        <f t="shared" ca="1" si="338"/>
        <v>1.0189067142762874E-2</v>
      </c>
      <c r="O1073">
        <f t="shared" ca="1" si="339"/>
        <v>9.2015377035876741E-2</v>
      </c>
      <c r="P1073">
        <f t="shared" ca="1" si="340"/>
        <v>4.1963171703305129</v>
      </c>
      <c r="Q1073">
        <f t="shared" ca="1" si="341"/>
        <v>0.68351373185375963</v>
      </c>
      <c r="R1073">
        <f t="shared" ca="1" si="342"/>
        <v>1.4515684076640312</v>
      </c>
      <c r="T1073">
        <f t="shared" si="343"/>
        <v>0.97430661793415985</v>
      </c>
      <c r="U1073" s="6">
        <f t="shared" ca="1" si="344"/>
        <v>0.96839928744115</v>
      </c>
      <c r="BJ1073" t="b">
        <f t="shared" si="327"/>
        <v>1</v>
      </c>
      <c r="BK1073" t="b">
        <f t="shared" si="328"/>
        <v>1</v>
      </c>
    </row>
    <row r="1074" spans="1:63" x14ac:dyDescent="0.45">
      <c r="A1074" s="1">
        <v>43679</v>
      </c>
      <c r="B1074">
        <v>15.6227</v>
      </c>
      <c r="C1074" s="1">
        <v>43679</v>
      </c>
      <c r="D1074">
        <v>292.62</v>
      </c>
      <c r="E1074">
        <f t="shared" si="329"/>
        <v>2.0974983964079648E-3</v>
      </c>
      <c r="F1074" s="4">
        <f t="shared" si="330"/>
        <v>-7.5295075295074296E-3</v>
      </c>
      <c r="G1074">
        <f t="shared" ca="1" si="331"/>
        <v>-1.697750173079168E-3</v>
      </c>
      <c r="H1074">
        <f t="shared" ca="1" si="332"/>
        <v>3.22118649810594E-2</v>
      </c>
      <c r="I1074">
        <f t="shared" ca="1" si="333"/>
        <v>-0.68764691162547276</v>
      </c>
      <c r="J1074">
        <f t="shared" ca="1" si="334"/>
        <v>2.857107682002932</v>
      </c>
      <c r="K1074">
        <f t="shared" ca="1" si="335"/>
        <v>0.87172918761133322</v>
      </c>
      <c r="L1074">
        <f t="shared" ca="1" si="336"/>
        <v>1.1162485714428676</v>
      </c>
      <c r="M1074">
        <f t="shared" ca="1" si="337"/>
        <v>2.8177795604495071E-4</v>
      </c>
      <c r="N1074">
        <f t="shared" ca="1" si="338"/>
        <v>9.9663313721846426E-3</v>
      </c>
      <c r="O1074">
        <f t="shared" ca="1" si="339"/>
        <v>0.20364398891030938</v>
      </c>
      <c r="P1074">
        <f t="shared" ca="1" si="340"/>
        <v>4.4146703898662096</v>
      </c>
      <c r="Q1074">
        <f t="shared" ca="1" si="341"/>
        <v>0.69224545310811791</v>
      </c>
      <c r="R1074">
        <f t="shared" ca="1" si="342"/>
        <v>1.5226488783628136</v>
      </c>
      <c r="T1074">
        <f t="shared" si="343"/>
        <v>1.0020974983964079</v>
      </c>
      <c r="U1074" s="6">
        <f t="shared" ca="1" si="344"/>
        <v>1.0276266715780749</v>
      </c>
      <c r="BJ1074" t="b">
        <f t="shared" si="327"/>
        <v>1</v>
      </c>
      <c r="BK1074" t="b">
        <f t="shared" si="328"/>
        <v>1</v>
      </c>
    </row>
    <row r="1075" spans="1:63" x14ac:dyDescent="0.45">
      <c r="A1075" s="1">
        <v>43678</v>
      </c>
      <c r="B1075">
        <v>15.59</v>
      </c>
      <c r="C1075" s="1">
        <v>43678</v>
      </c>
      <c r="D1075">
        <v>294.83999999999997</v>
      </c>
      <c r="E1075">
        <f t="shared" si="329"/>
        <v>-3.2115872927182008E-2</v>
      </c>
      <c r="F1075" s="4">
        <f t="shared" si="330"/>
        <v>-8.7079312779478595E-3</v>
      </c>
      <c r="G1075">
        <f t="shared" ca="1" si="331"/>
        <v>-1.7187183972199806E-3</v>
      </c>
      <c r="H1075">
        <f t="shared" ca="1" si="332"/>
        <v>3.2299972906307116E-2</v>
      </c>
      <c r="I1075">
        <f t="shared" ca="1" si="333"/>
        <v>-0.68390597907453954</v>
      </c>
      <c r="J1075">
        <f t="shared" ca="1" si="334"/>
        <v>2.824355171187539</v>
      </c>
      <c r="K1075">
        <f t="shared" ca="1" si="335"/>
        <v>0.87247745256010445</v>
      </c>
      <c r="L1075">
        <f t="shared" ca="1" si="336"/>
        <v>1.1256205323563624</v>
      </c>
      <c r="M1075">
        <f t="shared" ca="1" si="337"/>
        <v>3.2493422944579264E-4</v>
      </c>
      <c r="N1075">
        <f t="shared" ca="1" si="338"/>
        <v>9.9769098583083592E-3</v>
      </c>
      <c r="O1075">
        <f t="shared" ca="1" si="339"/>
        <v>0.19371135539232687</v>
      </c>
      <c r="P1075">
        <f t="shared" ca="1" si="340"/>
        <v>4.4197488455019638</v>
      </c>
      <c r="Q1075">
        <f t="shared" ca="1" si="341"/>
        <v>0.69487023550561833</v>
      </c>
      <c r="R1075">
        <f t="shared" ca="1" si="342"/>
        <v>1.6753664431623354</v>
      </c>
      <c r="T1075">
        <f t="shared" si="343"/>
        <v>0.96788412707281801</v>
      </c>
      <c r="U1075" s="6">
        <f t="shared" ca="1" si="344"/>
        <v>1.0219801110477427</v>
      </c>
      <c r="BJ1075" t="b">
        <f t="shared" si="327"/>
        <v>1</v>
      </c>
      <c r="BK1075" t="b">
        <f t="shared" si="328"/>
        <v>1</v>
      </c>
    </row>
    <row r="1076" spans="1:63" x14ac:dyDescent="0.45">
      <c r="A1076" s="1">
        <v>43677</v>
      </c>
      <c r="B1076">
        <v>16.107299999999999</v>
      </c>
      <c r="C1076" s="1">
        <v>43677</v>
      </c>
      <c r="D1076">
        <v>297.43</v>
      </c>
      <c r="E1076">
        <f t="shared" si="329"/>
        <v>-2.687190028915272E-3</v>
      </c>
      <c r="F1076" s="4">
        <f t="shared" si="330"/>
        <v>-1.094040968342651E-2</v>
      </c>
      <c r="G1076">
        <f t="shared" ca="1" si="331"/>
        <v>-1.5498453164979702E-3</v>
      </c>
      <c r="H1076">
        <f t="shared" ca="1" si="332"/>
        <v>3.2309844625451146E-2</v>
      </c>
      <c r="I1076">
        <f t="shared" ca="1" si="333"/>
        <v>-0.69829122622259021</v>
      </c>
      <c r="J1076">
        <f t="shared" ca="1" si="334"/>
        <v>2.8610054879257989</v>
      </c>
      <c r="K1076">
        <f t="shared" ca="1" si="335"/>
        <v>0.87169722182855114</v>
      </c>
      <c r="L1076">
        <f t="shared" ca="1" si="336"/>
        <v>1.1379496762788106</v>
      </c>
      <c r="M1076">
        <f t="shared" ca="1" si="337"/>
        <v>3.7511681559797961E-4</v>
      </c>
      <c r="N1076">
        <f t="shared" ca="1" si="338"/>
        <v>9.9818062163284649E-3</v>
      </c>
      <c r="O1076">
        <f t="shared" ca="1" si="339"/>
        <v>0.18345377004229801</v>
      </c>
      <c r="P1076">
        <f t="shared" ca="1" si="340"/>
        <v>4.4400603559872867</v>
      </c>
      <c r="Q1076">
        <f t="shared" ca="1" si="341"/>
        <v>0.69556600036320904</v>
      </c>
      <c r="R1076">
        <f t="shared" ca="1" si="342"/>
        <v>1.7528405070528332</v>
      </c>
      <c r="T1076">
        <f t="shared" si="343"/>
        <v>0.99731280997108473</v>
      </c>
      <c r="U1076" s="6">
        <f t="shared" ca="1" si="344"/>
        <v>0.91214528815824503</v>
      </c>
      <c r="BJ1076" t="b">
        <f t="shared" si="327"/>
        <v>1</v>
      </c>
      <c r="BK1076" t="b">
        <f t="shared" si="328"/>
        <v>1</v>
      </c>
    </row>
    <row r="1077" spans="1:63" x14ac:dyDescent="0.45">
      <c r="A1077" s="1">
        <v>43676</v>
      </c>
      <c r="B1077">
        <v>16.150700000000001</v>
      </c>
      <c r="C1077" s="1">
        <v>43676</v>
      </c>
      <c r="D1077">
        <v>300.72000000000003</v>
      </c>
      <c r="E1077">
        <f t="shared" si="329"/>
        <v>2.7528947703270169E-2</v>
      </c>
      <c r="F1077" s="4">
        <f t="shared" si="330"/>
        <v>-2.4547203609100788E-3</v>
      </c>
      <c r="G1077">
        <f t="shared" ca="1" si="331"/>
        <v>-1.5434914354230131E-3</v>
      </c>
      <c r="H1077">
        <f t="shared" ca="1" si="332"/>
        <v>3.2400362731226082E-2</v>
      </c>
      <c r="I1077">
        <f t="shared" ca="1" si="333"/>
        <v>-0.69698366170988224</v>
      </c>
      <c r="J1077">
        <f t="shared" ca="1" si="334"/>
        <v>2.8294359079831697</v>
      </c>
      <c r="K1077">
        <f t="shared" ca="1" si="335"/>
        <v>0.87091998344839816</v>
      </c>
      <c r="L1077">
        <f t="shared" ca="1" si="336"/>
        <v>1.1453601272799534</v>
      </c>
      <c r="M1077">
        <f t="shared" ca="1" si="337"/>
        <v>4.3833204743610576E-4</v>
      </c>
      <c r="N1077">
        <f t="shared" ca="1" si="338"/>
        <v>9.9736081657842736E-3</v>
      </c>
      <c r="O1077">
        <f t="shared" ca="1" si="339"/>
        <v>0.1740185651058353</v>
      </c>
      <c r="P1077">
        <f t="shared" ca="1" si="340"/>
        <v>4.4936878590204001</v>
      </c>
      <c r="Q1077">
        <f t="shared" ca="1" si="341"/>
        <v>0.6962610926533539</v>
      </c>
      <c r="R1077">
        <f t="shared" ca="1" si="342"/>
        <v>1.8230309647763205</v>
      </c>
      <c r="T1077">
        <f t="shared" si="343"/>
        <v>1.0275289477032701</v>
      </c>
      <c r="U1077" s="6">
        <f t="shared" ca="1" si="344"/>
        <v>0.93116052742336264</v>
      </c>
      <c r="BJ1077" t="b">
        <f t="shared" si="327"/>
        <v>1</v>
      </c>
      <c r="BK1077" t="b">
        <f t="shared" si="328"/>
        <v>1</v>
      </c>
    </row>
    <row r="1078" spans="1:63" x14ac:dyDescent="0.45">
      <c r="A1078" s="1">
        <v>43675</v>
      </c>
      <c r="B1078">
        <v>15.718</v>
      </c>
      <c r="C1078" s="1">
        <v>43675</v>
      </c>
      <c r="D1078">
        <v>301.45999999999998</v>
      </c>
      <c r="E1078">
        <f t="shared" si="329"/>
        <v>3.3895294914719085E-2</v>
      </c>
      <c r="F1078" s="4">
        <f t="shared" si="330"/>
        <v>-1.8211317506043223E-3</v>
      </c>
      <c r="G1078">
        <f t="shared" ca="1" si="331"/>
        <v>-1.7068197451909513E-3</v>
      </c>
      <c r="H1078">
        <f t="shared" ca="1" si="332"/>
        <v>3.2417780296092755E-2</v>
      </c>
      <c r="I1078">
        <f t="shared" ca="1" si="333"/>
        <v>-0.68867133479018994</v>
      </c>
      <c r="J1078">
        <f t="shared" ca="1" si="334"/>
        <v>2.8326572613449987</v>
      </c>
      <c r="K1078">
        <f t="shared" ca="1" si="335"/>
        <v>0.87014572023813275</v>
      </c>
      <c r="L1078">
        <f t="shared" ca="1" si="336"/>
        <v>1.1162485714428676</v>
      </c>
      <c r="M1078">
        <f t="shared" ca="1" si="337"/>
        <v>4.5458515085378077E-4</v>
      </c>
      <c r="N1078">
        <f t="shared" ca="1" si="338"/>
        <v>9.9993650304116277E-3</v>
      </c>
      <c r="O1078">
        <f t="shared" ca="1" si="339"/>
        <v>0.16887061797955683</v>
      </c>
      <c r="P1078">
        <f t="shared" ca="1" si="340"/>
        <v>4.4583952560586066</v>
      </c>
      <c r="Q1078">
        <f t="shared" ca="1" si="341"/>
        <v>0.6969555133507962</v>
      </c>
      <c r="R1078">
        <f t="shared" ca="1" si="342"/>
        <v>1.8795154878068594</v>
      </c>
      <c r="T1078">
        <f t="shared" si="343"/>
        <v>1.0338952949147191</v>
      </c>
      <c r="U1078" s="6">
        <f t="shared" ca="1" si="344"/>
        <v>0.92213102732131424</v>
      </c>
      <c r="BJ1078" t="b">
        <f t="shared" si="327"/>
        <v>1</v>
      </c>
      <c r="BK1078" t="b">
        <f t="shared" si="328"/>
        <v>1</v>
      </c>
    </row>
    <row r="1079" spans="1:63" x14ac:dyDescent="0.45">
      <c r="A1079" s="1">
        <v>43672</v>
      </c>
      <c r="B1079">
        <v>15.2027</v>
      </c>
      <c r="C1079" s="1">
        <v>43672</v>
      </c>
      <c r="D1079">
        <v>302.01</v>
      </c>
      <c r="E1079">
        <f t="shared" si="329"/>
        <v>-3.4087854890623615E-3</v>
      </c>
      <c r="F1079" s="4">
        <f t="shared" si="330"/>
        <v>6.6999999999999699E-3</v>
      </c>
      <c r="G1079">
        <f t="shared" ca="1" si="331"/>
        <v>-1.907961635924907E-3</v>
      </c>
      <c r="H1079">
        <f t="shared" ca="1" si="332"/>
        <v>3.2398165386798537E-2</v>
      </c>
      <c r="I1079">
        <f t="shared" ca="1" si="333"/>
        <v>-0.68267493941401924</v>
      </c>
      <c r="J1079">
        <f t="shared" ca="1" si="334"/>
        <v>2.8551250295569019</v>
      </c>
      <c r="K1079">
        <f t="shared" ca="1" si="335"/>
        <v>0.86937441514752822</v>
      </c>
      <c r="L1079">
        <f t="shared" ca="1" si="336"/>
        <v>1.0832920355759734</v>
      </c>
      <c r="M1079">
        <f t="shared" ca="1" si="337"/>
        <v>4.6744230848913738E-4</v>
      </c>
      <c r="N1079">
        <f t="shared" ca="1" si="338"/>
        <v>1.0026256476563581E-2</v>
      </c>
      <c r="O1079">
        <f t="shared" ca="1" si="339"/>
        <v>0.16465426725995602</v>
      </c>
      <c r="P1079">
        <f t="shared" ca="1" si="340"/>
        <v>4.4206162775327051</v>
      </c>
      <c r="Q1079">
        <f t="shared" ca="1" si="341"/>
        <v>0.69764926342839706</v>
      </c>
      <c r="R1079">
        <f t="shared" ca="1" si="342"/>
        <v>1.9358520104804382</v>
      </c>
      <c r="T1079">
        <f t="shared" si="343"/>
        <v>0.99659121451093768</v>
      </c>
      <c r="U1079" s="6">
        <f t="shared" ca="1" si="344"/>
        <v>0.88326167789914001</v>
      </c>
      <c r="BJ1079" t="b">
        <f t="shared" si="327"/>
        <v>1</v>
      </c>
      <c r="BK1079" t="b">
        <f t="shared" si="328"/>
        <v>1</v>
      </c>
    </row>
    <row r="1080" spans="1:63" x14ac:dyDescent="0.45">
      <c r="A1080" s="1">
        <v>43671</v>
      </c>
      <c r="B1080">
        <v>15.2547</v>
      </c>
      <c r="C1080" s="1">
        <v>43671</v>
      </c>
      <c r="D1080">
        <v>300</v>
      </c>
      <c r="E1080">
        <f t="shared" si="329"/>
        <v>-0.13613686171688744</v>
      </c>
      <c r="F1080" s="4">
        <f t="shared" si="330"/>
        <v>-4.7770700636942604E-3</v>
      </c>
      <c r="G1080">
        <f t="shared" ca="1" si="331"/>
        <v>-1.8994342276684438E-3</v>
      </c>
      <c r="H1080">
        <f t="shared" ca="1" si="332"/>
        <v>3.2490400509809128E-2</v>
      </c>
      <c r="I1080">
        <f t="shared" ca="1" si="333"/>
        <v>-0.68158534601388798</v>
      </c>
      <c r="J1080">
        <f t="shared" ca="1" si="334"/>
        <v>2.8232828082610371</v>
      </c>
      <c r="K1080">
        <f t="shared" ca="1" si="335"/>
        <v>0.86860605125639412</v>
      </c>
      <c r="L1080">
        <f t="shared" ca="1" si="336"/>
        <v>1.0825510076303333</v>
      </c>
      <c r="M1080">
        <f t="shared" ca="1" si="337"/>
        <v>4.3203004887828062E-4</v>
      </c>
      <c r="N1080">
        <f t="shared" ca="1" si="338"/>
        <v>1.0043755315909515E-2</v>
      </c>
      <c r="O1080">
        <f t="shared" ca="1" si="339"/>
        <v>0.17405970936669005</v>
      </c>
      <c r="P1080">
        <f t="shared" ca="1" si="340"/>
        <v>4.4137907953841307</v>
      </c>
      <c r="Q1080">
        <f t="shared" ca="1" si="341"/>
        <v>0.69834234385714078</v>
      </c>
      <c r="R1080">
        <f t="shared" ca="1" si="342"/>
        <v>1.7528405070528332</v>
      </c>
      <c r="T1080">
        <f t="shared" si="343"/>
        <v>0.86386313828311256</v>
      </c>
      <c r="U1080" s="6">
        <f t="shared" ca="1" si="344"/>
        <v>0.90250078389843014</v>
      </c>
      <c r="BJ1080" t="b">
        <f t="shared" si="327"/>
        <v>1</v>
      </c>
      <c r="BK1080" t="b">
        <f t="shared" si="328"/>
        <v>1</v>
      </c>
    </row>
    <row r="1081" spans="1:63" x14ac:dyDescent="0.45">
      <c r="A1081" s="1">
        <v>43670</v>
      </c>
      <c r="B1081">
        <v>17.6587</v>
      </c>
      <c r="C1081" s="1">
        <v>43670</v>
      </c>
      <c r="D1081">
        <v>301.44</v>
      </c>
      <c r="E1081">
        <f t="shared" si="329"/>
        <v>1.8103512888663399E-2</v>
      </c>
      <c r="F1081" s="4">
        <f t="shared" si="330"/>
        <v>4.6995300469953845E-3</v>
      </c>
      <c r="G1081">
        <f t="shared" ca="1" si="331"/>
        <v>-1.1323632134443357E-3</v>
      </c>
      <c r="H1081">
        <f t="shared" ca="1" si="332"/>
        <v>3.0944139079514963E-2</v>
      </c>
      <c r="I1081">
        <f t="shared" ca="1" si="333"/>
        <v>-0.39417892178546965</v>
      </c>
      <c r="J1081">
        <f t="shared" ca="1" si="334"/>
        <v>2.0602414389428518</v>
      </c>
      <c r="K1081">
        <f t="shared" ca="1" si="335"/>
        <v>0.88489477719435006</v>
      </c>
      <c r="L1081">
        <f t="shared" ca="1" si="336"/>
        <v>1.1068562454452118</v>
      </c>
      <c r="M1081">
        <f t="shared" ca="1" si="337"/>
        <v>4.6179633523583767E-4</v>
      </c>
      <c r="N1081">
        <f t="shared" ca="1" si="338"/>
        <v>1.0064786933946043E-2</v>
      </c>
      <c r="O1081">
        <f t="shared" ca="1" si="339"/>
        <v>0.16580730704610619</v>
      </c>
      <c r="P1081">
        <f t="shared" ca="1" si="340"/>
        <v>4.3928080132891516</v>
      </c>
      <c r="Q1081">
        <f t="shared" ca="1" si="341"/>
        <v>0.6990347556061357</v>
      </c>
      <c r="R1081">
        <f t="shared" ca="1" si="342"/>
        <v>1.8230309647763205</v>
      </c>
      <c r="T1081">
        <f t="shared" si="343"/>
        <v>1.0181035128886633</v>
      </c>
      <c r="U1081" s="6">
        <f t="shared" ca="1" si="344"/>
        <v>1.0393156256069493</v>
      </c>
      <c r="BJ1081" t="b">
        <f t="shared" si="327"/>
        <v>1</v>
      </c>
      <c r="BK1081" t="b">
        <f t="shared" si="328"/>
        <v>1</v>
      </c>
    </row>
    <row r="1082" spans="1:63" x14ac:dyDescent="0.45">
      <c r="A1082" s="1">
        <v>43669</v>
      </c>
      <c r="B1082">
        <v>17.3447</v>
      </c>
      <c r="C1082" s="1">
        <v>43669</v>
      </c>
      <c r="D1082">
        <v>300.02999999999997</v>
      </c>
      <c r="E1082">
        <f t="shared" si="329"/>
        <v>1.7564959255630497E-2</v>
      </c>
      <c r="F1082" s="4">
        <f t="shared" si="330"/>
        <v>7.1500503524672566E-3</v>
      </c>
      <c r="G1082">
        <f t="shared" ca="1" si="331"/>
        <v>-1.2429142255254144E-3</v>
      </c>
      <c r="H1082">
        <f t="shared" ca="1" si="332"/>
        <v>3.099876651208152E-2</v>
      </c>
      <c r="I1082">
        <f t="shared" ca="1" si="333"/>
        <v>-0.384965239682592</v>
      </c>
      <c r="J1082">
        <f t="shared" ca="1" si="334"/>
        <v>2.047767086993693</v>
      </c>
      <c r="K1082">
        <f t="shared" ca="1" si="335"/>
        <v>0.88529330456270805</v>
      </c>
      <c r="L1082">
        <f t="shared" ca="1" si="336"/>
        <v>1.0835852226078422</v>
      </c>
      <c r="M1082">
        <f t="shared" ca="1" si="337"/>
        <v>4.3744154378894389E-4</v>
      </c>
      <c r="N1082">
        <f t="shared" ca="1" si="338"/>
        <v>1.0088661085550552E-2</v>
      </c>
      <c r="O1082">
        <f t="shared" ca="1" si="339"/>
        <v>0.17248867931816911</v>
      </c>
      <c r="P1082">
        <f t="shared" ca="1" si="340"/>
        <v>4.3678669468147611</v>
      </c>
      <c r="Q1082">
        <f t="shared" ca="1" si="341"/>
        <v>0.6997264996426239</v>
      </c>
      <c r="R1082">
        <f t="shared" ca="1" si="342"/>
        <v>1.8795154878068594</v>
      </c>
      <c r="T1082">
        <f t="shared" si="343"/>
        <v>1.0175649592556304</v>
      </c>
      <c r="U1082" s="6">
        <f t="shared" ca="1" si="344"/>
        <v>1.0308701776491356</v>
      </c>
      <c r="BJ1082" t="b">
        <f t="shared" si="327"/>
        <v>1</v>
      </c>
      <c r="BK1082" t="b">
        <f t="shared" si="328"/>
        <v>1</v>
      </c>
    </row>
    <row r="1083" spans="1:63" x14ac:dyDescent="0.45">
      <c r="A1083" s="1">
        <v>43668</v>
      </c>
      <c r="B1083">
        <v>17.045300000000001</v>
      </c>
      <c r="C1083" s="1">
        <v>43668</v>
      </c>
      <c r="D1083">
        <v>297.89999999999998</v>
      </c>
      <c r="E1083">
        <f t="shared" si="329"/>
        <v>-9.6851034162211674E-3</v>
      </c>
      <c r="F1083" s="4">
        <f t="shared" si="330"/>
        <v>2.4565063768212177E-3</v>
      </c>
      <c r="G1083">
        <f t="shared" ca="1" si="331"/>
        <v>-1.3516302572083969E-3</v>
      </c>
      <c r="H1083">
        <f t="shared" ca="1" si="332"/>
        <v>3.1055463235954501E-2</v>
      </c>
      <c r="I1083">
        <f t="shared" ca="1" si="333"/>
        <v>-0.37579401780535332</v>
      </c>
      <c r="J1083">
        <f t="shared" ca="1" si="334"/>
        <v>2.0345042448911501</v>
      </c>
      <c r="K1083">
        <f t="shared" ca="1" si="335"/>
        <v>0.88569137648979512</v>
      </c>
      <c r="L1083">
        <f t="shared" ca="1" si="336"/>
        <v>1.0797657763947375</v>
      </c>
      <c r="M1083">
        <f t="shared" ca="1" si="337"/>
        <v>3.9864033680236379E-4</v>
      </c>
      <c r="N1083">
        <f t="shared" ca="1" si="338"/>
        <v>1.0104916975483266E-2</v>
      </c>
      <c r="O1083">
        <f t="shared" ca="1" si="339"/>
        <v>0.1825972323578777</v>
      </c>
      <c r="P1083">
        <f t="shared" ca="1" si="340"/>
        <v>4.3658891625258276</v>
      </c>
      <c r="Q1083">
        <f t="shared" ca="1" si="341"/>
        <v>0.70041757693198037</v>
      </c>
      <c r="R1083">
        <f t="shared" ca="1" si="342"/>
        <v>1.7006565327971683</v>
      </c>
      <c r="T1083">
        <f t="shared" si="343"/>
        <v>0.9903148965837788</v>
      </c>
      <c r="U1083" s="6">
        <f t="shared" ca="1" si="344"/>
        <v>1.0085976331360949</v>
      </c>
      <c r="BJ1083" t="b">
        <f t="shared" si="327"/>
        <v>1</v>
      </c>
      <c r="BK1083" t="b">
        <f t="shared" si="328"/>
        <v>1</v>
      </c>
    </row>
    <row r="1084" spans="1:63" x14ac:dyDescent="0.45">
      <c r="A1084" s="1">
        <v>43665</v>
      </c>
      <c r="B1084">
        <v>17.212</v>
      </c>
      <c r="C1084" s="1">
        <v>43665</v>
      </c>
      <c r="D1084">
        <v>297.17</v>
      </c>
      <c r="E1084">
        <f t="shared" si="329"/>
        <v>1.8298851662752125E-2</v>
      </c>
      <c r="F1084" s="4">
        <f t="shared" si="330"/>
        <v>-5.5549978248501429E-3</v>
      </c>
      <c r="G1084">
        <f t="shared" ca="1" si="331"/>
        <v>-1.3031798318652989E-3</v>
      </c>
      <c r="H1084">
        <f t="shared" ca="1" si="332"/>
        <v>3.1139578106410964E-2</v>
      </c>
      <c r="I1084">
        <f t="shared" ca="1" si="333"/>
        <v>-0.37957154104700375</v>
      </c>
      <c r="J1084">
        <f t="shared" ca="1" si="334"/>
        <v>2.0122783282423149</v>
      </c>
      <c r="K1084">
        <f t="shared" ca="1" si="335"/>
        <v>0.8860889937558899</v>
      </c>
      <c r="L1084">
        <f t="shared" ca="1" si="336"/>
        <v>1.0694611054192524</v>
      </c>
      <c r="M1084">
        <f t="shared" ca="1" si="337"/>
        <v>3.8667599936039344E-4</v>
      </c>
      <c r="N1084">
        <f t="shared" ca="1" si="338"/>
        <v>1.0133191441862116E-2</v>
      </c>
      <c r="O1084">
        <f t="shared" ca="1" si="339"/>
        <v>0.18567853282468647</v>
      </c>
      <c r="P1084">
        <f t="shared" ca="1" si="340"/>
        <v>4.3284046978671995</v>
      </c>
      <c r="Q1084">
        <f t="shared" ca="1" si="341"/>
        <v>0.70110798843772093</v>
      </c>
      <c r="R1084">
        <f t="shared" ca="1" si="342"/>
        <v>1.7528405070528332</v>
      </c>
      <c r="T1084">
        <f t="shared" si="343"/>
        <v>1.018298851662752</v>
      </c>
      <c r="U1084" s="6">
        <f t="shared" ca="1" si="344"/>
        <v>1.0534497848666051</v>
      </c>
      <c r="BJ1084" t="b">
        <f t="shared" si="327"/>
        <v>1</v>
      </c>
      <c r="BK1084" t="b">
        <f t="shared" si="328"/>
        <v>1</v>
      </c>
    </row>
    <row r="1085" spans="1:63" x14ac:dyDescent="0.45">
      <c r="A1085" s="1">
        <v>43664</v>
      </c>
      <c r="B1085">
        <v>16.902699999999999</v>
      </c>
      <c r="C1085" s="1">
        <v>43664</v>
      </c>
      <c r="D1085">
        <v>298.83</v>
      </c>
      <c r="E1085">
        <f t="shared" si="329"/>
        <v>-5.1793039721730692E-3</v>
      </c>
      <c r="F1085" s="4">
        <f t="shared" si="330"/>
        <v>3.6609122052796901E-3</v>
      </c>
      <c r="G1085">
        <f t="shared" ca="1" si="331"/>
        <v>-1.4178115949917166E-3</v>
      </c>
      <c r="H1085">
        <f t="shared" ca="1" si="332"/>
        <v>3.1194612266731717E-2</v>
      </c>
      <c r="I1085">
        <f t="shared" ca="1" si="333"/>
        <v>-0.37013535649060447</v>
      </c>
      <c r="J1085">
        <f t="shared" ca="1" si="334"/>
        <v>2.0003354812286087</v>
      </c>
      <c r="K1085">
        <f t="shared" ca="1" si="335"/>
        <v>0.88648615713949031</v>
      </c>
      <c r="L1085">
        <f t="shared" ca="1" si="336"/>
        <v>1.050033657625252</v>
      </c>
      <c r="M1085">
        <f t="shared" ca="1" si="337"/>
        <v>4.2142262991133259E-4</v>
      </c>
      <c r="N1085">
        <f t="shared" ca="1" si="338"/>
        <v>1.0152669403653983E-2</v>
      </c>
      <c r="O1085">
        <f t="shared" ca="1" si="339"/>
        <v>0.17651486386878795</v>
      </c>
      <c r="P1085">
        <f t="shared" ca="1" si="340"/>
        <v>4.3129508580799918</v>
      </c>
      <c r="Q1085">
        <f t="shared" ca="1" si="341"/>
        <v>0.70179773512150667</v>
      </c>
      <c r="R1085">
        <f t="shared" ca="1" si="342"/>
        <v>1.8230309647763205</v>
      </c>
      <c r="T1085">
        <f t="shared" si="343"/>
        <v>0.99482069602782697</v>
      </c>
      <c r="U1085" s="6">
        <f t="shared" ca="1" si="344"/>
        <v>1.0626151244444166</v>
      </c>
      <c r="BJ1085" t="b">
        <f t="shared" si="327"/>
        <v>1</v>
      </c>
      <c r="BK1085" t="b">
        <f t="shared" si="328"/>
        <v>1</v>
      </c>
    </row>
    <row r="1086" spans="1:63" x14ac:dyDescent="0.45">
      <c r="A1086" s="1">
        <v>43663</v>
      </c>
      <c r="B1086">
        <v>16.9907</v>
      </c>
      <c r="C1086" s="1">
        <v>43663</v>
      </c>
      <c r="D1086">
        <v>297.74</v>
      </c>
      <c r="E1086">
        <f t="shared" si="329"/>
        <v>9.8304339298557405E-3</v>
      </c>
      <c r="F1086" s="4">
        <f t="shared" si="330"/>
        <v>-6.5730205865669163E-3</v>
      </c>
      <c r="G1086">
        <f t="shared" ca="1" si="331"/>
        <v>-1.3956851692435916E-3</v>
      </c>
      <c r="H1086">
        <f t="shared" ca="1" si="332"/>
        <v>3.1285422036366098E-2</v>
      </c>
      <c r="I1086">
        <f t="shared" ca="1" si="333"/>
        <v>-0.37125502709102171</v>
      </c>
      <c r="J1086">
        <f t="shared" ca="1" si="334"/>
        <v>1.9732692644261198</v>
      </c>
      <c r="K1086">
        <f t="shared" ca="1" si="335"/>
        <v>0.88688286741731659</v>
      </c>
      <c r="L1086">
        <f t="shared" ca="1" si="336"/>
        <v>1.0431496690219189</v>
      </c>
      <c r="M1086">
        <f t="shared" ca="1" si="337"/>
        <v>4.0236680887975379E-4</v>
      </c>
      <c r="N1086">
        <f t="shared" ca="1" si="338"/>
        <v>1.0179595061620797E-2</v>
      </c>
      <c r="O1086">
        <f t="shared" ca="1" si="339"/>
        <v>0.18165613101834571</v>
      </c>
      <c r="P1086">
        <f t="shared" ca="1" si="340"/>
        <v>4.2809666023179904</v>
      </c>
      <c r="Q1086">
        <f t="shared" ca="1" si="341"/>
        <v>0.70248681794314594</v>
      </c>
      <c r="R1086">
        <f t="shared" ca="1" si="342"/>
        <v>1.8795154878068594</v>
      </c>
      <c r="T1086">
        <f t="shared" si="343"/>
        <v>1.0098304339298558</v>
      </c>
      <c r="U1086" s="6">
        <f t="shared" ca="1" si="344"/>
        <v>1.0667189854344552</v>
      </c>
      <c r="BJ1086" t="b">
        <f t="shared" si="327"/>
        <v>1</v>
      </c>
      <c r="BK1086" t="b">
        <f t="shared" si="328"/>
        <v>1</v>
      </c>
    </row>
    <row r="1087" spans="1:63" x14ac:dyDescent="0.45">
      <c r="A1087" s="1">
        <v>43662</v>
      </c>
      <c r="B1087">
        <v>16.825299999999999</v>
      </c>
      <c r="C1087" s="1">
        <v>43662</v>
      </c>
      <c r="D1087">
        <v>299.70999999999998</v>
      </c>
      <c r="E1087">
        <f t="shared" si="329"/>
        <v>-4.4201183431952663E-3</v>
      </c>
      <c r="F1087" s="4">
        <f t="shared" si="330"/>
        <v>-3.458021612635147E-3</v>
      </c>
      <c r="G1087">
        <f t="shared" ca="1" si="331"/>
        <v>-1.4621119094749486E-3</v>
      </c>
      <c r="H1087">
        <f t="shared" ca="1" si="332"/>
        <v>3.1366368888924592E-2</v>
      </c>
      <c r="I1087">
        <f t="shared" ca="1" si="333"/>
        <v>-0.36445380171506103</v>
      </c>
      <c r="J1087">
        <f t="shared" ca="1" si="334"/>
        <v>1.9486322448282829</v>
      </c>
      <c r="K1087">
        <f t="shared" ca="1" si="335"/>
        <v>0.88727912536431952</v>
      </c>
      <c r="L1087">
        <f t="shared" ca="1" si="336"/>
        <v>1.0364039060540757</v>
      </c>
      <c r="M1087">
        <f t="shared" ca="1" si="337"/>
        <v>4.4364129050961641E-4</v>
      </c>
      <c r="N1087">
        <f t="shared" ca="1" si="338"/>
        <v>1.0195569288831049E-2</v>
      </c>
      <c r="O1087">
        <f t="shared" ca="1" si="339"/>
        <v>0.17153130008689432</v>
      </c>
      <c r="P1087">
        <f t="shared" ca="1" si="340"/>
        <v>4.2754188423391328</v>
      </c>
      <c r="Q1087">
        <f t="shared" ca="1" si="341"/>
        <v>0.7031752378606021</v>
      </c>
      <c r="R1087">
        <f t="shared" ca="1" si="342"/>
        <v>1.9460500643448289</v>
      </c>
      <c r="T1087">
        <f t="shared" si="343"/>
        <v>0.99557988165680478</v>
      </c>
      <c r="U1087" s="6">
        <f t="shared" ca="1" si="344"/>
        <v>1.0970183800277753</v>
      </c>
      <c r="BJ1087" t="b">
        <f t="shared" si="327"/>
        <v>1</v>
      </c>
      <c r="BK1087" t="b">
        <f t="shared" si="328"/>
        <v>1</v>
      </c>
    </row>
    <row r="1088" spans="1:63" x14ac:dyDescent="0.45">
      <c r="A1088" s="1">
        <v>43661</v>
      </c>
      <c r="B1088">
        <v>16.899999999999999</v>
      </c>
      <c r="C1088" s="1">
        <v>43661</v>
      </c>
      <c r="D1088">
        <v>300.75</v>
      </c>
      <c r="E1088">
        <f t="shared" si="329"/>
        <v>3.4354018373554764E-2</v>
      </c>
      <c r="F1088" s="4">
        <f t="shared" si="330"/>
        <v>3.3261267254289955E-4</v>
      </c>
      <c r="G1088">
        <f t="shared" ca="1" si="331"/>
        <v>-1.4445047283218506E-3</v>
      </c>
      <c r="H1088">
        <f t="shared" ca="1" si="332"/>
        <v>3.145930233400477E-2</v>
      </c>
      <c r="I1088">
        <f t="shared" ca="1" si="333"/>
        <v>-0.36511666850364244</v>
      </c>
      <c r="J1088">
        <f t="shared" ca="1" si="334"/>
        <v>1.9209512188678342</v>
      </c>
      <c r="K1088">
        <f t="shared" ca="1" si="335"/>
        <v>0.88767493175368239</v>
      </c>
      <c r="L1088">
        <f t="shared" ca="1" si="336"/>
        <v>1.0268004615941004</v>
      </c>
      <c r="M1088">
        <f t="shared" ca="1" si="337"/>
        <v>4.6686547445690666E-4</v>
      </c>
      <c r="N1088">
        <f t="shared" ca="1" si="338"/>
        <v>1.0221564845681524E-2</v>
      </c>
      <c r="O1088">
        <f t="shared" ca="1" si="339"/>
        <v>0.1646961053820083</v>
      </c>
      <c r="P1088">
        <f t="shared" ca="1" si="340"/>
        <v>4.2441188629077509</v>
      </c>
      <c r="Q1088">
        <f t="shared" ca="1" si="341"/>
        <v>0.70386299582999479</v>
      </c>
      <c r="R1088">
        <f t="shared" ca="1" si="342"/>
        <v>2.224658510960646</v>
      </c>
      <c r="T1088">
        <f t="shared" si="343"/>
        <v>1.0343540183735547</v>
      </c>
      <c r="U1088" s="6">
        <f t="shared" ca="1" si="344"/>
        <v>1.1005470174524614</v>
      </c>
      <c r="BJ1088" t="b">
        <f t="shared" si="327"/>
        <v>1</v>
      </c>
      <c r="BK1088" t="b">
        <f t="shared" si="328"/>
        <v>1</v>
      </c>
    </row>
    <row r="1089" spans="1:63" x14ac:dyDescent="0.45">
      <c r="A1089" s="1">
        <v>43658</v>
      </c>
      <c r="B1089">
        <v>16.338699999999999</v>
      </c>
      <c r="C1089" s="1">
        <v>43658</v>
      </c>
      <c r="D1089">
        <v>300.64999999999998</v>
      </c>
      <c r="E1089">
        <f t="shared" si="329"/>
        <v>2.7158367228903454E-2</v>
      </c>
      <c r="F1089" s="4">
        <f t="shared" si="330"/>
        <v>4.4769636831378003E-3</v>
      </c>
      <c r="G1089">
        <f t="shared" ca="1" si="331"/>
        <v>-1.6588671421055435E-3</v>
      </c>
      <c r="H1089">
        <f t="shared" ca="1" si="332"/>
        <v>3.1430611885842931E-2</v>
      </c>
      <c r="I1089">
        <f t="shared" ca="1" si="333"/>
        <v>-0.35664935275945836</v>
      </c>
      <c r="J1089">
        <f t="shared" ca="1" si="334"/>
        <v>1.949212983419399</v>
      </c>
      <c r="K1089">
        <f t="shared" ca="1" si="335"/>
        <v>0.88807028735682714</v>
      </c>
      <c r="L1089">
        <f t="shared" ca="1" si="336"/>
        <v>1.0084245274163099</v>
      </c>
      <c r="M1089">
        <f t="shared" ca="1" si="337"/>
        <v>4.6766938345040357E-4</v>
      </c>
      <c r="N1089">
        <f t="shared" ca="1" si="338"/>
        <v>1.0252301136534513E-2</v>
      </c>
      <c r="O1089">
        <f t="shared" ca="1" si="339"/>
        <v>0.16397629075004394</v>
      </c>
      <c r="P1089">
        <f t="shared" ca="1" si="340"/>
        <v>4.2016126459493659</v>
      </c>
      <c r="Q1089">
        <f t="shared" ca="1" si="341"/>
        <v>0.7045500928056061</v>
      </c>
      <c r="R1089">
        <f t="shared" ca="1" si="342"/>
        <v>2.1525399703810471</v>
      </c>
      <c r="T1089">
        <f t="shared" si="343"/>
        <v>1.0271583672289035</v>
      </c>
      <c r="U1089" s="6">
        <f t="shared" ca="1" si="344"/>
        <v>1.0513963963963964</v>
      </c>
      <c r="BJ1089" t="b">
        <f t="shared" si="327"/>
        <v>1</v>
      </c>
      <c r="BK1089" t="b">
        <f t="shared" si="328"/>
        <v>1</v>
      </c>
    </row>
    <row r="1090" spans="1:63" x14ac:dyDescent="0.45">
      <c r="A1090" s="1">
        <v>43657</v>
      </c>
      <c r="B1090">
        <v>15.906700000000001</v>
      </c>
      <c r="C1090" s="1">
        <v>43657</v>
      </c>
      <c r="D1090">
        <v>299.31</v>
      </c>
      <c r="E1090">
        <f t="shared" si="329"/>
        <v>-1.3372677046710256E-3</v>
      </c>
      <c r="F1090" s="4">
        <f t="shared" si="330"/>
        <v>2.3441947690967771E-3</v>
      </c>
      <c r="G1090">
        <f t="shared" ca="1" si="331"/>
        <v>-1.8324649395212594E-3</v>
      </c>
      <c r="H1090">
        <f t="shared" ca="1" si="332"/>
        <v>3.1445306316307889E-2</v>
      </c>
      <c r="I1090">
        <f t="shared" ca="1" si="333"/>
        <v>-0.34629160862176395</v>
      </c>
      <c r="J1090">
        <f t="shared" ca="1" si="334"/>
        <v>1.9584432525905195</v>
      </c>
      <c r="K1090">
        <f t="shared" ca="1" si="335"/>
        <v>0.88846519294342086</v>
      </c>
      <c r="L1090">
        <f t="shared" ca="1" si="336"/>
        <v>0.9870649520509307</v>
      </c>
      <c r="M1090">
        <f t="shared" ca="1" si="337"/>
        <v>4.4351700815108174E-4</v>
      </c>
      <c r="N1090">
        <f t="shared" ca="1" si="338"/>
        <v>1.0278555308187633E-2</v>
      </c>
      <c r="O1090">
        <f t="shared" ca="1" si="339"/>
        <v>0.17049239225800331</v>
      </c>
      <c r="P1090">
        <f t="shared" ca="1" si="340"/>
        <v>4.1739940636181867</v>
      </c>
      <c r="Q1090">
        <f t="shared" ca="1" si="341"/>
        <v>0.70523652973988604</v>
      </c>
      <c r="R1090">
        <f t="shared" ca="1" si="342"/>
        <v>2.0862413789549366</v>
      </c>
      <c r="T1090">
        <f t="shared" si="343"/>
        <v>0.99866273229532898</v>
      </c>
      <c r="U1090" s="6">
        <f t="shared" ca="1" si="344"/>
        <v>1.0157535121328225</v>
      </c>
      <c r="BJ1090" t="b">
        <f t="shared" ref="BJ1090:BJ1153" si="347">ABS(W1090-1)&gt;$S$21</f>
        <v>1</v>
      </c>
      <c r="BK1090" t="b">
        <f t="shared" ref="BK1090:BK1153" si="348">AND(X1090,BJ1090)</f>
        <v>1</v>
      </c>
    </row>
    <row r="1091" spans="1:63" x14ac:dyDescent="0.45">
      <c r="A1091" s="1">
        <v>43656</v>
      </c>
      <c r="B1091">
        <v>15.928000000000001</v>
      </c>
      <c r="C1091" s="1">
        <v>43656</v>
      </c>
      <c r="D1091">
        <v>298.61</v>
      </c>
      <c r="E1091">
        <f t="shared" ref="E1091:E1154" si="349">(B1091-B1092)/B1092</f>
        <v>3.8513949652155204E-2</v>
      </c>
      <c r="F1091" s="4">
        <f t="shared" ref="F1091:F1154" si="350">(D1091-D1092)/D1092</f>
        <v>4.7780880917931822E-3</v>
      </c>
      <c r="G1091">
        <f t="shared" ref="G1091:G1154" ca="1" si="351">AVERAGE(OFFSET(E1091,0,0,$S$3,1))*$AK$25</f>
        <v>-1.8354661348839883E-3</v>
      </c>
      <c r="H1091">
        <f t="shared" ref="H1091:H1154" ca="1" si="352">STDEV(OFFSET(E1091,0,0,$S$3,1))*$AJ$25</f>
        <v>3.1541006606612805E-2</v>
      </c>
      <c r="I1091">
        <f t="shared" ref="I1091:I1154" ca="1" si="353">SKEW(OFFSET(E1091,0,0,$S$3,1))*$AI$25</f>
        <v>-0.34497801183927007</v>
      </c>
      <c r="J1091">
        <f t="shared" ref="J1091:J1154" ca="1" si="354">KURT(OFFSET(E1091,0,0,$S$3,1))*$AH$25</f>
        <v>1.9287002314842248</v>
      </c>
      <c r="K1091">
        <f t="shared" ref="K1091:K1154" ca="1" si="355">PERCENTILE(OFFSET(E1091,0,0,$S$3,1), 0.95)/ABS(PERCENTILE(OFFSET(E1091,0,0,$S$3,1), 0.05))*$AG$25</f>
        <v>0.88885964928137806</v>
      </c>
      <c r="L1091">
        <f t="shared" ref="L1091:L1154" ca="1" si="356">PERCENTILE(OFFSET(E1091,0,0,$S$3,1), 0.75)/ABS(PERCENTILE(OFFSET(E1091,0,0,$S$3,1), 0.25))*$AF$25</f>
        <v>0.98153956693624356</v>
      </c>
      <c r="M1091">
        <f t="shared" ref="M1091:M1154" ca="1" si="357">AVERAGE(OFFSET(F1091,0,0,$S$3,1))*$AE$25</f>
        <v>4.3199774899383493E-4</v>
      </c>
      <c r="N1091">
        <f t="shared" ref="N1091:N1154" ca="1" si="358">STDEV(OFFSET(F1091,0,0,$S$3,1))*$AD$25</f>
        <v>1.0308769917133856E-2</v>
      </c>
      <c r="O1091">
        <f t="shared" ref="O1091:O1154" ca="1" si="359">SKEW(OFFSET(F1091,0,0,$S$3,1))*$AC$25</f>
        <v>0.17339542006872927</v>
      </c>
      <c r="P1091">
        <f t="shared" ref="P1091:P1154" ca="1" si="360">KURT(OFFSET(F1091,0,0,$S$3,1))*$AB$25</f>
        <v>4.1352083212427448</v>
      </c>
      <c r="Q1091">
        <f t="shared" ref="Q1091:Q1154" ca="1" si="361">PERCENTILE(OFFSET(F1091,0,0,$S$3,1), 0.95)/ABS(PERCENTILE(OFFSET(F1091,0,0,$S$3,1), 0.05))*$AA$25</f>
        <v>0.70592230758345353</v>
      </c>
      <c r="R1091">
        <f t="shared" ref="R1091:R1154" ca="1" si="362">PERCENTILE(OFFSET(F1091,0,0,$S$3,1), 0.75)/ABS(PERCENTILE(OFFSET(F1091,0,0,$S$3,1), 0.25))*$Z$25</f>
        <v>2.0250855579840832</v>
      </c>
      <c r="T1091">
        <f t="shared" ref="T1091:T1154" si="363">E1091+1</f>
        <v>1.0385139496521552</v>
      </c>
      <c r="U1091" s="6">
        <f t="shared" ref="U1091:U1154" ca="1" si="364">PRODUCT(OFFSET(T1091,0,0,$S$6,1))</f>
        <v>1.0639946559786237</v>
      </c>
      <c r="BJ1091" t="b">
        <f t="shared" si="347"/>
        <v>1</v>
      </c>
      <c r="BK1091" t="b">
        <f t="shared" si="348"/>
        <v>1</v>
      </c>
    </row>
    <row r="1092" spans="1:63" x14ac:dyDescent="0.45">
      <c r="A1092" s="1">
        <v>43655</v>
      </c>
      <c r="B1092">
        <v>15.337300000000001</v>
      </c>
      <c r="C1092" s="1">
        <v>43655</v>
      </c>
      <c r="D1092">
        <v>297.19</v>
      </c>
      <c r="E1092">
        <f t="shared" si="349"/>
        <v>-1.2177650429798809E-3</v>
      </c>
      <c r="F1092" s="4">
        <f t="shared" si="350"/>
        <v>1.2465467286571139E-3</v>
      </c>
      <c r="G1092">
        <f t="shared" ca="1" si="351"/>
        <v>-2.0814991579756908E-3</v>
      </c>
      <c r="H1092">
        <f t="shared" ca="1" si="352"/>
        <v>3.1478393932930865E-2</v>
      </c>
      <c r="I1092">
        <f t="shared" ca="1" si="353"/>
        <v>-0.33853833536100059</v>
      </c>
      <c r="J1092">
        <f t="shared" ca="1" si="354"/>
        <v>1.971676882443373</v>
      </c>
      <c r="K1092">
        <f t="shared" ca="1" si="355"/>
        <v>0.88925365713686844</v>
      </c>
      <c r="L1092">
        <f t="shared" ca="1" si="356"/>
        <v>0.96310356527524454</v>
      </c>
      <c r="M1092">
        <f t="shared" ca="1" si="357"/>
        <v>4.0549719812310678E-4</v>
      </c>
      <c r="N1092">
        <f t="shared" ca="1" si="358"/>
        <v>1.0334704541194234E-2</v>
      </c>
      <c r="O1092">
        <f t="shared" ca="1" si="359"/>
        <v>0.18048782536029107</v>
      </c>
      <c r="P1092">
        <f t="shared" ca="1" si="360"/>
        <v>4.1098918562193258</v>
      </c>
      <c r="Q1092">
        <f t="shared" ca="1" si="361"/>
        <v>0.70660742728510495</v>
      </c>
      <c r="R1092">
        <f t="shared" ca="1" si="362"/>
        <v>2.0311027183112547</v>
      </c>
      <c r="T1092">
        <f t="shared" si="363"/>
        <v>0.99878223495702012</v>
      </c>
      <c r="U1092" s="6">
        <f t="shared" ca="1" si="364"/>
        <v>1.0127173202506488</v>
      </c>
      <c r="BJ1092" t="b">
        <f t="shared" si="347"/>
        <v>1</v>
      </c>
      <c r="BK1092" t="b">
        <f t="shared" si="348"/>
        <v>1</v>
      </c>
    </row>
    <row r="1093" spans="1:63" x14ac:dyDescent="0.45">
      <c r="A1093" s="1">
        <v>43654</v>
      </c>
      <c r="B1093">
        <v>15.356</v>
      </c>
      <c r="C1093" s="1">
        <v>43654</v>
      </c>
      <c r="D1093">
        <v>296.82</v>
      </c>
      <c r="E1093">
        <f t="shared" si="349"/>
        <v>-1.1840411840411794E-2</v>
      </c>
      <c r="F1093" s="4">
        <f t="shared" si="350"/>
        <v>-5.4948736849158566E-3</v>
      </c>
      <c r="G1093">
        <f t="shared" ca="1" si="351"/>
        <v>-2.0867981402762788E-3</v>
      </c>
      <c r="H1093">
        <f t="shared" ca="1" si="352"/>
        <v>3.1575326628589445E-2</v>
      </c>
      <c r="I1093">
        <f t="shared" ca="1" si="353"/>
        <v>-0.33701660634101327</v>
      </c>
      <c r="J1093">
        <f t="shared" ca="1" si="354"/>
        <v>1.9414313607423801</v>
      </c>
      <c r="K1093">
        <f t="shared" ca="1" si="355"/>
        <v>0.88964721727431928</v>
      </c>
      <c r="L1093">
        <f t="shared" ca="1" si="356"/>
        <v>0.96119918330809984</v>
      </c>
      <c r="M1093">
        <f t="shared" ca="1" si="357"/>
        <v>4.0033738505234609E-4</v>
      </c>
      <c r="N1093">
        <f t="shared" ca="1" si="358"/>
        <v>1.0366340807816269E-2</v>
      </c>
      <c r="O1093">
        <f t="shared" ca="1" si="359"/>
        <v>0.18146644676465623</v>
      </c>
      <c r="P1093">
        <f t="shared" ca="1" si="360"/>
        <v>4.0681480150215386</v>
      </c>
      <c r="Q1093">
        <f t="shared" ca="1" si="361"/>
        <v>0.70729188979181479</v>
      </c>
      <c r="R1093">
        <f t="shared" ca="1" si="362"/>
        <v>2.037104071097704</v>
      </c>
      <c r="T1093">
        <f t="shared" si="363"/>
        <v>0.98815958815958815</v>
      </c>
      <c r="U1093" s="6">
        <f t="shared" ca="1" si="364"/>
        <v>1.0307908144428857</v>
      </c>
      <c r="BJ1093" t="b">
        <f t="shared" si="347"/>
        <v>1</v>
      </c>
      <c r="BK1093" t="b">
        <f t="shared" si="348"/>
        <v>1</v>
      </c>
    </row>
    <row r="1094" spans="1:63" x14ac:dyDescent="0.45">
      <c r="A1094" s="1">
        <v>43651</v>
      </c>
      <c r="B1094">
        <v>15.54</v>
      </c>
      <c r="C1094" s="1">
        <v>43651</v>
      </c>
      <c r="D1094">
        <v>298.45999999999998</v>
      </c>
      <c r="E1094">
        <f t="shared" si="349"/>
        <v>-7.6628352490422094E-3</v>
      </c>
      <c r="F1094" s="4">
        <f t="shared" si="350"/>
        <v>-1.1378848728247383E-3</v>
      </c>
      <c r="G1094">
        <f t="shared" ca="1" si="351"/>
        <v>-2.0265906483001332E-3</v>
      </c>
      <c r="H1094">
        <f t="shared" ca="1" si="352"/>
        <v>3.1663848005689423E-2</v>
      </c>
      <c r="I1094">
        <f t="shared" ca="1" si="353"/>
        <v>-0.341891375017151</v>
      </c>
      <c r="J1094">
        <f t="shared" ca="1" si="354"/>
        <v>1.9198474650966748</v>
      </c>
      <c r="K1094">
        <f t="shared" ca="1" si="355"/>
        <v>0.89004033045642161</v>
      </c>
      <c r="L1094">
        <f t="shared" ca="1" si="356"/>
        <v>0.95931830457854483</v>
      </c>
      <c r="M1094">
        <f t="shared" ca="1" si="357"/>
        <v>4.3672757684227364E-4</v>
      </c>
      <c r="N1094">
        <f t="shared" ca="1" si="358"/>
        <v>1.0388035844293366E-2</v>
      </c>
      <c r="O1094">
        <f t="shared" ca="1" si="359"/>
        <v>0.17197456857505114</v>
      </c>
      <c r="P1094">
        <f t="shared" ca="1" si="360"/>
        <v>4.0507652007033137</v>
      </c>
      <c r="Q1094">
        <f t="shared" ca="1" si="361"/>
        <v>0.70797569604874178</v>
      </c>
      <c r="R1094">
        <f t="shared" ca="1" si="362"/>
        <v>2.1339260548526942</v>
      </c>
      <c r="T1094">
        <f t="shared" si="363"/>
        <v>0.99233716475095779</v>
      </c>
      <c r="U1094" s="6">
        <f t="shared" ca="1" si="364"/>
        <v>1.0460420032310176</v>
      </c>
      <c r="BJ1094" t="b">
        <f t="shared" si="347"/>
        <v>1</v>
      </c>
      <c r="BK1094" t="b">
        <f t="shared" si="348"/>
        <v>1</v>
      </c>
    </row>
    <row r="1095" spans="1:63" x14ac:dyDescent="0.45">
      <c r="A1095" s="1">
        <v>43649</v>
      </c>
      <c r="B1095">
        <v>15.66</v>
      </c>
      <c r="C1095" s="1">
        <v>43649</v>
      </c>
      <c r="D1095">
        <v>298.8</v>
      </c>
      <c r="E1095">
        <f t="shared" si="349"/>
        <v>4.6092184368737438E-2</v>
      </c>
      <c r="F1095" s="4">
        <f t="shared" si="350"/>
        <v>7.995142192085837E-3</v>
      </c>
      <c r="G1095">
        <f t="shared" ca="1" si="351"/>
        <v>-1.9915829178607423E-3</v>
      </c>
      <c r="H1095">
        <f t="shared" ca="1" si="352"/>
        <v>3.1759498381348512E-2</v>
      </c>
      <c r="I1095">
        <f t="shared" ca="1" si="353"/>
        <v>-0.3442687337582383</v>
      </c>
      <c r="J1095">
        <f t="shared" ca="1" si="354"/>
        <v>1.8932316470232982</v>
      </c>
      <c r="K1095">
        <f t="shared" ca="1" si="355"/>
        <v>0.89043299744413651</v>
      </c>
      <c r="L1095">
        <f t="shared" ca="1" si="356"/>
        <v>0.95746049665155952</v>
      </c>
      <c r="M1095">
        <f t="shared" ca="1" si="357"/>
        <v>4.465077783930004E-4</v>
      </c>
      <c r="N1095">
        <f t="shared" ca="1" si="358"/>
        <v>1.0419699694772987E-2</v>
      </c>
      <c r="O1095">
        <f t="shared" ca="1" si="359"/>
        <v>0.16866044415564402</v>
      </c>
      <c r="P1095">
        <f t="shared" ca="1" si="360"/>
        <v>4.0092764577727422</v>
      </c>
      <c r="Q1095">
        <f t="shared" ca="1" si="361"/>
        <v>0.70865884699923487</v>
      </c>
      <c r="R1095">
        <f t="shared" ca="1" si="362"/>
        <v>2.0598540331712423</v>
      </c>
      <c r="T1095">
        <f t="shared" si="363"/>
        <v>1.0460921843687374</v>
      </c>
      <c r="U1095" s="6">
        <f t="shared" ca="1" si="364"/>
        <v>1.0712819811191683</v>
      </c>
      <c r="BJ1095" t="b">
        <f t="shared" si="347"/>
        <v>1</v>
      </c>
      <c r="BK1095" t="b">
        <f t="shared" si="348"/>
        <v>1</v>
      </c>
    </row>
    <row r="1096" spans="1:63" x14ac:dyDescent="0.45">
      <c r="A1096" s="1">
        <v>43648</v>
      </c>
      <c r="B1096">
        <v>14.97</v>
      </c>
      <c r="C1096" s="1">
        <v>43648</v>
      </c>
      <c r="D1096">
        <v>296.43</v>
      </c>
      <c r="E1096">
        <f t="shared" si="349"/>
        <v>-1.1535388617800263E-2</v>
      </c>
      <c r="F1096" s="4">
        <f t="shared" si="350"/>
        <v>2.604342826219244E-3</v>
      </c>
      <c r="G1096">
        <f t="shared" ca="1" si="351"/>
        <v>-2.2921064634019799E-3</v>
      </c>
      <c r="H1096">
        <f t="shared" ca="1" si="352"/>
        <v>3.1628744490467472E-2</v>
      </c>
      <c r="I1096">
        <f t="shared" ca="1" si="353"/>
        <v>-0.34428701899205771</v>
      </c>
      <c r="J1096">
        <f t="shared" ca="1" si="354"/>
        <v>1.9592143277676559</v>
      </c>
      <c r="K1096">
        <f t="shared" ca="1" si="355"/>
        <v>0.88926162056272151</v>
      </c>
      <c r="L1096">
        <f t="shared" ca="1" si="356"/>
        <v>0.92002436742559179</v>
      </c>
      <c r="M1096">
        <f t="shared" ca="1" si="357"/>
        <v>3.9932881330741968E-4</v>
      </c>
      <c r="N1096">
        <f t="shared" ca="1" si="358"/>
        <v>1.0435150039275766E-2</v>
      </c>
      <c r="O1096">
        <f t="shared" ca="1" si="359"/>
        <v>0.18030611409318067</v>
      </c>
      <c r="P1096">
        <f t="shared" ca="1" si="360"/>
        <v>4.0144305071167965</v>
      </c>
      <c r="Q1096">
        <f t="shared" ca="1" si="361"/>
        <v>0.70777964613947308</v>
      </c>
      <c r="R1096">
        <f t="shared" ca="1" si="362"/>
        <v>2.0311027183112547</v>
      </c>
      <c r="T1096">
        <f t="shared" si="363"/>
        <v>0.98846461138219976</v>
      </c>
      <c r="U1096" s="6">
        <f t="shared" ca="1" si="364"/>
        <v>1.0217941804828437</v>
      </c>
      <c r="BJ1096" t="b">
        <f t="shared" si="347"/>
        <v>1</v>
      </c>
      <c r="BK1096" t="b">
        <f t="shared" si="348"/>
        <v>1</v>
      </c>
    </row>
    <row r="1097" spans="1:63" x14ac:dyDescent="0.45">
      <c r="A1097" s="1">
        <v>43647</v>
      </c>
      <c r="B1097">
        <v>15.1447</v>
      </c>
      <c r="C1097" s="1">
        <v>43647</v>
      </c>
      <c r="D1097">
        <v>295.66000000000003</v>
      </c>
      <c r="E1097">
        <f t="shared" si="349"/>
        <v>1.6607036174340367E-2</v>
      </c>
      <c r="F1097" s="4">
        <f t="shared" si="350"/>
        <v>9.0784982935154437E-3</v>
      </c>
      <c r="G1097">
        <f t="shared" ca="1" si="351"/>
        <v>-2.2339726133743182E-3</v>
      </c>
      <c r="H1097">
        <f t="shared" ca="1" si="352"/>
        <v>3.1720101381021104E-2</v>
      </c>
      <c r="I1097">
        <f t="shared" ca="1" si="353"/>
        <v>-0.34891802810017725</v>
      </c>
      <c r="J1097">
        <f t="shared" ca="1" si="354"/>
        <v>1.936434800459276</v>
      </c>
      <c r="K1097">
        <f t="shared" ca="1" si="355"/>
        <v>0.88809473616168344</v>
      </c>
      <c r="L1097">
        <f t="shared" ca="1" si="356"/>
        <v>0.89980554917592626</v>
      </c>
      <c r="M1097">
        <f t="shared" ca="1" si="357"/>
        <v>3.8546080064759685E-4</v>
      </c>
      <c r="N1097">
        <f t="shared" ca="1" si="358"/>
        <v>1.0466641401648184E-2</v>
      </c>
      <c r="O1097">
        <f t="shared" ca="1" si="359"/>
        <v>0.18379437491827216</v>
      </c>
      <c r="P1097">
        <f t="shared" ca="1" si="360"/>
        <v>3.9762125689935059</v>
      </c>
      <c r="Q1097">
        <f t="shared" ca="1" si="361"/>
        <v>0.70690307757397919</v>
      </c>
      <c r="R1097">
        <f t="shared" ca="1" si="362"/>
        <v>2.037104071097704</v>
      </c>
      <c r="T1097">
        <f t="shared" si="363"/>
        <v>1.0166070361743405</v>
      </c>
      <c r="U1097" s="6">
        <f t="shared" ca="1" si="364"/>
        <v>1.0157888029619093</v>
      </c>
      <c r="BJ1097" t="b">
        <f t="shared" si="347"/>
        <v>1</v>
      </c>
      <c r="BK1097" t="b">
        <f t="shared" si="348"/>
        <v>1</v>
      </c>
    </row>
    <row r="1098" spans="1:63" x14ac:dyDescent="0.45">
      <c r="A1098" s="1">
        <v>43644</v>
      </c>
      <c r="B1098">
        <v>14.8973</v>
      </c>
      <c r="C1098" s="1">
        <v>43644</v>
      </c>
      <c r="D1098">
        <v>293</v>
      </c>
      <c r="E1098">
        <f t="shared" si="349"/>
        <v>2.7800215401184484E-3</v>
      </c>
      <c r="F1098" s="4">
        <f t="shared" si="350"/>
        <v>5.1457975986277877E-3</v>
      </c>
      <c r="G1098">
        <f t="shared" ca="1" si="351"/>
        <v>-2.3532195044358032E-3</v>
      </c>
      <c r="H1098">
        <f t="shared" ca="1" si="352"/>
        <v>3.1785187938859726E-2</v>
      </c>
      <c r="I1098">
        <f t="shared" ca="1" si="353"/>
        <v>-0.33896020362701912</v>
      </c>
      <c r="J1098">
        <f t="shared" ca="1" si="354"/>
        <v>1.9219137403667101</v>
      </c>
      <c r="K1098">
        <f t="shared" ca="1" si="355"/>
        <v>0.88693231844605502</v>
      </c>
      <c r="L1098">
        <f t="shared" ca="1" si="356"/>
        <v>0.86884332449239787</v>
      </c>
      <c r="M1098">
        <f t="shared" ca="1" si="357"/>
        <v>3.3044157600919287E-4</v>
      </c>
      <c r="N1098">
        <f t="shared" ca="1" si="358"/>
        <v>1.0476830611643161E-2</v>
      </c>
      <c r="O1098">
        <f t="shared" ca="1" si="359"/>
        <v>0.19671227329614382</v>
      </c>
      <c r="P1098">
        <f t="shared" ca="1" si="360"/>
        <v>3.9957798641205811</v>
      </c>
      <c r="Q1098">
        <f t="shared" ca="1" si="361"/>
        <v>0.70602912949893804</v>
      </c>
      <c r="R1098">
        <f t="shared" ca="1" si="362"/>
        <v>1.9974348307994887</v>
      </c>
      <c r="T1098">
        <f t="shared" si="363"/>
        <v>1.0027800215401184</v>
      </c>
      <c r="U1098" s="6">
        <f t="shared" ca="1" si="364"/>
        <v>1.00720723157119</v>
      </c>
      <c r="BJ1098" t="b">
        <f t="shared" si="347"/>
        <v>1</v>
      </c>
      <c r="BK1098" t="b">
        <f t="shared" si="348"/>
        <v>1</v>
      </c>
    </row>
    <row r="1099" spans="1:63" x14ac:dyDescent="0.45">
      <c r="A1099" s="1">
        <v>43643</v>
      </c>
      <c r="B1099">
        <v>14.856</v>
      </c>
      <c r="C1099" s="1">
        <v>43643</v>
      </c>
      <c r="D1099">
        <v>291.5</v>
      </c>
      <c r="E1099">
        <f t="shared" si="349"/>
        <v>1.628129703105757E-2</v>
      </c>
      <c r="F1099" s="4">
        <f t="shared" si="350"/>
        <v>3.545977209350269E-3</v>
      </c>
      <c r="G1099">
        <f t="shared" ca="1" si="351"/>
        <v>-2.3859153072673597E-3</v>
      </c>
      <c r="H1099">
        <f t="shared" ca="1" si="352"/>
        <v>3.1884235218529129E-2</v>
      </c>
      <c r="I1099">
        <f t="shared" ca="1" si="353"/>
        <v>-0.33490237556084396</v>
      </c>
      <c r="J1099">
        <f t="shared" ca="1" si="354"/>
        <v>1.8912621999983013</v>
      </c>
      <c r="K1099">
        <f t="shared" ca="1" si="355"/>
        <v>0.88577434181797099</v>
      </c>
      <c r="L1099">
        <f t="shared" ca="1" si="356"/>
        <v>0.84787603937665645</v>
      </c>
      <c r="M1099">
        <f t="shared" ca="1" si="357"/>
        <v>2.9977051854028443E-4</v>
      </c>
      <c r="N1099">
        <f t="shared" ca="1" si="358"/>
        <v>1.0503238042149575E-2</v>
      </c>
      <c r="O1099">
        <f t="shared" ca="1" si="359"/>
        <v>0.20474763452819483</v>
      </c>
      <c r="P1099">
        <f t="shared" ca="1" si="360"/>
        <v>3.9733205149685182</v>
      </c>
      <c r="Q1099">
        <f t="shared" ca="1" si="361"/>
        <v>0.705157790181004</v>
      </c>
      <c r="R1099">
        <f t="shared" ca="1" si="362"/>
        <v>2.0144733276110305</v>
      </c>
      <c r="T1099">
        <f t="shared" si="363"/>
        <v>1.0162812970310575</v>
      </c>
      <c r="U1099" s="6">
        <f t="shared" ca="1" si="364"/>
        <v>1.0146639984154411</v>
      </c>
      <c r="BJ1099" t="b">
        <f t="shared" si="347"/>
        <v>1</v>
      </c>
      <c r="BK1099" t="b">
        <f t="shared" si="348"/>
        <v>1</v>
      </c>
    </row>
    <row r="1100" spans="1:63" x14ac:dyDescent="0.45">
      <c r="A1100" s="1">
        <v>43642</v>
      </c>
      <c r="B1100">
        <v>14.618</v>
      </c>
      <c r="C1100" s="1">
        <v>43642</v>
      </c>
      <c r="D1100">
        <v>290.47000000000003</v>
      </c>
      <c r="E1100">
        <f t="shared" si="349"/>
        <v>-2.2319752639805724E-3</v>
      </c>
      <c r="F1100" s="4">
        <f t="shared" si="350"/>
        <v>-9.9738616040708351E-4</v>
      </c>
      <c r="G1100">
        <f t="shared" ca="1" si="351"/>
        <v>-2.5055769248207246E-3</v>
      </c>
      <c r="H1100">
        <f t="shared" ca="1" si="352"/>
        <v>3.1951535526540842E-2</v>
      </c>
      <c r="I1100">
        <f t="shared" ca="1" si="353"/>
        <v>-0.32488734638233252</v>
      </c>
      <c r="J1100">
        <f t="shared" ca="1" si="354"/>
        <v>1.8763356592759002</v>
      </c>
      <c r="K1100">
        <f t="shared" ca="1" si="355"/>
        <v>0.88462078087479068</v>
      </c>
      <c r="L1100">
        <f t="shared" ca="1" si="356"/>
        <v>0.85078538170902085</v>
      </c>
      <c r="M1100">
        <f t="shared" ca="1" si="357"/>
        <v>2.7896150129150265E-4</v>
      </c>
      <c r="N1100">
        <f t="shared" ca="1" si="358"/>
        <v>1.0533817753979576E-2</v>
      </c>
      <c r="O1100">
        <f t="shared" ca="1" si="359"/>
        <v>0.2101080874399964</v>
      </c>
      <c r="P1100">
        <f t="shared" ca="1" si="360"/>
        <v>3.9398349810581368</v>
      </c>
      <c r="Q1100">
        <f t="shared" ca="1" si="361"/>
        <v>0.70428904795677627</v>
      </c>
      <c r="R1100">
        <f t="shared" ca="1" si="362"/>
        <v>2.0155137211627907</v>
      </c>
      <c r="T1100">
        <f t="shared" si="363"/>
        <v>0.99776802473601944</v>
      </c>
      <c r="U1100" s="6">
        <f t="shared" ca="1" si="364"/>
        <v>0.96838088676607936</v>
      </c>
      <c r="BJ1100" t="b">
        <f t="shared" si="347"/>
        <v>1</v>
      </c>
      <c r="BK1100" t="b">
        <f t="shared" si="348"/>
        <v>1</v>
      </c>
    </row>
    <row r="1101" spans="1:63" x14ac:dyDescent="0.45">
      <c r="A1101" s="1">
        <v>43641</v>
      </c>
      <c r="B1101">
        <v>14.650700000000001</v>
      </c>
      <c r="C1101" s="1">
        <v>43641</v>
      </c>
      <c r="D1101">
        <v>290.76</v>
      </c>
      <c r="E1101">
        <f t="shared" si="349"/>
        <v>-1.7344878699871859E-2</v>
      </c>
      <c r="F1101" s="4">
        <f t="shared" si="350"/>
        <v>-9.8079280751940997E-3</v>
      </c>
      <c r="G1101">
        <f t="shared" ca="1" si="351"/>
        <v>-2.5073420968261448E-3</v>
      </c>
      <c r="H1101">
        <f t="shared" ca="1" si="352"/>
        <v>3.2055098784735205E-2</v>
      </c>
      <c r="I1101">
        <f t="shared" ca="1" si="353"/>
        <v>-0.3236976380416125</v>
      </c>
      <c r="J1101">
        <f t="shared" ca="1" si="354"/>
        <v>1.8452707517105762</v>
      </c>
      <c r="K1101">
        <f t="shared" ca="1" si="355"/>
        <v>0.88347161040723843</v>
      </c>
      <c r="L1101">
        <f t="shared" ca="1" si="356"/>
        <v>0.85366854135940939</v>
      </c>
      <c r="M1101">
        <f t="shared" ca="1" si="357"/>
        <v>2.8719600233471926E-4</v>
      </c>
      <c r="N1101">
        <f t="shared" ca="1" si="358"/>
        <v>1.0567459388250827E-2</v>
      </c>
      <c r="O1101">
        <f t="shared" ca="1" si="359"/>
        <v>0.20712006158532065</v>
      </c>
      <c r="P1101">
        <f t="shared" ca="1" si="360"/>
        <v>3.8966996715723421</v>
      </c>
      <c r="Q1101">
        <f t="shared" ca="1" si="361"/>
        <v>0.70342289123227753</v>
      </c>
      <c r="R1101">
        <f t="shared" ca="1" si="362"/>
        <v>2.0165463210335344</v>
      </c>
      <c r="T1101">
        <f t="shared" si="363"/>
        <v>0.98265512130012811</v>
      </c>
      <c r="U1101" s="6">
        <f t="shared" ca="1" si="364"/>
        <v>0.9778411100802924</v>
      </c>
      <c r="BJ1101" t="b">
        <f t="shared" si="347"/>
        <v>1</v>
      </c>
      <c r="BK1101" t="b">
        <f t="shared" si="348"/>
        <v>1</v>
      </c>
    </row>
    <row r="1102" spans="1:63" x14ac:dyDescent="0.45">
      <c r="A1102" s="1">
        <v>43640</v>
      </c>
      <c r="B1102">
        <v>14.9093</v>
      </c>
      <c r="C1102" s="1">
        <v>43640</v>
      </c>
      <c r="D1102">
        <v>293.64</v>
      </c>
      <c r="E1102">
        <f t="shared" si="349"/>
        <v>8.0185521983408975E-3</v>
      </c>
      <c r="F1102" s="4">
        <f t="shared" si="350"/>
        <v>-1.2244897959184137E-3</v>
      </c>
      <c r="G1102">
        <f t="shared" ca="1" si="351"/>
        <v>-2.410994456546627E-3</v>
      </c>
      <c r="H1102">
        <f t="shared" ca="1" si="352"/>
        <v>3.2137158983599139E-2</v>
      </c>
      <c r="I1102">
        <f t="shared" ca="1" si="353"/>
        <v>-0.33181200189095578</v>
      </c>
      <c r="J1102">
        <f t="shared" ca="1" si="354"/>
        <v>1.831668337741692</v>
      </c>
      <c r="K1102">
        <f t="shared" ca="1" si="355"/>
        <v>0.8823268053975688</v>
      </c>
      <c r="L1102">
        <f t="shared" ca="1" si="356"/>
        <v>0.85652587019183946</v>
      </c>
      <c r="M1102">
        <f t="shared" ca="1" si="357"/>
        <v>3.5274875608490633E-4</v>
      </c>
      <c r="N1102">
        <f t="shared" ca="1" si="358"/>
        <v>1.0570272529650381E-2</v>
      </c>
      <c r="O1102">
        <f t="shared" ca="1" si="359"/>
        <v>0.19524367009852531</v>
      </c>
      <c r="P1102">
        <f t="shared" ca="1" si="360"/>
        <v>3.9252344340933032</v>
      </c>
      <c r="Q1102">
        <f t="shared" ca="1" si="361"/>
        <v>0.70255930848243864</v>
      </c>
      <c r="R1102">
        <f t="shared" ca="1" si="362"/>
        <v>2.0430896785531454</v>
      </c>
      <c r="T1102">
        <f t="shared" si="363"/>
        <v>1.0080185521983409</v>
      </c>
      <c r="U1102" s="6">
        <f t="shared" ca="1" si="364"/>
        <v>0.99382082389014759</v>
      </c>
      <c r="BJ1102" t="b">
        <f t="shared" si="347"/>
        <v>1</v>
      </c>
      <c r="BK1102" t="b">
        <f t="shared" si="348"/>
        <v>1</v>
      </c>
    </row>
    <row r="1103" spans="1:63" x14ac:dyDescent="0.45">
      <c r="A1103" s="1">
        <v>43637</v>
      </c>
      <c r="B1103">
        <v>14.790699999999999</v>
      </c>
      <c r="C1103" s="1">
        <v>43637</v>
      </c>
      <c r="D1103">
        <v>294</v>
      </c>
      <c r="E1103">
        <f t="shared" si="349"/>
        <v>1.0204011938830568E-2</v>
      </c>
      <c r="F1103" s="4">
        <f t="shared" si="350"/>
        <v>-6.2867572500507453E-3</v>
      </c>
      <c r="G1103">
        <f t="shared" ca="1" si="351"/>
        <v>-2.4791614281471992E-3</v>
      </c>
      <c r="H1103">
        <f t="shared" ca="1" si="352"/>
        <v>3.2231528032913188E-2</v>
      </c>
      <c r="I1103">
        <f t="shared" ca="1" si="353"/>
        <v>-0.32489542862435733</v>
      </c>
      <c r="J1103">
        <f t="shared" ca="1" si="354"/>
        <v>1.8043712818796336</v>
      </c>
      <c r="K1103">
        <f t="shared" ca="1" si="355"/>
        <v>0.88118634101774995</v>
      </c>
      <c r="L1103">
        <f t="shared" ca="1" si="356"/>
        <v>0.85935771379360215</v>
      </c>
      <c r="M1103">
        <f t="shared" ca="1" si="357"/>
        <v>3.6305750479081057E-4</v>
      </c>
      <c r="N1103">
        <f t="shared" ca="1" si="358"/>
        <v>1.0604209456474068E-2</v>
      </c>
      <c r="O1103">
        <f t="shared" ca="1" si="359"/>
        <v>0.19173097182494256</v>
      </c>
      <c r="P1103">
        <f t="shared" ca="1" si="360"/>
        <v>3.8822318903173625</v>
      </c>
      <c r="Q1103">
        <f t="shared" ca="1" si="361"/>
        <v>0.70169828825058711</v>
      </c>
      <c r="R1103">
        <f t="shared" ca="1" si="362"/>
        <v>2.0490596025612899</v>
      </c>
      <c r="T1103">
        <f t="shared" si="363"/>
        <v>1.0102040119388305</v>
      </c>
      <c r="U1103" s="6">
        <f t="shared" ca="1" si="364"/>
        <v>1.032293411501954</v>
      </c>
      <c r="BJ1103" t="b">
        <f t="shared" si="347"/>
        <v>1</v>
      </c>
      <c r="BK1103" t="b">
        <f t="shared" si="348"/>
        <v>1</v>
      </c>
    </row>
    <row r="1104" spans="1:63" x14ac:dyDescent="0.45">
      <c r="A1104" s="1">
        <v>43636</v>
      </c>
      <c r="B1104">
        <v>14.641299999999999</v>
      </c>
      <c r="C1104" s="1">
        <v>43636</v>
      </c>
      <c r="D1104">
        <v>295.86</v>
      </c>
      <c r="E1104">
        <f t="shared" si="349"/>
        <v>-3.0075586440812745E-2</v>
      </c>
      <c r="F1104" s="4">
        <f t="shared" si="350"/>
        <v>9.5543574694602167E-3</v>
      </c>
      <c r="G1104">
        <f t="shared" ca="1" si="351"/>
        <v>-2.5626033581931055E-3</v>
      </c>
      <c r="H1104">
        <f t="shared" ca="1" si="352"/>
        <v>3.2321494652675406E-2</v>
      </c>
      <c r="I1104">
        <f t="shared" ca="1" si="353"/>
        <v>-0.31690925504326434</v>
      </c>
      <c r="J1104">
        <f t="shared" ca="1" si="354"/>
        <v>1.7795901749917489</v>
      </c>
      <c r="K1104">
        <f t="shared" ca="1" si="355"/>
        <v>0.88005019262766848</v>
      </c>
      <c r="L1104">
        <f t="shared" ca="1" si="356"/>
        <v>0.85735733579901319</v>
      </c>
      <c r="M1104">
        <f t="shared" ca="1" si="357"/>
        <v>4.068062860726628E-4</v>
      </c>
      <c r="N1104">
        <f t="shared" ca="1" si="358"/>
        <v>1.0625402614372521E-2</v>
      </c>
      <c r="O1104">
        <f t="shared" ca="1" si="359"/>
        <v>0.18099298320560062</v>
      </c>
      <c r="P1104">
        <f t="shared" ca="1" si="360"/>
        <v>3.8698037975402695</v>
      </c>
      <c r="Q1104">
        <f t="shared" ca="1" si="361"/>
        <v>0.70083981914794113</v>
      </c>
      <c r="R1104">
        <f t="shared" ca="1" si="362"/>
        <v>2.060772561831667</v>
      </c>
      <c r="T1104">
        <f t="shared" si="363"/>
        <v>0.96992441355918724</v>
      </c>
      <c r="U1104" s="6">
        <f t="shared" ca="1" si="364"/>
        <v>1.0266887319696787</v>
      </c>
      <c r="BJ1104" t="b">
        <f t="shared" si="347"/>
        <v>1</v>
      </c>
      <c r="BK1104" t="b">
        <f t="shared" si="348"/>
        <v>1</v>
      </c>
    </row>
    <row r="1105" spans="1:63" x14ac:dyDescent="0.45">
      <c r="A1105" s="1">
        <v>43635</v>
      </c>
      <c r="B1105">
        <v>15.0953</v>
      </c>
      <c r="C1105" s="1">
        <v>43635</v>
      </c>
      <c r="D1105">
        <v>293.06</v>
      </c>
      <c r="E1105">
        <f t="shared" si="349"/>
        <v>7.5153343522863358E-3</v>
      </c>
      <c r="F1105" s="4">
        <f t="shared" si="350"/>
        <v>2.2571819425445455E-3</v>
      </c>
      <c r="G1105">
        <f t="shared" ca="1" si="351"/>
        <v>-2.380398172215492E-3</v>
      </c>
      <c r="H1105">
        <f t="shared" ca="1" si="352"/>
        <v>3.2350636702412082E-2</v>
      </c>
      <c r="I1105">
        <f t="shared" ca="1" si="353"/>
        <v>-0.3311563997332338</v>
      </c>
      <c r="J1105">
        <f t="shared" ca="1" si="354"/>
        <v>1.7990354237134376</v>
      </c>
      <c r="K1105">
        <f t="shared" ca="1" si="355"/>
        <v>0.8789183357733571</v>
      </c>
      <c r="L1105">
        <f t="shared" ca="1" si="356"/>
        <v>0.86850737770431552</v>
      </c>
      <c r="M1105">
        <f t="shared" ca="1" si="357"/>
        <v>3.462264769111559E-4</v>
      </c>
      <c r="N1105">
        <f t="shared" ca="1" si="358"/>
        <v>1.0634392143351682E-2</v>
      </c>
      <c r="O1105">
        <f t="shared" ca="1" si="359"/>
        <v>0.1947732761589967</v>
      </c>
      <c r="P1105">
        <f t="shared" ca="1" si="360"/>
        <v>3.8944351881411325</v>
      </c>
      <c r="Q1105">
        <f t="shared" ca="1" si="361"/>
        <v>0.69998388985310678</v>
      </c>
      <c r="R1105">
        <f t="shared" ca="1" si="362"/>
        <v>2.037104071097704</v>
      </c>
      <c r="T1105">
        <f t="shared" si="363"/>
        <v>1.0075153343522862</v>
      </c>
      <c r="U1105" s="6">
        <f t="shared" ca="1" si="364"/>
        <v>1.0820460622047638</v>
      </c>
      <c r="BJ1105" t="b">
        <f t="shared" si="347"/>
        <v>1</v>
      </c>
      <c r="BK1105" t="b">
        <f t="shared" si="348"/>
        <v>1</v>
      </c>
    </row>
    <row r="1106" spans="1:63" x14ac:dyDescent="0.45">
      <c r="A1106" s="1">
        <v>43634</v>
      </c>
      <c r="B1106">
        <v>14.982699999999999</v>
      </c>
      <c r="C1106" s="1">
        <v>43634</v>
      </c>
      <c r="D1106">
        <v>292.39999999999998</v>
      </c>
      <c r="E1106">
        <f t="shared" si="349"/>
        <v>-1.2864951339822161E-3</v>
      </c>
      <c r="F1106" s="4">
        <f t="shared" si="350"/>
        <v>1.04710232574212E-2</v>
      </c>
      <c r="G1106">
        <f t="shared" ca="1" si="351"/>
        <v>-2.4463697223788376E-3</v>
      </c>
      <c r="H1106">
        <f t="shared" ca="1" si="352"/>
        <v>3.2448821438428199E-2</v>
      </c>
      <c r="I1106">
        <f t="shared" ca="1" si="353"/>
        <v>-0.32440259949239636</v>
      </c>
      <c r="J1106">
        <f t="shared" ca="1" si="354"/>
        <v>1.7707904465484487</v>
      </c>
      <c r="K1106">
        <f t="shared" ca="1" si="355"/>
        <v>0.87779074618523734</v>
      </c>
      <c r="L1106">
        <f t="shared" ca="1" si="356"/>
        <v>0.86532156756677714</v>
      </c>
      <c r="M1106">
        <f t="shared" ca="1" si="357"/>
        <v>3.3348677380693338E-4</v>
      </c>
      <c r="N1106">
        <f t="shared" ca="1" si="358"/>
        <v>1.0668862158244023E-2</v>
      </c>
      <c r="O1106">
        <f t="shared" ca="1" si="359"/>
        <v>0.19779507066338747</v>
      </c>
      <c r="P1106">
        <f t="shared" ca="1" si="360"/>
        <v>3.8534562917697546</v>
      </c>
      <c r="Q1106">
        <f t="shared" ca="1" si="361"/>
        <v>0.69913048911158049</v>
      </c>
      <c r="R1106">
        <f t="shared" ca="1" si="362"/>
        <v>2.0430896785531454</v>
      </c>
      <c r="T1106">
        <f t="shared" si="363"/>
        <v>0.99871350486601773</v>
      </c>
      <c r="U1106" s="6">
        <f t="shared" ca="1" si="364"/>
        <v>1.0351958433805695</v>
      </c>
      <c r="BJ1106" t="b">
        <f t="shared" si="347"/>
        <v>1</v>
      </c>
      <c r="BK1106" t="b">
        <f t="shared" si="348"/>
        <v>1</v>
      </c>
    </row>
    <row r="1107" spans="1:63" x14ac:dyDescent="0.45">
      <c r="A1107" s="1">
        <v>43633</v>
      </c>
      <c r="B1107">
        <v>15.002000000000001</v>
      </c>
      <c r="C1107" s="1">
        <v>43633</v>
      </c>
      <c r="D1107">
        <v>289.37</v>
      </c>
      <c r="E1107">
        <f t="shared" si="349"/>
        <v>4.7040759352317232E-2</v>
      </c>
      <c r="F1107" s="4">
        <f t="shared" si="350"/>
        <v>3.8028071631063281E-4</v>
      </c>
      <c r="G1107">
        <f t="shared" ca="1" si="351"/>
        <v>-2.4541541155895527E-3</v>
      </c>
      <c r="H1107">
        <f t="shared" ca="1" si="352"/>
        <v>3.2558120749847673E-2</v>
      </c>
      <c r="I1107">
        <f t="shared" ca="1" si="353"/>
        <v>-0.32261895396092427</v>
      </c>
      <c r="J1107">
        <f t="shared" ca="1" si="354"/>
        <v>1.7390104673070108</v>
      </c>
      <c r="K1107">
        <f t="shared" ca="1" si="355"/>
        <v>0.87666739977638686</v>
      </c>
      <c r="L1107">
        <f t="shared" ca="1" si="356"/>
        <v>0.86216417246684196</v>
      </c>
      <c r="M1107">
        <f t="shared" ca="1" si="357"/>
        <v>2.654496161987838E-4</v>
      </c>
      <c r="N1107">
        <f t="shared" ca="1" si="358"/>
        <v>1.0672143889035776E-2</v>
      </c>
      <c r="O1107">
        <f t="shared" ca="1" si="359"/>
        <v>0.21248187690410461</v>
      </c>
      <c r="P1107">
        <f t="shared" ca="1" si="360"/>
        <v>3.8926743487194222</v>
      </c>
      <c r="Q1107">
        <f t="shared" ca="1" si="361"/>
        <v>0.69827960573525627</v>
      </c>
      <c r="R1107">
        <f t="shared" ca="1" si="362"/>
        <v>2.0144733276110305</v>
      </c>
      <c r="T1107">
        <f t="shared" si="363"/>
        <v>1.0470407593523172</v>
      </c>
      <c r="U1107" s="6">
        <f t="shared" ca="1" si="364"/>
        <v>1.0570744081172492</v>
      </c>
      <c r="BJ1107" t="b">
        <f t="shared" si="347"/>
        <v>1</v>
      </c>
      <c r="BK1107" t="b">
        <f t="shared" si="348"/>
        <v>1</v>
      </c>
    </row>
    <row r="1108" spans="1:63" x14ac:dyDescent="0.45">
      <c r="A1108" s="1">
        <v>43630</v>
      </c>
      <c r="B1108">
        <v>14.327999999999999</v>
      </c>
      <c r="C1108" s="1">
        <v>43630</v>
      </c>
      <c r="D1108">
        <v>289.26</v>
      </c>
      <c r="E1108">
        <f t="shared" si="349"/>
        <v>4.7192634302663595E-3</v>
      </c>
      <c r="F1108" s="4">
        <f t="shared" si="350"/>
        <v>-1.1050486912079329E-3</v>
      </c>
      <c r="G1108">
        <f t="shared" ca="1" si="351"/>
        <v>-2.7885792065889228E-3</v>
      </c>
      <c r="H1108">
        <f t="shared" ca="1" si="352"/>
        <v>3.2410874420235637E-2</v>
      </c>
      <c r="I1108">
        <f t="shared" ca="1" si="353"/>
        <v>-0.32246944632476032</v>
      </c>
      <c r="J1108">
        <f t="shared" ca="1" si="354"/>
        <v>1.8081558243143991</v>
      </c>
      <c r="K1108">
        <f t="shared" ca="1" si="355"/>
        <v>0.86092879862737448</v>
      </c>
      <c r="L1108">
        <f t="shared" ca="1" si="356"/>
        <v>0.85735733579901319</v>
      </c>
      <c r="M1108">
        <f t="shared" ca="1" si="357"/>
        <v>2.6467373038721722E-4</v>
      </c>
      <c r="N1108">
        <f t="shared" ca="1" si="358"/>
        <v>1.0708377956207174E-2</v>
      </c>
      <c r="O1108">
        <f t="shared" ca="1" si="359"/>
        <v>0.21200287210435256</v>
      </c>
      <c r="P1108">
        <f t="shared" ca="1" si="360"/>
        <v>3.8472372070111902</v>
      </c>
      <c r="Q1108">
        <f t="shared" ca="1" si="361"/>
        <v>0.69743122860193618</v>
      </c>
      <c r="R1108">
        <f t="shared" ca="1" si="362"/>
        <v>2.0155137211627907</v>
      </c>
      <c r="T1108">
        <f t="shared" si="363"/>
        <v>1.0047192634302664</v>
      </c>
      <c r="U1108" s="6">
        <f t="shared" ca="1" si="364"/>
        <v>1.0509561148071267</v>
      </c>
      <c r="BJ1108" t="b">
        <f t="shared" si="347"/>
        <v>1</v>
      </c>
      <c r="BK1108" t="b">
        <f t="shared" si="348"/>
        <v>1</v>
      </c>
    </row>
    <row r="1109" spans="1:63" x14ac:dyDescent="0.45">
      <c r="A1109" s="1">
        <v>43629</v>
      </c>
      <c r="B1109">
        <v>14.2607</v>
      </c>
      <c r="C1109" s="1">
        <v>43629</v>
      </c>
      <c r="D1109">
        <v>289.58</v>
      </c>
      <c r="E1109">
        <f t="shared" si="349"/>
        <v>2.2221107184585757E-2</v>
      </c>
      <c r="F1109" s="4">
        <f t="shared" si="350"/>
        <v>4.1263566697874333E-3</v>
      </c>
      <c r="G1109">
        <f t="shared" ca="1" si="351"/>
        <v>-2.8396529660233119E-3</v>
      </c>
      <c r="H1109">
        <f t="shared" ca="1" si="352"/>
        <v>3.2515704488689193E-2</v>
      </c>
      <c r="I1109">
        <f t="shared" ca="1" si="353"/>
        <v>-0.31688620712567217</v>
      </c>
      <c r="J1109">
        <f t="shared" ca="1" si="354"/>
        <v>1.7774202461328961</v>
      </c>
      <c r="K1109">
        <f t="shared" ca="1" si="355"/>
        <v>0.86192585230176866</v>
      </c>
      <c r="L1109">
        <f t="shared" ca="1" si="356"/>
        <v>0.85536948735699458</v>
      </c>
      <c r="M1109">
        <f t="shared" ca="1" si="357"/>
        <v>2.7399156998990528E-4</v>
      </c>
      <c r="N1109">
        <f t="shared" ca="1" si="358"/>
        <v>1.0744385851703739E-2</v>
      </c>
      <c r="O1109">
        <f t="shared" ca="1" si="359"/>
        <v>0.20871257021298428</v>
      </c>
      <c r="P1109">
        <f t="shared" ca="1" si="360"/>
        <v>3.8025081607633893</v>
      </c>
      <c r="Q1109">
        <f t="shared" ca="1" si="361"/>
        <v>0.69658534665484539</v>
      </c>
      <c r="R1109">
        <f t="shared" ca="1" si="362"/>
        <v>2.0165463210335344</v>
      </c>
      <c r="T1109">
        <f t="shared" si="363"/>
        <v>1.0222211071845857</v>
      </c>
      <c r="U1109" s="6">
        <f t="shared" ca="1" si="364"/>
        <v>1.0386525855790243</v>
      </c>
      <c r="BJ1109" t="b">
        <f t="shared" si="347"/>
        <v>1</v>
      </c>
      <c r="BK1109" t="b">
        <f t="shared" si="348"/>
        <v>1</v>
      </c>
    </row>
    <row r="1110" spans="1:63" x14ac:dyDescent="0.45">
      <c r="A1110" s="1">
        <v>43628</v>
      </c>
      <c r="B1110">
        <v>13.950699999999999</v>
      </c>
      <c r="C1110" s="1">
        <v>43628</v>
      </c>
      <c r="D1110">
        <v>288.39</v>
      </c>
      <c r="E1110">
        <f t="shared" si="349"/>
        <v>-3.6107867590666996E-2</v>
      </c>
      <c r="F1110" s="4">
        <f t="shared" si="350"/>
        <v>-1.7653167185877152E-3</v>
      </c>
      <c r="G1110">
        <f t="shared" ca="1" si="351"/>
        <v>-3.0113020081507713E-3</v>
      </c>
      <c r="H1110">
        <f t="shared" ca="1" si="352"/>
        <v>3.2560736695361962E-2</v>
      </c>
      <c r="I1110">
        <f t="shared" ca="1" si="353"/>
        <v>-0.30493288856456996</v>
      </c>
      <c r="J1110">
        <f t="shared" ca="1" si="354"/>
        <v>1.7755244891401332</v>
      </c>
      <c r="K1110">
        <f t="shared" ca="1" si="355"/>
        <v>0.86291917506984084</v>
      </c>
      <c r="L1110">
        <f t="shared" ca="1" si="356"/>
        <v>0.84471959285985609</v>
      </c>
      <c r="M1110">
        <f t="shared" ca="1" si="357"/>
        <v>2.4760550766252478E-4</v>
      </c>
      <c r="N1110">
        <f t="shared" ca="1" si="358"/>
        <v>1.0776591625662954E-2</v>
      </c>
      <c r="O1110">
        <f t="shared" ca="1" si="359"/>
        <v>0.2154211549700232</v>
      </c>
      <c r="P1110">
        <f t="shared" ca="1" si="360"/>
        <v>3.7711031472407952</v>
      </c>
      <c r="Q1110">
        <f t="shared" ca="1" si="361"/>
        <v>0.69574194890215335</v>
      </c>
      <c r="R1110">
        <f t="shared" ca="1" si="362"/>
        <v>2.0175712144712117</v>
      </c>
      <c r="T1110">
        <f t="shared" si="363"/>
        <v>0.96389213240933302</v>
      </c>
      <c r="U1110" s="6">
        <f t="shared" ca="1" si="364"/>
        <v>1.064451396307035</v>
      </c>
      <c r="BJ1110" t="b">
        <f t="shared" si="347"/>
        <v>1</v>
      </c>
      <c r="BK1110" t="b">
        <f t="shared" si="348"/>
        <v>1</v>
      </c>
    </row>
    <row r="1111" spans="1:63" x14ac:dyDescent="0.45">
      <c r="A1111" s="1">
        <v>43627</v>
      </c>
      <c r="B1111">
        <v>14.4733</v>
      </c>
      <c r="C1111" s="1">
        <v>43627</v>
      </c>
      <c r="D1111">
        <v>288.89999999999998</v>
      </c>
      <c r="E1111">
        <f t="shared" si="349"/>
        <v>1.9821025930101457E-2</v>
      </c>
      <c r="F1111" s="4">
        <f t="shared" si="350"/>
        <v>-2.4223967885957025E-4</v>
      </c>
      <c r="G1111">
        <f t="shared" ca="1" si="351"/>
        <v>-2.7830498317196264E-3</v>
      </c>
      <c r="H1111">
        <f t="shared" ca="1" si="352"/>
        <v>3.2556179140672423E-2</v>
      </c>
      <c r="I1111">
        <f t="shared" ca="1" si="353"/>
        <v>-0.3211384074432258</v>
      </c>
      <c r="J1111">
        <f t="shared" ca="1" si="354"/>
        <v>1.814030263981401</v>
      </c>
      <c r="K1111">
        <f t="shared" ca="1" si="355"/>
        <v>0.86390878783367309</v>
      </c>
      <c r="L1111">
        <f t="shared" ca="1" si="356"/>
        <v>0.85935771379360215</v>
      </c>
      <c r="M1111">
        <f t="shared" ca="1" si="357"/>
        <v>2.6148772991252671E-4</v>
      </c>
      <c r="N1111">
        <f t="shared" ca="1" si="358"/>
        <v>1.0812635556276836E-2</v>
      </c>
      <c r="O1111">
        <f t="shared" ca="1" si="359"/>
        <v>0.21091554362839363</v>
      </c>
      <c r="P1111">
        <f t="shared" ca="1" si="360"/>
        <v>3.727634539479177</v>
      </c>
      <c r="Q1111">
        <f t="shared" ca="1" si="361"/>
        <v>0.69490102441649571</v>
      </c>
      <c r="R1111">
        <f t="shared" ca="1" si="362"/>
        <v>2.0185884874263262</v>
      </c>
      <c r="T1111">
        <f t="shared" si="363"/>
        <v>1.0198210259301015</v>
      </c>
      <c r="U1111" s="6">
        <f t="shared" ca="1" si="364"/>
        <v>1.1213788187530511</v>
      </c>
      <c r="BJ1111" t="b">
        <f t="shared" si="347"/>
        <v>1</v>
      </c>
      <c r="BK1111" t="b">
        <f t="shared" si="348"/>
        <v>1</v>
      </c>
    </row>
    <row r="1112" spans="1:63" x14ac:dyDescent="0.45">
      <c r="A1112" s="1">
        <v>43626</v>
      </c>
      <c r="B1112">
        <v>14.192</v>
      </c>
      <c r="C1112" s="1">
        <v>43626</v>
      </c>
      <c r="D1112">
        <v>288.97000000000003</v>
      </c>
      <c r="E1112">
        <f t="shared" si="349"/>
        <v>4.0980540294719543E-2</v>
      </c>
      <c r="F1112" s="4">
        <f t="shared" si="350"/>
        <v>4.5889101338433868E-3</v>
      </c>
      <c r="G1112">
        <f t="shared" ca="1" si="351"/>
        <v>-2.940022580065605E-3</v>
      </c>
      <c r="H1112">
        <f t="shared" ca="1" si="352"/>
        <v>3.2614703317895746E-2</v>
      </c>
      <c r="I1112">
        <f t="shared" ca="1" si="353"/>
        <v>-0.30939612702078662</v>
      </c>
      <c r="J1112">
        <f t="shared" ca="1" si="354"/>
        <v>1.8059964100061459</v>
      </c>
      <c r="K1112">
        <f t="shared" ca="1" si="355"/>
        <v>0.86489471133950901</v>
      </c>
      <c r="L1112">
        <f t="shared" ca="1" si="356"/>
        <v>0.83676573274064814</v>
      </c>
      <c r="M1112">
        <f t="shared" ca="1" si="357"/>
        <v>2.6498583691788842E-4</v>
      </c>
      <c r="N1112">
        <f t="shared" ca="1" si="358"/>
        <v>1.085029377369601E-2</v>
      </c>
      <c r="O1112">
        <f t="shared" ca="1" si="359"/>
        <v>0.209227018111696</v>
      </c>
      <c r="P1112">
        <f t="shared" ca="1" si="360"/>
        <v>3.6819143045001219</v>
      </c>
      <c r="Q1112">
        <f t="shared" ca="1" si="361"/>
        <v>0.69406256233450425</v>
      </c>
      <c r="R1112">
        <f t="shared" ca="1" si="362"/>
        <v>1.9454346789329608</v>
      </c>
      <c r="T1112">
        <f t="shared" si="363"/>
        <v>1.0409805402947196</v>
      </c>
      <c r="U1112" s="6">
        <f t="shared" ca="1" si="364"/>
        <v>1.1894764191663947</v>
      </c>
      <c r="BJ1112" t="b">
        <f t="shared" si="347"/>
        <v>1</v>
      </c>
      <c r="BK1112" t="b">
        <f t="shared" si="348"/>
        <v>1</v>
      </c>
    </row>
    <row r="1113" spans="1:63" x14ac:dyDescent="0.45">
      <c r="A1113" s="1">
        <v>43623</v>
      </c>
      <c r="B1113">
        <v>13.6333</v>
      </c>
      <c r="C1113" s="1">
        <v>43623</v>
      </c>
      <c r="D1113">
        <v>287.64999999999998</v>
      </c>
      <c r="E1113">
        <f t="shared" si="349"/>
        <v>-7.042971595047358E-3</v>
      </c>
      <c r="F1113" s="4">
        <f t="shared" si="350"/>
        <v>1.0007022471909993E-2</v>
      </c>
      <c r="G1113">
        <f t="shared" ca="1" si="351"/>
        <v>-3.2471593833857805E-3</v>
      </c>
      <c r="H1113">
        <f t="shared" ca="1" si="352"/>
        <v>3.2519689951512359E-2</v>
      </c>
      <c r="I1113">
        <f t="shared" ca="1" si="353"/>
        <v>-0.30320339427446408</v>
      </c>
      <c r="J1113">
        <f t="shared" ca="1" si="354"/>
        <v>1.8620849066417744</v>
      </c>
      <c r="K1113">
        <f t="shared" ca="1" si="355"/>
        <v>0.86587696617919208</v>
      </c>
      <c r="L1113">
        <f t="shared" ca="1" si="356"/>
        <v>0.80799447467100061</v>
      </c>
      <c r="M1113">
        <f t="shared" ca="1" si="357"/>
        <v>2.3474860407225531E-4</v>
      </c>
      <c r="N1113">
        <f t="shared" ca="1" si="358"/>
        <v>1.0882341962842381E-2</v>
      </c>
      <c r="O1113">
        <f t="shared" ca="1" si="359"/>
        <v>0.21687089395717815</v>
      </c>
      <c r="P1113">
        <f t="shared" ca="1" si="360"/>
        <v>3.6535220162891431</v>
      </c>
      <c r="Q1113">
        <f t="shared" ca="1" si="361"/>
        <v>0.6932265518563373</v>
      </c>
      <c r="R1113">
        <f t="shared" ca="1" si="362"/>
        <v>1.8776284275857122</v>
      </c>
      <c r="T1113">
        <f t="shared" si="363"/>
        <v>0.99295702840495259</v>
      </c>
      <c r="U1113" s="6">
        <f t="shared" ca="1" si="364"/>
        <v>1.1044475048606612</v>
      </c>
      <c r="BJ1113" t="b">
        <f t="shared" si="347"/>
        <v>1</v>
      </c>
      <c r="BK1113" t="b">
        <f t="shared" si="348"/>
        <v>1</v>
      </c>
    </row>
    <row r="1114" spans="1:63" x14ac:dyDescent="0.45">
      <c r="A1114" s="1">
        <v>43622</v>
      </c>
      <c r="B1114">
        <v>13.73</v>
      </c>
      <c r="C1114" s="1">
        <v>43622</v>
      </c>
      <c r="D1114">
        <v>284.8</v>
      </c>
      <c r="E1114">
        <f t="shared" si="349"/>
        <v>4.7611780863726583E-2</v>
      </c>
      <c r="F1114" s="4">
        <f t="shared" si="350"/>
        <v>6.5026858919989819E-3</v>
      </c>
      <c r="G1114">
        <f t="shared" ca="1" si="351"/>
        <v>-3.2204283114726706E-3</v>
      </c>
      <c r="H1114">
        <f t="shared" ca="1" si="352"/>
        <v>3.2633227600205275E-2</v>
      </c>
      <c r="I1114">
        <f t="shared" ca="1" si="353"/>
        <v>-0.30468906801096962</v>
      </c>
      <c r="J1114">
        <f t="shared" ca="1" si="354"/>
        <v>1.8303600252826597</v>
      </c>
      <c r="K1114">
        <f t="shared" ca="1" si="355"/>
        <v>0.86685557279160363</v>
      </c>
      <c r="L1114">
        <f t="shared" ca="1" si="356"/>
        <v>0.81521175432351545</v>
      </c>
      <c r="M1114">
        <f t="shared" ca="1" si="357"/>
        <v>1.659297740170604E-4</v>
      </c>
      <c r="N1114">
        <f t="shared" ca="1" si="358"/>
        <v>1.0889591687394938E-2</v>
      </c>
      <c r="O1114">
        <f t="shared" ca="1" si="359"/>
        <v>0.2320263205402239</v>
      </c>
      <c r="P1114">
        <f t="shared" ca="1" si="360"/>
        <v>3.6857108858362984</v>
      </c>
      <c r="Q1114">
        <f t="shared" ca="1" si="361"/>
        <v>0.69239298224521761</v>
      </c>
      <c r="R1114">
        <f t="shared" ca="1" si="362"/>
        <v>1.797437460635209</v>
      </c>
      <c r="T1114">
        <f t="shared" si="363"/>
        <v>1.0476117808637266</v>
      </c>
      <c r="U1114" s="6">
        <f t="shared" ca="1" si="364"/>
        <v>1.0941982786101374</v>
      </c>
      <c r="BJ1114" t="b">
        <f t="shared" si="347"/>
        <v>1</v>
      </c>
      <c r="BK1114" t="b">
        <f t="shared" si="348"/>
        <v>1</v>
      </c>
    </row>
    <row r="1115" spans="1:63" x14ac:dyDescent="0.45">
      <c r="A1115" s="1">
        <v>43621</v>
      </c>
      <c r="B1115">
        <v>13.106</v>
      </c>
      <c r="C1115" s="1">
        <v>43621</v>
      </c>
      <c r="D1115">
        <v>282.95999999999998</v>
      </c>
      <c r="E1115">
        <f t="shared" si="349"/>
        <v>1.5441592351259355E-2</v>
      </c>
      <c r="F1115" s="4">
        <f t="shared" si="350"/>
        <v>8.6621751684312093E-3</v>
      </c>
      <c r="G1115">
        <f t="shared" ca="1" si="351"/>
        <v>-3.5809404332825933E-3</v>
      </c>
      <c r="H1115">
        <f t="shared" ca="1" si="352"/>
        <v>3.2464545994860906E-2</v>
      </c>
      <c r="I1115">
        <f t="shared" ca="1" si="353"/>
        <v>-0.30572418257100986</v>
      </c>
      <c r="J1115">
        <f t="shared" ca="1" si="354"/>
        <v>1.9100949098130324</v>
      </c>
      <c r="K1115">
        <f t="shared" ca="1" si="355"/>
        <v>0.81619446976941334</v>
      </c>
      <c r="L1115">
        <f t="shared" ca="1" si="356"/>
        <v>0.7835459486352514</v>
      </c>
      <c r="M1115">
        <f t="shared" ca="1" si="357"/>
        <v>1.2098824126541569E-4</v>
      </c>
      <c r="N1115">
        <f t="shared" ca="1" si="358"/>
        <v>1.0915190248336135E-2</v>
      </c>
      <c r="O1115">
        <f t="shared" ca="1" si="359"/>
        <v>0.24317901225669628</v>
      </c>
      <c r="P1115">
        <f t="shared" ca="1" si="360"/>
        <v>3.6751188649003859</v>
      </c>
      <c r="Q1115">
        <f t="shared" ca="1" si="361"/>
        <v>0.69156184282697153</v>
      </c>
      <c r="R1115">
        <f t="shared" ca="1" si="362"/>
        <v>1.7141437736736085</v>
      </c>
      <c r="T1115">
        <f t="shared" si="363"/>
        <v>1.0154415923512594</v>
      </c>
      <c r="U1115" s="6">
        <f t="shared" ca="1" si="364"/>
        <v>1.0354498984775586</v>
      </c>
      <c r="BJ1115" t="b">
        <f t="shared" si="347"/>
        <v>1</v>
      </c>
      <c r="BK1115" t="b">
        <f t="shared" si="348"/>
        <v>1</v>
      </c>
    </row>
    <row r="1116" spans="1:63" x14ac:dyDescent="0.45">
      <c r="A1116" s="1">
        <v>43620</v>
      </c>
      <c r="B1116">
        <v>12.906700000000001</v>
      </c>
      <c r="C1116" s="1">
        <v>43620</v>
      </c>
      <c r="D1116">
        <v>280.52999999999997</v>
      </c>
      <c r="E1116">
        <f t="shared" si="349"/>
        <v>8.1751359868580994E-2</v>
      </c>
      <c r="F1116" s="4">
        <f t="shared" si="350"/>
        <v>2.1706668609097788E-2</v>
      </c>
      <c r="G1116">
        <f t="shared" ca="1" si="351"/>
        <v>-3.7168156674578933E-3</v>
      </c>
      <c r="H1116">
        <f t="shared" ca="1" si="352"/>
        <v>3.2540854574689963E-2</v>
      </c>
      <c r="I1116">
        <f t="shared" ca="1" si="353"/>
        <v>-0.29454367119441927</v>
      </c>
      <c r="J1116">
        <f t="shared" ca="1" si="354"/>
        <v>1.8940521728375366</v>
      </c>
      <c r="K1116">
        <f t="shared" ca="1" si="355"/>
        <v>0.82092398539502454</v>
      </c>
      <c r="L1116">
        <f t="shared" ca="1" si="356"/>
        <v>0.77651473698269413</v>
      </c>
      <c r="M1116">
        <f t="shared" ca="1" si="357"/>
        <v>5.9979763214231454E-5</v>
      </c>
      <c r="N1116">
        <f t="shared" ca="1" si="358"/>
        <v>1.0930230003797484E-2</v>
      </c>
      <c r="O1116">
        <f t="shared" ca="1" si="359"/>
        <v>0.25744907738689071</v>
      </c>
      <c r="P1116">
        <f t="shared" ca="1" si="360"/>
        <v>3.6908464751423971</v>
      </c>
      <c r="Q1116">
        <f t="shared" ca="1" si="361"/>
        <v>0.69398562255940133</v>
      </c>
      <c r="R1116">
        <f t="shared" ca="1" si="362"/>
        <v>1.6544893841912509</v>
      </c>
      <c r="T1116">
        <f t="shared" si="363"/>
        <v>1.0817513598685811</v>
      </c>
      <c r="U1116" s="6">
        <f t="shared" ca="1" si="364"/>
        <v>1.0259697933227347</v>
      </c>
      <c r="BJ1116" t="b">
        <f t="shared" si="347"/>
        <v>1</v>
      </c>
      <c r="BK1116" t="b">
        <f t="shared" si="348"/>
        <v>1</v>
      </c>
    </row>
    <row r="1117" spans="1:63" x14ac:dyDescent="0.45">
      <c r="A1117" s="1">
        <v>43619</v>
      </c>
      <c r="B1117">
        <v>11.9313</v>
      </c>
      <c r="C1117" s="1">
        <v>43619</v>
      </c>
      <c r="D1117">
        <v>274.57</v>
      </c>
      <c r="E1117">
        <f t="shared" si="349"/>
        <v>-3.3433246921581269E-2</v>
      </c>
      <c r="F1117" s="4">
        <f t="shared" si="350"/>
        <v>-2.5429578232280623E-3</v>
      </c>
      <c r="G1117">
        <f t="shared" ca="1" si="351"/>
        <v>-4.3316946281488225E-3</v>
      </c>
      <c r="H1117">
        <f t="shared" ca="1" si="352"/>
        <v>3.1831843216618756E-2</v>
      </c>
      <c r="I1117">
        <f t="shared" ca="1" si="353"/>
        <v>-0.40048999168359423</v>
      </c>
      <c r="J1117">
        <f t="shared" ca="1" si="354"/>
        <v>1.9638724708278184</v>
      </c>
      <c r="K1117">
        <f t="shared" ca="1" si="355"/>
        <v>0.78124859648423317</v>
      </c>
      <c r="L1117">
        <f t="shared" ca="1" si="356"/>
        <v>0.72131445669832339</v>
      </c>
      <c r="M1117">
        <f t="shared" ca="1" si="357"/>
        <v>-9.5751811216585048E-5</v>
      </c>
      <c r="N1117">
        <f t="shared" ca="1" si="358"/>
        <v>1.0812757418286674E-2</v>
      </c>
      <c r="O1117">
        <f t="shared" ca="1" si="359"/>
        <v>0.2527378311304625</v>
      </c>
      <c r="P1117">
        <f t="shared" ca="1" si="360"/>
        <v>3.9342738568247273</v>
      </c>
      <c r="Q1117">
        <f t="shared" ca="1" si="361"/>
        <v>0.68702670721286385</v>
      </c>
      <c r="R1117">
        <f t="shared" ca="1" si="362"/>
        <v>1.5143025780114516</v>
      </c>
      <c r="T1117">
        <f t="shared" si="363"/>
        <v>0.96656675307841877</v>
      </c>
      <c r="U1117" s="6">
        <f t="shared" ca="1" si="364"/>
        <v>0.93882930590855074</v>
      </c>
      <c r="BJ1117" t="b">
        <f t="shared" si="347"/>
        <v>1</v>
      </c>
      <c r="BK1117" t="b">
        <f t="shared" si="348"/>
        <v>1</v>
      </c>
    </row>
    <row r="1118" spans="1:63" x14ac:dyDescent="0.45">
      <c r="A1118" s="1">
        <v>43616</v>
      </c>
      <c r="B1118">
        <v>12.343999999999999</v>
      </c>
      <c r="C1118" s="1">
        <v>43616</v>
      </c>
      <c r="D1118">
        <v>275.27</v>
      </c>
      <c r="E1118">
        <f t="shared" si="349"/>
        <v>-1.625757092763792E-2</v>
      </c>
      <c r="F1118" s="4">
        <f t="shared" si="350"/>
        <v>-1.347525355696517E-2</v>
      </c>
      <c r="G1118">
        <f t="shared" ca="1" si="351"/>
        <v>-4.1208138144282966E-3</v>
      </c>
      <c r="H1118">
        <f t="shared" ca="1" si="352"/>
        <v>3.1850208741181385E-2</v>
      </c>
      <c r="I1118">
        <f t="shared" ca="1" si="353"/>
        <v>-0.41726411359358534</v>
      </c>
      <c r="J1118">
        <f t="shared" ca="1" si="354"/>
        <v>1.9958132174708005</v>
      </c>
      <c r="K1118">
        <f t="shared" ca="1" si="355"/>
        <v>0.77898677394836924</v>
      </c>
      <c r="L1118">
        <f t="shared" ca="1" si="356"/>
        <v>0.77037855157899204</v>
      </c>
      <c r="M1118">
        <f t="shared" ca="1" si="357"/>
        <v>-7.8018434317951243E-5</v>
      </c>
      <c r="N1118">
        <f t="shared" ca="1" si="358"/>
        <v>1.0850119430764757E-2</v>
      </c>
      <c r="O1118">
        <f t="shared" ca="1" si="359"/>
        <v>0.24709808407634354</v>
      </c>
      <c r="P1118">
        <f t="shared" ca="1" si="360"/>
        <v>3.8887600727875586</v>
      </c>
      <c r="Q1118">
        <f t="shared" ca="1" si="361"/>
        <v>0.68654217952871455</v>
      </c>
      <c r="R1118">
        <f t="shared" ca="1" si="362"/>
        <v>1.5625907836977888</v>
      </c>
      <c r="T1118">
        <f t="shared" si="363"/>
        <v>0.98374242907236209</v>
      </c>
      <c r="U1118" s="6">
        <f t="shared" ca="1" si="364"/>
        <v>0.94715599990792376</v>
      </c>
      <c r="BJ1118" t="b">
        <f t="shared" si="347"/>
        <v>1</v>
      </c>
      <c r="BK1118" t="b">
        <f t="shared" si="348"/>
        <v>1</v>
      </c>
    </row>
    <row r="1119" spans="1:63" x14ac:dyDescent="0.45">
      <c r="A1119" s="1">
        <v>43615</v>
      </c>
      <c r="B1119">
        <v>12.548</v>
      </c>
      <c r="C1119" s="1">
        <v>43615</v>
      </c>
      <c r="D1119">
        <v>279.02999999999997</v>
      </c>
      <c r="E1119">
        <f t="shared" si="349"/>
        <v>-8.6353329699066384E-3</v>
      </c>
      <c r="F1119" s="4">
        <f t="shared" si="350"/>
        <v>2.7311603837998741E-3</v>
      </c>
      <c r="G1119">
        <f t="shared" ca="1" si="351"/>
        <v>-4.0322243464486649E-3</v>
      </c>
      <c r="H1119">
        <f t="shared" ca="1" si="352"/>
        <v>3.1950021645406522E-2</v>
      </c>
      <c r="I1119">
        <f t="shared" ca="1" si="353"/>
        <v>-0.42448232558454735</v>
      </c>
      <c r="J1119">
        <f t="shared" ca="1" si="354"/>
        <v>1.9753706192649814</v>
      </c>
      <c r="K1119">
        <f t="shared" ca="1" si="355"/>
        <v>0.7767466055011486</v>
      </c>
      <c r="L1119">
        <f t="shared" ca="1" si="356"/>
        <v>0.7835459486352514</v>
      </c>
      <c r="M1119">
        <f t="shared" ca="1" si="357"/>
        <v>1.9771603073634435E-5</v>
      </c>
      <c r="N1119">
        <f t="shared" ca="1" si="358"/>
        <v>1.0828727293577648E-2</v>
      </c>
      <c r="O1119">
        <f t="shared" ca="1" si="359"/>
        <v>0.23705664079110497</v>
      </c>
      <c r="P1119">
        <f t="shared" ca="1" si="360"/>
        <v>3.9698763520798472</v>
      </c>
      <c r="Q1119">
        <f t="shared" ca="1" si="361"/>
        <v>0.68605858494855254</v>
      </c>
      <c r="R1119">
        <f t="shared" ca="1" si="362"/>
        <v>1.6472437857759059</v>
      </c>
      <c r="T1119">
        <f t="shared" si="363"/>
        <v>0.9913646670300934</v>
      </c>
      <c r="U1119" s="6">
        <f t="shared" ca="1" si="364"/>
        <v>0.9765968541564517</v>
      </c>
      <c r="BJ1119" t="b">
        <f t="shared" si="347"/>
        <v>1</v>
      </c>
      <c r="BK1119" t="b">
        <f t="shared" si="348"/>
        <v>1</v>
      </c>
    </row>
    <row r="1120" spans="1:63" x14ac:dyDescent="0.45">
      <c r="A1120" s="1">
        <v>43614</v>
      </c>
      <c r="B1120">
        <v>12.657299999999999</v>
      </c>
      <c r="C1120" s="1">
        <v>43614</v>
      </c>
      <c r="D1120">
        <v>278.27</v>
      </c>
      <c r="E1120">
        <f t="shared" si="349"/>
        <v>6.1446740858504979E-3</v>
      </c>
      <c r="F1120" s="4">
        <f t="shared" si="350"/>
        <v>-6.7106907014099432E-3</v>
      </c>
      <c r="G1120">
        <f t="shared" ca="1" si="351"/>
        <v>-3.9983779595114738E-3</v>
      </c>
      <c r="H1120">
        <f t="shared" ca="1" si="352"/>
        <v>3.2065671467544785E-2</v>
      </c>
      <c r="I1120">
        <f t="shared" ca="1" si="353"/>
        <v>-0.4262541105118251</v>
      </c>
      <c r="J1120">
        <f t="shared" ca="1" si="354"/>
        <v>1.9428044039206323</v>
      </c>
      <c r="K1120">
        <f t="shared" ca="1" si="355"/>
        <v>0.77452778165828662</v>
      </c>
      <c r="L1120">
        <f t="shared" ca="1" si="356"/>
        <v>0.77651473698269413</v>
      </c>
      <c r="M1120">
        <f t="shared" ca="1" si="357"/>
        <v>-1.6507913758814385E-7</v>
      </c>
      <c r="N1120">
        <f t="shared" ca="1" si="358"/>
        <v>1.0866235794935265E-2</v>
      </c>
      <c r="O1120">
        <f t="shared" ca="1" si="359"/>
        <v>0.24184343312825612</v>
      </c>
      <c r="P1120">
        <f t="shared" ca="1" si="360"/>
        <v>3.9281798290631085</v>
      </c>
      <c r="Q1120">
        <f t="shared" ca="1" si="361"/>
        <v>0.68557592077951146</v>
      </c>
      <c r="R1120">
        <f t="shared" ca="1" si="362"/>
        <v>1.6544893841912509</v>
      </c>
      <c r="T1120">
        <f t="shared" si="363"/>
        <v>1.0061446740858504</v>
      </c>
      <c r="U1120" s="6">
        <f t="shared" ca="1" si="364"/>
        <v>0.92578262141603251</v>
      </c>
      <c r="BJ1120" t="b">
        <f t="shared" si="347"/>
        <v>1</v>
      </c>
      <c r="BK1120" t="b">
        <f t="shared" si="348"/>
        <v>1</v>
      </c>
    </row>
    <row r="1121" spans="1:63" x14ac:dyDescent="0.45">
      <c r="A1121" s="1">
        <v>43613</v>
      </c>
      <c r="B1121">
        <v>12.58</v>
      </c>
      <c r="C1121" s="1">
        <v>43613</v>
      </c>
      <c r="D1121">
        <v>280.14999999999998</v>
      </c>
      <c r="E1121">
        <f t="shared" si="349"/>
        <v>-1.0126920928183077E-2</v>
      </c>
      <c r="F1121" s="4">
        <f t="shared" si="350"/>
        <v>-9.3005163024258986E-3</v>
      </c>
      <c r="G1121">
        <f t="shared" ca="1" si="351"/>
        <v>-4.0735116783660059E-3</v>
      </c>
      <c r="H1121">
        <f t="shared" ca="1" si="352"/>
        <v>3.2173079052897395E-2</v>
      </c>
      <c r="I1121">
        <f t="shared" ca="1" si="353"/>
        <v>-0.41832164569338554</v>
      </c>
      <c r="J1121">
        <f t="shared" ca="1" si="354"/>
        <v>1.9101240766496983</v>
      </c>
      <c r="K1121">
        <f t="shared" ca="1" si="355"/>
        <v>0.77232999880514319</v>
      </c>
      <c r="L1121">
        <f t="shared" ca="1" si="356"/>
        <v>0.7697741631462226</v>
      </c>
      <c r="M1121">
        <f t="shared" ca="1" si="357"/>
        <v>4.9542518064429451E-5</v>
      </c>
      <c r="N1121">
        <f t="shared" ca="1" si="358"/>
        <v>1.0891175097013815E-2</v>
      </c>
      <c r="O1121">
        <f t="shared" ca="1" si="359"/>
        <v>0.22987882102547977</v>
      </c>
      <c r="P1121">
        <f t="shared" ca="1" si="360"/>
        <v>3.9122750184242263</v>
      </c>
      <c r="Q1121">
        <f t="shared" ca="1" si="361"/>
        <v>0.68509418433907732</v>
      </c>
      <c r="R1121">
        <f t="shared" ca="1" si="362"/>
        <v>1.803552810816976</v>
      </c>
      <c r="T1121">
        <f t="shared" si="363"/>
        <v>0.98987307907181687</v>
      </c>
      <c r="U1121" s="6">
        <f t="shared" ca="1" si="364"/>
        <v>0.91887193496315023</v>
      </c>
      <c r="BJ1121" t="b">
        <f t="shared" si="347"/>
        <v>1</v>
      </c>
      <c r="BK1121" t="b">
        <f t="shared" si="348"/>
        <v>1</v>
      </c>
    </row>
    <row r="1122" spans="1:63" x14ac:dyDescent="0.45">
      <c r="A1122" s="1">
        <v>43609</v>
      </c>
      <c r="B1122">
        <v>12.7087</v>
      </c>
      <c r="C1122" s="1">
        <v>43609</v>
      </c>
      <c r="D1122">
        <v>282.77999999999997</v>
      </c>
      <c r="E1122">
        <f t="shared" si="349"/>
        <v>-2.4860543095444523E-2</v>
      </c>
      <c r="F1122" s="4">
        <f t="shared" si="350"/>
        <v>2.2683774012900912E-3</v>
      </c>
      <c r="G1122">
        <f t="shared" ca="1" si="351"/>
        <v>-4.02833698247185E-3</v>
      </c>
      <c r="H1122">
        <f t="shared" ca="1" si="352"/>
        <v>3.2289506068451379E-2</v>
      </c>
      <c r="I1122">
        <f t="shared" ca="1" si="353"/>
        <v>-0.42118151444893709</v>
      </c>
      <c r="J1122">
        <f t="shared" ca="1" si="354"/>
        <v>1.8791515694156038</v>
      </c>
      <c r="K1122">
        <f t="shared" ca="1" si="355"/>
        <v>0.77015295905822712</v>
      </c>
      <c r="L1122">
        <f t="shared" ca="1" si="356"/>
        <v>0.76330657158753212</v>
      </c>
      <c r="M1122">
        <f t="shared" ca="1" si="357"/>
        <v>1.1931907642629715E-4</v>
      </c>
      <c r="N1122">
        <f t="shared" ca="1" si="358"/>
        <v>1.0901712328183223E-2</v>
      </c>
      <c r="O1122">
        <f t="shared" ca="1" si="359"/>
        <v>0.21628493151899417</v>
      </c>
      <c r="P1122">
        <f t="shared" ca="1" si="360"/>
        <v>3.9292250626177685</v>
      </c>
      <c r="Q1122">
        <f t="shared" ca="1" si="361"/>
        <v>0.68461337295503788</v>
      </c>
      <c r="R1122">
        <f t="shared" ca="1" si="362"/>
        <v>1.9724866018887262</v>
      </c>
      <c r="T1122">
        <f t="shared" si="363"/>
        <v>0.9751394569045555</v>
      </c>
      <c r="U1122" s="6">
        <f t="shared" ca="1" si="364"/>
        <v>0.90333150895249759</v>
      </c>
      <c r="BJ1122" t="b">
        <f t="shared" si="347"/>
        <v>1</v>
      </c>
      <c r="BK1122" t="b">
        <f t="shared" si="348"/>
        <v>1</v>
      </c>
    </row>
    <row r="1123" spans="1:63" x14ac:dyDescent="0.45">
      <c r="A1123" s="1">
        <v>43608</v>
      </c>
      <c r="B1123">
        <v>13.0327</v>
      </c>
      <c r="C1123" s="1">
        <v>43608</v>
      </c>
      <c r="D1123">
        <v>282.14</v>
      </c>
      <c r="E1123">
        <f t="shared" si="349"/>
        <v>1.4320514915905972E-2</v>
      </c>
      <c r="F1123" s="4">
        <f t="shared" si="350"/>
        <v>-1.2218604488324087E-2</v>
      </c>
      <c r="G1123">
        <f t="shared" ca="1" si="351"/>
        <v>-3.871703853802881E-3</v>
      </c>
      <c r="H1123">
        <f t="shared" ca="1" si="352"/>
        <v>3.2360443850674693E-2</v>
      </c>
      <c r="I1123">
        <f t="shared" ca="1" si="353"/>
        <v>-0.43432625619417442</v>
      </c>
      <c r="J1123">
        <f t="shared" ca="1" si="354"/>
        <v>1.8813823605507944</v>
      </c>
      <c r="K1123">
        <f t="shared" ca="1" si="355"/>
        <v>0.76799637013060429</v>
      </c>
      <c r="L1123">
        <f t="shared" ca="1" si="356"/>
        <v>0.82238410926751626</v>
      </c>
      <c r="M1123">
        <f t="shared" ca="1" si="357"/>
        <v>1.0316074315664449E-4</v>
      </c>
      <c r="N1123">
        <f t="shared" ca="1" si="358"/>
        <v>1.0941317969961929E-2</v>
      </c>
      <c r="O1123">
        <f t="shared" ca="1" si="359"/>
        <v>0.22002985087983132</v>
      </c>
      <c r="P1123">
        <f t="shared" ca="1" si="360"/>
        <v>3.8838578433414352</v>
      </c>
      <c r="Q1123">
        <f t="shared" ca="1" si="361"/>
        <v>0.68413348396543394</v>
      </c>
      <c r="R1123">
        <f t="shared" ca="1" si="362"/>
        <v>1.9845165373716342</v>
      </c>
      <c r="T1123">
        <f t="shared" si="363"/>
        <v>1.014320514915906</v>
      </c>
      <c r="U1123" s="6">
        <f t="shared" ca="1" si="364"/>
        <v>0.85617527263171733</v>
      </c>
      <c r="BJ1123" t="b">
        <f t="shared" si="347"/>
        <v>1</v>
      </c>
      <c r="BK1123" t="b">
        <f t="shared" si="348"/>
        <v>1</v>
      </c>
    </row>
    <row r="1124" spans="1:63" x14ac:dyDescent="0.45">
      <c r="A1124" s="1">
        <v>43607</v>
      </c>
      <c r="B1124">
        <v>12.848699999999999</v>
      </c>
      <c r="C1124" s="1">
        <v>43607</v>
      </c>
      <c r="D1124">
        <v>285.63</v>
      </c>
      <c r="E1124">
        <f t="shared" si="349"/>
        <v>-6.021796372147465E-2</v>
      </c>
      <c r="F1124" s="4">
        <f t="shared" si="350"/>
        <v>-3.0714460228264124E-3</v>
      </c>
      <c r="G1124">
        <f t="shared" ca="1" si="351"/>
        <v>-4.0095236929673433E-3</v>
      </c>
      <c r="H1124">
        <f t="shared" ca="1" si="352"/>
        <v>3.2444516937303609E-2</v>
      </c>
      <c r="I1124">
        <f t="shared" ca="1" si="353"/>
        <v>-0.4227253213609341</v>
      </c>
      <c r="J1124">
        <f t="shared" ca="1" si="354"/>
        <v>1.8605334142677887</v>
      </c>
      <c r="K1124">
        <f t="shared" ca="1" si="355"/>
        <v>0.76585994520107548</v>
      </c>
      <c r="L1124">
        <f t="shared" ca="1" si="356"/>
        <v>0.8114588240641406</v>
      </c>
      <c r="M1124">
        <f t="shared" ca="1" si="357"/>
        <v>1.9650744945574078E-4</v>
      </c>
      <c r="N1124">
        <f t="shared" ca="1" si="358"/>
        <v>1.0929708042026257E-2</v>
      </c>
      <c r="O1124">
        <f t="shared" ca="1" si="359"/>
        <v>0.20753159279223932</v>
      </c>
      <c r="P1124">
        <f t="shared" ca="1" si="360"/>
        <v>3.9479796728395784</v>
      </c>
      <c r="Q1124">
        <f t="shared" ca="1" si="361"/>
        <v>0.68365451471850991</v>
      </c>
      <c r="R1124">
        <f t="shared" ca="1" si="362"/>
        <v>2.0155137211627907</v>
      </c>
      <c r="T1124">
        <f t="shared" si="363"/>
        <v>0.9397820362785253</v>
      </c>
      <c r="U1124" s="6">
        <f t="shared" ca="1" si="364"/>
        <v>0.83091578123686416</v>
      </c>
      <c r="BJ1124" t="b">
        <f t="shared" si="347"/>
        <v>1</v>
      </c>
      <c r="BK1124" t="b">
        <f t="shared" si="348"/>
        <v>1</v>
      </c>
    </row>
    <row r="1125" spans="1:63" x14ac:dyDescent="0.45">
      <c r="A1125" s="1">
        <v>43606</v>
      </c>
      <c r="B1125">
        <v>13.672000000000001</v>
      </c>
      <c r="C1125" s="1">
        <v>43606</v>
      </c>
      <c r="D1125">
        <v>286.51</v>
      </c>
      <c r="E1125">
        <f t="shared" si="349"/>
        <v>-1.3658907141343431E-3</v>
      </c>
      <c r="F1125" s="4">
        <f t="shared" si="350"/>
        <v>9.015671773199516E-3</v>
      </c>
      <c r="G1125">
        <f t="shared" ca="1" si="351"/>
        <v>-3.5804516316810266E-3</v>
      </c>
      <c r="H1125">
        <f t="shared" ca="1" si="352"/>
        <v>3.219092189111461E-2</v>
      </c>
      <c r="I1125">
        <f t="shared" ca="1" si="353"/>
        <v>-0.43519888177445298</v>
      </c>
      <c r="J1125">
        <f t="shared" ca="1" si="354"/>
        <v>2.0060705841485795</v>
      </c>
      <c r="K1125">
        <f t="shared" ca="1" si="355"/>
        <v>0.81614473609695171</v>
      </c>
      <c r="L1125">
        <f t="shared" ca="1" si="356"/>
        <v>0.84075511773486578</v>
      </c>
      <c r="M1125">
        <f t="shared" ca="1" si="357"/>
        <v>2.214536591678184E-4</v>
      </c>
      <c r="N1125">
        <f t="shared" ca="1" si="358"/>
        <v>1.0967891880689966E-2</v>
      </c>
      <c r="O1125">
        <f t="shared" ca="1" si="359"/>
        <v>0.20025310596621712</v>
      </c>
      <c r="P1125">
        <f t="shared" ca="1" si="360"/>
        <v>3.9039309036831726</v>
      </c>
      <c r="Q1125">
        <f t="shared" ca="1" si="361"/>
        <v>0.68317646257266518</v>
      </c>
      <c r="R1125">
        <f t="shared" ca="1" si="362"/>
        <v>2.037104071097704</v>
      </c>
      <c r="T1125">
        <f t="shared" si="363"/>
        <v>0.99863410928586571</v>
      </c>
      <c r="U1125" s="6">
        <f t="shared" ca="1" si="364"/>
        <v>0.88278783261123639</v>
      </c>
      <c r="BJ1125" t="b">
        <f t="shared" si="347"/>
        <v>1</v>
      </c>
      <c r="BK1125" t="b">
        <f t="shared" si="348"/>
        <v>1</v>
      </c>
    </row>
    <row r="1126" spans="1:63" x14ac:dyDescent="0.45">
      <c r="A1126" s="1">
        <v>43605</v>
      </c>
      <c r="B1126">
        <v>13.6907</v>
      </c>
      <c r="C1126" s="1">
        <v>43605</v>
      </c>
      <c r="D1126">
        <v>283.95</v>
      </c>
      <c r="E1126">
        <f t="shared" si="349"/>
        <v>-2.6868154129379412E-2</v>
      </c>
      <c r="F1126" s="4">
        <f t="shared" si="350"/>
        <v>-6.6120906801007085E-3</v>
      </c>
      <c r="G1126">
        <f t="shared" ca="1" si="351"/>
        <v>-3.5974867156621545E-3</v>
      </c>
      <c r="H1126">
        <f t="shared" ca="1" si="352"/>
        <v>3.2314859276853944E-2</v>
      </c>
      <c r="I1126">
        <f t="shared" ca="1" si="353"/>
        <v>-0.43199372140375542</v>
      </c>
      <c r="J1126">
        <f t="shared" ca="1" si="354"/>
        <v>1.9676947830762623</v>
      </c>
      <c r="K1126">
        <f t="shared" ca="1" si="355"/>
        <v>0.81614979384065256</v>
      </c>
      <c r="L1126">
        <f t="shared" ca="1" si="356"/>
        <v>0.84471959285985609</v>
      </c>
      <c r="M1126">
        <f t="shared" ca="1" si="357"/>
        <v>1.5380582752142082E-4</v>
      </c>
      <c r="N1126">
        <f t="shared" ca="1" si="358"/>
        <v>1.0982851897256469E-2</v>
      </c>
      <c r="O1126">
        <f t="shared" ca="1" si="359"/>
        <v>0.21573113249248166</v>
      </c>
      <c r="P1126">
        <f t="shared" ca="1" si="360"/>
        <v>3.9236306699529644</v>
      </c>
      <c r="Q1126">
        <f t="shared" ca="1" si="361"/>
        <v>0.68269932489640528</v>
      </c>
      <c r="R1126">
        <f t="shared" ca="1" si="362"/>
        <v>1.9974348307994887</v>
      </c>
      <c r="T1126">
        <f t="shared" si="363"/>
        <v>0.97313184587062063</v>
      </c>
      <c r="U1126" s="6">
        <f t="shared" ca="1" si="364"/>
        <v>0.90463195453944756</v>
      </c>
      <c r="BJ1126" t="b">
        <f t="shared" si="347"/>
        <v>1</v>
      </c>
      <c r="BK1126" t="b">
        <f t="shared" si="348"/>
        <v>1</v>
      </c>
    </row>
    <row r="1127" spans="1:63" x14ac:dyDescent="0.45">
      <c r="A1127" s="1">
        <v>43602</v>
      </c>
      <c r="B1127">
        <v>14.0687</v>
      </c>
      <c r="C1127" s="1">
        <v>43602</v>
      </c>
      <c r="D1127">
        <v>285.83999999999997</v>
      </c>
      <c r="E1127">
        <f t="shared" si="349"/>
        <v>-7.5765339639994725E-2</v>
      </c>
      <c r="F1127" s="4">
        <f t="shared" si="350"/>
        <v>-6.4650677789364393E-3</v>
      </c>
      <c r="G1127">
        <f t="shared" ca="1" si="351"/>
        <v>-3.4170939450131848E-3</v>
      </c>
      <c r="H1127">
        <f t="shared" ca="1" si="352"/>
        <v>3.2375065752665043E-2</v>
      </c>
      <c r="I1127">
        <f t="shared" ca="1" si="353"/>
        <v>-0.44702910831173948</v>
      </c>
      <c r="J1127">
        <f t="shared" ca="1" si="354"/>
        <v>1.978556879182586</v>
      </c>
      <c r="K1127">
        <f t="shared" ca="1" si="355"/>
        <v>0.81615483255179622</v>
      </c>
      <c r="L1127">
        <f t="shared" ca="1" si="356"/>
        <v>0.85935771379360215</v>
      </c>
      <c r="M1127">
        <f t="shared" ca="1" si="357"/>
        <v>2.0625463765802616E-4</v>
      </c>
      <c r="N1127">
        <f t="shared" ca="1" si="358"/>
        <v>1.1009314025182E-2</v>
      </c>
      <c r="O1127">
        <f t="shared" ca="1" si="359"/>
        <v>0.20320330927818137</v>
      </c>
      <c r="P1127">
        <f t="shared" ca="1" si="360"/>
        <v>3.9074118994592264</v>
      </c>
      <c r="Q1127">
        <f t="shared" ca="1" si="361"/>
        <v>0.6822230990682937</v>
      </c>
      <c r="R1127">
        <f t="shared" ca="1" si="362"/>
        <v>2.0250855579840832</v>
      </c>
      <c r="T1127">
        <f t="shared" si="363"/>
        <v>0.92423466036000523</v>
      </c>
      <c r="U1127" s="6">
        <f t="shared" ca="1" si="364"/>
        <v>0.88105586172344696</v>
      </c>
      <c r="BJ1127" t="b">
        <f t="shared" si="347"/>
        <v>1</v>
      </c>
      <c r="BK1127" t="b">
        <f t="shared" si="348"/>
        <v>1</v>
      </c>
    </row>
    <row r="1128" spans="1:63" x14ac:dyDescent="0.45">
      <c r="A1128" s="1">
        <v>43601</v>
      </c>
      <c r="B1128">
        <v>15.222</v>
      </c>
      <c r="C1128" s="1">
        <v>43601</v>
      </c>
      <c r="D1128">
        <v>287.7</v>
      </c>
      <c r="E1128">
        <f t="shared" si="349"/>
        <v>-1.5604689813946618E-2</v>
      </c>
      <c r="F1128" s="4">
        <f t="shared" si="350"/>
        <v>9.2612081667016993E-3</v>
      </c>
      <c r="G1128">
        <f t="shared" ca="1" si="351"/>
        <v>-2.8518732755211419E-3</v>
      </c>
      <c r="H1128">
        <f t="shared" ca="1" si="352"/>
        <v>3.1856887607369856E-2</v>
      </c>
      <c r="I1128">
        <f t="shared" ca="1" si="353"/>
        <v>-0.43333693666016121</v>
      </c>
      <c r="J1128">
        <f t="shared" ca="1" si="354"/>
        <v>2.1692552225548356</v>
      </c>
      <c r="K1128">
        <f t="shared" ca="1" si="355"/>
        <v>0.83992080806830038</v>
      </c>
      <c r="L1128">
        <f t="shared" ca="1" si="356"/>
        <v>0.87172198819579927</v>
      </c>
      <c r="M1128">
        <f t="shared" ca="1" si="357"/>
        <v>2.5837434403767049E-4</v>
      </c>
      <c r="N1128">
        <f t="shared" ca="1" si="358"/>
        <v>1.1036583813607401E-2</v>
      </c>
      <c r="O1128">
        <f t="shared" ca="1" si="359"/>
        <v>0.19068836493970331</v>
      </c>
      <c r="P1128">
        <f t="shared" ca="1" si="360"/>
        <v>3.8901397858166451</v>
      </c>
      <c r="Q1128">
        <f t="shared" ca="1" si="361"/>
        <v>0.68174778247690393</v>
      </c>
      <c r="R1128">
        <f t="shared" ca="1" si="362"/>
        <v>2.3656380305819034</v>
      </c>
      <c r="T1128">
        <f t="shared" si="363"/>
        <v>0.98439531018605342</v>
      </c>
      <c r="U1128" s="6">
        <f t="shared" ca="1" si="364"/>
        <v>0.94359037937019585</v>
      </c>
      <c r="BJ1128" t="b">
        <f t="shared" si="347"/>
        <v>1</v>
      </c>
      <c r="BK1128" t="b">
        <f t="shared" si="348"/>
        <v>1</v>
      </c>
    </row>
    <row r="1129" spans="1:63" x14ac:dyDescent="0.45">
      <c r="A1129" s="1">
        <v>43600</v>
      </c>
      <c r="B1129">
        <v>15.4633</v>
      </c>
      <c r="C1129" s="1">
        <v>43600</v>
      </c>
      <c r="D1129">
        <v>285.06</v>
      </c>
      <c r="E1129">
        <f t="shared" si="349"/>
        <v>-1.5496568155843262E-3</v>
      </c>
      <c r="F1129" s="4">
        <f t="shared" si="350"/>
        <v>5.8574453069866802E-3</v>
      </c>
      <c r="G1129">
        <f t="shared" ca="1" si="351"/>
        <v>-2.7514573972658237E-3</v>
      </c>
      <c r="H1129">
        <f t="shared" ca="1" si="352"/>
        <v>3.1962710002003736E-2</v>
      </c>
      <c r="I1129">
        <f t="shared" ca="1" si="353"/>
        <v>-0.44156991388026767</v>
      </c>
      <c r="J1129">
        <f t="shared" ca="1" si="354"/>
        <v>2.1480629111958311</v>
      </c>
      <c r="K1129">
        <f t="shared" ca="1" si="355"/>
        <v>0.84102413311742785</v>
      </c>
      <c r="L1129">
        <f t="shared" ca="1" si="356"/>
        <v>0.86850737770431552</v>
      </c>
      <c r="M1129">
        <f t="shared" ca="1" si="357"/>
        <v>1.874858887411031E-4</v>
      </c>
      <c r="N1129">
        <f t="shared" ca="1" si="358"/>
        <v>1.1050998638733926E-2</v>
      </c>
      <c r="O1129">
        <f t="shared" ca="1" si="359"/>
        <v>0.20666703047729182</v>
      </c>
      <c r="P1129">
        <f t="shared" ca="1" si="360"/>
        <v>3.9124367423069399</v>
      </c>
      <c r="Q1129">
        <f t="shared" ca="1" si="361"/>
        <v>0.68127337252077191</v>
      </c>
      <c r="R1129">
        <f t="shared" ca="1" si="362"/>
        <v>2.1904213565072985</v>
      </c>
      <c r="T1129">
        <f t="shared" si="363"/>
        <v>0.99845034318441572</v>
      </c>
      <c r="U1129" s="6">
        <f t="shared" ca="1" si="364"/>
        <v>0.94734939685223651</v>
      </c>
      <c r="BJ1129" t="b">
        <f t="shared" si="347"/>
        <v>1</v>
      </c>
      <c r="BK1129" t="b">
        <f t="shared" si="348"/>
        <v>1</v>
      </c>
    </row>
    <row r="1130" spans="1:63" x14ac:dyDescent="0.45">
      <c r="A1130" s="1">
        <v>43599</v>
      </c>
      <c r="B1130">
        <v>15.487299999999999</v>
      </c>
      <c r="C1130" s="1">
        <v>43599</v>
      </c>
      <c r="D1130">
        <v>283.39999999999998</v>
      </c>
      <c r="E1130">
        <f t="shared" si="349"/>
        <v>2.3344786573278646E-2</v>
      </c>
      <c r="F1130" s="4">
        <f t="shared" si="350"/>
        <v>9.0436516413870387E-3</v>
      </c>
      <c r="G1130">
        <f t="shared" ca="1" si="351"/>
        <v>-2.760995497120439E-3</v>
      </c>
      <c r="H1130">
        <f t="shared" ca="1" si="352"/>
        <v>3.2090124696194468E-2</v>
      </c>
      <c r="I1130">
        <f t="shared" ca="1" si="353"/>
        <v>-0.43897183979070636</v>
      </c>
      <c r="J1130">
        <f t="shared" ca="1" si="354"/>
        <v>2.1075860737355301</v>
      </c>
      <c r="K1130">
        <f t="shared" ca="1" si="355"/>
        <v>0.84212620229834578</v>
      </c>
      <c r="L1130">
        <f t="shared" ca="1" si="356"/>
        <v>0.86532156756677714</v>
      </c>
      <c r="M1130">
        <f t="shared" ca="1" si="357"/>
        <v>1.4248621081851967E-4</v>
      </c>
      <c r="N1130">
        <f t="shared" ca="1" si="358"/>
        <v>1.1083426311000937E-2</v>
      </c>
      <c r="O1130">
        <f t="shared" ca="1" si="359"/>
        <v>0.21781190372729189</v>
      </c>
      <c r="P1130">
        <f t="shared" ca="1" si="360"/>
        <v>3.8913091903427919</v>
      </c>
      <c r="Q1130">
        <f t="shared" ca="1" si="361"/>
        <v>0.68079986660834813</v>
      </c>
      <c r="R1130">
        <f t="shared" ca="1" si="362"/>
        <v>2.0320706033992537</v>
      </c>
      <c r="T1130">
        <f t="shared" si="363"/>
        <v>1.0233447865732785</v>
      </c>
      <c r="U1130" s="6">
        <f t="shared" ca="1" si="364"/>
        <v>0.94029397657658742</v>
      </c>
      <c r="BJ1130" t="b">
        <f t="shared" si="347"/>
        <v>1</v>
      </c>
      <c r="BK1130" t="b">
        <f t="shared" si="348"/>
        <v>1</v>
      </c>
    </row>
    <row r="1131" spans="1:63" x14ac:dyDescent="0.45">
      <c r="A1131" s="1">
        <v>43598</v>
      </c>
      <c r="B1131">
        <v>15.134</v>
      </c>
      <c r="C1131" s="1">
        <v>43598</v>
      </c>
      <c r="D1131">
        <v>280.86</v>
      </c>
      <c r="E1131">
        <f t="shared" si="349"/>
        <v>-5.2229458917835647E-2</v>
      </c>
      <c r="F1131" s="4">
        <f t="shared" si="350"/>
        <v>-2.5130163137799404E-2</v>
      </c>
      <c r="G1131">
        <f t="shared" ca="1" si="351"/>
        <v>-2.9698417536836315E-3</v>
      </c>
      <c r="H1131">
        <f t="shared" ca="1" si="352"/>
        <v>3.2133171600939987E-2</v>
      </c>
      <c r="I1131">
        <f t="shared" ca="1" si="353"/>
        <v>-0.42537198813006488</v>
      </c>
      <c r="J1131">
        <f t="shared" ca="1" si="354"/>
        <v>2.1074717763634987</v>
      </c>
      <c r="K1131">
        <f t="shared" ca="1" si="355"/>
        <v>0.84322701775408604</v>
      </c>
      <c r="L1131">
        <f t="shared" ca="1" si="356"/>
        <v>0.85935771379360215</v>
      </c>
      <c r="M1131">
        <f t="shared" ca="1" si="357"/>
        <v>7.1276887373971612E-5</v>
      </c>
      <c r="N1131">
        <f t="shared" ca="1" si="358"/>
        <v>1.1099051019058019E-2</v>
      </c>
      <c r="O1131">
        <f t="shared" ca="1" si="359"/>
        <v>0.23400399192083579</v>
      </c>
      <c r="P1131">
        <f t="shared" ca="1" si="360"/>
        <v>3.9125670568562376</v>
      </c>
      <c r="Q1131">
        <f t="shared" ca="1" si="361"/>
        <v>0.68032726215795047</v>
      </c>
      <c r="R1131">
        <f t="shared" ca="1" si="362"/>
        <v>1.672937345914826</v>
      </c>
      <c r="T1131">
        <f t="shared" si="363"/>
        <v>0.94777054108216441</v>
      </c>
      <c r="U1131" s="6">
        <f t="shared" ca="1" si="364"/>
        <v>0.88904815334817633</v>
      </c>
      <c r="BJ1131" t="b">
        <f t="shared" si="347"/>
        <v>1</v>
      </c>
      <c r="BK1131" t="b">
        <f t="shared" si="348"/>
        <v>1</v>
      </c>
    </row>
    <row r="1132" spans="1:63" x14ac:dyDescent="0.45">
      <c r="A1132" s="1">
        <v>43595</v>
      </c>
      <c r="B1132">
        <v>15.968</v>
      </c>
      <c r="C1132" s="1">
        <v>43595</v>
      </c>
      <c r="D1132">
        <v>288.10000000000002</v>
      </c>
      <c r="E1132">
        <f t="shared" si="349"/>
        <v>-1.0166129432184569E-2</v>
      </c>
      <c r="F1132" s="4">
        <f t="shared" si="350"/>
        <v>5.0233726365729349E-3</v>
      </c>
      <c r="G1132">
        <f t="shared" ca="1" si="351"/>
        <v>-2.5725867765533741E-3</v>
      </c>
      <c r="H1132">
        <f t="shared" ca="1" si="352"/>
        <v>3.1953850158432287E-2</v>
      </c>
      <c r="I1132">
        <f t="shared" ca="1" si="353"/>
        <v>-0.44378421819709823</v>
      </c>
      <c r="J1132">
        <f t="shared" ca="1" si="354"/>
        <v>2.2429464939926911</v>
      </c>
      <c r="K1132">
        <f t="shared" ca="1" si="355"/>
        <v>0.84864564028141365</v>
      </c>
      <c r="L1132">
        <f t="shared" ca="1" si="356"/>
        <v>0.87172198819579927</v>
      </c>
      <c r="M1132">
        <f t="shared" ca="1" si="357"/>
        <v>2.7451430693182095E-4</v>
      </c>
      <c r="N1132">
        <f t="shared" ca="1" si="358"/>
        <v>1.0908038842888901E-2</v>
      </c>
      <c r="O1132">
        <f t="shared" ca="1" si="359"/>
        <v>0.29363604383632391</v>
      </c>
      <c r="P1132">
        <f t="shared" ca="1" si="360"/>
        <v>4.2101716617383351</v>
      </c>
      <c r="Q1132">
        <f t="shared" ca="1" si="361"/>
        <v>0.69406256233450425</v>
      </c>
      <c r="R1132">
        <f t="shared" ca="1" si="362"/>
        <v>2.0483202547432726</v>
      </c>
      <c r="T1132">
        <f t="shared" si="363"/>
        <v>0.98983387056781547</v>
      </c>
      <c r="U1132" s="6">
        <f t="shared" ca="1" si="364"/>
        <v>0.93918362545582867</v>
      </c>
      <c r="BJ1132" t="b">
        <f t="shared" si="347"/>
        <v>1</v>
      </c>
      <c r="BK1132" t="b">
        <f t="shared" si="348"/>
        <v>1</v>
      </c>
    </row>
    <row r="1133" spans="1:63" x14ac:dyDescent="0.45">
      <c r="A1133" s="1">
        <v>43594</v>
      </c>
      <c r="B1133">
        <v>16.132000000000001</v>
      </c>
      <c r="C1133" s="1">
        <v>43594</v>
      </c>
      <c r="D1133">
        <v>286.66000000000003</v>
      </c>
      <c r="E1133">
        <f t="shared" si="349"/>
        <v>-1.1683116151126936E-2</v>
      </c>
      <c r="F1133" s="4">
        <f t="shared" si="350"/>
        <v>-3.0257712238721101E-3</v>
      </c>
      <c r="G1133">
        <f t="shared" ca="1" si="351"/>
        <v>-2.5108506574019001E-3</v>
      </c>
      <c r="H1133">
        <f t="shared" ca="1" si="352"/>
        <v>3.2077115039274878E-2</v>
      </c>
      <c r="I1133">
        <f t="shared" ca="1" si="353"/>
        <v>-0.44810128462839544</v>
      </c>
      <c r="J1133">
        <f t="shared" ca="1" si="354"/>
        <v>2.2096032549869489</v>
      </c>
      <c r="K1133">
        <f t="shared" ca="1" si="355"/>
        <v>0.84830146544777429</v>
      </c>
      <c r="L1133">
        <f t="shared" ca="1" si="356"/>
        <v>0.86850737770431552</v>
      </c>
      <c r="M1133">
        <f t="shared" ca="1" si="357"/>
        <v>2.3590570262579569E-4</v>
      </c>
      <c r="N1133">
        <f t="shared" ca="1" si="358"/>
        <v>1.0944142193812614E-2</v>
      </c>
      <c r="O1133">
        <f t="shared" ca="1" si="359"/>
        <v>0.30323939507543757</v>
      </c>
      <c r="P1133">
        <f t="shared" ca="1" si="360"/>
        <v>4.1797614018067044</v>
      </c>
      <c r="Q1133">
        <f t="shared" ca="1" si="361"/>
        <v>0.6932265518563373</v>
      </c>
      <c r="R1133">
        <f t="shared" ca="1" si="362"/>
        <v>2.0397763047948607</v>
      </c>
      <c r="T1133">
        <f t="shared" si="363"/>
        <v>0.98831688384887306</v>
      </c>
      <c r="U1133" s="6">
        <f t="shared" ca="1" si="364"/>
        <v>0.99131706537702891</v>
      </c>
      <c r="BJ1133" t="b">
        <f t="shared" si="347"/>
        <v>1</v>
      </c>
      <c r="BK1133" t="b">
        <f t="shared" si="348"/>
        <v>1</v>
      </c>
    </row>
    <row r="1134" spans="1:63" x14ac:dyDescent="0.45">
      <c r="A1134" s="1">
        <v>43593</v>
      </c>
      <c r="B1134">
        <v>16.322700000000001</v>
      </c>
      <c r="C1134" s="1">
        <v>43593</v>
      </c>
      <c r="D1134">
        <v>287.52999999999997</v>
      </c>
      <c r="E1134">
        <f t="shared" si="349"/>
        <v>-8.9856533116382236E-3</v>
      </c>
      <c r="F1134" s="4">
        <f t="shared" si="350"/>
        <v>-1.389226548119453E-3</v>
      </c>
      <c r="G1134">
        <f t="shared" ca="1" si="351"/>
        <v>-2.4356681533549748E-3</v>
      </c>
      <c r="H1134">
        <f t="shared" ca="1" si="352"/>
        <v>3.2198508727781516E-2</v>
      </c>
      <c r="I1134">
        <f t="shared" ca="1" si="353"/>
        <v>-0.4537016768334402</v>
      </c>
      <c r="J1134">
        <f t="shared" ca="1" si="354"/>
        <v>2.1791643966015863</v>
      </c>
      <c r="K1134">
        <f t="shared" ca="1" si="355"/>
        <v>0.84795885055299924</v>
      </c>
      <c r="L1134">
        <f t="shared" ca="1" si="356"/>
        <v>0.86532156756677714</v>
      </c>
      <c r="M1134">
        <f t="shared" ca="1" si="357"/>
        <v>2.6264075940036856E-4</v>
      </c>
      <c r="N1134">
        <f t="shared" ca="1" si="358"/>
        <v>1.098523899243584E-2</v>
      </c>
      <c r="O1134">
        <f t="shared" ca="1" si="359"/>
        <v>0.2951648798067889</v>
      </c>
      <c r="P1134">
        <f t="shared" ca="1" si="360"/>
        <v>4.1300908199901523</v>
      </c>
      <c r="Q1134">
        <f t="shared" ca="1" si="361"/>
        <v>0.69239298224521761</v>
      </c>
      <c r="R1134">
        <f t="shared" ca="1" si="362"/>
        <v>2.439447841524772</v>
      </c>
      <c r="T1134">
        <f t="shared" si="363"/>
        <v>0.99101434668836175</v>
      </c>
      <c r="U1134" s="6">
        <f t="shared" ca="1" si="364"/>
        <v>1.0462799746165239</v>
      </c>
      <c r="BJ1134" t="b">
        <f t="shared" si="347"/>
        <v>1</v>
      </c>
      <c r="BK1134" t="b">
        <f t="shared" si="348"/>
        <v>1</v>
      </c>
    </row>
    <row r="1135" spans="1:63" x14ac:dyDescent="0.45">
      <c r="A1135" s="1">
        <v>43592</v>
      </c>
      <c r="B1135">
        <v>16.470700000000001</v>
      </c>
      <c r="C1135" s="1">
        <v>43592</v>
      </c>
      <c r="D1135">
        <v>287.93</v>
      </c>
      <c r="E1135">
        <f t="shared" si="349"/>
        <v>-3.2427288268018564E-2</v>
      </c>
      <c r="F1135" s="4">
        <f t="shared" si="350"/>
        <v>-1.6699678983675931E-2</v>
      </c>
      <c r="G1135">
        <f t="shared" ca="1" si="351"/>
        <v>-2.3815360446088319E-3</v>
      </c>
      <c r="H1135">
        <f t="shared" ca="1" si="352"/>
        <v>3.2326815856366715E-2</v>
      </c>
      <c r="I1135">
        <f t="shared" ca="1" si="353"/>
        <v>-0.45715659281856474</v>
      </c>
      <c r="J1135">
        <f t="shared" ca="1" si="354"/>
        <v>2.1439754790334176</v>
      </c>
      <c r="K1135">
        <f t="shared" ca="1" si="355"/>
        <v>0.84761778501566254</v>
      </c>
      <c r="L1135">
        <f t="shared" ca="1" si="356"/>
        <v>0.86216417246684196</v>
      </c>
      <c r="M1135">
        <f t="shared" ca="1" si="357"/>
        <v>2.762925553302845E-4</v>
      </c>
      <c r="N1135">
        <f t="shared" ca="1" si="358"/>
        <v>1.1029876603146199E-2</v>
      </c>
      <c r="O1135">
        <f t="shared" ca="1" si="359"/>
        <v>0.29031918286670327</v>
      </c>
      <c r="P1135">
        <f t="shared" ca="1" si="360"/>
        <v>4.0740422019268747</v>
      </c>
      <c r="Q1135">
        <f t="shared" ca="1" si="361"/>
        <v>0.69156184282697153</v>
      </c>
      <c r="R1135">
        <f t="shared" ca="1" si="362"/>
        <v>2.4910176439318761</v>
      </c>
      <c r="T1135">
        <f t="shared" si="363"/>
        <v>0.96757271173198145</v>
      </c>
      <c r="U1135" s="6">
        <f t="shared" ca="1" si="364"/>
        <v>1.0350663306667005</v>
      </c>
      <c r="BJ1135" t="b">
        <f t="shared" si="347"/>
        <v>1</v>
      </c>
      <c r="BK1135" t="b">
        <f t="shared" si="348"/>
        <v>1</v>
      </c>
    </row>
    <row r="1136" spans="1:63" x14ac:dyDescent="0.45">
      <c r="A1136" s="1">
        <v>43591</v>
      </c>
      <c r="B1136">
        <v>17.0227</v>
      </c>
      <c r="C1136" s="1">
        <v>43591</v>
      </c>
      <c r="D1136">
        <v>292.82</v>
      </c>
      <c r="E1136">
        <f t="shared" si="349"/>
        <v>1.2175038230797257E-3</v>
      </c>
      <c r="F1136" s="4">
        <f t="shared" si="350"/>
        <v>-4.1152263374484906E-3</v>
      </c>
      <c r="G1136">
        <f t="shared" ca="1" si="351"/>
        <v>-2.1311547760804171E-3</v>
      </c>
      <c r="H1136">
        <f t="shared" ca="1" si="352"/>
        <v>3.2344325634477748E-2</v>
      </c>
      <c r="I1136">
        <f t="shared" ca="1" si="353"/>
        <v>-0.47708161396999699</v>
      </c>
      <c r="J1136">
        <f t="shared" ca="1" si="354"/>
        <v>2.1863256365277586</v>
      </c>
      <c r="K1136">
        <f t="shared" ca="1" si="355"/>
        <v>0.85504404540114376</v>
      </c>
      <c r="L1136">
        <f t="shared" ca="1" si="356"/>
        <v>0.90057422848920488</v>
      </c>
      <c r="M1136">
        <f t="shared" ca="1" si="357"/>
        <v>4.1775898482200282E-4</v>
      </c>
      <c r="N1136">
        <f t="shared" ca="1" si="358"/>
        <v>1.0965337367313767E-2</v>
      </c>
      <c r="O1136">
        <f t="shared" ca="1" si="359"/>
        <v>0.29034802462557296</v>
      </c>
      <c r="P1136">
        <f t="shared" ca="1" si="360"/>
        <v>4.2405267987762016</v>
      </c>
      <c r="Q1136">
        <f t="shared" ca="1" si="361"/>
        <v>0.69398562255940222</v>
      </c>
      <c r="R1136">
        <f t="shared" ca="1" si="362"/>
        <v>2.6893076079355462</v>
      </c>
      <c r="T1136">
        <f t="shared" si="363"/>
        <v>1.0012175038230797</v>
      </c>
      <c r="U1136" s="6">
        <f t="shared" ca="1" si="364"/>
        <v>1.0574419182507147</v>
      </c>
      <c r="BJ1136" t="b">
        <f t="shared" si="347"/>
        <v>1</v>
      </c>
      <c r="BK1136" t="b">
        <f t="shared" si="348"/>
        <v>1</v>
      </c>
    </row>
    <row r="1137" spans="1:63" x14ac:dyDescent="0.45">
      <c r="A1137" s="1">
        <v>43588</v>
      </c>
      <c r="B1137">
        <v>17.001999999999999</v>
      </c>
      <c r="C1137" s="1">
        <v>43588</v>
      </c>
      <c r="D1137">
        <v>294.02999999999997</v>
      </c>
      <c r="E1137">
        <f t="shared" si="349"/>
        <v>4.4778870911247257E-2</v>
      </c>
      <c r="F1137" s="4">
        <f t="shared" si="350"/>
        <v>9.78776014836172E-3</v>
      </c>
      <c r="G1137">
        <f t="shared" ca="1" si="351"/>
        <v>-2.1592947643086537E-3</v>
      </c>
      <c r="H1137">
        <f t="shared" ca="1" si="352"/>
        <v>3.2479613546523657E-2</v>
      </c>
      <c r="I1137">
        <f t="shared" ca="1" si="353"/>
        <v>-0.47257110554059906</v>
      </c>
      <c r="J1137">
        <f t="shared" ca="1" si="354"/>
        <v>2.142907758340288</v>
      </c>
      <c r="K1137">
        <f t="shared" ca="1" si="355"/>
        <v>0.8624418244928731</v>
      </c>
      <c r="L1137">
        <f t="shared" ca="1" si="356"/>
        <v>0.92312048655090428</v>
      </c>
      <c r="M1137">
        <f t="shared" ca="1" si="357"/>
        <v>4.5585129845452841E-4</v>
      </c>
      <c r="N1137">
        <f t="shared" ca="1" si="358"/>
        <v>1.1003726478985829E-2</v>
      </c>
      <c r="O1137">
        <f t="shared" ca="1" si="359"/>
        <v>0.27983567256120906</v>
      </c>
      <c r="P1137">
        <f t="shared" ca="1" si="360"/>
        <v>4.1981984927931038</v>
      </c>
      <c r="Q1137">
        <f t="shared" ca="1" si="361"/>
        <v>0.69640472556751598</v>
      </c>
      <c r="R1137">
        <f t="shared" ca="1" si="362"/>
        <v>2.7707132143974289</v>
      </c>
      <c r="T1137">
        <f t="shared" si="363"/>
        <v>1.0447788709112473</v>
      </c>
      <c r="U1137" s="6">
        <f t="shared" ca="1" si="364"/>
        <v>1.0845879050778262</v>
      </c>
      <c r="BJ1137" t="b">
        <f t="shared" si="347"/>
        <v>1</v>
      </c>
      <c r="BK1137" t="b">
        <f t="shared" si="348"/>
        <v>1</v>
      </c>
    </row>
    <row r="1138" spans="1:63" x14ac:dyDescent="0.45">
      <c r="A1138" s="1">
        <v>43587</v>
      </c>
      <c r="B1138">
        <v>16.273299999999999</v>
      </c>
      <c r="C1138" s="1">
        <v>43587</v>
      </c>
      <c r="D1138">
        <v>291.18</v>
      </c>
      <c r="E1138">
        <f t="shared" si="349"/>
        <v>4.3113450037498266E-2</v>
      </c>
      <c r="F1138" s="4">
        <f t="shared" si="350"/>
        <v>-2.1589390356738817E-3</v>
      </c>
      <c r="G1138">
        <f t="shared" ca="1" si="351"/>
        <v>-2.5570758293557375E-3</v>
      </c>
      <c r="H1138">
        <f t="shared" ca="1" si="352"/>
        <v>3.2325709176850632E-2</v>
      </c>
      <c r="I1138">
        <f t="shared" ca="1" si="353"/>
        <v>-0.47258336385588667</v>
      </c>
      <c r="J1138">
        <f t="shared" ca="1" si="354"/>
        <v>2.2251552638460361</v>
      </c>
      <c r="K1138">
        <f t="shared" ca="1" si="355"/>
        <v>0.84316915058661479</v>
      </c>
      <c r="L1138">
        <f t="shared" ca="1" si="356"/>
        <v>0.86532156756677714</v>
      </c>
      <c r="M1138">
        <f t="shared" ca="1" si="357"/>
        <v>3.7676732515022995E-4</v>
      </c>
      <c r="N1138">
        <f t="shared" ca="1" si="358"/>
        <v>1.1016635847296997E-2</v>
      </c>
      <c r="O1138">
        <f t="shared" ca="1" si="359"/>
        <v>0.29790017994783929</v>
      </c>
      <c r="P1138">
        <f t="shared" ca="1" si="360"/>
        <v>4.2324423234826085</v>
      </c>
      <c r="Q1138">
        <f t="shared" ca="1" si="361"/>
        <v>0.69881916537399591</v>
      </c>
      <c r="R1138">
        <f t="shared" ca="1" si="362"/>
        <v>2.6273852383446359</v>
      </c>
      <c r="T1138">
        <f t="shared" si="363"/>
        <v>1.0431134500374983</v>
      </c>
      <c r="U1138" s="6">
        <f t="shared" ca="1" si="364"/>
        <v>0.98574085179329696</v>
      </c>
      <c r="BJ1138" t="b">
        <f t="shared" si="347"/>
        <v>1</v>
      </c>
      <c r="BK1138" t="b">
        <f t="shared" si="348"/>
        <v>1</v>
      </c>
    </row>
    <row r="1139" spans="1:63" x14ac:dyDescent="0.45">
      <c r="A1139" s="1">
        <v>43586</v>
      </c>
      <c r="B1139">
        <v>15.6007</v>
      </c>
      <c r="C1139" s="1">
        <v>43586</v>
      </c>
      <c r="D1139">
        <v>291.81</v>
      </c>
      <c r="E1139">
        <f t="shared" si="349"/>
        <v>-1.9606980587832324E-2</v>
      </c>
      <c r="F1139" s="4">
        <f t="shared" si="350"/>
        <v>-7.5164954764981281E-3</v>
      </c>
      <c r="G1139">
        <f t="shared" ca="1" si="351"/>
        <v>-2.9474222042861131E-3</v>
      </c>
      <c r="H1139">
        <f t="shared" ca="1" si="352"/>
        <v>3.2184235027019233E-2</v>
      </c>
      <c r="I1139">
        <f t="shared" ca="1" si="353"/>
        <v>-0.47108349698877827</v>
      </c>
      <c r="J1139">
        <f t="shared" ca="1" si="354"/>
        <v>2.3058771093479677</v>
      </c>
      <c r="K1139">
        <f t="shared" ca="1" si="355"/>
        <v>0.77561178485675619</v>
      </c>
      <c r="L1139">
        <f t="shared" ca="1" si="356"/>
        <v>0.85935771379360215</v>
      </c>
      <c r="M1139">
        <f t="shared" ca="1" si="357"/>
        <v>3.9844002908889759E-4</v>
      </c>
      <c r="N1139">
        <f t="shared" ca="1" si="358"/>
        <v>1.1061492809593738E-2</v>
      </c>
      <c r="O1139">
        <f t="shared" ca="1" si="359"/>
        <v>0.29099697044599271</v>
      </c>
      <c r="P1139">
        <f t="shared" ca="1" si="360"/>
        <v>4.1766891089456681</v>
      </c>
      <c r="Q1139">
        <f t="shared" ca="1" si="361"/>
        <v>0.70122895544944042</v>
      </c>
      <c r="R1139">
        <f t="shared" ca="1" si="362"/>
        <v>2.7464643685390011</v>
      </c>
      <c r="T1139">
        <f t="shared" si="363"/>
        <v>0.98039301941216772</v>
      </c>
      <c r="U1139" s="6">
        <f t="shared" ca="1" si="364"/>
        <v>0.90470308513106024</v>
      </c>
      <c r="BJ1139" t="b">
        <f t="shared" si="347"/>
        <v>1</v>
      </c>
      <c r="BK1139" t="b">
        <f t="shared" si="348"/>
        <v>1</v>
      </c>
    </row>
    <row r="1140" spans="1:63" x14ac:dyDescent="0.45">
      <c r="A1140" s="1">
        <v>43585</v>
      </c>
      <c r="B1140">
        <v>15.912699999999999</v>
      </c>
      <c r="C1140" s="1">
        <v>43585</v>
      </c>
      <c r="D1140">
        <v>294.02</v>
      </c>
      <c r="E1140">
        <f t="shared" si="349"/>
        <v>-1.1510746676605777E-2</v>
      </c>
      <c r="F1140" s="4">
        <f t="shared" si="350"/>
        <v>5.1042978187626248E-4</v>
      </c>
      <c r="G1140">
        <f t="shared" ca="1" si="351"/>
        <v>-2.8038053216693361E-3</v>
      </c>
      <c r="H1140">
        <f t="shared" ca="1" si="352"/>
        <v>3.2286188283571465E-2</v>
      </c>
      <c r="I1140">
        <f t="shared" ca="1" si="353"/>
        <v>-0.48312641938508133</v>
      </c>
      <c r="J1140">
        <f t="shared" ca="1" si="354"/>
        <v>2.2942536634297235</v>
      </c>
      <c r="K1140">
        <f t="shared" ca="1" si="355"/>
        <v>0.78945289819291853</v>
      </c>
      <c r="L1140">
        <f t="shared" ca="1" si="356"/>
        <v>0.86894633728818393</v>
      </c>
      <c r="M1140">
        <f t="shared" ca="1" si="357"/>
        <v>4.6667223172326851E-4</v>
      </c>
      <c r="N1140">
        <f t="shared" ca="1" si="358"/>
        <v>1.1084725891751517E-2</v>
      </c>
      <c r="O1140">
        <f t="shared" ca="1" si="359"/>
        <v>0.2761597975524373</v>
      </c>
      <c r="P1140">
        <f t="shared" ca="1" si="360"/>
        <v>4.171517199422782</v>
      </c>
      <c r="Q1140">
        <f t="shared" ca="1" si="361"/>
        <v>0.70363410921261604</v>
      </c>
      <c r="R1140">
        <f t="shared" ca="1" si="362"/>
        <v>2.7592565944994929</v>
      </c>
      <c r="T1140">
        <f t="shared" si="363"/>
        <v>0.98848925332339421</v>
      </c>
      <c r="U1140" s="6">
        <f t="shared" ca="1" si="364"/>
        <v>0.90447499900530326</v>
      </c>
      <c r="BJ1140" t="b">
        <f t="shared" si="347"/>
        <v>1</v>
      </c>
      <c r="BK1140" t="b">
        <f t="shared" si="348"/>
        <v>1</v>
      </c>
    </row>
    <row r="1141" spans="1:63" x14ac:dyDescent="0.45">
      <c r="A1141" s="1">
        <v>43584</v>
      </c>
      <c r="B1141">
        <v>16.097999999999999</v>
      </c>
      <c r="C1141" s="1">
        <v>43584</v>
      </c>
      <c r="D1141">
        <v>293.87</v>
      </c>
      <c r="E1141">
        <f t="shared" si="349"/>
        <v>2.6920132686909851E-2</v>
      </c>
      <c r="F1141" s="4">
        <f t="shared" si="350"/>
        <v>1.5677720595752684E-3</v>
      </c>
      <c r="G1141">
        <f t="shared" ca="1" si="351"/>
        <v>-2.7280927881481493E-3</v>
      </c>
      <c r="H1141">
        <f t="shared" ca="1" si="352"/>
        <v>3.2417140614959795E-2</v>
      </c>
      <c r="I1141">
        <f t="shared" ca="1" si="353"/>
        <v>-0.48851314965550252</v>
      </c>
      <c r="J1141">
        <f t="shared" ca="1" si="354"/>
        <v>2.2606967214665143</v>
      </c>
      <c r="K1141">
        <f t="shared" ca="1" si="355"/>
        <v>0.80324133197960923</v>
      </c>
      <c r="L1141">
        <f t="shared" ca="1" si="356"/>
        <v>0.86301875364110414</v>
      </c>
      <c r="M1141">
        <f t="shared" ca="1" si="357"/>
        <v>4.6629173128715548E-4</v>
      </c>
      <c r="N1141">
        <f t="shared" ca="1" si="358"/>
        <v>1.1133236198067178E-2</v>
      </c>
      <c r="O1141">
        <f t="shared" ca="1" si="359"/>
        <v>0.27510283513183215</v>
      </c>
      <c r="P1141">
        <f t="shared" ca="1" si="360"/>
        <v>4.1110785725513264</v>
      </c>
      <c r="Q1141">
        <f t="shared" ca="1" si="361"/>
        <v>0.70603464003070182</v>
      </c>
      <c r="R1141">
        <f t="shared" ca="1" si="362"/>
        <v>2.7707132143974289</v>
      </c>
      <c r="T1141">
        <f t="shared" si="363"/>
        <v>1.02692013268691</v>
      </c>
      <c r="U1141" s="6">
        <f t="shared" ca="1" si="364"/>
        <v>0.91900871739540002</v>
      </c>
      <c r="BJ1141" t="b">
        <f t="shared" si="347"/>
        <v>1</v>
      </c>
      <c r="BK1141" t="b">
        <f t="shared" si="348"/>
        <v>1</v>
      </c>
    </row>
    <row r="1142" spans="1:63" x14ac:dyDescent="0.45">
      <c r="A1142" s="1">
        <v>43581</v>
      </c>
      <c r="B1142">
        <v>15.676</v>
      </c>
      <c r="C1142" s="1">
        <v>43581</v>
      </c>
      <c r="D1142">
        <v>293.41000000000003</v>
      </c>
      <c r="E1142">
        <f t="shared" si="349"/>
        <v>-5.0440070992870477E-2</v>
      </c>
      <c r="F1142" s="4">
        <f t="shared" si="350"/>
        <v>4.6567368601267371E-3</v>
      </c>
      <c r="G1142">
        <f t="shared" ca="1" si="351"/>
        <v>-2.9881649414381321E-3</v>
      </c>
      <c r="H1142">
        <f t="shared" ca="1" si="352"/>
        <v>3.2439537589925883E-2</v>
      </c>
      <c r="I1142">
        <f t="shared" ca="1" si="353"/>
        <v>-0.47428783684560066</v>
      </c>
      <c r="J1142">
        <f t="shared" ca="1" si="354"/>
        <v>2.2721985315680828</v>
      </c>
      <c r="K1142">
        <f t="shared" ca="1" si="355"/>
        <v>0.81697738639469264</v>
      </c>
      <c r="L1142">
        <f t="shared" ca="1" si="356"/>
        <v>0.84846800230177444</v>
      </c>
      <c r="M1142">
        <f t="shared" ca="1" si="357"/>
        <v>4.566296231442774E-4</v>
      </c>
      <c r="N1142">
        <f t="shared" ca="1" si="358"/>
        <v>1.1181905499609002E-2</v>
      </c>
      <c r="O1142">
        <f t="shared" ca="1" si="359"/>
        <v>0.2766016446903018</v>
      </c>
      <c r="P1142">
        <f t="shared" ca="1" si="360"/>
        <v>4.0528078314414664</v>
      </c>
      <c r="Q1142">
        <f t="shared" ca="1" si="361"/>
        <v>0.70843056121954306</v>
      </c>
      <c r="R1142">
        <f t="shared" ca="1" si="362"/>
        <v>2.7821670554267377</v>
      </c>
      <c r="T1142">
        <f t="shared" si="363"/>
        <v>0.94955992900712949</v>
      </c>
      <c r="U1142" s="6">
        <f t="shared" ca="1" si="364"/>
        <v>0.86050073281990191</v>
      </c>
      <c r="BJ1142" t="b">
        <f t="shared" si="347"/>
        <v>1</v>
      </c>
      <c r="BK1142" t="b">
        <f t="shared" si="348"/>
        <v>1</v>
      </c>
    </row>
    <row r="1143" spans="1:63" x14ac:dyDescent="0.45">
      <c r="A1143" s="1">
        <v>43580</v>
      </c>
      <c r="B1143">
        <v>16.508700000000001</v>
      </c>
      <c r="C1143" s="1">
        <v>43580</v>
      </c>
      <c r="D1143">
        <v>292.05</v>
      </c>
      <c r="E1143">
        <f t="shared" si="349"/>
        <v>-4.2640918580375713E-2</v>
      </c>
      <c r="F1143" s="4">
        <f t="shared" si="350"/>
        <v>-6.1595318755776893E-4</v>
      </c>
      <c r="G1143">
        <f t="shared" ca="1" si="351"/>
        <v>-2.5682365693015631E-3</v>
      </c>
      <c r="H1143">
        <f t="shared" ca="1" si="352"/>
        <v>3.2271304826489558E-2</v>
      </c>
      <c r="I1143">
        <f t="shared" ca="1" si="353"/>
        <v>-0.49696838853193598</v>
      </c>
      <c r="J1143">
        <f t="shared" ca="1" si="354"/>
        <v>2.4170866291034043</v>
      </c>
      <c r="K1143">
        <f t="shared" ca="1" si="355"/>
        <v>0.83066135933972673</v>
      </c>
      <c r="L1143">
        <f t="shared" ca="1" si="356"/>
        <v>0.87496579135587627</v>
      </c>
      <c r="M1143">
        <f t="shared" ca="1" si="357"/>
        <v>4.1946053255151225E-4</v>
      </c>
      <c r="N1143">
        <f t="shared" ca="1" si="358"/>
        <v>1.1224637753890229E-2</v>
      </c>
      <c r="O1143">
        <f t="shared" ca="1" si="359"/>
        <v>0.28557672022649588</v>
      </c>
      <c r="P1143">
        <f t="shared" ca="1" si="360"/>
        <v>4.013807976153462</v>
      </c>
      <c r="Q1143">
        <f t="shared" ca="1" si="361"/>
        <v>0.71082188604389318</v>
      </c>
      <c r="R1143">
        <f t="shared" ca="1" si="362"/>
        <v>2.7936181185983426</v>
      </c>
      <c r="T1143">
        <f t="shared" si="363"/>
        <v>0.95735908141962434</v>
      </c>
      <c r="U1143" s="6">
        <f t="shared" ca="1" si="364"/>
        <v>0.91299081959960193</v>
      </c>
      <c r="BJ1143" t="b">
        <f t="shared" si="347"/>
        <v>1</v>
      </c>
      <c r="BK1143" t="b">
        <f t="shared" si="348"/>
        <v>1</v>
      </c>
    </row>
    <row r="1144" spans="1:63" x14ac:dyDescent="0.45">
      <c r="A1144" s="1">
        <v>43579</v>
      </c>
      <c r="B1144">
        <v>17.244</v>
      </c>
      <c r="C1144" s="1">
        <v>43579</v>
      </c>
      <c r="D1144">
        <v>292.23</v>
      </c>
      <c r="E1144">
        <f t="shared" si="349"/>
        <v>-1.9854149022639274E-2</v>
      </c>
      <c r="F1144" s="4">
        <f t="shared" si="350"/>
        <v>-2.2193389784211188E-3</v>
      </c>
      <c r="G1144">
        <f t="shared" ca="1" si="351"/>
        <v>-2.2104447656312583E-3</v>
      </c>
      <c r="H1144">
        <f t="shared" ca="1" si="352"/>
        <v>3.2190424319307763E-2</v>
      </c>
      <c r="I1144">
        <f t="shared" ca="1" si="353"/>
        <v>-0.52157266361932664</v>
      </c>
      <c r="J1144">
        <f t="shared" ca="1" si="354"/>
        <v>2.5249762008146606</v>
      </c>
      <c r="K1144">
        <f t="shared" ca="1" si="355"/>
        <v>0.84429354646150356</v>
      </c>
      <c r="L1144">
        <f t="shared" ca="1" si="356"/>
        <v>0.96339829993747916</v>
      </c>
      <c r="M1144">
        <f t="shared" ca="1" si="357"/>
        <v>4.2870529790963065E-4</v>
      </c>
      <c r="N1144">
        <f t="shared" ca="1" si="358"/>
        <v>1.1274653678926371E-2</v>
      </c>
      <c r="O1144">
        <f t="shared" ca="1" si="359"/>
        <v>0.28187990507348121</v>
      </c>
      <c r="P1144">
        <f t="shared" ca="1" si="360"/>
        <v>3.9532079335459258</v>
      </c>
      <c r="Q1144">
        <f t="shared" ca="1" si="361"/>
        <v>0.71320862771766003</v>
      </c>
      <c r="R1144">
        <f t="shared" ca="1" si="362"/>
        <v>2.7285923448355316</v>
      </c>
      <c r="T1144">
        <f t="shared" si="363"/>
        <v>0.98014585097736073</v>
      </c>
      <c r="U1144" s="6">
        <f t="shared" ca="1" si="364"/>
        <v>0.94622475856014054</v>
      </c>
      <c r="BJ1144" t="b">
        <f t="shared" si="347"/>
        <v>1</v>
      </c>
      <c r="BK1144" t="b">
        <f t="shared" si="348"/>
        <v>1</v>
      </c>
    </row>
    <row r="1145" spans="1:63" x14ac:dyDescent="0.45">
      <c r="A1145" s="1">
        <v>43578</v>
      </c>
      <c r="B1145">
        <v>17.593299999999999</v>
      </c>
      <c r="C1145" s="1">
        <v>43578</v>
      </c>
      <c r="D1145">
        <v>292.88</v>
      </c>
      <c r="E1145">
        <f t="shared" si="349"/>
        <v>4.3729697945388748E-3</v>
      </c>
      <c r="F1145" s="4">
        <f t="shared" si="350"/>
        <v>8.9916284838254517E-3</v>
      </c>
      <c r="G1145">
        <f t="shared" ca="1" si="351"/>
        <v>-2.0514924750275826E-3</v>
      </c>
      <c r="H1145">
        <f t="shared" ca="1" si="352"/>
        <v>3.2292230218741308E-2</v>
      </c>
      <c r="I1145">
        <f t="shared" ca="1" si="353"/>
        <v>-0.53496546881490858</v>
      </c>
      <c r="J1145">
        <f t="shared" ca="1" si="354"/>
        <v>2.5168245713036339</v>
      </c>
      <c r="K1145">
        <f t="shared" ca="1" si="355"/>
        <v>0.85787424117334588</v>
      </c>
      <c r="L1145">
        <f t="shared" ca="1" si="356"/>
        <v>1.0399752206295525</v>
      </c>
      <c r="M1145">
        <f t="shared" ca="1" si="357"/>
        <v>4.5256155265134925E-4</v>
      </c>
      <c r="N1145">
        <f t="shared" ca="1" si="358"/>
        <v>1.1322946218928249E-2</v>
      </c>
      <c r="O1145">
        <f t="shared" ca="1" si="359"/>
        <v>0.27454624539008415</v>
      </c>
      <c r="P1145">
        <f t="shared" ca="1" si="360"/>
        <v>3.8970242644511885</v>
      </c>
      <c r="Q1145">
        <f t="shared" ca="1" si="361"/>
        <v>0.71559079940415005</v>
      </c>
      <c r="R1145">
        <f t="shared" ca="1" si="362"/>
        <v>2.6673534129625454</v>
      </c>
      <c r="T1145">
        <f t="shared" si="363"/>
        <v>1.0043729697945389</v>
      </c>
      <c r="U1145" s="6">
        <f t="shared" ca="1" si="364"/>
        <v>0.99068625518759812</v>
      </c>
      <c r="BJ1145" t="b">
        <f t="shared" si="347"/>
        <v>1</v>
      </c>
      <c r="BK1145" t="b">
        <f t="shared" si="348"/>
        <v>1</v>
      </c>
    </row>
    <row r="1146" spans="1:63" x14ac:dyDescent="0.45">
      <c r="A1146" s="1">
        <v>43577</v>
      </c>
      <c r="B1146">
        <v>17.5167</v>
      </c>
      <c r="C1146" s="1">
        <v>43577</v>
      </c>
      <c r="D1146">
        <v>290.27</v>
      </c>
      <c r="E1146">
        <f t="shared" si="349"/>
        <v>-3.8457949311917872E-2</v>
      </c>
      <c r="F1146" s="4">
        <f t="shared" si="350"/>
        <v>8.620095165850632E-4</v>
      </c>
      <c r="G1146">
        <f t="shared" ca="1" si="351"/>
        <v>-2.1098966774781864E-3</v>
      </c>
      <c r="H1146">
        <f t="shared" ca="1" si="352"/>
        <v>3.2434131648870504E-2</v>
      </c>
      <c r="I1146">
        <f t="shared" ca="1" si="353"/>
        <v>-0.52747778113171462</v>
      </c>
      <c r="J1146">
        <f t="shared" ca="1" si="354"/>
        <v>2.4679639314805724</v>
      </c>
      <c r="K1146">
        <f t="shared" ca="1" si="355"/>
        <v>0.87140373467614085</v>
      </c>
      <c r="L1146">
        <f t="shared" ca="1" si="356"/>
        <v>1.0191201571340378</v>
      </c>
      <c r="M1146">
        <f t="shared" ca="1" si="357"/>
        <v>3.7493367145885741E-4</v>
      </c>
      <c r="N1146">
        <f t="shared" ca="1" si="358"/>
        <v>1.13450565901659E-2</v>
      </c>
      <c r="O1146">
        <f t="shared" ca="1" si="359"/>
        <v>0.29241768488444947</v>
      </c>
      <c r="P1146">
        <f t="shared" ca="1" si="360"/>
        <v>3.9139204684104789</v>
      </c>
      <c r="Q1146">
        <f t="shared" ca="1" si="361"/>
        <v>0.71796841421630664</v>
      </c>
      <c r="R1146">
        <f t="shared" ca="1" si="362"/>
        <v>2.5834489876269608</v>
      </c>
      <c r="T1146">
        <f t="shared" si="363"/>
        <v>0.96154205068808207</v>
      </c>
      <c r="U1146" s="6">
        <f t="shared" ca="1" si="364"/>
        <v>0.98150918657230768</v>
      </c>
      <c r="BJ1146" t="b">
        <f t="shared" si="347"/>
        <v>1</v>
      </c>
      <c r="BK1146" t="b">
        <f t="shared" si="348"/>
        <v>1</v>
      </c>
    </row>
    <row r="1147" spans="1:63" x14ac:dyDescent="0.45">
      <c r="A1147" s="1">
        <v>43573</v>
      </c>
      <c r="B1147">
        <v>18.217300000000002</v>
      </c>
      <c r="C1147" s="1">
        <v>43573</v>
      </c>
      <c r="D1147">
        <v>290.02</v>
      </c>
      <c r="E1147">
        <f t="shared" si="349"/>
        <v>7.4825793606902368E-3</v>
      </c>
      <c r="F1147" s="4">
        <f t="shared" si="350"/>
        <v>1.9692520297114983E-3</v>
      </c>
      <c r="G1147">
        <f t="shared" ca="1" si="351"/>
        <v>-1.7764283046851623E-3</v>
      </c>
      <c r="H1147">
        <f t="shared" ca="1" si="352"/>
        <v>3.2393950022097821E-2</v>
      </c>
      <c r="I1147">
        <f t="shared" ca="1" si="353"/>
        <v>-0.55257184942037652</v>
      </c>
      <c r="J1147">
        <f t="shared" ca="1" si="354"/>
        <v>2.5567269512146749</v>
      </c>
      <c r="K1147">
        <f t="shared" ca="1" si="355"/>
        <v>0.88488231597918032</v>
      </c>
      <c r="L1147">
        <f t="shared" ca="1" si="356"/>
        <v>1.0880102321016645</v>
      </c>
      <c r="M1147">
        <f t="shared" ca="1" si="357"/>
        <v>3.7046508572375475E-4</v>
      </c>
      <c r="N1147">
        <f t="shared" ca="1" si="358"/>
        <v>1.1397361725780207E-2</v>
      </c>
      <c r="O1147">
        <f t="shared" ca="1" si="359"/>
        <v>0.29232760625602433</v>
      </c>
      <c r="P1147">
        <f t="shared" ca="1" si="360"/>
        <v>3.85316507997879</v>
      </c>
      <c r="Q1147">
        <f t="shared" ca="1" si="361"/>
        <v>0.72034148521695585</v>
      </c>
      <c r="R1147">
        <f t="shared" ca="1" si="362"/>
        <v>2.5337856567708186</v>
      </c>
      <c r="T1147">
        <f t="shared" si="363"/>
        <v>1.0074825793606903</v>
      </c>
      <c r="U1147" s="6">
        <f t="shared" ca="1" si="364"/>
        <v>1.0180276841746441</v>
      </c>
      <c r="BJ1147" t="b">
        <f t="shared" si="347"/>
        <v>1</v>
      </c>
      <c r="BK1147" t="b">
        <f t="shared" si="348"/>
        <v>1</v>
      </c>
    </row>
    <row r="1148" spans="1:63" x14ac:dyDescent="0.45">
      <c r="A1148" s="1">
        <v>43572</v>
      </c>
      <c r="B1148">
        <v>18.082000000000001</v>
      </c>
      <c r="C1148" s="1">
        <v>43572</v>
      </c>
      <c r="D1148">
        <v>289.45</v>
      </c>
      <c r="E1148">
        <f t="shared" si="349"/>
        <v>-7.791922739244922E-3</v>
      </c>
      <c r="F1148" s="4">
        <f t="shared" si="350"/>
        <v>-2.4469258340227332E-3</v>
      </c>
      <c r="G1148">
        <f t="shared" ca="1" si="351"/>
        <v>-1.8621598571423414E-3</v>
      </c>
      <c r="H1148">
        <f t="shared" ca="1" si="352"/>
        <v>3.2532546000967437E-2</v>
      </c>
      <c r="I1148">
        <f t="shared" ca="1" si="353"/>
        <v>-0.54289803914043311</v>
      </c>
      <c r="J1148">
        <f t="shared" ca="1" si="354"/>
        <v>2.5090766429855278</v>
      </c>
      <c r="K1148">
        <f t="shared" ca="1" si="355"/>
        <v>0.89831027192072177</v>
      </c>
      <c r="L1148">
        <f t="shared" ca="1" si="356"/>
        <v>1.0968792350946779</v>
      </c>
      <c r="M1148">
        <f t="shared" ca="1" si="357"/>
        <v>3.5566150290905301E-4</v>
      </c>
      <c r="N1148">
        <f t="shared" ca="1" si="358"/>
        <v>1.1449443719020529E-2</v>
      </c>
      <c r="O1148">
        <f t="shared" ca="1" si="359"/>
        <v>0.29502786622285732</v>
      </c>
      <c r="P1148">
        <f t="shared" ca="1" si="360"/>
        <v>3.7957782414142138</v>
      </c>
      <c r="Q1148">
        <f t="shared" ca="1" si="361"/>
        <v>0.72271002541904272</v>
      </c>
      <c r="R1148">
        <f t="shared" ca="1" si="362"/>
        <v>2.4001946827691736</v>
      </c>
      <c r="T1148">
        <f t="shared" si="363"/>
        <v>0.99220807726075511</v>
      </c>
      <c r="U1148" s="6">
        <f t="shared" ca="1" si="364"/>
        <v>0.982503803520974</v>
      </c>
      <c r="BJ1148" t="b">
        <f t="shared" si="347"/>
        <v>1</v>
      </c>
      <c r="BK1148" t="b">
        <f t="shared" si="348"/>
        <v>1</v>
      </c>
    </row>
    <row r="1149" spans="1:63" x14ac:dyDescent="0.45">
      <c r="A1149" s="1">
        <v>43571</v>
      </c>
      <c r="B1149">
        <v>18.224</v>
      </c>
      <c r="C1149" s="1">
        <v>43571</v>
      </c>
      <c r="D1149">
        <v>290.16000000000003</v>
      </c>
      <c r="E1149">
        <f t="shared" si="349"/>
        <v>2.620124220804446E-2</v>
      </c>
      <c r="F1149" s="4">
        <f t="shared" si="350"/>
        <v>6.5524019726177784E-4</v>
      </c>
      <c r="G1149">
        <f t="shared" ca="1" si="351"/>
        <v>-1.8067415124497944E-3</v>
      </c>
      <c r="H1149">
        <f t="shared" ca="1" si="352"/>
        <v>3.2680518989401115E-2</v>
      </c>
      <c r="I1149">
        <f t="shared" ca="1" si="353"/>
        <v>-0.54583139964941974</v>
      </c>
      <c r="J1149">
        <f t="shared" ca="1" si="354"/>
        <v>2.4661840826965533</v>
      </c>
      <c r="K1149">
        <f t="shared" ca="1" si="355"/>
        <v>0.9116878871883406</v>
      </c>
      <c r="L1149">
        <f t="shared" ca="1" si="356"/>
        <v>1.1053704969162363</v>
      </c>
      <c r="M1149">
        <f t="shared" ca="1" si="357"/>
        <v>3.8185390792710701E-4</v>
      </c>
      <c r="N1149">
        <f t="shared" ca="1" si="358"/>
        <v>1.1500072426163745E-2</v>
      </c>
      <c r="O1149">
        <f t="shared" ca="1" si="359"/>
        <v>0.287123185324407</v>
      </c>
      <c r="P1149">
        <f t="shared" ca="1" si="360"/>
        <v>3.7391743128102095</v>
      </c>
      <c r="Q1149">
        <f t="shared" ca="1" si="361"/>
        <v>0.72507404778586926</v>
      </c>
      <c r="R1149">
        <f t="shared" ca="1" si="362"/>
        <v>2.3801230899417827</v>
      </c>
      <c r="T1149">
        <f t="shared" si="363"/>
        <v>1.0262012422080444</v>
      </c>
      <c r="U1149" s="6">
        <f t="shared" ca="1" si="364"/>
        <v>1.0038558995262752</v>
      </c>
      <c r="BJ1149" t="b">
        <f t="shared" si="347"/>
        <v>1</v>
      </c>
      <c r="BK1149" t="b">
        <f t="shared" si="348"/>
        <v>1</v>
      </c>
    </row>
    <row r="1150" spans="1:63" x14ac:dyDescent="0.45">
      <c r="A1150" s="1">
        <v>43570</v>
      </c>
      <c r="B1150">
        <v>17.758700000000001</v>
      </c>
      <c r="C1150" s="1">
        <v>43570</v>
      </c>
      <c r="D1150">
        <v>289.97000000000003</v>
      </c>
      <c r="E1150">
        <f t="shared" si="349"/>
        <v>-4.9308835807178597E-3</v>
      </c>
      <c r="F1150" s="4">
        <f t="shared" si="350"/>
        <v>-6.5481113868209851E-4</v>
      </c>
      <c r="G1150">
        <f t="shared" ca="1" si="351"/>
        <v>-2.0709677739638903E-3</v>
      </c>
      <c r="H1150">
        <f t="shared" ca="1" si="352"/>
        <v>3.2720735012300085E-2</v>
      </c>
      <c r="I1150">
        <f t="shared" ca="1" si="353"/>
        <v>-0.53049499109299947</v>
      </c>
      <c r="J1150">
        <f t="shared" ca="1" si="354"/>
        <v>2.470095347469718</v>
      </c>
      <c r="K1150">
        <f t="shared" ca="1" si="355"/>
        <v>0.92501544433905447</v>
      </c>
      <c r="L1150">
        <f t="shared" ca="1" si="356"/>
        <v>1.0191201571340378</v>
      </c>
      <c r="M1150">
        <f t="shared" ca="1" si="357"/>
        <v>3.7927479198998762E-4</v>
      </c>
      <c r="N1150">
        <f t="shared" ca="1" si="358"/>
        <v>1.1554673814350998E-2</v>
      </c>
      <c r="O1150">
        <f t="shared" ca="1" si="359"/>
        <v>0.28650166654467879</v>
      </c>
      <c r="P1150">
        <f t="shared" ca="1" si="360"/>
        <v>3.6779179519517942</v>
      </c>
      <c r="Q1150">
        <f t="shared" ca="1" si="361"/>
        <v>0.72743356523133229</v>
      </c>
      <c r="R1150">
        <f t="shared" ca="1" si="362"/>
        <v>2.2164944960250033</v>
      </c>
      <c r="T1150">
        <f t="shared" si="363"/>
        <v>0.9950691164192822</v>
      </c>
      <c r="U1150" s="6">
        <f t="shared" ca="1" si="364"/>
        <v>0.97504021786277073</v>
      </c>
      <c r="BJ1150" t="b">
        <f t="shared" si="347"/>
        <v>1</v>
      </c>
      <c r="BK1150" t="b">
        <f t="shared" si="348"/>
        <v>1</v>
      </c>
    </row>
    <row r="1151" spans="1:63" x14ac:dyDescent="0.45">
      <c r="A1151" s="1">
        <v>43567</v>
      </c>
      <c r="B1151">
        <v>17.846699999999998</v>
      </c>
      <c r="C1151" s="1">
        <v>43567</v>
      </c>
      <c r="D1151">
        <v>290.16000000000003</v>
      </c>
      <c r="E1151">
        <f t="shared" si="349"/>
        <v>-2.6823584636792917E-3</v>
      </c>
      <c r="F1151" s="4">
        <f t="shared" si="350"/>
        <v>6.7658998646821606E-3</v>
      </c>
      <c r="G1151">
        <f t="shared" ca="1" si="351"/>
        <v>-2.0437304805662341E-3</v>
      </c>
      <c r="H1151">
        <f t="shared" ca="1" si="352"/>
        <v>3.2876462450427475E-2</v>
      </c>
      <c r="I1151">
        <f t="shared" ca="1" si="353"/>
        <v>-0.53064490959778898</v>
      </c>
      <c r="J1151">
        <f t="shared" ca="1" si="354"/>
        <v>2.4219602039096308</v>
      </c>
      <c r="K1151">
        <f t="shared" ca="1" si="355"/>
        <v>0.93829322381919866</v>
      </c>
      <c r="L1151">
        <f t="shared" ca="1" si="356"/>
        <v>0.99911704930804779</v>
      </c>
      <c r="M1151">
        <f t="shared" ca="1" si="357"/>
        <v>3.8912322942495989E-4</v>
      </c>
      <c r="N1151">
        <f t="shared" ca="1" si="358"/>
        <v>1.1609645199533987E-2</v>
      </c>
      <c r="O1151">
        <f t="shared" ca="1" si="359"/>
        <v>0.28263190285114081</v>
      </c>
      <c r="P1151">
        <f t="shared" ca="1" si="360"/>
        <v>3.6163366106983057</v>
      </c>
      <c r="Q1151">
        <f t="shared" ca="1" si="361"/>
        <v>0.72978859062015478</v>
      </c>
      <c r="R1151">
        <f t="shared" ca="1" si="362"/>
        <v>2.0743842822044352</v>
      </c>
      <c r="T1151">
        <f t="shared" si="363"/>
        <v>0.99731764153632074</v>
      </c>
      <c r="U1151" s="6">
        <f t="shared" ca="1" si="364"/>
        <v>0.97359620745525244</v>
      </c>
      <c r="BJ1151" t="b">
        <f t="shared" si="347"/>
        <v>1</v>
      </c>
      <c r="BK1151" t="b">
        <f t="shared" si="348"/>
        <v>1</v>
      </c>
    </row>
    <row r="1152" spans="1:63" x14ac:dyDescent="0.45">
      <c r="A1152" s="1">
        <v>43566</v>
      </c>
      <c r="B1152">
        <v>17.8947</v>
      </c>
      <c r="C1152" s="1">
        <v>43566</v>
      </c>
      <c r="D1152">
        <v>288.20999999999998</v>
      </c>
      <c r="E1152">
        <f t="shared" si="349"/>
        <v>-2.7673331884372942E-2</v>
      </c>
      <c r="F1152" s="4">
        <f t="shared" si="350"/>
        <v>-2.7749835235367482E-4</v>
      </c>
      <c r="G1152">
        <f t="shared" ca="1" si="351"/>
        <v>-2.0375898268824538E-3</v>
      </c>
      <c r="H1152">
        <f t="shared" ca="1" si="352"/>
        <v>3.3035610925705075E-2</v>
      </c>
      <c r="I1152">
        <f t="shared" ca="1" si="353"/>
        <v>-0.52875758993333832</v>
      </c>
      <c r="J1152">
        <f t="shared" ca="1" si="354"/>
        <v>2.3716025963616714</v>
      </c>
      <c r="K1152">
        <f t="shared" ca="1" si="355"/>
        <v>0.95152150398412427</v>
      </c>
      <c r="L1152">
        <f t="shared" ca="1" si="356"/>
        <v>0.99528484131701267</v>
      </c>
      <c r="M1152">
        <f t="shared" ca="1" si="357"/>
        <v>3.2780806947056354E-4</v>
      </c>
      <c r="N1152">
        <f t="shared" ca="1" si="358"/>
        <v>1.1648770650253416E-2</v>
      </c>
      <c r="O1152">
        <f t="shared" ca="1" si="359"/>
        <v>0.29703963131481764</v>
      </c>
      <c r="P1152">
        <f t="shared" ca="1" si="360"/>
        <v>3.5992003739600911</v>
      </c>
      <c r="Q1152">
        <f t="shared" ca="1" si="361"/>
        <v>0.73213913676812592</v>
      </c>
      <c r="R1152">
        <f t="shared" ca="1" si="362"/>
        <v>1.9739682566917476</v>
      </c>
      <c r="T1152">
        <f t="shared" si="363"/>
        <v>0.97232666811562707</v>
      </c>
      <c r="U1152" s="6">
        <f t="shared" ca="1" si="364"/>
        <v>1.0023918888639927</v>
      </c>
      <c r="BJ1152" t="b">
        <f t="shared" si="347"/>
        <v>1</v>
      </c>
      <c r="BK1152" t="b">
        <f t="shared" si="348"/>
        <v>1</v>
      </c>
    </row>
    <row r="1153" spans="1:63" x14ac:dyDescent="0.45">
      <c r="A1153" s="1">
        <v>43565</v>
      </c>
      <c r="B1153">
        <v>18.404</v>
      </c>
      <c r="C1153" s="1">
        <v>43565</v>
      </c>
      <c r="D1153">
        <v>288.29000000000002</v>
      </c>
      <c r="E1153">
        <f t="shared" si="349"/>
        <v>1.3771069736697146E-2</v>
      </c>
      <c r="F1153" s="4">
        <f t="shared" si="350"/>
        <v>3.4109498451150959E-3</v>
      </c>
      <c r="G1153">
        <f t="shared" ca="1" si="351"/>
        <v>-1.7886991272951687E-3</v>
      </c>
      <c r="H1153">
        <f t="shared" ca="1" si="352"/>
        <v>3.3099025802047058E-2</v>
      </c>
      <c r="I1153">
        <f t="shared" ca="1" si="353"/>
        <v>-0.54934013123878256</v>
      </c>
      <c r="J1153">
        <f t="shared" ca="1" si="354"/>
        <v>2.3983143690431383</v>
      </c>
      <c r="K1153">
        <f t="shared" ca="1" si="355"/>
        <v>0.96470056111763192</v>
      </c>
      <c r="L1153">
        <f t="shared" ca="1" si="356"/>
        <v>1.1053704969162363</v>
      </c>
      <c r="M1153">
        <f t="shared" ca="1" si="357"/>
        <v>3.33684830847498E-4</v>
      </c>
      <c r="N1153">
        <f t="shared" ca="1" si="358"/>
        <v>1.1705578268878379E-2</v>
      </c>
      <c r="O1153">
        <f t="shared" ca="1" si="359"/>
        <v>0.29412760961734924</v>
      </c>
      <c r="P1153">
        <f t="shared" ca="1" si="360"/>
        <v>3.5368854396769782</v>
      </c>
      <c r="Q1153">
        <f t="shared" ca="1" si="361"/>
        <v>0.734485216442328</v>
      </c>
      <c r="R1153">
        <f t="shared" ca="1" si="362"/>
        <v>1.8952244536556382</v>
      </c>
      <c r="T1153">
        <f t="shared" si="363"/>
        <v>1.0137710697366971</v>
      </c>
      <c r="U1153" s="6">
        <f t="shared" ca="1" si="364"/>
        <v>0.94602652410815236</v>
      </c>
      <c r="BJ1153" t="b">
        <f t="shared" si="347"/>
        <v>1</v>
      </c>
      <c r="BK1153" t="b">
        <f t="shared" si="348"/>
        <v>1</v>
      </c>
    </row>
    <row r="1154" spans="1:63" x14ac:dyDescent="0.45">
      <c r="A1154" s="1">
        <v>43564</v>
      </c>
      <c r="B1154">
        <v>18.154</v>
      </c>
      <c r="C1154" s="1">
        <v>43564</v>
      </c>
      <c r="D1154">
        <v>287.31</v>
      </c>
      <c r="E1154">
        <f t="shared" si="349"/>
        <v>-3.25586247412607E-3</v>
      </c>
      <c r="F1154" s="4">
        <f t="shared" si="350"/>
        <v>-5.1248311922158594E-3</v>
      </c>
      <c r="G1154">
        <f t="shared" ca="1" si="351"/>
        <v>-1.9412458808637204E-3</v>
      </c>
      <c r="H1154">
        <f t="shared" ca="1" si="352"/>
        <v>3.3226072597132152E-2</v>
      </c>
      <c r="I1154">
        <f t="shared" ca="1" si="353"/>
        <v>-0.5355340724005746</v>
      </c>
      <c r="J1154">
        <f t="shared" ca="1" si="354"/>
        <v>2.3597576239445952</v>
      </c>
      <c r="K1154">
        <f t="shared" ca="1" si="355"/>
        <v>0.97783066945121189</v>
      </c>
      <c r="L1154">
        <f t="shared" ca="1" si="356"/>
        <v>1.113507647018336</v>
      </c>
      <c r="M1154">
        <f t="shared" ca="1" si="357"/>
        <v>3.0351556600173736E-4</v>
      </c>
      <c r="N1154">
        <f t="shared" ca="1" si="358"/>
        <v>1.1759359022788346E-2</v>
      </c>
      <c r="O1154">
        <f t="shared" ca="1" si="359"/>
        <v>0.3007094161505075</v>
      </c>
      <c r="P1154">
        <f t="shared" ca="1" si="360"/>
        <v>3.4869356959292177</v>
      </c>
      <c r="Q1154">
        <f t="shared" ca="1" si="361"/>
        <v>0.73682684236137075</v>
      </c>
      <c r="R1154">
        <f t="shared" ca="1" si="362"/>
        <v>1.8227673318048319</v>
      </c>
      <c r="T1154">
        <f t="shared" si="363"/>
        <v>0.99674413752587387</v>
      </c>
      <c r="U1154" s="6">
        <f t="shared" ca="1" si="364"/>
        <v>0.95253086516918772</v>
      </c>
      <c r="BJ1154" t="b">
        <f t="shared" ref="BJ1154:BJ1217" si="365">ABS(W1154-1)&gt;$S$21</f>
        <v>1</v>
      </c>
      <c r="BK1154" t="b">
        <f t="shared" ref="BK1154:BK1217" si="366">AND(X1154,BJ1154)</f>
        <v>1</v>
      </c>
    </row>
    <row r="1155" spans="1:63" x14ac:dyDescent="0.45">
      <c r="A1155" s="1">
        <v>43563</v>
      </c>
      <c r="B1155">
        <v>18.2133</v>
      </c>
      <c r="C1155" s="1">
        <v>43563</v>
      </c>
      <c r="D1155">
        <v>288.79000000000002</v>
      </c>
      <c r="E1155">
        <f t="shared" ref="E1155:E1218" si="367">(B1155-B1156)/B1156</f>
        <v>-6.4045562908126774E-3</v>
      </c>
      <c r="F1155" s="4">
        <f t="shared" ref="F1155:F1218" si="368">(D1155-D1156)/D1156</f>
        <v>7.6238001178233108E-4</v>
      </c>
      <c r="G1155">
        <f t="shared" ref="G1155:G1218" ca="1" si="369">AVERAGE(OFFSET(E1155,0,0,$S$3,1))*$AK$25</f>
        <v>-1.9282298749898358E-3</v>
      </c>
      <c r="H1155">
        <f t="shared" ref="H1155:H1218" ca="1" si="370">STDEV(OFFSET(E1155,0,0,$S$3,1))*$AJ$25</f>
        <v>3.3391528356062843E-2</v>
      </c>
      <c r="I1155">
        <f t="shared" ref="I1155:I1218" ca="1" si="371">SKEW(OFFSET(E1155,0,0,$S$3,1))*$AI$25</f>
        <v>-0.53418677468311582</v>
      </c>
      <c r="J1155">
        <f t="shared" ref="J1155:J1218" ca="1" si="372">KURT(OFFSET(E1155,0,0,$S$3,1))*$AH$25</f>
        <v>2.3090968112715395</v>
      </c>
      <c r="K1155">
        <f t="shared" ref="K1155:K1218" ca="1" si="373">PERCENTILE(OFFSET(E1155,0,0,$S$3,1), 0.95)/ABS(PERCENTILE(OFFSET(E1155,0,0,$S$3,1), 0.05))*$AG$25</f>
        <v>0.99091210118306838</v>
      </c>
      <c r="L1155">
        <f t="shared" ref="L1155:L1218" ca="1" si="374">PERCENTILE(OFFSET(E1155,0,0,$S$3,1), 0.75)/ABS(PERCENTILE(OFFSET(E1155,0,0,$S$3,1), 0.25))*$AF$25</f>
        <v>1.12131238426709</v>
      </c>
      <c r="M1155">
        <f t="shared" ref="M1155:M1218" ca="1" si="375">AVERAGE(OFFSET(F1155,0,0,$S$3,1))*$AE$25</f>
        <v>3.5726157350884203E-4</v>
      </c>
      <c r="N1155">
        <f t="shared" ref="N1155:N1218" ca="1" si="376">STDEV(OFFSET(F1155,0,0,$S$3,1))*$AD$25</f>
        <v>1.1805412439562259E-2</v>
      </c>
      <c r="O1155">
        <f t="shared" ref="O1155:O1218" ca="1" si="377">SKEW(OFFSET(F1155,0,0,$S$3,1))*$AC$25</f>
        <v>0.28729323595891942</v>
      </c>
      <c r="P1155">
        <f t="shared" ref="P1155:P1218" ca="1" si="378">KURT(OFFSET(F1155,0,0,$S$3,1))*$AB$25</f>
        <v>3.4465513132258372</v>
      </c>
      <c r="Q1155">
        <f t="shared" ref="Q1155:Q1218" ca="1" si="379">PERCENTILE(OFFSET(F1155,0,0,$S$3,1), 0.95)/ABS(PERCENTILE(OFFSET(F1155,0,0,$S$3,1), 0.05))*$AA$25</f>
        <v>0.73916402719562058</v>
      </c>
      <c r="R1155">
        <f t="shared" ref="R1155:R1218" ca="1" si="380">PERCENTILE(OFFSET(F1155,0,0,$S$3,1), 0.75)/ABS(PERCENTILE(OFFSET(F1155,0,0,$S$3,1), 0.25))*$Z$25</f>
        <v>2.0743842822044352</v>
      </c>
      <c r="T1155">
        <f t="shared" ref="T1155:T1218" si="381">E1155+1</f>
        <v>0.99359544370918729</v>
      </c>
      <c r="U1155" s="6">
        <f t="shared" ref="U1155:U1218" ca="1" si="382">PRODUCT(OFFSET(T1155,0,0,$S$6,1))</f>
        <v>0.94473693765658473</v>
      </c>
      <c r="BJ1155" t="b">
        <f t="shared" si="365"/>
        <v>1</v>
      </c>
      <c r="BK1155" t="b">
        <f t="shared" si="366"/>
        <v>1</v>
      </c>
    </row>
    <row r="1156" spans="1:63" x14ac:dyDescent="0.45">
      <c r="A1156" s="1">
        <v>43560</v>
      </c>
      <c r="B1156">
        <v>18.3307</v>
      </c>
      <c r="C1156" s="1">
        <v>43560</v>
      </c>
      <c r="D1156">
        <v>288.57</v>
      </c>
      <c r="E1156">
        <f t="shared" si="367"/>
        <v>2.6814922697736943E-2</v>
      </c>
      <c r="F1156" s="4">
        <f t="shared" si="368"/>
        <v>4.8401699282679374E-3</v>
      </c>
      <c r="G1156">
        <f t="shared" ca="1" si="369"/>
        <v>-1.8834666108316076E-3</v>
      </c>
      <c r="H1156">
        <f t="shared" ca="1" si="370"/>
        <v>3.3556702912017067E-2</v>
      </c>
      <c r="I1156">
        <f t="shared" ca="1" si="371"/>
        <v>-0.53582038188844683</v>
      </c>
      <c r="J1156">
        <f t="shared" ca="1" si="372"/>
        <v>2.2622789756214146</v>
      </c>
      <c r="K1156">
        <f t="shared" ca="1" si="373"/>
        <v>0.98063627067536474</v>
      </c>
      <c r="L1156">
        <f t="shared" ca="1" si="374"/>
        <v>1.0845855624950487</v>
      </c>
      <c r="M1156">
        <f t="shared" ca="1" si="375"/>
        <v>3.5321038912610754E-4</v>
      </c>
      <c r="N1156">
        <f t="shared" ca="1" si="376"/>
        <v>1.1864815366596327E-2</v>
      </c>
      <c r="O1156">
        <f t="shared" ca="1" si="377"/>
        <v>0.28696085146375733</v>
      </c>
      <c r="P1156">
        <f t="shared" ca="1" si="378"/>
        <v>3.3846982033063884</v>
      </c>
      <c r="Q1156">
        <f t="shared" ca="1" si="379"/>
        <v>0.73576901404805806</v>
      </c>
      <c r="R1156">
        <f t="shared" ca="1" si="380"/>
        <v>1.9892971271239241</v>
      </c>
      <c r="T1156">
        <f t="shared" si="381"/>
        <v>1.026814922697737</v>
      </c>
      <c r="U1156" s="6">
        <f t="shared" ca="1" si="382"/>
        <v>0.98249478756304509</v>
      </c>
      <c r="BJ1156" t="b">
        <f t="shared" si="365"/>
        <v>1</v>
      </c>
      <c r="BK1156" t="b">
        <f t="shared" si="366"/>
        <v>1</v>
      </c>
    </row>
    <row r="1157" spans="1:63" x14ac:dyDescent="0.45">
      <c r="A1157" s="1">
        <v>43559</v>
      </c>
      <c r="B1157">
        <v>17.852</v>
      </c>
      <c r="C1157" s="1">
        <v>43559</v>
      </c>
      <c r="D1157">
        <v>287.18</v>
      </c>
      <c r="E1157">
        <f t="shared" si="367"/>
        <v>-8.2348103217847246E-2</v>
      </c>
      <c r="F1157" s="4">
        <f t="shared" si="368"/>
        <v>2.6534459884085988E-3</v>
      </c>
      <c r="G1157">
        <f t="shared" ca="1" si="369"/>
        <v>-2.1733493311201775E-3</v>
      </c>
      <c r="H1157">
        <f t="shared" ca="1" si="370"/>
        <v>3.3601394226136776E-2</v>
      </c>
      <c r="I1157">
        <f t="shared" ca="1" si="371"/>
        <v>-0.51931495729985411</v>
      </c>
      <c r="J1157">
        <f t="shared" ca="1" si="372"/>
        <v>2.2656429924689538</v>
      </c>
      <c r="K1157">
        <f t="shared" ca="1" si="373"/>
        <v>0.97060340199596551</v>
      </c>
      <c r="L1157">
        <f t="shared" ca="1" si="374"/>
        <v>0.99170028274780764</v>
      </c>
      <c r="M1157">
        <f t="shared" ca="1" si="375"/>
        <v>3.078875654984126E-4</v>
      </c>
      <c r="N1157">
        <f t="shared" ca="1" si="376"/>
        <v>1.1916492754246494E-2</v>
      </c>
      <c r="O1157">
        <f t="shared" ca="1" si="377"/>
        <v>0.2972823882629041</v>
      </c>
      <c r="P1157">
        <f t="shared" ca="1" si="378"/>
        <v>3.3454280612274099</v>
      </c>
      <c r="Q1157">
        <f t="shared" ca="1" si="379"/>
        <v>0.73243547109065044</v>
      </c>
      <c r="R1157">
        <f t="shared" ca="1" si="380"/>
        <v>1.9112855348067455</v>
      </c>
      <c r="T1157">
        <f t="shared" si="381"/>
        <v>0.91765189678215275</v>
      </c>
      <c r="U1157" s="6">
        <f t="shared" ca="1" si="382"/>
        <v>0.96109223836724134</v>
      </c>
      <c r="BJ1157" t="b">
        <f t="shared" si="365"/>
        <v>1</v>
      </c>
      <c r="BK1157" t="b">
        <f t="shared" si="366"/>
        <v>1</v>
      </c>
    </row>
    <row r="1158" spans="1:63" x14ac:dyDescent="0.45">
      <c r="A1158" s="1">
        <v>43558</v>
      </c>
      <c r="B1158">
        <v>19.454000000000001</v>
      </c>
      <c r="C1158" s="1">
        <v>43558</v>
      </c>
      <c r="D1158">
        <v>286.42</v>
      </c>
      <c r="E1158">
        <f t="shared" si="367"/>
        <v>2.0741183816314797E-2</v>
      </c>
      <c r="F1158" s="4">
        <f t="shared" si="368"/>
        <v>1.5735916354862E-3</v>
      </c>
      <c r="G1158">
        <f t="shared" ca="1" si="369"/>
        <v>-1.3552395975821466E-3</v>
      </c>
      <c r="H1158">
        <f t="shared" ca="1" si="370"/>
        <v>3.2768113602401484E-2</v>
      </c>
      <c r="I1158">
        <f t="shared" ca="1" si="371"/>
        <v>-0.48816766899390746</v>
      </c>
      <c r="J1158">
        <f t="shared" ca="1" si="372"/>
        <v>2.5496392613017975</v>
      </c>
      <c r="K1158">
        <f t="shared" ca="1" si="373"/>
        <v>1.0281033148801877</v>
      </c>
      <c r="L1158">
        <f t="shared" ca="1" si="374"/>
        <v>1.113507647018336</v>
      </c>
      <c r="M1158">
        <f t="shared" ca="1" si="375"/>
        <v>2.8395329587687995E-4</v>
      </c>
      <c r="N1158">
        <f t="shared" ca="1" si="376"/>
        <v>1.1975368437408922E-2</v>
      </c>
      <c r="O1158">
        <f t="shared" ca="1" si="377"/>
        <v>0.30204301544313872</v>
      </c>
      <c r="P1158">
        <f t="shared" ca="1" si="378"/>
        <v>3.2903228275581973</v>
      </c>
      <c r="Q1158">
        <f t="shared" ca="1" si="379"/>
        <v>0.72916174383041843</v>
      </c>
      <c r="R1158">
        <f t="shared" ca="1" si="380"/>
        <v>1.8395021660544237</v>
      </c>
      <c r="T1158">
        <f t="shared" si="381"/>
        <v>1.0207411838163147</v>
      </c>
      <c r="U1158" s="6">
        <f t="shared" ca="1" si="382"/>
        <v>1.0617836480733545</v>
      </c>
      <c r="BJ1158" t="b">
        <f t="shared" si="365"/>
        <v>1</v>
      </c>
      <c r="BK1158" t="b">
        <f t="shared" si="366"/>
        <v>1</v>
      </c>
    </row>
    <row r="1159" spans="1:63" x14ac:dyDescent="0.45">
      <c r="A1159" s="1">
        <v>43557</v>
      </c>
      <c r="B1159">
        <v>19.058700000000002</v>
      </c>
      <c r="C1159" s="1">
        <v>43557</v>
      </c>
      <c r="D1159">
        <v>285.97000000000003</v>
      </c>
      <c r="E1159">
        <f t="shared" si="367"/>
        <v>-1.1411557833256333E-2</v>
      </c>
      <c r="F1159" s="4">
        <f t="shared" si="368"/>
        <v>4.8980163033986363E-4</v>
      </c>
      <c r="G1159">
        <f t="shared" ca="1" si="369"/>
        <v>-1.5830377771068578E-3</v>
      </c>
      <c r="H1159">
        <f t="shared" ca="1" si="370"/>
        <v>3.2860245999487385E-2</v>
      </c>
      <c r="I1159">
        <f t="shared" ca="1" si="371"/>
        <v>-0.47121930291134179</v>
      </c>
      <c r="J1159">
        <f t="shared" ca="1" si="372"/>
        <v>2.5311663385907832</v>
      </c>
      <c r="K1159">
        <f t="shared" ca="1" si="373"/>
        <v>1.0277861921869484</v>
      </c>
      <c r="L1159">
        <f t="shared" ca="1" si="374"/>
        <v>0.99911704930804779</v>
      </c>
      <c r="M1159">
        <f t="shared" ca="1" si="375"/>
        <v>2.7065805526235097E-4</v>
      </c>
      <c r="N1159">
        <f t="shared" ca="1" si="376"/>
        <v>1.2036851514392377E-2</v>
      </c>
      <c r="O1159">
        <f t="shared" ca="1" si="377"/>
        <v>0.30397138874126906</v>
      </c>
      <c r="P1159">
        <f t="shared" ca="1" si="378"/>
        <v>3.2304726181120516</v>
      </c>
      <c r="Q1159">
        <f t="shared" ca="1" si="379"/>
        <v>0.72594623662147562</v>
      </c>
      <c r="R1159">
        <f t="shared" ca="1" si="380"/>
        <v>1.7732297863750479</v>
      </c>
      <c r="T1159">
        <f t="shared" si="381"/>
        <v>0.98858844216674369</v>
      </c>
      <c r="U1159" s="6">
        <f t="shared" ca="1" si="382"/>
        <v>1.0676365306728364</v>
      </c>
      <c r="BJ1159" t="b">
        <f t="shared" si="365"/>
        <v>1</v>
      </c>
      <c r="BK1159" t="b">
        <f t="shared" si="366"/>
        <v>1</v>
      </c>
    </row>
    <row r="1160" spans="1:63" x14ac:dyDescent="0.45">
      <c r="A1160" s="1">
        <v>43556</v>
      </c>
      <c r="B1160">
        <v>19.278700000000001</v>
      </c>
      <c r="C1160" s="1">
        <v>43556</v>
      </c>
      <c r="D1160">
        <v>285.83</v>
      </c>
      <c r="E1160">
        <f t="shared" si="367"/>
        <v>3.3305998188376734E-2</v>
      </c>
      <c r="F1160" s="4">
        <f t="shared" si="368"/>
        <v>1.1859246672330664E-2</v>
      </c>
      <c r="G1160">
        <f t="shared" ca="1" si="369"/>
        <v>-1.4806573598553005E-3</v>
      </c>
      <c r="H1160">
        <f t="shared" ca="1" si="370"/>
        <v>3.3017186528042426E-2</v>
      </c>
      <c r="I1160">
        <f t="shared" ca="1" si="371"/>
        <v>-0.47874127672335387</v>
      </c>
      <c r="J1160">
        <f t="shared" ca="1" si="372"/>
        <v>2.4917308209600644</v>
      </c>
      <c r="K1160">
        <f t="shared" ca="1" si="373"/>
        <v>1.0274702787701797</v>
      </c>
      <c r="L1160">
        <f t="shared" ca="1" si="374"/>
        <v>0.99528484131701267</v>
      </c>
      <c r="M1160">
        <f t="shared" ca="1" si="375"/>
        <v>2.6837530968862707E-4</v>
      </c>
      <c r="N1160">
        <f t="shared" ca="1" si="376"/>
        <v>1.2100016414203465E-2</v>
      </c>
      <c r="O1160">
        <f t="shared" ca="1" si="377"/>
        <v>0.30302991676065255</v>
      </c>
      <c r="P1160">
        <f t="shared" ca="1" si="378"/>
        <v>3.1679378384757695</v>
      </c>
      <c r="Q1160">
        <f t="shared" ca="1" si="379"/>
        <v>0.72278741007174319</v>
      </c>
      <c r="R1160">
        <f t="shared" ca="1" si="380"/>
        <v>1.7850613102540385</v>
      </c>
      <c r="T1160">
        <f t="shared" si="381"/>
        <v>1.0333059981883768</v>
      </c>
      <c r="U1160" s="6">
        <f t="shared" ca="1" si="382"/>
        <v>1.110441038401502</v>
      </c>
      <c r="BJ1160" t="b">
        <f t="shared" si="365"/>
        <v>1</v>
      </c>
      <c r="BK1160" t="b">
        <f t="shared" si="366"/>
        <v>1</v>
      </c>
    </row>
    <row r="1161" spans="1:63" x14ac:dyDescent="0.45">
      <c r="A1161" s="1">
        <v>43553</v>
      </c>
      <c r="B1161">
        <v>18.657299999999999</v>
      </c>
      <c r="C1161" s="1">
        <v>43553</v>
      </c>
      <c r="D1161">
        <v>282.48</v>
      </c>
      <c r="E1161">
        <f t="shared" si="367"/>
        <v>4.4469089675741383E-3</v>
      </c>
      <c r="F1161" s="4">
        <f t="shared" si="368"/>
        <v>6.3054397777066677E-3</v>
      </c>
      <c r="G1161">
        <f t="shared" ca="1" si="369"/>
        <v>-1.846832681415638E-3</v>
      </c>
      <c r="H1161">
        <f t="shared" ca="1" si="370"/>
        <v>3.2995798922242602E-2</v>
      </c>
      <c r="I1161">
        <f t="shared" ca="1" si="371"/>
        <v>-0.46360833101348586</v>
      </c>
      <c r="J1161">
        <f t="shared" ca="1" si="372"/>
        <v>2.5323223043660286</v>
      </c>
      <c r="K1161">
        <f t="shared" ca="1" si="373"/>
        <v>1.0271555677260853</v>
      </c>
      <c r="L1161">
        <f t="shared" ca="1" si="374"/>
        <v>0.93302989651549817</v>
      </c>
      <c r="M1161">
        <f t="shared" ca="1" si="375"/>
        <v>1.4636613745028969E-4</v>
      </c>
      <c r="N1161">
        <f t="shared" ca="1" si="376"/>
        <v>1.2104696312427743E-2</v>
      </c>
      <c r="O1161">
        <f t="shared" ca="1" si="377"/>
        <v>0.32731579078807355</v>
      </c>
      <c r="P1161">
        <f t="shared" ca="1" si="378"/>
        <v>3.2315797447029637</v>
      </c>
      <c r="Q1161">
        <f t="shared" ca="1" si="379"/>
        <v>0.71968377858560029</v>
      </c>
      <c r="R1161">
        <f t="shared" ca="1" si="380"/>
        <v>1.7445604341009335</v>
      </c>
      <c r="T1161">
        <f t="shared" si="381"/>
        <v>1.004446908967574</v>
      </c>
      <c r="U1161" s="6">
        <f t="shared" ca="1" si="382"/>
        <v>1.0579519486484494</v>
      </c>
      <c r="BJ1161" t="b">
        <f t="shared" si="365"/>
        <v>1</v>
      </c>
      <c r="BK1161" t="b">
        <f t="shared" si="366"/>
        <v>1</v>
      </c>
    </row>
    <row r="1162" spans="1:63" x14ac:dyDescent="0.45">
      <c r="A1162" s="1">
        <v>43552</v>
      </c>
      <c r="B1162">
        <v>18.5747</v>
      </c>
      <c r="C1162" s="1">
        <v>43552</v>
      </c>
      <c r="D1162">
        <v>280.70999999999998</v>
      </c>
      <c r="E1162">
        <f t="shared" si="367"/>
        <v>1.3792162427682612E-2</v>
      </c>
      <c r="F1162" s="4">
        <f t="shared" si="368"/>
        <v>3.7904523511532355E-3</v>
      </c>
      <c r="G1162">
        <f t="shared" ca="1" si="369"/>
        <v>-1.9137873798091465E-3</v>
      </c>
      <c r="H1162">
        <f t="shared" ca="1" si="370"/>
        <v>3.3166232599918452E-2</v>
      </c>
      <c r="I1162">
        <f t="shared" ca="1" si="371"/>
        <v>-0.45539915352111077</v>
      </c>
      <c r="J1162">
        <f t="shared" ca="1" si="372"/>
        <v>2.4756503420613334</v>
      </c>
      <c r="K1162">
        <f t="shared" ca="1" si="373"/>
        <v>1.026842052203323</v>
      </c>
      <c r="L1162">
        <f t="shared" ca="1" si="374"/>
        <v>0.90456256877109098</v>
      </c>
      <c r="M1162">
        <f t="shared" ca="1" si="375"/>
        <v>8.0844077447562497E-5</v>
      </c>
      <c r="N1162">
        <f t="shared" ca="1" si="376"/>
        <v>1.2152652483338973E-2</v>
      </c>
      <c r="O1162">
        <f t="shared" ca="1" si="377"/>
        <v>0.34210535244408063</v>
      </c>
      <c r="P1162">
        <f t="shared" ca="1" si="378"/>
        <v>3.2092528472863067</v>
      </c>
      <c r="Q1162">
        <f t="shared" ca="1" si="379"/>
        <v>0.71663390803424054</v>
      </c>
      <c r="R1162">
        <f t="shared" ca="1" si="380"/>
        <v>1.7231792526102334</v>
      </c>
      <c r="T1162">
        <f t="shared" si="381"/>
        <v>1.0137921624276827</v>
      </c>
      <c r="U1162" s="6">
        <f t="shared" ca="1" si="382"/>
        <v>1.0167889205167504</v>
      </c>
      <c r="BJ1162" t="b">
        <f t="shared" si="365"/>
        <v>1</v>
      </c>
      <c r="BK1162" t="b">
        <f t="shared" si="366"/>
        <v>1</v>
      </c>
    </row>
    <row r="1163" spans="1:63" x14ac:dyDescent="0.45">
      <c r="A1163" s="1">
        <v>43551</v>
      </c>
      <c r="B1163">
        <v>18.321999999999999</v>
      </c>
      <c r="C1163" s="1">
        <v>43551</v>
      </c>
      <c r="D1163">
        <v>279.64999999999998</v>
      </c>
      <c r="E1163">
        <f t="shared" si="367"/>
        <v>2.6367827553175446E-2</v>
      </c>
      <c r="F1163" s="4">
        <f t="shared" si="368"/>
        <v>-5.2290836653387423E-3</v>
      </c>
      <c r="G1163">
        <f t="shared" ca="1" si="369"/>
        <v>-2.0826685605348644E-3</v>
      </c>
      <c r="H1163">
        <f t="shared" ca="1" si="370"/>
        <v>3.3305335826323085E-2</v>
      </c>
      <c r="I1163">
        <f t="shared" ca="1" si="371"/>
        <v>-0.44032979719820681</v>
      </c>
      <c r="J1163">
        <f t="shared" ca="1" si="372"/>
        <v>2.4354019727898657</v>
      </c>
      <c r="K1163">
        <f t="shared" ca="1" si="373"/>
        <v>1.0265297254025048</v>
      </c>
      <c r="L1163">
        <f t="shared" ca="1" si="374"/>
        <v>0.87782322231218768</v>
      </c>
      <c r="M1163">
        <f t="shared" ca="1" si="375"/>
        <v>4.0955816439974807E-5</v>
      </c>
      <c r="N1163">
        <f t="shared" ca="1" si="376"/>
        <v>1.2212332655632178E-2</v>
      </c>
      <c r="O1163">
        <f t="shared" ca="1" si="377"/>
        <v>0.35056103531718291</v>
      </c>
      <c r="P1163">
        <f t="shared" ca="1" si="378"/>
        <v>3.161976284666848</v>
      </c>
      <c r="Q1163">
        <f t="shared" ca="1" si="379"/>
        <v>0.71363641354604312</v>
      </c>
      <c r="R1163">
        <f t="shared" ca="1" si="380"/>
        <v>1.7165334053816172</v>
      </c>
      <c r="T1163">
        <f t="shared" si="381"/>
        <v>1.0263678275531753</v>
      </c>
      <c r="U1163" s="6">
        <f t="shared" ca="1" si="382"/>
        <v>1.0044956140350876</v>
      </c>
      <c r="BJ1163" t="b">
        <f t="shared" si="365"/>
        <v>1</v>
      </c>
      <c r="BK1163" t="b">
        <f t="shared" si="366"/>
        <v>1</v>
      </c>
    </row>
    <row r="1164" spans="1:63" x14ac:dyDescent="0.45">
      <c r="A1164" s="1">
        <v>43550</v>
      </c>
      <c r="B1164">
        <v>17.851299999999998</v>
      </c>
      <c r="C1164" s="1">
        <v>43550</v>
      </c>
      <c r="D1164">
        <v>281.12</v>
      </c>
      <c r="E1164">
        <f t="shared" si="367"/>
        <v>2.8223692926220872E-2</v>
      </c>
      <c r="F1164" s="4">
        <f t="shared" si="368"/>
        <v>7.4541284403669148E-3</v>
      </c>
      <c r="G1164">
        <f t="shared" ca="1" si="369"/>
        <v>-2.3919130835099761E-3</v>
      </c>
      <c r="H1164">
        <f t="shared" ca="1" si="370"/>
        <v>3.3353311351030236E-2</v>
      </c>
      <c r="I1164">
        <f t="shared" ca="1" si="371"/>
        <v>-0.42189397447139365</v>
      </c>
      <c r="J1164">
        <f t="shared" ca="1" si="372"/>
        <v>2.4438468254176668</v>
      </c>
      <c r="K1164">
        <f t="shared" ca="1" si="373"/>
        <v>1.0262185805757067</v>
      </c>
      <c r="L1164">
        <f t="shared" ca="1" si="374"/>
        <v>0.8501942961451715</v>
      </c>
      <c r="M1164">
        <f t="shared" ca="1" si="375"/>
        <v>9.8238854285395141E-5</v>
      </c>
      <c r="N1164">
        <f t="shared" ca="1" si="376"/>
        <v>1.2266681012211499E-2</v>
      </c>
      <c r="O1164">
        <f t="shared" ca="1" si="377"/>
        <v>0.33637692354564541</v>
      </c>
      <c r="P1164">
        <f t="shared" ca="1" si="378"/>
        <v>3.1155577625978839</v>
      </c>
      <c r="Q1164">
        <f t="shared" ca="1" si="379"/>
        <v>0.71068995740981855</v>
      </c>
      <c r="R1164">
        <f t="shared" ca="1" si="380"/>
        <v>1.7721178237467932</v>
      </c>
      <c r="T1164">
        <f t="shared" si="381"/>
        <v>1.028223692926221</v>
      </c>
      <c r="U1164" s="6">
        <f t="shared" ca="1" si="382"/>
        <v>1.0011216232131139</v>
      </c>
      <c r="BJ1164" t="b">
        <f t="shared" si="365"/>
        <v>1</v>
      </c>
      <c r="BK1164" t="b">
        <f t="shared" si="366"/>
        <v>1</v>
      </c>
    </row>
    <row r="1165" spans="1:63" x14ac:dyDescent="0.45">
      <c r="A1165" s="1">
        <v>43549</v>
      </c>
      <c r="B1165">
        <v>17.3613</v>
      </c>
      <c r="C1165" s="1">
        <v>43549</v>
      </c>
      <c r="D1165">
        <v>279.04000000000002</v>
      </c>
      <c r="E1165">
        <f t="shared" si="367"/>
        <v>-1.5537019500660658E-2</v>
      </c>
      <c r="F1165" s="4">
        <f t="shared" si="368"/>
        <v>-7.5201432408229015E-4</v>
      </c>
      <c r="G1165">
        <f t="shared" ca="1" si="369"/>
        <v>-2.7283483143861397E-3</v>
      </c>
      <c r="H1165">
        <f t="shared" ca="1" si="370"/>
        <v>3.3380754918789828E-2</v>
      </c>
      <c r="I1165">
        <f t="shared" ca="1" si="371"/>
        <v>-0.40348262673051327</v>
      </c>
      <c r="J1165">
        <f t="shared" ca="1" si="372"/>
        <v>2.4639237239569591</v>
      </c>
      <c r="K1165">
        <f t="shared" ca="1" si="373"/>
        <v>1.0259086110259807</v>
      </c>
      <c r="L1165">
        <f t="shared" ca="1" si="374"/>
        <v>0.81269726905231665</v>
      </c>
      <c r="M1165">
        <f t="shared" ca="1" si="375"/>
        <v>1.7404902789994449E-5</v>
      </c>
      <c r="N1165">
        <f t="shared" ca="1" si="376"/>
        <v>1.2309977624680554E-2</v>
      </c>
      <c r="O1165">
        <f t="shared" ca="1" si="377"/>
        <v>0.35433904941311622</v>
      </c>
      <c r="P1165">
        <f t="shared" ca="1" si="378"/>
        <v>3.107989102018585</v>
      </c>
      <c r="Q1165">
        <f t="shared" ca="1" si="379"/>
        <v>0.70779324708424951</v>
      </c>
      <c r="R1165">
        <f t="shared" ca="1" si="380"/>
        <v>1.7299003918441187</v>
      </c>
      <c r="T1165">
        <f t="shared" si="381"/>
        <v>0.98446298049933934</v>
      </c>
      <c r="U1165" s="6">
        <f t="shared" ca="1" si="382"/>
        <v>0.96634197929422239</v>
      </c>
      <c r="BJ1165" t="b">
        <f t="shared" si="365"/>
        <v>1</v>
      </c>
      <c r="BK1165" t="b">
        <f t="shared" si="366"/>
        <v>1</v>
      </c>
    </row>
    <row r="1166" spans="1:63" x14ac:dyDescent="0.45">
      <c r="A1166" s="1">
        <v>43546</v>
      </c>
      <c r="B1166">
        <v>17.635300000000001</v>
      </c>
      <c r="C1166" s="1">
        <v>43546</v>
      </c>
      <c r="D1166">
        <v>279.25</v>
      </c>
      <c r="E1166">
        <f t="shared" si="367"/>
        <v>-3.4634333260345949E-2</v>
      </c>
      <c r="F1166" s="4">
        <f t="shared" si="368"/>
        <v>-1.9246303515611345E-2</v>
      </c>
      <c r="G1166">
        <f t="shared" ca="1" si="369"/>
        <v>-2.586029745649756E-3</v>
      </c>
      <c r="H1166">
        <f t="shared" ca="1" si="370"/>
        <v>3.3539989034731051E-2</v>
      </c>
      <c r="I1166">
        <f t="shared" ca="1" si="371"/>
        <v>-0.41471198573672641</v>
      </c>
      <c r="J1166">
        <f t="shared" ca="1" si="372"/>
        <v>2.4302764346385013</v>
      </c>
      <c r="K1166">
        <f t="shared" ca="1" si="373"/>
        <v>1.0255998101068768</v>
      </c>
      <c r="L1166">
        <f t="shared" ca="1" si="374"/>
        <v>0.79655917484036942</v>
      </c>
      <c r="M1166">
        <f t="shared" ca="1" si="375"/>
        <v>2.5954005310797543E-5</v>
      </c>
      <c r="N1166">
        <f t="shared" ca="1" si="376"/>
        <v>1.2378669964050883E-2</v>
      </c>
      <c r="O1166">
        <f t="shared" ca="1" si="377"/>
        <v>0.35035998415765135</v>
      </c>
      <c r="P1166">
        <f t="shared" ca="1" si="378"/>
        <v>3.0419254444410937</v>
      </c>
      <c r="Q1166">
        <f t="shared" ca="1" si="379"/>
        <v>0.7049450333073185</v>
      </c>
      <c r="R1166">
        <f t="shared" ca="1" si="380"/>
        <v>1.7231792526102334</v>
      </c>
      <c r="T1166">
        <f t="shared" si="381"/>
        <v>0.96536566673965407</v>
      </c>
      <c r="U1166" s="6">
        <f t="shared" ca="1" si="382"/>
        <v>0.96042370112188225</v>
      </c>
      <c r="BJ1166" t="b">
        <f t="shared" si="365"/>
        <v>1</v>
      </c>
      <c r="BK1166" t="b">
        <f t="shared" si="366"/>
        <v>1</v>
      </c>
    </row>
    <row r="1167" spans="1:63" x14ac:dyDescent="0.45">
      <c r="A1167" s="1">
        <v>43545</v>
      </c>
      <c r="B1167">
        <v>18.268000000000001</v>
      </c>
      <c r="C1167" s="1">
        <v>43545</v>
      </c>
      <c r="D1167">
        <v>284.73</v>
      </c>
      <c r="E1167">
        <f t="shared" si="367"/>
        <v>1.5350877192983688E-3</v>
      </c>
      <c r="F1167" s="4">
        <f t="shared" si="368"/>
        <v>1.1294619072988836E-2</v>
      </c>
      <c r="G1167">
        <f t="shared" ca="1" si="369"/>
        <v>-2.2259364477318216E-3</v>
      </c>
      <c r="H1167">
        <f t="shared" ca="1" si="370"/>
        <v>3.355460488628334E-2</v>
      </c>
      <c r="I1167">
        <f t="shared" ca="1" si="371"/>
        <v>-0.44179129995518746</v>
      </c>
      <c r="J1167">
        <f t="shared" ca="1" si="372"/>
        <v>2.4954731686410816</v>
      </c>
      <c r="K1167">
        <f t="shared" ca="1" si="373"/>
        <v>1.0252921712219671</v>
      </c>
      <c r="L1167">
        <f t="shared" ca="1" si="374"/>
        <v>0.87496579135587627</v>
      </c>
      <c r="M1167">
        <f t="shared" ca="1" si="375"/>
        <v>2.4249622464700066E-4</v>
      </c>
      <c r="N1167">
        <f t="shared" ca="1" si="376"/>
        <v>1.2276181515833895E-2</v>
      </c>
      <c r="O1167">
        <f t="shared" ca="1" si="377"/>
        <v>0.35422090180763166</v>
      </c>
      <c r="P1167">
        <f t="shared" ca="1" si="378"/>
        <v>3.2236094826242474</v>
      </c>
      <c r="Q1167">
        <f t="shared" ca="1" si="379"/>
        <v>0.7021441082998926</v>
      </c>
      <c r="R1167">
        <f t="shared" ca="1" si="380"/>
        <v>1.7558729247404361</v>
      </c>
      <c r="T1167">
        <f t="shared" si="381"/>
        <v>1.0015350877192983</v>
      </c>
      <c r="U1167" s="6">
        <f t="shared" ca="1" si="382"/>
        <v>0.94502527068342068</v>
      </c>
      <c r="BJ1167" t="b">
        <f t="shared" si="365"/>
        <v>1</v>
      </c>
      <c r="BK1167" t="b">
        <f t="shared" si="366"/>
        <v>1</v>
      </c>
    </row>
    <row r="1168" spans="1:63" x14ac:dyDescent="0.45">
      <c r="A1168" s="1">
        <v>43544</v>
      </c>
      <c r="B1168">
        <v>18.239999999999998</v>
      </c>
      <c r="C1168" s="1">
        <v>43544</v>
      </c>
      <c r="D1168">
        <v>281.55</v>
      </c>
      <c r="E1168">
        <f t="shared" si="367"/>
        <v>2.2920370359984951E-2</v>
      </c>
      <c r="F1168" s="4">
        <f t="shared" si="368"/>
        <v>-3.0099150141641856E-3</v>
      </c>
      <c r="G1168">
        <f t="shared" ca="1" si="369"/>
        <v>-2.2686753587208004E-3</v>
      </c>
      <c r="H1168">
        <f t="shared" ca="1" si="370"/>
        <v>3.3744460039773681E-2</v>
      </c>
      <c r="I1168">
        <f t="shared" ca="1" si="371"/>
        <v>-0.43561219494213677</v>
      </c>
      <c r="J1168">
        <f t="shared" ca="1" si="372"/>
        <v>2.4342104320068079</v>
      </c>
      <c r="K1168">
        <f t="shared" ca="1" si="373"/>
        <v>1.0249856878243753</v>
      </c>
      <c r="L1168">
        <f t="shared" ca="1" si="374"/>
        <v>0.8501942961451715</v>
      </c>
      <c r="M1168">
        <f t="shared" ca="1" si="375"/>
        <v>1.1690391955220718E-4</v>
      </c>
      <c r="N1168">
        <f t="shared" ca="1" si="376"/>
        <v>1.2288893307361062E-2</v>
      </c>
      <c r="O1168">
        <f t="shared" ca="1" si="377"/>
        <v>0.38009324143612921</v>
      </c>
      <c r="P1168">
        <f t="shared" ca="1" si="378"/>
        <v>3.2812073952512111</v>
      </c>
      <c r="Q1168">
        <f t="shared" ca="1" si="379"/>
        <v>0.69938930405805455</v>
      </c>
      <c r="R1168">
        <f t="shared" ca="1" si="380"/>
        <v>1.7366981098674978</v>
      </c>
      <c r="T1168">
        <f t="shared" si="381"/>
        <v>1.022920370359985</v>
      </c>
      <c r="U1168" s="6">
        <f t="shared" ca="1" si="382"/>
        <v>0.94684385382059799</v>
      </c>
      <c r="BJ1168" t="b">
        <f t="shared" si="365"/>
        <v>1</v>
      </c>
      <c r="BK1168" t="b">
        <f t="shared" si="366"/>
        <v>1</v>
      </c>
    </row>
    <row r="1169" spans="1:63" x14ac:dyDescent="0.45">
      <c r="A1169" s="1">
        <v>43543</v>
      </c>
      <c r="B1169">
        <v>17.831299999999999</v>
      </c>
      <c r="C1169" s="1">
        <v>43543</v>
      </c>
      <c r="D1169">
        <v>282.39999999999998</v>
      </c>
      <c r="E1169">
        <f t="shared" si="367"/>
        <v>-7.4974952688412703E-3</v>
      </c>
      <c r="F1169" s="4">
        <f t="shared" si="368"/>
        <v>2.4793681153257956E-4</v>
      </c>
      <c r="G1169">
        <f t="shared" ca="1" si="369"/>
        <v>-2.5582046198553486E-3</v>
      </c>
      <c r="H1169">
        <f t="shared" ca="1" si="370"/>
        <v>3.3829965690900791E-2</v>
      </c>
      <c r="I1169">
        <f t="shared" ca="1" si="371"/>
        <v>-0.416094342459362</v>
      </c>
      <c r="J1169">
        <f t="shared" ca="1" si="372"/>
        <v>2.4261399504281038</v>
      </c>
      <c r="K1169">
        <f t="shared" ca="1" si="373"/>
        <v>1.0246803534163136</v>
      </c>
      <c r="L1169">
        <f t="shared" ca="1" si="374"/>
        <v>0.81269726905231665</v>
      </c>
      <c r="M1169">
        <f t="shared" ca="1" si="375"/>
        <v>1.5284436706618888E-4</v>
      </c>
      <c r="N1169">
        <f t="shared" ca="1" si="376"/>
        <v>1.2355481230074492E-2</v>
      </c>
      <c r="O1169">
        <f t="shared" ca="1" si="377"/>
        <v>0.36969165864967224</v>
      </c>
      <c r="P1169">
        <f t="shared" ca="1" si="378"/>
        <v>3.2164967525647099</v>
      </c>
      <c r="Q1169">
        <f t="shared" ca="1" si="379"/>
        <v>0.69667949072910196</v>
      </c>
      <c r="R1169">
        <f t="shared" ca="1" si="380"/>
        <v>1.7299003918441187</v>
      </c>
      <c r="T1169">
        <f t="shared" si="381"/>
        <v>0.99250250473115875</v>
      </c>
      <c r="U1169" s="6">
        <f t="shared" ca="1" si="382"/>
        <v>0.94391949477785364</v>
      </c>
      <c r="BJ1169" t="b">
        <f t="shared" si="365"/>
        <v>1</v>
      </c>
      <c r="BK1169" t="b">
        <f t="shared" si="366"/>
        <v>1</v>
      </c>
    </row>
    <row r="1170" spans="1:63" x14ac:dyDescent="0.45">
      <c r="A1170" s="1">
        <v>43542</v>
      </c>
      <c r="B1170">
        <v>17.966000000000001</v>
      </c>
      <c r="C1170" s="1">
        <v>43542</v>
      </c>
      <c r="D1170">
        <v>282.33</v>
      </c>
      <c r="E1170">
        <f t="shared" si="367"/>
        <v>-2.1566278183204297E-2</v>
      </c>
      <c r="F1170" s="4">
        <f t="shared" si="368"/>
        <v>3.6258931427961389E-3</v>
      </c>
      <c r="G1170">
        <f t="shared" ca="1" si="369"/>
        <v>-2.5007710076578385E-3</v>
      </c>
      <c r="H1170">
        <f t="shared" ca="1" si="370"/>
        <v>3.4024116963995217E-2</v>
      </c>
      <c r="I1170">
        <f t="shared" ca="1" si="371"/>
        <v>-0.41908481858660723</v>
      </c>
      <c r="J1170">
        <f t="shared" ca="1" si="372"/>
        <v>2.3706748032731051</v>
      </c>
      <c r="K1170">
        <f t="shared" ca="1" si="373"/>
        <v>1.0243761615486211</v>
      </c>
      <c r="L1170">
        <f t="shared" ca="1" si="374"/>
        <v>0.79655917484036942</v>
      </c>
      <c r="M1170">
        <f t="shared" ca="1" si="375"/>
        <v>1.5173864096774262E-4</v>
      </c>
      <c r="N1170">
        <f t="shared" ca="1" si="376"/>
        <v>1.2427943687266631E-2</v>
      </c>
      <c r="O1170">
        <f t="shared" ca="1" si="377"/>
        <v>0.36791023514607624</v>
      </c>
      <c r="P1170">
        <f t="shared" ca="1" si="378"/>
        <v>3.1469406850612334</v>
      </c>
      <c r="Q1170">
        <f t="shared" ca="1" si="379"/>
        <v>0.69401357506646533</v>
      </c>
      <c r="R1170">
        <f t="shared" ca="1" si="380"/>
        <v>1.7231792526102334</v>
      </c>
      <c r="T1170">
        <f t="shared" si="381"/>
        <v>0.97843372181679567</v>
      </c>
      <c r="U1170" s="6">
        <f t="shared" ca="1" si="382"/>
        <v>0.92633554527783368</v>
      </c>
      <c r="BJ1170" t="b">
        <f t="shared" si="365"/>
        <v>1</v>
      </c>
      <c r="BK1170" t="b">
        <f t="shared" si="366"/>
        <v>1</v>
      </c>
    </row>
    <row r="1171" spans="1:63" x14ac:dyDescent="0.45">
      <c r="A1171" s="1">
        <v>43539</v>
      </c>
      <c r="B1171">
        <v>18.361999999999998</v>
      </c>
      <c r="C1171" s="1">
        <v>43539</v>
      </c>
      <c r="D1171">
        <v>281.31</v>
      </c>
      <c r="E1171">
        <f t="shared" si="367"/>
        <v>-5.0111998013522632E-2</v>
      </c>
      <c r="F1171" s="4">
        <f t="shared" si="368"/>
        <v>5.3350405463073426E-4</v>
      </c>
      <c r="G1171">
        <f t="shared" ca="1" si="369"/>
        <v>-2.2764709232396449E-3</v>
      </c>
      <c r="H1171">
        <f t="shared" ca="1" si="370"/>
        <v>3.4162022134643019E-2</v>
      </c>
      <c r="I1171">
        <f t="shared" ca="1" si="371"/>
        <v>-0.4371293411838949</v>
      </c>
      <c r="J1171">
        <f t="shared" ca="1" si="372"/>
        <v>2.3606934571958216</v>
      </c>
      <c r="K1171">
        <f t="shared" ca="1" si="373"/>
        <v>1.0240731058203132</v>
      </c>
      <c r="L1171">
        <f t="shared" ca="1" si="374"/>
        <v>0.87496579135587627</v>
      </c>
      <c r="M1171">
        <f t="shared" ca="1" si="375"/>
        <v>1.1086623506387893E-4</v>
      </c>
      <c r="N1171">
        <f t="shared" ca="1" si="376"/>
        <v>1.2495884998110114E-2</v>
      </c>
      <c r="O1171">
        <f t="shared" ca="1" si="377"/>
        <v>0.37614025435105541</v>
      </c>
      <c r="P1171">
        <f t="shared" ca="1" si="378"/>
        <v>3.0937522726602551</v>
      </c>
      <c r="Q1171">
        <f t="shared" ca="1" si="379"/>
        <v>0.69139049895911997</v>
      </c>
      <c r="R1171">
        <f t="shared" ca="1" si="380"/>
        <v>1.7165334053816172</v>
      </c>
      <c r="T1171">
        <f t="shared" si="381"/>
        <v>0.94988800198647738</v>
      </c>
      <c r="U1171" s="6">
        <f t="shared" ca="1" si="382"/>
        <v>0.96934439124306448</v>
      </c>
      <c r="BJ1171" t="b">
        <f t="shared" si="365"/>
        <v>1</v>
      </c>
      <c r="BK1171" t="b">
        <f t="shared" si="366"/>
        <v>1</v>
      </c>
    </row>
    <row r="1172" spans="1:63" x14ac:dyDescent="0.45">
      <c r="A1172" s="1">
        <v>43538</v>
      </c>
      <c r="B1172">
        <v>19.3307</v>
      </c>
      <c r="C1172" s="1">
        <v>43538</v>
      </c>
      <c r="D1172">
        <v>281.16000000000003</v>
      </c>
      <c r="E1172">
        <f t="shared" si="367"/>
        <v>3.46241694352164E-3</v>
      </c>
      <c r="F1172" s="4">
        <f t="shared" si="368"/>
        <v>-6.3979526551485746E-4</v>
      </c>
      <c r="G1172">
        <f t="shared" ca="1" si="369"/>
        <v>-1.7070003626410378E-3</v>
      </c>
      <c r="H1172">
        <f t="shared" ca="1" si="370"/>
        <v>3.3958904461572043E-2</v>
      </c>
      <c r="I1172">
        <f t="shared" ca="1" si="371"/>
        <v>-0.46755444144348007</v>
      </c>
      <c r="J1172">
        <f t="shared" ca="1" si="372"/>
        <v>2.5438924890332197</v>
      </c>
      <c r="K1172">
        <f t="shared" ca="1" si="373"/>
        <v>1.0237711798781302</v>
      </c>
      <c r="L1172">
        <f t="shared" ca="1" si="374"/>
        <v>0.96339829993747916</v>
      </c>
      <c r="M1172">
        <f t="shared" ca="1" si="375"/>
        <v>1.0583483244998812E-4</v>
      </c>
      <c r="N1172">
        <f t="shared" ca="1" si="376"/>
        <v>1.2570849416448945E-2</v>
      </c>
      <c r="O1172">
        <f t="shared" ca="1" si="377"/>
        <v>0.37523918675537793</v>
      </c>
      <c r="P1172">
        <f t="shared" ca="1" si="378"/>
        <v>3.0246083136935678</v>
      </c>
      <c r="Q1172">
        <f t="shared" ca="1" si="379"/>
        <v>0.68880923803131988</v>
      </c>
      <c r="R1172">
        <f t="shared" ca="1" si="380"/>
        <v>1.4939116178919321</v>
      </c>
      <c r="T1172">
        <f t="shared" si="381"/>
        <v>1.0034624169435216</v>
      </c>
      <c r="U1172" s="6">
        <f t="shared" ca="1" si="382"/>
        <v>1.0483423991149339</v>
      </c>
      <c r="BJ1172" t="b">
        <f t="shared" si="365"/>
        <v>1</v>
      </c>
      <c r="BK1172" t="b">
        <f t="shared" si="366"/>
        <v>1</v>
      </c>
    </row>
    <row r="1173" spans="1:63" x14ac:dyDescent="0.45">
      <c r="A1173" s="1">
        <v>43537</v>
      </c>
      <c r="B1173">
        <v>19.263999999999999</v>
      </c>
      <c r="C1173" s="1">
        <v>43537</v>
      </c>
      <c r="D1173">
        <v>281.33999999999997</v>
      </c>
      <c r="E1173">
        <f t="shared" si="367"/>
        <v>1.9761046440841284E-2</v>
      </c>
      <c r="F1173" s="4">
        <f t="shared" si="368"/>
        <v>6.6191992557872049E-3</v>
      </c>
      <c r="G1173">
        <f t="shared" ca="1" si="369"/>
        <v>-1.7692824988598649E-3</v>
      </c>
      <c r="H1173">
        <f t="shared" ca="1" si="370"/>
        <v>3.4160516381947455E-2</v>
      </c>
      <c r="I1173">
        <f t="shared" ca="1" si="371"/>
        <v>-0.45950159569712906</v>
      </c>
      <c r="J1173">
        <f t="shared" ca="1" si="372"/>
        <v>2.4788988397297542</v>
      </c>
      <c r="K1173">
        <f t="shared" ca="1" si="373"/>
        <v>1.0234703774160936</v>
      </c>
      <c r="L1173">
        <f t="shared" ca="1" si="374"/>
        <v>0.93302989651549817</v>
      </c>
      <c r="M1173">
        <f t="shared" ca="1" si="375"/>
        <v>1.1481832760619076E-4</v>
      </c>
      <c r="N1173">
        <f t="shared" ca="1" si="376"/>
        <v>1.2646997381345603E-2</v>
      </c>
      <c r="O1173">
        <f t="shared" ca="1" si="377"/>
        <v>0.3709244657747176</v>
      </c>
      <c r="P1173">
        <f t="shared" ca="1" si="378"/>
        <v>2.9540379892273654</v>
      </c>
      <c r="Q1173">
        <f t="shared" ca="1" si="379"/>
        <v>0.68626880030877158</v>
      </c>
      <c r="R1173">
        <f t="shared" ca="1" si="380"/>
        <v>1.3268519006507375</v>
      </c>
      <c r="T1173">
        <f t="shared" si="381"/>
        <v>1.0197610464408413</v>
      </c>
      <c r="U1173" s="6">
        <f t="shared" ca="1" si="382"/>
        <v>1.0460469157254564</v>
      </c>
      <c r="BJ1173" t="b">
        <f t="shared" si="365"/>
        <v>1</v>
      </c>
      <c r="BK1173" t="b">
        <f t="shared" si="366"/>
        <v>1</v>
      </c>
    </row>
    <row r="1174" spans="1:63" x14ac:dyDescent="0.45">
      <c r="A1174" s="1">
        <v>43536</v>
      </c>
      <c r="B1174">
        <v>18.890699999999999</v>
      </c>
      <c r="C1174" s="1">
        <v>43536</v>
      </c>
      <c r="D1174">
        <v>279.49</v>
      </c>
      <c r="E1174">
        <f t="shared" si="367"/>
        <v>-2.598648084270452E-2</v>
      </c>
      <c r="F1174" s="4">
        <f t="shared" si="368"/>
        <v>3.7710099123689535E-3</v>
      </c>
      <c r="G1174">
        <f t="shared" ca="1" si="369"/>
        <v>-2.0318474859293916E-3</v>
      </c>
      <c r="H1174">
        <f t="shared" ca="1" si="370"/>
        <v>3.4286365562564633E-2</v>
      </c>
      <c r="I1174">
        <f t="shared" ca="1" si="371"/>
        <v>-0.43979415764026925</v>
      </c>
      <c r="J1174">
        <f t="shared" ca="1" si="372"/>
        <v>2.4522843666900402</v>
      </c>
      <c r="K1174">
        <f t="shared" ca="1" si="373"/>
        <v>1.0231706921750683</v>
      </c>
      <c r="L1174">
        <f t="shared" ca="1" si="374"/>
        <v>0.89536800005835304</v>
      </c>
      <c r="M1174">
        <f t="shared" ca="1" si="375"/>
        <v>3.5496608969837793E-5</v>
      </c>
      <c r="N1174">
        <f t="shared" ca="1" si="376"/>
        <v>1.2704035325023845E-2</v>
      </c>
      <c r="O1174">
        <f t="shared" ca="1" si="377"/>
        <v>0.38808192051407275</v>
      </c>
      <c r="P1174">
        <f t="shared" ca="1" si="378"/>
        <v>2.932413592066911</v>
      </c>
      <c r="Q1174">
        <f t="shared" ca="1" si="379"/>
        <v>0.68376822494759504</v>
      </c>
      <c r="R1174">
        <f t="shared" ca="1" si="380"/>
        <v>1.1432036416909199</v>
      </c>
      <c r="T1174">
        <f t="shared" si="381"/>
        <v>0.9740135191572955</v>
      </c>
      <c r="U1174" s="6">
        <f t="shared" ca="1" si="382"/>
        <v>1.0246637014536779</v>
      </c>
      <c r="BJ1174" t="b">
        <f t="shared" si="365"/>
        <v>1</v>
      </c>
      <c r="BK1174" t="b">
        <f t="shared" si="366"/>
        <v>1</v>
      </c>
    </row>
    <row r="1175" spans="1:63" x14ac:dyDescent="0.45">
      <c r="A1175" s="1">
        <v>43535</v>
      </c>
      <c r="B1175">
        <v>19.3947</v>
      </c>
      <c r="C1175" s="1">
        <v>43535</v>
      </c>
      <c r="D1175">
        <v>278.44</v>
      </c>
      <c r="E1175">
        <f t="shared" si="367"/>
        <v>2.3861434747950491E-2</v>
      </c>
      <c r="F1175" s="4">
        <f t="shared" si="368"/>
        <v>1.4501202360999849E-2</v>
      </c>
      <c r="G1175">
        <f t="shared" ca="1" si="369"/>
        <v>-1.7361112716482168E-3</v>
      </c>
      <c r="H1175">
        <f t="shared" ca="1" si="370"/>
        <v>3.4394591731628808E-2</v>
      </c>
      <c r="I1175">
        <f t="shared" ca="1" si="371"/>
        <v>-0.46335643277757987</v>
      </c>
      <c r="J1175">
        <f t="shared" ca="1" si="372"/>
        <v>2.4680523535013492</v>
      </c>
      <c r="K1175">
        <f t="shared" ca="1" si="373"/>
        <v>1.0228721179423259</v>
      </c>
      <c r="L1175">
        <f t="shared" ca="1" si="374"/>
        <v>0.99586479086568003</v>
      </c>
      <c r="M1175">
        <f t="shared" ca="1" si="375"/>
        <v>-1.0620839220274872E-5</v>
      </c>
      <c r="N1175">
        <f t="shared" ca="1" si="376"/>
        <v>1.277628039802403E-2</v>
      </c>
      <c r="O1175">
        <f t="shared" ca="1" si="377"/>
        <v>0.39720687155489415</v>
      </c>
      <c r="P1175">
        <f t="shared" ca="1" si="378"/>
        <v>2.8806100343548353</v>
      </c>
      <c r="Q1175">
        <f t="shared" ca="1" si="379"/>
        <v>0.68130658102264818</v>
      </c>
      <c r="R1175">
        <f t="shared" ca="1" si="380"/>
        <v>1.0308419319140256</v>
      </c>
      <c r="T1175">
        <f t="shared" si="381"/>
        <v>1.0238614347479504</v>
      </c>
      <c r="U1175" s="6">
        <f t="shared" ca="1" si="382"/>
        <v>1.0194859125315392</v>
      </c>
      <c r="BJ1175" t="b">
        <f t="shared" si="365"/>
        <v>1</v>
      </c>
      <c r="BK1175" t="b">
        <f t="shared" si="366"/>
        <v>1</v>
      </c>
    </row>
    <row r="1176" spans="1:63" x14ac:dyDescent="0.45">
      <c r="A1176" s="1">
        <v>43532</v>
      </c>
      <c r="B1176">
        <v>18.942699999999999</v>
      </c>
      <c r="C1176" s="1">
        <v>43532</v>
      </c>
      <c r="D1176">
        <v>274.45999999999998</v>
      </c>
      <c r="E1176">
        <f t="shared" si="367"/>
        <v>2.7300385589474611E-2</v>
      </c>
      <c r="F1176" s="4">
        <f t="shared" si="368"/>
        <v>-1.9999272753718459E-3</v>
      </c>
      <c r="G1176">
        <f t="shared" ca="1" si="369"/>
        <v>-2.0560805968932007E-3</v>
      </c>
      <c r="H1176">
        <f t="shared" ca="1" si="370"/>
        <v>3.4490066527948171E-2</v>
      </c>
      <c r="I1176">
        <f t="shared" ca="1" si="371"/>
        <v>-0.44224461535757181</v>
      </c>
      <c r="J1176">
        <f t="shared" ca="1" si="372"/>
        <v>2.4582211422824654</v>
      </c>
      <c r="K1176">
        <f t="shared" ca="1" si="373"/>
        <v>1.0111361993913526</v>
      </c>
      <c r="L1176">
        <f t="shared" ca="1" si="374"/>
        <v>0.94025985514779487</v>
      </c>
      <c r="M1176">
        <f t="shared" ca="1" si="375"/>
        <v>-1.9201862922302635E-4</v>
      </c>
      <c r="N1176">
        <f t="shared" ca="1" si="376"/>
        <v>1.2751491270179058E-2</v>
      </c>
      <c r="O1176">
        <f t="shared" ca="1" si="377"/>
        <v>0.42935140233394714</v>
      </c>
      <c r="P1176">
        <f t="shared" ca="1" si="378"/>
        <v>3.0096574992515168</v>
      </c>
      <c r="Q1176">
        <f t="shared" ca="1" si="379"/>
        <v>0.68106257799887227</v>
      </c>
      <c r="R1176">
        <f t="shared" ca="1" si="380"/>
        <v>1.0235699145454589</v>
      </c>
      <c r="T1176">
        <f t="shared" si="381"/>
        <v>1.0273003855894747</v>
      </c>
      <c r="U1176" s="6">
        <f t="shared" ca="1" si="382"/>
        <v>0.96387264854193078</v>
      </c>
      <c r="BJ1176" t="b">
        <f t="shared" si="365"/>
        <v>1</v>
      </c>
      <c r="BK1176" t="b">
        <f t="shared" si="366"/>
        <v>1</v>
      </c>
    </row>
    <row r="1177" spans="1:63" x14ac:dyDescent="0.45">
      <c r="A1177" s="1">
        <v>43531</v>
      </c>
      <c r="B1177">
        <v>18.439299999999999</v>
      </c>
      <c r="C1177" s="1">
        <v>43531</v>
      </c>
      <c r="D1177">
        <v>275.01</v>
      </c>
      <c r="E1177">
        <f t="shared" si="367"/>
        <v>1.2652041702866522E-3</v>
      </c>
      <c r="F1177" s="4">
        <f t="shared" si="368"/>
        <v>-8.3654851620812501E-3</v>
      </c>
      <c r="G1177">
        <f t="shared" ca="1" si="369"/>
        <v>-2.4276814346953259E-3</v>
      </c>
      <c r="H1177">
        <f t="shared" ca="1" si="370"/>
        <v>3.4548906147050307E-2</v>
      </c>
      <c r="I1177">
        <f t="shared" ca="1" si="371"/>
        <v>-0.42073727793751386</v>
      </c>
      <c r="J1177">
        <f t="shared" ca="1" si="372"/>
        <v>2.468225648542433</v>
      </c>
      <c r="K1177">
        <f t="shared" ca="1" si="373"/>
        <v>0.99967776500341943</v>
      </c>
      <c r="L1177">
        <f t="shared" ca="1" si="374"/>
        <v>0.88135362814589102</v>
      </c>
      <c r="M1177">
        <f t="shared" ca="1" si="375"/>
        <v>-1.6913370965152225E-4</v>
      </c>
      <c r="N1177">
        <f t="shared" ca="1" si="376"/>
        <v>1.2831317823054288E-2</v>
      </c>
      <c r="O1177">
        <f t="shared" ca="1" si="377"/>
        <v>0.4214760985055454</v>
      </c>
      <c r="P1177">
        <f t="shared" ca="1" si="378"/>
        <v>2.9363757685000738</v>
      </c>
      <c r="Q1177">
        <f t="shared" ca="1" si="379"/>
        <v>0.68081923144034495</v>
      </c>
      <c r="R1177">
        <f t="shared" ca="1" si="380"/>
        <v>1.0235187266540406</v>
      </c>
      <c r="T1177">
        <f t="shared" si="381"/>
        <v>1.0012652041702867</v>
      </c>
      <c r="U1177" s="6">
        <f t="shared" ca="1" si="382"/>
        <v>0.86466778896428209</v>
      </c>
      <c r="BJ1177" t="b">
        <f t="shared" si="365"/>
        <v>1</v>
      </c>
      <c r="BK1177" t="b">
        <f t="shared" si="366"/>
        <v>1</v>
      </c>
    </row>
    <row r="1178" spans="1:63" x14ac:dyDescent="0.45">
      <c r="A1178" s="1">
        <v>43530</v>
      </c>
      <c r="B1178">
        <v>18.416</v>
      </c>
      <c r="C1178" s="1">
        <v>43530</v>
      </c>
      <c r="D1178">
        <v>277.33</v>
      </c>
      <c r="E1178">
        <f t="shared" si="367"/>
        <v>-1.0848340203948564E-3</v>
      </c>
      <c r="F1178" s="4">
        <f t="shared" si="368"/>
        <v>-6.0569134829044436E-3</v>
      </c>
      <c r="G1178">
        <f t="shared" ca="1" si="369"/>
        <v>-2.4750261219386835E-3</v>
      </c>
      <c r="H1178">
        <f t="shared" ca="1" si="370"/>
        <v>3.4769946569455416E-2</v>
      </c>
      <c r="I1178">
        <f t="shared" ca="1" si="371"/>
        <v>-0.41408736935396429</v>
      </c>
      <c r="J1178">
        <f t="shared" ca="1" si="372"/>
        <v>2.3997673440508187</v>
      </c>
      <c r="K1178">
        <f t="shared" ca="1" si="373"/>
        <v>0.98848708850552547</v>
      </c>
      <c r="L1178">
        <f t="shared" ca="1" si="374"/>
        <v>0.86409090574249836</v>
      </c>
      <c r="M1178">
        <f t="shared" ca="1" si="375"/>
        <v>-6.4052280774218006E-5</v>
      </c>
      <c r="N1178">
        <f t="shared" ca="1" si="376"/>
        <v>1.2880111755631585E-2</v>
      </c>
      <c r="O1178">
        <f t="shared" ca="1" si="377"/>
        <v>0.4005713294849233</v>
      </c>
      <c r="P1178">
        <f t="shared" ca="1" si="378"/>
        <v>2.9105392228791001</v>
      </c>
      <c r="Q1178">
        <f t="shared" ca="1" si="379"/>
        <v>0.68057653870139623</v>
      </c>
      <c r="R1178">
        <f t="shared" ca="1" si="380"/>
        <v>1.1432036416909199</v>
      </c>
      <c r="T1178">
        <f t="shared" si="381"/>
        <v>0.99891516597960517</v>
      </c>
      <c r="U1178" s="6">
        <f t="shared" ca="1" si="382"/>
        <v>0.87767541832080731</v>
      </c>
      <c r="BJ1178" t="b">
        <f t="shared" si="365"/>
        <v>1</v>
      </c>
      <c r="BK1178" t="b">
        <f t="shared" si="366"/>
        <v>1</v>
      </c>
    </row>
    <row r="1179" spans="1:63" x14ac:dyDescent="0.45">
      <c r="A1179" s="1">
        <v>43529</v>
      </c>
      <c r="B1179">
        <v>18.436</v>
      </c>
      <c r="C1179" s="1">
        <v>43529</v>
      </c>
      <c r="D1179">
        <v>279.02</v>
      </c>
      <c r="E1179">
        <f t="shared" si="367"/>
        <v>-3.0908326324642608E-2</v>
      </c>
      <c r="F1179" s="4">
        <f t="shared" si="368"/>
        <v>-1.3600572655690605E-3</v>
      </c>
      <c r="G1179">
        <f t="shared" ca="1" si="369"/>
        <v>-2.4930805648158772E-3</v>
      </c>
      <c r="H1179">
        <f t="shared" ca="1" si="370"/>
        <v>3.4997580643613094E-2</v>
      </c>
      <c r="I1179">
        <f t="shared" ca="1" si="371"/>
        <v>-0.40995527737842369</v>
      </c>
      <c r="J1179">
        <f t="shared" ca="1" si="372"/>
        <v>2.3313674879402102</v>
      </c>
      <c r="K1179">
        <f t="shared" ca="1" si="373"/>
        <v>0.97755489293729003</v>
      </c>
      <c r="L1179">
        <f t="shared" ca="1" si="374"/>
        <v>0.84787603937665645</v>
      </c>
      <c r="M1179">
        <f t="shared" ca="1" si="375"/>
        <v>1.3777085487213393E-5</v>
      </c>
      <c r="N1179">
        <f t="shared" ca="1" si="376"/>
        <v>1.2946097595574479E-2</v>
      </c>
      <c r="O1179">
        <f t="shared" ca="1" si="377"/>
        <v>0.38262794634997704</v>
      </c>
      <c r="P1179">
        <f t="shared" ca="1" si="378"/>
        <v>2.8601877618216491</v>
      </c>
      <c r="Q1179">
        <f t="shared" ca="1" si="379"/>
        <v>0.6803344971505535</v>
      </c>
      <c r="R1179">
        <f t="shared" ca="1" si="380"/>
        <v>1.7165334053816172</v>
      </c>
      <c r="T1179">
        <f t="shared" si="381"/>
        <v>0.96909167367535742</v>
      </c>
      <c r="U1179" s="6">
        <f t="shared" ca="1" si="382"/>
        <v>0.92842430743353854</v>
      </c>
      <c r="BJ1179" t="b">
        <f t="shared" si="365"/>
        <v>1</v>
      </c>
      <c r="BK1179" t="b">
        <f t="shared" si="366"/>
        <v>1</v>
      </c>
    </row>
    <row r="1180" spans="1:63" x14ac:dyDescent="0.45">
      <c r="A1180" s="1">
        <v>43528</v>
      </c>
      <c r="B1180">
        <v>19.024000000000001</v>
      </c>
      <c r="C1180" s="1">
        <v>43528</v>
      </c>
      <c r="D1180">
        <v>279.39999999999998</v>
      </c>
      <c r="E1180">
        <f t="shared" si="367"/>
        <v>-3.199051529815234E-2</v>
      </c>
      <c r="F1180" s="4">
        <f t="shared" si="368"/>
        <v>-3.6374010412953376E-3</v>
      </c>
      <c r="G1180">
        <f t="shared" ca="1" si="369"/>
        <v>-2.1191957521865773E-3</v>
      </c>
      <c r="H1180">
        <f t="shared" ca="1" si="370"/>
        <v>3.5074982394567827E-2</v>
      </c>
      <c r="I1180">
        <f t="shared" ca="1" si="371"/>
        <v>-0.4383855223837505</v>
      </c>
      <c r="J1180">
        <f t="shared" ca="1" si="372"/>
        <v>2.3723094695068969</v>
      </c>
      <c r="K1180">
        <f t="shared" ca="1" si="373"/>
        <v>0.96687232500174658</v>
      </c>
      <c r="L1180">
        <f t="shared" ca="1" si="374"/>
        <v>0.94025985514779487</v>
      </c>
      <c r="M1180">
        <f t="shared" ca="1" si="375"/>
        <v>3.1853853264269497E-5</v>
      </c>
      <c r="N1180">
        <f t="shared" ca="1" si="376"/>
        <v>1.3031140860367735E-2</v>
      </c>
      <c r="O1180">
        <f t="shared" ca="1" si="377"/>
        <v>0.37606335368505761</v>
      </c>
      <c r="P1180">
        <f t="shared" ca="1" si="378"/>
        <v>2.7855721845794079</v>
      </c>
      <c r="Q1180">
        <f t="shared" ca="1" si="379"/>
        <v>0.68009310417044611</v>
      </c>
      <c r="R1180">
        <f t="shared" ca="1" si="380"/>
        <v>1.5145208611901311</v>
      </c>
      <c r="T1180">
        <f t="shared" si="381"/>
        <v>0.96800948470184767</v>
      </c>
      <c r="U1180" s="6">
        <f t="shared" ca="1" si="382"/>
        <v>0.9551159754995483</v>
      </c>
      <c r="BJ1180" t="b">
        <f t="shared" si="365"/>
        <v>1</v>
      </c>
      <c r="BK1180" t="b">
        <f t="shared" si="366"/>
        <v>1</v>
      </c>
    </row>
    <row r="1181" spans="1:63" x14ac:dyDescent="0.45">
      <c r="A1181" s="1">
        <v>43525</v>
      </c>
      <c r="B1181">
        <v>19.652699999999999</v>
      </c>
      <c r="C1181" s="1">
        <v>43525</v>
      </c>
      <c r="D1181">
        <v>280.42</v>
      </c>
      <c r="E1181">
        <f t="shared" si="367"/>
        <v>-7.8432659798455318E-2</v>
      </c>
      <c r="F1181" s="4">
        <f t="shared" si="368"/>
        <v>6.2437203961533266E-3</v>
      </c>
      <c r="G1181">
        <f t="shared" ca="1" si="369"/>
        <v>-1.7209114915737E-3</v>
      </c>
      <c r="H1181">
        <f t="shared" ca="1" si="370"/>
        <v>3.5137737902048695E-2</v>
      </c>
      <c r="I1181">
        <f t="shared" ca="1" si="371"/>
        <v>-0.46850061568314838</v>
      </c>
      <c r="J1181">
        <f t="shared" ca="1" si="372"/>
        <v>2.4250827694907708</v>
      </c>
      <c r="K1181">
        <f t="shared" ca="1" si="373"/>
        <v>0.95643093115334343</v>
      </c>
      <c r="L1181">
        <f t="shared" ca="1" si="374"/>
        <v>1.0633554092179169</v>
      </c>
      <c r="M1181">
        <f t="shared" ca="1" si="375"/>
        <v>8.0777251858397638E-5</v>
      </c>
      <c r="N1181">
        <f t="shared" ca="1" si="376"/>
        <v>1.3111865095702604E-2</v>
      </c>
      <c r="O1181">
        <f t="shared" ca="1" si="377"/>
        <v>0.36308760328417961</v>
      </c>
      <c r="P1181">
        <f t="shared" ca="1" si="378"/>
        <v>2.7179873429580517</v>
      </c>
      <c r="Q1181">
        <f t="shared" ca="1" si="379"/>
        <v>0.67985235715771275</v>
      </c>
      <c r="R1181">
        <f t="shared" ca="1" si="380"/>
        <v>1.3751184187959153</v>
      </c>
      <c r="T1181">
        <f t="shared" si="381"/>
        <v>0.92156734020154474</v>
      </c>
      <c r="U1181" s="6">
        <f t="shared" ca="1" si="382"/>
        <v>1.0002748469255318</v>
      </c>
      <c r="BJ1181" t="b">
        <f t="shared" si="365"/>
        <v>1</v>
      </c>
      <c r="BK1181" t="b">
        <f t="shared" si="366"/>
        <v>1</v>
      </c>
    </row>
    <row r="1182" spans="1:63" x14ac:dyDescent="0.45">
      <c r="A1182" s="1">
        <v>43524</v>
      </c>
      <c r="B1182">
        <v>21.325299999999999</v>
      </c>
      <c r="C1182" s="1">
        <v>43524</v>
      </c>
      <c r="D1182">
        <v>278.68</v>
      </c>
      <c r="E1182">
        <f t="shared" si="367"/>
        <v>1.6327736659247728E-2</v>
      </c>
      <c r="F1182" s="4">
        <f t="shared" si="368"/>
        <v>-1.8624641833810238E-3</v>
      </c>
      <c r="G1182">
        <f t="shared" ca="1" si="369"/>
        <v>-6.8426624418340819E-4</v>
      </c>
      <c r="H1182">
        <f t="shared" ca="1" si="370"/>
        <v>3.4203394657089166E-2</v>
      </c>
      <c r="I1182">
        <f t="shared" ca="1" si="371"/>
        <v>-0.44974391832894145</v>
      </c>
      <c r="J1182">
        <f t="shared" ca="1" si="372"/>
        <v>2.8220864149187448</v>
      </c>
      <c r="K1182">
        <f t="shared" ca="1" si="373"/>
        <v>1.0517671914755928</v>
      </c>
      <c r="L1182">
        <f t="shared" ca="1" si="374"/>
        <v>1.175778396277869</v>
      </c>
      <c r="M1182">
        <f t="shared" ca="1" si="375"/>
        <v>-2.5057636050477271E-6</v>
      </c>
      <c r="N1182">
        <f t="shared" ca="1" si="376"/>
        <v>1.318137921183688E-2</v>
      </c>
      <c r="O1182">
        <f t="shared" ca="1" si="377"/>
        <v>0.38044562957967631</v>
      </c>
      <c r="P1182">
        <f t="shared" ca="1" si="378"/>
        <v>2.6879228095941472</v>
      </c>
      <c r="Q1182">
        <f t="shared" ca="1" si="379"/>
        <v>0.67961225352290555</v>
      </c>
      <c r="R1182">
        <f t="shared" ca="1" si="380"/>
        <v>1.2492363785749427</v>
      </c>
      <c r="T1182">
        <f t="shared" si="381"/>
        <v>1.0163277366592478</v>
      </c>
      <c r="U1182" s="6">
        <f t="shared" ca="1" si="382"/>
        <v>1.0983760230333808</v>
      </c>
      <c r="BJ1182" t="b">
        <f t="shared" si="365"/>
        <v>1</v>
      </c>
      <c r="BK1182" t="b">
        <f t="shared" si="366"/>
        <v>1</v>
      </c>
    </row>
    <row r="1183" spans="1:63" x14ac:dyDescent="0.45">
      <c r="A1183" s="1">
        <v>43523</v>
      </c>
      <c r="B1183">
        <v>20.982700000000001</v>
      </c>
      <c r="C1183" s="1">
        <v>43523</v>
      </c>
      <c r="D1183">
        <v>279.2</v>
      </c>
      <c r="E1183">
        <f t="shared" si="367"/>
        <v>5.6674371641663404E-2</v>
      </c>
      <c r="F1183" s="4">
        <f t="shared" si="368"/>
        <v>-4.2961477874840521E-4</v>
      </c>
      <c r="G1183">
        <f t="shared" ca="1" si="369"/>
        <v>-9.1730737984684865E-4</v>
      </c>
      <c r="H1183">
        <f t="shared" ca="1" si="370"/>
        <v>3.4380893091573855E-2</v>
      </c>
      <c r="I1183">
        <f t="shared" ca="1" si="371"/>
        <v>-0.42995745388541334</v>
      </c>
      <c r="J1183">
        <f t="shared" ca="1" si="372"/>
        <v>2.772508486256049</v>
      </c>
      <c r="K1183">
        <f t="shared" ca="1" si="373"/>
        <v>1.0502920108959777</v>
      </c>
      <c r="L1183">
        <f t="shared" ca="1" si="374"/>
        <v>1.1798434692598305</v>
      </c>
      <c r="M1183">
        <f t="shared" ca="1" si="375"/>
        <v>2.29731188576373E-5</v>
      </c>
      <c r="N1183">
        <f t="shared" ca="1" si="376"/>
        <v>1.3270765956726221E-2</v>
      </c>
      <c r="O1183">
        <f t="shared" ca="1" si="377"/>
        <v>0.37224877174541504</v>
      </c>
      <c r="P1183">
        <f t="shared" ca="1" si="378"/>
        <v>2.6131134971674701</v>
      </c>
      <c r="Q1183">
        <f t="shared" ca="1" si="379"/>
        <v>0.67937279069039902</v>
      </c>
      <c r="R1183">
        <f t="shared" ca="1" si="380"/>
        <v>1.1531942737525309</v>
      </c>
      <c r="T1183">
        <f t="shared" si="381"/>
        <v>1.0566743716416633</v>
      </c>
      <c r="U1183" s="6">
        <f t="shared" ca="1" si="382"/>
        <v>1.0402564115276116</v>
      </c>
      <c r="BJ1183" t="b">
        <f t="shared" si="365"/>
        <v>1</v>
      </c>
      <c r="BK1183" t="b">
        <f t="shared" si="366"/>
        <v>1</v>
      </c>
    </row>
    <row r="1184" spans="1:63" x14ac:dyDescent="0.45">
      <c r="A1184" s="1">
        <v>43522</v>
      </c>
      <c r="B1184">
        <v>19.857299999999999</v>
      </c>
      <c r="C1184" s="1">
        <v>43522</v>
      </c>
      <c r="D1184">
        <v>279.32</v>
      </c>
      <c r="E1184">
        <f t="shared" si="367"/>
        <v>-3.0474947283864167E-3</v>
      </c>
      <c r="F1184" s="4">
        <f t="shared" si="368"/>
        <v>-7.155123068116365E-4</v>
      </c>
      <c r="G1184">
        <f t="shared" ca="1" si="369"/>
        <v>-1.7171918107011575E-3</v>
      </c>
      <c r="H1184">
        <f t="shared" ca="1" si="370"/>
        <v>3.3931254054987578E-2</v>
      </c>
      <c r="I1184">
        <f t="shared" ca="1" si="371"/>
        <v>-0.45183583361785323</v>
      </c>
      <c r="J1184">
        <f t="shared" ca="1" si="372"/>
        <v>3.0088493590315917</v>
      </c>
      <c r="K1184">
        <f t="shared" ca="1" si="373"/>
        <v>1.0262185805757067</v>
      </c>
      <c r="L1184">
        <f t="shared" ca="1" si="374"/>
        <v>1.0628618274224038</v>
      </c>
      <c r="M1184">
        <f t="shared" ca="1" si="375"/>
        <v>2.9259061879943673E-5</v>
      </c>
      <c r="N1184">
        <f t="shared" ca="1" si="376"/>
        <v>1.3363785841311914E-2</v>
      </c>
      <c r="O1184">
        <f t="shared" ca="1" si="377"/>
        <v>0.36835756703574757</v>
      </c>
      <c r="P1184">
        <f t="shared" ca="1" si="378"/>
        <v>2.5375836239341893</v>
      </c>
      <c r="Q1184">
        <f t="shared" ca="1" si="379"/>
        <v>0.67913396609829735</v>
      </c>
      <c r="R1184">
        <f t="shared" ca="1" si="380"/>
        <v>1.1485869146447325</v>
      </c>
      <c r="T1184">
        <f t="shared" si="381"/>
        <v>0.99695250527161361</v>
      </c>
      <c r="U1184" s="6">
        <f t="shared" ca="1" si="382"/>
        <v>0.97454358068315639</v>
      </c>
      <c r="BJ1184" t="b">
        <f t="shared" si="365"/>
        <v>1</v>
      </c>
      <c r="BK1184" t="b">
        <f t="shared" si="366"/>
        <v>1</v>
      </c>
    </row>
    <row r="1185" spans="1:63" x14ac:dyDescent="0.45">
      <c r="A1185" s="1">
        <v>43521</v>
      </c>
      <c r="B1185">
        <v>19.917999999999999</v>
      </c>
      <c r="C1185" s="1">
        <v>43521</v>
      </c>
      <c r="D1185">
        <v>279.52</v>
      </c>
      <c r="E1185">
        <f t="shared" si="367"/>
        <v>1.377797458174904E-2</v>
      </c>
      <c r="F1185" s="4">
        <f t="shared" si="368"/>
        <v>1.3613240667765117E-3</v>
      </c>
      <c r="G1185">
        <f t="shared" ca="1" si="369"/>
        <v>-1.6984551498886891E-3</v>
      </c>
      <c r="H1185">
        <f t="shared" ca="1" si="370"/>
        <v>3.4172385570922309E-2</v>
      </c>
      <c r="I1185">
        <f t="shared" ca="1" si="371"/>
        <v>-0.45052970712708956</v>
      </c>
      <c r="J1185">
        <f t="shared" ca="1" si="372"/>
        <v>2.9290625347613455</v>
      </c>
      <c r="K1185">
        <f t="shared" ca="1" si="373"/>
        <v>1.0259086110259807</v>
      </c>
      <c r="L1185">
        <f t="shared" ca="1" si="374"/>
        <v>1.0386410506789101</v>
      </c>
      <c r="M1185">
        <f t="shared" ca="1" si="375"/>
        <v>3.9748799467148589E-5</v>
      </c>
      <c r="N1185">
        <f t="shared" ca="1" si="376"/>
        <v>1.3458604425653831E-2</v>
      </c>
      <c r="O1185">
        <f t="shared" ca="1" si="377"/>
        <v>0.36352238726966701</v>
      </c>
      <c r="P1185">
        <f t="shared" ca="1" si="378"/>
        <v>2.4618547723945472</v>
      </c>
      <c r="Q1185">
        <f t="shared" ca="1" si="379"/>
        <v>0.67889577719834249</v>
      </c>
      <c r="R1185">
        <f t="shared" ca="1" si="380"/>
        <v>1.144187896918474</v>
      </c>
      <c r="T1185">
        <f t="shared" si="381"/>
        <v>1.013777974581749</v>
      </c>
      <c r="U1185" s="6">
        <f t="shared" ca="1" si="382"/>
        <v>0.97041212552313449</v>
      </c>
      <c r="BJ1185" t="b">
        <f t="shared" si="365"/>
        <v>1</v>
      </c>
      <c r="BK1185" t="b">
        <f t="shared" si="366"/>
        <v>1</v>
      </c>
    </row>
    <row r="1186" spans="1:63" x14ac:dyDescent="0.45">
      <c r="A1186" s="1">
        <v>43518</v>
      </c>
      <c r="B1186">
        <v>19.647300000000001</v>
      </c>
      <c r="C1186" s="1">
        <v>43518</v>
      </c>
      <c r="D1186">
        <v>279.14</v>
      </c>
      <c r="E1186">
        <f t="shared" si="367"/>
        <v>1.194933892342652E-2</v>
      </c>
      <c r="F1186" s="4">
        <f t="shared" si="368"/>
        <v>6.1999855814287739E-3</v>
      </c>
      <c r="G1186">
        <f t="shared" ca="1" si="369"/>
        <v>-1.9195470031977992E-3</v>
      </c>
      <c r="H1186">
        <f t="shared" ca="1" si="370"/>
        <v>3.4367935406395558E-2</v>
      </c>
      <c r="I1186">
        <f t="shared" ca="1" si="371"/>
        <v>-0.4309829050134471</v>
      </c>
      <c r="J1186">
        <f t="shared" ca="1" si="372"/>
        <v>2.8709479212248494</v>
      </c>
      <c r="K1186">
        <f t="shared" ca="1" si="373"/>
        <v>1.0255998101068768</v>
      </c>
      <c r="L1186">
        <f t="shared" ca="1" si="374"/>
        <v>1.0163853095275868</v>
      </c>
      <c r="M1186">
        <f t="shared" ca="1" si="375"/>
        <v>2.0869152791300343E-5</v>
      </c>
      <c r="N1186">
        <f t="shared" ca="1" si="376"/>
        <v>1.3554832714300741E-2</v>
      </c>
      <c r="O1186">
        <f t="shared" ca="1" si="377"/>
        <v>0.36542922951872048</v>
      </c>
      <c r="P1186">
        <f t="shared" ca="1" si="378"/>
        <v>2.3904798736578634</v>
      </c>
      <c r="Q1186">
        <f t="shared" ca="1" si="379"/>
        <v>0.67865822145582433</v>
      </c>
      <c r="R1186">
        <f t="shared" ca="1" si="380"/>
        <v>1.1399834014534953</v>
      </c>
      <c r="T1186">
        <f t="shared" si="381"/>
        <v>1.0119493389234264</v>
      </c>
      <c r="U1186" s="6">
        <f t="shared" ca="1" si="382"/>
        <v>0.97017475421330956</v>
      </c>
      <c r="BJ1186" t="b">
        <f t="shared" si="365"/>
        <v>1</v>
      </c>
      <c r="BK1186" t="b">
        <f t="shared" si="366"/>
        <v>1</v>
      </c>
    </row>
    <row r="1187" spans="1:63" x14ac:dyDescent="0.45">
      <c r="A1187" s="1">
        <v>43517</v>
      </c>
      <c r="B1187">
        <v>19.415299999999998</v>
      </c>
      <c r="C1187" s="1">
        <v>43517</v>
      </c>
      <c r="D1187">
        <v>277.42</v>
      </c>
      <c r="E1187">
        <f t="shared" si="367"/>
        <v>-3.7450361167436018E-2</v>
      </c>
      <c r="F1187" s="4">
        <f t="shared" si="368"/>
        <v>-3.5559067562228692E-3</v>
      </c>
      <c r="G1187">
        <f t="shared" ca="1" si="369"/>
        <v>-2.1205453499604705E-3</v>
      </c>
      <c r="H1187">
        <f t="shared" ca="1" si="370"/>
        <v>3.457824891859422E-2</v>
      </c>
      <c r="I1187">
        <f t="shared" ca="1" si="371"/>
        <v>-0.41259062052314466</v>
      </c>
      <c r="J1187">
        <f t="shared" ca="1" si="372"/>
        <v>2.8070984837225499</v>
      </c>
      <c r="K1187">
        <f t="shared" ca="1" si="373"/>
        <v>1.0252921712219671</v>
      </c>
      <c r="L1187">
        <f t="shared" ca="1" si="374"/>
        <v>0.99586479086568003</v>
      </c>
      <c r="M1187">
        <f t="shared" ca="1" si="375"/>
        <v>-6.8683259217938367E-5</v>
      </c>
      <c r="N1187">
        <f t="shared" ca="1" si="376"/>
        <v>1.3633261644916895E-2</v>
      </c>
      <c r="O1187">
        <f t="shared" ca="1" si="377"/>
        <v>0.38348037913871025</v>
      </c>
      <c r="P1187">
        <f t="shared" ca="1" si="378"/>
        <v>2.3585149252968804</v>
      </c>
      <c r="Q1187">
        <f t="shared" ca="1" si="379"/>
        <v>0.67842129634949044</v>
      </c>
      <c r="R1187">
        <f t="shared" ca="1" si="380"/>
        <v>1.1359608048411942</v>
      </c>
      <c r="T1187">
        <f t="shared" si="381"/>
        <v>0.96254963883256395</v>
      </c>
      <c r="U1187" s="6">
        <f t="shared" ca="1" si="382"/>
        <v>0.94502718462669189</v>
      </c>
      <c r="BJ1187" t="b">
        <f t="shared" si="365"/>
        <v>1</v>
      </c>
      <c r="BK1187" t="b">
        <f t="shared" si="366"/>
        <v>1</v>
      </c>
    </row>
    <row r="1188" spans="1:63" x14ac:dyDescent="0.45">
      <c r="A1188" s="1">
        <v>43516</v>
      </c>
      <c r="B1188">
        <v>20.1707</v>
      </c>
      <c r="C1188" s="1">
        <v>43516</v>
      </c>
      <c r="D1188">
        <v>278.41000000000003</v>
      </c>
      <c r="E1188">
        <f t="shared" si="367"/>
        <v>-1.0075579112681641E-2</v>
      </c>
      <c r="F1188" s="4">
        <f t="shared" si="368"/>
        <v>2.0154759762461838E-3</v>
      </c>
      <c r="G1188">
        <f t="shared" ca="1" si="369"/>
        <v>-1.6009892349975951E-3</v>
      </c>
      <c r="H1188">
        <f t="shared" ca="1" si="370"/>
        <v>3.4562944650507417E-2</v>
      </c>
      <c r="I1188">
        <f t="shared" ca="1" si="371"/>
        <v>-0.44953185090119629</v>
      </c>
      <c r="J1188">
        <f t="shared" ca="1" si="372"/>
        <v>2.921748654288761</v>
      </c>
      <c r="K1188">
        <f t="shared" ca="1" si="373"/>
        <v>1.0249856878243757</v>
      </c>
      <c r="L1188">
        <f t="shared" ca="1" si="374"/>
        <v>1.1286780063556945</v>
      </c>
      <c r="M1188">
        <f t="shared" ca="1" si="375"/>
        <v>-1.7400560732571879E-5</v>
      </c>
      <c r="N1188">
        <f t="shared" ca="1" si="376"/>
        <v>1.3727919262390991E-2</v>
      </c>
      <c r="O1188">
        <f t="shared" ca="1" si="377"/>
        <v>0.37008123676245214</v>
      </c>
      <c r="P1188">
        <f t="shared" ca="1" si="378"/>
        <v>2.2872921036445542</v>
      </c>
      <c r="Q1188">
        <f t="shared" ca="1" si="379"/>
        <v>0.67818499937145738</v>
      </c>
      <c r="R1188">
        <f t="shared" ca="1" si="380"/>
        <v>1.1326509771026319</v>
      </c>
      <c r="T1188">
        <f t="shared" si="381"/>
        <v>0.98992442088731836</v>
      </c>
      <c r="U1188" s="6">
        <f t="shared" ca="1" si="382"/>
        <v>0.97033765808931427</v>
      </c>
      <c r="BJ1188" t="b">
        <f t="shared" si="365"/>
        <v>1</v>
      </c>
      <c r="BK1188" t="b">
        <f t="shared" si="366"/>
        <v>1</v>
      </c>
    </row>
    <row r="1189" spans="1:63" x14ac:dyDescent="0.45">
      <c r="A1189" s="1">
        <v>43515</v>
      </c>
      <c r="B1189">
        <v>20.376000000000001</v>
      </c>
      <c r="C1189" s="1">
        <v>43515</v>
      </c>
      <c r="D1189">
        <v>277.85000000000002</v>
      </c>
      <c r="E1189">
        <f t="shared" si="367"/>
        <v>-7.2739497108446748E-3</v>
      </c>
      <c r="F1189" s="4">
        <f t="shared" si="368"/>
        <v>1.7305404333562324E-3</v>
      </c>
      <c r="G1189">
        <f t="shared" ca="1" si="369"/>
        <v>-1.4745028189127585E-3</v>
      </c>
      <c r="H1189">
        <f t="shared" ca="1" si="370"/>
        <v>3.4807940138479952E-2</v>
      </c>
      <c r="I1189">
        <f t="shared" ca="1" si="371"/>
        <v>-0.45798846503619428</v>
      </c>
      <c r="J1189">
        <f t="shared" ca="1" si="372"/>
        <v>2.8550462772224812</v>
      </c>
      <c r="K1189">
        <f t="shared" ca="1" si="373"/>
        <v>1.0246803534163134</v>
      </c>
      <c r="L1189">
        <f t="shared" ca="1" si="374"/>
        <v>1.0818391135239562</v>
      </c>
      <c r="M1189">
        <f t="shared" ca="1" si="375"/>
        <v>-4.7742001583001069E-5</v>
      </c>
      <c r="N1189">
        <f t="shared" ca="1" si="376"/>
        <v>1.3829230209293962E-2</v>
      </c>
      <c r="O1189">
        <f t="shared" ca="1" si="377"/>
        <v>0.37439338423178509</v>
      </c>
      <c r="P1189">
        <f t="shared" ca="1" si="378"/>
        <v>2.218387368228302</v>
      </c>
      <c r="Q1189">
        <f t="shared" ca="1" si="379"/>
        <v>0.67794932802712071</v>
      </c>
      <c r="R1189">
        <f t="shared" ca="1" si="380"/>
        <v>1.1293798388356093</v>
      </c>
      <c r="T1189">
        <f t="shared" si="381"/>
        <v>0.99272605028915528</v>
      </c>
      <c r="U1189" s="6">
        <f t="shared" ca="1" si="382"/>
        <v>0.97698504027617938</v>
      </c>
      <c r="BJ1189" t="b">
        <f t="shared" si="365"/>
        <v>1</v>
      </c>
      <c r="BK1189" t="b">
        <f t="shared" si="366"/>
        <v>1</v>
      </c>
    </row>
    <row r="1190" spans="1:63" x14ac:dyDescent="0.45">
      <c r="A1190" s="1">
        <v>43511</v>
      </c>
      <c r="B1190">
        <v>20.525300000000001</v>
      </c>
      <c r="C1190" s="1">
        <v>43511</v>
      </c>
      <c r="D1190">
        <v>277.37</v>
      </c>
      <c r="E1190">
        <f t="shared" si="367"/>
        <v>1.352999560522045E-2</v>
      </c>
      <c r="F1190" s="4">
        <f t="shared" si="368"/>
        <v>1.0897295721262516E-2</v>
      </c>
      <c r="G1190">
        <f t="shared" ca="1" si="369"/>
        <v>-1.3866324114592443E-3</v>
      </c>
      <c r="H1190">
        <f t="shared" ca="1" si="370"/>
        <v>3.5067182729316006E-2</v>
      </c>
      <c r="I1190">
        <f t="shared" ca="1" si="371"/>
        <v>-0.46268947598563026</v>
      </c>
      <c r="J1190">
        <f t="shared" ca="1" si="372"/>
        <v>2.7801393061138295</v>
      </c>
      <c r="K1190">
        <f t="shared" ca="1" si="373"/>
        <v>1.0243761615486211</v>
      </c>
      <c r="L1190">
        <f t="shared" ca="1" si="374"/>
        <v>1.0388002677545791</v>
      </c>
      <c r="M1190">
        <f t="shared" ca="1" si="375"/>
        <v>-7.4685674839655423E-5</v>
      </c>
      <c r="N1190">
        <f t="shared" ca="1" si="376"/>
        <v>1.3933430710185163E-2</v>
      </c>
      <c r="O1190">
        <f t="shared" ca="1" si="377"/>
        <v>0.37781093596665838</v>
      </c>
      <c r="P1190">
        <f t="shared" ca="1" si="378"/>
        <v>2.1480856901866066</v>
      </c>
      <c r="Q1190">
        <f t="shared" ca="1" si="379"/>
        <v>0.67771427983506949</v>
      </c>
      <c r="R1190">
        <f t="shared" ca="1" si="380"/>
        <v>1.1261467156044129</v>
      </c>
      <c r="T1190">
        <f t="shared" si="381"/>
        <v>1.0135299956052204</v>
      </c>
      <c r="U1190" s="6">
        <f t="shared" ca="1" si="382"/>
        <v>1.0067985500350718</v>
      </c>
      <c r="BJ1190" t="b">
        <f t="shared" si="365"/>
        <v>1</v>
      </c>
      <c r="BK1190" t="b">
        <f t="shared" si="366"/>
        <v>1</v>
      </c>
    </row>
    <row r="1191" spans="1:63" x14ac:dyDescent="0.45">
      <c r="A1191" s="1">
        <v>43510</v>
      </c>
      <c r="B1191">
        <v>20.251300000000001</v>
      </c>
      <c r="C1191" s="1">
        <v>43510</v>
      </c>
      <c r="D1191">
        <v>274.38</v>
      </c>
      <c r="E1191">
        <f t="shared" si="367"/>
        <v>-1.4281055454691396E-2</v>
      </c>
      <c r="F1191" s="4">
        <f t="shared" si="368"/>
        <v>-2.2182624822721323E-3</v>
      </c>
      <c r="G1191">
        <f t="shared" ca="1" si="369"/>
        <v>-1.6161189963312397E-3</v>
      </c>
      <c r="H1191">
        <f t="shared" ca="1" si="370"/>
        <v>3.5290102596133709E-2</v>
      </c>
      <c r="I1191">
        <f t="shared" ca="1" si="371"/>
        <v>-0.44238102895802373</v>
      </c>
      <c r="J1191">
        <f t="shared" ca="1" si="372"/>
        <v>2.7151859053603937</v>
      </c>
      <c r="K1191">
        <f t="shared" ca="1" si="373"/>
        <v>1.0240731058203132</v>
      </c>
      <c r="L1191">
        <f t="shared" ca="1" si="374"/>
        <v>0.99911704930804779</v>
      </c>
      <c r="M1191">
        <f t="shared" ca="1" si="375"/>
        <v>-2.4348538862584252E-4</v>
      </c>
      <c r="N1191">
        <f t="shared" ca="1" si="376"/>
        <v>1.3973689280569492E-2</v>
      </c>
      <c r="O1191">
        <f t="shared" ca="1" si="377"/>
        <v>0.41017810555478801</v>
      </c>
      <c r="P1191">
        <f t="shared" ca="1" si="378"/>
        <v>2.1880597633707506</v>
      </c>
      <c r="Q1191">
        <f t="shared" ca="1" si="379"/>
        <v>0.67747985232699648</v>
      </c>
      <c r="R1191">
        <f t="shared" ca="1" si="380"/>
        <v>1.1097105451165161</v>
      </c>
      <c r="T1191">
        <f t="shared" si="381"/>
        <v>0.98571894454530862</v>
      </c>
      <c r="U1191" s="6">
        <f t="shared" ca="1" si="382"/>
        <v>0.98783456174667217</v>
      </c>
      <c r="BJ1191" t="b">
        <f t="shared" si="365"/>
        <v>1</v>
      </c>
      <c r="BK1191" t="b">
        <f t="shared" si="366"/>
        <v>1</v>
      </c>
    </row>
    <row r="1192" spans="1:63" x14ac:dyDescent="0.45">
      <c r="A1192" s="1">
        <v>43509</v>
      </c>
      <c r="B1192">
        <v>20.544699999999999</v>
      </c>
      <c r="C1192" s="1">
        <v>43509</v>
      </c>
      <c r="D1192">
        <v>274.99</v>
      </c>
      <c r="E1192">
        <f t="shared" si="367"/>
        <v>-1.1670587329763822E-2</v>
      </c>
      <c r="F1192" s="4">
        <f t="shared" si="368"/>
        <v>3.2469901495803949E-3</v>
      </c>
      <c r="G1192">
        <f t="shared" ca="1" si="369"/>
        <v>-1.4182293641693624E-3</v>
      </c>
      <c r="H1192">
        <f t="shared" ca="1" si="370"/>
        <v>3.5532712172853982E-2</v>
      </c>
      <c r="I1192">
        <f t="shared" ca="1" si="371"/>
        <v>-0.45698374055446067</v>
      </c>
      <c r="J1192">
        <f t="shared" ca="1" si="372"/>
        <v>2.6638528953300042</v>
      </c>
      <c r="K1192">
        <f t="shared" ca="1" si="373"/>
        <v>1.0237711798781302</v>
      </c>
      <c r="L1192">
        <f t="shared" ca="1" si="374"/>
        <v>0.99528484131701267</v>
      </c>
      <c r="M1192">
        <f t="shared" ca="1" si="375"/>
        <v>-2.126294965376196E-4</v>
      </c>
      <c r="N1192">
        <f t="shared" ca="1" si="376"/>
        <v>1.4081922903143727E-2</v>
      </c>
      <c r="O1192">
        <f t="shared" ca="1" si="377"/>
        <v>0.40061619660116365</v>
      </c>
      <c r="P1192">
        <f t="shared" ca="1" si="378"/>
        <v>2.1096912043498088</v>
      </c>
      <c r="Q1192">
        <f t="shared" ca="1" si="379"/>
        <v>0.67724604304761493</v>
      </c>
      <c r="R1192">
        <f t="shared" ca="1" si="380"/>
        <v>1.0827884783517177</v>
      </c>
      <c r="T1192">
        <f t="shared" si="381"/>
        <v>0.98832941267023622</v>
      </c>
      <c r="U1192" s="6">
        <f t="shared" ca="1" si="382"/>
        <v>0.97147247966710792</v>
      </c>
      <c r="BJ1192" t="b">
        <f t="shared" si="365"/>
        <v>1</v>
      </c>
      <c r="BK1192" t="b">
        <f t="shared" si="366"/>
        <v>1</v>
      </c>
    </row>
    <row r="1193" spans="1:63" x14ac:dyDescent="0.45">
      <c r="A1193" s="1">
        <v>43508</v>
      </c>
      <c r="B1193">
        <v>20.787299999999998</v>
      </c>
      <c r="C1193" s="1">
        <v>43508</v>
      </c>
      <c r="D1193">
        <v>274.10000000000002</v>
      </c>
      <c r="E1193">
        <f t="shared" si="367"/>
        <v>-3.2940161104719652E-3</v>
      </c>
      <c r="F1193" s="4">
        <f t="shared" si="368"/>
        <v>1.2859359988175369E-2</v>
      </c>
      <c r="G1193">
        <f t="shared" ca="1" si="369"/>
        <v>-1.2554935234456415E-3</v>
      </c>
      <c r="H1193">
        <f t="shared" ca="1" si="370"/>
        <v>3.5794070443945933E-2</v>
      </c>
      <c r="I1193">
        <f t="shared" ca="1" si="371"/>
        <v>-0.46818469021405151</v>
      </c>
      <c r="J1193">
        <f t="shared" ca="1" si="372"/>
        <v>2.6021478974151568</v>
      </c>
      <c r="K1193">
        <f t="shared" ca="1" si="373"/>
        <v>1.0234703774160938</v>
      </c>
      <c r="L1193">
        <f t="shared" ca="1" si="374"/>
        <v>0.99170028274780764</v>
      </c>
      <c r="M1193">
        <f t="shared" ca="1" si="375"/>
        <v>-2.6754409409504842E-4</v>
      </c>
      <c r="N1193">
        <f t="shared" ca="1" si="376"/>
        <v>1.4188123080101591E-2</v>
      </c>
      <c r="O1193">
        <f t="shared" ca="1" si="377"/>
        <v>0.40995942910632666</v>
      </c>
      <c r="P1193">
        <f t="shared" ca="1" si="378"/>
        <v>2.0484168211504619</v>
      </c>
      <c r="Q1193">
        <f t="shared" ca="1" si="379"/>
        <v>0.67701284955456964</v>
      </c>
      <c r="R1193">
        <f t="shared" ca="1" si="380"/>
        <v>1.057290265393477</v>
      </c>
      <c r="T1193">
        <f t="shared" si="381"/>
        <v>0.99670598388952802</v>
      </c>
      <c r="U1193" s="6">
        <f t="shared" ca="1" si="382"/>
        <v>0.97031269692344291</v>
      </c>
      <c r="BJ1193" t="b">
        <f t="shared" si="365"/>
        <v>1</v>
      </c>
      <c r="BK1193" t="b">
        <f t="shared" si="366"/>
        <v>1</v>
      </c>
    </row>
    <row r="1194" spans="1:63" x14ac:dyDescent="0.45">
      <c r="A1194" s="1">
        <v>43507</v>
      </c>
      <c r="B1194">
        <v>20.856000000000002</v>
      </c>
      <c r="C1194" s="1">
        <v>43507</v>
      </c>
      <c r="D1194">
        <v>270.62</v>
      </c>
      <c r="E1194">
        <f t="shared" si="367"/>
        <v>2.3019910039388448E-2</v>
      </c>
      <c r="F1194" s="4">
        <f t="shared" si="368"/>
        <v>5.5459015787324745E-4</v>
      </c>
      <c r="G1194">
        <f t="shared" ca="1" si="369"/>
        <v>-1.2226141268807005E-3</v>
      </c>
      <c r="H1194">
        <f t="shared" ca="1" si="370"/>
        <v>3.6085312641592905E-2</v>
      </c>
      <c r="I1194">
        <f t="shared" ca="1" si="371"/>
        <v>-0.46749795528430471</v>
      </c>
      <c r="J1194">
        <f t="shared" ca="1" si="372"/>
        <v>2.5181983261635801</v>
      </c>
      <c r="K1194">
        <f t="shared" ca="1" si="373"/>
        <v>1.0231706921750681</v>
      </c>
      <c r="L1194">
        <f t="shared" ca="1" si="374"/>
        <v>0.98834011915307873</v>
      </c>
      <c r="M1194">
        <f t="shared" ca="1" si="375"/>
        <v>-4.7926835348650703E-4</v>
      </c>
      <c r="N1194">
        <f t="shared" ca="1" si="376"/>
        <v>1.4203255786077198E-2</v>
      </c>
      <c r="O1194">
        <f t="shared" ca="1" si="377"/>
        <v>0.44841063769858586</v>
      </c>
      <c r="P1194">
        <f t="shared" ca="1" si="378"/>
        <v>2.1308373396130427</v>
      </c>
      <c r="Q1194">
        <f t="shared" ca="1" si="379"/>
        <v>0.67678026941835423</v>
      </c>
      <c r="R1194">
        <f t="shared" ca="1" si="380"/>
        <v>1.0053411478538898</v>
      </c>
      <c r="T1194">
        <f t="shared" si="381"/>
        <v>1.0230199100393884</v>
      </c>
      <c r="U1194" s="6">
        <f t="shared" ca="1" si="382"/>
        <v>0.99984179718399024</v>
      </c>
      <c r="BJ1194" t="b">
        <f t="shared" si="365"/>
        <v>1</v>
      </c>
      <c r="BK1194" t="b">
        <f t="shared" si="366"/>
        <v>1</v>
      </c>
    </row>
    <row r="1195" spans="1:63" x14ac:dyDescent="0.45">
      <c r="A1195" s="1">
        <v>43504</v>
      </c>
      <c r="B1195">
        <v>20.386700000000001</v>
      </c>
      <c r="C1195" s="1">
        <v>43504</v>
      </c>
      <c r="D1195">
        <v>270.47000000000003</v>
      </c>
      <c r="E1195">
        <f t="shared" si="367"/>
        <v>-5.5607857292676458E-3</v>
      </c>
      <c r="F1195" s="4">
        <f t="shared" si="368"/>
        <v>1.2215888058045492E-3</v>
      </c>
      <c r="G1195">
        <f t="shared" ca="1" si="369"/>
        <v>-1.6200325558359324E-3</v>
      </c>
      <c r="H1195">
        <f t="shared" ca="1" si="370"/>
        <v>3.624771319019348E-2</v>
      </c>
      <c r="I1195">
        <f t="shared" ca="1" si="371"/>
        <v>-0.44033287206808935</v>
      </c>
      <c r="J1195">
        <f t="shared" ca="1" si="372"/>
        <v>2.4915964370881145</v>
      </c>
      <c r="K1195">
        <f t="shared" ca="1" si="373"/>
        <v>1.0228721179423259</v>
      </c>
      <c r="L1195">
        <f t="shared" ca="1" si="374"/>
        <v>0.87782322231218768</v>
      </c>
      <c r="M1195">
        <f t="shared" ca="1" si="375"/>
        <v>-4.9621685367273185E-4</v>
      </c>
      <c r="N1195">
        <f t="shared" ca="1" si="376"/>
        <v>1.4320494977849157E-2</v>
      </c>
      <c r="O1195">
        <f t="shared" ca="1" si="377"/>
        <v>0.44868644822431558</v>
      </c>
      <c r="P1195">
        <f t="shared" ca="1" si="378"/>
        <v>2.0532662072329471</v>
      </c>
      <c r="Q1195">
        <f t="shared" ca="1" si="379"/>
        <v>0.67654830022222556</v>
      </c>
      <c r="R1195">
        <f t="shared" ca="1" si="380"/>
        <v>0.99822603150803713</v>
      </c>
      <c r="T1195">
        <f t="shared" si="381"/>
        <v>0.99443921427073234</v>
      </c>
      <c r="U1195" s="6">
        <f t="shared" ca="1" si="382"/>
        <v>0.97947054866916516</v>
      </c>
      <c r="BJ1195" t="b">
        <f t="shared" si="365"/>
        <v>1</v>
      </c>
      <c r="BK1195" t="b">
        <f t="shared" si="366"/>
        <v>1</v>
      </c>
    </row>
    <row r="1196" spans="1:63" x14ac:dyDescent="0.45">
      <c r="A1196" s="1">
        <v>43503</v>
      </c>
      <c r="B1196">
        <v>20.500699999999998</v>
      </c>
      <c r="C1196" s="1">
        <v>43503</v>
      </c>
      <c r="D1196">
        <v>270.14</v>
      </c>
      <c r="E1196">
        <f t="shared" si="367"/>
        <v>-3.0608095328163481E-2</v>
      </c>
      <c r="F1196" s="4">
        <f t="shared" si="368"/>
        <v>-9.5328884652050409E-3</v>
      </c>
      <c r="G1196">
        <f t="shared" ca="1" si="369"/>
        <v>-1.5543533362787369E-3</v>
      </c>
      <c r="H1196">
        <f t="shared" ca="1" si="370"/>
        <v>3.6549945936555993E-2</v>
      </c>
      <c r="I1196">
        <f t="shared" ca="1" si="371"/>
        <v>-0.44258096642356271</v>
      </c>
      <c r="J1196">
        <f t="shared" ca="1" si="372"/>
        <v>2.4097540286968049</v>
      </c>
      <c r="K1196">
        <f t="shared" ca="1" si="373"/>
        <v>1.0120559214321923</v>
      </c>
      <c r="L1196">
        <f t="shared" ca="1" si="374"/>
        <v>0.82433540327667754</v>
      </c>
      <c r="M1196">
        <f t="shared" ca="1" si="375"/>
        <v>-5.248469479973534E-4</v>
      </c>
      <c r="N1196">
        <f t="shared" ca="1" si="376"/>
        <v>1.4439584568073585E-2</v>
      </c>
      <c r="O1196">
        <f t="shared" ca="1" si="377"/>
        <v>0.45146991369143824</v>
      </c>
      <c r="P1196">
        <f t="shared" ca="1" si="378"/>
        <v>1.9786931736940834</v>
      </c>
      <c r="Q1196">
        <f t="shared" ca="1" si="379"/>
        <v>0.68763280239671853</v>
      </c>
      <c r="R1196">
        <f t="shared" ca="1" si="380"/>
        <v>0.94136065361577148</v>
      </c>
      <c r="T1196">
        <f t="shared" si="381"/>
        <v>0.96939190467183656</v>
      </c>
      <c r="U1196" s="6">
        <f t="shared" ca="1" si="382"/>
        <v>1.0015976157905024</v>
      </c>
      <c r="BJ1196" t="b">
        <f t="shared" si="365"/>
        <v>1</v>
      </c>
      <c r="BK1196" t="b">
        <f t="shared" si="366"/>
        <v>1</v>
      </c>
    </row>
    <row r="1197" spans="1:63" x14ac:dyDescent="0.45">
      <c r="A1197" s="1">
        <v>43502</v>
      </c>
      <c r="B1197">
        <v>21.148</v>
      </c>
      <c r="C1197" s="1">
        <v>43502</v>
      </c>
      <c r="D1197">
        <v>272.74</v>
      </c>
      <c r="E1197">
        <f t="shared" si="367"/>
        <v>-1.2850494554993928E-2</v>
      </c>
      <c r="F1197" s="4">
        <f t="shared" si="368"/>
        <v>-1.318198462101844E-3</v>
      </c>
      <c r="G1197">
        <f t="shared" ca="1" si="369"/>
        <v>-1.0619170313315377E-3</v>
      </c>
      <c r="H1197">
        <f t="shared" ca="1" si="370"/>
        <v>3.6662389656502391E-2</v>
      </c>
      <c r="I1197">
        <f t="shared" ca="1" si="371"/>
        <v>-0.47917254147169941</v>
      </c>
      <c r="J1197">
        <f t="shared" ca="1" si="372"/>
        <v>2.462407215706826</v>
      </c>
      <c r="K1197">
        <f t="shared" ca="1" si="373"/>
        <v>1.0014954631689508</v>
      </c>
      <c r="L1197">
        <f t="shared" ca="1" si="374"/>
        <v>0.99170028274780764</v>
      </c>
      <c r="M1197">
        <f t="shared" ca="1" si="375"/>
        <v>-3.7216827821417244E-4</v>
      </c>
      <c r="N1197">
        <f t="shared" ca="1" si="376"/>
        <v>1.4514602872471551E-2</v>
      </c>
      <c r="O1197">
        <f t="shared" ca="1" si="377"/>
        <v>0.4240347682698819</v>
      </c>
      <c r="P1197">
        <f t="shared" ca="1" si="378"/>
        <v>1.9435121994491236</v>
      </c>
      <c r="Q1197">
        <f t="shared" ca="1" si="379"/>
        <v>0.69861087232833974</v>
      </c>
      <c r="R1197">
        <f t="shared" ca="1" si="380"/>
        <v>1.057290265393477</v>
      </c>
      <c r="T1197">
        <f t="shared" si="381"/>
        <v>0.98714950544500613</v>
      </c>
      <c r="U1197" s="6">
        <f t="shared" ca="1" si="382"/>
        <v>1.0273649846730823</v>
      </c>
      <c r="BJ1197" t="b">
        <f t="shared" si="365"/>
        <v>1</v>
      </c>
      <c r="BK1197" t="b">
        <f t="shared" si="366"/>
        <v>1</v>
      </c>
    </row>
    <row r="1198" spans="1:63" x14ac:dyDescent="0.45">
      <c r="A1198" s="1">
        <v>43501</v>
      </c>
      <c r="B1198">
        <v>21.423300000000001</v>
      </c>
      <c r="C1198" s="1">
        <v>43501</v>
      </c>
      <c r="D1198">
        <v>273.10000000000002</v>
      </c>
      <c r="E1198">
        <f t="shared" si="367"/>
        <v>2.7038299463548635E-2</v>
      </c>
      <c r="F1198" s="4">
        <f t="shared" si="368"/>
        <v>4.1917929107223246E-3</v>
      </c>
      <c r="G1198">
        <f t="shared" ca="1" si="369"/>
        <v>-8.5866569471666895E-4</v>
      </c>
      <c r="H1198">
        <f t="shared" ca="1" si="370"/>
        <v>3.6949045208729152E-2</v>
      </c>
      <c r="I1198">
        <f t="shared" ca="1" si="371"/>
        <v>-0.49310910882802467</v>
      </c>
      <c r="J1198">
        <f t="shared" ca="1" si="372"/>
        <v>2.4039052591792438</v>
      </c>
      <c r="K1198">
        <f t="shared" ca="1" si="373"/>
        <v>0.9911817791094687</v>
      </c>
      <c r="L1198">
        <f t="shared" ca="1" si="374"/>
        <v>0.98834011915307873</v>
      </c>
      <c r="M1198">
        <f t="shared" ca="1" si="375"/>
        <v>-3.5585741297472972E-4</v>
      </c>
      <c r="N1198">
        <f t="shared" ca="1" si="376"/>
        <v>1.4640824919216007E-2</v>
      </c>
      <c r="O1198">
        <f t="shared" ca="1" si="377"/>
        <v>0.41720820663028846</v>
      </c>
      <c r="P1198">
        <f t="shared" ca="1" si="378"/>
        <v>1.8604039659504603</v>
      </c>
      <c r="Q1198">
        <f t="shared" ca="1" si="379"/>
        <v>0.70948403561982509</v>
      </c>
      <c r="R1198">
        <f t="shared" ca="1" si="380"/>
        <v>1.0331058591914037</v>
      </c>
      <c r="T1198">
        <f t="shared" si="381"/>
        <v>1.0270382994635487</v>
      </c>
      <c r="U1198" s="6">
        <f t="shared" ca="1" si="382"/>
        <v>1.0803098226487216</v>
      </c>
      <c r="BJ1198" t="b">
        <f t="shared" si="365"/>
        <v>1</v>
      </c>
      <c r="BK1198" t="b">
        <f t="shared" si="366"/>
        <v>1</v>
      </c>
    </row>
    <row r="1199" spans="1:63" x14ac:dyDescent="0.45">
      <c r="A1199" s="1">
        <v>43500</v>
      </c>
      <c r="B1199">
        <v>20.859300000000001</v>
      </c>
      <c r="C1199" s="1">
        <v>43500</v>
      </c>
      <c r="D1199">
        <v>271.95999999999998</v>
      </c>
      <c r="E1199">
        <f t="shared" si="367"/>
        <v>2.1764197174978864E-3</v>
      </c>
      <c r="F1199" s="4">
        <f t="shared" si="368"/>
        <v>7.0354735984595176E-3</v>
      </c>
      <c r="G1199">
        <f t="shared" ca="1" si="369"/>
        <v>-1.3480861360897452E-3</v>
      </c>
      <c r="H1199">
        <f t="shared" ca="1" si="370"/>
        <v>3.708733097959712E-2</v>
      </c>
      <c r="I1199">
        <f t="shared" ca="1" si="371"/>
        <v>-0.46347721112673085</v>
      </c>
      <c r="J1199">
        <f t="shared" ca="1" si="372"/>
        <v>2.3929251325810927</v>
      </c>
      <c r="K1199">
        <f t="shared" ca="1" si="373"/>
        <v>0.98110631931144177</v>
      </c>
      <c r="L1199">
        <f t="shared" ca="1" si="374"/>
        <v>0.87782322231218768</v>
      </c>
      <c r="M1199">
        <f t="shared" ca="1" si="375"/>
        <v>-4.3564075198695886E-4</v>
      </c>
      <c r="N1199">
        <f t="shared" ca="1" si="376"/>
        <v>1.4758242276877418E-2</v>
      </c>
      <c r="O1199">
        <f t="shared" ca="1" si="377"/>
        <v>0.43112939906963538</v>
      </c>
      <c r="P1199">
        <f t="shared" ca="1" si="378"/>
        <v>1.8051978026258118</v>
      </c>
      <c r="Q1199">
        <f t="shared" ca="1" si="379"/>
        <v>0.72025378885518032</v>
      </c>
      <c r="R1199">
        <f t="shared" ca="1" si="380"/>
        <v>1.0101362683185224</v>
      </c>
      <c r="T1199">
        <f t="shared" si="381"/>
        <v>1.0021764197174978</v>
      </c>
      <c r="U1199" s="6">
        <f t="shared" ca="1" si="382"/>
        <v>1.0557020451750367</v>
      </c>
      <c r="BJ1199" t="b">
        <f t="shared" si="365"/>
        <v>1</v>
      </c>
      <c r="BK1199" t="b">
        <f t="shared" si="366"/>
        <v>1</v>
      </c>
    </row>
    <row r="1200" spans="1:63" x14ac:dyDescent="0.45">
      <c r="A1200" s="1">
        <v>43497</v>
      </c>
      <c r="B1200">
        <v>20.814</v>
      </c>
      <c r="C1200" s="1">
        <v>43497</v>
      </c>
      <c r="D1200">
        <v>270.06</v>
      </c>
      <c r="E1200">
        <f t="shared" si="367"/>
        <v>1.6904436193081889E-2</v>
      </c>
      <c r="F1200" s="4">
        <f t="shared" si="368"/>
        <v>4.8160634238504592E-4</v>
      </c>
      <c r="G1200">
        <f t="shared" ca="1" si="369"/>
        <v>-1.4110237406180957E-3</v>
      </c>
      <c r="H1200">
        <f t="shared" ca="1" si="370"/>
        <v>3.7419898136293692E-2</v>
      </c>
      <c r="I1200">
        <f t="shared" ca="1" si="371"/>
        <v>-0.45451511096141789</v>
      </c>
      <c r="J1200">
        <f t="shared" ca="1" si="372"/>
        <v>2.2995933176279593</v>
      </c>
      <c r="K1200">
        <f t="shared" ca="1" si="373"/>
        <v>0.97126092429427002</v>
      </c>
      <c r="L1200">
        <f t="shared" ca="1" si="374"/>
        <v>0.82433540327667754</v>
      </c>
      <c r="M1200">
        <f t="shared" ca="1" si="375"/>
        <v>-5.6905350824493141E-4</v>
      </c>
      <c r="N1200">
        <f t="shared" ca="1" si="376"/>
        <v>1.4857080194104829E-2</v>
      </c>
      <c r="O1200">
        <f t="shared" ca="1" si="377"/>
        <v>0.45608511422830872</v>
      </c>
      <c r="P1200">
        <f t="shared" ca="1" si="378"/>
        <v>1.7844383297114081</v>
      </c>
      <c r="Q1200">
        <f t="shared" ca="1" si="379"/>
        <v>0.73092160028639175</v>
      </c>
      <c r="R1200">
        <f t="shared" ca="1" si="380"/>
        <v>0.94926069142311487</v>
      </c>
      <c r="T1200">
        <f t="shared" si="381"/>
        <v>1.0169044361930819</v>
      </c>
      <c r="U1200" s="6">
        <f t="shared" ca="1" si="382"/>
        <v>1.051068793649351</v>
      </c>
      <c r="BJ1200" t="b">
        <f t="shared" si="365"/>
        <v>1</v>
      </c>
      <c r="BK1200" t="b">
        <f t="shared" si="366"/>
        <v>1</v>
      </c>
    </row>
    <row r="1201" spans="1:63" x14ac:dyDescent="0.45">
      <c r="A1201" s="1">
        <v>43496</v>
      </c>
      <c r="B1201">
        <v>20.468</v>
      </c>
      <c r="C1201" s="1">
        <v>43496</v>
      </c>
      <c r="D1201">
        <v>269.93</v>
      </c>
      <c r="E1201">
        <f t="shared" si="367"/>
        <v>-5.6692592070810635E-3</v>
      </c>
      <c r="F1201" s="4">
        <f t="shared" si="368"/>
        <v>8.7824202107781701E-3</v>
      </c>
      <c r="G1201">
        <f t="shared" ca="1" si="369"/>
        <v>-1.7440321030490044E-3</v>
      </c>
      <c r="H1201">
        <f t="shared" ca="1" si="370"/>
        <v>3.7680952904145699E-2</v>
      </c>
      <c r="I1201">
        <f t="shared" ca="1" si="371"/>
        <v>-0.42837539800224633</v>
      </c>
      <c r="J1201">
        <f t="shared" ca="1" si="372"/>
        <v>2.2377665992568967</v>
      </c>
      <c r="K1201">
        <f t="shared" ca="1" si="373"/>
        <v>0.96163780300099344</v>
      </c>
      <c r="L1201">
        <f t="shared" ca="1" si="374"/>
        <v>0.77837597246938917</v>
      </c>
      <c r="M1201">
        <f t="shared" ca="1" si="375"/>
        <v>-5.8815641462002164E-4</v>
      </c>
      <c r="N1201">
        <f t="shared" ca="1" si="376"/>
        <v>1.4993320610015676E-2</v>
      </c>
      <c r="O1201">
        <f t="shared" ca="1" si="377"/>
        <v>0.45624711220177977</v>
      </c>
      <c r="P1201">
        <f t="shared" ca="1" si="378"/>
        <v>1.704280153815692</v>
      </c>
      <c r="Q1201">
        <f t="shared" ca="1" si="379"/>
        <v>0.74148891050069765</v>
      </c>
      <c r="R1201">
        <f t="shared" ca="1" si="380"/>
        <v>0.895983809603072</v>
      </c>
      <c r="T1201">
        <f t="shared" si="381"/>
        <v>0.99433074079291894</v>
      </c>
      <c r="U1201" s="6">
        <f t="shared" ca="1" si="382"/>
        <v>1.0532057219306372</v>
      </c>
      <c r="BJ1201" t="b">
        <f t="shared" si="365"/>
        <v>1</v>
      </c>
      <c r="BK1201" t="b">
        <f t="shared" si="366"/>
        <v>1</v>
      </c>
    </row>
    <row r="1202" spans="1:63" x14ac:dyDescent="0.45">
      <c r="A1202" s="1">
        <v>43495</v>
      </c>
      <c r="B1202">
        <v>20.584700000000002</v>
      </c>
      <c r="C1202" s="1">
        <v>43495</v>
      </c>
      <c r="D1202">
        <v>267.58</v>
      </c>
      <c r="E1202">
        <f t="shared" si="367"/>
        <v>3.8021855002597048E-2</v>
      </c>
      <c r="F1202" s="4">
        <f t="shared" si="368"/>
        <v>1.5830834060969433E-2</v>
      </c>
      <c r="G1202">
        <f t="shared" ca="1" si="369"/>
        <v>-1.6713427122335954E-3</v>
      </c>
      <c r="H1202">
        <f t="shared" ca="1" si="370"/>
        <v>3.8030879882332877E-2</v>
      </c>
      <c r="I1202">
        <f t="shared" ca="1" si="371"/>
        <v>-0.43075059577602842</v>
      </c>
      <c r="J1202">
        <f t="shared" ca="1" si="372"/>
        <v>2.1509724712255998</v>
      </c>
      <c r="K1202">
        <f t="shared" ca="1" si="373"/>
        <v>0.95222951223619068</v>
      </c>
      <c r="L1202">
        <f t="shared" ca="1" si="374"/>
        <v>0.74100576754719105</v>
      </c>
      <c r="M1202">
        <f t="shared" ca="1" si="375"/>
        <v>-7.6168561138665529E-4</v>
      </c>
      <c r="N1202">
        <f t="shared" ca="1" si="376"/>
        <v>1.5078253754097992E-2</v>
      </c>
      <c r="O1202">
        <f t="shared" ca="1" si="377"/>
        <v>0.48851638154071236</v>
      </c>
      <c r="P1202">
        <f t="shared" ca="1" si="378"/>
        <v>1.7122603889757948</v>
      </c>
      <c r="Q1202">
        <f t="shared" ca="1" si="379"/>
        <v>0.75195713306912115</v>
      </c>
      <c r="R1202">
        <f t="shared" ca="1" si="380"/>
        <v>0.82966120161620549</v>
      </c>
      <c r="T1202">
        <f t="shared" si="381"/>
        <v>1.038021855002597</v>
      </c>
      <c r="U1202" s="6">
        <f t="shared" ca="1" si="382"/>
        <v>1.0736463826169504</v>
      </c>
      <c r="BJ1202" t="b">
        <f t="shared" si="365"/>
        <v>1</v>
      </c>
      <c r="BK1202" t="b">
        <f t="shared" si="366"/>
        <v>1</v>
      </c>
    </row>
    <row r="1203" spans="1:63" x14ac:dyDescent="0.45">
      <c r="A1203" s="1">
        <v>43494</v>
      </c>
      <c r="B1203">
        <v>19.8307</v>
      </c>
      <c r="C1203" s="1">
        <v>43494</v>
      </c>
      <c r="D1203">
        <v>263.41000000000003</v>
      </c>
      <c r="E1203">
        <f t="shared" si="367"/>
        <v>3.6439644308582635E-3</v>
      </c>
      <c r="F1203" s="4">
        <f t="shared" si="368"/>
        <v>-1.3269639065816117E-3</v>
      </c>
      <c r="G1203">
        <f t="shared" ca="1" si="369"/>
        <v>-2.4202709710039847E-3</v>
      </c>
      <c r="H1203">
        <f t="shared" ca="1" si="370"/>
        <v>3.7990676336644817E-2</v>
      </c>
      <c r="I1203">
        <f t="shared" ca="1" si="371"/>
        <v>-0.40207557905216423</v>
      </c>
      <c r="J1203">
        <f t="shared" ca="1" si="372"/>
        <v>2.2222167647617677</v>
      </c>
      <c r="K1203">
        <f t="shared" ca="1" si="373"/>
        <v>0.94302893746578254</v>
      </c>
      <c r="L1203">
        <f t="shared" ca="1" si="374"/>
        <v>0.62957005217131956</v>
      </c>
      <c r="M1203">
        <f t="shared" ca="1" si="375"/>
        <v>-1.0747520202990344E-3</v>
      </c>
      <c r="N1203">
        <f t="shared" ca="1" si="376"/>
        <v>1.5044320262810957E-2</v>
      </c>
      <c r="O1203">
        <f t="shared" ca="1" si="377"/>
        <v>0.53972681652641408</v>
      </c>
      <c r="P1203">
        <f t="shared" ca="1" si="378"/>
        <v>1.8724797895496255</v>
      </c>
      <c r="Q1203">
        <f t="shared" ca="1" si="379"/>
        <v>0.76232765517682222</v>
      </c>
      <c r="R1203">
        <f t="shared" ca="1" si="380"/>
        <v>0.77667668132410972</v>
      </c>
      <c r="T1203">
        <f t="shared" si="381"/>
        <v>1.0036439644308583</v>
      </c>
      <c r="U1203" s="6">
        <f t="shared" ca="1" si="382"/>
        <v>0.99511742272179848</v>
      </c>
      <c r="BJ1203" t="b">
        <f t="shared" si="365"/>
        <v>1</v>
      </c>
      <c r="BK1203" t="b">
        <f t="shared" si="366"/>
        <v>1</v>
      </c>
    </row>
    <row r="1204" spans="1:63" x14ac:dyDescent="0.45">
      <c r="A1204" s="1">
        <v>43493</v>
      </c>
      <c r="B1204">
        <v>19.758700000000001</v>
      </c>
      <c r="C1204" s="1">
        <v>43493</v>
      </c>
      <c r="D1204">
        <v>263.76</v>
      </c>
      <c r="E1204">
        <f t="shared" si="367"/>
        <v>-2.221919233235896E-3</v>
      </c>
      <c r="F1204" s="4">
        <f t="shared" si="368"/>
        <v>-7.6002709007449093E-3</v>
      </c>
      <c r="G1204">
        <f t="shared" ca="1" si="369"/>
        <v>-2.5368908825782583E-3</v>
      </c>
      <c r="H1204">
        <f t="shared" ca="1" si="370"/>
        <v>3.8351745426755346E-2</v>
      </c>
      <c r="I1204">
        <f t="shared" ca="1" si="371"/>
        <v>-0.38938322920412199</v>
      </c>
      <c r="J1204">
        <f t="shared" ca="1" si="372"/>
        <v>2.1267112007448117</v>
      </c>
      <c r="K1204">
        <f t="shared" ca="1" si="373"/>
        <v>0.93402927487465703</v>
      </c>
      <c r="L1204">
        <f t="shared" ca="1" si="374"/>
        <v>0.63376559619515938</v>
      </c>
      <c r="M1204">
        <f t="shared" ca="1" si="375"/>
        <v>-1.0699017917166769E-3</v>
      </c>
      <c r="N1204">
        <f t="shared" ca="1" si="376"/>
        <v>1.5191055752543016E-2</v>
      </c>
      <c r="O1204">
        <f t="shared" ca="1" si="377"/>
        <v>0.53392370161956093</v>
      </c>
      <c r="P1204">
        <f t="shared" ca="1" si="378"/>
        <v>1.7821282556657594</v>
      </c>
      <c r="Q1204">
        <f t="shared" ca="1" si="379"/>
        <v>0.77260183823588546</v>
      </c>
      <c r="R1204">
        <f t="shared" ca="1" si="380"/>
        <v>0.71090675134941528</v>
      </c>
      <c r="T1204">
        <f t="shared" si="381"/>
        <v>0.99777808076676411</v>
      </c>
      <c r="U1204" s="6">
        <f t="shared" ca="1" si="382"/>
        <v>0.98054658150833474</v>
      </c>
      <c r="BJ1204" t="b">
        <f t="shared" si="365"/>
        <v>1</v>
      </c>
      <c r="BK1204" t="b">
        <f t="shared" si="366"/>
        <v>1</v>
      </c>
    </row>
    <row r="1205" spans="1:63" x14ac:dyDescent="0.45">
      <c r="A1205" s="1">
        <v>43490</v>
      </c>
      <c r="B1205">
        <v>19.802700000000002</v>
      </c>
      <c r="C1205" s="1">
        <v>43490</v>
      </c>
      <c r="D1205">
        <v>265.77999999999997</v>
      </c>
      <c r="E1205">
        <f t="shared" si="367"/>
        <v>1.8971904908922529E-2</v>
      </c>
      <c r="F1205" s="4">
        <f t="shared" si="368"/>
        <v>8.4613925251373987E-3</v>
      </c>
      <c r="G1205">
        <f t="shared" ca="1" si="369"/>
        <v>-2.5430667972712461E-3</v>
      </c>
      <c r="H1205">
        <f t="shared" ca="1" si="370"/>
        <v>3.873333811817236E-2</v>
      </c>
      <c r="I1205">
        <f t="shared" ca="1" si="371"/>
        <v>-0.38535240121882886</v>
      </c>
      <c r="J1205">
        <f t="shared" ca="1" si="372"/>
        <v>2.030713846543478</v>
      </c>
      <c r="K1205">
        <f t="shared" ca="1" si="373"/>
        <v>0.92522401458701808</v>
      </c>
      <c r="L1205">
        <f t="shared" ca="1" si="374"/>
        <v>0.63776391421577971</v>
      </c>
      <c r="M1205">
        <f t="shared" ca="1" si="375"/>
        <v>-9.4185533859847599E-4</v>
      </c>
      <c r="N1205">
        <f t="shared" ca="1" si="376"/>
        <v>1.5313846680320571E-2</v>
      </c>
      <c r="O1205">
        <f t="shared" ca="1" si="377"/>
        <v>0.507529174245265</v>
      </c>
      <c r="P1205">
        <f t="shared" ca="1" si="378"/>
        <v>1.7090029663772452</v>
      </c>
      <c r="Q1205">
        <f t="shared" ca="1" si="379"/>
        <v>0.78278101848112469</v>
      </c>
      <c r="R1205">
        <f t="shared" ca="1" si="380"/>
        <v>0.65570973871294869</v>
      </c>
      <c r="T1205">
        <f t="shared" si="381"/>
        <v>1.0189719049089225</v>
      </c>
      <c r="U1205" s="6">
        <f t="shared" ca="1" si="382"/>
        <v>0.85526043016325481</v>
      </c>
      <c r="BJ1205" t="b">
        <f t="shared" si="365"/>
        <v>1</v>
      </c>
      <c r="BK1205" t="b">
        <f t="shared" si="366"/>
        <v>1</v>
      </c>
    </row>
    <row r="1206" spans="1:63" x14ac:dyDescent="0.45">
      <c r="A1206" s="1">
        <v>43489</v>
      </c>
      <c r="B1206">
        <v>19.434000000000001</v>
      </c>
      <c r="C1206" s="1">
        <v>43489</v>
      </c>
      <c r="D1206">
        <v>263.55</v>
      </c>
      <c r="E1206">
        <f t="shared" si="367"/>
        <v>1.3628753383717582E-2</v>
      </c>
      <c r="F1206" s="4">
        <f t="shared" si="368"/>
        <v>5.3149083178309988E-4</v>
      </c>
      <c r="G1206">
        <f t="shared" ca="1" si="369"/>
        <v>-2.9733662313951217E-3</v>
      </c>
      <c r="H1206">
        <f t="shared" ca="1" si="370"/>
        <v>3.9003250048034198E-2</v>
      </c>
      <c r="I1206">
        <f t="shared" ca="1" si="371"/>
        <v>-0.354514818638347</v>
      </c>
      <c r="J1206">
        <f t="shared" ca="1" si="372"/>
        <v>1.9800643875815194</v>
      </c>
      <c r="K1206">
        <f t="shared" ca="1" si="373"/>
        <v>0.91660692496248919</v>
      </c>
      <c r="L1206">
        <f t="shared" ca="1" si="374"/>
        <v>0.57495284455852103</v>
      </c>
      <c r="M1206">
        <f t="shared" ca="1" si="375"/>
        <v>-1.129920295873194E-3</v>
      </c>
      <c r="N1206">
        <f t="shared" ca="1" si="376"/>
        <v>1.5409714346386112E-2</v>
      </c>
      <c r="O1206">
        <f t="shared" ca="1" si="377"/>
        <v>0.54200648514691729</v>
      </c>
      <c r="P1206">
        <f t="shared" ca="1" si="378"/>
        <v>1.7181706368914478</v>
      </c>
      <c r="Q1206">
        <f t="shared" ca="1" si="379"/>
        <v>0.79286650754941101</v>
      </c>
      <c r="R1206">
        <f t="shared" ca="1" si="380"/>
        <v>0.57367559008163871</v>
      </c>
      <c r="T1206">
        <f t="shared" si="381"/>
        <v>1.0136287533837176</v>
      </c>
      <c r="U1206" s="6">
        <f t="shared" ca="1" si="382"/>
        <v>0.84239271781534475</v>
      </c>
      <c r="BJ1206" t="b">
        <f t="shared" si="365"/>
        <v>1</v>
      </c>
      <c r="BK1206" t="b">
        <f t="shared" si="366"/>
        <v>1</v>
      </c>
    </row>
    <row r="1207" spans="1:63" x14ac:dyDescent="0.45">
      <c r="A1207" s="1">
        <v>43488</v>
      </c>
      <c r="B1207">
        <v>19.172699999999999</v>
      </c>
      <c r="C1207" s="1">
        <v>43488</v>
      </c>
      <c r="D1207">
        <v>263.41000000000003</v>
      </c>
      <c r="E1207">
        <f t="shared" si="367"/>
        <v>-3.7901445202729922E-2</v>
      </c>
      <c r="F1207" s="4">
        <f t="shared" si="368"/>
        <v>2.0923685612113342E-3</v>
      </c>
      <c r="G1207">
        <f t="shared" ca="1" si="369"/>
        <v>-3.3121849990504827E-3</v>
      </c>
      <c r="H1207">
        <f t="shared" ca="1" si="370"/>
        <v>3.93330243761899E-2</v>
      </c>
      <c r="I1207">
        <f t="shared" ca="1" si="371"/>
        <v>-0.32786494302211661</v>
      </c>
      <c r="J1207">
        <f t="shared" ca="1" si="372"/>
        <v>1.908256573941435</v>
      </c>
      <c r="K1207">
        <f t="shared" ca="1" si="373"/>
        <v>0.90817203788836209</v>
      </c>
      <c r="L1207">
        <f t="shared" ca="1" si="374"/>
        <v>0.57303734758103586</v>
      </c>
      <c r="M1207">
        <f t="shared" ca="1" si="375"/>
        <v>-1.1638266454171997E-3</v>
      </c>
      <c r="N1207">
        <f t="shared" ca="1" si="376"/>
        <v>1.556752020521021E-2</v>
      </c>
      <c r="O1207">
        <f t="shared" ca="1" si="377"/>
        <v>0.54388457088862452</v>
      </c>
      <c r="P1207">
        <f t="shared" ca="1" si="378"/>
        <v>1.633480451612813</v>
      </c>
      <c r="Q1207">
        <f t="shared" ca="1" si="379"/>
        <v>0.80285959304310228</v>
      </c>
      <c r="R1207">
        <f t="shared" ca="1" si="380"/>
        <v>0.56154877768410805</v>
      </c>
      <c r="T1207">
        <f t="shared" si="381"/>
        <v>0.96209855479727002</v>
      </c>
      <c r="U1207" s="6">
        <f t="shared" ca="1" si="382"/>
        <v>0.83497517637836405</v>
      </c>
      <c r="BJ1207" t="b">
        <f t="shared" si="365"/>
        <v>1</v>
      </c>
      <c r="BK1207" t="b">
        <f t="shared" si="366"/>
        <v>1</v>
      </c>
    </row>
    <row r="1208" spans="1:63" x14ac:dyDescent="0.45">
      <c r="A1208" s="1">
        <v>43487</v>
      </c>
      <c r="B1208">
        <v>19.928000000000001</v>
      </c>
      <c r="C1208" s="1">
        <v>43487</v>
      </c>
      <c r="D1208">
        <v>262.86</v>
      </c>
      <c r="E1208">
        <f t="shared" si="367"/>
        <v>-1.105172525023943E-2</v>
      </c>
      <c r="F1208" s="4">
        <f t="shared" si="368"/>
        <v>-1.3510470614726286E-2</v>
      </c>
      <c r="G1208">
        <f t="shared" ca="1" si="369"/>
        <v>-2.5915754114738281E-3</v>
      </c>
      <c r="H1208">
        <f t="shared" ca="1" si="370"/>
        <v>3.9421029176244682E-2</v>
      </c>
      <c r="I1208">
        <f t="shared" ca="1" si="371"/>
        <v>-0.37513097591361938</v>
      </c>
      <c r="J1208">
        <f t="shared" ca="1" si="372"/>
        <v>1.9931073120733362</v>
      </c>
      <c r="K1208">
        <f t="shared" ca="1" si="373"/>
        <v>0.89991363499504284</v>
      </c>
      <c r="L1208">
        <f t="shared" ca="1" si="374"/>
        <v>0.634221545802367</v>
      </c>
      <c r="M1208">
        <f t="shared" ca="1" si="375"/>
        <v>-1.2316640455552941E-3</v>
      </c>
      <c r="N1208">
        <f t="shared" ca="1" si="376"/>
        <v>1.5724939669242127E-2</v>
      </c>
      <c r="O1208">
        <f t="shared" ca="1" si="377"/>
        <v>0.5527271672400621</v>
      </c>
      <c r="P1208">
        <f t="shared" ca="1" si="378"/>
        <v>1.5601001861603123</v>
      </c>
      <c r="Q1208">
        <f t="shared" ca="1" si="379"/>
        <v>0.8127615390780405</v>
      </c>
      <c r="R1208">
        <f t="shared" ca="1" si="380"/>
        <v>0.54835635288038675</v>
      </c>
      <c r="T1208">
        <f t="shared" si="381"/>
        <v>0.98894827474976055</v>
      </c>
      <c r="U1208" s="6">
        <f t="shared" ca="1" si="382"/>
        <v>0.89390085810535036</v>
      </c>
      <c r="BJ1208" t="b">
        <f t="shared" si="365"/>
        <v>1</v>
      </c>
      <c r="BK1208" t="b">
        <f t="shared" si="366"/>
        <v>1</v>
      </c>
    </row>
    <row r="1209" spans="1:63" x14ac:dyDescent="0.45">
      <c r="A1209" s="1">
        <v>43483</v>
      </c>
      <c r="B1209">
        <v>20.150700000000001</v>
      </c>
      <c r="C1209" s="1">
        <v>43483</v>
      </c>
      <c r="D1209">
        <v>266.45999999999998</v>
      </c>
      <c r="E1209">
        <f t="shared" si="367"/>
        <v>-0.12970976937030315</v>
      </c>
      <c r="F1209" s="4">
        <f t="shared" si="368"/>
        <v>1.3310009126863403E-2</v>
      </c>
      <c r="G1209">
        <f t="shared" ca="1" si="369"/>
        <v>-2.4115722234149856E-3</v>
      </c>
      <c r="H1209">
        <f t="shared" ca="1" si="370"/>
        <v>3.9827270385497146E-2</v>
      </c>
      <c r="I1209">
        <f t="shared" ca="1" si="371"/>
        <v>-0.38596459871808864</v>
      </c>
      <c r="J1209">
        <f t="shared" ca="1" si="372"/>
        <v>1.9097637117450201</v>
      </c>
      <c r="K1209">
        <f t="shared" ca="1" si="373"/>
        <v>0.89182623472778644</v>
      </c>
      <c r="L1209">
        <f t="shared" ca="1" si="374"/>
        <v>0.638654379947865</v>
      </c>
      <c r="M1209">
        <f t="shared" ca="1" si="375"/>
        <v>-9.7041284195591171E-4</v>
      </c>
      <c r="N1209">
        <f t="shared" ca="1" si="376"/>
        <v>1.5789297595346613E-2</v>
      </c>
      <c r="O1209">
        <f t="shared" ca="1" si="377"/>
        <v>0.51721104114861571</v>
      </c>
      <c r="P1209">
        <f t="shared" ca="1" si="378"/>
        <v>1.5452091879341916</v>
      </c>
      <c r="Q1209">
        <f t="shared" ca="1" si="379"/>
        <v>0.82257358681662218</v>
      </c>
      <c r="R1209">
        <f t="shared" ca="1" si="380"/>
        <v>0.6168816372529613</v>
      </c>
      <c r="T1209">
        <f t="shared" si="381"/>
        <v>0.8702902306296969</v>
      </c>
      <c r="U1209" s="6">
        <f t="shared" ca="1" si="382"/>
        <v>0.87041428552916345</v>
      </c>
      <c r="BJ1209" t="b">
        <f t="shared" si="365"/>
        <v>1</v>
      </c>
      <c r="BK1209" t="b">
        <f t="shared" si="366"/>
        <v>1</v>
      </c>
    </row>
    <row r="1210" spans="1:63" x14ac:dyDescent="0.45">
      <c r="A1210" s="1">
        <v>43482</v>
      </c>
      <c r="B1210">
        <v>23.154</v>
      </c>
      <c r="C1210" s="1">
        <v>43482</v>
      </c>
      <c r="D1210">
        <v>262.95999999999998</v>
      </c>
      <c r="E1210">
        <f t="shared" si="367"/>
        <v>3.6410923276982933E-3</v>
      </c>
      <c r="F1210" s="4">
        <f t="shared" si="368"/>
        <v>7.5867882596366053E-3</v>
      </c>
      <c r="G1210">
        <f t="shared" ca="1" si="369"/>
        <v>3.5577988847388834E-4</v>
      </c>
      <c r="H1210">
        <f t="shared" ca="1" si="370"/>
        <v>3.5405152644769677E-2</v>
      </c>
      <c r="I1210">
        <f t="shared" ca="1" si="371"/>
        <v>0.27203199974695347</v>
      </c>
      <c r="J1210">
        <f t="shared" ca="1" si="372"/>
        <v>0.80855277994330654</v>
      </c>
      <c r="K1210">
        <f t="shared" ca="1" si="373"/>
        <v>1.0542138023853538</v>
      </c>
      <c r="L1210">
        <f t="shared" ca="1" si="374"/>
        <v>0.74251303580854977</v>
      </c>
      <c r="M1210">
        <f t="shared" ca="1" si="375"/>
        <v>-1.2808567977998096E-3</v>
      </c>
      <c r="N1210">
        <f t="shared" ca="1" si="376"/>
        <v>1.5818080043073484E-2</v>
      </c>
      <c r="O1210">
        <f t="shared" ca="1" si="377"/>
        <v>0.57079991638067418</v>
      </c>
      <c r="P1210">
        <f t="shared" ca="1" si="378"/>
        <v>1.6541971696669502</v>
      </c>
      <c r="Q1210">
        <f t="shared" ca="1" si="379"/>
        <v>0.83229695498643463</v>
      </c>
      <c r="R1210">
        <f t="shared" ca="1" si="380"/>
        <v>0.52757133485090879</v>
      </c>
      <c r="T1210">
        <f t="shared" si="381"/>
        <v>1.0036410923276984</v>
      </c>
      <c r="U1210" s="6">
        <f t="shared" ca="1" si="382"/>
        <v>1.0067831985390037</v>
      </c>
      <c r="BJ1210" t="b">
        <f t="shared" si="365"/>
        <v>1</v>
      </c>
      <c r="BK1210" t="b">
        <f t="shared" si="366"/>
        <v>1</v>
      </c>
    </row>
    <row r="1211" spans="1:63" x14ac:dyDescent="0.45">
      <c r="A1211" s="1">
        <v>43481</v>
      </c>
      <c r="B1211">
        <v>23.07</v>
      </c>
      <c r="C1211" s="1">
        <v>43481</v>
      </c>
      <c r="D1211">
        <v>260.98</v>
      </c>
      <c r="E1211">
        <f t="shared" si="367"/>
        <v>4.7034230467729527E-3</v>
      </c>
      <c r="F1211" s="4">
        <f t="shared" si="368"/>
        <v>2.4198194737852716E-3</v>
      </c>
      <c r="G1211">
        <f t="shared" ca="1" si="369"/>
        <v>2.8277294538001199E-4</v>
      </c>
      <c r="H1211">
        <f t="shared" ca="1" si="370"/>
        <v>3.5801721769329505E-2</v>
      </c>
      <c r="I1211">
        <f t="shared" ca="1" si="371"/>
        <v>0.27572722003357902</v>
      </c>
      <c r="J1211">
        <f t="shared" ca="1" si="372"/>
        <v>0.73009397152157485</v>
      </c>
      <c r="K1211">
        <f t="shared" ca="1" si="373"/>
        <v>1.0536939034034689</v>
      </c>
      <c r="L1211">
        <f t="shared" ca="1" si="374"/>
        <v>0.71074482687055851</v>
      </c>
      <c r="M1211">
        <f t="shared" ca="1" si="375"/>
        <v>-1.4779155768539522E-3</v>
      </c>
      <c r="N1211">
        <f t="shared" ca="1" si="376"/>
        <v>1.5939617563448489E-2</v>
      </c>
      <c r="O1211">
        <f t="shared" ca="1" si="377"/>
        <v>0.60581778320153001</v>
      </c>
      <c r="P1211">
        <f t="shared" ca="1" si="378"/>
        <v>1.6536131727590484</v>
      </c>
      <c r="Q1211">
        <f t="shared" ca="1" si="379"/>
        <v>0.84193284038486582</v>
      </c>
      <c r="R1211">
        <f t="shared" ca="1" si="380"/>
        <v>0.40701522524859185</v>
      </c>
      <c r="T1211">
        <f t="shared" si="381"/>
        <v>1.0047034230467728</v>
      </c>
      <c r="U1211" s="6">
        <f t="shared" ca="1" si="382"/>
        <v>1.0222121788140215</v>
      </c>
      <c r="BJ1211" t="b">
        <f t="shared" si="365"/>
        <v>1</v>
      </c>
      <c r="BK1211" t="b">
        <f t="shared" si="366"/>
        <v>1</v>
      </c>
    </row>
    <row r="1212" spans="1:63" x14ac:dyDescent="0.45">
      <c r="A1212" s="1">
        <v>43480</v>
      </c>
      <c r="B1212">
        <v>22.962</v>
      </c>
      <c r="C1212" s="1">
        <v>43480</v>
      </c>
      <c r="D1212">
        <v>260.35000000000002</v>
      </c>
      <c r="E1212">
        <f t="shared" si="367"/>
        <v>2.9995559203886423E-2</v>
      </c>
      <c r="F1212" s="4">
        <f t="shared" si="368"/>
        <v>1.1460761460761639E-2</v>
      </c>
      <c r="G1212">
        <f t="shared" ca="1" si="369"/>
        <v>1.8230362489380899E-4</v>
      </c>
      <c r="H1212">
        <f t="shared" ca="1" si="370"/>
        <v>3.6209210605674683E-2</v>
      </c>
      <c r="I1212">
        <f t="shared" ca="1" si="371"/>
        <v>0.28168564211382452</v>
      </c>
      <c r="J1212">
        <f t="shared" ca="1" si="372"/>
        <v>0.65348780334149259</v>
      </c>
      <c r="K1212">
        <f t="shared" ca="1" si="373"/>
        <v>1.05317594259533</v>
      </c>
      <c r="L1212">
        <f t="shared" ca="1" si="374"/>
        <v>0.70320843983440762</v>
      </c>
      <c r="M1212">
        <f t="shared" ca="1" si="375"/>
        <v>-1.5665004643684803E-3</v>
      </c>
      <c r="N1212">
        <f t="shared" ca="1" si="376"/>
        <v>1.6112687717772616E-2</v>
      </c>
      <c r="O1212">
        <f t="shared" ca="1" si="377"/>
        <v>0.6177139588264503</v>
      </c>
      <c r="P1212">
        <f t="shared" ca="1" si="378"/>
        <v>1.5806813569163505</v>
      </c>
      <c r="Q1212">
        <f t="shared" ca="1" si="379"/>
        <v>0.85148241837018313</v>
      </c>
      <c r="R1212">
        <f t="shared" ca="1" si="380"/>
        <v>0.42420224266282613</v>
      </c>
      <c r="T1212">
        <f t="shared" si="381"/>
        <v>1.0299955592038865</v>
      </c>
      <c r="U1212" s="6">
        <f t="shared" ca="1" si="382"/>
        <v>1.0270746577088747</v>
      </c>
      <c r="BJ1212" t="b">
        <f t="shared" si="365"/>
        <v>1</v>
      </c>
      <c r="BK1212" t="b">
        <f t="shared" si="366"/>
        <v>1</v>
      </c>
    </row>
    <row r="1213" spans="1:63" x14ac:dyDescent="0.45">
      <c r="A1213" s="1">
        <v>43479</v>
      </c>
      <c r="B1213">
        <v>22.293299999999999</v>
      </c>
      <c r="C1213" s="1">
        <v>43479</v>
      </c>
      <c r="D1213">
        <v>257.39999999999998</v>
      </c>
      <c r="E1213">
        <f t="shared" si="367"/>
        <v>-3.703559719576522E-2</v>
      </c>
      <c r="F1213" s="4">
        <f t="shared" si="368"/>
        <v>-6.1008572090510494E-3</v>
      </c>
      <c r="G1213">
        <f t="shared" ca="1" si="369"/>
        <v>-5.1102790019904264E-4</v>
      </c>
      <c r="H1213">
        <f t="shared" ca="1" si="370"/>
        <v>3.6341009704807255E-2</v>
      </c>
      <c r="I1213">
        <f t="shared" ca="1" si="371"/>
        <v>0.33183010942087637</v>
      </c>
      <c r="J1213">
        <f t="shared" ca="1" si="372"/>
        <v>0.70885884273520228</v>
      </c>
      <c r="K1213">
        <f t="shared" ca="1" si="373"/>
        <v>1.0526599091428874</v>
      </c>
      <c r="L1213">
        <f t="shared" ca="1" si="374"/>
        <v>0.638654379947865</v>
      </c>
      <c r="M1213">
        <f t="shared" ca="1" si="375"/>
        <v>-1.8694600440226691E-3</v>
      </c>
      <c r="N1213">
        <f t="shared" ca="1" si="376"/>
        <v>1.6176075844862293E-2</v>
      </c>
      <c r="O1213">
        <f t="shared" ca="1" si="377"/>
        <v>0.67160030130212278</v>
      </c>
      <c r="P1213">
        <f t="shared" ca="1" si="378"/>
        <v>1.6703240008991957</v>
      </c>
      <c r="Q1213">
        <f t="shared" ca="1" si="379"/>
        <v>0.86094684333944849</v>
      </c>
      <c r="R1213">
        <f t="shared" ca="1" si="380"/>
        <v>0.35614187775419015</v>
      </c>
      <c r="T1213">
        <f t="shared" si="381"/>
        <v>0.96296440280423479</v>
      </c>
      <c r="U1213" s="6">
        <f t="shared" ca="1" si="382"/>
        <v>0.99832517565503998</v>
      </c>
      <c r="BJ1213" t="b">
        <f t="shared" si="365"/>
        <v>1</v>
      </c>
      <c r="BK1213" t="b">
        <f t="shared" si="366"/>
        <v>1</v>
      </c>
    </row>
    <row r="1214" spans="1:63" x14ac:dyDescent="0.45">
      <c r="A1214" s="1">
        <v>43476</v>
      </c>
      <c r="B1214">
        <v>23.150700000000001</v>
      </c>
      <c r="C1214" s="1">
        <v>43476</v>
      </c>
      <c r="D1214">
        <v>258.98</v>
      </c>
      <c r="E1214">
        <f t="shared" si="367"/>
        <v>6.6397078006782927E-3</v>
      </c>
      <c r="F1214" s="4">
        <f t="shared" si="368"/>
        <v>3.8627935723123738E-4</v>
      </c>
      <c r="G1214">
        <f t="shared" ca="1" si="369"/>
        <v>3.5860470207634243E-4</v>
      </c>
      <c r="H1214">
        <f t="shared" ca="1" si="370"/>
        <v>3.6325859333449333E-2</v>
      </c>
      <c r="I1214">
        <f t="shared" ca="1" si="371"/>
        <v>0.29135208116632505</v>
      </c>
      <c r="J1214">
        <f t="shared" ca="1" si="372"/>
        <v>0.75623693028587535</v>
      </c>
      <c r="K1214">
        <f t="shared" ca="1" si="373"/>
        <v>1.0521457923084518</v>
      </c>
      <c r="L1214">
        <f t="shared" ca="1" si="374"/>
        <v>0.74251303580854977</v>
      </c>
      <c r="M1214">
        <f t="shared" ca="1" si="375"/>
        <v>-1.7687124924743744E-3</v>
      </c>
      <c r="N1214">
        <f t="shared" ca="1" si="376"/>
        <v>1.6358496728712171E-2</v>
      </c>
      <c r="O1214">
        <f t="shared" ca="1" si="377"/>
        <v>0.6470370539248943</v>
      </c>
      <c r="P1214">
        <f t="shared" ca="1" si="378"/>
        <v>1.5626565169025288</v>
      </c>
      <c r="Q1214">
        <f t="shared" ca="1" si="379"/>
        <v>0.87032724919373072</v>
      </c>
      <c r="R1214">
        <f t="shared" ca="1" si="380"/>
        <v>0.3654844420612125</v>
      </c>
      <c r="T1214">
        <f t="shared" si="381"/>
        <v>1.0066397078006784</v>
      </c>
      <c r="U1214" s="6">
        <f t="shared" ca="1" si="382"/>
        <v>1.0930814521726404</v>
      </c>
      <c r="BJ1214" t="b">
        <f t="shared" si="365"/>
        <v>1</v>
      </c>
      <c r="BK1214" t="b">
        <f t="shared" si="366"/>
        <v>1</v>
      </c>
    </row>
    <row r="1215" spans="1:63" x14ac:dyDescent="0.45">
      <c r="A1215" s="1">
        <v>43475</v>
      </c>
      <c r="B1215">
        <v>22.998000000000001</v>
      </c>
      <c r="C1215" s="1">
        <v>43475</v>
      </c>
      <c r="D1215">
        <v>258.88</v>
      </c>
      <c r="E1215">
        <f t="shared" si="367"/>
        <v>1.9021919738398816E-2</v>
      </c>
      <c r="F1215" s="4">
        <f t="shared" si="368"/>
        <v>3.5275419622435478E-3</v>
      </c>
      <c r="G1215">
        <f t="shared" ca="1" si="369"/>
        <v>2.0540706552507561E-4</v>
      </c>
      <c r="H1215">
        <f t="shared" ca="1" si="370"/>
        <v>3.6763390690526143E-2</v>
      </c>
      <c r="I1215">
        <f t="shared" ca="1" si="371"/>
        <v>0.30146307349326323</v>
      </c>
      <c r="J1215">
        <f t="shared" ca="1" si="372"/>
        <v>0.67831194462271371</v>
      </c>
      <c r="K1215">
        <f t="shared" ca="1" si="373"/>
        <v>1.0516335814339488</v>
      </c>
      <c r="L1215">
        <f t="shared" ca="1" si="374"/>
        <v>0.71074482687055851</v>
      </c>
      <c r="M1215">
        <f t="shared" ca="1" si="375"/>
        <v>-1.8212732692964625E-3</v>
      </c>
      <c r="N1215">
        <f t="shared" ca="1" si="376"/>
        <v>1.6558124717368203E-2</v>
      </c>
      <c r="O1215">
        <f t="shared" ca="1" si="377"/>
        <v>0.65024779820040846</v>
      </c>
      <c r="P1215">
        <f t="shared" ca="1" si="378"/>
        <v>1.469823110367392</v>
      </c>
      <c r="Q1215">
        <f t="shared" ca="1" si="379"/>
        <v>0.87962474979096572</v>
      </c>
      <c r="R1215">
        <f t="shared" ca="1" si="380"/>
        <v>0.37445329562897917</v>
      </c>
      <c r="T1215">
        <f t="shared" si="381"/>
        <v>1.0190219197383987</v>
      </c>
      <c r="U1215" s="6">
        <f t="shared" ca="1" si="382"/>
        <v>1.1485217738713545</v>
      </c>
      <c r="BJ1215" t="b">
        <f t="shared" si="365"/>
        <v>1</v>
      </c>
      <c r="BK1215" t="b">
        <f t="shared" si="366"/>
        <v>1</v>
      </c>
    </row>
    <row r="1216" spans="1:63" x14ac:dyDescent="0.45">
      <c r="A1216" s="1">
        <v>43474</v>
      </c>
      <c r="B1216">
        <v>22.5687</v>
      </c>
      <c r="C1216" s="1">
        <v>43474</v>
      </c>
      <c r="D1216">
        <v>257.97000000000003</v>
      </c>
      <c r="E1216">
        <f t="shared" si="367"/>
        <v>9.4826159495810993E-3</v>
      </c>
      <c r="F1216" s="4">
        <f t="shared" si="368"/>
        <v>4.6734431592477532E-3</v>
      </c>
      <c r="G1216">
        <f t="shared" ca="1" si="369"/>
        <v>-2.6500575129676749E-4</v>
      </c>
      <c r="H1216">
        <f t="shared" ca="1" si="370"/>
        <v>3.710655589483116E-2</v>
      </c>
      <c r="I1216">
        <f t="shared" ca="1" si="371"/>
        <v>0.33759611048283933</v>
      </c>
      <c r="J1216">
        <f t="shared" ca="1" si="372"/>
        <v>0.6564831876544992</v>
      </c>
      <c r="K1216">
        <f t="shared" ca="1" si="373"/>
        <v>1.0428426529739878</v>
      </c>
      <c r="L1216">
        <f t="shared" ca="1" si="374"/>
        <v>0.64379276452671774</v>
      </c>
      <c r="M1216">
        <f t="shared" ca="1" si="375"/>
        <v>-1.9549936500849628E-3</v>
      </c>
      <c r="N1216">
        <f t="shared" ca="1" si="376"/>
        <v>1.6746629738429584E-2</v>
      </c>
      <c r="O1216">
        <f t="shared" ca="1" si="377"/>
        <v>0.66981636835514879</v>
      </c>
      <c r="P1216">
        <f t="shared" ca="1" si="378"/>
        <v>1.4110163955143213</v>
      </c>
      <c r="Q1216">
        <f t="shared" ca="1" si="379"/>
        <v>0.899200973053637</v>
      </c>
      <c r="R1216">
        <f t="shared" ca="1" si="380"/>
        <v>0.39488920372824787</v>
      </c>
      <c r="T1216">
        <f t="shared" si="381"/>
        <v>1.0094826159495811</v>
      </c>
      <c r="U1216" s="6">
        <f t="shared" ca="1" si="382"/>
        <v>1.0916095517710052</v>
      </c>
      <c r="BJ1216" t="b">
        <f t="shared" si="365"/>
        <v>1</v>
      </c>
      <c r="BK1216" t="b">
        <f t="shared" si="366"/>
        <v>1</v>
      </c>
    </row>
    <row r="1217" spans="1:63" x14ac:dyDescent="0.45">
      <c r="A1217" s="1">
        <v>43473</v>
      </c>
      <c r="B1217">
        <v>22.3567</v>
      </c>
      <c r="C1217" s="1">
        <v>43473</v>
      </c>
      <c r="D1217">
        <v>256.77</v>
      </c>
      <c r="E1217">
        <f t="shared" si="367"/>
        <v>1.16431638954443E-3</v>
      </c>
      <c r="F1217" s="4">
        <f t="shared" si="368"/>
        <v>9.3953927195533707E-3</v>
      </c>
      <c r="G1217">
        <f t="shared" ca="1" si="369"/>
        <v>-5.1494476926799515E-4</v>
      </c>
      <c r="H1217">
        <f t="shared" ca="1" si="370"/>
        <v>3.7557503519989897E-2</v>
      </c>
      <c r="I1217">
        <f t="shared" ca="1" si="371"/>
        <v>0.35515965746046868</v>
      </c>
      <c r="J1217">
        <f t="shared" ca="1" si="372"/>
        <v>0.58896113772684755</v>
      </c>
      <c r="K1217">
        <f t="shared" ca="1" si="373"/>
        <v>1.0342595773050527</v>
      </c>
      <c r="L1217">
        <f t="shared" ca="1" si="374"/>
        <v>0.6573468892813531</v>
      </c>
      <c r="M1217">
        <f t="shared" ca="1" si="375"/>
        <v>-2.1249535682729814E-3</v>
      </c>
      <c r="N1217">
        <f t="shared" ca="1" si="376"/>
        <v>1.6930564041598168E-2</v>
      </c>
      <c r="O1217">
        <f t="shared" ca="1" si="377"/>
        <v>0.69625980761458772</v>
      </c>
      <c r="P1217">
        <f t="shared" ca="1" si="378"/>
        <v>1.3705918793071108</v>
      </c>
      <c r="Q1217">
        <f t="shared" ca="1" si="379"/>
        <v>0.91875877015776197</v>
      </c>
      <c r="R1217">
        <f t="shared" ca="1" si="380"/>
        <v>0.41493322022331891</v>
      </c>
      <c r="T1217">
        <f t="shared" si="381"/>
        <v>1.0011643163895445</v>
      </c>
      <c r="U1217" s="6">
        <f t="shared" ca="1" si="382"/>
        <v>1.0076622481035939</v>
      </c>
      <c r="BJ1217" t="b">
        <f t="shared" si="365"/>
        <v>1</v>
      </c>
      <c r="BK1217" t="b">
        <f t="shared" si="366"/>
        <v>1</v>
      </c>
    </row>
    <row r="1218" spans="1:63" x14ac:dyDescent="0.45">
      <c r="A1218" s="1">
        <v>43472</v>
      </c>
      <c r="B1218">
        <v>22.3307</v>
      </c>
      <c r="C1218" s="1">
        <v>43472</v>
      </c>
      <c r="D1218">
        <v>254.38</v>
      </c>
      <c r="E1218">
        <f t="shared" si="367"/>
        <v>5.4364402978379779E-2</v>
      </c>
      <c r="F1218" s="4">
        <f t="shared" si="368"/>
        <v>7.8846230040810223E-3</v>
      </c>
      <c r="G1218">
        <f t="shared" ca="1" si="369"/>
        <v>-5.5913585239463837E-4</v>
      </c>
      <c r="H1218">
        <f t="shared" ca="1" si="370"/>
        <v>3.806062608965273E-2</v>
      </c>
      <c r="I1218">
        <f t="shared" ca="1" si="371"/>
        <v>0.35465727402410091</v>
      </c>
      <c r="J1218">
        <f t="shared" ca="1" si="372"/>
        <v>0.49886552732289369</v>
      </c>
      <c r="K1218">
        <f t="shared" ca="1" si="373"/>
        <v>1.0258770688474259</v>
      </c>
      <c r="L1218">
        <f t="shared" ca="1" si="374"/>
        <v>0.67027848769690679</v>
      </c>
      <c r="M1218">
        <f t="shared" ca="1" si="375"/>
        <v>-2.4281205758473596E-3</v>
      </c>
      <c r="N1218">
        <f t="shared" ca="1" si="376"/>
        <v>1.70502127953997E-2</v>
      </c>
      <c r="O1218">
        <f t="shared" ca="1" si="377"/>
        <v>0.74863832732112912</v>
      </c>
      <c r="P1218">
        <f t="shared" ca="1" si="378"/>
        <v>1.4266457689320919</v>
      </c>
      <c r="Q1218">
        <f t="shared" ca="1" si="379"/>
        <v>0.9382981671065842</v>
      </c>
      <c r="R1218">
        <f t="shared" ca="1" si="380"/>
        <v>0.34796957626781827</v>
      </c>
      <c r="T1218">
        <f t="shared" si="381"/>
        <v>1.0543644029783799</v>
      </c>
      <c r="U1218" s="6">
        <f t="shared" ca="1" si="382"/>
        <v>1.0032662413514244</v>
      </c>
      <c r="BJ1218" t="b">
        <f t="shared" ref="BJ1218:BJ1285" si="383">ABS(W1218-1)&gt;$S$21</f>
        <v>1</v>
      </c>
      <c r="BK1218" t="b">
        <f t="shared" ref="BK1218:BK1281" si="384">AND(X1218,BJ1218)</f>
        <v>1</v>
      </c>
    </row>
    <row r="1219" spans="1:63" x14ac:dyDescent="0.45">
      <c r="A1219" s="1">
        <v>43469</v>
      </c>
      <c r="B1219">
        <v>21.179300000000001</v>
      </c>
      <c r="C1219" s="1">
        <v>43469</v>
      </c>
      <c r="D1219">
        <v>252.39</v>
      </c>
      <c r="E1219">
        <f t="shared" ref="E1219:E1255" si="385">(B1219-B1220)/B1220</f>
        <v>5.7695765081901738E-2</v>
      </c>
      <c r="F1219" s="4">
        <f t="shared" ref="F1219:F1255" si="386">(D1219-D1220)/D1220</f>
        <v>3.3495761844314229E-2</v>
      </c>
      <c r="G1219">
        <f t="shared" ref="G1219:G1255" ca="1" si="387">AVERAGE(OFFSET(E1219,0,0,$S$3,1))*$AK$25</f>
        <v>-2.0435558207939479E-3</v>
      </c>
      <c r="H1219">
        <f t="shared" ref="H1219:H1255" ca="1" si="388">STDEV(OFFSET(E1219,0,0,$S$3,1))*$AJ$25</f>
        <v>3.7453857479338624E-2</v>
      </c>
      <c r="I1219">
        <f t="shared" ref="I1219:I1255" ca="1" si="389">SKEW(OFFSET(E1219,0,0,$S$3,1))*$AI$25</f>
        <v>0.41624875196573052</v>
      </c>
      <c r="J1219">
        <f t="shared" ref="J1219:J1255" ca="1" si="390">KURT(OFFSET(E1219,0,0,$S$3,1))*$AH$25</f>
        <v>0.7815104374945534</v>
      </c>
      <c r="K1219">
        <f t="shared" ref="K1219:K1255" ca="1" si="391">PERCENTILE(OFFSET(E1219,0,0,$S$3,1), 0.95)/ABS(PERCENTILE(OFFSET(E1219,0,0,$S$3,1), 0.05))*$AG$25</f>
        <v>1.0176881785843206</v>
      </c>
      <c r="L1219">
        <f t="shared" ref="L1219:L1255" ca="1" si="392">PERCENTILE(OFFSET(E1219,0,0,$S$3,1), 0.75)/ABS(PERCENTILE(OFFSET(E1219,0,0,$S$3,1), 0.25))*$AF$25</f>
        <v>0.57303734758103586</v>
      </c>
      <c r="M1219">
        <f t="shared" ref="M1219:M1255" ca="1" si="393">AVERAGE(OFFSET(F1219,0,0,$S$3,1))*$AE$25</f>
        <v>-2.7068433753048835E-3</v>
      </c>
      <c r="N1219">
        <f t="shared" ref="N1219:N1255" ca="1" si="394">STDEV(OFFSET(F1219,0,0,$S$3,1))*$AD$25</f>
        <v>1.7197410907140442E-2</v>
      </c>
      <c r="O1219">
        <f t="shared" ref="O1219:O1255" ca="1" si="395">SKEW(OFFSET(F1219,0,0,$S$3,1))*$AC$25</f>
        <v>0.79604499056137434</v>
      </c>
      <c r="P1219">
        <f t="shared" ref="P1219:P1255" ca="1" si="396">KURT(OFFSET(F1219,0,0,$S$3,1))*$AB$25</f>
        <v>1.458949479274926</v>
      </c>
      <c r="Q1219">
        <f t="shared" ref="Q1219:Q1255" ca="1" si="397">PERCENTILE(OFFSET(F1219,0,0,$S$3,1), 0.95)/ABS(PERCENTILE(OFFSET(F1219,0,0,$S$3,1), 0.05))*$AA$25</f>
        <v>0.95781918985445003</v>
      </c>
      <c r="R1219">
        <f t="shared" ref="R1219:R1255" ca="1" si="398">PERCENTILE(OFFSET(F1219,0,0,$S$3,1), 0.75)/ABS(PERCENTILE(OFFSET(F1219,0,0,$S$3,1), 0.25))*$Z$25</f>
        <v>0.29769758804711571</v>
      </c>
      <c r="T1219">
        <f t="shared" ref="T1219:T1282" si="399">E1219+1</f>
        <v>1.0576957650819017</v>
      </c>
      <c r="U1219" s="6">
        <f t="shared" ref="U1219:U1282" ca="1" si="400">PRODUCT(OFFSET(T1219,0,0,$S$6,1))</f>
        <v>1.004934686576229</v>
      </c>
      <c r="BJ1219" t="b">
        <f t="shared" si="383"/>
        <v>1</v>
      </c>
      <c r="BK1219" t="b">
        <f t="shared" si="384"/>
        <v>1</v>
      </c>
    </row>
    <row r="1220" spans="1:63" x14ac:dyDescent="0.45">
      <c r="A1220" s="1">
        <v>43468</v>
      </c>
      <c r="B1220">
        <v>20.024000000000001</v>
      </c>
      <c r="C1220" s="1">
        <v>43468</v>
      </c>
      <c r="D1220">
        <v>244.21</v>
      </c>
      <c r="E1220">
        <f t="shared" si="385"/>
        <v>-3.1473249914146295E-2</v>
      </c>
      <c r="F1220" s="4">
        <f t="shared" si="386"/>
        <v>-2.3862818770485246E-2</v>
      </c>
      <c r="G1220">
        <f t="shared" ca="1" si="387"/>
        <v>-3.702981401424383E-3</v>
      </c>
      <c r="H1220">
        <f t="shared" ca="1" si="388"/>
        <v>3.6579686956320155E-2</v>
      </c>
      <c r="I1220">
        <f t="shared" ca="1" si="389"/>
        <v>0.47273766141158413</v>
      </c>
      <c r="J1220">
        <f t="shared" ca="1" si="390"/>
        <v>1.1637268171375066</v>
      </c>
      <c r="K1220">
        <f t="shared" ca="1" si="391"/>
        <v>0.98934657260728831</v>
      </c>
      <c r="L1220">
        <f t="shared" ca="1" si="392"/>
        <v>0.53487786731094811</v>
      </c>
      <c r="M1220">
        <f t="shared" ca="1" si="393"/>
        <v>-3.7124712980720806E-3</v>
      </c>
      <c r="N1220">
        <f t="shared" ca="1" si="394"/>
        <v>1.6300744008744626E-2</v>
      </c>
      <c r="O1220">
        <f t="shared" ca="1" si="395"/>
        <v>0.82782462013683067</v>
      </c>
      <c r="P1220">
        <f t="shared" ca="1" si="396"/>
        <v>2.152466487294654</v>
      </c>
      <c r="Q1220">
        <f t="shared" ca="1" si="397"/>
        <v>0.68086806266886191</v>
      </c>
      <c r="R1220">
        <f t="shared" ca="1" si="398"/>
        <v>0.22046551237762158</v>
      </c>
      <c r="T1220">
        <f t="shared" si="399"/>
        <v>0.96852675008585365</v>
      </c>
      <c r="U1220" s="6">
        <f t="shared" ca="1" si="400"/>
        <v>0.92109681544483957</v>
      </c>
      <c r="BJ1220" t="b">
        <f t="shared" si="383"/>
        <v>1</v>
      </c>
      <c r="BK1220" t="b">
        <f t="shared" si="384"/>
        <v>1</v>
      </c>
    </row>
    <row r="1221" spans="1:63" x14ac:dyDescent="0.45">
      <c r="A1221" s="1">
        <v>43467</v>
      </c>
      <c r="B1221">
        <v>20.674700000000001</v>
      </c>
      <c r="C1221" s="1">
        <v>43467</v>
      </c>
      <c r="D1221">
        <v>250.18</v>
      </c>
      <c r="E1221">
        <f t="shared" si="385"/>
        <v>-6.8148936074314659E-2</v>
      </c>
      <c r="F1221" s="4">
        <f t="shared" si="386"/>
        <v>1.0403329065301671E-3</v>
      </c>
      <c r="G1221">
        <f t="shared" ca="1" si="387"/>
        <v>-2.9095451582037569E-3</v>
      </c>
      <c r="H1221">
        <f t="shared" ca="1" si="388"/>
        <v>3.6798078064019399E-2</v>
      </c>
      <c r="I1221">
        <f t="shared" ca="1" si="389"/>
        <v>0.42362364438605454</v>
      </c>
      <c r="J1221">
        <f t="shared" ca="1" si="390"/>
        <v>1.144877136678514</v>
      </c>
      <c r="K1221">
        <f t="shared" ca="1" si="391"/>
        <v>0.98309559551533598</v>
      </c>
      <c r="L1221">
        <f t="shared" ca="1" si="392"/>
        <v>0.57695838607156613</v>
      </c>
      <c r="M1221">
        <f t="shared" ca="1" si="393"/>
        <v>-3.1367470845745618E-3</v>
      </c>
      <c r="N1221">
        <f t="shared" ca="1" si="394"/>
        <v>1.6163103759836862E-2</v>
      </c>
      <c r="O1221">
        <f t="shared" ca="1" si="395"/>
        <v>0.82265920422495942</v>
      </c>
      <c r="P1221">
        <f t="shared" ca="1" si="396"/>
        <v>2.299761997551319</v>
      </c>
      <c r="Q1221">
        <f t="shared" ca="1" si="397"/>
        <v>0.69365471993664274</v>
      </c>
      <c r="R1221">
        <f t="shared" ca="1" si="398"/>
        <v>0.25436340507736782</v>
      </c>
      <c r="T1221">
        <f t="shared" si="399"/>
        <v>0.9318510639256854</v>
      </c>
      <c r="U1221" s="6">
        <f t="shared" ca="1" si="400"/>
        <v>1.0498661940719152</v>
      </c>
      <c r="BJ1221" t="b">
        <f t="shared" si="383"/>
        <v>1</v>
      </c>
      <c r="BK1221" t="b">
        <f t="shared" si="384"/>
        <v>1</v>
      </c>
    </row>
    <row r="1222" spans="1:63" x14ac:dyDescent="0.45">
      <c r="A1222" s="1">
        <v>43465</v>
      </c>
      <c r="B1222">
        <v>22.186699999999998</v>
      </c>
      <c r="C1222" s="1">
        <v>43465</v>
      </c>
      <c r="D1222">
        <v>249.92</v>
      </c>
      <c r="E1222">
        <f t="shared" si="385"/>
        <v>-3.2033426183844375E-3</v>
      </c>
      <c r="F1222" s="4">
        <f t="shared" si="386"/>
        <v>8.7588294651866298E-3</v>
      </c>
      <c r="G1222">
        <f t="shared" ca="1" si="387"/>
        <v>-9.9073954302402421E-4</v>
      </c>
      <c r="H1222">
        <f t="shared" ca="1" si="388"/>
        <v>3.5529753146831045E-2</v>
      </c>
      <c r="I1222">
        <f t="shared" ca="1" si="389"/>
        <v>0.51276938481008361</v>
      </c>
      <c r="J1222">
        <f t="shared" ca="1" si="390"/>
        <v>1.4260694028874288</v>
      </c>
      <c r="K1222">
        <f t="shared" ca="1" si="391"/>
        <v>1.0859599590805862</v>
      </c>
      <c r="L1222">
        <f t="shared" ca="1" si="392"/>
        <v>0.66405484534992587</v>
      </c>
      <c r="M1222">
        <f t="shared" ca="1" si="393"/>
        <v>-3.2596023784305828E-3</v>
      </c>
      <c r="N1222">
        <f t="shared" ca="1" si="394"/>
        <v>1.638957559816303E-2</v>
      </c>
      <c r="O1222">
        <f t="shared" ca="1" si="395"/>
        <v>0.8377479560327552</v>
      </c>
      <c r="P1222">
        <f t="shared" ca="1" si="396"/>
        <v>2.2053181732649079</v>
      </c>
      <c r="Q1222">
        <f t="shared" ca="1" si="397"/>
        <v>0.70642936999271511</v>
      </c>
      <c r="R1222">
        <f t="shared" ca="1" si="398"/>
        <v>0.27623627427084935</v>
      </c>
      <c r="T1222">
        <f t="shared" si="399"/>
        <v>0.9967966573816156</v>
      </c>
      <c r="U1222" s="6">
        <f t="shared" ca="1" si="400"/>
        <v>1.040749601275917</v>
      </c>
      <c r="BJ1222" t="b">
        <f t="shared" si="383"/>
        <v>1</v>
      </c>
      <c r="BK1222" t="b">
        <f t="shared" si="384"/>
        <v>1</v>
      </c>
    </row>
    <row r="1223" spans="1:63" x14ac:dyDescent="0.45">
      <c r="A1223" s="1">
        <v>43462</v>
      </c>
      <c r="B1223">
        <v>22.257999999999999</v>
      </c>
      <c r="C1223" s="1">
        <v>43462</v>
      </c>
      <c r="D1223">
        <v>247.75</v>
      </c>
      <c r="E1223">
        <f t="shared" si="385"/>
        <v>5.6117825131789374E-2</v>
      </c>
      <c r="F1223" s="4">
        <f t="shared" si="386"/>
        <v>-1.2899584794614149E-3</v>
      </c>
      <c r="G1223">
        <f t="shared" ca="1" si="387"/>
        <v>-9.2369096498279898E-4</v>
      </c>
      <c r="H1223">
        <f t="shared" ca="1" si="388"/>
        <v>3.607845048987332E-2</v>
      </c>
      <c r="I1223">
        <f t="shared" ca="1" si="389"/>
        <v>0.50006316301826848</v>
      </c>
      <c r="J1223">
        <f t="shared" ca="1" si="390"/>
        <v>1.2962049337312114</v>
      </c>
      <c r="K1223">
        <f t="shared" ca="1" si="391"/>
        <v>1.0892953767790423</v>
      </c>
      <c r="L1223">
        <f t="shared" ca="1" si="392"/>
        <v>0.62957005217131956</v>
      </c>
      <c r="M1223">
        <f t="shared" ca="1" si="393"/>
        <v>-3.62379728278262E-3</v>
      </c>
      <c r="N1223">
        <f t="shared" ca="1" si="394"/>
        <v>1.6503390236824553E-2</v>
      </c>
      <c r="O1223">
        <f t="shared" ca="1" si="395"/>
        <v>0.90542106824199897</v>
      </c>
      <c r="P1223">
        <f t="shared" ca="1" si="396"/>
        <v>2.3204264369608327</v>
      </c>
      <c r="Q1223">
        <f t="shared" ca="1" si="397"/>
        <v>0.71919202974206309</v>
      </c>
      <c r="R1223">
        <f t="shared" ca="1" si="398"/>
        <v>0.20145712286678549</v>
      </c>
      <c r="T1223">
        <f t="shared" si="399"/>
        <v>1.0561178251317893</v>
      </c>
      <c r="U1223" s="6">
        <f t="shared" ca="1" si="400"/>
        <v>1.0586293655738563</v>
      </c>
      <c r="BJ1223" t="b">
        <f t="shared" si="383"/>
        <v>1</v>
      </c>
      <c r="BK1223" t="b">
        <f t="shared" si="384"/>
        <v>1</v>
      </c>
    </row>
    <row r="1224" spans="1:63" x14ac:dyDescent="0.45">
      <c r="A1224" s="1">
        <v>43461</v>
      </c>
      <c r="B1224">
        <v>21.075299999999999</v>
      </c>
      <c r="C1224" s="1">
        <v>43461</v>
      </c>
      <c r="D1224">
        <v>248.07</v>
      </c>
      <c r="E1224">
        <f t="shared" si="385"/>
        <v>-3.0543761758658351E-2</v>
      </c>
      <c r="F1224" s="4">
        <f t="shared" si="386"/>
        <v>7.6773092858883184E-3</v>
      </c>
      <c r="G1224">
        <f t="shared" ca="1" si="387"/>
        <v>-2.7062383430069294E-3</v>
      </c>
      <c r="H1224">
        <f t="shared" ca="1" si="388"/>
        <v>3.5148318506301332E-2</v>
      </c>
      <c r="I1224">
        <f t="shared" ca="1" si="389"/>
        <v>0.57475713813350116</v>
      </c>
      <c r="J1224">
        <f t="shared" ca="1" si="390"/>
        <v>1.831286165917636</v>
      </c>
      <c r="K1224">
        <f t="shared" ca="1" si="391"/>
        <v>0.80276860599855315</v>
      </c>
      <c r="L1224">
        <f t="shared" ca="1" si="392"/>
        <v>0.57906047422763807</v>
      </c>
      <c r="M1224">
        <f t="shared" ca="1" si="393"/>
        <v>-3.6967297453864073E-3</v>
      </c>
      <c r="N1224">
        <f t="shared" ca="1" si="394"/>
        <v>1.6762057231615134E-2</v>
      </c>
      <c r="O1224">
        <f t="shared" ca="1" si="395"/>
        <v>0.90765640334576392</v>
      </c>
      <c r="P1224">
        <f t="shared" ca="1" si="396"/>
        <v>2.1921666397050106</v>
      </c>
      <c r="Q1224">
        <f t="shared" ca="1" si="397"/>
        <v>0.73194271605794625</v>
      </c>
      <c r="R1224">
        <f t="shared" ca="1" si="398"/>
        <v>0.22046551237762158</v>
      </c>
      <c r="T1224">
        <f t="shared" si="399"/>
        <v>0.96945623824134164</v>
      </c>
      <c r="U1224" s="6">
        <f t="shared" ca="1" si="400"/>
        <v>0.94942337147490752</v>
      </c>
      <c r="BJ1224" t="b">
        <f t="shared" si="383"/>
        <v>1</v>
      </c>
      <c r="BK1224" t="b">
        <f t="shared" si="384"/>
        <v>1</v>
      </c>
    </row>
    <row r="1225" spans="1:63" x14ac:dyDescent="0.45">
      <c r="A1225" s="1">
        <v>43460</v>
      </c>
      <c r="B1225">
        <v>21.7393</v>
      </c>
      <c r="C1225" s="1">
        <v>43460</v>
      </c>
      <c r="D1225">
        <v>246.18</v>
      </c>
      <c r="E1225">
        <f t="shared" si="385"/>
        <v>0.10392683583256748</v>
      </c>
      <c r="F1225" s="4">
        <f t="shared" si="386"/>
        <v>5.0524878381838369E-2</v>
      </c>
      <c r="G1225">
        <f t="shared" ca="1" si="387"/>
        <v>-1.808253716695594E-3</v>
      </c>
      <c r="H1225">
        <f t="shared" ca="1" si="388"/>
        <v>3.5354211314662251E-2</v>
      </c>
      <c r="I1225">
        <f t="shared" ca="1" si="389"/>
        <v>0.52077969297749493</v>
      </c>
      <c r="J1225">
        <f t="shared" ca="1" si="390"/>
        <v>1.8215621081046534</v>
      </c>
      <c r="K1225">
        <f t="shared" ca="1" si="391"/>
        <v>0.83292646472054388</v>
      </c>
      <c r="L1225">
        <f t="shared" ca="1" si="392"/>
        <v>0.70416424451522075</v>
      </c>
      <c r="M1225">
        <f t="shared" ca="1" si="393"/>
        <v>-4.0636342302662366E-3</v>
      </c>
      <c r="N1225">
        <f t="shared" ca="1" si="394"/>
        <v>1.6908007463819662E-2</v>
      </c>
      <c r="O1225">
        <f t="shared" ca="1" si="395"/>
        <v>0.97455601340720366</v>
      </c>
      <c r="P1225">
        <f t="shared" ca="1" si="396"/>
        <v>2.2910209549792038</v>
      </c>
      <c r="Q1225">
        <f t="shared" ca="1" si="397"/>
        <v>0.74468144578198336</v>
      </c>
      <c r="R1225">
        <f t="shared" ca="1" si="398"/>
        <v>0.1914123549829263</v>
      </c>
      <c r="T1225">
        <f t="shared" si="399"/>
        <v>1.1039268358325676</v>
      </c>
      <c r="U1225" s="6">
        <f t="shared" ca="1" si="400"/>
        <v>0.96753706266940243</v>
      </c>
      <c r="BJ1225" t="b">
        <f t="shared" si="383"/>
        <v>1</v>
      </c>
      <c r="BK1225" t="b">
        <f t="shared" si="384"/>
        <v>1</v>
      </c>
    </row>
    <row r="1226" spans="1:63" x14ac:dyDescent="0.45">
      <c r="A1226" s="1">
        <v>43458</v>
      </c>
      <c r="B1226">
        <v>19.692699999999999</v>
      </c>
      <c r="C1226" s="1">
        <v>43458</v>
      </c>
      <c r="D1226">
        <v>234.34</v>
      </c>
      <c r="E1226">
        <f t="shared" si="385"/>
        <v>-7.6240735528661355E-2</v>
      </c>
      <c r="F1226" s="4">
        <f t="shared" si="386"/>
        <v>-2.6422933111757314E-2</v>
      </c>
      <c r="G1226">
        <f t="shared" ca="1" si="387"/>
        <v>-5.3327567016710296E-3</v>
      </c>
      <c r="H1226">
        <f t="shared" ca="1" si="388"/>
        <v>2.9910807025007584E-2</v>
      </c>
      <c r="I1226">
        <f t="shared" ca="1" si="389"/>
        <v>-0.35980908889521174</v>
      </c>
      <c r="J1226">
        <f t="shared" ca="1" si="390"/>
        <v>0.20540897309518114</v>
      </c>
      <c r="K1226">
        <f t="shared" ca="1" si="391"/>
        <v>0.51096668163420811</v>
      </c>
      <c r="L1226">
        <f t="shared" ca="1" si="392"/>
        <v>0.60866780299304513</v>
      </c>
      <c r="M1226">
        <f t="shared" ca="1" si="393"/>
        <v>-5.8832513173363906E-3</v>
      </c>
      <c r="N1226">
        <f t="shared" ca="1" si="394"/>
        <v>1.3768010890302065E-2</v>
      </c>
      <c r="O1226">
        <f t="shared" ca="1" si="395"/>
        <v>-3.9135751600337231E-3</v>
      </c>
      <c r="P1226">
        <f t="shared" ca="1" si="396"/>
        <v>-0.64580015272588032</v>
      </c>
      <c r="Q1226">
        <f t="shared" ca="1" si="397"/>
        <v>0.56392750801147873</v>
      </c>
      <c r="R1226">
        <f t="shared" ca="1" si="398"/>
        <v>0.17555255054510024</v>
      </c>
      <c r="T1226">
        <f t="shared" si="399"/>
        <v>0.9237592644713386</v>
      </c>
      <c r="U1226" s="6">
        <f t="shared" ca="1" si="400"/>
        <v>0.84780006888238313</v>
      </c>
      <c r="BJ1226" t="b">
        <f t="shared" si="383"/>
        <v>1</v>
      </c>
      <c r="BK1226" t="b">
        <f t="shared" si="384"/>
        <v>1</v>
      </c>
    </row>
    <row r="1227" spans="1:63" x14ac:dyDescent="0.45">
      <c r="A1227" s="1">
        <v>43455</v>
      </c>
      <c r="B1227">
        <v>21.318000000000001</v>
      </c>
      <c r="C1227" s="1">
        <v>43455</v>
      </c>
      <c r="D1227">
        <v>240.7</v>
      </c>
      <c r="E1227">
        <f t="shared" si="385"/>
        <v>1.3921323358049586E-2</v>
      </c>
      <c r="F1227" s="4">
        <f t="shared" si="386"/>
        <v>-2.6176315895942062E-2</v>
      </c>
      <c r="G1227">
        <f t="shared" ca="1" si="387"/>
        <v>-2.887653983498949E-3</v>
      </c>
      <c r="H1227">
        <f t="shared" ca="1" si="388"/>
        <v>2.7218504850712436E-2</v>
      </c>
      <c r="I1227">
        <f t="shared" ca="1" si="389"/>
        <v>-0.10781288193368192</v>
      </c>
      <c r="J1227">
        <f t="shared" ca="1" si="390"/>
        <v>-1.3703728377204794E-2</v>
      </c>
      <c r="K1227">
        <f t="shared" ca="1" si="391"/>
        <v>0.54517732694155152</v>
      </c>
      <c r="L1227">
        <f t="shared" ca="1" si="392"/>
        <v>0.80783398914432725</v>
      </c>
      <c r="M1227">
        <f t="shared" ca="1" si="393"/>
        <v>-5.1749864278735997E-3</v>
      </c>
      <c r="N1227">
        <f t="shared" ca="1" si="394"/>
        <v>1.344401025512453E-2</v>
      </c>
      <c r="O1227">
        <f t="shared" ca="1" si="395"/>
        <v>-3.74866566509066E-2</v>
      </c>
      <c r="P1227">
        <f t="shared" ca="1" si="396"/>
        <v>-0.51405762280876166</v>
      </c>
      <c r="Q1227">
        <f t="shared" ca="1" si="397"/>
        <v>0.59932279287978507</v>
      </c>
      <c r="R1227">
        <f t="shared" ca="1" si="398"/>
        <v>0.19891160856663695</v>
      </c>
      <c r="T1227">
        <f t="shared" si="399"/>
        <v>1.0139213233580495</v>
      </c>
      <c r="U1227" s="6">
        <f t="shared" ca="1" si="400"/>
        <v>0.87438014495071914</v>
      </c>
      <c r="BJ1227" t="b">
        <f t="shared" si="383"/>
        <v>1</v>
      </c>
      <c r="BK1227" t="b">
        <f t="shared" si="384"/>
        <v>1</v>
      </c>
    </row>
    <row r="1228" spans="1:63" x14ac:dyDescent="0.45">
      <c r="A1228" s="1">
        <v>43454</v>
      </c>
      <c r="B1228">
        <v>21.025300000000001</v>
      </c>
      <c r="C1228" s="1">
        <v>43454</v>
      </c>
      <c r="D1228">
        <v>247.17</v>
      </c>
      <c r="E1228">
        <f t="shared" si="385"/>
        <v>-5.2829083701234299E-2</v>
      </c>
      <c r="F1228" s="4">
        <f t="shared" si="386"/>
        <v>-1.6277959086205537E-2</v>
      </c>
      <c r="G1228">
        <f t="shared" ca="1" si="387"/>
        <v>-3.4879746028399689E-3</v>
      </c>
      <c r="H1228">
        <f t="shared" ca="1" si="388"/>
        <v>2.7521764910080088E-2</v>
      </c>
      <c r="I1228">
        <f t="shared" ca="1" si="389"/>
        <v>-4.7041368049509306E-2</v>
      </c>
      <c r="J1228">
        <f t="shared" ca="1" si="390"/>
        <v>-4.2605410723631554E-2</v>
      </c>
      <c r="K1228">
        <f t="shared" ca="1" si="391"/>
        <v>0.54270462505689476</v>
      </c>
      <c r="L1228">
        <f t="shared" ca="1" si="392"/>
        <v>0.75139653061955958</v>
      </c>
      <c r="M1228">
        <f t="shared" ca="1" si="393"/>
        <v>-4.4249389468711551E-3</v>
      </c>
      <c r="N1228">
        <f t="shared" ca="1" si="394"/>
        <v>1.305820544505968E-2</v>
      </c>
      <c r="O1228">
        <f t="shared" ca="1" si="395"/>
        <v>-6.2394576719512811E-2</v>
      </c>
      <c r="P1228">
        <f t="shared" ca="1" si="396"/>
        <v>-0.35109327063026585</v>
      </c>
      <c r="Q1228">
        <f t="shared" ca="1" si="397"/>
        <v>0.68859561329581176</v>
      </c>
      <c r="R1228">
        <f t="shared" ca="1" si="398"/>
        <v>0.20534353999255026</v>
      </c>
      <c r="T1228">
        <f t="shared" si="399"/>
        <v>0.94717091629876571</v>
      </c>
      <c r="U1228" s="6">
        <f t="shared" ca="1" si="400"/>
        <v>0.83701775129084011</v>
      </c>
      <c r="BJ1228" t="b">
        <f t="shared" si="383"/>
        <v>1</v>
      </c>
      <c r="BK1228" t="b">
        <f t="shared" si="384"/>
        <v>1</v>
      </c>
    </row>
    <row r="1229" spans="1:63" x14ac:dyDescent="0.45">
      <c r="A1229" s="1">
        <v>43453</v>
      </c>
      <c r="B1229">
        <v>22.198</v>
      </c>
      <c r="C1229" s="1">
        <v>43453</v>
      </c>
      <c r="D1229">
        <v>251.26</v>
      </c>
      <c r="E1229">
        <f t="shared" si="385"/>
        <v>-1.2047871038377742E-2</v>
      </c>
      <c r="F1229" s="4">
        <f t="shared" si="386"/>
        <v>-1.4975693899953039E-2</v>
      </c>
      <c r="G1229">
        <f t="shared" ca="1" si="387"/>
        <v>-1.6605261177142529E-3</v>
      </c>
      <c r="H1229">
        <f t="shared" ca="1" si="388"/>
        <v>2.6257870834313211E-2</v>
      </c>
      <c r="I1229">
        <f t="shared" ca="1" si="389"/>
        <v>-6.6679801313197029E-3</v>
      </c>
      <c r="J1229">
        <f t="shared" ca="1" si="390"/>
        <v>0.18068849573552059</v>
      </c>
      <c r="K1229">
        <f t="shared" ca="1" si="391"/>
        <v>0.62737304471631128</v>
      </c>
      <c r="L1229">
        <f t="shared" ca="1" si="392"/>
        <v>0.89577381693570302</v>
      </c>
      <c r="M1229">
        <f t="shared" ca="1" si="393"/>
        <v>-3.985938200969881E-3</v>
      </c>
      <c r="N1229">
        <f t="shared" ca="1" si="394"/>
        <v>1.3094705512475135E-2</v>
      </c>
      <c r="O1229">
        <f t="shared" ca="1" si="395"/>
        <v>-0.14229402072691774</v>
      </c>
      <c r="P1229">
        <f t="shared" ca="1" si="396"/>
        <v>-0.27741112935206447</v>
      </c>
      <c r="Q1229">
        <f t="shared" ca="1" si="397"/>
        <v>0.68952526766869915</v>
      </c>
      <c r="R1229">
        <f t="shared" ca="1" si="398"/>
        <v>0.21235470532216133</v>
      </c>
      <c r="T1229">
        <f t="shared" si="399"/>
        <v>0.98795212896162221</v>
      </c>
      <c r="U1229" s="6">
        <f t="shared" ca="1" si="400"/>
        <v>0.90826513911620288</v>
      </c>
      <c r="BJ1229" t="b">
        <f t="shared" si="383"/>
        <v>1</v>
      </c>
      <c r="BK1229" t="b">
        <f t="shared" si="384"/>
        <v>1</v>
      </c>
    </row>
    <row r="1230" spans="1:63" x14ac:dyDescent="0.45">
      <c r="A1230" s="1">
        <v>43452</v>
      </c>
      <c r="B1230">
        <v>22.468699999999998</v>
      </c>
      <c r="C1230" s="1">
        <v>43452</v>
      </c>
      <c r="D1230">
        <v>255.08</v>
      </c>
      <c r="E1230">
        <f t="shared" si="385"/>
        <v>-3.2688996039263091E-2</v>
      </c>
      <c r="F1230" s="4">
        <f t="shared" si="386"/>
        <v>-1.0964912280701799E-3</v>
      </c>
      <c r="G1230">
        <f t="shared" ca="1" si="387"/>
        <v>-1.2610128515348881E-3</v>
      </c>
      <c r="H1230">
        <f t="shared" ca="1" si="388"/>
        <v>2.6694061873713686E-2</v>
      </c>
      <c r="I1230">
        <f t="shared" ca="1" si="389"/>
        <v>-5.2711894313234864E-2</v>
      </c>
      <c r="J1230">
        <f t="shared" ca="1" si="390"/>
        <v>0.10333345305434127</v>
      </c>
      <c r="K1230">
        <f t="shared" ca="1" si="391"/>
        <v>0.6203952690432778</v>
      </c>
      <c r="L1230">
        <f t="shared" ca="1" si="392"/>
        <v>0.88504415621182975</v>
      </c>
      <c r="M1230">
        <f t="shared" ca="1" si="393"/>
        <v>-3.5632552894705291E-3</v>
      </c>
      <c r="N1230">
        <f t="shared" ca="1" si="394"/>
        <v>1.3164853530002935E-2</v>
      </c>
      <c r="O1230">
        <f t="shared" ca="1" si="395"/>
        <v>-0.22525905053341252</v>
      </c>
      <c r="P1230">
        <f t="shared" ca="1" si="396"/>
        <v>-0.20745444940650426</v>
      </c>
      <c r="Q1230">
        <f t="shared" ca="1" si="397"/>
        <v>0.69043986209003405</v>
      </c>
      <c r="R1230">
        <f t="shared" ca="1" si="398"/>
        <v>0.22453692599897893</v>
      </c>
      <c r="T1230">
        <f t="shared" si="399"/>
        <v>0.96731100396073688</v>
      </c>
      <c r="U1230" s="6">
        <f t="shared" ca="1" si="400"/>
        <v>0.91893892608391559</v>
      </c>
      <c r="BJ1230" t="b">
        <f t="shared" si="383"/>
        <v>1</v>
      </c>
      <c r="BK1230" t="b">
        <f t="shared" si="384"/>
        <v>1</v>
      </c>
    </row>
    <row r="1231" spans="1:63" x14ac:dyDescent="0.45">
      <c r="A1231" s="1">
        <v>43451</v>
      </c>
      <c r="B1231">
        <v>23.228000000000002</v>
      </c>
      <c r="C1231" s="1">
        <v>43451</v>
      </c>
      <c r="D1231">
        <v>255.36</v>
      </c>
      <c r="E1231">
        <f t="shared" si="385"/>
        <v>-4.727920035109736E-2</v>
      </c>
      <c r="F1231" s="4">
        <f t="shared" si="386"/>
        <v>-1.9618382155334638E-2</v>
      </c>
      <c r="G1231">
        <f t="shared" ca="1" si="387"/>
        <v>-3.8935240257596296E-6</v>
      </c>
      <c r="H1231">
        <f t="shared" ca="1" si="388"/>
        <v>2.644735071058104E-2</v>
      </c>
      <c r="I1231">
        <f t="shared" ca="1" si="389"/>
        <v>-0.13576992334983032</v>
      </c>
      <c r="J1231">
        <f t="shared" ca="1" si="390"/>
        <v>0.31342334910545588</v>
      </c>
      <c r="K1231">
        <f t="shared" ca="1" si="391"/>
        <v>0.61358341101007607</v>
      </c>
      <c r="L1231">
        <f t="shared" ca="1" si="392"/>
        <v>0.99586479086568003</v>
      </c>
      <c r="M1231">
        <f t="shared" ca="1" si="393"/>
        <v>-3.6619258519265431E-3</v>
      </c>
      <c r="N1231">
        <f t="shared" ca="1" si="394"/>
        <v>1.3426506572399934E-2</v>
      </c>
      <c r="O1231">
        <f t="shared" ca="1" si="395"/>
        <v>-0.19824856975847271</v>
      </c>
      <c r="P1231">
        <f t="shared" ca="1" si="396"/>
        <v>-0.3206908176388179</v>
      </c>
      <c r="Q1231">
        <f t="shared" ca="1" si="397"/>
        <v>0.69133975956546312</v>
      </c>
      <c r="R1231">
        <f t="shared" ca="1" si="398"/>
        <v>0.20145712286678549</v>
      </c>
      <c r="T1231">
        <f t="shared" si="399"/>
        <v>0.95272079964890266</v>
      </c>
      <c r="U1231" s="6">
        <f t="shared" ca="1" si="400"/>
        <v>0.95418451894361078</v>
      </c>
      <c r="BJ1231" t="b">
        <f t="shared" si="383"/>
        <v>1</v>
      </c>
      <c r="BK1231" t="b">
        <f t="shared" si="384"/>
        <v>1</v>
      </c>
    </row>
    <row r="1232" spans="1:63" x14ac:dyDescent="0.45">
      <c r="A1232" s="1">
        <v>43448</v>
      </c>
      <c r="B1232">
        <v>24.380700000000001</v>
      </c>
      <c r="C1232" s="1">
        <v>43448</v>
      </c>
      <c r="D1232">
        <v>260.47000000000003</v>
      </c>
      <c r="E1232">
        <f t="shared" si="385"/>
        <v>-2.9403685612258229E-2</v>
      </c>
      <c r="F1232" s="4">
        <f t="shared" si="386"/>
        <v>-1.8464785017145786E-2</v>
      </c>
      <c r="G1232">
        <f t="shared" ca="1" si="387"/>
        <v>1.9659109271022231E-3</v>
      </c>
      <c r="H1232">
        <f t="shared" ca="1" si="388"/>
        <v>2.5072953456033008E-2</v>
      </c>
      <c r="I1232">
        <f t="shared" ca="1" si="389"/>
        <v>-0.10660124544612341</v>
      </c>
      <c r="J1232">
        <f t="shared" ca="1" si="390"/>
        <v>0.71227283016234244</v>
      </c>
      <c r="K1232">
        <f t="shared" ca="1" si="391"/>
        <v>0.78132498742764567</v>
      </c>
      <c r="L1232">
        <f t="shared" ca="1" si="392"/>
        <v>1.1964636348222357</v>
      </c>
      <c r="M1232">
        <f t="shared" ca="1" si="393"/>
        <v>-2.9970735059512061E-3</v>
      </c>
      <c r="N1232">
        <f t="shared" ca="1" si="394"/>
        <v>1.3288256836901262E-2</v>
      </c>
      <c r="O1232">
        <f t="shared" ca="1" si="395"/>
        <v>-0.29593211066368214</v>
      </c>
      <c r="P1232">
        <f t="shared" ca="1" si="396"/>
        <v>-9.9140017108391376E-2</v>
      </c>
      <c r="Q1232">
        <f t="shared" ca="1" si="397"/>
        <v>0.69652162143110341</v>
      </c>
      <c r="R1232">
        <f t="shared" ca="1" si="398"/>
        <v>0.33012244703001753</v>
      </c>
      <c r="T1232">
        <f t="shared" si="399"/>
        <v>0.97059631438774174</v>
      </c>
      <c r="U1232" s="6">
        <f t="shared" ca="1" si="400"/>
        <v>1.0216390172768528</v>
      </c>
      <c r="BJ1232" t="b">
        <f t="shared" si="383"/>
        <v>1</v>
      </c>
      <c r="BK1232" t="b">
        <f t="shared" si="384"/>
        <v>1</v>
      </c>
    </row>
    <row r="1233" spans="1:63" x14ac:dyDescent="0.45">
      <c r="A1233" s="1">
        <v>43447</v>
      </c>
      <c r="B1233">
        <v>25.119299999999999</v>
      </c>
      <c r="C1233" s="1">
        <v>43447</v>
      </c>
      <c r="D1233">
        <v>265.37</v>
      </c>
      <c r="E1233">
        <f t="shared" si="385"/>
        <v>2.7794599018003182E-2</v>
      </c>
      <c r="F1233" s="4">
        <f t="shared" si="386"/>
        <v>-3.3903412943560231E-4</v>
      </c>
      <c r="G1233">
        <f t="shared" ca="1" si="387"/>
        <v>3.3298064288135474E-3</v>
      </c>
      <c r="H1233">
        <f t="shared" ca="1" si="388"/>
        <v>2.4709385819360549E-2</v>
      </c>
      <c r="I1233">
        <f t="shared" ca="1" si="389"/>
        <v>-0.1965911921827127</v>
      </c>
      <c r="J1233">
        <f t="shared" ca="1" si="390"/>
        <v>1.0676060198482507</v>
      </c>
      <c r="K1233">
        <f t="shared" ca="1" si="391"/>
        <v>0.77999431400623942</v>
      </c>
      <c r="L1233">
        <f t="shared" ca="1" si="392"/>
        <v>1.8416538833348721</v>
      </c>
      <c r="M1233">
        <f t="shared" ca="1" si="393"/>
        <v>-2.3245643098123107E-3</v>
      </c>
      <c r="N1233">
        <f t="shared" ca="1" si="394"/>
        <v>1.316268214400673E-2</v>
      </c>
      <c r="O1233">
        <f t="shared" ca="1" si="395"/>
        <v>-0.40682801080334174</v>
      </c>
      <c r="P1233">
        <f t="shared" ca="1" si="396"/>
        <v>0.17414924169335855</v>
      </c>
      <c r="Q1233">
        <f t="shared" ca="1" si="397"/>
        <v>0.69593602685213296</v>
      </c>
      <c r="R1233">
        <f t="shared" ca="1" si="398"/>
        <v>0.50845782647966742</v>
      </c>
      <c r="T1233">
        <f t="shared" si="399"/>
        <v>1.0277945990180031</v>
      </c>
      <c r="U1233" s="6">
        <f t="shared" ca="1" si="400"/>
        <v>1.0378160634605849</v>
      </c>
      <c r="BJ1233" t="b">
        <f t="shared" si="383"/>
        <v>1</v>
      </c>
      <c r="BK1233" t="b">
        <f t="shared" si="384"/>
        <v>1</v>
      </c>
    </row>
    <row r="1234" spans="1:63" x14ac:dyDescent="0.45">
      <c r="A1234" s="1">
        <v>43446</v>
      </c>
      <c r="B1234">
        <v>24.44</v>
      </c>
      <c r="C1234" s="1">
        <v>43446</v>
      </c>
      <c r="D1234">
        <v>265.45999999999998</v>
      </c>
      <c r="E1234">
        <f t="shared" si="385"/>
        <v>-4.3761528299802999E-4</v>
      </c>
      <c r="F1234" s="4">
        <f t="shared" si="386"/>
        <v>5.0353992352250186E-3</v>
      </c>
      <c r="G1234">
        <f t="shared" ca="1" si="387"/>
        <v>2.2177704020321996E-3</v>
      </c>
      <c r="H1234">
        <f t="shared" ca="1" si="388"/>
        <v>2.4694756180750847E-2</v>
      </c>
      <c r="I1234">
        <f t="shared" ca="1" si="389"/>
        <v>-0.10943875537987197</v>
      </c>
      <c r="J1234">
        <f t="shared" ca="1" si="390"/>
        <v>1.2312470614444218</v>
      </c>
      <c r="K1234">
        <f t="shared" ca="1" si="391"/>
        <v>0.75056025944975036</v>
      </c>
      <c r="L1234">
        <f t="shared" ca="1" si="392"/>
        <v>1.373818669578698</v>
      </c>
      <c r="M1234">
        <f t="shared" ca="1" si="393"/>
        <v>-2.4148156816476158E-3</v>
      </c>
      <c r="N1234">
        <f t="shared" ca="1" si="394"/>
        <v>1.34651488418764E-2</v>
      </c>
      <c r="O1234">
        <f t="shared" ca="1" si="395"/>
        <v>-0.3778999574151562</v>
      </c>
      <c r="P1234">
        <f t="shared" ca="1" si="396"/>
        <v>2.5216291091664012E-2</v>
      </c>
      <c r="Q1234">
        <f t="shared" ca="1" si="397"/>
        <v>0.69536201463162983</v>
      </c>
      <c r="R1234">
        <f t="shared" ca="1" si="398"/>
        <v>0.51225652582376935</v>
      </c>
      <c r="T1234">
        <f t="shared" si="399"/>
        <v>0.99956238471700198</v>
      </c>
      <c r="U1234" s="6">
        <f t="shared" ca="1" si="400"/>
        <v>1.0191826522101748</v>
      </c>
      <c r="BJ1234" t="b">
        <f t="shared" si="383"/>
        <v>1</v>
      </c>
      <c r="BK1234" t="b">
        <f t="shared" si="384"/>
        <v>1</v>
      </c>
    </row>
    <row r="1235" spans="1:63" x14ac:dyDescent="0.45">
      <c r="A1235" s="1">
        <v>43445</v>
      </c>
      <c r="B1235">
        <v>24.450700000000001</v>
      </c>
      <c r="C1235" s="1">
        <v>43445</v>
      </c>
      <c r="D1235">
        <v>264.13</v>
      </c>
      <c r="E1235">
        <f t="shared" si="385"/>
        <v>4.4118915677004329E-3</v>
      </c>
      <c r="F1235" s="4">
        <f t="shared" si="386"/>
        <v>2.2721248153899449E-4</v>
      </c>
      <c r="G1235">
        <f t="shared" ca="1" si="387"/>
        <v>2.3442173394145911E-3</v>
      </c>
      <c r="H1235">
        <f t="shared" ca="1" si="388"/>
        <v>2.5297296101399521E-2</v>
      </c>
      <c r="I1235">
        <f t="shared" ca="1" si="389"/>
        <v>-0.12391521011652815</v>
      </c>
      <c r="J1235">
        <f t="shared" ca="1" si="390"/>
        <v>1.0527580066150901</v>
      </c>
      <c r="K1235">
        <f t="shared" ca="1" si="391"/>
        <v>0.74657569856987183</v>
      </c>
      <c r="L1235">
        <f t="shared" ca="1" si="392"/>
        <v>1.2005390637004496</v>
      </c>
      <c r="M1235">
        <f t="shared" ca="1" si="393"/>
        <v>-2.7695878205463123E-3</v>
      </c>
      <c r="N1235">
        <f t="shared" ca="1" si="394"/>
        <v>1.369190649439056E-2</v>
      </c>
      <c r="O1235">
        <f t="shared" ca="1" si="395"/>
        <v>-0.30217833267340116</v>
      </c>
      <c r="P1235">
        <f t="shared" ca="1" si="396"/>
        <v>-6.4296126057483693E-2</v>
      </c>
      <c r="Q1235">
        <f t="shared" ca="1" si="397"/>
        <v>0.69479924450684882</v>
      </c>
      <c r="R1235">
        <f t="shared" ca="1" si="398"/>
        <v>0.34883778773416529</v>
      </c>
      <c r="T1235">
        <f t="shared" si="399"/>
        <v>1.0044118915677005</v>
      </c>
      <c r="U1235" s="6">
        <f t="shared" ca="1" si="400"/>
        <v>1.0230718054503687</v>
      </c>
      <c r="BJ1235" t="b">
        <f t="shared" si="383"/>
        <v>1</v>
      </c>
      <c r="BK1235" t="b">
        <f t="shared" si="384"/>
        <v>1</v>
      </c>
    </row>
    <row r="1236" spans="1:63" x14ac:dyDescent="0.45">
      <c r="A1236" s="1">
        <v>43444</v>
      </c>
      <c r="B1236">
        <v>24.343299999999999</v>
      </c>
      <c r="C1236" s="1">
        <v>43444</v>
      </c>
      <c r="D1236">
        <v>264.07</v>
      </c>
      <c r="E1236">
        <f t="shared" si="385"/>
        <v>2.0071822764547848E-2</v>
      </c>
      <c r="F1236" s="4">
        <f t="shared" si="386"/>
        <v>1.8970292521910688E-3</v>
      </c>
      <c r="G1236">
        <f t="shared" ca="1" si="387"/>
        <v>2.2408336280002996E-3</v>
      </c>
      <c r="H1236">
        <f t="shared" ca="1" si="388"/>
        <v>2.5949926234848646E-2</v>
      </c>
      <c r="I1236">
        <f t="shared" ca="1" si="389"/>
        <v>-0.10823015803563864</v>
      </c>
      <c r="J1236">
        <f t="shared" ca="1" si="390"/>
        <v>0.86458436257827387</v>
      </c>
      <c r="K1236">
        <f t="shared" ca="1" si="391"/>
        <v>0.77453054635901797</v>
      </c>
      <c r="L1236">
        <f t="shared" ca="1" si="392"/>
        <v>1.1964636348222357</v>
      </c>
      <c r="M1236">
        <f t="shared" ca="1" si="393"/>
        <v>-2.9194278356505779E-3</v>
      </c>
      <c r="N1236">
        <f t="shared" ca="1" si="394"/>
        <v>1.4029923315185223E-2</v>
      </c>
      <c r="O1236">
        <f t="shared" ca="1" si="395"/>
        <v>-0.26217426646844633</v>
      </c>
      <c r="P1236">
        <f t="shared" ca="1" si="396"/>
        <v>-0.21260569332652324</v>
      </c>
      <c r="Q1236">
        <f t="shared" ca="1" si="397"/>
        <v>0.69587998523459849</v>
      </c>
      <c r="R1236">
        <f t="shared" ca="1" si="398"/>
        <v>0.35305521334599266</v>
      </c>
      <c r="T1236">
        <f t="shared" si="399"/>
        <v>1.0200718227645478</v>
      </c>
      <c r="U1236" s="6">
        <f t="shared" ca="1" si="400"/>
        <v>1.0418569417041508</v>
      </c>
      <c r="BJ1236" t="b">
        <f t="shared" si="383"/>
        <v>1</v>
      </c>
      <c r="BK1236" t="b">
        <f t="shared" si="384"/>
        <v>1</v>
      </c>
    </row>
    <row r="1237" spans="1:63" x14ac:dyDescent="0.45">
      <c r="A1237" s="1">
        <v>43441</v>
      </c>
      <c r="B1237">
        <v>23.8643</v>
      </c>
      <c r="C1237" s="1">
        <v>43441</v>
      </c>
      <c r="D1237">
        <v>263.57</v>
      </c>
      <c r="E1237">
        <f t="shared" si="385"/>
        <v>-1.4034870269376986E-2</v>
      </c>
      <c r="F1237" s="4">
        <f t="shared" si="386"/>
        <v>-2.3235991698784399E-2</v>
      </c>
      <c r="G1237">
        <f t="shared" ca="1" si="387"/>
        <v>1.3023605155504294E-3</v>
      </c>
      <c r="H1237">
        <f t="shared" ca="1" si="388"/>
        <v>2.6310007266803891E-2</v>
      </c>
      <c r="I1237">
        <f t="shared" ca="1" si="389"/>
        <v>-9.9370829172464367E-3</v>
      </c>
      <c r="J1237">
        <f t="shared" ca="1" si="390"/>
        <v>0.87536854479056148</v>
      </c>
      <c r="K1237">
        <f t="shared" ca="1" si="391"/>
        <v>0.80115131554401264</v>
      </c>
      <c r="L1237">
        <f t="shared" ca="1" si="392"/>
        <v>1.0469015666737622</v>
      </c>
      <c r="M1237">
        <f t="shared" ca="1" si="393"/>
        <v>-3.1729255771159276E-3</v>
      </c>
      <c r="N1237">
        <f t="shared" ca="1" si="394"/>
        <v>1.4367240894357413E-2</v>
      </c>
      <c r="O1237">
        <f t="shared" ca="1" si="395"/>
        <v>-0.20239045560632976</v>
      </c>
      <c r="P1237">
        <f t="shared" ca="1" si="396"/>
        <v>-0.3448685915840306</v>
      </c>
      <c r="Q1237">
        <f t="shared" ca="1" si="397"/>
        <v>0.69691970953566429</v>
      </c>
      <c r="R1237">
        <f t="shared" ca="1" si="398"/>
        <v>0.35614312280434329</v>
      </c>
      <c r="T1237">
        <f t="shared" si="399"/>
        <v>0.985965129730623</v>
      </c>
      <c r="U1237" s="6">
        <f t="shared" ca="1" si="400"/>
        <v>1.0492246545349024</v>
      </c>
      <c r="BJ1237" t="b">
        <f t="shared" si="383"/>
        <v>1</v>
      </c>
      <c r="BK1237" t="b">
        <f t="shared" si="384"/>
        <v>1</v>
      </c>
    </row>
    <row r="1238" spans="1:63" x14ac:dyDescent="0.45">
      <c r="A1238" s="1">
        <v>43440</v>
      </c>
      <c r="B1238">
        <v>24.204000000000001</v>
      </c>
      <c r="C1238" s="1">
        <v>43440</v>
      </c>
      <c r="D1238">
        <v>269.83999999999997</v>
      </c>
      <c r="E1238">
        <f t="shared" si="385"/>
        <v>9.3411175979983396E-3</v>
      </c>
      <c r="F1238" s="4">
        <f t="shared" si="386"/>
        <v>-1.5171137835338576E-3</v>
      </c>
      <c r="G1238">
        <f t="shared" ca="1" si="387"/>
        <v>2.1544288924908415E-3</v>
      </c>
      <c r="H1238">
        <f t="shared" ca="1" si="388"/>
        <v>2.6801665515998777E-2</v>
      </c>
      <c r="I1238">
        <f t="shared" ca="1" si="389"/>
        <v>-0.10495254504120759</v>
      </c>
      <c r="J1238">
        <f t="shared" ca="1" si="390"/>
        <v>0.8486027010608268</v>
      </c>
      <c r="K1238">
        <f t="shared" ca="1" si="391"/>
        <v>0.82653127910069935</v>
      </c>
      <c r="L1238">
        <f t="shared" ca="1" si="392"/>
        <v>1.1644100917654403</v>
      </c>
      <c r="M1238">
        <f t="shared" ca="1" si="393"/>
        <v>-2.0583107925787898E-3</v>
      </c>
      <c r="N1238">
        <f t="shared" ca="1" si="394"/>
        <v>1.3912812089776076E-2</v>
      </c>
      <c r="O1238">
        <f t="shared" ca="1" si="395"/>
        <v>-0.31008835500368648</v>
      </c>
      <c r="P1238">
        <f t="shared" ca="1" si="396"/>
        <v>6.1276571287899539E-2</v>
      </c>
      <c r="Q1238">
        <f t="shared" ca="1" si="397"/>
        <v>0.8280710670617667</v>
      </c>
      <c r="R1238">
        <f t="shared" ca="1" si="398"/>
        <v>0.60023862536354988</v>
      </c>
      <c r="T1238">
        <f t="shared" si="399"/>
        <v>1.0093411175979983</v>
      </c>
      <c r="U1238" s="6">
        <f t="shared" ca="1" si="400"/>
        <v>1.0436672372829467</v>
      </c>
      <c r="BJ1238" t="b">
        <f t="shared" si="383"/>
        <v>1</v>
      </c>
      <c r="BK1238" t="b">
        <f t="shared" si="384"/>
        <v>1</v>
      </c>
    </row>
    <row r="1239" spans="1:63" x14ac:dyDescent="0.45">
      <c r="A1239" s="1">
        <v>43438</v>
      </c>
      <c r="B1239">
        <v>23.98</v>
      </c>
      <c r="C1239" s="1">
        <v>43438</v>
      </c>
      <c r="D1239">
        <v>270.25</v>
      </c>
      <c r="E1239">
        <f t="shared" si="385"/>
        <v>3.3766679358809763E-3</v>
      </c>
      <c r="F1239" s="4">
        <f t="shared" si="386"/>
        <v>-3.2402434658073798E-2</v>
      </c>
      <c r="G1239">
        <f t="shared" ca="1" si="387"/>
        <v>1.731682498049223E-3</v>
      </c>
      <c r="H1239">
        <f t="shared" ca="1" si="388"/>
        <v>2.7564595752576151E-2</v>
      </c>
      <c r="I1239">
        <f t="shared" ca="1" si="389"/>
        <v>-5.2372714800227295E-2</v>
      </c>
      <c r="J1239">
        <f t="shared" ca="1" si="390"/>
        <v>0.66835473366260301</v>
      </c>
      <c r="K1239">
        <f t="shared" ca="1" si="391"/>
        <v>0.8507552130405821</v>
      </c>
      <c r="L1239">
        <f t="shared" ca="1" si="392"/>
        <v>0.99586479086568003</v>
      </c>
      <c r="M1239">
        <f t="shared" ca="1" si="393"/>
        <v>-2.0901459107579038E-3</v>
      </c>
      <c r="N1239">
        <f t="shared" ca="1" si="394"/>
        <v>1.4340322653489156E-2</v>
      </c>
      <c r="O1239">
        <f t="shared" ca="1" si="395"/>
        <v>-0.29555699753047865</v>
      </c>
      <c r="P1239">
        <f t="shared" ca="1" si="396"/>
        <v>-0.12422930581323044</v>
      </c>
      <c r="Q1239">
        <f t="shared" ca="1" si="397"/>
        <v>0.8176227558834086</v>
      </c>
      <c r="R1239">
        <f t="shared" ca="1" si="398"/>
        <v>0.62399327991865106</v>
      </c>
      <c r="T1239">
        <f t="shared" si="399"/>
        <v>1.0033766679358809</v>
      </c>
      <c r="U1239" s="6">
        <f t="shared" ca="1" si="400"/>
        <v>1.0458827634333565</v>
      </c>
      <c r="BJ1239" t="b">
        <f t="shared" si="383"/>
        <v>1</v>
      </c>
      <c r="BK1239" t="b">
        <f t="shared" si="384"/>
        <v>1</v>
      </c>
    </row>
    <row r="1240" spans="1:63" x14ac:dyDescent="0.45">
      <c r="A1240" s="1">
        <v>43437</v>
      </c>
      <c r="B1240">
        <v>23.8993</v>
      </c>
      <c r="C1240" s="1">
        <v>43437</v>
      </c>
      <c r="D1240">
        <v>279.3</v>
      </c>
      <c r="E1240">
        <f t="shared" si="385"/>
        <v>2.2854403752573214E-2</v>
      </c>
      <c r="F1240" s="4">
        <f t="shared" si="386"/>
        <v>1.3241429348812023E-2</v>
      </c>
      <c r="G1240">
        <f t="shared" ca="1" si="387"/>
        <v>1.6288709081847387E-3</v>
      </c>
      <c r="H1240">
        <f t="shared" ca="1" si="388"/>
        <v>2.8465225478805048E-2</v>
      </c>
      <c r="I1240">
        <f t="shared" ca="1" si="389"/>
        <v>-3.8785165922120578E-2</v>
      </c>
      <c r="J1240">
        <f t="shared" ca="1" si="390"/>
        <v>0.45145820760332089</v>
      </c>
      <c r="K1240">
        <f t="shared" ca="1" si="391"/>
        <v>0.87390034243428061</v>
      </c>
      <c r="L1240">
        <f t="shared" ca="1" si="392"/>
        <v>1.0431756149364082</v>
      </c>
      <c r="M1240">
        <f t="shared" ca="1" si="393"/>
        <v>-1.9562786405066053E-4</v>
      </c>
      <c r="N1240">
        <f t="shared" ca="1" si="394"/>
        <v>1.2420562611329499E-2</v>
      </c>
      <c r="O1240">
        <f t="shared" ca="1" si="395"/>
        <v>9.0904357424609283E-2</v>
      </c>
      <c r="P1240">
        <f t="shared" ca="1" si="396"/>
        <v>-0.65724977298953791</v>
      </c>
      <c r="Q1240">
        <f t="shared" ca="1" si="397"/>
        <v>0.96300439467483767</v>
      </c>
      <c r="R1240">
        <f t="shared" ca="1" si="398"/>
        <v>0.94861914763195221</v>
      </c>
      <c r="T1240">
        <f t="shared" si="399"/>
        <v>1.0228544037525733</v>
      </c>
      <c r="U1240" s="6">
        <f t="shared" ca="1" si="400"/>
        <v>1.036095323561671</v>
      </c>
      <c r="BJ1240" t="b">
        <f t="shared" si="383"/>
        <v>1</v>
      </c>
      <c r="BK1240" t="b">
        <f t="shared" si="384"/>
        <v>1</v>
      </c>
    </row>
    <row r="1241" spans="1:63" x14ac:dyDescent="0.45">
      <c r="A1241" s="1">
        <v>43434</v>
      </c>
      <c r="B1241">
        <v>23.365300000000001</v>
      </c>
      <c r="C1241" s="1">
        <v>43434</v>
      </c>
      <c r="D1241">
        <v>275.64999999999998</v>
      </c>
      <c r="E1241">
        <f t="shared" si="385"/>
        <v>2.7285477495856157E-2</v>
      </c>
      <c r="F1241" s="4">
        <f t="shared" si="386"/>
        <v>6.0953354259433495E-3</v>
      </c>
      <c r="G1241">
        <f t="shared" ca="1" si="387"/>
        <v>2.1383538522550848E-4</v>
      </c>
      <c r="H1241">
        <f t="shared" ca="1" si="388"/>
        <v>2.8875938817009447E-2</v>
      </c>
      <c r="I1241">
        <f t="shared" ca="1" si="389"/>
        <v>9.6851258476916252E-2</v>
      </c>
      <c r="J1241">
        <f t="shared" ca="1" si="390"/>
        <v>0.53479550274924481</v>
      </c>
      <c r="K1241">
        <f t="shared" ca="1" si="391"/>
        <v>0.89603716379560305</v>
      </c>
      <c r="L1241">
        <f t="shared" ca="1" si="392"/>
        <v>0.89577381693570302</v>
      </c>
      <c r="M1241">
        <f t="shared" ca="1" si="393"/>
        <v>-1.0914316782415056E-3</v>
      </c>
      <c r="N1241">
        <f t="shared" ca="1" si="394"/>
        <v>1.2309880352455603E-2</v>
      </c>
      <c r="O1241">
        <f t="shared" ca="1" si="395"/>
        <v>0.2461927844379577</v>
      </c>
      <c r="P1241">
        <f t="shared" ca="1" si="396"/>
        <v>-0.39026138518032427</v>
      </c>
      <c r="Q1241">
        <f t="shared" ca="1" si="397"/>
        <v>0.98107713186907797</v>
      </c>
      <c r="R1241">
        <f t="shared" ca="1" si="398"/>
        <v>0.57229018478262494</v>
      </c>
      <c r="T1241">
        <f t="shared" si="399"/>
        <v>1.0272854774958562</v>
      </c>
      <c r="U1241" s="6">
        <f t="shared" ca="1" si="400"/>
        <v>1.075651413313691</v>
      </c>
      <c r="BJ1241" t="b">
        <f t="shared" si="383"/>
        <v>1</v>
      </c>
      <c r="BK1241" t="b">
        <f t="shared" si="384"/>
        <v>1</v>
      </c>
    </row>
    <row r="1242" spans="1:63" x14ac:dyDescent="0.45">
      <c r="A1242" s="1">
        <v>43433</v>
      </c>
      <c r="B1242">
        <v>22.744700000000002</v>
      </c>
      <c r="C1242" s="1">
        <v>43433</v>
      </c>
      <c r="D1242">
        <v>273.98</v>
      </c>
      <c r="E1242">
        <f t="shared" si="385"/>
        <v>-1.9257221458046619E-2</v>
      </c>
      <c r="F1242" s="4">
        <f t="shared" si="386"/>
        <v>-2.1851555102336876E-3</v>
      </c>
      <c r="G1242">
        <f t="shared" ca="1" si="387"/>
        <v>-1.7198533369623956E-3</v>
      </c>
      <c r="H1242">
        <f t="shared" ca="1" si="388"/>
        <v>2.8940596799285945E-2</v>
      </c>
      <c r="I1242">
        <f t="shared" ca="1" si="389"/>
        <v>0.26552943618974623</v>
      </c>
      <c r="J1242">
        <f t="shared" ca="1" si="390"/>
        <v>0.8699456929341034</v>
      </c>
      <c r="K1242">
        <f t="shared" ca="1" si="391"/>
        <v>0.84467048316223303</v>
      </c>
      <c r="L1242">
        <f t="shared" ca="1" si="392"/>
        <v>0.79764467011244755</v>
      </c>
      <c r="M1242">
        <f t="shared" ca="1" si="393"/>
        <v>-1.6047721856832817E-3</v>
      </c>
      <c r="N1242">
        <f t="shared" ca="1" si="394"/>
        <v>1.2606851861046691E-2</v>
      </c>
      <c r="O1242">
        <f t="shared" ca="1" si="395"/>
        <v>0.37555067575771556</v>
      </c>
      <c r="P1242">
        <f t="shared" ca="1" si="396"/>
        <v>-0.36554247650227545</v>
      </c>
      <c r="Q1242">
        <f t="shared" ca="1" si="397"/>
        <v>0.99913244100452758</v>
      </c>
      <c r="R1242">
        <f t="shared" ca="1" si="398"/>
        <v>0.37594170171786867</v>
      </c>
      <c r="T1242">
        <f t="shared" si="399"/>
        <v>0.98074277854195335</v>
      </c>
      <c r="U1242" s="6">
        <f t="shared" ca="1" si="400"/>
        <v>1.0088130932316155</v>
      </c>
      <c r="BJ1242" t="b">
        <f t="shared" si="383"/>
        <v>1</v>
      </c>
      <c r="BK1242" t="b">
        <f t="shared" si="384"/>
        <v>1</v>
      </c>
    </row>
    <row r="1243" spans="1:63" x14ac:dyDescent="0.45">
      <c r="A1243" s="1">
        <v>43432</v>
      </c>
      <c r="B1243">
        <v>23.191299999999998</v>
      </c>
      <c r="C1243" s="1">
        <v>43432</v>
      </c>
      <c r="D1243">
        <v>274.58</v>
      </c>
      <c r="E1243">
        <f t="shared" si="385"/>
        <v>1.1483775296580487E-2</v>
      </c>
      <c r="F1243" s="4">
        <f t="shared" si="386"/>
        <v>2.3025335320417315E-2</v>
      </c>
      <c r="G1243">
        <f t="shared" ca="1" si="387"/>
        <v>-3.7082501995591672E-4</v>
      </c>
      <c r="H1243">
        <f t="shared" ca="1" si="388"/>
        <v>2.9660633525305031E-2</v>
      </c>
      <c r="I1243">
        <f t="shared" ca="1" si="389"/>
        <v>0.1296644183677956</v>
      </c>
      <c r="J1243">
        <f t="shared" ca="1" si="390"/>
        <v>0.81295303273533515</v>
      </c>
      <c r="K1243">
        <f t="shared" ca="1" si="391"/>
        <v>0.87195830705592647</v>
      </c>
      <c r="L1243">
        <f t="shared" ca="1" si="392"/>
        <v>0.91945700574960032</v>
      </c>
      <c r="M1243">
        <f t="shared" ca="1" si="393"/>
        <v>-1.5601273145640199E-3</v>
      </c>
      <c r="N1243">
        <f t="shared" ca="1" si="394"/>
        <v>1.3120475487003616E-2</v>
      </c>
      <c r="O1243">
        <f t="shared" ca="1" si="395"/>
        <v>0.35354404062793071</v>
      </c>
      <c r="P1243">
        <f t="shared" ca="1" si="396"/>
        <v>-0.59660118899785441</v>
      </c>
      <c r="Q1243">
        <f t="shared" ca="1" si="397"/>
        <v>1.0171703472786016</v>
      </c>
      <c r="R1243">
        <f t="shared" ca="1" si="398"/>
        <v>0.34883778773416529</v>
      </c>
      <c r="T1243">
        <f t="shared" si="399"/>
        <v>1.0114837752965804</v>
      </c>
      <c r="U1243" s="6">
        <f t="shared" ca="1" si="400"/>
        <v>1.0010921177587844</v>
      </c>
      <c r="BJ1243" t="b">
        <f t="shared" si="383"/>
        <v>1</v>
      </c>
      <c r="BK1243" t="b">
        <f t="shared" si="384"/>
        <v>1</v>
      </c>
    </row>
    <row r="1244" spans="1:63" x14ac:dyDescent="0.45">
      <c r="A1244" s="1">
        <v>43431</v>
      </c>
      <c r="B1244">
        <v>22.928000000000001</v>
      </c>
      <c r="C1244" s="1">
        <v>43431</v>
      </c>
      <c r="D1244">
        <v>268.39999999999998</v>
      </c>
      <c r="E1244">
        <f t="shared" si="385"/>
        <v>-6.0129970910446683E-3</v>
      </c>
      <c r="F1244" s="4">
        <f t="shared" si="386"/>
        <v>3.3644859813083262E-3</v>
      </c>
      <c r="G1244">
        <f t="shared" ca="1" si="387"/>
        <v>-1.3587083796672847E-3</v>
      </c>
      <c r="H1244">
        <f t="shared" ca="1" si="388"/>
        <v>3.0755333110943136E-2</v>
      </c>
      <c r="I1244">
        <f t="shared" ca="1" si="389"/>
        <v>0.23826159244055212</v>
      </c>
      <c r="J1244">
        <f t="shared" ca="1" si="390"/>
        <v>0.6829834792681897</v>
      </c>
      <c r="K1244">
        <f t="shared" ca="1" si="391"/>
        <v>0.89813026640614124</v>
      </c>
      <c r="L1244">
        <f t="shared" ca="1" si="392"/>
        <v>0.81937702319890615</v>
      </c>
      <c r="M1244">
        <f t="shared" ca="1" si="393"/>
        <v>-3.6089158674791305E-3</v>
      </c>
      <c r="N1244">
        <f t="shared" ca="1" si="394"/>
        <v>1.1325542879502782E-2</v>
      </c>
      <c r="O1244">
        <f t="shared" ca="1" si="395"/>
        <v>0.15191776595611661</v>
      </c>
      <c r="P1244">
        <f t="shared" ca="1" si="396"/>
        <v>-0.85985695654951844</v>
      </c>
      <c r="Q1244">
        <f t="shared" ca="1" si="397"/>
        <v>0.699701527327381</v>
      </c>
      <c r="R1244">
        <f t="shared" ca="1" si="398"/>
        <v>0.29210746841327306</v>
      </c>
      <c r="T1244">
        <f t="shared" si="399"/>
        <v>0.99398700290895536</v>
      </c>
      <c r="U1244" s="6">
        <f t="shared" ca="1" si="400"/>
        <v>0.97298077208706246</v>
      </c>
      <c r="BJ1244" t="b">
        <f t="shared" si="383"/>
        <v>1</v>
      </c>
      <c r="BK1244" t="b">
        <f t="shared" si="384"/>
        <v>1</v>
      </c>
    </row>
    <row r="1245" spans="1:63" x14ac:dyDescent="0.45">
      <c r="A1245" s="1">
        <v>43430</v>
      </c>
      <c r="B1245">
        <v>23.066700000000001</v>
      </c>
      <c r="C1245" s="1">
        <v>43430</v>
      </c>
      <c r="D1245">
        <v>267.5</v>
      </c>
      <c r="E1245">
        <f t="shared" si="385"/>
        <v>6.1904981125126574E-2</v>
      </c>
      <c r="F1245" s="4">
        <f t="shared" si="386"/>
        <v>1.6144349477682812E-2</v>
      </c>
      <c r="G1245">
        <f t="shared" ca="1" si="387"/>
        <v>-9.3559122408752159E-4</v>
      </c>
      <c r="H1245">
        <f t="shared" ca="1" si="388"/>
        <v>3.2219813701519391E-2</v>
      </c>
      <c r="I1245">
        <f t="shared" ca="1" si="389"/>
        <v>0.18438491388235323</v>
      </c>
      <c r="J1245">
        <f t="shared" ca="1" si="390"/>
        <v>0.37241828325336179</v>
      </c>
      <c r="K1245">
        <f t="shared" ca="1" si="391"/>
        <v>0.92325343536622195</v>
      </c>
      <c r="L1245">
        <f t="shared" ca="1" si="392"/>
        <v>0.74185024923358256</v>
      </c>
      <c r="M1245">
        <f t="shared" ca="1" si="393"/>
        <v>-4.2428614900961717E-3</v>
      </c>
      <c r="N1245">
        <f t="shared" ca="1" si="394"/>
        <v>1.1652888250337582E-2</v>
      </c>
      <c r="O1245">
        <f t="shared" ca="1" si="395"/>
        <v>0.32975874247616765</v>
      </c>
      <c r="P1245">
        <f t="shared" ca="1" si="396"/>
        <v>-0.82061713387369739</v>
      </c>
      <c r="Q1245">
        <f t="shared" ca="1" si="397"/>
        <v>0.71471132868658971</v>
      </c>
      <c r="R1245">
        <f t="shared" ca="1" si="398"/>
        <v>0.22516736095658002</v>
      </c>
      <c r="T1245">
        <f t="shared" si="399"/>
        <v>1.0619049811251267</v>
      </c>
      <c r="U1245" s="6">
        <f t="shared" ca="1" si="400"/>
        <v>0.97654599567328682</v>
      </c>
      <c r="BJ1245" t="b">
        <f t="shared" si="383"/>
        <v>1</v>
      </c>
      <c r="BK1245" t="b">
        <f t="shared" si="384"/>
        <v>1</v>
      </c>
    </row>
    <row r="1246" spans="1:63" x14ac:dyDescent="0.45">
      <c r="A1246" s="1">
        <v>43427</v>
      </c>
      <c r="B1246">
        <v>21.722000000000001</v>
      </c>
      <c r="C1246" s="1">
        <v>43427</v>
      </c>
      <c r="D1246">
        <v>263.25</v>
      </c>
      <c r="E1246">
        <f t="shared" si="385"/>
        <v>-3.654750288299468E-2</v>
      </c>
      <c r="F1246" s="4">
        <f t="shared" si="386"/>
        <v>-6.6787412270771333E-3</v>
      </c>
      <c r="G1246">
        <f t="shared" ca="1" si="387"/>
        <v>-7.2196484590089328E-3</v>
      </c>
      <c r="H1246">
        <f t="shared" ca="1" si="388"/>
        <v>2.5900091512304386E-2</v>
      </c>
      <c r="I1246">
        <f t="shared" ca="1" si="389"/>
        <v>-0.65067459988035092</v>
      </c>
      <c r="J1246">
        <f t="shared" ca="1" si="390"/>
        <v>-0.65514675377941023</v>
      </c>
      <c r="K1246">
        <f t="shared" ca="1" si="391"/>
        <v>0.42795660718917766</v>
      </c>
      <c r="L1246">
        <f t="shared" ca="1" si="392"/>
        <v>0.61287154953223322</v>
      </c>
      <c r="M1246">
        <f t="shared" ca="1" si="393"/>
        <v>-6.281582586874071E-3</v>
      </c>
      <c r="N1246">
        <f t="shared" ca="1" si="394"/>
        <v>1.0003865017522848E-2</v>
      </c>
      <c r="O1246">
        <f t="shared" ca="1" si="395"/>
        <v>0.19269821989043967</v>
      </c>
      <c r="P1246">
        <f t="shared" ca="1" si="396"/>
        <v>-1.0167346874382739</v>
      </c>
      <c r="Q1246">
        <f t="shared" ca="1" si="397"/>
        <v>0.39095598660537295</v>
      </c>
      <c r="R1246">
        <f t="shared" ca="1" si="398"/>
        <v>9.8006614400052525E-2</v>
      </c>
      <c r="T1246">
        <f t="shared" si="399"/>
        <v>0.96345249711700531</v>
      </c>
      <c r="U1246" s="6">
        <f t="shared" ca="1" si="400"/>
        <v>0.93511212132952781</v>
      </c>
      <c r="BJ1246" t="b">
        <f t="shared" si="383"/>
        <v>1</v>
      </c>
      <c r="BK1246" t="b">
        <f t="shared" si="384"/>
        <v>1</v>
      </c>
    </row>
    <row r="1247" spans="1:63" x14ac:dyDescent="0.45">
      <c r="A1247" s="1">
        <v>43425</v>
      </c>
      <c r="B1247">
        <v>22.545999999999999</v>
      </c>
      <c r="C1247" s="1">
        <v>43425</v>
      </c>
      <c r="D1247">
        <v>265.02</v>
      </c>
      <c r="E1247">
        <f t="shared" si="385"/>
        <v>-2.6763360096693473E-2</v>
      </c>
      <c r="F1247" s="4">
        <f t="shared" si="386"/>
        <v>3.4075420263515723E-3</v>
      </c>
      <c r="G1247">
        <f t="shared" ca="1" si="387"/>
        <v>-3.960997967454959E-3</v>
      </c>
      <c r="H1247">
        <f t="shared" ca="1" si="388"/>
        <v>2.5203274565922557E-2</v>
      </c>
      <c r="I1247">
        <f t="shared" ca="1" si="389"/>
        <v>-1.0657153676808855</v>
      </c>
      <c r="J1247">
        <f t="shared" ca="1" si="390"/>
        <v>0.68304094877910071</v>
      </c>
      <c r="K1247">
        <f t="shared" ca="1" si="391"/>
        <v>0.46383198970939044</v>
      </c>
      <c r="L1247">
        <f t="shared" ca="1" si="392"/>
        <v>0.91945700574960032</v>
      </c>
      <c r="M1247">
        <f t="shared" ca="1" si="393"/>
        <v>-6.2374538490737293E-3</v>
      </c>
      <c r="N1247">
        <f t="shared" ca="1" si="394"/>
        <v>1.0609668800817785E-2</v>
      </c>
      <c r="O1247">
        <f t="shared" ca="1" si="395"/>
        <v>0.17088830182573234</v>
      </c>
      <c r="P1247">
        <f t="shared" ca="1" si="396"/>
        <v>-1.3532681448516422</v>
      </c>
      <c r="Q1247">
        <f t="shared" ca="1" si="397"/>
        <v>0.40964978153251624</v>
      </c>
      <c r="R1247">
        <f t="shared" ca="1" si="398"/>
        <v>0.15374651941258441</v>
      </c>
      <c r="T1247">
        <f t="shared" si="399"/>
        <v>0.97323663990330656</v>
      </c>
      <c r="U1247" s="6">
        <f t="shared" ca="1" si="400"/>
        <v>0.98311189405798549</v>
      </c>
      <c r="BJ1247" t="b">
        <f t="shared" si="383"/>
        <v>1</v>
      </c>
      <c r="BK1247" t="b">
        <f t="shared" si="384"/>
        <v>1</v>
      </c>
    </row>
    <row r="1248" spans="1:63" x14ac:dyDescent="0.45">
      <c r="A1248" s="1">
        <v>43424</v>
      </c>
      <c r="B1248">
        <v>23.166</v>
      </c>
      <c r="C1248" s="1">
        <v>43424</v>
      </c>
      <c r="D1248">
        <v>264.12</v>
      </c>
      <c r="E1248">
        <f t="shared" si="385"/>
        <v>-1.6919375167093072E-2</v>
      </c>
      <c r="F1248" s="4">
        <f t="shared" si="386"/>
        <v>-1.8506131549609877E-2</v>
      </c>
      <c r="G1248">
        <f t="shared" ca="1" si="387"/>
        <v>-1.1107027013001456E-3</v>
      </c>
      <c r="H1248">
        <f t="shared" ca="1" si="388"/>
        <v>2.5345327005908896E-2</v>
      </c>
      <c r="I1248">
        <f t="shared" ca="1" si="389"/>
        <v>-1.5552492426316509</v>
      </c>
      <c r="J1248">
        <f t="shared" ca="1" si="390"/>
        <v>2.5283179174925632</v>
      </c>
      <c r="K1248">
        <f t="shared" ca="1" si="391"/>
        <v>0.49337411242944168</v>
      </c>
      <c r="L1248">
        <f t="shared" ca="1" si="392"/>
        <v>2.589868549350919</v>
      </c>
      <c r="M1248">
        <f t="shared" ca="1" si="393"/>
        <v>-7.4430783335018924E-3</v>
      </c>
      <c r="N1248">
        <f t="shared" ca="1" si="394"/>
        <v>1.0662795049595698E-2</v>
      </c>
      <c r="O1248">
        <f t="shared" ca="1" si="395"/>
        <v>0.51302580093075512</v>
      </c>
      <c r="P1248">
        <f t="shared" ca="1" si="396"/>
        <v>-0.85866088773711624</v>
      </c>
      <c r="Q1248">
        <f t="shared" ca="1" si="397"/>
        <v>0.41315848508364983</v>
      </c>
      <c r="R1248">
        <f t="shared" ca="1" si="398"/>
        <v>-4.3504892599985419E-2</v>
      </c>
      <c r="T1248">
        <f t="shared" si="399"/>
        <v>0.98308062483290692</v>
      </c>
      <c r="U1248" s="6">
        <f t="shared" ca="1" si="400"/>
        <v>1.0258613054645294</v>
      </c>
      <c r="BJ1248" t="b">
        <f t="shared" si="383"/>
        <v>1</v>
      </c>
      <c r="BK1248" t="b">
        <f t="shared" si="384"/>
        <v>1</v>
      </c>
    </row>
    <row r="1249" spans="1:63" x14ac:dyDescent="0.45">
      <c r="A1249" s="1">
        <v>43423</v>
      </c>
      <c r="B1249">
        <v>23.564699999999998</v>
      </c>
      <c r="C1249" s="1">
        <v>43423</v>
      </c>
      <c r="D1249">
        <v>269.10000000000002</v>
      </c>
      <c r="E1249">
        <f t="shared" si="385"/>
        <v>-2.3708018814006756E-3</v>
      </c>
      <c r="F1249" s="4">
        <f t="shared" si="386"/>
        <v>-1.6914477770065377E-2</v>
      </c>
      <c r="G1249">
        <f t="shared" ca="1" si="387"/>
        <v>1.1476790795274159E-3</v>
      </c>
      <c r="H1249">
        <f t="shared" ca="1" si="388"/>
        <v>2.6492398482862483E-2</v>
      </c>
      <c r="I1249">
        <f t="shared" ca="1" si="389"/>
        <v>-1.9777360612709298</v>
      </c>
      <c r="J1249">
        <f t="shared" ca="1" si="390"/>
        <v>4.2374707330374708</v>
      </c>
      <c r="K1249">
        <f t="shared" ca="1" si="391"/>
        <v>0.53103532584405178</v>
      </c>
      <c r="L1249">
        <f t="shared" ca="1" si="392"/>
        <v>6.6048924664548112</v>
      </c>
      <c r="M1249">
        <f t="shared" ca="1" si="393"/>
        <v>-5.862642159772182E-3</v>
      </c>
      <c r="N1249">
        <f t="shared" ca="1" si="394"/>
        <v>1.04561847083493E-2</v>
      </c>
      <c r="O1249">
        <f t="shared" ca="1" si="395"/>
        <v>0.30235255939744105</v>
      </c>
      <c r="P1249">
        <f t="shared" ca="1" si="396"/>
        <v>-0.78738845857838946</v>
      </c>
      <c r="Q1249">
        <f t="shared" ca="1" si="397"/>
        <v>0.44540436404429007</v>
      </c>
      <c r="R1249">
        <f t="shared" ca="1" si="398"/>
        <v>2.7338378955715694E-2</v>
      </c>
      <c r="T1249">
        <f t="shared" si="399"/>
        <v>0.99762919811859929</v>
      </c>
      <c r="U1249" s="6">
        <f t="shared" ca="1" si="400"/>
        <v>1.0669857325913614</v>
      </c>
      <c r="BJ1249" t="b">
        <f t="shared" si="383"/>
        <v>1</v>
      </c>
      <c r="BK1249" t="b">
        <f t="shared" si="384"/>
        <v>1</v>
      </c>
    </row>
    <row r="1250" spans="1:63" x14ac:dyDescent="0.45">
      <c r="A1250" s="1">
        <v>43420</v>
      </c>
      <c r="B1250">
        <v>23.620699999999999</v>
      </c>
      <c r="C1250" s="1">
        <v>43420</v>
      </c>
      <c r="D1250">
        <v>273.73</v>
      </c>
      <c r="E1250">
        <f t="shared" si="385"/>
        <v>1.6849410012355123E-2</v>
      </c>
      <c r="F1250" s="4">
        <f t="shared" si="386"/>
        <v>2.6005420848290838E-3</v>
      </c>
      <c r="G1250">
        <f t="shared" ca="1" si="387"/>
        <v>1.7340925730154318E-3</v>
      </c>
      <c r="H1250">
        <f t="shared" ca="1" si="388"/>
        <v>2.8971158317416871E-2</v>
      </c>
      <c r="I1250">
        <f t="shared" ca="1" si="389"/>
        <v>-2.0349339880424338</v>
      </c>
      <c r="J1250">
        <f t="shared" ca="1" si="390"/>
        <v>4.2339309263842644</v>
      </c>
      <c r="K1250">
        <f t="shared" ca="1" si="391"/>
        <v>0.5045316809143926</v>
      </c>
      <c r="L1250">
        <f t="shared" ca="1" si="392"/>
        <v>12.471933402530887</v>
      </c>
      <c r="M1250">
        <f t="shared" ca="1" si="393"/>
        <v>-4.0206695580566479E-3</v>
      </c>
      <c r="N1250">
        <f t="shared" ca="1" si="394"/>
        <v>1.0134007530892579E-2</v>
      </c>
      <c r="O1250">
        <f t="shared" ca="1" si="395"/>
        <v>-1.2611882305672997E-2</v>
      </c>
      <c r="P1250">
        <f t="shared" ca="1" si="396"/>
        <v>-7.5515469235703847E-2</v>
      </c>
      <c r="Q1250">
        <f t="shared" ca="1" si="397"/>
        <v>0.51517312252648195</v>
      </c>
      <c r="R1250">
        <f t="shared" ca="1" si="398"/>
        <v>0.16409226782293382</v>
      </c>
      <c r="T1250">
        <f t="shared" si="399"/>
        <v>1.0168494100123551</v>
      </c>
      <c r="U1250" s="6">
        <f t="shared" ca="1" si="400"/>
        <v>1.0108442139228753</v>
      </c>
      <c r="BJ1250" t="b">
        <f t="shared" si="383"/>
        <v>1</v>
      </c>
      <c r="BK1250" t="b">
        <f t="shared" si="384"/>
        <v>1</v>
      </c>
    </row>
    <row r="1251" spans="1:63" x14ac:dyDescent="0.45">
      <c r="A1251" s="1">
        <v>43419</v>
      </c>
      <c r="B1251">
        <v>23.229299999999999</v>
      </c>
      <c r="C1251" s="1">
        <v>43419</v>
      </c>
      <c r="D1251">
        <v>273.02</v>
      </c>
      <c r="E1251">
        <f t="shared" si="385"/>
        <v>1.2906995504353903E-2</v>
      </c>
      <c r="F1251" s="4">
        <f t="shared" si="386"/>
        <v>1.043671354552181E-2</v>
      </c>
      <c r="G1251">
        <f t="shared" ca="1" si="387"/>
        <v>-1.2889709148525071E-3</v>
      </c>
      <c r="H1251">
        <f t="shared" ca="1" si="388"/>
        <v>3.1314823509456968E-2</v>
      </c>
      <c r="I1251">
        <f t="shared" ca="1" si="389"/>
        <v>-1.8003234364979064</v>
      </c>
      <c r="J1251">
        <f t="shared" ca="1" si="390"/>
        <v>3.2815480077022201</v>
      </c>
      <c r="K1251">
        <f t="shared" ca="1" si="391"/>
        <v>0.47532816257361682</v>
      </c>
      <c r="L1251">
        <f t="shared" ca="1" si="392"/>
        <v>6.1353651876125124</v>
      </c>
      <c r="M1251">
        <f t="shared" ca="1" si="393"/>
        <v>-5.344911886633795E-3</v>
      </c>
      <c r="N1251">
        <f t="shared" ca="1" si="394"/>
        <v>1.0734081363082204E-2</v>
      </c>
      <c r="O1251">
        <f t="shared" ca="1" si="395"/>
        <v>0.50821910911709667</v>
      </c>
      <c r="P1251">
        <f t="shared" ca="1" si="396"/>
        <v>0.87284485910032217</v>
      </c>
      <c r="Q1251">
        <f t="shared" ca="1" si="397"/>
        <v>0.47185210505081376</v>
      </c>
      <c r="R1251">
        <f t="shared" ca="1" si="398"/>
        <v>-0.19154658992037801</v>
      </c>
      <c r="T1251">
        <f t="shared" si="399"/>
        <v>1.0129069955043539</v>
      </c>
      <c r="U1251" s="6">
        <f t="shared" ca="1" si="400"/>
        <v>0.99409431128114922</v>
      </c>
      <c r="BJ1251" t="b">
        <f t="shared" si="383"/>
        <v>1</v>
      </c>
      <c r="BK1251" t="b">
        <f t="shared" si="384"/>
        <v>1</v>
      </c>
    </row>
    <row r="1252" spans="1:63" x14ac:dyDescent="0.45">
      <c r="A1252" s="1">
        <v>43418</v>
      </c>
      <c r="B1252">
        <v>22.933299999999999</v>
      </c>
      <c r="C1252" s="1">
        <v>43418</v>
      </c>
      <c r="D1252">
        <v>270.2</v>
      </c>
      <c r="E1252">
        <f t="shared" si="385"/>
        <v>1.5556638030289539E-2</v>
      </c>
      <c r="F1252" s="4">
        <f t="shared" si="386"/>
        <v>-6.836727192531109E-3</v>
      </c>
      <c r="G1252">
        <f t="shared" ca="1" si="387"/>
        <v>-4.83796251965411E-3</v>
      </c>
      <c r="H1252">
        <f t="shared" ca="1" si="388"/>
        <v>3.4978878662676377E-2</v>
      </c>
      <c r="I1252">
        <f t="shared" ca="1" si="389"/>
        <v>-1.4998335583280167</v>
      </c>
      <c r="J1252">
        <f t="shared" ca="1" si="390"/>
        <v>2.071749561819388</v>
      </c>
      <c r="K1252">
        <f t="shared" ca="1" si="391"/>
        <v>0.45624947326043103</v>
      </c>
      <c r="L1252">
        <f t="shared" ca="1" si="392"/>
        <v>1.1070965519761915</v>
      </c>
      <c r="M1252">
        <f t="shared" ca="1" si="393"/>
        <v>-9.2903182446726958E-3</v>
      </c>
      <c r="N1252">
        <f t="shared" ca="1" si="394"/>
        <v>7.0606275508625794E-3</v>
      </c>
      <c r="O1252">
        <f t="shared" ca="1" si="395"/>
        <v>-0.76928839528105675</v>
      </c>
      <c r="P1252">
        <f t="shared" ca="1" si="396"/>
        <v>1.0614661454299021</v>
      </c>
      <c r="Q1252">
        <f t="shared" ca="1" si="397"/>
        <v>-0.15079420822555065</v>
      </c>
      <c r="R1252">
        <f t="shared" ca="1" si="398"/>
        <v>-0.46637333851227281</v>
      </c>
      <c r="T1252">
        <f t="shared" si="399"/>
        <v>1.0155566380302896</v>
      </c>
      <c r="U1252" s="6">
        <f t="shared" ca="1" si="400"/>
        <v>0.98142703692767241</v>
      </c>
      <c r="BJ1252" t="b">
        <f t="shared" si="383"/>
        <v>1</v>
      </c>
      <c r="BK1252" t="b">
        <f t="shared" si="384"/>
        <v>1</v>
      </c>
    </row>
    <row r="1253" spans="1:63" x14ac:dyDescent="0.45">
      <c r="A1253" s="1">
        <v>43417</v>
      </c>
      <c r="B1253">
        <v>22.582000000000001</v>
      </c>
      <c r="C1253" s="1">
        <v>43417</v>
      </c>
      <c r="D1253">
        <v>272.06</v>
      </c>
      <c r="E1253">
        <f t="shared" si="385"/>
        <v>2.2490072582215345E-2</v>
      </c>
      <c r="F1253" s="4">
        <f t="shared" si="386"/>
        <v>-1.8710789888835562E-3</v>
      </c>
      <c r="G1253">
        <f t="shared" ca="1" si="387"/>
        <v>-1.1636162702968659E-2</v>
      </c>
      <c r="H1253">
        <f t="shared" ca="1" si="388"/>
        <v>3.947137917976578E-2</v>
      </c>
      <c r="I1253">
        <f t="shared" ca="1" si="389"/>
        <v>-0.98237460913579966</v>
      </c>
      <c r="J1253" t="e">
        <f t="shared" ca="1" si="390"/>
        <v>#DIV/0!</v>
      </c>
      <c r="K1253">
        <f t="shared" ca="1" si="391"/>
        <v>0.40272834654704681</v>
      </c>
      <c r="L1253">
        <f t="shared" ca="1" si="392"/>
        <v>0.34764816316008995</v>
      </c>
      <c r="M1253">
        <f t="shared" ca="1" si="393"/>
        <v>-1.0108181928719892E-2</v>
      </c>
      <c r="N1253">
        <f t="shared" ca="1" si="394"/>
        <v>8.4122105349248143E-3</v>
      </c>
      <c r="O1253">
        <f t="shared" ca="1" si="395"/>
        <v>-0.18153397648353795</v>
      </c>
      <c r="P1253" t="e">
        <f t="shared" ca="1" si="396"/>
        <v>#DIV/0!</v>
      </c>
      <c r="Q1253">
        <f t="shared" ca="1" si="397"/>
        <v>-0.14953762226433642</v>
      </c>
      <c r="R1253">
        <f t="shared" ca="1" si="398"/>
        <v>-0.40906614355827348</v>
      </c>
      <c r="T1253">
        <f t="shared" si="399"/>
        <v>1.0224900725822152</v>
      </c>
      <c r="U1253" s="6">
        <f t="shared" ca="1" si="400"/>
        <v>0.96639320760207625</v>
      </c>
      <c r="BJ1253" t="b">
        <f t="shared" si="383"/>
        <v>1</v>
      </c>
      <c r="BK1253" t="b">
        <f t="shared" si="384"/>
        <v>1</v>
      </c>
    </row>
    <row r="1254" spans="1:63" x14ac:dyDescent="0.45">
      <c r="A1254" s="1">
        <v>43416</v>
      </c>
      <c r="B1254">
        <v>22.0853</v>
      </c>
      <c r="C1254" s="1">
        <v>43416</v>
      </c>
      <c r="D1254">
        <v>272.57</v>
      </c>
      <c r="E1254">
        <f t="shared" si="385"/>
        <v>-5.4862992301207246E-2</v>
      </c>
      <c r="F1254" s="4">
        <f t="shared" si="386"/>
        <v>-1.8685195852534555E-2</v>
      </c>
      <c r="G1254">
        <f t="shared" ca="1" si="387"/>
        <v>-2.8699280345560661E-2</v>
      </c>
      <c r="H1254">
        <f t="shared" ca="1" si="388"/>
        <v>3.7001076289698495E-2</v>
      </c>
      <c r="I1254" t="e">
        <f t="shared" ca="1" si="389"/>
        <v>#DIV/0!</v>
      </c>
      <c r="J1254" t="e">
        <f t="shared" ca="1" si="390"/>
        <v>#DIV/0!</v>
      </c>
      <c r="K1254">
        <f t="shared" ca="1" si="391"/>
        <v>-9.8608091326356256E-2</v>
      </c>
      <c r="L1254">
        <f t="shared" ca="1" si="392"/>
        <v>-0.37379127860140671</v>
      </c>
      <c r="M1254">
        <f t="shared" ca="1" si="393"/>
        <v>-1.422673339863806E-2</v>
      </c>
      <c r="N1254">
        <f t="shared" ca="1" si="394"/>
        <v>6.3052180696316525E-3</v>
      </c>
      <c r="O1254" t="e">
        <f t="shared" ca="1" si="395"/>
        <v>#DIV/0!</v>
      </c>
      <c r="P1254" t="e">
        <f t="shared" ca="1" si="396"/>
        <v>#DIV/0!</v>
      </c>
      <c r="Q1254">
        <f t="shared" ca="1" si="397"/>
        <v>-0.5600044634338297</v>
      </c>
      <c r="R1254">
        <f t="shared" ca="1" si="398"/>
        <v>-0.72906708568367218</v>
      </c>
      <c r="T1254">
        <f t="shared" si="399"/>
        <v>0.94513700769879272</v>
      </c>
      <c r="U1254" s="6">
        <f t="shared" ca="1" si="400"/>
        <v>0.94513700769879272</v>
      </c>
      <c r="BJ1254" t="b">
        <f t="shared" si="383"/>
        <v>1</v>
      </c>
      <c r="BK1254" t="b">
        <f t="shared" si="384"/>
        <v>1</v>
      </c>
    </row>
    <row r="1255" spans="1:63" x14ac:dyDescent="0.45">
      <c r="A1255" s="1">
        <v>43413</v>
      </c>
      <c r="B1255">
        <v>23.3673</v>
      </c>
      <c r="C1255" s="1">
        <v>43413</v>
      </c>
      <c r="D1255">
        <v>277.76</v>
      </c>
      <c r="E1255">
        <f t="shared" si="385"/>
        <v>-2.5355683899140774E-3</v>
      </c>
      <c r="F1255" s="4">
        <f t="shared" si="386"/>
        <v>-9.7682709447415653E-3</v>
      </c>
      <c r="G1255">
        <f t="shared" ca="1" si="387"/>
        <v>-2.5355683899140774E-3</v>
      </c>
      <c r="H1255" t="e">
        <f t="shared" ca="1" si="388"/>
        <v>#DIV/0!</v>
      </c>
      <c r="I1255" t="e">
        <f t="shared" ca="1" si="389"/>
        <v>#DIV/0!</v>
      </c>
      <c r="J1255" t="e">
        <f t="shared" ca="1" si="390"/>
        <v>#DIV/0!</v>
      </c>
      <c r="K1255">
        <f t="shared" ca="1" si="391"/>
        <v>-1</v>
      </c>
      <c r="L1255">
        <f t="shared" ca="1" si="392"/>
        <v>-1</v>
      </c>
      <c r="M1255">
        <f t="shared" ca="1" si="393"/>
        <v>-9.7682709447415653E-3</v>
      </c>
      <c r="N1255" t="e">
        <f t="shared" ca="1" si="394"/>
        <v>#DIV/0!</v>
      </c>
      <c r="O1255" t="e">
        <f t="shared" ca="1" si="395"/>
        <v>#DIV/0!</v>
      </c>
      <c r="P1255" t="e">
        <f t="shared" ca="1" si="396"/>
        <v>#DIV/0!</v>
      </c>
      <c r="Q1255">
        <f t="shared" ca="1" si="397"/>
        <v>-1</v>
      </c>
      <c r="R1255">
        <f t="shared" ca="1" si="398"/>
        <v>-1</v>
      </c>
      <c r="U1255" s="6">
        <f t="shared" ca="1" si="400"/>
        <v>1</v>
      </c>
      <c r="BJ1255" t="b">
        <f t="shared" si="383"/>
        <v>1</v>
      </c>
      <c r="BK1255" t="b">
        <f t="shared" si="384"/>
        <v>1</v>
      </c>
    </row>
    <row r="1256" spans="1:63" x14ac:dyDescent="0.45">
      <c r="B1256">
        <v>23.4267</v>
      </c>
      <c r="D1256">
        <v>280.5</v>
      </c>
      <c r="T1256">
        <f t="shared" si="399"/>
        <v>1</v>
      </c>
      <c r="U1256" s="6">
        <f t="shared" ca="1" si="400"/>
        <v>1</v>
      </c>
      <c r="BJ1256" t="b">
        <f t="shared" si="383"/>
        <v>1</v>
      </c>
      <c r="BK1256" t="b">
        <f t="shared" si="384"/>
        <v>1</v>
      </c>
    </row>
    <row r="1257" spans="1:63" x14ac:dyDescent="0.45">
      <c r="T1257">
        <f t="shared" si="399"/>
        <v>1</v>
      </c>
      <c r="U1257" s="6">
        <f t="shared" ca="1" si="400"/>
        <v>1</v>
      </c>
      <c r="BJ1257" t="b">
        <f t="shared" si="383"/>
        <v>1</v>
      </c>
      <c r="BK1257" t="b">
        <f t="shared" si="384"/>
        <v>1</v>
      </c>
    </row>
    <row r="1258" spans="1:63" x14ac:dyDescent="0.45">
      <c r="T1258">
        <f t="shared" si="399"/>
        <v>1</v>
      </c>
      <c r="U1258" s="6">
        <f t="shared" ca="1" si="400"/>
        <v>1</v>
      </c>
      <c r="BJ1258" t="b">
        <f t="shared" si="383"/>
        <v>1</v>
      </c>
      <c r="BK1258" t="b">
        <f t="shared" si="384"/>
        <v>1</v>
      </c>
    </row>
    <row r="1259" spans="1:63" x14ac:dyDescent="0.45">
      <c r="T1259">
        <f t="shared" si="399"/>
        <v>1</v>
      </c>
      <c r="U1259" s="6">
        <f t="shared" ca="1" si="400"/>
        <v>1</v>
      </c>
      <c r="BJ1259" t="b">
        <f t="shared" si="383"/>
        <v>1</v>
      </c>
      <c r="BK1259" t="b">
        <f t="shared" si="384"/>
        <v>1</v>
      </c>
    </row>
    <row r="1260" spans="1:63" x14ac:dyDescent="0.45">
      <c r="T1260">
        <f t="shared" si="399"/>
        <v>1</v>
      </c>
      <c r="U1260" s="6">
        <f t="shared" ca="1" si="400"/>
        <v>1</v>
      </c>
      <c r="BJ1260" t="b">
        <f t="shared" si="383"/>
        <v>1</v>
      </c>
      <c r="BK1260" t="b">
        <f t="shared" si="384"/>
        <v>1</v>
      </c>
    </row>
    <row r="1261" spans="1:63" x14ac:dyDescent="0.45">
      <c r="T1261">
        <f t="shared" si="399"/>
        <v>1</v>
      </c>
      <c r="U1261" s="6">
        <f t="shared" ca="1" si="400"/>
        <v>1</v>
      </c>
      <c r="BJ1261" t="b">
        <f t="shared" si="383"/>
        <v>1</v>
      </c>
      <c r="BK1261" t="b">
        <f t="shared" si="384"/>
        <v>1</v>
      </c>
    </row>
    <row r="1262" spans="1:63" x14ac:dyDescent="0.45">
      <c r="T1262">
        <f t="shared" si="399"/>
        <v>1</v>
      </c>
      <c r="U1262" s="6">
        <f t="shared" ca="1" si="400"/>
        <v>1</v>
      </c>
      <c r="BJ1262" t="b">
        <f t="shared" si="383"/>
        <v>1</v>
      </c>
      <c r="BK1262" t="b">
        <f t="shared" si="384"/>
        <v>1</v>
      </c>
    </row>
    <row r="1263" spans="1:63" x14ac:dyDescent="0.45">
      <c r="T1263">
        <f t="shared" si="399"/>
        <v>1</v>
      </c>
      <c r="U1263" s="6">
        <f t="shared" ca="1" si="400"/>
        <v>1</v>
      </c>
      <c r="BJ1263" t="b">
        <f t="shared" si="383"/>
        <v>1</v>
      </c>
      <c r="BK1263" t="b">
        <f t="shared" si="384"/>
        <v>1</v>
      </c>
    </row>
    <row r="1264" spans="1:63" x14ac:dyDescent="0.45">
      <c r="T1264">
        <f t="shared" si="399"/>
        <v>1</v>
      </c>
      <c r="U1264" s="6">
        <f t="shared" ca="1" si="400"/>
        <v>1</v>
      </c>
      <c r="BJ1264" t="b">
        <f t="shared" si="383"/>
        <v>1</v>
      </c>
      <c r="BK1264" t="b">
        <f t="shared" si="384"/>
        <v>1</v>
      </c>
    </row>
    <row r="1265" spans="20:63" x14ac:dyDescent="0.45">
      <c r="T1265">
        <f t="shared" si="399"/>
        <v>1</v>
      </c>
      <c r="U1265" s="6">
        <f t="shared" ca="1" si="400"/>
        <v>1</v>
      </c>
      <c r="BJ1265" t="b">
        <f t="shared" si="383"/>
        <v>1</v>
      </c>
      <c r="BK1265" t="b">
        <f t="shared" si="384"/>
        <v>1</v>
      </c>
    </row>
    <row r="1266" spans="20:63" x14ac:dyDescent="0.45">
      <c r="T1266">
        <f t="shared" si="399"/>
        <v>1</v>
      </c>
      <c r="U1266" s="6">
        <f t="shared" ca="1" si="400"/>
        <v>1</v>
      </c>
      <c r="BJ1266" t="b">
        <f t="shared" si="383"/>
        <v>1</v>
      </c>
      <c r="BK1266" t="b">
        <f t="shared" si="384"/>
        <v>1</v>
      </c>
    </row>
    <row r="1267" spans="20:63" x14ac:dyDescent="0.45">
      <c r="T1267">
        <f t="shared" si="399"/>
        <v>1</v>
      </c>
      <c r="U1267" s="6">
        <f t="shared" ca="1" si="400"/>
        <v>1</v>
      </c>
      <c r="BJ1267" t="b">
        <f t="shared" si="383"/>
        <v>1</v>
      </c>
      <c r="BK1267" t="b">
        <f t="shared" si="384"/>
        <v>1</v>
      </c>
    </row>
    <row r="1268" spans="20:63" x14ac:dyDescent="0.45">
      <c r="T1268">
        <f t="shared" si="399"/>
        <v>1</v>
      </c>
      <c r="U1268" s="6">
        <f t="shared" ca="1" si="400"/>
        <v>1</v>
      </c>
      <c r="BJ1268" t="b">
        <f t="shared" si="383"/>
        <v>1</v>
      </c>
      <c r="BK1268" t="b">
        <f t="shared" si="384"/>
        <v>1</v>
      </c>
    </row>
    <row r="1269" spans="20:63" x14ac:dyDescent="0.45">
      <c r="T1269">
        <f t="shared" si="399"/>
        <v>1</v>
      </c>
      <c r="U1269" s="6">
        <f t="shared" ca="1" si="400"/>
        <v>1</v>
      </c>
      <c r="BJ1269" t="b">
        <f t="shared" si="383"/>
        <v>1</v>
      </c>
      <c r="BK1269" t="b">
        <f t="shared" si="384"/>
        <v>1</v>
      </c>
    </row>
    <row r="1270" spans="20:63" x14ac:dyDescent="0.45">
      <c r="T1270">
        <f t="shared" si="399"/>
        <v>1</v>
      </c>
      <c r="U1270" s="6">
        <f t="shared" ca="1" si="400"/>
        <v>1</v>
      </c>
      <c r="BJ1270" t="b">
        <f t="shared" si="383"/>
        <v>1</v>
      </c>
      <c r="BK1270" t="b">
        <f t="shared" si="384"/>
        <v>1</v>
      </c>
    </row>
    <row r="1271" spans="20:63" x14ac:dyDescent="0.45">
      <c r="T1271">
        <f t="shared" si="399"/>
        <v>1</v>
      </c>
      <c r="U1271" s="6">
        <f t="shared" ca="1" si="400"/>
        <v>1</v>
      </c>
      <c r="BJ1271" t="b">
        <f t="shared" si="383"/>
        <v>1</v>
      </c>
      <c r="BK1271" t="b">
        <f t="shared" si="384"/>
        <v>1</v>
      </c>
    </row>
    <row r="1272" spans="20:63" x14ac:dyDescent="0.45">
      <c r="T1272">
        <f t="shared" si="399"/>
        <v>1</v>
      </c>
      <c r="U1272" s="6">
        <f t="shared" ca="1" si="400"/>
        <v>1</v>
      </c>
      <c r="BJ1272" t="b">
        <f t="shared" si="383"/>
        <v>1</v>
      </c>
      <c r="BK1272" t="b">
        <f t="shared" si="384"/>
        <v>1</v>
      </c>
    </row>
    <row r="1273" spans="20:63" x14ac:dyDescent="0.45">
      <c r="T1273">
        <f t="shared" si="399"/>
        <v>1</v>
      </c>
      <c r="U1273" s="6">
        <f t="shared" ca="1" si="400"/>
        <v>1</v>
      </c>
      <c r="BJ1273" t="b">
        <f t="shared" si="383"/>
        <v>1</v>
      </c>
      <c r="BK1273" t="b">
        <f t="shared" si="384"/>
        <v>1</v>
      </c>
    </row>
    <row r="1274" spans="20:63" x14ac:dyDescent="0.45">
      <c r="T1274">
        <f t="shared" si="399"/>
        <v>1</v>
      </c>
      <c r="U1274" s="6">
        <f t="shared" ca="1" si="400"/>
        <v>1</v>
      </c>
      <c r="BJ1274" t="b">
        <f t="shared" si="383"/>
        <v>1</v>
      </c>
      <c r="BK1274" t="b">
        <f t="shared" si="384"/>
        <v>1</v>
      </c>
    </row>
    <row r="1275" spans="20:63" x14ac:dyDescent="0.45">
      <c r="T1275">
        <f t="shared" si="399"/>
        <v>1</v>
      </c>
      <c r="U1275" s="6">
        <f t="shared" ca="1" si="400"/>
        <v>1</v>
      </c>
      <c r="BJ1275" t="b">
        <f t="shared" si="383"/>
        <v>1</v>
      </c>
      <c r="BK1275" t="b">
        <f t="shared" si="384"/>
        <v>1</v>
      </c>
    </row>
    <row r="1276" spans="20:63" x14ac:dyDescent="0.45">
      <c r="T1276">
        <f t="shared" si="399"/>
        <v>1</v>
      </c>
      <c r="U1276" s="6">
        <f t="shared" ca="1" si="400"/>
        <v>1</v>
      </c>
      <c r="BJ1276" t="b">
        <f t="shared" si="383"/>
        <v>1</v>
      </c>
      <c r="BK1276" t="b">
        <f t="shared" si="384"/>
        <v>1</v>
      </c>
    </row>
    <row r="1277" spans="20:63" x14ac:dyDescent="0.45">
      <c r="T1277">
        <f t="shared" si="399"/>
        <v>1</v>
      </c>
      <c r="U1277" s="6">
        <f t="shared" ca="1" si="400"/>
        <v>1</v>
      </c>
      <c r="BJ1277" t="b">
        <f t="shared" si="383"/>
        <v>1</v>
      </c>
      <c r="BK1277" t="b">
        <f t="shared" si="384"/>
        <v>1</v>
      </c>
    </row>
    <row r="1278" spans="20:63" x14ac:dyDescent="0.45">
      <c r="T1278">
        <f t="shared" si="399"/>
        <v>1</v>
      </c>
      <c r="U1278" s="6">
        <f t="shared" ca="1" si="400"/>
        <v>1</v>
      </c>
      <c r="BJ1278" t="b">
        <f t="shared" si="383"/>
        <v>1</v>
      </c>
      <c r="BK1278" t="b">
        <f t="shared" si="384"/>
        <v>1</v>
      </c>
    </row>
    <row r="1279" spans="20:63" x14ac:dyDescent="0.45">
      <c r="T1279">
        <f t="shared" si="399"/>
        <v>1</v>
      </c>
      <c r="U1279" s="6">
        <f t="shared" ca="1" si="400"/>
        <v>1</v>
      </c>
      <c r="BJ1279" t="b">
        <f t="shared" si="383"/>
        <v>1</v>
      </c>
      <c r="BK1279" t="b">
        <f t="shared" si="384"/>
        <v>1</v>
      </c>
    </row>
    <row r="1280" spans="20:63" x14ac:dyDescent="0.45">
      <c r="T1280">
        <f t="shared" si="399"/>
        <v>1</v>
      </c>
      <c r="U1280" s="6">
        <f t="shared" ca="1" si="400"/>
        <v>1</v>
      </c>
      <c r="BJ1280" t="b">
        <f t="shared" si="383"/>
        <v>1</v>
      </c>
      <c r="BK1280" t="b">
        <f t="shared" si="384"/>
        <v>1</v>
      </c>
    </row>
    <row r="1281" spans="20:63" x14ac:dyDescent="0.45">
      <c r="T1281">
        <f t="shared" si="399"/>
        <v>1</v>
      </c>
      <c r="U1281" s="6">
        <f t="shared" ca="1" si="400"/>
        <v>1</v>
      </c>
      <c r="BJ1281" t="b">
        <f t="shared" si="383"/>
        <v>1</v>
      </c>
      <c r="BK1281" t="b">
        <f t="shared" si="384"/>
        <v>1</v>
      </c>
    </row>
    <row r="1282" spans="20:63" x14ac:dyDescent="0.45">
      <c r="T1282">
        <f t="shared" si="399"/>
        <v>1</v>
      </c>
      <c r="U1282" s="6">
        <f t="shared" ca="1" si="400"/>
        <v>1</v>
      </c>
      <c r="BJ1282" t="b">
        <f t="shared" si="383"/>
        <v>1</v>
      </c>
      <c r="BK1282" t="b">
        <f t="shared" ref="BK1282:BK1345" si="401">AND(X1282,BJ1282)</f>
        <v>1</v>
      </c>
    </row>
    <row r="1283" spans="20:63" x14ac:dyDescent="0.45">
      <c r="T1283">
        <f t="shared" ref="T1283:T1346" si="402">E1283+1</f>
        <v>1</v>
      </c>
      <c r="U1283" s="6">
        <f t="shared" ref="U1283:U1340" ca="1" si="403">PRODUCT(OFFSET(T1283,0,0,$S$6,1))</f>
        <v>1</v>
      </c>
      <c r="BJ1283" t="b">
        <f t="shared" si="383"/>
        <v>1</v>
      </c>
      <c r="BK1283" t="b">
        <f t="shared" si="401"/>
        <v>1</v>
      </c>
    </row>
    <row r="1284" spans="20:63" x14ac:dyDescent="0.45">
      <c r="T1284">
        <f t="shared" si="402"/>
        <v>1</v>
      </c>
      <c r="U1284" s="6">
        <f t="shared" ca="1" si="403"/>
        <v>1</v>
      </c>
      <c r="BJ1284" t="b">
        <f t="shared" si="383"/>
        <v>1</v>
      </c>
      <c r="BK1284" t="b">
        <f t="shared" si="401"/>
        <v>1</v>
      </c>
    </row>
    <row r="1285" spans="20:63" x14ac:dyDescent="0.45">
      <c r="T1285">
        <f t="shared" si="402"/>
        <v>1</v>
      </c>
      <c r="U1285" s="6">
        <f t="shared" ca="1" si="403"/>
        <v>1</v>
      </c>
      <c r="BJ1285" t="b">
        <f t="shared" si="383"/>
        <v>1</v>
      </c>
      <c r="BK1285" t="b">
        <f t="shared" si="401"/>
        <v>1</v>
      </c>
    </row>
    <row r="1286" spans="20:63" x14ac:dyDescent="0.45">
      <c r="T1286">
        <f t="shared" si="402"/>
        <v>1</v>
      </c>
      <c r="U1286" s="6">
        <f t="shared" ca="1" si="403"/>
        <v>1</v>
      </c>
    </row>
    <row r="1287" spans="20:63" x14ac:dyDescent="0.45">
      <c r="T1287">
        <f t="shared" si="402"/>
        <v>1</v>
      </c>
      <c r="U1287" s="6">
        <f t="shared" ca="1" si="403"/>
        <v>1</v>
      </c>
    </row>
    <row r="1288" spans="20:63" x14ac:dyDescent="0.45">
      <c r="T1288">
        <f t="shared" si="402"/>
        <v>1</v>
      </c>
      <c r="U1288" s="6">
        <f t="shared" ca="1" si="403"/>
        <v>1</v>
      </c>
    </row>
    <row r="1289" spans="20:63" x14ac:dyDescent="0.45">
      <c r="T1289">
        <f t="shared" si="402"/>
        <v>1</v>
      </c>
      <c r="U1289" s="6">
        <f t="shared" ca="1" si="403"/>
        <v>1</v>
      </c>
    </row>
    <row r="1290" spans="20:63" x14ac:dyDescent="0.45">
      <c r="T1290">
        <f t="shared" si="402"/>
        <v>1</v>
      </c>
      <c r="U1290" s="6">
        <f t="shared" ca="1" si="403"/>
        <v>1</v>
      </c>
    </row>
    <row r="1291" spans="20:63" x14ac:dyDescent="0.45">
      <c r="T1291">
        <f t="shared" si="402"/>
        <v>1</v>
      </c>
      <c r="U1291" s="6">
        <f t="shared" ca="1" si="403"/>
        <v>1</v>
      </c>
    </row>
    <row r="1292" spans="20:63" x14ac:dyDescent="0.45">
      <c r="T1292">
        <f t="shared" si="402"/>
        <v>1</v>
      </c>
      <c r="U1292" s="6">
        <f t="shared" ca="1" si="403"/>
        <v>1</v>
      </c>
    </row>
    <row r="1293" spans="20:63" x14ac:dyDescent="0.45">
      <c r="T1293">
        <f t="shared" si="402"/>
        <v>1</v>
      </c>
      <c r="U1293" s="6">
        <f t="shared" ca="1" si="403"/>
        <v>1</v>
      </c>
    </row>
    <row r="1294" spans="20:63" x14ac:dyDescent="0.45">
      <c r="T1294">
        <f t="shared" si="402"/>
        <v>1</v>
      </c>
      <c r="U1294" s="6">
        <f t="shared" ca="1" si="403"/>
        <v>1</v>
      </c>
    </row>
    <row r="1295" spans="20:63" x14ac:dyDescent="0.45">
      <c r="T1295">
        <f t="shared" si="402"/>
        <v>1</v>
      </c>
      <c r="U1295" s="6">
        <f t="shared" ca="1" si="403"/>
        <v>1</v>
      </c>
    </row>
    <row r="1296" spans="20:63" x14ac:dyDescent="0.45">
      <c r="T1296">
        <f t="shared" si="402"/>
        <v>1</v>
      </c>
      <c r="U1296" s="6">
        <f t="shared" ca="1" si="403"/>
        <v>1</v>
      </c>
    </row>
    <row r="1297" spans="20:21" x14ac:dyDescent="0.45">
      <c r="T1297">
        <f t="shared" si="402"/>
        <v>1</v>
      </c>
      <c r="U1297" s="6">
        <f t="shared" ca="1" si="403"/>
        <v>1</v>
      </c>
    </row>
    <row r="1298" spans="20:21" x14ac:dyDescent="0.45">
      <c r="T1298">
        <f t="shared" si="402"/>
        <v>1</v>
      </c>
      <c r="U1298" s="6">
        <f t="shared" ca="1" si="403"/>
        <v>1</v>
      </c>
    </row>
    <row r="1299" spans="20:21" x14ac:dyDescent="0.45">
      <c r="T1299">
        <f t="shared" si="402"/>
        <v>1</v>
      </c>
      <c r="U1299" s="6">
        <f t="shared" ca="1" si="403"/>
        <v>1</v>
      </c>
    </row>
    <row r="1300" spans="20:21" x14ac:dyDescent="0.45">
      <c r="T1300">
        <f t="shared" si="402"/>
        <v>1</v>
      </c>
      <c r="U1300" s="6">
        <f t="shared" ca="1" si="403"/>
        <v>1</v>
      </c>
    </row>
    <row r="1301" spans="20:21" x14ac:dyDescent="0.45">
      <c r="T1301">
        <f t="shared" si="402"/>
        <v>1</v>
      </c>
      <c r="U1301" s="6">
        <f t="shared" ca="1" si="403"/>
        <v>1</v>
      </c>
    </row>
    <row r="1302" spans="20:21" x14ac:dyDescent="0.45">
      <c r="T1302">
        <f t="shared" si="402"/>
        <v>1</v>
      </c>
      <c r="U1302" s="6">
        <f t="shared" ca="1" si="403"/>
        <v>1</v>
      </c>
    </row>
    <row r="1303" spans="20:21" x14ac:dyDescent="0.45">
      <c r="T1303">
        <f t="shared" si="402"/>
        <v>1</v>
      </c>
      <c r="U1303" s="6">
        <f t="shared" ca="1" si="403"/>
        <v>1</v>
      </c>
    </row>
    <row r="1304" spans="20:21" x14ac:dyDescent="0.45">
      <c r="T1304">
        <f t="shared" si="402"/>
        <v>1</v>
      </c>
      <c r="U1304" s="6">
        <f t="shared" ca="1" si="403"/>
        <v>1</v>
      </c>
    </row>
    <row r="1305" spans="20:21" x14ac:dyDescent="0.45">
      <c r="T1305">
        <f t="shared" si="402"/>
        <v>1</v>
      </c>
      <c r="U1305" s="6">
        <f t="shared" ca="1" si="403"/>
        <v>1</v>
      </c>
    </row>
    <row r="1306" spans="20:21" x14ac:dyDescent="0.45">
      <c r="T1306">
        <f t="shared" si="402"/>
        <v>1</v>
      </c>
      <c r="U1306" s="6">
        <f t="shared" ca="1" si="403"/>
        <v>1</v>
      </c>
    </row>
    <row r="1307" spans="20:21" x14ac:dyDescent="0.45">
      <c r="T1307">
        <f t="shared" si="402"/>
        <v>1</v>
      </c>
      <c r="U1307" s="6">
        <f t="shared" ca="1" si="403"/>
        <v>1</v>
      </c>
    </row>
    <row r="1308" spans="20:21" x14ac:dyDescent="0.45">
      <c r="T1308">
        <f t="shared" si="402"/>
        <v>1</v>
      </c>
      <c r="U1308" s="6">
        <f t="shared" ca="1" si="403"/>
        <v>1</v>
      </c>
    </row>
    <row r="1309" spans="20:21" x14ac:dyDescent="0.45">
      <c r="T1309">
        <f t="shared" si="402"/>
        <v>1</v>
      </c>
      <c r="U1309" s="6">
        <f t="shared" ca="1" si="403"/>
        <v>1</v>
      </c>
    </row>
    <row r="1310" spans="20:21" x14ac:dyDescent="0.45">
      <c r="T1310">
        <f t="shared" si="402"/>
        <v>1</v>
      </c>
      <c r="U1310" s="6">
        <f t="shared" ca="1" si="403"/>
        <v>1</v>
      </c>
    </row>
    <row r="1311" spans="20:21" x14ac:dyDescent="0.45">
      <c r="T1311">
        <f t="shared" si="402"/>
        <v>1</v>
      </c>
      <c r="U1311" s="6">
        <f t="shared" ca="1" si="403"/>
        <v>1</v>
      </c>
    </row>
    <row r="1312" spans="20:21" x14ac:dyDescent="0.45">
      <c r="T1312">
        <f t="shared" si="402"/>
        <v>1</v>
      </c>
      <c r="U1312" s="6">
        <f t="shared" ca="1" si="403"/>
        <v>1</v>
      </c>
    </row>
    <row r="1313" spans="20:21" x14ac:dyDescent="0.45">
      <c r="T1313">
        <f t="shared" si="402"/>
        <v>1</v>
      </c>
      <c r="U1313" s="6">
        <f t="shared" ca="1" si="403"/>
        <v>1</v>
      </c>
    </row>
    <row r="1314" spans="20:21" x14ac:dyDescent="0.45">
      <c r="T1314">
        <f t="shared" si="402"/>
        <v>1</v>
      </c>
      <c r="U1314" s="6">
        <f t="shared" ca="1" si="403"/>
        <v>1</v>
      </c>
    </row>
    <row r="1315" spans="20:21" x14ac:dyDescent="0.45">
      <c r="T1315">
        <f t="shared" si="402"/>
        <v>1</v>
      </c>
      <c r="U1315" s="6">
        <f t="shared" ca="1" si="403"/>
        <v>1</v>
      </c>
    </row>
    <row r="1316" spans="20:21" x14ac:dyDescent="0.45">
      <c r="T1316">
        <f t="shared" si="402"/>
        <v>1</v>
      </c>
      <c r="U1316" s="6">
        <f t="shared" ca="1" si="403"/>
        <v>1</v>
      </c>
    </row>
    <row r="1317" spans="20:21" x14ac:dyDescent="0.45">
      <c r="T1317">
        <f t="shared" si="402"/>
        <v>1</v>
      </c>
      <c r="U1317" s="6">
        <f t="shared" ca="1" si="403"/>
        <v>1</v>
      </c>
    </row>
    <row r="1318" spans="20:21" x14ac:dyDescent="0.45">
      <c r="T1318">
        <f t="shared" si="402"/>
        <v>1</v>
      </c>
      <c r="U1318" s="6">
        <f t="shared" ca="1" si="403"/>
        <v>1</v>
      </c>
    </row>
    <row r="1319" spans="20:21" x14ac:dyDescent="0.45">
      <c r="T1319">
        <f t="shared" si="402"/>
        <v>1</v>
      </c>
      <c r="U1319" s="6">
        <f t="shared" ca="1" si="403"/>
        <v>1</v>
      </c>
    </row>
    <row r="1320" spans="20:21" x14ac:dyDescent="0.45">
      <c r="T1320">
        <f t="shared" si="402"/>
        <v>1</v>
      </c>
      <c r="U1320" s="6">
        <f t="shared" ca="1" si="403"/>
        <v>1</v>
      </c>
    </row>
    <row r="1321" spans="20:21" x14ac:dyDescent="0.45">
      <c r="T1321">
        <f t="shared" si="402"/>
        <v>1</v>
      </c>
      <c r="U1321" s="6">
        <f t="shared" ca="1" si="403"/>
        <v>1</v>
      </c>
    </row>
    <row r="1322" spans="20:21" x14ac:dyDescent="0.45">
      <c r="T1322">
        <f t="shared" si="402"/>
        <v>1</v>
      </c>
      <c r="U1322" s="6">
        <f t="shared" ca="1" si="403"/>
        <v>1</v>
      </c>
    </row>
    <row r="1323" spans="20:21" x14ac:dyDescent="0.45">
      <c r="T1323">
        <f t="shared" si="402"/>
        <v>1</v>
      </c>
      <c r="U1323" s="6">
        <f t="shared" ca="1" si="403"/>
        <v>1</v>
      </c>
    </row>
    <row r="1324" spans="20:21" x14ac:dyDescent="0.45">
      <c r="T1324">
        <f t="shared" si="402"/>
        <v>1</v>
      </c>
      <c r="U1324" s="6">
        <f t="shared" ca="1" si="403"/>
        <v>1</v>
      </c>
    </row>
    <row r="1325" spans="20:21" x14ac:dyDescent="0.45">
      <c r="T1325">
        <f t="shared" si="402"/>
        <v>1</v>
      </c>
      <c r="U1325" s="6">
        <f t="shared" ca="1" si="403"/>
        <v>1</v>
      </c>
    </row>
    <row r="1326" spans="20:21" x14ac:dyDescent="0.45">
      <c r="T1326">
        <f t="shared" si="402"/>
        <v>1</v>
      </c>
      <c r="U1326" s="6">
        <f t="shared" ca="1" si="403"/>
        <v>1</v>
      </c>
    </row>
    <row r="1327" spans="20:21" x14ac:dyDescent="0.45">
      <c r="T1327">
        <f t="shared" si="402"/>
        <v>1</v>
      </c>
      <c r="U1327" s="6">
        <f t="shared" ca="1" si="403"/>
        <v>1</v>
      </c>
    </row>
    <row r="1328" spans="20:21" x14ac:dyDescent="0.45">
      <c r="T1328">
        <f t="shared" si="402"/>
        <v>1</v>
      </c>
      <c r="U1328" s="6">
        <f t="shared" ca="1" si="403"/>
        <v>1</v>
      </c>
    </row>
    <row r="1329" spans="20:21" x14ac:dyDescent="0.45">
      <c r="T1329">
        <f t="shared" si="402"/>
        <v>1</v>
      </c>
      <c r="U1329" s="6">
        <f t="shared" ca="1" si="403"/>
        <v>1</v>
      </c>
    </row>
    <row r="1330" spans="20:21" x14ac:dyDescent="0.45">
      <c r="T1330">
        <f t="shared" si="402"/>
        <v>1</v>
      </c>
      <c r="U1330" s="6">
        <f t="shared" ca="1" si="403"/>
        <v>1</v>
      </c>
    </row>
    <row r="1331" spans="20:21" x14ac:dyDescent="0.45">
      <c r="T1331">
        <f t="shared" si="402"/>
        <v>1</v>
      </c>
      <c r="U1331" s="6">
        <f t="shared" ca="1" si="403"/>
        <v>1</v>
      </c>
    </row>
    <row r="1332" spans="20:21" x14ac:dyDescent="0.45">
      <c r="T1332">
        <f t="shared" si="402"/>
        <v>1</v>
      </c>
      <c r="U1332" s="6">
        <f t="shared" ca="1" si="403"/>
        <v>1</v>
      </c>
    </row>
    <row r="1333" spans="20:21" x14ac:dyDescent="0.45">
      <c r="T1333">
        <f t="shared" si="402"/>
        <v>1</v>
      </c>
      <c r="U1333" s="6">
        <f t="shared" ca="1" si="403"/>
        <v>1</v>
      </c>
    </row>
    <row r="1334" spans="20:21" x14ac:dyDescent="0.45">
      <c r="T1334">
        <f t="shared" si="402"/>
        <v>1</v>
      </c>
      <c r="U1334" s="6">
        <f t="shared" ca="1" si="403"/>
        <v>1</v>
      </c>
    </row>
    <row r="1335" spans="20:21" x14ac:dyDescent="0.45">
      <c r="T1335">
        <f t="shared" si="402"/>
        <v>1</v>
      </c>
      <c r="U1335" s="6">
        <f t="shared" ca="1" si="403"/>
        <v>1</v>
      </c>
    </row>
    <row r="1336" spans="20:21" x14ac:dyDescent="0.45">
      <c r="T1336">
        <f t="shared" si="402"/>
        <v>1</v>
      </c>
      <c r="U1336" s="6">
        <f t="shared" ca="1" si="403"/>
        <v>1</v>
      </c>
    </row>
    <row r="1337" spans="20:21" x14ac:dyDescent="0.45">
      <c r="T1337">
        <f t="shared" si="402"/>
        <v>1</v>
      </c>
      <c r="U1337" s="6">
        <f t="shared" ca="1" si="403"/>
        <v>1</v>
      </c>
    </row>
    <row r="1338" spans="20:21" x14ac:dyDescent="0.45">
      <c r="T1338">
        <f t="shared" si="402"/>
        <v>1</v>
      </c>
      <c r="U1338" s="6">
        <f t="shared" ca="1" si="403"/>
        <v>1</v>
      </c>
    </row>
    <row r="1339" spans="20:21" x14ac:dyDescent="0.45">
      <c r="T1339">
        <f t="shared" si="402"/>
        <v>1</v>
      </c>
      <c r="U1339" s="6">
        <f t="shared" ca="1" si="403"/>
        <v>1</v>
      </c>
    </row>
    <row r="1340" spans="20:21" x14ac:dyDescent="0.45">
      <c r="T1340">
        <f t="shared" si="402"/>
        <v>1</v>
      </c>
      <c r="U1340" s="6">
        <f t="shared" ca="1" si="403"/>
        <v>1</v>
      </c>
    </row>
    <row r="1341" spans="20:21" x14ac:dyDescent="0.45">
      <c r="T1341">
        <f t="shared" si="402"/>
        <v>1</v>
      </c>
      <c r="U1341" s="6"/>
    </row>
    <row r="1342" spans="20:21" x14ac:dyDescent="0.45">
      <c r="T1342">
        <f t="shared" si="402"/>
        <v>1</v>
      </c>
      <c r="U1342" s="6"/>
    </row>
    <row r="1343" spans="20:21" x14ac:dyDescent="0.45">
      <c r="T1343">
        <f t="shared" si="402"/>
        <v>1</v>
      </c>
      <c r="U1343" s="6"/>
    </row>
    <row r="1344" spans="20:21" x14ac:dyDescent="0.45">
      <c r="T1344">
        <f t="shared" si="402"/>
        <v>1</v>
      </c>
      <c r="U1344" s="6"/>
    </row>
    <row r="1345" spans="20:21" x14ac:dyDescent="0.45">
      <c r="T1345">
        <f t="shared" si="402"/>
        <v>1</v>
      </c>
      <c r="U1345" s="6"/>
    </row>
    <row r="1346" spans="20:21" x14ac:dyDescent="0.45">
      <c r="T1346">
        <f t="shared" si="402"/>
        <v>1</v>
      </c>
      <c r="U1346" s="6"/>
    </row>
    <row r="1347" spans="20:21" x14ac:dyDescent="0.45">
      <c r="T1347">
        <f t="shared" ref="T1347:T1399" si="404">E1347+1</f>
        <v>1</v>
      </c>
      <c r="U1347" s="6"/>
    </row>
    <row r="1348" spans="20:21" x14ac:dyDescent="0.45">
      <c r="T1348">
        <f t="shared" si="404"/>
        <v>1</v>
      </c>
      <c r="U1348" s="6"/>
    </row>
    <row r="1349" spans="20:21" x14ac:dyDescent="0.45">
      <c r="T1349">
        <f t="shared" si="404"/>
        <v>1</v>
      </c>
      <c r="U1349" s="6"/>
    </row>
    <row r="1350" spans="20:21" x14ac:dyDescent="0.45">
      <c r="T1350">
        <f t="shared" si="404"/>
        <v>1</v>
      </c>
      <c r="U1350" s="6"/>
    </row>
    <row r="1351" spans="20:21" x14ac:dyDescent="0.45">
      <c r="T1351">
        <f t="shared" si="404"/>
        <v>1</v>
      </c>
      <c r="U1351" s="6"/>
    </row>
    <row r="1352" spans="20:21" x14ac:dyDescent="0.45">
      <c r="T1352">
        <f t="shared" si="404"/>
        <v>1</v>
      </c>
      <c r="U1352" s="6"/>
    </row>
    <row r="1353" spans="20:21" x14ac:dyDescent="0.45">
      <c r="T1353">
        <f t="shared" si="404"/>
        <v>1</v>
      </c>
      <c r="U1353" s="6"/>
    </row>
    <row r="1354" spans="20:21" x14ac:dyDescent="0.45">
      <c r="T1354">
        <f t="shared" si="404"/>
        <v>1</v>
      </c>
      <c r="U1354" s="6"/>
    </row>
    <row r="1355" spans="20:21" x14ac:dyDescent="0.45">
      <c r="T1355">
        <f t="shared" si="404"/>
        <v>1</v>
      </c>
      <c r="U1355" s="6"/>
    </row>
    <row r="1356" spans="20:21" x14ac:dyDescent="0.45">
      <c r="T1356">
        <f t="shared" si="404"/>
        <v>1</v>
      </c>
      <c r="U1356" s="6"/>
    </row>
    <row r="1357" spans="20:21" x14ac:dyDescent="0.45">
      <c r="T1357">
        <f t="shared" si="404"/>
        <v>1</v>
      </c>
      <c r="U1357" s="6"/>
    </row>
    <row r="1358" spans="20:21" x14ac:dyDescent="0.45">
      <c r="T1358">
        <f t="shared" si="404"/>
        <v>1</v>
      </c>
      <c r="U1358" s="6"/>
    </row>
    <row r="1359" spans="20:21" x14ac:dyDescent="0.45">
      <c r="T1359">
        <f t="shared" si="404"/>
        <v>1</v>
      </c>
      <c r="U1359" s="6"/>
    </row>
    <row r="1360" spans="20:21" x14ac:dyDescent="0.45">
      <c r="T1360">
        <f t="shared" si="404"/>
        <v>1</v>
      </c>
      <c r="U1360" s="6"/>
    </row>
    <row r="1361" spans="20:21" x14ac:dyDescent="0.45">
      <c r="T1361">
        <f t="shared" si="404"/>
        <v>1</v>
      </c>
      <c r="U1361" s="6"/>
    </row>
    <row r="1362" spans="20:21" x14ac:dyDescent="0.45">
      <c r="T1362">
        <f t="shared" si="404"/>
        <v>1</v>
      </c>
      <c r="U1362" s="6"/>
    </row>
    <row r="1363" spans="20:21" x14ac:dyDescent="0.45">
      <c r="T1363">
        <f t="shared" si="404"/>
        <v>1</v>
      </c>
      <c r="U1363" s="6"/>
    </row>
    <row r="1364" spans="20:21" x14ac:dyDescent="0.45">
      <c r="T1364">
        <f t="shared" si="404"/>
        <v>1</v>
      </c>
      <c r="U1364" s="6"/>
    </row>
    <row r="1365" spans="20:21" x14ac:dyDescent="0.45">
      <c r="T1365">
        <f t="shared" si="404"/>
        <v>1</v>
      </c>
      <c r="U1365" s="6"/>
    </row>
    <row r="1366" spans="20:21" x14ac:dyDescent="0.45">
      <c r="T1366">
        <f t="shared" si="404"/>
        <v>1</v>
      </c>
      <c r="U1366" s="6"/>
    </row>
    <row r="1367" spans="20:21" x14ac:dyDescent="0.45">
      <c r="T1367">
        <f t="shared" si="404"/>
        <v>1</v>
      </c>
      <c r="U1367" s="6"/>
    </row>
    <row r="1368" spans="20:21" x14ac:dyDescent="0.45">
      <c r="T1368">
        <f t="shared" si="404"/>
        <v>1</v>
      </c>
    </row>
    <row r="1369" spans="20:21" x14ac:dyDescent="0.45">
      <c r="T1369">
        <f t="shared" si="404"/>
        <v>1</v>
      </c>
    </row>
    <row r="1370" spans="20:21" x14ac:dyDescent="0.45">
      <c r="T1370">
        <f t="shared" si="404"/>
        <v>1</v>
      </c>
    </row>
    <row r="1371" spans="20:21" x14ac:dyDescent="0.45">
      <c r="T1371">
        <f t="shared" si="404"/>
        <v>1</v>
      </c>
    </row>
    <row r="1372" spans="20:21" x14ac:dyDescent="0.45">
      <c r="T1372">
        <f t="shared" si="404"/>
        <v>1</v>
      </c>
    </row>
    <row r="1373" spans="20:21" x14ac:dyDescent="0.45">
      <c r="T1373">
        <f t="shared" si="404"/>
        <v>1</v>
      </c>
    </row>
    <row r="1374" spans="20:21" x14ac:dyDescent="0.45">
      <c r="T1374">
        <f t="shared" si="404"/>
        <v>1</v>
      </c>
    </row>
    <row r="1375" spans="20:21" x14ac:dyDescent="0.45">
      <c r="T1375">
        <f t="shared" si="404"/>
        <v>1</v>
      </c>
    </row>
    <row r="1376" spans="20:21" x14ac:dyDescent="0.45">
      <c r="T1376">
        <f t="shared" si="404"/>
        <v>1</v>
      </c>
    </row>
    <row r="1377" spans="20:20" x14ac:dyDescent="0.45">
      <c r="T1377">
        <f t="shared" si="404"/>
        <v>1</v>
      </c>
    </row>
    <row r="1378" spans="20:20" x14ac:dyDescent="0.45">
      <c r="T1378">
        <f t="shared" si="404"/>
        <v>1</v>
      </c>
    </row>
    <row r="1379" spans="20:20" x14ac:dyDescent="0.45">
      <c r="T1379">
        <f t="shared" si="404"/>
        <v>1</v>
      </c>
    </row>
    <row r="1380" spans="20:20" x14ac:dyDescent="0.45">
      <c r="T1380">
        <f t="shared" si="404"/>
        <v>1</v>
      </c>
    </row>
    <row r="1381" spans="20:20" x14ac:dyDescent="0.45">
      <c r="T1381">
        <f t="shared" si="404"/>
        <v>1</v>
      </c>
    </row>
    <row r="1382" spans="20:20" x14ac:dyDescent="0.45">
      <c r="T1382">
        <f t="shared" si="404"/>
        <v>1</v>
      </c>
    </row>
    <row r="1383" spans="20:20" x14ac:dyDescent="0.45">
      <c r="T1383">
        <f t="shared" si="404"/>
        <v>1</v>
      </c>
    </row>
    <row r="1384" spans="20:20" x14ac:dyDescent="0.45">
      <c r="T1384">
        <f t="shared" si="404"/>
        <v>1</v>
      </c>
    </row>
    <row r="1385" spans="20:20" x14ac:dyDescent="0.45">
      <c r="T1385">
        <f t="shared" si="404"/>
        <v>1</v>
      </c>
    </row>
    <row r="1386" spans="20:20" x14ac:dyDescent="0.45">
      <c r="T1386">
        <f t="shared" si="404"/>
        <v>1</v>
      </c>
    </row>
    <row r="1387" spans="20:20" x14ac:dyDescent="0.45">
      <c r="T1387">
        <f t="shared" si="404"/>
        <v>1</v>
      </c>
    </row>
    <row r="1388" spans="20:20" x14ac:dyDescent="0.45">
      <c r="T1388">
        <f t="shared" si="404"/>
        <v>1</v>
      </c>
    </row>
    <row r="1389" spans="20:20" x14ac:dyDescent="0.45">
      <c r="T1389">
        <f t="shared" si="404"/>
        <v>1</v>
      </c>
    </row>
    <row r="1390" spans="20:20" x14ac:dyDescent="0.45">
      <c r="T1390">
        <f t="shared" si="404"/>
        <v>1</v>
      </c>
    </row>
    <row r="1391" spans="20:20" x14ac:dyDescent="0.45">
      <c r="T1391">
        <f t="shared" si="404"/>
        <v>1</v>
      </c>
    </row>
    <row r="1392" spans="20:20" x14ac:dyDescent="0.45">
      <c r="T1392">
        <f t="shared" si="404"/>
        <v>1</v>
      </c>
    </row>
    <row r="1393" spans="20:20" x14ac:dyDescent="0.45">
      <c r="T1393">
        <f t="shared" si="404"/>
        <v>1</v>
      </c>
    </row>
    <row r="1394" spans="20:20" x14ac:dyDescent="0.45">
      <c r="T1394">
        <f t="shared" si="404"/>
        <v>1</v>
      </c>
    </row>
    <row r="1395" spans="20:20" x14ac:dyDescent="0.45">
      <c r="T1395">
        <f t="shared" si="404"/>
        <v>1</v>
      </c>
    </row>
    <row r="1396" spans="20:20" x14ac:dyDescent="0.45">
      <c r="T1396">
        <f t="shared" si="404"/>
        <v>1</v>
      </c>
    </row>
    <row r="1397" spans="20:20" x14ac:dyDescent="0.45">
      <c r="T1397">
        <f t="shared" si="404"/>
        <v>1</v>
      </c>
    </row>
    <row r="1398" spans="20:20" x14ac:dyDescent="0.45">
      <c r="T1398">
        <f t="shared" si="404"/>
        <v>1</v>
      </c>
    </row>
    <row r="1399" spans="20:20" x14ac:dyDescent="0.45">
      <c r="T1399">
        <f t="shared" si="404"/>
        <v>1</v>
      </c>
    </row>
  </sheetData>
  <conditionalFormatting sqref="G2:L101 G103:L1255">
    <cfRule type="expression" dxfId="4" priority="10">
      <formula>(ROW() - 1) &gt; ($S$6+$S$9)</formula>
    </cfRule>
  </conditionalFormatting>
  <conditionalFormatting sqref="T2:T101 T103:T1056">
    <cfRule type="expression" dxfId="3" priority="5">
      <formula>AND(ROW(T2)&lt;=($S$6+1) +$S$9, (ROW(T2))&gt;($S$9+1))</formula>
    </cfRule>
  </conditionalFormatting>
  <conditionalFormatting sqref="U2:U101 U103:U1340">
    <cfRule type="expression" dxfId="2" priority="4">
      <formula>ROW(U2) = $S$9 +2</formula>
    </cfRule>
  </conditionalFormatting>
  <conditionalFormatting sqref="M2:R2">
    <cfRule type="expression" dxfId="1" priority="3">
      <formula>(ROW() - 1) &gt; ($S$6+$S$9)</formula>
    </cfRule>
  </conditionalFormatting>
  <conditionalFormatting sqref="M3:R101 M103:R1255">
    <cfRule type="expression" dxfId="0" priority="1">
      <formula>(ROW() - 1) &gt; ($S$6+$S$9)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ollback">
                <anchor moveWithCells="1" sizeWithCells="1">
                  <from>
                    <xdr:col>18</xdr:col>
                    <xdr:colOff>571500</xdr:colOff>
                    <xdr:row>23</xdr:row>
                    <xdr:rowOff>61913</xdr:rowOff>
                  </from>
                  <to>
                    <xdr:col>18</xdr:col>
                    <xdr:colOff>1919288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dcterms:created xsi:type="dcterms:W3CDTF">2023-11-13T14:49:55Z</dcterms:created>
  <dcterms:modified xsi:type="dcterms:W3CDTF">2023-12-08T17:23:52Z</dcterms:modified>
</cp:coreProperties>
</file>