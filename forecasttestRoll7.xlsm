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ink/ink1.xml" ContentType="application/inkml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"/>
    </mc:Choice>
  </mc:AlternateContent>
  <xr:revisionPtr revIDLastSave="0" documentId="13_ncr:1_{1926B26B-5230-4161-807D-4D45CAFE1B9F}" xr6:coauthVersionLast="47" xr6:coauthVersionMax="47" xr10:uidLastSave="{00000000-0000-0000-0000-000000000000}"/>
  <bookViews>
    <workbookView xWindow="532" yWindow="285" windowWidth="19313" windowHeight="13110" xr2:uid="{00000000-000D-0000-FFFF-FFFF00000000}"/>
  </bookViews>
  <sheets>
    <sheet name="somedata" sheetId="1" r:id="rId1"/>
  </sheets>
  <calcPr calcId="191029"/>
</workbook>
</file>

<file path=xl/calcChain.xml><?xml version="1.0" encoding="utf-8"?>
<calcChain xmlns="http://schemas.openxmlformats.org/spreadsheetml/2006/main">
  <c r="L1340" i="1" l="1"/>
  <c r="L1339" i="1"/>
  <c r="L1338" i="1"/>
  <c r="L1337" i="1"/>
  <c r="L1336" i="1"/>
  <c r="L1335" i="1"/>
  <c r="L1334" i="1"/>
  <c r="L1333" i="1"/>
  <c r="L1332" i="1"/>
  <c r="L1331" i="1"/>
  <c r="L1330" i="1"/>
  <c r="L1329" i="1"/>
  <c r="L1328" i="1"/>
  <c r="L1327" i="1"/>
  <c r="L1326" i="1"/>
  <c r="L1325" i="1"/>
  <c r="L1324" i="1"/>
  <c r="L1323" i="1"/>
  <c r="L1322" i="1"/>
  <c r="L1321" i="1"/>
  <c r="L1320" i="1"/>
  <c r="L1319" i="1"/>
  <c r="L1318" i="1"/>
  <c r="L1317" i="1"/>
  <c r="L1316" i="1"/>
  <c r="L1315" i="1"/>
  <c r="L1314" i="1"/>
  <c r="L1313" i="1"/>
  <c r="L1312" i="1"/>
  <c r="L1311" i="1"/>
  <c r="L1310" i="1"/>
  <c r="L1309" i="1"/>
  <c r="L1308" i="1"/>
  <c r="L1307" i="1"/>
  <c r="L1306" i="1"/>
  <c r="L1305" i="1"/>
  <c r="L1304" i="1"/>
  <c r="L1303" i="1"/>
  <c r="L1302" i="1"/>
  <c r="L1301" i="1"/>
  <c r="L1300" i="1"/>
  <c r="L1299" i="1"/>
  <c r="L1298" i="1"/>
  <c r="L1297" i="1"/>
  <c r="L1296" i="1"/>
  <c r="L1295" i="1"/>
  <c r="L1294" i="1"/>
  <c r="L1293" i="1"/>
  <c r="L1292" i="1"/>
  <c r="L1291" i="1"/>
  <c r="L1290" i="1"/>
  <c r="L1289" i="1"/>
  <c r="L1288" i="1"/>
  <c r="L1287" i="1"/>
  <c r="L1286" i="1"/>
  <c r="L1285" i="1"/>
  <c r="L1284" i="1"/>
  <c r="L1283" i="1"/>
  <c r="L1282" i="1"/>
  <c r="L1281" i="1"/>
  <c r="L1280" i="1"/>
  <c r="L1279" i="1"/>
  <c r="L1278" i="1"/>
  <c r="L1277" i="1"/>
  <c r="L1276" i="1"/>
  <c r="L1275" i="1"/>
  <c r="L1274" i="1"/>
  <c r="L1273" i="1"/>
  <c r="L1272" i="1"/>
  <c r="L1271" i="1"/>
  <c r="L1270" i="1"/>
  <c r="L1269" i="1"/>
  <c r="L1268" i="1"/>
  <c r="L1267" i="1"/>
  <c r="L1266" i="1"/>
  <c r="L1265" i="1"/>
  <c r="L1264" i="1"/>
  <c r="L1263" i="1"/>
  <c r="L1262" i="1"/>
  <c r="L1261" i="1"/>
  <c r="L1260" i="1"/>
  <c r="L1259" i="1"/>
  <c r="L1258" i="1"/>
  <c r="L1257" i="1"/>
  <c r="L1256" i="1"/>
  <c r="L1255" i="1"/>
  <c r="L1254" i="1"/>
  <c r="L1253" i="1"/>
  <c r="L1252" i="1"/>
  <c r="L1251" i="1"/>
  <c r="L1250" i="1"/>
  <c r="L1249" i="1"/>
  <c r="L1248" i="1"/>
  <c r="L1247" i="1"/>
  <c r="L1246" i="1"/>
  <c r="L1245" i="1"/>
  <c r="L1244" i="1"/>
  <c r="L1243" i="1"/>
  <c r="L1242" i="1"/>
  <c r="L1241" i="1"/>
  <c r="L1240" i="1"/>
  <c r="L1239" i="1"/>
  <c r="L1238" i="1"/>
  <c r="L1237" i="1"/>
  <c r="L1236" i="1"/>
  <c r="L1235" i="1"/>
  <c r="L1234" i="1"/>
  <c r="L1233" i="1"/>
  <c r="L1232" i="1"/>
  <c r="L1231" i="1"/>
  <c r="L1230" i="1"/>
  <c r="L1229" i="1"/>
  <c r="L1228" i="1"/>
  <c r="L1227" i="1"/>
  <c r="L1226" i="1"/>
  <c r="L1225" i="1"/>
  <c r="L1224" i="1"/>
  <c r="L1223" i="1"/>
  <c r="L1222" i="1"/>
  <c r="L1221" i="1"/>
  <c r="L1220" i="1"/>
  <c r="L1219" i="1"/>
  <c r="L1218" i="1"/>
  <c r="L1217" i="1"/>
  <c r="L1216" i="1"/>
  <c r="L1215" i="1"/>
  <c r="L1214" i="1"/>
  <c r="L1213" i="1"/>
  <c r="L1212" i="1"/>
  <c r="L1211" i="1"/>
  <c r="L1210" i="1"/>
  <c r="L1209" i="1"/>
  <c r="L1208" i="1"/>
  <c r="L1207" i="1"/>
  <c r="L1206" i="1"/>
  <c r="L1205" i="1"/>
  <c r="L1204" i="1"/>
  <c r="L1203" i="1"/>
  <c r="L1202" i="1"/>
  <c r="L1201" i="1"/>
  <c r="L1200" i="1"/>
  <c r="L1199" i="1"/>
  <c r="L1198" i="1"/>
  <c r="L1197" i="1"/>
  <c r="L1196" i="1"/>
  <c r="L1195" i="1"/>
  <c r="L1194" i="1"/>
  <c r="L1193" i="1"/>
  <c r="L1192" i="1"/>
  <c r="L1191" i="1"/>
  <c r="L1190" i="1"/>
  <c r="L1189" i="1"/>
  <c r="L1188" i="1"/>
  <c r="L1187" i="1"/>
  <c r="L1186" i="1"/>
  <c r="L1185" i="1"/>
  <c r="L1184" i="1"/>
  <c r="L1183" i="1"/>
  <c r="L1182" i="1"/>
  <c r="L1181" i="1"/>
  <c r="L1180" i="1"/>
  <c r="L1179" i="1"/>
  <c r="L1178" i="1"/>
  <c r="L1177" i="1"/>
  <c r="L1176" i="1"/>
  <c r="L1175" i="1"/>
  <c r="L1174" i="1"/>
  <c r="L1173" i="1"/>
  <c r="L1172" i="1"/>
  <c r="L1171" i="1"/>
  <c r="L1170" i="1"/>
  <c r="L1169" i="1"/>
  <c r="L1168" i="1"/>
  <c r="L1167" i="1"/>
  <c r="L1166" i="1"/>
  <c r="L1165" i="1"/>
  <c r="L1164" i="1"/>
  <c r="L1163" i="1"/>
  <c r="L1162" i="1"/>
  <c r="L1161" i="1"/>
  <c r="L1160" i="1"/>
  <c r="L1159" i="1"/>
  <c r="L1158" i="1"/>
  <c r="L1157" i="1"/>
  <c r="L1156" i="1"/>
  <c r="L1155" i="1"/>
  <c r="L1154" i="1"/>
  <c r="L1153" i="1"/>
  <c r="L1152" i="1"/>
  <c r="L1151" i="1"/>
  <c r="L1150" i="1"/>
  <c r="L1149" i="1"/>
  <c r="L1148" i="1"/>
  <c r="L1147" i="1"/>
  <c r="L1146" i="1"/>
  <c r="L1145" i="1"/>
  <c r="L1144" i="1"/>
  <c r="L1143" i="1"/>
  <c r="L1142" i="1"/>
  <c r="L1141" i="1"/>
  <c r="L1140" i="1"/>
  <c r="L1139" i="1"/>
  <c r="L1138" i="1"/>
  <c r="L1137" i="1"/>
  <c r="L1136" i="1"/>
  <c r="L1135" i="1"/>
  <c r="L1134" i="1"/>
  <c r="L1133" i="1"/>
  <c r="L1132" i="1"/>
  <c r="L1131" i="1"/>
  <c r="L1130" i="1"/>
  <c r="L1129" i="1"/>
  <c r="L1128" i="1"/>
  <c r="L1127" i="1"/>
  <c r="L1126" i="1"/>
  <c r="L1125" i="1"/>
  <c r="L1124" i="1"/>
  <c r="L1123" i="1"/>
  <c r="L1122" i="1"/>
  <c r="L1121" i="1"/>
  <c r="L1120" i="1"/>
  <c r="L1119" i="1"/>
  <c r="L1118" i="1"/>
  <c r="L1117" i="1"/>
  <c r="L1116" i="1"/>
  <c r="L1115" i="1"/>
  <c r="L1114" i="1"/>
  <c r="L1113" i="1"/>
  <c r="L1112" i="1"/>
  <c r="L1111" i="1"/>
  <c r="L1110" i="1"/>
  <c r="L1109" i="1"/>
  <c r="L1108" i="1"/>
  <c r="L1107" i="1"/>
  <c r="L1106" i="1"/>
  <c r="L1105" i="1"/>
  <c r="L1104" i="1"/>
  <c r="L1103" i="1"/>
  <c r="L1102" i="1"/>
  <c r="L1101" i="1"/>
  <c r="L1100" i="1"/>
  <c r="L1099" i="1"/>
  <c r="L1098" i="1"/>
  <c r="L1097" i="1"/>
  <c r="L1096" i="1"/>
  <c r="L1095" i="1"/>
  <c r="L1094" i="1"/>
  <c r="L1093" i="1"/>
  <c r="L1092" i="1"/>
  <c r="L1091" i="1"/>
  <c r="L1090" i="1"/>
  <c r="L1089" i="1"/>
  <c r="L1088" i="1"/>
  <c r="L1087" i="1"/>
  <c r="L1086" i="1"/>
  <c r="L1085" i="1"/>
  <c r="L1084" i="1"/>
  <c r="L1083" i="1"/>
  <c r="L1082" i="1"/>
  <c r="L1081" i="1"/>
  <c r="L1080" i="1"/>
  <c r="L1079" i="1"/>
  <c r="L1078" i="1"/>
  <c r="L1077" i="1"/>
  <c r="L1076" i="1"/>
  <c r="L1075" i="1"/>
  <c r="L1074" i="1"/>
  <c r="L1073" i="1"/>
  <c r="L1072" i="1"/>
  <c r="L1071" i="1"/>
  <c r="L1070" i="1"/>
  <c r="L1069" i="1"/>
  <c r="L1068" i="1"/>
  <c r="L1067" i="1"/>
  <c r="L1066" i="1"/>
  <c r="L1065" i="1"/>
  <c r="L1064" i="1"/>
  <c r="L1063" i="1"/>
  <c r="L1062" i="1"/>
  <c r="L1061" i="1"/>
  <c r="L1060" i="1"/>
  <c r="L1059" i="1"/>
  <c r="L1058" i="1"/>
  <c r="L1057" i="1"/>
  <c r="L1056" i="1"/>
  <c r="L1055" i="1"/>
  <c r="L1054" i="1"/>
  <c r="L1053" i="1"/>
  <c r="L1052" i="1"/>
  <c r="L1051" i="1"/>
  <c r="L1050" i="1"/>
  <c r="L1049" i="1"/>
  <c r="L1048" i="1"/>
  <c r="L1047" i="1"/>
  <c r="L1046" i="1"/>
  <c r="L1045" i="1"/>
  <c r="L1044" i="1"/>
  <c r="L1043" i="1"/>
  <c r="L1042" i="1"/>
  <c r="L1041" i="1"/>
  <c r="L1040" i="1"/>
  <c r="L1039" i="1"/>
  <c r="L1038" i="1"/>
  <c r="L1037" i="1"/>
  <c r="L1036" i="1"/>
  <c r="L1035" i="1"/>
  <c r="L1034" i="1"/>
  <c r="L1033" i="1"/>
  <c r="L1032" i="1"/>
  <c r="L1031" i="1"/>
  <c r="L1030" i="1"/>
  <c r="L1029" i="1"/>
  <c r="L1028" i="1"/>
  <c r="L1027" i="1"/>
  <c r="L1026" i="1"/>
  <c r="L1025" i="1"/>
  <c r="L1024" i="1"/>
  <c r="L1023" i="1"/>
  <c r="L1022" i="1"/>
  <c r="L1021" i="1"/>
  <c r="L1020" i="1"/>
  <c r="L1019" i="1"/>
  <c r="L1018" i="1"/>
  <c r="L1017" i="1"/>
  <c r="L1016" i="1"/>
  <c r="L1015" i="1"/>
  <c r="L1014" i="1"/>
  <c r="L1013" i="1"/>
  <c r="L1012" i="1"/>
  <c r="L1011" i="1"/>
  <c r="L1010" i="1"/>
  <c r="L1009" i="1"/>
  <c r="L1008" i="1"/>
  <c r="L1007" i="1"/>
  <c r="L1006" i="1"/>
  <c r="L1005" i="1"/>
  <c r="L1004" i="1"/>
  <c r="L1003" i="1"/>
  <c r="L1002" i="1"/>
  <c r="L1001" i="1"/>
  <c r="L1000" i="1"/>
  <c r="L999" i="1"/>
  <c r="L998" i="1"/>
  <c r="L997" i="1"/>
  <c r="L996" i="1"/>
  <c r="L995" i="1"/>
  <c r="L994" i="1"/>
  <c r="L993" i="1"/>
  <c r="L992" i="1"/>
  <c r="L991" i="1"/>
  <c r="L990" i="1"/>
  <c r="L989" i="1"/>
  <c r="L988" i="1"/>
  <c r="L987" i="1"/>
  <c r="L986" i="1"/>
  <c r="L985" i="1"/>
  <c r="L984" i="1"/>
  <c r="L983" i="1"/>
  <c r="L982" i="1"/>
  <c r="L981" i="1"/>
  <c r="L980" i="1"/>
  <c r="L979" i="1"/>
  <c r="L978" i="1"/>
  <c r="L977" i="1"/>
  <c r="L976" i="1"/>
  <c r="L975" i="1"/>
  <c r="L974" i="1"/>
  <c r="L973" i="1"/>
  <c r="L972" i="1"/>
  <c r="L971" i="1"/>
  <c r="L970" i="1"/>
  <c r="L969" i="1"/>
  <c r="L968" i="1"/>
  <c r="L967" i="1"/>
  <c r="L966" i="1"/>
  <c r="L965" i="1"/>
  <c r="L964" i="1"/>
  <c r="L963" i="1"/>
  <c r="L962" i="1"/>
  <c r="L961" i="1"/>
  <c r="L960" i="1"/>
  <c r="L959" i="1"/>
  <c r="L958" i="1"/>
  <c r="L957" i="1"/>
  <c r="L956" i="1"/>
  <c r="L955" i="1"/>
  <c r="L954" i="1"/>
  <c r="L953" i="1"/>
  <c r="L952" i="1"/>
  <c r="L951" i="1"/>
  <c r="L950" i="1"/>
  <c r="L949" i="1"/>
  <c r="L948" i="1"/>
  <c r="L947" i="1"/>
  <c r="L946" i="1"/>
  <c r="L945" i="1"/>
  <c r="L944" i="1"/>
  <c r="L943" i="1"/>
  <c r="L942" i="1"/>
  <c r="L941" i="1"/>
  <c r="L940" i="1"/>
  <c r="L939" i="1"/>
  <c r="L938" i="1"/>
  <c r="L937" i="1"/>
  <c r="L936" i="1"/>
  <c r="L935" i="1"/>
  <c r="L934" i="1"/>
  <c r="L933" i="1"/>
  <c r="L932" i="1"/>
  <c r="L931" i="1"/>
  <c r="L930" i="1"/>
  <c r="L929" i="1"/>
  <c r="L928" i="1"/>
  <c r="L927" i="1"/>
  <c r="L926" i="1"/>
  <c r="L925" i="1"/>
  <c r="L924" i="1"/>
  <c r="L923" i="1"/>
  <c r="L922" i="1"/>
  <c r="L921" i="1"/>
  <c r="L920" i="1"/>
  <c r="L919" i="1"/>
  <c r="L918" i="1"/>
  <c r="L917" i="1"/>
  <c r="L916" i="1"/>
  <c r="L915" i="1"/>
  <c r="L914" i="1"/>
  <c r="L913" i="1"/>
  <c r="L912" i="1"/>
  <c r="L911" i="1"/>
  <c r="L910" i="1"/>
  <c r="L909" i="1"/>
  <c r="L908" i="1"/>
  <c r="L907" i="1"/>
  <c r="L906" i="1"/>
  <c r="L905" i="1"/>
  <c r="L904" i="1"/>
  <c r="L903" i="1"/>
  <c r="L902" i="1"/>
  <c r="L901" i="1"/>
  <c r="L900" i="1"/>
  <c r="L899" i="1"/>
  <c r="L898" i="1"/>
  <c r="L897" i="1"/>
  <c r="L896" i="1"/>
  <c r="L895" i="1"/>
  <c r="L894" i="1"/>
  <c r="L893" i="1"/>
  <c r="L892" i="1"/>
  <c r="L891" i="1"/>
  <c r="L890" i="1"/>
  <c r="L889" i="1"/>
  <c r="L888" i="1"/>
  <c r="L887" i="1"/>
  <c r="L886" i="1"/>
  <c r="L885" i="1"/>
  <c r="L884" i="1"/>
  <c r="L883" i="1"/>
  <c r="L882" i="1"/>
  <c r="L881" i="1"/>
  <c r="L880" i="1"/>
  <c r="L879" i="1"/>
  <c r="L878" i="1"/>
  <c r="L877" i="1"/>
  <c r="L876" i="1"/>
  <c r="L875" i="1"/>
  <c r="L874" i="1"/>
  <c r="L873" i="1"/>
  <c r="L872" i="1"/>
  <c r="L871" i="1"/>
  <c r="L870" i="1"/>
  <c r="L869" i="1"/>
  <c r="L868" i="1"/>
  <c r="L867" i="1"/>
  <c r="L866" i="1"/>
  <c r="L865" i="1"/>
  <c r="L864" i="1"/>
  <c r="L863" i="1"/>
  <c r="L862" i="1"/>
  <c r="L861" i="1"/>
  <c r="L860" i="1"/>
  <c r="L859" i="1"/>
  <c r="L858" i="1"/>
  <c r="L857" i="1"/>
  <c r="L856" i="1"/>
  <c r="L855" i="1"/>
  <c r="L854" i="1"/>
  <c r="L853" i="1"/>
  <c r="L852" i="1"/>
  <c r="L851" i="1"/>
  <c r="L850" i="1"/>
  <c r="L849" i="1"/>
  <c r="L848" i="1"/>
  <c r="L847" i="1"/>
  <c r="L846" i="1"/>
  <c r="L845" i="1"/>
  <c r="L844" i="1"/>
  <c r="L843" i="1"/>
  <c r="L842" i="1"/>
  <c r="L841" i="1"/>
  <c r="L840" i="1"/>
  <c r="L839" i="1"/>
  <c r="L838" i="1"/>
  <c r="L837" i="1"/>
  <c r="L836" i="1"/>
  <c r="L835" i="1"/>
  <c r="L834" i="1"/>
  <c r="L833" i="1"/>
  <c r="L832" i="1"/>
  <c r="L831" i="1"/>
  <c r="L830" i="1"/>
  <c r="L829" i="1"/>
  <c r="L828" i="1"/>
  <c r="L827" i="1"/>
  <c r="L826" i="1"/>
  <c r="L825" i="1"/>
  <c r="L824" i="1"/>
  <c r="L823" i="1"/>
  <c r="L822" i="1"/>
  <c r="L821" i="1"/>
  <c r="L820" i="1"/>
  <c r="L819" i="1"/>
  <c r="L818" i="1"/>
  <c r="L817" i="1"/>
  <c r="L816" i="1"/>
  <c r="L815" i="1"/>
  <c r="L814" i="1"/>
  <c r="L813" i="1"/>
  <c r="L812" i="1"/>
  <c r="L811" i="1"/>
  <c r="L810" i="1"/>
  <c r="L809" i="1"/>
  <c r="L808" i="1"/>
  <c r="L807" i="1"/>
  <c r="L806" i="1"/>
  <c r="L805" i="1"/>
  <c r="L804" i="1"/>
  <c r="L803" i="1"/>
  <c r="L802" i="1"/>
  <c r="L801" i="1"/>
  <c r="L800" i="1"/>
  <c r="L799" i="1"/>
  <c r="L798" i="1"/>
  <c r="L797" i="1"/>
  <c r="L796" i="1"/>
  <c r="L795" i="1"/>
  <c r="L794" i="1"/>
  <c r="L793" i="1"/>
  <c r="L792" i="1"/>
  <c r="L791" i="1"/>
  <c r="L790" i="1"/>
  <c r="L789" i="1"/>
  <c r="L788" i="1"/>
  <c r="L787" i="1"/>
  <c r="L786" i="1"/>
  <c r="L785" i="1"/>
  <c r="L784" i="1"/>
  <c r="L783" i="1"/>
  <c r="L782" i="1"/>
  <c r="L781" i="1"/>
  <c r="L780" i="1"/>
  <c r="L779" i="1"/>
  <c r="L778" i="1"/>
  <c r="L777" i="1"/>
  <c r="L776" i="1"/>
  <c r="L775" i="1"/>
  <c r="L774" i="1"/>
  <c r="L773" i="1"/>
  <c r="L772" i="1"/>
  <c r="L771" i="1"/>
  <c r="L770" i="1"/>
  <c r="L769" i="1"/>
  <c r="L768" i="1"/>
  <c r="L767" i="1"/>
  <c r="L766" i="1"/>
  <c r="L765" i="1"/>
  <c r="L764" i="1"/>
  <c r="L763" i="1"/>
  <c r="L762" i="1"/>
  <c r="L761" i="1"/>
  <c r="L760" i="1"/>
  <c r="L759" i="1"/>
  <c r="L758" i="1"/>
  <c r="L757" i="1"/>
  <c r="L756" i="1"/>
  <c r="L755" i="1"/>
  <c r="L754" i="1"/>
  <c r="L753" i="1"/>
  <c r="L752" i="1"/>
  <c r="L751" i="1"/>
  <c r="L750" i="1"/>
  <c r="L749" i="1"/>
  <c r="L748" i="1"/>
  <c r="L747" i="1"/>
  <c r="L746" i="1"/>
  <c r="L745" i="1"/>
  <c r="L744" i="1"/>
  <c r="L743" i="1"/>
  <c r="L742" i="1"/>
  <c r="L741" i="1"/>
  <c r="L740" i="1"/>
  <c r="L739" i="1"/>
  <c r="L738" i="1"/>
  <c r="L737" i="1"/>
  <c r="L736" i="1"/>
  <c r="L735" i="1"/>
  <c r="L734" i="1"/>
  <c r="L733" i="1"/>
  <c r="L732" i="1"/>
  <c r="L731" i="1"/>
  <c r="L730" i="1"/>
  <c r="L729" i="1"/>
  <c r="L728" i="1"/>
  <c r="L727" i="1"/>
  <c r="L726" i="1"/>
  <c r="L725" i="1"/>
  <c r="L724" i="1"/>
  <c r="L723" i="1"/>
  <c r="L722" i="1"/>
  <c r="L721" i="1"/>
  <c r="L720" i="1"/>
  <c r="L719" i="1"/>
  <c r="L718" i="1"/>
  <c r="L717" i="1"/>
  <c r="L716" i="1"/>
  <c r="L715" i="1"/>
  <c r="L714" i="1"/>
  <c r="L713" i="1"/>
  <c r="L712" i="1"/>
  <c r="L711" i="1"/>
  <c r="L710" i="1"/>
  <c r="L709" i="1"/>
  <c r="L708" i="1"/>
  <c r="L707" i="1"/>
  <c r="L706" i="1"/>
  <c r="L705" i="1"/>
  <c r="L704" i="1"/>
  <c r="L703" i="1"/>
  <c r="L702" i="1"/>
  <c r="L701" i="1"/>
  <c r="L700" i="1"/>
  <c r="L699" i="1"/>
  <c r="L698" i="1"/>
  <c r="L697" i="1"/>
  <c r="L696" i="1"/>
  <c r="L695" i="1"/>
  <c r="L694" i="1"/>
  <c r="L693" i="1"/>
  <c r="L692" i="1"/>
  <c r="L691" i="1"/>
  <c r="L690" i="1"/>
  <c r="L689" i="1"/>
  <c r="L688" i="1"/>
  <c r="L687" i="1"/>
  <c r="L686" i="1"/>
  <c r="L685" i="1"/>
  <c r="L684" i="1"/>
  <c r="L683" i="1"/>
  <c r="L682" i="1"/>
  <c r="L681" i="1"/>
  <c r="L680" i="1"/>
  <c r="L679" i="1"/>
  <c r="L678" i="1"/>
  <c r="L677" i="1"/>
  <c r="L676" i="1"/>
  <c r="L675" i="1"/>
  <c r="L674" i="1"/>
  <c r="L673" i="1"/>
  <c r="L672" i="1"/>
  <c r="L671" i="1"/>
  <c r="L670" i="1"/>
  <c r="L669" i="1"/>
  <c r="L668" i="1"/>
  <c r="L667" i="1"/>
  <c r="L666" i="1"/>
  <c r="L665" i="1"/>
  <c r="L664" i="1"/>
  <c r="L663" i="1"/>
  <c r="L662" i="1"/>
  <c r="L661" i="1"/>
  <c r="L660" i="1"/>
  <c r="L659" i="1"/>
  <c r="L658" i="1"/>
  <c r="L657" i="1"/>
  <c r="L656" i="1"/>
  <c r="L655" i="1"/>
  <c r="L654" i="1"/>
  <c r="L653" i="1"/>
  <c r="L652" i="1"/>
  <c r="L651" i="1"/>
  <c r="L650" i="1"/>
  <c r="L649" i="1"/>
  <c r="L648" i="1"/>
  <c r="L647" i="1"/>
  <c r="L646" i="1"/>
  <c r="L645" i="1"/>
  <c r="L644" i="1"/>
  <c r="L643" i="1"/>
  <c r="L642" i="1"/>
  <c r="L641" i="1"/>
  <c r="L640" i="1"/>
  <c r="L639" i="1"/>
  <c r="L638" i="1"/>
  <c r="L637" i="1"/>
  <c r="L636" i="1"/>
  <c r="L635" i="1"/>
  <c r="L634" i="1"/>
  <c r="L633" i="1"/>
  <c r="L632" i="1"/>
  <c r="L631" i="1"/>
  <c r="L630" i="1"/>
  <c r="L629" i="1"/>
  <c r="L628" i="1"/>
  <c r="L627" i="1"/>
  <c r="L626" i="1"/>
  <c r="L625" i="1"/>
  <c r="L624" i="1"/>
  <c r="L623" i="1"/>
  <c r="L622" i="1"/>
  <c r="L621" i="1"/>
  <c r="L620" i="1"/>
  <c r="L619" i="1"/>
  <c r="L618" i="1"/>
  <c r="L617" i="1"/>
  <c r="L616" i="1"/>
  <c r="L615" i="1"/>
  <c r="L614" i="1"/>
  <c r="L613" i="1"/>
  <c r="L612" i="1"/>
  <c r="L611" i="1"/>
  <c r="L610" i="1"/>
  <c r="L609" i="1"/>
  <c r="L608" i="1"/>
  <c r="L607" i="1"/>
  <c r="L606" i="1"/>
  <c r="L605" i="1"/>
  <c r="L604" i="1"/>
  <c r="L603" i="1"/>
  <c r="L602" i="1"/>
  <c r="L601" i="1"/>
  <c r="L600" i="1"/>
  <c r="L599" i="1"/>
  <c r="L598" i="1"/>
  <c r="L597" i="1"/>
  <c r="L596" i="1"/>
  <c r="L595" i="1"/>
  <c r="L594" i="1"/>
  <c r="L593" i="1"/>
  <c r="L592" i="1"/>
  <c r="L591" i="1"/>
  <c r="L590" i="1"/>
  <c r="L589" i="1"/>
  <c r="L588" i="1"/>
  <c r="L587" i="1"/>
  <c r="L586" i="1"/>
  <c r="L585" i="1"/>
  <c r="L584" i="1"/>
  <c r="L583" i="1"/>
  <c r="L582" i="1"/>
  <c r="L581" i="1"/>
  <c r="L580" i="1"/>
  <c r="L579" i="1"/>
  <c r="L578" i="1"/>
  <c r="L577" i="1"/>
  <c r="L576" i="1"/>
  <c r="L575" i="1"/>
  <c r="L574" i="1"/>
  <c r="L573" i="1"/>
  <c r="L572" i="1"/>
  <c r="L571" i="1"/>
  <c r="L570" i="1"/>
  <c r="L569" i="1"/>
  <c r="L568" i="1"/>
  <c r="L567" i="1"/>
  <c r="L566" i="1"/>
  <c r="L565" i="1"/>
  <c r="L564" i="1"/>
  <c r="L563" i="1"/>
  <c r="L562" i="1"/>
  <c r="L561" i="1"/>
  <c r="L560" i="1"/>
  <c r="L559" i="1"/>
  <c r="L558" i="1"/>
  <c r="L557" i="1"/>
  <c r="L556" i="1"/>
  <c r="L555" i="1"/>
  <c r="L554" i="1"/>
  <c r="L553" i="1"/>
  <c r="L552" i="1"/>
  <c r="L551" i="1"/>
  <c r="L550" i="1"/>
  <c r="L549" i="1"/>
  <c r="L548" i="1"/>
  <c r="L547" i="1"/>
  <c r="L546" i="1"/>
  <c r="L545" i="1"/>
  <c r="L544" i="1"/>
  <c r="L543" i="1"/>
  <c r="L542" i="1"/>
  <c r="L541" i="1"/>
  <c r="L540" i="1"/>
  <c r="L539" i="1"/>
  <c r="L538" i="1"/>
  <c r="L537" i="1"/>
  <c r="L536" i="1"/>
  <c r="L535" i="1"/>
  <c r="L534" i="1"/>
  <c r="L533" i="1"/>
  <c r="L532" i="1"/>
  <c r="L531" i="1"/>
  <c r="L530" i="1"/>
  <c r="L529" i="1"/>
  <c r="L528" i="1"/>
  <c r="L527" i="1"/>
  <c r="L526" i="1"/>
  <c r="L525" i="1"/>
  <c r="L524" i="1"/>
  <c r="L523" i="1"/>
  <c r="L522" i="1"/>
  <c r="L521" i="1"/>
  <c r="L520" i="1"/>
  <c r="L519" i="1"/>
  <c r="L518" i="1"/>
  <c r="L517" i="1"/>
  <c r="L516" i="1"/>
  <c r="L515" i="1"/>
  <c r="L514" i="1"/>
  <c r="L513" i="1"/>
  <c r="L512" i="1"/>
  <c r="L511" i="1"/>
  <c r="L510" i="1"/>
  <c r="L509" i="1"/>
  <c r="L508" i="1"/>
  <c r="L507" i="1"/>
  <c r="L506" i="1"/>
  <c r="L505" i="1"/>
  <c r="L504" i="1"/>
  <c r="L503" i="1"/>
  <c r="L502" i="1"/>
  <c r="L501" i="1"/>
  <c r="L500" i="1"/>
  <c r="L499" i="1"/>
  <c r="L498" i="1"/>
  <c r="L497" i="1"/>
  <c r="L496" i="1"/>
  <c r="L495" i="1"/>
  <c r="L494" i="1"/>
  <c r="L493" i="1"/>
  <c r="L492" i="1"/>
  <c r="L491" i="1"/>
  <c r="L490" i="1"/>
  <c r="L489" i="1"/>
  <c r="L488" i="1"/>
  <c r="L487" i="1"/>
  <c r="L486" i="1"/>
  <c r="L485" i="1"/>
  <c r="L484" i="1"/>
  <c r="L483" i="1"/>
  <c r="L482" i="1"/>
  <c r="L481" i="1"/>
  <c r="L480" i="1"/>
  <c r="L479" i="1"/>
  <c r="L478" i="1"/>
  <c r="L477" i="1"/>
  <c r="L476" i="1"/>
  <c r="L475" i="1"/>
  <c r="L474" i="1"/>
  <c r="L473" i="1"/>
  <c r="L472" i="1"/>
  <c r="L471" i="1"/>
  <c r="L470" i="1"/>
  <c r="L469" i="1"/>
  <c r="L468" i="1"/>
  <c r="L467" i="1"/>
  <c r="L466" i="1"/>
  <c r="L465" i="1"/>
  <c r="L464" i="1"/>
  <c r="L463" i="1"/>
  <c r="L462" i="1"/>
  <c r="L461" i="1"/>
  <c r="L460" i="1"/>
  <c r="L459" i="1"/>
  <c r="L458" i="1"/>
  <c r="L457" i="1"/>
  <c r="L456" i="1"/>
  <c r="L455" i="1"/>
  <c r="L454" i="1"/>
  <c r="L453" i="1"/>
  <c r="L452" i="1"/>
  <c r="L451" i="1"/>
  <c r="L450" i="1"/>
  <c r="L449" i="1"/>
  <c r="L448" i="1"/>
  <c r="L447" i="1"/>
  <c r="L446" i="1"/>
  <c r="L445" i="1"/>
  <c r="L444" i="1"/>
  <c r="L443" i="1"/>
  <c r="L442" i="1"/>
  <c r="L441" i="1"/>
  <c r="L440" i="1"/>
  <c r="L439" i="1"/>
  <c r="L438" i="1"/>
  <c r="L437" i="1"/>
  <c r="L436" i="1"/>
  <c r="L435" i="1"/>
  <c r="L434" i="1"/>
  <c r="L433" i="1"/>
  <c r="L432" i="1"/>
  <c r="L431" i="1"/>
  <c r="L430" i="1"/>
  <c r="L429" i="1"/>
  <c r="L428" i="1"/>
  <c r="L427" i="1"/>
  <c r="L426" i="1"/>
  <c r="L425" i="1"/>
  <c r="L424" i="1"/>
  <c r="L423" i="1"/>
  <c r="L422" i="1"/>
  <c r="L421" i="1"/>
  <c r="L420" i="1"/>
  <c r="L419" i="1"/>
  <c r="L418" i="1"/>
  <c r="L417" i="1"/>
  <c r="L416" i="1"/>
  <c r="L415" i="1"/>
  <c r="L414" i="1"/>
  <c r="L413" i="1"/>
  <c r="L412" i="1"/>
  <c r="L411" i="1"/>
  <c r="L410" i="1"/>
  <c r="L409" i="1"/>
  <c r="L408" i="1"/>
  <c r="L407" i="1"/>
  <c r="L406" i="1"/>
  <c r="L405" i="1"/>
  <c r="L404" i="1"/>
  <c r="L403" i="1"/>
  <c r="L402" i="1"/>
  <c r="L401" i="1"/>
  <c r="L400" i="1"/>
  <c r="L399" i="1"/>
  <c r="L398" i="1"/>
  <c r="L397" i="1"/>
  <c r="L396" i="1"/>
  <c r="L395" i="1"/>
  <c r="L394" i="1"/>
  <c r="L393" i="1"/>
  <c r="L392" i="1"/>
  <c r="L391" i="1"/>
  <c r="L390" i="1"/>
  <c r="L389" i="1"/>
  <c r="L388" i="1"/>
  <c r="L387" i="1"/>
  <c r="L386" i="1"/>
  <c r="L385" i="1"/>
  <c r="L384" i="1"/>
  <c r="L383" i="1"/>
  <c r="L382" i="1"/>
  <c r="L381" i="1"/>
  <c r="L380" i="1"/>
  <c r="L379" i="1"/>
  <c r="L378" i="1"/>
  <c r="L377" i="1"/>
  <c r="L376" i="1"/>
  <c r="L375" i="1"/>
  <c r="L374" i="1"/>
  <c r="L373" i="1"/>
  <c r="L372" i="1"/>
  <c r="L371" i="1"/>
  <c r="L370" i="1"/>
  <c r="L369" i="1"/>
  <c r="L368" i="1"/>
  <c r="L367" i="1"/>
  <c r="L366" i="1"/>
  <c r="L365" i="1"/>
  <c r="L364" i="1"/>
  <c r="L363" i="1"/>
  <c r="L362" i="1"/>
  <c r="L361" i="1"/>
  <c r="L360" i="1"/>
  <c r="L359" i="1"/>
  <c r="L358" i="1"/>
  <c r="L357" i="1"/>
  <c r="L356" i="1"/>
  <c r="L355" i="1"/>
  <c r="L354" i="1"/>
  <c r="L353" i="1"/>
  <c r="L352" i="1"/>
  <c r="L351" i="1"/>
  <c r="L350" i="1"/>
  <c r="L349" i="1"/>
  <c r="L348" i="1"/>
  <c r="L347" i="1"/>
  <c r="L346" i="1"/>
  <c r="L345" i="1"/>
  <c r="L344" i="1"/>
  <c r="L343" i="1"/>
  <c r="L342" i="1"/>
  <c r="L341" i="1"/>
  <c r="L340" i="1"/>
  <c r="L339" i="1"/>
  <c r="L338" i="1"/>
  <c r="L337" i="1"/>
  <c r="L336" i="1"/>
  <c r="L335" i="1"/>
  <c r="L334" i="1"/>
  <c r="L333" i="1"/>
  <c r="L332" i="1"/>
  <c r="L331" i="1"/>
  <c r="L330" i="1"/>
  <c r="L329" i="1"/>
  <c r="L328" i="1"/>
  <c r="L327" i="1"/>
  <c r="L326" i="1"/>
  <c r="L325" i="1"/>
  <c r="L324" i="1"/>
  <c r="L323" i="1"/>
  <c r="L322" i="1"/>
  <c r="L321" i="1"/>
  <c r="L320" i="1"/>
  <c r="L319" i="1"/>
  <c r="L318" i="1"/>
  <c r="L317" i="1"/>
  <c r="L316" i="1"/>
  <c r="L315" i="1"/>
  <c r="L314" i="1"/>
  <c r="L313" i="1"/>
  <c r="L312" i="1"/>
  <c r="L311" i="1"/>
  <c r="L310" i="1"/>
  <c r="L309" i="1"/>
  <c r="L308" i="1"/>
  <c r="L307" i="1"/>
  <c r="L306" i="1"/>
  <c r="L305" i="1"/>
  <c r="L304" i="1"/>
  <c r="L303" i="1"/>
  <c r="L302" i="1"/>
  <c r="L301" i="1"/>
  <c r="L300" i="1"/>
  <c r="L299" i="1"/>
  <c r="L298" i="1"/>
  <c r="L297" i="1"/>
  <c r="L296" i="1"/>
  <c r="L295" i="1"/>
  <c r="L294" i="1"/>
  <c r="L293" i="1"/>
  <c r="L292" i="1"/>
  <c r="L291" i="1"/>
  <c r="L290" i="1"/>
  <c r="L289" i="1"/>
  <c r="L288" i="1"/>
  <c r="L287" i="1"/>
  <c r="L286" i="1"/>
  <c r="L285" i="1"/>
  <c r="L284" i="1"/>
  <c r="L283" i="1"/>
  <c r="L282" i="1"/>
  <c r="L281" i="1"/>
  <c r="L280" i="1"/>
  <c r="L279" i="1"/>
  <c r="L278" i="1"/>
  <c r="L277" i="1"/>
  <c r="L276" i="1"/>
  <c r="L275" i="1"/>
  <c r="L274" i="1"/>
  <c r="L273" i="1"/>
  <c r="L272" i="1"/>
  <c r="L271" i="1"/>
  <c r="L270" i="1"/>
  <c r="L269" i="1"/>
  <c r="L268" i="1"/>
  <c r="L267" i="1"/>
  <c r="L266" i="1"/>
  <c r="L265" i="1"/>
  <c r="L264" i="1"/>
  <c r="L263" i="1"/>
  <c r="L262" i="1"/>
  <c r="L261" i="1"/>
  <c r="L260" i="1"/>
  <c r="L259" i="1"/>
  <c r="L258" i="1"/>
  <c r="L257" i="1"/>
  <c r="L256" i="1"/>
  <c r="L255" i="1"/>
  <c r="L254" i="1"/>
  <c r="L253" i="1"/>
  <c r="L252" i="1"/>
  <c r="L251" i="1"/>
  <c r="L250" i="1"/>
  <c r="L249" i="1"/>
  <c r="L248" i="1"/>
  <c r="L247" i="1"/>
  <c r="L246" i="1"/>
  <c r="L245" i="1"/>
  <c r="L244" i="1"/>
  <c r="L243" i="1"/>
  <c r="L242" i="1"/>
  <c r="L241" i="1"/>
  <c r="L240" i="1"/>
  <c r="L239" i="1"/>
  <c r="L238" i="1"/>
  <c r="L237" i="1"/>
  <c r="L236" i="1"/>
  <c r="L235" i="1"/>
  <c r="L234" i="1"/>
  <c r="L233" i="1"/>
  <c r="L232" i="1"/>
  <c r="L231" i="1"/>
  <c r="L230" i="1"/>
  <c r="L229" i="1"/>
  <c r="L228" i="1"/>
  <c r="L227" i="1"/>
  <c r="L226" i="1"/>
  <c r="L225" i="1"/>
  <c r="L224" i="1"/>
  <c r="L223" i="1"/>
  <c r="L222" i="1"/>
  <c r="L221" i="1"/>
  <c r="L220" i="1"/>
  <c r="L219" i="1"/>
  <c r="L218" i="1"/>
  <c r="L217" i="1"/>
  <c r="L216" i="1"/>
  <c r="L215" i="1"/>
  <c r="L214" i="1"/>
  <c r="L213" i="1"/>
  <c r="L212" i="1"/>
  <c r="L211" i="1"/>
  <c r="L210" i="1"/>
  <c r="L209" i="1"/>
  <c r="L208" i="1"/>
  <c r="L207" i="1"/>
  <c r="L206" i="1"/>
  <c r="L205" i="1"/>
  <c r="L204" i="1"/>
  <c r="L203" i="1"/>
  <c r="L202" i="1"/>
  <c r="L201" i="1"/>
  <c r="L200" i="1"/>
  <c r="L199" i="1"/>
  <c r="L198" i="1"/>
  <c r="L197" i="1"/>
  <c r="L196" i="1"/>
  <c r="L195" i="1"/>
  <c r="L194" i="1"/>
  <c r="L193" i="1"/>
  <c r="L192" i="1"/>
  <c r="L191" i="1"/>
  <c r="L190" i="1"/>
  <c r="L189" i="1"/>
  <c r="L188" i="1"/>
  <c r="L187" i="1"/>
  <c r="L186" i="1"/>
  <c r="L185" i="1"/>
  <c r="L184" i="1"/>
  <c r="L183" i="1"/>
  <c r="L182" i="1"/>
  <c r="L181" i="1"/>
  <c r="L180" i="1"/>
  <c r="L179" i="1"/>
  <c r="L178" i="1"/>
  <c r="L177" i="1"/>
  <c r="L176" i="1"/>
  <c r="L175" i="1"/>
  <c r="L174" i="1"/>
  <c r="L173" i="1"/>
  <c r="L172" i="1"/>
  <c r="L171" i="1"/>
  <c r="L170" i="1"/>
  <c r="L169" i="1"/>
  <c r="L168" i="1"/>
  <c r="L167" i="1"/>
  <c r="L166" i="1"/>
  <c r="L165" i="1"/>
  <c r="L164" i="1"/>
  <c r="L163" i="1"/>
  <c r="L162" i="1"/>
  <c r="L161" i="1"/>
  <c r="L160" i="1"/>
  <c r="L159" i="1"/>
  <c r="L158" i="1"/>
  <c r="L15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136" i="1"/>
  <c r="L135" i="1"/>
  <c r="L134" i="1"/>
  <c r="L133" i="1"/>
  <c r="L132" i="1"/>
  <c r="L131" i="1"/>
  <c r="L130" i="1"/>
  <c r="L129" i="1"/>
  <c r="L128" i="1"/>
  <c r="L127" i="1"/>
  <c r="L126" i="1"/>
  <c r="L125" i="1"/>
  <c r="L124" i="1"/>
  <c r="L123" i="1"/>
  <c r="L122" i="1"/>
  <c r="L121" i="1"/>
  <c r="L120" i="1"/>
  <c r="L119" i="1"/>
  <c r="L118" i="1"/>
  <c r="L117" i="1"/>
  <c r="L116" i="1"/>
  <c r="L115" i="1"/>
  <c r="L114" i="1"/>
  <c r="L113" i="1"/>
  <c r="L112" i="1"/>
  <c r="L111" i="1"/>
  <c r="L110" i="1"/>
  <c r="L109" i="1"/>
  <c r="L108" i="1"/>
  <c r="L107" i="1"/>
  <c r="L106" i="1"/>
  <c r="L105" i="1"/>
  <c r="L104" i="1"/>
  <c r="L103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K2" i="1"/>
  <c r="D8" i="1"/>
  <c r="C1255" i="1"/>
  <c r="C1254" i="1"/>
  <c r="C1253" i="1"/>
  <c r="K1253" i="1" s="1"/>
  <c r="C1252" i="1"/>
  <c r="K1252" i="1" s="1"/>
  <c r="C1251" i="1"/>
  <c r="C1250" i="1"/>
  <c r="C1249" i="1"/>
  <c r="K1249" i="1" s="1"/>
  <c r="C1248" i="1"/>
  <c r="K1248" i="1" s="1"/>
  <c r="C1247" i="1"/>
  <c r="C1246" i="1"/>
  <c r="C1245" i="1"/>
  <c r="K1245" i="1" s="1"/>
  <c r="C1244" i="1"/>
  <c r="K1244" i="1" s="1"/>
  <c r="C1243" i="1"/>
  <c r="C1242" i="1"/>
  <c r="C1241" i="1"/>
  <c r="K1241" i="1" s="1"/>
  <c r="C1240" i="1"/>
  <c r="K1240" i="1" s="1"/>
  <c r="C1239" i="1"/>
  <c r="C1238" i="1"/>
  <c r="C1237" i="1"/>
  <c r="K1237" i="1" s="1"/>
  <c r="C1236" i="1"/>
  <c r="K1236" i="1" s="1"/>
  <c r="C1235" i="1"/>
  <c r="C1234" i="1"/>
  <c r="C1233" i="1"/>
  <c r="K1233" i="1" s="1"/>
  <c r="C1232" i="1"/>
  <c r="K1232" i="1" s="1"/>
  <c r="C1231" i="1"/>
  <c r="C1230" i="1"/>
  <c r="C1229" i="1"/>
  <c r="K1229" i="1" s="1"/>
  <c r="C1228" i="1"/>
  <c r="K1228" i="1" s="1"/>
  <c r="C1227" i="1"/>
  <c r="C1226" i="1"/>
  <c r="C1225" i="1"/>
  <c r="K1225" i="1" s="1"/>
  <c r="C1224" i="1"/>
  <c r="K1224" i="1" s="1"/>
  <c r="C1223" i="1"/>
  <c r="C1222" i="1"/>
  <c r="C1221" i="1"/>
  <c r="K1221" i="1" s="1"/>
  <c r="C1220" i="1"/>
  <c r="K1220" i="1" s="1"/>
  <c r="C1219" i="1"/>
  <c r="C1218" i="1"/>
  <c r="C1217" i="1"/>
  <c r="K1217" i="1" s="1"/>
  <c r="C1216" i="1"/>
  <c r="K1216" i="1" s="1"/>
  <c r="C1215" i="1"/>
  <c r="C1214" i="1"/>
  <c r="C1213" i="1"/>
  <c r="K1213" i="1" s="1"/>
  <c r="C1212" i="1"/>
  <c r="K1212" i="1" s="1"/>
  <c r="C1211" i="1"/>
  <c r="C1210" i="1"/>
  <c r="C1209" i="1"/>
  <c r="K1209" i="1" s="1"/>
  <c r="C1208" i="1"/>
  <c r="K1208" i="1" s="1"/>
  <c r="C1207" i="1"/>
  <c r="C1206" i="1"/>
  <c r="C1205" i="1"/>
  <c r="K1205" i="1" s="1"/>
  <c r="C1204" i="1"/>
  <c r="K1204" i="1" s="1"/>
  <c r="C1203" i="1"/>
  <c r="C1202" i="1"/>
  <c r="C1201" i="1"/>
  <c r="K1201" i="1" s="1"/>
  <c r="C1200" i="1"/>
  <c r="K1200" i="1" s="1"/>
  <c r="C1199" i="1"/>
  <c r="C1198" i="1"/>
  <c r="C1197" i="1"/>
  <c r="K1197" i="1" s="1"/>
  <c r="C1196" i="1"/>
  <c r="K1196" i="1" s="1"/>
  <c r="C1195" i="1"/>
  <c r="C1194" i="1"/>
  <c r="C1193" i="1"/>
  <c r="K1193" i="1" s="1"/>
  <c r="C1192" i="1"/>
  <c r="K1192" i="1" s="1"/>
  <c r="C1191" i="1"/>
  <c r="C1190" i="1"/>
  <c r="C1189" i="1"/>
  <c r="K1189" i="1" s="1"/>
  <c r="C1188" i="1"/>
  <c r="K1188" i="1" s="1"/>
  <c r="C1187" i="1"/>
  <c r="C1186" i="1"/>
  <c r="C1185" i="1"/>
  <c r="K1185" i="1" s="1"/>
  <c r="C1184" i="1"/>
  <c r="K1184" i="1" s="1"/>
  <c r="C1183" i="1"/>
  <c r="C1182" i="1"/>
  <c r="C1181" i="1"/>
  <c r="K1181" i="1" s="1"/>
  <c r="C1180" i="1"/>
  <c r="K1180" i="1" s="1"/>
  <c r="C1179" i="1"/>
  <c r="C1178" i="1"/>
  <c r="C1177" i="1"/>
  <c r="K1177" i="1" s="1"/>
  <c r="C1176" i="1"/>
  <c r="K1176" i="1" s="1"/>
  <c r="C1175" i="1"/>
  <c r="C1174" i="1"/>
  <c r="C1173" i="1"/>
  <c r="K1173" i="1" s="1"/>
  <c r="C1172" i="1"/>
  <c r="K1172" i="1" s="1"/>
  <c r="C1171" i="1"/>
  <c r="C1170" i="1"/>
  <c r="C1169" i="1"/>
  <c r="K1169" i="1" s="1"/>
  <c r="C1168" i="1"/>
  <c r="K1168" i="1" s="1"/>
  <c r="C1167" i="1"/>
  <c r="C1166" i="1"/>
  <c r="C1165" i="1"/>
  <c r="K1165" i="1" s="1"/>
  <c r="C1164" i="1"/>
  <c r="K1164" i="1" s="1"/>
  <c r="C1163" i="1"/>
  <c r="C1162" i="1"/>
  <c r="C1161" i="1"/>
  <c r="K1161" i="1" s="1"/>
  <c r="C1160" i="1"/>
  <c r="K1160" i="1" s="1"/>
  <c r="C1159" i="1"/>
  <c r="C1158" i="1"/>
  <c r="C1157" i="1"/>
  <c r="K1157" i="1" s="1"/>
  <c r="C1156" i="1"/>
  <c r="K1156" i="1" s="1"/>
  <c r="C1155" i="1"/>
  <c r="C1154" i="1"/>
  <c r="C1153" i="1"/>
  <c r="K1153" i="1" s="1"/>
  <c r="C1152" i="1"/>
  <c r="K1152" i="1" s="1"/>
  <c r="C1151" i="1"/>
  <c r="C1150" i="1"/>
  <c r="C1149" i="1"/>
  <c r="K1149" i="1" s="1"/>
  <c r="C1148" i="1"/>
  <c r="K1148" i="1" s="1"/>
  <c r="C1147" i="1"/>
  <c r="C1146" i="1"/>
  <c r="C1145" i="1"/>
  <c r="K1145" i="1" s="1"/>
  <c r="C1144" i="1"/>
  <c r="K1144" i="1" s="1"/>
  <c r="C1143" i="1"/>
  <c r="C1142" i="1"/>
  <c r="C1141" i="1"/>
  <c r="K1141" i="1" s="1"/>
  <c r="C1140" i="1"/>
  <c r="K1140" i="1" s="1"/>
  <c r="C1139" i="1"/>
  <c r="C1138" i="1"/>
  <c r="C1137" i="1"/>
  <c r="K1137" i="1" s="1"/>
  <c r="C1136" i="1"/>
  <c r="K1136" i="1" s="1"/>
  <c r="C1135" i="1"/>
  <c r="C1134" i="1"/>
  <c r="C1133" i="1"/>
  <c r="K1133" i="1" s="1"/>
  <c r="C1132" i="1"/>
  <c r="K1132" i="1" s="1"/>
  <c r="C1131" i="1"/>
  <c r="C1130" i="1"/>
  <c r="C1129" i="1"/>
  <c r="K1129" i="1" s="1"/>
  <c r="C1128" i="1"/>
  <c r="K1128" i="1" s="1"/>
  <c r="C1127" i="1"/>
  <c r="C1126" i="1"/>
  <c r="C1125" i="1"/>
  <c r="K1125" i="1" s="1"/>
  <c r="C1124" i="1"/>
  <c r="K1124" i="1" s="1"/>
  <c r="C1123" i="1"/>
  <c r="C1122" i="1"/>
  <c r="C1121" i="1"/>
  <c r="K1121" i="1" s="1"/>
  <c r="C1120" i="1"/>
  <c r="K1120" i="1" s="1"/>
  <c r="C1119" i="1"/>
  <c r="C1118" i="1"/>
  <c r="C1117" i="1"/>
  <c r="K1117" i="1" s="1"/>
  <c r="C1116" i="1"/>
  <c r="K1116" i="1" s="1"/>
  <c r="C1115" i="1"/>
  <c r="C1114" i="1"/>
  <c r="C1113" i="1"/>
  <c r="K1113" i="1" s="1"/>
  <c r="C1112" i="1"/>
  <c r="K1112" i="1" s="1"/>
  <c r="C1111" i="1"/>
  <c r="C1110" i="1"/>
  <c r="C1109" i="1"/>
  <c r="K1109" i="1" s="1"/>
  <c r="C1108" i="1"/>
  <c r="K1108" i="1" s="1"/>
  <c r="C1107" i="1"/>
  <c r="C1106" i="1"/>
  <c r="C1105" i="1"/>
  <c r="K1105" i="1" s="1"/>
  <c r="C1104" i="1"/>
  <c r="K1104" i="1" s="1"/>
  <c r="C1103" i="1"/>
  <c r="C1102" i="1"/>
  <c r="C1101" i="1"/>
  <c r="K1101" i="1" s="1"/>
  <c r="C1100" i="1"/>
  <c r="K1100" i="1" s="1"/>
  <c r="C1099" i="1"/>
  <c r="C1098" i="1"/>
  <c r="C1097" i="1"/>
  <c r="K1097" i="1" s="1"/>
  <c r="C1096" i="1"/>
  <c r="K1096" i="1" s="1"/>
  <c r="C1095" i="1"/>
  <c r="C1094" i="1"/>
  <c r="C1093" i="1"/>
  <c r="K1093" i="1" s="1"/>
  <c r="C1092" i="1"/>
  <c r="K1092" i="1" s="1"/>
  <c r="C1091" i="1"/>
  <c r="C1090" i="1"/>
  <c r="C1089" i="1"/>
  <c r="K1089" i="1" s="1"/>
  <c r="C1088" i="1"/>
  <c r="K1088" i="1" s="1"/>
  <c r="C1087" i="1"/>
  <c r="C1086" i="1"/>
  <c r="C1085" i="1"/>
  <c r="K1085" i="1" s="1"/>
  <c r="C1084" i="1"/>
  <c r="K1084" i="1" s="1"/>
  <c r="C1083" i="1"/>
  <c r="C1082" i="1"/>
  <c r="C1081" i="1"/>
  <c r="K1081" i="1" s="1"/>
  <c r="C1080" i="1"/>
  <c r="K1080" i="1" s="1"/>
  <c r="C1079" i="1"/>
  <c r="C1078" i="1"/>
  <c r="C1077" i="1"/>
  <c r="K1077" i="1" s="1"/>
  <c r="C1076" i="1"/>
  <c r="K1076" i="1" s="1"/>
  <c r="C1075" i="1"/>
  <c r="C1074" i="1"/>
  <c r="C1073" i="1"/>
  <c r="K1073" i="1" s="1"/>
  <c r="C1072" i="1"/>
  <c r="K1072" i="1" s="1"/>
  <c r="C1071" i="1"/>
  <c r="C1070" i="1"/>
  <c r="C1069" i="1"/>
  <c r="K1069" i="1" s="1"/>
  <c r="C1068" i="1"/>
  <c r="K1068" i="1" s="1"/>
  <c r="C1067" i="1"/>
  <c r="C1066" i="1"/>
  <c r="C1065" i="1"/>
  <c r="K1065" i="1" s="1"/>
  <c r="C1064" i="1"/>
  <c r="K1064" i="1" s="1"/>
  <c r="C1063" i="1"/>
  <c r="C1062" i="1"/>
  <c r="C1061" i="1"/>
  <c r="K1061" i="1" s="1"/>
  <c r="C1060" i="1"/>
  <c r="K1060" i="1" s="1"/>
  <c r="C1059" i="1"/>
  <c r="C1058" i="1"/>
  <c r="C1057" i="1"/>
  <c r="K1057" i="1" s="1"/>
  <c r="C1056" i="1"/>
  <c r="K1056" i="1" s="1"/>
  <c r="C1055" i="1"/>
  <c r="C1054" i="1"/>
  <c r="C1053" i="1"/>
  <c r="K1053" i="1" s="1"/>
  <c r="C1052" i="1"/>
  <c r="K1052" i="1" s="1"/>
  <c r="C1051" i="1"/>
  <c r="C1050" i="1"/>
  <c r="C1049" i="1"/>
  <c r="K1049" i="1" s="1"/>
  <c r="C1048" i="1"/>
  <c r="K1048" i="1" s="1"/>
  <c r="C1047" i="1"/>
  <c r="C1046" i="1"/>
  <c r="C1045" i="1"/>
  <c r="K1045" i="1" s="1"/>
  <c r="C1044" i="1"/>
  <c r="K1044" i="1" s="1"/>
  <c r="C1043" i="1"/>
  <c r="C1042" i="1"/>
  <c r="C1041" i="1"/>
  <c r="K1041" i="1" s="1"/>
  <c r="C1040" i="1"/>
  <c r="K1040" i="1" s="1"/>
  <c r="C1039" i="1"/>
  <c r="C1038" i="1"/>
  <c r="C1037" i="1"/>
  <c r="K1037" i="1" s="1"/>
  <c r="C1036" i="1"/>
  <c r="K1036" i="1" s="1"/>
  <c r="C1035" i="1"/>
  <c r="C1034" i="1"/>
  <c r="C1033" i="1"/>
  <c r="K1033" i="1" s="1"/>
  <c r="C1032" i="1"/>
  <c r="K1032" i="1" s="1"/>
  <c r="C1031" i="1"/>
  <c r="C1030" i="1"/>
  <c r="C1029" i="1"/>
  <c r="K1029" i="1" s="1"/>
  <c r="C1028" i="1"/>
  <c r="K1028" i="1" s="1"/>
  <c r="C1027" i="1"/>
  <c r="C1026" i="1"/>
  <c r="C1025" i="1"/>
  <c r="K1025" i="1" s="1"/>
  <c r="C1024" i="1"/>
  <c r="K1024" i="1" s="1"/>
  <c r="C1023" i="1"/>
  <c r="C1022" i="1"/>
  <c r="C1021" i="1"/>
  <c r="K1021" i="1" s="1"/>
  <c r="C1020" i="1"/>
  <c r="K1020" i="1" s="1"/>
  <c r="C1019" i="1"/>
  <c r="C1018" i="1"/>
  <c r="C1017" i="1"/>
  <c r="K1017" i="1" s="1"/>
  <c r="C1016" i="1"/>
  <c r="K1016" i="1" s="1"/>
  <c r="C1015" i="1"/>
  <c r="C1014" i="1"/>
  <c r="C1013" i="1"/>
  <c r="C1012" i="1"/>
  <c r="K1012" i="1" s="1"/>
  <c r="C1011" i="1"/>
  <c r="C1010" i="1"/>
  <c r="C1009" i="1"/>
  <c r="C1008" i="1"/>
  <c r="K1008" i="1" s="1"/>
  <c r="C1007" i="1"/>
  <c r="C1006" i="1"/>
  <c r="C1005" i="1"/>
  <c r="K1005" i="1" s="1"/>
  <c r="C1004" i="1"/>
  <c r="K1004" i="1" s="1"/>
  <c r="C1003" i="1"/>
  <c r="C1002" i="1"/>
  <c r="C1001" i="1"/>
  <c r="K1001" i="1" s="1"/>
  <c r="C1000" i="1"/>
  <c r="K1000" i="1" s="1"/>
  <c r="C999" i="1"/>
  <c r="C998" i="1"/>
  <c r="C997" i="1"/>
  <c r="K997" i="1" s="1"/>
  <c r="C996" i="1"/>
  <c r="K996" i="1" s="1"/>
  <c r="C995" i="1"/>
  <c r="C994" i="1"/>
  <c r="C993" i="1"/>
  <c r="K993" i="1" s="1"/>
  <c r="C992" i="1"/>
  <c r="K992" i="1" s="1"/>
  <c r="C991" i="1"/>
  <c r="C990" i="1"/>
  <c r="C989" i="1"/>
  <c r="K989" i="1" s="1"/>
  <c r="C988" i="1"/>
  <c r="K988" i="1" s="1"/>
  <c r="C987" i="1"/>
  <c r="C986" i="1"/>
  <c r="C985" i="1"/>
  <c r="K985" i="1" s="1"/>
  <c r="C984" i="1"/>
  <c r="K984" i="1" s="1"/>
  <c r="C983" i="1"/>
  <c r="C982" i="1"/>
  <c r="C981" i="1"/>
  <c r="C980" i="1"/>
  <c r="K980" i="1" s="1"/>
  <c r="C979" i="1"/>
  <c r="C978" i="1"/>
  <c r="C977" i="1"/>
  <c r="C976" i="1"/>
  <c r="K976" i="1" s="1"/>
  <c r="C975" i="1"/>
  <c r="C974" i="1"/>
  <c r="C973" i="1"/>
  <c r="K973" i="1" s="1"/>
  <c r="C972" i="1"/>
  <c r="K972" i="1" s="1"/>
  <c r="C971" i="1"/>
  <c r="C970" i="1"/>
  <c r="C969" i="1"/>
  <c r="K969" i="1" s="1"/>
  <c r="C968" i="1"/>
  <c r="C967" i="1"/>
  <c r="C966" i="1"/>
  <c r="C965" i="1"/>
  <c r="K965" i="1" s="1"/>
  <c r="C964" i="1"/>
  <c r="K964" i="1" s="1"/>
  <c r="C963" i="1"/>
  <c r="C962" i="1"/>
  <c r="C961" i="1"/>
  <c r="K961" i="1" s="1"/>
  <c r="C960" i="1"/>
  <c r="K960" i="1" s="1"/>
  <c r="C959" i="1"/>
  <c r="C958" i="1"/>
  <c r="C957" i="1"/>
  <c r="C956" i="1"/>
  <c r="K956" i="1" s="1"/>
  <c r="C955" i="1"/>
  <c r="C954" i="1"/>
  <c r="C953" i="1"/>
  <c r="C952" i="1"/>
  <c r="K952" i="1" s="1"/>
  <c r="C951" i="1"/>
  <c r="C950" i="1"/>
  <c r="C949" i="1"/>
  <c r="K949" i="1" s="1"/>
  <c r="C948" i="1"/>
  <c r="K948" i="1" s="1"/>
  <c r="C947" i="1"/>
  <c r="C946" i="1"/>
  <c r="C945" i="1"/>
  <c r="K945" i="1" s="1"/>
  <c r="C944" i="1"/>
  <c r="K944" i="1" s="1"/>
  <c r="C943" i="1"/>
  <c r="C942" i="1"/>
  <c r="C941" i="1"/>
  <c r="K941" i="1" s="1"/>
  <c r="C940" i="1"/>
  <c r="K940" i="1" s="1"/>
  <c r="C939" i="1"/>
  <c r="C938" i="1"/>
  <c r="C937" i="1"/>
  <c r="K937" i="1" s="1"/>
  <c r="C936" i="1"/>
  <c r="K936" i="1" s="1"/>
  <c r="C935" i="1"/>
  <c r="C934" i="1"/>
  <c r="C933" i="1"/>
  <c r="K933" i="1" s="1"/>
  <c r="C932" i="1"/>
  <c r="K932" i="1" s="1"/>
  <c r="C931" i="1"/>
  <c r="C930" i="1"/>
  <c r="C929" i="1"/>
  <c r="K929" i="1" s="1"/>
  <c r="C928" i="1"/>
  <c r="K928" i="1" s="1"/>
  <c r="C927" i="1"/>
  <c r="C926" i="1"/>
  <c r="C925" i="1"/>
  <c r="K925" i="1" s="1"/>
  <c r="C924" i="1"/>
  <c r="K924" i="1" s="1"/>
  <c r="C923" i="1"/>
  <c r="C922" i="1"/>
  <c r="C921" i="1"/>
  <c r="K921" i="1" s="1"/>
  <c r="C920" i="1"/>
  <c r="K920" i="1" s="1"/>
  <c r="C919" i="1"/>
  <c r="C918" i="1"/>
  <c r="C917" i="1"/>
  <c r="K917" i="1" s="1"/>
  <c r="C916" i="1"/>
  <c r="K916" i="1" s="1"/>
  <c r="C915" i="1"/>
  <c r="C914" i="1"/>
  <c r="C913" i="1"/>
  <c r="K913" i="1" s="1"/>
  <c r="C912" i="1"/>
  <c r="K912" i="1" s="1"/>
  <c r="C911" i="1"/>
  <c r="C910" i="1"/>
  <c r="C909" i="1"/>
  <c r="K909" i="1" s="1"/>
  <c r="C908" i="1"/>
  <c r="K908" i="1" s="1"/>
  <c r="C907" i="1"/>
  <c r="C906" i="1"/>
  <c r="C905" i="1"/>
  <c r="K905" i="1" s="1"/>
  <c r="C904" i="1"/>
  <c r="K904" i="1" s="1"/>
  <c r="C903" i="1"/>
  <c r="C902" i="1"/>
  <c r="C901" i="1"/>
  <c r="K901" i="1" s="1"/>
  <c r="C900" i="1"/>
  <c r="K900" i="1" s="1"/>
  <c r="C899" i="1"/>
  <c r="C898" i="1"/>
  <c r="C897" i="1"/>
  <c r="K897" i="1" s="1"/>
  <c r="C896" i="1"/>
  <c r="K896" i="1" s="1"/>
  <c r="C895" i="1"/>
  <c r="C894" i="1"/>
  <c r="C893" i="1"/>
  <c r="K893" i="1" s="1"/>
  <c r="C892" i="1"/>
  <c r="C891" i="1"/>
  <c r="C890" i="1"/>
  <c r="C889" i="1"/>
  <c r="K889" i="1" s="1"/>
  <c r="C888" i="1"/>
  <c r="K888" i="1" s="1"/>
  <c r="C887" i="1"/>
  <c r="C886" i="1"/>
  <c r="C885" i="1"/>
  <c r="K885" i="1" s="1"/>
  <c r="C884" i="1"/>
  <c r="K884" i="1" s="1"/>
  <c r="C883" i="1"/>
  <c r="C882" i="1"/>
  <c r="C881" i="1"/>
  <c r="C880" i="1"/>
  <c r="C879" i="1"/>
  <c r="C878" i="1"/>
  <c r="C877" i="1"/>
  <c r="K877" i="1" s="1"/>
  <c r="C876" i="1"/>
  <c r="K876" i="1" s="1"/>
  <c r="C875" i="1"/>
  <c r="C874" i="1"/>
  <c r="C873" i="1"/>
  <c r="K873" i="1" s="1"/>
  <c r="C872" i="1"/>
  <c r="K872" i="1" s="1"/>
  <c r="C871" i="1"/>
  <c r="C870" i="1"/>
  <c r="C869" i="1"/>
  <c r="K869" i="1" s="1"/>
  <c r="C868" i="1"/>
  <c r="K868" i="1" s="1"/>
  <c r="C867" i="1"/>
  <c r="C866" i="1"/>
  <c r="C865" i="1"/>
  <c r="K865" i="1" s="1"/>
  <c r="C864" i="1"/>
  <c r="K864" i="1" s="1"/>
  <c r="C863" i="1"/>
  <c r="C862" i="1"/>
  <c r="C861" i="1"/>
  <c r="K861" i="1" s="1"/>
  <c r="C860" i="1"/>
  <c r="K860" i="1" s="1"/>
  <c r="C859" i="1"/>
  <c r="C858" i="1"/>
  <c r="C857" i="1"/>
  <c r="K857" i="1" s="1"/>
  <c r="C856" i="1"/>
  <c r="K856" i="1" s="1"/>
  <c r="C855" i="1"/>
  <c r="C854" i="1"/>
  <c r="C853" i="1"/>
  <c r="K853" i="1" s="1"/>
  <c r="C852" i="1"/>
  <c r="C851" i="1"/>
  <c r="C850" i="1"/>
  <c r="C849" i="1"/>
  <c r="K849" i="1" s="1"/>
  <c r="C848" i="1"/>
  <c r="K848" i="1" s="1"/>
  <c r="C847" i="1"/>
  <c r="C846" i="1"/>
  <c r="C845" i="1"/>
  <c r="K845" i="1" s="1"/>
  <c r="C844" i="1"/>
  <c r="K844" i="1" s="1"/>
  <c r="C843" i="1"/>
  <c r="C842" i="1"/>
  <c r="C841" i="1"/>
  <c r="K841" i="1" s="1"/>
  <c r="C840" i="1"/>
  <c r="K840" i="1" s="1"/>
  <c r="C839" i="1"/>
  <c r="C838" i="1"/>
  <c r="C837" i="1"/>
  <c r="K837" i="1" s="1"/>
  <c r="C836" i="1"/>
  <c r="K836" i="1" s="1"/>
  <c r="C835" i="1"/>
  <c r="C834" i="1"/>
  <c r="C833" i="1"/>
  <c r="K833" i="1" s="1"/>
  <c r="C832" i="1"/>
  <c r="K832" i="1" s="1"/>
  <c r="C831" i="1"/>
  <c r="C830" i="1"/>
  <c r="C829" i="1"/>
  <c r="K829" i="1" s="1"/>
  <c r="C828" i="1"/>
  <c r="K828" i="1" s="1"/>
  <c r="C827" i="1"/>
  <c r="C826" i="1"/>
  <c r="C825" i="1"/>
  <c r="K825" i="1" s="1"/>
  <c r="C824" i="1"/>
  <c r="K824" i="1" s="1"/>
  <c r="C823" i="1"/>
  <c r="C822" i="1"/>
  <c r="C821" i="1"/>
  <c r="K821" i="1" s="1"/>
  <c r="C820" i="1"/>
  <c r="K820" i="1" s="1"/>
  <c r="C819" i="1"/>
  <c r="C818" i="1"/>
  <c r="C817" i="1"/>
  <c r="C816" i="1"/>
  <c r="K816" i="1" s="1"/>
  <c r="C815" i="1"/>
  <c r="C814" i="1"/>
  <c r="C813" i="1"/>
  <c r="K813" i="1" s="1"/>
  <c r="C812" i="1"/>
  <c r="K812" i="1" s="1"/>
  <c r="C811" i="1"/>
  <c r="C810" i="1"/>
  <c r="C809" i="1"/>
  <c r="K809" i="1" s="1"/>
  <c r="C808" i="1"/>
  <c r="K808" i="1" s="1"/>
  <c r="C807" i="1"/>
  <c r="C806" i="1"/>
  <c r="C805" i="1"/>
  <c r="K805" i="1" s="1"/>
  <c r="C804" i="1"/>
  <c r="K804" i="1" s="1"/>
  <c r="C803" i="1"/>
  <c r="C802" i="1"/>
  <c r="C801" i="1"/>
  <c r="K801" i="1" s="1"/>
  <c r="C800" i="1"/>
  <c r="K800" i="1" s="1"/>
  <c r="C799" i="1"/>
  <c r="C798" i="1"/>
  <c r="C797" i="1"/>
  <c r="K797" i="1" s="1"/>
  <c r="C796" i="1"/>
  <c r="K796" i="1" s="1"/>
  <c r="C795" i="1"/>
  <c r="C794" i="1"/>
  <c r="C793" i="1"/>
  <c r="K793" i="1" s="1"/>
  <c r="C792" i="1"/>
  <c r="C791" i="1"/>
  <c r="C790" i="1"/>
  <c r="C789" i="1"/>
  <c r="K789" i="1" s="1"/>
  <c r="C788" i="1"/>
  <c r="K788" i="1" s="1"/>
  <c r="C787" i="1"/>
  <c r="C786" i="1"/>
  <c r="C785" i="1"/>
  <c r="K785" i="1" s="1"/>
  <c r="C784" i="1"/>
  <c r="K784" i="1" s="1"/>
  <c r="C783" i="1"/>
  <c r="C782" i="1"/>
  <c r="C781" i="1"/>
  <c r="K781" i="1" s="1"/>
  <c r="C780" i="1"/>
  <c r="K780" i="1" s="1"/>
  <c r="C779" i="1"/>
  <c r="C778" i="1"/>
  <c r="C777" i="1"/>
  <c r="K777" i="1" s="1"/>
  <c r="C776" i="1"/>
  <c r="C775" i="1"/>
  <c r="C774" i="1"/>
  <c r="C773" i="1"/>
  <c r="K773" i="1" s="1"/>
  <c r="C772" i="1"/>
  <c r="K772" i="1" s="1"/>
  <c r="C771" i="1"/>
  <c r="C770" i="1"/>
  <c r="C769" i="1"/>
  <c r="K769" i="1" s="1"/>
  <c r="C768" i="1"/>
  <c r="K768" i="1" s="1"/>
  <c r="C767" i="1"/>
  <c r="C766" i="1"/>
  <c r="C765" i="1"/>
  <c r="K765" i="1" s="1"/>
  <c r="C764" i="1"/>
  <c r="K764" i="1" s="1"/>
  <c r="C763" i="1"/>
  <c r="C762" i="1"/>
  <c r="C761" i="1"/>
  <c r="C760" i="1"/>
  <c r="K760" i="1" s="1"/>
  <c r="C759" i="1"/>
  <c r="C758" i="1"/>
  <c r="C757" i="1"/>
  <c r="C756" i="1"/>
  <c r="K756" i="1" s="1"/>
  <c r="C755" i="1"/>
  <c r="C754" i="1"/>
  <c r="C753" i="1"/>
  <c r="K753" i="1" s="1"/>
  <c r="C752" i="1"/>
  <c r="K752" i="1" s="1"/>
  <c r="C751" i="1"/>
  <c r="C750" i="1"/>
  <c r="C749" i="1"/>
  <c r="K749" i="1" s="1"/>
  <c r="C748" i="1"/>
  <c r="K748" i="1" s="1"/>
  <c r="C747" i="1"/>
  <c r="C746" i="1"/>
  <c r="C745" i="1"/>
  <c r="C744" i="1"/>
  <c r="K744" i="1" s="1"/>
  <c r="C743" i="1"/>
  <c r="C742" i="1"/>
  <c r="C741" i="1"/>
  <c r="C740" i="1"/>
  <c r="K740" i="1" s="1"/>
  <c r="C739" i="1"/>
  <c r="C738" i="1"/>
  <c r="C737" i="1"/>
  <c r="K737" i="1" s="1"/>
  <c r="C736" i="1"/>
  <c r="K736" i="1" s="1"/>
  <c r="C735" i="1"/>
  <c r="C734" i="1"/>
  <c r="C733" i="1"/>
  <c r="K733" i="1" s="1"/>
  <c r="C732" i="1"/>
  <c r="K732" i="1" s="1"/>
  <c r="C731" i="1"/>
  <c r="C730" i="1"/>
  <c r="C729" i="1"/>
  <c r="K729" i="1" s="1"/>
  <c r="C728" i="1"/>
  <c r="C727" i="1"/>
  <c r="C726" i="1"/>
  <c r="C725" i="1"/>
  <c r="K725" i="1" s="1"/>
  <c r="C724" i="1"/>
  <c r="K724" i="1" s="1"/>
  <c r="C723" i="1"/>
  <c r="C722" i="1"/>
  <c r="C721" i="1"/>
  <c r="K721" i="1" s="1"/>
  <c r="C720" i="1"/>
  <c r="K720" i="1" s="1"/>
  <c r="C719" i="1"/>
  <c r="C718" i="1"/>
  <c r="C717" i="1"/>
  <c r="K717" i="1" s="1"/>
  <c r="C716" i="1"/>
  <c r="K716" i="1" s="1"/>
  <c r="C715" i="1"/>
  <c r="C714" i="1"/>
  <c r="C713" i="1"/>
  <c r="K713" i="1" s="1"/>
  <c r="C712" i="1"/>
  <c r="K712" i="1" s="1"/>
  <c r="C711" i="1"/>
  <c r="C710" i="1"/>
  <c r="C709" i="1"/>
  <c r="C708" i="1"/>
  <c r="K708" i="1" s="1"/>
  <c r="C707" i="1"/>
  <c r="C706" i="1"/>
  <c r="C705" i="1"/>
  <c r="C704" i="1"/>
  <c r="K704" i="1" s="1"/>
  <c r="C703" i="1"/>
  <c r="C702" i="1"/>
  <c r="C701" i="1"/>
  <c r="K701" i="1" s="1"/>
  <c r="C700" i="1"/>
  <c r="C699" i="1"/>
  <c r="C698" i="1"/>
  <c r="C697" i="1"/>
  <c r="K697" i="1" s="1"/>
  <c r="C696" i="1"/>
  <c r="K696" i="1" s="1"/>
  <c r="C695" i="1"/>
  <c r="C694" i="1"/>
  <c r="C693" i="1"/>
  <c r="K693" i="1" s="1"/>
  <c r="C692" i="1"/>
  <c r="K692" i="1" s="1"/>
  <c r="C691" i="1"/>
  <c r="C690" i="1"/>
  <c r="C689" i="1"/>
  <c r="K689" i="1" s="1"/>
  <c r="C688" i="1"/>
  <c r="K688" i="1" s="1"/>
  <c r="C687" i="1"/>
  <c r="C686" i="1"/>
  <c r="C685" i="1"/>
  <c r="K685" i="1" s="1"/>
  <c r="C684" i="1"/>
  <c r="K684" i="1" s="1"/>
  <c r="C683" i="1"/>
  <c r="C682" i="1"/>
  <c r="C681" i="1"/>
  <c r="C680" i="1"/>
  <c r="K680" i="1" s="1"/>
  <c r="C679" i="1"/>
  <c r="C678" i="1"/>
  <c r="C677" i="1"/>
  <c r="K677" i="1" s="1"/>
  <c r="C676" i="1"/>
  <c r="C675" i="1"/>
  <c r="C674" i="1"/>
  <c r="C673" i="1"/>
  <c r="K673" i="1" s="1"/>
  <c r="C672" i="1"/>
  <c r="K672" i="1" s="1"/>
  <c r="C671" i="1"/>
  <c r="C670" i="1"/>
  <c r="C669" i="1"/>
  <c r="K669" i="1" s="1"/>
  <c r="C668" i="1"/>
  <c r="K668" i="1" s="1"/>
  <c r="C667" i="1"/>
  <c r="C666" i="1"/>
  <c r="C665" i="1"/>
  <c r="K665" i="1" s="1"/>
  <c r="C664" i="1"/>
  <c r="K664" i="1" s="1"/>
  <c r="C663" i="1"/>
  <c r="C662" i="1"/>
  <c r="C661" i="1"/>
  <c r="K661" i="1" s="1"/>
  <c r="C660" i="1"/>
  <c r="K660" i="1" s="1"/>
  <c r="C659" i="1"/>
  <c r="C658" i="1"/>
  <c r="C657" i="1"/>
  <c r="C656" i="1"/>
  <c r="K656" i="1" s="1"/>
  <c r="C655" i="1"/>
  <c r="C654" i="1"/>
  <c r="C653" i="1"/>
  <c r="C652" i="1"/>
  <c r="K652" i="1" s="1"/>
  <c r="C651" i="1"/>
  <c r="C650" i="1"/>
  <c r="C649" i="1"/>
  <c r="K649" i="1" s="1"/>
  <c r="C648" i="1"/>
  <c r="K648" i="1" s="1"/>
  <c r="C647" i="1"/>
  <c r="C646" i="1"/>
  <c r="C645" i="1"/>
  <c r="K645" i="1" s="1"/>
  <c r="C644" i="1"/>
  <c r="K644" i="1" s="1"/>
  <c r="C643" i="1"/>
  <c r="C642" i="1"/>
  <c r="C641" i="1"/>
  <c r="K641" i="1" s="1"/>
  <c r="C640" i="1"/>
  <c r="C639" i="1"/>
  <c r="C638" i="1"/>
  <c r="C637" i="1"/>
  <c r="K637" i="1" s="1"/>
  <c r="C636" i="1"/>
  <c r="K636" i="1" s="1"/>
  <c r="C635" i="1"/>
  <c r="C634" i="1"/>
  <c r="C633" i="1"/>
  <c r="C632" i="1"/>
  <c r="K632" i="1" s="1"/>
  <c r="C631" i="1"/>
  <c r="C630" i="1"/>
  <c r="C629" i="1"/>
  <c r="K629" i="1" s="1"/>
  <c r="C628" i="1"/>
  <c r="K628" i="1" s="1"/>
  <c r="C627" i="1"/>
  <c r="C626" i="1"/>
  <c r="C625" i="1"/>
  <c r="K625" i="1" s="1"/>
  <c r="C624" i="1"/>
  <c r="K624" i="1" s="1"/>
  <c r="C623" i="1"/>
  <c r="C622" i="1"/>
  <c r="C621" i="1"/>
  <c r="C620" i="1"/>
  <c r="K620" i="1" s="1"/>
  <c r="C619" i="1"/>
  <c r="C618" i="1"/>
  <c r="C617" i="1"/>
  <c r="C616" i="1"/>
  <c r="K616" i="1" s="1"/>
  <c r="C615" i="1"/>
  <c r="C614" i="1"/>
  <c r="C613" i="1"/>
  <c r="K613" i="1" s="1"/>
  <c r="C612" i="1"/>
  <c r="K612" i="1" s="1"/>
  <c r="C611" i="1"/>
  <c r="C610" i="1"/>
  <c r="C609" i="1"/>
  <c r="K609" i="1" s="1"/>
  <c r="C608" i="1"/>
  <c r="K608" i="1" s="1"/>
  <c r="C607" i="1"/>
  <c r="C606" i="1"/>
  <c r="C605" i="1"/>
  <c r="C604" i="1"/>
  <c r="C603" i="1"/>
  <c r="C602" i="1"/>
  <c r="C601" i="1"/>
  <c r="K601" i="1" s="1"/>
  <c r="C600" i="1"/>
  <c r="K600" i="1" s="1"/>
  <c r="C599" i="1"/>
  <c r="C598" i="1"/>
  <c r="C597" i="1"/>
  <c r="K597" i="1" s="1"/>
  <c r="C596" i="1"/>
  <c r="K596" i="1" s="1"/>
  <c r="C595" i="1"/>
  <c r="C594" i="1"/>
  <c r="C593" i="1"/>
  <c r="K593" i="1" s="1"/>
  <c r="C592" i="1"/>
  <c r="C591" i="1"/>
  <c r="C590" i="1"/>
  <c r="C589" i="1"/>
  <c r="K589" i="1" s="1"/>
  <c r="C588" i="1"/>
  <c r="K588" i="1" s="1"/>
  <c r="C587" i="1"/>
  <c r="C586" i="1"/>
  <c r="C585" i="1"/>
  <c r="C584" i="1"/>
  <c r="K584" i="1" s="1"/>
  <c r="C583" i="1"/>
  <c r="C582" i="1"/>
  <c r="C581" i="1"/>
  <c r="K581" i="1" s="1"/>
  <c r="C580" i="1"/>
  <c r="K580" i="1" s="1"/>
  <c r="C579" i="1"/>
  <c r="C578" i="1"/>
  <c r="C577" i="1"/>
  <c r="K577" i="1" s="1"/>
  <c r="C576" i="1"/>
  <c r="K576" i="1" s="1"/>
  <c r="C575" i="1"/>
  <c r="C574" i="1"/>
  <c r="C573" i="1"/>
  <c r="C572" i="1"/>
  <c r="K572" i="1" s="1"/>
  <c r="C571" i="1"/>
  <c r="C570" i="1"/>
  <c r="C569" i="1"/>
  <c r="C568" i="1"/>
  <c r="K568" i="1" s="1"/>
  <c r="C567" i="1"/>
  <c r="C566" i="1"/>
  <c r="C565" i="1"/>
  <c r="K565" i="1" s="1"/>
  <c r="C564" i="1"/>
  <c r="K564" i="1" s="1"/>
  <c r="C563" i="1"/>
  <c r="C562" i="1"/>
  <c r="C561" i="1"/>
  <c r="K561" i="1" s="1"/>
  <c r="C560" i="1"/>
  <c r="K560" i="1" s="1"/>
  <c r="C559" i="1"/>
  <c r="C558" i="1"/>
  <c r="C557" i="1"/>
  <c r="K557" i="1" s="1"/>
  <c r="C556" i="1"/>
  <c r="K556" i="1" s="1"/>
  <c r="C555" i="1"/>
  <c r="C554" i="1"/>
  <c r="C553" i="1"/>
  <c r="K553" i="1" s="1"/>
  <c r="C552" i="1"/>
  <c r="C551" i="1"/>
  <c r="C550" i="1"/>
  <c r="C549" i="1"/>
  <c r="C548" i="1"/>
  <c r="K548" i="1" s="1"/>
  <c r="C547" i="1"/>
  <c r="C546" i="1"/>
  <c r="C545" i="1"/>
  <c r="K545" i="1" s="1"/>
  <c r="C544" i="1"/>
  <c r="K544" i="1" s="1"/>
  <c r="C543" i="1"/>
  <c r="C542" i="1"/>
  <c r="C541" i="1"/>
  <c r="K541" i="1" s="1"/>
  <c r="C540" i="1"/>
  <c r="K540" i="1" s="1"/>
  <c r="C539" i="1"/>
  <c r="C538" i="1"/>
  <c r="C537" i="1"/>
  <c r="C536" i="1"/>
  <c r="K536" i="1" s="1"/>
  <c r="C535" i="1"/>
  <c r="C534" i="1"/>
  <c r="C533" i="1"/>
  <c r="C532" i="1"/>
  <c r="K532" i="1" s="1"/>
  <c r="C531" i="1"/>
  <c r="C530" i="1"/>
  <c r="C529" i="1"/>
  <c r="C528" i="1"/>
  <c r="K528" i="1" s="1"/>
  <c r="C527" i="1"/>
  <c r="C526" i="1"/>
  <c r="C525" i="1"/>
  <c r="K525" i="1" s="1"/>
  <c r="C524" i="1"/>
  <c r="K524" i="1" s="1"/>
  <c r="C523" i="1"/>
  <c r="C522" i="1"/>
  <c r="C521" i="1"/>
  <c r="K521" i="1" s="1"/>
  <c r="C520" i="1"/>
  <c r="C519" i="1"/>
  <c r="C518" i="1"/>
  <c r="C517" i="1"/>
  <c r="K517" i="1" s="1"/>
  <c r="C516" i="1"/>
  <c r="K516" i="1" s="1"/>
  <c r="C515" i="1"/>
  <c r="C514" i="1"/>
  <c r="C513" i="1"/>
  <c r="K513" i="1" s="1"/>
  <c r="C512" i="1"/>
  <c r="K512" i="1" s="1"/>
  <c r="C511" i="1"/>
  <c r="C510" i="1"/>
  <c r="C509" i="1"/>
  <c r="K509" i="1" s="1"/>
  <c r="C508" i="1"/>
  <c r="K508" i="1" s="1"/>
  <c r="C507" i="1"/>
  <c r="C506" i="1"/>
  <c r="C505" i="1"/>
  <c r="K505" i="1" s="1"/>
  <c r="C504" i="1"/>
  <c r="C503" i="1"/>
  <c r="C502" i="1"/>
  <c r="C501" i="1"/>
  <c r="K501" i="1" s="1"/>
  <c r="C500" i="1"/>
  <c r="K500" i="1" s="1"/>
  <c r="C499" i="1"/>
  <c r="C498" i="1"/>
  <c r="C497" i="1"/>
  <c r="K497" i="1" s="1"/>
  <c r="C496" i="1"/>
  <c r="K496" i="1" s="1"/>
  <c r="C495" i="1"/>
  <c r="C494" i="1"/>
  <c r="C493" i="1"/>
  <c r="K493" i="1" s="1"/>
  <c r="C492" i="1"/>
  <c r="K492" i="1" s="1"/>
  <c r="C491" i="1"/>
  <c r="C490" i="1"/>
  <c r="C489" i="1"/>
  <c r="K489" i="1" s="1"/>
  <c r="C488" i="1"/>
  <c r="C487" i="1"/>
  <c r="C486" i="1"/>
  <c r="C485" i="1"/>
  <c r="K485" i="1" s="1"/>
  <c r="C484" i="1"/>
  <c r="K484" i="1" s="1"/>
  <c r="C483" i="1"/>
  <c r="C482" i="1"/>
  <c r="C481" i="1"/>
  <c r="K481" i="1" s="1"/>
  <c r="C480" i="1"/>
  <c r="K480" i="1" s="1"/>
  <c r="C479" i="1"/>
  <c r="C478" i="1"/>
  <c r="C477" i="1"/>
  <c r="K477" i="1" s="1"/>
  <c r="C476" i="1"/>
  <c r="K476" i="1" s="1"/>
  <c r="C475" i="1"/>
  <c r="C474" i="1"/>
  <c r="C473" i="1"/>
  <c r="K473" i="1" s="1"/>
  <c r="C472" i="1"/>
  <c r="K472" i="1" s="1"/>
  <c r="C471" i="1"/>
  <c r="C470" i="1"/>
  <c r="C469" i="1"/>
  <c r="K469" i="1" s="1"/>
  <c r="C468" i="1"/>
  <c r="K468" i="1" s="1"/>
  <c r="C467" i="1"/>
  <c r="C466" i="1"/>
  <c r="C465" i="1"/>
  <c r="K465" i="1" s="1"/>
  <c r="C464" i="1"/>
  <c r="K464" i="1" s="1"/>
  <c r="C463" i="1"/>
  <c r="C462" i="1"/>
  <c r="C461" i="1"/>
  <c r="K461" i="1" s="1"/>
  <c r="C460" i="1"/>
  <c r="K460" i="1" s="1"/>
  <c r="C459" i="1"/>
  <c r="C458" i="1"/>
  <c r="C457" i="1"/>
  <c r="K457" i="1" s="1"/>
  <c r="C456" i="1"/>
  <c r="K456" i="1" s="1"/>
  <c r="C455" i="1"/>
  <c r="C454" i="1"/>
  <c r="C453" i="1"/>
  <c r="K453" i="1" s="1"/>
  <c r="C452" i="1"/>
  <c r="K452" i="1" s="1"/>
  <c r="C451" i="1"/>
  <c r="C450" i="1"/>
  <c r="C449" i="1"/>
  <c r="K449" i="1" s="1"/>
  <c r="C448" i="1"/>
  <c r="K448" i="1" s="1"/>
  <c r="C447" i="1"/>
  <c r="C446" i="1"/>
  <c r="C445" i="1"/>
  <c r="K445" i="1" s="1"/>
  <c r="C444" i="1"/>
  <c r="K444" i="1" s="1"/>
  <c r="C443" i="1"/>
  <c r="C442" i="1"/>
  <c r="C441" i="1"/>
  <c r="K441" i="1" s="1"/>
  <c r="C440" i="1"/>
  <c r="K440" i="1" s="1"/>
  <c r="C439" i="1"/>
  <c r="C438" i="1"/>
  <c r="C437" i="1"/>
  <c r="K437" i="1" s="1"/>
  <c r="C436" i="1"/>
  <c r="K436" i="1" s="1"/>
  <c r="C435" i="1"/>
  <c r="C434" i="1"/>
  <c r="C433" i="1"/>
  <c r="C432" i="1"/>
  <c r="C431" i="1"/>
  <c r="C430" i="1"/>
  <c r="C429" i="1"/>
  <c r="C428" i="1"/>
  <c r="C427" i="1"/>
  <c r="C426" i="1"/>
  <c r="C425" i="1"/>
  <c r="K425" i="1" s="1"/>
  <c r="C424" i="1"/>
  <c r="K424" i="1" s="1"/>
  <c r="C423" i="1"/>
  <c r="C422" i="1"/>
  <c r="C421" i="1"/>
  <c r="K421" i="1" s="1"/>
  <c r="C420" i="1"/>
  <c r="K420" i="1" s="1"/>
  <c r="C419" i="1"/>
  <c r="C418" i="1"/>
  <c r="C417" i="1"/>
  <c r="K417" i="1" s="1"/>
  <c r="C416" i="1"/>
  <c r="C415" i="1"/>
  <c r="C414" i="1"/>
  <c r="C413" i="1"/>
  <c r="K413" i="1" s="1"/>
  <c r="C412" i="1"/>
  <c r="K412" i="1" s="1"/>
  <c r="C411" i="1"/>
  <c r="C410" i="1"/>
  <c r="C409" i="1"/>
  <c r="K409" i="1" s="1"/>
  <c r="C408" i="1"/>
  <c r="K408" i="1" s="1"/>
  <c r="C407" i="1"/>
  <c r="C406" i="1"/>
  <c r="C405" i="1"/>
  <c r="K405" i="1" s="1"/>
  <c r="C404" i="1"/>
  <c r="K404" i="1" s="1"/>
  <c r="C403" i="1"/>
  <c r="C402" i="1"/>
  <c r="C401" i="1"/>
  <c r="K401" i="1" s="1"/>
  <c r="C400" i="1"/>
  <c r="C399" i="1"/>
  <c r="C398" i="1"/>
  <c r="C397" i="1"/>
  <c r="C396" i="1"/>
  <c r="K396" i="1" s="1"/>
  <c r="C395" i="1"/>
  <c r="C394" i="1"/>
  <c r="C393" i="1"/>
  <c r="K393" i="1" s="1"/>
  <c r="C392" i="1"/>
  <c r="K392" i="1" s="1"/>
  <c r="C391" i="1"/>
  <c r="C390" i="1"/>
  <c r="C389" i="1"/>
  <c r="K389" i="1" s="1"/>
  <c r="C388" i="1"/>
  <c r="K388" i="1" s="1"/>
  <c r="C387" i="1"/>
  <c r="C386" i="1"/>
  <c r="C385" i="1"/>
  <c r="K385" i="1" s="1"/>
  <c r="C384" i="1"/>
  <c r="K384" i="1" s="1"/>
  <c r="C383" i="1"/>
  <c r="C382" i="1"/>
  <c r="C381" i="1"/>
  <c r="K381" i="1" s="1"/>
  <c r="C380" i="1"/>
  <c r="C379" i="1"/>
  <c r="C378" i="1"/>
  <c r="C377" i="1"/>
  <c r="K377" i="1" s="1"/>
  <c r="C376" i="1"/>
  <c r="K376" i="1" s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K361" i="1" s="1"/>
  <c r="C360" i="1"/>
  <c r="K360" i="1" s="1"/>
  <c r="C359" i="1"/>
  <c r="C358" i="1"/>
  <c r="C357" i="1"/>
  <c r="K357" i="1" s="1"/>
  <c r="C356" i="1"/>
  <c r="C355" i="1"/>
  <c r="C354" i="1"/>
  <c r="C353" i="1"/>
  <c r="K353" i="1" s="1"/>
  <c r="C352" i="1"/>
  <c r="K352" i="1" s="1"/>
  <c r="C351" i="1"/>
  <c r="C350" i="1"/>
  <c r="C349" i="1"/>
  <c r="C348" i="1"/>
  <c r="K348" i="1" s="1"/>
  <c r="C347" i="1"/>
  <c r="C346" i="1"/>
  <c r="C345" i="1"/>
  <c r="C344" i="1"/>
  <c r="K344" i="1" s="1"/>
  <c r="C343" i="1"/>
  <c r="C342" i="1"/>
  <c r="C341" i="1"/>
  <c r="C340" i="1"/>
  <c r="K340" i="1" s="1"/>
  <c r="C339" i="1"/>
  <c r="C338" i="1"/>
  <c r="C337" i="1"/>
  <c r="C336" i="1"/>
  <c r="K336" i="1" s="1"/>
  <c r="C335" i="1"/>
  <c r="C334" i="1"/>
  <c r="C333" i="1"/>
  <c r="K333" i="1" s="1"/>
  <c r="C332" i="1"/>
  <c r="K332" i="1" s="1"/>
  <c r="C331" i="1"/>
  <c r="C330" i="1"/>
  <c r="C329" i="1"/>
  <c r="K329" i="1" s="1"/>
  <c r="C328" i="1"/>
  <c r="K328" i="1" s="1"/>
  <c r="C327" i="1"/>
  <c r="C326" i="1"/>
  <c r="C325" i="1"/>
  <c r="K325" i="1" s="1"/>
  <c r="C324" i="1"/>
  <c r="K324" i="1" s="1"/>
  <c r="C323" i="1"/>
  <c r="C322" i="1"/>
  <c r="C321" i="1"/>
  <c r="K321" i="1" s="1"/>
  <c r="C320" i="1"/>
  <c r="K320" i="1" s="1"/>
  <c r="C319" i="1"/>
  <c r="C318" i="1"/>
  <c r="C317" i="1"/>
  <c r="K317" i="1" s="1"/>
  <c r="C316" i="1"/>
  <c r="K316" i="1" s="1"/>
  <c r="C315" i="1"/>
  <c r="C314" i="1"/>
  <c r="C313" i="1"/>
  <c r="K313" i="1" s="1"/>
  <c r="C312" i="1"/>
  <c r="K312" i="1" s="1"/>
  <c r="C311" i="1"/>
  <c r="C310" i="1"/>
  <c r="C309" i="1"/>
  <c r="C308" i="1"/>
  <c r="K308" i="1" s="1"/>
  <c r="C307" i="1"/>
  <c r="C306" i="1"/>
  <c r="C305" i="1"/>
  <c r="C304" i="1"/>
  <c r="K304" i="1" s="1"/>
  <c r="C303" i="1"/>
  <c r="C302" i="1"/>
  <c r="C301" i="1"/>
  <c r="C300" i="1"/>
  <c r="K300" i="1" s="1"/>
  <c r="C299" i="1"/>
  <c r="C298" i="1"/>
  <c r="C297" i="1"/>
  <c r="K297" i="1" s="1"/>
  <c r="C296" i="1"/>
  <c r="K296" i="1" s="1"/>
  <c r="C295" i="1"/>
  <c r="C294" i="1"/>
  <c r="C293" i="1"/>
  <c r="K293" i="1" s="1"/>
  <c r="C292" i="1"/>
  <c r="C291" i="1"/>
  <c r="C290" i="1"/>
  <c r="C289" i="1"/>
  <c r="K289" i="1" s="1"/>
  <c r="C288" i="1"/>
  <c r="K288" i="1" s="1"/>
  <c r="C287" i="1"/>
  <c r="C286" i="1"/>
  <c r="C285" i="1"/>
  <c r="C284" i="1"/>
  <c r="K284" i="1" s="1"/>
  <c r="C283" i="1"/>
  <c r="C282" i="1"/>
  <c r="C281" i="1"/>
  <c r="K281" i="1" s="1"/>
  <c r="C280" i="1"/>
  <c r="K280" i="1" s="1"/>
  <c r="C279" i="1"/>
  <c r="C278" i="1"/>
  <c r="C277" i="1"/>
  <c r="K277" i="1" s="1"/>
  <c r="C276" i="1"/>
  <c r="K276" i="1" s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K261" i="1" s="1"/>
  <c r="C260" i="1"/>
  <c r="K260" i="1" s="1"/>
  <c r="C259" i="1"/>
  <c r="C258" i="1"/>
  <c r="C257" i="1"/>
  <c r="K257" i="1" s="1"/>
  <c r="C256" i="1"/>
  <c r="K256" i="1" s="1"/>
  <c r="C255" i="1"/>
  <c r="C254" i="1"/>
  <c r="C253" i="1"/>
  <c r="K253" i="1" s="1"/>
  <c r="C252" i="1"/>
  <c r="C251" i="1"/>
  <c r="C250" i="1"/>
  <c r="C249" i="1"/>
  <c r="K249" i="1" s="1"/>
  <c r="C248" i="1"/>
  <c r="K248" i="1" s="1"/>
  <c r="C247" i="1"/>
  <c r="C246" i="1"/>
  <c r="C245" i="1"/>
  <c r="K245" i="1" s="1"/>
  <c r="C244" i="1"/>
  <c r="K244" i="1" s="1"/>
  <c r="C243" i="1"/>
  <c r="C242" i="1"/>
  <c r="C241" i="1"/>
  <c r="K241" i="1" s="1"/>
  <c r="C240" i="1"/>
  <c r="K240" i="1" s="1"/>
  <c r="C239" i="1"/>
  <c r="C238" i="1"/>
  <c r="C237" i="1"/>
  <c r="C236" i="1"/>
  <c r="K236" i="1" s="1"/>
  <c r="C235" i="1"/>
  <c r="C234" i="1"/>
  <c r="C233" i="1"/>
  <c r="K233" i="1" s="1"/>
  <c r="C232" i="1"/>
  <c r="K232" i="1" s="1"/>
  <c r="C231" i="1"/>
  <c r="C230" i="1"/>
  <c r="C229" i="1"/>
  <c r="C228" i="1"/>
  <c r="K228" i="1" s="1"/>
  <c r="C227" i="1"/>
  <c r="C226" i="1"/>
  <c r="C225" i="1"/>
  <c r="K225" i="1" s="1"/>
  <c r="C224" i="1"/>
  <c r="K224" i="1" s="1"/>
  <c r="C223" i="1"/>
  <c r="C222" i="1"/>
  <c r="C221" i="1"/>
  <c r="C220" i="1"/>
  <c r="K220" i="1" s="1"/>
  <c r="C219" i="1"/>
  <c r="C218" i="1"/>
  <c r="C217" i="1"/>
  <c r="C216" i="1"/>
  <c r="K216" i="1" s="1"/>
  <c r="C215" i="1"/>
  <c r="C214" i="1"/>
  <c r="C213" i="1"/>
  <c r="C212" i="1"/>
  <c r="K212" i="1" s="1"/>
  <c r="C211" i="1"/>
  <c r="C210" i="1"/>
  <c r="C209" i="1"/>
  <c r="C208" i="1"/>
  <c r="C207" i="1"/>
  <c r="C206" i="1"/>
  <c r="C205" i="1"/>
  <c r="K205" i="1" s="1"/>
  <c r="C204" i="1"/>
  <c r="K204" i="1" s="1"/>
  <c r="C203" i="1"/>
  <c r="C202" i="1"/>
  <c r="C201" i="1"/>
  <c r="K201" i="1" s="1"/>
  <c r="C200" i="1"/>
  <c r="K200" i="1" s="1"/>
  <c r="C199" i="1"/>
  <c r="C198" i="1"/>
  <c r="C197" i="1"/>
  <c r="K197" i="1" s="1"/>
  <c r="C196" i="1"/>
  <c r="K196" i="1" s="1"/>
  <c r="C195" i="1"/>
  <c r="C194" i="1"/>
  <c r="C193" i="1"/>
  <c r="K193" i="1" s="1"/>
  <c r="C192" i="1"/>
  <c r="K192" i="1" s="1"/>
  <c r="C191" i="1"/>
  <c r="C190" i="1"/>
  <c r="C189" i="1"/>
  <c r="K189" i="1" s="1"/>
  <c r="C188" i="1"/>
  <c r="K188" i="1" s="1"/>
  <c r="C187" i="1"/>
  <c r="C186" i="1"/>
  <c r="C185" i="1"/>
  <c r="C184" i="1"/>
  <c r="K184" i="1" s="1"/>
  <c r="C183" i="1"/>
  <c r="C182" i="1"/>
  <c r="C181" i="1"/>
  <c r="C180" i="1"/>
  <c r="K180" i="1" s="1"/>
  <c r="C179" i="1"/>
  <c r="C178" i="1"/>
  <c r="C177" i="1"/>
  <c r="K177" i="1" s="1"/>
  <c r="C176" i="1"/>
  <c r="K176" i="1" s="1"/>
  <c r="C175" i="1"/>
  <c r="C174" i="1"/>
  <c r="C173" i="1"/>
  <c r="C172" i="1"/>
  <c r="K172" i="1" s="1"/>
  <c r="C171" i="1"/>
  <c r="C170" i="1"/>
  <c r="C169" i="1"/>
  <c r="C168" i="1"/>
  <c r="K168" i="1" s="1"/>
  <c r="C167" i="1"/>
  <c r="C166" i="1"/>
  <c r="C165" i="1"/>
  <c r="K165" i="1" s="1"/>
  <c r="C164" i="1"/>
  <c r="K164" i="1" s="1"/>
  <c r="C163" i="1"/>
  <c r="C162" i="1"/>
  <c r="C161" i="1"/>
  <c r="K161" i="1" s="1"/>
  <c r="C160" i="1"/>
  <c r="K160" i="1" s="1"/>
  <c r="C159" i="1"/>
  <c r="C158" i="1"/>
  <c r="C157" i="1"/>
  <c r="C156" i="1"/>
  <c r="K156" i="1" s="1"/>
  <c r="C155" i="1"/>
  <c r="C154" i="1"/>
  <c r="C153" i="1"/>
  <c r="K153" i="1" s="1"/>
  <c r="C152" i="1"/>
  <c r="K152" i="1" s="1"/>
  <c r="C151" i="1"/>
  <c r="C150" i="1"/>
  <c r="C149" i="1"/>
  <c r="K149" i="1" s="1"/>
  <c r="C148" i="1"/>
  <c r="K148" i="1" s="1"/>
  <c r="C147" i="1"/>
  <c r="C146" i="1"/>
  <c r="C145" i="1"/>
  <c r="C144" i="1"/>
  <c r="K144" i="1" s="1"/>
  <c r="C143" i="1"/>
  <c r="C142" i="1"/>
  <c r="C141" i="1"/>
  <c r="C140" i="1"/>
  <c r="K140" i="1" s="1"/>
  <c r="C139" i="1"/>
  <c r="C138" i="1"/>
  <c r="C137" i="1"/>
  <c r="C136" i="1"/>
  <c r="K136" i="1" s="1"/>
  <c r="C135" i="1"/>
  <c r="C134" i="1"/>
  <c r="C133" i="1"/>
  <c r="C132" i="1"/>
  <c r="K132" i="1" s="1"/>
  <c r="C131" i="1"/>
  <c r="C130" i="1"/>
  <c r="C129" i="1"/>
  <c r="C128" i="1"/>
  <c r="K128" i="1" s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K108" i="1" s="1"/>
  <c r="C107" i="1"/>
  <c r="C106" i="1"/>
  <c r="C105" i="1"/>
  <c r="K105" i="1" s="1"/>
  <c r="C104" i="1"/>
  <c r="K104" i="1" s="1"/>
  <c r="C103" i="1"/>
  <c r="C102" i="1"/>
  <c r="C101" i="1"/>
  <c r="C100" i="1"/>
  <c r="K100" i="1" s="1"/>
  <c r="C99" i="1"/>
  <c r="C98" i="1"/>
  <c r="C97" i="1"/>
  <c r="C96" i="1"/>
  <c r="K96" i="1" s="1"/>
  <c r="C95" i="1"/>
  <c r="C94" i="1"/>
  <c r="C93" i="1"/>
  <c r="C92" i="1"/>
  <c r="K92" i="1" s="1"/>
  <c r="C91" i="1"/>
  <c r="C90" i="1"/>
  <c r="C89" i="1"/>
  <c r="C88" i="1"/>
  <c r="C87" i="1"/>
  <c r="C86" i="1"/>
  <c r="C85" i="1"/>
  <c r="K85" i="1" s="1"/>
  <c r="C84" i="1"/>
  <c r="K84" i="1" s="1"/>
  <c r="C83" i="1"/>
  <c r="C82" i="1"/>
  <c r="C81" i="1"/>
  <c r="C80" i="1"/>
  <c r="K80" i="1" s="1"/>
  <c r="C79" i="1"/>
  <c r="C78" i="1"/>
  <c r="C77" i="1"/>
  <c r="K77" i="1" s="1"/>
  <c r="C76" i="1"/>
  <c r="K76" i="1" s="1"/>
  <c r="C75" i="1"/>
  <c r="C74" i="1"/>
  <c r="C73" i="1"/>
  <c r="C72" i="1"/>
  <c r="K72" i="1" s="1"/>
  <c r="C71" i="1"/>
  <c r="C70" i="1"/>
  <c r="C69" i="1"/>
  <c r="C68" i="1"/>
  <c r="K68" i="1" s="1"/>
  <c r="C67" i="1"/>
  <c r="C66" i="1"/>
  <c r="C65" i="1"/>
  <c r="C64" i="1"/>
  <c r="C63" i="1"/>
  <c r="C62" i="1"/>
  <c r="C61" i="1"/>
  <c r="C60" i="1"/>
  <c r="C59" i="1"/>
  <c r="C58" i="1"/>
  <c r="C57" i="1"/>
  <c r="K57" i="1" s="1"/>
  <c r="C56" i="1"/>
  <c r="K56" i="1" s="1"/>
  <c r="C55" i="1"/>
  <c r="C54" i="1"/>
  <c r="C53" i="1"/>
  <c r="K53" i="1" s="1"/>
  <c r="C52" i="1"/>
  <c r="K52" i="1" s="1"/>
  <c r="C51" i="1"/>
  <c r="C50" i="1"/>
  <c r="C49" i="1"/>
  <c r="K49" i="1" s="1"/>
  <c r="C48" i="1"/>
  <c r="K48" i="1" s="1"/>
  <c r="C47" i="1"/>
  <c r="C46" i="1"/>
  <c r="C45" i="1"/>
  <c r="C44" i="1"/>
  <c r="K44" i="1" s="1"/>
  <c r="C43" i="1"/>
  <c r="C42" i="1"/>
  <c r="C41" i="1"/>
  <c r="K41" i="1" s="1"/>
  <c r="C40" i="1"/>
  <c r="C39" i="1"/>
  <c r="C38" i="1"/>
  <c r="C37" i="1"/>
  <c r="K37" i="1" s="1"/>
  <c r="C36" i="1"/>
  <c r="K36" i="1" s="1"/>
  <c r="C35" i="1"/>
  <c r="C34" i="1"/>
  <c r="C33" i="1"/>
  <c r="K33" i="1" s="1"/>
  <c r="C32" i="1"/>
  <c r="K32" i="1" s="1"/>
  <c r="C31" i="1"/>
  <c r="C30" i="1"/>
  <c r="C29" i="1"/>
  <c r="K29" i="1" s="1"/>
  <c r="C28" i="1"/>
  <c r="K28" i="1" s="1"/>
  <c r="C27" i="1"/>
  <c r="C26" i="1"/>
  <c r="C25" i="1"/>
  <c r="K25" i="1" s="1"/>
  <c r="C24" i="1"/>
  <c r="C23" i="1"/>
  <c r="C22" i="1"/>
  <c r="C21" i="1"/>
  <c r="C20" i="1"/>
  <c r="C19" i="1"/>
  <c r="C18" i="1"/>
  <c r="C17" i="1"/>
  <c r="C16" i="1"/>
  <c r="K16" i="1" s="1"/>
  <c r="C15" i="1"/>
  <c r="C14" i="1"/>
  <c r="C13" i="1"/>
  <c r="K13" i="1" s="1"/>
  <c r="C12" i="1"/>
  <c r="K12" i="1" s="1"/>
  <c r="C11" i="1"/>
  <c r="C10" i="1"/>
  <c r="C9" i="1"/>
  <c r="K9" i="1" s="1"/>
  <c r="C8" i="1"/>
  <c r="K8" i="1" s="1"/>
  <c r="C7" i="1"/>
  <c r="C6" i="1"/>
  <c r="C5" i="1"/>
  <c r="C4" i="1"/>
  <c r="K4" i="1" s="1"/>
  <c r="C3" i="1"/>
  <c r="C2" i="1"/>
  <c r="K1399" i="1"/>
  <c r="K1398" i="1"/>
  <c r="K1397" i="1"/>
  <c r="K1396" i="1"/>
  <c r="K1395" i="1"/>
  <c r="K1394" i="1"/>
  <c r="K1393" i="1"/>
  <c r="K1392" i="1"/>
  <c r="K1391" i="1"/>
  <c r="K1390" i="1"/>
  <c r="K1389" i="1"/>
  <c r="K1388" i="1"/>
  <c r="K1387" i="1"/>
  <c r="K1386" i="1"/>
  <c r="K1385" i="1"/>
  <c r="K1384" i="1"/>
  <c r="K1383" i="1"/>
  <c r="K1382" i="1"/>
  <c r="K1381" i="1"/>
  <c r="K1380" i="1"/>
  <c r="K1379" i="1"/>
  <c r="K1378" i="1"/>
  <c r="K1377" i="1"/>
  <c r="K1376" i="1"/>
  <c r="K1375" i="1"/>
  <c r="K1374" i="1"/>
  <c r="K1373" i="1"/>
  <c r="K1372" i="1"/>
  <c r="K1371" i="1"/>
  <c r="K1370" i="1"/>
  <c r="K1369" i="1"/>
  <c r="K1368" i="1"/>
  <c r="K1367" i="1"/>
  <c r="K1366" i="1"/>
  <c r="K1365" i="1"/>
  <c r="K1364" i="1"/>
  <c r="K1363" i="1"/>
  <c r="K1362" i="1"/>
  <c r="K1361" i="1"/>
  <c r="K1360" i="1"/>
  <c r="K1359" i="1"/>
  <c r="K1358" i="1"/>
  <c r="K1357" i="1"/>
  <c r="K1356" i="1"/>
  <c r="K1355" i="1"/>
  <c r="K1354" i="1"/>
  <c r="K1353" i="1"/>
  <c r="K1352" i="1"/>
  <c r="K1351" i="1"/>
  <c r="K1350" i="1"/>
  <c r="K1349" i="1"/>
  <c r="K1348" i="1"/>
  <c r="K1347" i="1"/>
  <c r="K1346" i="1"/>
  <c r="K1345" i="1"/>
  <c r="K1344" i="1"/>
  <c r="K1343" i="1"/>
  <c r="K1342" i="1"/>
  <c r="K1341" i="1"/>
  <c r="K1340" i="1"/>
  <c r="K1339" i="1"/>
  <c r="K1338" i="1"/>
  <c r="K1337" i="1"/>
  <c r="K1336" i="1"/>
  <c r="K1335" i="1"/>
  <c r="K1334" i="1"/>
  <c r="K1333" i="1"/>
  <c r="K1332" i="1"/>
  <c r="K1331" i="1"/>
  <c r="K1330" i="1"/>
  <c r="K1329" i="1"/>
  <c r="K1328" i="1"/>
  <c r="K1327" i="1"/>
  <c r="K1326" i="1"/>
  <c r="K1325" i="1"/>
  <c r="K1324" i="1"/>
  <c r="K1323" i="1"/>
  <c r="K1322" i="1"/>
  <c r="K1321" i="1"/>
  <c r="K1320" i="1"/>
  <c r="K1319" i="1"/>
  <c r="K1318" i="1"/>
  <c r="K1317" i="1"/>
  <c r="K1316" i="1"/>
  <c r="K1315" i="1"/>
  <c r="K1314" i="1"/>
  <c r="K1313" i="1"/>
  <c r="K1312" i="1"/>
  <c r="K1311" i="1"/>
  <c r="K1310" i="1"/>
  <c r="K1309" i="1"/>
  <c r="K1308" i="1"/>
  <c r="K1307" i="1"/>
  <c r="K1306" i="1"/>
  <c r="K1305" i="1"/>
  <c r="K1304" i="1"/>
  <c r="K1303" i="1"/>
  <c r="K1302" i="1"/>
  <c r="K1301" i="1"/>
  <c r="K1300" i="1"/>
  <c r="K1299" i="1"/>
  <c r="K1298" i="1"/>
  <c r="K1297" i="1"/>
  <c r="K1296" i="1"/>
  <c r="K1295" i="1"/>
  <c r="K1294" i="1"/>
  <c r="K1293" i="1"/>
  <c r="K1292" i="1"/>
  <c r="K1291" i="1"/>
  <c r="K1290" i="1"/>
  <c r="K1289" i="1"/>
  <c r="K1288" i="1"/>
  <c r="K1287" i="1"/>
  <c r="K1286" i="1"/>
  <c r="K1285" i="1"/>
  <c r="K1284" i="1"/>
  <c r="K1283" i="1"/>
  <c r="K1282" i="1"/>
  <c r="K1281" i="1"/>
  <c r="K1280" i="1"/>
  <c r="K1279" i="1"/>
  <c r="K1278" i="1"/>
  <c r="K1277" i="1"/>
  <c r="K1276" i="1"/>
  <c r="K1275" i="1"/>
  <c r="K1274" i="1"/>
  <c r="K1273" i="1"/>
  <c r="K1272" i="1"/>
  <c r="K1271" i="1"/>
  <c r="K1270" i="1"/>
  <c r="K1269" i="1"/>
  <c r="K1268" i="1"/>
  <c r="K1267" i="1"/>
  <c r="K1266" i="1"/>
  <c r="K1265" i="1"/>
  <c r="K1264" i="1"/>
  <c r="K1263" i="1"/>
  <c r="K1262" i="1"/>
  <c r="K1261" i="1"/>
  <c r="K1260" i="1"/>
  <c r="K1259" i="1"/>
  <c r="K1258" i="1"/>
  <c r="K1257" i="1"/>
  <c r="K1256" i="1"/>
  <c r="K1254" i="1"/>
  <c r="K1251" i="1"/>
  <c r="K1250" i="1"/>
  <c r="K1247" i="1"/>
  <c r="K1246" i="1"/>
  <c r="K1243" i="1"/>
  <c r="K1242" i="1"/>
  <c r="K1239" i="1"/>
  <c r="K1238" i="1"/>
  <c r="K1235" i="1"/>
  <c r="K1234" i="1"/>
  <c r="K1231" i="1"/>
  <c r="K1230" i="1"/>
  <c r="K1227" i="1"/>
  <c r="K1226" i="1"/>
  <c r="K1223" i="1"/>
  <c r="K1222" i="1"/>
  <c r="K1219" i="1"/>
  <c r="K1218" i="1"/>
  <c r="K1215" i="1"/>
  <c r="K1214" i="1"/>
  <c r="K1211" i="1"/>
  <c r="K1210" i="1"/>
  <c r="K1207" i="1"/>
  <c r="K1206" i="1"/>
  <c r="K1203" i="1"/>
  <c r="K1202" i="1"/>
  <c r="K1199" i="1"/>
  <c r="K1198" i="1"/>
  <c r="K1195" i="1"/>
  <c r="K1194" i="1"/>
  <c r="K1191" i="1"/>
  <c r="K1190" i="1"/>
  <c r="K1187" i="1"/>
  <c r="K1186" i="1"/>
  <c r="K1183" i="1"/>
  <c r="K1182" i="1"/>
  <c r="K1179" i="1"/>
  <c r="K1178" i="1"/>
  <c r="K1175" i="1"/>
  <c r="K1174" i="1"/>
  <c r="K1171" i="1"/>
  <c r="K1170" i="1"/>
  <c r="K1167" i="1"/>
  <c r="K1166" i="1"/>
  <c r="K1163" i="1"/>
  <c r="K1162" i="1"/>
  <c r="K1159" i="1"/>
  <c r="K1158" i="1"/>
  <c r="K1155" i="1"/>
  <c r="K1154" i="1"/>
  <c r="K1151" i="1"/>
  <c r="K1150" i="1"/>
  <c r="K1147" i="1"/>
  <c r="K1146" i="1"/>
  <c r="K1143" i="1"/>
  <c r="K1142" i="1"/>
  <c r="K1139" i="1"/>
  <c r="K1138" i="1"/>
  <c r="K1135" i="1"/>
  <c r="K1134" i="1"/>
  <c r="K1131" i="1"/>
  <c r="K1130" i="1"/>
  <c r="K1127" i="1"/>
  <c r="K1126" i="1"/>
  <c r="K1123" i="1"/>
  <c r="K1122" i="1"/>
  <c r="K1119" i="1"/>
  <c r="K1118" i="1"/>
  <c r="K1115" i="1"/>
  <c r="K1114" i="1"/>
  <c r="K1111" i="1"/>
  <c r="K1110" i="1"/>
  <c r="K1107" i="1"/>
  <c r="K1106" i="1"/>
  <c r="K1103" i="1"/>
  <c r="K1102" i="1"/>
  <c r="K1099" i="1"/>
  <c r="K1098" i="1"/>
  <c r="K1095" i="1"/>
  <c r="K1094" i="1"/>
  <c r="K1091" i="1"/>
  <c r="K1090" i="1"/>
  <c r="K1087" i="1"/>
  <c r="K1086" i="1"/>
  <c r="K1083" i="1"/>
  <c r="K1082" i="1"/>
  <c r="K1079" i="1"/>
  <c r="K1078" i="1"/>
  <c r="K1075" i="1"/>
  <c r="K1074" i="1"/>
  <c r="K1071" i="1"/>
  <c r="K1070" i="1"/>
  <c r="K1067" i="1"/>
  <c r="K1066" i="1"/>
  <c r="K1063" i="1"/>
  <c r="K1062" i="1"/>
  <c r="K1059" i="1"/>
  <c r="K1058" i="1"/>
  <c r="K1055" i="1"/>
  <c r="K1054" i="1"/>
  <c r="K1051" i="1"/>
  <c r="K1050" i="1"/>
  <c r="K1047" i="1"/>
  <c r="K1046" i="1"/>
  <c r="K1043" i="1"/>
  <c r="K1042" i="1"/>
  <c r="K1039" i="1"/>
  <c r="K1038" i="1"/>
  <c r="K1035" i="1"/>
  <c r="K1034" i="1"/>
  <c r="K1031" i="1"/>
  <c r="K1030" i="1"/>
  <c r="K1027" i="1"/>
  <c r="K1026" i="1"/>
  <c r="K1023" i="1"/>
  <c r="K1022" i="1"/>
  <c r="K1019" i="1"/>
  <c r="K1018" i="1"/>
  <c r="K1015" i="1"/>
  <c r="K1014" i="1"/>
  <c r="K1011" i="1"/>
  <c r="K1010" i="1"/>
  <c r="K1009" i="1"/>
  <c r="K1007" i="1"/>
  <c r="K1006" i="1"/>
  <c r="K1003" i="1"/>
  <c r="K1002" i="1"/>
  <c r="K999" i="1"/>
  <c r="K998" i="1"/>
  <c r="K995" i="1"/>
  <c r="K994" i="1"/>
  <c r="K991" i="1"/>
  <c r="K990" i="1"/>
  <c r="K987" i="1"/>
  <c r="K986" i="1"/>
  <c r="K983" i="1"/>
  <c r="K982" i="1"/>
  <c r="K981" i="1"/>
  <c r="K979" i="1"/>
  <c r="K978" i="1"/>
  <c r="K977" i="1"/>
  <c r="K975" i="1"/>
  <c r="K974" i="1"/>
  <c r="K971" i="1"/>
  <c r="K970" i="1"/>
  <c r="K967" i="1"/>
  <c r="K966" i="1"/>
  <c r="K963" i="1"/>
  <c r="K962" i="1"/>
  <c r="K959" i="1"/>
  <c r="K958" i="1"/>
  <c r="K957" i="1"/>
  <c r="K955" i="1"/>
  <c r="K954" i="1"/>
  <c r="K953" i="1"/>
  <c r="K951" i="1"/>
  <c r="K950" i="1"/>
  <c r="K947" i="1"/>
  <c r="K946" i="1"/>
  <c r="K942" i="1"/>
  <c r="K939" i="1"/>
  <c r="K938" i="1"/>
  <c r="K935" i="1"/>
  <c r="K934" i="1"/>
  <c r="K931" i="1"/>
  <c r="K930" i="1"/>
  <c r="K927" i="1"/>
  <c r="K926" i="1"/>
  <c r="K923" i="1"/>
  <c r="K922" i="1"/>
  <c r="K919" i="1"/>
  <c r="K915" i="1"/>
  <c r="K914" i="1"/>
  <c r="K911" i="1"/>
  <c r="K910" i="1"/>
  <c r="K907" i="1"/>
  <c r="K906" i="1"/>
  <c r="K903" i="1"/>
  <c r="K902" i="1"/>
  <c r="K899" i="1"/>
  <c r="K898" i="1"/>
  <c r="K895" i="1"/>
  <c r="K894" i="1"/>
  <c r="K891" i="1"/>
  <c r="K890" i="1"/>
  <c r="K887" i="1"/>
  <c r="K886" i="1"/>
  <c r="K883" i="1"/>
  <c r="K882" i="1"/>
  <c r="K881" i="1"/>
  <c r="K879" i="1"/>
  <c r="K878" i="1"/>
  <c r="K875" i="1"/>
  <c r="K874" i="1"/>
  <c r="K871" i="1"/>
  <c r="K870" i="1"/>
  <c r="K866" i="1"/>
  <c r="K863" i="1"/>
  <c r="K862" i="1"/>
  <c r="K859" i="1"/>
  <c r="K858" i="1"/>
  <c r="K855" i="1"/>
  <c r="K854" i="1"/>
  <c r="K852" i="1"/>
  <c r="K851" i="1"/>
  <c r="K850" i="1"/>
  <c r="K847" i="1"/>
  <c r="K846" i="1"/>
  <c r="K843" i="1"/>
  <c r="K839" i="1"/>
  <c r="K838" i="1"/>
  <c r="K835" i="1"/>
  <c r="K834" i="1"/>
  <c r="K831" i="1"/>
  <c r="K830" i="1"/>
  <c r="K827" i="1"/>
  <c r="K826" i="1"/>
  <c r="K823" i="1"/>
  <c r="K822" i="1"/>
  <c r="K819" i="1"/>
  <c r="K818" i="1"/>
  <c r="K815" i="1"/>
  <c r="K814" i="1"/>
  <c r="K811" i="1"/>
  <c r="K810" i="1"/>
  <c r="K807" i="1"/>
  <c r="K806" i="1"/>
  <c r="K803" i="1"/>
  <c r="K802" i="1"/>
  <c r="K799" i="1"/>
  <c r="K798" i="1"/>
  <c r="K794" i="1"/>
  <c r="K792" i="1"/>
  <c r="K791" i="1"/>
  <c r="K790" i="1"/>
  <c r="K787" i="1"/>
  <c r="K786" i="1"/>
  <c r="K783" i="1"/>
  <c r="K782" i="1"/>
  <c r="K779" i="1"/>
  <c r="K778" i="1"/>
  <c r="K775" i="1"/>
  <c r="K774" i="1"/>
  <c r="K771" i="1"/>
  <c r="K770" i="1"/>
  <c r="K766" i="1"/>
  <c r="K763" i="1"/>
  <c r="K762" i="1"/>
  <c r="K761" i="1"/>
  <c r="K759" i="1"/>
  <c r="K758" i="1"/>
  <c r="K757" i="1"/>
  <c r="K755" i="1"/>
  <c r="K754" i="1"/>
  <c r="K751" i="1"/>
  <c r="K750" i="1"/>
  <c r="K747" i="1"/>
  <c r="K746" i="1"/>
  <c r="K745" i="1"/>
  <c r="K743" i="1"/>
  <c r="K742" i="1"/>
  <c r="K741" i="1"/>
  <c r="K739" i="1"/>
  <c r="K735" i="1"/>
  <c r="K734" i="1"/>
  <c r="K731" i="1"/>
  <c r="K728" i="1"/>
  <c r="K727" i="1"/>
  <c r="K726" i="1"/>
  <c r="K723" i="1"/>
  <c r="K722" i="1"/>
  <c r="K719" i="1"/>
  <c r="K718" i="1"/>
  <c r="K715" i="1"/>
  <c r="K711" i="1"/>
  <c r="K709" i="1"/>
  <c r="K707" i="1"/>
  <c r="K706" i="1"/>
  <c r="K705" i="1"/>
  <c r="K703" i="1"/>
  <c r="K702" i="1"/>
  <c r="K699" i="1"/>
  <c r="K698" i="1"/>
  <c r="K695" i="1"/>
  <c r="K694" i="1"/>
  <c r="K691" i="1"/>
  <c r="K690" i="1"/>
  <c r="K687" i="1"/>
  <c r="K686" i="1"/>
  <c r="K683" i="1"/>
  <c r="K682" i="1"/>
  <c r="K679" i="1"/>
  <c r="K678" i="1"/>
  <c r="K676" i="1"/>
  <c r="K675" i="1"/>
  <c r="K674" i="1"/>
  <c r="K671" i="1"/>
  <c r="K670" i="1"/>
  <c r="K666" i="1"/>
  <c r="K663" i="1"/>
  <c r="K659" i="1"/>
  <c r="K658" i="1"/>
  <c r="K657" i="1"/>
  <c r="K655" i="1"/>
  <c r="K654" i="1"/>
  <c r="K653" i="1"/>
  <c r="K651" i="1"/>
  <c r="K647" i="1"/>
  <c r="K646" i="1"/>
  <c r="K642" i="1"/>
  <c r="K640" i="1"/>
  <c r="K638" i="1"/>
  <c r="K635" i="1"/>
  <c r="K633" i="1"/>
  <c r="K631" i="1"/>
  <c r="K630" i="1"/>
  <c r="K627" i="1"/>
  <c r="K626" i="1"/>
  <c r="K623" i="1"/>
  <c r="K622" i="1"/>
  <c r="K621" i="1"/>
  <c r="K619" i="1"/>
  <c r="K618" i="1"/>
  <c r="K617" i="1"/>
  <c r="K615" i="1"/>
  <c r="K614" i="1"/>
  <c r="K611" i="1"/>
  <c r="K610" i="1"/>
  <c r="K607" i="1"/>
  <c r="K606" i="1"/>
  <c r="K604" i="1"/>
  <c r="K603" i="1"/>
  <c r="K599" i="1"/>
  <c r="K598" i="1"/>
  <c r="K595" i="1"/>
  <c r="K594" i="1"/>
  <c r="K592" i="1"/>
  <c r="K590" i="1"/>
  <c r="K587" i="1"/>
  <c r="K585" i="1"/>
  <c r="K583" i="1"/>
  <c r="K582" i="1"/>
  <c r="K579" i="1"/>
  <c r="K578" i="1"/>
  <c r="K575" i="1"/>
  <c r="K574" i="1"/>
  <c r="K573" i="1"/>
  <c r="K571" i="1"/>
  <c r="K570" i="1"/>
  <c r="K569" i="1"/>
  <c r="K566" i="1"/>
  <c r="K563" i="1"/>
  <c r="K562" i="1"/>
  <c r="K559" i="1"/>
  <c r="K558" i="1"/>
  <c r="K555" i="1"/>
  <c r="K552" i="1"/>
  <c r="K551" i="1"/>
  <c r="K550" i="1"/>
  <c r="K547" i="1"/>
  <c r="K546" i="1"/>
  <c r="K543" i="1"/>
  <c r="K542" i="1"/>
  <c r="K538" i="1"/>
  <c r="K537" i="1"/>
  <c r="K535" i="1"/>
  <c r="K534" i="1"/>
  <c r="K533" i="1"/>
  <c r="K531" i="1"/>
  <c r="K530" i="1"/>
  <c r="K527" i="1"/>
  <c r="K526" i="1"/>
  <c r="K523" i="1"/>
  <c r="K520" i="1"/>
  <c r="K519" i="1"/>
  <c r="K518" i="1"/>
  <c r="K515" i="1"/>
  <c r="K514" i="1"/>
  <c r="K511" i="1"/>
  <c r="K510" i="1"/>
  <c r="K507" i="1"/>
  <c r="K506" i="1"/>
  <c r="K504" i="1"/>
  <c r="K503" i="1"/>
  <c r="K502" i="1"/>
  <c r="K499" i="1"/>
  <c r="K498" i="1"/>
  <c r="K495" i="1"/>
  <c r="K494" i="1"/>
  <c r="K491" i="1"/>
  <c r="K490" i="1"/>
  <c r="K488" i="1"/>
  <c r="K487" i="1"/>
  <c r="K486" i="1"/>
  <c r="K483" i="1"/>
  <c r="K482" i="1"/>
  <c r="K479" i="1"/>
  <c r="K478" i="1"/>
  <c r="K475" i="1"/>
  <c r="K471" i="1"/>
  <c r="K470" i="1"/>
  <c r="K467" i="1"/>
  <c r="K466" i="1"/>
  <c r="K463" i="1"/>
  <c r="K462" i="1"/>
  <c r="K459" i="1"/>
  <c r="K458" i="1"/>
  <c r="K455" i="1"/>
  <c r="K454" i="1"/>
  <c r="K451" i="1"/>
  <c r="K450" i="1"/>
  <c r="K447" i="1"/>
  <c r="K446" i="1"/>
  <c r="K443" i="1"/>
  <c r="K439" i="1"/>
  <c r="K438" i="1"/>
  <c r="K435" i="1"/>
  <c r="K434" i="1"/>
  <c r="K433" i="1"/>
  <c r="K431" i="1"/>
  <c r="K430" i="1"/>
  <c r="K429" i="1"/>
  <c r="K428" i="1"/>
  <c r="K427" i="1"/>
  <c r="K423" i="1"/>
  <c r="K422" i="1"/>
  <c r="K419" i="1"/>
  <c r="K418" i="1"/>
  <c r="K416" i="1"/>
  <c r="K415" i="1"/>
  <c r="K414" i="1"/>
  <c r="K411" i="1"/>
  <c r="K407" i="1"/>
  <c r="K406" i="1"/>
  <c r="K403" i="1"/>
  <c r="K402" i="1"/>
  <c r="K399" i="1"/>
  <c r="K398" i="1"/>
  <c r="K397" i="1"/>
  <c r="K395" i="1"/>
  <c r="K391" i="1"/>
  <c r="K390" i="1"/>
  <c r="K387" i="1"/>
  <c r="K386" i="1"/>
  <c r="K382" i="1"/>
  <c r="K380" i="1"/>
  <c r="K375" i="1"/>
  <c r="K374" i="1"/>
  <c r="K373" i="1"/>
  <c r="K371" i="1"/>
  <c r="K370" i="1"/>
  <c r="K369" i="1"/>
  <c r="K368" i="1"/>
  <c r="K367" i="1"/>
  <c r="K366" i="1"/>
  <c r="K365" i="1"/>
  <c r="K364" i="1"/>
  <c r="K363" i="1"/>
  <c r="K359" i="1"/>
  <c r="K355" i="1"/>
  <c r="K354" i="1"/>
  <c r="K350" i="1"/>
  <c r="K349" i="1"/>
  <c r="K347" i="1"/>
  <c r="K346" i="1"/>
  <c r="K345" i="1"/>
  <c r="K343" i="1"/>
  <c r="K342" i="1"/>
  <c r="K341" i="1"/>
  <c r="K339" i="1"/>
  <c r="K338" i="1"/>
  <c r="K337" i="1"/>
  <c r="K334" i="1"/>
  <c r="K331" i="1"/>
  <c r="K327" i="1"/>
  <c r="K326" i="1"/>
  <c r="K323" i="1"/>
  <c r="K322" i="1"/>
  <c r="K319" i="1"/>
  <c r="K315" i="1"/>
  <c r="K314" i="1"/>
  <c r="K311" i="1"/>
  <c r="K310" i="1"/>
  <c r="K309" i="1"/>
  <c r="K307" i="1"/>
  <c r="K306" i="1"/>
  <c r="K305" i="1"/>
  <c r="K303" i="1"/>
  <c r="K302" i="1"/>
  <c r="K299" i="1"/>
  <c r="K298" i="1"/>
  <c r="K295" i="1"/>
  <c r="K292" i="1"/>
  <c r="K291" i="1"/>
  <c r="K290" i="1"/>
  <c r="K287" i="1"/>
  <c r="K286" i="1"/>
  <c r="K283" i="1"/>
  <c r="K282" i="1"/>
  <c r="K279" i="1"/>
  <c r="K275" i="1"/>
  <c r="K274" i="1"/>
  <c r="K272" i="1"/>
  <c r="K271" i="1"/>
  <c r="K270" i="1"/>
  <c r="K269" i="1"/>
  <c r="K268" i="1"/>
  <c r="K267" i="1"/>
  <c r="K266" i="1"/>
  <c r="K265" i="1"/>
  <c r="K264" i="1"/>
  <c r="K263" i="1"/>
  <c r="K259" i="1"/>
  <c r="K258" i="1"/>
  <c r="K255" i="1"/>
  <c r="K254" i="1"/>
  <c r="K252" i="1"/>
  <c r="K251" i="1"/>
  <c r="K250" i="1"/>
  <c r="K247" i="1"/>
  <c r="K246" i="1"/>
  <c r="K243" i="1"/>
  <c r="K242" i="1"/>
  <c r="K239" i="1"/>
  <c r="K238" i="1"/>
  <c r="K235" i="1"/>
  <c r="K234" i="1"/>
  <c r="K231" i="1"/>
  <c r="K229" i="1"/>
  <c r="K227" i="1"/>
  <c r="K226" i="1"/>
  <c r="K223" i="1"/>
  <c r="K222" i="1"/>
  <c r="K219" i="1"/>
  <c r="K218" i="1"/>
  <c r="K217" i="1"/>
  <c r="K215" i="1"/>
  <c r="K214" i="1"/>
  <c r="K213" i="1"/>
  <c r="K211" i="1"/>
  <c r="K210" i="1"/>
  <c r="K208" i="1"/>
  <c r="K207" i="1"/>
  <c r="K203" i="1"/>
  <c r="K202" i="1"/>
  <c r="K199" i="1"/>
  <c r="K198" i="1"/>
  <c r="K195" i="1"/>
  <c r="K194" i="1"/>
  <c r="K191" i="1"/>
  <c r="K187" i="1"/>
  <c r="K186" i="1"/>
  <c r="K185" i="1"/>
  <c r="K183" i="1"/>
  <c r="K182" i="1"/>
  <c r="K181" i="1"/>
  <c r="K179" i="1"/>
  <c r="K178" i="1"/>
  <c r="K175" i="1"/>
  <c r="K174" i="1"/>
  <c r="K171" i="1"/>
  <c r="K170" i="1"/>
  <c r="K169" i="1"/>
  <c r="K167" i="1"/>
  <c r="K163" i="1"/>
  <c r="K162" i="1"/>
  <c r="K159" i="1"/>
  <c r="K158" i="1"/>
  <c r="K155" i="1"/>
  <c r="K154" i="1"/>
  <c r="K151" i="1"/>
  <c r="K147" i="1"/>
  <c r="K146" i="1"/>
  <c r="K143" i="1"/>
  <c r="K142" i="1"/>
  <c r="K141" i="1"/>
  <c r="K139" i="1"/>
  <c r="K138" i="1"/>
  <c r="K137" i="1"/>
  <c r="K135" i="1"/>
  <c r="K134" i="1"/>
  <c r="K133" i="1"/>
  <c r="K131" i="1"/>
  <c r="K130" i="1"/>
  <c r="K129" i="1"/>
  <c r="K127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7" i="1"/>
  <c r="K103" i="1"/>
  <c r="K101" i="1"/>
  <c r="K99" i="1"/>
  <c r="K98" i="1"/>
  <c r="K97" i="1"/>
  <c r="K95" i="1"/>
  <c r="K94" i="1"/>
  <c r="K93" i="1"/>
  <c r="K91" i="1"/>
  <c r="K90" i="1"/>
  <c r="K89" i="1"/>
  <c r="K87" i="1"/>
  <c r="K83" i="1"/>
  <c r="K82" i="1"/>
  <c r="K79" i="1"/>
  <c r="K78" i="1"/>
  <c r="K75" i="1"/>
  <c r="K73" i="1"/>
  <c r="K71" i="1"/>
  <c r="K70" i="1"/>
  <c r="K69" i="1"/>
  <c r="K67" i="1"/>
  <c r="K66" i="1"/>
  <c r="K64" i="1"/>
  <c r="K63" i="1"/>
  <c r="K62" i="1"/>
  <c r="K61" i="1"/>
  <c r="K60" i="1"/>
  <c r="K59" i="1"/>
  <c r="K55" i="1"/>
  <c r="K54" i="1"/>
  <c r="K51" i="1"/>
  <c r="K47" i="1"/>
  <c r="K46" i="1"/>
  <c r="K43" i="1"/>
  <c r="K40" i="1"/>
  <c r="K39" i="1"/>
  <c r="K35" i="1"/>
  <c r="K34" i="1"/>
  <c r="K31" i="1"/>
  <c r="K30" i="1"/>
  <c r="K27" i="1"/>
  <c r="K23" i="1"/>
  <c r="K21" i="1"/>
  <c r="K20" i="1"/>
  <c r="K19" i="1"/>
  <c r="K18" i="1"/>
  <c r="K15" i="1"/>
  <c r="K14" i="1"/>
  <c r="K11" i="1"/>
  <c r="K7" i="1"/>
  <c r="K5" i="1"/>
  <c r="K3" i="1"/>
  <c r="D9" i="1" l="1"/>
  <c r="O1001" i="1"/>
  <c r="O133" i="1"/>
  <c r="I2" i="1"/>
  <c r="G6" i="1"/>
  <c r="D10" i="1"/>
  <c r="H20" i="1"/>
  <c r="D26" i="1"/>
  <c r="G38" i="1"/>
  <c r="D42" i="1"/>
  <c r="E49" i="1"/>
  <c r="D58" i="1"/>
  <c r="D74" i="1"/>
  <c r="G86" i="1"/>
  <c r="G102" i="1"/>
  <c r="D106" i="1"/>
  <c r="O110" i="1"/>
  <c r="O114" i="1"/>
  <c r="H125" i="1"/>
  <c r="O134" i="1"/>
  <c r="H148" i="1"/>
  <c r="G166" i="1"/>
  <c r="O174" i="1"/>
  <c r="O178" i="1"/>
  <c r="H189" i="1"/>
  <c r="H205" i="1"/>
  <c r="O210" i="1"/>
  <c r="G230" i="1"/>
  <c r="O238" i="1"/>
  <c r="O242" i="1"/>
  <c r="O246" i="1"/>
  <c r="O250" i="1"/>
  <c r="G262" i="1"/>
  <c r="O454" i="1"/>
  <c r="O303" i="1"/>
  <c r="O307" i="1"/>
  <c r="O339" i="1"/>
  <c r="F351" i="1"/>
  <c r="I379" i="1"/>
  <c r="F383" i="1"/>
  <c r="O411" i="1"/>
  <c r="O415" i="1"/>
  <c r="O443" i="1"/>
  <c r="O447" i="1"/>
  <c r="O451" i="1"/>
  <c r="O455" i="1"/>
  <c r="O459" i="1"/>
  <c r="O463" i="1"/>
  <c r="O475" i="1"/>
  <c r="O479" i="1"/>
  <c r="O483" i="1"/>
  <c r="O495" i="1"/>
  <c r="O499" i="1"/>
  <c r="O503" i="1"/>
  <c r="O507" i="1"/>
  <c r="O511" i="1"/>
  <c r="G539" i="1"/>
  <c r="O555" i="1"/>
  <c r="O607" i="1"/>
  <c r="O611" i="1"/>
  <c r="O615" i="1"/>
  <c r="O619" i="1"/>
  <c r="O623" i="1"/>
  <c r="D639" i="1"/>
  <c r="O651" i="1"/>
  <c r="G667" i="1"/>
  <c r="O671" i="1"/>
  <c r="O683" i="1"/>
  <c r="O687" i="1"/>
  <c r="O719" i="1"/>
  <c r="O739" i="1"/>
  <c r="O755" i="1"/>
  <c r="D767" i="1"/>
  <c r="O779" i="1"/>
  <c r="O783" i="1"/>
  <c r="O799" i="1"/>
  <c r="O803" i="1"/>
  <c r="O807" i="1"/>
  <c r="O819" i="1"/>
  <c r="O823" i="1"/>
  <c r="O827" i="1"/>
  <c r="O304" i="1"/>
  <c r="O336" i="1"/>
  <c r="O384" i="1"/>
  <c r="O416" i="1"/>
  <c r="O752" i="1"/>
  <c r="O798" i="1"/>
  <c r="O830" i="1"/>
  <c r="O831" i="1"/>
  <c r="O851" i="1"/>
  <c r="O855" i="1"/>
  <c r="O895" i="1"/>
  <c r="O899" i="1"/>
  <c r="O903" i="1"/>
  <c r="O907" i="1"/>
  <c r="O919" i="1"/>
  <c r="O923" i="1"/>
  <c r="O927" i="1"/>
  <c r="O931" i="1"/>
  <c r="O947" i="1"/>
  <c r="O951" i="1"/>
  <c r="O955" i="1"/>
  <c r="O971" i="1"/>
  <c r="O975" i="1"/>
  <c r="O979" i="1"/>
  <c r="O983" i="1"/>
  <c r="O987" i="1"/>
  <c r="O991" i="1"/>
  <c r="O1003" i="1"/>
  <c r="O1015" i="1"/>
  <c r="O1019" i="1"/>
  <c r="O1023" i="1"/>
  <c r="O1027" i="1"/>
  <c r="O1031" i="1"/>
  <c r="O1035" i="1"/>
  <c r="O1039" i="1"/>
  <c r="O1043" i="1"/>
  <c r="O1047" i="1"/>
  <c r="O195" i="1"/>
  <c r="O131" i="1"/>
  <c r="O320" i="1"/>
  <c r="O194" i="1"/>
  <c r="O135" i="1"/>
  <c r="O179" i="1"/>
  <c r="O191" i="1"/>
  <c r="O239" i="1"/>
  <c r="O251" i="1"/>
  <c r="O263" i="1"/>
  <c r="O487" i="1"/>
  <c r="O743" i="1"/>
  <c r="O747" i="1"/>
  <c r="O751" i="1"/>
  <c r="O843" i="1"/>
  <c r="O847" i="1"/>
  <c r="O995" i="1"/>
  <c r="O999" i="1"/>
  <c r="O453" i="1"/>
  <c r="O486" i="1"/>
  <c r="O115" i="1"/>
  <c r="O127" i="1"/>
  <c r="O211" i="1"/>
  <c r="O247" i="1"/>
  <c r="O491" i="1"/>
  <c r="O575" i="1"/>
  <c r="O715" i="1"/>
  <c r="F24" i="1"/>
  <c r="F88" i="1"/>
  <c r="O112" i="1"/>
  <c r="O132" i="1"/>
  <c r="O180" i="1"/>
  <c r="O192" i="1"/>
  <c r="O196" i="1"/>
  <c r="O244" i="1"/>
  <c r="O248" i="1"/>
  <c r="O252" i="1"/>
  <c r="O308" i="1"/>
  <c r="O340" i="1"/>
  <c r="H356" i="1"/>
  <c r="K356" i="1"/>
  <c r="H372" i="1"/>
  <c r="D400" i="1"/>
  <c r="O412" i="1"/>
  <c r="D432" i="1"/>
  <c r="K432" i="1"/>
  <c r="O432" i="1" s="1"/>
  <c r="O444" i="1"/>
  <c r="O448" i="1"/>
  <c r="O452" i="1"/>
  <c r="O456" i="1"/>
  <c r="O460" i="1"/>
  <c r="O464" i="1"/>
  <c r="O476" i="1"/>
  <c r="O480" i="1"/>
  <c r="O484" i="1"/>
  <c r="O488" i="1"/>
  <c r="O492" i="1"/>
  <c r="O496" i="1"/>
  <c r="O500" i="1"/>
  <c r="O504" i="1"/>
  <c r="O508" i="1"/>
  <c r="O512" i="1"/>
  <c r="O556" i="1"/>
  <c r="O568" i="1"/>
  <c r="O572" i="1"/>
  <c r="O576" i="1"/>
  <c r="O592" i="1"/>
  <c r="O608" i="1"/>
  <c r="O612" i="1"/>
  <c r="O616" i="1"/>
  <c r="O620" i="1"/>
  <c r="O624" i="1"/>
  <c r="O652" i="1"/>
  <c r="O668" i="1"/>
  <c r="O684" i="1"/>
  <c r="O688" i="1"/>
  <c r="O716" i="1"/>
  <c r="O720" i="1"/>
  <c r="O740" i="1"/>
  <c r="O744" i="1"/>
  <c r="O748" i="1"/>
  <c r="O756" i="1"/>
  <c r="O852" i="1"/>
  <c r="O900" i="1"/>
  <c r="K400" i="1"/>
  <c r="O400" i="1" s="1"/>
  <c r="O90" i="1"/>
  <c r="O130" i="1"/>
  <c r="O240" i="1"/>
  <c r="O27" i="1"/>
  <c r="O91" i="1"/>
  <c r="O111" i="1"/>
  <c r="O175" i="1"/>
  <c r="O243" i="1"/>
  <c r="O319" i="1"/>
  <c r="F335" i="1"/>
  <c r="K335" i="1"/>
  <c r="O335" i="1" s="1"/>
  <c r="O571" i="1"/>
  <c r="H591" i="1"/>
  <c r="K591" i="1"/>
  <c r="O591" i="1" s="1"/>
  <c r="O28" i="1"/>
  <c r="O92" i="1"/>
  <c r="O116" i="1"/>
  <c r="O128" i="1"/>
  <c r="O176" i="1"/>
  <c r="E17" i="1"/>
  <c r="K17" i="1"/>
  <c r="O11" i="1" s="1"/>
  <c r="H45" i="1"/>
  <c r="E65" i="1"/>
  <c r="K65" i="1"/>
  <c r="E81" i="1"/>
  <c r="K81" i="1"/>
  <c r="O89" i="1"/>
  <c r="H109" i="1"/>
  <c r="O113" i="1"/>
  <c r="O129" i="1"/>
  <c r="E145" i="1"/>
  <c r="H157" i="1"/>
  <c r="K157" i="1"/>
  <c r="O155" i="1" s="1"/>
  <c r="H173" i="1"/>
  <c r="K173" i="1"/>
  <c r="O173" i="1" s="1"/>
  <c r="O177" i="1"/>
  <c r="O193" i="1"/>
  <c r="E209" i="1"/>
  <c r="H221" i="1"/>
  <c r="K221" i="1"/>
  <c r="O214" i="1" s="1"/>
  <c r="H237" i="1"/>
  <c r="K237" i="1"/>
  <c r="O237" i="1" s="1"/>
  <c r="O241" i="1"/>
  <c r="O245" i="1"/>
  <c r="O249" i="1"/>
  <c r="E273" i="1"/>
  <c r="H285" i="1"/>
  <c r="K285" i="1"/>
  <c r="O282" i="1" s="1"/>
  <c r="H301" i="1"/>
  <c r="K301" i="1"/>
  <c r="O301" i="1" s="1"/>
  <c r="O305" i="1"/>
  <c r="O337" i="1"/>
  <c r="O341" i="1"/>
  <c r="O413" i="1"/>
  <c r="O445" i="1"/>
  <c r="O449" i="1"/>
  <c r="O457" i="1"/>
  <c r="O461" i="1"/>
  <c r="O485" i="1"/>
  <c r="O501" i="1"/>
  <c r="O821" i="1"/>
  <c r="O925" i="1"/>
  <c r="O780" i="1"/>
  <c r="O784" i="1"/>
  <c r="O796" i="1"/>
  <c r="O800" i="1"/>
  <c r="O804" i="1"/>
  <c r="O820" i="1"/>
  <c r="O824" i="1"/>
  <c r="O828" i="1"/>
  <c r="O832" i="1"/>
  <c r="O844" i="1"/>
  <c r="O848" i="1"/>
  <c r="O856" i="1"/>
  <c r="O868" i="1"/>
  <c r="F880" i="1"/>
  <c r="K880" i="1"/>
  <c r="O880" i="1" s="1"/>
  <c r="O896" i="1"/>
  <c r="O904" i="1"/>
  <c r="O908" i="1"/>
  <c r="O920" i="1"/>
  <c r="O924" i="1"/>
  <c r="O928" i="1"/>
  <c r="O932" i="1"/>
  <c r="O944" i="1"/>
  <c r="O948" i="1"/>
  <c r="O952" i="1"/>
  <c r="O956" i="1"/>
  <c r="O972" i="1"/>
  <c r="O976" i="1"/>
  <c r="O980" i="1"/>
  <c r="O984" i="1"/>
  <c r="O988" i="1"/>
  <c r="O992" i="1"/>
  <c r="O996" i="1"/>
  <c r="O1000" i="1"/>
  <c r="O1016" i="1"/>
  <c r="O1020" i="1"/>
  <c r="O1024" i="1"/>
  <c r="O1028" i="1"/>
  <c r="O1032" i="1"/>
  <c r="O1036" i="1"/>
  <c r="O1040" i="1"/>
  <c r="O1044" i="1"/>
  <c r="O1048" i="1"/>
  <c r="O1041" i="1"/>
  <c r="O477" i="1"/>
  <c r="O481" i="1"/>
  <c r="O489" i="1"/>
  <c r="O493" i="1"/>
  <c r="O497" i="1"/>
  <c r="O505" i="1"/>
  <c r="O509" i="1"/>
  <c r="O557" i="1"/>
  <c r="O569" i="1"/>
  <c r="O573" i="1"/>
  <c r="O609" i="1"/>
  <c r="O613" i="1"/>
  <c r="O617" i="1"/>
  <c r="O621" i="1"/>
  <c r="O669" i="1"/>
  <c r="O685" i="1"/>
  <c r="O689" i="1"/>
  <c r="O717" i="1"/>
  <c r="O741" i="1"/>
  <c r="O745" i="1"/>
  <c r="O749" i="1"/>
  <c r="O753" i="1"/>
  <c r="O757" i="1"/>
  <c r="O777" i="1"/>
  <c r="O781" i="1"/>
  <c r="O785" i="1"/>
  <c r="O797" i="1"/>
  <c r="O801" i="1"/>
  <c r="O805" i="1"/>
  <c r="O825" i="1"/>
  <c r="O829" i="1"/>
  <c r="O845" i="1"/>
  <c r="O849" i="1"/>
  <c r="O853" i="1"/>
  <c r="O857" i="1"/>
  <c r="O869" i="1"/>
  <c r="O881" i="1"/>
  <c r="O893" i="1"/>
  <c r="O897" i="1"/>
  <c r="O901" i="1"/>
  <c r="O905" i="1"/>
  <c r="O921" i="1"/>
  <c r="O929" i="1"/>
  <c r="O933" i="1"/>
  <c r="O945" i="1"/>
  <c r="O949" i="1"/>
  <c r="O953" i="1"/>
  <c r="O957" i="1"/>
  <c r="O969" i="1"/>
  <c r="O973" i="1"/>
  <c r="O977" i="1"/>
  <c r="O981" i="1"/>
  <c r="O985" i="1"/>
  <c r="O989" i="1"/>
  <c r="O993" i="1"/>
  <c r="O997" i="1"/>
  <c r="O1017" i="1"/>
  <c r="O1021" i="1"/>
  <c r="O1025" i="1"/>
  <c r="O1029" i="1"/>
  <c r="O1033" i="1"/>
  <c r="O1037" i="1"/>
  <c r="O1045" i="1"/>
  <c r="H276" i="1"/>
  <c r="G294" i="1"/>
  <c r="O302" i="1"/>
  <c r="O306" i="1"/>
  <c r="H317" i="1"/>
  <c r="D330" i="1"/>
  <c r="O338" i="1"/>
  <c r="G358" i="1"/>
  <c r="D362" i="1"/>
  <c r="D378" i="1"/>
  <c r="D394" i="1"/>
  <c r="E407" i="1"/>
  <c r="O414" i="1"/>
  <c r="D425" i="1"/>
  <c r="H442" i="1"/>
  <c r="O446" i="1"/>
  <c r="O450" i="1"/>
  <c r="O458" i="1"/>
  <c r="O462" i="1"/>
  <c r="H474" i="1"/>
  <c r="O478" i="1"/>
  <c r="O482" i="1"/>
  <c r="O490" i="1"/>
  <c r="O494" i="1"/>
  <c r="O498" i="1"/>
  <c r="O502" i="1"/>
  <c r="O506" i="1"/>
  <c r="O510" i="1"/>
  <c r="D521" i="1"/>
  <c r="H553" i="1"/>
  <c r="O570" i="1"/>
  <c r="O574" i="1"/>
  <c r="I586" i="1"/>
  <c r="D601" i="1"/>
  <c r="O606" i="1"/>
  <c r="O610" i="1"/>
  <c r="O614" i="1"/>
  <c r="O618" i="1"/>
  <c r="O622" i="1"/>
  <c r="F634" i="1"/>
  <c r="G648" i="1"/>
  <c r="I662" i="1"/>
  <c r="O670" i="1"/>
  <c r="O682" i="1"/>
  <c r="O686" i="1"/>
  <c r="O690" i="1"/>
  <c r="E710" i="1"/>
  <c r="I714" i="1"/>
  <c r="O718" i="1"/>
  <c r="D729" i="1"/>
  <c r="O742" i="1"/>
  <c r="O746" i="1"/>
  <c r="O750" i="1"/>
  <c r="O754" i="1"/>
  <c r="O778" i="1"/>
  <c r="O782" i="1"/>
  <c r="O802" i="1"/>
  <c r="O806" i="1"/>
  <c r="O818" i="1"/>
  <c r="O822" i="1"/>
  <c r="O826" i="1"/>
  <c r="O846" i="1"/>
  <c r="O850" i="1"/>
  <c r="O854" i="1"/>
  <c r="O870" i="1"/>
  <c r="O882" i="1"/>
  <c r="O894" i="1"/>
  <c r="O898" i="1"/>
  <c r="O902" i="1"/>
  <c r="O906" i="1"/>
  <c r="O922" i="1"/>
  <c r="O926" i="1"/>
  <c r="O930" i="1"/>
  <c r="O946" i="1"/>
  <c r="O950" i="1"/>
  <c r="O954" i="1"/>
  <c r="O958" i="1"/>
  <c r="O970" i="1"/>
  <c r="O974" i="1"/>
  <c r="O978" i="1"/>
  <c r="O982" i="1"/>
  <c r="O986" i="1"/>
  <c r="O990" i="1"/>
  <c r="O994" i="1"/>
  <c r="O998" i="1"/>
  <c r="O1002" i="1"/>
  <c r="O1014" i="1"/>
  <c r="O1018" i="1"/>
  <c r="O1022" i="1"/>
  <c r="O1026" i="1"/>
  <c r="O1030" i="1"/>
  <c r="O1034" i="1"/>
  <c r="O1038" i="1"/>
  <c r="O1042" i="1"/>
  <c r="O1046" i="1"/>
  <c r="D19" i="1"/>
  <c r="F40" i="1"/>
  <c r="H61" i="1"/>
  <c r="D83" i="1"/>
  <c r="F111" i="1"/>
  <c r="H132" i="1"/>
  <c r="D154" i="1"/>
  <c r="F175" i="1"/>
  <c r="H196" i="1"/>
  <c r="D218" i="1"/>
  <c r="F239" i="1"/>
  <c r="H260" i="1"/>
  <c r="D282" i="1"/>
  <c r="F303" i="1"/>
  <c r="H324" i="1"/>
  <c r="D346" i="1"/>
  <c r="F367" i="1"/>
  <c r="H388" i="1"/>
  <c r="F421" i="1"/>
  <c r="D464" i="1"/>
  <c r="H506" i="1"/>
  <c r="F596" i="1"/>
  <c r="I695" i="1"/>
  <c r="H771" i="1"/>
  <c r="H829" i="1"/>
  <c r="H930" i="1"/>
  <c r="K26" i="1"/>
  <c r="O26" i="1" s="1"/>
  <c r="K58" i="1"/>
  <c r="O58" i="1" s="1"/>
  <c r="K410" i="1"/>
  <c r="O410" i="1" s="1"/>
  <c r="K442" i="1"/>
  <c r="O442" i="1" s="1"/>
  <c r="K634" i="1"/>
  <c r="O627" i="1" s="1"/>
  <c r="K842" i="1"/>
  <c r="O842" i="1" s="1"/>
  <c r="G842" i="1"/>
  <c r="I11" i="1"/>
  <c r="E33" i="1"/>
  <c r="G54" i="1"/>
  <c r="I75" i="1"/>
  <c r="E97" i="1"/>
  <c r="G118" i="1"/>
  <c r="I139" i="1"/>
  <c r="E161" i="1"/>
  <c r="G182" i="1"/>
  <c r="I203" i="1"/>
  <c r="E225" i="1"/>
  <c r="G246" i="1"/>
  <c r="I267" i="1"/>
  <c r="E289" i="1"/>
  <c r="G310" i="1"/>
  <c r="I331" i="1"/>
  <c r="E353" i="1"/>
  <c r="G374" i="1"/>
  <c r="I395" i="1"/>
  <c r="H435" i="1"/>
  <c r="F478" i="1"/>
  <c r="E544" i="1"/>
  <c r="E620" i="1"/>
  <c r="E672" i="1"/>
  <c r="E748" i="1"/>
  <c r="F861" i="1"/>
  <c r="E1037" i="1"/>
  <c r="K42" i="1"/>
  <c r="K106" i="1"/>
  <c r="K378" i="1"/>
  <c r="K602" i="1"/>
  <c r="K730" i="1"/>
  <c r="O721" i="1" s="1"/>
  <c r="H867" i="1"/>
  <c r="H13" i="1"/>
  <c r="I27" i="1"/>
  <c r="F56" i="1"/>
  <c r="G70" i="1"/>
  <c r="H84" i="1"/>
  <c r="D99" i="1"/>
  <c r="E113" i="1"/>
  <c r="F127" i="1"/>
  <c r="H141" i="1"/>
  <c r="I155" i="1"/>
  <c r="D170" i="1"/>
  <c r="F184" i="1"/>
  <c r="G198" i="1"/>
  <c r="H212" i="1"/>
  <c r="D227" i="1"/>
  <c r="E241" i="1"/>
  <c r="F255" i="1"/>
  <c r="H269" i="1"/>
  <c r="I283" i="1"/>
  <c r="D291" i="1"/>
  <c r="E305" i="1"/>
  <c r="G326" i="1"/>
  <c r="H340" i="1"/>
  <c r="D355" i="1"/>
  <c r="F376" i="1"/>
  <c r="G390" i="1"/>
  <c r="H410" i="1"/>
  <c r="E439" i="1"/>
  <c r="H467" i="1"/>
  <c r="D496" i="1"/>
  <c r="E525" i="1"/>
  <c r="E653" i="1"/>
  <c r="D677" i="1"/>
  <c r="I752" i="1"/>
  <c r="E781" i="1"/>
  <c r="I873" i="1"/>
  <c r="E937" i="1"/>
  <c r="E975" i="1"/>
  <c r="K6" i="1"/>
  <c r="L2" i="1" s="1"/>
  <c r="Q19" i="1" s="1"/>
  <c r="K22" i="1"/>
  <c r="K86" i="1"/>
  <c r="K126" i="1"/>
  <c r="O126" i="1" s="1"/>
  <c r="K150" i="1"/>
  <c r="O147" i="1" s="1"/>
  <c r="K166" i="1"/>
  <c r="O166" i="1" s="1"/>
  <c r="K190" i="1"/>
  <c r="O190" i="1" s="1"/>
  <c r="K206" i="1"/>
  <c r="K262" i="1"/>
  <c r="O262" i="1" s="1"/>
  <c r="K278" i="1"/>
  <c r="K318" i="1"/>
  <c r="O318" i="1" s="1"/>
  <c r="K358" i="1"/>
  <c r="K667" i="1"/>
  <c r="O667" i="1" s="1"/>
  <c r="K710" i="1"/>
  <c r="O704" i="1" s="1"/>
  <c r="K767" i="1"/>
  <c r="O758" i="1" s="1"/>
  <c r="K867" i="1"/>
  <c r="O867" i="1" s="1"/>
  <c r="I624" i="1"/>
  <c r="K700" i="1"/>
  <c r="O700" i="1" s="1"/>
  <c r="G700" i="1"/>
  <c r="K776" i="1"/>
  <c r="O776" i="1" s="1"/>
  <c r="G776" i="1"/>
  <c r="K892" i="1"/>
  <c r="O892" i="1" s="1"/>
  <c r="H892" i="1"/>
  <c r="K968" i="1"/>
  <c r="O968" i="1" s="1"/>
  <c r="H968" i="1"/>
  <c r="F8" i="1"/>
  <c r="F15" i="1"/>
  <c r="G22" i="1"/>
  <c r="H29" i="1"/>
  <c r="H36" i="1"/>
  <c r="I43" i="1"/>
  <c r="D51" i="1"/>
  <c r="F72" i="1"/>
  <c r="F79" i="1"/>
  <c r="H93" i="1"/>
  <c r="H100" i="1"/>
  <c r="I107" i="1"/>
  <c r="D115" i="1"/>
  <c r="D122" i="1"/>
  <c r="E129" i="1"/>
  <c r="F136" i="1"/>
  <c r="F143" i="1"/>
  <c r="G150" i="1"/>
  <c r="H164" i="1"/>
  <c r="I171" i="1"/>
  <c r="D179" i="1"/>
  <c r="D186" i="1"/>
  <c r="E193" i="1"/>
  <c r="F200" i="1"/>
  <c r="F207" i="1"/>
  <c r="G214" i="1"/>
  <c r="H228" i="1"/>
  <c r="I235" i="1"/>
  <c r="D243" i="1"/>
  <c r="D250" i="1"/>
  <c r="E257" i="1"/>
  <c r="F264" i="1"/>
  <c r="F271" i="1"/>
  <c r="G278" i="1"/>
  <c r="H292" i="1"/>
  <c r="I299" i="1"/>
  <c r="D307" i="1"/>
  <c r="D314" i="1"/>
  <c r="E321" i="1"/>
  <c r="F328" i="1"/>
  <c r="G342" i="1"/>
  <c r="H349" i="1"/>
  <c r="I363" i="1"/>
  <c r="D371" i="1"/>
  <c r="E385" i="1"/>
  <c r="F392" i="1"/>
  <c r="F414" i="1"/>
  <c r="G428" i="1"/>
  <c r="D457" i="1"/>
  <c r="E471" i="1"/>
  <c r="F485" i="1"/>
  <c r="H499" i="1"/>
  <c r="I513" i="1"/>
  <c r="I534" i="1"/>
  <c r="F558" i="1"/>
  <c r="E582" i="1"/>
  <c r="G610" i="1"/>
  <c r="I657" i="1"/>
  <c r="F686" i="1"/>
  <c r="I733" i="1"/>
  <c r="F762" i="1"/>
  <c r="I785" i="1"/>
  <c r="H810" i="1"/>
  <c r="H848" i="1"/>
  <c r="I911" i="1"/>
  <c r="H949" i="1"/>
  <c r="F981" i="1"/>
  <c r="K24" i="1"/>
  <c r="K45" i="1"/>
  <c r="K50" i="1"/>
  <c r="O50" i="1" s="1"/>
  <c r="K88" i="1"/>
  <c r="O88" i="1" s="1"/>
  <c r="K109" i="1"/>
  <c r="O109" i="1" s="1"/>
  <c r="K145" i="1"/>
  <c r="O145" i="1" s="1"/>
  <c r="K209" i="1"/>
  <c r="O209" i="1" s="1"/>
  <c r="K273" i="1"/>
  <c r="K330" i="1"/>
  <c r="K351" i="1"/>
  <c r="O343" i="1" s="1"/>
  <c r="K362" i="1"/>
  <c r="O362" i="1" s="1"/>
  <c r="K372" i="1"/>
  <c r="O367" i="1" s="1"/>
  <c r="K383" i="1"/>
  <c r="O383" i="1" s="1"/>
  <c r="K394" i="1"/>
  <c r="K426" i="1"/>
  <c r="K522" i="1"/>
  <c r="O515" i="1" s="1"/>
  <c r="K554" i="1"/>
  <c r="O554" i="1" s="1"/>
  <c r="K586" i="1"/>
  <c r="K639" i="1"/>
  <c r="K650" i="1"/>
  <c r="O650" i="1" s="1"/>
  <c r="K714" i="1"/>
  <c r="O714" i="1" s="1"/>
  <c r="K738" i="1"/>
  <c r="O738" i="1" s="1"/>
  <c r="G738" i="1"/>
  <c r="K918" i="1"/>
  <c r="O918" i="1" s="1"/>
  <c r="F918" i="1"/>
  <c r="H4" i="1"/>
  <c r="F47" i="1"/>
  <c r="H68" i="1"/>
  <c r="D90" i="1"/>
  <c r="F104" i="1"/>
  <c r="D147" i="1"/>
  <c r="F168" i="1"/>
  <c r="D211" i="1"/>
  <c r="F232" i="1"/>
  <c r="H253" i="1"/>
  <c r="D275" i="1"/>
  <c r="F296" i="1"/>
  <c r="D339" i="1"/>
  <c r="F360" i="1"/>
  <c r="H381" i="1"/>
  <c r="I449" i="1"/>
  <c r="G492" i="1"/>
  <c r="G572" i="1"/>
  <c r="F724" i="1"/>
  <c r="E800" i="1"/>
  <c r="F899" i="1"/>
  <c r="G962" i="1"/>
  <c r="K10" i="1"/>
  <c r="K74" i="1"/>
  <c r="O66" i="1" s="1"/>
  <c r="K474" i="1"/>
  <c r="O474" i="1" s="1"/>
  <c r="K567" i="1"/>
  <c r="O567" i="1" s="1"/>
  <c r="I567" i="1"/>
  <c r="K643" i="1"/>
  <c r="H643" i="1"/>
  <c r="H719" i="1"/>
  <c r="G795" i="1"/>
  <c r="K943" i="1"/>
  <c r="O943" i="1" s="1"/>
  <c r="F943" i="1"/>
  <c r="D35" i="1"/>
  <c r="F63" i="1"/>
  <c r="H77" i="1"/>
  <c r="I91" i="1"/>
  <c r="F120" i="1"/>
  <c r="G134" i="1"/>
  <c r="D163" i="1"/>
  <c r="E177" i="1"/>
  <c r="F191" i="1"/>
  <c r="I219" i="1"/>
  <c r="D234" i="1"/>
  <c r="F248" i="1"/>
  <c r="D298" i="1"/>
  <c r="F312" i="1"/>
  <c r="F319" i="1"/>
  <c r="H333" i="1"/>
  <c r="I347" i="1"/>
  <c r="E369" i="1"/>
  <c r="H397" i="1"/>
  <c r="F453" i="1"/>
  <c r="I481" i="1"/>
  <c r="F510" i="1"/>
  <c r="G577" i="1"/>
  <c r="G629" i="1"/>
  <c r="G705" i="1"/>
  <c r="D805" i="1"/>
  <c r="I835" i="1"/>
  <c r="H905" i="1"/>
  <c r="K38" i="1"/>
  <c r="K102" i="1"/>
  <c r="K230" i="1"/>
  <c r="K294" i="1"/>
  <c r="O289" i="1" s="1"/>
  <c r="K379" i="1"/>
  <c r="K539" i="1"/>
  <c r="O535" i="1" s="1"/>
  <c r="K795" i="1"/>
  <c r="O795" i="1" s="1"/>
  <c r="K529" i="1"/>
  <c r="O529" i="1" s="1"/>
  <c r="I529" i="1"/>
  <c r="K549" i="1"/>
  <c r="D549" i="1"/>
  <c r="K605" i="1"/>
  <c r="O605" i="1" s="1"/>
  <c r="I605" i="1"/>
  <c r="K681" i="1"/>
  <c r="O681" i="1" s="1"/>
  <c r="H681" i="1"/>
  <c r="G757" i="1"/>
  <c r="K817" i="1"/>
  <c r="O817" i="1" s="1"/>
  <c r="D817" i="1"/>
  <c r="K1013" i="1"/>
  <c r="O1013" i="1" s="1"/>
  <c r="E1013" i="1"/>
  <c r="G3" i="1"/>
  <c r="F31" i="1"/>
  <c r="H52" i="1"/>
  <c r="I59" i="1"/>
  <c r="D67" i="1"/>
  <c r="F95" i="1"/>
  <c r="H116" i="1"/>
  <c r="I123" i="1"/>
  <c r="D131" i="1"/>
  <c r="D138" i="1"/>
  <c r="F152" i="1"/>
  <c r="F159" i="1"/>
  <c r="H180" i="1"/>
  <c r="I187" i="1"/>
  <c r="D195" i="1"/>
  <c r="D202" i="1"/>
  <c r="F216" i="1"/>
  <c r="F223" i="1"/>
  <c r="H244" i="1"/>
  <c r="I251" i="1"/>
  <c r="D259" i="1"/>
  <c r="D266" i="1"/>
  <c r="F280" i="1"/>
  <c r="F287" i="1"/>
  <c r="H308" i="1"/>
  <c r="I315" i="1"/>
  <c r="D323" i="1"/>
  <c r="E337" i="1"/>
  <c r="F344" i="1"/>
  <c r="H365" i="1"/>
  <c r="D387" i="1"/>
  <c r="H403" i="1"/>
  <c r="I417" i="1"/>
  <c r="F446" i="1"/>
  <c r="G460" i="1"/>
  <c r="D489" i="1"/>
  <c r="E503" i="1"/>
  <c r="F517" i="1"/>
  <c r="E563" i="1"/>
  <c r="E615" i="1"/>
  <c r="E691" i="1"/>
  <c r="E743" i="1"/>
  <c r="I790" i="1"/>
  <c r="F823" i="1"/>
  <c r="D855" i="1"/>
  <c r="G886" i="1"/>
  <c r="G924" i="1"/>
  <c r="F956" i="1"/>
  <c r="E994" i="1"/>
  <c r="K662" i="1"/>
  <c r="O662" i="1" s="1"/>
  <c r="I4" i="1"/>
  <c r="E4" i="1"/>
  <c r="F4" i="1"/>
  <c r="D4" i="1"/>
  <c r="G2" i="1"/>
  <c r="E3" i="1"/>
  <c r="I8" i="1"/>
  <c r="E8" i="1"/>
  <c r="H8" i="1"/>
  <c r="G8" i="1"/>
  <c r="H7" i="1"/>
  <c r="H6" i="1"/>
  <c r="I12" i="1"/>
  <c r="E12" i="1"/>
  <c r="F12" i="1"/>
  <c r="D12" i="1"/>
  <c r="E11" i="1"/>
  <c r="F10" i="1"/>
  <c r="I16" i="1"/>
  <c r="E16" i="1"/>
  <c r="H16" i="1"/>
  <c r="G16" i="1"/>
  <c r="H15" i="1"/>
  <c r="H14" i="1"/>
  <c r="I20" i="1"/>
  <c r="E20" i="1"/>
  <c r="F20" i="1"/>
  <c r="D20" i="1"/>
  <c r="E19" i="1"/>
  <c r="F18" i="1"/>
  <c r="I24" i="1"/>
  <c r="E24" i="1"/>
  <c r="H24" i="1"/>
  <c r="G24" i="1"/>
  <c r="H23" i="1"/>
  <c r="H22" i="1"/>
  <c r="I28" i="1"/>
  <c r="E28" i="1"/>
  <c r="F28" i="1"/>
  <c r="D28" i="1"/>
  <c r="E27" i="1"/>
  <c r="F26" i="1"/>
  <c r="I32" i="1"/>
  <c r="E32" i="1"/>
  <c r="H32" i="1"/>
  <c r="G32" i="1"/>
  <c r="H31" i="1"/>
  <c r="H30" i="1"/>
  <c r="I36" i="1"/>
  <c r="E36" i="1"/>
  <c r="F36" i="1"/>
  <c r="D36" i="1"/>
  <c r="E35" i="1"/>
  <c r="F34" i="1"/>
  <c r="I40" i="1"/>
  <c r="E40" i="1"/>
  <c r="H40" i="1"/>
  <c r="G40" i="1"/>
  <c r="H39" i="1"/>
  <c r="H38" i="1"/>
  <c r="I44" i="1"/>
  <c r="E44" i="1"/>
  <c r="F44" i="1"/>
  <c r="D44" i="1"/>
  <c r="E43" i="1"/>
  <c r="F42" i="1"/>
  <c r="I48" i="1"/>
  <c r="E48" i="1"/>
  <c r="H48" i="1"/>
  <c r="G48" i="1"/>
  <c r="H47" i="1"/>
  <c r="H46" i="1"/>
  <c r="I52" i="1"/>
  <c r="E52" i="1"/>
  <c r="F52" i="1"/>
  <c r="D52" i="1"/>
  <c r="E51" i="1"/>
  <c r="F50" i="1"/>
  <c r="I56" i="1"/>
  <c r="E56" i="1"/>
  <c r="H56" i="1"/>
  <c r="G56" i="1"/>
  <c r="H55" i="1"/>
  <c r="H54" i="1"/>
  <c r="I60" i="1"/>
  <c r="E60" i="1"/>
  <c r="F60" i="1"/>
  <c r="D60" i="1"/>
  <c r="E59" i="1"/>
  <c r="F58" i="1"/>
  <c r="I64" i="1"/>
  <c r="E64" i="1"/>
  <c r="H64" i="1"/>
  <c r="G64" i="1"/>
  <c r="H63" i="1"/>
  <c r="H62" i="1"/>
  <c r="I68" i="1"/>
  <c r="E68" i="1"/>
  <c r="F68" i="1"/>
  <c r="D68" i="1"/>
  <c r="E67" i="1"/>
  <c r="F66" i="1"/>
  <c r="I72" i="1"/>
  <c r="E72" i="1"/>
  <c r="H72" i="1"/>
  <c r="G72" i="1"/>
  <c r="H71" i="1"/>
  <c r="H70" i="1"/>
  <c r="I76" i="1"/>
  <c r="E76" i="1"/>
  <c r="F76" i="1"/>
  <c r="D76" i="1"/>
  <c r="E75" i="1"/>
  <c r="F74" i="1"/>
  <c r="I80" i="1"/>
  <c r="E80" i="1"/>
  <c r="H80" i="1"/>
  <c r="G80" i="1"/>
  <c r="H79" i="1"/>
  <c r="H78" i="1"/>
  <c r="I84" i="1"/>
  <c r="E84" i="1"/>
  <c r="F84" i="1"/>
  <c r="D84" i="1"/>
  <c r="E83" i="1"/>
  <c r="F82" i="1"/>
  <c r="I88" i="1"/>
  <c r="E88" i="1"/>
  <c r="H88" i="1"/>
  <c r="G88" i="1"/>
  <c r="H87" i="1"/>
  <c r="H86" i="1"/>
  <c r="I92" i="1"/>
  <c r="E92" i="1"/>
  <c r="F92" i="1"/>
  <c r="D92" i="1"/>
  <c r="E91" i="1"/>
  <c r="F90" i="1"/>
  <c r="I96" i="1"/>
  <c r="E96" i="1"/>
  <c r="H96" i="1"/>
  <c r="G96" i="1"/>
  <c r="H95" i="1"/>
  <c r="H94" i="1"/>
  <c r="I100" i="1"/>
  <c r="E100" i="1"/>
  <c r="F100" i="1"/>
  <c r="D100" i="1"/>
  <c r="E99" i="1"/>
  <c r="F98" i="1"/>
  <c r="I104" i="1"/>
  <c r="E104" i="1"/>
  <c r="H104" i="1"/>
  <c r="G104" i="1"/>
  <c r="H103" i="1"/>
  <c r="H102" i="1"/>
  <c r="I108" i="1"/>
  <c r="E108" i="1"/>
  <c r="F108" i="1"/>
  <c r="D108" i="1"/>
  <c r="E107" i="1"/>
  <c r="F106" i="1"/>
  <c r="I112" i="1"/>
  <c r="E112" i="1"/>
  <c r="H112" i="1"/>
  <c r="G112" i="1"/>
  <c r="H111" i="1"/>
  <c r="H110" i="1"/>
  <c r="I116" i="1"/>
  <c r="E116" i="1"/>
  <c r="F116" i="1"/>
  <c r="D116" i="1"/>
  <c r="E115" i="1"/>
  <c r="F114" i="1"/>
  <c r="I120" i="1"/>
  <c r="E120" i="1"/>
  <c r="H120" i="1"/>
  <c r="G120" i="1"/>
  <c r="H119" i="1"/>
  <c r="H118" i="1"/>
  <c r="I124" i="1"/>
  <c r="E124" i="1"/>
  <c r="F124" i="1"/>
  <c r="D124" i="1"/>
  <c r="E123" i="1"/>
  <c r="F122" i="1"/>
  <c r="I128" i="1"/>
  <c r="E128" i="1"/>
  <c r="H128" i="1"/>
  <c r="G128" i="1"/>
  <c r="H127" i="1"/>
  <c r="H126" i="1"/>
  <c r="I132" i="1"/>
  <c r="E132" i="1"/>
  <c r="F132" i="1"/>
  <c r="D132" i="1"/>
  <c r="E131" i="1"/>
  <c r="F130" i="1"/>
  <c r="I136" i="1"/>
  <c r="E136" i="1"/>
  <c r="H136" i="1"/>
  <c r="G136" i="1"/>
  <c r="H135" i="1"/>
  <c r="H134" i="1"/>
  <c r="I140" i="1"/>
  <c r="E140" i="1"/>
  <c r="F140" i="1"/>
  <c r="D140" i="1"/>
  <c r="E139" i="1"/>
  <c r="F138" i="1"/>
  <c r="I144" i="1"/>
  <c r="E144" i="1"/>
  <c r="H144" i="1"/>
  <c r="G144" i="1"/>
  <c r="H143" i="1"/>
  <c r="H142" i="1"/>
  <c r="I148" i="1"/>
  <c r="E148" i="1"/>
  <c r="F148" i="1"/>
  <c r="D148" i="1"/>
  <c r="E147" i="1"/>
  <c r="F146" i="1"/>
  <c r="I152" i="1"/>
  <c r="E152" i="1"/>
  <c r="H152" i="1"/>
  <c r="G152" i="1"/>
  <c r="H151" i="1"/>
  <c r="H150" i="1"/>
  <c r="I156" i="1"/>
  <c r="E156" i="1"/>
  <c r="F156" i="1"/>
  <c r="D156" i="1"/>
  <c r="E155" i="1"/>
  <c r="F154" i="1"/>
  <c r="I160" i="1"/>
  <c r="E160" i="1"/>
  <c r="H160" i="1"/>
  <c r="G160" i="1"/>
  <c r="H159" i="1"/>
  <c r="H158" i="1"/>
  <c r="I164" i="1"/>
  <c r="E164" i="1"/>
  <c r="F164" i="1"/>
  <c r="D164" i="1"/>
  <c r="E163" i="1"/>
  <c r="F162" i="1"/>
  <c r="I168" i="1"/>
  <c r="E168" i="1"/>
  <c r="H168" i="1"/>
  <c r="G168" i="1"/>
  <c r="H167" i="1"/>
  <c r="H166" i="1"/>
  <c r="I172" i="1"/>
  <c r="E172" i="1"/>
  <c r="F172" i="1"/>
  <c r="D172" i="1"/>
  <c r="E171" i="1"/>
  <c r="F170" i="1"/>
  <c r="I176" i="1"/>
  <c r="E176" i="1"/>
  <c r="H176" i="1"/>
  <c r="G176" i="1"/>
  <c r="H175" i="1"/>
  <c r="H174" i="1"/>
  <c r="I180" i="1"/>
  <c r="E180" i="1"/>
  <c r="F180" i="1"/>
  <c r="D180" i="1"/>
  <c r="E179" i="1"/>
  <c r="F178" i="1"/>
  <c r="I184" i="1"/>
  <c r="E184" i="1"/>
  <c r="H184" i="1"/>
  <c r="G184" i="1"/>
  <c r="H183" i="1"/>
  <c r="H182" i="1"/>
  <c r="I188" i="1"/>
  <c r="E188" i="1"/>
  <c r="F188" i="1"/>
  <c r="D188" i="1"/>
  <c r="E187" i="1"/>
  <c r="F186" i="1"/>
  <c r="I192" i="1"/>
  <c r="E192" i="1"/>
  <c r="H192" i="1"/>
  <c r="G192" i="1"/>
  <c r="H191" i="1"/>
  <c r="H190" i="1"/>
  <c r="I196" i="1"/>
  <c r="E196" i="1"/>
  <c r="F196" i="1"/>
  <c r="D196" i="1"/>
  <c r="E195" i="1"/>
  <c r="F194" i="1"/>
  <c r="I200" i="1"/>
  <c r="E200" i="1"/>
  <c r="H200" i="1"/>
  <c r="G200" i="1"/>
  <c r="H199" i="1"/>
  <c r="H198" i="1"/>
  <c r="I204" i="1"/>
  <c r="E204" i="1"/>
  <c r="F204" i="1"/>
  <c r="D204" i="1"/>
  <c r="E203" i="1"/>
  <c r="F202" i="1"/>
  <c r="I208" i="1"/>
  <c r="E208" i="1"/>
  <c r="H208" i="1"/>
  <c r="G208" i="1"/>
  <c r="H207" i="1"/>
  <c r="H206" i="1"/>
  <c r="I212" i="1"/>
  <c r="E212" i="1"/>
  <c r="F212" i="1"/>
  <c r="D212" i="1"/>
  <c r="E211" i="1"/>
  <c r="F210" i="1"/>
  <c r="I216" i="1"/>
  <c r="E216" i="1"/>
  <c r="H216" i="1"/>
  <c r="G216" i="1"/>
  <c r="H215" i="1"/>
  <c r="H214" i="1"/>
  <c r="I220" i="1"/>
  <c r="E220" i="1"/>
  <c r="F220" i="1"/>
  <c r="D220" i="1"/>
  <c r="E219" i="1"/>
  <c r="F218" i="1"/>
  <c r="I224" i="1"/>
  <c r="E224" i="1"/>
  <c r="H224" i="1"/>
  <c r="G224" i="1"/>
  <c r="H223" i="1"/>
  <c r="H222" i="1"/>
  <c r="I228" i="1"/>
  <c r="E228" i="1"/>
  <c r="F228" i="1"/>
  <c r="D228" i="1"/>
  <c r="E227" i="1"/>
  <c r="F226" i="1"/>
  <c r="I232" i="1"/>
  <c r="E232" i="1"/>
  <c r="H232" i="1"/>
  <c r="G232" i="1"/>
  <c r="H231" i="1"/>
  <c r="H230" i="1"/>
  <c r="I236" i="1"/>
  <c r="E236" i="1"/>
  <c r="F236" i="1"/>
  <c r="D236" i="1"/>
  <c r="E235" i="1"/>
  <c r="F234" i="1"/>
  <c r="I240" i="1"/>
  <c r="E240" i="1"/>
  <c r="H240" i="1"/>
  <c r="G240" i="1"/>
  <c r="H239" i="1"/>
  <c r="H238" i="1"/>
  <c r="I244" i="1"/>
  <c r="E244" i="1"/>
  <c r="F244" i="1"/>
  <c r="D244" i="1"/>
  <c r="E243" i="1"/>
  <c r="F242" i="1"/>
  <c r="I248" i="1"/>
  <c r="E248" i="1"/>
  <c r="H248" i="1"/>
  <c r="G248" i="1"/>
  <c r="H247" i="1"/>
  <c r="H246" i="1"/>
  <c r="I252" i="1"/>
  <c r="E252" i="1"/>
  <c r="F252" i="1"/>
  <c r="D252" i="1"/>
  <c r="E251" i="1"/>
  <c r="F250" i="1"/>
  <c r="I256" i="1"/>
  <c r="E256" i="1"/>
  <c r="H256" i="1"/>
  <c r="G256" i="1"/>
  <c r="H255" i="1"/>
  <c r="H254" i="1"/>
  <c r="I260" i="1"/>
  <c r="E260" i="1"/>
  <c r="F260" i="1"/>
  <c r="D260" i="1"/>
  <c r="E259" i="1"/>
  <c r="F258" i="1"/>
  <c r="I264" i="1"/>
  <c r="E264" i="1"/>
  <c r="H264" i="1"/>
  <c r="G264" i="1"/>
  <c r="H263" i="1"/>
  <c r="H262" i="1"/>
  <c r="I268" i="1"/>
  <c r="E268" i="1"/>
  <c r="F268" i="1"/>
  <c r="D268" i="1"/>
  <c r="E267" i="1"/>
  <c r="F266" i="1"/>
  <c r="I272" i="1"/>
  <c r="E272" i="1"/>
  <c r="H272" i="1"/>
  <c r="G272" i="1"/>
  <c r="H271" i="1"/>
  <c r="H270" i="1"/>
  <c r="I276" i="1"/>
  <c r="E276" i="1"/>
  <c r="F276" i="1"/>
  <c r="D276" i="1"/>
  <c r="E275" i="1"/>
  <c r="F274" i="1"/>
  <c r="I280" i="1"/>
  <c r="E280" i="1"/>
  <c r="H280" i="1"/>
  <c r="G280" i="1"/>
  <c r="H279" i="1"/>
  <c r="H278" i="1"/>
  <c r="I284" i="1"/>
  <c r="E284" i="1"/>
  <c r="F284" i="1"/>
  <c r="D284" i="1"/>
  <c r="E283" i="1"/>
  <c r="F282" i="1"/>
  <c r="I288" i="1"/>
  <c r="E288" i="1"/>
  <c r="H288" i="1"/>
  <c r="G288" i="1"/>
  <c r="H287" i="1"/>
  <c r="H286" i="1"/>
  <c r="I292" i="1"/>
  <c r="E292" i="1"/>
  <c r="F292" i="1"/>
  <c r="D292" i="1"/>
  <c r="E291" i="1"/>
  <c r="F290" i="1"/>
  <c r="I296" i="1"/>
  <c r="E296" i="1"/>
  <c r="H296" i="1"/>
  <c r="G296" i="1"/>
  <c r="H295" i="1"/>
  <c r="H294" i="1"/>
  <c r="I300" i="1"/>
  <c r="E300" i="1"/>
  <c r="F300" i="1"/>
  <c r="D300" i="1"/>
  <c r="E299" i="1"/>
  <c r="F298" i="1"/>
  <c r="I304" i="1"/>
  <c r="E304" i="1"/>
  <c r="H304" i="1"/>
  <c r="G304" i="1"/>
  <c r="H303" i="1"/>
  <c r="H302" i="1"/>
  <c r="I308" i="1"/>
  <c r="E308" i="1"/>
  <c r="F308" i="1"/>
  <c r="D308" i="1"/>
  <c r="E307" i="1"/>
  <c r="F306" i="1"/>
  <c r="I312" i="1"/>
  <c r="E312" i="1"/>
  <c r="H312" i="1"/>
  <c r="G312" i="1"/>
  <c r="H311" i="1"/>
  <c r="H310" i="1"/>
  <c r="I316" i="1"/>
  <c r="E316" i="1"/>
  <c r="F316" i="1"/>
  <c r="D316" i="1"/>
  <c r="E315" i="1"/>
  <c r="F314" i="1"/>
  <c r="I320" i="1"/>
  <c r="E320" i="1"/>
  <c r="H320" i="1"/>
  <c r="G320" i="1"/>
  <c r="H319" i="1"/>
  <c r="H318" i="1"/>
  <c r="I324" i="1"/>
  <c r="E324" i="1"/>
  <c r="F324" i="1"/>
  <c r="D324" i="1"/>
  <c r="E323" i="1"/>
  <c r="F322" i="1"/>
  <c r="I328" i="1"/>
  <c r="E328" i="1"/>
  <c r="H328" i="1"/>
  <c r="G328" i="1"/>
  <c r="H327" i="1"/>
  <c r="H326" i="1"/>
  <c r="I332" i="1"/>
  <c r="E332" i="1"/>
  <c r="F332" i="1"/>
  <c r="D332" i="1"/>
  <c r="E331" i="1"/>
  <c r="F330" i="1"/>
  <c r="I336" i="1"/>
  <c r="E336" i="1"/>
  <c r="H336" i="1"/>
  <c r="G336" i="1"/>
  <c r="H335" i="1"/>
  <c r="H334" i="1"/>
  <c r="I340" i="1"/>
  <c r="E340" i="1"/>
  <c r="F340" i="1"/>
  <c r="D340" i="1"/>
  <c r="E339" i="1"/>
  <c r="F338" i="1"/>
  <c r="I344" i="1"/>
  <c r="E344" i="1"/>
  <c r="H344" i="1"/>
  <c r="G344" i="1"/>
  <c r="H343" i="1"/>
  <c r="H342" i="1"/>
  <c r="I348" i="1"/>
  <c r="E348" i="1"/>
  <c r="F348" i="1"/>
  <c r="D348" i="1"/>
  <c r="E347" i="1"/>
  <c r="F346" i="1"/>
  <c r="I352" i="1"/>
  <c r="E352" i="1"/>
  <c r="H352" i="1"/>
  <c r="G352" i="1"/>
  <c r="H351" i="1"/>
  <c r="H350" i="1"/>
  <c r="I356" i="1"/>
  <c r="E356" i="1"/>
  <c r="F356" i="1"/>
  <c r="D356" i="1"/>
  <c r="E355" i="1"/>
  <c r="F354" i="1"/>
  <c r="I360" i="1"/>
  <c r="E360" i="1"/>
  <c r="H360" i="1"/>
  <c r="G360" i="1"/>
  <c r="H359" i="1"/>
  <c r="H358" i="1"/>
  <c r="I364" i="1"/>
  <c r="E364" i="1"/>
  <c r="F364" i="1"/>
  <c r="D364" i="1"/>
  <c r="E363" i="1"/>
  <c r="F362" i="1"/>
  <c r="I368" i="1"/>
  <c r="E368" i="1"/>
  <c r="H368" i="1"/>
  <c r="G368" i="1"/>
  <c r="H367" i="1"/>
  <c r="H366" i="1"/>
  <c r="I372" i="1"/>
  <c r="E372" i="1"/>
  <c r="F372" i="1"/>
  <c r="D372" i="1"/>
  <c r="E371" i="1"/>
  <c r="F370" i="1"/>
  <c r="I376" i="1"/>
  <c r="E376" i="1"/>
  <c r="H376" i="1"/>
  <c r="G376" i="1"/>
  <c r="H375" i="1"/>
  <c r="H374" i="1"/>
  <c r="I380" i="1"/>
  <c r="E380" i="1"/>
  <c r="F380" i="1"/>
  <c r="D380" i="1"/>
  <c r="E379" i="1"/>
  <c r="F378" i="1"/>
  <c r="I384" i="1"/>
  <c r="E384" i="1"/>
  <c r="H384" i="1"/>
  <c r="G384" i="1"/>
  <c r="H383" i="1"/>
  <c r="H382" i="1"/>
  <c r="I388" i="1"/>
  <c r="E388" i="1"/>
  <c r="F388" i="1"/>
  <c r="D388" i="1"/>
  <c r="E387" i="1"/>
  <c r="F386" i="1"/>
  <c r="I392" i="1"/>
  <c r="E392" i="1"/>
  <c r="H392" i="1"/>
  <c r="G392" i="1"/>
  <c r="H391" i="1"/>
  <c r="H390" i="1"/>
  <c r="I396" i="1"/>
  <c r="E396" i="1"/>
  <c r="F396" i="1"/>
  <c r="D396" i="1"/>
  <c r="E395" i="1"/>
  <c r="F394" i="1"/>
  <c r="I400" i="1"/>
  <c r="E400" i="1"/>
  <c r="H400" i="1"/>
  <c r="G400" i="1"/>
  <c r="H399" i="1"/>
  <c r="H398" i="1"/>
  <c r="F400" i="1"/>
  <c r="F399" i="1"/>
  <c r="I404" i="1"/>
  <c r="E404" i="1"/>
  <c r="F404" i="1"/>
  <c r="D404" i="1"/>
  <c r="E403" i="1"/>
  <c r="F402" i="1"/>
  <c r="H404" i="1"/>
  <c r="I403" i="1"/>
  <c r="D403" i="1"/>
  <c r="D402" i="1"/>
  <c r="I408" i="1"/>
  <c r="E408" i="1"/>
  <c r="H408" i="1"/>
  <c r="G408" i="1"/>
  <c r="H407" i="1"/>
  <c r="H406" i="1"/>
  <c r="F408" i="1"/>
  <c r="F407" i="1"/>
  <c r="G406" i="1"/>
  <c r="I412" i="1"/>
  <c r="E412" i="1"/>
  <c r="F412" i="1"/>
  <c r="D412" i="1"/>
  <c r="E411" i="1"/>
  <c r="F410" i="1"/>
  <c r="H412" i="1"/>
  <c r="I411" i="1"/>
  <c r="D411" i="1"/>
  <c r="D410" i="1"/>
  <c r="I416" i="1"/>
  <c r="E416" i="1"/>
  <c r="H416" i="1"/>
  <c r="G416" i="1"/>
  <c r="H415" i="1"/>
  <c r="H414" i="1"/>
  <c r="F416" i="1"/>
  <c r="F415" i="1"/>
  <c r="G414" i="1"/>
  <c r="I420" i="1"/>
  <c r="E420" i="1"/>
  <c r="F420" i="1"/>
  <c r="D420" i="1"/>
  <c r="E419" i="1"/>
  <c r="F418" i="1"/>
  <c r="H420" i="1"/>
  <c r="I419" i="1"/>
  <c r="D419" i="1"/>
  <c r="D418" i="1"/>
  <c r="I424" i="1"/>
  <c r="E424" i="1"/>
  <c r="H424" i="1"/>
  <c r="G424" i="1"/>
  <c r="H423" i="1"/>
  <c r="H422" i="1"/>
  <c r="F424" i="1"/>
  <c r="F423" i="1"/>
  <c r="G422" i="1"/>
  <c r="I428" i="1"/>
  <c r="E428" i="1"/>
  <c r="F428" i="1"/>
  <c r="D428" i="1"/>
  <c r="E427" i="1"/>
  <c r="F426" i="1"/>
  <c r="H428" i="1"/>
  <c r="I427" i="1"/>
  <c r="D427" i="1"/>
  <c r="D426" i="1"/>
  <c r="I432" i="1"/>
  <c r="E432" i="1"/>
  <c r="H432" i="1"/>
  <c r="G432" i="1"/>
  <c r="H431" i="1"/>
  <c r="H430" i="1"/>
  <c r="F432" i="1"/>
  <c r="F431" i="1"/>
  <c r="G430" i="1"/>
  <c r="I436" i="1"/>
  <c r="E436" i="1"/>
  <c r="F436" i="1"/>
  <c r="D436" i="1"/>
  <c r="E435" i="1"/>
  <c r="F434" i="1"/>
  <c r="H436" i="1"/>
  <c r="I435" i="1"/>
  <c r="D435" i="1"/>
  <c r="D434" i="1"/>
  <c r="I440" i="1"/>
  <c r="E440" i="1"/>
  <c r="H440" i="1"/>
  <c r="G440" i="1"/>
  <c r="H439" i="1"/>
  <c r="H438" i="1"/>
  <c r="F440" i="1"/>
  <c r="F439" i="1"/>
  <c r="G438" i="1"/>
  <c r="I444" i="1"/>
  <c r="E444" i="1"/>
  <c r="F444" i="1"/>
  <c r="D444" i="1"/>
  <c r="E443" i="1"/>
  <c r="F442" i="1"/>
  <c r="H444" i="1"/>
  <c r="I443" i="1"/>
  <c r="D443" i="1"/>
  <c r="D442" i="1"/>
  <c r="I448" i="1"/>
  <c r="E448" i="1"/>
  <c r="H448" i="1"/>
  <c r="G448" i="1"/>
  <c r="H447" i="1"/>
  <c r="H446" i="1"/>
  <c r="F448" i="1"/>
  <c r="F447" i="1"/>
  <c r="G446" i="1"/>
  <c r="I452" i="1"/>
  <c r="E452" i="1"/>
  <c r="F452" i="1"/>
  <c r="D452" i="1"/>
  <c r="E451" i="1"/>
  <c r="F450" i="1"/>
  <c r="H452" i="1"/>
  <c r="I451" i="1"/>
  <c r="D451" i="1"/>
  <c r="D450" i="1"/>
  <c r="I456" i="1"/>
  <c r="E456" i="1"/>
  <c r="H456" i="1"/>
  <c r="G456" i="1"/>
  <c r="H455" i="1"/>
  <c r="H454" i="1"/>
  <c r="F456" i="1"/>
  <c r="F455" i="1"/>
  <c r="G454" i="1"/>
  <c r="I460" i="1"/>
  <c r="E460" i="1"/>
  <c r="F460" i="1"/>
  <c r="D460" i="1"/>
  <c r="E459" i="1"/>
  <c r="F458" i="1"/>
  <c r="H460" i="1"/>
  <c r="I459" i="1"/>
  <c r="D459" i="1"/>
  <c r="D458" i="1"/>
  <c r="I464" i="1"/>
  <c r="E464" i="1"/>
  <c r="H464" i="1"/>
  <c r="G464" i="1"/>
  <c r="H463" i="1"/>
  <c r="H462" i="1"/>
  <c r="F464" i="1"/>
  <c r="F463" i="1"/>
  <c r="G462" i="1"/>
  <c r="I468" i="1"/>
  <c r="E468" i="1"/>
  <c r="F468" i="1"/>
  <c r="D468" i="1"/>
  <c r="E467" i="1"/>
  <c r="F466" i="1"/>
  <c r="H468" i="1"/>
  <c r="I467" i="1"/>
  <c r="D467" i="1"/>
  <c r="D466" i="1"/>
  <c r="I472" i="1"/>
  <c r="E472" i="1"/>
  <c r="H472" i="1"/>
  <c r="G472" i="1"/>
  <c r="H471" i="1"/>
  <c r="H470" i="1"/>
  <c r="F472" i="1"/>
  <c r="F471" i="1"/>
  <c r="G470" i="1"/>
  <c r="I476" i="1"/>
  <c r="E476" i="1"/>
  <c r="F476" i="1"/>
  <c r="D476" i="1"/>
  <c r="E475" i="1"/>
  <c r="F474" i="1"/>
  <c r="H476" i="1"/>
  <c r="I475" i="1"/>
  <c r="D475" i="1"/>
  <c r="D474" i="1"/>
  <c r="I480" i="1"/>
  <c r="E480" i="1"/>
  <c r="H480" i="1"/>
  <c r="G480" i="1"/>
  <c r="H479" i="1"/>
  <c r="H478" i="1"/>
  <c r="F480" i="1"/>
  <c r="F479" i="1"/>
  <c r="G478" i="1"/>
  <c r="I484" i="1"/>
  <c r="E484" i="1"/>
  <c r="F484" i="1"/>
  <c r="D484" i="1"/>
  <c r="E483" i="1"/>
  <c r="F482" i="1"/>
  <c r="H484" i="1"/>
  <c r="I483" i="1"/>
  <c r="D483" i="1"/>
  <c r="D482" i="1"/>
  <c r="I488" i="1"/>
  <c r="E488" i="1"/>
  <c r="H488" i="1"/>
  <c r="G488" i="1"/>
  <c r="H487" i="1"/>
  <c r="H486" i="1"/>
  <c r="F488" i="1"/>
  <c r="F487" i="1"/>
  <c r="G486" i="1"/>
  <c r="I492" i="1"/>
  <c r="E492" i="1"/>
  <c r="F492" i="1"/>
  <c r="D492" i="1"/>
  <c r="E491" i="1"/>
  <c r="F490" i="1"/>
  <c r="H492" i="1"/>
  <c r="I491" i="1"/>
  <c r="D491" i="1"/>
  <c r="D490" i="1"/>
  <c r="I496" i="1"/>
  <c r="E496" i="1"/>
  <c r="H496" i="1"/>
  <c r="G496" i="1"/>
  <c r="H495" i="1"/>
  <c r="H494" i="1"/>
  <c r="F496" i="1"/>
  <c r="F495" i="1"/>
  <c r="G494" i="1"/>
  <c r="I500" i="1"/>
  <c r="E500" i="1"/>
  <c r="F500" i="1"/>
  <c r="D500" i="1"/>
  <c r="E499" i="1"/>
  <c r="F498" i="1"/>
  <c r="H500" i="1"/>
  <c r="I499" i="1"/>
  <c r="D499" i="1"/>
  <c r="D498" i="1"/>
  <c r="I504" i="1"/>
  <c r="E504" i="1"/>
  <c r="H504" i="1"/>
  <c r="G504" i="1"/>
  <c r="H503" i="1"/>
  <c r="H502" i="1"/>
  <c r="F504" i="1"/>
  <c r="F503" i="1"/>
  <c r="G502" i="1"/>
  <c r="I508" i="1"/>
  <c r="E508" i="1"/>
  <c r="F508" i="1"/>
  <c r="D508" i="1"/>
  <c r="E507" i="1"/>
  <c r="F506" i="1"/>
  <c r="H508" i="1"/>
  <c r="I507" i="1"/>
  <c r="D507" i="1"/>
  <c r="D506" i="1"/>
  <c r="I512" i="1"/>
  <c r="E512" i="1"/>
  <c r="H512" i="1"/>
  <c r="G512" i="1"/>
  <c r="H511" i="1"/>
  <c r="H510" i="1"/>
  <c r="F512" i="1"/>
  <c r="F511" i="1"/>
  <c r="G510" i="1"/>
  <c r="I516" i="1"/>
  <c r="E516" i="1"/>
  <c r="F516" i="1"/>
  <c r="D516" i="1"/>
  <c r="E515" i="1"/>
  <c r="F514" i="1"/>
  <c r="H516" i="1"/>
  <c r="I515" i="1"/>
  <c r="D515" i="1"/>
  <c r="D514" i="1"/>
  <c r="I520" i="1"/>
  <c r="E520" i="1"/>
  <c r="H520" i="1"/>
  <c r="G520" i="1"/>
  <c r="H519" i="1"/>
  <c r="H518" i="1"/>
  <c r="F520" i="1"/>
  <c r="F519" i="1"/>
  <c r="G518" i="1"/>
  <c r="H524" i="1"/>
  <c r="D524" i="1"/>
  <c r="I524" i="1"/>
  <c r="G524" i="1"/>
  <c r="G523" i="1"/>
  <c r="F522" i="1"/>
  <c r="F524" i="1"/>
  <c r="E523" i="1"/>
  <c r="D522" i="1"/>
  <c r="H528" i="1"/>
  <c r="D528" i="1"/>
  <c r="F528" i="1"/>
  <c r="G528" i="1"/>
  <c r="E528" i="1"/>
  <c r="D527" i="1"/>
  <c r="I527" i="1"/>
  <c r="I526" i="1"/>
  <c r="H532" i="1"/>
  <c r="D532" i="1"/>
  <c r="I532" i="1"/>
  <c r="E532" i="1"/>
  <c r="H531" i="1"/>
  <c r="G530" i="1"/>
  <c r="G532" i="1"/>
  <c r="G531" i="1"/>
  <c r="F530" i="1"/>
  <c r="H536" i="1"/>
  <c r="D536" i="1"/>
  <c r="F536" i="1"/>
  <c r="I536" i="1"/>
  <c r="G536" i="1"/>
  <c r="E535" i="1"/>
  <c r="E534" i="1"/>
  <c r="E536" i="1"/>
  <c r="D535" i="1"/>
  <c r="H540" i="1"/>
  <c r="D540" i="1"/>
  <c r="I540" i="1"/>
  <c r="F540" i="1"/>
  <c r="E540" i="1"/>
  <c r="I538" i="1"/>
  <c r="H539" i="1"/>
  <c r="G538" i="1"/>
  <c r="H544" i="1"/>
  <c r="D544" i="1"/>
  <c r="F544" i="1"/>
  <c r="I544" i="1"/>
  <c r="H543" i="1"/>
  <c r="F542" i="1"/>
  <c r="G544" i="1"/>
  <c r="E543" i="1"/>
  <c r="E542" i="1"/>
  <c r="H548" i="1"/>
  <c r="D548" i="1"/>
  <c r="I548" i="1"/>
  <c r="G548" i="1"/>
  <c r="F548" i="1"/>
  <c r="E547" i="1"/>
  <c r="E548" i="1"/>
  <c r="I546" i="1"/>
  <c r="H552" i="1"/>
  <c r="D552" i="1"/>
  <c r="F552" i="1"/>
  <c r="E552" i="1"/>
  <c r="I551" i="1"/>
  <c r="I550" i="1"/>
  <c r="I552" i="1"/>
  <c r="H551" i="1"/>
  <c r="F550" i="1"/>
  <c r="H556" i="1"/>
  <c r="D556" i="1"/>
  <c r="I556" i="1"/>
  <c r="G556" i="1"/>
  <c r="G555" i="1"/>
  <c r="F554" i="1"/>
  <c r="F556" i="1"/>
  <c r="E555" i="1"/>
  <c r="H560" i="1"/>
  <c r="D560" i="1"/>
  <c r="F560" i="1"/>
  <c r="G560" i="1"/>
  <c r="E560" i="1"/>
  <c r="D559" i="1"/>
  <c r="I559" i="1"/>
  <c r="I558" i="1"/>
  <c r="H564" i="1"/>
  <c r="D564" i="1"/>
  <c r="I564" i="1"/>
  <c r="E564" i="1"/>
  <c r="H563" i="1"/>
  <c r="G562" i="1"/>
  <c r="G564" i="1"/>
  <c r="G563" i="1"/>
  <c r="F562" i="1"/>
  <c r="H568" i="1"/>
  <c r="D568" i="1"/>
  <c r="F568" i="1"/>
  <c r="I568" i="1"/>
  <c r="G568" i="1"/>
  <c r="E567" i="1"/>
  <c r="E566" i="1"/>
  <c r="E568" i="1"/>
  <c r="D567" i="1"/>
  <c r="H572" i="1"/>
  <c r="D572" i="1"/>
  <c r="I572" i="1"/>
  <c r="F572" i="1"/>
  <c r="E572" i="1"/>
  <c r="I570" i="1"/>
  <c r="H571" i="1"/>
  <c r="G570" i="1"/>
  <c r="H576" i="1"/>
  <c r="D576" i="1"/>
  <c r="F576" i="1"/>
  <c r="I576" i="1"/>
  <c r="H575" i="1"/>
  <c r="F574" i="1"/>
  <c r="G576" i="1"/>
  <c r="E575" i="1"/>
  <c r="E574" i="1"/>
  <c r="H580" i="1"/>
  <c r="D580" i="1"/>
  <c r="I580" i="1"/>
  <c r="G580" i="1"/>
  <c r="F580" i="1"/>
  <c r="E579" i="1"/>
  <c r="E580" i="1"/>
  <c r="I578" i="1"/>
  <c r="H584" i="1"/>
  <c r="D584" i="1"/>
  <c r="F584" i="1"/>
  <c r="E584" i="1"/>
  <c r="I583" i="1"/>
  <c r="I582" i="1"/>
  <c r="I584" i="1"/>
  <c r="H583" i="1"/>
  <c r="F582" i="1"/>
  <c r="H588" i="1"/>
  <c r="D588" i="1"/>
  <c r="I588" i="1"/>
  <c r="G588" i="1"/>
  <c r="G587" i="1"/>
  <c r="F586" i="1"/>
  <c r="F588" i="1"/>
  <c r="E587" i="1"/>
  <c r="H592" i="1"/>
  <c r="D592" i="1"/>
  <c r="F592" i="1"/>
  <c r="G592" i="1"/>
  <c r="E592" i="1"/>
  <c r="D591" i="1"/>
  <c r="I591" i="1"/>
  <c r="I590" i="1"/>
  <c r="H596" i="1"/>
  <c r="D596" i="1"/>
  <c r="I596" i="1"/>
  <c r="E596" i="1"/>
  <c r="H595" i="1"/>
  <c r="G594" i="1"/>
  <c r="G596" i="1"/>
  <c r="G595" i="1"/>
  <c r="F594" i="1"/>
  <c r="H600" i="1"/>
  <c r="D600" i="1"/>
  <c r="F600" i="1"/>
  <c r="I600" i="1"/>
  <c r="G600" i="1"/>
  <c r="E599" i="1"/>
  <c r="E598" i="1"/>
  <c r="E600" i="1"/>
  <c r="D599" i="1"/>
  <c r="H604" i="1"/>
  <c r="D604" i="1"/>
  <c r="I604" i="1"/>
  <c r="F604" i="1"/>
  <c r="E604" i="1"/>
  <c r="I602" i="1"/>
  <c r="H603" i="1"/>
  <c r="G602" i="1"/>
  <c r="H608" i="1"/>
  <c r="D608" i="1"/>
  <c r="F608" i="1"/>
  <c r="I608" i="1"/>
  <c r="H607" i="1"/>
  <c r="F606" i="1"/>
  <c r="G608" i="1"/>
  <c r="E607" i="1"/>
  <c r="E606" i="1"/>
  <c r="H612" i="1"/>
  <c r="D612" i="1"/>
  <c r="I612" i="1"/>
  <c r="G612" i="1"/>
  <c r="F612" i="1"/>
  <c r="E611" i="1"/>
  <c r="E612" i="1"/>
  <c r="I610" i="1"/>
  <c r="H616" i="1"/>
  <c r="D616" i="1"/>
  <c r="F616" i="1"/>
  <c r="E616" i="1"/>
  <c r="I615" i="1"/>
  <c r="I614" i="1"/>
  <c r="I616" i="1"/>
  <c r="H615" i="1"/>
  <c r="F614" i="1"/>
  <c r="H620" i="1"/>
  <c r="D620" i="1"/>
  <c r="I620" i="1"/>
  <c r="G620" i="1"/>
  <c r="G619" i="1"/>
  <c r="F618" i="1"/>
  <c r="F620" i="1"/>
  <c r="E619" i="1"/>
  <c r="H624" i="1"/>
  <c r="D624" i="1"/>
  <c r="F624" i="1"/>
  <c r="G624" i="1"/>
  <c r="E624" i="1"/>
  <c r="D623" i="1"/>
  <c r="I623" i="1"/>
  <c r="I622" i="1"/>
  <c r="H628" i="1"/>
  <c r="D628" i="1"/>
  <c r="I628" i="1"/>
  <c r="E628" i="1"/>
  <c r="H627" i="1"/>
  <c r="G626" i="1"/>
  <c r="G628" i="1"/>
  <c r="G627" i="1"/>
  <c r="F626" i="1"/>
  <c r="H632" i="1"/>
  <c r="D632" i="1"/>
  <c r="F632" i="1"/>
  <c r="I632" i="1"/>
  <c r="G632" i="1"/>
  <c r="E631" i="1"/>
  <c r="E630" i="1"/>
  <c r="E632" i="1"/>
  <c r="D631" i="1"/>
  <c r="H636" i="1"/>
  <c r="D636" i="1"/>
  <c r="I636" i="1"/>
  <c r="F636" i="1"/>
  <c r="E636" i="1"/>
  <c r="I634" i="1"/>
  <c r="H635" i="1"/>
  <c r="G634" i="1"/>
  <c r="H640" i="1"/>
  <c r="D640" i="1"/>
  <c r="F640" i="1"/>
  <c r="I640" i="1"/>
  <c r="H639" i="1"/>
  <c r="F638" i="1"/>
  <c r="G640" i="1"/>
  <c r="E639" i="1"/>
  <c r="E638" i="1"/>
  <c r="H644" i="1"/>
  <c r="D644" i="1"/>
  <c r="I644" i="1"/>
  <c r="G644" i="1"/>
  <c r="F644" i="1"/>
  <c r="E643" i="1"/>
  <c r="E644" i="1"/>
  <c r="I642" i="1"/>
  <c r="H648" i="1"/>
  <c r="D648" i="1"/>
  <c r="F648" i="1"/>
  <c r="E648" i="1"/>
  <c r="I647" i="1"/>
  <c r="I646" i="1"/>
  <c r="I648" i="1"/>
  <c r="H647" i="1"/>
  <c r="F646" i="1"/>
  <c r="H652" i="1"/>
  <c r="D652" i="1"/>
  <c r="I652" i="1"/>
  <c r="G652" i="1"/>
  <c r="G651" i="1"/>
  <c r="F650" i="1"/>
  <c r="F652" i="1"/>
  <c r="E651" i="1"/>
  <c r="H656" i="1"/>
  <c r="D656" i="1"/>
  <c r="F656" i="1"/>
  <c r="G656" i="1"/>
  <c r="E656" i="1"/>
  <c r="D655" i="1"/>
  <c r="I655" i="1"/>
  <c r="I654" i="1"/>
  <c r="H660" i="1"/>
  <c r="D660" i="1"/>
  <c r="I660" i="1"/>
  <c r="E660" i="1"/>
  <c r="H659" i="1"/>
  <c r="G658" i="1"/>
  <c r="G660" i="1"/>
  <c r="G659" i="1"/>
  <c r="F658" i="1"/>
  <c r="H664" i="1"/>
  <c r="D664" i="1"/>
  <c r="F664" i="1"/>
  <c r="I664" i="1"/>
  <c r="G664" i="1"/>
  <c r="E663" i="1"/>
  <c r="E662" i="1"/>
  <c r="E664" i="1"/>
  <c r="D663" i="1"/>
  <c r="H668" i="1"/>
  <c r="D668" i="1"/>
  <c r="I668" i="1"/>
  <c r="F668" i="1"/>
  <c r="E668" i="1"/>
  <c r="I666" i="1"/>
  <c r="H667" i="1"/>
  <c r="G666" i="1"/>
  <c r="H672" i="1"/>
  <c r="D672" i="1"/>
  <c r="F672" i="1"/>
  <c r="I672" i="1"/>
  <c r="H671" i="1"/>
  <c r="F670" i="1"/>
  <c r="G672" i="1"/>
  <c r="E671" i="1"/>
  <c r="E670" i="1"/>
  <c r="H676" i="1"/>
  <c r="D676" i="1"/>
  <c r="I676" i="1"/>
  <c r="G676" i="1"/>
  <c r="F676" i="1"/>
  <c r="E675" i="1"/>
  <c r="E676" i="1"/>
  <c r="I674" i="1"/>
  <c r="H680" i="1"/>
  <c r="D680" i="1"/>
  <c r="F680" i="1"/>
  <c r="E680" i="1"/>
  <c r="I679" i="1"/>
  <c r="I678" i="1"/>
  <c r="I680" i="1"/>
  <c r="H679" i="1"/>
  <c r="F678" i="1"/>
  <c r="H684" i="1"/>
  <c r="D684" i="1"/>
  <c r="I684" i="1"/>
  <c r="G684" i="1"/>
  <c r="G683" i="1"/>
  <c r="F682" i="1"/>
  <c r="F684" i="1"/>
  <c r="E683" i="1"/>
  <c r="H688" i="1"/>
  <c r="D688" i="1"/>
  <c r="F688" i="1"/>
  <c r="G688" i="1"/>
  <c r="E688" i="1"/>
  <c r="D687" i="1"/>
  <c r="I687" i="1"/>
  <c r="I686" i="1"/>
  <c r="H692" i="1"/>
  <c r="D692" i="1"/>
  <c r="I692" i="1"/>
  <c r="E692" i="1"/>
  <c r="H691" i="1"/>
  <c r="G690" i="1"/>
  <c r="G692" i="1"/>
  <c r="G691" i="1"/>
  <c r="F690" i="1"/>
  <c r="H696" i="1"/>
  <c r="D696" i="1"/>
  <c r="F696" i="1"/>
  <c r="I696" i="1"/>
  <c r="G696" i="1"/>
  <c r="E695" i="1"/>
  <c r="E694" i="1"/>
  <c r="E696" i="1"/>
  <c r="D695" i="1"/>
  <c r="H700" i="1"/>
  <c r="D700" i="1"/>
  <c r="I700" i="1"/>
  <c r="F700" i="1"/>
  <c r="E700" i="1"/>
  <c r="I698" i="1"/>
  <c r="H699" i="1"/>
  <c r="G698" i="1"/>
  <c r="H704" i="1"/>
  <c r="D704" i="1"/>
  <c r="F704" i="1"/>
  <c r="I704" i="1"/>
  <c r="H703" i="1"/>
  <c r="F702" i="1"/>
  <c r="G704" i="1"/>
  <c r="E703" i="1"/>
  <c r="E702" i="1"/>
  <c r="H708" i="1"/>
  <c r="D708" i="1"/>
  <c r="I708" i="1"/>
  <c r="G708" i="1"/>
  <c r="F708" i="1"/>
  <c r="E707" i="1"/>
  <c r="E708" i="1"/>
  <c r="I706" i="1"/>
  <c r="H712" i="1"/>
  <c r="D712" i="1"/>
  <c r="F712" i="1"/>
  <c r="E712" i="1"/>
  <c r="I711" i="1"/>
  <c r="I710" i="1"/>
  <c r="I712" i="1"/>
  <c r="H711" i="1"/>
  <c r="F710" i="1"/>
  <c r="H716" i="1"/>
  <c r="D716" i="1"/>
  <c r="I716" i="1"/>
  <c r="G716" i="1"/>
  <c r="G715" i="1"/>
  <c r="F714" i="1"/>
  <c r="F716" i="1"/>
  <c r="E715" i="1"/>
  <c r="H720" i="1"/>
  <c r="D720" i="1"/>
  <c r="F720" i="1"/>
  <c r="G720" i="1"/>
  <c r="E720" i="1"/>
  <c r="D719" i="1"/>
  <c r="I719" i="1"/>
  <c r="I718" i="1"/>
  <c r="H724" i="1"/>
  <c r="D724" i="1"/>
  <c r="I724" i="1"/>
  <c r="E724" i="1"/>
  <c r="H723" i="1"/>
  <c r="G722" i="1"/>
  <c r="G724" i="1"/>
  <c r="G723" i="1"/>
  <c r="F722" i="1"/>
  <c r="H728" i="1"/>
  <c r="D728" i="1"/>
  <c r="F728" i="1"/>
  <c r="I728" i="1"/>
  <c r="G728" i="1"/>
  <c r="E727" i="1"/>
  <c r="E726" i="1"/>
  <c r="E728" i="1"/>
  <c r="D727" i="1"/>
  <c r="H732" i="1"/>
  <c r="D732" i="1"/>
  <c r="I732" i="1"/>
  <c r="F732" i="1"/>
  <c r="E732" i="1"/>
  <c r="I730" i="1"/>
  <c r="H731" i="1"/>
  <c r="G730" i="1"/>
  <c r="H736" i="1"/>
  <c r="D736" i="1"/>
  <c r="F736" i="1"/>
  <c r="I736" i="1"/>
  <c r="H735" i="1"/>
  <c r="F734" i="1"/>
  <c r="G736" i="1"/>
  <c r="E735" i="1"/>
  <c r="E734" i="1"/>
  <c r="H740" i="1"/>
  <c r="D740" i="1"/>
  <c r="I740" i="1"/>
  <c r="G740" i="1"/>
  <c r="F740" i="1"/>
  <c r="E739" i="1"/>
  <c r="E740" i="1"/>
  <c r="I738" i="1"/>
  <c r="H744" i="1"/>
  <c r="D744" i="1"/>
  <c r="F744" i="1"/>
  <c r="E744" i="1"/>
  <c r="I743" i="1"/>
  <c r="I742" i="1"/>
  <c r="I744" i="1"/>
  <c r="H743" i="1"/>
  <c r="F742" i="1"/>
  <c r="H748" i="1"/>
  <c r="D748" i="1"/>
  <c r="I748" i="1"/>
  <c r="G748" i="1"/>
  <c r="G747" i="1"/>
  <c r="F746" i="1"/>
  <c r="F748" i="1"/>
  <c r="E747" i="1"/>
  <c r="H752" i="1"/>
  <c r="D752" i="1"/>
  <c r="F752" i="1"/>
  <c r="G752" i="1"/>
  <c r="E752" i="1"/>
  <c r="D751" i="1"/>
  <c r="I751" i="1"/>
  <c r="I750" i="1"/>
  <c r="H756" i="1"/>
  <c r="D756" i="1"/>
  <c r="I756" i="1"/>
  <c r="E756" i="1"/>
  <c r="H755" i="1"/>
  <c r="G754" i="1"/>
  <c r="G756" i="1"/>
  <c r="G755" i="1"/>
  <c r="F754" i="1"/>
  <c r="H760" i="1"/>
  <c r="D760" i="1"/>
  <c r="F760" i="1"/>
  <c r="I760" i="1"/>
  <c r="G760" i="1"/>
  <c r="E759" i="1"/>
  <c r="E758" i="1"/>
  <c r="E760" i="1"/>
  <c r="D759" i="1"/>
  <c r="H764" i="1"/>
  <c r="D764" i="1"/>
  <c r="I764" i="1"/>
  <c r="F764" i="1"/>
  <c r="E764" i="1"/>
  <c r="I762" i="1"/>
  <c r="H763" i="1"/>
  <c r="G762" i="1"/>
  <c r="H768" i="1"/>
  <c r="D768" i="1"/>
  <c r="F768" i="1"/>
  <c r="I768" i="1"/>
  <c r="H767" i="1"/>
  <c r="F766" i="1"/>
  <c r="G768" i="1"/>
  <c r="E767" i="1"/>
  <c r="E766" i="1"/>
  <c r="H772" i="1"/>
  <c r="D772" i="1"/>
  <c r="I772" i="1"/>
  <c r="G772" i="1"/>
  <c r="F772" i="1"/>
  <c r="E771" i="1"/>
  <c r="E772" i="1"/>
  <c r="I770" i="1"/>
  <c r="H776" i="1"/>
  <c r="D776" i="1"/>
  <c r="F776" i="1"/>
  <c r="E776" i="1"/>
  <c r="I775" i="1"/>
  <c r="I774" i="1"/>
  <c r="I776" i="1"/>
  <c r="H775" i="1"/>
  <c r="F774" i="1"/>
  <c r="H780" i="1"/>
  <c r="D780" i="1"/>
  <c r="I780" i="1"/>
  <c r="G780" i="1"/>
  <c r="G779" i="1"/>
  <c r="F778" i="1"/>
  <c r="F780" i="1"/>
  <c r="E779" i="1"/>
  <c r="H784" i="1"/>
  <c r="D784" i="1"/>
  <c r="F784" i="1"/>
  <c r="G784" i="1"/>
  <c r="E784" i="1"/>
  <c r="D783" i="1"/>
  <c r="I783" i="1"/>
  <c r="I782" i="1"/>
  <c r="H788" i="1"/>
  <c r="D788" i="1"/>
  <c r="I788" i="1"/>
  <c r="E788" i="1"/>
  <c r="H787" i="1"/>
  <c r="G786" i="1"/>
  <c r="G788" i="1"/>
  <c r="G787" i="1"/>
  <c r="F786" i="1"/>
  <c r="H792" i="1"/>
  <c r="D792" i="1"/>
  <c r="F792" i="1"/>
  <c r="I792" i="1"/>
  <c r="G792" i="1"/>
  <c r="E791" i="1"/>
  <c r="E790" i="1"/>
  <c r="E792" i="1"/>
  <c r="D791" i="1"/>
  <c r="H796" i="1"/>
  <c r="D796" i="1"/>
  <c r="I796" i="1"/>
  <c r="F796" i="1"/>
  <c r="E796" i="1"/>
  <c r="I794" i="1"/>
  <c r="H795" i="1"/>
  <c r="G794" i="1"/>
  <c r="H800" i="1"/>
  <c r="D800" i="1"/>
  <c r="F800" i="1"/>
  <c r="I800" i="1"/>
  <c r="H799" i="1"/>
  <c r="F798" i="1"/>
  <c r="G800" i="1"/>
  <c r="E799" i="1"/>
  <c r="E798" i="1"/>
  <c r="H804" i="1"/>
  <c r="D804" i="1"/>
  <c r="I804" i="1"/>
  <c r="G804" i="1"/>
  <c r="F804" i="1"/>
  <c r="E803" i="1"/>
  <c r="E804" i="1"/>
  <c r="I802" i="1"/>
  <c r="I808" i="1"/>
  <c r="E808" i="1"/>
  <c r="G808" i="1"/>
  <c r="H808" i="1"/>
  <c r="F808" i="1"/>
  <c r="D807" i="1"/>
  <c r="D808" i="1"/>
  <c r="F806" i="1"/>
  <c r="I812" i="1"/>
  <c r="E812" i="1"/>
  <c r="D812" i="1"/>
  <c r="G812" i="1"/>
  <c r="H811" i="1"/>
  <c r="H812" i="1"/>
  <c r="D811" i="1"/>
  <c r="I816" i="1"/>
  <c r="E816" i="1"/>
  <c r="G816" i="1"/>
  <c r="D816" i="1"/>
  <c r="H816" i="1"/>
  <c r="F816" i="1"/>
  <c r="G814" i="1"/>
  <c r="I815" i="1"/>
  <c r="F814" i="1"/>
  <c r="I820" i="1"/>
  <c r="E820" i="1"/>
  <c r="D820" i="1"/>
  <c r="H820" i="1"/>
  <c r="F819" i="1"/>
  <c r="G820" i="1"/>
  <c r="D819" i="1"/>
  <c r="I824" i="1"/>
  <c r="E824" i="1"/>
  <c r="G824" i="1"/>
  <c r="F824" i="1"/>
  <c r="H824" i="1"/>
  <c r="D824" i="1"/>
  <c r="G822" i="1"/>
  <c r="I823" i="1"/>
  <c r="F822" i="1"/>
  <c r="I828" i="1"/>
  <c r="E828" i="1"/>
  <c r="D828" i="1"/>
  <c r="H828" i="1"/>
  <c r="F827" i="1"/>
  <c r="G828" i="1"/>
  <c r="D827" i="1"/>
  <c r="I832" i="1"/>
  <c r="E832" i="1"/>
  <c r="G832" i="1"/>
  <c r="H832" i="1"/>
  <c r="F832" i="1"/>
  <c r="D832" i="1"/>
  <c r="G830" i="1"/>
  <c r="I831" i="1"/>
  <c r="D830" i="1"/>
  <c r="I836" i="1"/>
  <c r="E836" i="1"/>
  <c r="D836" i="1"/>
  <c r="F836" i="1"/>
  <c r="H836" i="1"/>
  <c r="F835" i="1"/>
  <c r="G836" i="1"/>
  <c r="H834" i="1"/>
  <c r="I840" i="1"/>
  <c r="E840" i="1"/>
  <c r="G840" i="1"/>
  <c r="F840" i="1"/>
  <c r="D840" i="1"/>
  <c r="F838" i="1"/>
  <c r="F839" i="1"/>
  <c r="D838" i="1"/>
  <c r="I844" i="1"/>
  <c r="E844" i="1"/>
  <c r="D844" i="1"/>
  <c r="G844" i="1"/>
  <c r="H844" i="1"/>
  <c r="D843" i="1"/>
  <c r="F844" i="1"/>
  <c r="H842" i="1"/>
  <c r="I848" i="1"/>
  <c r="E848" i="1"/>
  <c r="G848" i="1"/>
  <c r="D848" i="1"/>
  <c r="F848" i="1"/>
  <c r="I847" i="1"/>
  <c r="F846" i="1"/>
  <c r="F847" i="1"/>
  <c r="D846" i="1"/>
  <c r="I852" i="1"/>
  <c r="E852" i="1"/>
  <c r="D852" i="1"/>
  <c r="H852" i="1"/>
  <c r="G852" i="1"/>
  <c r="D851" i="1"/>
  <c r="F852" i="1"/>
  <c r="H850" i="1"/>
  <c r="I856" i="1"/>
  <c r="E856" i="1"/>
  <c r="G856" i="1"/>
  <c r="F856" i="1"/>
  <c r="D856" i="1"/>
  <c r="I855" i="1"/>
  <c r="F854" i="1"/>
  <c r="F855" i="1"/>
  <c r="I860" i="1"/>
  <c r="E860" i="1"/>
  <c r="D860" i="1"/>
  <c r="H860" i="1"/>
  <c r="G860" i="1"/>
  <c r="D859" i="1"/>
  <c r="F860" i="1"/>
  <c r="G858" i="1"/>
  <c r="I864" i="1"/>
  <c r="E864" i="1"/>
  <c r="G864" i="1"/>
  <c r="H864" i="1"/>
  <c r="D864" i="1"/>
  <c r="I863" i="1"/>
  <c r="D862" i="1"/>
  <c r="E863" i="1"/>
  <c r="I868" i="1"/>
  <c r="E868" i="1"/>
  <c r="D868" i="1"/>
  <c r="F868" i="1"/>
  <c r="H868" i="1"/>
  <c r="G868" i="1"/>
  <c r="H866" i="1"/>
  <c r="I867" i="1"/>
  <c r="G866" i="1"/>
  <c r="I872" i="1"/>
  <c r="E872" i="1"/>
  <c r="G872" i="1"/>
  <c r="D872" i="1"/>
  <c r="F871" i="1"/>
  <c r="D870" i="1"/>
  <c r="H872" i="1"/>
  <c r="E871" i="1"/>
  <c r="I876" i="1"/>
  <c r="E876" i="1"/>
  <c r="D876" i="1"/>
  <c r="G876" i="1"/>
  <c r="H876" i="1"/>
  <c r="F876" i="1"/>
  <c r="H874" i="1"/>
  <c r="I875" i="1"/>
  <c r="G874" i="1"/>
  <c r="I880" i="1"/>
  <c r="E880" i="1"/>
  <c r="G880" i="1"/>
  <c r="D880" i="1"/>
  <c r="F879" i="1"/>
  <c r="D878" i="1"/>
  <c r="H880" i="1"/>
  <c r="E879" i="1"/>
  <c r="I884" i="1"/>
  <c r="E884" i="1"/>
  <c r="D884" i="1"/>
  <c r="H884" i="1"/>
  <c r="G884" i="1"/>
  <c r="F884" i="1"/>
  <c r="H882" i="1"/>
  <c r="I883" i="1"/>
  <c r="D882" i="1"/>
  <c r="I888" i="1"/>
  <c r="E888" i="1"/>
  <c r="G888" i="1"/>
  <c r="F888" i="1"/>
  <c r="F887" i="1"/>
  <c r="H888" i="1"/>
  <c r="D887" i="1"/>
  <c r="I892" i="1"/>
  <c r="E892" i="1"/>
  <c r="D892" i="1"/>
  <c r="G892" i="1"/>
  <c r="F892" i="1"/>
  <c r="G890" i="1"/>
  <c r="H891" i="1"/>
  <c r="D890" i="1"/>
  <c r="I896" i="1"/>
  <c r="E896" i="1"/>
  <c r="G896" i="1"/>
  <c r="H896" i="1"/>
  <c r="E895" i="1"/>
  <c r="F896" i="1"/>
  <c r="D895" i="1"/>
  <c r="I900" i="1"/>
  <c r="E900" i="1"/>
  <c r="D900" i="1"/>
  <c r="F900" i="1"/>
  <c r="G900" i="1"/>
  <c r="I899" i="1"/>
  <c r="G898" i="1"/>
  <c r="H899" i="1"/>
  <c r="D898" i="1"/>
  <c r="I904" i="1"/>
  <c r="E904" i="1"/>
  <c r="G904" i="1"/>
  <c r="H904" i="1"/>
  <c r="E903" i="1"/>
  <c r="F904" i="1"/>
  <c r="D903" i="1"/>
  <c r="I908" i="1"/>
  <c r="E908" i="1"/>
  <c r="D908" i="1"/>
  <c r="G908" i="1"/>
  <c r="F908" i="1"/>
  <c r="I907" i="1"/>
  <c r="G906" i="1"/>
  <c r="H907" i="1"/>
  <c r="I912" i="1"/>
  <c r="E912" i="1"/>
  <c r="G912" i="1"/>
  <c r="D912" i="1"/>
  <c r="H912" i="1"/>
  <c r="E911" i="1"/>
  <c r="F912" i="1"/>
  <c r="G910" i="1"/>
  <c r="I916" i="1"/>
  <c r="E916" i="1"/>
  <c r="D916" i="1"/>
  <c r="H916" i="1"/>
  <c r="F916" i="1"/>
  <c r="I915" i="1"/>
  <c r="D914" i="1"/>
  <c r="F915" i="1"/>
  <c r="I920" i="1"/>
  <c r="E920" i="1"/>
  <c r="G920" i="1"/>
  <c r="F920" i="1"/>
  <c r="H920" i="1"/>
  <c r="D919" i="1"/>
  <c r="D920" i="1"/>
  <c r="G918" i="1"/>
  <c r="I924" i="1"/>
  <c r="E924" i="1"/>
  <c r="D924" i="1"/>
  <c r="F924" i="1"/>
  <c r="H923" i="1"/>
  <c r="D922" i="1"/>
  <c r="H924" i="1"/>
  <c r="F923" i="1"/>
  <c r="I928" i="1"/>
  <c r="E928" i="1"/>
  <c r="G928" i="1"/>
  <c r="H928" i="1"/>
  <c r="F928" i="1"/>
  <c r="D927" i="1"/>
  <c r="D928" i="1"/>
  <c r="G926" i="1"/>
  <c r="I932" i="1"/>
  <c r="E932" i="1"/>
  <c r="D932" i="1"/>
  <c r="F932" i="1"/>
  <c r="H931" i="1"/>
  <c r="D930" i="1"/>
  <c r="H932" i="1"/>
  <c r="F931" i="1"/>
  <c r="I936" i="1"/>
  <c r="E936" i="1"/>
  <c r="G936" i="1"/>
  <c r="H936" i="1"/>
  <c r="F936" i="1"/>
  <c r="D935" i="1"/>
  <c r="D936" i="1"/>
  <c r="F934" i="1"/>
  <c r="I940" i="1"/>
  <c r="E940" i="1"/>
  <c r="D940" i="1"/>
  <c r="G940" i="1"/>
  <c r="H939" i="1"/>
  <c r="H940" i="1"/>
  <c r="D939" i="1"/>
  <c r="I944" i="1"/>
  <c r="E944" i="1"/>
  <c r="G944" i="1"/>
  <c r="D944" i="1"/>
  <c r="H944" i="1"/>
  <c r="F944" i="1"/>
  <c r="G942" i="1"/>
  <c r="I943" i="1"/>
  <c r="F942" i="1"/>
  <c r="I948" i="1"/>
  <c r="E948" i="1"/>
  <c r="D948" i="1"/>
  <c r="H948" i="1"/>
  <c r="F947" i="1"/>
  <c r="G948" i="1"/>
  <c r="D947" i="1"/>
  <c r="I952" i="1"/>
  <c r="E952" i="1"/>
  <c r="G952" i="1"/>
  <c r="F952" i="1"/>
  <c r="H952" i="1"/>
  <c r="D952" i="1"/>
  <c r="G950" i="1"/>
  <c r="I951" i="1"/>
  <c r="F950" i="1"/>
  <c r="I956" i="1"/>
  <c r="E956" i="1"/>
  <c r="D956" i="1"/>
  <c r="H956" i="1"/>
  <c r="F955" i="1"/>
  <c r="G956" i="1"/>
  <c r="D955" i="1"/>
  <c r="I960" i="1"/>
  <c r="E960" i="1"/>
  <c r="G960" i="1"/>
  <c r="H960" i="1"/>
  <c r="F960" i="1"/>
  <c r="D960" i="1"/>
  <c r="G958" i="1"/>
  <c r="I959" i="1"/>
  <c r="D958" i="1"/>
  <c r="I964" i="1"/>
  <c r="E964" i="1"/>
  <c r="D964" i="1"/>
  <c r="F964" i="1"/>
  <c r="H964" i="1"/>
  <c r="F963" i="1"/>
  <c r="G964" i="1"/>
  <c r="H962" i="1"/>
  <c r="I968" i="1"/>
  <c r="E968" i="1"/>
  <c r="G968" i="1"/>
  <c r="F968" i="1"/>
  <c r="D968" i="1"/>
  <c r="F966" i="1"/>
  <c r="F967" i="1"/>
  <c r="D966" i="1"/>
  <c r="I972" i="1"/>
  <c r="E972" i="1"/>
  <c r="D972" i="1"/>
  <c r="G972" i="1"/>
  <c r="H972" i="1"/>
  <c r="D971" i="1"/>
  <c r="F972" i="1"/>
  <c r="H970" i="1"/>
  <c r="I976" i="1"/>
  <c r="E976" i="1"/>
  <c r="G976" i="1"/>
  <c r="D976" i="1"/>
  <c r="F976" i="1"/>
  <c r="I975" i="1"/>
  <c r="F974" i="1"/>
  <c r="F975" i="1"/>
  <c r="D974" i="1"/>
  <c r="I980" i="1"/>
  <c r="E980" i="1"/>
  <c r="D980" i="1"/>
  <c r="H980" i="1"/>
  <c r="G980" i="1"/>
  <c r="D979" i="1"/>
  <c r="F980" i="1"/>
  <c r="H978" i="1"/>
  <c r="F984" i="1"/>
  <c r="E984" i="1"/>
  <c r="G984" i="1"/>
  <c r="D984" i="1"/>
  <c r="I984" i="1"/>
  <c r="H982" i="1"/>
  <c r="H984" i="1"/>
  <c r="F988" i="1"/>
  <c r="H988" i="1"/>
  <c r="D988" i="1"/>
  <c r="I988" i="1"/>
  <c r="G988" i="1"/>
  <c r="E988" i="1"/>
  <c r="F987" i="1"/>
  <c r="F992" i="1"/>
  <c r="E992" i="1"/>
  <c r="H992" i="1"/>
  <c r="G992" i="1"/>
  <c r="I992" i="1"/>
  <c r="D992" i="1"/>
  <c r="I991" i="1"/>
  <c r="H990" i="1"/>
  <c r="F996" i="1"/>
  <c r="H996" i="1"/>
  <c r="E996" i="1"/>
  <c r="D996" i="1"/>
  <c r="I996" i="1"/>
  <c r="G996" i="1"/>
  <c r="G994" i="1"/>
  <c r="F1000" i="1"/>
  <c r="E1000" i="1"/>
  <c r="I1000" i="1"/>
  <c r="H1000" i="1"/>
  <c r="G1000" i="1"/>
  <c r="D1000" i="1"/>
  <c r="E999" i="1"/>
  <c r="F1004" i="1"/>
  <c r="H1004" i="1"/>
  <c r="G1004" i="1"/>
  <c r="E1004" i="1"/>
  <c r="I1004" i="1"/>
  <c r="D1004" i="1"/>
  <c r="F1008" i="1"/>
  <c r="E1008" i="1"/>
  <c r="D1008" i="1"/>
  <c r="I1008" i="1"/>
  <c r="D1006" i="1"/>
  <c r="H1008" i="1"/>
  <c r="F1012" i="1"/>
  <c r="H1012" i="1"/>
  <c r="I1012" i="1"/>
  <c r="G1012" i="1"/>
  <c r="E1012" i="1"/>
  <c r="D1012" i="1"/>
  <c r="H1010" i="1"/>
  <c r="F1016" i="1"/>
  <c r="E1016" i="1"/>
  <c r="G1016" i="1"/>
  <c r="D1016" i="1"/>
  <c r="I1016" i="1"/>
  <c r="H1016" i="1"/>
  <c r="G1015" i="1"/>
  <c r="F1020" i="1"/>
  <c r="H1020" i="1"/>
  <c r="D1020" i="1"/>
  <c r="I1020" i="1"/>
  <c r="G1020" i="1"/>
  <c r="E1020" i="1"/>
  <c r="E1018" i="1"/>
  <c r="F1024" i="1"/>
  <c r="E1024" i="1"/>
  <c r="H1024" i="1"/>
  <c r="G1024" i="1"/>
  <c r="D1024" i="1"/>
  <c r="I1024" i="1"/>
  <c r="I1022" i="1"/>
  <c r="F1028" i="1"/>
  <c r="H1028" i="1"/>
  <c r="D1028" i="1"/>
  <c r="G1028" i="1"/>
  <c r="I1028" i="1"/>
  <c r="E1028" i="1"/>
  <c r="F1032" i="1"/>
  <c r="I1032" i="1"/>
  <c r="H1032" i="1"/>
  <c r="D1032" i="1"/>
  <c r="G1032" i="1"/>
  <c r="E1032" i="1"/>
  <c r="G1031" i="1"/>
  <c r="F1036" i="1"/>
  <c r="I1036" i="1"/>
  <c r="E1036" i="1"/>
  <c r="H1036" i="1"/>
  <c r="D1036" i="1"/>
  <c r="G1036" i="1"/>
  <c r="F1040" i="1"/>
  <c r="I1040" i="1"/>
  <c r="E1040" i="1"/>
  <c r="H1040" i="1"/>
  <c r="D1040" i="1"/>
  <c r="G1040" i="1"/>
  <c r="G1038" i="1"/>
  <c r="F1044" i="1"/>
  <c r="I1044" i="1"/>
  <c r="E1044" i="1"/>
  <c r="H1044" i="1"/>
  <c r="D1044" i="1"/>
  <c r="G1044" i="1"/>
  <c r="F1048" i="1"/>
  <c r="G1048" i="1"/>
  <c r="E1048" i="1"/>
  <c r="I1048" i="1"/>
  <c r="D1048" i="1"/>
  <c r="H1048" i="1"/>
  <c r="F1052" i="1"/>
  <c r="I1052" i="1"/>
  <c r="D1052" i="1"/>
  <c r="H1052" i="1"/>
  <c r="G1052" i="1"/>
  <c r="E1052" i="1"/>
  <c r="F1056" i="1"/>
  <c r="G1056" i="1"/>
  <c r="E1056" i="1"/>
  <c r="I1056" i="1"/>
  <c r="D1056" i="1"/>
  <c r="H1056" i="1"/>
  <c r="I1054" i="1"/>
  <c r="F1060" i="1"/>
  <c r="I1060" i="1"/>
  <c r="D1060" i="1"/>
  <c r="H1060" i="1"/>
  <c r="G1060" i="1"/>
  <c r="E1060" i="1"/>
  <c r="F1064" i="1"/>
  <c r="G1064" i="1"/>
  <c r="E1064" i="1"/>
  <c r="I1064" i="1"/>
  <c r="D1064" i="1"/>
  <c r="H1064" i="1"/>
  <c r="I1062" i="1"/>
  <c r="F1068" i="1"/>
  <c r="I1068" i="1"/>
  <c r="D1068" i="1"/>
  <c r="H1068" i="1"/>
  <c r="G1068" i="1"/>
  <c r="E1068" i="1"/>
  <c r="F1072" i="1"/>
  <c r="G1072" i="1"/>
  <c r="E1072" i="1"/>
  <c r="I1072" i="1"/>
  <c r="D1072" i="1"/>
  <c r="F1076" i="1"/>
  <c r="I1076" i="1"/>
  <c r="D1076" i="1"/>
  <c r="H1076" i="1"/>
  <c r="G1076" i="1"/>
  <c r="E1076" i="1"/>
  <c r="F1080" i="1"/>
  <c r="G1080" i="1"/>
  <c r="E1080" i="1"/>
  <c r="I1080" i="1"/>
  <c r="D1080" i="1"/>
  <c r="H1080" i="1"/>
  <c r="F1084" i="1"/>
  <c r="I1084" i="1"/>
  <c r="D1084" i="1"/>
  <c r="H1084" i="1"/>
  <c r="G1084" i="1"/>
  <c r="E1084" i="1"/>
  <c r="G1082" i="1"/>
  <c r="G1088" i="1"/>
  <c r="F1088" i="1"/>
  <c r="E1088" i="1"/>
  <c r="H1088" i="1"/>
  <c r="D1088" i="1"/>
  <c r="I1088" i="1"/>
  <c r="G1092" i="1"/>
  <c r="I1092" i="1"/>
  <c r="D1092" i="1"/>
  <c r="H1092" i="1"/>
  <c r="E1092" i="1"/>
  <c r="F1092" i="1"/>
  <c r="G1096" i="1"/>
  <c r="F1096" i="1"/>
  <c r="E1096" i="1"/>
  <c r="I1096" i="1"/>
  <c r="H1096" i="1"/>
  <c r="G1100" i="1"/>
  <c r="I1100" i="1"/>
  <c r="D1100" i="1"/>
  <c r="H1100" i="1"/>
  <c r="F1100" i="1"/>
  <c r="E1100" i="1"/>
  <c r="G1099" i="1"/>
  <c r="G1104" i="1"/>
  <c r="F1104" i="1"/>
  <c r="E1104" i="1"/>
  <c r="H1104" i="1"/>
  <c r="D1104" i="1"/>
  <c r="I1104" i="1"/>
  <c r="G1108" i="1"/>
  <c r="I1108" i="1"/>
  <c r="D1108" i="1"/>
  <c r="H1108" i="1"/>
  <c r="F1108" i="1"/>
  <c r="E1108" i="1"/>
  <c r="G1112" i="1"/>
  <c r="F1112" i="1"/>
  <c r="E1112" i="1"/>
  <c r="I1112" i="1"/>
  <c r="D1112" i="1"/>
  <c r="H1112" i="1"/>
  <c r="G1116" i="1"/>
  <c r="I1116" i="1"/>
  <c r="D1116" i="1"/>
  <c r="H1116" i="1"/>
  <c r="F1116" i="1"/>
  <c r="E1116" i="1"/>
  <c r="G1120" i="1"/>
  <c r="F1120" i="1"/>
  <c r="E1120" i="1"/>
  <c r="I1120" i="1"/>
  <c r="D1120" i="1"/>
  <c r="H1120" i="1"/>
  <c r="G1124" i="1"/>
  <c r="I1124" i="1"/>
  <c r="D1124" i="1"/>
  <c r="H1124" i="1"/>
  <c r="F1124" i="1"/>
  <c r="E1124" i="1"/>
  <c r="F1123" i="1"/>
  <c r="G1128" i="1"/>
  <c r="F1128" i="1"/>
  <c r="E1128" i="1"/>
  <c r="I1128" i="1"/>
  <c r="D1128" i="1"/>
  <c r="H1128" i="1"/>
  <c r="G1132" i="1"/>
  <c r="I1132" i="1"/>
  <c r="D1132" i="1"/>
  <c r="H1132" i="1"/>
  <c r="F1132" i="1"/>
  <c r="E1132" i="1"/>
  <c r="G1136" i="1"/>
  <c r="F1136" i="1"/>
  <c r="E1136" i="1"/>
  <c r="I1136" i="1"/>
  <c r="D1136" i="1"/>
  <c r="H1136" i="1"/>
  <c r="H1140" i="1"/>
  <c r="D1140" i="1"/>
  <c r="G1140" i="1"/>
  <c r="F1140" i="1"/>
  <c r="E1140" i="1"/>
  <c r="I1140" i="1"/>
  <c r="H1144" i="1"/>
  <c r="D1144" i="1"/>
  <c r="G1144" i="1"/>
  <c r="F1144" i="1"/>
  <c r="E1144" i="1"/>
  <c r="I1144" i="1"/>
  <c r="H1148" i="1"/>
  <c r="D1148" i="1"/>
  <c r="G1148" i="1"/>
  <c r="F1148" i="1"/>
  <c r="E1148" i="1"/>
  <c r="I1148" i="1"/>
  <c r="I1152" i="1"/>
  <c r="H1152" i="1"/>
  <c r="D1152" i="1"/>
  <c r="G1152" i="1"/>
  <c r="F1152" i="1"/>
  <c r="E1152" i="1"/>
  <c r="I1156" i="1"/>
  <c r="E1156" i="1"/>
  <c r="H1156" i="1"/>
  <c r="D1156" i="1"/>
  <c r="G1156" i="1"/>
  <c r="F1156" i="1"/>
  <c r="H1160" i="1"/>
  <c r="D1160" i="1"/>
  <c r="F1160" i="1"/>
  <c r="E1160" i="1"/>
  <c r="I1160" i="1"/>
  <c r="G1160" i="1"/>
  <c r="H1164" i="1"/>
  <c r="D1164" i="1"/>
  <c r="I1164" i="1"/>
  <c r="G1164" i="1"/>
  <c r="F1164" i="1"/>
  <c r="E1164" i="1"/>
  <c r="H1168" i="1"/>
  <c r="D1168" i="1"/>
  <c r="F1168" i="1"/>
  <c r="E1168" i="1"/>
  <c r="I1168" i="1"/>
  <c r="G1168" i="1"/>
  <c r="H1172" i="1"/>
  <c r="D1172" i="1"/>
  <c r="I1172" i="1"/>
  <c r="G1172" i="1"/>
  <c r="F1172" i="1"/>
  <c r="E1172" i="1"/>
  <c r="H1176" i="1"/>
  <c r="D1176" i="1"/>
  <c r="F1176" i="1"/>
  <c r="E1176" i="1"/>
  <c r="I1176" i="1"/>
  <c r="G1176" i="1"/>
  <c r="H1180" i="1"/>
  <c r="D1180" i="1"/>
  <c r="I1180" i="1"/>
  <c r="G1180" i="1"/>
  <c r="F1180" i="1"/>
  <c r="E1180" i="1"/>
  <c r="H1184" i="1"/>
  <c r="D1184" i="1"/>
  <c r="F1184" i="1"/>
  <c r="E1184" i="1"/>
  <c r="I1184" i="1"/>
  <c r="G1184" i="1"/>
  <c r="H1188" i="1"/>
  <c r="D1188" i="1"/>
  <c r="I1188" i="1"/>
  <c r="G1188" i="1"/>
  <c r="F1188" i="1"/>
  <c r="E1188" i="1"/>
  <c r="F1192" i="1"/>
  <c r="H1192" i="1"/>
  <c r="D1192" i="1"/>
  <c r="I1192" i="1"/>
  <c r="G1192" i="1"/>
  <c r="E1192" i="1"/>
  <c r="F1196" i="1"/>
  <c r="H1196" i="1"/>
  <c r="D1196" i="1"/>
  <c r="I1196" i="1"/>
  <c r="G1196" i="1"/>
  <c r="E1196" i="1"/>
  <c r="H1200" i="1"/>
  <c r="D1200" i="1"/>
  <c r="I1200" i="1"/>
  <c r="F1200" i="1"/>
  <c r="E1200" i="1"/>
  <c r="G1200" i="1"/>
  <c r="F1204" i="1"/>
  <c r="H1204" i="1"/>
  <c r="D1204" i="1"/>
  <c r="I1204" i="1"/>
  <c r="E1204" i="1"/>
  <c r="G1204" i="1"/>
  <c r="F1208" i="1"/>
  <c r="H1208" i="1"/>
  <c r="D1208" i="1"/>
  <c r="I1208" i="1"/>
  <c r="E1208" i="1"/>
  <c r="G1208" i="1"/>
  <c r="F1212" i="1"/>
  <c r="I1212" i="1"/>
  <c r="E1212" i="1"/>
  <c r="H1212" i="1"/>
  <c r="D1212" i="1"/>
  <c r="G1212" i="1"/>
  <c r="F1216" i="1"/>
  <c r="I1216" i="1"/>
  <c r="E1216" i="1"/>
  <c r="H1216" i="1"/>
  <c r="D1216" i="1"/>
  <c r="G1216" i="1"/>
  <c r="F1220" i="1"/>
  <c r="I1220" i="1"/>
  <c r="E1220" i="1"/>
  <c r="H1220" i="1"/>
  <c r="D1220" i="1"/>
  <c r="G1220" i="1"/>
  <c r="F1224" i="1"/>
  <c r="I1224" i="1"/>
  <c r="E1224" i="1"/>
  <c r="H1224" i="1"/>
  <c r="D1224" i="1"/>
  <c r="G1224" i="1"/>
  <c r="F1228" i="1"/>
  <c r="I1228" i="1"/>
  <c r="E1228" i="1"/>
  <c r="H1228" i="1"/>
  <c r="D1228" i="1"/>
  <c r="G1228" i="1"/>
  <c r="F1232" i="1"/>
  <c r="I1232" i="1"/>
  <c r="E1232" i="1"/>
  <c r="H1232" i="1"/>
  <c r="D1232" i="1"/>
  <c r="G1232" i="1"/>
  <c r="F1236" i="1"/>
  <c r="I1236" i="1"/>
  <c r="E1236" i="1"/>
  <c r="H1236" i="1"/>
  <c r="D1236" i="1"/>
  <c r="G1236" i="1"/>
  <c r="F1240" i="1"/>
  <c r="I1240" i="1"/>
  <c r="E1240" i="1"/>
  <c r="H1240" i="1"/>
  <c r="D1240" i="1"/>
  <c r="G1240" i="1"/>
  <c r="F1244" i="1"/>
  <c r="I1244" i="1"/>
  <c r="E1244" i="1"/>
  <c r="H1244" i="1"/>
  <c r="D1244" i="1"/>
  <c r="G1244" i="1"/>
  <c r="F1248" i="1"/>
  <c r="I1248" i="1"/>
  <c r="E1248" i="1"/>
  <c r="H1248" i="1"/>
  <c r="D1248" i="1"/>
  <c r="G1248" i="1"/>
  <c r="F1252" i="1"/>
  <c r="I1252" i="1"/>
  <c r="E1252" i="1"/>
  <c r="H1252" i="1"/>
  <c r="D1252" i="1"/>
  <c r="G1252" i="1"/>
  <c r="F5" i="1"/>
  <c r="E7" i="1"/>
  <c r="H10" i="1"/>
  <c r="G12" i="1"/>
  <c r="F14" i="1"/>
  <c r="D16" i="1"/>
  <c r="I17" i="1"/>
  <c r="H19" i="1"/>
  <c r="F21" i="1"/>
  <c r="E23" i="1"/>
  <c r="D25" i="1"/>
  <c r="H26" i="1"/>
  <c r="G28" i="1"/>
  <c r="F30" i="1"/>
  <c r="D32" i="1"/>
  <c r="I33" i="1"/>
  <c r="H35" i="1"/>
  <c r="F37" i="1"/>
  <c r="E39" i="1"/>
  <c r="D41" i="1"/>
  <c r="H42" i="1"/>
  <c r="G44" i="1"/>
  <c r="F46" i="1"/>
  <c r="D48" i="1"/>
  <c r="I49" i="1"/>
  <c r="H51" i="1"/>
  <c r="F53" i="1"/>
  <c r="E55" i="1"/>
  <c r="D57" i="1"/>
  <c r="H58" i="1"/>
  <c r="G60" i="1"/>
  <c r="F62" i="1"/>
  <c r="D64" i="1"/>
  <c r="I65" i="1"/>
  <c r="H67" i="1"/>
  <c r="F69" i="1"/>
  <c r="E71" i="1"/>
  <c r="D73" i="1"/>
  <c r="H74" i="1"/>
  <c r="G76" i="1"/>
  <c r="F78" i="1"/>
  <c r="D80" i="1"/>
  <c r="I81" i="1"/>
  <c r="H83" i="1"/>
  <c r="F85" i="1"/>
  <c r="E87" i="1"/>
  <c r="D89" i="1"/>
  <c r="H90" i="1"/>
  <c r="G92" i="1"/>
  <c r="F94" i="1"/>
  <c r="D96" i="1"/>
  <c r="I97" i="1"/>
  <c r="H99" i="1"/>
  <c r="F101" i="1"/>
  <c r="E103" i="1"/>
  <c r="D105" i="1"/>
  <c r="H106" i="1"/>
  <c r="G108" i="1"/>
  <c r="F110" i="1"/>
  <c r="D112" i="1"/>
  <c r="I113" i="1"/>
  <c r="H115" i="1"/>
  <c r="F117" i="1"/>
  <c r="E119" i="1"/>
  <c r="D121" i="1"/>
  <c r="H122" i="1"/>
  <c r="G124" i="1"/>
  <c r="F126" i="1"/>
  <c r="D128" i="1"/>
  <c r="I129" i="1"/>
  <c r="H131" i="1"/>
  <c r="F133" i="1"/>
  <c r="E135" i="1"/>
  <c r="D137" i="1"/>
  <c r="H138" i="1"/>
  <c r="G140" i="1"/>
  <c r="F142" i="1"/>
  <c r="D144" i="1"/>
  <c r="I145" i="1"/>
  <c r="H147" i="1"/>
  <c r="F149" i="1"/>
  <c r="E151" i="1"/>
  <c r="D153" i="1"/>
  <c r="H154" i="1"/>
  <c r="G156" i="1"/>
  <c r="F158" i="1"/>
  <c r="D160" i="1"/>
  <c r="I161" i="1"/>
  <c r="H163" i="1"/>
  <c r="F165" i="1"/>
  <c r="E167" i="1"/>
  <c r="D169" i="1"/>
  <c r="H170" i="1"/>
  <c r="G172" i="1"/>
  <c r="F174" i="1"/>
  <c r="D176" i="1"/>
  <c r="I177" i="1"/>
  <c r="H179" i="1"/>
  <c r="F181" i="1"/>
  <c r="E183" i="1"/>
  <c r="D185" i="1"/>
  <c r="H186" i="1"/>
  <c r="G188" i="1"/>
  <c r="F190" i="1"/>
  <c r="D192" i="1"/>
  <c r="I193" i="1"/>
  <c r="H195" i="1"/>
  <c r="F197" i="1"/>
  <c r="E199" i="1"/>
  <c r="D201" i="1"/>
  <c r="H202" i="1"/>
  <c r="G204" i="1"/>
  <c r="F206" i="1"/>
  <c r="D208" i="1"/>
  <c r="I209" i="1"/>
  <c r="H211" i="1"/>
  <c r="F213" i="1"/>
  <c r="E215" i="1"/>
  <c r="D217" i="1"/>
  <c r="H218" i="1"/>
  <c r="G220" i="1"/>
  <c r="F222" i="1"/>
  <c r="D224" i="1"/>
  <c r="I225" i="1"/>
  <c r="H227" i="1"/>
  <c r="F229" i="1"/>
  <c r="E231" i="1"/>
  <c r="D233" i="1"/>
  <c r="H234" i="1"/>
  <c r="G236" i="1"/>
  <c r="F238" i="1"/>
  <c r="D240" i="1"/>
  <c r="I241" i="1"/>
  <c r="H243" i="1"/>
  <c r="F245" i="1"/>
  <c r="E247" i="1"/>
  <c r="D249" i="1"/>
  <c r="H250" i="1"/>
  <c r="G252" i="1"/>
  <c r="F254" i="1"/>
  <c r="D256" i="1"/>
  <c r="I257" i="1"/>
  <c r="H259" i="1"/>
  <c r="F261" i="1"/>
  <c r="E263" i="1"/>
  <c r="D265" i="1"/>
  <c r="H266" i="1"/>
  <c r="G268" i="1"/>
  <c r="F270" i="1"/>
  <c r="D272" i="1"/>
  <c r="I273" i="1"/>
  <c r="H275" i="1"/>
  <c r="F277" i="1"/>
  <c r="E279" i="1"/>
  <c r="D281" i="1"/>
  <c r="H282" i="1"/>
  <c r="G284" i="1"/>
  <c r="F286" i="1"/>
  <c r="D288" i="1"/>
  <c r="I289" i="1"/>
  <c r="H291" i="1"/>
  <c r="F293" i="1"/>
  <c r="E295" i="1"/>
  <c r="D297" i="1"/>
  <c r="H298" i="1"/>
  <c r="G300" i="1"/>
  <c r="F302" i="1"/>
  <c r="D304" i="1"/>
  <c r="I305" i="1"/>
  <c r="H307" i="1"/>
  <c r="F309" i="1"/>
  <c r="E311" i="1"/>
  <c r="D313" i="1"/>
  <c r="H314" i="1"/>
  <c r="G316" i="1"/>
  <c r="F318" i="1"/>
  <c r="D320" i="1"/>
  <c r="I321" i="1"/>
  <c r="H323" i="1"/>
  <c r="F325" i="1"/>
  <c r="E327" i="1"/>
  <c r="D329" i="1"/>
  <c r="H330" i="1"/>
  <c r="G332" i="1"/>
  <c r="F334" i="1"/>
  <c r="D336" i="1"/>
  <c r="I337" i="1"/>
  <c r="H339" i="1"/>
  <c r="F341" i="1"/>
  <c r="E343" i="1"/>
  <c r="D345" i="1"/>
  <c r="H346" i="1"/>
  <c r="G348" i="1"/>
  <c r="F350" i="1"/>
  <c r="D352" i="1"/>
  <c r="I353" i="1"/>
  <c r="H355" i="1"/>
  <c r="F357" i="1"/>
  <c r="E359" i="1"/>
  <c r="D361" i="1"/>
  <c r="H362" i="1"/>
  <c r="G364" i="1"/>
  <c r="F366" i="1"/>
  <c r="D368" i="1"/>
  <c r="I369" i="1"/>
  <c r="H371" i="1"/>
  <c r="F373" i="1"/>
  <c r="E375" i="1"/>
  <c r="D377" i="1"/>
  <c r="H378" i="1"/>
  <c r="G380" i="1"/>
  <c r="F382" i="1"/>
  <c r="D384" i="1"/>
  <c r="I385" i="1"/>
  <c r="H387" i="1"/>
  <c r="F389" i="1"/>
  <c r="E391" i="1"/>
  <c r="D393" i="1"/>
  <c r="H394" i="1"/>
  <c r="G396" i="1"/>
  <c r="F398" i="1"/>
  <c r="D401" i="1"/>
  <c r="G404" i="1"/>
  <c r="D408" i="1"/>
  <c r="H411" i="1"/>
  <c r="E415" i="1"/>
  <c r="H418" i="1"/>
  <c r="F422" i="1"/>
  <c r="I425" i="1"/>
  <c r="F429" i="1"/>
  <c r="D433" i="1"/>
  <c r="G436" i="1"/>
  <c r="D440" i="1"/>
  <c r="H443" i="1"/>
  <c r="E447" i="1"/>
  <c r="H450" i="1"/>
  <c r="F454" i="1"/>
  <c r="I457" i="1"/>
  <c r="F461" i="1"/>
  <c r="D465" i="1"/>
  <c r="G468" i="1"/>
  <c r="D472" i="1"/>
  <c r="H475" i="1"/>
  <c r="E479" i="1"/>
  <c r="H482" i="1"/>
  <c r="F486" i="1"/>
  <c r="I489" i="1"/>
  <c r="F493" i="1"/>
  <c r="D497" i="1"/>
  <c r="G500" i="1"/>
  <c r="D504" i="1"/>
  <c r="H507" i="1"/>
  <c r="E511" i="1"/>
  <c r="H514" i="1"/>
  <c r="F518" i="1"/>
  <c r="I521" i="1"/>
  <c r="F526" i="1"/>
  <c r="E531" i="1"/>
  <c r="I535" i="1"/>
  <c r="G540" i="1"/>
  <c r="G545" i="1"/>
  <c r="E550" i="1"/>
  <c r="I554" i="1"/>
  <c r="H559" i="1"/>
  <c r="F564" i="1"/>
  <c r="D569" i="1"/>
  <c r="I573" i="1"/>
  <c r="G578" i="1"/>
  <c r="E583" i="1"/>
  <c r="E588" i="1"/>
  <c r="I592" i="1"/>
  <c r="G597" i="1"/>
  <c r="F602" i="1"/>
  <c r="D607" i="1"/>
  <c r="H611" i="1"/>
  <c r="G616" i="1"/>
  <c r="E621" i="1"/>
  <c r="I625" i="1"/>
  <c r="I630" i="1"/>
  <c r="G635" i="1"/>
  <c r="E640" i="1"/>
  <c r="D645" i="1"/>
  <c r="H649" i="1"/>
  <c r="F654" i="1"/>
  <c r="E659" i="1"/>
  <c r="I663" i="1"/>
  <c r="G668" i="1"/>
  <c r="G673" i="1"/>
  <c r="E678" i="1"/>
  <c r="I682" i="1"/>
  <c r="H687" i="1"/>
  <c r="F692" i="1"/>
  <c r="D697" i="1"/>
  <c r="I701" i="1"/>
  <c r="G706" i="1"/>
  <c r="E711" i="1"/>
  <c r="E716" i="1"/>
  <c r="I720" i="1"/>
  <c r="G725" i="1"/>
  <c r="F730" i="1"/>
  <c r="D735" i="1"/>
  <c r="H739" i="1"/>
  <c r="G744" i="1"/>
  <c r="E749" i="1"/>
  <c r="I753" i="1"/>
  <c r="I758" i="1"/>
  <c r="G763" i="1"/>
  <c r="E768" i="1"/>
  <c r="D773" i="1"/>
  <c r="H777" i="1"/>
  <c r="F782" i="1"/>
  <c r="E787" i="1"/>
  <c r="I791" i="1"/>
  <c r="G796" i="1"/>
  <c r="G801" i="1"/>
  <c r="E806" i="1"/>
  <c r="F812" i="1"/>
  <c r="H818" i="1"/>
  <c r="D825" i="1"/>
  <c r="E831" i="1"/>
  <c r="H837" i="1"/>
  <c r="I843" i="1"/>
  <c r="D850" i="1"/>
  <c r="H856" i="1"/>
  <c r="D863" i="1"/>
  <c r="E869" i="1"/>
  <c r="H875" i="1"/>
  <c r="I881" i="1"/>
  <c r="D888" i="1"/>
  <c r="G894" i="1"/>
  <c r="H900" i="1"/>
  <c r="D907" i="1"/>
  <c r="H913" i="1"/>
  <c r="I919" i="1"/>
  <c r="D926" i="1"/>
  <c r="G932" i="1"/>
  <c r="H938" i="1"/>
  <c r="D945" i="1"/>
  <c r="F951" i="1"/>
  <c r="H957" i="1"/>
  <c r="I963" i="1"/>
  <c r="G970" i="1"/>
  <c r="H976" i="1"/>
  <c r="G983" i="1"/>
  <c r="I998" i="1"/>
  <c r="I1017" i="1"/>
  <c r="D1054" i="1"/>
  <c r="G5" i="1"/>
  <c r="E5" i="1"/>
  <c r="I5" i="1"/>
  <c r="D5" i="1"/>
  <c r="G9" i="1"/>
  <c r="H9" i="1"/>
  <c r="F9" i="1"/>
  <c r="G13" i="1"/>
  <c r="E13" i="1"/>
  <c r="I13" i="1"/>
  <c r="D13" i="1"/>
  <c r="G17" i="1"/>
  <c r="H17" i="1"/>
  <c r="F17" i="1"/>
  <c r="G21" i="1"/>
  <c r="E21" i="1"/>
  <c r="I21" i="1"/>
  <c r="D21" i="1"/>
  <c r="G25" i="1"/>
  <c r="H25" i="1"/>
  <c r="F25" i="1"/>
  <c r="G29" i="1"/>
  <c r="E29" i="1"/>
  <c r="I29" i="1"/>
  <c r="D29" i="1"/>
  <c r="G33" i="1"/>
  <c r="H33" i="1"/>
  <c r="F33" i="1"/>
  <c r="G37" i="1"/>
  <c r="E37" i="1"/>
  <c r="I37" i="1"/>
  <c r="D37" i="1"/>
  <c r="G41" i="1"/>
  <c r="H41" i="1"/>
  <c r="F41" i="1"/>
  <c r="G45" i="1"/>
  <c r="E45" i="1"/>
  <c r="I45" i="1"/>
  <c r="D45" i="1"/>
  <c r="G49" i="1"/>
  <c r="H49" i="1"/>
  <c r="F49" i="1"/>
  <c r="G53" i="1"/>
  <c r="E53" i="1"/>
  <c r="I53" i="1"/>
  <c r="D53" i="1"/>
  <c r="G57" i="1"/>
  <c r="H57" i="1"/>
  <c r="F57" i="1"/>
  <c r="G61" i="1"/>
  <c r="E61" i="1"/>
  <c r="I61" i="1"/>
  <c r="D61" i="1"/>
  <c r="G65" i="1"/>
  <c r="H65" i="1"/>
  <c r="F65" i="1"/>
  <c r="G69" i="1"/>
  <c r="E69" i="1"/>
  <c r="I69" i="1"/>
  <c r="D69" i="1"/>
  <c r="G73" i="1"/>
  <c r="H73" i="1"/>
  <c r="F73" i="1"/>
  <c r="G77" i="1"/>
  <c r="E77" i="1"/>
  <c r="I77" i="1"/>
  <c r="D77" i="1"/>
  <c r="G81" i="1"/>
  <c r="H81" i="1"/>
  <c r="F81" i="1"/>
  <c r="G85" i="1"/>
  <c r="E85" i="1"/>
  <c r="I85" i="1"/>
  <c r="D85" i="1"/>
  <c r="G89" i="1"/>
  <c r="H89" i="1"/>
  <c r="F89" i="1"/>
  <c r="G93" i="1"/>
  <c r="E93" i="1"/>
  <c r="I93" i="1"/>
  <c r="D93" i="1"/>
  <c r="G97" i="1"/>
  <c r="H97" i="1"/>
  <c r="F97" i="1"/>
  <c r="G101" i="1"/>
  <c r="E101" i="1"/>
  <c r="I101" i="1"/>
  <c r="D101" i="1"/>
  <c r="G105" i="1"/>
  <c r="H105" i="1"/>
  <c r="F105" i="1"/>
  <c r="G109" i="1"/>
  <c r="E109" i="1"/>
  <c r="I109" i="1"/>
  <c r="D109" i="1"/>
  <c r="G113" i="1"/>
  <c r="H113" i="1"/>
  <c r="F113" i="1"/>
  <c r="G117" i="1"/>
  <c r="E117" i="1"/>
  <c r="I117" i="1"/>
  <c r="D117" i="1"/>
  <c r="G121" i="1"/>
  <c r="H121" i="1"/>
  <c r="F121" i="1"/>
  <c r="G125" i="1"/>
  <c r="E125" i="1"/>
  <c r="I125" i="1"/>
  <c r="D125" i="1"/>
  <c r="G129" i="1"/>
  <c r="H129" i="1"/>
  <c r="F129" i="1"/>
  <c r="G133" i="1"/>
  <c r="E133" i="1"/>
  <c r="I133" i="1"/>
  <c r="D133" i="1"/>
  <c r="G137" i="1"/>
  <c r="H137" i="1"/>
  <c r="F137" i="1"/>
  <c r="G141" i="1"/>
  <c r="E141" i="1"/>
  <c r="I141" i="1"/>
  <c r="D141" i="1"/>
  <c r="G145" i="1"/>
  <c r="H145" i="1"/>
  <c r="F145" i="1"/>
  <c r="G149" i="1"/>
  <c r="E149" i="1"/>
  <c r="I149" i="1"/>
  <c r="D149" i="1"/>
  <c r="G153" i="1"/>
  <c r="H153" i="1"/>
  <c r="F153" i="1"/>
  <c r="G157" i="1"/>
  <c r="E157" i="1"/>
  <c r="I157" i="1"/>
  <c r="D157" i="1"/>
  <c r="G161" i="1"/>
  <c r="H161" i="1"/>
  <c r="F161" i="1"/>
  <c r="G165" i="1"/>
  <c r="E165" i="1"/>
  <c r="I165" i="1"/>
  <c r="D165" i="1"/>
  <c r="G169" i="1"/>
  <c r="H169" i="1"/>
  <c r="F169" i="1"/>
  <c r="G173" i="1"/>
  <c r="E173" i="1"/>
  <c r="I173" i="1"/>
  <c r="D173" i="1"/>
  <c r="G177" i="1"/>
  <c r="H177" i="1"/>
  <c r="F177" i="1"/>
  <c r="G181" i="1"/>
  <c r="E181" i="1"/>
  <c r="I181" i="1"/>
  <c r="D181" i="1"/>
  <c r="G185" i="1"/>
  <c r="H185" i="1"/>
  <c r="F185" i="1"/>
  <c r="G189" i="1"/>
  <c r="E189" i="1"/>
  <c r="I189" i="1"/>
  <c r="D189" i="1"/>
  <c r="G193" i="1"/>
  <c r="H193" i="1"/>
  <c r="F193" i="1"/>
  <c r="G197" i="1"/>
  <c r="E197" i="1"/>
  <c r="I197" i="1"/>
  <c r="D197" i="1"/>
  <c r="G201" i="1"/>
  <c r="H201" i="1"/>
  <c r="F201" i="1"/>
  <c r="G205" i="1"/>
  <c r="E205" i="1"/>
  <c r="I205" i="1"/>
  <c r="D205" i="1"/>
  <c r="G209" i="1"/>
  <c r="H209" i="1"/>
  <c r="F209" i="1"/>
  <c r="G213" i="1"/>
  <c r="E213" i="1"/>
  <c r="I213" i="1"/>
  <c r="D213" i="1"/>
  <c r="G217" i="1"/>
  <c r="H217" i="1"/>
  <c r="F217" i="1"/>
  <c r="G221" i="1"/>
  <c r="E221" i="1"/>
  <c r="I221" i="1"/>
  <c r="D221" i="1"/>
  <c r="G225" i="1"/>
  <c r="H225" i="1"/>
  <c r="F225" i="1"/>
  <c r="G229" i="1"/>
  <c r="E229" i="1"/>
  <c r="I229" i="1"/>
  <c r="D229" i="1"/>
  <c r="G233" i="1"/>
  <c r="H233" i="1"/>
  <c r="F233" i="1"/>
  <c r="G237" i="1"/>
  <c r="E237" i="1"/>
  <c r="I237" i="1"/>
  <c r="D237" i="1"/>
  <c r="G241" i="1"/>
  <c r="H241" i="1"/>
  <c r="F241" i="1"/>
  <c r="G245" i="1"/>
  <c r="E245" i="1"/>
  <c r="I245" i="1"/>
  <c r="D245" i="1"/>
  <c r="G249" i="1"/>
  <c r="H249" i="1"/>
  <c r="F249" i="1"/>
  <c r="G253" i="1"/>
  <c r="E253" i="1"/>
  <c r="I253" i="1"/>
  <c r="D253" i="1"/>
  <c r="G257" i="1"/>
  <c r="H257" i="1"/>
  <c r="F257" i="1"/>
  <c r="G261" i="1"/>
  <c r="E261" i="1"/>
  <c r="I261" i="1"/>
  <c r="D261" i="1"/>
  <c r="G265" i="1"/>
  <c r="H265" i="1"/>
  <c r="F265" i="1"/>
  <c r="G269" i="1"/>
  <c r="E269" i="1"/>
  <c r="I269" i="1"/>
  <c r="D269" i="1"/>
  <c r="G273" i="1"/>
  <c r="H273" i="1"/>
  <c r="F273" i="1"/>
  <c r="G277" i="1"/>
  <c r="E277" i="1"/>
  <c r="I277" i="1"/>
  <c r="D277" i="1"/>
  <c r="G281" i="1"/>
  <c r="H281" i="1"/>
  <c r="F281" i="1"/>
  <c r="G285" i="1"/>
  <c r="E285" i="1"/>
  <c r="I285" i="1"/>
  <c r="D285" i="1"/>
  <c r="G289" i="1"/>
  <c r="H289" i="1"/>
  <c r="F289" i="1"/>
  <c r="G293" i="1"/>
  <c r="E293" i="1"/>
  <c r="I293" i="1"/>
  <c r="D293" i="1"/>
  <c r="G297" i="1"/>
  <c r="H297" i="1"/>
  <c r="F297" i="1"/>
  <c r="G301" i="1"/>
  <c r="E301" i="1"/>
  <c r="I301" i="1"/>
  <c r="D301" i="1"/>
  <c r="G305" i="1"/>
  <c r="H305" i="1"/>
  <c r="F305" i="1"/>
  <c r="G309" i="1"/>
  <c r="E309" i="1"/>
  <c r="I309" i="1"/>
  <c r="D309" i="1"/>
  <c r="G313" i="1"/>
  <c r="H313" i="1"/>
  <c r="F313" i="1"/>
  <c r="G317" i="1"/>
  <c r="E317" i="1"/>
  <c r="I317" i="1"/>
  <c r="D317" i="1"/>
  <c r="G321" i="1"/>
  <c r="H321" i="1"/>
  <c r="F321" i="1"/>
  <c r="G325" i="1"/>
  <c r="E325" i="1"/>
  <c r="I325" i="1"/>
  <c r="D325" i="1"/>
  <c r="G329" i="1"/>
  <c r="H329" i="1"/>
  <c r="F329" i="1"/>
  <c r="G333" i="1"/>
  <c r="E333" i="1"/>
  <c r="I333" i="1"/>
  <c r="D333" i="1"/>
  <c r="G337" i="1"/>
  <c r="H337" i="1"/>
  <c r="F337" i="1"/>
  <c r="G341" i="1"/>
  <c r="E341" i="1"/>
  <c r="I341" i="1"/>
  <c r="D341" i="1"/>
  <c r="G345" i="1"/>
  <c r="H345" i="1"/>
  <c r="F345" i="1"/>
  <c r="G349" i="1"/>
  <c r="E349" i="1"/>
  <c r="I349" i="1"/>
  <c r="D349" i="1"/>
  <c r="G353" i="1"/>
  <c r="H353" i="1"/>
  <c r="F353" i="1"/>
  <c r="G357" i="1"/>
  <c r="E357" i="1"/>
  <c r="I357" i="1"/>
  <c r="D357" i="1"/>
  <c r="G361" i="1"/>
  <c r="H361" i="1"/>
  <c r="F361" i="1"/>
  <c r="G365" i="1"/>
  <c r="E365" i="1"/>
  <c r="I365" i="1"/>
  <c r="D365" i="1"/>
  <c r="G369" i="1"/>
  <c r="H369" i="1"/>
  <c r="F369" i="1"/>
  <c r="G373" i="1"/>
  <c r="E373" i="1"/>
  <c r="I373" i="1"/>
  <c r="D373" i="1"/>
  <c r="G377" i="1"/>
  <c r="H377" i="1"/>
  <c r="F377" i="1"/>
  <c r="G381" i="1"/>
  <c r="E381" i="1"/>
  <c r="I381" i="1"/>
  <c r="D381" i="1"/>
  <c r="G385" i="1"/>
  <c r="H385" i="1"/>
  <c r="F385" i="1"/>
  <c r="G389" i="1"/>
  <c r="E389" i="1"/>
  <c r="I389" i="1"/>
  <c r="D389" i="1"/>
  <c r="G393" i="1"/>
  <c r="H393" i="1"/>
  <c r="F393" i="1"/>
  <c r="G397" i="1"/>
  <c r="E397" i="1"/>
  <c r="I397" i="1"/>
  <c r="D397" i="1"/>
  <c r="G401" i="1"/>
  <c r="H401" i="1"/>
  <c r="F401" i="1"/>
  <c r="E401" i="1"/>
  <c r="G405" i="1"/>
  <c r="E405" i="1"/>
  <c r="I405" i="1"/>
  <c r="D405" i="1"/>
  <c r="H405" i="1"/>
  <c r="G409" i="1"/>
  <c r="H409" i="1"/>
  <c r="F409" i="1"/>
  <c r="E409" i="1"/>
  <c r="G413" i="1"/>
  <c r="E413" i="1"/>
  <c r="I413" i="1"/>
  <c r="D413" i="1"/>
  <c r="H413" i="1"/>
  <c r="G417" i="1"/>
  <c r="H417" i="1"/>
  <c r="F417" i="1"/>
  <c r="E417" i="1"/>
  <c r="G421" i="1"/>
  <c r="E421" i="1"/>
  <c r="I421" i="1"/>
  <c r="D421" i="1"/>
  <c r="H421" i="1"/>
  <c r="G425" i="1"/>
  <c r="H425" i="1"/>
  <c r="F425" i="1"/>
  <c r="E425" i="1"/>
  <c r="G429" i="1"/>
  <c r="E429" i="1"/>
  <c r="I429" i="1"/>
  <c r="D429" i="1"/>
  <c r="H429" i="1"/>
  <c r="G433" i="1"/>
  <c r="H433" i="1"/>
  <c r="F433" i="1"/>
  <c r="E433" i="1"/>
  <c r="G437" i="1"/>
  <c r="E437" i="1"/>
  <c r="I437" i="1"/>
  <c r="D437" i="1"/>
  <c r="H437" i="1"/>
  <c r="G441" i="1"/>
  <c r="H441" i="1"/>
  <c r="F441" i="1"/>
  <c r="E441" i="1"/>
  <c r="G445" i="1"/>
  <c r="E445" i="1"/>
  <c r="I445" i="1"/>
  <c r="D445" i="1"/>
  <c r="H445" i="1"/>
  <c r="G449" i="1"/>
  <c r="H449" i="1"/>
  <c r="F449" i="1"/>
  <c r="E449" i="1"/>
  <c r="G453" i="1"/>
  <c r="E453" i="1"/>
  <c r="I453" i="1"/>
  <c r="D453" i="1"/>
  <c r="H453" i="1"/>
  <c r="G457" i="1"/>
  <c r="H457" i="1"/>
  <c r="F457" i="1"/>
  <c r="E457" i="1"/>
  <c r="G461" i="1"/>
  <c r="E461" i="1"/>
  <c r="I461" i="1"/>
  <c r="D461" i="1"/>
  <c r="H461" i="1"/>
  <c r="G465" i="1"/>
  <c r="H465" i="1"/>
  <c r="F465" i="1"/>
  <c r="E465" i="1"/>
  <c r="G469" i="1"/>
  <c r="E469" i="1"/>
  <c r="I469" i="1"/>
  <c r="D469" i="1"/>
  <c r="H469" i="1"/>
  <c r="G473" i="1"/>
  <c r="H473" i="1"/>
  <c r="F473" i="1"/>
  <c r="E473" i="1"/>
  <c r="G477" i="1"/>
  <c r="E477" i="1"/>
  <c r="I477" i="1"/>
  <c r="D477" i="1"/>
  <c r="H477" i="1"/>
  <c r="G481" i="1"/>
  <c r="H481" i="1"/>
  <c r="F481" i="1"/>
  <c r="E481" i="1"/>
  <c r="G485" i="1"/>
  <c r="E485" i="1"/>
  <c r="I485" i="1"/>
  <c r="D485" i="1"/>
  <c r="H485" i="1"/>
  <c r="G489" i="1"/>
  <c r="H489" i="1"/>
  <c r="F489" i="1"/>
  <c r="E489" i="1"/>
  <c r="G493" i="1"/>
  <c r="E493" i="1"/>
  <c r="I493" i="1"/>
  <c r="D493" i="1"/>
  <c r="H493" i="1"/>
  <c r="G497" i="1"/>
  <c r="H497" i="1"/>
  <c r="F497" i="1"/>
  <c r="E497" i="1"/>
  <c r="G501" i="1"/>
  <c r="E501" i="1"/>
  <c r="I501" i="1"/>
  <c r="D501" i="1"/>
  <c r="H501" i="1"/>
  <c r="G505" i="1"/>
  <c r="H505" i="1"/>
  <c r="F505" i="1"/>
  <c r="E505" i="1"/>
  <c r="G509" i="1"/>
  <c r="E509" i="1"/>
  <c r="I509" i="1"/>
  <c r="D509" i="1"/>
  <c r="H509" i="1"/>
  <c r="G513" i="1"/>
  <c r="H513" i="1"/>
  <c r="F513" i="1"/>
  <c r="E513" i="1"/>
  <c r="G517" i="1"/>
  <c r="E517" i="1"/>
  <c r="I517" i="1"/>
  <c r="D517" i="1"/>
  <c r="H517" i="1"/>
  <c r="G521" i="1"/>
  <c r="H521" i="1"/>
  <c r="F521" i="1"/>
  <c r="E521" i="1"/>
  <c r="F525" i="1"/>
  <c r="H525" i="1"/>
  <c r="D525" i="1"/>
  <c r="I525" i="1"/>
  <c r="G525" i="1"/>
  <c r="F529" i="1"/>
  <c r="E529" i="1"/>
  <c r="H529" i="1"/>
  <c r="G529" i="1"/>
  <c r="D529" i="1"/>
  <c r="F533" i="1"/>
  <c r="H533" i="1"/>
  <c r="E533" i="1"/>
  <c r="D533" i="1"/>
  <c r="I533" i="1"/>
  <c r="F537" i="1"/>
  <c r="E537" i="1"/>
  <c r="I537" i="1"/>
  <c r="H537" i="1"/>
  <c r="G537" i="1"/>
  <c r="F541" i="1"/>
  <c r="H541" i="1"/>
  <c r="G541" i="1"/>
  <c r="E541" i="1"/>
  <c r="D541" i="1"/>
  <c r="F545" i="1"/>
  <c r="E545" i="1"/>
  <c r="D545" i="1"/>
  <c r="I545" i="1"/>
  <c r="H545" i="1"/>
  <c r="F549" i="1"/>
  <c r="H549" i="1"/>
  <c r="I549" i="1"/>
  <c r="G549" i="1"/>
  <c r="E549" i="1"/>
  <c r="F553" i="1"/>
  <c r="E553" i="1"/>
  <c r="G553" i="1"/>
  <c r="D553" i="1"/>
  <c r="I553" i="1"/>
  <c r="F557" i="1"/>
  <c r="H557" i="1"/>
  <c r="D557" i="1"/>
  <c r="I557" i="1"/>
  <c r="G557" i="1"/>
  <c r="F561" i="1"/>
  <c r="E561" i="1"/>
  <c r="H561" i="1"/>
  <c r="G561" i="1"/>
  <c r="D561" i="1"/>
  <c r="F565" i="1"/>
  <c r="H565" i="1"/>
  <c r="E565" i="1"/>
  <c r="D565" i="1"/>
  <c r="I565" i="1"/>
  <c r="F569" i="1"/>
  <c r="E569" i="1"/>
  <c r="I569" i="1"/>
  <c r="H569" i="1"/>
  <c r="G569" i="1"/>
  <c r="F573" i="1"/>
  <c r="H573" i="1"/>
  <c r="G573" i="1"/>
  <c r="E573" i="1"/>
  <c r="D573" i="1"/>
  <c r="F577" i="1"/>
  <c r="E577" i="1"/>
  <c r="D577" i="1"/>
  <c r="I577" i="1"/>
  <c r="H577" i="1"/>
  <c r="F581" i="1"/>
  <c r="H581" i="1"/>
  <c r="I581" i="1"/>
  <c r="G581" i="1"/>
  <c r="E581" i="1"/>
  <c r="F585" i="1"/>
  <c r="E585" i="1"/>
  <c r="G585" i="1"/>
  <c r="D585" i="1"/>
  <c r="I585" i="1"/>
  <c r="F589" i="1"/>
  <c r="H589" i="1"/>
  <c r="D589" i="1"/>
  <c r="I589" i="1"/>
  <c r="G589" i="1"/>
  <c r="F593" i="1"/>
  <c r="E593" i="1"/>
  <c r="H593" i="1"/>
  <c r="G593" i="1"/>
  <c r="D593" i="1"/>
  <c r="F597" i="1"/>
  <c r="H597" i="1"/>
  <c r="E597" i="1"/>
  <c r="D597" i="1"/>
  <c r="I597" i="1"/>
  <c r="F601" i="1"/>
  <c r="E601" i="1"/>
  <c r="I601" i="1"/>
  <c r="H601" i="1"/>
  <c r="G601" i="1"/>
  <c r="F605" i="1"/>
  <c r="H605" i="1"/>
  <c r="G605" i="1"/>
  <c r="E605" i="1"/>
  <c r="D605" i="1"/>
  <c r="F609" i="1"/>
  <c r="E609" i="1"/>
  <c r="D609" i="1"/>
  <c r="I609" i="1"/>
  <c r="H609" i="1"/>
  <c r="F613" i="1"/>
  <c r="H613" i="1"/>
  <c r="I613" i="1"/>
  <c r="G613" i="1"/>
  <c r="E613" i="1"/>
  <c r="F617" i="1"/>
  <c r="E617" i="1"/>
  <c r="G617" i="1"/>
  <c r="D617" i="1"/>
  <c r="I617" i="1"/>
  <c r="F621" i="1"/>
  <c r="H621" i="1"/>
  <c r="D621" i="1"/>
  <c r="I621" i="1"/>
  <c r="G621" i="1"/>
  <c r="F625" i="1"/>
  <c r="E625" i="1"/>
  <c r="H625" i="1"/>
  <c r="G625" i="1"/>
  <c r="D625" i="1"/>
  <c r="F629" i="1"/>
  <c r="H629" i="1"/>
  <c r="E629" i="1"/>
  <c r="D629" i="1"/>
  <c r="I629" i="1"/>
  <c r="F633" i="1"/>
  <c r="E633" i="1"/>
  <c r="I633" i="1"/>
  <c r="H633" i="1"/>
  <c r="G633" i="1"/>
  <c r="F637" i="1"/>
  <c r="H637" i="1"/>
  <c r="G637" i="1"/>
  <c r="E637" i="1"/>
  <c r="D637" i="1"/>
  <c r="F641" i="1"/>
  <c r="E641" i="1"/>
  <c r="D641" i="1"/>
  <c r="I641" i="1"/>
  <c r="H641" i="1"/>
  <c r="F645" i="1"/>
  <c r="H645" i="1"/>
  <c r="I645" i="1"/>
  <c r="G645" i="1"/>
  <c r="E645" i="1"/>
  <c r="F649" i="1"/>
  <c r="E649" i="1"/>
  <c r="G649" i="1"/>
  <c r="D649" i="1"/>
  <c r="I649" i="1"/>
  <c r="F653" i="1"/>
  <c r="H653" i="1"/>
  <c r="D653" i="1"/>
  <c r="I653" i="1"/>
  <c r="G653" i="1"/>
  <c r="F657" i="1"/>
  <c r="E657" i="1"/>
  <c r="H657" i="1"/>
  <c r="G657" i="1"/>
  <c r="D657" i="1"/>
  <c r="F661" i="1"/>
  <c r="H661" i="1"/>
  <c r="E661" i="1"/>
  <c r="D661" i="1"/>
  <c r="I661" i="1"/>
  <c r="F665" i="1"/>
  <c r="E665" i="1"/>
  <c r="I665" i="1"/>
  <c r="H665" i="1"/>
  <c r="G665" i="1"/>
  <c r="F669" i="1"/>
  <c r="H669" i="1"/>
  <c r="G669" i="1"/>
  <c r="E669" i="1"/>
  <c r="D669" i="1"/>
  <c r="F673" i="1"/>
  <c r="E673" i="1"/>
  <c r="D673" i="1"/>
  <c r="I673" i="1"/>
  <c r="H673" i="1"/>
  <c r="F677" i="1"/>
  <c r="H677" i="1"/>
  <c r="I677" i="1"/>
  <c r="G677" i="1"/>
  <c r="E677" i="1"/>
  <c r="F681" i="1"/>
  <c r="E681" i="1"/>
  <c r="G681" i="1"/>
  <c r="D681" i="1"/>
  <c r="I681" i="1"/>
  <c r="F685" i="1"/>
  <c r="H685" i="1"/>
  <c r="D685" i="1"/>
  <c r="I685" i="1"/>
  <c r="G685" i="1"/>
  <c r="F689" i="1"/>
  <c r="E689" i="1"/>
  <c r="H689" i="1"/>
  <c r="G689" i="1"/>
  <c r="D689" i="1"/>
  <c r="F693" i="1"/>
  <c r="H693" i="1"/>
  <c r="E693" i="1"/>
  <c r="D693" i="1"/>
  <c r="I693" i="1"/>
  <c r="F697" i="1"/>
  <c r="E697" i="1"/>
  <c r="I697" i="1"/>
  <c r="H697" i="1"/>
  <c r="G697" i="1"/>
  <c r="F701" i="1"/>
  <c r="H701" i="1"/>
  <c r="G701" i="1"/>
  <c r="E701" i="1"/>
  <c r="D701" i="1"/>
  <c r="F705" i="1"/>
  <c r="E705" i="1"/>
  <c r="D705" i="1"/>
  <c r="I705" i="1"/>
  <c r="H705" i="1"/>
  <c r="F709" i="1"/>
  <c r="H709" i="1"/>
  <c r="I709" i="1"/>
  <c r="G709" i="1"/>
  <c r="E709" i="1"/>
  <c r="F713" i="1"/>
  <c r="E713" i="1"/>
  <c r="G713" i="1"/>
  <c r="D713" i="1"/>
  <c r="I713" i="1"/>
  <c r="F717" i="1"/>
  <c r="H717" i="1"/>
  <c r="D717" i="1"/>
  <c r="I717" i="1"/>
  <c r="G717" i="1"/>
  <c r="F721" i="1"/>
  <c r="E721" i="1"/>
  <c r="H721" i="1"/>
  <c r="G721" i="1"/>
  <c r="D721" i="1"/>
  <c r="F725" i="1"/>
  <c r="H725" i="1"/>
  <c r="E725" i="1"/>
  <c r="D725" i="1"/>
  <c r="I725" i="1"/>
  <c r="F729" i="1"/>
  <c r="E729" i="1"/>
  <c r="I729" i="1"/>
  <c r="H729" i="1"/>
  <c r="G729" i="1"/>
  <c r="F733" i="1"/>
  <c r="H733" i="1"/>
  <c r="G733" i="1"/>
  <c r="E733" i="1"/>
  <c r="D733" i="1"/>
  <c r="F737" i="1"/>
  <c r="E737" i="1"/>
  <c r="D737" i="1"/>
  <c r="I737" i="1"/>
  <c r="H737" i="1"/>
  <c r="F741" i="1"/>
  <c r="H741" i="1"/>
  <c r="I741" i="1"/>
  <c r="G741" i="1"/>
  <c r="E741" i="1"/>
  <c r="F745" i="1"/>
  <c r="E745" i="1"/>
  <c r="G745" i="1"/>
  <c r="D745" i="1"/>
  <c r="I745" i="1"/>
  <c r="F749" i="1"/>
  <c r="H749" i="1"/>
  <c r="D749" i="1"/>
  <c r="I749" i="1"/>
  <c r="G749" i="1"/>
  <c r="F753" i="1"/>
  <c r="E753" i="1"/>
  <c r="H753" i="1"/>
  <c r="G753" i="1"/>
  <c r="D753" i="1"/>
  <c r="F757" i="1"/>
  <c r="H757" i="1"/>
  <c r="E757" i="1"/>
  <c r="D757" i="1"/>
  <c r="I757" i="1"/>
  <c r="F761" i="1"/>
  <c r="E761" i="1"/>
  <c r="I761" i="1"/>
  <c r="H761" i="1"/>
  <c r="G761" i="1"/>
  <c r="F765" i="1"/>
  <c r="H765" i="1"/>
  <c r="G765" i="1"/>
  <c r="E765" i="1"/>
  <c r="D765" i="1"/>
  <c r="F769" i="1"/>
  <c r="E769" i="1"/>
  <c r="D769" i="1"/>
  <c r="I769" i="1"/>
  <c r="H769" i="1"/>
  <c r="F773" i="1"/>
  <c r="H773" i="1"/>
  <c r="I773" i="1"/>
  <c r="G773" i="1"/>
  <c r="E773" i="1"/>
  <c r="F777" i="1"/>
  <c r="E777" i="1"/>
  <c r="G777" i="1"/>
  <c r="D777" i="1"/>
  <c r="I777" i="1"/>
  <c r="F781" i="1"/>
  <c r="H781" i="1"/>
  <c r="D781" i="1"/>
  <c r="I781" i="1"/>
  <c r="G781" i="1"/>
  <c r="F785" i="1"/>
  <c r="E785" i="1"/>
  <c r="H785" i="1"/>
  <c r="G785" i="1"/>
  <c r="D785" i="1"/>
  <c r="F789" i="1"/>
  <c r="H789" i="1"/>
  <c r="E789" i="1"/>
  <c r="D789" i="1"/>
  <c r="I789" i="1"/>
  <c r="F793" i="1"/>
  <c r="E793" i="1"/>
  <c r="I793" i="1"/>
  <c r="H793" i="1"/>
  <c r="G793" i="1"/>
  <c r="F797" i="1"/>
  <c r="H797" i="1"/>
  <c r="G797" i="1"/>
  <c r="E797" i="1"/>
  <c r="D797" i="1"/>
  <c r="F801" i="1"/>
  <c r="E801" i="1"/>
  <c r="D801" i="1"/>
  <c r="I801" i="1"/>
  <c r="H801" i="1"/>
  <c r="F805" i="1"/>
  <c r="H805" i="1"/>
  <c r="I805" i="1"/>
  <c r="G805" i="1"/>
  <c r="E805" i="1"/>
  <c r="G809" i="1"/>
  <c r="F809" i="1"/>
  <c r="D809" i="1"/>
  <c r="I809" i="1"/>
  <c r="H809" i="1"/>
  <c r="G813" i="1"/>
  <c r="I813" i="1"/>
  <c r="D813" i="1"/>
  <c r="H813" i="1"/>
  <c r="F813" i="1"/>
  <c r="E813" i="1"/>
  <c r="G817" i="1"/>
  <c r="F817" i="1"/>
  <c r="E817" i="1"/>
  <c r="I817" i="1"/>
  <c r="H817" i="1"/>
  <c r="G821" i="1"/>
  <c r="I821" i="1"/>
  <c r="D821" i="1"/>
  <c r="F821" i="1"/>
  <c r="E821" i="1"/>
  <c r="G825" i="1"/>
  <c r="F825" i="1"/>
  <c r="H825" i="1"/>
  <c r="I825" i="1"/>
  <c r="E825" i="1"/>
  <c r="G829" i="1"/>
  <c r="I829" i="1"/>
  <c r="D829" i="1"/>
  <c r="E829" i="1"/>
  <c r="F829" i="1"/>
  <c r="G833" i="1"/>
  <c r="F833" i="1"/>
  <c r="I833" i="1"/>
  <c r="H833" i="1"/>
  <c r="E833" i="1"/>
  <c r="G837" i="1"/>
  <c r="I837" i="1"/>
  <c r="D837" i="1"/>
  <c r="F837" i="1"/>
  <c r="E837" i="1"/>
  <c r="G841" i="1"/>
  <c r="F841" i="1"/>
  <c r="D841" i="1"/>
  <c r="I841" i="1"/>
  <c r="H841" i="1"/>
  <c r="E841" i="1"/>
  <c r="G845" i="1"/>
  <c r="I845" i="1"/>
  <c r="D845" i="1"/>
  <c r="H845" i="1"/>
  <c r="E845" i="1"/>
  <c r="G849" i="1"/>
  <c r="F849" i="1"/>
  <c r="E849" i="1"/>
  <c r="I849" i="1"/>
  <c r="H849" i="1"/>
  <c r="D849" i="1"/>
  <c r="G853" i="1"/>
  <c r="I853" i="1"/>
  <c r="D853" i="1"/>
  <c r="E853" i="1"/>
  <c r="H853" i="1"/>
  <c r="G857" i="1"/>
  <c r="F857" i="1"/>
  <c r="H857" i="1"/>
  <c r="I857" i="1"/>
  <c r="E857" i="1"/>
  <c r="D857" i="1"/>
  <c r="G861" i="1"/>
  <c r="I861" i="1"/>
  <c r="D861" i="1"/>
  <c r="E861" i="1"/>
  <c r="H861" i="1"/>
  <c r="G865" i="1"/>
  <c r="F865" i="1"/>
  <c r="I865" i="1"/>
  <c r="H865" i="1"/>
  <c r="E865" i="1"/>
  <c r="D865" i="1"/>
  <c r="G869" i="1"/>
  <c r="I869" i="1"/>
  <c r="D869" i="1"/>
  <c r="F869" i="1"/>
  <c r="H869" i="1"/>
  <c r="G873" i="1"/>
  <c r="F873" i="1"/>
  <c r="D873" i="1"/>
  <c r="H873" i="1"/>
  <c r="E873" i="1"/>
  <c r="G877" i="1"/>
  <c r="I877" i="1"/>
  <c r="D877" i="1"/>
  <c r="H877" i="1"/>
  <c r="F877" i="1"/>
  <c r="G881" i="1"/>
  <c r="F881" i="1"/>
  <c r="E881" i="1"/>
  <c r="H881" i="1"/>
  <c r="D881" i="1"/>
  <c r="G885" i="1"/>
  <c r="I885" i="1"/>
  <c r="D885" i="1"/>
  <c r="H885" i="1"/>
  <c r="F885" i="1"/>
  <c r="G889" i="1"/>
  <c r="F889" i="1"/>
  <c r="H889" i="1"/>
  <c r="E889" i="1"/>
  <c r="D889" i="1"/>
  <c r="G893" i="1"/>
  <c r="I893" i="1"/>
  <c r="D893" i="1"/>
  <c r="E893" i="1"/>
  <c r="H893" i="1"/>
  <c r="F893" i="1"/>
  <c r="G897" i="1"/>
  <c r="F897" i="1"/>
  <c r="I897" i="1"/>
  <c r="E897" i="1"/>
  <c r="D897" i="1"/>
  <c r="G901" i="1"/>
  <c r="I901" i="1"/>
  <c r="D901" i="1"/>
  <c r="F901" i="1"/>
  <c r="H901" i="1"/>
  <c r="E901" i="1"/>
  <c r="G905" i="1"/>
  <c r="F905" i="1"/>
  <c r="D905" i="1"/>
  <c r="E905" i="1"/>
  <c r="I905" i="1"/>
  <c r="G909" i="1"/>
  <c r="I909" i="1"/>
  <c r="D909" i="1"/>
  <c r="H909" i="1"/>
  <c r="F909" i="1"/>
  <c r="E909" i="1"/>
  <c r="G913" i="1"/>
  <c r="F913" i="1"/>
  <c r="E913" i="1"/>
  <c r="D913" i="1"/>
  <c r="I913" i="1"/>
  <c r="G917" i="1"/>
  <c r="I917" i="1"/>
  <c r="D917" i="1"/>
  <c r="H917" i="1"/>
  <c r="F917" i="1"/>
  <c r="E917" i="1"/>
  <c r="G921" i="1"/>
  <c r="F921" i="1"/>
  <c r="H921" i="1"/>
  <c r="D921" i="1"/>
  <c r="I921" i="1"/>
  <c r="G925" i="1"/>
  <c r="I925" i="1"/>
  <c r="D925" i="1"/>
  <c r="E925" i="1"/>
  <c r="H925" i="1"/>
  <c r="F925" i="1"/>
  <c r="G929" i="1"/>
  <c r="F929" i="1"/>
  <c r="I929" i="1"/>
  <c r="D929" i="1"/>
  <c r="H929" i="1"/>
  <c r="G933" i="1"/>
  <c r="I933" i="1"/>
  <c r="D933" i="1"/>
  <c r="F933" i="1"/>
  <c r="H933" i="1"/>
  <c r="E933" i="1"/>
  <c r="G937" i="1"/>
  <c r="F937" i="1"/>
  <c r="D937" i="1"/>
  <c r="I937" i="1"/>
  <c r="H937" i="1"/>
  <c r="G941" i="1"/>
  <c r="I941" i="1"/>
  <c r="D941" i="1"/>
  <c r="H941" i="1"/>
  <c r="F941" i="1"/>
  <c r="E941" i="1"/>
  <c r="G945" i="1"/>
  <c r="F945" i="1"/>
  <c r="E945" i="1"/>
  <c r="I945" i="1"/>
  <c r="H945" i="1"/>
  <c r="G949" i="1"/>
  <c r="I949" i="1"/>
  <c r="D949" i="1"/>
  <c r="F949" i="1"/>
  <c r="E949" i="1"/>
  <c r="G953" i="1"/>
  <c r="F953" i="1"/>
  <c r="H953" i="1"/>
  <c r="I953" i="1"/>
  <c r="E953" i="1"/>
  <c r="G957" i="1"/>
  <c r="I957" i="1"/>
  <c r="D957" i="1"/>
  <c r="E957" i="1"/>
  <c r="F957" i="1"/>
  <c r="G961" i="1"/>
  <c r="F961" i="1"/>
  <c r="I961" i="1"/>
  <c r="H961" i="1"/>
  <c r="E961" i="1"/>
  <c r="G965" i="1"/>
  <c r="I965" i="1"/>
  <c r="D965" i="1"/>
  <c r="F965" i="1"/>
  <c r="E965" i="1"/>
  <c r="G969" i="1"/>
  <c r="F969" i="1"/>
  <c r="D969" i="1"/>
  <c r="I969" i="1"/>
  <c r="H969" i="1"/>
  <c r="E969" i="1"/>
  <c r="G973" i="1"/>
  <c r="I973" i="1"/>
  <c r="D973" i="1"/>
  <c r="H973" i="1"/>
  <c r="E973" i="1"/>
  <c r="G977" i="1"/>
  <c r="F977" i="1"/>
  <c r="E977" i="1"/>
  <c r="I977" i="1"/>
  <c r="H977" i="1"/>
  <c r="D977" i="1"/>
  <c r="H981" i="1"/>
  <c r="G981" i="1"/>
  <c r="D981" i="1"/>
  <c r="E981" i="1"/>
  <c r="I981" i="1"/>
  <c r="H985" i="1"/>
  <c r="D985" i="1"/>
  <c r="E985" i="1"/>
  <c r="G985" i="1"/>
  <c r="F985" i="1"/>
  <c r="I985" i="1"/>
  <c r="H989" i="1"/>
  <c r="D989" i="1"/>
  <c r="G989" i="1"/>
  <c r="E989" i="1"/>
  <c r="F989" i="1"/>
  <c r="H993" i="1"/>
  <c r="D993" i="1"/>
  <c r="E993" i="1"/>
  <c r="I993" i="1"/>
  <c r="G993" i="1"/>
  <c r="F993" i="1"/>
  <c r="H997" i="1"/>
  <c r="D997" i="1"/>
  <c r="G997" i="1"/>
  <c r="F997" i="1"/>
  <c r="E997" i="1"/>
  <c r="I997" i="1"/>
  <c r="H1001" i="1"/>
  <c r="D1001" i="1"/>
  <c r="E1001" i="1"/>
  <c r="I1001" i="1"/>
  <c r="G1001" i="1"/>
  <c r="F1001" i="1"/>
  <c r="H1005" i="1"/>
  <c r="D1005" i="1"/>
  <c r="G1005" i="1"/>
  <c r="I1005" i="1"/>
  <c r="F1005" i="1"/>
  <c r="E1005" i="1"/>
  <c r="H1009" i="1"/>
  <c r="D1009" i="1"/>
  <c r="E1009" i="1"/>
  <c r="F1009" i="1"/>
  <c r="I1009" i="1"/>
  <c r="G1009" i="1"/>
  <c r="H1013" i="1"/>
  <c r="D1013" i="1"/>
  <c r="G1013" i="1"/>
  <c r="I1013" i="1"/>
  <c r="F1013" i="1"/>
  <c r="H1017" i="1"/>
  <c r="D1017" i="1"/>
  <c r="E1017" i="1"/>
  <c r="G1017" i="1"/>
  <c r="F1017" i="1"/>
  <c r="H1021" i="1"/>
  <c r="D1021" i="1"/>
  <c r="G1021" i="1"/>
  <c r="E1021" i="1"/>
  <c r="I1021" i="1"/>
  <c r="F1021" i="1"/>
  <c r="H1025" i="1"/>
  <c r="D1025" i="1"/>
  <c r="E1025" i="1"/>
  <c r="I1025" i="1"/>
  <c r="G1025" i="1"/>
  <c r="F1025" i="1"/>
  <c r="H1029" i="1"/>
  <c r="D1029" i="1"/>
  <c r="F1029" i="1"/>
  <c r="I1029" i="1"/>
  <c r="E1029" i="1"/>
  <c r="G1029" i="1"/>
  <c r="H1033" i="1"/>
  <c r="D1033" i="1"/>
  <c r="G1033" i="1"/>
  <c r="F1033" i="1"/>
  <c r="E1033" i="1"/>
  <c r="I1033" i="1"/>
  <c r="H1037" i="1"/>
  <c r="D1037" i="1"/>
  <c r="G1037" i="1"/>
  <c r="F1037" i="1"/>
  <c r="I1037" i="1"/>
  <c r="H1041" i="1"/>
  <c r="D1041" i="1"/>
  <c r="G1041" i="1"/>
  <c r="F1041" i="1"/>
  <c r="I1041" i="1"/>
  <c r="E1041" i="1"/>
  <c r="H1045" i="1"/>
  <c r="I1045" i="1"/>
  <c r="D1045" i="1"/>
  <c r="G1045" i="1"/>
  <c r="F1045" i="1"/>
  <c r="E1045" i="1"/>
  <c r="H1049" i="1"/>
  <c r="D1049" i="1"/>
  <c r="F1049" i="1"/>
  <c r="E1049" i="1"/>
  <c r="I1049" i="1"/>
  <c r="G1049" i="1"/>
  <c r="H1053" i="1"/>
  <c r="D1053" i="1"/>
  <c r="I1053" i="1"/>
  <c r="G1053" i="1"/>
  <c r="F1053" i="1"/>
  <c r="E1053" i="1"/>
  <c r="H1057" i="1"/>
  <c r="D1057" i="1"/>
  <c r="F1057" i="1"/>
  <c r="E1057" i="1"/>
  <c r="I1057" i="1"/>
  <c r="G1057" i="1"/>
  <c r="H1061" i="1"/>
  <c r="D1061" i="1"/>
  <c r="I1061" i="1"/>
  <c r="G1061" i="1"/>
  <c r="F1061" i="1"/>
  <c r="E1061" i="1"/>
  <c r="H1065" i="1"/>
  <c r="D1065" i="1"/>
  <c r="F1065" i="1"/>
  <c r="E1065" i="1"/>
  <c r="I1065" i="1"/>
  <c r="G1065" i="1"/>
  <c r="H1069" i="1"/>
  <c r="D1069" i="1"/>
  <c r="I1069" i="1"/>
  <c r="G1069" i="1"/>
  <c r="F1069" i="1"/>
  <c r="E1069" i="1"/>
  <c r="H1073" i="1"/>
  <c r="D1073" i="1"/>
  <c r="F1073" i="1"/>
  <c r="E1073" i="1"/>
  <c r="I1073" i="1"/>
  <c r="G1073" i="1"/>
  <c r="H1077" i="1"/>
  <c r="D1077" i="1"/>
  <c r="I1077" i="1"/>
  <c r="G1077" i="1"/>
  <c r="F1077" i="1"/>
  <c r="E1077" i="1"/>
  <c r="H1081" i="1"/>
  <c r="D1081" i="1"/>
  <c r="F1081" i="1"/>
  <c r="E1081" i="1"/>
  <c r="I1081" i="1"/>
  <c r="G1081" i="1"/>
  <c r="H1085" i="1"/>
  <c r="D1085" i="1"/>
  <c r="I1085" i="1"/>
  <c r="G1085" i="1"/>
  <c r="F1085" i="1"/>
  <c r="E1085" i="1"/>
  <c r="I1089" i="1"/>
  <c r="E1089" i="1"/>
  <c r="F1089" i="1"/>
  <c r="D1089" i="1"/>
  <c r="H1089" i="1"/>
  <c r="G1089" i="1"/>
  <c r="I1093" i="1"/>
  <c r="E1093" i="1"/>
  <c r="H1093" i="1"/>
  <c r="G1093" i="1"/>
  <c r="F1093" i="1"/>
  <c r="D1093" i="1"/>
  <c r="I1097" i="1"/>
  <c r="E1097" i="1"/>
  <c r="F1097" i="1"/>
  <c r="D1097" i="1"/>
  <c r="G1097" i="1"/>
  <c r="H1097" i="1"/>
  <c r="I1101" i="1"/>
  <c r="E1101" i="1"/>
  <c r="H1101" i="1"/>
  <c r="G1101" i="1"/>
  <c r="D1101" i="1"/>
  <c r="F1101" i="1"/>
  <c r="I1105" i="1"/>
  <c r="E1105" i="1"/>
  <c r="F1105" i="1"/>
  <c r="D1105" i="1"/>
  <c r="H1105" i="1"/>
  <c r="G1105" i="1"/>
  <c r="I1109" i="1"/>
  <c r="E1109" i="1"/>
  <c r="H1109" i="1"/>
  <c r="G1109" i="1"/>
  <c r="F1109" i="1"/>
  <c r="D1109" i="1"/>
  <c r="I1113" i="1"/>
  <c r="E1113" i="1"/>
  <c r="F1113" i="1"/>
  <c r="D1113" i="1"/>
  <c r="H1113" i="1"/>
  <c r="G1113" i="1"/>
  <c r="I1117" i="1"/>
  <c r="E1117" i="1"/>
  <c r="H1117" i="1"/>
  <c r="G1117" i="1"/>
  <c r="F1117" i="1"/>
  <c r="D1117" i="1"/>
  <c r="I1121" i="1"/>
  <c r="E1121" i="1"/>
  <c r="F1121" i="1"/>
  <c r="D1121" i="1"/>
  <c r="H1121" i="1"/>
  <c r="G1121" i="1"/>
  <c r="I1125" i="1"/>
  <c r="E1125" i="1"/>
  <c r="H1125" i="1"/>
  <c r="G1125" i="1"/>
  <c r="F1125" i="1"/>
  <c r="D1125" i="1"/>
  <c r="I1129" i="1"/>
  <c r="E1129" i="1"/>
  <c r="F1129" i="1"/>
  <c r="D1129" i="1"/>
  <c r="H1129" i="1"/>
  <c r="G1129" i="1"/>
  <c r="I1133" i="1"/>
  <c r="E1133" i="1"/>
  <c r="H1133" i="1"/>
  <c r="G1133" i="1"/>
  <c r="F1133" i="1"/>
  <c r="D1133" i="1"/>
  <c r="I1137" i="1"/>
  <c r="E1137" i="1"/>
  <c r="F1137" i="1"/>
  <c r="D1137" i="1"/>
  <c r="H1137" i="1"/>
  <c r="G1137" i="1"/>
  <c r="F1141" i="1"/>
  <c r="I1141" i="1"/>
  <c r="E1141" i="1"/>
  <c r="H1141" i="1"/>
  <c r="G1141" i="1"/>
  <c r="D1141" i="1"/>
  <c r="F1145" i="1"/>
  <c r="I1145" i="1"/>
  <c r="E1145" i="1"/>
  <c r="H1145" i="1"/>
  <c r="G1145" i="1"/>
  <c r="D1145" i="1"/>
  <c r="F1149" i="1"/>
  <c r="I1149" i="1"/>
  <c r="E1149" i="1"/>
  <c r="H1149" i="1"/>
  <c r="G1149" i="1"/>
  <c r="D1149" i="1"/>
  <c r="G1153" i="1"/>
  <c r="F1153" i="1"/>
  <c r="I1153" i="1"/>
  <c r="E1153" i="1"/>
  <c r="H1153" i="1"/>
  <c r="D1153" i="1"/>
  <c r="G1157" i="1"/>
  <c r="F1157" i="1"/>
  <c r="I1157" i="1"/>
  <c r="E1157" i="1"/>
  <c r="H1157" i="1"/>
  <c r="D1157" i="1"/>
  <c r="F1161" i="1"/>
  <c r="E1161" i="1"/>
  <c r="I1161" i="1"/>
  <c r="D1161" i="1"/>
  <c r="H1161" i="1"/>
  <c r="G1161" i="1"/>
  <c r="F1165" i="1"/>
  <c r="H1165" i="1"/>
  <c r="G1165" i="1"/>
  <c r="E1165" i="1"/>
  <c r="I1165" i="1"/>
  <c r="D1165" i="1"/>
  <c r="F1169" i="1"/>
  <c r="E1169" i="1"/>
  <c r="I1169" i="1"/>
  <c r="D1169" i="1"/>
  <c r="H1169" i="1"/>
  <c r="G1169" i="1"/>
  <c r="F1173" i="1"/>
  <c r="H1173" i="1"/>
  <c r="G1173" i="1"/>
  <c r="E1173" i="1"/>
  <c r="I1173" i="1"/>
  <c r="D1173" i="1"/>
  <c r="F1177" i="1"/>
  <c r="E1177" i="1"/>
  <c r="I1177" i="1"/>
  <c r="D1177" i="1"/>
  <c r="H1177" i="1"/>
  <c r="G1177" i="1"/>
  <c r="F1181" i="1"/>
  <c r="H1181" i="1"/>
  <c r="G1181" i="1"/>
  <c r="E1181" i="1"/>
  <c r="I1181" i="1"/>
  <c r="D1181" i="1"/>
  <c r="F1185" i="1"/>
  <c r="E1185" i="1"/>
  <c r="I1185" i="1"/>
  <c r="D1185" i="1"/>
  <c r="H1185" i="1"/>
  <c r="G1185" i="1"/>
  <c r="F1189" i="1"/>
  <c r="H1189" i="1"/>
  <c r="G1189" i="1"/>
  <c r="E1189" i="1"/>
  <c r="D1189" i="1"/>
  <c r="I1189" i="1"/>
  <c r="H1193" i="1"/>
  <c r="D1193" i="1"/>
  <c r="F1193" i="1"/>
  <c r="E1193" i="1"/>
  <c r="I1193" i="1"/>
  <c r="G1193" i="1"/>
  <c r="H1197" i="1"/>
  <c r="D1197" i="1"/>
  <c r="F1197" i="1"/>
  <c r="E1197" i="1"/>
  <c r="I1197" i="1"/>
  <c r="G1197" i="1"/>
  <c r="H1201" i="1"/>
  <c r="D1201" i="1"/>
  <c r="F1201" i="1"/>
  <c r="G1201" i="1"/>
  <c r="I1201" i="1"/>
  <c r="E1201" i="1"/>
  <c r="H1205" i="1"/>
  <c r="D1205" i="1"/>
  <c r="F1205" i="1"/>
  <c r="G1205" i="1"/>
  <c r="E1205" i="1"/>
  <c r="I1205" i="1"/>
  <c r="H1209" i="1"/>
  <c r="D1209" i="1"/>
  <c r="F1209" i="1"/>
  <c r="G1209" i="1"/>
  <c r="I1209" i="1"/>
  <c r="E1209" i="1"/>
  <c r="H1213" i="1"/>
  <c r="D1213" i="1"/>
  <c r="G1213" i="1"/>
  <c r="F1213" i="1"/>
  <c r="I1213" i="1"/>
  <c r="E1213" i="1"/>
  <c r="H1217" i="1"/>
  <c r="D1217" i="1"/>
  <c r="G1217" i="1"/>
  <c r="F1217" i="1"/>
  <c r="I1217" i="1"/>
  <c r="E1217" i="1"/>
  <c r="H1221" i="1"/>
  <c r="D1221" i="1"/>
  <c r="G1221" i="1"/>
  <c r="F1221" i="1"/>
  <c r="I1221" i="1"/>
  <c r="E1221" i="1"/>
  <c r="H1225" i="1"/>
  <c r="D1225" i="1"/>
  <c r="G1225" i="1"/>
  <c r="F1225" i="1"/>
  <c r="I1225" i="1"/>
  <c r="E1225" i="1"/>
  <c r="H1229" i="1"/>
  <c r="D1229" i="1"/>
  <c r="G1229" i="1"/>
  <c r="F1229" i="1"/>
  <c r="I1229" i="1"/>
  <c r="E1229" i="1"/>
  <c r="H1233" i="1"/>
  <c r="D1233" i="1"/>
  <c r="G1233" i="1"/>
  <c r="F1233" i="1"/>
  <c r="I1233" i="1"/>
  <c r="E1233" i="1"/>
  <c r="H1237" i="1"/>
  <c r="D1237" i="1"/>
  <c r="G1237" i="1"/>
  <c r="F1237" i="1"/>
  <c r="I1237" i="1"/>
  <c r="E1237" i="1"/>
  <c r="H1241" i="1"/>
  <c r="D1241" i="1"/>
  <c r="G1241" i="1"/>
  <c r="F1241" i="1"/>
  <c r="I1241" i="1"/>
  <c r="E1241" i="1"/>
  <c r="H1245" i="1"/>
  <c r="D1245" i="1"/>
  <c r="G1245" i="1"/>
  <c r="F1245" i="1"/>
  <c r="I1245" i="1"/>
  <c r="E1245" i="1"/>
  <c r="H1249" i="1"/>
  <c r="D1249" i="1"/>
  <c r="G1249" i="1"/>
  <c r="F1249" i="1"/>
  <c r="I1249" i="1"/>
  <c r="E1249" i="1"/>
  <c r="H1253" i="1"/>
  <c r="D1253" i="1"/>
  <c r="G1253" i="1"/>
  <c r="F1253" i="1"/>
  <c r="I1253" i="1"/>
  <c r="E1253" i="1"/>
  <c r="D3" i="1"/>
  <c r="I3" i="1"/>
  <c r="H5" i="1"/>
  <c r="F7" i="1"/>
  <c r="E9" i="1"/>
  <c r="D11" i="1"/>
  <c r="H12" i="1"/>
  <c r="G14" i="1"/>
  <c r="F16" i="1"/>
  <c r="D18" i="1"/>
  <c r="I19" i="1"/>
  <c r="H21" i="1"/>
  <c r="F23" i="1"/>
  <c r="E25" i="1"/>
  <c r="D27" i="1"/>
  <c r="H28" i="1"/>
  <c r="G30" i="1"/>
  <c r="F32" i="1"/>
  <c r="D34" i="1"/>
  <c r="I35" i="1"/>
  <c r="H37" i="1"/>
  <c r="F39" i="1"/>
  <c r="E41" i="1"/>
  <c r="D43" i="1"/>
  <c r="H44" i="1"/>
  <c r="G46" i="1"/>
  <c r="F48" i="1"/>
  <c r="D50" i="1"/>
  <c r="I51" i="1"/>
  <c r="H53" i="1"/>
  <c r="F55" i="1"/>
  <c r="E57" i="1"/>
  <c r="D59" i="1"/>
  <c r="H60" i="1"/>
  <c r="G62" i="1"/>
  <c r="F64" i="1"/>
  <c r="D66" i="1"/>
  <c r="I67" i="1"/>
  <c r="H69" i="1"/>
  <c r="F71" i="1"/>
  <c r="E73" i="1"/>
  <c r="D75" i="1"/>
  <c r="H76" i="1"/>
  <c r="G78" i="1"/>
  <c r="F80" i="1"/>
  <c r="D82" i="1"/>
  <c r="I83" i="1"/>
  <c r="H85" i="1"/>
  <c r="F87" i="1"/>
  <c r="E89" i="1"/>
  <c r="D91" i="1"/>
  <c r="H92" i="1"/>
  <c r="G94" i="1"/>
  <c r="F96" i="1"/>
  <c r="D98" i="1"/>
  <c r="I99" i="1"/>
  <c r="H101" i="1"/>
  <c r="F103" i="1"/>
  <c r="E105" i="1"/>
  <c r="D107" i="1"/>
  <c r="H108" i="1"/>
  <c r="G110" i="1"/>
  <c r="F112" i="1"/>
  <c r="D114" i="1"/>
  <c r="I115" i="1"/>
  <c r="H117" i="1"/>
  <c r="F119" i="1"/>
  <c r="E121" i="1"/>
  <c r="D123" i="1"/>
  <c r="H124" i="1"/>
  <c r="G126" i="1"/>
  <c r="F128" i="1"/>
  <c r="D130" i="1"/>
  <c r="I131" i="1"/>
  <c r="H133" i="1"/>
  <c r="F135" i="1"/>
  <c r="E137" i="1"/>
  <c r="D139" i="1"/>
  <c r="H140" i="1"/>
  <c r="G142" i="1"/>
  <c r="F144" i="1"/>
  <c r="D146" i="1"/>
  <c r="I147" i="1"/>
  <c r="H149" i="1"/>
  <c r="F151" i="1"/>
  <c r="E153" i="1"/>
  <c r="D155" i="1"/>
  <c r="H156" i="1"/>
  <c r="G158" i="1"/>
  <c r="F160" i="1"/>
  <c r="D162" i="1"/>
  <c r="I163" i="1"/>
  <c r="H165" i="1"/>
  <c r="F167" i="1"/>
  <c r="E169" i="1"/>
  <c r="D171" i="1"/>
  <c r="H172" i="1"/>
  <c r="G174" i="1"/>
  <c r="F176" i="1"/>
  <c r="D178" i="1"/>
  <c r="I179" i="1"/>
  <c r="H181" i="1"/>
  <c r="F183" i="1"/>
  <c r="E185" i="1"/>
  <c r="D187" i="1"/>
  <c r="H188" i="1"/>
  <c r="G190" i="1"/>
  <c r="F192" i="1"/>
  <c r="D194" i="1"/>
  <c r="I195" i="1"/>
  <c r="H197" i="1"/>
  <c r="F199" i="1"/>
  <c r="E201" i="1"/>
  <c r="D203" i="1"/>
  <c r="H204" i="1"/>
  <c r="G206" i="1"/>
  <c r="F208" i="1"/>
  <c r="D210" i="1"/>
  <c r="I211" i="1"/>
  <c r="H213" i="1"/>
  <c r="F215" i="1"/>
  <c r="E217" i="1"/>
  <c r="D219" i="1"/>
  <c r="H220" i="1"/>
  <c r="G222" i="1"/>
  <c r="F224" i="1"/>
  <c r="D226" i="1"/>
  <c r="I227" i="1"/>
  <c r="H229" i="1"/>
  <c r="F231" i="1"/>
  <c r="E233" i="1"/>
  <c r="D235" i="1"/>
  <c r="H236" i="1"/>
  <c r="G238" i="1"/>
  <c r="F240" i="1"/>
  <c r="D242" i="1"/>
  <c r="I243" i="1"/>
  <c r="H245" i="1"/>
  <c r="F247" i="1"/>
  <c r="E249" i="1"/>
  <c r="D251" i="1"/>
  <c r="H252" i="1"/>
  <c r="G254" i="1"/>
  <c r="F256" i="1"/>
  <c r="D258" i="1"/>
  <c r="I259" i="1"/>
  <c r="H261" i="1"/>
  <c r="F263" i="1"/>
  <c r="E265" i="1"/>
  <c r="D267" i="1"/>
  <c r="H268" i="1"/>
  <c r="G270" i="1"/>
  <c r="F272" i="1"/>
  <c r="D274" i="1"/>
  <c r="I275" i="1"/>
  <c r="H277" i="1"/>
  <c r="F279" i="1"/>
  <c r="E281" i="1"/>
  <c r="D283" i="1"/>
  <c r="H284" i="1"/>
  <c r="G286" i="1"/>
  <c r="F288" i="1"/>
  <c r="D290" i="1"/>
  <c r="I291" i="1"/>
  <c r="H293" i="1"/>
  <c r="F295" i="1"/>
  <c r="E297" i="1"/>
  <c r="D299" i="1"/>
  <c r="H300" i="1"/>
  <c r="G302" i="1"/>
  <c r="F304" i="1"/>
  <c r="D306" i="1"/>
  <c r="I307" i="1"/>
  <c r="H309" i="1"/>
  <c r="F311" i="1"/>
  <c r="E313" i="1"/>
  <c r="D315" i="1"/>
  <c r="H316" i="1"/>
  <c r="G318" i="1"/>
  <c r="F320" i="1"/>
  <c r="D322" i="1"/>
  <c r="I323" i="1"/>
  <c r="H325" i="1"/>
  <c r="F327" i="1"/>
  <c r="E329" i="1"/>
  <c r="D331" i="1"/>
  <c r="H332" i="1"/>
  <c r="G334" i="1"/>
  <c r="F336" i="1"/>
  <c r="D338" i="1"/>
  <c r="I339" i="1"/>
  <c r="H341" i="1"/>
  <c r="F343" i="1"/>
  <c r="E345" i="1"/>
  <c r="D347" i="1"/>
  <c r="H348" i="1"/>
  <c r="G350" i="1"/>
  <c r="F352" i="1"/>
  <c r="D354" i="1"/>
  <c r="I355" i="1"/>
  <c r="H357" i="1"/>
  <c r="F359" i="1"/>
  <c r="E361" i="1"/>
  <c r="D363" i="1"/>
  <c r="H364" i="1"/>
  <c r="G366" i="1"/>
  <c r="F368" i="1"/>
  <c r="D370" i="1"/>
  <c r="I371" i="1"/>
  <c r="H373" i="1"/>
  <c r="F375" i="1"/>
  <c r="E377" i="1"/>
  <c r="D379" i="1"/>
  <c r="H380" i="1"/>
  <c r="G382" i="1"/>
  <c r="F384" i="1"/>
  <c r="D386" i="1"/>
  <c r="I387" i="1"/>
  <c r="H389" i="1"/>
  <c r="F391" i="1"/>
  <c r="E393" i="1"/>
  <c r="D395" i="1"/>
  <c r="H396" i="1"/>
  <c r="G398" i="1"/>
  <c r="I401" i="1"/>
  <c r="F405" i="1"/>
  <c r="D409" i="1"/>
  <c r="G412" i="1"/>
  <c r="D416" i="1"/>
  <c r="H419" i="1"/>
  <c r="E423" i="1"/>
  <c r="H426" i="1"/>
  <c r="F430" i="1"/>
  <c r="I433" i="1"/>
  <c r="F437" i="1"/>
  <c r="D441" i="1"/>
  <c r="G444" i="1"/>
  <c r="D448" i="1"/>
  <c r="H451" i="1"/>
  <c r="E455" i="1"/>
  <c r="H458" i="1"/>
  <c r="F462" i="1"/>
  <c r="I465" i="1"/>
  <c r="F469" i="1"/>
  <c r="D473" i="1"/>
  <c r="G476" i="1"/>
  <c r="D480" i="1"/>
  <c r="H483" i="1"/>
  <c r="E487" i="1"/>
  <c r="H490" i="1"/>
  <c r="F494" i="1"/>
  <c r="I497" i="1"/>
  <c r="F501" i="1"/>
  <c r="D505" i="1"/>
  <c r="G508" i="1"/>
  <c r="D512" i="1"/>
  <c r="H515" i="1"/>
  <c r="E519" i="1"/>
  <c r="I522" i="1"/>
  <c r="H527" i="1"/>
  <c r="F532" i="1"/>
  <c r="D537" i="1"/>
  <c r="I541" i="1"/>
  <c r="G546" i="1"/>
  <c r="E551" i="1"/>
  <c r="E556" i="1"/>
  <c r="I560" i="1"/>
  <c r="G565" i="1"/>
  <c r="F570" i="1"/>
  <c r="D575" i="1"/>
  <c r="H579" i="1"/>
  <c r="G584" i="1"/>
  <c r="E589" i="1"/>
  <c r="I593" i="1"/>
  <c r="I598" i="1"/>
  <c r="G603" i="1"/>
  <c r="E608" i="1"/>
  <c r="D613" i="1"/>
  <c r="H617" i="1"/>
  <c r="F622" i="1"/>
  <c r="E627" i="1"/>
  <c r="I631" i="1"/>
  <c r="G636" i="1"/>
  <c r="G641" i="1"/>
  <c r="E646" i="1"/>
  <c r="I650" i="1"/>
  <c r="H655" i="1"/>
  <c r="F660" i="1"/>
  <c r="D665" i="1"/>
  <c r="I669" i="1"/>
  <c r="G674" i="1"/>
  <c r="E679" i="1"/>
  <c r="E684" i="1"/>
  <c r="I688" i="1"/>
  <c r="G693" i="1"/>
  <c r="F698" i="1"/>
  <c r="D703" i="1"/>
  <c r="H707" i="1"/>
  <c r="G712" i="1"/>
  <c r="E717" i="1"/>
  <c r="I721" i="1"/>
  <c r="I726" i="1"/>
  <c r="G731" i="1"/>
  <c r="E736" i="1"/>
  <c r="D741" i="1"/>
  <c r="H745" i="1"/>
  <c r="F750" i="1"/>
  <c r="E755" i="1"/>
  <c r="I759" i="1"/>
  <c r="G764" i="1"/>
  <c r="G769" i="1"/>
  <c r="E774" i="1"/>
  <c r="I778" i="1"/>
  <c r="H783" i="1"/>
  <c r="F788" i="1"/>
  <c r="D793" i="1"/>
  <c r="I797" i="1"/>
  <c r="G802" i="1"/>
  <c r="F807" i="1"/>
  <c r="D814" i="1"/>
  <c r="F820" i="1"/>
  <c r="G826" i="1"/>
  <c r="D833" i="1"/>
  <c r="E839" i="1"/>
  <c r="F845" i="1"/>
  <c r="I851" i="1"/>
  <c r="D858" i="1"/>
  <c r="F864" i="1"/>
  <c r="D871" i="1"/>
  <c r="E877" i="1"/>
  <c r="F883" i="1"/>
  <c r="I889" i="1"/>
  <c r="D896" i="1"/>
  <c r="F902" i="1"/>
  <c r="H908" i="1"/>
  <c r="D915" i="1"/>
  <c r="E921" i="1"/>
  <c r="I927" i="1"/>
  <c r="D934" i="1"/>
  <c r="F940" i="1"/>
  <c r="H946" i="1"/>
  <c r="D953" i="1"/>
  <c r="E959" i="1"/>
  <c r="H965" i="1"/>
  <c r="I971" i="1"/>
  <c r="D978" i="1"/>
  <c r="E987" i="1"/>
  <c r="G1003" i="1"/>
  <c r="H1022" i="1"/>
  <c r="H1072" i="1"/>
  <c r="F2" i="1"/>
  <c r="G4" i="1"/>
  <c r="F6" i="1"/>
  <c r="I9" i="1"/>
  <c r="H11" i="1"/>
  <c r="F13" i="1"/>
  <c r="E15" i="1"/>
  <c r="D17" i="1"/>
  <c r="H18" i="1"/>
  <c r="G20" i="1"/>
  <c r="F22" i="1"/>
  <c r="D24" i="1"/>
  <c r="I25" i="1"/>
  <c r="H27" i="1"/>
  <c r="F29" i="1"/>
  <c r="E31" i="1"/>
  <c r="D33" i="1"/>
  <c r="H34" i="1"/>
  <c r="G36" i="1"/>
  <c r="F38" i="1"/>
  <c r="D40" i="1"/>
  <c r="I41" i="1"/>
  <c r="H43" i="1"/>
  <c r="F45" i="1"/>
  <c r="E47" i="1"/>
  <c r="D49" i="1"/>
  <c r="H50" i="1"/>
  <c r="G52" i="1"/>
  <c r="F54" i="1"/>
  <c r="D56" i="1"/>
  <c r="I57" i="1"/>
  <c r="H59" i="1"/>
  <c r="F61" i="1"/>
  <c r="E63" i="1"/>
  <c r="D65" i="1"/>
  <c r="H66" i="1"/>
  <c r="G68" i="1"/>
  <c r="F70" i="1"/>
  <c r="D72" i="1"/>
  <c r="I73" i="1"/>
  <c r="H75" i="1"/>
  <c r="F77" i="1"/>
  <c r="E79" i="1"/>
  <c r="D81" i="1"/>
  <c r="H82" i="1"/>
  <c r="G84" i="1"/>
  <c r="F86" i="1"/>
  <c r="D88" i="1"/>
  <c r="I89" i="1"/>
  <c r="H91" i="1"/>
  <c r="F93" i="1"/>
  <c r="E95" i="1"/>
  <c r="D97" i="1"/>
  <c r="H98" i="1"/>
  <c r="G100" i="1"/>
  <c r="F102" i="1"/>
  <c r="D104" i="1"/>
  <c r="I105" i="1"/>
  <c r="H107" i="1"/>
  <c r="F109" i="1"/>
  <c r="E111" i="1"/>
  <c r="D113" i="1"/>
  <c r="H114" i="1"/>
  <c r="G116" i="1"/>
  <c r="F118" i="1"/>
  <c r="D120" i="1"/>
  <c r="I121" i="1"/>
  <c r="H123" i="1"/>
  <c r="F125" i="1"/>
  <c r="E127" i="1"/>
  <c r="D129" i="1"/>
  <c r="H130" i="1"/>
  <c r="G132" i="1"/>
  <c r="F134" i="1"/>
  <c r="D136" i="1"/>
  <c r="I137" i="1"/>
  <c r="H139" i="1"/>
  <c r="F141" i="1"/>
  <c r="E143" i="1"/>
  <c r="D145" i="1"/>
  <c r="H146" i="1"/>
  <c r="G148" i="1"/>
  <c r="F150" i="1"/>
  <c r="D152" i="1"/>
  <c r="I153" i="1"/>
  <c r="H155" i="1"/>
  <c r="F157" i="1"/>
  <c r="E159" i="1"/>
  <c r="D161" i="1"/>
  <c r="H162" i="1"/>
  <c r="G164" i="1"/>
  <c r="F166" i="1"/>
  <c r="D168" i="1"/>
  <c r="I169" i="1"/>
  <c r="H171" i="1"/>
  <c r="F173" i="1"/>
  <c r="E175" i="1"/>
  <c r="D177" i="1"/>
  <c r="H178" i="1"/>
  <c r="G180" i="1"/>
  <c r="F182" i="1"/>
  <c r="D184" i="1"/>
  <c r="I185" i="1"/>
  <c r="H187" i="1"/>
  <c r="F189" i="1"/>
  <c r="E191" i="1"/>
  <c r="D193" i="1"/>
  <c r="H194" i="1"/>
  <c r="G196" i="1"/>
  <c r="F198" i="1"/>
  <c r="D200" i="1"/>
  <c r="I201" i="1"/>
  <c r="H203" i="1"/>
  <c r="F205" i="1"/>
  <c r="E207" i="1"/>
  <c r="D209" i="1"/>
  <c r="H210" i="1"/>
  <c r="G212" i="1"/>
  <c r="F214" i="1"/>
  <c r="D216" i="1"/>
  <c r="I217" i="1"/>
  <c r="H219" i="1"/>
  <c r="F221" i="1"/>
  <c r="E223" i="1"/>
  <c r="D225" i="1"/>
  <c r="H226" i="1"/>
  <c r="G228" i="1"/>
  <c r="F230" i="1"/>
  <c r="D232" i="1"/>
  <c r="I233" i="1"/>
  <c r="H235" i="1"/>
  <c r="F237" i="1"/>
  <c r="E239" i="1"/>
  <c r="D241" i="1"/>
  <c r="H242" i="1"/>
  <c r="G244" i="1"/>
  <c r="F246" i="1"/>
  <c r="D248" i="1"/>
  <c r="I249" i="1"/>
  <c r="H251" i="1"/>
  <c r="F253" i="1"/>
  <c r="E255" i="1"/>
  <c r="D257" i="1"/>
  <c r="H258" i="1"/>
  <c r="G260" i="1"/>
  <c r="F262" i="1"/>
  <c r="D264" i="1"/>
  <c r="I265" i="1"/>
  <c r="H267" i="1"/>
  <c r="F269" i="1"/>
  <c r="E271" i="1"/>
  <c r="D273" i="1"/>
  <c r="H274" i="1"/>
  <c r="G276" i="1"/>
  <c r="F278" i="1"/>
  <c r="D280" i="1"/>
  <c r="I281" i="1"/>
  <c r="H283" i="1"/>
  <c r="F285" i="1"/>
  <c r="E287" i="1"/>
  <c r="D289" i="1"/>
  <c r="H290" i="1"/>
  <c r="G292" i="1"/>
  <c r="F294" i="1"/>
  <c r="D296" i="1"/>
  <c r="I297" i="1"/>
  <c r="H299" i="1"/>
  <c r="F301" i="1"/>
  <c r="E303" i="1"/>
  <c r="D305" i="1"/>
  <c r="H306" i="1"/>
  <c r="G308" i="1"/>
  <c r="F310" i="1"/>
  <c r="D312" i="1"/>
  <c r="I313" i="1"/>
  <c r="H315" i="1"/>
  <c r="F317" i="1"/>
  <c r="E319" i="1"/>
  <c r="D321" i="1"/>
  <c r="H322" i="1"/>
  <c r="G324" i="1"/>
  <c r="F326" i="1"/>
  <c r="D328" i="1"/>
  <c r="I329" i="1"/>
  <c r="H331" i="1"/>
  <c r="F333" i="1"/>
  <c r="E335" i="1"/>
  <c r="D337" i="1"/>
  <c r="H338" i="1"/>
  <c r="G340" i="1"/>
  <c r="F342" i="1"/>
  <c r="D344" i="1"/>
  <c r="I345" i="1"/>
  <c r="H347" i="1"/>
  <c r="F349" i="1"/>
  <c r="E351" i="1"/>
  <c r="D353" i="1"/>
  <c r="H354" i="1"/>
  <c r="G356" i="1"/>
  <c r="F358" i="1"/>
  <c r="D360" i="1"/>
  <c r="I361" i="1"/>
  <c r="H363" i="1"/>
  <c r="F365" i="1"/>
  <c r="E367" i="1"/>
  <c r="D369" i="1"/>
  <c r="H370" i="1"/>
  <c r="G372" i="1"/>
  <c r="F374" i="1"/>
  <c r="D376" i="1"/>
  <c r="I377" i="1"/>
  <c r="H379" i="1"/>
  <c r="F381" i="1"/>
  <c r="E383" i="1"/>
  <c r="D385" i="1"/>
  <c r="H386" i="1"/>
  <c r="G388" i="1"/>
  <c r="F390" i="1"/>
  <c r="D392" i="1"/>
  <c r="I393" i="1"/>
  <c r="H395" i="1"/>
  <c r="F397" i="1"/>
  <c r="E399" i="1"/>
  <c r="H402" i="1"/>
  <c r="F406" i="1"/>
  <c r="I409" i="1"/>
  <c r="F413" i="1"/>
  <c r="D417" i="1"/>
  <c r="G420" i="1"/>
  <c r="D424" i="1"/>
  <c r="H427" i="1"/>
  <c r="E431" i="1"/>
  <c r="H434" i="1"/>
  <c r="F438" i="1"/>
  <c r="I441" i="1"/>
  <c r="F445" i="1"/>
  <c r="D449" i="1"/>
  <c r="G452" i="1"/>
  <c r="D456" i="1"/>
  <c r="H459" i="1"/>
  <c r="E463" i="1"/>
  <c r="H466" i="1"/>
  <c r="F470" i="1"/>
  <c r="I473" i="1"/>
  <c r="F477" i="1"/>
  <c r="D481" i="1"/>
  <c r="G484" i="1"/>
  <c r="D488" i="1"/>
  <c r="H491" i="1"/>
  <c r="E495" i="1"/>
  <c r="H498" i="1"/>
  <c r="F502" i="1"/>
  <c r="I505" i="1"/>
  <c r="F509" i="1"/>
  <c r="D513" i="1"/>
  <c r="G516" i="1"/>
  <c r="D520" i="1"/>
  <c r="E524" i="1"/>
  <c r="I528" i="1"/>
  <c r="G533" i="1"/>
  <c r="F538" i="1"/>
  <c r="D543" i="1"/>
  <c r="H547" i="1"/>
  <c r="G552" i="1"/>
  <c r="E557" i="1"/>
  <c r="I561" i="1"/>
  <c r="I566" i="1"/>
  <c r="G571" i="1"/>
  <c r="E576" i="1"/>
  <c r="D581" i="1"/>
  <c r="H585" i="1"/>
  <c r="F590" i="1"/>
  <c r="E595" i="1"/>
  <c r="I599" i="1"/>
  <c r="G604" i="1"/>
  <c r="G609" i="1"/>
  <c r="E614" i="1"/>
  <c r="I618" i="1"/>
  <c r="H623" i="1"/>
  <c r="F628" i="1"/>
  <c r="D633" i="1"/>
  <c r="I637" i="1"/>
  <c r="G642" i="1"/>
  <c r="E647" i="1"/>
  <c r="E652" i="1"/>
  <c r="I656" i="1"/>
  <c r="G661" i="1"/>
  <c r="F666" i="1"/>
  <c r="D671" i="1"/>
  <c r="H675" i="1"/>
  <c r="G680" i="1"/>
  <c r="E685" i="1"/>
  <c r="I689" i="1"/>
  <c r="I694" i="1"/>
  <c r="G699" i="1"/>
  <c r="E704" i="1"/>
  <c r="D709" i="1"/>
  <c r="H713" i="1"/>
  <c r="F718" i="1"/>
  <c r="E723" i="1"/>
  <c r="I727" i="1"/>
  <c r="G732" i="1"/>
  <c r="G737" i="1"/>
  <c r="E742" i="1"/>
  <c r="I746" i="1"/>
  <c r="H751" i="1"/>
  <c r="F756" i="1"/>
  <c r="D761" i="1"/>
  <c r="I765" i="1"/>
  <c r="G770" i="1"/>
  <c r="E775" i="1"/>
  <c r="E780" i="1"/>
  <c r="I784" i="1"/>
  <c r="G789" i="1"/>
  <c r="F794" i="1"/>
  <c r="D799" i="1"/>
  <c r="H803" i="1"/>
  <c r="E809" i="1"/>
  <c r="F815" i="1"/>
  <c r="H821" i="1"/>
  <c r="F828" i="1"/>
  <c r="G834" i="1"/>
  <c r="H840" i="1"/>
  <c r="E847" i="1"/>
  <c r="F853" i="1"/>
  <c r="H859" i="1"/>
  <c r="D866" i="1"/>
  <c r="F872" i="1"/>
  <c r="G878" i="1"/>
  <c r="E885" i="1"/>
  <c r="F891" i="1"/>
  <c r="H897" i="1"/>
  <c r="D904" i="1"/>
  <c r="F910" i="1"/>
  <c r="G916" i="1"/>
  <c r="D923" i="1"/>
  <c r="E929" i="1"/>
  <c r="F935" i="1"/>
  <c r="D942" i="1"/>
  <c r="F948" i="1"/>
  <c r="G954" i="1"/>
  <c r="D961" i="1"/>
  <c r="E967" i="1"/>
  <c r="F973" i="1"/>
  <c r="I979" i="1"/>
  <c r="I989" i="1"/>
  <c r="G1008" i="1"/>
  <c r="I1027" i="1"/>
  <c r="D1096" i="1"/>
  <c r="H2" i="1"/>
  <c r="I6" i="1"/>
  <c r="I10" i="1"/>
  <c r="I14" i="1"/>
  <c r="I18" i="1"/>
  <c r="I22" i="1"/>
  <c r="I26" i="1"/>
  <c r="I30" i="1"/>
  <c r="I34" i="1"/>
  <c r="I38" i="1"/>
  <c r="I42" i="1"/>
  <c r="I46" i="1"/>
  <c r="I50" i="1"/>
  <c r="I54" i="1"/>
  <c r="I58" i="1"/>
  <c r="I62" i="1"/>
  <c r="I66" i="1"/>
  <c r="I70" i="1"/>
  <c r="I74" i="1"/>
  <c r="I78" i="1"/>
  <c r="I82" i="1"/>
  <c r="I86" i="1"/>
  <c r="I90" i="1"/>
  <c r="I94" i="1"/>
  <c r="I98" i="1"/>
  <c r="I102" i="1"/>
  <c r="I106" i="1"/>
  <c r="I110" i="1"/>
  <c r="I114" i="1"/>
  <c r="I118" i="1"/>
  <c r="I122" i="1"/>
  <c r="I126" i="1"/>
  <c r="I130" i="1"/>
  <c r="I134" i="1"/>
  <c r="I138" i="1"/>
  <c r="I142" i="1"/>
  <c r="I146" i="1"/>
  <c r="I150" i="1"/>
  <c r="I154" i="1"/>
  <c r="I158" i="1"/>
  <c r="I162" i="1"/>
  <c r="I166" i="1"/>
  <c r="I170" i="1"/>
  <c r="I174" i="1"/>
  <c r="I178" i="1"/>
  <c r="I182" i="1"/>
  <c r="I186" i="1"/>
  <c r="I190" i="1"/>
  <c r="I194" i="1"/>
  <c r="I198" i="1"/>
  <c r="I202" i="1"/>
  <c r="I206" i="1"/>
  <c r="I210" i="1"/>
  <c r="I214" i="1"/>
  <c r="I218" i="1"/>
  <c r="I222" i="1"/>
  <c r="I226" i="1"/>
  <c r="I230" i="1"/>
  <c r="I234" i="1"/>
  <c r="I238" i="1"/>
  <c r="I242" i="1"/>
  <c r="I246" i="1"/>
  <c r="I250" i="1"/>
  <c r="I254" i="1"/>
  <c r="I258" i="1"/>
  <c r="I262" i="1"/>
  <c r="I266" i="1"/>
  <c r="I270" i="1"/>
  <c r="I274" i="1"/>
  <c r="I278" i="1"/>
  <c r="I282" i="1"/>
  <c r="I286" i="1"/>
  <c r="I290" i="1"/>
  <c r="I294" i="1"/>
  <c r="I298" i="1"/>
  <c r="I302" i="1"/>
  <c r="I306" i="1"/>
  <c r="I310" i="1"/>
  <c r="I314" i="1"/>
  <c r="I318" i="1"/>
  <c r="I322" i="1"/>
  <c r="I326" i="1"/>
  <c r="I330" i="1"/>
  <c r="I334" i="1"/>
  <c r="I338" i="1"/>
  <c r="I342" i="1"/>
  <c r="I346" i="1"/>
  <c r="I350" i="1"/>
  <c r="I354" i="1"/>
  <c r="I358" i="1"/>
  <c r="I362" i="1"/>
  <c r="I366" i="1"/>
  <c r="I370" i="1"/>
  <c r="I374" i="1"/>
  <c r="I378" i="1"/>
  <c r="I382" i="1"/>
  <c r="I386" i="1"/>
  <c r="I390" i="1"/>
  <c r="I394" i="1"/>
  <c r="I398" i="1"/>
  <c r="I402" i="1"/>
  <c r="I406" i="1"/>
  <c r="I410" i="1"/>
  <c r="I414" i="1"/>
  <c r="I418" i="1"/>
  <c r="I422" i="1"/>
  <c r="I426" i="1"/>
  <c r="I430" i="1"/>
  <c r="I434" i="1"/>
  <c r="I438" i="1"/>
  <c r="I442" i="1"/>
  <c r="I446" i="1"/>
  <c r="I450" i="1"/>
  <c r="I454" i="1"/>
  <c r="I458" i="1"/>
  <c r="I462" i="1"/>
  <c r="I466" i="1"/>
  <c r="I470" i="1"/>
  <c r="I474" i="1"/>
  <c r="I478" i="1"/>
  <c r="I482" i="1"/>
  <c r="I486" i="1"/>
  <c r="I490" i="1"/>
  <c r="I494" i="1"/>
  <c r="I498" i="1"/>
  <c r="I502" i="1"/>
  <c r="I506" i="1"/>
  <c r="I510" i="1"/>
  <c r="I514" i="1"/>
  <c r="I518" i="1"/>
  <c r="F3" i="1"/>
  <c r="G7" i="1"/>
  <c r="G11" i="1"/>
  <c r="G15" i="1"/>
  <c r="G19" i="1"/>
  <c r="G23" i="1"/>
  <c r="G27" i="1"/>
  <c r="G31" i="1"/>
  <c r="G35" i="1"/>
  <c r="G39" i="1"/>
  <c r="G43" i="1"/>
  <c r="G47" i="1"/>
  <c r="G51" i="1"/>
  <c r="G55" i="1"/>
  <c r="G59" i="1"/>
  <c r="G63" i="1"/>
  <c r="G67" i="1"/>
  <c r="G71" i="1"/>
  <c r="G75" i="1"/>
  <c r="G79" i="1"/>
  <c r="G83" i="1"/>
  <c r="G87" i="1"/>
  <c r="G91" i="1"/>
  <c r="G95" i="1"/>
  <c r="G99" i="1"/>
  <c r="G103" i="1"/>
  <c r="G107" i="1"/>
  <c r="G111" i="1"/>
  <c r="G115" i="1"/>
  <c r="G119" i="1"/>
  <c r="G123" i="1"/>
  <c r="G127" i="1"/>
  <c r="G131" i="1"/>
  <c r="G135" i="1"/>
  <c r="G139" i="1"/>
  <c r="G143" i="1"/>
  <c r="G147" i="1"/>
  <c r="G151" i="1"/>
  <c r="G155" i="1"/>
  <c r="G159" i="1"/>
  <c r="G163" i="1"/>
  <c r="G167" i="1"/>
  <c r="G171" i="1"/>
  <c r="G175" i="1"/>
  <c r="G179" i="1"/>
  <c r="G183" i="1"/>
  <c r="G187" i="1"/>
  <c r="G191" i="1"/>
  <c r="G195" i="1"/>
  <c r="G199" i="1"/>
  <c r="G203" i="1"/>
  <c r="G207" i="1"/>
  <c r="G211" i="1"/>
  <c r="G215" i="1"/>
  <c r="G219" i="1"/>
  <c r="G223" i="1"/>
  <c r="G227" i="1"/>
  <c r="G231" i="1"/>
  <c r="G235" i="1"/>
  <c r="G239" i="1"/>
  <c r="G243" i="1"/>
  <c r="G247" i="1"/>
  <c r="G251" i="1"/>
  <c r="G255" i="1"/>
  <c r="G259" i="1"/>
  <c r="G263" i="1"/>
  <c r="G267" i="1"/>
  <c r="G271" i="1"/>
  <c r="G275" i="1"/>
  <c r="G279" i="1"/>
  <c r="G283" i="1"/>
  <c r="G287" i="1"/>
  <c r="G291" i="1"/>
  <c r="G295" i="1"/>
  <c r="G299" i="1"/>
  <c r="G303" i="1"/>
  <c r="G307" i="1"/>
  <c r="G311" i="1"/>
  <c r="G315" i="1"/>
  <c r="G319" i="1"/>
  <c r="G323" i="1"/>
  <c r="G327" i="1"/>
  <c r="G331" i="1"/>
  <c r="G335" i="1"/>
  <c r="G339" i="1"/>
  <c r="G343" i="1"/>
  <c r="G347" i="1"/>
  <c r="G351" i="1"/>
  <c r="G355" i="1"/>
  <c r="G359" i="1"/>
  <c r="G363" i="1"/>
  <c r="G367" i="1"/>
  <c r="G371" i="1"/>
  <c r="G375" i="1"/>
  <c r="G379" i="1"/>
  <c r="G383" i="1"/>
  <c r="G387" i="1"/>
  <c r="G391" i="1"/>
  <c r="G395" i="1"/>
  <c r="G399" i="1"/>
  <c r="G403" i="1"/>
  <c r="G407" i="1"/>
  <c r="G411" i="1"/>
  <c r="G415" i="1"/>
  <c r="G419" i="1"/>
  <c r="G423" i="1"/>
  <c r="G427" i="1"/>
  <c r="G431" i="1"/>
  <c r="G435" i="1"/>
  <c r="G439" i="1"/>
  <c r="G443" i="1"/>
  <c r="G447" i="1"/>
  <c r="G451" i="1"/>
  <c r="G455" i="1"/>
  <c r="G459" i="1"/>
  <c r="G463" i="1"/>
  <c r="G467" i="1"/>
  <c r="G471" i="1"/>
  <c r="G475" i="1"/>
  <c r="G479" i="1"/>
  <c r="G483" i="1"/>
  <c r="G487" i="1"/>
  <c r="G491" i="1"/>
  <c r="G495" i="1"/>
  <c r="G499" i="1"/>
  <c r="G503" i="1"/>
  <c r="G507" i="1"/>
  <c r="G511" i="1"/>
  <c r="G515" i="1"/>
  <c r="G519" i="1"/>
  <c r="F523" i="1"/>
  <c r="I523" i="1"/>
  <c r="D523" i="1"/>
  <c r="F527" i="1"/>
  <c r="G527" i="1"/>
  <c r="F531" i="1"/>
  <c r="I531" i="1"/>
  <c r="D531" i="1"/>
  <c r="F535" i="1"/>
  <c r="G535" i="1"/>
  <c r="F539" i="1"/>
  <c r="I539" i="1"/>
  <c r="D539" i="1"/>
  <c r="F543" i="1"/>
  <c r="G543" i="1"/>
  <c r="F547" i="1"/>
  <c r="I547" i="1"/>
  <c r="D547" i="1"/>
  <c r="F551" i="1"/>
  <c r="G551" i="1"/>
  <c r="F555" i="1"/>
  <c r="I555" i="1"/>
  <c r="D555" i="1"/>
  <c r="F559" i="1"/>
  <c r="G559" i="1"/>
  <c r="F563" i="1"/>
  <c r="I563" i="1"/>
  <c r="D563" i="1"/>
  <c r="F567" i="1"/>
  <c r="G567" i="1"/>
  <c r="F571" i="1"/>
  <c r="I571" i="1"/>
  <c r="D571" i="1"/>
  <c r="F575" i="1"/>
  <c r="G575" i="1"/>
  <c r="F579" i="1"/>
  <c r="I579" i="1"/>
  <c r="D579" i="1"/>
  <c r="F583" i="1"/>
  <c r="G583" i="1"/>
  <c r="F587" i="1"/>
  <c r="I587" i="1"/>
  <c r="D587" i="1"/>
  <c r="F591" i="1"/>
  <c r="G591" i="1"/>
  <c r="F595" i="1"/>
  <c r="I595" i="1"/>
  <c r="D595" i="1"/>
  <c r="F599" i="1"/>
  <c r="G599" i="1"/>
  <c r="F603" i="1"/>
  <c r="I603" i="1"/>
  <c r="D603" i="1"/>
  <c r="F607" i="1"/>
  <c r="G607" i="1"/>
  <c r="F611" i="1"/>
  <c r="I611" i="1"/>
  <c r="D611" i="1"/>
  <c r="F615" i="1"/>
  <c r="G615" i="1"/>
  <c r="F619" i="1"/>
  <c r="I619" i="1"/>
  <c r="D619" i="1"/>
  <c r="F623" i="1"/>
  <c r="G623" i="1"/>
  <c r="F627" i="1"/>
  <c r="I627" i="1"/>
  <c r="D627" i="1"/>
  <c r="F631" i="1"/>
  <c r="G631" i="1"/>
  <c r="F635" i="1"/>
  <c r="I635" i="1"/>
  <c r="D635" i="1"/>
  <c r="F639" i="1"/>
  <c r="G639" i="1"/>
  <c r="F643" i="1"/>
  <c r="I643" i="1"/>
  <c r="D643" i="1"/>
  <c r="F647" i="1"/>
  <c r="G647" i="1"/>
  <c r="F651" i="1"/>
  <c r="I651" i="1"/>
  <c r="D651" i="1"/>
  <c r="F655" i="1"/>
  <c r="G655" i="1"/>
  <c r="F659" i="1"/>
  <c r="I659" i="1"/>
  <c r="D659" i="1"/>
  <c r="F663" i="1"/>
  <c r="G663" i="1"/>
  <c r="F667" i="1"/>
  <c r="I667" i="1"/>
  <c r="D667" i="1"/>
  <c r="F671" i="1"/>
  <c r="G671" i="1"/>
  <c r="F675" i="1"/>
  <c r="I675" i="1"/>
  <c r="D675" i="1"/>
  <c r="F679" i="1"/>
  <c r="G679" i="1"/>
  <c r="F683" i="1"/>
  <c r="I683" i="1"/>
  <c r="D683" i="1"/>
  <c r="F687" i="1"/>
  <c r="G687" i="1"/>
  <c r="F691" i="1"/>
  <c r="I691" i="1"/>
  <c r="D691" i="1"/>
  <c r="F695" i="1"/>
  <c r="G695" i="1"/>
  <c r="F699" i="1"/>
  <c r="I699" i="1"/>
  <c r="D699" i="1"/>
  <c r="F703" i="1"/>
  <c r="G703" i="1"/>
  <c r="F707" i="1"/>
  <c r="I707" i="1"/>
  <c r="D707" i="1"/>
  <c r="F711" i="1"/>
  <c r="G711" i="1"/>
  <c r="F715" i="1"/>
  <c r="I715" i="1"/>
  <c r="D715" i="1"/>
  <c r="F719" i="1"/>
  <c r="G719" i="1"/>
  <c r="F723" i="1"/>
  <c r="I723" i="1"/>
  <c r="D723" i="1"/>
  <c r="F727" i="1"/>
  <c r="G727" i="1"/>
  <c r="F731" i="1"/>
  <c r="I731" i="1"/>
  <c r="D731" i="1"/>
  <c r="F735" i="1"/>
  <c r="G735" i="1"/>
  <c r="F739" i="1"/>
  <c r="I739" i="1"/>
  <c r="D739" i="1"/>
  <c r="F743" i="1"/>
  <c r="G743" i="1"/>
  <c r="F747" i="1"/>
  <c r="I747" i="1"/>
  <c r="D747" i="1"/>
  <c r="F751" i="1"/>
  <c r="G751" i="1"/>
  <c r="F755" i="1"/>
  <c r="I755" i="1"/>
  <c r="D755" i="1"/>
  <c r="F759" i="1"/>
  <c r="G759" i="1"/>
  <c r="F763" i="1"/>
  <c r="I763" i="1"/>
  <c r="D763" i="1"/>
  <c r="F767" i="1"/>
  <c r="G767" i="1"/>
  <c r="F771" i="1"/>
  <c r="I771" i="1"/>
  <c r="D771" i="1"/>
  <c r="F775" i="1"/>
  <c r="G775" i="1"/>
  <c r="F779" i="1"/>
  <c r="I779" i="1"/>
  <c r="D779" i="1"/>
  <c r="F783" i="1"/>
  <c r="G783" i="1"/>
  <c r="F787" i="1"/>
  <c r="I787" i="1"/>
  <c r="D787" i="1"/>
  <c r="F791" i="1"/>
  <c r="G791" i="1"/>
  <c r="F795" i="1"/>
  <c r="I795" i="1"/>
  <c r="D795" i="1"/>
  <c r="F799" i="1"/>
  <c r="G799" i="1"/>
  <c r="F803" i="1"/>
  <c r="I803" i="1"/>
  <c r="D803" i="1"/>
  <c r="G807" i="1"/>
  <c r="H807" i="1"/>
  <c r="I807" i="1"/>
  <c r="G811" i="1"/>
  <c r="E811" i="1"/>
  <c r="F811" i="1"/>
  <c r="G815" i="1"/>
  <c r="H815" i="1"/>
  <c r="D815" i="1"/>
  <c r="G819" i="1"/>
  <c r="E819" i="1"/>
  <c r="H819" i="1"/>
  <c r="G823" i="1"/>
  <c r="H823" i="1"/>
  <c r="E823" i="1"/>
  <c r="G827" i="1"/>
  <c r="E827" i="1"/>
  <c r="I827" i="1"/>
  <c r="G831" i="1"/>
  <c r="H831" i="1"/>
  <c r="F831" i="1"/>
  <c r="G835" i="1"/>
  <c r="E835" i="1"/>
  <c r="D835" i="1"/>
  <c r="G839" i="1"/>
  <c r="H839" i="1"/>
  <c r="I839" i="1"/>
  <c r="G843" i="1"/>
  <c r="E843" i="1"/>
  <c r="F843" i="1"/>
  <c r="G847" i="1"/>
  <c r="H847" i="1"/>
  <c r="D847" i="1"/>
  <c r="G851" i="1"/>
  <c r="E851" i="1"/>
  <c r="H851" i="1"/>
  <c r="G855" i="1"/>
  <c r="H855" i="1"/>
  <c r="E855" i="1"/>
  <c r="G859" i="1"/>
  <c r="E859" i="1"/>
  <c r="I859" i="1"/>
  <c r="G863" i="1"/>
  <c r="H863" i="1"/>
  <c r="F863" i="1"/>
  <c r="G867" i="1"/>
  <c r="E867" i="1"/>
  <c r="D867" i="1"/>
  <c r="G871" i="1"/>
  <c r="H871" i="1"/>
  <c r="I871" i="1"/>
  <c r="G875" i="1"/>
  <c r="E875" i="1"/>
  <c r="F875" i="1"/>
  <c r="G879" i="1"/>
  <c r="H879" i="1"/>
  <c r="D879" i="1"/>
  <c r="G883" i="1"/>
  <c r="E883" i="1"/>
  <c r="H883" i="1"/>
  <c r="G887" i="1"/>
  <c r="H887" i="1"/>
  <c r="E887" i="1"/>
  <c r="G891" i="1"/>
  <c r="E891" i="1"/>
  <c r="I891" i="1"/>
  <c r="G895" i="1"/>
  <c r="H895" i="1"/>
  <c r="F895" i="1"/>
  <c r="G899" i="1"/>
  <c r="E899" i="1"/>
  <c r="D899" i="1"/>
  <c r="G903" i="1"/>
  <c r="H903" i="1"/>
  <c r="I903" i="1"/>
  <c r="G907" i="1"/>
  <c r="E907" i="1"/>
  <c r="F907" i="1"/>
  <c r="G911" i="1"/>
  <c r="H911" i="1"/>
  <c r="D911" i="1"/>
  <c r="G915" i="1"/>
  <c r="E915" i="1"/>
  <c r="H915" i="1"/>
  <c r="G919" i="1"/>
  <c r="H919" i="1"/>
  <c r="E919" i="1"/>
  <c r="G923" i="1"/>
  <c r="E923" i="1"/>
  <c r="I923" i="1"/>
  <c r="G927" i="1"/>
  <c r="H927" i="1"/>
  <c r="F927" i="1"/>
  <c r="G931" i="1"/>
  <c r="E931" i="1"/>
  <c r="D931" i="1"/>
  <c r="G935" i="1"/>
  <c r="H935" i="1"/>
  <c r="I935" i="1"/>
  <c r="G939" i="1"/>
  <c r="E939" i="1"/>
  <c r="F939" i="1"/>
  <c r="G943" i="1"/>
  <c r="H943" i="1"/>
  <c r="D943" i="1"/>
  <c r="G947" i="1"/>
  <c r="E947" i="1"/>
  <c r="H947" i="1"/>
  <c r="G951" i="1"/>
  <c r="H951" i="1"/>
  <c r="E951" i="1"/>
  <c r="G955" i="1"/>
  <c r="E955" i="1"/>
  <c r="I955" i="1"/>
  <c r="G959" i="1"/>
  <c r="H959" i="1"/>
  <c r="F959" i="1"/>
  <c r="G963" i="1"/>
  <c r="E963" i="1"/>
  <c r="D963" i="1"/>
  <c r="G967" i="1"/>
  <c r="H967" i="1"/>
  <c r="I967" i="1"/>
  <c r="G971" i="1"/>
  <c r="E971" i="1"/>
  <c r="F971" i="1"/>
  <c r="G975" i="1"/>
  <c r="H975" i="1"/>
  <c r="D975" i="1"/>
  <c r="G979" i="1"/>
  <c r="E979" i="1"/>
  <c r="H979" i="1"/>
  <c r="H983" i="1"/>
  <c r="D983" i="1"/>
  <c r="F983" i="1"/>
  <c r="E983" i="1"/>
  <c r="I983" i="1"/>
  <c r="H987" i="1"/>
  <c r="D987" i="1"/>
  <c r="I987" i="1"/>
  <c r="G987" i="1"/>
  <c r="H991" i="1"/>
  <c r="D991" i="1"/>
  <c r="F991" i="1"/>
  <c r="G991" i="1"/>
  <c r="E991" i="1"/>
  <c r="H995" i="1"/>
  <c r="D995" i="1"/>
  <c r="I995" i="1"/>
  <c r="E995" i="1"/>
  <c r="G995" i="1"/>
  <c r="F995" i="1"/>
  <c r="H999" i="1"/>
  <c r="D999" i="1"/>
  <c r="F999" i="1"/>
  <c r="I999" i="1"/>
  <c r="G999" i="1"/>
  <c r="H1003" i="1"/>
  <c r="D1003" i="1"/>
  <c r="I1003" i="1"/>
  <c r="F1003" i="1"/>
  <c r="E1003" i="1"/>
  <c r="G1002" i="1"/>
  <c r="H1007" i="1"/>
  <c r="D1007" i="1"/>
  <c r="F1007" i="1"/>
  <c r="I1007" i="1"/>
  <c r="G1007" i="1"/>
  <c r="E1007" i="1"/>
  <c r="H1011" i="1"/>
  <c r="D1011" i="1"/>
  <c r="I1011" i="1"/>
  <c r="G1011" i="1"/>
  <c r="F1011" i="1"/>
  <c r="H1015" i="1"/>
  <c r="D1015" i="1"/>
  <c r="F1015" i="1"/>
  <c r="E1015" i="1"/>
  <c r="E1014" i="1"/>
  <c r="H1019" i="1"/>
  <c r="D1019" i="1"/>
  <c r="I1019" i="1"/>
  <c r="G1019" i="1"/>
  <c r="F1019" i="1"/>
  <c r="E1019" i="1"/>
  <c r="H1023" i="1"/>
  <c r="D1023" i="1"/>
  <c r="F1023" i="1"/>
  <c r="G1023" i="1"/>
  <c r="E1023" i="1"/>
  <c r="I1023" i="1"/>
  <c r="H1027" i="1"/>
  <c r="D1027" i="1"/>
  <c r="F1027" i="1"/>
  <c r="E1027" i="1"/>
  <c r="G1027" i="1"/>
  <c r="E1026" i="1"/>
  <c r="H1031" i="1"/>
  <c r="D1031" i="1"/>
  <c r="F1031" i="1"/>
  <c r="E1031" i="1"/>
  <c r="H1035" i="1"/>
  <c r="D1035" i="1"/>
  <c r="G1035" i="1"/>
  <c r="F1035" i="1"/>
  <c r="E1035" i="1"/>
  <c r="I1035" i="1"/>
  <c r="H1039" i="1"/>
  <c r="D1039" i="1"/>
  <c r="G1039" i="1"/>
  <c r="F1039" i="1"/>
  <c r="I1039" i="1"/>
  <c r="E1039" i="1"/>
  <c r="H1043" i="1"/>
  <c r="D1043" i="1"/>
  <c r="G1043" i="1"/>
  <c r="F1043" i="1"/>
  <c r="E1043" i="1"/>
  <c r="I1043" i="1"/>
  <c r="H1047" i="1"/>
  <c r="D1047" i="1"/>
  <c r="G1047" i="1"/>
  <c r="F1047" i="1"/>
  <c r="E1047" i="1"/>
  <c r="I1047" i="1"/>
  <c r="H1051" i="1"/>
  <c r="D1051" i="1"/>
  <c r="E1051" i="1"/>
  <c r="I1051" i="1"/>
  <c r="G1051" i="1"/>
  <c r="F1051" i="1"/>
  <c r="H1055" i="1"/>
  <c r="D1055" i="1"/>
  <c r="G1055" i="1"/>
  <c r="F1055" i="1"/>
  <c r="E1055" i="1"/>
  <c r="I1055" i="1"/>
  <c r="H1059" i="1"/>
  <c r="D1059" i="1"/>
  <c r="E1059" i="1"/>
  <c r="I1059" i="1"/>
  <c r="G1059" i="1"/>
  <c r="F1059" i="1"/>
  <c r="G1058" i="1"/>
  <c r="H1063" i="1"/>
  <c r="D1063" i="1"/>
  <c r="G1063" i="1"/>
  <c r="F1063" i="1"/>
  <c r="E1063" i="1"/>
  <c r="I1063" i="1"/>
  <c r="H1067" i="1"/>
  <c r="D1067" i="1"/>
  <c r="E1067" i="1"/>
  <c r="I1067" i="1"/>
  <c r="G1067" i="1"/>
  <c r="F1067" i="1"/>
  <c r="H1071" i="1"/>
  <c r="D1071" i="1"/>
  <c r="G1071" i="1"/>
  <c r="F1071" i="1"/>
  <c r="E1071" i="1"/>
  <c r="I1071" i="1"/>
  <c r="H1075" i="1"/>
  <c r="D1075" i="1"/>
  <c r="E1075" i="1"/>
  <c r="I1075" i="1"/>
  <c r="G1075" i="1"/>
  <c r="F1075" i="1"/>
  <c r="H1079" i="1"/>
  <c r="D1079" i="1"/>
  <c r="G1079" i="1"/>
  <c r="F1079" i="1"/>
  <c r="E1079" i="1"/>
  <c r="I1079" i="1"/>
  <c r="H1083" i="1"/>
  <c r="D1083" i="1"/>
  <c r="E1083" i="1"/>
  <c r="I1083" i="1"/>
  <c r="G1083" i="1"/>
  <c r="I1087" i="1"/>
  <c r="E1087" i="1"/>
  <c r="G1087" i="1"/>
  <c r="F1087" i="1"/>
  <c r="H1087" i="1"/>
  <c r="D1087" i="1"/>
  <c r="I1091" i="1"/>
  <c r="E1091" i="1"/>
  <c r="D1091" i="1"/>
  <c r="H1091" i="1"/>
  <c r="G1091" i="1"/>
  <c r="F1091" i="1"/>
  <c r="I1095" i="1"/>
  <c r="E1095" i="1"/>
  <c r="G1095" i="1"/>
  <c r="F1095" i="1"/>
  <c r="H1095" i="1"/>
  <c r="D1095" i="1"/>
  <c r="I1099" i="1"/>
  <c r="E1099" i="1"/>
  <c r="D1099" i="1"/>
  <c r="H1099" i="1"/>
  <c r="F1099" i="1"/>
  <c r="I1103" i="1"/>
  <c r="E1103" i="1"/>
  <c r="G1103" i="1"/>
  <c r="F1103" i="1"/>
  <c r="H1103" i="1"/>
  <c r="D1103" i="1"/>
  <c r="I1107" i="1"/>
  <c r="E1107" i="1"/>
  <c r="D1107" i="1"/>
  <c r="H1107" i="1"/>
  <c r="G1107" i="1"/>
  <c r="F1107" i="1"/>
  <c r="H1106" i="1"/>
  <c r="I1111" i="1"/>
  <c r="E1111" i="1"/>
  <c r="G1111" i="1"/>
  <c r="F1111" i="1"/>
  <c r="D1111" i="1"/>
  <c r="H1111" i="1"/>
  <c r="I1115" i="1"/>
  <c r="E1115" i="1"/>
  <c r="D1115" i="1"/>
  <c r="H1115" i="1"/>
  <c r="G1115" i="1"/>
  <c r="F1115" i="1"/>
  <c r="I1119" i="1"/>
  <c r="E1119" i="1"/>
  <c r="G1119" i="1"/>
  <c r="F1119" i="1"/>
  <c r="D1119" i="1"/>
  <c r="H1119" i="1"/>
  <c r="I1123" i="1"/>
  <c r="E1123" i="1"/>
  <c r="D1123" i="1"/>
  <c r="H1123" i="1"/>
  <c r="G1123" i="1"/>
  <c r="I1127" i="1"/>
  <c r="E1127" i="1"/>
  <c r="G1127" i="1"/>
  <c r="F1127" i="1"/>
  <c r="D1127" i="1"/>
  <c r="H1127" i="1"/>
  <c r="I1131" i="1"/>
  <c r="E1131" i="1"/>
  <c r="D1131" i="1"/>
  <c r="H1131" i="1"/>
  <c r="G1131" i="1"/>
  <c r="F1131" i="1"/>
  <c r="I1135" i="1"/>
  <c r="E1135" i="1"/>
  <c r="G1135" i="1"/>
  <c r="F1135" i="1"/>
  <c r="D1135" i="1"/>
  <c r="H1135" i="1"/>
  <c r="F1139" i="1"/>
  <c r="I1139" i="1"/>
  <c r="E1139" i="1"/>
  <c r="D1139" i="1"/>
  <c r="H1139" i="1"/>
  <c r="G1139" i="1"/>
  <c r="F1143" i="1"/>
  <c r="I1143" i="1"/>
  <c r="E1143" i="1"/>
  <c r="D1143" i="1"/>
  <c r="H1143" i="1"/>
  <c r="G1143" i="1"/>
  <c r="E1142" i="1"/>
  <c r="F1147" i="1"/>
  <c r="I1147" i="1"/>
  <c r="E1147" i="1"/>
  <c r="D1147" i="1"/>
  <c r="H1147" i="1"/>
  <c r="G1147" i="1"/>
  <c r="F1151" i="1"/>
  <c r="I1151" i="1"/>
  <c r="E1151" i="1"/>
  <c r="D1151" i="1"/>
  <c r="H1151" i="1"/>
  <c r="G1151" i="1"/>
  <c r="G1155" i="1"/>
  <c r="F1155" i="1"/>
  <c r="I1155" i="1"/>
  <c r="E1155" i="1"/>
  <c r="D1155" i="1"/>
  <c r="H1155" i="1"/>
  <c r="G1159" i="1"/>
  <c r="F1159" i="1"/>
  <c r="I1159" i="1"/>
  <c r="E1159" i="1"/>
  <c r="H1159" i="1"/>
  <c r="D1159" i="1"/>
  <c r="F1163" i="1"/>
  <c r="I1163" i="1"/>
  <c r="D1163" i="1"/>
  <c r="H1163" i="1"/>
  <c r="G1163" i="1"/>
  <c r="E1163" i="1"/>
  <c r="F1167" i="1"/>
  <c r="G1167" i="1"/>
  <c r="E1167" i="1"/>
  <c r="I1167" i="1"/>
  <c r="D1167" i="1"/>
  <c r="H1167" i="1"/>
  <c r="F1171" i="1"/>
  <c r="I1171" i="1"/>
  <c r="D1171" i="1"/>
  <c r="H1171" i="1"/>
  <c r="G1171" i="1"/>
  <c r="E1171" i="1"/>
  <c r="F1175" i="1"/>
  <c r="G1175" i="1"/>
  <c r="E1175" i="1"/>
  <c r="I1175" i="1"/>
  <c r="D1175" i="1"/>
  <c r="H1175" i="1"/>
  <c r="F1179" i="1"/>
  <c r="I1179" i="1"/>
  <c r="D1179" i="1"/>
  <c r="H1179" i="1"/>
  <c r="G1179" i="1"/>
  <c r="E1179" i="1"/>
  <c r="F1183" i="1"/>
  <c r="G1183" i="1"/>
  <c r="E1183" i="1"/>
  <c r="I1183" i="1"/>
  <c r="D1183" i="1"/>
  <c r="H1183" i="1"/>
  <c r="F1187" i="1"/>
  <c r="I1187" i="1"/>
  <c r="D1187" i="1"/>
  <c r="H1187" i="1"/>
  <c r="G1187" i="1"/>
  <c r="E1187" i="1"/>
  <c r="H1191" i="1"/>
  <c r="D1191" i="1"/>
  <c r="F1191" i="1"/>
  <c r="I1191" i="1"/>
  <c r="G1191" i="1"/>
  <c r="E1191" i="1"/>
  <c r="H1195" i="1"/>
  <c r="D1195" i="1"/>
  <c r="F1195" i="1"/>
  <c r="I1195" i="1"/>
  <c r="G1195" i="1"/>
  <c r="E1195" i="1"/>
  <c r="F1199" i="1"/>
  <c r="I1199" i="1"/>
  <c r="D1199" i="1"/>
  <c r="G1199" i="1"/>
  <c r="H1199" i="1"/>
  <c r="E1199" i="1"/>
  <c r="H1203" i="1"/>
  <c r="D1203" i="1"/>
  <c r="F1203" i="1"/>
  <c r="G1203" i="1"/>
  <c r="I1203" i="1"/>
  <c r="E1203" i="1"/>
  <c r="H1207" i="1"/>
  <c r="D1207" i="1"/>
  <c r="F1207" i="1"/>
  <c r="G1207" i="1"/>
  <c r="I1207" i="1"/>
  <c r="E1207" i="1"/>
  <c r="H1211" i="1"/>
  <c r="D1211" i="1"/>
  <c r="G1211" i="1"/>
  <c r="F1211" i="1"/>
  <c r="E1211" i="1"/>
  <c r="I1211" i="1"/>
  <c r="H1215" i="1"/>
  <c r="D1215" i="1"/>
  <c r="G1215" i="1"/>
  <c r="F1215" i="1"/>
  <c r="E1215" i="1"/>
  <c r="I1215" i="1"/>
  <c r="H1219" i="1"/>
  <c r="D1219" i="1"/>
  <c r="G1219" i="1"/>
  <c r="F1219" i="1"/>
  <c r="E1219" i="1"/>
  <c r="I1219" i="1"/>
  <c r="H1223" i="1"/>
  <c r="D1223" i="1"/>
  <c r="G1223" i="1"/>
  <c r="F1223" i="1"/>
  <c r="E1223" i="1"/>
  <c r="I1223" i="1"/>
  <c r="H1227" i="1"/>
  <c r="D1227" i="1"/>
  <c r="G1227" i="1"/>
  <c r="F1227" i="1"/>
  <c r="E1227" i="1"/>
  <c r="I1227" i="1"/>
  <c r="H1231" i="1"/>
  <c r="D1231" i="1"/>
  <c r="G1231" i="1"/>
  <c r="F1231" i="1"/>
  <c r="E1231" i="1"/>
  <c r="I1231" i="1"/>
  <c r="H1235" i="1"/>
  <c r="D1235" i="1"/>
  <c r="G1235" i="1"/>
  <c r="F1235" i="1"/>
  <c r="E1235" i="1"/>
  <c r="I1235" i="1"/>
  <c r="H1239" i="1"/>
  <c r="D1239" i="1"/>
  <c r="G1239" i="1"/>
  <c r="F1239" i="1"/>
  <c r="E1239" i="1"/>
  <c r="I1239" i="1"/>
  <c r="H1243" i="1"/>
  <c r="D1243" i="1"/>
  <c r="G1243" i="1"/>
  <c r="F1243" i="1"/>
  <c r="E1243" i="1"/>
  <c r="I1243" i="1"/>
  <c r="H1247" i="1"/>
  <c r="D1247" i="1"/>
  <c r="G1247" i="1"/>
  <c r="F1247" i="1"/>
  <c r="E1247" i="1"/>
  <c r="I1247" i="1"/>
  <c r="H1251" i="1"/>
  <c r="D1251" i="1"/>
  <c r="G1251" i="1"/>
  <c r="F1251" i="1"/>
  <c r="E1251" i="1"/>
  <c r="I1251" i="1"/>
  <c r="I1255" i="1"/>
  <c r="H1255" i="1"/>
  <c r="D1255" i="1"/>
  <c r="G1255" i="1"/>
  <c r="F1255" i="1"/>
  <c r="E1255" i="1"/>
  <c r="E2" i="1"/>
  <c r="H3" i="1"/>
  <c r="D6" i="1"/>
  <c r="D7" i="1"/>
  <c r="I7" i="1"/>
  <c r="G10" i="1"/>
  <c r="F11" i="1"/>
  <c r="D14" i="1"/>
  <c r="D15" i="1"/>
  <c r="I15" i="1"/>
  <c r="G18" i="1"/>
  <c r="F19" i="1"/>
  <c r="D22" i="1"/>
  <c r="D23" i="1"/>
  <c r="I23" i="1"/>
  <c r="G26" i="1"/>
  <c r="F27" i="1"/>
  <c r="D30" i="1"/>
  <c r="D31" i="1"/>
  <c r="I31" i="1"/>
  <c r="G34" i="1"/>
  <c r="F35" i="1"/>
  <c r="D38" i="1"/>
  <c r="D39" i="1"/>
  <c r="I39" i="1"/>
  <c r="G42" i="1"/>
  <c r="F43" i="1"/>
  <c r="D46" i="1"/>
  <c r="D47" i="1"/>
  <c r="I47" i="1"/>
  <c r="G50" i="1"/>
  <c r="F51" i="1"/>
  <c r="D54" i="1"/>
  <c r="D55" i="1"/>
  <c r="I55" i="1"/>
  <c r="G58" i="1"/>
  <c r="F59" i="1"/>
  <c r="D62" i="1"/>
  <c r="D63" i="1"/>
  <c r="I63" i="1"/>
  <c r="G66" i="1"/>
  <c r="F67" i="1"/>
  <c r="D70" i="1"/>
  <c r="D71" i="1"/>
  <c r="I71" i="1"/>
  <c r="G74" i="1"/>
  <c r="F75" i="1"/>
  <c r="D78" i="1"/>
  <c r="D79" i="1"/>
  <c r="I79" i="1"/>
  <c r="G82" i="1"/>
  <c r="F83" i="1"/>
  <c r="D86" i="1"/>
  <c r="D87" i="1"/>
  <c r="I87" i="1"/>
  <c r="G90" i="1"/>
  <c r="F91" i="1"/>
  <c r="D94" i="1"/>
  <c r="D95" i="1"/>
  <c r="I95" i="1"/>
  <c r="G98" i="1"/>
  <c r="F99" i="1"/>
  <c r="D102" i="1"/>
  <c r="D103" i="1"/>
  <c r="I103" i="1"/>
  <c r="G106" i="1"/>
  <c r="F107" i="1"/>
  <c r="D110" i="1"/>
  <c r="D111" i="1"/>
  <c r="I111" i="1"/>
  <c r="G114" i="1"/>
  <c r="F115" i="1"/>
  <c r="D118" i="1"/>
  <c r="D119" i="1"/>
  <c r="I119" i="1"/>
  <c r="G122" i="1"/>
  <c r="F123" i="1"/>
  <c r="D126" i="1"/>
  <c r="D127" i="1"/>
  <c r="I127" i="1"/>
  <c r="G130" i="1"/>
  <c r="F131" i="1"/>
  <c r="D134" i="1"/>
  <c r="D135" i="1"/>
  <c r="I135" i="1"/>
  <c r="G138" i="1"/>
  <c r="F139" i="1"/>
  <c r="D142" i="1"/>
  <c r="D143" i="1"/>
  <c r="I143" i="1"/>
  <c r="G146" i="1"/>
  <c r="F147" i="1"/>
  <c r="D150" i="1"/>
  <c r="D151" i="1"/>
  <c r="I151" i="1"/>
  <c r="G154" i="1"/>
  <c r="F155" i="1"/>
  <c r="D158" i="1"/>
  <c r="D159" i="1"/>
  <c r="I159" i="1"/>
  <c r="G162" i="1"/>
  <c r="F163" i="1"/>
  <c r="D166" i="1"/>
  <c r="D167" i="1"/>
  <c r="I167" i="1"/>
  <c r="G170" i="1"/>
  <c r="F171" i="1"/>
  <c r="D174" i="1"/>
  <c r="D175" i="1"/>
  <c r="I175" i="1"/>
  <c r="G178" i="1"/>
  <c r="F179" i="1"/>
  <c r="D182" i="1"/>
  <c r="D183" i="1"/>
  <c r="I183" i="1"/>
  <c r="G186" i="1"/>
  <c r="F187" i="1"/>
  <c r="D190" i="1"/>
  <c r="D191" i="1"/>
  <c r="I191" i="1"/>
  <c r="G194" i="1"/>
  <c r="F195" i="1"/>
  <c r="D198" i="1"/>
  <c r="D199" i="1"/>
  <c r="I199" i="1"/>
  <c r="G202" i="1"/>
  <c r="F203" i="1"/>
  <c r="D206" i="1"/>
  <c r="D207" i="1"/>
  <c r="I207" i="1"/>
  <c r="G210" i="1"/>
  <c r="F211" i="1"/>
  <c r="D214" i="1"/>
  <c r="D215" i="1"/>
  <c r="I215" i="1"/>
  <c r="G218" i="1"/>
  <c r="F219" i="1"/>
  <c r="D222" i="1"/>
  <c r="D223" i="1"/>
  <c r="I223" i="1"/>
  <c r="G226" i="1"/>
  <c r="F227" i="1"/>
  <c r="D230" i="1"/>
  <c r="D231" i="1"/>
  <c r="I231" i="1"/>
  <c r="G234" i="1"/>
  <c r="F235" i="1"/>
  <c r="D238" i="1"/>
  <c r="D239" i="1"/>
  <c r="I239" i="1"/>
  <c r="G242" i="1"/>
  <c r="F243" i="1"/>
  <c r="D246" i="1"/>
  <c r="D247" i="1"/>
  <c r="I247" i="1"/>
  <c r="G250" i="1"/>
  <c r="F251" i="1"/>
  <c r="D254" i="1"/>
  <c r="D255" i="1"/>
  <c r="I255" i="1"/>
  <c r="G258" i="1"/>
  <c r="F259" i="1"/>
  <c r="D262" i="1"/>
  <c r="D263" i="1"/>
  <c r="I263" i="1"/>
  <c r="G266" i="1"/>
  <c r="F267" i="1"/>
  <c r="D270" i="1"/>
  <c r="D271" i="1"/>
  <c r="I271" i="1"/>
  <c r="G274" i="1"/>
  <c r="F275" i="1"/>
  <c r="D278" i="1"/>
  <c r="D279" i="1"/>
  <c r="I279" i="1"/>
  <c r="G282" i="1"/>
  <c r="F283" i="1"/>
  <c r="D286" i="1"/>
  <c r="D287" i="1"/>
  <c r="I287" i="1"/>
  <c r="G290" i="1"/>
  <c r="F291" i="1"/>
  <c r="D294" i="1"/>
  <c r="D295" i="1"/>
  <c r="I295" i="1"/>
  <c r="G298" i="1"/>
  <c r="F299" i="1"/>
  <c r="D302" i="1"/>
  <c r="D303" i="1"/>
  <c r="I303" i="1"/>
  <c r="G306" i="1"/>
  <c r="F307" i="1"/>
  <c r="D310" i="1"/>
  <c r="D311" i="1"/>
  <c r="I311" i="1"/>
  <c r="G314" i="1"/>
  <c r="F315" i="1"/>
  <c r="D318" i="1"/>
  <c r="D319" i="1"/>
  <c r="I319" i="1"/>
  <c r="G322" i="1"/>
  <c r="F323" i="1"/>
  <c r="D326" i="1"/>
  <c r="D327" i="1"/>
  <c r="I327" i="1"/>
  <c r="G330" i="1"/>
  <c r="F331" i="1"/>
  <c r="D334" i="1"/>
  <c r="D335" i="1"/>
  <c r="I335" i="1"/>
  <c r="G338" i="1"/>
  <c r="F339" i="1"/>
  <c r="D342" i="1"/>
  <c r="D343" i="1"/>
  <c r="I343" i="1"/>
  <c r="G346" i="1"/>
  <c r="F347" i="1"/>
  <c r="D350" i="1"/>
  <c r="D351" i="1"/>
  <c r="I351" i="1"/>
  <c r="G354" i="1"/>
  <c r="F355" i="1"/>
  <c r="D358" i="1"/>
  <c r="D359" i="1"/>
  <c r="I359" i="1"/>
  <c r="G362" i="1"/>
  <c r="F363" i="1"/>
  <c r="D366" i="1"/>
  <c r="D367" i="1"/>
  <c r="I367" i="1"/>
  <c r="G370" i="1"/>
  <c r="F371" i="1"/>
  <c r="D374" i="1"/>
  <c r="D375" i="1"/>
  <c r="I375" i="1"/>
  <c r="G378" i="1"/>
  <c r="F379" i="1"/>
  <c r="D382" i="1"/>
  <c r="D383" i="1"/>
  <c r="I383" i="1"/>
  <c r="G386" i="1"/>
  <c r="F387" i="1"/>
  <c r="D390" i="1"/>
  <c r="D391" i="1"/>
  <c r="I391" i="1"/>
  <c r="G394" i="1"/>
  <c r="F395" i="1"/>
  <c r="D398" i="1"/>
  <c r="D399" i="1"/>
  <c r="I399" i="1"/>
  <c r="G402" i="1"/>
  <c r="F403" i="1"/>
  <c r="D406" i="1"/>
  <c r="D407" i="1"/>
  <c r="I407" i="1"/>
  <c r="G410" i="1"/>
  <c r="F411" i="1"/>
  <c r="D414" i="1"/>
  <c r="D415" i="1"/>
  <c r="I415" i="1"/>
  <c r="G418" i="1"/>
  <c r="F419" i="1"/>
  <c r="D422" i="1"/>
  <c r="D423" i="1"/>
  <c r="I423" i="1"/>
  <c r="G426" i="1"/>
  <c r="F427" i="1"/>
  <c r="D430" i="1"/>
  <c r="D431" i="1"/>
  <c r="I431" i="1"/>
  <c r="G434" i="1"/>
  <c r="F435" i="1"/>
  <c r="D438" i="1"/>
  <c r="D439" i="1"/>
  <c r="I439" i="1"/>
  <c r="G442" i="1"/>
  <c r="F443" i="1"/>
  <c r="D446" i="1"/>
  <c r="D447" i="1"/>
  <c r="I447" i="1"/>
  <c r="G450" i="1"/>
  <c r="F451" i="1"/>
  <c r="D454" i="1"/>
  <c r="D455" i="1"/>
  <c r="I455" i="1"/>
  <c r="G458" i="1"/>
  <c r="F459" i="1"/>
  <c r="D462" i="1"/>
  <c r="D463" i="1"/>
  <c r="I463" i="1"/>
  <c r="G466" i="1"/>
  <c r="F467" i="1"/>
  <c r="D470" i="1"/>
  <c r="D471" i="1"/>
  <c r="I471" i="1"/>
  <c r="G474" i="1"/>
  <c r="F475" i="1"/>
  <c r="D478" i="1"/>
  <c r="D479" i="1"/>
  <c r="I479" i="1"/>
  <c r="G482" i="1"/>
  <c r="F483" i="1"/>
  <c r="D486" i="1"/>
  <c r="D487" i="1"/>
  <c r="I487" i="1"/>
  <c r="G490" i="1"/>
  <c r="F491" i="1"/>
  <c r="D494" i="1"/>
  <c r="D495" i="1"/>
  <c r="I495" i="1"/>
  <c r="G498" i="1"/>
  <c r="F499" i="1"/>
  <c r="D502" i="1"/>
  <c r="D503" i="1"/>
  <c r="I503" i="1"/>
  <c r="G506" i="1"/>
  <c r="F507" i="1"/>
  <c r="D510" i="1"/>
  <c r="D511" i="1"/>
  <c r="I511" i="1"/>
  <c r="G514" i="1"/>
  <c r="F515" i="1"/>
  <c r="D518" i="1"/>
  <c r="D519" i="1"/>
  <c r="I519" i="1"/>
  <c r="G522" i="1"/>
  <c r="H523" i="1"/>
  <c r="E526" i="1"/>
  <c r="E527" i="1"/>
  <c r="I530" i="1"/>
  <c r="F534" i="1"/>
  <c r="H535" i="1"/>
  <c r="E539" i="1"/>
  <c r="I542" i="1"/>
  <c r="I543" i="1"/>
  <c r="F546" i="1"/>
  <c r="G547" i="1"/>
  <c r="D551" i="1"/>
  <c r="G554" i="1"/>
  <c r="H555" i="1"/>
  <c r="E558" i="1"/>
  <c r="E559" i="1"/>
  <c r="I562" i="1"/>
  <c r="F566" i="1"/>
  <c r="H567" i="1"/>
  <c r="E571" i="1"/>
  <c r="I574" i="1"/>
  <c r="I575" i="1"/>
  <c r="F578" i="1"/>
  <c r="G579" i="1"/>
  <c r="D583" i="1"/>
  <c r="G586" i="1"/>
  <c r="H587" i="1"/>
  <c r="E590" i="1"/>
  <c r="E591" i="1"/>
  <c r="I594" i="1"/>
  <c r="F598" i="1"/>
  <c r="H599" i="1"/>
  <c r="E603" i="1"/>
  <c r="I606" i="1"/>
  <c r="I607" i="1"/>
  <c r="F610" i="1"/>
  <c r="G611" i="1"/>
  <c r="D615" i="1"/>
  <c r="G618" i="1"/>
  <c r="H619" i="1"/>
  <c r="E622" i="1"/>
  <c r="E623" i="1"/>
  <c r="I626" i="1"/>
  <c r="F630" i="1"/>
  <c r="H631" i="1"/>
  <c r="E635" i="1"/>
  <c r="I638" i="1"/>
  <c r="I639" i="1"/>
  <c r="F642" i="1"/>
  <c r="G643" i="1"/>
  <c r="D647" i="1"/>
  <c r="G650" i="1"/>
  <c r="H651" i="1"/>
  <c r="E654" i="1"/>
  <c r="E655" i="1"/>
  <c r="I658" i="1"/>
  <c r="F662" i="1"/>
  <c r="H663" i="1"/>
  <c r="E667" i="1"/>
  <c r="I670" i="1"/>
  <c r="I671" i="1"/>
  <c r="F674" i="1"/>
  <c r="G675" i="1"/>
  <c r="D679" i="1"/>
  <c r="G682" i="1"/>
  <c r="H683" i="1"/>
  <c r="E686" i="1"/>
  <c r="E687" i="1"/>
  <c r="I690" i="1"/>
  <c r="F694" i="1"/>
  <c r="H695" i="1"/>
  <c r="E699" i="1"/>
  <c r="I702" i="1"/>
  <c r="I703" i="1"/>
  <c r="F706" i="1"/>
  <c r="G707" i="1"/>
  <c r="D711" i="1"/>
  <c r="G714" i="1"/>
  <c r="H715" i="1"/>
  <c r="E718" i="1"/>
  <c r="E719" i="1"/>
  <c r="I722" i="1"/>
  <c r="F726" i="1"/>
  <c r="H727" i="1"/>
  <c r="E731" i="1"/>
  <c r="I734" i="1"/>
  <c r="I735" i="1"/>
  <c r="F738" i="1"/>
  <c r="G739" i="1"/>
  <c r="D743" i="1"/>
  <c r="G746" i="1"/>
  <c r="H747" i="1"/>
  <c r="E750" i="1"/>
  <c r="E751" i="1"/>
  <c r="I754" i="1"/>
  <c r="F758" i="1"/>
  <c r="H759" i="1"/>
  <c r="E763" i="1"/>
  <c r="I766" i="1"/>
  <c r="I767" i="1"/>
  <c r="F770" i="1"/>
  <c r="G771" i="1"/>
  <c r="D775" i="1"/>
  <c r="G778" i="1"/>
  <c r="H779" i="1"/>
  <c r="E782" i="1"/>
  <c r="E783" i="1"/>
  <c r="I786" i="1"/>
  <c r="F790" i="1"/>
  <c r="H791" i="1"/>
  <c r="E795" i="1"/>
  <c r="I798" i="1"/>
  <c r="I799" i="1"/>
  <c r="F802" i="1"/>
  <c r="G803" i="1"/>
  <c r="E807" i="1"/>
  <c r="G810" i="1"/>
  <c r="I811" i="1"/>
  <c r="E815" i="1"/>
  <c r="D818" i="1"/>
  <c r="I819" i="1"/>
  <c r="D823" i="1"/>
  <c r="D826" i="1"/>
  <c r="H827" i="1"/>
  <c r="D831" i="1"/>
  <c r="D834" i="1"/>
  <c r="H835" i="1"/>
  <c r="D839" i="1"/>
  <c r="H843" i="1"/>
  <c r="G846" i="1"/>
  <c r="F851" i="1"/>
  <c r="G854" i="1"/>
  <c r="F859" i="1"/>
  <c r="G862" i="1"/>
  <c r="F867" i="1"/>
  <c r="F870" i="1"/>
  <c r="D875" i="1"/>
  <c r="F878" i="1"/>
  <c r="I879" i="1"/>
  <c r="D883" i="1"/>
  <c r="F886" i="1"/>
  <c r="I887" i="1"/>
  <c r="D891" i="1"/>
  <c r="D894" i="1"/>
  <c r="I895" i="1"/>
  <c r="H898" i="1"/>
  <c r="D902" i="1"/>
  <c r="F903" i="1"/>
  <c r="H906" i="1"/>
  <c r="D910" i="1"/>
  <c r="F911" i="1"/>
  <c r="H914" i="1"/>
  <c r="F919" i="1"/>
  <c r="G922" i="1"/>
  <c r="E927" i="1"/>
  <c r="G930" i="1"/>
  <c r="I931" i="1"/>
  <c r="E935" i="1"/>
  <c r="G938" i="1"/>
  <c r="I939" i="1"/>
  <c r="E943" i="1"/>
  <c r="D946" i="1"/>
  <c r="I947" i="1"/>
  <c r="D951" i="1"/>
  <c r="D954" i="1"/>
  <c r="H955" i="1"/>
  <c r="D959" i="1"/>
  <c r="D962" i="1"/>
  <c r="H963" i="1"/>
  <c r="D967" i="1"/>
  <c r="H971" i="1"/>
  <c r="G974" i="1"/>
  <c r="F979" i="1"/>
  <c r="I982" i="1"/>
  <c r="E1006" i="1"/>
  <c r="E1011" i="1"/>
  <c r="I1015" i="1"/>
  <c r="I1031" i="1"/>
  <c r="F1083" i="1"/>
  <c r="I1126" i="1"/>
  <c r="H522" i="1"/>
  <c r="H526" i="1"/>
  <c r="D526" i="1"/>
  <c r="H530" i="1"/>
  <c r="D530" i="1"/>
  <c r="H534" i="1"/>
  <c r="D534" i="1"/>
  <c r="H538" i="1"/>
  <c r="D538" i="1"/>
  <c r="H542" i="1"/>
  <c r="D542" i="1"/>
  <c r="H546" i="1"/>
  <c r="D546" i="1"/>
  <c r="H550" i="1"/>
  <c r="D550" i="1"/>
  <c r="H554" i="1"/>
  <c r="D554" i="1"/>
  <c r="H558" i="1"/>
  <c r="D558" i="1"/>
  <c r="H562" i="1"/>
  <c r="D562" i="1"/>
  <c r="H566" i="1"/>
  <c r="D566" i="1"/>
  <c r="H570" i="1"/>
  <c r="D570" i="1"/>
  <c r="H574" i="1"/>
  <c r="D574" i="1"/>
  <c r="H578" i="1"/>
  <c r="D578" i="1"/>
  <c r="H582" i="1"/>
  <c r="D582" i="1"/>
  <c r="H586" i="1"/>
  <c r="D586" i="1"/>
  <c r="H590" i="1"/>
  <c r="D590" i="1"/>
  <c r="H594" i="1"/>
  <c r="D594" i="1"/>
  <c r="H598" i="1"/>
  <c r="D598" i="1"/>
  <c r="H602" i="1"/>
  <c r="D602" i="1"/>
  <c r="H606" i="1"/>
  <c r="D606" i="1"/>
  <c r="H610" i="1"/>
  <c r="D610" i="1"/>
  <c r="H614" i="1"/>
  <c r="D614" i="1"/>
  <c r="H618" i="1"/>
  <c r="D618" i="1"/>
  <c r="H622" i="1"/>
  <c r="D622" i="1"/>
  <c r="H626" i="1"/>
  <c r="D626" i="1"/>
  <c r="H630" i="1"/>
  <c r="D630" i="1"/>
  <c r="H634" i="1"/>
  <c r="D634" i="1"/>
  <c r="H638" i="1"/>
  <c r="D638" i="1"/>
  <c r="H642" i="1"/>
  <c r="D642" i="1"/>
  <c r="H646" i="1"/>
  <c r="D646" i="1"/>
  <c r="H650" i="1"/>
  <c r="D650" i="1"/>
  <c r="H654" i="1"/>
  <c r="D654" i="1"/>
  <c r="H658" i="1"/>
  <c r="D658" i="1"/>
  <c r="H662" i="1"/>
  <c r="D662" i="1"/>
  <c r="H666" i="1"/>
  <c r="D666" i="1"/>
  <c r="H670" i="1"/>
  <c r="D670" i="1"/>
  <c r="H674" i="1"/>
  <c r="D674" i="1"/>
  <c r="H678" i="1"/>
  <c r="D678" i="1"/>
  <c r="H682" i="1"/>
  <c r="D682" i="1"/>
  <c r="H686" i="1"/>
  <c r="D686" i="1"/>
  <c r="H690" i="1"/>
  <c r="D690" i="1"/>
  <c r="H694" i="1"/>
  <c r="D694" i="1"/>
  <c r="H698" i="1"/>
  <c r="D698" i="1"/>
  <c r="H702" i="1"/>
  <c r="D702" i="1"/>
  <c r="H706" i="1"/>
  <c r="D706" i="1"/>
  <c r="H710" i="1"/>
  <c r="D710" i="1"/>
  <c r="H714" i="1"/>
  <c r="D714" i="1"/>
  <c r="H718" i="1"/>
  <c r="D718" i="1"/>
  <c r="H722" i="1"/>
  <c r="D722" i="1"/>
  <c r="H726" i="1"/>
  <c r="D726" i="1"/>
  <c r="H730" i="1"/>
  <c r="D730" i="1"/>
  <c r="H734" i="1"/>
  <c r="D734" i="1"/>
  <c r="H738" i="1"/>
  <c r="D738" i="1"/>
  <c r="H742" i="1"/>
  <c r="D742" i="1"/>
  <c r="H746" i="1"/>
  <c r="D746" i="1"/>
  <c r="H750" i="1"/>
  <c r="D750" i="1"/>
  <c r="H754" i="1"/>
  <c r="D754" i="1"/>
  <c r="H758" i="1"/>
  <c r="D758" i="1"/>
  <c r="H762" i="1"/>
  <c r="D762" i="1"/>
  <c r="H766" i="1"/>
  <c r="D766" i="1"/>
  <c r="H770" i="1"/>
  <c r="D770" i="1"/>
  <c r="H774" i="1"/>
  <c r="D774" i="1"/>
  <c r="H778" i="1"/>
  <c r="D778" i="1"/>
  <c r="H782" i="1"/>
  <c r="D782" i="1"/>
  <c r="H786" i="1"/>
  <c r="D786" i="1"/>
  <c r="H790" i="1"/>
  <c r="D790" i="1"/>
  <c r="H794" i="1"/>
  <c r="D794" i="1"/>
  <c r="H798" i="1"/>
  <c r="D798" i="1"/>
  <c r="H802" i="1"/>
  <c r="D802" i="1"/>
  <c r="I806" i="1"/>
  <c r="H806" i="1"/>
  <c r="D806" i="1"/>
  <c r="I810" i="1"/>
  <c r="E810" i="1"/>
  <c r="F810" i="1"/>
  <c r="I814" i="1"/>
  <c r="E814" i="1"/>
  <c r="H814" i="1"/>
  <c r="I818" i="1"/>
  <c r="E818" i="1"/>
  <c r="F818" i="1"/>
  <c r="I822" i="1"/>
  <c r="E822" i="1"/>
  <c r="H822" i="1"/>
  <c r="I826" i="1"/>
  <c r="E826" i="1"/>
  <c r="F826" i="1"/>
  <c r="I830" i="1"/>
  <c r="E830" i="1"/>
  <c r="H830" i="1"/>
  <c r="I834" i="1"/>
  <c r="E834" i="1"/>
  <c r="F834" i="1"/>
  <c r="I838" i="1"/>
  <c r="E838" i="1"/>
  <c r="H838" i="1"/>
  <c r="I842" i="1"/>
  <c r="E842" i="1"/>
  <c r="F842" i="1"/>
  <c r="I846" i="1"/>
  <c r="E846" i="1"/>
  <c r="H846" i="1"/>
  <c r="I850" i="1"/>
  <c r="E850" i="1"/>
  <c r="F850" i="1"/>
  <c r="I854" i="1"/>
  <c r="E854" i="1"/>
  <c r="H854" i="1"/>
  <c r="I858" i="1"/>
  <c r="E858" i="1"/>
  <c r="F858" i="1"/>
  <c r="I862" i="1"/>
  <c r="E862" i="1"/>
  <c r="H862" i="1"/>
  <c r="I866" i="1"/>
  <c r="E866" i="1"/>
  <c r="F866" i="1"/>
  <c r="I870" i="1"/>
  <c r="E870" i="1"/>
  <c r="H870" i="1"/>
  <c r="I874" i="1"/>
  <c r="E874" i="1"/>
  <c r="F874" i="1"/>
  <c r="I878" i="1"/>
  <c r="E878" i="1"/>
  <c r="H878" i="1"/>
  <c r="I882" i="1"/>
  <c r="E882" i="1"/>
  <c r="F882" i="1"/>
  <c r="I886" i="1"/>
  <c r="E886" i="1"/>
  <c r="H886" i="1"/>
  <c r="I890" i="1"/>
  <c r="E890" i="1"/>
  <c r="F890" i="1"/>
  <c r="I894" i="1"/>
  <c r="E894" i="1"/>
  <c r="H894" i="1"/>
  <c r="I898" i="1"/>
  <c r="E898" i="1"/>
  <c r="F898" i="1"/>
  <c r="I902" i="1"/>
  <c r="E902" i="1"/>
  <c r="H902" i="1"/>
  <c r="I906" i="1"/>
  <c r="E906" i="1"/>
  <c r="F906" i="1"/>
  <c r="I910" i="1"/>
  <c r="E910" i="1"/>
  <c r="H910" i="1"/>
  <c r="I914" i="1"/>
  <c r="E914" i="1"/>
  <c r="F914" i="1"/>
  <c r="I918" i="1"/>
  <c r="E918" i="1"/>
  <c r="H918" i="1"/>
  <c r="I922" i="1"/>
  <c r="E922" i="1"/>
  <c r="F922" i="1"/>
  <c r="I926" i="1"/>
  <c r="E926" i="1"/>
  <c r="H926" i="1"/>
  <c r="I930" i="1"/>
  <c r="E930" i="1"/>
  <c r="F930" i="1"/>
  <c r="I934" i="1"/>
  <c r="E934" i="1"/>
  <c r="H934" i="1"/>
  <c r="I938" i="1"/>
  <c r="E938" i="1"/>
  <c r="F938" i="1"/>
  <c r="I942" i="1"/>
  <c r="E942" i="1"/>
  <c r="H942" i="1"/>
  <c r="I946" i="1"/>
  <c r="E946" i="1"/>
  <c r="F946" i="1"/>
  <c r="I950" i="1"/>
  <c r="E950" i="1"/>
  <c r="H950" i="1"/>
  <c r="I954" i="1"/>
  <c r="E954" i="1"/>
  <c r="F954" i="1"/>
  <c r="I958" i="1"/>
  <c r="E958" i="1"/>
  <c r="H958" i="1"/>
  <c r="I962" i="1"/>
  <c r="E962" i="1"/>
  <c r="F962" i="1"/>
  <c r="I966" i="1"/>
  <c r="E966" i="1"/>
  <c r="H966" i="1"/>
  <c r="I970" i="1"/>
  <c r="E970" i="1"/>
  <c r="F970" i="1"/>
  <c r="I974" i="1"/>
  <c r="E974" i="1"/>
  <c r="H974" i="1"/>
  <c r="I978" i="1"/>
  <c r="E978" i="1"/>
  <c r="F978" i="1"/>
  <c r="F982" i="1"/>
  <c r="G982" i="1"/>
  <c r="D982" i="1"/>
  <c r="F986" i="1"/>
  <c r="I986" i="1"/>
  <c r="D986" i="1"/>
  <c r="H986" i="1"/>
  <c r="G986" i="1"/>
  <c r="F990" i="1"/>
  <c r="G990" i="1"/>
  <c r="E990" i="1"/>
  <c r="D990" i="1"/>
  <c r="F994" i="1"/>
  <c r="I994" i="1"/>
  <c r="D994" i="1"/>
  <c r="H994" i="1"/>
  <c r="F998" i="1"/>
  <c r="G998" i="1"/>
  <c r="H998" i="1"/>
  <c r="E998" i="1"/>
  <c r="F1002" i="1"/>
  <c r="I1002" i="1"/>
  <c r="D1002" i="1"/>
  <c r="E1002" i="1"/>
  <c r="F1006" i="1"/>
  <c r="G1006" i="1"/>
  <c r="I1006" i="1"/>
  <c r="H1006" i="1"/>
  <c r="F1010" i="1"/>
  <c r="I1010" i="1"/>
  <c r="D1010" i="1"/>
  <c r="G1010" i="1"/>
  <c r="E1010" i="1"/>
  <c r="F1014" i="1"/>
  <c r="G1014" i="1"/>
  <c r="D1014" i="1"/>
  <c r="I1014" i="1"/>
  <c r="F1018" i="1"/>
  <c r="I1018" i="1"/>
  <c r="D1018" i="1"/>
  <c r="H1018" i="1"/>
  <c r="G1018" i="1"/>
  <c r="F1022" i="1"/>
  <c r="G1022" i="1"/>
  <c r="E1022" i="1"/>
  <c r="D1022" i="1"/>
  <c r="F1026" i="1"/>
  <c r="H1026" i="1"/>
  <c r="D1026" i="1"/>
  <c r="I1026" i="1"/>
  <c r="F1030" i="1"/>
  <c r="H1030" i="1"/>
  <c r="D1030" i="1"/>
  <c r="I1030" i="1"/>
  <c r="G1030" i="1"/>
  <c r="F1034" i="1"/>
  <c r="I1034" i="1"/>
  <c r="E1034" i="1"/>
  <c r="H1034" i="1"/>
  <c r="D1034" i="1"/>
  <c r="F1038" i="1"/>
  <c r="I1038" i="1"/>
  <c r="E1038" i="1"/>
  <c r="H1038" i="1"/>
  <c r="D1038" i="1"/>
  <c r="F1042" i="1"/>
  <c r="I1042" i="1"/>
  <c r="E1042" i="1"/>
  <c r="H1042" i="1"/>
  <c r="D1042" i="1"/>
  <c r="G1042" i="1"/>
  <c r="F1046" i="1"/>
  <c r="H1046" i="1"/>
  <c r="G1046" i="1"/>
  <c r="E1046" i="1"/>
  <c r="D1046" i="1"/>
  <c r="I1046" i="1"/>
  <c r="F1050" i="1"/>
  <c r="E1050" i="1"/>
  <c r="I1050" i="1"/>
  <c r="D1050" i="1"/>
  <c r="H1050" i="1"/>
  <c r="F1054" i="1"/>
  <c r="H1054" i="1"/>
  <c r="G1054" i="1"/>
  <c r="E1054" i="1"/>
  <c r="F1058" i="1"/>
  <c r="E1058" i="1"/>
  <c r="I1058" i="1"/>
  <c r="D1058" i="1"/>
  <c r="H1058" i="1"/>
  <c r="F1062" i="1"/>
  <c r="H1062" i="1"/>
  <c r="G1062" i="1"/>
  <c r="E1062" i="1"/>
  <c r="D1062" i="1"/>
  <c r="F1066" i="1"/>
  <c r="E1066" i="1"/>
  <c r="I1066" i="1"/>
  <c r="D1066" i="1"/>
  <c r="H1066" i="1"/>
  <c r="G1066" i="1"/>
  <c r="F1070" i="1"/>
  <c r="H1070" i="1"/>
  <c r="G1070" i="1"/>
  <c r="E1070" i="1"/>
  <c r="I1070" i="1"/>
  <c r="D1070" i="1"/>
  <c r="F1074" i="1"/>
  <c r="E1074" i="1"/>
  <c r="I1074" i="1"/>
  <c r="D1074" i="1"/>
  <c r="H1074" i="1"/>
  <c r="G1074" i="1"/>
  <c r="F1078" i="1"/>
  <c r="H1078" i="1"/>
  <c r="G1078" i="1"/>
  <c r="E1078" i="1"/>
  <c r="D1078" i="1"/>
  <c r="F1082" i="1"/>
  <c r="E1082" i="1"/>
  <c r="I1082" i="1"/>
  <c r="D1082" i="1"/>
  <c r="H1082" i="1"/>
  <c r="G1086" i="1"/>
  <c r="F1086" i="1"/>
  <c r="I1086" i="1"/>
  <c r="H1086" i="1"/>
  <c r="E1086" i="1"/>
  <c r="D1086" i="1"/>
  <c r="G1090" i="1"/>
  <c r="E1090" i="1"/>
  <c r="I1090" i="1"/>
  <c r="D1090" i="1"/>
  <c r="F1090" i="1"/>
  <c r="H1090" i="1"/>
  <c r="G1094" i="1"/>
  <c r="H1094" i="1"/>
  <c r="F1094" i="1"/>
  <c r="D1094" i="1"/>
  <c r="I1094" i="1"/>
  <c r="E1094" i="1"/>
  <c r="G1098" i="1"/>
  <c r="E1098" i="1"/>
  <c r="I1098" i="1"/>
  <c r="D1098" i="1"/>
  <c r="H1098" i="1"/>
  <c r="F1098" i="1"/>
  <c r="G1102" i="1"/>
  <c r="H1102" i="1"/>
  <c r="F1102" i="1"/>
  <c r="I1102" i="1"/>
  <c r="E1102" i="1"/>
  <c r="D1102" i="1"/>
  <c r="G1106" i="1"/>
  <c r="E1106" i="1"/>
  <c r="I1106" i="1"/>
  <c r="D1106" i="1"/>
  <c r="F1106" i="1"/>
  <c r="G1110" i="1"/>
  <c r="H1110" i="1"/>
  <c r="F1110" i="1"/>
  <c r="E1110" i="1"/>
  <c r="I1110" i="1"/>
  <c r="D1110" i="1"/>
  <c r="G1114" i="1"/>
  <c r="E1114" i="1"/>
  <c r="I1114" i="1"/>
  <c r="D1114" i="1"/>
  <c r="H1114" i="1"/>
  <c r="F1114" i="1"/>
  <c r="G1118" i="1"/>
  <c r="H1118" i="1"/>
  <c r="F1118" i="1"/>
  <c r="E1118" i="1"/>
  <c r="I1118" i="1"/>
  <c r="D1118" i="1"/>
  <c r="G1122" i="1"/>
  <c r="E1122" i="1"/>
  <c r="I1122" i="1"/>
  <c r="D1122" i="1"/>
  <c r="H1122" i="1"/>
  <c r="F1122" i="1"/>
  <c r="G1126" i="1"/>
  <c r="H1126" i="1"/>
  <c r="F1126" i="1"/>
  <c r="E1126" i="1"/>
  <c r="D1126" i="1"/>
  <c r="G1130" i="1"/>
  <c r="E1130" i="1"/>
  <c r="I1130" i="1"/>
  <c r="D1130" i="1"/>
  <c r="H1130" i="1"/>
  <c r="F1130" i="1"/>
  <c r="G1134" i="1"/>
  <c r="H1134" i="1"/>
  <c r="F1134" i="1"/>
  <c r="E1134" i="1"/>
  <c r="I1134" i="1"/>
  <c r="D1134" i="1"/>
  <c r="G1138" i="1"/>
  <c r="E1138" i="1"/>
  <c r="I1138" i="1"/>
  <c r="D1138" i="1"/>
  <c r="H1138" i="1"/>
  <c r="F1138" i="1"/>
  <c r="H1142" i="1"/>
  <c r="D1142" i="1"/>
  <c r="G1142" i="1"/>
  <c r="I1142" i="1"/>
  <c r="F1142" i="1"/>
  <c r="H1146" i="1"/>
  <c r="D1146" i="1"/>
  <c r="G1146" i="1"/>
  <c r="I1146" i="1"/>
  <c r="F1146" i="1"/>
  <c r="E1146" i="1"/>
  <c r="H1150" i="1"/>
  <c r="D1150" i="1"/>
  <c r="G1150" i="1"/>
  <c r="I1150" i="1"/>
  <c r="F1150" i="1"/>
  <c r="E1150" i="1"/>
  <c r="I1154" i="1"/>
  <c r="E1154" i="1"/>
  <c r="H1154" i="1"/>
  <c r="D1154" i="1"/>
  <c r="G1154" i="1"/>
  <c r="F1154" i="1"/>
  <c r="I1158" i="1"/>
  <c r="E1158" i="1"/>
  <c r="H1158" i="1"/>
  <c r="D1158" i="1"/>
  <c r="G1158" i="1"/>
  <c r="F1158" i="1"/>
  <c r="H1162" i="1"/>
  <c r="D1162" i="1"/>
  <c r="E1162" i="1"/>
  <c r="I1162" i="1"/>
  <c r="G1162" i="1"/>
  <c r="F1162" i="1"/>
  <c r="H1166" i="1"/>
  <c r="D1166" i="1"/>
  <c r="G1166" i="1"/>
  <c r="F1166" i="1"/>
  <c r="E1166" i="1"/>
  <c r="I1166" i="1"/>
  <c r="H1170" i="1"/>
  <c r="D1170" i="1"/>
  <c r="E1170" i="1"/>
  <c r="I1170" i="1"/>
  <c r="G1170" i="1"/>
  <c r="F1170" i="1"/>
  <c r="H1174" i="1"/>
  <c r="D1174" i="1"/>
  <c r="G1174" i="1"/>
  <c r="F1174" i="1"/>
  <c r="E1174" i="1"/>
  <c r="I1174" i="1"/>
  <c r="H1178" i="1"/>
  <c r="D1178" i="1"/>
  <c r="E1178" i="1"/>
  <c r="I1178" i="1"/>
  <c r="G1178" i="1"/>
  <c r="F1178" i="1"/>
  <c r="H1182" i="1"/>
  <c r="D1182" i="1"/>
  <c r="G1182" i="1"/>
  <c r="F1182" i="1"/>
  <c r="E1182" i="1"/>
  <c r="I1182" i="1"/>
  <c r="H1186" i="1"/>
  <c r="D1186" i="1"/>
  <c r="E1186" i="1"/>
  <c r="I1186" i="1"/>
  <c r="G1186" i="1"/>
  <c r="F1186" i="1"/>
  <c r="H1190" i="1"/>
  <c r="D1190" i="1"/>
  <c r="G1190" i="1"/>
  <c r="F1190" i="1"/>
  <c r="E1190" i="1"/>
  <c r="I1190" i="1"/>
  <c r="F1194" i="1"/>
  <c r="H1194" i="1"/>
  <c r="D1194" i="1"/>
  <c r="G1194" i="1"/>
  <c r="E1194" i="1"/>
  <c r="I1194" i="1"/>
  <c r="F1198" i="1"/>
  <c r="H1198" i="1"/>
  <c r="D1198" i="1"/>
  <c r="G1198" i="1"/>
  <c r="E1198" i="1"/>
  <c r="I1198" i="1"/>
  <c r="F1202" i="1"/>
  <c r="H1202" i="1"/>
  <c r="D1202" i="1"/>
  <c r="E1202" i="1"/>
  <c r="I1202" i="1"/>
  <c r="G1202" i="1"/>
  <c r="F1206" i="1"/>
  <c r="H1206" i="1"/>
  <c r="D1206" i="1"/>
  <c r="E1206" i="1"/>
  <c r="I1206" i="1"/>
  <c r="G1206" i="1"/>
  <c r="F1210" i="1"/>
  <c r="I1210" i="1"/>
  <c r="H1210" i="1"/>
  <c r="D1210" i="1"/>
  <c r="E1210" i="1"/>
  <c r="G1210" i="1"/>
  <c r="F1214" i="1"/>
  <c r="I1214" i="1"/>
  <c r="E1214" i="1"/>
  <c r="H1214" i="1"/>
  <c r="D1214" i="1"/>
  <c r="G1214" i="1"/>
  <c r="F1218" i="1"/>
  <c r="I1218" i="1"/>
  <c r="E1218" i="1"/>
  <c r="H1218" i="1"/>
  <c r="D1218" i="1"/>
  <c r="G1218" i="1"/>
  <c r="F1222" i="1"/>
  <c r="I1222" i="1"/>
  <c r="E1222" i="1"/>
  <c r="H1222" i="1"/>
  <c r="D1222" i="1"/>
  <c r="G1222" i="1"/>
  <c r="F1226" i="1"/>
  <c r="I1226" i="1"/>
  <c r="E1226" i="1"/>
  <c r="H1226" i="1"/>
  <c r="D1226" i="1"/>
  <c r="G1226" i="1"/>
  <c r="F1230" i="1"/>
  <c r="I1230" i="1"/>
  <c r="E1230" i="1"/>
  <c r="H1230" i="1"/>
  <c r="D1230" i="1"/>
  <c r="G1230" i="1"/>
  <c r="F1234" i="1"/>
  <c r="I1234" i="1"/>
  <c r="E1234" i="1"/>
  <c r="H1234" i="1"/>
  <c r="D1234" i="1"/>
  <c r="G1234" i="1"/>
  <c r="F1238" i="1"/>
  <c r="I1238" i="1"/>
  <c r="E1238" i="1"/>
  <c r="H1238" i="1"/>
  <c r="D1238" i="1"/>
  <c r="G1238" i="1"/>
  <c r="F1242" i="1"/>
  <c r="I1242" i="1"/>
  <c r="E1242" i="1"/>
  <c r="H1242" i="1"/>
  <c r="D1242" i="1"/>
  <c r="G1242" i="1"/>
  <c r="F1246" i="1"/>
  <c r="I1246" i="1"/>
  <c r="E1246" i="1"/>
  <c r="H1246" i="1"/>
  <c r="D1246" i="1"/>
  <c r="G1246" i="1"/>
  <c r="F1250" i="1"/>
  <c r="I1250" i="1"/>
  <c r="E1250" i="1"/>
  <c r="H1250" i="1"/>
  <c r="D1250" i="1"/>
  <c r="G1250" i="1"/>
  <c r="F1254" i="1"/>
  <c r="I1254" i="1"/>
  <c r="E1254" i="1"/>
  <c r="H1254" i="1"/>
  <c r="D1254" i="1"/>
  <c r="G1254" i="1"/>
  <c r="D2" i="1"/>
  <c r="E6" i="1"/>
  <c r="E10" i="1"/>
  <c r="E14" i="1"/>
  <c r="E18" i="1"/>
  <c r="E22" i="1"/>
  <c r="E26" i="1"/>
  <c r="E30" i="1"/>
  <c r="E34" i="1"/>
  <c r="E38" i="1"/>
  <c r="E42" i="1"/>
  <c r="E46" i="1"/>
  <c r="E50" i="1"/>
  <c r="E54" i="1"/>
  <c r="E58" i="1"/>
  <c r="E62" i="1"/>
  <c r="E66" i="1"/>
  <c r="E70" i="1"/>
  <c r="E74" i="1"/>
  <c r="E78" i="1"/>
  <c r="E82" i="1"/>
  <c r="E86" i="1"/>
  <c r="E90" i="1"/>
  <c r="E94" i="1"/>
  <c r="E98" i="1"/>
  <c r="E102" i="1"/>
  <c r="E106" i="1"/>
  <c r="E110" i="1"/>
  <c r="E114" i="1"/>
  <c r="E118" i="1"/>
  <c r="E122" i="1"/>
  <c r="E126" i="1"/>
  <c r="E130" i="1"/>
  <c r="E134" i="1"/>
  <c r="E138" i="1"/>
  <c r="E142" i="1"/>
  <c r="E146" i="1"/>
  <c r="E150" i="1"/>
  <c r="E154" i="1"/>
  <c r="E158" i="1"/>
  <c r="E162" i="1"/>
  <c r="E166" i="1"/>
  <c r="E170" i="1"/>
  <c r="E174" i="1"/>
  <c r="E178" i="1"/>
  <c r="E182" i="1"/>
  <c r="E186" i="1"/>
  <c r="E190" i="1"/>
  <c r="E194" i="1"/>
  <c r="E198" i="1"/>
  <c r="E202" i="1"/>
  <c r="E206" i="1"/>
  <c r="E210" i="1"/>
  <c r="E214" i="1"/>
  <c r="E218" i="1"/>
  <c r="E222" i="1"/>
  <c r="E226" i="1"/>
  <c r="E230" i="1"/>
  <c r="E234" i="1"/>
  <c r="E238" i="1"/>
  <c r="E242" i="1"/>
  <c r="E246" i="1"/>
  <c r="E250" i="1"/>
  <c r="E254" i="1"/>
  <c r="E258" i="1"/>
  <c r="E262" i="1"/>
  <c r="E266" i="1"/>
  <c r="E270" i="1"/>
  <c r="E274" i="1"/>
  <c r="E278" i="1"/>
  <c r="E282" i="1"/>
  <c r="E286" i="1"/>
  <c r="E290" i="1"/>
  <c r="E294" i="1"/>
  <c r="E298" i="1"/>
  <c r="E302" i="1"/>
  <c r="E306" i="1"/>
  <c r="E310" i="1"/>
  <c r="E314" i="1"/>
  <c r="E318" i="1"/>
  <c r="E322" i="1"/>
  <c r="E326" i="1"/>
  <c r="E330" i="1"/>
  <c r="E334" i="1"/>
  <c r="E338" i="1"/>
  <c r="E342" i="1"/>
  <c r="E346" i="1"/>
  <c r="E350" i="1"/>
  <c r="E354" i="1"/>
  <c r="E358" i="1"/>
  <c r="E362" i="1"/>
  <c r="E366" i="1"/>
  <c r="E370" i="1"/>
  <c r="E374" i="1"/>
  <c r="E378" i="1"/>
  <c r="E382" i="1"/>
  <c r="E386" i="1"/>
  <c r="E390" i="1"/>
  <c r="E394" i="1"/>
  <c r="E398" i="1"/>
  <c r="E402" i="1"/>
  <c r="E406" i="1"/>
  <c r="E410" i="1"/>
  <c r="E414" i="1"/>
  <c r="E418" i="1"/>
  <c r="E422" i="1"/>
  <c r="E426" i="1"/>
  <c r="E430" i="1"/>
  <c r="E434" i="1"/>
  <c r="E438" i="1"/>
  <c r="E442" i="1"/>
  <c r="E446" i="1"/>
  <c r="E450" i="1"/>
  <c r="E454" i="1"/>
  <c r="E458" i="1"/>
  <c r="E462" i="1"/>
  <c r="E466" i="1"/>
  <c r="E470" i="1"/>
  <c r="E474" i="1"/>
  <c r="E478" i="1"/>
  <c r="E482" i="1"/>
  <c r="E486" i="1"/>
  <c r="E490" i="1"/>
  <c r="E494" i="1"/>
  <c r="E498" i="1"/>
  <c r="E502" i="1"/>
  <c r="E506" i="1"/>
  <c r="E510" i="1"/>
  <c r="E514" i="1"/>
  <c r="E518" i="1"/>
  <c r="E522" i="1"/>
  <c r="G526" i="1"/>
  <c r="E530" i="1"/>
  <c r="G534" i="1"/>
  <c r="E538" i="1"/>
  <c r="G542" i="1"/>
  <c r="E546" i="1"/>
  <c r="G550" i="1"/>
  <c r="E554" i="1"/>
  <c r="G558" i="1"/>
  <c r="E562" i="1"/>
  <c r="G566" i="1"/>
  <c r="E570" i="1"/>
  <c r="G574" i="1"/>
  <c r="E578" i="1"/>
  <c r="G582" i="1"/>
  <c r="E586" i="1"/>
  <c r="G590" i="1"/>
  <c r="E594" i="1"/>
  <c r="G598" i="1"/>
  <c r="E602" i="1"/>
  <c r="G606" i="1"/>
  <c r="E610" i="1"/>
  <c r="G614" i="1"/>
  <c r="E618" i="1"/>
  <c r="G622" i="1"/>
  <c r="E626" i="1"/>
  <c r="G630" i="1"/>
  <c r="E634" i="1"/>
  <c r="G638" i="1"/>
  <c r="E642" i="1"/>
  <c r="G646" i="1"/>
  <c r="E650" i="1"/>
  <c r="G654" i="1"/>
  <c r="E658" i="1"/>
  <c r="G662" i="1"/>
  <c r="E666" i="1"/>
  <c r="G670" i="1"/>
  <c r="E674" i="1"/>
  <c r="G678" i="1"/>
  <c r="E682" i="1"/>
  <c r="G686" i="1"/>
  <c r="E690" i="1"/>
  <c r="G694" i="1"/>
  <c r="E698" i="1"/>
  <c r="G702" i="1"/>
  <c r="E706" i="1"/>
  <c r="G710" i="1"/>
  <c r="E714" i="1"/>
  <c r="G718" i="1"/>
  <c r="E722" i="1"/>
  <c r="G726" i="1"/>
  <c r="E730" i="1"/>
  <c r="G734" i="1"/>
  <c r="E738" i="1"/>
  <c r="G742" i="1"/>
  <c r="E746" i="1"/>
  <c r="G750" i="1"/>
  <c r="E754" i="1"/>
  <c r="G758" i="1"/>
  <c r="E762" i="1"/>
  <c r="G766" i="1"/>
  <c r="E770" i="1"/>
  <c r="G774" i="1"/>
  <c r="E778" i="1"/>
  <c r="G782" i="1"/>
  <c r="E786" i="1"/>
  <c r="G790" i="1"/>
  <c r="E794" i="1"/>
  <c r="G798" i="1"/>
  <c r="E802" i="1"/>
  <c r="G806" i="1"/>
  <c r="D810" i="1"/>
  <c r="G818" i="1"/>
  <c r="D822" i="1"/>
  <c r="H826" i="1"/>
  <c r="F830" i="1"/>
  <c r="G838" i="1"/>
  <c r="D842" i="1"/>
  <c r="G850" i="1"/>
  <c r="D854" i="1"/>
  <c r="H858" i="1"/>
  <c r="F862" i="1"/>
  <c r="G870" i="1"/>
  <c r="D874" i="1"/>
  <c r="G882" i="1"/>
  <c r="D886" i="1"/>
  <c r="H890" i="1"/>
  <c r="F894" i="1"/>
  <c r="G902" i="1"/>
  <c r="D906" i="1"/>
  <c r="G914" i="1"/>
  <c r="D918" i="1"/>
  <c r="H922" i="1"/>
  <c r="F926" i="1"/>
  <c r="G934" i="1"/>
  <c r="D938" i="1"/>
  <c r="G946" i="1"/>
  <c r="D950" i="1"/>
  <c r="H954" i="1"/>
  <c r="F958" i="1"/>
  <c r="G966" i="1"/>
  <c r="D970" i="1"/>
  <c r="G978" i="1"/>
  <c r="E982" i="1"/>
  <c r="E986" i="1"/>
  <c r="I990" i="1"/>
  <c r="D998" i="1"/>
  <c r="H1002" i="1"/>
  <c r="H1014" i="1"/>
  <c r="G1026" i="1"/>
  <c r="E1030" i="1"/>
  <c r="G1034" i="1"/>
  <c r="G1050" i="1"/>
  <c r="I1078" i="1"/>
  <c r="O2" i="1" l="1"/>
  <c r="O379" i="1"/>
  <c r="O334" i="1"/>
  <c r="O590" i="1"/>
  <c r="O549" i="1"/>
  <c r="O426" i="1"/>
  <c r="O394" i="1"/>
  <c r="O430" i="1"/>
  <c r="O398" i="1"/>
  <c r="O428" i="1"/>
  <c r="O330" i="1"/>
  <c r="O429" i="1"/>
  <c r="O333" i="1"/>
  <c r="O589" i="1"/>
  <c r="O273" i="1"/>
  <c r="O639" i="1"/>
  <c r="O5" i="1"/>
  <c r="O790" i="1"/>
  <c r="O654" i="1"/>
  <c r="O649" i="1"/>
  <c r="O257" i="1"/>
  <c r="O97" i="1"/>
  <c r="O65" i="1"/>
  <c r="O271" i="1"/>
  <c r="O1007" i="1"/>
  <c r="O883" i="1"/>
  <c r="O531" i="1"/>
  <c r="O402" i="1"/>
  <c r="O409" i="1"/>
  <c r="O165" i="1"/>
  <c r="O327" i="1"/>
  <c r="O268" i="1"/>
  <c r="O675" i="1"/>
  <c r="O369" i="1"/>
  <c r="O433" i="1"/>
  <c r="O401" i="1"/>
  <c r="O160" i="1"/>
  <c r="O519" i="1"/>
  <c r="O94" i="1"/>
  <c r="O672" i="1"/>
  <c r="O725" i="1"/>
  <c r="O708" i="1"/>
  <c r="O171" i="1"/>
  <c r="O915" i="1"/>
  <c r="O791" i="1"/>
  <c r="O723" i="1"/>
  <c r="O67" i="1"/>
  <c r="O470" i="1"/>
  <c r="O629" i="1"/>
  <c r="O20" i="1"/>
  <c r="O760" i="1"/>
  <c r="O392" i="1"/>
  <c r="O228" i="1"/>
  <c r="O763" i="1"/>
  <c r="O288" i="1"/>
  <c r="O230" i="1"/>
  <c r="O643" i="1"/>
  <c r="O24" i="1"/>
  <c r="O278" i="1"/>
  <c r="O19" i="1"/>
  <c r="O103" i="1"/>
  <c r="O934" i="1"/>
  <c r="O914" i="1"/>
  <c r="O722" i="1"/>
  <c r="O706" i="1"/>
  <c r="O542" i="1"/>
  <c r="O322" i="1"/>
  <c r="O709" i="1"/>
  <c r="O673" i="1"/>
  <c r="O545" i="1"/>
  <c r="O1004" i="1"/>
  <c r="O694" i="1"/>
  <c r="O397" i="1"/>
  <c r="O217" i="1"/>
  <c r="O81" i="1"/>
  <c r="O427" i="1"/>
  <c r="O255" i="1"/>
  <c r="O70" i="1"/>
  <c r="O724" i="1"/>
  <c r="O552" i="1"/>
  <c r="O440" i="1"/>
  <c r="O332" i="1"/>
  <c r="O156" i="1"/>
  <c r="O68" i="1"/>
  <c r="O266" i="1"/>
  <c r="O699" i="1"/>
  <c r="O435" i="1"/>
  <c r="O95" i="1"/>
  <c r="O182" i="1"/>
  <c r="O184" i="1"/>
  <c r="O10" i="1"/>
  <c r="O150" i="1"/>
  <c r="O4" i="1"/>
  <c r="O40" i="1"/>
  <c r="O434" i="1"/>
  <c r="O386" i="1"/>
  <c r="O290" i="1"/>
  <c r="O913" i="1"/>
  <c r="O789" i="1"/>
  <c r="O693" i="1"/>
  <c r="O525" i="1"/>
  <c r="O936" i="1"/>
  <c r="O385" i="1"/>
  <c r="O277" i="1"/>
  <c r="O229" i="1"/>
  <c r="O153" i="1"/>
  <c r="O21" i="1"/>
  <c r="O407" i="1"/>
  <c r="O14" i="1"/>
  <c r="O536" i="1"/>
  <c r="O472" i="1"/>
  <c r="O408" i="1"/>
  <c r="O352" i="1"/>
  <c r="O312" i="1"/>
  <c r="O219" i="1"/>
  <c r="O222" i="1"/>
  <c r="O39" i="1"/>
  <c r="O154" i="1"/>
  <c r="O38" i="1"/>
  <c r="O602" i="1"/>
  <c r="O469" i="1"/>
  <c r="O317" i="1"/>
  <c r="O395" i="1"/>
  <c r="O231" i="1"/>
  <c r="O604" i="1"/>
  <c r="O520" i="1"/>
  <c r="O188" i="1"/>
  <c r="O399" i="1"/>
  <c r="O151" i="1"/>
  <c r="O218" i="1"/>
  <c r="O358" i="1"/>
  <c r="O206" i="1"/>
  <c r="O966" i="1"/>
  <c r="O866" i="1"/>
  <c r="O810" i="1"/>
  <c r="O774" i="1"/>
  <c r="O638" i="1"/>
  <c r="O558" i="1"/>
  <c r="O418" i="1"/>
  <c r="O370" i="1"/>
  <c r="O354" i="1"/>
  <c r="O965" i="1"/>
  <c r="O865" i="1"/>
  <c r="O833" i="1"/>
  <c r="O773" i="1"/>
  <c r="O816" i="1"/>
  <c r="O809" i="1"/>
  <c r="O565" i="1"/>
  <c r="O417" i="1"/>
  <c r="O353" i="1"/>
  <c r="O53" i="1"/>
  <c r="O37" i="1"/>
  <c r="O60" i="1"/>
  <c r="O559" i="1"/>
  <c r="O299" i="1"/>
  <c r="O203" i="1"/>
  <c r="O43" i="1"/>
  <c r="O198" i="1"/>
  <c r="O636" i="1"/>
  <c r="O588" i="1"/>
  <c r="O292" i="1"/>
  <c r="O208" i="1"/>
  <c r="O635" i="1"/>
  <c r="O583" i="1"/>
  <c r="O59" i="1"/>
  <c r="O46" i="1"/>
  <c r="O963" i="1"/>
  <c r="O863" i="1"/>
  <c r="O839" i="1"/>
  <c r="O375" i="1"/>
  <c r="O355" i="1"/>
  <c r="O207" i="1"/>
  <c r="O62" i="1"/>
  <c r="O32" i="1"/>
  <c r="O197" i="1"/>
  <c r="O294" i="1"/>
  <c r="O586" i="1"/>
  <c r="O351" i="1"/>
  <c r="O45" i="1"/>
  <c r="O767" i="1"/>
  <c r="O86" i="1"/>
  <c r="O378" i="1"/>
  <c r="O634" i="1"/>
  <c r="O1010" i="1"/>
  <c r="O962" i="1"/>
  <c r="O910" i="1"/>
  <c r="O878" i="1"/>
  <c r="O862" i="1"/>
  <c r="O786" i="1"/>
  <c r="O770" i="1"/>
  <c r="O734" i="1"/>
  <c r="O702" i="1"/>
  <c r="O666" i="1"/>
  <c r="O534" i="1"/>
  <c r="O518" i="1"/>
  <c r="O466" i="1"/>
  <c r="O382" i="1"/>
  <c r="O366" i="1"/>
  <c r="O350" i="1"/>
  <c r="O286" i="1"/>
  <c r="O961" i="1"/>
  <c r="O909" i="1"/>
  <c r="O877" i="1"/>
  <c r="O861" i="1"/>
  <c r="O769" i="1"/>
  <c r="O737" i="1"/>
  <c r="O705" i="1"/>
  <c r="O645" i="1"/>
  <c r="O601" i="1"/>
  <c r="O585" i="1"/>
  <c r="O561" i="1"/>
  <c r="O541" i="1"/>
  <c r="O521" i="1"/>
  <c r="O964" i="1"/>
  <c r="O916" i="1"/>
  <c r="O864" i="1"/>
  <c r="O812" i="1"/>
  <c r="O665" i="1"/>
  <c r="O517" i="1"/>
  <c r="O465" i="1"/>
  <c r="O381" i="1"/>
  <c r="O365" i="1"/>
  <c r="O349" i="1"/>
  <c r="O313" i="1"/>
  <c r="O285" i="1"/>
  <c r="O253" i="1"/>
  <c r="O225" i="1"/>
  <c r="O213" i="1"/>
  <c r="O189" i="1"/>
  <c r="O161" i="1"/>
  <c r="O149" i="1"/>
  <c r="O125" i="1"/>
  <c r="O93" i="1"/>
  <c r="O49" i="1"/>
  <c r="O33" i="1"/>
  <c r="O17" i="1"/>
  <c r="O200" i="1"/>
  <c r="O148" i="1"/>
  <c r="O84" i="1"/>
  <c r="O48" i="1"/>
  <c r="O16" i="1"/>
  <c r="O547" i="1"/>
  <c r="O471" i="1"/>
  <c r="O323" i="1"/>
  <c r="O287" i="1"/>
  <c r="O187" i="1"/>
  <c r="O139" i="1"/>
  <c r="O83" i="1"/>
  <c r="O152" i="1"/>
  <c r="O625" i="1"/>
  <c r="O736" i="1"/>
  <c r="O648" i="1"/>
  <c r="O632" i="1"/>
  <c r="O600" i="1"/>
  <c r="O584" i="1"/>
  <c r="O564" i="1"/>
  <c r="O548" i="1"/>
  <c r="O532" i="1"/>
  <c r="O516" i="1"/>
  <c r="O468" i="1"/>
  <c r="O436" i="1"/>
  <c r="O424" i="1"/>
  <c r="O404" i="1"/>
  <c r="O388" i="1"/>
  <c r="O364" i="1"/>
  <c r="O348" i="1"/>
  <c r="O328" i="1"/>
  <c r="O284" i="1"/>
  <c r="O264" i="1"/>
  <c r="O224" i="1"/>
  <c r="O204" i="1"/>
  <c r="O144" i="1"/>
  <c r="O104" i="1"/>
  <c r="O52" i="1"/>
  <c r="O12" i="1"/>
  <c r="O663" i="1"/>
  <c r="O631" i="1"/>
  <c r="O467" i="1"/>
  <c r="O391" i="1"/>
  <c r="O259" i="1"/>
  <c r="O47" i="1"/>
  <c r="O261" i="1"/>
  <c r="O258" i="1"/>
  <c r="O959" i="1"/>
  <c r="O911" i="1"/>
  <c r="O879" i="1"/>
  <c r="O859" i="1"/>
  <c r="O835" i="1"/>
  <c r="O787" i="1"/>
  <c r="O759" i="1"/>
  <c r="O735" i="1"/>
  <c r="O711" i="1"/>
  <c r="O695" i="1"/>
  <c r="O595" i="1"/>
  <c r="O523" i="1"/>
  <c r="O419" i="1"/>
  <c r="O371" i="1"/>
  <c r="O311" i="1"/>
  <c r="O79" i="1"/>
  <c r="O202" i="1"/>
  <c r="O170" i="1"/>
  <c r="O146" i="1"/>
  <c r="O30" i="1"/>
  <c r="O272" i="1"/>
  <c r="O120" i="1"/>
  <c r="O581" i="1"/>
  <c r="O99" i="1"/>
  <c r="O325" i="1"/>
  <c r="O141" i="1"/>
  <c r="O74" i="1"/>
  <c r="O710" i="1"/>
  <c r="O22" i="1"/>
  <c r="O106" i="1"/>
  <c r="O1006" i="1"/>
  <c r="O942" i="1"/>
  <c r="O890" i="1"/>
  <c r="O874" i="1"/>
  <c r="O858" i="1"/>
  <c r="O838" i="1"/>
  <c r="O766" i="1"/>
  <c r="O698" i="1"/>
  <c r="O678" i="1"/>
  <c r="O646" i="1"/>
  <c r="O630" i="1"/>
  <c r="O598" i="1"/>
  <c r="O582" i="1"/>
  <c r="O566" i="1"/>
  <c r="O550" i="1"/>
  <c r="O530" i="1"/>
  <c r="O514" i="1"/>
  <c r="O346" i="1"/>
  <c r="O314" i="1"/>
  <c r="O298" i="1"/>
  <c r="O1009" i="1"/>
  <c r="O941" i="1"/>
  <c r="O889" i="1"/>
  <c r="O873" i="1"/>
  <c r="O841" i="1"/>
  <c r="O765" i="1"/>
  <c r="O733" i="1"/>
  <c r="O701" i="1"/>
  <c r="O661" i="1"/>
  <c r="O641" i="1"/>
  <c r="O597" i="1"/>
  <c r="O577" i="1"/>
  <c r="O537" i="1"/>
  <c r="O513" i="1"/>
  <c r="O473" i="1"/>
  <c r="O1012" i="1"/>
  <c r="O960" i="1"/>
  <c r="O912" i="1"/>
  <c r="O888" i="1"/>
  <c r="O876" i="1"/>
  <c r="O860" i="1"/>
  <c r="O840" i="1"/>
  <c r="O808" i="1"/>
  <c r="O792" i="1"/>
  <c r="O772" i="1"/>
  <c r="O657" i="1"/>
  <c r="O441" i="1"/>
  <c r="O425" i="1"/>
  <c r="O393" i="1"/>
  <c r="O377" i="1"/>
  <c r="O361" i="1"/>
  <c r="O345" i="1"/>
  <c r="O329" i="1"/>
  <c r="O309" i="1"/>
  <c r="O297" i="1"/>
  <c r="O269" i="1"/>
  <c r="O221" i="1"/>
  <c r="O185" i="1"/>
  <c r="O157" i="1"/>
  <c r="O121" i="1"/>
  <c r="O105" i="1"/>
  <c r="O73" i="1"/>
  <c r="O61" i="1"/>
  <c r="O29" i="1"/>
  <c r="O140" i="1"/>
  <c r="O108" i="1"/>
  <c r="O80" i="1"/>
  <c r="O8" i="1"/>
  <c r="O587" i="1"/>
  <c r="O439" i="1"/>
  <c r="O359" i="1"/>
  <c r="O275" i="1"/>
  <c r="O123" i="1"/>
  <c r="O71" i="1"/>
  <c r="O15" i="1"/>
  <c r="O270" i="1"/>
  <c r="O122" i="1"/>
  <c r="O82" i="1"/>
  <c r="O34" i="1"/>
  <c r="O732" i="1"/>
  <c r="O696" i="1"/>
  <c r="O680" i="1"/>
  <c r="O664" i="1"/>
  <c r="O644" i="1"/>
  <c r="O628" i="1"/>
  <c r="O596" i="1"/>
  <c r="O560" i="1"/>
  <c r="O544" i="1"/>
  <c r="O528" i="1"/>
  <c r="O420" i="1"/>
  <c r="O380" i="1"/>
  <c r="O360" i="1"/>
  <c r="O344" i="1"/>
  <c r="O324" i="1"/>
  <c r="O300" i="1"/>
  <c r="O280" i="1"/>
  <c r="O260" i="1"/>
  <c r="O236" i="1"/>
  <c r="O220" i="1"/>
  <c r="O172" i="1"/>
  <c r="O44" i="1"/>
  <c r="O655" i="1"/>
  <c r="O603" i="1"/>
  <c r="O563" i="1"/>
  <c r="O431" i="1"/>
  <c r="O295" i="1"/>
  <c r="O199" i="1"/>
  <c r="O143" i="1"/>
  <c r="O87" i="1"/>
  <c r="O31" i="1"/>
  <c r="O64" i="1"/>
  <c r="O234" i="1"/>
  <c r="O98" i="1"/>
  <c r="O656" i="1"/>
  <c r="O939" i="1"/>
  <c r="O891" i="1"/>
  <c r="O875" i="1"/>
  <c r="O815" i="1"/>
  <c r="O775" i="1"/>
  <c r="O731" i="1"/>
  <c r="O707" i="1"/>
  <c r="O691" i="1"/>
  <c r="O579" i="1"/>
  <c r="O403" i="1"/>
  <c r="O291" i="1"/>
  <c r="O119" i="1"/>
  <c r="O63" i="1"/>
  <c r="O580" i="1"/>
  <c r="O162" i="1"/>
  <c r="O142" i="1"/>
  <c r="O256" i="1"/>
  <c r="O96" i="1"/>
  <c r="O227" i="1"/>
  <c r="O35" i="1"/>
  <c r="O205" i="1"/>
  <c r="O77" i="1"/>
  <c r="O539" i="1"/>
  <c r="O538" i="1"/>
  <c r="O522" i="1"/>
  <c r="O372" i="1"/>
  <c r="O368" i="1"/>
  <c r="O6" i="1"/>
  <c r="O730" i="1"/>
  <c r="O42" i="1"/>
  <c r="O938" i="1"/>
  <c r="O886" i="1"/>
  <c r="O834" i="1"/>
  <c r="O814" i="1"/>
  <c r="O794" i="1"/>
  <c r="O762" i="1"/>
  <c r="O726" i="1"/>
  <c r="O674" i="1"/>
  <c r="O658" i="1"/>
  <c r="O642" i="1"/>
  <c r="O626" i="1"/>
  <c r="O594" i="1"/>
  <c r="O578" i="1"/>
  <c r="O562" i="1"/>
  <c r="O546" i="1"/>
  <c r="O526" i="1"/>
  <c r="O438" i="1"/>
  <c r="O422" i="1"/>
  <c r="O406" i="1"/>
  <c r="O390" i="1"/>
  <c r="O374" i="1"/>
  <c r="O342" i="1"/>
  <c r="O326" i="1"/>
  <c r="O310" i="1"/>
  <c r="O1005" i="1"/>
  <c r="O937" i="1"/>
  <c r="O917" i="1"/>
  <c r="O885" i="1"/>
  <c r="O837" i="1"/>
  <c r="O813" i="1"/>
  <c r="O793" i="1"/>
  <c r="O761" i="1"/>
  <c r="O729" i="1"/>
  <c r="O713" i="1"/>
  <c r="O697" i="1"/>
  <c r="O677" i="1"/>
  <c r="O653" i="1"/>
  <c r="O637" i="1"/>
  <c r="O593" i="1"/>
  <c r="O553" i="1"/>
  <c r="O533" i="1"/>
  <c r="O1008" i="1"/>
  <c r="O940" i="1"/>
  <c r="O884" i="1"/>
  <c r="O872" i="1"/>
  <c r="O836" i="1"/>
  <c r="O788" i="1"/>
  <c r="O768" i="1"/>
  <c r="O633" i="1"/>
  <c r="O437" i="1"/>
  <c r="O421" i="1"/>
  <c r="O405" i="1"/>
  <c r="O389" i="1"/>
  <c r="O373" i="1"/>
  <c r="O357" i="1"/>
  <c r="O321" i="1"/>
  <c r="O293" i="1"/>
  <c r="O281" i="1"/>
  <c r="O265" i="1"/>
  <c r="O233" i="1"/>
  <c r="O201" i="1"/>
  <c r="O181" i="1"/>
  <c r="O169" i="1"/>
  <c r="O137" i="1"/>
  <c r="O117" i="1"/>
  <c r="O101" i="1"/>
  <c r="O85" i="1"/>
  <c r="O69" i="1"/>
  <c r="O57" i="1"/>
  <c r="O41" i="1"/>
  <c r="O25" i="1"/>
  <c r="O9" i="1"/>
  <c r="O168" i="1"/>
  <c r="O136" i="1"/>
  <c r="O100" i="1"/>
  <c r="O72" i="1"/>
  <c r="O679" i="1"/>
  <c r="O527" i="1"/>
  <c r="O347" i="1"/>
  <c r="O331" i="1"/>
  <c r="O315" i="1"/>
  <c r="O267" i="1"/>
  <c r="O215" i="1"/>
  <c r="O159" i="1"/>
  <c r="O55" i="1"/>
  <c r="O7" i="1"/>
  <c r="O254" i="1"/>
  <c r="O118" i="1"/>
  <c r="O78" i="1"/>
  <c r="O18" i="1"/>
  <c r="O764" i="1"/>
  <c r="O728" i="1"/>
  <c r="O712" i="1"/>
  <c r="O692" i="1"/>
  <c r="O676" i="1"/>
  <c r="O660" i="1"/>
  <c r="O640" i="1"/>
  <c r="O540" i="1"/>
  <c r="O524" i="1"/>
  <c r="O396" i="1"/>
  <c r="O376" i="1"/>
  <c r="O356" i="1"/>
  <c r="O316" i="1"/>
  <c r="O296" i="1"/>
  <c r="O276" i="1"/>
  <c r="O232" i="1"/>
  <c r="O212" i="1"/>
  <c r="O164" i="1"/>
  <c r="O124" i="1"/>
  <c r="O76" i="1"/>
  <c r="O36" i="1"/>
  <c r="O647" i="1"/>
  <c r="O599" i="1"/>
  <c r="O551" i="1"/>
  <c r="O423" i="1"/>
  <c r="O283" i="1"/>
  <c r="O235" i="1"/>
  <c r="O183" i="1"/>
  <c r="O75" i="1"/>
  <c r="O23" i="1"/>
  <c r="O226" i="1"/>
  <c r="O54" i="1"/>
  <c r="O1011" i="1"/>
  <c r="O967" i="1"/>
  <c r="O935" i="1"/>
  <c r="O887" i="1"/>
  <c r="O871" i="1"/>
  <c r="O811" i="1"/>
  <c r="O771" i="1"/>
  <c r="O727" i="1"/>
  <c r="O703" i="1"/>
  <c r="O659" i="1"/>
  <c r="O543" i="1"/>
  <c r="O387" i="1"/>
  <c r="O363" i="1"/>
  <c r="O279" i="1"/>
  <c r="O223" i="1"/>
  <c r="O167" i="1"/>
  <c r="O107" i="1"/>
  <c r="O51" i="1"/>
  <c r="O274" i="1"/>
  <c r="O186" i="1"/>
  <c r="O158" i="1"/>
  <c r="O138" i="1"/>
  <c r="O216" i="1"/>
  <c r="O56" i="1"/>
  <c r="O163" i="1"/>
  <c r="O3" i="1"/>
  <c r="O13" i="1"/>
  <c r="O102" i="1" l="1"/>
  <c r="P2" i="1" s="1"/>
  <c r="P6" i="1" s="1"/>
  <c r="Q2" i="1" a="1"/>
  <c r="Q2" i="1" l="1"/>
  <c r="U2" i="1"/>
  <c r="R3" i="1"/>
  <c r="V3" i="1"/>
  <c r="S4" i="1"/>
  <c r="W4" i="1"/>
  <c r="T5" i="1"/>
  <c r="Q6" i="1"/>
  <c r="U6" i="1"/>
  <c r="R7" i="1"/>
  <c r="V7" i="1"/>
  <c r="U3" i="1"/>
  <c r="R2" i="1"/>
  <c r="V2" i="1"/>
  <c r="S3" i="1"/>
  <c r="W3" i="1"/>
  <c r="T4" i="1"/>
  <c r="Q5" i="1"/>
  <c r="U5" i="1"/>
  <c r="R6" i="1"/>
  <c r="V6" i="1"/>
  <c r="S7" i="1"/>
  <c r="W7" i="1"/>
  <c r="Q3" i="1"/>
  <c r="V4" i="1"/>
  <c r="W5" i="1"/>
  <c r="Q7" i="1"/>
  <c r="S2" i="1"/>
  <c r="W2" i="1"/>
  <c r="T3" i="1"/>
  <c r="Q4" i="1"/>
  <c r="U4" i="1"/>
  <c r="R5" i="1"/>
  <c r="V5" i="1"/>
  <c r="S6" i="1"/>
  <c r="W6" i="1"/>
  <c r="T7" i="1"/>
  <c r="T2" i="1"/>
  <c r="T14" i="1" s="1"/>
  <c r="R4" i="1"/>
  <c r="S5" i="1"/>
  <c r="T6" i="1"/>
  <c r="U7" i="1"/>
  <c r="M1050" i="1" l="1"/>
  <c r="M2" i="1"/>
  <c r="M1049" i="1"/>
  <c r="M1045" i="1"/>
  <c r="M1041" i="1"/>
  <c r="M1037" i="1"/>
  <c r="M1033" i="1"/>
  <c r="M1029" i="1"/>
  <c r="M1025" i="1"/>
  <c r="M1021" i="1"/>
  <c r="M1017" i="1"/>
  <c r="M1013" i="1"/>
  <c r="M1009" i="1"/>
  <c r="M1005" i="1"/>
  <c r="M1001" i="1"/>
  <c r="M997" i="1"/>
  <c r="M993" i="1"/>
  <c r="M989" i="1"/>
  <c r="M985" i="1"/>
  <c r="M981" i="1"/>
  <c r="M977" i="1"/>
  <c r="M973" i="1"/>
  <c r="M969" i="1"/>
  <c r="M965" i="1"/>
  <c r="M961" i="1"/>
  <c r="M957" i="1"/>
  <c r="M953" i="1"/>
  <c r="M949" i="1"/>
  <c r="M945" i="1"/>
  <c r="M941" i="1"/>
  <c r="M937" i="1"/>
  <c r="M933" i="1"/>
  <c r="M929" i="1"/>
  <c r="M925" i="1"/>
  <c r="M921" i="1"/>
  <c r="M917" i="1"/>
  <c r="M913" i="1"/>
  <c r="M909" i="1"/>
  <c r="M905" i="1"/>
  <c r="M901" i="1"/>
  <c r="M897" i="1"/>
  <c r="M893" i="1"/>
  <c r="M889" i="1"/>
  <c r="M885" i="1"/>
  <c r="M881" i="1"/>
  <c r="M877" i="1"/>
  <c r="M873" i="1"/>
  <c r="M869" i="1"/>
  <c r="M865" i="1"/>
  <c r="M861" i="1"/>
  <c r="M857" i="1"/>
  <c r="M853" i="1"/>
  <c r="M849" i="1"/>
  <c r="M845" i="1"/>
  <c r="M841" i="1"/>
  <c r="M837" i="1"/>
  <c r="M833" i="1"/>
  <c r="M829" i="1"/>
  <c r="M825" i="1"/>
  <c r="M821" i="1"/>
  <c r="M817" i="1"/>
  <c r="M813" i="1"/>
  <c r="M809" i="1"/>
  <c r="M805" i="1"/>
  <c r="M801" i="1"/>
  <c r="M797" i="1"/>
  <c r="M793" i="1"/>
  <c r="M789" i="1"/>
  <c r="M785" i="1"/>
  <c r="M781" i="1"/>
  <c r="M777" i="1"/>
  <c r="M773" i="1"/>
  <c r="M769" i="1"/>
  <c r="M765" i="1"/>
  <c r="M761" i="1"/>
  <c r="M757" i="1"/>
  <c r="M753" i="1"/>
  <c r="M749" i="1"/>
  <c r="M745" i="1"/>
  <c r="M741" i="1"/>
  <c r="M737" i="1"/>
  <c r="M733" i="1"/>
  <c r="M729" i="1"/>
  <c r="M725" i="1"/>
  <c r="M721" i="1"/>
  <c r="M717" i="1"/>
  <c r="M713" i="1"/>
  <c r="M1048" i="1"/>
  <c r="M1044" i="1"/>
  <c r="M1040" i="1"/>
  <c r="M1036" i="1"/>
  <c r="M1032" i="1"/>
  <c r="M1028" i="1"/>
  <c r="M1024" i="1"/>
  <c r="M1020" i="1"/>
  <c r="M1016" i="1"/>
  <c r="M1012" i="1"/>
  <c r="M1008" i="1"/>
  <c r="M1004" i="1"/>
  <c r="M1000" i="1"/>
  <c r="M996" i="1"/>
  <c r="M992" i="1"/>
  <c r="M988" i="1"/>
  <c r="M984" i="1"/>
  <c r="M980" i="1"/>
  <c r="M976" i="1"/>
  <c r="M972" i="1"/>
  <c r="M968" i="1"/>
  <c r="M964" i="1"/>
  <c r="M960" i="1"/>
  <c r="M956" i="1"/>
  <c r="M952" i="1"/>
  <c r="M948" i="1"/>
  <c r="M944" i="1"/>
  <c r="M940" i="1"/>
  <c r="M936" i="1"/>
  <c r="M932" i="1"/>
  <c r="M928" i="1"/>
  <c r="M924" i="1"/>
  <c r="M920" i="1"/>
  <c r="M916" i="1"/>
  <c r="M912" i="1"/>
  <c r="M908" i="1"/>
  <c r="M904" i="1"/>
  <c r="M900" i="1"/>
  <c r="M896" i="1"/>
  <c r="M892" i="1"/>
  <c r="M888" i="1"/>
  <c r="M884" i="1"/>
  <c r="M880" i="1"/>
  <c r="M876" i="1"/>
  <c r="M872" i="1"/>
  <c r="M868" i="1"/>
  <c r="M864" i="1"/>
  <c r="M860" i="1"/>
  <c r="M856" i="1"/>
  <c r="M852" i="1"/>
  <c r="M848" i="1"/>
  <c r="M844" i="1"/>
  <c r="M840" i="1"/>
  <c r="M836" i="1"/>
  <c r="M832" i="1"/>
  <c r="M828" i="1"/>
  <c r="M824" i="1"/>
  <c r="M820" i="1"/>
  <c r="M816" i="1"/>
  <c r="M812" i="1"/>
  <c r="M808" i="1"/>
  <c r="M804" i="1"/>
  <c r="M800" i="1"/>
  <c r="M796" i="1"/>
  <c r="M792" i="1"/>
  <c r="M788" i="1"/>
  <c r="M784" i="1"/>
  <c r="M780" i="1"/>
  <c r="M776" i="1"/>
  <c r="M772" i="1"/>
  <c r="M768" i="1"/>
  <c r="M764" i="1"/>
  <c r="M760" i="1"/>
  <c r="M756" i="1"/>
  <c r="M752" i="1"/>
  <c r="M748" i="1"/>
  <c r="M744" i="1"/>
  <c r="M740" i="1"/>
  <c r="M736" i="1"/>
  <c r="M732" i="1"/>
  <c r="M728" i="1"/>
  <c r="M724" i="1"/>
  <c r="M720" i="1"/>
  <c r="M716" i="1"/>
  <c r="M712" i="1"/>
  <c r="M1047" i="1"/>
  <c r="M1039" i="1"/>
  <c r="M1031" i="1"/>
  <c r="M1023" i="1"/>
  <c r="M1015" i="1"/>
  <c r="M1007" i="1"/>
  <c r="M999" i="1"/>
  <c r="M991" i="1"/>
  <c r="M983" i="1"/>
  <c r="M975" i="1"/>
  <c r="M967" i="1"/>
  <c r="M959" i="1"/>
  <c r="M951" i="1"/>
  <c r="M943" i="1"/>
  <c r="M935" i="1"/>
  <c r="M927" i="1"/>
  <c r="M919" i="1"/>
  <c r="M911" i="1"/>
  <c r="M903" i="1"/>
  <c r="M895" i="1"/>
  <c r="M887" i="1"/>
  <c r="M879" i="1"/>
  <c r="M871" i="1"/>
  <c r="M863" i="1"/>
  <c r="M855" i="1"/>
  <c r="M847" i="1"/>
  <c r="M839" i="1"/>
  <c r="M831" i="1"/>
  <c r="M823" i="1"/>
  <c r="M815" i="1"/>
  <c r="M807" i="1"/>
  <c r="M799" i="1"/>
  <c r="M791" i="1"/>
  <c r="M783" i="1"/>
  <c r="M775" i="1"/>
  <c r="M767" i="1"/>
  <c r="M759" i="1"/>
  <c r="M751" i="1"/>
  <c r="M743" i="1"/>
  <c r="M735" i="1"/>
  <c r="M727" i="1"/>
  <c r="M719" i="1"/>
  <c r="M711" i="1"/>
  <c r="M707" i="1"/>
  <c r="M703" i="1"/>
  <c r="M699" i="1"/>
  <c r="M695" i="1"/>
  <c r="M691" i="1"/>
  <c r="M687" i="1"/>
  <c r="M683" i="1"/>
  <c r="M679" i="1"/>
  <c r="M675" i="1"/>
  <c r="M671" i="1"/>
  <c r="M667" i="1"/>
  <c r="M663" i="1"/>
  <c r="M659" i="1"/>
  <c r="M655" i="1"/>
  <c r="M651" i="1"/>
  <c r="M647" i="1"/>
  <c r="M643" i="1"/>
  <c r="M639" i="1"/>
  <c r="M635" i="1"/>
  <c r="M631" i="1"/>
  <c r="M627" i="1"/>
  <c r="M623" i="1"/>
  <c r="M619" i="1"/>
  <c r="M615" i="1"/>
  <c r="M611" i="1"/>
  <c r="M607" i="1"/>
  <c r="M603" i="1"/>
  <c r="M599" i="1"/>
  <c r="M595" i="1"/>
  <c r="M591" i="1"/>
  <c r="M587" i="1"/>
  <c r="M583" i="1"/>
  <c r="M579" i="1"/>
  <c r="M575" i="1"/>
  <c r="M571" i="1"/>
  <c r="M567" i="1"/>
  <c r="M563" i="1"/>
  <c r="M559" i="1"/>
  <c r="M555" i="1"/>
  <c r="M551" i="1"/>
  <c r="M547" i="1"/>
  <c r="M543" i="1"/>
  <c r="M539" i="1"/>
  <c r="M535" i="1"/>
  <c r="M531" i="1"/>
  <c r="M527" i="1"/>
  <c r="M523" i="1"/>
  <c r="M519" i="1"/>
  <c r="M515" i="1"/>
  <c r="M511" i="1"/>
  <c r="M507" i="1"/>
  <c r="M503" i="1"/>
  <c r="M499" i="1"/>
  <c r="M495" i="1"/>
  <c r="M491" i="1"/>
  <c r="M487" i="1"/>
  <c r="M483" i="1"/>
  <c r="M479" i="1"/>
  <c r="M475" i="1"/>
  <c r="M471" i="1"/>
  <c r="M467" i="1"/>
  <c r="M463" i="1"/>
  <c r="M459" i="1"/>
  <c r="M455" i="1"/>
  <c r="M451" i="1"/>
  <c r="M447" i="1"/>
  <c r="M443" i="1"/>
  <c r="M439" i="1"/>
  <c r="M435" i="1"/>
  <c r="M431" i="1"/>
  <c r="M427" i="1"/>
  <c r="M423" i="1"/>
  <c r="M419" i="1"/>
  <c r="M415" i="1"/>
  <c r="M411" i="1"/>
  <c r="M407" i="1"/>
  <c r="M403" i="1"/>
  <c r="M399" i="1"/>
  <c r="M395" i="1"/>
  <c r="M391" i="1"/>
  <c r="M387" i="1"/>
  <c r="M383" i="1"/>
  <c r="M379" i="1"/>
  <c r="M375" i="1"/>
  <c r="M371" i="1"/>
  <c r="M367" i="1"/>
  <c r="M363" i="1"/>
  <c r="M359" i="1"/>
  <c r="M355" i="1"/>
  <c r="M351" i="1"/>
  <c r="M347" i="1"/>
  <c r="M1046" i="1"/>
  <c r="M1038" i="1"/>
  <c r="M1030" i="1"/>
  <c r="M1022" i="1"/>
  <c r="M1014" i="1"/>
  <c r="M1006" i="1"/>
  <c r="M998" i="1"/>
  <c r="M990" i="1"/>
  <c r="M982" i="1"/>
  <c r="M974" i="1"/>
  <c r="M966" i="1"/>
  <c r="M958" i="1"/>
  <c r="M950" i="1"/>
  <c r="M942" i="1"/>
  <c r="M934" i="1"/>
  <c r="M926" i="1"/>
  <c r="M918" i="1"/>
  <c r="M910" i="1"/>
  <c r="M902" i="1"/>
  <c r="M894" i="1"/>
  <c r="M886" i="1"/>
  <c r="M878" i="1"/>
  <c r="M870" i="1"/>
  <c r="M862" i="1"/>
  <c r="M854" i="1"/>
  <c r="M846" i="1"/>
  <c r="M838" i="1"/>
  <c r="M830" i="1"/>
  <c r="M822" i="1"/>
  <c r="M814" i="1"/>
  <c r="M806" i="1"/>
  <c r="M798" i="1"/>
  <c r="M790" i="1"/>
  <c r="M782" i="1"/>
  <c r="M774" i="1"/>
  <c r="M766" i="1"/>
  <c r="M758" i="1"/>
  <c r="M750" i="1"/>
  <c r="M742" i="1"/>
  <c r="M734" i="1"/>
  <c r="M726" i="1"/>
  <c r="M718" i="1"/>
  <c r="M710" i="1"/>
  <c r="M706" i="1"/>
  <c r="M702" i="1"/>
  <c r="M698" i="1"/>
  <c r="M694" i="1"/>
  <c r="M690" i="1"/>
  <c r="M686" i="1"/>
  <c r="M682" i="1"/>
  <c r="M678" i="1"/>
  <c r="M674" i="1"/>
  <c r="M670" i="1"/>
  <c r="M666" i="1"/>
  <c r="M662" i="1"/>
  <c r="M658" i="1"/>
  <c r="M654" i="1"/>
  <c r="M650" i="1"/>
  <c r="M646" i="1"/>
  <c r="M642" i="1"/>
  <c r="M638" i="1"/>
  <c r="M634" i="1"/>
  <c r="M630" i="1"/>
  <c r="M626" i="1"/>
  <c r="M622" i="1"/>
  <c r="M618" i="1"/>
  <c r="M614" i="1"/>
  <c r="M610" i="1"/>
  <c r="M606" i="1"/>
  <c r="M602" i="1"/>
  <c r="M598" i="1"/>
  <c r="M594" i="1"/>
  <c r="M590" i="1"/>
  <c r="M586" i="1"/>
  <c r="M582" i="1"/>
  <c r="M578" i="1"/>
  <c r="M574" i="1"/>
  <c r="M570" i="1"/>
  <c r="M566" i="1"/>
  <c r="M562" i="1"/>
  <c r="M558" i="1"/>
  <c r="M554" i="1"/>
  <c r="M550" i="1"/>
  <c r="M546" i="1"/>
  <c r="M542" i="1"/>
  <c r="M538" i="1"/>
  <c r="M534" i="1"/>
  <c r="M530" i="1"/>
  <c r="M526" i="1"/>
  <c r="M522" i="1"/>
  <c r="M518" i="1"/>
  <c r="M514" i="1"/>
  <c r="M510" i="1"/>
  <c r="M506" i="1"/>
  <c r="M502" i="1"/>
  <c r="M498" i="1"/>
  <c r="M494" i="1"/>
  <c r="M490" i="1"/>
  <c r="M486" i="1"/>
  <c r="M482" i="1"/>
  <c r="M478" i="1"/>
  <c r="M474" i="1"/>
  <c r="M470" i="1"/>
  <c r="M466" i="1"/>
  <c r="M462" i="1"/>
  <c r="M458" i="1"/>
  <c r="M454" i="1"/>
  <c r="M450" i="1"/>
  <c r="M446" i="1"/>
  <c r="M442" i="1"/>
  <c r="M438" i="1"/>
  <c r="M434" i="1"/>
  <c r="M430" i="1"/>
  <c r="M426" i="1"/>
  <c r="M422" i="1"/>
  <c r="M418" i="1"/>
  <c r="M414" i="1"/>
  <c r="M410" i="1"/>
  <c r="M406" i="1"/>
  <c r="M402" i="1"/>
  <c r="M398" i="1"/>
  <c r="M394" i="1"/>
  <c r="M390" i="1"/>
  <c r="M386" i="1"/>
  <c r="M382" i="1"/>
  <c r="M378" i="1"/>
  <c r="M374" i="1"/>
  <c r="M370" i="1"/>
  <c r="M366" i="1"/>
  <c r="M362" i="1"/>
  <c r="M358" i="1"/>
  <c r="M354" i="1"/>
  <c r="M350" i="1"/>
  <c r="M346" i="1"/>
  <c r="M342" i="1"/>
  <c r="M338" i="1"/>
  <c r="M334" i="1"/>
  <c r="M330" i="1"/>
  <c r="M326" i="1"/>
  <c r="M322" i="1"/>
  <c r="M318" i="1"/>
  <c r="M314" i="1"/>
  <c r="M310" i="1"/>
  <c r="M306" i="1"/>
  <c r="M302" i="1"/>
  <c r="M298" i="1"/>
  <c r="M294" i="1"/>
  <c r="M290" i="1"/>
  <c r="M286" i="1"/>
  <c r="M282" i="1"/>
  <c r="M278" i="1"/>
  <c r="M274" i="1"/>
  <c r="M270" i="1"/>
  <c r="M266" i="1"/>
  <c r="M262" i="1"/>
  <c r="M258" i="1"/>
  <c r="M254" i="1"/>
  <c r="M250" i="1"/>
  <c r="M246" i="1"/>
  <c r="M242" i="1"/>
  <c r="M238" i="1"/>
  <c r="M234" i="1"/>
  <c r="M230" i="1"/>
  <c r="M226" i="1"/>
  <c r="M222" i="1"/>
  <c r="M218" i="1"/>
  <c r="M214" i="1"/>
  <c r="M210" i="1"/>
  <c r="M206" i="1"/>
  <c r="M202" i="1"/>
  <c r="M1043" i="1"/>
  <c r="M1027" i="1"/>
  <c r="M1011" i="1"/>
  <c r="M995" i="1"/>
  <c r="M979" i="1"/>
  <c r="M963" i="1"/>
  <c r="M947" i="1"/>
  <c r="M931" i="1"/>
  <c r="M915" i="1"/>
  <c r="M899" i="1"/>
  <c r="M883" i="1"/>
  <c r="M867" i="1"/>
  <c r="M851" i="1"/>
  <c r="M835" i="1"/>
  <c r="M819" i="1"/>
  <c r="M803" i="1"/>
  <c r="M787" i="1"/>
  <c r="M771" i="1"/>
  <c r="M755" i="1"/>
  <c r="M739" i="1"/>
  <c r="M723" i="1"/>
  <c r="M709" i="1"/>
  <c r="M701" i="1"/>
  <c r="M693" i="1"/>
  <c r="M685" i="1"/>
  <c r="M677" i="1"/>
  <c r="M669" i="1"/>
  <c r="M661" i="1"/>
  <c r="M653" i="1"/>
  <c r="M645" i="1"/>
  <c r="M637" i="1"/>
  <c r="M629" i="1"/>
  <c r="M621" i="1"/>
  <c r="M613" i="1"/>
  <c r="M605" i="1"/>
  <c r="M597" i="1"/>
  <c r="M589" i="1"/>
  <c r="M581" i="1"/>
  <c r="M573" i="1"/>
  <c r="M565" i="1"/>
  <c r="M557" i="1"/>
  <c r="M549" i="1"/>
  <c r="M541" i="1"/>
  <c r="M533" i="1"/>
  <c r="M525" i="1"/>
  <c r="M517" i="1"/>
  <c r="M509" i="1"/>
  <c r="M501" i="1"/>
  <c r="M493" i="1"/>
  <c r="M485" i="1"/>
  <c r="M477" i="1"/>
  <c r="M469" i="1"/>
  <c r="M461" i="1"/>
  <c r="M453" i="1"/>
  <c r="M445" i="1"/>
  <c r="M437" i="1"/>
  <c r="M429" i="1"/>
  <c r="M421" i="1"/>
  <c r="M413" i="1"/>
  <c r="M405" i="1"/>
  <c r="M397" i="1"/>
  <c r="M389" i="1"/>
  <c r="M381" i="1"/>
  <c r="M373" i="1"/>
  <c r="M365" i="1"/>
  <c r="M357" i="1"/>
  <c r="M349" i="1"/>
  <c r="M343" i="1"/>
  <c r="M337" i="1"/>
  <c r="M332" i="1"/>
  <c r="M327" i="1"/>
  <c r="M321" i="1"/>
  <c r="M316" i="1"/>
  <c r="M311" i="1"/>
  <c r="M305" i="1"/>
  <c r="M300" i="1"/>
  <c r="M295" i="1"/>
  <c r="M289" i="1"/>
  <c r="M284" i="1"/>
  <c r="M279" i="1"/>
  <c r="M273" i="1"/>
  <c r="M268" i="1"/>
  <c r="M263" i="1"/>
  <c r="M257" i="1"/>
  <c r="M252" i="1"/>
  <c r="M247" i="1"/>
  <c r="M241" i="1"/>
  <c r="M236" i="1"/>
  <c r="M231" i="1"/>
  <c r="M225" i="1"/>
  <c r="M220" i="1"/>
  <c r="M215" i="1"/>
  <c r="M209" i="1"/>
  <c r="M204" i="1"/>
  <c r="M199" i="1"/>
  <c r="M195" i="1"/>
  <c r="M191" i="1"/>
  <c r="M187" i="1"/>
  <c r="M183" i="1"/>
  <c r="M179" i="1"/>
  <c r="M175" i="1"/>
  <c r="M171" i="1"/>
  <c r="M167" i="1"/>
  <c r="M163" i="1"/>
  <c r="M159" i="1"/>
  <c r="M155" i="1"/>
  <c r="M151" i="1"/>
  <c r="M147" i="1"/>
  <c r="M143" i="1"/>
  <c r="M139" i="1"/>
  <c r="M135" i="1"/>
  <c r="M131" i="1"/>
  <c r="M127" i="1"/>
  <c r="M123" i="1"/>
  <c r="M119" i="1"/>
  <c r="M115" i="1"/>
  <c r="M111" i="1"/>
  <c r="M107" i="1"/>
  <c r="M103" i="1"/>
  <c r="M99" i="1"/>
  <c r="M95" i="1"/>
  <c r="M91" i="1"/>
  <c r="M87" i="1"/>
  <c r="M83" i="1"/>
  <c r="M79" i="1"/>
  <c r="M75" i="1"/>
  <c r="M71" i="1"/>
  <c r="M67" i="1"/>
  <c r="M63" i="1"/>
  <c r="M59" i="1"/>
  <c r="M55" i="1"/>
  <c r="M51" i="1"/>
  <c r="M47" i="1"/>
  <c r="M43" i="1"/>
  <c r="M39" i="1"/>
  <c r="M35" i="1"/>
  <c r="M31" i="1"/>
  <c r="M27" i="1"/>
  <c r="M23" i="1"/>
  <c r="M19" i="1"/>
  <c r="M15" i="1"/>
  <c r="M11" i="1"/>
  <c r="M7" i="1"/>
  <c r="M3" i="1"/>
  <c r="M1019" i="1"/>
  <c r="M1003" i="1"/>
  <c r="M987" i="1"/>
  <c r="M971" i="1"/>
  <c r="M955" i="1"/>
  <c r="M939" i="1"/>
  <c r="M907" i="1"/>
  <c r="M891" i="1"/>
  <c r="M859" i="1"/>
  <c r="M843" i="1"/>
  <c r="M811" i="1"/>
  <c r="M779" i="1"/>
  <c r="M747" i="1"/>
  <c r="M715" i="1"/>
  <c r="M697" i="1"/>
  <c r="M681" i="1"/>
  <c r="M665" i="1"/>
  <c r="M649" i="1"/>
  <c r="M633" i="1"/>
  <c r="M617" i="1"/>
  <c r="M601" i="1"/>
  <c r="M585" i="1"/>
  <c r="M569" i="1"/>
  <c r="M553" i="1"/>
  <c r="M537" i="1"/>
  <c r="M521" i="1"/>
  <c r="M1042" i="1"/>
  <c r="M1026" i="1"/>
  <c r="M1010" i="1"/>
  <c r="M994" i="1"/>
  <c r="M978" i="1"/>
  <c r="M962" i="1"/>
  <c r="M946" i="1"/>
  <c r="M930" i="1"/>
  <c r="M914" i="1"/>
  <c r="M898" i="1"/>
  <c r="M882" i="1"/>
  <c r="M866" i="1"/>
  <c r="M850" i="1"/>
  <c r="M834" i="1"/>
  <c r="M818" i="1"/>
  <c r="M802" i="1"/>
  <c r="M786" i="1"/>
  <c r="M770" i="1"/>
  <c r="M754" i="1"/>
  <c r="M738" i="1"/>
  <c r="M722" i="1"/>
  <c r="M708" i="1"/>
  <c r="M700" i="1"/>
  <c r="M692" i="1"/>
  <c r="M684" i="1"/>
  <c r="M676" i="1"/>
  <c r="M668" i="1"/>
  <c r="M660" i="1"/>
  <c r="M652" i="1"/>
  <c r="M644" i="1"/>
  <c r="M636" i="1"/>
  <c r="M628" i="1"/>
  <c r="M620" i="1"/>
  <c r="M612" i="1"/>
  <c r="M604" i="1"/>
  <c r="M596" i="1"/>
  <c r="M588" i="1"/>
  <c r="M580" i="1"/>
  <c r="M572" i="1"/>
  <c r="M564" i="1"/>
  <c r="M556" i="1"/>
  <c r="M548" i="1"/>
  <c r="M540" i="1"/>
  <c r="M532" i="1"/>
  <c r="M524" i="1"/>
  <c r="M516" i="1"/>
  <c r="M508" i="1"/>
  <c r="M500" i="1"/>
  <c r="M492" i="1"/>
  <c r="M484" i="1"/>
  <c r="M476" i="1"/>
  <c r="M468" i="1"/>
  <c r="M460" i="1"/>
  <c r="M452" i="1"/>
  <c r="M444" i="1"/>
  <c r="M436" i="1"/>
  <c r="M428" i="1"/>
  <c r="M420" i="1"/>
  <c r="M412" i="1"/>
  <c r="M404" i="1"/>
  <c r="M396" i="1"/>
  <c r="M388" i="1"/>
  <c r="M380" i="1"/>
  <c r="M372" i="1"/>
  <c r="M364" i="1"/>
  <c r="M356" i="1"/>
  <c r="M348" i="1"/>
  <c r="M341" i="1"/>
  <c r="M336" i="1"/>
  <c r="M331" i="1"/>
  <c r="M325" i="1"/>
  <c r="M320" i="1"/>
  <c r="M315" i="1"/>
  <c r="M309" i="1"/>
  <c r="M304" i="1"/>
  <c r="M299" i="1"/>
  <c r="M293" i="1"/>
  <c r="M288" i="1"/>
  <c r="M283" i="1"/>
  <c r="M277" i="1"/>
  <c r="M272" i="1"/>
  <c r="M267" i="1"/>
  <c r="M261" i="1"/>
  <c r="M256" i="1"/>
  <c r="M251" i="1"/>
  <c r="M245" i="1"/>
  <c r="M240" i="1"/>
  <c r="M235" i="1"/>
  <c r="M229" i="1"/>
  <c r="M224" i="1"/>
  <c r="M219" i="1"/>
  <c r="M213" i="1"/>
  <c r="M208" i="1"/>
  <c r="M203" i="1"/>
  <c r="M198" i="1"/>
  <c r="M194" i="1"/>
  <c r="M190" i="1"/>
  <c r="M186" i="1"/>
  <c r="M182" i="1"/>
  <c r="M178" i="1"/>
  <c r="M174" i="1"/>
  <c r="M170" i="1"/>
  <c r="M166" i="1"/>
  <c r="M162" i="1"/>
  <c r="M158" i="1"/>
  <c r="M154" i="1"/>
  <c r="M150" i="1"/>
  <c r="M146" i="1"/>
  <c r="M142" i="1"/>
  <c r="M138" i="1"/>
  <c r="M134" i="1"/>
  <c r="M130" i="1"/>
  <c r="M126" i="1"/>
  <c r="M122" i="1"/>
  <c r="M118" i="1"/>
  <c r="M114" i="1"/>
  <c r="M110" i="1"/>
  <c r="M106" i="1"/>
  <c r="M102" i="1"/>
  <c r="M98" i="1"/>
  <c r="M94" i="1"/>
  <c r="M90" i="1"/>
  <c r="M86" i="1"/>
  <c r="M82" i="1"/>
  <c r="M78" i="1"/>
  <c r="M74" i="1"/>
  <c r="M70" i="1"/>
  <c r="M66" i="1"/>
  <c r="M62" i="1"/>
  <c r="M58" i="1"/>
  <c r="M54" i="1"/>
  <c r="M50" i="1"/>
  <c r="M46" i="1"/>
  <c r="M42" i="1"/>
  <c r="M38" i="1"/>
  <c r="M34" i="1"/>
  <c r="M30" i="1"/>
  <c r="M26" i="1"/>
  <c r="M22" i="1"/>
  <c r="M18" i="1"/>
  <c r="M14" i="1"/>
  <c r="M10" i="1"/>
  <c r="M6" i="1"/>
  <c r="M1035" i="1"/>
  <c r="M923" i="1"/>
  <c r="M875" i="1"/>
  <c r="M827" i="1"/>
  <c r="M795" i="1"/>
  <c r="M763" i="1"/>
  <c r="M731" i="1"/>
  <c r="M705" i="1"/>
  <c r="M689" i="1"/>
  <c r="M673" i="1"/>
  <c r="M657" i="1"/>
  <c r="M641" i="1"/>
  <c r="M625" i="1"/>
  <c r="M609" i="1"/>
  <c r="M593" i="1"/>
  <c r="M577" i="1"/>
  <c r="M561" i="1"/>
  <c r="M545" i="1"/>
  <c r="M529" i="1"/>
  <c r="M513" i="1"/>
  <c r="M497" i="1"/>
  <c r="M489" i="1"/>
  <c r="M1034" i="1"/>
  <c r="M970" i="1"/>
  <c r="M906" i="1"/>
  <c r="M842" i="1"/>
  <c r="M778" i="1"/>
  <c r="M714" i="1"/>
  <c r="M680" i="1"/>
  <c r="M648" i="1"/>
  <c r="M616" i="1"/>
  <c r="M584" i="1"/>
  <c r="M552" i="1"/>
  <c r="M520" i="1"/>
  <c r="M496" i="1"/>
  <c r="M473" i="1"/>
  <c r="M457" i="1"/>
  <c r="M441" i="1"/>
  <c r="M425" i="1"/>
  <c r="M409" i="1"/>
  <c r="M393" i="1"/>
  <c r="M377" i="1"/>
  <c r="M361" i="1"/>
  <c r="M345" i="1"/>
  <c r="M335" i="1"/>
  <c r="M324" i="1"/>
  <c r="M313" i="1"/>
  <c r="M303" i="1"/>
  <c r="M292" i="1"/>
  <c r="M281" i="1"/>
  <c r="M271" i="1"/>
  <c r="M260" i="1"/>
  <c r="M249" i="1"/>
  <c r="M239" i="1"/>
  <c r="M228" i="1"/>
  <c r="M217" i="1"/>
  <c r="M207" i="1"/>
  <c r="M197" i="1"/>
  <c r="M189" i="1"/>
  <c r="M181" i="1"/>
  <c r="M173" i="1"/>
  <c r="M165" i="1"/>
  <c r="M157" i="1"/>
  <c r="M149" i="1"/>
  <c r="M141" i="1"/>
  <c r="M133" i="1"/>
  <c r="M125" i="1"/>
  <c r="M117" i="1"/>
  <c r="M109" i="1"/>
  <c r="M101" i="1"/>
  <c r="M93" i="1"/>
  <c r="M85" i="1"/>
  <c r="M77" i="1"/>
  <c r="M69" i="1"/>
  <c r="M61" i="1"/>
  <c r="M53" i="1"/>
  <c r="M45" i="1"/>
  <c r="M37" i="1"/>
  <c r="M29" i="1"/>
  <c r="M21" i="1"/>
  <c r="M13" i="1"/>
  <c r="M5" i="1"/>
  <c r="M465" i="1"/>
  <c r="M986" i="1"/>
  <c r="M858" i="1"/>
  <c r="M794" i="1"/>
  <c r="M730" i="1"/>
  <c r="M688" i="1"/>
  <c r="M624" i="1"/>
  <c r="M592" i="1"/>
  <c r="M528" i="1"/>
  <c r="M504" i="1"/>
  <c r="M464" i="1"/>
  <c r="M432" i="1"/>
  <c r="M400" i="1"/>
  <c r="M368" i="1"/>
  <c r="M339" i="1"/>
  <c r="M317" i="1"/>
  <c r="M296" i="1"/>
  <c r="M275" i="1"/>
  <c r="M253" i="1"/>
  <c r="M232" i="1"/>
  <c r="M211" i="1"/>
  <c r="M192" i="1"/>
  <c r="M176" i="1"/>
  <c r="M160" i="1"/>
  <c r="M144" i="1"/>
  <c r="M128" i="1"/>
  <c r="M112" i="1"/>
  <c r="M96" i="1"/>
  <c r="M80" i="1"/>
  <c r="M64" i="1"/>
  <c r="M48" i="1"/>
  <c r="M32" i="1"/>
  <c r="M8" i="1"/>
  <c r="M1018" i="1"/>
  <c r="M954" i="1"/>
  <c r="M890" i="1"/>
  <c r="M826" i="1"/>
  <c r="M762" i="1"/>
  <c r="M704" i="1"/>
  <c r="M672" i="1"/>
  <c r="M640" i="1"/>
  <c r="M608" i="1"/>
  <c r="M576" i="1"/>
  <c r="M544" i="1"/>
  <c r="M512" i="1"/>
  <c r="M488" i="1"/>
  <c r="M472" i="1"/>
  <c r="M456" i="1"/>
  <c r="M440" i="1"/>
  <c r="M424" i="1"/>
  <c r="M408" i="1"/>
  <c r="M392" i="1"/>
  <c r="M376" i="1"/>
  <c r="M360" i="1"/>
  <c r="M344" i="1"/>
  <c r="M333" i="1"/>
  <c r="M323" i="1"/>
  <c r="M312" i="1"/>
  <c r="M301" i="1"/>
  <c r="M291" i="1"/>
  <c r="M280" i="1"/>
  <c r="M269" i="1"/>
  <c r="M259" i="1"/>
  <c r="M248" i="1"/>
  <c r="M237" i="1"/>
  <c r="M227" i="1"/>
  <c r="M216" i="1"/>
  <c r="M205" i="1"/>
  <c r="M196" i="1"/>
  <c r="M188" i="1"/>
  <c r="M180" i="1"/>
  <c r="M172" i="1"/>
  <c r="M164" i="1"/>
  <c r="M156" i="1"/>
  <c r="M148" i="1"/>
  <c r="M140" i="1"/>
  <c r="M132" i="1"/>
  <c r="M124" i="1"/>
  <c r="M116" i="1"/>
  <c r="M108" i="1"/>
  <c r="M100" i="1"/>
  <c r="M92" i="1"/>
  <c r="M84" i="1"/>
  <c r="M76" i="1"/>
  <c r="M68" i="1"/>
  <c r="M60" i="1"/>
  <c r="M52" i="1"/>
  <c r="M44" i="1"/>
  <c r="M36" i="1"/>
  <c r="M28" i="1"/>
  <c r="M20" i="1"/>
  <c r="M12" i="1"/>
  <c r="M4" i="1"/>
  <c r="M1002" i="1"/>
  <c r="M938" i="1"/>
  <c r="M874" i="1"/>
  <c r="M810" i="1"/>
  <c r="M746" i="1"/>
  <c r="M696" i="1"/>
  <c r="M664" i="1"/>
  <c r="M632" i="1"/>
  <c r="M600" i="1"/>
  <c r="M568" i="1"/>
  <c r="M536" i="1"/>
  <c r="M505" i="1"/>
  <c r="M481" i="1"/>
  <c r="M449" i="1"/>
  <c r="M433" i="1"/>
  <c r="M417" i="1"/>
  <c r="M401" i="1"/>
  <c r="M385" i="1"/>
  <c r="M369" i="1"/>
  <c r="M353" i="1"/>
  <c r="M340" i="1"/>
  <c r="M329" i="1"/>
  <c r="M319" i="1"/>
  <c r="M308" i="1"/>
  <c r="M297" i="1"/>
  <c r="M287" i="1"/>
  <c r="M276" i="1"/>
  <c r="M265" i="1"/>
  <c r="M255" i="1"/>
  <c r="M244" i="1"/>
  <c r="M233" i="1"/>
  <c r="M223" i="1"/>
  <c r="M212" i="1"/>
  <c r="M201" i="1"/>
  <c r="M193" i="1"/>
  <c r="M185" i="1"/>
  <c r="M177" i="1"/>
  <c r="M169" i="1"/>
  <c r="M161" i="1"/>
  <c r="M153" i="1"/>
  <c r="M145" i="1"/>
  <c r="M137" i="1"/>
  <c r="M129" i="1"/>
  <c r="M121" i="1"/>
  <c r="M113" i="1"/>
  <c r="M105" i="1"/>
  <c r="M97" i="1"/>
  <c r="M89" i="1"/>
  <c r="M81" i="1"/>
  <c r="M73" i="1"/>
  <c r="M65" i="1"/>
  <c r="M57" i="1"/>
  <c r="M49" i="1"/>
  <c r="M41" i="1"/>
  <c r="M33" i="1"/>
  <c r="M25" i="1"/>
  <c r="M17" i="1"/>
  <c r="M9" i="1"/>
  <c r="M922" i="1"/>
  <c r="M656" i="1"/>
  <c r="M560" i="1"/>
  <c r="M480" i="1"/>
  <c r="M448" i="1"/>
  <c r="M416" i="1"/>
  <c r="M384" i="1"/>
  <c r="M352" i="1"/>
  <c r="M328" i="1"/>
  <c r="M307" i="1"/>
  <c r="M285" i="1"/>
  <c r="M264" i="1"/>
  <c r="M243" i="1"/>
  <c r="M221" i="1"/>
  <c r="M200" i="1"/>
  <c r="M184" i="1"/>
  <c r="M168" i="1"/>
  <c r="M152" i="1"/>
  <c r="M136" i="1"/>
  <c r="M120" i="1"/>
  <c r="M104" i="1"/>
  <c r="M88" i="1"/>
  <c r="M72" i="1"/>
  <c r="M56" i="1"/>
  <c r="M40" i="1"/>
  <c r="M24" i="1"/>
  <c r="M16" i="1"/>
  <c r="R14" i="1"/>
  <c r="W14" i="1"/>
  <c r="V14" i="1"/>
  <c r="Q14" i="1"/>
  <c r="U14" i="1"/>
  <c r="S14" i="1"/>
  <c r="Q17" i="1" l="1"/>
</calcChain>
</file>

<file path=xl/sharedStrings.xml><?xml version="1.0" encoding="utf-8"?>
<sst xmlns="http://schemas.openxmlformats.org/spreadsheetml/2006/main" count="32" uniqueCount="28">
  <si>
    <t>date</t>
  </si>
  <si>
    <t>mean</t>
  </si>
  <si>
    <t>stdev</t>
  </si>
  <si>
    <t>skew</t>
  </si>
  <si>
    <t>kurt</t>
  </si>
  <si>
    <t>tail9505</t>
  </si>
  <si>
    <t>tail7525</t>
  </si>
  <si>
    <t>forward return days cumulative</t>
  </si>
  <si>
    <t>cumulativeReturnOver (Y)</t>
  </si>
  <si>
    <t>fit_cumulativeReturnOver (Yhat)</t>
  </si>
  <si>
    <t>T scores</t>
  </si>
  <si>
    <t>correl of fit</t>
  </si>
  <si>
    <t>n points in regression</t>
  </si>
  <si>
    <t>windowsize for stat computation</t>
  </si>
  <si>
    <t>const</t>
  </si>
  <si>
    <t>array formula (7505)</t>
  </si>
  <si>
    <t>push down regression back in time
(rolling window macro will modify this)</t>
  </si>
  <si>
    <t>tslaclosertn</t>
  </si>
  <si>
    <t>tslaclose</t>
  </si>
  <si>
    <t>tslaclosertnPlus1</t>
  </si>
  <si>
    <t>n points to backtest</t>
  </si>
  <si>
    <t>direction correct backtest</t>
  </si>
  <si>
    <t>n direction correct backtest</t>
  </si>
  <si>
    <t>R2 of fit during backtest</t>
  </si>
  <si>
    <t>% direction correct backtest</t>
  </si>
  <si>
    <t>T scores Q to W</t>
  </si>
  <si>
    <t>backtest macro output</t>
  </si>
  <si>
    <t>correl of 1 step ahead backtest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</si>
</sst>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4659260841701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14" fontId="0" fillId="0" borderId="0" xfId="0" applyNumberFormat="1"/>
    <xf numFmtId="0" fontId="0" fillId="33" borderId="0" xfId="0" applyFill="1"/>
    <xf numFmtId="0" fontId="0" fillId="0" borderId="10" xfId="0" applyBorder="1"/>
    <xf numFmtId="0" fontId="0" fillId="0" borderId="11" xfId="0" applyBorder="1"/>
    <xf numFmtId="0" fontId="0" fillId="34" borderId="0" xfId="0" applyFill="1"/>
    <xf numFmtId="0" fontId="0" fillId="0" borderId="10" xfId="0" applyBorder="1" applyAlignment="1">
      <alignment wrapText="1"/>
    </xf>
    <xf numFmtId="0" fontId="0" fillId="35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theme="7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6480</xdr:colOff>
      <xdr:row>27</xdr:row>
      <xdr:rowOff>49320</xdr:rowOff>
    </xdr:from>
    <xdr:to>
      <xdr:col>10</xdr:col>
      <xdr:colOff>6480</xdr:colOff>
      <xdr:row>27</xdr:row>
      <xdr:rowOff>49680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14:cNvPr>
            <xdr14:cNvContentPartPr/>
          </xdr14:nvContentPartPr>
          <xdr14:nvPr macro=""/>
          <xdr14:xfrm>
            <a:off x="14522050" y="5056560"/>
            <a:ext cx="6480" cy="36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2070E73D-6055-9784-F85F-8952BA1743DA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4513524" y="5047920"/>
              <a:ext cx="19099" cy="18000"/>
            </a:xfrm>
            <a:prstGeom prst="rect">
              <a:avLst/>
            </a:prstGeom>
          </xdr:spPr>
        </xdr:pic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619125</xdr:colOff>
          <xdr:row>18</xdr:row>
          <xdr:rowOff>71438</xdr:rowOff>
        </xdr:from>
        <xdr:to>
          <xdr:col>9</xdr:col>
          <xdr:colOff>1966913</xdr:colOff>
          <xdr:row>21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backtest</a:t>
              </a:r>
            </a:p>
          </xdr:txBody>
        </xdr:sp>
        <xdr:clientData fPrintsWithSheet="0"/>
      </xdr:twoCellAnchor>
    </mc:Choice>
    <mc:Fallback/>
  </mc:AlternateContent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11-21T21:58:30.309"/>
    </inkml:context>
    <inkml:brush xml:id="br0">
      <inkml:brushProperty name="width" value="0.02646" units="cm"/>
      <inkml:brushProperty name="height" value="0.02646" units="cm"/>
    </inkml:brush>
    <inkml:brush xml:id="br1">
      <inkml:brushProperty name="width" value="0.05" units="cm"/>
      <inkml:brushProperty name="height" value="0.05" units="cm"/>
    </inkml:brush>
  </inkml:definitions>
  <inkml:trace contextRef="#ctx0" brushRef="#br0">18 1 32767</inkml:trace>
  <inkml:trace contextRef="#ctx0" brushRef="#br1" timeOffset="625.62">0 1 32767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1399"/>
  <sheetViews>
    <sheetView tabSelected="1" zoomScale="60" zoomScaleNormal="60" workbookViewId="0">
      <selection activeCell="Y230" sqref="Y230"/>
    </sheetView>
  </sheetViews>
  <sheetFormatPr defaultRowHeight="14.25" x14ac:dyDescent="0.45"/>
  <cols>
    <col min="1" max="1" width="16.59765625" customWidth="1"/>
    <col min="2" max="2" width="15.73046875" customWidth="1"/>
    <col min="3" max="9" width="11.86328125" customWidth="1"/>
    <col min="10" max="10" width="35.6640625" customWidth="1"/>
    <col min="11" max="12" width="24.19921875" customWidth="1"/>
    <col min="13" max="13" width="30.59765625" customWidth="1"/>
    <col min="14" max="16" width="28.53125" customWidth="1"/>
    <col min="17" max="17" width="24.19921875" customWidth="1"/>
    <col min="18" max="18" width="26.86328125" customWidth="1"/>
    <col min="19" max="24" width="24.19921875" customWidth="1"/>
    <col min="27" max="27" width="22.53125" customWidth="1"/>
  </cols>
  <sheetData>
    <row r="1" spans="1:40" x14ac:dyDescent="0.45">
      <c r="A1" t="s">
        <v>0</v>
      </c>
      <c r="B1" t="s">
        <v>18</v>
      </c>
      <c r="C1" t="s">
        <v>17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K1" t="s">
        <v>19</v>
      </c>
      <c r="L1" t="s">
        <v>8</v>
      </c>
      <c r="M1" t="s">
        <v>9</v>
      </c>
      <c r="N1" t="s">
        <v>26</v>
      </c>
      <c r="O1" t="s">
        <v>21</v>
      </c>
      <c r="P1" s="3" t="s">
        <v>22</v>
      </c>
      <c r="Q1" t="s">
        <v>15</v>
      </c>
      <c r="R1">
        <v>9505</v>
      </c>
      <c r="S1" t="s">
        <v>4</v>
      </c>
      <c r="T1" t="s">
        <v>3</v>
      </c>
      <c r="U1" t="s">
        <v>2</v>
      </c>
      <c r="V1" t="s">
        <v>1</v>
      </c>
      <c r="W1" t="s">
        <v>14</v>
      </c>
      <c r="AA1" t="s">
        <v>23</v>
      </c>
      <c r="AB1" t="s">
        <v>25</v>
      </c>
    </row>
    <row r="2" spans="1:40" x14ac:dyDescent="0.45">
      <c r="A2" s="1">
        <v>45233</v>
      </c>
      <c r="B2">
        <v>219.96</v>
      </c>
      <c r="C2" s="5">
        <f>(B2-B3)/B3</f>
        <v>6.6358519060913329E-3</v>
      </c>
      <c r="D2">
        <f ca="1">AVERAGE(OFFSET(C2,0,0,$J$3,1))</f>
        <v>3.329171677312965E-3</v>
      </c>
      <c r="E2">
        <f ca="1">STDEV(OFFSET(C2,0,0,$J$3,1))</f>
        <v>3.4405734484130666E-2</v>
      </c>
      <c r="F2">
        <f ca="1">SKEW(OFFSET(C2,0,0,$J$3,1))</f>
        <v>0.17506750901624674</v>
      </c>
      <c r="G2">
        <f ca="1">KURT(OFFSET(C2,0,0,$J$3,1))</f>
        <v>0.98825595606083105</v>
      </c>
      <c r="H2">
        <f ca="1">PERCENTILE(OFFSET(C2,0,0,$J$3,1), 0.95)/ABS(PERCENTILE(OFFSET(C2,0,0,$J$3,1), 0.05))</f>
        <v>1.2294289327198666</v>
      </c>
      <c r="I2">
        <f ca="1">PERCENTILE(OFFSET(C2,0,0,$J$3,1), 0.75)/ABS(PERCENTILE(OFFSET(C2,0,0,$J$3,1), 0.25))</f>
        <v>1.3216932020662171</v>
      </c>
      <c r="J2" s="3" t="s">
        <v>13</v>
      </c>
      <c r="K2">
        <f t="shared" ref="K2:K66" si="0">C2+1</f>
        <v>1.0066358519060914</v>
      </c>
      <c r="L2" s="7">
        <f ca="1">PRODUCT(OFFSET(K2,0,0,$J$6,1))</f>
        <v>1.0610709117221417</v>
      </c>
      <c r="M2">
        <f ca="1">OFFSET(D2,$J$6,0)*V$2 + OFFSET(E2,$J$6,0)*U$2 + OFFSET(F2,$J$6,0)*T$2 + OFFSET(G2,$J$6,0)*S$2 + OFFSET(H2,$J$6,0)*R$2 + OFFSET(I2,$J$6,0)*Q$2 + W$2</f>
        <v>1.0239230189533699</v>
      </c>
      <c r="N2">
        <v>0.97983274468224701</v>
      </c>
      <c r="O2" t="b">
        <f ca="1">OR(AND(L2&gt;1, N2&gt;1), AND(L2&lt;1, N2&lt;1))</f>
        <v>0</v>
      </c>
      <c r="P2" s="4">
        <f ca="1">COUNTIF(OFFSET(O2,0,0,$J$15,1),"=true")</f>
        <v>179</v>
      </c>
      <c r="Q2">
        <f t="array" aca="1" ref="Q2:W7" ca="1">LINEST(OFFSET(OFFSET(L2,0,0,$J$12,1),$J$9,0),OFFSET(OFFSET(OFFSET(D2:I2,0,0,$J$12),$J$6,0),$J$9,0),TRUE,TRUE)</f>
        <v>0.43855174442120093</v>
      </c>
      <c r="R2">
        <f ca="1"/>
        <v>1.2054431460599233</v>
      </c>
      <c r="S2">
        <f ca="1"/>
        <v>0.20623118382170688</v>
      </c>
      <c r="T2">
        <f ca="1"/>
        <v>0.54964815960504332</v>
      </c>
      <c r="U2">
        <f ca="1"/>
        <v>16.877332881488996</v>
      </c>
      <c r="V2">
        <f ca="1"/>
        <v>-179.37463002412596</v>
      </c>
      <c r="W2">
        <f ca="1"/>
        <v>-1.379670983979794</v>
      </c>
      <c r="AA2">
        <v>0.5899934771177755</v>
      </c>
      <c r="AB2">
        <v>1.5365548066979984</v>
      </c>
      <c r="AC2">
        <v>1.0863099866589774</v>
      </c>
      <c r="AD2">
        <v>-0.69714645155314925</v>
      </c>
      <c r="AE2">
        <v>-0.82453186328307571</v>
      </c>
      <c r="AF2">
        <v>-1.8247744118713329</v>
      </c>
      <c r="AG2">
        <v>-2.4825007063689668</v>
      </c>
      <c r="AH2">
        <v>1.7654963941721895</v>
      </c>
      <c r="AI2">
        <v>1.7654963941721895</v>
      </c>
      <c r="AJ2">
        <v>1.7654963941721895</v>
      </c>
      <c r="AK2">
        <v>1.7654963941721895</v>
      </c>
      <c r="AL2">
        <v>1.7654963941721895</v>
      </c>
      <c r="AM2">
        <v>1.7654963941721895</v>
      </c>
      <c r="AN2">
        <v>1.7654963941721895</v>
      </c>
    </row>
    <row r="3" spans="1:40" x14ac:dyDescent="0.45">
      <c r="A3" s="1">
        <v>45232</v>
      </c>
      <c r="B3">
        <v>218.51</v>
      </c>
      <c r="C3" s="5">
        <f t="shared" ref="C3:C66" si="1">(B3-B4)/B4</f>
        <v>6.2481766021589003E-2</v>
      </c>
      <c r="D3">
        <f ca="1">AVERAGE(OFFSET(C3,0,0,$J$3,1))</f>
        <v>3.2334827113063474E-3</v>
      </c>
      <c r="E3">
        <f ca="1">STDEV(OFFSET(C3,0,0,$J$3,1))</f>
        <v>3.4423100316260113E-2</v>
      </c>
      <c r="F3">
        <f ca="1">SKEW(OFFSET(C3,0,0,$J$3,1))</f>
        <v>0.18272807648009132</v>
      </c>
      <c r="G3">
        <f ca="1">KURT(OFFSET(C3,0,0,$J$3,1))</f>
        <v>0.98237824937459006</v>
      </c>
      <c r="H3">
        <f ca="1">PERCENTILE(OFFSET(C3,0,0,$J$3,1), 0.95)/ABS(PERCENTILE(OFFSET(C3,0,0,$J$3,1), 0.05))</f>
        <v>1.2294289327198666</v>
      </c>
      <c r="I3">
        <f ca="1">PERCENTILE(OFFSET(C3,0,0,$J$3,1), 0.75)/ABS(PERCENTILE(OFFSET(C3,0,0,$J$3,1), 0.25))</f>
        <v>1.3216932020662171</v>
      </c>
      <c r="J3" s="4">
        <v>200</v>
      </c>
      <c r="K3">
        <f t="shared" si="0"/>
        <v>1.0624817660215891</v>
      </c>
      <c r="L3" s="7">
        <f t="shared" ref="L3:L66" ca="1" si="2">PRODUCT(OFFSET(K3,0,0,$J$6,1))</f>
        <v>1.0619653965785383</v>
      </c>
      <c r="M3">
        <f t="shared" ref="M3:M66" ca="1" si="3">OFFSET(D3,$J$6,0)*V$2 + OFFSET(E3,$J$6,0)*U$2 + OFFSET(F3,$J$6,0)*T$2 + OFFSET(G3,$J$6,0)*S$2 + OFFSET(H3,$J$6,0)*R$2 + OFFSET(I3,$J$6,0)*Q$2 + W$2</f>
        <v>0.99543225849674322</v>
      </c>
      <c r="N3">
        <v>0.94561289832921203</v>
      </c>
      <c r="O3" t="b">
        <f t="shared" ref="O3:O66" ca="1" si="4">OR(AND(L3&gt;1, N3&gt;1), AND(L3&lt;1, N3&lt;1))</f>
        <v>0</v>
      </c>
      <c r="Q3">
        <f ca="1"/>
        <v>0.17160091894468268</v>
      </c>
      <c r="R3">
        <f ca="1"/>
        <v>0.2341644131596449</v>
      </c>
      <c r="S3">
        <f ca="1"/>
        <v>8.0684693101888832E-2</v>
      </c>
      <c r="T3">
        <f ca="1"/>
        <v>0.24885729674011739</v>
      </c>
      <c r="U3">
        <f ca="1"/>
        <v>21.611851424336084</v>
      </c>
      <c r="V3">
        <f ca="1"/>
        <v>31.789468705049536</v>
      </c>
      <c r="W3">
        <f ca="1"/>
        <v>0.86080523885990878</v>
      </c>
      <c r="AA3">
        <v>0.61638308655456309</v>
      </c>
      <c r="AB3">
        <v>1.3964870412047858</v>
      </c>
      <c r="AC3">
        <v>0.90057885880637456</v>
      </c>
      <c r="AD3">
        <v>-1.0132380274501642</v>
      </c>
      <c r="AE3">
        <v>-1.1478034316401584</v>
      </c>
      <c r="AF3">
        <v>-1.8801191996737685</v>
      </c>
      <c r="AG3">
        <v>-2.1186310149225447</v>
      </c>
      <c r="AH3">
        <v>1.9225187018799701</v>
      </c>
      <c r="AI3">
        <v>1.9225187018799701</v>
      </c>
      <c r="AJ3">
        <v>1.9225187018799701</v>
      </c>
      <c r="AK3">
        <v>1.9225187018799701</v>
      </c>
      <c r="AL3">
        <v>1.9225187018799701</v>
      </c>
      <c r="AM3">
        <v>1.9225187018799701</v>
      </c>
      <c r="AN3">
        <v>1.9225187018799701</v>
      </c>
    </row>
    <row r="4" spans="1:40" x14ac:dyDescent="0.45">
      <c r="A4" s="1">
        <v>45231</v>
      </c>
      <c r="B4">
        <v>205.66</v>
      </c>
      <c r="C4" s="5">
        <f t="shared" si="1"/>
        <v>2.3999203345946987E-2</v>
      </c>
      <c r="D4">
        <f t="shared" ref="D4:D67" ca="1" si="5">AVERAGE(OFFSET(C4,0,0,$J$3,1))</f>
        <v>2.8180242196271803E-3</v>
      </c>
      <c r="E4">
        <f t="shared" ref="E4:E67" ca="1" si="6">STDEV(OFFSET(C4,0,0,$J$3,1))</f>
        <v>3.4205163254084917E-2</v>
      </c>
      <c r="F4">
        <f t="shared" ref="F4:F67" ca="1" si="7">SKEW(OFFSET(C4,0,0,$J$3,1))</f>
        <v>0.19495261423038607</v>
      </c>
      <c r="G4">
        <f t="shared" ref="G4:G67" ca="1" si="8">KURT(OFFSET(C4,0,0,$J$3,1))</f>
        <v>1.0493780661396661</v>
      </c>
      <c r="H4">
        <f t="shared" ref="H4:H67" ca="1" si="9">PERCENTILE(OFFSET(C4,0,0,$J$3,1), 0.95)/ABS(PERCENTILE(OFFSET(C4,0,0,$J$3,1), 0.05))</f>
        <v>1.1726189842638752</v>
      </c>
      <c r="I4">
        <f t="shared" ref="I4:I67" ca="1" si="10">PERCENTILE(OFFSET(C4,0,0,$J$3,1), 0.75)/ABS(PERCENTILE(OFFSET(C4,0,0,$J$3,1), 0.25))</f>
        <v>1.2443465495352686</v>
      </c>
      <c r="K4">
        <f t="shared" si="0"/>
        <v>1.0239992033459471</v>
      </c>
      <c r="L4" s="7">
        <f t="shared" ca="1" si="2"/>
        <v>0.96817625458996348</v>
      </c>
      <c r="M4">
        <f t="shared" ca="1" si="3"/>
        <v>0.98979358754963265</v>
      </c>
      <c r="N4">
        <v>0.9424054227989993</v>
      </c>
      <c r="O4" t="b">
        <f t="shared" ca="1" si="4"/>
        <v>1</v>
      </c>
      <c r="Q4">
        <f ca="1"/>
        <v>0.52025500197829144</v>
      </c>
      <c r="R4">
        <f ca="1"/>
        <v>5.1832231249760469E-2</v>
      </c>
      <c r="S4" t="e">
        <f ca="1"/>
        <v>#N/A</v>
      </c>
      <c r="T4" t="e">
        <f ca="1"/>
        <v>#N/A</v>
      </c>
      <c r="U4" t="e">
        <f ca="1"/>
        <v>#N/A</v>
      </c>
      <c r="V4" t="e">
        <f ca="1"/>
        <v>#N/A</v>
      </c>
      <c r="W4" t="e">
        <f ca="1"/>
        <v>#N/A</v>
      </c>
      <c r="AA4">
        <v>0.59996682099930698</v>
      </c>
      <c r="AB4">
        <v>1.6185914078390125</v>
      </c>
      <c r="AC4">
        <v>1.0656663500166477</v>
      </c>
      <c r="AD4">
        <v>-0.82665791205192207</v>
      </c>
      <c r="AE4">
        <v>-0.8661805572746113</v>
      </c>
      <c r="AF4">
        <v>-1.6017084317457815</v>
      </c>
      <c r="AG4">
        <v>-2.165955161566306</v>
      </c>
      <c r="AH4">
        <v>1.5897448464952657</v>
      </c>
      <c r="AI4">
        <v>1.5897448464952657</v>
      </c>
      <c r="AJ4">
        <v>1.5897448464952657</v>
      </c>
      <c r="AK4">
        <v>1.5897448464952657</v>
      </c>
      <c r="AL4">
        <v>1.5897448464952657</v>
      </c>
      <c r="AM4">
        <v>1.5897448464952657</v>
      </c>
      <c r="AN4">
        <v>1.5897448464952657</v>
      </c>
    </row>
    <row r="5" spans="1:40" x14ac:dyDescent="0.45">
      <c r="A5" s="1">
        <v>45230</v>
      </c>
      <c r="B5">
        <v>200.84</v>
      </c>
      <c r="C5" s="5">
        <f t="shared" si="1"/>
        <v>1.7632752330766058E-2</v>
      </c>
      <c r="D5">
        <f t="shared" ca="1" si="5"/>
        <v>3.0693517323092108E-3</v>
      </c>
      <c r="E5">
        <f t="shared" ca="1" si="6"/>
        <v>3.4544559987567044E-2</v>
      </c>
      <c r="F5">
        <f t="shared" ca="1" si="7"/>
        <v>0.21095288611428212</v>
      </c>
      <c r="G5">
        <f t="shared" ca="1" si="8"/>
        <v>0.97823962552872867</v>
      </c>
      <c r="H5">
        <f t="shared" ca="1" si="9"/>
        <v>1.2358068251981897</v>
      </c>
      <c r="I5">
        <f t="shared" ca="1" si="10"/>
        <v>1.2443465495352686</v>
      </c>
      <c r="J5" s="3" t="s">
        <v>7</v>
      </c>
      <c r="K5">
        <f t="shared" si="0"/>
        <v>1.017632752330766</v>
      </c>
      <c r="L5" s="7">
        <f t="shared" ca="1" si="2"/>
        <v>0.92758174764455947</v>
      </c>
      <c r="M5">
        <f t="shared" ca="1" si="3"/>
        <v>0.91257190373849006</v>
      </c>
      <c r="N5">
        <v>0.9019405751611772</v>
      </c>
      <c r="O5" t="b">
        <f t="shared" ca="1" si="4"/>
        <v>1</v>
      </c>
      <c r="P5" t="s">
        <v>24</v>
      </c>
      <c r="Q5">
        <f ca="1"/>
        <v>16.808830866223268</v>
      </c>
      <c r="R5">
        <f ca="1"/>
        <v>93</v>
      </c>
      <c r="S5" t="e">
        <f ca="1"/>
        <v>#N/A</v>
      </c>
      <c r="T5" t="e">
        <f ca="1"/>
        <v>#N/A</v>
      </c>
      <c r="U5" t="e">
        <f ca="1"/>
        <v>#N/A</v>
      </c>
      <c r="V5" t="e">
        <f ca="1"/>
        <v>#N/A</v>
      </c>
      <c r="W5" t="e">
        <f ca="1"/>
        <v>#N/A</v>
      </c>
      <c r="AA5">
        <v>0.54196436011893256</v>
      </c>
      <c r="AB5">
        <v>1.2029124282663006</v>
      </c>
      <c r="AC5">
        <v>1.2512405842039696</v>
      </c>
      <c r="AD5">
        <v>-0.56660432748231904</v>
      </c>
      <c r="AE5">
        <v>-0.583693206009126</v>
      </c>
      <c r="AF5">
        <v>-1.0037990929896627</v>
      </c>
      <c r="AG5">
        <v>-1.7955067106919131</v>
      </c>
      <c r="AH5">
        <v>1.0457737467424753</v>
      </c>
      <c r="AI5">
        <v>1.0457737467424753</v>
      </c>
      <c r="AJ5">
        <v>1.0457737467424753</v>
      </c>
      <c r="AK5">
        <v>1.0457737467424753</v>
      </c>
      <c r="AL5">
        <v>1.0457737467424753</v>
      </c>
      <c r="AM5">
        <v>1.0457737467424753</v>
      </c>
      <c r="AN5">
        <v>1.0457737467424753</v>
      </c>
    </row>
    <row r="6" spans="1:40" x14ac:dyDescent="0.45">
      <c r="A6" s="1">
        <v>45229</v>
      </c>
      <c r="B6">
        <v>197.36</v>
      </c>
      <c r="C6" s="5">
        <f t="shared" si="1"/>
        <v>-4.7949831162566313E-2</v>
      </c>
      <c r="D6">
        <f t="shared" ca="1" si="5"/>
        <v>2.9342472131286728E-3</v>
      </c>
      <c r="E6">
        <f t="shared" ca="1" si="6"/>
        <v>3.4540155381793801E-2</v>
      </c>
      <c r="F6">
        <f t="shared" ca="1" si="7"/>
        <v>0.22226813622268207</v>
      </c>
      <c r="G6">
        <f t="shared" ca="1" si="8"/>
        <v>0.98367018198539036</v>
      </c>
      <c r="H6">
        <f t="shared" ca="1" si="9"/>
        <v>1.2358068251981897</v>
      </c>
      <c r="I6">
        <f t="shared" ca="1" si="10"/>
        <v>1.2443465495352686</v>
      </c>
      <c r="J6" s="4">
        <v>5</v>
      </c>
      <c r="K6">
        <f t="shared" si="0"/>
        <v>0.95205016883743365</v>
      </c>
      <c r="L6" s="7">
        <f t="shared" ca="1" si="2"/>
        <v>0.93059222934741626</v>
      </c>
      <c r="M6">
        <f t="shared" ca="1" si="3"/>
        <v>0.92668023064895788</v>
      </c>
      <c r="N6">
        <v>0.90786522881841358</v>
      </c>
      <c r="O6" t="b">
        <f t="shared" ca="1" si="4"/>
        <v>1</v>
      </c>
      <c r="P6">
        <f ca="1">P2/J15</f>
        <v>0.71031746031746035</v>
      </c>
      <c r="Q6">
        <f ca="1"/>
        <v>0.27094963277179868</v>
      </c>
      <c r="R6">
        <f ca="1"/>
        <v>0.24985195825856404</v>
      </c>
      <c r="S6" t="e">
        <f ca="1"/>
        <v>#N/A</v>
      </c>
      <c r="T6" t="e">
        <f ca="1"/>
        <v>#N/A</v>
      </c>
      <c r="U6" t="e">
        <f ca="1"/>
        <v>#N/A</v>
      </c>
      <c r="V6" t="e">
        <f ca="1"/>
        <v>#N/A</v>
      </c>
      <c r="W6" t="e">
        <f ca="1"/>
        <v>#N/A</v>
      </c>
      <c r="AA6">
        <v>0.4745674260297551</v>
      </c>
      <c r="AB6">
        <v>1.187266681569213</v>
      </c>
      <c r="AC6">
        <v>1.9307612263205451</v>
      </c>
      <c r="AD6">
        <v>0.23134520852690291</v>
      </c>
      <c r="AE6">
        <v>9.813418186915665E-2</v>
      </c>
      <c r="AF6">
        <v>-0.29909147735973241</v>
      </c>
      <c r="AG6">
        <v>-2.026205435690029</v>
      </c>
      <c r="AH6">
        <v>0.18125605150384405</v>
      </c>
      <c r="AI6">
        <v>0.18125605150384405</v>
      </c>
      <c r="AJ6">
        <v>0.18125605150384405</v>
      </c>
      <c r="AK6">
        <v>0.18125605150384405</v>
      </c>
      <c r="AL6">
        <v>0.18125605150384405</v>
      </c>
      <c r="AM6">
        <v>0.18125605150384405</v>
      </c>
      <c r="AN6">
        <v>0.18125605150384405</v>
      </c>
    </row>
    <row r="7" spans="1:40" x14ac:dyDescent="0.45">
      <c r="A7" s="1">
        <v>45226</v>
      </c>
      <c r="B7">
        <v>207.3</v>
      </c>
      <c r="C7" s="5">
        <f t="shared" si="1"/>
        <v>7.484447900466663E-3</v>
      </c>
      <c r="D7">
        <f t="shared" ca="1" si="5"/>
        <v>3.187792830554878E-3</v>
      </c>
      <c r="E7">
        <f t="shared" ca="1" si="6"/>
        <v>3.4350354831061046E-2</v>
      </c>
      <c r="F7">
        <f t="shared" ca="1" si="7"/>
        <v>0.22010457420275295</v>
      </c>
      <c r="G7">
        <f t="shared" ca="1" si="8"/>
        <v>1.0415640783590394</v>
      </c>
      <c r="H7">
        <f t="shared" ca="1" si="9"/>
        <v>1.2358068251981897</v>
      </c>
      <c r="I7">
        <f t="shared" ca="1" si="10"/>
        <v>1.300149554421165</v>
      </c>
      <c r="K7">
        <f t="shared" si="0"/>
        <v>1.0074844479004668</v>
      </c>
      <c r="L7" s="7">
        <f t="shared" ca="1" si="2"/>
        <v>0.97787631492051541</v>
      </c>
      <c r="M7">
        <f t="shared" ca="1" si="3"/>
        <v>0.94795098948859646</v>
      </c>
      <c r="N7">
        <v>0.88100541752458084</v>
      </c>
      <c r="O7" t="b">
        <f t="shared" ca="1" si="4"/>
        <v>1</v>
      </c>
      <c r="Q7" t="e">
        <f ca="1"/>
        <v>#N/A</v>
      </c>
      <c r="R7" t="e">
        <f ca="1"/>
        <v>#N/A</v>
      </c>
      <c r="S7" t="e">
        <f ca="1"/>
        <v>#N/A</v>
      </c>
      <c r="T7" t="e">
        <f ca="1"/>
        <v>#N/A</v>
      </c>
      <c r="U7" t="e">
        <f ca="1"/>
        <v>#N/A</v>
      </c>
      <c r="V7" t="e">
        <f ca="1"/>
        <v>#N/A</v>
      </c>
      <c r="W7" t="e">
        <f ca="1"/>
        <v>#N/A</v>
      </c>
      <c r="AA7">
        <v>0.45781947739940282</v>
      </c>
      <c r="AB7">
        <v>0.74370058261209682</v>
      </c>
      <c r="AC7">
        <v>2.3446692069425215</v>
      </c>
      <c r="AD7">
        <v>0.67175561578312903</v>
      </c>
      <c r="AE7">
        <v>8.6788534234729112E-2</v>
      </c>
      <c r="AF7">
        <v>0.12427593706248731</v>
      </c>
      <c r="AG7">
        <v>-1.764133233501781</v>
      </c>
      <c r="AH7">
        <v>-0.25620461011580331</v>
      </c>
      <c r="AI7">
        <v>-0.25620461011580331</v>
      </c>
      <c r="AJ7">
        <v>-0.25620461011580331</v>
      </c>
      <c r="AK7">
        <v>-0.25620461011580331</v>
      </c>
      <c r="AL7">
        <v>-0.25620461011580331</v>
      </c>
      <c r="AM7">
        <v>-0.25620461011580331</v>
      </c>
      <c r="AN7">
        <v>-0.25620461011580331</v>
      </c>
    </row>
    <row r="8" spans="1:40" ht="28.5" x14ac:dyDescent="0.45">
      <c r="A8" s="1">
        <v>45225</v>
      </c>
      <c r="B8">
        <v>205.76</v>
      </c>
      <c r="C8" s="5">
        <f t="shared" si="1"/>
        <v>-3.1352979945391192E-2</v>
      </c>
      <c r="D8">
        <f ca="1">AVERAGE(OFFSET(C8,0,0,$J$3,1))</f>
        <v>3.3342157740563309E-3</v>
      </c>
      <c r="E8">
        <f t="shared" ca="1" si="6"/>
        <v>3.443108179196467E-2</v>
      </c>
      <c r="F8">
        <f t="shared" ca="1" si="7"/>
        <v>0.21037253894307881</v>
      </c>
      <c r="G8">
        <f t="shared" ca="1" si="8"/>
        <v>1.0042881253509854</v>
      </c>
      <c r="H8">
        <f t="shared" ca="1" si="9"/>
        <v>1.2358068251981897</v>
      </c>
      <c r="I8">
        <f t="shared" ca="1" si="10"/>
        <v>1.3216932020662171</v>
      </c>
      <c r="J8" s="6" t="s">
        <v>16</v>
      </c>
      <c r="K8">
        <f t="shared" si="0"/>
        <v>0.96864702005460879</v>
      </c>
      <c r="L8" s="7">
        <f t="shared" ca="1" si="2"/>
        <v>0.93480532461042209</v>
      </c>
      <c r="M8">
        <f t="shared" ca="1" si="3"/>
        <v>0.87439825175060637</v>
      </c>
      <c r="N8">
        <v>0.65213576180797328</v>
      </c>
      <c r="O8" t="b">
        <f t="shared" ca="1" si="4"/>
        <v>1</v>
      </c>
      <c r="AA8">
        <v>0.54356861759074271</v>
      </c>
      <c r="AB8">
        <v>0.22994429447378134</v>
      </c>
      <c r="AC8">
        <v>3.6500114466487532</v>
      </c>
      <c r="AD8">
        <v>2.1261409490094603</v>
      </c>
      <c r="AE8">
        <v>-0.47216339927562295</v>
      </c>
      <c r="AF8">
        <v>0.84016606753866563</v>
      </c>
      <c r="AG8">
        <v>-2.037806277837571</v>
      </c>
      <c r="AH8">
        <v>-1.2216212066251135</v>
      </c>
      <c r="AI8">
        <v>-1.2216212066251135</v>
      </c>
      <c r="AJ8">
        <v>-1.2216212066251135</v>
      </c>
      <c r="AK8">
        <v>-1.2216212066251135</v>
      </c>
      <c r="AL8">
        <v>-1.2216212066251135</v>
      </c>
      <c r="AM8">
        <v>-1.2216212066251135</v>
      </c>
      <c r="AN8">
        <v>-1.2216212066251135</v>
      </c>
    </row>
    <row r="9" spans="1:40" x14ac:dyDescent="0.45">
      <c r="A9" s="1">
        <v>45224</v>
      </c>
      <c r="B9">
        <v>212.42</v>
      </c>
      <c r="C9" s="5">
        <f t="shared" si="1"/>
        <v>-1.8935895067430365E-2</v>
      </c>
      <c r="D9">
        <f ca="1">AVERAGE(OFFSET(C9,0,0,$J$3,1))</f>
        <v>3.4525737271355449E-3</v>
      </c>
      <c r="E9">
        <f t="shared" ca="1" si="6"/>
        <v>3.4351838990771877E-2</v>
      </c>
      <c r="F9">
        <f t="shared" ca="1" si="7"/>
        <v>0.20644955192690015</v>
      </c>
      <c r="G9">
        <f t="shared" ca="1" si="8"/>
        <v>1.033482409283045</v>
      </c>
      <c r="H9">
        <f t="shared" ca="1" si="9"/>
        <v>1.2358068251981897</v>
      </c>
      <c r="I9">
        <f t="shared" ca="1" si="10"/>
        <v>1.3514836230478569</v>
      </c>
      <c r="J9" s="4">
        <v>0</v>
      </c>
      <c r="K9">
        <f t="shared" si="0"/>
        <v>0.98106410493256968</v>
      </c>
      <c r="L9" s="7">
        <f t="shared" ca="1" si="2"/>
        <v>0.87530904895335437</v>
      </c>
      <c r="M9">
        <f t="shared" ca="1" si="3"/>
        <v>0.91477707751905912</v>
      </c>
      <c r="N9">
        <v>0.78321044016338126</v>
      </c>
      <c r="O9" t="b">
        <f t="shared" ca="1" si="4"/>
        <v>1</v>
      </c>
      <c r="AA9">
        <v>0.54263991972578796</v>
      </c>
      <c r="AB9">
        <v>-3.6431887733222978E-2</v>
      </c>
      <c r="AC9">
        <v>4.0782847479763413</v>
      </c>
      <c r="AD9">
        <v>2.4432612342496447</v>
      </c>
      <c r="AE9">
        <v>-0.74540305914755167</v>
      </c>
      <c r="AF9">
        <v>1.1597336214204665</v>
      </c>
      <c r="AG9">
        <v>-1.9855091730425369</v>
      </c>
      <c r="AH9">
        <v>-1.5835646272148245</v>
      </c>
      <c r="AI9">
        <v>-1.5835646272148245</v>
      </c>
      <c r="AJ9">
        <v>-1.5835646272148245</v>
      </c>
      <c r="AK9">
        <v>-1.5835646272148245</v>
      </c>
      <c r="AL9">
        <v>-1.5835646272148245</v>
      </c>
      <c r="AM9">
        <v>-1.5835646272148245</v>
      </c>
      <c r="AN9">
        <v>-1.5835646272148245</v>
      </c>
    </row>
    <row r="10" spans="1:40" x14ac:dyDescent="0.45">
      <c r="A10" s="1">
        <v>45223</v>
      </c>
      <c r="B10">
        <v>216.52</v>
      </c>
      <c r="C10" s="5">
        <f t="shared" si="1"/>
        <v>2.0935496039230467E-2</v>
      </c>
      <c r="D10">
        <f t="shared" ca="1" si="5"/>
        <v>3.8439982935747673E-3</v>
      </c>
      <c r="E10">
        <f t="shared" ca="1" si="6"/>
        <v>3.4540941107176495E-2</v>
      </c>
      <c r="F10">
        <f t="shared" ca="1" si="7"/>
        <v>0.19162916159045101</v>
      </c>
      <c r="G10">
        <f t="shared" ca="1" si="8"/>
        <v>0.96982889674540917</v>
      </c>
      <c r="H10">
        <f t="shared" ca="1" si="9"/>
        <v>1.2358068251981897</v>
      </c>
      <c r="I10">
        <f t="shared" ca="1" si="10"/>
        <v>1.3767297958610754</v>
      </c>
      <c r="K10">
        <f t="shared" si="0"/>
        <v>1.0209354960392305</v>
      </c>
      <c r="L10" s="7">
        <f t="shared" ca="1" si="2"/>
        <v>0.84959780262899764</v>
      </c>
      <c r="M10">
        <f t="shared" ca="1" si="3"/>
        <v>0.87013504150744758</v>
      </c>
      <c r="N10">
        <v>0.66280265792957138</v>
      </c>
      <c r="O10" t="b">
        <f t="shared" ca="1" si="4"/>
        <v>1</v>
      </c>
      <c r="AA10">
        <v>0.56913068257229182</v>
      </c>
      <c r="AB10">
        <v>0.48364584824755386</v>
      </c>
      <c r="AC10">
        <v>5.02505856042443</v>
      </c>
      <c r="AD10">
        <v>3.3294460791574929</v>
      </c>
      <c r="AE10">
        <v>-0.87457543966039808</v>
      </c>
      <c r="AF10">
        <v>2.0356255843272786</v>
      </c>
      <c r="AG10">
        <v>-2.7802357145124885</v>
      </c>
      <c r="AH10">
        <v>-2.7219515482659573</v>
      </c>
      <c r="AI10">
        <v>-2.7219515482659573</v>
      </c>
      <c r="AJ10">
        <v>-2.7219515482659573</v>
      </c>
      <c r="AK10">
        <v>-2.7219515482659573</v>
      </c>
      <c r="AL10">
        <v>-2.7219515482659573</v>
      </c>
      <c r="AM10">
        <v>-2.7219515482659573</v>
      </c>
      <c r="AN10">
        <v>-2.7219515482659573</v>
      </c>
    </row>
    <row r="11" spans="1:40" x14ac:dyDescent="0.45">
      <c r="A11" s="1">
        <v>45222</v>
      </c>
      <c r="B11">
        <v>212.08</v>
      </c>
      <c r="C11" s="5">
        <f t="shared" si="1"/>
        <v>4.2454832775132512E-4</v>
      </c>
      <c r="D11">
        <f t="shared" ca="1" si="5"/>
        <v>3.8625762058020325E-3</v>
      </c>
      <c r="E11">
        <f t="shared" ca="1" si="6"/>
        <v>3.4551177696618814E-2</v>
      </c>
      <c r="F11">
        <f t="shared" ca="1" si="7"/>
        <v>0.19032365251110819</v>
      </c>
      <c r="G11">
        <f t="shared" ca="1" si="8"/>
        <v>0.96502375170453991</v>
      </c>
      <c r="H11">
        <f t="shared" ca="1" si="9"/>
        <v>1.2358068251981897</v>
      </c>
      <c r="I11">
        <f t="shared" ca="1" si="10"/>
        <v>1.4200006490036898</v>
      </c>
      <c r="J11" s="3" t="s">
        <v>12</v>
      </c>
      <c r="K11">
        <f t="shared" si="0"/>
        <v>1.0004245483277514</v>
      </c>
      <c r="L11" s="7">
        <f t="shared" ca="1" si="2"/>
        <v>0.83522369250157547</v>
      </c>
      <c r="M11">
        <f t="shared" ca="1" si="3"/>
        <v>0.9710484721891337</v>
      </c>
      <c r="N11">
        <v>0.82667004737270933</v>
      </c>
      <c r="O11" t="b">
        <f t="shared" ca="1" si="4"/>
        <v>1</v>
      </c>
      <c r="AA11">
        <v>0.52611660382503278</v>
      </c>
      <c r="AB11">
        <v>0.47543868649984955</v>
      </c>
      <c r="AC11">
        <v>5.0096073109279775</v>
      </c>
      <c r="AD11">
        <v>3.1027419586023988</v>
      </c>
      <c r="AE11">
        <v>-0.93783660680315539</v>
      </c>
      <c r="AF11">
        <v>1.8958971833285843</v>
      </c>
      <c r="AG11">
        <v>-2.7306146668298266</v>
      </c>
      <c r="AH11">
        <v>-2.5262168077783747</v>
      </c>
      <c r="AI11">
        <v>-2.5262168077783747</v>
      </c>
      <c r="AJ11">
        <v>-2.5262168077783747</v>
      </c>
      <c r="AK11">
        <v>-2.5262168077783747</v>
      </c>
      <c r="AL11">
        <v>-2.5262168077783747</v>
      </c>
      <c r="AM11">
        <v>-2.5262168077783747</v>
      </c>
      <c r="AN11">
        <v>-2.5262168077783747</v>
      </c>
    </row>
    <row r="12" spans="1:40" x14ac:dyDescent="0.45">
      <c r="A12" s="1">
        <v>45219</v>
      </c>
      <c r="B12">
        <v>211.99</v>
      </c>
      <c r="C12" s="5">
        <f t="shared" si="1"/>
        <v>-3.6890645586297781E-2</v>
      </c>
      <c r="D12">
        <f t="shared" ca="1" si="5"/>
        <v>3.7152581104145967E-3</v>
      </c>
      <c r="E12">
        <f t="shared" ca="1" si="6"/>
        <v>3.4628636447244704E-2</v>
      </c>
      <c r="F12">
        <f t="shared" ca="1" si="7"/>
        <v>0.19759228023197792</v>
      </c>
      <c r="G12">
        <f t="shared" ca="1" si="8"/>
        <v>0.93679684731191193</v>
      </c>
      <c r="H12">
        <f t="shared" ca="1" si="9"/>
        <v>1.2358068251981897</v>
      </c>
      <c r="I12">
        <f t="shared" ca="1" si="10"/>
        <v>1.4094304320673203</v>
      </c>
      <c r="J12" s="4">
        <v>100</v>
      </c>
      <c r="K12">
        <f t="shared" si="0"/>
        <v>0.96310935441370227</v>
      </c>
      <c r="L12" s="7">
        <f t="shared" ca="1" si="2"/>
        <v>0.84417808219178081</v>
      </c>
      <c r="M12">
        <f t="shared" ca="1" si="3"/>
        <v>0.96831089000612947</v>
      </c>
      <c r="N12">
        <v>0.3972785861632655</v>
      </c>
      <c r="O12" t="b">
        <f t="shared" ca="1" si="4"/>
        <v>1</v>
      </c>
      <c r="AA12">
        <v>0.53720523091585326</v>
      </c>
      <c r="AB12">
        <v>0.32533561526268095</v>
      </c>
      <c r="AC12">
        <v>5.6723738939842541</v>
      </c>
      <c r="AD12">
        <v>3.5366655548571782</v>
      </c>
      <c r="AE12">
        <v>-2.4862437617298467</v>
      </c>
      <c r="AF12">
        <v>3.0438077436584594</v>
      </c>
      <c r="AG12">
        <v>-3.4474154181668535</v>
      </c>
      <c r="AH12">
        <v>-3.3348655854578486</v>
      </c>
      <c r="AI12">
        <v>-3.3348655854578486</v>
      </c>
      <c r="AJ12">
        <v>-3.3348655854578486</v>
      </c>
      <c r="AK12">
        <v>-3.3348655854578486</v>
      </c>
      <c r="AL12">
        <v>-3.3348655854578486</v>
      </c>
      <c r="AM12">
        <v>-3.3348655854578486</v>
      </c>
      <c r="AN12">
        <v>-3.3348655854578486</v>
      </c>
    </row>
    <row r="13" spans="1:40" x14ac:dyDescent="0.45">
      <c r="A13" s="1">
        <v>45218</v>
      </c>
      <c r="B13">
        <v>220.11</v>
      </c>
      <c r="C13" s="5">
        <f t="shared" si="1"/>
        <v>-9.3003131696060629E-2</v>
      </c>
      <c r="D13">
        <f t="shared" ca="1" si="5"/>
        <v>4.1559555566624594E-3</v>
      </c>
      <c r="E13">
        <f t="shared" ca="1" si="6"/>
        <v>3.4670096992583326E-2</v>
      </c>
      <c r="F13">
        <f t="shared" ca="1" si="7"/>
        <v>0.17959950842470129</v>
      </c>
      <c r="G13">
        <f t="shared" ca="1" si="8"/>
        <v>0.9160183667498436</v>
      </c>
      <c r="H13">
        <f t="shared" ca="1" si="9"/>
        <v>1.2358068251981897</v>
      </c>
      <c r="I13">
        <f t="shared" ca="1" si="10"/>
        <v>1.4526917461674471</v>
      </c>
      <c r="K13">
        <f t="shared" si="0"/>
        <v>0.90699686830393933</v>
      </c>
      <c r="L13" s="7">
        <f t="shared" ca="1" si="2"/>
        <v>0.85027233746668207</v>
      </c>
      <c r="M13">
        <f t="shared" ca="1" si="3"/>
        <v>0.95803812537774391</v>
      </c>
      <c r="N13">
        <v>0.95735095923363023</v>
      </c>
      <c r="O13" t="b">
        <f t="shared" ca="1" si="4"/>
        <v>1</v>
      </c>
      <c r="Q13" t="s">
        <v>10</v>
      </c>
      <c r="AA13">
        <v>0.52455149296955839</v>
      </c>
      <c r="AB13">
        <v>0.22082094243717765</v>
      </c>
      <c r="AC13">
        <v>5.2466916970617081</v>
      </c>
      <c r="AD13">
        <v>2.2907170294247727</v>
      </c>
      <c r="AE13">
        <v>-2.0022558279079732</v>
      </c>
      <c r="AF13">
        <v>1.7177827698352093</v>
      </c>
      <c r="AG13">
        <v>-2.9934103629443296</v>
      </c>
      <c r="AH13">
        <v>-2.0470822600905838</v>
      </c>
      <c r="AI13">
        <v>-2.0470822600905838</v>
      </c>
      <c r="AJ13">
        <v>-2.0470822600905838</v>
      </c>
      <c r="AK13">
        <v>-2.0470822600905838</v>
      </c>
      <c r="AL13">
        <v>-2.0470822600905838</v>
      </c>
      <c r="AM13">
        <v>-2.0470822600905838</v>
      </c>
      <c r="AN13">
        <v>-2.0470822600905838</v>
      </c>
    </row>
    <row r="14" spans="1:40" x14ac:dyDescent="0.45">
      <c r="A14" s="1">
        <v>45217</v>
      </c>
      <c r="B14">
        <v>242.68</v>
      </c>
      <c r="C14" s="5">
        <f t="shared" si="1"/>
        <v>-4.7753580537571075E-2</v>
      </c>
      <c r="D14">
        <f t="shared" ca="1" si="5"/>
        <v>4.0088588592408301E-3</v>
      </c>
      <c r="E14">
        <f t="shared" ca="1" si="6"/>
        <v>3.5143567133415654E-2</v>
      </c>
      <c r="F14">
        <f t="shared" ca="1" si="7"/>
        <v>5.5211863060442082E-2</v>
      </c>
      <c r="G14">
        <f t="shared" ca="1" si="8"/>
        <v>1.2766424774603315</v>
      </c>
      <c r="H14">
        <f t="shared" ca="1" si="9"/>
        <v>1.2358068251981897</v>
      </c>
      <c r="I14">
        <f t="shared" ca="1" si="10"/>
        <v>1.4526917461674471</v>
      </c>
      <c r="J14" s="3" t="s">
        <v>20</v>
      </c>
      <c r="K14">
        <f t="shared" si="0"/>
        <v>0.95224641946242894</v>
      </c>
      <c r="L14" s="7">
        <f t="shared" ca="1" si="2"/>
        <v>0.92277272900110263</v>
      </c>
      <c r="M14">
        <f t="shared" ca="1" si="3"/>
        <v>0.95960111197668052</v>
      </c>
      <c r="N14">
        <v>1.0044741881749677</v>
      </c>
      <c r="O14" t="b">
        <f t="shared" ca="1" si="4"/>
        <v>0</v>
      </c>
      <c r="Q14">
        <f t="shared" ref="Q14:W14" ca="1" si="11">Q2/Q3</f>
        <v>2.5556491603787541</v>
      </c>
      <c r="R14">
        <f t="shared" ca="1" si="11"/>
        <v>5.1478494524191234</v>
      </c>
      <c r="S14">
        <f t="shared" ca="1" si="11"/>
        <v>2.5560137356075412</v>
      </c>
      <c r="T14">
        <f t="shared" ca="1" si="11"/>
        <v>2.2086881389660156</v>
      </c>
      <c r="U14">
        <f t="shared" ca="1" si="11"/>
        <v>0.78092952566221285</v>
      </c>
      <c r="V14">
        <f t="shared" ca="1" si="11"/>
        <v>-5.6425803050817755</v>
      </c>
      <c r="W14">
        <f t="shared" ca="1" si="11"/>
        <v>-1.6027678755848369</v>
      </c>
      <c r="AA14">
        <v>0.52523518413563852</v>
      </c>
      <c r="AB14">
        <v>0.13585873795661843</v>
      </c>
      <c r="AC14">
        <v>4.2392274217100168</v>
      </c>
      <c r="AD14">
        <v>0.91778813911796475</v>
      </c>
      <c r="AE14">
        <v>-1.3680653976732251</v>
      </c>
      <c r="AF14">
        <v>0.47161778250993314</v>
      </c>
      <c r="AG14">
        <v>-2.2004509506538472</v>
      </c>
      <c r="AH14">
        <v>-0.73604002502740373</v>
      </c>
      <c r="AI14">
        <v>-0.73604002502740373</v>
      </c>
      <c r="AJ14">
        <v>-0.73604002502740373</v>
      </c>
      <c r="AK14">
        <v>-0.73604002502740373</v>
      </c>
      <c r="AL14">
        <v>-0.73604002502740373</v>
      </c>
      <c r="AM14">
        <v>-0.73604002502740373</v>
      </c>
      <c r="AN14">
        <v>-0.73604002502740373</v>
      </c>
    </row>
    <row r="15" spans="1:40" x14ac:dyDescent="0.45">
      <c r="A15" s="1">
        <v>45216</v>
      </c>
      <c r="B15">
        <v>254.85</v>
      </c>
      <c r="C15" s="5">
        <f t="shared" si="1"/>
        <v>3.6625708884688362E-3</v>
      </c>
      <c r="D15">
        <f t="shared" ca="1" si="5"/>
        <v>4.3034468243158134E-3</v>
      </c>
      <c r="E15">
        <f t="shared" ca="1" si="6"/>
        <v>3.4953916649469591E-2</v>
      </c>
      <c r="F15">
        <f t="shared" ca="1" si="7"/>
        <v>4.7103515095824812E-2</v>
      </c>
      <c r="G15">
        <f t="shared" ca="1" si="8"/>
        <v>1.3442604389415145</v>
      </c>
      <c r="H15">
        <f t="shared" ca="1" si="9"/>
        <v>1.2358068251981897</v>
      </c>
      <c r="I15">
        <f t="shared" ca="1" si="10"/>
        <v>1.4570519428799351</v>
      </c>
      <c r="J15" s="4">
        <v>252</v>
      </c>
      <c r="K15">
        <f t="shared" si="0"/>
        <v>1.0036625708884688</v>
      </c>
      <c r="L15" s="7">
        <f t="shared" ca="1" si="2"/>
        <v>0.96673241787421271</v>
      </c>
      <c r="M15">
        <f t="shared" ca="1" si="3"/>
        <v>0.94547152948702484</v>
      </c>
      <c r="N15">
        <v>1.0069650637553647</v>
      </c>
      <c r="O15" t="b">
        <f t="shared" ca="1" si="4"/>
        <v>0</v>
      </c>
      <c r="AA15">
        <v>0.53574135434422021</v>
      </c>
      <c r="AB15">
        <v>0.24223871048358148</v>
      </c>
      <c r="AC15">
        <v>4.3767872709401896</v>
      </c>
      <c r="AD15">
        <v>0.90612797303064385</v>
      </c>
      <c r="AE15">
        <v>-1.4295366892940631</v>
      </c>
      <c r="AF15">
        <v>0.41256093069286492</v>
      </c>
      <c r="AG15">
        <v>-2.3329511599458845</v>
      </c>
      <c r="AH15">
        <v>-0.71074392650590335</v>
      </c>
      <c r="AI15">
        <v>-0.71074392650590335</v>
      </c>
      <c r="AJ15">
        <v>-0.71074392650590335</v>
      </c>
      <c r="AK15">
        <v>-0.71074392650590335</v>
      </c>
      <c r="AL15">
        <v>-0.71074392650590335</v>
      </c>
      <c r="AM15">
        <v>-0.71074392650590335</v>
      </c>
      <c r="AN15">
        <v>-0.71074392650590335</v>
      </c>
    </row>
    <row r="16" spans="1:40" x14ac:dyDescent="0.45">
      <c r="A16" s="1">
        <v>45215</v>
      </c>
      <c r="B16">
        <v>253.92</v>
      </c>
      <c r="C16" s="5">
        <f t="shared" si="1"/>
        <v>1.1150047785919014E-2</v>
      </c>
      <c r="D16">
        <f t="shared" ca="1" si="5"/>
        <v>4.6892684743539944E-3</v>
      </c>
      <c r="E16">
        <f t="shared" ca="1" si="6"/>
        <v>3.5370198551608389E-2</v>
      </c>
      <c r="F16">
        <f t="shared" ca="1" si="7"/>
        <v>6.3806098107593648E-2</v>
      </c>
      <c r="G16">
        <f t="shared" ca="1" si="8"/>
        <v>1.2511014767590014</v>
      </c>
      <c r="H16">
        <f t="shared" ca="1" si="9"/>
        <v>1.3633008789485728</v>
      </c>
      <c r="I16">
        <f t="shared" ca="1" si="10"/>
        <v>1.5013778957682085</v>
      </c>
      <c r="K16">
        <f t="shared" si="0"/>
        <v>1.011150047785919</v>
      </c>
      <c r="L16" s="7">
        <f t="shared" ca="1" si="2"/>
        <v>0.97785651018600506</v>
      </c>
      <c r="M16">
        <f t="shared" ca="1" si="3"/>
        <v>0.96457938858773318</v>
      </c>
      <c r="N16">
        <v>1.0254532692618037</v>
      </c>
      <c r="O16" t="b">
        <f t="shared" ca="1" si="4"/>
        <v>0</v>
      </c>
      <c r="AA16">
        <v>0.54517489966150767</v>
      </c>
      <c r="AB16">
        <v>0.38986224999001323</v>
      </c>
      <c r="AC16">
        <v>4.4132489909989658</v>
      </c>
      <c r="AD16">
        <v>0.7979511305083139</v>
      </c>
      <c r="AE16">
        <v>-1.4111618127899943</v>
      </c>
      <c r="AF16">
        <v>0.26471680240015405</v>
      </c>
      <c r="AG16">
        <v>-2.3760705060195253</v>
      </c>
      <c r="AH16">
        <v>-0.59001760954441207</v>
      </c>
      <c r="AI16">
        <v>-0.59001760954441207</v>
      </c>
      <c r="AJ16">
        <v>-0.59001760954441207</v>
      </c>
      <c r="AK16">
        <v>-0.59001760954441207</v>
      </c>
      <c r="AL16">
        <v>-0.59001760954441207</v>
      </c>
      <c r="AM16">
        <v>-0.59001760954441207</v>
      </c>
      <c r="AN16">
        <v>-0.59001760954441207</v>
      </c>
    </row>
    <row r="17" spans="1:40" x14ac:dyDescent="0.45">
      <c r="A17" s="1">
        <v>45212</v>
      </c>
      <c r="B17">
        <v>251.12</v>
      </c>
      <c r="C17" s="5">
        <f t="shared" si="1"/>
        <v>-2.9937806621083942E-2</v>
      </c>
      <c r="D17">
        <f t="shared" ca="1" si="5"/>
        <v>4.7989627817122101E-3</v>
      </c>
      <c r="E17">
        <f t="shared" ca="1" si="6"/>
        <v>3.5424314502011639E-2</v>
      </c>
      <c r="F17">
        <f t="shared" ca="1" si="7"/>
        <v>5.6715164579619864E-2</v>
      </c>
      <c r="G17">
        <f t="shared" ca="1" si="8"/>
        <v>1.2262627631550433</v>
      </c>
      <c r="H17">
        <f t="shared" ca="1" si="9"/>
        <v>1.3633008789485728</v>
      </c>
      <c r="I17">
        <f t="shared" ca="1" si="10"/>
        <v>1.5584874544446077</v>
      </c>
      <c r="K17">
        <f t="shared" si="0"/>
        <v>0.97006219337891608</v>
      </c>
      <c r="L17" s="7">
        <f t="shared" ca="1" si="2"/>
        <v>0.96388131885003647</v>
      </c>
      <c r="M17">
        <f t="shared" ca="1" si="3"/>
        <v>0.93648761474539777</v>
      </c>
      <c r="N17">
        <v>0.98109003022347441</v>
      </c>
      <c r="O17" t="b">
        <f t="shared" ca="1" si="4"/>
        <v>1</v>
      </c>
      <c r="Q17">
        <f ca="1">POWER(CORREL(OFFSET(L2,$J$9,0,$J$12,1),OFFSET(M2,$J$9,0,$J$12,1)),2)</f>
        <v>0.52025500197829133</v>
      </c>
      <c r="R17" t="s">
        <v>11</v>
      </c>
      <c r="AA17">
        <v>0.53251660330096218</v>
      </c>
      <c r="AB17">
        <v>0.58513665277680893</v>
      </c>
      <c r="AC17">
        <v>4.7542256982616866</v>
      </c>
      <c r="AD17">
        <v>1.2095169405964106</v>
      </c>
      <c r="AE17">
        <v>-1.6099743262339199</v>
      </c>
      <c r="AF17">
        <v>0.64100896261395834</v>
      </c>
      <c r="AG17">
        <v>-2.8014123684557757</v>
      </c>
      <c r="AH17">
        <v>-1.0014358713622018</v>
      </c>
      <c r="AI17">
        <v>-1.0014358713622018</v>
      </c>
      <c r="AJ17">
        <v>-1.0014358713622018</v>
      </c>
      <c r="AK17">
        <v>-1.0014358713622018</v>
      </c>
      <c r="AL17">
        <v>-1.0014358713622018</v>
      </c>
      <c r="AM17">
        <v>-1.0014358713622018</v>
      </c>
      <c r="AN17">
        <v>-1.0014358713622018</v>
      </c>
    </row>
    <row r="18" spans="1:40" x14ac:dyDescent="0.45">
      <c r="A18" s="1">
        <v>45211</v>
      </c>
      <c r="B18">
        <v>258.87</v>
      </c>
      <c r="C18" s="5">
        <f t="shared" si="1"/>
        <v>-1.5665994904749247E-2</v>
      </c>
      <c r="D18">
        <f t="shared" ca="1" si="5"/>
        <v>4.3782092650815349E-3</v>
      </c>
      <c r="E18">
        <f t="shared" ca="1" si="6"/>
        <v>3.6327219666333739E-2</v>
      </c>
      <c r="F18">
        <f t="shared" ca="1" si="7"/>
        <v>-8.5791539138456788E-2</v>
      </c>
      <c r="G18">
        <f t="shared" ca="1" si="8"/>
        <v>1.4019976957601301</v>
      </c>
      <c r="H18">
        <f t="shared" ca="1" si="9"/>
        <v>1.3144413553978307</v>
      </c>
      <c r="I18">
        <f t="shared" ca="1" si="10"/>
        <v>1.5584874544446077</v>
      </c>
      <c r="K18">
        <f t="shared" si="0"/>
        <v>0.98433400509525071</v>
      </c>
      <c r="L18" s="7">
        <f t="shared" ca="1" si="2"/>
        <v>0.99546241107479327</v>
      </c>
      <c r="M18">
        <f t="shared" ca="1" si="3"/>
        <v>0.94100765529373964</v>
      </c>
      <c r="N18">
        <v>0.97976420209810122</v>
      </c>
      <c r="O18" t="b">
        <f t="shared" ca="1" si="4"/>
        <v>1</v>
      </c>
      <c r="AA18">
        <v>0.53333658941195561</v>
      </c>
      <c r="AB18">
        <v>0.42505464887716227</v>
      </c>
      <c r="AC18">
        <v>4.8083890158847442</v>
      </c>
      <c r="AD18">
        <v>1.0480024101132741</v>
      </c>
      <c r="AE18">
        <v>-1.5097701341107332</v>
      </c>
      <c r="AF18">
        <v>0.44785842436541978</v>
      </c>
      <c r="AG18">
        <v>-2.742081788032297</v>
      </c>
      <c r="AH18">
        <v>-0.83142461476766294</v>
      </c>
      <c r="AI18">
        <v>-0.83142461476766294</v>
      </c>
      <c r="AJ18">
        <v>-0.83142461476766294</v>
      </c>
      <c r="AK18">
        <v>-0.83142461476766294</v>
      </c>
      <c r="AL18">
        <v>-0.83142461476766294</v>
      </c>
      <c r="AM18">
        <v>-0.83142461476766294</v>
      </c>
      <c r="AN18">
        <v>-0.83142461476766294</v>
      </c>
    </row>
    <row r="19" spans="1:40" x14ac:dyDescent="0.45">
      <c r="A19" s="1">
        <v>45210</v>
      </c>
      <c r="B19">
        <v>262.99</v>
      </c>
      <c r="C19" s="5">
        <f t="shared" si="1"/>
        <v>-2.3898035050451236E-3</v>
      </c>
      <c r="D19">
        <f t="shared" ca="1" si="5"/>
        <v>4.3687849516116642E-3</v>
      </c>
      <c r="E19">
        <f t="shared" ca="1" si="6"/>
        <v>3.6332689915156043E-2</v>
      </c>
      <c r="F19">
        <f t="shared" ca="1" si="7"/>
        <v>-8.5230519317344489E-2</v>
      </c>
      <c r="G19">
        <f t="shared" ca="1" si="8"/>
        <v>1.3994365754888882</v>
      </c>
      <c r="H19">
        <f t="shared" ca="1" si="9"/>
        <v>1.3144413553978307</v>
      </c>
      <c r="I19">
        <f t="shared" ca="1" si="10"/>
        <v>1.5584874544446077</v>
      </c>
      <c r="K19">
        <f t="shared" si="0"/>
        <v>0.99761019649495486</v>
      </c>
      <c r="L19" s="7">
        <f t="shared" ca="1" si="2"/>
        <v>1.0070071986521671</v>
      </c>
      <c r="M19">
        <f t="shared" ca="1" si="3"/>
        <v>0.93805344239274469</v>
      </c>
      <c r="N19">
        <v>0.97798333489936207</v>
      </c>
      <c r="O19" t="b">
        <f t="shared" ca="1" si="4"/>
        <v>0</v>
      </c>
      <c r="Q19">
        <f ca="1">POWER(CORREL(OFFSET(L2,0,0,$J$15,1),OFFSET(N2,0,0,$J$15,1)),2)</f>
        <v>0.27164438314245709</v>
      </c>
      <c r="R19" t="s">
        <v>27</v>
      </c>
      <c r="AA19">
        <v>0.53735249129767659</v>
      </c>
      <c r="AB19">
        <v>0.46490700330660667</v>
      </c>
      <c r="AC19">
        <v>5.0051744822561597</v>
      </c>
      <c r="AD19">
        <v>1.1012369125719319</v>
      </c>
      <c r="AE19">
        <v>-1.4539852505675179</v>
      </c>
      <c r="AF19">
        <v>0.48360144054089799</v>
      </c>
      <c r="AG19">
        <v>-2.9546755652132646</v>
      </c>
      <c r="AH19">
        <v>-0.89683647528068733</v>
      </c>
      <c r="AI19">
        <v>-0.89683647528068733</v>
      </c>
      <c r="AJ19">
        <v>-0.89683647528068733</v>
      </c>
      <c r="AK19">
        <v>-0.89683647528068733</v>
      </c>
      <c r="AL19">
        <v>-0.89683647528068733</v>
      </c>
      <c r="AM19">
        <v>-0.89683647528068733</v>
      </c>
      <c r="AN19">
        <v>-0.89683647528068733</v>
      </c>
    </row>
    <row r="20" spans="1:40" x14ac:dyDescent="0.45">
      <c r="A20" s="1">
        <v>45209</v>
      </c>
      <c r="B20">
        <v>263.62</v>
      </c>
      <c r="C20" s="5">
        <f t="shared" si="1"/>
        <v>1.5211614741787609E-2</v>
      </c>
      <c r="D20">
        <f t="shared" ca="1" si="5"/>
        <v>3.9365964391521553E-3</v>
      </c>
      <c r="E20">
        <f t="shared" ca="1" si="6"/>
        <v>3.6922798698637883E-2</v>
      </c>
      <c r="F20">
        <f t="shared" ca="1" si="7"/>
        <v>-0.12733102712871949</v>
      </c>
      <c r="G20">
        <f t="shared" ca="1" si="8"/>
        <v>1.3252763358611981</v>
      </c>
      <c r="H20">
        <f t="shared" ca="1" si="9"/>
        <v>1.263727402199234</v>
      </c>
      <c r="I20">
        <f t="shared" ca="1" si="10"/>
        <v>1.5538237141376618</v>
      </c>
      <c r="K20">
        <f t="shared" si="0"/>
        <v>1.0152116147417876</v>
      </c>
      <c r="L20" s="7">
        <f t="shared" ca="1" si="2"/>
        <v>1.0693221920253113</v>
      </c>
      <c r="M20">
        <f t="shared" ca="1" si="3"/>
        <v>0.97439441915499758</v>
      </c>
      <c r="N20">
        <v>1.0190791451221686</v>
      </c>
      <c r="O20" t="b">
        <f t="shared" ca="1" si="4"/>
        <v>1</v>
      </c>
      <c r="AA20">
        <v>0.53553514181953976</v>
      </c>
      <c r="AB20">
        <v>0.58146424937312735</v>
      </c>
      <c r="AC20">
        <v>4.7567749417825151</v>
      </c>
      <c r="AD20">
        <v>0.77346003754533665</v>
      </c>
      <c r="AE20">
        <v>-1.0193520931629909</v>
      </c>
      <c r="AF20">
        <v>0.27121680715142854</v>
      </c>
      <c r="AG20">
        <v>-2.9183438400818664</v>
      </c>
      <c r="AH20">
        <v>-0.66869397284279652</v>
      </c>
      <c r="AI20">
        <v>-0.66869397284279652</v>
      </c>
      <c r="AJ20">
        <v>-0.66869397284279652</v>
      </c>
      <c r="AK20">
        <v>-0.66869397284279652</v>
      </c>
      <c r="AL20">
        <v>-0.66869397284279652</v>
      </c>
      <c r="AM20">
        <v>-0.66869397284279652</v>
      </c>
      <c r="AN20">
        <v>-0.66869397284279652</v>
      </c>
    </row>
    <row r="21" spans="1:40" x14ac:dyDescent="0.45">
      <c r="A21" s="1">
        <v>45208</v>
      </c>
      <c r="B21">
        <v>259.67</v>
      </c>
      <c r="C21" s="5">
        <f t="shared" si="1"/>
        <v>-3.3009634207191376E-3</v>
      </c>
      <c r="D21">
        <f t="shared" ca="1" si="5"/>
        <v>3.8521929372864667E-3</v>
      </c>
      <c r="E21">
        <f t="shared" ca="1" si="6"/>
        <v>3.6916188692455054E-2</v>
      </c>
      <c r="F21">
        <f t="shared" ca="1" si="7"/>
        <v>-0.12063346446302221</v>
      </c>
      <c r="G21">
        <f t="shared" ca="1" si="8"/>
        <v>1.3272075106480843</v>
      </c>
      <c r="H21">
        <f t="shared" ca="1" si="9"/>
        <v>1.263727402199234</v>
      </c>
      <c r="I21">
        <f t="shared" ca="1" si="10"/>
        <v>1.5538237141376618</v>
      </c>
      <c r="K21">
        <f t="shared" si="0"/>
        <v>0.99669903657928083</v>
      </c>
      <c r="L21" s="7">
        <f t="shared" ca="1" si="2"/>
        <v>1.0320747217806043</v>
      </c>
      <c r="M21">
        <f t="shared" ca="1" si="3"/>
        <v>0.97881646593183946</v>
      </c>
      <c r="N21">
        <v>1.0162024244364161</v>
      </c>
      <c r="O21" t="b">
        <f t="shared" ca="1" si="4"/>
        <v>1</v>
      </c>
      <c r="AA21">
        <v>0.53155061702973394</v>
      </c>
      <c r="AB21">
        <v>0.63839973872535338</v>
      </c>
      <c r="AC21">
        <v>4.5576810339747542</v>
      </c>
      <c r="AD21">
        <v>0.72451836074450238</v>
      </c>
      <c r="AE21">
        <v>-0.84025859649539081</v>
      </c>
      <c r="AF21">
        <v>0.32200229193900104</v>
      </c>
      <c r="AG21">
        <v>-2.9803302641838232</v>
      </c>
      <c r="AH21">
        <v>-0.6975878151449425</v>
      </c>
      <c r="AI21">
        <v>-0.6975878151449425</v>
      </c>
      <c r="AJ21">
        <v>-0.6975878151449425</v>
      </c>
      <c r="AK21">
        <v>-0.6975878151449425</v>
      </c>
      <c r="AL21">
        <v>-0.6975878151449425</v>
      </c>
      <c r="AM21">
        <v>-0.6975878151449425</v>
      </c>
      <c r="AN21">
        <v>-0.6975878151449425</v>
      </c>
    </row>
    <row r="22" spans="1:40" x14ac:dyDescent="0.45">
      <c r="A22" s="1">
        <v>45205</v>
      </c>
      <c r="B22">
        <v>260.52999999999997</v>
      </c>
      <c r="C22" s="5">
        <f t="shared" si="1"/>
        <v>1.8457988848296918E-3</v>
      </c>
      <c r="D22">
        <f t="shared" ca="1" si="5"/>
        <v>3.4660154297086725E-3</v>
      </c>
      <c r="E22">
        <f t="shared" ca="1" si="6"/>
        <v>3.7392300543433434E-2</v>
      </c>
      <c r="F22">
        <f t="shared" ca="1" si="7"/>
        <v>-0.14309790385346968</v>
      </c>
      <c r="G22">
        <f t="shared" ca="1" si="8"/>
        <v>1.236358784662702</v>
      </c>
      <c r="H22">
        <f t="shared" ca="1" si="9"/>
        <v>1.2129682839809366</v>
      </c>
      <c r="I22">
        <f t="shared" ca="1" si="10"/>
        <v>1.5238908487003555</v>
      </c>
      <c r="K22">
        <f t="shared" si="0"/>
        <v>1.0018457988848297</v>
      </c>
      <c r="L22" s="7">
        <f t="shared" ca="1" si="2"/>
        <v>1.0412037407081767</v>
      </c>
      <c r="M22">
        <f t="shared" ca="1" si="3"/>
        <v>0.99776418739839645</v>
      </c>
      <c r="N22">
        <v>1.0261486400340694</v>
      </c>
      <c r="O22" t="b">
        <f t="shared" ca="1" si="4"/>
        <v>1</v>
      </c>
      <c r="AA22">
        <v>0.52880380653437109</v>
      </c>
      <c r="AB22">
        <v>0.58593174606527687</v>
      </c>
      <c r="AC22">
        <v>4.3936221420797814</v>
      </c>
      <c r="AD22">
        <v>0.84339991595003805</v>
      </c>
      <c r="AE22">
        <v>-0.91913785593392061</v>
      </c>
      <c r="AF22">
        <v>0.52281421357950664</v>
      </c>
      <c r="AG22">
        <v>-2.8595616631874288</v>
      </c>
      <c r="AH22">
        <v>-0.89311149141645063</v>
      </c>
      <c r="AI22">
        <v>-0.89311149141645063</v>
      </c>
      <c r="AJ22">
        <v>-0.89311149141645063</v>
      </c>
      <c r="AK22">
        <v>-0.89311149141645063</v>
      </c>
      <c r="AL22">
        <v>-0.89311149141645063</v>
      </c>
      <c r="AM22">
        <v>-0.89311149141645063</v>
      </c>
      <c r="AN22">
        <v>-0.89311149141645063</v>
      </c>
    </row>
    <row r="23" spans="1:40" x14ac:dyDescent="0.45">
      <c r="A23" s="1">
        <v>45204</v>
      </c>
      <c r="B23">
        <v>260.05</v>
      </c>
      <c r="C23" s="5">
        <f t="shared" si="1"/>
        <v>-4.2502680349211733E-3</v>
      </c>
      <c r="D23">
        <f t="shared" ca="1" si="5"/>
        <v>3.4448048071143854E-3</v>
      </c>
      <c r="E23">
        <f t="shared" ca="1" si="6"/>
        <v>3.7394427325750955E-2</v>
      </c>
      <c r="F23">
        <f t="shared" ca="1" si="7"/>
        <v>-0.14137380482527706</v>
      </c>
      <c r="G23">
        <f t="shared" ca="1" si="8"/>
        <v>1.2350585482092109</v>
      </c>
      <c r="H23">
        <f t="shared" ca="1" si="9"/>
        <v>1.2129682839809366</v>
      </c>
      <c r="I23">
        <f t="shared" ca="1" si="10"/>
        <v>1.5238908487003555</v>
      </c>
      <c r="K23">
        <f t="shared" si="0"/>
        <v>0.99574973196507888</v>
      </c>
      <c r="L23" s="7">
        <f t="shared" ca="1" si="2"/>
        <v>1.0554833996265931</v>
      </c>
      <c r="M23">
        <f t="shared" ca="1" si="3"/>
        <v>1.006346519717729</v>
      </c>
      <c r="N23">
        <v>0.99722919313808633</v>
      </c>
      <c r="O23" t="b">
        <f t="shared" ca="1" si="4"/>
        <v>0</v>
      </c>
      <c r="AA23">
        <v>0.54042351205388761</v>
      </c>
      <c r="AB23">
        <v>0.31654731978911571</v>
      </c>
      <c r="AC23">
        <v>4.8924709706826768</v>
      </c>
      <c r="AD23">
        <v>1.1677309704558503</v>
      </c>
      <c r="AE23">
        <v>-1.472754863689911</v>
      </c>
      <c r="AF23">
        <v>0.78943931568052184</v>
      </c>
      <c r="AG23">
        <v>-2.8630959396610973</v>
      </c>
      <c r="AH23">
        <v>-1.1921665793616321</v>
      </c>
      <c r="AI23">
        <v>-1.1921665793616321</v>
      </c>
      <c r="AJ23">
        <v>-1.1921665793616321</v>
      </c>
      <c r="AK23">
        <v>-1.1921665793616321</v>
      </c>
      <c r="AL23">
        <v>-1.1921665793616321</v>
      </c>
      <c r="AM23">
        <v>-1.1921665793616321</v>
      </c>
      <c r="AN23">
        <v>-1.1921665793616321</v>
      </c>
    </row>
    <row r="24" spans="1:40" x14ac:dyDescent="0.45">
      <c r="A24" s="1">
        <v>45203</v>
      </c>
      <c r="B24">
        <v>261.16000000000003</v>
      </c>
      <c r="C24" s="5">
        <f t="shared" si="1"/>
        <v>5.9343690423072339E-2</v>
      </c>
      <c r="D24">
        <f t="shared" ca="1" si="5"/>
        <v>3.2301203319785323E-3</v>
      </c>
      <c r="E24">
        <f t="shared" ca="1" si="6"/>
        <v>3.7561705343136971E-2</v>
      </c>
      <c r="F24">
        <f t="shared" ca="1" si="7"/>
        <v>-0.13456210443088687</v>
      </c>
      <c r="G24">
        <f t="shared" ca="1" si="8"/>
        <v>1.1730578939636578</v>
      </c>
      <c r="H24">
        <f t="shared" ca="1" si="9"/>
        <v>1.2129682839809366</v>
      </c>
      <c r="I24">
        <f t="shared" ca="1" si="10"/>
        <v>1.4435264705062079</v>
      </c>
      <c r="K24">
        <f t="shared" si="0"/>
        <v>1.0593436904230724</v>
      </c>
      <c r="L24" s="7">
        <f t="shared" ca="1" si="2"/>
        <v>1.0859043659043661</v>
      </c>
      <c r="M24">
        <f t="shared" ca="1" si="3"/>
        <v>0.99688304038917996</v>
      </c>
      <c r="N24">
        <v>0.97850928574156271</v>
      </c>
      <c r="O24" t="b">
        <f t="shared" ca="1" si="4"/>
        <v>0</v>
      </c>
      <c r="AA24">
        <v>0.58831194803310205</v>
      </c>
      <c r="AB24">
        <v>0.29255065739543912</v>
      </c>
      <c r="AC24">
        <v>5.8993454203642992</v>
      </c>
      <c r="AD24">
        <v>0.95098986278495934</v>
      </c>
      <c r="AE24">
        <v>-1.4931673077588568</v>
      </c>
      <c r="AF24">
        <v>0.59791380152335905</v>
      </c>
      <c r="AG24">
        <v>-3.2434084299505841</v>
      </c>
      <c r="AH24">
        <v>-1.0827210063460455</v>
      </c>
      <c r="AI24">
        <v>-1.0827210063460455</v>
      </c>
      <c r="AJ24">
        <v>-1.0827210063460455</v>
      </c>
      <c r="AK24">
        <v>-1.0827210063460455</v>
      </c>
      <c r="AL24">
        <v>-1.0827210063460455</v>
      </c>
      <c r="AM24">
        <v>-1.0827210063460455</v>
      </c>
      <c r="AN24">
        <v>-1.0827210063460455</v>
      </c>
    </row>
    <row r="25" spans="1:40" x14ac:dyDescent="0.45">
      <c r="A25" s="1">
        <v>45202</v>
      </c>
      <c r="B25">
        <v>246.53</v>
      </c>
      <c r="C25" s="5">
        <f t="shared" si="1"/>
        <v>-2.0151033386327476E-2</v>
      </c>
      <c r="D25">
        <f t="shared" ca="1" si="5"/>
        <v>2.9611442268019472E-3</v>
      </c>
      <c r="E25">
        <f t="shared" ca="1" si="6"/>
        <v>3.7349875872705107E-2</v>
      </c>
      <c r="F25">
        <f t="shared" ca="1" si="7"/>
        <v>-0.13225287575070474</v>
      </c>
      <c r="G25">
        <f t="shared" ca="1" si="8"/>
        <v>1.2389905498611267</v>
      </c>
      <c r="H25">
        <f t="shared" ca="1" si="9"/>
        <v>1.2129682839809366</v>
      </c>
      <c r="I25">
        <f t="shared" ca="1" si="10"/>
        <v>1.390629567529412</v>
      </c>
      <c r="K25">
        <f t="shared" si="0"/>
        <v>0.97984896661367249</v>
      </c>
      <c r="L25" s="7">
        <f t="shared" ca="1" si="2"/>
        <v>1.0098721940029494</v>
      </c>
      <c r="M25">
        <f t="shared" ca="1" si="3"/>
        <v>0.98571403515933698</v>
      </c>
      <c r="N25">
        <v>0.9686797377994103</v>
      </c>
      <c r="O25" t="b">
        <f t="shared" ca="1" si="4"/>
        <v>0</v>
      </c>
      <c r="AA25">
        <v>0.5997165892536922</v>
      </c>
      <c r="AB25">
        <v>0.2686022160931632</v>
      </c>
      <c r="AC25">
        <v>6.2370130158425239</v>
      </c>
      <c r="AD25">
        <v>0.66355702799049654</v>
      </c>
      <c r="AE25">
        <v>-1.3158493813850101</v>
      </c>
      <c r="AF25">
        <v>0.38906115578643902</v>
      </c>
      <c r="AG25">
        <v>-3.3411159766209342</v>
      </c>
      <c r="AH25">
        <v>-0.88156024526344579</v>
      </c>
      <c r="AI25">
        <v>-0.88156024526344579</v>
      </c>
      <c r="AJ25">
        <v>-0.88156024526344579</v>
      </c>
      <c r="AK25">
        <v>-0.88156024526344579</v>
      </c>
      <c r="AL25">
        <v>-0.88156024526344579</v>
      </c>
      <c r="AM25">
        <v>-0.88156024526344579</v>
      </c>
      <c r="AN25">
        <v>-0.88156024526344579</v>
      </c>
    </row>
    <row r="26" spans="1:40" x14ac:dyDescent="0.45">
      <c r="A26" s="1">
        <v>45201</v>
      </c>
      <c r="B26">
        <v>251.6</v>
      </c>
      <c r="C26" s="5">
        <f t="shared" si="1"/>
        <v>5.5151466709295639E-3</v>
      </c>
      <c r="D26">
        <f t="shared" ca="1" si="5"/>
        <v>2.9329773682598348E-3</v>
      </c>
      <c r="E26">
        <f t="shared" ca="1" si="6"/>
        <v>3.7369512167717382E-2</v>
      </c>
      <c r="F26">
        <f t="shared" ca="1" si="7"/>
        <v>-0.13086992933846278</v>
      </c>
      <c r="G26">
        <f t="shared" ca="1" si="8"/>
        <v>1.230641107943641</v>
      </c>
      <c r="H26">
        <f t="shared" ca="1" si="9"/>
        <v>1.2129682839809366</v>
      </c>
      <c r="I26">
        <f t="shared" ca="1" si="10"/>
        <v>1.390629567529412</v>
      </c>
      <c r="K26">
        <f t="shared" si="0"/>
        <v>1.0055151466709296</v>
      </c>
      <c r="L26" s="7">
        <f t="shared" ca="1" si="2"/>
        <v>1.0186647232681485</v>
      </c>
      <c r="M26">
        <f t="shared" ca="1" si="3"/>
        <v>1.0002265918026123</v>
      </c>
      <c r="N26">
        <v>0.97148404508876585</v>
      </c>
      <c r="O26" t="b">
        <f t="shared" ca="1" si="4"/>
        <v>0</v>
      </c>
      <c r="AA26">
        <v>0.61471309951435704</v>
      </c>
      <c r="AB26">
        <v>0.2648305920454182</v>
      </c>
      <c r="AC26">
        <v>6.5931571112290666</v>
      </c>
      <c r="AD26">
        <v>0.52872426065763689</v>
      </c>
      <c r="AE26">
        <v>-1.3212194690662831</v>
      </c>
      <c r="AF26">
        <v>0.30258979670600217</v>
      </c>
      <c r="AG26">
        <v>-3.4583575235879747</v>
      </c>
      <c r="AH26">
        <v>-0.81755478021766226</v>
      </c>
      <c r="AI26">
        <v>-0.81755478021766226</v>
      </c>
      <c r="AJ26">
        <v>-0.81755478021766226</v>
      </c>
      <c r="AK26">
        <v>-0.81755478021766226</v>
      </c>
      <c r="AL26">
        <v>-0.81755478021766226</v>
      </c>
      <c r="AM26">
        <v>-0.81755478021766226</v>
      </c>
      <c r="AN26">
        <v>-0.81755478021766226</v>
      </c>
    </row>
    <row r="27" spans="1:40" x14ac:dyDescent="0.45">
      <c r="A27" s="1">
        <v>45198</v>
      </c>
      <c r="B27">
        <v>250.22</v>
      </c>
      <c r="C27" s="5">
        <f t="shared" si="1"/>
        <v>1.5585680655897409E-2</v>
      </c>
      <c r="D27">
        <f t="shared" ca="1" si="5"/>
        <v>2.7007180453449435E-3</v>
      </c>
      <c r="E27">
        <f t="shared" ca="1" si="6"/>
        <v>3.7497517584705584E-2</v>
      </c>
      <c r="F27">
        <f t="shared" ca="1" si="7"/>
        <v>-0.11889425777127373</v>
      </c>
      <c r="G27">
        <f t="shared" ca="1" si="8"/>
        <v>1.1790056905251189</v>
      </c>
      <c r="H27">
        <f t="shared" ca="1" si="9"/>
        <v>1.2129682839809366</v>
      </c>
      <c r="I27">
        <f t="shared" ca="1" si="10"/>
        <v>1.3431832364535849</v>
      </c>
      <c r="K27">
        <f t="shared" si="0"/>
        <v>1.0155856806558974</v>
      </c>
      <c r="L27" s="7">
        <f t="shared" ca="1" si="2"/>
        <v>1.0218065991506042</v>
      </c>
      <c r="M27">
        <f t="shared" ca="1" si="3"/>
        <v>1.024392028824773</v>
      </c>
      <c r="N27">
        <v>0.97486229330852003</v>
      </c>
      <c r="O27" t="b">
        <f t="shared" ca="1" si="4"/>
        <v>0</v>
      </c>
      <c r="AA27">
        <v>0.62217683815024816</v>
      </c>
      <c r="AB27">
        <v>0.10567899412076878</v>
      </c>
      <c r="AC27">
        <v>6.7936191701964654</v>
      </c>
      <c r="AD27">
        <v>0.35804115390165642</v>
      </c>
      <c r="AE27">
        <v>-1.4015812378753263</v>
      </c>
      <c r="AF27">
        <v>0.20783761247482152</v>
      </c>
      <c r="AG27">
        <v>-3.3140399352109364</v>
      </c>
      <c r="AH27">
        <v>-0.7212210317289528</v>
      </c>
      <c r="AI27">
        <v>-0.7212210317289528</v>
      </c>
      <c r="AJ27">
        <v>-0.7212210317289528</v>
      </c>
      <c r="AK27">
        <v>-0.7212210317289528</v>
      </c>
      <c r="AL27">
        <v>-0.7212210317289528</v>
      </c>
      <c r="AM27">
        <v>-0.7212210317289528</v>
      </c>
      <c r="AN27">
        <v>-0.7212210317289528</v>
      </c>
    </row>
    <row r="28" spans="1:40" x14ac:dyDescent="0.45">
      <c r="A28" s="1">
        <v>45197</v>
      </c>
      <c r="B28">
        <v>246.38</v>
      </c>
      <c r="C28" s="5">
        <f t="shared" si="1"/>
        <v>2.4449064449064431E-2</v>
      </c>
      <c r="D28">
        <f t="shared" ca="1" si="5"/>
        <v>2.3091900888680254E-3</v>
      </c>
      <c r="E28">
        <f t="shared" ca="1" si="6"/>
        <v>3.7770124506758262E-2</v>
      </c>
      <c r="F28">
        <f t="shared" ca="1" si="7"/>
        <v>-0.11150256684168987</v>
      </c>
      <c r="G28">
        <f t="shared" ca="1" si="8"/>
        <v>1.099511400198665</v>
      </c>
      <c r="H28">
        <f t="shared" ca="1" si="9"/>
        <v>1.1795196939692505</v>
      </c>
      <c r="I28">
        <f t="shared" ca="1" si="10"/>
        <v>1.3121789545191656</v>
      </c>
      <c r="K28">
        <f t="shared" si="0"/>
        <v>1.0244490644490645</v>
      </c>
      <c r="L28" s="7">
        <f t="shared" ca="1" si="2"/>
        <v>0.96355103637074691</v>
      </c>
      <c r="M28">
        <f t="shared" ca="1" si="3"/>
        <v>0.98846884697055648</v>
      </c>
      <c r="N28">
        <v>0.91132129642841897</v>
      </c>
      <c r="O28" t="b">
        <f t="shared" ca="1" si="4"/>
        <v>1</v>
      </c>
      <c r="AA28">
        <v>0.59937389700274557</v>
      </c>
      <c r="AB28">
        <v>0.56184485002110807</v>
      </c>
      <c r="AC28">
        <v>6.2588402530230134</v>
      </c>
      <c r="AD28">
        <v>-0.21991671662219911</v>
      </c>
      <c r="AE28">
        <v>-0.7032639871594546</v>
      </c>
      <c r="AF28">
        <v>-0.12341166707452302</v>
      </c>
      <c r="AG28">
        <v>-3.366385242773358</v>
      </c>
      <c r="AH28">
        <v>-0.38167684999700363</v>
      </c>
      <c r="AI28">
        <v>-0.38167684999700363</v>
      </c>
      <c r="AJ28">
        <v>-0.38167684999700363</v>
      </c>
      <c r="AK28">
        <v>-0.38167684999700363</v>
      </c>
      <c r="AL28">
        <v>-0.38167684999700363</v>
      </c>
      <c r="AM28">
        <v>-0.38167684999700363</v>
      </c>
      <c r="AN28">
        <v>-0.38167684999700363</v>
      </c>
    </row>
    <row r="29" spans="1:40" x14ac:dyDescent="0.45">
      <c r="A29" s="1">
        <v>45196</v>
      </c>
      <c r="B29">
        <v>240.5</v>
      </c>
      <c r="C29" s="5">
        <f t="shared" si="1"/>
        <v>-1.4828772734720648E-2</v>
      </c>
      <c r="D29">
        <f t="shared" ca="1" si="5"/>
        <v>2.3486721651466884E-3</v>
      </c>
      <c r="E29">
        <f t="shared" ca="1" si="6"/>
        <v>3.7797501422054049E-2</v>
      </c>
      <c r="F29">
        <f t="shared" ca="1" si="7"/>
        <v>-0.11289873907288438</v>
      </c>
      <c r="G29">
        <f t="shared" ca="1" si="8"/>
        <v>1.0894448220975468</v>
      </c>
      <c r="H29">
        <f t="shared" ca="1" si="9"/>
        <v>1.1795196939692505</v>
      </c>
      <c r="I29">
        <f t="shared" ca="1" si="10"/>
        <v>1.3121789545191656</v>
      </c>
      <c r="K29">
        <f t="shared" si="0"/>
        <v>0.98517122726527939</v>
      </c>
      <c r="L29" s="7">
        <f t="shared" ca="1" si="2"/>
        <v>0.91587646140370926</v>
      </c>
      <c r="M29">
        <f t="shared" ca="1" si="3"/>
        <v>0.96538690962052387</v>
      </c>
      <c r="N29">
        <v>0.88905910284429246</v>
      </c>
      <c r="O29" t="b">
        <f t="shared" ca="1" si="4"/>
        <v>1</v>
      </c>
      <c r="AA29">
        <v>0.59254589649339773</v>
      </c>
      <c r="AB29">
        <v>1.1226231827625663</v>
      </c>
      <c r="AC29">
        <v>5.8584445831946388</v>
      </c>
      <c r="AD29">
        <v>-0.53723901589249179</v>
      </c>
      <c r="AE29">
        <v>-0.13670114730601673</v>
      </c>
      <c r="AF29">
        <v>-0.31718649654216591</v>
      </c>
      <c r="AG29">
        <v>-3.7205637502354394</v>
      </c>
      <c r="AH29">
        <v>-0.21225704569904599</v>
      </c>
      <c r="AI29">
        <v>-0.21225704569904599</v>
      </c>
      <c r="AJ29">
        <v>-0.21225704569904599</v>
      </c>
      <c r="AK29">
        <v>-0.21225704569904599</v>
      </c>
      <c r="AL29">
        <v>-0.21225704569904599</v>
      </c>
      <c r="AM29">
        <v>-0.21225704569904599</v>
      </c>
      <c r="AN29">
        <v>-0.21225704569904599</v>
      </c>
    </row>
    <row r="30" spans="1:40" x14ac:dyDescent="0.45">
      <c r="A30" s="1">
        <v>45195</v>
      </c>
      <c r="B30">
        <v>244.12</v>
      </c>
      <c r="C30" s="5">
        <f t="shared" si="1"/>
        <v>-1.1619903639823492E-2</v>
      </c>
      <c r="D30">
        <f t="shared" ca="1" si="5"/>
        <v>2.4055786121344731E-3</v>
      </c>
      <c r="E30">
        <f t="shared" ca="1" si="6"/>
        <v>3.7780073366554284E-2</v>
      </c>
      <c r="F30">
        <f t="shared" ca="1" si="7"/>
        <v>-0.11716070766593445</v>
      </c>
      <c r="G30">
        <f t="shared" ca="1" si="8"/>
        <v>1.0975681810442603</v>
      </c>
      <c r="H30">
        <f t="shared" ca="1" si="9"/>
        <v>1.1795196939692505</v>
      </c>
      <c r="I30">
        <f t="shared" ca="1" si="10"/>
        <v>1.3121789545191656</v>
      </c>
      <c r="K30">
        <f t="shared" si="0"/>
        <v>0.98838009636017654</v>
      </c>
      <c r="L30" s="7">
        <f t="shared" ca="1" si="2"/>
        <v>0.91602251407129442</v>
      </c>
      <c r="M30">
        <f t="shared" ca="1" si="3"/>
        <v>0.95066187283127457</v>
      </c>
      <c r="N30">
        <v>0.85904812755462867</v>
      </c>
      <c r="O30" t="b">
        <f t="shared" ca="1" si="4"/>
        <v>1</v>
      </c>
      <c r="AA30">
        <v>0.60248812763734838</v>
      </c>
      <c r="AB30">
        <v>1.3417181794896658</v>
      </c>
      <c r="AC30">
        <v>5.7868597906695003</v>
      </c>
      <c r="AD30">
        <v>-0.81899759474057199</v>
      </c>
      <c r="AE30">
        <v>-0.15595709181278167</v>
      </c>
      <c r="AF30">
        <v>-0.4712558936488685</v>
      </c>
      <c r="AG30">
        <v>-3.9796325160297625</v>
      </c>
      <c r="AH30">
        <v>-0.13906780727709309</v>
      </c>
      <c r="AI30">
        <v>-0.13906780727709309</v>
      </c>
      <c r="AJ30">
        <v>-0.13906780727709309</v>
      </c>
      <c r="AK30">
        <v>-0.13906780727709309</v>
      </c>
      <c r="AL30">
        <v>-0.13906780727709309</v>
      </c>
      <c r="AM30">
        <v>-0.13906780727709309</v>
      </c>
      <c r="AN30">
        <v>-0.13906780727709309</v>
      </c>
    </row>
    <row r="31" spans="1:40" x14ac:dyDescent="0.45">
      <c r="A31" s="1">
        <v>45194</v>
      </c>
      <c r="B31">
        <v>246.99</v>
      </c>
      <c r="C31" s="5">
        <f t="shared" si="1"/>
        <v>8.6164652074486019E-3</v>
      </c>
      <c r="D31">
        <f t="shared" ca="1" si="5"/>
        <v>2.3029618585062085E-3</v>
      </c>
      <c r="E31">
        <f t="shared" ca="1" si="6"/>
        <v>3.7846174799303821E-2</v>
      </c>
      <c r="F31">
        <f t="shared" ca="1" si="7"/>
        <v>-0.11193451770629208</v>
      </c>
      <c r="G31">
        <f t="shared" ca="1" si="8"/>
        <v>1.0709120296763999</v>
      </c>
      <c r="H31">
        <f t="shared" ca="1" si="9"/>
        <v>1.1795196939692505</v>
      </c>
      <c r="I31">
        <f t="shared" ca="1" si="10"/>
        <v>1.3067402861562893</v>
      </c>
      <c r="K31">
        <f t="shared" si="0"/>
        <v>1.0086164652074485</v>
      </c>
      <c r="L31" s="7">
        <f t="shared" ca="1" si="2"/>
        <v>0.93105398069963829</v>
      </c>
      <c r="M31">
        <f t="shared" ca="1" si="3"/>
        <v>0.98768057613015525</v>
      </c>
      <c r="N31">
        <v>0.9742756411850757</v>
      </c>
      <c r="O31" t="b">
        <f t="shared" ca="1" si="4"/>
        <v>1</v>
      </c>
      <c r="AA31">
        <v>0.60181902916740493</v>
      </c>
      <c r="AB31">
        <v>1.2650381389316001</v>
      </c>
      <c r="AC31">
        <v>5.7353089737329404</v>
      </c>
      <c r="AD31">
        <v>-0.64746450327128791</v>
      </c>
      <c r="AE31">
        <v>-0.18157220038452979</v>
      </c>
      <c r="AF31">
        <v>-0.31258258644930148</v>
      </c>
      <c r="AG31">
        <v>-3.931548003007201</v>
      </c>
      <c r="AH31">
        <v>-0.27296237836633802</v>
      </c>
      <c r="AI31">
        <v>-0.27296237836633802</v>
      </c>
      <c r="AJ31">
        <v>-0.27296237836633802</v>
      </c>
      <c r="AK31">
        <v>-0.27296237836633802</v>
      </c>
      <c r="AL31">
        <v>-0.27296237836633802</v>
      </c>
      <c r="AM31">
        <v>-0.27296237836633802</v>
      </c>
      <c r="AN31">
        <v>-0.27296237836633802</v>
      </c>
    </row>
    <row r="32" spans="1:40" x14ac:dyDescent="0.45">
      <c r="A32" s="1">
        <v>45191</v>
      </c>
      <c r="B32">
        <v>244.88</v>
      </c>
      <c r="C32" s="5">
        <f t="shared" si="1"/>
        <v>-4.2315213140398877E-2</v>
      </c>
      <c r="D32">
        <f t="shared" ca="1" si="5"/>
        <v>2.1878049914988359E-3</v>
      </c>
      <c r="E32">
        <f t="shared" ca="1" si="6"/>
        <v>3.7861903996560295E-2</v>
      </c>
      <c r="F32">
        <f t="shared" ca="1" si="7"/>
        <v>-0.10303888531197215</v>
      </c>
      <c r="G32">
        <f t="shared" ca="1" si="8"/>
        <v>1.0629320615957036</v>
      </c>
      <c r="H32">
        <f t="shared" ca="1" si="9"/>
        <v>1.1795196939692505</v>
      </c>
      <c r="I32">
        <f t="shared" ca="1" si="10"/>
        <v>1.3067402861562893</v>
      </c>
      <c r="K32">
        <f t="shared" si="0"/>
        <v>0.95768478685960112</v>
      </c>
      <c r="L32" s="7">
        <f t="shared" ca="1" si="2"/>
        <v>0.89245234884653235</v>
      </c>
      <c r="M32">
        <f t="shared" ca="1" si="3"/>
        <v>0.98383435537824271</v>
      </c>
      <c r="N32">
        <v>0.97596586398474616</v>
      </c>
      <c r="O32" t="b">
        <f t="shared" ca="1" si="4"/>
        <v>1</v>
      </c>
      <c r="AA32">
        <v>0.60677180888073223</v>
      </c>
      <c r="AB32">
        <v>1.3416556998376612</v>
      </c>
      <c r="AC32">
        <v>5.6476192287839124</v>
      </c>
      <c r="AD32">
        <v>-0.24847199363358999</v>
      </c>
      <c r="AE32">
        <v>4.3144794031846595E-2</v>
      </c>
      <c r="AF32">
        <v>4.3730088409631496E-2</v>
      </c>
      <c r="AG32">
        <v>-4.0562854899912422</v>
      </c>
      <c r="AH32">
        <v>-0.5923879537716602</v>
      </c>
      <c r="AI32">
        <v>-0.5923879537716602</v>
      </c>
      <c r="AJ32">
        <v>-0.5923879537716602</v>
      </c>
      <c r="AK32">
        <v>-0.5923879537716602</v>
      </c>
      <c r="AL32">
        <v>-0.5923879537716602</v>
      </c>
      <c r="AM32">
        <v>-0.5923879537716602</v>
      </c>
      <c r="AN32">
        <v>-0.5923879537716602</v>
      </c>
    </row>
    <row r="33" spans="1:40" x14ac:dyDescent="0.45">
      <c r="A33" s="1">
        <v>45190</v>
      </c>
      <c r="B33">
        <v>255.7</v>
      </c>
      <c r="C33" s="5">
        <f t="shared" si="1"/>
        <v>-2.6238622948322431E-2</v>
      </c>
      <c r="D33">
        <f t="shared" ca="1" si="5"/>
        <v>2.0809473098950702E-3</v>
      </c>
      <c r="E33">
        <f t="shared" ca="1" si="6"/>
        <v>3.8017972849889267E-2</v>
      </c>
      <c r="F33">
        <f t="shared" ca="1" si="7"/>
        <v>-0.11152183156232096</v>
      </c>
      <c r="G33">
        <f t="shared" ca="1" si="8"/>
        <v>1.0315100668329276</v>
      </c>
      <c r="H33">
        <f t="shared" ca="1" si="9"/>
        <v>1.1408766985472349</v>
      </c>
      <c r="I33">
        <f t="shared" ca="1" si="10"/>
        <v>1.3067402861562893</v>
      </c>
      <c r="K33">
        <f t="shared" si="0"/>
        <v>0.97376137705167753</v>
      </c>
      <c r="L33" s="7">
        <f t="shared" ca="1" si="2"/>
        <v>0.92631502680770894</v>
      </c>
      <c r="M33">
        <f t="shared" ca="1" si="3"/>
        <v>0.97722344680359274</v>
      </c>
      <c r="N33">
        <v>0.98323306727992188</v>
      </c>
      <c r="O33" t="b">
        <f t="shared" ca="1" si="4"/>
        <v>1</v>
      </c>
      <c r="AA33">
        <v>0.60231520009024497</v>
      </c>
      <c r="AB33">
        <v>1.3092748418590872</v>
      </c>
      <c r="AC33">
        <v>5.4381732873748554</v>
      </c>
      <c r="AD33">
        <v>0.15195015349691368</v>
      </c>
      <c r="AE33">
        <v>0.12296994538447417</v>
      </c>
      <c r="AF33">
        <v>0.37987649721738376</v>
      </c>
      <c r="AG33">
        <v>-4.0529379247873694</v>
      </c>
      <c r="AH33">
        <v>-0.88782722627420596</v>
      </c>
      <c r="AI33">
        <v>-0.88782722627420596</v>
      </c>
      <c r="AJ33">
        <v>-0.88782722627420596</v>
      </c>
      <c r="AK33">
        <v>-0.88782722627420596</v>
      </c>
      <c r="AL33">
        <v>-0.88782722627420596</v>
      </c>
      <c r="AM33">
        <v>-0.88782722627420596</v>
      </c>
      <c r="AN33">
        <v>-0.88782722627420596</v>
      </c>
    </row>
    <row r="34" spans="1:40" x14ac:dyDescent="0.45">
      <c r="A34" s="1">
        <v>45189</v>
      </c>
      <c r="B34">
        <v>262.58999999999997</v>
      </c>
      <c r="C34" s="5">
        <f t="shared" si="1"/>
        <v>-1.4671669793621106E-2</v>
      </c>
      <c r="D34">
        <f t="shared" ca="1" si="5"/>
        <v>2.2162493101015018E-3</v>
      </c>
      <c r="E34">
        <f t="shared" ca="1" si="6"/>
        <v>3.7964795368506485E-2</v>
      </c>
      <c r="F34">
        <f t="shared" ca="1" si="7"/>
        <v>-0.12068416013680401</v>
      </c>
      <c r="G34">
        <f t="shared" ca="1" si="8"/>
        <v>1.0544756648896456</v>
      </c>
      <c r="H34">
        <f t="shared" ca="1" si="9"/>
        <v>1.1408766985472349</v>
      </c>
      <c r="I34">
        <f t="shared" ca="1" si="10"/>
        <v>1.3121789545191656</v>
      </c>
      <c r="K34">
        <f t="shared" si="0"/>
        <v>0.98532833020637889</v>
      </c>
      <c r="L34" s="7">
        <f t="shared" ca="1" si="2"/>
        <v>0.96789531883523761</v>
      </c>
      <c r="M34">
        <f t="shared" ca="1" si="3"/>
        <v>0.9991751146978185</v>
      </c>
      <c r="N34">
        <v>1.0115443415491696</v>
      </c>
      <c r="O34" t="b">
        <f t="shared" ca="1" si="4"/>
        <v>0</v>
      </c>
      <c r="AA34">
        <v>0.60114011714347482</v>
      </c>
      <c r="AB34">
        <v>1.3373703407593136</v>
      </c>
      <c r="AC34">
        <v>5.152252639851878</v>
      </c>
      <c r="AD34">
        <v>0.52207969984559688</v>
      </c>
      <c r="AE34">
        <v>0.2560921105103679</v>
      </c>
      <c r="AF34">
        <v>0.68378917782440074</v>
      </c>
      <c r="AG34">
        <v>-4.0838297943481923</v>
      </c>
      <c r="AH34">
        <v>-1.1503385352626869</v>
      </c>
      <c r="AI34">
        <v>-1.1503385352626869</v>
      </c>
      <c r="AJ34">
        <v>-1.1503385352626869</v>
      </c>
      <c r="AK34">
        <v>-1.1503385352626869</v>
      </c>
      <c r="AL34">
        <v>-1.1503385352626869</v>
      </c>
      <c r="AM34">
        <v>-1.1503385352626869</v>
      </c>
      <c r="AN34">
        <v>-1.1503385352626869</v>
      </c>
    </row>
    <row r="35" spans="1:40" x14ac:dyDescent="0.45">
      <c r="A35" s="1">
        <v>45188</v>
      </c>
      <c r="B35">
        <v>266.5</v>
      </c>
      <c r="C35" s="5">
        <f t="shared" si="1"/>
        <v>4.5989143546442532E-3</v>
      </c>
      <c r="D35">
        <f t="shared" ca="1" si="5"/>
        <v>2.289607659069607E-3</v>
      </c>
      <c r="E35">
        <f t="shared" ca="1" si="6"/>
        <v>3.7946169584899186E-2</v>
      </c>
      <c r="F35">
        <f t="shared" ca="1" si="7"/>
        <v>-0.1262737838016374</v>
      </c>
      <c r="G35">
        <f t="shared" ca="1" si="8"/>
        <v>1.0633020207914665</v>
      </c>
      <c r="H35">
        <f t="shared" ca="1" si="9"/>
        <v>1.1408766985472349</v>
      </c>
      <c r="I35">
        <f t="shared" ca="1" si="10"/>
        <v>1.3121789545191656</v>
      </c>
      <c r="K35">
        <f t="shared" si="0"/>
        <v>1.0045989143546443</v>
      </c>
      <c r="L35" s="7">
        <f t="shared" ca="1" si="2"/>
        <v>0.99633617466726487</v>
      </c>
      <c r="M35">
        <f t="shared" ca="1" si="3"/>
        <v>0.96977092940173026</v>
      </c>
      <c r="N35">
        <v>1.0079375542838456</v>
      </c>
      <c r="O35" t="b">
        <f t="shared" ca="1" si="4"/>
        <v>0</v>
      </c>
      <c r="AA35">
        <v>0.60293168393165075</v>
      </c>
      <c r="AB35">
        <v>1.3763937916453228</v>
      </c>
      <c r="AC35">
        <v>4.816922983462419</v>
      </c>
      <c r="AD35">
        <v>0.54434264712649616</v>
      </c>
      <c r="AE35">
        <v>0.32211814092792568</v>
      </c>
      <c r="AF35">
        <v>0.6920846996825839</v>
      </c>
      <c r="AG35">
        <v>-4.0497318705895342</v>
      </c>
      <c r="AH35">
        <v>-1.138278417916863</v>
      </c>
      <c r="AI35">
        <v>-1.138278417916863</v>
      </c>
      <c r="AJ35">
        <v>-1.138278417916863</v>
      </c>
      <c r="AK35">
        <v>-1.138278417916863</v>
      </c>
      <c r="AL35">
        <v>-1.138278417916863</v>
      </c>
      <c r="AM35">
        <v>-1.138278417916863</v>
      </c>
      <c r="AN35">
        <v>-1.138278417916863</v>
      </c>
    </row>
    <row r="36" spans="1:40" x14ac:dyDescent="0.45">
      <c r="A36" s="1">
        <v>45187</v>
      </c>
      <c r="B36">
        <v>265.27999999999997</v>
      </c>
      <c r="C36" s="5">
        <f t="shared" si="1"/>
        <v>-3.3200918400816411E-2</v>
      </c>
      <c r="D36">
        <f t="shared" ca="1" si="5"/>
        <v>2.6501224607410577E-3</v>
      </c>
      <c r="E36">
        <f t="shared" ca="1" si="6"/>
        <v>3.8308999155943414E-2</v>
      </c>
      <c r="F36">
        <f t="shared" ca="1" si="7"/>
        <v>-0.11403904729562905</v>
      </c>
      <c r="G36">
        <f t="shared" ca="1" si="8"/>
        <v>0.98738718772481349</v>
      </c>
      <c r="H36">
        <f t="shared" ca="1" si="9"/>
        <v>1.2094026852362736</v>
      </c>
      <c r="I36">
        <f t="shared" ca="1" si="10"/>
        <v>1.362091745434943</v>
      </c>
      <c r="K36">
        <f t="shared" si="0"/>
        <v>0.9667990815991836</v>
      </c>
      <c r="L36" s="7">
        <f t="shared" ca="1" si="2"/>
        <v>0.96966152496527525</v>
      </c>
      <c r="M36">
        <f t="shared" ca="1" si="3"/>
        <v>0.95671690653090335</v>
      </c>
      <c r="N36">
        <v>1.1179655226859504</v>
      </c>
      <c r="O36" t="b">
        <f t="shared" ca="1" si="4"/>
        <v>0</v>
      </c>
      <c r="AA36">
        <v>0.62397315450096635</v>
      </c>
      <c r="AB36">
        <v>1.8225400474949396</v>
      </c>
      <c r="AC36">
        <v>2.2100463030463335</v>
      </c>
      <c r="AD36">
        <v>1.3804125329680497</v>
      </c>
      <c r="AE36">
        <v>1.3202806292689464</v>
      </c>
      <c r="AF36">
        <v>1.4834332963808121</v>
      </c>
      <c r="AG36">
        <v>-3.3661962187185046</v>
      </c>
      <c r="AH36">
        <v>-1.7591071621050336</v>
      </c>
      <c r="AI36">
        <v>-1.7591071621050336</v>
      </c>
      <c r="AJ36">
        <v>-1.7591071621050336</v>
      </c>
      <c r="AK36">
        <v>-1.7591071621050336</v>
      </c>
      <c r="AL36">
        <v>-1.7591071621050336</v>
      </c>
      <c r="AM36">
        <v>-1.7591071621050336</v>
      </c>
      <c r="AN36">
        <v>-1.7591071621050336</v>
      </c>
    </row>
    <row r="37" spans="1:40" x14ac:dyDescent="0.45">
      <c r="A37" s="1">
        <v>45184</v>
      </c>
      <c r="B37">
        <v>274.39</v>
      </c>
      <c r="C37" s="5">
        <f t="shared" si="1"/>
        <v>-5.9773945804957032E-3</v>
      </c>
      <c r="D37">
        <f t="shared" ca="1" si="5"/>
        <v>2.7589982532699592E-3</v>
      </c>
      <c r="E37">
        <f t="shared" ca="1" si="6"/>
        <v>3.8237473161090711E-2</v>
      </c>
      <c r="F37">
        <f t="shared" ca="1" si="7"/>
        <v>-0.11937819347383473</v>
      </c>
      <c r="G37">
        <f t="shared" ca="1" si="8"/>
        <v>1.0150792602382825</v>
      </c>
      <c r="H37">
        <f t="shared" ca="1" si="9"/>
        <v>1.2094026852362736</v>
      </c>
      <c r="I37">
        <f t="shared" ca="1" si="10"/>
        <v>1.3942753712662883</v>
      </c>
      <c r="K37">
        <f t="shared" si="0"/>
        <v>0.99402260541950427</v>
      </c>
      <c r="L37" s="7">
        <f t="shared" ca="1" si="2"/>
        <v>1.1041851106639839</v>
      </c>
      <c r="M37">
        <f t="shared" ca="1" si="3"/>
        <v>0.99970602090796667</v>
      </c>
      <c r="N37">
        <v>1.020963933777038</v>
      </c>
      <c r="O37" t="b">
        <f t="shared" ca="1" si="4"/>
        <v>1</v>
      </c>
      <c r="AA37">
        <v>0.63700392939993811</v>
      </c>
      <c r="AB37">
        <v>1.6310378520310476</v>
      </c>
      <c r="AC37">
        <v>2.7905924941227465</v>
      </c>
      <c r="AD37">
        <v>1.1106946714210606</v>
      </c>
      <c r="AE37">
        <v>0.9449464394907936</v>
      </c>
      <c r="AF37">
        <v>1.2244254312795653</v>
      </c>
      <c r="AG37">
        <v>-3.8863924023241063</v>
      </c>
      <c r="AH37">
        <v>-1.5335384544684922</v>
      </c>
      <c r="AI37">
        <v>-1.5335384544684922</v>
      </c>
      <c r="AJ37">
        <v>-1.5335384544684922</v>
      </c>
      <c r="AK37">
        <v>-1.5335384544684922</v>
      </c>
      <c r="AL37">
        <v>-1.5335384544684922</v>
      </c>
      <c r="AM37">
        <v>-1.5335384544684922</v>
      </c>
      <c r="AN37">
        <v>-1.5335384544684922</v>
      </c>
    </row>
    <row r="38" spans="1:40" x14ac:dyDescent="0.45">
      <c r="A38" s="1">
        <v>45183</v>
      </c>
      <c r="B38">
        <v>276.04000000000002</v>
      </c>
      <c r="C38" s="5">
        <f t="shared" si="1"/>
        <v>1.7471433837080757E-2</v>
      </c>
      <c r="D38">
        <f t="shared" ca="1" si="5"/>
        <v>2.7905258255380722E-3</v>
      </c>
      <c r="E38">
        <f t="shared" ca="1" si="6"/>
        <v>3.8232832861053674E-2</v>
      </c>
      <c r="F38">
        <f t="shared" ca="1" si="7"/>
        <v>-0.12186125834790305</v>
      </c>
      <c r="G38">
        <f t="shared" ca="1" si="8"/>
        <v>1.0174429472136222</v>
      </c>
      <c r="H38">
        <f t="shared" ca="1" si="9"/>
        <v>1.2094026852362736</v>
      </c>
      <c r="I38">
        <f t="shared" ca="1" si="10"/>
        <v>1.3942753712662883</v>
      </c>
      <c r="K38">
        <f t="shared" si="0"/>
        <v>1.0174714338370807</v>
      </c>
      <c r="L38" s="7">
        <f t="shared" ca="1" si="2"/>
        <v>1.0976181955544952</v>
      </c>
      <c r="M38">
        <f t="shared" ca="1" si="3"/>
        <v>1.003790319054163</v>
      </c>
      <c r="N38">
        <v>1.0123612177008807</v>
      </c>
      <c r="O38" t="b">
        <f t="shared" ca="1" si="4"/>
        <v>1</v>
      </c>
      <c r="AA38">
        <v>0.64537999372261179</v>
      </c>
      <c r="AB38">
        <v>1.2613227704450727</v>
      </c>
      <c r="AC38">
        <v>3.4978089078573555</v>
      </c>
      <c r="AD38">
        <v>0.48374219825004905</v>
      </c>
      <c r="AE38">
        <v>0.25507037882172695</v>
      </c>
      <c r="AF38">
        <v>0.61446726311530919</v>
      </c>
      <c r="AG38">
        <v>-4.3009337706209472</v>
      </c>
      <c r="AH38">
        <v>-0.96633415847532667</v>
      </c>
      <c r="AI38">
        <v>-0.96633415847532667</v>
      </c>
      <c r="AJ38">
        <v>-0.96633415847532667</v>
      </c>
      <c r="AK38">
        <v>-0.96633415847532667</v>
      </c>
      <c r="AL38">
        <v>-0.96633415847532667</v>
      </c>
      <c r="AM38">
        <v>-0.96633415847532667</v>
      </c>
      <c r="AN38">
        <v>-0.96633415847532667</v>
      </c>
    </row>
    <row r="39" spans="1:40" x14ac:dyDescent="0.45">
      <c r="A39" s="1">
        <v>45182</v>
      </c>
      <c r="B39">
        <v>271.3</v>
      </c>
      <c r="C39" s="5">
        <f t="shared" si="1"/>
        <v>1.4281441603110486E-2</v>
      </c>
      <c r="D39">
        <f t="shared" ca="1" si="5"/>
        <v>2.6938891803701365E-3</v>
      </c>
      <c r="E39">
        <f t="shared" ca="1" si="6"/>
        <v>3.8219962728834406E-2</v>
      </c>
      <c r="F39">
        <f t="shared" ca="1" si="7"/>
        <v>-0.11461926238690735</v>
      </c>
      <c r="G39">
        <f t="shared" ca="1" si="8"/>
        <v>1.0215847513699616</v>
      </c>
      <c r="H39">
        <f t="shared" ca="1" si="9"/>
        <v>1.2094026852362736</v>
      </c>
      <c r="I39">
        <f t="shared" ca="1" si="10"/>
        <v>1.3942753712662883</v>
      </c>
      <c r="K39">
        <f t="shared" si="0"/>
        <v>1.0142814416031105</v>
      </c>
      <c r="L39" s="7">
        <f t="shared" ca="1" si="2"/>
        <v>1.0769291838678947</v>
      </c>
      <c r="M39">
        <f t="shared" ca="1" si="3"/>
        <v>1.0074350681355098</v>
      </c>
      <c r="N39">
        <v>1.0088978512067077</v>
      </c>
      <c r="O39" t="b">
        <f t="shared" ca="1" si="4"/>
        <v>1</v>
      </c>
      <c r="AA39">
        <v>0.65500181055461981</v>
      </c>
      <c r="AB39">
        <v>0.78131458563782807</v>
      </c>
      <c r="AC39">
        <v>4.1492651416369437</v>
      </c>
      <c r="AD39">
        <v>-9.8170721410978184E-2</v>
      </c>
      <c r="AE39">
        <v>-0.50250806283172722</v>
      </c>
      <c r="AF39">
        <v>3.607802587057389E-2</v>
      </c>
      <c r="AG39">
        <v>-4.5592174684116138</v>
      </c>
      <c r="AH39">
        <v>-0.43060555917399052</v>
      </c>
      <c r="AI39">
        <v>-0.43060555917399052</v>
      </c>
      <c r="AJ39">
        <v>-0.43060555917399052</v>
      </c>
      <c r="AK39">
        <v>-0.43060555917399052</v>
      </c>
      <c r="AL39">
        <v>-0.43060555917399052</v>
      </c>
      <c r="AM39">
        <v>-0.43060555917399052</v>
      </c>
      <c r="AN39">
        <v>-0.43060555917399052</v>
      </c>
    </row>
    <row r="40" spans="1:40" x14ac:dyDescent="0.45">
      <c r="A40" s="1">
        <v>45181</v>
      </c>
      <c r="B40">
        <v>267.48</v>
      </c>
      <c r="C40" s="5">
        <f t="shared" si="1"/>
        <v>-2.2296951531544582E-2</v>
      </c>
      <c r="D40">
        <f t="shared" ca="1" si="5"/>
        <v>3.0135713726253156E-3</v>
      </c>
      <c r="E40">
        <f t="shared" ca="1" si="6"/>
        <v>3.8583037589260807E-2</v>
      </c>
      <c r="F40">
        <f t="shared" ca="1" si="7"/>
        <v>-9.8590172837285078E-2</v>
      </c>
      <c r="G40">
        <f t="shared" ca="1" si="8"/>
        <v>0.94953280536859719</v>
      </c>
      <c r="H40">
        <f t="shared" ca="1" si="9"/>
        <v>1.2255699654321934</v>
      </c>
      <c r="I40">
        <f t="shared" ca="1" si="10"/>
        <v>1.4133636908043634</v>
      </c>
      <c r="K40">
        <f t="shared" si="0"/>
        <v>0.97770304846845546</v>
      </c>
      <c r="L40" s="7">
        <f t="shared" ca="1" si="2"/>
        <v>1.04284767437327</v>
      </c>
      <c r="M40">
        <f t="shared" ca="1" si="3"/>
        <v>1.0234922986595167</v>
      </c>
      <c r="N40">
        <v>1.0241976935583239</v>
      </c>
      <c r="O40" t="b">
        <f t="shared" ca="1" si="4"/>
        <v>1</v>
      </c>
      <c r="AA40">
        <v>0.65419779740906614</v>
      </c>
      <c r="AB40">
        <v>0.69917812413965885</v>
      </c>
      <c r="AC40">
        <v>4.2108512777393887</v>
      </c>
      <c r="AD40">
        <v>-0.13059457029106658</v>
      </c>
      <c r="AE40">
        <v>-0.58712789029517642</v>
      </c>
      <c r="AF40">
        <v>7.4270488509466321E-3</v>
      </c>
      <c r="AG40">
        <v>-4.5633384630761871</v>
      </c>
      <c r="AH40">
        <v>-0.42023555388932288</v>
      </c>
      <c r="AI40">
        <v>-0.42023555388932288</v>
      </c>
      <c r="AJ40">
        <v>-0.42023555388932288</v>
      </c>
      <c r="AK40">
        <v>-0.42023555388932288</v>
      </c>
      <c r="AL40">
        <v>-0.42023555388932288</v>
      </c>
      <c r="AM40">
        <v>-0.42023555388932288</v>
      </c>
      <c r="AN40">
        <v>-0.42023555388932288</v>
      </c>
    </row>
    <row r="41" spans="1:40" x14ac:dyDescent="0.45">
      <c r="A41" s="1">
        <v>45180</v>
      </c>
      <c r="B41">
        <v>273.58</v>
      </c>
      <c r="C41" s="5">
        <f t="shared" si="1"/>
        <v>0.10092555331991945</v>
      </c>
      <c r="D41">
        <f t="shared" ca="1" si="5"/>
        <v>3.1858174336725654E-3</v>
      </c>
      <c r="E41">
        <f t="shared" ca="1" si="6"/>
        <v>3.8546354425820599E-2</v>
      </c>
      <c r="F41">
        <f t="shared" ca="1" si="7"/>
        <v>-0.11090837700435373</v>
      </c>
      <c r="G41">
        <f t="shared" ca="1" si="8"/>
        <v>0.96571602335728901</v>
      </c>
      <c r="H41">
        <f t="shared" ca="1" si="9"/>
        <v>1.2255699654321934</v>
      </c>
      <c r="I41">
        <f t="shared" ca="1" si="10"/>
        <v>1.463289061955892</v>
      </c>
      <c r="K41">
        <f t="shared" si="0"/>
        <v>1.1009255533199194</v>
      </c>
      <c r="L41" s="7">
        <f t="shared" ca="1" si="2"/>
        <v>1.1166074854087589</v>
      </c>
      <c r="M41">
        <f t="shared" ca="1" si="3"/>
        <v>1.0338932150741753</v>
      </c>
      <c r="N41">
        <v>1.0294050085073068</v>
      </c>
      <c r="O41" t="b">
        <f t="shared" ca="1" si="4"/>
        <v>1</v>
      </c>
      <c r="AA41">
        <v>0.66514115970311727</v>
      </c>
      <c r="AB41">
        <v>0.6304780512994278</v>
      </c>
      <c r="AC41">
        <v>4.1901043036109851</v>
      </c>
      <c r="AD41">
        <v>2.5251834207117149E-3</v>
      </c>
      <c r="AE41">
        <v>-0.61488614032275435</v>
      </c>
      <c r="AF41">
        <v>0.15443508783229909</v>
      </c>
      <c r="AG41">
        <v>-4.6699593219956057</v>
      </c>
      <c r="AH41">
        <v>-0.57667815741842976</v>
      </c>
      <c r="AI41">
        <v>-0.57667815741842976</v>
      </c>
      <c r="AJ41">
        <v>-0.57667815741842976</v>
      </c>
      <c r="AK41">
        <v>-0.57667815741842976</v>
      </c>
      <c r="AL41">
        <v>-0.57667815741842976</v>
      </c>
      <c r="AM41">
        <v>-0.57667815741842976</v>
      </c>
      <c r="AN41">
        <v>-0.57667815741842976</v>
      </c>
    </row>
    <row r="42" spans="1:40" x14ac:dyDescent="0.45">
      <c r="A42" s="1">
        <v>45177</v>
      </c>
      <c r="B42">
        <v>248.5</v>
      </c>
      <c r="C42" s="5">
        <f t="shared" si="1"/>
        <v>-1.1889140721301081E-2</v>
      </c>
      <c r="D42">
        <f t="shared" ca="1" si="5"/>
        <v>2.3393282985175543E-3</v>
      </c>
      <c r="E42">
        <f t="shared" ca="1" si="6"/>
        <v>3.8246927300016421E-2</v>
      </c>
      <c r="F42">
        <f t="shared" ca="1" si="7"/>
        <v>-0.16440836737397765</v>
      </c>
      <c r="G42">
        <f t="shared" ca="1" si="8"/>
        <v>0.91752626228274936</v>
      </c>
      <c r="H42">
        <f t="shared" ca="1" si="9"/>
        <v>1.1972106415306949</v>
      </c>
      <c r="I42">
        <f t="shared" ca="1" si="10"/>
        <v>1.3942753712662883</v>
      </c>
      <c r="K42">
        <f t="shared" si="0"/>
        <v>0.98811085927869891</v>
      </c>
      <c r="L42" s="7">
        <f t="shared" ca="1" si="2"/>
        <v>0.96287972721636716</v>
      </c>
      <c r="M42">
        <f t="shared" ca="1" si="3"/>
        <v>1.017350154236051</v>
      </c>
      <c r="N42">
        <v>1.013893722889653</v>
      </c>
      <c r="O42" t="b">
        <f t="shared" ca="1" si="4"/>
        <v>0</v>
      </c>
      <c r="AA42">
        <v>0.67103027203583676</v>
      </c>
      <c r="AB42">
        <v>0.75489864830419895</v>
      </c>
      <c r="AC42">
        <v>4.2297325069311729</v>
      </c>
      <c r="AD42">
        <v>0.17225672199494349</v>
      </c>
      <c r="AE42">
        <v>-0.42966531354111143</v>
      </c>
      <c r="AF42">
        <v>0.32834869250265936</v>
      </c>
      <c r="AG42">
        <v>-4.6957761121440074</v>
      </c>
      <c r="AH42">
        <v>-0.77751321539596596</v>
      </c>
      <c r="AI42">
        <v>-0.77751321539596596</v>
      </c>
      <c r="AJ42">
        <v>-0.77751321539596596</v>
      </c>
      <c r="AK42">
        <v>-0.77751321539596596</v>
      </c>
      <c r="AL42">
        <v>-0.77751321539596596</v>
      </c>
      <c r="AM42">
        <v>-0.77751321539596596</v>
      </c>
      <c r="AN42">
        <v>-0.77751321539596596</v>
      </c>
    </row>
    <row r="43" spans="1:40" x14ac:dyDescent="0.45">
      <c r="A43" s="1">
        <v>45176</v>
      </c>
      <c r="B43">
        <v>251.49</v>
      </c>
      <c r="C43" s="5">
        <f t="shared" si="1"/>
        <v>-1.7068910765321468E-3</v>
      </c>
      <c r="D43">
        <f t="shared" ca="1" si="5"/>
        <v>2.3174288036745326E-3</v>
      </c>
      <c r="E43">
        <f t="shared" ca="1" si="6"/>
        <v>3.825636796216296E-2</v>
      </c>
      <c r="F43">
        <f t="shared" ca="1" si="7"/>
        <v>-0.16287502441615381</v>
      </c>
      <c r="G43">
        <f t="shared" ca="1" si="8"/>
        <v>0.91342383724795129</v>
      </c>
      <c r="H43">
        <f t="shared" ca="1" si="9"/>
        <v>1.1972106415306949</v>
      </c>
      <c r="I43">
        <f t="shared" ca="1" si="10"/>
        <v>1.3942753712662883</v>
      </c>
      <c r="K43">
        <f t="shared" si="0"/>
        <v>0.9982931089234679</v>
      </c>
      <c r="L43" s="7">
        <f t="shared" ca="1" si="2"/>
        <v>0.9789412222654732</v>
      </c>
      <c r="M43">
        <f t="shared" ca="1" si="3"/>
        <v>1.0124516097387315</v>
      </c>
      <c r="N43">
        <v>1.010310096084293</v>
      </c>
      <c r="O43" t="b">
        <f t="shared" ca="1" si="4"/>
        <v>0</v>
      </c>
      <c r="AA43">
        <v>0.67640361292812878</v>
      </c>
      <c r="AB43">
        <v>1.063506712761771</v>
      </c>
      <c r="AC43">
        <v>4.1815016069861182</v>
      </c>
      <c r="AD43">
        <v>0.41309986711627383</v>
      </c>
      <c r="AE43">
        <v>-0.15654670934258397</v>
      </c>
      <c r="AF43">
        <v>0.5711867739235662</v>
      </c>
      <c r="AG43">
        <v>-4.8026133374444848</v>
      </c>
      <c r="AH43">
        <v>-1.0640003194196086</v>
      </c>
      <c r="AI43">
        <v>-1.0640003194196086</v>
      </c>
      <c r="AJ43">
        <v>-1.0640003194196086</v>
      </c>
      <c r="AK43">
        <v>-1.0640003194196086</v>
      </c>
      <c r="AL43">
        <v>-1.0640003194196086</v>
      </c>
      <c r="AM43">
        <v>-1.0640003194196086</v>
      </c>
      <c r="AN43">
        <v>-1.0640003194196086</v>
      </c>
    </row>
    <row r="44" spans="1:40" x14ac:dyDescent="0.45">
      <c r="A44" s="1">
        <v>45175</v>
      </c>
      <c r="B44">
        <v>251.92</v>
      </c>
      <c r="C44" s="5">
        <f t="shared" si="1"/>
        <v>-1.7817458770322512E-2</v>
      </c>
      <c r="D44">
        <f t="shared" ca="1" si="5"/>
        <v>2.2256529658836429E-3</v>
      </c>
      <c r="E44">
        <f t="shared" ca="1" si="6"/>
        <v>3.8288074293528936E-2</v>
      </c>
      <c r="F44">
        <f t="shared" ca="1" si="7"/>
        <v>-0.15621485018449949</v>
      </c>
      <c r="G44">
        <f t="shared" ca="1" si="8"/>
        <v>0.89936585929486323</v>
      </c>
      <c r="H44">
        <f t="shared" ca="1" si="9"/>
        <v>1.1972106415306949</v>
      </c>
      <c r="I44">
        <f t="shared" ca="1" si="10"/>
        <v>1.362091745434943</v>
      </c>
      <c r="K44">
        <f t="shared" si="0"/>
        <v>0.98218254122967752</v>
      </c>
      <c r="L44" s="7">
        <f t="shared" ca="1" si="2"/>
        <v>0.97954739870907537</v>
      </c>
      <c r="M44">
        <f t="shared" ca="1" si="3"/>
        <v>0.96119697192971643</v>
      </c>
      <c r="N44">
        <v>0.98306909450870572</v>
      </c>
      <c r="O44" t="b">
        <f t="shared" ca="1" si="4"/>
        <v>1</v>
      </c>
      <c r="AA44">
        <v>0.66545614948365794</v>
      </c>
      <c r="AB44">
        <v>1.2648843616974601</v>
      </c>
      <c r="AC44">
        <v>3.9063903633104085</v>
      </c>
      <c r="AD44">
        <v>0.62395401615886026</v>
      </c>
      <c r="AE44">
        <v>0.19329638937848723</v>
      </c>
      <c r="AF44">
        <v>0.84053310187199692</v>
      </c>
      <c r="AG44">
        <v>-4.2232988757814365</v>
      </c>
      <c r="AH44">
        <v>-1.3258674447331595</v>
      </c>
      <c r="AI44">
        <v>-1.3258674447331595</v>
      </c>
      <c r="AJ44">
        <v>-1.3258674447331595</v>
      </c>
      <c r="AK44">
        <v>-1.3258674447331595</v>
      </c>
      <c r="AL44">
        <v>-1.3258674447331595</v>
      </c>
      <c r="AM44">
        <v>-1.3258674447331595</v>
      </c>
      <c r="AN44">
        <v>-1.3258674447331595</v>
      </c>
    </row>
    <row r="45" spans="1:40" x14ac:dyDescent="0.45">
      <c r="A45" s="1">
        <v>45174</v>
      </c>
      <c r="B45">
        <v>256.49</v>
      </c>
      <c r="C45" s="5">
        <f t="shared" si="1"/>
        <v>4.6855230398759308E-2</v>
      </c>
      <c r="D45">
        <f t="shared" ca="1" si="5"/>
        <v>2.1218588689318391E-3</v>
      </c>
      <c r="E45">
        <f t="shared" ca="1" si="6"/>
        <v>3.8370729697154458E-2</v>
      </c>
      <c r="F45">
        <f t="shared" ca="1" si="7"/>
        <v>-0.15239011113927159</v>
      </c>
      <c r="G45">
        <f t="shared" ca="1" si="8"/>
        <v>0.86999076362907202</v>
      </c>
      <c r="H45">
        <f t="shared" ca="1" si="9"/>
        <v>1.1972106415306949</v>
      </c>
      <c r="I45">
        <f t="shared" ca="1" si="10"/>
        <v>1.362091745434943</v>
      </c>
      <c r="K45">
        <f t="shared" si="0"/>
        <v>1.0468552303987593</v>
      </c>
      <c r="L45" s="7">
        <f t="shared" ca="1" si="2"/>
        <v>1.0739887781592832</v>
      </c>
      <c r="M45">
        <f t="shared" ca="1" si="3"/>
        <v>1.0076767288662261</v>
      </c>
      <c r="N45">
        <v>1.0033263458640471</v>
      </c>
      <c r="O45" t="b">
        <f t="shared" ca="1" si="4"/>
        <v>1</v>
      </c>
      <c r="AA45">
        <v>0.6743521686875309</v>
      </c>
      <c r="AB45">
        <v>1.1025953160463813</v>
      </c>
      <c r="AC45">
        <v>3.8962400113047839</v>
      </c>
      <c r="AD45">
        <v>0.76321028181842443</v>
      </c>
      <c r="AE45">
        <v>9.1088250728872514E-2</v>
      </c>
      <c r="AF45">
        <v>0.99558136156583155</v>
      </c>
      <c r="AG45">
        <v>-4.4050593316167657</v>
      </c>
      <c r="AH45">
        <v>-1.4764587467295383</v>
      </c>
      <c r="AI45">
        <v>-1.4764587467295383</v>
      </c>
      <c r="AJ45">
        <v>-1.4764587467295383</v>
      </c>
      <c r="AK45">
        <v>-1.4764587467295383</v>
      </c>
      <c r="AL45">
        <v>-1.4764587467295383</v>
      </c>
      <c r="AM45">
        <v>-1.4764587467295383</v>
      </c>
      <c r="AN45">
        <v>-1.4764587467295383</v>
      </c>
    </row>
    <row r="46" spans="1:40" x14ac:dyDescent="0.45">
      <c r="A46" s="1">
        <v>45170</v>
      </c>
      <c r="B46">
        <v>245.01</v>
      </c>
      <c r="C46" s="5">
        <f t="shared" si="1"/>
        <v>-5.0643211407315536E-2</v>
      </c>
      <c r="D46">
        <f t="shared" ca="1" si="5"/>
        <v>1.9784441990014115E-3</v>
      </c>
      <c r="E46">
        <f t="shared" ca="1" si="6"/>
        <v>3.8256125404653334E-2</v>
      </c>
      <c r="F46">
        <f t="shared" ca="1" si="7"/>
        <v>-0.15014412909879463</v>
      </c>
      <c r="G46">
        <f t="shared" ca="1" si="8"/>
        <v>0.90521831430984978</v>
      </c>
      <c r="H46">
        <f t="shared" ca="1" si="9"/>
        <v>1.1972106415306949</v>
      </c>
      <c r="I46">
        <f t="shared" ca="1" si="10"/>
        <v>1.3121789545191656</v>
      </c>
      <c r="K46">
        <f t="shared" si="0"/>
        <v>0.94935678859268446</v>
      </c>
      <c r="L46" s="7">
        <f t="shared" ca="1" si="2"/>
        <v>1.0269080849993713</v>
      </c>
      <c r="M46">
        <f t="shared" ca="1" si="3"/>
        <v>0.98186550415141038</v>
      </c>
      <c r="N46">
        <v>0.99741343462499632</v>
      </c>
      <c r="O46" t="b">
        <f t="shared" ca="1" si="4"/>
        <v>0</v>
      </c>
      <c r="AA46">
        <v>0.67758221120346585</v>
      </c>
      <c r="AB46">
        <v>1.2444369443423622</v>
      </c>
      <c r="AC46">
        <v>3.7575165948633393</v>
      </c>
      <c r="AD46">
        <v>0.86510214295428112</v>
      </c>
      <c r="AE46">
        <v>0.14597184523819878</v>
      </c>
      <c r="AF46">
        <v>1.0692115395821558</v>
      </c>
      <c r="AG46">
        <v>-4.500802057992515</v>
      </c>
      <c r="AH46">
        <v>-1.5493178441017861</v>
      </c>
      <c r="AI46">
        <v>-1.5493178441017861</v>
      </c>
      <c r="AJ46">
        <v>-1.5493178441017861</v>
      </c>
      <c r="AK46">
        <v>-1.5493178441017861</v>
      </c>
      <c r="AL46">
        <v>-1.5493178441017861</v>
      </c>
      <c r="AM46">
        <v>-1.5493178441017861</v>
      </c>
      <c r="AN46">
        <v>-1.5493178441017861</v>
      </c>
    </row>
    <row r="47" spans="1:40" x14ac:dyDescent="0.45">
      <c r="A47" s="1">
        <v>45169</v>
      </c>
      <c r="B47">
        <v>258.08</v>
      </c>
      <c r="C47" s="5">
        <f t="shared" si="1"/>
        <v>4.5932269365512139E-3</v>
      </c>
      <c r="D47">
        <f t="shared" ca="1" si="5"/>
        <v>2.103579427339717E-3</v>
      </c>
      <c r="E47">
        <f t="shared" ca="1" si="6"/>
        <v>3.8123838620299305E-2</v>
      </c>
      <c r="F47">
        <f t="shared" ca="1" si="7"/>
        <v>-0.15023589650764252</v>
      </c>
      <c r="G47">
        <f t="shared" ca="1" si="8"/>
        <v>0.94491217718303444</v>
      </c>
      <c r="H47">
        <f t="shared" ca="1" si="9"/>
        <v>1.1972106415306949</v>
      </c>
      <c r="I47">
        <f t="shared" ca="1" si="10"/>
        <v>1.3121789545191656</v>
      </c>
      <c r="K47">
        <f t="shared" si="0"/>
        <v>1.0045932269365512</v>
      </c>
      <c r="L47" s="7">
        <f t="shared" ca="1" si="2"/>
        <v>1.1218918448965396</v>
      </c>
      <c r="M47">
        <f t="shared" ca="1" si="3"/>
        <v>1.0453308898200944</v>
      </c>
      <c r="N47">
        <v>1.0474879576003859</v>
      </c>
      <c r="O47" t="b">
        <f t="shared" ca="1" si="4"/>
        <v>1</v>
      </c>
      <c r="AA47">
        <v>0.66744919933892122</v>
      </c>
      <c r="AB47">
        <v>1.6386917133115857</v>
      </c>
      <c r="AC47">
        <v>3.2919100500941192</v>
      </c>
      <c r="AD47">
        <v>1.0979285489403505</v>
      </c>
      <c r="AE47">
        <v>0.35771829878832562</v>
      </c>
      <c r="AF47">
        <v>1.2563208506090382</v>
      </c>
      <c r="AG47">
        <v>-4.6953058918235708</v>
      </c>
      <c r="AH47">
        <v>-1.7070477570282392</v>
      </c>
      <c r="AI47">
        <v>-1.7070477570282392</v>
      </c>
      <c r="AJ47">
        <v>-1.7070477570282392</v>
      </c>
      <c r="AK47">
        <v>-1.7070477570282392</v>
      </c>
      <c r="AL47">
        <v>-1.7070477570282392</v>
      </c>
      <c r="AM47">
        <v>-1.7070477570282392</v>
      </c>
      <c r="AN47">
        <v>-1.7070477570282392</v>
      </c>
    </row>
    <row r="48" spans="1:40" x14ac:dyDescent="0.45">
      <c r="A48" s="1">
        <v>45168</v>
      </c>
      <c r="B48">
        <v>256.89999999999998</v>
      </c>
      <c r="C48" s="5">
        <f t="shared" si="1"/>
        <v>-1.0887316276538982E-3</v>
      </c>
      <c r="D48">
        <f t="shared" ca="1" si="5"/>
        <v>2.218249618160317E-3</v>
      </c>
      <c r="E48">
        <f t="shared" ca="1" si="6"/>
        <v>3.8165832463327769E-2</v>
      </c>
      <c r="F48">
        <f t="shared" ca="1" si="7"/>
        <v>-0.15734619958249044</v>
      </c>
      <c r="G48">
        <f t="shared" ca="1" si="8"/>
        <v>0.93027063761754425</v>
      </c>
      <c r="H48">
        <f t="shared" ca="1" si="9"/>
        <v>1.1972106415306949</v>
      </c>
      <c r="I48">
        <f t="shared" ca="1" si="10"/>
        <v>1.362091745434943</v>
      </c>
      <c r="K48">
        <f t="shared" si="0"/>
        <v>0.99891126837234612</v>
      </c>
      <c r="L48" s="7">
        <f t="shared" ca="1" si="2"/>
        <v>1.0846069408089165</v>
      </c>
      <c r="M48">
        <f t="shared" ca="1" si="3"/>
        <v>1.0510130491284473</v>
      </c>
      <c r="N48">
        <v>1.0377858618922104</v>
      </c>
      <c r="O48" t="b">
        <f t="shared" ca="1" si="4"/>
        <v>1</v>
      </c>
      <c r="AA48">
        <v>0.67472339105635148</v>
      </c>
      <c r="AB48">
        <v>1.8987302824717001</v>
      </c>
      <c r="AC48">
        <v>2.7536011326036531</v>
      </c>
      <c r="AD48">
        <v>1.3429082701546065</v>
      </c>
      <c r="AE48">
        <v>0.45730654035144369</v>
      </c>
      <c r="AF48">
        <v>1.3998669086300515</v>
      </c>
      <c r="AG48">
        <v>-5.0359791967395937</v>
      </c>
      <c r="AH48">
        <v>-1.8258852296439618</v>
      </c>
      <c r="AI48">
        <v>-1.8258852296439618</v>
      </c>
      <c r="AJ48">
        <v>-1.8258852296439618</v>
      </c>
      <c r="AK48">
        <v>-1.8258852296439618</v>
      </c>
      <c r="AL48">
        <v>-1.8258852296439618</v>
      </c>
      <c r="AM48">
        <v>-1.8258852296439618</v>
      </c>
      <c r="AN48">
        <v>-1.8258852296439618</v>
      </c>
    </row>
    <row r="49" spans="1:40" x14ac:dyDescent="0.45">
      <c r="A49" s="1">
        <v>45167</v>
      </c>
      <c r="B49">
        <v>257.18</v>
      </c>
      <c r="C49" s="5">
        <f t="shared" si="1"/>
        <v>7.6877983418474224E-2</v>
      </c>
      <c r="D49">
        <f t="shared" ca="1" si="5"/>
        <v>2.5933649920483475E-3</v>
      </c>
      <c r="E49">
        <f t="shared" ca="1" si="6"/>
        <v>3.850038454378843E-2</v>
      </c>
      <c r="F49">
        <f t="shared" ca="1" si="7"/>
        <v>-0.14999537908084237</v>
      </c>
      <c r="G49">
        <f t="shared" ca="1" si="8"/>
        <v>0.86159012903587051</v>
      </c>
      <c r="H49">
        <f t="shared" ca="1" si="9"/>
        <v>1.2074399989143951</v>
      </c>
      <c r="I49">
        <f t="shared" ca="1" si="10"/>
        <v>1.3807394552151306</v>
      </c>
      <c r="K49">
        <f t="shared" si="0"/>
        <v>1.0768779834184743</v>
      </c>
      <c r="L49" s="7">
        <f t="shared" ca="1" si="2"/>
        <v>1.1028774818817271</v>
      </c>
      <c r="M49">
        <f t="shared" ca="1" si="3"/>
        <v>1.0672503657745454</v>
      </c>
      <c r="N49">
        <v>1.0195472615224244</v>
      </c>
      <c r="O49" t="b">
        <f t="shared" ca="1" si="4"/>
        <v>1</v>
      </c>
      <c r="AA49">
        <v>0.6832924588460465</v>
      </c>
      <c r="AB49">
        <v>2.4196508268747268</v>
      </c>
      <c r="AC49">
        <v>1.862788257476087</v>
      </c>
      <c r="AD49">
        <v>1.6506987145449541</v>
      </c>
      <c r="AE49">
        <v>0.64703277101676715</v>
      </c>
      <c r="AF49">
        <v>1.5683296673794951</v>
      </c>
      <c r="AG49">
        <v>-5.4129591045382446</v>
      </c>
      <c r="AH49">
        <v>-1.9209687928210801</v>
      </c>
      <c r="AI49">
        <v>-1.9209687928210801</v>
      </c>
      <c r="AJ49">
        <v>-1.9209687928210801</v>
      </c>
      <c r="AK49">
        <v>-1.9209687928210801</v>
      </c>
      <c r="AL49">
        <v>-1.9209687928210801</v>
      </c>
      <c r="AM49">
        <v>-1.9209687928210801</v>
      </c>
      <c r="AN49">
        <v>-1.9209687928210801</v>
      </c>
    </row>
    <row r="50" spans="1:40" x14ac:dyDescent="0.45">
      <c r="A50" s="1">
        <v>45166</v>
      </c>
      <c r="B50">
        <v>238.82</v>
      </c>
      <c r="C50" s="5">
        <f t="shared" si="1"/>
        <v>9.6399681461917838E-4</v>
      </c>
      <c r="D50">
        <f t="shared" ca="1" si="5"/>
        <v>1.8506373854630339E-3</v>
      </c>
      <c r="E50">
        <f t="shared" ca="1" si="6"/>
        <v>3.8492953783042981E-2</v>
      </c>
      <c r="F50">
        <f t="shared" ca="1" si="7"/>
        <v>-0.16453152555854006</v>
      </c>
      <c r="G50">
        <f t="shared" ca="1" si="8"/>
        <v>0.84925762359904455</v>
      </c>
      <c r="H50">
        <f t="shared" ca="1" si="9"/>
        <v>1.168382829951939</v>
      </c>
      <c r="I50">
        <f t="shared" ca="1" si="10"/>
        <v>1.3145967213997225</v>
      </c>
      <c r="K50">
        <f t="shared" si="0"/>
        <v>1.0009639968146191</v>
      </c>
      <c r="L50" s="7">
        <f t="shared" ca="1" si="2"/>
        <v>1.0326011760636455</v>
      </c>
      <c r="M50">
        <f t="shared" ca="1" si="3"/>
        <v>1.1181911630991963</v>
      </c>
      <c r="N50">
        <v>1.1981692474853149</v>
      </c>
      <c r="O50" t="b">
        <f t="shared" ca="1" si="4"/>
        <v>1</v>
      </c>
      <c r="AA50">
        <v>0.72773038010715285</v>
      </c>
      <c r="AB50">
        <v>0.84373116201380771</v>
      </c>
      <c r="AC50">
        <v>3.0501458474354339</v>
      </c>
      <c r="AD50">
        <v>0.5010370517875129</v>
      </c>
      <c r="AE50">
        <v>0.11625885215931452</v>
      </c>
      <c r="AF50">
        <v>1.0366782787494195</v>
      </c>
      <c r="AG50">
        <v>-5.20904220568094</v>
      </c>
      <c r="AH50">
        <v>-1.8846880124994616</v>
      </c>
      <c r="AI50">
        <v>-1.8846880124994616</v>
      </c>
      <c r="AJ50">
        <v>-1.8846880124994616</v>
      </c>
      <c r="AK50">
        <v>-1.8846880124994616</v>
      </c>
      <c r="AL50">
        <v>-1.8846880124994616</v>
      </c>
      <c r="AM50">
        <v>-1.8846880124994616</v>
      </c>
      <c r="AN50">
        <v>-1.8846880124994616</v>
      </c>
    </row>
    <row r="51" spans="1:40" x14ac:dyDescent="0.45">
      <c r="A51" s="1">
        <v>45163</v>
      </c>
      <c r="B51">
        <v>238.59</v>
      </c>
      <c r="C51" s="5">
        <f t="shared" si="1"/>
        <v>3.7167449139280176E-2</v>
      </c>
      <c r="D51">
        <f t="shared" ca="1" si="5"/>
        <v>1.6991764434033329E-3</v>
      </c>
      <c r="E51">
        <f t="shared" ca="1" si="6"/>
        <v>3.8556004809006547E-2</v>
      </c>
      <c r="F51">
        <f t="shared" ca="1" si="7"/>
        <v>-0.15450569393528032</v>
      </c>
      <c r="G51">
        <f t="shared" ca="1" si="8"/>
        <v>0.82348395609816727</v>
      </c>
      <c r="H51">
        <f t="shared" ca="1" si="9"/>
        <v>1.168382829951939</v>
      </c>
      <c r="I51">
        <f t="shared" ca="1" si="10"/>
        <v>1.1909192877931749</v>
      </c>
      <c r="K51">
        <f t="shared" si="0"/>
        <v>1.0371674491392802</v>
      </c>
      <c r="L51" s="7">
        <f t="shared" ca="1" si="2"/>
        <v>1.1071975497702908</v>
      </c>
      <c r="M51">
        <f t="shared" ca="1" si="3"/>
        <v>1.0922962741272557</v>
      </c>
      <c r="N51">
        <v>1.0685609342085511</v>
      </c>
      <c r="O51" t="b">
        <f t="shared" ca="1" si="4"/>
        <v>1</v>
      </c>
      <c r="AA51">
        <v>0.74426501517578936</v>
      </c>
      <c r="AB51">
        <v>0.91109738117633166</v>
      </c>
      <c r="AC51">
        <v>2.9161107343620469</v>
      </c>
      <c r="AD51">
        <v>0.53634534947596735</v>
      </c>
      <c r="AE51">
        <v>-2.8318146734283171E-2</v>
      </c>
      <c r="AF51">
        <v>1.0449517241955519</v>
      </c>
      <c r="AG51">
        <v>-5.4609117256052873</v>
      </c>
      <c r="AH51">
        <v>-1.8805313619242563</v>
      </c>
      <c r="AI51">
        <v>-1.8805313619242563</v>
      </c>
      <c r="AJ51">
        <v>-1.8805313619242563</v>
      </c>
      <c r="AK51">
        <v>-1.8805313619242563</v>
      </c>
      <c r="AL51">
        <v>-1.8805313619242563</v>
      </c>
      <c r="AM51">
        <v>-1.8805313619242563</v>
      </c>
      <c r="AN51">
        <v>-1.8805313619242563</v>
      </c>
    </row>
    <row r="52" spans="1:40" x14ac:dyDescent="0.45">
      <c r="A52" s="1">
        <v>45162</v>
      </c>
      <c r="B52">
        <v>230.04</v>
      </c>
      <c r="C52" s="5">
        <f t="shared" si="1"/>
        <v>-2.8793380055729213E-2</v>
      </c>
      <c r="D52">
        <f t="shared" ca="1" si="5"/>
        <v>1.262941549854231E-3</v>
      </c>
      <c r="E52">
        <f t="shared" ca="1" si="6"/>
        <v>3.8646153553494475E-2</v>
      </c>
      <c r="F52">
        <f t="shared" ca="1" si="7"/>
        <v>-0.1353515979824701</v>
      </c>
      <c r="G52">
        <f t="shared" ca="1" si="8"/>
        <v>0.79349834547123876</v>
      </c>
      <c r="H52">
        <f t="shared" ca="1" si="9"/>
        <v>1.168382829951939</v>
      </c>
      <c r="I52">
        <f t="shared" ca="1" si="10"/>
        <v>1.1438333892425339</v>
      </c>
      <c r="K52">
        <f t="shared" si="0"/>
        <v>0.97120661994427082</v>
      </c>
      <c r="L52" s="7">
        <f t="shared" ca="1" si="2"/>
        <v>1.0493568105099897</v>
      </c>
      <c r="M52">
        <f t="shared" ca="1" si="3"/>
        <v>1.0796302356741037</v>
      </c>
      <c r="N52">
        <v>1.0590533615263062</v>
      </c>
      <c r="O52" t="b">
        <f t="shared" ca="1" si="4"/>
        <v>1</v>
      </c>
      <c r="AA52">
        <v>0.77161362130221745</v>
      </c>
      <c r="AB52">
        <v>0.87690356817300041</v>
      </c>
      <c r="AC52">
        <v>2.9126288894552501</v>
      </c>
      <c r="AD52">
        <v>0.55597973919486743</v>
      </c>
      <c r="AE52">
        <v>2.5403509722016376E-3</v>
      </c>
      <c r="AF52">
        <v>1.0865864260124842</v>
      </c>
      <c r="AG52">
        <v>-5.549152471321503</v>
      </c>
      <c r="AH52">
        <v>-1.9612307699574083</v>
      </c>
      <c r="AI52">
        <v>-1.9612307699574083</v>
      </c>
      <c r="AJ52">
        <v>-1.9612307699574083</v>
      </c>
      <c r="AK52">
        <v>-1.9612307699574083</v>
      </c>
      <c r="AL52">
        <v>-1.9612307699574083</v>
      </c>
      <c r="AM52">
        <v>-1.9612307699574083</v>
      </c>
      <c r="AN52">
        <v>-1.9612307699574083</v>
      </c>
    </row>
    <row r="53" spans="1:40" x14ac:dyDescent="0.45">
      <c r="A53" s="1">
        <v>45161</v>
      </c>
      <c r="B53">
        <v>236.86</v>
      </c>
      <c r="C53" s="5">
        <f t="shared" si="1"/>
        <v>1.5738239204082575E-2</v>
      </c>
      <c r="D53">
        <f t="shared" ca="1" si="5"/>
        <v>1.224845378282987E-3</v>
      </c>
      <c r="E53">
        <f t="shared" ca="1" si="6"/>
        <v>3.8679671890469891E-2</v>
      </c>
      <c r="F53">
        <f t="shared" ca="1" si="7"/>
        <v>-0.13432458050819315</v>
      </c>
      <c r="G53">
        <f t="shared" ca="1" si="8"/>
        <v>0.78243539308119736</v>
      </c>
      <c r="H53">
        <f t="shared" ca="1" si="9"/>
        <v>1.168382829951939</v>
      </c>
      <c r="I53">
        <f t="shared" ca="1" si="10"/>
        <v>1.1438333892425339</v>
      </c>
      <c r="K53">
        <f t="shared" si="0"/>
        <v>1.0157382392040826</v>
      </c>
      <c r="L53" s="7">
        <f t="shared" ca="1" si="2"/>
        <v>1.0499113475177304</v>
      </c>
      <c r="M53">
        <f t="shared" ca="1" si="3"/>
        <v>1.0389524603943654</v>
      </c>
      <c r="N53">
        <v>1.007489665271601</v>
      </c>
      <c r="O53" t="b">
        <f t="shared" ca="1" si="4"/>
        <v>1</v>
      </c>
      <c r="AA53">
        <v>0.78855405503364029</v>
      </c>
      <c r="AB53">
        <v>1.0137840601649695</v>
      </c>
      <c r="AC53">
        <v>2.5714807961375743</v>
      </c>
      <c r="AD53">
        <v>0.4521816597139609</v>
      </c>
      <c r="AE53">
        <v>-0.16907391830797955</v>
      </c>
      <c r="AF53">
        <v>0.95364161503683154</v>
      </c>
      <c r="AG53">
        <v>-5.553404605772907</v>
      </c>
      <c r="AH53">
        <v>-1.7844665025069759</v>
      </c>
      <c r="AI53">
        <v>-1.7844665025069759</v>
      </c>
      <c r="AJ53">
        <v>-1.7844665025069759</v>
      </c>
      <c r="AK53">
        <v>-1.7844665025069759</v>
      </c>
      <c r="AL53">
        <v>-1.7844665025069759</v>
      </c>
      <c r="AM53">
        <v>-1.7844665025069759</v>
      </c>
      <c r="AN53">
        <v>-1.7844665025069759</v>
      </c>
    </row>
    <row r="54" spans="1:40" x14ac:dyDescent="0.45">
      <c r="A54" s="1">
        <v>45160</v>
      </c>
      <c r="B54">
        <v>233.19</v>
      </c>
      <c r="C54" s="5">
        <f t="shared" si="1"/>
        <v>8.2583881010030984E-3</v>
      </c>
      <c r="D54">
        <f t="shared" ca="1" si="5"/>
        <v>1.1538293148330462E-3</v>
      </c>
      <c r="E54">
        <f t="shared" ca="1" si="6"/>
        <v>3.866592746825348E-2</v>
      </c>
      <c r="F54">
        <f t="shared" ca="1" si="7"/>
        <v>-0.1291706688047761</v>
      </c>
      <c r="G54">
        <f t="shared" ca="1" si="8"/>
        <v>0.78678957283624085</v>
      </c>
      <c r="H54">
        <f t="shared" ca="1" si="9"/>
        <v>1.168382829951939</v>
      </c>
      <c r="I54">
        <f t="shared" ca="1" si="10"/>
        <v>1.1438333892425339</v>
      </c>
      <c r="K54">
        <f t="shared" si="0"/>
        <v>1.008258388101003</v>
      </c>
      <c r="L54" s="7">
        <f t="shared" ca="1" si="2"/>
        <v>1.0009872939560436</v>
      </c>
      <c r="M54">
        <f t="shared" ca="1" si="3"/>
        <v>1.0088065760281211</v>
      </c>
      <c r="N54">
        <v>0.96412726183536313</v>
      </c>
      <c r="O54" t="b">
        <f t="shared" ca="1" si="4"/>
        <v>0</v>
      </c>
      <c r="AA54">
        <v>0.79790327011196993</v>
      </c>
      <c r="AB54">
        <v>1.0010786718743108</v>
      </c>
      <c r="AC54">
        <v>2.175802425063905</v>
      </c>
      <c r="AD54">
        <v>0.22828188092445262</v>
      </c>
      <c r="AE54">
        <v>-0.41286259963559596</v>
      </c>
      <c r="AF54">
        <v>0.70682158367226366</v>
      </c>
      <c r="AG54">
        <v>-5.180346569726904</v>
      </c>
      <c r="AH54">
        <v>-1.4855799199290862</v>
      </c>
      <c r="AI54">
        <v>-1.4855799199290862</v>
      </c>
      <c r="AJ54">
        <v>-1.4855799199290862</v>
      </c>
      <c r="AK54">
        <v>-1.4855799199290862</v>
      </c>
      <c r="AL54">
        <v>-1.4855799199290862</v>
      </c>
      <c r="AM54">
        <v>-1.4855799199290862</v>
      </c>
      <c r="AN54">
        <v>-1.4855799199290862</v>
      </c>
    </row>
    <row r="55" spans="1:40" x14ac:dyDescent="0.45">
      <c r="A55" s="1">
        <v>45159</v>
      </c>
      <c r="B55">
        <v>231.28</v>
      </c>
      <c r="C55" s="5">
        <f t="shared" si="1"/>
        <v>7.3274861942549493E-2</v>
      </c>
      <c r="D55">
        <f t="shared" ca="1" si="5"/>
        <v>8.3073595215262832E-4</v>
      </c>
      <c r="E55">
        <f t="shared" ca="1" si="6"/>
        <v>3.8875671954299133E-2</v>
      </c>
      <c r="F55">
        <f t="shared" ca="1" si="7"/>
        <v>-0.11837312702372983</v>
      </c>
      <c r="G55">
        <f t="shared" ca="1" si="8"/>
        <v>0.72510811577899359</v>
      </c>
      <c r="H55">
        <f t="shared" ca="1" si="9"/>
        <v>1.168382829951939</v>
      </c>
      <c r="I55">
        <f t="shared" ca="1" si="10"/>
        <v>1.1352412637115574</v>
      </c>
      <c r="K55">
        <f t="shared" si="0"/>
        <v>1.0732748619425494</v>
      </c>
      <c r="L55" s="7">
        <f t="shared" ca="1" si="2"/>
        <v>0.96463129796463098</v>
      </c>
      <c r="M55">
        <f t="shared" ca="1" si="3"/>
        <v>1.0214653728717402</v>
      </c>
      <c r="N55">
        <v>0.95604156479246294</v>
      </c>
      <c r="O55" t="b">
        <f t="shared" ca="1" si="4"/>
        <v>1</v>
      </c>
      <c r="AA55">
        <v>0.79313071346694008</v>
      </c>
      <c r="AB55">
        <v>0.44119743302668868</v>
      </c>
      <c r="AC55">
        <v>2.5922389810083595</v>
      </c>
      <c r="AD55">
        <v>-0.43632420355584706</v>
      </c>
      <c r="AE55">
        <v>-0.96378405662619449</v>
      </c>
      <c r="AF55">
        <v>0.20296707391876626</v>
      </c>
      <c r="AG55">
        <v>-4.7315175516140666</v>
      </c>
      <c r="AH55">
        <v>-1.0461484801667693</v>
      </c>
      <c r="AI55">
        <v>-1.0461484801667693</v>
      </c>
      <c r="AJ55">
        <v>-1.0461484801667693</v>
      </c>
      <c r="AK55">
        <v>-1.0461484801667693</v>
      </c>
      <c r="AL55">
        <v>-1.0461484801667693</v>
      </c>
      <c r="AM55">
        <v>-1.0461484801667693</v>
      </c>
      <c r="AN55">
        <v>-1.0461484801667693</v>
      </c>
    </row>
    <row r="56" spans="1:40" x14ac:dyDescent="0.45">
      <c r="A56" s="1">
        <v>45156</v>
      </c>
      <c r="B56">
        <v>215.49</v>
      </c>
      <c r="C56" s="5">
        <f t="shared" si="1"/>
        <v>-1.7014870905939193E-2</v>
      </c>
      <c r="D56">
        <f t="shared" ca="1" si="5"/>
        <v>4.7051440678900461E-4</v>
      </c>
      <c r="E56">
        <f t="shared" ca="1" si="6"/>
        <v>3.8533305613584076E-2</v>
      </c>
      <c r="F56">
        <f t="shared" ca="1" si="7"/>
        <v>-0.1269570915289607</v>
      </c>
      <c r="G56">
        <f t="shared" ca="1" si="8"/>
        <v>0.79083585093498554</v>
      </c>
      <c r="H56">
        <f t="shared" ca="1" si="9"/>
        <v>1.102954961395153</v>
      </c>
      <c r="I56">
        <f t="shared" ca="1" si="10"/>
        <v>1.1017249511869516</v>
      </c>
      <c r="K56">
        <f t="shared" si="0"/>
        <v>0.98298512909406077</v>
      </c>
      <c r="L56" s="7">
        <f t="shared" ca="1" si="2"/>
        <v>0.88806923552441785</v>
      </c>
      <c r="M56">
        <f t="shared" ca="1" si="3"/>
        <v>0.9677038089959904</v>
      </c>
      <c r="N56">
        <v>0.9232999918912097</v>
      </c>
      <c r="O56" t="b">
        <f t="shared" ca="1" si="4"/>
        <v>1</v>
      </c>
      <c r="AA56">
        <v>0.77687443876151896</v>
      </c>
      <c r="AB56">
        <v>-9.618256653038787E-2</v>
      </c>
      <c r="AC56">
        <v>2.8927007917173948</v>
      </c>
      <c r="AD56">
        <v>-0.91662654220212803</v>
      </c>
      <c r="AE56">
        <v>-1.2806341363269442</v>
      </c>
      <c r="AF56">
        <v>-0.18035701101278545</v>
      </c>
      <c r="AG56">
        <v>-4.0801640707684284</v>
      </c>
      <c r="AH56">
        <v>-0.70018343379734815</v>
      </c>
      <c r="AI56">
        <v>-0.70018343379734815</v>
      </c>
      <c r="AJ56">
        <v>-0.70018343379734815</v>
      </c>
      <c r="AK56">
        <v>-0.70018343379734815</v>
      </c>
      <c r="AL56">
        <v>-0.70018343379734815</v>
      </c>
      <c r="AM56">
        <v>-0.70018343379734815</v>
      </c>
      <c r="AN56">
        <v>-0.70018343379734815</v>
      </c>
    </row>
    <row r="57" spans="1:40" x14ac:dyDescent="0.45">
      <c r="A57" s="1">
        <v>45155</v>
      </c>
      <c r="B57">
        <v>219.22</v>
      </c>
      <c r="C57" s="5">
        <f t="shared" si="1"/>
        <v>-2.8280141843971613E-2</v>
      </c>
      <c r="D57">
        <f t="shared" ca="1" si="5"/>
        <v>5.3414643679568327E-4</v>
      </c>
      <c r="E57">
        <f t="shared" ca="1" si="6"/>
        <v>3.8514789434915986E-2</v>
      </c>
      <c r="F57">
        <f t="shared" ca="1" si="7"/>
        <v>-0.13168140915372162</v>
      </c>
      <c r="G57">
        <f t="shared" ca="1" si="8"/>
        <v>0.79887124866284287</v>
      </c>
      <c r="H57">
        <f t="shared" ca="1" si="9"/>
        <v>1.102954961395153</v>
      </c>
      <c r="I57">
        <f t="shared" ca="1" si="10"/>
        <v>1.1017249511869516</v>
      </c>
      <c r="K57">
        <f t="shared" si="0"/>
        <v>0.97171985815602835</v>
      </c>
      <c r="L57" s="7">
        <f t="shared" ca="1" si="2"/>
        <v>0.8935355017526696</v>
      </c>
      <c r="M57">
        <f t="shared" ca="1" si="3"/>
        <v>0.9714583564424859</v>
      </c>
      <c r="N57">
        <v>0.93421338276000276</v>
      </c>
      <c r="O57" t="b">
        <f t="shared" ca="1" si="4"/>
        <v>1</v>
      </c>
      <c r="AA57">
        <v>0.77074889061711738</v>
      </c>
      <c r="AB57">
        <v>-0.45967226351843382</v>
      </c>
      <c r="AC57">
        <v>3.1178276829256357</v>
      </c>
      <c r="AD57">
        <v>-1.1619052892541251</v>
      </c>
      <c r="AE57">
        <v>-1.4563667752536333</v>
      </c>
      <c r="AF57">
        <v>-0.39952207305579135</v>
      </c>
      <c r="AG57">
        <v>-3.6074258445827527</v>
      </c>
      <c r="AH57">
        <v>-0.51252107474152042</v>
      </c>
      <c r="AI57">
        <v>-0.51252107474152042</v>
      </c>
      <c r="AJ57">
        <v>-0.51252107474152042</v>
      </c>
      <c r="AK57">
        <v>-0.51252107474152042</v>
      </c>
      <c r="AL57">
        <v>-0.51252107474152042</v>
      </c>
      <c r="AM57">
        <v>-0.51252107474152042</v>
      </c>
      <c r="AN57">
        <v>-0.51252107474152042</v>
      </c>
    </row>
    <row r="58" spans="1:40" x14ac:dyDescent="0.45">
      <c r="A58" s="1">
        <v>45154</v>
      </c>
      <c r="B58">
        <v>225.6</v>
      </c>
      <c r="C58" s="5">
        <f t="shared" si="1"/>
        <v>-3.1593406593406648E-2</v>
      </c>
      <c r="D58">
        <f t="shared" ca="1" si="5"/>
        <v>7.5173889153955535E-4</v>
      </c>
      <c r="E58">
        <f t="shared" ca="1" si="6"/>
        <v>3.8474091857634486E-2</v>
      </c>
      <c r="F58">
        <f t="shared" ca="1" si="7"/>
        <v>-0.14682239716194898</v>
      </c>
      <c r="G58">
        <f t="shared" ca="1" si="8"/>
        <v>0.81683666562943369</v>
      </c>
      <c r="H58">
        <f t="shared" ca="1" si="9"/>
        <v>1.102954961395153</v>
      </c>
      <c r="I58">
        <f t="shared" ca="1" si="10"/>
        <v>1.1100634069705784</v>
      </c>
      <c r="K58">
        <f t="shared" si="0"/>
        <v>0.9684065934065933</v>
      </c>
      <c r="L58" s="7">
        <f t="shared" ca="1" si="2"/>
        <v>0.93150006193484447</v>
      </c>
      <c r="M58">
        <f t="shared" ca="1" si="3"/>
        <v>0.96768380567649936</v>
      </c>
      <c r="N58">
        <v>0.91740695872913269</v>
      </c>
      <c r="O58" t="b">
        <f t="shared" ca="1" si="4"/>
        <v>1</v>
      </c>
      <c r="AA58">
        <v>0.76851243635854671</v>
      </c>
      <c r="AB58">
        <v>-0.45200992291893777</v>
      </c>
      <c r="AC58">
        <v>3.0699621613899364</v>
      </c>
      <c r="AD58">
        <v>-1.2624760706672453</v>
      </c>
      <c r="AE58">
        <v>-1.7061951935370658</v>
      </c>
      <c r="AF58">
        <v>-0.50108847422035596</v>
      </c>
      <c r="AG58">
        <v>-3.5985928578297668</v>
      </c>
      <c r="AH58">
        <v>-0.39351358018810845</v>
      </c>
      <c r="AI58">
        <v>-0.39351358018810845</v>
      </c>
      <c r="AJ58">
        <v>-0.39351358018810845</v>
      </c>
      <c r="AK58">
        <v>-0.39351358018810845</v>
      </c>
      <c r="AL58">
        <v>-0.39351358018810845</v>
      </c>
      <c r="AM58">
        <v>-0.39351358018810845</v>
      </c>
      <c r="AN58">
        <v>-0.39351358018810845</v>
      </c>
    </row>
    <row r="59" spans="1:40" x14ac:dyDescent="0.45">
      <c r="A59" s="1">
        <v>45153</v>
      </c>
      <c r="B59">
        <v>232.96</v>
      </c>
      <c r="C59" s="5">
        <f t="shared" si="1"/>
        <v>-2.8361695028361625E-2</v>
      </c>
      <c r="D59">
        <f t="shared" ca="1" si="5"/>
        <v>9.1972195014761377E-4</v>
      </c>
      <c r="E59">
        <f t="shared" ca="1" si="6"/>
        <v>3.8405441353075047E-2</v>
      </c>
      <c r="F59">
        <f t="shared" ca="1" si="7"/>
        <v>-0.15783319895446332</v>
      </c>
      <c r="G59">
        <f t="shared" ca="1" si="8"/>
        <v>0.84462228892418656</v>
      </c>
      <c r="H59">
        <f t="shared" ca="1" si="9"/>
        <v>1.102954961395153</v>
      </c>
      <c r="I59">
        <f t="shared" ca="1" si="10"/>
        <v>1.1134072700704618</v>
      </c>
      <c r="K59">
        <f t="shared" si="0"/>
        <v>0.97163830497163839</v>
      </c>
      <c r="L59" s="7">
        <f t="shared" ca="1" si="2"/>
        <v>0.93295955146175424</v>
      </c>
      <c r="M59">
        <f t="shared" ca="1" si="3"/>
        <v>0.98046563449604074</v>
      </c>
      <c r="N59">
        <v>0.9381301393748771</v>
      </c>
      <c r="O59" t="b">
        <f t="shared" ca="1" si="4"/>
        <v>1</v>
      </c>
      <c r="AA59">
        <v>0.77673268235272874</v>
      </c>
      <c r="AB59">
        <v>-0.43703303758503281</v>
      </c>
      <c r="AC59">
        <v>3.0122693051787897</v>
      </c>
      <c r="AD59">
        <v>-1.2921353642687745</v>
      </c>
      <c r="AE59">
        <v>-1.7232151802629212</v>
      </c>
      <c r="AF59">
        <v>-0.53834908428013706</v>
      </c>
      <c r="AG59">
        <v>-3.5899392382686548</v>
      </c>
      <c r="AH59">
        <v>-0.34150765719187709</v>
      </c>
      <c r="AI59">
        <v>-0.34150765719187709</v>
      </c>
      <c r="AJ59">
        <v>-0.34150765719187709</v>
      </c>
      <c r="AK59">
        <v>-0.34150765719187709</v>
      </c>
      <c r="AL59">
        <v>-0.34150765719187709</v>
      </c>
      <c r="AM59">
        <v>-0.34150765719187709</v>
      </c>
      <c r="AN59">
        <v>-0.34150765719187709</v>
      </c>
    </row>
    <row r="60" spans="1:40" x14ac:dyDescent="0.45">
      <c r="A60" s="1">
        <v>45152</v>
      </c>
      <c r="B60">
        <v>239.76</v>
      </c>
      <c r="C60" s="5">
        <f t="shared" si="1"/>
        <v>-1.1910158664743518E-2</v>
      </c>
      <c r="D60">
        <f t="shared" ca="1" si="5"/>
        <v>1.1115495337128644E-3</v>
      </c>
      <c r="E60">
        <f t="shared" ca="1" si="6"/>
        <v>3.83542314597487E-2</v>
      </c>
      <c r="F60">
        <f t="shared" ca="1" si="7"/>
        <v>-0.17129626619800375</v>
      </c>
      <c r="G60">
        <f t="shared" ca="1" si="8"/>
        <v>0.86704019100655483</v>
      </c>
      <c r="H60">
        <f t="shared" ca="1" si="9"/>
        <v>1.102954961395153</v>
      </c>
      <c r="I60">
        <f t="shared" ca="1" si="10"/>
        <v>1.2290350503345278</v>
      </c>
      <c r="K60">
        <f t="shared" si="0"/>
        <v>0.98808984133525646</v>
      </c>
      <c r="L60" s="7">
        <f t="shared" ca="1" si="2"/>
        <v>0.9535096440644264</v>
      </c>
      <c r="M60">
        <f t="shared" ca="1" si="3"/>
        <v>0.96383371147141306</v>
      </c>
      <c r="N60">
        <v>0.92905034939812792</v>
      </c>
      <c r="O60" t="b">
        <f t="shared" ca="1" si="4"/>
        <v>1</v>
      </c>
      <c r="AA60">
        <v>0.77543465263075606</v>
      </c>
      <c r="AB60">
        <v>-0.4002190233201845</v>
      </c>
      <c r="AC60">
        <v>2.9182429647171153</v>
      </c>
      <c r="AD60">
        <v>-1.3231430034967806</v>
      </c>
      <c r="AE60">
        <v>-1.9062837764913416</v>
      </c>
      <c r="AF60">
        <v>-0.54897013506732761</v>
      </c>
      <c r="AG60">
        <v>-3.6560645841128383</v>
      </c>
      <c r="AH60">
        <v>-0.30021463480326743</v>
      </c>
      <c r="AI60">
        <v>-0.30021463480326743</v>
      </c>
      <c r="AJ60">
        <v>-0.30021463480326743</v>
      </c>
      <c r="AK60">
        <v>-0.30021463480326743</v>
      </c>
      <c r="AL60">
        <v>-0.30021463480326743</v>
      </c>
      <c r="AM60">
        <v>-0.30021463480326743</v>
      </c>
      <c r="AN60">
        <v>-0.30021463480326743</v>
      </c>
    </row>
    <row r="61" spans="1:40" x14ac:dyDescent="0.45">
      <c r="A61" s="1">
        <v>45149</v>
      </c>
      <c r="B61">
        <v>242.65</v>
      </c>
      <c r="C61" s="5">
        <f t="shared" si="1"/>
        <v>-1.0964375968044338E-2</v>
      </c>
      <c r="D61">
        <f t="shared" ca="1" si="5"/>
        <v>1.4353606820661682E-3</v>
      </c>
      <c r="E61">
        <f t="shared" ca="1" si="6"/>
        <v>3.8516779156959877E-2</v>
      </c>
      <c r="F61">
        <f t="shared" ca="1" si="7"/>
        <v>-0.18211274568335231</v>
      </c>
      <c r="G61">
        <f t="shared" ca="1" si="8"/>
        <v>0.82401413488444986</v>
      </c>
      <c r="H61">
        <f t="shared" ca="1" si="9"/>
        <v>1.102954961395153</v>
      </c>
      <c r="I61">
        <f t="shared" ca="1" si="10"/>
        <v>1.2664243486401778</v>
      </c>
      <c r="K61">
        <f t="shared" si="0"/>
        <v>0.98903562403195566</v>
      </c>
      <c r="L61" s="7">
        <f t="shared" ca="1" si="2"/>
        <v>0.95584180256834472</v>
      </c>
      <c r="M61">
        <f t="shared" ca="1" si="3"/>
        <v>0.94978182873607286</v>
      </c>
      <c r="N61">
        <v>0.91703805652401238</v>
      </c>
      <c r="O61" t="b">
        <f t="shared" ca="1" si="4"/>
        <v>1</v>
      </c>
      <c r="AA61">
        <v>0.76398070366085724</v>
      </c>
      <c r="AB61">
        <v>-0.19189138866612027</v>
      </c>
      <c r="AC61">
        <v>2.7247270315156431</v>
      </c>
      <c r="AD61">
        <v>-1.2717024412769031</v>
      </c>
      <c r="AE61">
        <v>-1.9904057155280537</v>
      </c>
      <c r="AF61">
        <v>-0.46508708469066401</v>
      </c>
      <c r="AG61">
        <v>-3.8060566349656004</v>
      </c>
      <c r="AH61">
        <v>-0.32163892805656025</v>
      </c>
      <c r="AI61">
        <v>-0.32163892805656025</v>
      </c>
      <c r="AJ61">
        <v>-0.32163892805656025</v>
      </c>
      <c r="AK61">
        <v>-0.32163892805656025</v>
      </c>
      <c r="AL61">
        <v>-0.32163892805656025</v>
      </c>
      <c r="AM61">
        <v>-0.32163892805656025</v>
      </c>
      <c r="AN61">
        <v>-0.32163892805656025</v>
      </c>
    </row>
    <row r="62" spans="1:40" x14ac:dyDescent="0.45">
      <c r="A62" s="1">
        <v>45148</v>
      </c>
      <c r="B62">
        <v>245.34</v>
      </c>
      <c r="C62" s="5">
        <f t="shared" si="1"/>
        <v>1.3006317354143464E-2</v>
      </c>
      <c r="D62">
        <f t="shared" ca="1" si="5"/>
        <v>1.4158027820145795E-3</v>
      </c>
      <c r="E62">
        <f t="shared" ca="1" si="6"/>
        <v>3.8524099494364777E-2</v>
      </c>
      <c r="F62">
        <f t="shared" ca="1" si="7"/>
        <v>-0.18068655251854371</v>
      </c>
      <c r="G62">
        <f t="shared" ca="1" si="8"/>
        <v>0.82080852918252978</v>
      </c>
      <c r="H62">
        <f t="shared" ca="1" si="9"/>
        <v>1.102954961395153</v>
      </c>
      <c r="I62">
        <f t="shared" ca="1" si="10"/>
        <v>1.2664243486401778</v>
      </c>
      <c r="K62">
        <f t="shared" si="0"/>
        <v>1.0130063173541435</v>
      </c>
      <c r="L62" s="7">
        <f t="shared" ca="1" si="2"/>
        <v>0.9460897732531236</v>
      </c>
      <c r="M62">
        <f t="shared" ca="1" si="3"/>
        <v>0.91053974220775391</v>
      </c>
      <c r="N62">
        <v>0.8884501723874576</v>
      </c>
      <c r="O62" t="b">
        <f t="shared" ca="1" si="4"/>
        <v>1</v>
      </c>
      <c r="AA62">
        <v>0.70558381656992053</v>
      </c>
      <c r="AB62">
        <v>0.82562310634729885</v>
      </c>
      <c r="AC62">
        <v>1.3458699849169229</v>
      </c>
      <c r="AD62">
        <v>-0.66441781961256541</v>
      </c>
      <c r="AE62">
        <v>-1.5078642164082354</v>
      </c>
      <c r="AF62">
        <v>-0.40655084796352542</v>
      </c>
      <c r="AG62">
        <v>-3.4350949917906886</v>
      </c>
      <c r="AH62">
        <v>9.1914804036497502E-2</v>
      </c>
      <c r="AI62">
        <v>9.1914804036497502E-2</v>
      </c>
      <c r="AJ62">
        <v>9.1914804036497502E-2</v>
      </c>
      <c r="AK62">
        <v>9.1914804036497502E-2</v>
      </c>
      <c r="AL62">
        <v>9.1914804036497502E-2</v>
      </c>
      <c r="AM62">
        <v>9.1914804036497502E-2</v>
      </c>
      <c r="AN62">
        <v>9.1914804036497502E-2</v>
      </c>
    </row>
    <row r="63" spans="1:40" x14ac:dyDescent="0.45">
      <c r="A63" s="1">
        <v>45147</v>
      </c>
      <c r="B63">
        <v>242.19</v>
      </c>
      <c r="C63" s="5">
        <f t="shared" si="1"/>
        <v>-3.0076091309571451E-2</v>
      </c>
      <c r="D63">
        <f t="shared" ca="1" si="5"/>
        <v>1.5234844333758574E-3</v>
      </c>
      <c r="E63">
        <f t="shared" ca="1" si="6"/>
        <v>3.8586707873742888E-2</v>
      </c>
      <c r="F63">
        <f t="shared" ca="1" si="7"/>
        <v>-0.18519081333193729</v>
      </c>
      <c r="G63">
        <f t="shared" ca="1" si="8"/>
        <v>0.80060704357038892</v>
      </c>
      <c r="H63">
        <f t="shared" ca="1" si="9"/>
        <v>1.102954961395153</v>
      </c>
      <c r="I63">
        <f t="shared" ca="1" si="10"/>
        <v>1.3145967213997225</v>
      </c>
      <c r="K63">
        <f t="shared" si="0"/>
        <v>0.96992390869042855</v>
      </c>
      <c r="L63" s="7">
        <f t="shared" ca="1" si="2"/>
        <v>0.95309118098461298</v>
      </c>
      <c r="M63">
        <f t="shared" ca="1" si="3"/>
        <v>0.95622764815575501</v>
      </c>
      <c r="N63">
        <v>0.95128344056350578</v>
      </c>
      <c r="O63" t="b">
        <f t="shared" ca="1" si="4"/>
        <v>1</v>
      </c>
      <c r="AA63">
        <v>0.64717170558135717</v>
      </c>
      <c r="AB63">
        <v>0.77193148834981784</v>
      </c>
      <c r="AC63">
        <v>0.87105628219700681</v>
      </c>
      <c r="AD63">
        <v>-0.7370689928943811</v>
      </c>
      <c r="AE63">
        <v>-0.88611232235041637</v>
      </c>
      <c r="AF63">
        <v>-0.64233306764654852</v>
      </c>
      <c r="AG63">
        <v>-2.5797045168166801</v>
      </c>
      <c r="AH63">
        <v>0.54511256556227938</v>
      </c>
      <c r="AI63">
        <v>0.54511256556227938</v>
      </c>
      <c r="AJ63">
        <v>0.54511256556227938</v>
      </c>
      <c r="AK63">
        <v>0.54511256556227938</v>
      </c>
      <c r="AL63">
        <v>0.54511256556227938</v>
      </c>
      <c r="AM63">
        <v>0.54511256556227938</v>
      </c>
      <c r="AN63">
        <v>0.54511256556227938</v>
      </c>
    </row>
    <row r="64" spans="1:40" x14ac:dyDescent="0.45">
      <c r="A64" s="1">
        <v>45146</v>
      </c>
      <c r="B64">
        <v>249.7</v>
      </c>
      <c r="C64" s="5">
        <f t="shared" si="1"/>
        <v>-6.9596341220918671E-3</v>
      </c>
      <c r="D64">
        <f t="shared" ca="1" si="5"/>
        <v>1.3414923444364153E-3</v>
      </c>
      <c r="E64">
        <f t="shared" ca="1" si="6"/>
        <v>3.8821615009367802E-2</v>
      </c>
      <c r="F64">
        <f t="shared" ca="1" si="7"/>
        <v>-0.19218203054760427</v>
      </c>
      <c r="G64">
        <f t="shared" ca="1" si="8"/>
        <v>0.75101106756872182</v>
      </c>
      <c r="H64">
        <f t="shared" ca="1" si="9"/>
        <v>1.0948611792555716</v>
      </c>
      <c r="I64">
        <f t="shared" ca="1" si="10"/>
        <v>1.3145967213997225</v>
      </c>
      <c r="K64">
        <f t="shared" si="0"/>
        <v>0.99304036587790812</v>
      </c>
      <c r="L64" s="7">
        <f t="shared" ca="1" si="2"/>
        <v>0.95644846209828771</v>
      </c>
      <c r="M64">
        <f t="shared" ca="1" si="3"/>
        <v>0.92855876221277356</v>
      </c>
      <c r="N64">
        <v>0.94210388877840234</v>
      </c>
      <c r="O64" t="b">
        <f t="shared" ca="1" si="4"/>
        <v>1</v>
      </c>
      <c r="AA64">
        <v>0.58155758977439131</v>
      </c>
      <c r="AB64">
        <v>0.62287641723778187</v>
      </c>
      <c r="AC64">
        <v>0.60107225889790505</v>
      </c>
      <c r="AD64">
        <v>-0.81692260972490516</v>
      </c>
      <c r="AE64">
        <v>-0.43825901231353581</v>
      </c>
      <c r="AF64">
        <v>-0.80334838307688561</v>
      </c>
      <c r="AG64">
        <v>-1.9030650592510698</v>
      </c>
      <c r="AH64">
        <v>0.85340968840741382</v>
      </c>
      <c r="AI64">
        <v>0.85340968840741382</v>
      </c>
      <c r="AJ64">
        <v>0.85340968840741382</v>
      </c>
      <c r="AK64">
        <v>0.85340968840741382</v>
      </c>
      <c r="AL64">
        <v>0.85340968840741382</v>
      </c>
      <c r="AM64">
        <v>0.85340968840741382</v>
      </c>
      <c r="AN64">
        <v>0.85340968840741382</v>
      </c>
    </row>
    <row r="65" spans="1:40" x14ac:dyDescent="0.45">
      <c r="A65" s="1">
        <v>45145</v>
      </c>
      <c r="B65">
        <v>251.45</v>
      </c>
      <c r="C65" s="5">
        <f t="shared" si="1"/>
        <v>-9.4934215709447135E-3</v>
      </c>
      <c r="D65">
        <f t="shared" ca="1" si="5"/>
        <v>1.4182996889421469E-3</v>
      </c>
      <c r="E65">
        <f t="shared" ca="1" si="6"/>
        <v>3.8820305030931944E-2</v>
      </c>
      <c r="F65">
        <f t="shared" ca="1" si="7"/>
        <v>-0.19811688979154085</v>
      </c>
      <c r="G65">
        <f t="shared" ca="1" si="8"/>
        <v>0.75309396974838894</v>
      </c>
      <c r="H65">
        <f t="shared" ca="1" si="9"/>
        <v>1.0948611792555716</v>
      </c>
      <c r="I65">
        <f t="shared" ca="1" si="10"/>
        <v>1.3145967213997225</v>
      </c>
      <c r="K65">
        <f t="shared" si="0"/>
        <v>0.99050657842905532</v>
      </c>
      <c r="L65" s="7">
        <f t="shared" ca="1" si="2"/>
        <v>0.94024604569420034</v>
      </c>
      <c r="M65">
        <f t="shared" ca="1" si="3"/>
        <v>0.93282250915427012</v>
      </c>
      <c r="N65">
        <v>0.9480400996737357</v>
      </c>
      <c r="O65" t="b">
        <f t="shared" ca="1" si="4"/>
        <v>1</v>
      </c>
      <c r="AA65">
        <v>0.52921273844564332</v>
      </c>
      <c r="AB65">
        <v>0.46523862227311946</v>
      </c>
      <c r="AC65">
        <v>0.46241883800858752</v>
      </c>
      <c r="AD65">
        <v>-0.85052244745760808</v>
      </c>
      <c r="AE65">
        <v>-0.15321011305892415</v>
      </c>
      <c r="AF65">
        <v>-0.91797090688772554</v>
      </c>
      <c r="AG65">
        <v>-1.4380849893077805</v>
      </c>
      <c r="AH65">
        <v>1.049581000120055</v>
      </c>
      <c r="AI65">
        <v>1.049581000120055</v>
      </c>
      <c r="AJ65">
        <v>1.049581000120055</v>
      </c>
      <c r="AK65">
        <v>1.049581000120055</v>
      </c>
      <c r="AL65">
        <v>1.049581000120055</v>
      </c>
      <c r="AM65">
        <v>1.049581000120055</v>
      </c>
      <c r="AN65">
        <v>1.049581000120055</v>
      </c>
    </row>
    <row r="66" spans="1:40" x14ac:dyDescent="0.45">
      <c r="A66" s="1">
        <v>45142</v>
      </c>
      <c r="B66">
        <v>253.86</v>
      </c>
      <c r="C66" s="5">
        <f t="shared" si="1"/>
        <v>-2.1055067098565399E-2</v>
      </c>
      <c r="D66">
        <f t="shared" ca="1" si="5"/>
        <v>1.4849142779913076E-3</v>
      </c>
      <c r="E66">
        <f t="shared" ca="1" si="6"/>
        <v>3.8812916901586322E-2</v>
      </c>
      <c r="F66">
        <f t="shared" ca="1" si="7"/>
        <v>-0.20331695509579162</v>
      </c>
      <c r="G66">
        <f t="shared" ca="1" si="8"/>
        <v>0.75736094216206729</v>
      </c>
      <c r="H66">
        <f t="shared" ca="1" si="9"/>
        <v>1.0948611792555716</v>
      </c>
      <c r="I66">
        <f t="shared" ca="1" si="10"/>
        <v>1.3145967213997225</v>
      </c>
      <c r="K66">
        <f t="shared" si="0"/>
        <v>0.97894493290143458</v>
      </c>
      <c r="L66" s="7">
        <f t="shared" ca="1" si="2"/>
        <v>0.95278486713706667</v>
      </c>
      <c r="M66">
        <f t="shared" ca="1" si="3"/>
        <v>0.93320724521312481</v>
      </c>
      <c r="N66">
        <v>0.95235931862149226</v>
      </c>
      <c r="O66" t="b">
        <f t="shared" ca="1" si="4"/>
        <v>1</v>
      </c>
      <c r="AA66">
        <v>0.5194686373660663</v>
      </c>
      <c r="AB66">
        <v>0.28754658918138071</v>
      </c>
      <c r="AC66">
        <v>0.571983156488865</v>
      </c>
      <c r="AD66">
        <v>-1.0006834138061398</v>
      </c>
      <c r="AE66">
        <v>-7.5461740802861776E-2</v>
      </c>
      <c r="AF66">
        <v>-1.0130460033631523</v>
      </c>
      <c r="AG66">
        <v>-1.2478484332003454</v>
      </c>
      <c r="AH66">
        <v>1.136210312769905</v>
      </c>
      <c r="AI66">
        <v>1.136210312769905</v>
      </c>
      <c r="AJ66">
        <v>1.136210312769905</v>
      </c>
      <c r="AK66">
        <v>1.136210312769905</v>
      </c>
      <c r="AL66">
        <v>1.136210312769905</v>
      </c>
      <c r="AM66">
        <v>1.136210312769905</v>
      </c>
      <c r="AN66">
        <v>1.136210312769905</v>
      </c>
    </row>
    <row r="67" spans="1:40" x14ac:dyDescent="0.45">
      <c r="A67" s="1">
        <v>45141</v>
      </c>
      <c r="B67">
        <v>259.32</v>
      </c>
      <c r="C67" s="5">
        <f t="shared" ref="C67:C130" si="12">(B67-B68)/B68</f>
        <v>2.0502931801188382E-2</v>
      </c>
      <c r="D67">
        <f t="shared" ca="1" si="5"/>
        <v>1.9404506018250278E-3</v>
      </c>
      <c r="E67">
        <f t="shared" ca="1" si="6"/>
        <v>3.9080768065549921E-2</v>
      </c>
      <c r="F67">
        <f t="shared" ca="1" si="7"/>
        <v>-0.20610084886120106</v>
      </c>
      <c r="G67">
        <f t="shared" ca="1" si="8"/>
        <v>0.71163076666068736</v>
      </c>
      <c r="H67">
        <f t="shared" ca="1" si="9"/>
        <v>1.1113722016536287</v>
      </c>
      <c r="I67">
        <f t="shared" ca="1" si="10"/>
        <v>1.3807394552151306</v>
      </c>
      <c r="K67">
        <f t="shared" ref="K67:K130" si="13">C67+1</f>
        <v>1.0205029318011885</v>
      </c>
      <c r="L67" s="7">
        <f t="shared" ref="L67:L130" ca="1" si="14">PRODUCT(OFFSET(K67,0,0,$J$6,1))</f>
        <v>1.0141175550428221</v>
      </c>
      <c r="M67">
        <f t="shared" ref="M67:M130" ca="1" si="15">OFFSET(D67,$J$6,0)*V$2 + OFFSET(E67,$J$6,0)*U$2 + OFFSET(F67,$J$6,0)*T$2 + OFFSET(G67,$J$6,0)*S$2 + OFFSET(H67,$J$6,0)*R$2 + OFFSET(I67,$J$6,0)*Q$2 + W$2</f>
        <v>0.97231825241361447</v>
      </c>
      <c r="N67">
        <v>0.94794679910189172</v>
      </c>
      <c r="O67" t="b">
        <f t="shared" ref="O67:O130" ca="1" si="16">OR(AND(L67&gt;1, N67&gt;1), AND(L67&lt;1, N67&lt;1))</f>
        <v>0</v>
      </c>
      <c r="AA67">
        <v>0.54347388406389108</v>
      </c>
      <c r="AB67">
        <v>0.11750765818578177</v>
      </c>
      <c r="AC67">
        <v>0.65324299309441969</v>
      </c>
      <c r="AD67">
        <v>-1.190073752610449</v>
      </c>
      <c r="AE67">
        <v>-0.23212244013456554</v>
      </c>
      <c r="AF67">
        <v>-1.1084823654718832</v>
      </c>
      <c r="AG67">
        <v>-1.2670842680170915</v>
      </c>
      <c r="AH67">
        <v>1.2405600405279531</v>
      </c>
      <c r="AI67">
        <v>1.2405600405279531</v>
      </c>
      <c r="AJ67">
        <v>1.2405600405279531</v>
      </c>
      <c r="AK67">
        <v>1.2405600405279531</v>
      </c>
      <c r="AL67">
        <v>1.2405600405279531</v>
      </c>
      <c r="AM67">
        <v>1.2405600405279531</v>
      </c>
      <c r="AN67">
        <v>1.2405600405279531</v>
      </c>
    </row>
    <row r="68" spans="1:40" x14ac:dyDescent="0.45">
      <c r="A68" s="1">
        <v>45140</v>
      </c>
      <c r="B68">
        <v>254.11</v>
      </c>
      <c r="C68" s="5">
        <f t="shared" si="12"/>
        <v>-2.6659516604741945E-2</v>
      </c>
      <c r="D68">
        <f t="shared" ref="D68:D131" ca="1" si="17">AVERAGE(OFFSET(C68,0,0,$J$3,1))</f>
        <v>1.4606582953357746E-3</v>
      </c>
      <c r="E68">
        <f t="shared" ref="E68:E131" ca="1" si="18">STDEV(OFFSET(C68,0,0,$J$3,1))</f>
        <v>3.9439127574374108E-2</v>
      </c>
      <c r="F68">
        <f t="shared" ref="F68:F131" ca="1" si="19">SKEW(OFFSET(C68,0,0,$J$3,1))</f>
        <v>-0.2025567515603848</v>
      </c>
      <c r="G68">
        <f t="shared" ref="G68:G131" ca="1" si="20">KURT(OFFSET(C68,0,0,$J$3,1))</f>
        <v>0.64249793102773323</v>
      </c>
      <c r="H68">
        <f t="shared" ref="H68:H131" ca="1" si="21">PERCENTILE(OFFSET(C68,0,0,$J$3,1), 0.95)/ABS(PERCENTILE(OFFSET(C68,0,0,$J$3,1), 0.05))</f>
        <v>1.1005883758050872</v>
      </c>
      <c r="I68">
        <f t="shared" ref="I68:I131" ca="1" si="22">PERCENTILE(OFFSET(C68,0,0,$J$3,1), 0.75)/ABS(PERCENTILE(OFFSET(C68,0,0,$J$3,1), 0.25))</f>
        <v>1.3325942008065301</v>
      </c>
      <c r="K68">
        <f t="shared" si="13"/>
        <v>0.97334048339525803</v>
      </c>
      <c r="L68" s="7">
        <f t="shared" ca="1" si="14"/>
        <v>0.96126347645167398</v>
      </c>
      <c r="M68">
        <f t="shared" ca="1" si="15"/>
        <v>0.99215815866289914</v>
      </c>
      <c r="N68">
        <v>0.96284759712132928</v>
      </c>
      <c r="O68" t="b">
        <f t="shared" ca="1" si="16"/>
        <v>1</v>
      </c>
      <c r="AA68">
        <v>0.52222610657366808</v>
      </c>
      <c r="AB68">
        <v>0.17430166636028388</v>
      </c>
      <c r="AC68">
        <v>0.56125130090050501</v>
      </c>
      <c r="AD68">
        <v>-1.1493270966331584</v>
      </c>
      <c r="AE68">
        <v>-0.18250240131871279</v>
      </c>
      <c r="AF68">
        <v>-1.1541905127409089</v>
      </c>
      <c r="AG68">
        <v>-1.2010149146495701</v>
      </c>
      <c r="AH68">
        <v>1.3181973851348416</v>
      </c>
      <c r="AI68">
        <v>1.3181973851348416</v>
      </c>
      <c r="AJ68">
        <v>1.3181973851348416</v>
      </c>
      <c r="AK68">
        <v>1.3181973851348416</v>
      </c>
      <c r="AL68">
        <v>1.3181973851348416</v>
      </c>
      <c r="AM68">
        <v>1.3181973851348416</v>
      </c>
      <c r="AN68">
        <v>1.3181973851348416</v>
      </c>
    </row>
    <row r="69" spans="1:40" x14ac:dyDescent="0.45">
      <c r="A69" s="1">
        <v>45139</v>
      </c>
      <c r="B69">
        <v>261.07</v>
      </c>
      <c r="C69" s="5">
        <f t="shared" si="12"/>
        <v>-2.3781924241857731E-2</v>
      </c>
      <c r="D69">
        <f t="shared" ca="1" si="17"/>
        <v>1.6970676441484729E-3</v>
      </c>
      <c r="E69">
        <f t="shared" ca="1" si="18"/>
        <v>3.9411420966636239E-2</v>
      </c>
      <c r="F69">
        <f t="shared" ca="1" si="19"/>
        <v>-0.21873462378648312</v>
      </c>
      <c r="G69">
        <f t="shared" ca="1" si="20"/>
        <v>0.65695995131965113</v>
      </c>
      <c r="H69">
        <f t="shared" ca="1" si="21"/>
        <v>1.1005883758050872</v>
      </c>
      <c r="I69">
        <f t="shared" ca="1" si="22"/>
        <v>1.3807394552151306</v>
      </c>
      <c r="K69">
        <f t="shared" si="13"/>
        <v>0.97621807575814223</v>
      </c>
      <c r="L69" s="7">
        <f t="shared" ca="1" si="14"/>
        <v>0.98412997587454787</v>
      </c>
      <c r="M69">
        <f t="shared" ca="1" si="15"/>
        <v>0.99993245068064018</v>
      </c>
      <c r="N69">
        <v>0.96312096340158604</v>
      </c>
      <c r="O69" t="b">
        <f t="shared" ca="1" si="16"/>
        <v>1</v>
      </c>
      <c r="AA69">
        <v>0.50197131383224292</v>
      </c>
      <c r="AB69">
        <v>0.3157743375393493</v>
      </c>
      <c r="AC69">
        <v>0.38274225444163701</v>
      </c>
      <c r="AD69">
        <v>-1.1426948863108557</v>
      </c>
      <c r="AE69">
        <v>-0.29737304979184376</v>
      </c>
      <c r="AF69">
        <v>-1.3114505903423304</v>
      </c>
      <c r="AG69">
        <v>-1.3333040397815246</v>
      </c>
      <c r="AH69">
        <v>1.5331174345655758</v>
      </c>
      <c r="AI69">
        <v>1.5331174345655758</v>
      </c>
      <c r="AJ69">
        <v>1.5331174345655758</v>
      </c>
      <c r="AK69">
        <v>1.5331174345655758</v>
      </c>
      <c r="AL69">
        <v>1.5331174345655758</v>
      </c>
      <c r="AM69">
        <v>1.5331174345655758</v>
      </c>
      <c r="AN69">
        <v>1.5331174345655758</v>
      </c>
    </row>
    <row r="70" spans="1:40" x14ac:dyDescent="0.45">
      <c r="A70" s="1">
        <v>45138</v>
      </c>
      <c r="B70">
        <v>267.43</v>
      </c>
      <c r="C70" s="5">
        <f t="shared" si="12"/>
        <v>3.715658309563163E-3</v>
      </c>
      <c r="D70">
        <f t="shared" ca="1" si="17"/>
        <v>1.833067334641828E-3</v>
      </c>
      <c r="E70">
        <f t="shared" ca="1" si="18"/>
        <v>3.9369965586391102E-2</v>
      </c>
      <c r="F70">
        <f t="shared" ca="1" si="19"/>
        <v>-0.22851799186233895</v>
      </c>
      <c r="G70">
        <f t="shared" ca="1" si="20"/>
        <v>0.67481946295426676</v>
      </c>
      <c r="H70">
        <f t="shared" ca="1" si="21"/>
        <v>1.1005883758050872</v>
      </c>
      <c r="I70">
        <f t="shared" ca="1" si="22"/>
        <v>1.451546423343818</v>
      </c>
      <c r="K70">
        <f t="shared" si="13"/>
        <v>1.0037156583095632</v>
      </c>
      <c r="L70" s="7">
        <f t="shared" ca="1" si="14"/>
        <v>0.9939418717014793</v>
      </c>
      <c r="M70">
        <f t="shared" ca="1" si="15"/>
        <v>0.99679156257181711</v>
      </c>
      <c r="N70">
        <v>0.95366085504398068</v>
      </c>
      <c r="O70" t="b">
        <f t="shared" ca="1" si="16"/>
        <v>1</v>
      </c>
      <c r="AA70">
        <v>0.48252213299514229</v>
      </c>
      <c r="AB70">
        <v>0.4220959550457552</v>
      </c>
      <c r="AC70">
        <v>8.0622431174526887E-2</v>
      </c>
      <c r="AD70">
        <v>-1.168675329520696</v>
      </c>
      <c r="AE70">
        <v>-0.43847031840707723</v>
      </c>
      <c r="AF70">
        <v>-1.5028245351730356</v>
      </c>
      <c r="AG70">
        <v>-1.4394571667553462</v>
      </c>
      <c r="AH70">
        <v>1.7932794418245699</v>
      </c>
      <c r="AI70">
        <v>1.7932794418245699</v>
      </c>
      <c r="AJ70">
        <v>1.7932794418245699</v>
      </c>
      <c r="AK70">
        <v>1.7932794418245699</v>
      </c>
      <c r="AL70">
        <v>1.7932794418245699</v>
      </c>
      <c r="AM70">
        <v>1.7932794418245699</v>
      </c>
      <c r="AN70">
        <v>1.7932794418245699</v>
      </c>
    </row>
    <row r="71" spans="1:40" x14ac:dyDescent="0.45">
      <c r="A71" s="1">
        <v>45135</v>
      </c>
      <c r="B71">
        <v>266.44</v>
      </c>
      <c r="C71" s="5">
        <f t="shared" si="12"/>
        <v>4.1961597121739427E-2</v>
      </c>
      <c r="D71">
        <f t="shared" ca="1" si="17"/>
        <v>1.6696200082895627E-3</v>
      </c>
      <c r="E71">
        <f t="shared" ca="1" si="18"/>
        <v>3.9429921310368835E-2</v>
      </c>
      <c r="F71">
        <f t="shared" ca="1" si="19"/>
        <v>-0.21733712998445173</v>
      </c>
      <c r="G71">
        <f t="shared" ca="1" si="20"/>
        <v>0.65038823477462948</v>
      </c>
      <c r="H71">
        <f t="shared" ca="1" si="21"/>
        <v>1.1005883758050872</v>
      </c>
      <c r="I71">
        <f t="shared" ca="1" si="22"/>
        <v>1.3807394552151306</v>
      </c>
      <c r="K71">
        <f t="shared" si="13"/>
        <v>1.0419615971217395</v>
      </c>
      <c r="L71" s="7">
        <f t="shared" ca="1" si="14"/>
        <v>1.0246904084301209</v>
      </c>
      <c r="M71">
        <f t="shared" ca="1" si="15"/>
        <v>1.0031175445989757</v>
      </c>
      <c r="N71">
        <v>0.87453291686323453</v>
      </c>
      <c r="O71" t="b">
        <f t="shared" ca="1" si="16"/>
        <v>0</v>
      </c>
      <c r="AA71">
        <v>0.48243773759706671</v>
      </c>
      <c r="AB71">
        <v>0.35634481598607315</v>
      </c>
      <c r="AC71">
        <v>-0.822765368672844</v>
      </c>
      <c r="AD71">
        <v>-1.5407859461254609</v>
      </c>
      <c r="AE71">
        <v>-0.50110460488699271</v>
      </c>
      <c r="AF71">
        <v>-2.0669516685785032</v>
      </c>
      <c r="AG71">
        <v>-1.2713566121687625</v>
      </c>
      <c r="AH71">
        <v>2.5972020298094463</v>
      </c>
      <c r="AI71">
        <v>2.5972020298094463</v>
      </c>
      <c r="AJ71">
        <v>2.5972020298094463</v>
      </c>
      <c r="AK71">
        <v>2.5972020298094463</v>
      </c>
      <c r="AL71">
        <v>2.5972020298094463</v>
      </c>
      <c r="AM71">
        <v>2.5972020298094463</v>
      </c>
      <c r="AN71">
        <v>2.5972020298094463</v>
      </c>
    </row>
    <row r="72" spans="1:40" x14ac:dyDescent="0.45">
      <c r="A72" s="1">
        <v>45134</v>
      </c>
      <c r="B72">
        <v>255.71</v>
      </c>
      <c r="C72" s="5">
        <f t="shared" si="12"/>
        <v>-3.2683941743900186E-2</v>
      </c>
      <c r="D72">
        <f t="shared" ca="1" si="17"/>
        <v>1.4573464289210586E-3</v>
      </c>
      <c r="E72">
        <f t="shared" ca="1" si="18"/>
        <v>3.9326058862043975E-2</v>
      </c>
      <c r="F72">
        <f t="shared" ca="1" si="19"/>
        <v>-0.20816660994859715</v>
      </c>
      <c r="G72">
        <f t="shared" ca="1" si="20"/>
        <v>0.67911744844188737</v>
      </c>
      <c r="H72">
        <f t="shared" ca="1" si="21"/>
        <v>1.1005883758050872</v>
      </c>
      <c r="I72">
        <f t="shared" ca="1" si="22"/>
        <v>1.362091745434943</v>
      </c>
      <c r="K72">
        <f t="shared" si="13"/>
        <v>0.96731605825609979</v>
      </c>
      <c r="L72" s="7">
        <f t="shared" ca="1" si="14"/>
        <v>0.97265119817421086</v>
      </c>
      <c r="M72">
        <f t="shared" ca="1" si="15"/>
        <v>0.94770121955226516</v>
      </c>
      <c r="N72">
        <v>0.61893934540906415</v>
      </c>
      <c r="O72" t="b">
        <f t="shared" ca="1" si="16"/>
        <v>1</v>
      </c>
      <c r="AA72">
        <v>0.51629413141142455</v>
      </c>
      <c r="AB72">
        <v>0.27317074106111561</v>
      </c>
      <c r="AC72">
        <v>-0.77873491609034651</v>
      </c>
      <c r="AD72">
        <v>-2.9917085799542757</v>
      </c>
      <c r="AE72">
        <v>0.99012672993597783</v>
      </c>
      <c r="AF72">
        <v>-3.3540083398789307</v>
      </c>
      <c r="AG72">
        <v>0.17393088731093734</v>
      </c>
      <c r="AH72">
        <v>3.639043757122252</v>
      </c>
      <c r="AI72">
        <v>3.639043757122252</v>
      </c>
      <c r="AJ72">
        <v>3.639043757122252</v>
      </c>
      <c r="AK72">
        <v>3.639043757122252</v>
      </c>
      <c r="AL72">
        <v>3.639043757122252</v>
      </c>
      <c r="AM72">
        <v>3.639043757122252</v>
      </c>
      <c r="AN72">
        <v>3.639043757122252</v>
      </c>
    </row>
    <row r="73" spans="1:40" x14ac:dyDescent="0.45">
      <c r="A73" s="1">
        <v>45133</v>
      </c>
      <c r="B73">
        <v>264.35000000000002</v>
      </c>
      <c r="C73" s="5">
        <f t="shared" si="12"/>
        <v>-3.5057297949334667E-3</v>
      </c>
      <c r="D73">
        <f t="shared" ca="1" si="17"/>
        <v>1.3045523048601459E-3</v>
      </c>
      <c r="E73">
        <f t="shared" ca="1" si="18"/>
        <v>3.9518270697920591E-2</v>
      </c>
      <c r="F73">
        <f t="shared" ca="1" si="19"/>
        <v>-0.21243009667704449</v>
      </c>
      <c r="G73">
        <f t="shared" ca="1" si="20"/>
        <v>0.63805630254174517</v>
      </c>
      <c r="H73">
        <f t="shared" ca="1" si="21"/>
        <v>1.1005883758050872</v>
      </c>
      <c r="I73">
        <f t="shared" ca="1" si="22"/>
        <v>1.362091745434943</v>
      </c>
      <c r="K73">
        <f t="shared" si="13"/>
        <v>0.99649427020506653</v>
      </c>
      <c r="L73" s="7">
        <f t="shared" ca="1" si="14"/>
        <v>0.90760832246103151</v>
      </c>
      <c r="M73">
        <f t="shared" ca="1" si="15"/>
        <v>0.99510902571870297</v>
      </c>
      <c r="N73">
        <v>1.1195160683950611</v>
      </c>
      <c r="O73" t="b">
        <f t="shared" ca="1" si="16"/>
        <v>0</v>
      </c>
      <c r="AA73">
        <v>0.48688827376176369</v>
      </c>
      <c r="AB73">
        <v>0.273170741061114</v>
      </c>
      <c r="AC73">
        <v>1.6838859405766096</v>
      </c>
      <c r="AD73">
        <v>-2.9917085799542775</v>
      </c>
      <c r="AE73">
        <v>0.99012672993597883</v>
      </c>
      <c r="AF73">
        <v>-3.3540083398789324</v>
      </c>
      <c r="AG73">
        <v>0.17393088731093848</v>
      </c>
      <c r="AH73">
        <v>3.3030696895595253</v>
      </c>
      <c r="AI73">
        <v>3.3030696895595253</v>
      </c>
      <c r="AJ73">
        <v>3.3030696895595253</v>
      </c>
      <c r="AK73">
        <v>3.3030696895595253</v>
      </c>
      <c r="AL73">
        <v>3.3030696895595253</v>
      </c>
      <c r="AM73">
        <v>3.3030696895595253</v>
      </c>
      <c r="AN73">
        <v>3.3030696895595253</v>
      </c>
    </row>
    <row r="74" spans="1:40" x14ac:dyDescent="0.45">
      <c r="A74" s="1">
        <v>45132</v>
      </c>
      <c r="B74">
        <v>265.27999999999997</v>
      </c>
      <c r="C74" s="5">
        <f t="shared" si="12"/>
        <v>-1.4048911023563627E-2</v>
      </c>
      <c r="D74">
        <f t="shared" ca="1" si="17"/>
        <v>1.2664354241641185E-3</v>
      </c>
      <c r="E74">
        <f t="shared" ca="1" si="18"/>
        <v>3.9526609352611534E-2</v>
      </c>
      <c r="F74">
        <f t="shared" ca="1" si="19"/>
        <v>-0.20952229818966267</v>
      </c>
      <c r="G74">
        <f t="shared" ca="1" si="20"/>
        <v>0.6341679008072596</v>
      </c>
      <c r="H74">
        <f t="shared" ca="1" si="21"/>
        <v>1.1005883758050872</v>
      </c>
      <c r="I74">
        <f t="shared" ca="1" si="22"/>
        <v>1.362091745434943</v>
      </c>
      <c r="K74">
        <f t="shared" si="13"/>
        <v>0.98595108897643635</v>
      </c>
      <c r="L74" s="7">
        <f t="shared" ca="1" si="14"/>
        <v>0.90434308311174771</v>
      </c>
      <c r="M74">
        <f t="shared" ca="1" si="15"/>
        <v>0.93280636205397283</v>
      </c>
      <c r="N74">
        <v>0.93732910216846577</v>
      </c>
      <c r="O74" t="b">
        <f t="shared" ca="1" si="16"/>
        <v>1</v>
      </c>
      <c r="AA74">
        <v>0.43218760271155227</v>
      </c>
      <c r="AB74">
        <v>0.37833041605488427</v>
      </c>
      <c r="AC74">
        <v>1.9702897453782651</v>
      </c>
      <c r="AD74">
        <v>-2.6097731443360574</v>
      </c>
      <c r="AE74">
        <v>0.85011077334021545</v>
      </c>
      <c r="AF74">
        <v>-2.9508452880274332</v>
      </c>
      <c r="AG74">
        <v>3.5095558233902515E-3</v>
      </c>
      <c r="AH74">
        <v>2.9079071099308726</v>
      </c>
      <c r="AI74">
        <v>2.9079071099308726</v>
      </c>
      <c r="AJ74">
        <v>2.9079071099308726</v>
      </c>
      <c r="AK74">
        <v>2.9079071099308726</v>
      </c>
      <c r="AL74">
        <v>2.9079071099308726</v>
      </c>
      <c r="AM74">
        <v>2.9079071099308726</v>
      </c>
      <c r="AN74">
        <v>2.9079071099308726</v>
      </c>
    </row>
    <row r="75" spans="1:40" x14ac:dyDescent="0.45">
      <c r="A75" s="1">
        <v>45131</v>
      </c>
      <c r="B75">
        <v>269.06</v>
      </c>
      <c r="C75" s="5">
        <f t="shared" si="12"/>
        <v>3.4766556418737105E-2</v>
      </c>
      <c r="D75">
        <f t="shared" ca="1" si="17"/>
        <v>1.1636924872998975E-3</v>
      </c>
      <c r="E75">
        <f t="shared" ca="1" si="18"/>
        <v>3.9593269263658908E-2</v>
      </c>
      <c r="F75">
        <f t="shared" ca="1" si="19"/>
        <v>-0.20408092890093155</v>
      </c>
      <c r="G75">
        <f t="shared" ca="1" si="20"/>
        <v>0.61061559999449466</v>
      </c>
      <c r="H75">
        <f t="shared" ca="1" si="21"/>
        <v>1.1005883758050872</v>
      </c>
      <c r="I75">
        <f t="shared" ca="1" si="22"/>
        <v>1.3145967213997225</v>
      </c>
      <c r="K75">
        <f t="shared" si="13"/>
        <v>1.0347665564187372</v>
      </c>
      <c r="L75" s="7">
        <f t="shared" ca="1" si="14"/>
        <v>0.92657896549349128</v>
      </c>
      <c r="M75">
        <f t="shared" ca="1" si="15"/>
        <v>0.92480205672844162</v>
      </c>
      <c r="N75">
        <v>0.93892200106677848</v>
      </c>
      <c r="O75" t="b">
        <f t="shared" ca="1" si="16"/>
        <v>1</v>
      </c>
      <c r="AA75">
        <v>0.39118359840836664</v>
      </c>
      <c r="AB75">
        <v>0.33455322513709357</v>
      </c>
      <c r="AC75">
        <v>1.9579274369842175</v>
      </c>
      <c r="AD75">
        <v>-2.4416304160886737</v>
      </c>
      <c r="AE75">
        <v>0.81072439251440598</v>
      </c>
      <c r="AF75">
        <v>-2.7398360725079685</v>
      </c>
      <c r="AG75">
        <v>7.9596288427899974E-3</v>
      </c>
      <c r="AH75">
        <v>2.7392863092582509</v>
      </c>
      <c r="AI75">
        <v>2.7392863092582509</v>
      </c>
      <c r="AJ75">
        <v>2.7392863092582509</v>
      </c>
      <c r="AK75">
        <v>2.7392863092582509</v>
      </c>
      <c r="AL75">
        <v>2.7392863092582509</v>
      </c>
      <c r="AM75">
        <v>2.7392863092582509</v>
      </c>
      <c r="AN75">
        <v>2.7392863092582509</v>
      </c>
    </row>
    <row r="76" spans="1:40" x14ac:dyDescent="0.45">
      <c r="A76" s="1">
        <v>45128</v>
      </c>
      <c r="B76">
        <v>260.02</v>
      </c>
      <c r="C76" s="5">
        <f t="shared" si="12"/>
        <v>-1.0954735640928094E-2</v>
      </c>
      <c r="D76">
        <f t="shared" ca="1" si="17"/>
        <v>1.1350742266583553E-3</v>
      </c>
      <c r="E76">
        <f t="shared" ca="1" si="18"/>
        <v>3.9570921091590244E-2</v>
      </c>
      <c r="F76">
        <f t="shared" ca="1" si="19"/>
        <v>-0.20356845170746823</v>
      </c>
      <c r="G76">
        <f t="shared" ca="1" si="20"/>
        <v>0.61686144255742459</v>
      </c>
      <c r="H76">
        <f t="shared" ca="1" si="21"/>
        <v>1.1005883758050872</v>
      </c>
      <c r="I76">
        <f t="shared" ca="1" si="22"/>
        <v>1.3145967213997225</v>
      </c>
      <c r="K76">
        <f t="shared" si="13"/>
        <v>0.98904526435907192</v>
      </c>
      <c r="L76" s="7">
        <f t="shared" ca="1" si="14"/>
        <v>0.92408842135190827</v>
      </c>
      <c r="M76">
        <f t="shared" ca="1" si="15"/>
        <v>0.93250712664660274</v>
      </c>
      <c r="N76">
        <v>0.94363100285754342</v>
      </c>
      <c r="O76" t="b">
        <f t="shared" ca="1" si="16"/>
        <v>1</v>
      </c>
      <c r="AA76">
        <v>0.34057463688803258</v>
      </c>
      <c r="AB76">
        <v>0.27452690632610727</v>
      </c>
      <c r="AC76">
        <v>1.7743348932477134</v>
      </c>
      <c r="AD76">
        <v>-2.135106546174331</v>
      </c>
      <c r="AE76">
        <v>0.75480592417459991</v>
      </c>
      <c r="AF76">
        <v>-2.381156809292539</v>
      </c>
      <c r="AG76">
        <v>2.1623962498551953E-2</v>
      </c>
      <c r="AH76">
        <v>2.4329772057072212</v>
      </c>
      <c r="AI76">
        <v>2.4329772057072212</v>
      </c>
      <c r="AJ76">
        <v>2.4329772057072212</v>
      </c>
      <c r="AK76">
        <v>2.4329772057072212</v>
      </c>
      <c r="AL76">
        <v>2.4329772057072212</v>
      </c>
      <c r="AM76">
        <v>2.4329772057072212</v>
      </c>
      <c r="AN76">
        <v>2.4329772057072212</v>
      </c>
    </row>
    <row r="77" spans="1:40" x14ac:dyDescent="0.45">
      <c r="A77" s="1">
        <v>45127</v>
      </c>
      <c r="B77">
        <v>262.89999999999998</v>
      </c>
      <c r="C77" s="5">
        <f t="shared" si="12"/>
        <v>-9.7370047380347505E-2</v>
      </c>
      <c r="D77">
        <f t="shared" ca="1" si="17"/>
        <v>7.591221744200177E-4</v>
      </c>
      <c r="E77">
        <f t="shared" ca="1" si="18"/>
        <v>4.004075227945704E-2</v>
      </c>
      <c r="F77">
        <f t="shared" ca="1" si="19"/>
        <v>-0.22046526936818825</v>
      </c>
      <c r="G77">
        <f t="shared" ca="1" si="20"/>
        <v>0.5558427989976642</v>
      </c>
      <c r="H77">
        <f t="shared" ca="1" si="21"/>
        <v>1.0552342031279303</v>
      </c>
      <c r="I77">
        <f t="shared" ca="1" si="22"/>
        <v>1.1909192877931749</v>
      </c>
      <c r="K77">
        <f t="shared" si="13"/>
        <v>0.90262995261965251</v>
      </c>
      <c r="L77" s="7">
        <f t="shared" ca="1" si="14"/>
        <v>0.94602374955019797</v>
      </c>
      <c r="M77">
        <f t="shared" ca="1" si="15"/>
        <v>0.94377493744175744</v>
      </c>
      <c r="N77">
        <v>0.94791734359505497</v>
      </c>
      <c r="O77" t="b">
        <f t="shared" ca="1" si="16"/>
        <v>1</v>
      </c>
      <c r="AA77">
        <v>0.29541817496845768</v>
      </c>
      <c r="AB77">
        <v>0.22937904222240391</v>
      </c>
      <c r="AC77">
        <v>1.5855427278959409</v>
      </c>
      <c r="AD77">
        <v>-1.8366024949546222</v>
      </c>
      <c r="AE77">
        <v>0.70851689657129102</v>
      </c>
      <c r="AF77">
        <v>-2.0308142409012797</v>
      </c>
      <c r="AG77">
        <v>2.4896426409296277E-2</v>
      </c>
      <c r="AH77">
        <v>2.1206941265198433</v>
      </c>
      <c r="AI77">
        <v>2.1206941265198433</v>
      </c>
      <c r="AJ77">
        <v>2.1206941265198433</v>
      </c>
      <c r="AK77">
        <v>2.1206941265198433</v>
      </c>
      <c r="AL77">
        <v>2.1206941265198433</v>
      </c>
      <c r="AM77">
        <v>2.1206941265198433</v>
      </c>
      <c r="AN77">
        <v>2.1206941265198433</v>
      </c>
    </row>
    <row r="78" spans="1:40" x14ac:dyDescent="0.45">
      <c r="A78" s="1">
        <v>45126</v>
      </c>
      <c r="B78">
        <v>291.26</v>
      </c>
      <c r="C78" s="5">
        <f t="shared" si="12"/>
        <v>-7.0907479375468202E-3</v>
      </c>
      <c r="D78">
        <f t="shared" ca="1" si="17"/>
        <v>1.1907917692875294E-3</v>
      </c>
      <c r="E78">
        <f t="shared" ca="1" si="18"/>
        <v>3.9438370792896721E-2</v>
      </c>
      <c r="F78">
        <f t="shared" ca="1" si="19"/>
        <v>-0.18583794178600693</v>
      </c>
      <c r="G78">
        <f t="shared" ca="1" si="20"/>
        <v>0.5900825053687373</v>
      </c>
      <c r="H78">
        <f t="shared" ca="1" si="21"/>
        <v>1.1005883758050872</v>
      </c>
      <c r="I78">
        <f t="shared" ca="1" si="22"/>
        <v>1.3145967213997225</v>
      </c>
      <c r="K78">
        <f t="shared" si="13"/>
        <v>0.99290925206245317</v>
      </c>
      <c r="L78" s="7">
        <f t="shared" ca="1" si="14"/>
        <v>1.0708481929482701</v>
      </c>
      <c r="M78">
        <f t="shared" ca="1" si="15"/>
        <v>1.0074264528911105</v>
      </c>
      <c r="N78">
        <v>0.95138979863235917</v>
      </c>
      <c r="O78" t="b">
        <f t="shared" ca="1" si="16"/>
        <v>0</v>
      </c>
      <c r="AA78">
        <v>0.35246725972420395</v>
      </c>
      <c r="AB78">
        <v>0.15030971642653049</v>
      </c>
      <c r="AC78">
        <v>2.2951813212044585</v>
      </c>
      <c r="AD78">
        <v>-2.5138208776482598</v>
      </c>
      <c r="AE78">
        <v>0.76088492869747126</v>
      </c>
      <c r="AF78">
        <v>-2.7025184475037416</v>
      </c>
      <c r="AG78">
        <v>4.6271323278884953E-2</v>
      </c>
      <c r="AH78">
        <v>2.7665675143777912</v>
      </c>
      <c r="AI78">
        <v>2.7665675143777912</v>
      </c>
      <c r="AJ78">
        <v>2.7665675143777912</v>
      </c>
      <c r="AK78">
        <v>2.7665675143777912</v>
      </c>
      <c r="AL78">
        <v>2.7665675143777912</v>
      </c>
      <c r="AM78">
        <v>2.7665675143777912</v>
      </c>
      <c r="AN78">
        <v>2.7665675143777912</v>
      </c>
    </row>
    <row r="79" spans="1:40" x14ac:dyDescent="0.45">
      <c r="A79" s="1">
        <v>45125</v>
      </c>
      <c r="B79">
        <v>293.33999999999997</v>
      </c>
      <c r="C79" s="5">
        <f t="shared" si="12"/>
        <v>1.0193539499965492E-2</v>
      </c>
      <c r="D79">
        <f t="shared" ca="1" si="17"/>
        <v>8.8574309418772981E-4</v>
      </c>
      <c r="E79">
        <f t="shared" ca="1" si="18"/>
        <v>3.9737563648772956E-2</v>
      </c>
      <c r="F79">
        <f t="shared" ca="1" si="19"/>
        <v>-0.18527490564170163</v>
      </c>
      <c r="G79">
        <f t="shared" ca="1" si="20"/>
        <v>0.52351352034531207</v>
      </c>
      <c r="H79">
        <f t="shared" ca="1" si="21"/>
        <v>1.0554496635879476</v>
      </c>
      <c r="I79">
        <f t="shared" ca="1" si="22"/>
        <v>1.1909192877931749</v>
      </c>
      <c r="K79">
        <f t="shared" si="13"/>
        <v>1.0101935394999655</v>
      </c>
      <c r="L79" s="7">
        <f t="shared" ca="1" si="14"/>
        <v>1.0872901145335259</v>
      </c>
      <c r="M79">
        <f t="shared" ca="1" si="15"/>
        <v>1.0497040787468945</v>
      </c>
      <c r="N79">
        <v>0.9705080386104683</v>
      </c>
      <c r="O79" t="b">
        <f t="shared" ca="1" si="16"/>
        <v>0</v>
      </c>
      <c r="AA79">
        <v>0.41400356382076459</v>
      </c>
      <c r="AB79">
        <v>-4.3738665104080712E-2</v>
      </c>
      <c r="AC79">
        <v>2.8654213422945887</v>
      </c>
      <c r="AD79">
        <v>-3.0245235281662262</v>
      </c>
      <c r="AE79">
        <v>0.60612478790179447</v>
      </c>
      <c r="AF79">
        <v>-3.2449572089246943</v>
      </c>
      <c r="AG79">
        <v>2.8403935796106321E-2</v>
      </c>
      <c r="AH79">
        <v>3.2750925054408286</v>
      </c>
      <c r="AI79">
        <v>3.2750925054408286</v>
      </c>
      <c r="AJ79">
        <v>3.2750925054408286</v>
      </c>
      <c r="AK79">
        <v>3.2750925054408286</v>
      </c>
      <c r="AL79">
        <v>3.2750925054408286</v>
      </c>
      <c r="AM79">
        <v>3.2750925054408286</v>
      </c>
      <c r="AN79">
        <v>3.2750925054408286</v>
      </c>
    </row>
    <row r="80" spans="1:40" x14ac:dyDescent="0.45">
      <c r="A80" s="1">
        <v>45124</v>
      </c>
      <c r="B80">
        <v>290.38</v>
      </c>
      <c r="C80" s="5">
        <f t="shared" si="12"/>
        <v>3.1985215722510486E-2</v>
      </c>
      <c r="D80">
        <f t="shared" ca="1" si="17"/>
        <v>9.2083604558872839E-4</v>
      </c>
      <c r="E80">
        <f t="shared" ca="1" si="18"/>
        <v>3.9748922333519517E-2</v>
      </c>
      <c r="F80">
        <f t="shared" ca="1" si="19"/>
        <v>-0.18750491587487564</v>
      </c>
      <c r="G80">
        <f t="shared" ca="1" si="20"/>
        <v>0.52023805335722662</v>
      </c>
      <c r="H80">
        <f t="shared" ca="1" si="21"/>
        <v>1.0554496635879476</v>
      </c>
      <c r="I80">
        <f t="shared" ca="1" si="22"/>
        <v>1.1909192877931749</v>
      </c>
      <c r="K80">
        <f t="shared" si="13"/>
        <v>1.0319852157225105</v>
      </c>
      <c r="L80" s="7">
        <f t="shared" ca="1" si="14"/>
        <v>1.0770372018842029</v>
      </c>
      <c r="M80">
        <f t="shared" ca="1" si="15"/>
        <v>1.0651938440910578</v>
      </c>
      <c r="N80">
        <v>0.97838415209081475</v>
      </c>
      <c r="O80" t="b">
        <f t="shared" ca="1" si="16"/>
        <v>0</v>
      </c>
      <c r="AA80">
        <v>0.44909040002239481</v>
      </c>
      <c r="AB80">
        <v>-0.32107402278176694</v>
      </c>
      <c r="AC80">
        <v>3.1938022962588613</v>
      </c>
      <c r="AD80">
        <v>-3.1843034763769702</v>
      </c>
      <c r="AE80">
        <v>0.12258505299168954</v>
      </c>
      <c r="AF80">
        <v>-3.4470448083795846</v>
      </c>
      <c r="AG80">
        <v>-0.143833844077735</v>
      </c>
      <c r="AH80">
        <v>3.4221334111575135</v>
      </c>
      <c r="AI80">
        <v>3.4221334111575135</v>
      </c>
      <c r="AJ80">
        <v>3.4221334111575135</v>
      </c>
      <c r="AK80">
        <v>3.4221334111575135</v>
      </c>
      <c r="AL80">
        <v>3.4221334111575135</v>
      </c>
      <c r="AM80">
        <v>3.4221334111575135</v>
      </c>
      <c r="AN80">
        <v>3.4221334111575135</v>
      </c>
    </row>
    <row r="81" spans="1:40" x14ac:dyDescent="0.45">
      <c r="A81" s="1">
        <v>45121</v>
      </c>
      <c r="B81">
        <v>281.38</v>
      </c>
      <c r="C81" s="5">
        <f t="shared" si="12"/>
        <v>1.2522490104354151E-2</v>
      </c>
      <c r="D81">
        <f t="shared" ca="1" si="17"/>
        <v>8.8644889672509942E-4</v>
      </c>
      <c r="E81">
        <f t="shared" ca="1" si="18"/>
        <v>3.9724880807213196E-2</v>
      </c>
      <c r="F81">
        <f t="shared" ca="1" si="19"/>
        <v>-0.18650397230251833</v>
      </c>
      <c r="G81">
        <f t="shared" ca="1" si="20"/>
        <v>0.52699007716562996</v>
      </c>
      <c r="H81">
        <f t="shared" ca="1" si="21"/>
        <v>1.0554496635879476</v>
      </c>
      <c r="I81">
        <f t="shared" ca="1" si="22"/>
        <v>1.1909192877931749</v>
      </c>
      <c r="K81">
        <f t="shared" si="13"/>
        <v>1.0125224901043541</v>
      </c>
      <c r="L81" s="7">
        <f t="shared" ca="1" si="14"/>
        <v>1.0253252195459679</v>
      </c>
      <c r="M81">
        <f t="shared" ca="1" si="15"/>
        <v>1.0484180338146287</v>
      </c>
      <c r="N81">
        <v>0.95311504695628813</v>
      </c>
      <c r="O81" t="b">
        <f t="shared" ca="1" si="16"/>
        <v>0</v>
      </c>
      <c r="AA81">
        <v>0.47634336665777027</v>
      </c>
      <c r="AB81">
        <v>-0.41642781905842913</v>
      </c>
      <c r="AC81">
        <v>3.5132996969516457</v>
      </c>
      <c r="AD81">
        <v>-3.5748470500652108</v>
      </c>
      <c r="AE81">
        <v>-0.21527114658039229</v>
      </c>
      <c r="AF81">
        <v>-3.8967140505649018</v>
      </c>
      <c r="AG81">
        <v>-0.35024186359933612</v>
      </c>
      <c r="AH81">
        <v>3.8929559060740138</v>
      </c>
      <c r="AI81">
        <v>3.8929559060740138</v>
      </c>
      <c r="AJ81">
        <v>3.8929559060740138</v>
      </c>
      <c r="AK81">
        <v>3.8929559060740138</v>
      </c>
      <c r="AL81">
        <v>3.8929559060740138</v>
      </c>
      <c r="AM81">
        <v>3.8929559060740138</v>
      </c>
      <c r="AN81">
        <v>3.8929559060740138</v>
      </c>
    </row>
    <row r="82" spans="1:40" x14ac:dyDescent="0.45">
      <c r="A82" s="1">
        <v>45120</v>
      </c>
      <c r="B82">
        <v>277.89999999999998</v>
      </c>
      <c r="C82" s="5">
        <f t="shared" si="12"/>
        <v>2.1728740027206764E-2</v>
      </c>
      <c r="D82">
        <f t="shared" ca="1" si="17"/>
        <v>8.3618526398562658E-4</v>
      </c>
      <c r="E82">
        <f t="shared" ca="1" si="18"/>
        <v>3.971644274367319E-2</v>
      </c>
      <c r="F82">
        <f t="shared" ca="1" si="19"/>
        <v>-0.18291515795409377</v>
      </c>
      <c r="G82">
        <f t="shared" ca="1" si="20"/>
        <v>0.52903446767192719</v>
      </c>
      <c r="H82">
        <f t="shared" ca="1" si="21"/>
        <v>1.0554496635879476</v>
      </c>
      <c r="I82">
        <f t="shared" ca="1" si="22"/>
        <v>1.1909192877931749</v>
      </c>
      <c r="K82">
        <f t="shared" si="13"/>
        <v>1.0217287400272068</v>
      </c>
      <c r="L82" s="7">
        <f t="shared" ca="1" si="14"/>
        <v>1.0049179142257898</v>
      </c>
      <c r="M82">
        <f t="shared" ca="1" si="15"/>
        <v>1.019046038709241</v>
      </c>
      <c r="N82">
        <v>0.93519793034738541</v>
      </c>
      <c r="O82" t="b">
        <f t="shared" ca="1" si="16"/>
        <v>0</v>
      </c>
      <c r="AA82">
        <v>0.49766355921897731</v>
      </c>
      <c r="AB82">
        <v>-0.31059188185781139</v>
      </c>
      <c r="AC82">
        <v>3.8014724988097912</v>
      </c>
      <c r="AD82">
        <v>-3.9001460131306884</v>
      </c>
      <c r="AE82">
        <v>-0.47246376555743741</v>
      </c>
      <c r="AF82">
        <v>-4.2612168918986688</v>
      </c>
      <c r="AG82">
        <v>-0.62287957018552575</v>
      </c>
      <c r="AH82">
        <v>4.274944004602049</v>
      </c>
      <c r="AI82">
        <v>4.274944004602049</v>
      </c>
      <c r="AJ82">
        <v>4.274944004602049</v>
      </c>
      <c r="AK82">
        <v>4.274944004602049</v>
      </c>
      <c r="AL82">
        <v>4.274944004602049</v>
      </c>
      <c r="AM82">
        <v>4.274944004602049</v>
      </c>
      <c r="AN82">
        <v>4.274944004602049</v>
      </c>
    </row>
    <row r="83" spans="1:40" x14ac:dyDescent="0.45">
      <c r="A83" s="1">
        <v>45119</v>
      </c>
      <c r="B83">
        <v>271.99</v>
      </c>
      <c r="C83" s="5">
        <f t="shared" si="12"/>
        <v>8.1544905296711823E-3</v>
      </c>
      <c r="D83">
        <f t="shared" ca="1" si="17"/>
        <v>4.9780387370094048E-4</v>
      </c>
      <c r="E83">
        <f t="shared" ca="1" si="18"/>
        <v>3.9825693490995989E-2</v>
      </c>
      <c r="F83">
        <f t="shared" ca="1" si="19"/>
        <v>-0.16462721968445185</v>
      </c>
      <c r="G83">
        <f t="shared" ca="1" si="20"/>
        <v>0.49328445795864395</v>
      </c>
      <c r="H83">
        <f t="shared" ca="1" si="21"/>
        <v>1.0554496635879476</v>
      </c>
      <c r="I83">
        <f t="shared" ca="1" si="22"/>
        <v>1.1873426351446439</v>
      </c>
      <c r="K83">
        <f t="shared" si="13"/>
        <v>1.0081544905296711</v>
      </c>
      <c r="L83" s="7">
        <f t="shared" ca="1" si="14"/>
        <v>0.96286462758425362</v>
      </c>
      <c r="M83">
        <f t="shared" ca="1" si="15"/>
        <v>1.0099188477543533</v>
      </c>
      <c r="N83">
        <v>0.89672051021094035</v>
      </c>
      <c r="O83" t="b">
        <f t="shared" ca="1" si="16"/>
        <v>1</v>
      </c>
      <c r="AA83">
        <v>0.49884746349167902</v>
      </c>
      <c r="AB83">
        <v>-0.43711635135453469</v>
      </c>
      <c r="AC83">
        <v>3.9234258452385524</v>
      </c>
      <c r="AD83">
        <v>-4.0741897747755802</v>
      </c>
      <c r="AE83">
        <v>-0.79665893365164664</v>
      </c>
      <c r="AF83">
        <v>-4.3929269688161598</v>
      </c>
      <c r="AG83">
        <v>-0.80279149503656566</v>
      </c>
      <c r="AH83">
        <v>4.4429355762496847</v>
      </c>
      <c r="AI83">
        <v>4.4429355762496847</v>
      </c>
      <c r="AJ83">
        <v>4.4429355762496847</v>
      </c>
      <c r="AK83">
        <v>4.4429355762496847</v>
      </c>
      <c r="AL83">
        <v>4.4429355762496847</v>
      </c>
      <c r="AM83">
        <v>4.4429355762496847</v>
      </c>
      <c r="AN83">
        <v>4.4429355762496847</v>
      </c>
    </row>
    <row r="84" spans="1:40" x14ac:dyDescent="0.45">
      <c r="A84" s="1">
        <v>45118</v>
      </c>
      <c r="B84">
        <v>269.79000000000002</v>
      </c>
      <c r="C84" s="5">
        <f t="shared" si="12"/>
        <v>6.6763102258820823E-4</v>
      </c>
      <c r="D84">
        <f t="shared" ca="1" si="17"/>
        <v>2.5407264445683804E-4</v>
      </c>
      <c r="E84">
        <f t="shared" ca="1" si="18"/>
        <v>3.9927631305215927E-2</v>
      </c>
      <c r="F84">
        <f t="shared" ca="1" si="19"/>
        <v>-0.15043917679297988</v>
      </c>
      <c r="G84">
        <f t="shared" ca="1" si="20"/>
        <v>0.45910427000036513</v>
      </c>
      <c r="H84">
        <f t="shared" ca="1" si="21"/>
        <v>1.0554496635879476</v>
      </c>
      <c r="I84">
        <f t="shared" ca="1" si="22"/>
        <v>1.1784236815056011</v>
      </c>
      <c r="K84">
        <f t="shared" si="13"/>
        <v>1.0006676310225882</v>
      </c>
      <c r="L84" s="7">
        <f t="shared" ca="1" si="14"/>
        <v>0.9641555285540705</v>
      </c>
      <c r="M84">
        <f t="shared" ca="1" si="15"/>
        <v>1.0163492649457062</v>
      </c>
      <c r="N84">
        <v>0.84815298816628371</v>
      </c>
      <c r="O84" t="b">
        <f t="shared" ca="1" si="16"/>
        <v>1</v>
      </c>
      <c r="AA84">
        <v>0.52972363581005422</v>
      </c>
      <c r="AB84">
        <v>-0.67207108587200659</v>
      </c>
      <c r="AC84">
        <v>4.4118057217039937</v>
      </c>
      <c r="AD84">
        <v>-4.6204714646070899</v>
      </c>
      <c r="AE84">
        <v>-1.4891606482844457</v>
      </c>
      <c r="AF84">
        <v>-4.8826762177058258</v>
      </c>
      <c r="AG84">
        <v>-1.2678498817865773</v>
      </c>
      <c r="AH84">
        <v>4.9775854114567109</v>
      </c>
      <c r="AI84">
        <v>4.9775854114567109</v>
      </c>
      <c r="AJ84">
        <v>4.9775854114567109</v>
      </c>
      <c r="AK84">
        <v>4.9775854114567109</v>
      </c>
      <c r="AL84">
        <v>4.9775854114567109</v>
      </c>
      <c r="AM84">
        <v>4.9775854114567109</v>
      </c>
      <c r="AN84">
        <v>4.9775854114567109</v>
      </c>
    </row>
    <row r="85" spans="1:40" x14ac:dyDescent="0.45">
      <c r="A85" s="1">
        <v>45117</v>
      </c>
      <c r="B85">
        <v>269.61</v>
      </c>
      <c r="C85" s="5">
        <f t="shared" si="12"/>
        <v>-1.7563677440513039E-2</v>
      </c>
      <c r="D85">
        <f t="shared" ca="1" si="17"/>
        <v>1.2230511740077534E-4</v>
      </c>
      <c r="E85">
        <f t="shared" ca="1" si="18"/>
        <v>3.996972282964914E-2</v>
      </c>
      <c r="F85">
        <f t="shared" ca="1" si="19"/>
        <v>-0.14136189675402816</v>
      </c>
      <c r="G85">
        <f t="shared" ca="1" si="20"/>
        <v>0.44331346748670386</v>
      </c>
      <c r="H85">
        <f t="shared" ca="1" si="21"/>
        <v>1.0554496635879476</v>
      </c>
      <c r="I85">
        <f t="shared" ca="1" si="22"/>
        <v>1.1542779946020436</v>
      </c>
      <c r="K85">
        <f t="shared" si="13"/>
        <v>0.98243632255948699</v>
      </c>
      <c r="L85" s="7">
        <f t="shared" ca="1" si="14"/>
        <v>1.0299499560683045</v>
      </c>
      <c r="M85">
        <f t="shared" ca="1" si="15"/>
        <v>1.0419914833137818</v>
      </c>
      <c r="N85">
        <v>1.0437925217191732</v>
      </c>
      <c r="O85" t="b">
        <f t="shared" ca="1" si="16"/>
        <v>1</v>
      </c>
      <c r="AA85">
        <v>0.35803250819266369</v>
      </c>
      <c r="AB85">
        <v>0.86872078010336484</v>
      </c>
      <c r="AC85">
        <v>0.62027053013491007</v>
      </c>
      <c r="AD85">
        <v>5.8065942147267978E-2</v>
      </c>
      <c r="AE85">
        <v>-1.251992505448724</v>
      </c>
      <c r="AF85">
        <v>-0.40820482308318773</v>
      </c>
      <c r="AG85">
        <v>-1.8445694219606594</v>
      </c>
      <c r="AH85">
        <v>0.28213692764803067</v>
      </c>
      <c r="AI85">
        <v>0.28213692764803067</v>
      </c>
      <c r="AJ85">
        <v>0.28213692764803067</v>
      </c>
      <c r="AK85">
        <v>0.28213692764803067</v>
      </c>
      <c r="AL85">
        <v>0.28213692764803067</v>
      </c>
      <c r="AM85">
        <v>0.28213692764803067</v>
      </c>
      <c r="AN85">
        <v>0.28213692764803067</v>
      </c>
    </row>
    <row r="86" spans="1:40" x14ac:dyDescent="0.45">
      <c r="A86" s="1">
        <v>45114</v>
      </c>
      <c r="B86">
        <v>274.43</v>
      </c>
      <c r="C86" s="5">
        <f t="shared" si="12"/>
        <v>-7.6299992767773685E-3</v>
      </c>
      <c r="D86">
        <f t="shared" ca="1" si="17"/>
        <v>2.0462313251934754E-4</v>
      </c>
      <c r="E86">
        <f t="shared" ca="1" si="18"/>
        <v>3.9950063984092288E-2</v>
      </c>
      <c r="F86">
        <f t="shared" ca="1" si="19"/>
        <v>-0.14737444888646534</v>
      </c>
      <c r="G86">
        <f t="shared" ca="1" si="20"/>
        <v>0.45120039464435413</v>
      </c>
      <c r="H86">
        <f t="shared" ca="1" si="21"/>
        <v>1.0554496635879476</v>
      </c>
      <c r="I86">
        <f t="shared" ca="1" si="22"/>
        <v>1.1542779946020436</v>
      </c>
      <c r="K86">
        <f t="shared" si="13"/>
        <v>0.99237000072322268</v>
      </c>
      <c r="L86" s="7">
        <f t="shared" ca="1" si="14"/>
        <v>1.0657475728155343</v>
      </c>
      <c r="M86">
        <f t="shared" ca="1" si="15"/>
        <v>1.0829145509373981</v>
      </c>
      <c r="N86">
        <v>1.0369352947242034</v>
      </c>
      <c r="O86" t="b">
        <f t="shared" ca="1" si="16"/>
        <v>1</v>
      </c>
      <c r="AA86">
        <v>0.43138123779336346</v>
      </c>
      <c r="AB86">
        <v>0.92095945835503357</v>
      </c>
      <c r="AC86">
        <v>0.37707957506269457</v>
      </c>
      <c r="AD86">
        <v>0.49685429663429698</v>
      </c>
      <c r="AE86">
        <v>-1.1589912233668589</v>
      </c>
      <c r="AF86">
        <v>-4.6969412103603038E-2</v>
      </c>
      <c r="AG86">
        <v>-1.765190079567976</v>
      </c>
      <c r="AH86">
        <v>-0.16623416407050579</v>
      </c>
      <c r="AI86">
        <v>-0.16623416407050579</v>
      </c>
      <c r="AJ86">
        <v>-0.16623416407050579</v>
      </c>
      <c r="AK86">
        <v>-0.16623416407050579</v>
      </c>
      <c r="AL86">
        <v>-0.16623416407050579</v>
      </c>
      <c r="AM86">
        <v>-0.16623416407050579</v>
      </c>
      <c r="AN86">
        <v>-0.16623416407050579</v>
      </c>
    </row>
    <row r="87" spans="1:40" x14ac:dyDescent="0.45">
      <c r="A87" s="1">
        <v>45113</v>
      </c>
      <c r="B87">
        <v>276.54000000000002</v>
      </c>
      <c r="C87" s="5">
        <f t="shared" si="12"/>
        <v>-2.1028037383177562E-2</v>
      </c>
      <c r="D87">
        <f t="shared" ca="1" si="17"/>
        <v>3.3705366293982562E-4</v>
      </c>
      <c r="E87">
        <f t="shared" ca="1" si="18"/>
        <v>3.9967857929066958E-2</v>
      </c>
      <c r="F87">
        <f t="shared" ca="1" si="19"/>
        <v>-0.15666434385524206</v>
      </c>
      <c r="G87">
        <f t="shared" ca="1" si="20"/>
        <v>0.44726569208202127</v>
      </c>
      <c r="H87">
        <f t="shared" ca="1" si="21"/>
        <v>1.0554496635879476</v>
      </c>
      <c r="I87">
        <f t="shared" ca="1" si="22"/>
        <v>1.1542779946020436</v>
      </c>
      <c r="K87">
        <f t="shared" si="13"/>
        <v>0.9789719626168224</v>
      </c>
      <c r="L87" s="7">
        <f t="shared" ca="1" si="14"/>
        <v>1.0792226038089292</v>
      </c>
      <c r="M87">
        <f t="shared" ca="1" si="15"/>
        <v>1.0705363287258414</v>
      </c>
      <c r="N87">
        <v>1.0195244268675019</v>
      </c>
      <c r="O87" t="b">
        <f t="shared" ca="1" si="16"/>
        <v>1</v>
      </c>
      <c r="AA87">
        <v>0.49701970313507665</v>
      </c>
      <c r="AB87">
        <v>0.82683511074070271</v>
      </c>
      <c r="AC87">
        <v>0.11561866190830428</v>
      </c>
      <c r="AD87">
        <v>0.89422589784765993</v>
      </c>
      <c r="AE87">
        <v>-0.9734437940167463</v>
      </c>
      <c r="AF87">
        <v>0.27913346229615105</v>
      </c>
      <c r="AG87">
        <v>-1.5175967006951296</v>
      </c>
      <c r="AH87">
        <v>-0.53767453987924196</v>
      </c>
      <c r="AI87">
        <v>-0.53767453987924196</v>
      </c>
      <c r="AJ87">
        <v>-0.53767453987924196</v>
      </c>
      <c r="AK87">
        <v>-0.53767453987924196</v>
      </c>
      <c r="AL87">
        <v>-0.53767453987924196</v>
      </c>
      <c r="AM87">
        <v>-0.53767453987924196</v>
      </c>
      <c r="AN87">
        <v>-0.53767453987924196</v>
      </c>
    </row>
    <row r="88" spans="1:40" x14ac:dyDescent="0.45">
      <c r="A88" s="1">
        <v>45112</v>
      </c>
      <c r="B88">
        <v>282.48</v>
      </c>
      <c r="C88" s="5">
        <f t="shared" si="12"/>
        <v>9.5061110714031345E-3</v>
      </c>
      <c r="D88">
        <f t="shared" ca="1" si="17"/>
        <v>4.3560948771579407E-4</v>
      </c>
      <c r="E88">
        <f t="shared" ca="1" si="18"/>
        <v>3.9939201880672896E-2</v>
      </c>
      <c r="F88">
        <f t="shared" ca="1" si="19"/>
        <v>-0.16370288166873437</v>
      </c>
      <c r="G88">
        <f t="shared" ca="1" si="20"/>
        <v>0.45848827985775564</v>
      </c>
      <c r="H88">
        <f t="shared" ca="1" si="21"/>
        <v>1.0554496635879476</v>
      </c>
      <c r="I88">
        <f t="shared" ca="1" si="22"/>
        <v>1.1784236815056011</v>
      </c>
      <c r="K88">
        <f t="shared" si="13"/>
        <v>1.0095061110714032</v>
      </c>
      <c r="L88" s="7">
        <f t="shared" ca="1" si="14"/>
        <v>1.1289716638024061</v>
      </c>
      <c r="M88">
        <f t="shared" ca="1" si="15"/>
        <v>1.0602516945177896</v>
      </c>
      <c r="N88">
        <v>0.9636844846500332</v>
      </c>
      <c r="O88" t="b">
        <f t="shared" ca="1" si="16"/>
        <v>0</v>
      </c>
      <c r="AA88">
        <v>0.58367631055591995</v>
      </c>
      <c r="AB88">
        <v>0.42115356198822435</v>
      </c>
      <c r="AC88">
        <v>-0.47591015530034231</v>
      </c>
      <c r="AD88">
        <v>1.8138570979289195</v>
      </c>
      <c r="AE88">
        <v>-0.49272156203172646</v>
      </c>
      <c r="AF88">
        <v>0.94850266578589548</v>
      </c>
      <c r="AG88">
        <v>-0.84363691226492243</v>
      </c>
      <c r="AH88">
        <v>-1.2147796025418249</v>
      </c>
      <c r="AI88">
        <v>-1.2147796025418249</v>
      </c>
      <c r="AJ88">
        <v>-1.2147796025418249</v>
      </c>
      <c r="AK88">
        <v>-1.2147796025418249</v>
      </c>
      <c r="AL88">
        <v>-1.2147796025418249</v>
      </c>
      <c r="AM88">
        <v>-1.2147796025418249</v>
      </c>
      <c r="AN88">
        <v>-1.2147796025418249</v>
      </c>
    </row>
    <row r="89" spans="1:40" x14ac:dyDescent="0.45">
      <c r="A89" s="1">
        <v>45110</v>
      </c>
      <c r="B89">
        <v>279.82</v>
      </c>
      <c r="C89" s="5">
        <f t="shared" si="12"/>
        <v>6.8953661611338243E-2</v>
      </c>
      <c r="D89">
        <f t="shared" ca="1" si="17"/>
        <v>4.0691505806513364E-4</v>
      </c>
      <c r="E89">
        <f t="shared" ca="1" si="18"/>
        <v>3.9934713713470231E-2</v>
      </c>
      <c r="F89">
        <f t="shared" ca="1" si="19"/>
        <v>-0.16163723814255596</v>
      </c>
      <c r="G89">
        <f t="shared" ca="1" si="20"/>
        <v>0.45957315758676653</v>
      </c>
      <c r="H89">
        <f t="shared" ca="1" si="21"/>
        <v>1.0554496635879476</v>
      </c>
      <c r="I89">
        <f t="shared" ca="1" si="22"/>
        <v>1.1784236815056011</v>
      </c>
      <c r="K89">
        <f t="shared" si="13"/>
        <v>1.0689536616113382</v>
      </c>
      <c r="L89" s="7">
        <f t="shared" ca="1" si="14"/>
        <v>1.1608380004148515</v>
      </c>
      <c r="M89">
        <f t="shared" ca="1" si="15"/>
        <v>1.0593645109985093</v>
      </c>
      <c r="N89">
        <v>0.89254013215863193</v>
      </c>
      <c r="O89" t="b">
        <f t="shared" ca="1" si="16"/>
        <v>0</v>
      </c>
      <c r="AA89">
        <v>0.75163621691436577</v>
      </c>
      <c r="AB89">
        <v>0.77032419692416976</v>
      </c>
      <c r="AC89">
        <v>-1.7420474102882626</v>
      </c>
      <c r="AD89">
        <v>4.2258634560001225</v>
      </c>
      <c r="AE89">
        <v>0.9252998728301679</v>
      </c>
      <c r="AF89">
        <v>2.4612806376813205</v>
      </c>
      <c r="AG89">
        <v>4.9278007163150409E-2</v>
      </c>
      <c r="AH89">
        <v>-2.9333043651696897</v>
      </c>
      <c r="AI89">
        <v>-2.9333043651696897</v>
      </c>
      <c r="AJ89">
        <v>-2.9333043651696897</v>
      </c>
      <c r="AK89">
        <v>-2.9333043651696897</v>
      </c>
      <c r="AL89">
        <v>-2.9333043651696897</v>
      </c>
      <c r="AM89">
        <v>-2.9333043651696897</v>
      </c>
      <c r="AN89">
        <v>-2.9333043651696897</v>
      </c>
    </row>
    <row r="90" spans="1:40" x14ac:dyDescent="0.45">
      <c r="A90" s="1">
        <v>45107</v>
      </c>
      <c r="B90">
        <v>261.77</v>
      </c>
      <c r="C90" s="5">
        <f t="shared" si="12"/>
        <v>1.658252427184459E-2</v>
      </c>
      <c r="D90">
        <f t="shared" ca="1" si="17"/>
        <v>2.4151894731785928E-4</v>
      </c>
      <c r="E90">
        <f t="shared" ca="1" si="18"/>
        <v>3.971729925521901E-2</v>
      </c>
      <c r="F90">
        <f t="shared" ca="1" si="19"/>
        <v>-0.17416586460265956</v>
      </c>
      <c r="G90">
        <f t="shared" ca="1" si="20"/>
        <v>0.49123696679191786</v>
      </c>
      <c r="H90">
        <f t="shared" ca="1" si="21"/>
        <v>1.0554496635879476</v>
      </c>
      <c r="I90">
        <f t="shared" ca="1" si="22"/>
        <v>1.1784236815056011</v>
      </c>
      <c r="K90">
        <f t="shared" si="13"/>
        <v>1.0165825242718447</v>
      </c>
      <c r="L90" s="7">
        <f t="shared" ca="1" si="14"/>
        <v>1.0201480904130944</v>
      </c>
      <c r="M90">
        <f t="shared" ca="1" si="15"/>
        <v>1.0071650370586673</v>
      </c>
      <c r="N90">
        <v>0.92523602436295604</v>
      </c>
      <c r="O90" t="b">
        <f t="shared" ca="1" si="16"/>
        <v>0</v>
      </c>
      <c r="AA90">
        <v>0.73505336164454516</v>
      </c>
      <c r="AB90">
        <v>0.70272791783204414</v>
      </c>
      <c r="AC90">
        <v>-1.5588417202265707</v>
      </c>
      <c r="AD90">
        <v>3.9087097156663275</v>
      </c>
      <c r="AE90">
        <v>1.0306248300910303</v>
      </c>
      <c r="AF90">
        <v>2.1029736949798283</v>
      </c>
      <c r="AG90">
        <v>0.10086973758787612</v>
      </c>
      <c r="AH90">
        <v>-2.4427989083111408</v>
      </c>
      <c r="AI90">
        <v>-2.4427989083111408</v>
      </c>
      <c r="AJ90">
        <v>-2.4427989083111408</v>
      </c>
      <c r="AK90">
        <v>-2.4427989083111408</v>
      </c>
      <c r="AL90">
        <v>-2.4427989083111408</v>
      </c>
      <c r="AM90">
        <v>-2.4427989083111408</v>
      </c>
      <c r="AN90">
        <v>-2.4427989083111408</v>
      </c>
    </row>
    <row r="91" spans="1:40" x14ac:dyDescent="0.45">
      <c r="A91" s="1">
        <v>45106</v>
      </c>
      <c r="B91">
        <v>257.5</v>
      </c>
      <c r="C91" s="5">
        <f t="shared" si="12"/>
        <v>4.9172650640024618E-3</v>
      </c>
      <c r="D91">
        <f t="shared" ca="1" si="17"/>
        <v>-4.3252947413679117E-5</v>
      </c>
      <c r="E91">
        <f t="shared" ca="1" si="18"/>
        <v>3.9803632748853554E-2</v>
      </c>
      <c r="F91">
        <f t="shared" ca="1" si="19"/>
        <v>-0.15709783171028135</v>
      </c>
      <c r="G91">
        <f t="shared" ca="1" si="20"/>
        <v>0.46121258160204937</v>
      </c>
      <c r="H91">
        <f t="shared" ca="1" si="21"/>
        <v>1.0554496635879476</v>
      </c>
      <c r="I91">
        <f t="shared" ca="1" si="22"/>
        <v>1.144666403600568</v>
      </c>
      <c r="K91">
        <f t="shared" si="13"/>
        <v>1.0049172650640024</v>
      </c>
      <c r="L91" s="7">
        <f t="shared" ca="1" si="14"/>
        <v>0.97313026718566931</v>
      </c>
      <c r="M91">
        <f t="shared" ca="1" si="15"/>
        <v>0.96461217423522294</v>
      </c>
      <c r="N91">
        <v>0.93678935525881979</v>
      </c>
      <c r="O91" t="b">
        <f t="shared" ca="1" si="16"/>
        <v>1</v>
      </c>
      <c r="AA91">
        <v>0.70078685963552545</v>
      </c>
      <c r="AB91">
        <v>0.51191402883271808</v>
      </c>
      <c r="AC91">
        <v>-1.4048956075391621</v>
      </c>
      <c r="AD91">
        <v>3.4196099619069624</v>
      </c>
      <c r="AE91">
        <v>1.025470705368313</v>
      </c>
      <c r="AF91">
        <v>1.764486292185927</v>
      </c>
      <c r="AG91">
        <v>0.19264206552314828</v>
      </c>
      <c r="AH91">
        <v>-1.9272768904225617</v>
      </c>
      <c r="AI91">
        <v>-1.9272768904225617</v>
      </c>
      <c r="AJ91">
        <v>-1.9272768904225617</v>
      </c>
      <c r="AK91">
        <v>-1.9272768904225617</v>
      </c>
      <c r="AL91">
        <v>-1.9272768904225617</v>
      </c>
      <c r="AM91">
        <v>-1.9272768904225617</v>
      </c>
      <c r="AN91">
        <v>-1.9272768904225617</v>
      </c>
    </row>
    <row r="92" spans="1:40" x14ac:dyDescent="0.45">
      <c r="A92" s="1">
        <v>45105</v>
      </c>
      <c r="B92">
        <v>256.24</v>
      </c>
      <c r="C92" s="5">
        <f t="shared" si="12"/>
        <v>2.4099756204787982E-2</v>
      </c>
      <c r="D92">
        <f t="shared" ca="1" si="17"/>
        <v>1.1245083913399446E-5</v>
      </c>
      <c r="E92">
        <f t="shared" ca="1" si="18"/>
        <v>3.98179178384655E-2</v>
      </c>
      <c r="F92">
        <f t="shared" ca="1" si="19"/>
        <v>-0.16076537471468288</v>
      </c>
      <c r="G92">
        <f t="shared" ca="1" si="20"/>
        <v>0.45719818407080526</v>
      </c>
      <c r="H92">
        <f t="shared" ca="1" si="21"/>
        <v>1.0554496635879476</v>
      </c>
      <c r="I92">
        <f t="shared" ca="1" si="22"/>
        <v>1.144666403600568</v>
      </c>
      <c r="K92">
        <f t="shared" si="13"/>
        <v>1.024099756204788</v>
      </c>
      <c r="L92" s="7">
        <f t="shared" ca="1" si="14"/>
        <v>0.9875896091883144</v>
      </c>
      <c r="M92">
        <f t="shared" ca="1" si="15"/>
        <v>1.0076855613565181</v>
      </c>
      <c r="N92">
        <v>0.91580746440508243</v>
      </c>
      <c r="O92" t="b">
        <f t="shared" ca="1" si="16"/>
        <v>1</v>
      </c>
      <c r="AA92">
        <v>0.67296106924858112</v>
      </c>
      <c r="AB92">
        <v>0.25223604042260805</v>
      </c>
      <c r="AC92">
        <v>-1.4735692521914523</v>
      </c>
      <c r="AD92">
        <v>3.2504274754513687</v>
      </c>
      <c r="AE92">
        <v>1.2532329603159071</v>
      </c>
      <c r="AF92">
        <v>1.6837475299162554</v>
      </c>
      <c r="AG92">
        <v>0.47681384596936632</v>
      </c>
      <c r="AH92">
        <v>-1.6860984374692793</v>
      </c>
      <c r="AI92">
        <v>-1.6860984374692793</v>
      </c>
      <c r="AJ92">
        <v>-1.6860984374692793</v>
      </c>
      <c r="AK92">
        <v>-1.6860984374692793</v>
      </c>
      <c r="AL92">
        <v>-1.6860984374692793</v>
      </c>
      <c r="AM92">
        <v>-1.6860984374692793</v>
      </c>
      <c r="AN92">
        <v>-1.6860984374692793</v>
      </c>
    </row>
    <row r="93" spans="1:40" x14ac:dyDescent="0.45">
      <c r="A93" s="1">
        <v>45104</v>
      </c>
      <c r="B93">
        <v>250.21</v>
      </c>
      <c r="C93" s="5">
        <f t="shared" si="12"/>
        <v>3.8000414851690506E-2</v>
      </c>
      <c r="D93">
        <f t="shared" ca="1" si="17"/>
        <v>7.0861078523838295E-5</v>
      </c>
      <c r="E93">
        <f t="shared" ca="1" si="18"/>
        <v>3.9863064962708486E-2</v>
      </c>
      <c r="F93">
        <f t="shared" ca="1" si="19"/>
        <v>-0.1621294430824865</v>
      </c>
      <c r="G93">
        <f t="shared" ca="1" si="20"/>
        <v>0.44509043831507844</v>
      </c>
      <c r="H93">
        <f t="shared" ca="1" si="21"/>
        <v>1.0554496635879476</v>
      </c>
      <c r="I93">
        <f t="shared" ca="1" si="22"/>
        <v>1.1512648316528802</v>
      </c>
      <c r="K93">
        <f t="shared" si="13"/>
        <v>1.0380004148516906</v>
      </c>
      <c r="L93" s="7">
        <f t="shared" ca="1" si="14"/>
        <v>0.91167790125705983</v>
      </c>
      <c r="M93">
        <f t="shared" ca="1" si="15"/>
        <v>0.95929929317321294</v>
      </c>
      <c r="N93">
        <v>0.99921080936106144</v>
      </c>
      <c r="O93" t="b">
        <f t="shared" ca="1" si="16"/>
        <v>1</v>
      </c>
      <c r="AA93">
        <v>0.65366877254033939</v>
      </c>
      <c r="AB93">
        <v>0.4527580210888279</v>
      </c>
      <c r="AC93">
        <v>-1.4717249412812456</v>
      </c>
      <c r="AD93">
        <v>3.0940385413007427</v>
      </c>
      <c r="AE93">
        <v>1.30048145193117</v>
      </c>
      <c r="AF93">
        <v>1.6325400795506406</v>
      </c>
      <c r="AG93">
        <v>0.48156136270840655</v>
      </c>
      <c r="AH93">
        <v>-1.5954715883339885</v>
      </c>
      <c r="AI93">
        <v>-1.5954715883339885</v>
      </c>
      <c r="AJ93">
        <v>-1.5954715883339885</v>
      </c>
      <c r="AK93">
        <v>-1.5954715883339885</v>
      </c>
      <c r="AL93">
        <v>-1.5954715883339885</v>
      </c>
      <c r="AM93">
        <v>-1.5954715883339885</v>
      </c>
      <c r="AN93">
        <v>-1.5954715883339885</v>
      </c>
    </row>
    <row r="94" spans="1:40" x14ac:dyDescent="0.45">
      <c r="A94" s="1">
        <v>45103</v>
      </c>
      <c r="B94">
        <v>241.05</v>
      </c>
      <c r="C94" s="5">
        <f t="shared" si="12"/>
        <v>-6.0600155884645401E-2</v>
      </c>
      <c r="D94">
        <f t="shared" ca="1" si="17"/>
        <v>-2.115016034511837E-5</v>
      </c>
      <c r="E94">
        <f t="shared" ca="1" si="18"/>
        <v>3.9796258574713639E-2</v>
      </c>
      <c r="F94">
        <f t="shared" ca="1" si="19"/>
        <v>-0.159735990932491</v>
      </c>
      <c r="G94">
        <f t="shared" ca="1" si="20"/>
        <v>0.46307644714645368</v>
      </c>
      <c r="H94">
        <f t="shared" ca="1" si="21"/>
        <v>1.0554496635879476</v>
      </c>
      <c r="I94">
        <f t="shared" ca="1" si="22"/>
        <v>1.102720994957785</v>
      </c>
      <c r="K94">
        <f t="shared" si="13"/>
        <v>0.9393998441153546</v>
      </c>
      <c r="L94" s="7">
        <f t="shared" ca="1" si="14"/>
        <v>0.92519382820296303</v>
      </c>
      <c r="M94">
        <f t="shared" ca="1" si="15"/>
        <v>1.0022883911023341</v>
      </c>
      <c r="N94">
        <v>1.059201788801607</v>
      </c>
      <c r="O94" t="b">
        <f t="shared" ca="1" si="16"/>
        <v>0</v>
      </c>
      <c r="AA94">
        <v>0.68838147109046555</v>
      </c>
      <c r="AB94">
        <v>0.67022996764593545</v>
      </c>
      <c r="AC94">
        <v>-3.0592215512401211</v>
      </c>
      <c r="AD94">
        <v>5.0385415801503388</v>
      </c>
      <c r="AE94">
        <v>2.1722723590694519</v>
      </c>
      <c r="AF94">
        <v>3.2330473186256325</v>
      </c>
      <c r="AG94">
        <v>0.91116243127067487</v>
      </c>
      <c r="AH94">
        <v>-2.561087208631414</v>
      </c>
      <c r="AI94">
        <v>-2.561087208631414</v>
      </c>
      <c r="AJ94">
        <v>-2.561087208631414</v>
      </c>
      <c r="AK94">
        <v>-2.561087208631414</v>
      </c>
      <c r="AL94">
        <v>-2.561087208631414</v>
      </c>
      <c r="AM94">
        <v>-2.561087208631414</v>
      </c>
      <c r="AN94">
        <v>-2.561087208631414</v>
      </c>
    </row>
    <row r="95" spans="1:40" x14ac:dyDescent="0.45">
      <c r="A95" s="1">
        <v>45100</v>
      </c>
      <c r="B95">
        <v>256.60000000000002</v>
      </c>
      <c r="C95" s="5">
        <f t="shared" si="12"/>
        <v>-3.0270964816144479E-2</v>
      </c>
      <c r="D95">
        <f t="shared" ca="1" si="17"/>
        <v>4.5093450509224559E-4</v>
      </c>
      <c r="E95">
        <f t="shared" ca="1" si="18"/>
        <v>3.9633706894648506E-2</v>
      </c>
      <c r="F95">
        <f t="shared" ca="1" si="19"/>
        <v>-0.17652159467476813</v>
      </c>
      <c r="G95">
        <f t="shared" ca="1" si="20"/>
        <v>0.5031844284388769</v>
      </c>
      <c r="H95">
        <f t="shared" ca="1" si="21"/>
        <v>1.0554496635879476</v>
      </c>
      <c r="I95">
        <f t="shared" ca="1" si="22"/>
        <v>1.185216703344188</v>
      </c>
      <c r="K95">
        <f t="shared" si="13"/>
        <v>0.96972903518385556</v>
      </c>
      <c r="L95" s="7">
        <f t="shared" ca="1" si="14"/>
        <v>1.0027354435326299</v>
      </c>
      <c r="M95">
        <f t="shared" ca="1" si="15"/>
        <v>1.0435905967282166</v>
      </c>
      <c r="N95">
        <v>1.0666931067028353</v>
      </c>
      <c r="O95" t="b">
        <f t="shared" ca="1" si="16"/>
        <v>1</v>
      </c>
      <c r="AA95">
        <v>0.694523639967908</v>
      </c>
      <c r="AB95">
        <v>0.92373613480367023</v>
      </c>
      <c r="AC95">
        <v>-2.6281093451616924</v>
      </c>
      <c r="AD95">
        <v>4.8852492483588961</v>
      </c>
      <c r="AE95">
        <v>1.599189953146116</v>
      </c>
      <c r="AF95">
        <v>2.915059754943782</v>
      </c>
      <c r="AG95">
        <v>0.13754672541281726</v>
      </c>
      <c r="AH95">
        <v>-2.2886488074885305</v>
      </c>
      <c r="AI95">
        <v>-2.2886488074885305</v>
      </c>
      <c r="AJ95">
        <v>-2.2886488074885305</v>
      </c>
      <c r="AK95">
        <v>-2.2886488074885305</v>
      </c>
      <c r="AL95">
        <v>-2.2886488074885305</v>
      </c>
      <c r="AM95">
        <v>-2.2886488074885305</v>
      </c>
      <c r="AN95">
        <v>-2.2886488074885305</v>
      </c>
    </row>
    <row r="96" spans="1:40" x14ac:dyDescent="0.45">
      <c r="A96" s="1">
        <v>45099</v>
      </c>
      <c r="B96">
        <v>264.61</v>
      </c>
      <c r="C96" s="5">
        <f t="shared" si="12"/>
        <v>1.984891698142309E-2</v>
      </c>
      <c r="D96">
        <f t="shared" ca="1" si="17"/>
        <v>6.8019170140197613E-4</v>
      </c>
      <c r="E96">
        <f t="shared" ca="1" si="18"/>
        <v>3.9587690959690489E-2</v>
      </c>
      <c r="F96">
        <f t="shared" ca="1" si="19"/>
        <v>-0.19203124935523985</v>
      </c>
      <c r="G96">
        <f t="shared" ca="1" si="20"/>
        <v>0.52227742498499063</v>
      </c>
      <c r="H96">
        <f t="shared" ca="1" si="21"/>
        <v>1.0554496635879476</v>
      </c>
      <c r="I96">
        <f t="shared" ca="1" si="22"/>
        <v>1.1941870702803312</v>
      </c>
      <c r="K96">
        <f t="shared" si="13"/>
        <v>1.0198489169814231</v>
      </c>
      <c r="L96" s="7">
        <f t="shared" ca="1" si="14"/>
        <v>1.0304528992562014</v>
      </c>
      <c r="M96">
        <f t="shared" ca="1" si="15"/>
        <v>1.0517293716932641</v>
      </c>
      <c r="N96">
        <v>1.0788296637677721</v>
      </c>
      <c r="O96" t="b">
        <f t="shared" ca="1" si="16"/>
        <v>1</v>
      </c>
      <c r="AA96">
        <v>0.70547104677742811</v>
      </c>
      <c r="AB96">
        <v>1.1643355635286969</v>
      </c>
      <c r="AC96">
        <v>-2.9064231409536423</v>
      </c>
      <c r="AD96">
        <v>4.9687303538345269</v>
      </c>
      <c r="AE96">
        <v>1.5604182055951863</v>
      </c>
      <c r="AF96">
        <v>3.3903976935024001</v>
      </c>
      <c r="AG96">
        <v>-3.6366998540652592E-3</v>
      </c>
      <c r="AH96">
        <v>-2.5407602094320723</v>
      </c>
      <c r="AI96">
        <v>-2.5407602094320723</v>
      </c>
      <c r="AJ96">
        <v>-2.5407602094320723</v>
      </c>
      <c r="AK96">
        <v>-2.5407602094320723</v>
      </c>
      <c r="AL96">
        <v>-2.5407602094320723</v>
      </c>
      <c r="AM96">
        <v>-2.5407602094320723</v>
      </c>
      <c r="AN96">
        <v>-2.5407602094320723</v>
      </c>
    </row>
    <row r="97" spans="1:40" x14ac:dyDescent="0.45">
      <c r="A97" s="1">
        <v>45098</v>
      </c>
      <c r="B97">
        <v>259.45999999999998</v>
      </c>
      <c r="C97" s="5">
        <f t="shared" si="12"/>
        <v>-5.4618327564219381E-2</v>
      </c>
      <c r="D97">
        <f t="shared" ca="1" si="17"/>
        <v>4.5556827394903782E-4</v>
      </c>
      <c r="E97">
        <f t="shared" ca="1" si="18"/>
        <v>3.9605828472469677E-2</v>
      </c>
      <c r="F97">
        <f t="shared" ca="1" si="19"/>
        <v>-0.17655247912068867</v>
      </c>
      <c r="G97">
        <f t="shared" ca="1" si="20"/>
        <v>0.51210254561328483</v>
      </c>
      <c r="H97">
        <f t="shared" ca="1" si="21"/>
        <v>1.0554496635879476</v>
      </c>
      <c r="I97">
        <f t="shared" ca="1" si="22"/>
        <v>1.185216703344188</v>
      </c>
      <c r="K97">
        <f t="shared" si="13"/>
        <v>0.94538167243578064</v>
      </c>
      <c r="L97" s="7">
        <f t="shared" ca="1" si="14"/>
        <v>1.0028989988790535</v>
      </c>
      <c r="M97">
        <f t="shared" ca="1" si="15"/>
        <v>1.0558541013823155</v>
      </c>
      <c r="N97">
        <v>1.0704189434283862</v>
      </c>
      <c r="O97" t="b">
        <f t="shared" ca="1" si="16"/>
        <v>1</v>
      </c>
      <c r="AA97">
        <v>0.71790741975352679</v>
      </c>
      <c r="AB97">
        <v>1.5769765060631493</v>
      </c>
      <c r="AC97">
        <v>-2.167347852317798</v>
      </c>
      <c r="AD97">
        <v>4.3944009376058295</v>
      </c>
      <c r="AE97">
        <v>1.0018716264131398</v>
      </c>
      <c r="AF97">
        <v>2.8559722220192216</v>
      </c>
      <c r="AG97">
        <v>-0.78396971449195274</v>
      </c>
      <c r="AH97">
        <v>-2.2398812521120477</v>
      </c>
      <c r="AI97">
        <v>-2.2398812521120477</v>
      </c>
      <c r="AJ97">
        <v>-2.2398812521120477</v>
      </c>
      <c r="AK97">
        <v>-2.2398812521120477</v>
      </c>
      <c r="AL97">
        <v>-2.2398812521120477</v>
      </c>
      <c r="AM97">
        <v>-2.2398812521120477</v>
      </c>
      <c r="AN97">
        <v>-2.2398812521120477</v>
      </c>
    </row>
    <row r="98" spans="1:40" x14ac:dyDescent="0.45">
      <c r="A98" s="1">
        <v>45097</v>
      </c>
      <c r="B98">
        <v>274.45</v>
      </c>
      <c r="C98" s="5">
        <f t="shared" si="12"/>
        <v>5.3389114915176047E-2</v>
      </c>
      <c r="D98">
        <f t="shared" ca="1" si="17"/>
        <v>7.5677935591222196E-4</v>
      </c>
      <c r="E98">
        <f t="shared" ca="1" si="18"/>
        <v>3.9413485184318746E-2</v>
      </c>
      <c r="F98">
        <f t="shared" ca="1" si="19"/>
        <v>-0.18844863789671173</v>
      </c>
      <c r="G98">
        <f t="shared" ca="1" si="20"/>
        <v>0.56783772300651014</v>
      </c>
      <c r="H98">
        <f t="shared" ca="1" si="21"/>
        <v>1.0554496635879476</v>
      </c>
      <c r="I98">
        <f t="shared" ca="1" si="22"/>
        <v>1.1941870702803312</v>
      </c>
      <c r="K98">
        <f t="shared" si="13"/>
        <v>1.053389114915176</v>
      </c>
      <c r="L98" s="7">
        <f t="shared" ca="1" si="14"/>
        <v>1.098547011968138</v>
      </c>
      <c r="M98">
        <f t="shared" ca="1" si="15"/>
        <v>1.0856700676141737</v>
      </c>
      <c r="N98">
        <v>1.0773976023455303</v>
      </c>
      <c r="O98" t="b">
        <f t="shared" ca="1" si="16"/>
        <v>1</v>
      </c>
      <c r="AA98">
        <v>0.71736991728502575</v>
      </c>
      <c r="AB98">
        <v>1.360203162511294</v>
      </c>
      <c r="AC98">
        <v>-2.0653459032693027</v>
      </c>
      <c r="AD98">
        <v>4.3076669480809642</v>
      </c>
      <c r="AE98">
        <v>0.95896787291624519</v>
      </c>
      <c r="AF98">
        <v>2.7643366016172299</v>
      </c>
      <c r="AG98">
        <v>-0.75951605725459359</v>
      </c>
      <c r="AH98">
        <v>-2.0786086771142256</v>
      </c>
      <c r="AI98">
        <v>-2.0786086771142256</v>
      </c>
      <c r="AJ98">
        <v>-2.0786086771142256</v>
      </c>
      <c r="AK98">
        <v>-2.0786086771142256</v>
      </c>
      <c r="AL98">
        <v>-2.0786086771142256</v>
      </c>
      <c r="AM98">
        <v>-2.0786086771142256</v>
      </c>
      <c r="AN98">
        <v>-2.0786086771142256</v>
      </c>
    </row>
    <row r="99" spans="1:40" x14ac:dyDescent="0.45">
      <c r="A99" s="1">
        <v>45093</v>
      </c>
      <c r="B99">
        <v>260.54000000000002</v>
      </c>
      <c r="C99" s="5">
        <f t="shared" si="12"/>
        <v>1.8132082844861331E-2</v>
      </c>
      <c r="D99">
        <f t="shared" ca="1" si="17"/>
        <v>4.522032447861063E-4</v>
      </c>
      <c r="E99">
        <f t="shared" ca="1" si="18"/>
        <v>3.9239698273862686E-2</v>
      </c>
      <c r="F99">
        <f t="shared" ca="1" si="19"/>
        <v>-0.17973859399591002</v>
      </c>
      <c r="G99">
        <f t="shared" ca="1" si="20"/>
        <v>0.6094617156434361</v>
      </c>
      <c r="H99">
        <f t="shared" ca="1" si="21"/>
        <v>1.0554496635879476</v>
      </c>
      <c r="I99">
        <f t="shared" ca="1" si="22"/>
        <v>1.1438333892425339</v>
      </c>
      <c r="K99">
        <f t="shared" si="13"/>
        <v>1.0181320828448612</v>
      </c>
      <c r="L99" s="7">
        <f t="shared" ca="1" si="14"/>
        <v>1.0660392798690672</v>
      </c>
      <c r="M99">
        <f t="shared" ca="1" si="15"/>
        <v>1.0895712771880404</v>
      </c>
      <c r="N99">
        <v>1.07368058267304</v>
      </c>
      <c r="O99" t="b">
        <f t="shared" ca="1" si="16"/>
        <v>1</v>
      </c>
      <c r="AA99">
        <v>0.72079685595459364</v>
      </c>
      <c r="AB99">
        <v>1.4169118909895064</v>
      </c>
      <c r="AC99">
        <v>-2.1952579234191028</v>
      </c>
      <c r="AD99">
        <v>4.2491634475766107</v>
      </c>
      <c r="AE99">
        <v>0.85418384259603131</v>
      </c>
      <c r="AF99">
        <v>2.9483317916480338</v>
      </c>
      <c r="AG99">
        <v>-0.83379376013544237</v>
      </c>
      <c r="AH99">
        <v>-2.0892664945238582</v>
      </c>
      <c r="AI99">
        <v>-2.0892664945238582</v>
      </c>
      <c r="AJ99">
        <v>-2.0892664945238582</v>
      </c>
      <c r="AK99">
        <v>-2.0892664945238582</v>
      </c>
      <c r="AL99">
        <v>-2.0892664945238582</v>
      </c>
      <c r="AM99">
        <v>-2.0892664945238582</v>
      </c>
      <c r="AN99">
        <v>-2.0892664945238582</v>
      </c>
    </row>
    <row r="100" spans="1:40" x14ac:dyDescent="0.45">
      <c r="A100" s="1">
        <v>45092</v>
      </c>
      <c r="B100">
        <v>255.9</v>
      </c>
      <c r="C100" s="5">
        <f t="shared" si="12"/>
        <v>-3.4658670508976781E-3</v>
      </c>
      <c r="D100">
        <f t="shared" ca="1" si="17"/>
        <v>2.3655160803529211E-4</v>
      </c>
      <c r="E100">
        <f t="shared" ca="1" si="18"/>
        <v>3.926055702382953E-2</v>
      </c>
      <c r="F100">
        <f t="shared" ca="1" si="19"/>
        <v>-0.16465338770124843</v>
      </c>
      <c r="G100">
        <f t="shared" ca="1" si="20"/>
        <v>0.59852383906967876</v>
      </c>
      <c r="H100">
        <f t="shared" ca="1" si="21"/>
        <v>1.0554496635879476</v>
      </c>
      <c r="I100">
        <f t="shared" ca="1" si="22"/>
        <v>1.1352412637115574</v>
      </c>
      <c r="K100">
        <f t="shared" si="13"/>
        <v>0.99653413294910231</v>
      </c>
      <c r="L100" s="7">
        <f t="shared" ca="1" si="14"/>
        <v>1.0895852848505492</v>
      </c>
      <c r="M100">
        <f t="shared" ca="1" si="15"/>
        <v>1.1085349023635898</v>
      </c>
      <c r="N100">
        <v>1.0914022958652785</v>
      </c>
      <c r="O100" t="b">
        <f t="shared" ca="1" si="16"/>
        <v>1</v>
      </c>
      <c r="AA100">
        <v>0.70909997287860704</v>
      </c>
      <c r="AB100">
        <v>1.2135491891311034</v>
      </c>
      <c r="AC100">
        <v>-2.7426128935629777</v>
      </c>
      <c r="AD100">
        <v>4.2668521397288979</v>
      </c>
      <c r="AE100">
        <v>0.96426922094867185</v>
      </c>
      <c r="AF100">
        <v>3.3906252483199002</v>
      </c>
      <c r="AG100">
        <v>-0.58449263445286215</v>
      </c>
      <c r="AH100">
        <v>-2.1375839261675367</v>
      </c>
      <c r="AI100">
        <v>-2.1375839261675367</v>
      </c>
      <c r="AJ100">
        <v>-2.1375839261675367</v>
      </c>
      <c r="AK100">
        <v>-2.1375839261675367</v>
      </c>
      <c r="AL100">
        <v>-2.1375839261675367</v>
      </c>
      <c r="AM100">
        <v>-2.1375839261675367</v>
      </c>
      <c r="AN100">
        <v>-2.1375839261675367</v>
      </c>
    </row>
    <row r="101" spans="1:40" x14ac:dyDescent="0.45">
      <c r="A101">
        <v>45091</v>
      </c>
      <c r="B101">
        <v>256.79000000000002</v>
      </c>
      <c r="C101" s="5">
        <f t="shared" si="12"/>
        <v>-7.4214371303774852E-3</v>
      </c>
      <c r="D101">
        <f t="shared" ca="1" si="17"/>
        <v>1.9712784529956896E-4</v>
      </c>
      <c r="E101">
        <f t="shared" ca="1" si="18"/>
        <v>3.9268251526546491E-2</v>
      </c>
      <c r="F101">
        <f t="shared" ca="1" si="19"/>
        <v>-0.16164046989780875</v>
      </c>
      <c r="G101">
        <f t="shared" ca="1" si="20"/>
        <v>0.59503864693759745</v>
      </c>
      <c r="H101">
        <f t="shared" ca="1" si="21"/>
        <v>1.0554496635879476</v>
      </c>
      <c r="I101">
        <f t="shared" ca="1" si="22"/>
        <v>1.1352412637115574</v>
      </c>
      <c r="K101">
        <f t="shared" si="13"/>
        <v>0.99257856286962254</v>
      </c>
      <c r="L101" s="7">
        <f t="shared" ca="1" si="14"/>
        <v>1.1434741951284677</v>
      </c>
      <c r="M101">
        <f t="shared" ca="1" si="15"/>
        <v>1.1465984492521293</v>
      </c>
      <c r="N101">
        <v>1.0719970162306067</v>
      </c>
      <c r="O101" t="b">
        <f t="shared" ca="1" si="16"/>
        <v>1</v>
      </c>
      <c r="AA101">
        <v>0.70388093133522422</v>
      </c>
      <c r="AB101">
        <v>1.3839001746702131</v>
      </c>
      <c r="AC101">
        <v>-3.3551221872098531</v>
      </c>
      <c r="AD101">
        <v>4.4177794073537573</v>
      </c>
      <c r="AE101">
        <v>1.4935650542657661</v>
      </c>
      <c r="AF101">
        <v>3.788104248831369</v>
      </c>
      <c r="AG101">
        <v>-0.74431495486664845</v>
      </c>
      <c r="AH101">
        <v>-2.238776796505765</v>
      </c>
      <c r="AI101">
        <v>-2.238776796505765</v>
      </c>
      <c r="AJ101">
        <v>-2.238776796505765</v>
      </c>
      <c r="AK101">
        <v>-2.238776796505765</v>
      </c>
      <c r="AL101">
        <v>-2.238776796505765</v>
      </c>
      <c r="AM101">
        <v>-2.238776796505765</v>
      </c>
      <c r="AN101">
        <v>-2.238776796505765</v>
      </c>
    </row>
    <row r="102" spans="1:40" s="2" customFormat="1" x14ac:dyDescent="0.45">
      <c r="A102" s="1">
        <v>45090</v>
      </c>
      <c r="B102">
        <v>258.70999999999998</v>
      </c>
      <c r="C102" s="5">
        <f t="shared" si="12"/>
        <v>3.5544170035624094E-2</v>
      </c>
      <c r="D102">
        <f t="shared" ca="1" si="17"/>
        <v>9.9469603856511567E-5</v>
      </c>
      <c r="E102">
        <f t="shared" ca="1" si="18"/>
        <v>3.9311556993287096E-2</v>
      </c>
      <c r="F102">
        <f t="shared" ca="1" si="19"/>
        <v>-0.15521412619391464</v>
      </c>
      <c r="G102">
        <f t="shared" ca="1" si="20"/>
        <v>0.57858153627033326</v>
      </c>
      <c r="H102">
        <f t="shared" ca="1" si="21"/>
        <v>1.0554496635879476</v>
      </c>
      <c r="I102">
        <f t="shared" ca="1" si="22"/>
        <v>1.102720994957785</v>
      </c>
      <c r="J102"/>
      <c r="K102">
        <f t="shared" si="13"/>
        <v>1.035544170035624</v>
      </c>
      <c r="L102" s="7">
        <f t="shared" ca="1" si="14"/>
        <v>1.1689937192173872</v>
      </c>
      <c r="M102">
        <f t="shared" ca="1" si="15"/>
        <v>1.1842137992307693</v>
      </c>
      <c r="N102">
        <v>1.0531012490766409</v>
      </c>
      <c r="O102" t="b">
        <f t="shared" ca="1" si="16"/>
        <v>1</v>
      </c>
      <c r="P102"/>
      <c r="AA102" s="2">
        <v>0.6904733133096892</v>
      </c>
      <c r="AB102" s="2">
        <v>1.4205290740129828</v>
      </c>
      <c r="AC102" s="2">
        <v>-4.3019704982682976</v>
      </c>
      <c r="AD102" s="2">
        <v>4.5786164273802061</v>
      </c>
      <c r="AE102" s="2">
        <v>2.3019779212084037</v>
      </c>
      <c r="AF102" s="2">
        <v>4.3598669140678901</v>
      </c>
      <c r="AG102" s="2">
        <v>-0.81559417032115356</v>
      </c>
      <c r="AH102" s="2">
        <v>-2.3309211273986334</v>
      </c>
      <c r="AI102" s="2">
        <v>-2.3309211273986334</v>
      </c>
      <c r="AJ102" s="2">
        <v>-2.3309211273986334</v>
      </c>
      <c r="AK102" s="2">
        <v>-2.3309211273986334</v>
      </c>
      <c r="AL102" s="2">
        <v>-2.3309211273986334</v>
      </c>
      <c r="AM102" s="2">
        <v>-2.3309211273986334</v>
      </c>
      <c r="AN102" s="2">
        <v>-2.3309211273986334</v>
      </c>
    </row>
    <row r="103" spans="1:40" x14ac:dyDescent="0.45">
      <c r="A103" s="1">
        <v>45089</v>
      </c>
      <c r="B103">
        <v>249.83</v>
      </c>
      <c r="C103" s="5">
        <f t="shared" si="12"/>
        <v>2.2217675941080223E-2</v>
      </c>
      <c r="D103">
        <f t="shared" ca="1" si="17"/>
        <v>-9.5530132287018771E-5</v>
      </c>
      <c r="E103">
        <f t="shared" ca="1" si="18"/>
        <v>3.9231500274621363E-2</v>
      </c>
      <c r="F103">
        <f t="shared" ca="1" si="19"/>
        <v>-0.14485118675597397</v>
      </c>
      <c r="G103">
        <f t="shared" ca="1" si="20"/>
        <v>0.60171437276750916</v>
      </c>
      <c r="H103">
        <f t="shared" ca="1" si="21"/>
        <v>1.0554496635879476</v>
      </c>
      <c r="I103">
        <f t="shared" ca="1" si="22"/>
        <v>1.0701647950768758</v>
      </c>
      <c r="K103">
        <f t="shared" si="13"/>
        <v>1.0222176759410802</v>
      </c>
      <c r="L103" s="7">
        <f t="shared" ca="1" si="14"/>
        <v>1.1480630485731351</v>
      </c>
      <c r="M103">
        <f t="shared" ca="1" si="15"/>
        <v>1.2078001044659294</v>
      </c>
      <c r="N103">
        <v>1.0539547723600826</v>
      </c>
      <c r="O103" t="b">
        <f t="shared" ca="1" si="16"/>
        <v>1</v>
      </c>
      <c r="AA103">
        <v>0.69692603303650003</v>
      </c>
      <c r="AB103">
        <v>1.57180840823984</v>
      </c>
      <c r="AC103">
        <v>-4.7867175100409654</v>
      </c>
      <c r="AD103">
        <v>4.6812496858327988</v>
      </c>
      <c r="AE103">
        <v>2.8076371605302559</v>
      </c>
      <c r="AF103">
        <v>4.6374901775068817</v>
      </c>
      <c r="AG103">
        <v>-1.0821897212212135</v>
      </c>
      <c r="AH103">
        <v>-2.3691936146348858</v>
      </c>
      <c r="AI103">
        <v>-2.3691936146348858</v>
      </c>
      <c r="AJ103">
        <v>-2.3691936146348858</v>
      </c>
      <c r="AK103">
        <v>-2.3691936146348858</v>
      </c>
      <c r="AL103">
        <v>-2.3691936146348858</v>
      </c>
      <c r="AM103">
        <v>-2.3691936146348858</v>
      </c>
      <c r="AN103">
        <v>-2.3691936146348858</v>
      </c>
    </row>
    <row r="104" spans="1:40" x14ac:dyDescent="0.45">
      <c r="A104" s="1">
        <v>45086</v>
      </c>
      <c r="B104">
        <v>244.4</v>
      </c>
      <c r="C104" s="5">
        <f t="shared" si="12"/>
        <v>4.0619943796304146E-2</v>
      </c>
      <c r="D104">
        <f t="shared" ca="1" si="17"/>
        <v>-1.9576181632734011E-4</v>
      </c>
      <c r="E104">
        <f t="shared" ca="1" si="18"/>
        <v>3.9199801455669758E-2</v>
      </c>
      <c r="F104">
        <f t="shared" ca="1" si="19"/>
        <v>-0.13838971021708008</v>
      </c>
      <c r="G104">
        <f t="shared" ca="1" si="20"/>
        <v>0.61149855927601582</v>
      </c>
      <c r="H104">
        <f t="shared" ca="1" si="21"/>
        <v>1.0554496635879476</v>
      </c>
      <c r="I104">
        <f t="shared" ca="1" si="22"/>
        <v>1.0265846168069097</v>
      </c>
      <c r="K104">
        <f t="shared" si="13"/>
        <v>1.0406199437963042</v>
      </c>
      <c r="L104" s="7">
        <f t="shared" ca="1" si="14"/>
        <v>1.1422161985325046</v>
      </c>
      <c r="M104">
        <f t="shared" ca="1" si="15"/>
        <v>1.2363766927912816</v>
      </c>
      <c r="N104">
        <v>1.0663523012988172</v>
      </c>
      <c r="O104" t="b">
        <f t="shared" ca="1" si="16"/>
        <v>1</v>
      </c>
      <c r="AA104">
        <v>0.69559130401536906</v>
      </c>
      <c r="AB104">
        <v>1.4921875341327584</v>
      </c>
      <c r="AC104">
        <v>-5.0689023051571303</v>
      </c>
      <c r="AD104">
        <v>4.5944684751974867</v>
      </c>
      <c r="AE104">
        <v>3.0765231738379448</v>
      </c>
      <c r="AF104">
        <v>4.7419943573779992</v>
      </c>
      <c r="AG104">
        <v>-1.1891735490786899</v>
      </c>
      <c r="AH104">
        <v>-2.2871504751820071</v>
      </c>
      <c r="AI104">
        <v>-2.2871504751820071</v>
      </c>
      <c r="AJ104">
        <v>-2.2871504751820071</v>
      </c>
      <c r="AK104">
        <v>-2.2871504751820071</v>
      </c>
      <c r="AL104">
        <v>-2.2871504751820071</v>
      </c>
      <c r="AM104">
        <v>-2.2871504751820071</v>
      </c>
      <c r="AN104">
        <v>-2.2871504751820071</v>
      </c>
    </row>
    <row r="105" spans="1:40" x14ac:dyDescent="0.45">
      <c r="A105" s="1">
        <v>45085</v>
      </c>
      <c r="B105">
        <v>234.86</v>
      </c>
      <c r="C105" s="5">
        <f t="shared" si="12"/>
        <v>4.5820902168588952E-2</v>
      </c>
      <c r="D105">
        <f t="shared" ca="1" si="17"/>
        <v>-2.8606907688167818E-4</v>
      </c>
      <c r="E105">
        <f t="shared" ca="1" si="18"/>
        <v>3.9126034306242882E-2</v>
      </c>
      <c r="F105">
        <f t="shared" ca="1" si="19"/>
        <v>-0.13694355460937238</v>
      </c>
      <c r="G105">
        <f t="shared" ca="1" si="20"/>
        <v>0.63229412929566475</v>
      </c>
      <c r="H105">
        <f t="shared" ca="1" si="21"/>
        <v>1.0554496635879476</v>
      </c>
      <c r="I105">
        <f t="shared" ca="1" si="22"/>
        <v>1.0241361364539774</v>
      </c>
      <c r="K105">
        <f t="shared" si="13"/>
        <v>1.0458209021685889</v>
      </c>
      <c r="L105" s="7">
        <f t="shared" ca="1" si="14"/>
        <v>1.1317463377023902</v>
      </c>
      <c r="M105">
        <f t="shared" ca="1" si="15"/>
        <v>1.2766749488904559</v>
      </c>
      <c r="N105">
        <v>1.1064066960984129</v>
      </c>
      <c r="O105" t="b">
        <f t="shared" ca="1" si="16"/>
        <v>1</v>
      </c>
      <c r="AA105">
        <v>0.6814671134140069</v>
      </c>
      <c r="AB105">
        <v>1.4691466259159323</v>
      </c>
      <c r="AC105">
        <v>-5.0670625804209921</v>
      </c>
      <c r="AD105">
        <v>4.3679228347492849</v>
      </c>
      <c r="AE105">
        <v>3.4856784069520819</v>
      </c>
      <c r="AF105">
        <v>4.4874448283745245</v>
      </c>
      <c r="AG105">
        <v>-1.1905038078140544</v>
      </c>
      <c r="AH105">
        <v>-2.0471398249248098</v>
      </c>
      <c r="AI105">
        <v>-2.0471398249248098</v>
      </c>
      <c r="AJ105">
        <v>-2.0471398249248098</v>
      </c>
      <c r="AK105">
        <v>-2.0471398249248098</v>
      </c>
      <c r="AL105">
        <v>-2.0471398249248098</v>
      </c>
      <c r="AM105">
        <v>-2.0471398249248098</v>
      </c>
      <c r="AN105">
        <v>-2.0471398249248098</v>
      </c>
    </row>
    <row r="106" spans="1:40" x14ac:dyDescent="0.45">
      <c r="A106" s="1">
        <v>45084</v>
      </c>
      <c r="B106">
        <v>224.57</v>
      </c>
      <c r="C106" s="5">
        <f t="shared" si="12"/>
        <v>1.4730468573494153E-2</v>
      </c>
      <c r="D106">
        <f t="shared" ca="1" si="17"/>
        <v>-6.2900492049840575E-4</v>
      </c>
      <c r="E106">
        <f t="shared" ca="1" si="18"/>
        <v>3.9020317541623169E-2</v>
      </c>
      <c r="F106">
        <f t="shared" ca="1" si="19"/>
        <v>-0.12077138707976583</v>
      </c>
      <c r="G106">
        <f t="shared" ca="1" si="20"/>
        <v>0.65798099678367317</v>
      </c>
      <c r="H106">
        <f t="shared" ca="1" si="21"/>
        <v>1.0554496635879476</v>
      </c>
      <c r="I106">
        <f t="shared" ca="1" si="22"/>
        <v>0.9423837279392292</v>
      </c>
      <c r="K106">
        <f t="shared" si="13"/>
        <v>1.0147304685734941</v>
      </c>
      <c r="L106" s="7">
        <f t="shared" ca="1" si="14"/>
        <v>1.1012111999215415</v>
      </c>
      <c r="M106">
        <f t="shared" ca="1" si="15"/>
        <v>1.2664045077150394</v>
      </c>
      <c r="N106">
        <v>1.0882363348251536</v>
      </c>
      <c r="O106" t="b">
        <f t="shared" ca="1" si="16"/>
        <v>1</v>
      </c>
      <c r="AA106">
        <v>0.65493202564368536</v>
      </c>
      <c r="AB106">
        <v>1.2603307854457264</v>
      </c>
      <c r="AC106">
        <v>-4.6594334690942416</v>
      </c>
      <c r="AD106">
        <v>3.8647772674428555</v>
      </c>
      <c r="AE106">
        <v>3.0367337118829054</v>
      </c>
      <c r="AF106">
        <v>4.2758541823201544</v>
      </c>
      <c r="AG106">
        <v>-1.2519780481726566</v>
      </c>
      <c r="AH106">
        <v>-2.0467180834305152</v>
      </c>
      <c r="AI106">
        <v>-2.0467180834305152</v>
      </c>
      <c r="AJ106">
        <v>-2.0467180834305152</v>
      </c>
      <c r="AK106">
        <v>-2.0467180834305152</v>
      </c>
      <c r="AL106">
        <v>-2.0467180834305152</v>
      </c>
      <c r="AM106">
        <v>-2.0467180834305152</v>
      </c>
      <c r="AN106">
        <v>-2.0467180834305152</v>
      </c>
    </row>
    <row r="107" spans="1:40" x14ac:dyDescent="0.45">
      <c r="A107" s="1">
        <v>45083</v>
      </c>
      <c r="B107">
        <v>221.31</v>
      </c>
      <c r="C107" s="5">
        <f t="shared" si="12"/>
        <v>1.7002895087541881E-2</v>
      </c>
      <c r="D107">
        <f t="shared" ca="1" si="17"/>
        <v>-8.0506093490812446E-4</v>
      </c>
      <c r="E107">
        <f t="shared" ca="1" si="18"/>
        <v>3.9030102389755815E-2</v>
      </c>
      <c r="F107">
        <f t="shared" ca="1" si="19"/>
        <v>-0.10798870721557384</v>
      </c>
      <c r="G107">
        <f t="shared" ca="1" si="20"/>
        <v>0.65237684396104179</v>
      </c>
      <c r="H107">
        <f t="shared" ca="1" si="21"/>
        <v>1.0554496635879476</v>
      </c>
      <c r="I107">
        <f t="shared" ca="1" si="22"/>
        <v>0.9423837279392292</v>
      </c>
      <c r="K107">
        <f t="shared" si="13"/>
        <v>1.0170028950875418</v>
      </c>
      <c r="L107" s="7">
        <f t="shared" ca="1" si="14"/>
        <v>1.1001690196858223</v>
      </c>
      <c r="M107">
        <f t="shared" ca="1" si="15"/>
        <v>1.2432318914546294</v>
      </c>
      <c r="N107">
        <v>1.044874813547565</v>
      </c>
      <c r="O107" t="b">
        <f t="shared" ca="1" si="16"/>
        <v>1</v>
      </c>
      <c r="AA107">
        <v>0.64982559692365482</v>
      </c>
      <c r="AB107">
        <v>0.84069274338614119</v>
      </c>
      <c r="AC107">
        <v>-4.5876821251866824</v>
      </c>
      <c r="AD107">
        <v>3.5740777326822282</v>
      </c>
      <c r="AE107">
        <v>3.0320759541397355</v>
      </c>
      <c r="AF107">
        <v>4.1813745692986641</v>
      </c>
      <c r="AG107">
        <v>-1.3200410098266551</v>
      </c>
      <c r="AH107">
        <v>-1.8832115522505535</v>
      </c>
      <c r="AI107">
        <v>-1.8832115522505535</v>
      </c>
      <c r="AJ107">
        <v>-1.8832115522505535</v>
      </c>
      <c r="AK107">
        <v>-1.8832115522505535</v>
      </c>
      <c r="AL107">
        <v>-1.8832115522505535</v>
      </c>
      <c r="AM107">
        <v>-1.8832115522505535</v>
      </c>
      <c r="AN107">
        <v>-1.8832115522505535</v>
      </c>
    </row>
    <row r="108" spans="1:40" x14ac:dyDescent="0.45">
      <c r="A108" s="1">
        <v>45082</v>
      </c>
      <c r="B108">
        <v>217.61</v>
      </c>
      <c r="C108" s="5">
        <f t="shared" si="12"/>
        <v>1.7011730616441626E-2</v>
      </c>
      <c r="D108">
        <f t="shared" ca="1" si="17"/>
        <v>-9.0861177748103607E-4</v>
      </c>
      <c r="E108">
        <f t="shared" ca="1" si="18"/>
        <v>3.9010086609745045E-2</v>
      </c>
      <c r="F108">
        <f t="shared" ca="1" si="19"/>
        <v>-0.10059612227178126</v>
      </c>
      <c r="G108">
        <f t="shared" ca="1" si="20"/>
        <v>0.65861452057795322</v>
      </c>
      <c r="H108">
        <f t="shared" ca="1" si="21"/>
        <v>1.0554496635879476</v>
      </c>
      <c r="I108">
        <f t="shared" ca="1" si="22"/>
        <v>0.9423837279392292</v>
      </c>
      <c r="K108">
        <f t="shared" si="13"/>
        <v>1.0170117306164417</v>
      </c>
      <c r="L108" s="7">
        <f t="shared" ca="1" si="14"/>
        <v>1.1265206812652069</v>
      </c>
      <c r="M108">
        <f t="shared" ca="1" si="15"/>
        <v>1.2842158647410322</v>
      </c>
      <c r="N108">
        <v>1.0694134938671116</v>
      </c>
      <c r="O108" t="b">
        <f t="shared" ca="1" si="16"/>
        <v>1</v>
      </c>
      <c r="AA108">
        <v>0.64045045181727578</v>
      </c>
      <c r="AB108">
        <v>0.71499524987834417</v>
      </c>
      <c r="AC108">
        <v>-4.3282299122098316</v>
      </c>
      <c r="AD108">
        <v>3.2249260351249127</v>
      </c>
      <c r="AE108">
        <v>2.986073723212312</v>
      </c>
      <c r="AF108">
        <v>4.0611915146100097</v>
      </c>
      <c r="AG108">
        <v>-1.4853377880635363</v>
      </c>
      <c r="AH108">
        <v>-1.833651074382797</v>
      </c>
      <c r="AI108">
        <v>-1.833651074382797</v>
      </c>
      <c r="AJ108">
        <v>-1.833651074382797</v>
      </c>
      <c r="AK108">
        <v>-1.833651074382797</v>
      </c>
      <c r="AL108">
        <v>-1.833651074382797</v>
      </c>
      <c r="AM108">
        <v>-1.833651074382797</v>
      </c>
      <c r="AN108">
        <v>-1.833651074382797</v>
      </c>
    </row>
    <row r="109" spans="1:40" x14ac:dyDescent="0.45">
      <c r="A109" s="1">
        <v>45079</v>
      </c>
      <c r="B109">
        <v>213.97</v>
      </c>
      <c r="C109" s="5">
        <f t="shared" si="12"/>
        <v>3.108134155744019E-2</v>
      </c>
      <c r="D109">
        <f t="shared" ca="1" si="17"/>
        <v>-1.0355215345777533E-3</v>
      </c>
      <c r="E109">
        <f t="shared" ca="1" si="18"/>
        <v>3.899277734453821E-2</v>
      </c>
      <c r="F109">
        <f t="shared" ca="1" si="19"/>
        <v>-9.13956743866432E-2</v>
      </c>
      <c r="G109">
        <f t="shared" ca="1" si="20"/>
        <v>0.66369291155399512</v>
      </c>
      <c r="H109">
        <f t="shared" ca="1" si="21"/>
        <v>1.0554496635879476</v>
      </c>
      <c r="I109">
        <f t="shared" ca="1" si="22"/>
        <v>0.9423837279392292</v>
      </c>
      <c r="K109">
        <f t="shared" si="13"/>
        <v>1.0310813415574402</v>
      </c>
      <c r="L109" s="7">
        <f t="shared" ca="1" si="14"/>
        <v>1.1599176017780668</v>
      </c>
      <c r="M109">
        <f t="shared" ca="1" si="15"/>
        <v>1.2924408686048525</v>
      </c>
      <c r="N109">
        <v>1.0508820445179929</v>
      </c>
      <c r="O109" t="b">
        <f t="shared" ca="1" si="16"/>
        <v>1</v>
      </c>
      <c r="AA109">
        <v>0.6447651751838156</v>
      </c>
      <c r="AB109">
        <v>0.38270131915416417</v>
      </c>
      <c r="AC109">
        <v>-3.9563028844807087</v>
      </c>
      <c r="AD109">
        <v>2.5080333861193576</v>
      </c>
      <c r="AE109">
        <v>3.0501018752721762</v>
      </c>
      <c r="AF109">
        <v>3.777715912886261</v>
      </c>
      <c r="AG109">
        <v>-1.8561149435767199</v>
      </c>
      <c r="AH109">
        <v>-1.5604326310744687</v>
      </c>
      <c r="AI109">
        <v>-1.5604326310744687</v>
      </c>
      <c r="AJ109">
        <v>-1.5604326310744687</v>
      </c>
      <c r="AK109">
        <v>-1.5604326310744687</v>
      </c>
      <c r="AL109">
        <v>-1.5604326310744687</v>
      </c>
      <c r="AM109">
        <v>-1.5604326310744687</v>
      </c>
      <c r="AN109">
        <v>-1.5604326310744687</v>
      </c>
    </row>
    <row r="110" spans="1:40" x14ac:dyDescent="0.45">
      <c r="A110" s="1">
        <v>45078</v>
      </c>
      <c r="B110">
        <v>207.52</v>
      </c>
      <c r="C110" s="5">
        <f t="shared" si="12"/>
        <v>1.7604079831314682E-2</v>
      </c>
      <c r="D110">
        <f t="shared" ca="1" si="17"/>
        <v>-1.2354937408778207E-3</v>
      </c>
      <c r="E110">
        <f t="shared" ca="1" si="18"/>
        <v>3.8929743824201217E-2</v>
      </c>
      <c r="F110">
        <f t="shared" ca="1" si="19"/>
        <v>-7.9166511299436068E-2</v>
      </c>
      <c r="G110">
        <f t="shared" ca="1" si="20"/>
        <v>0.68356290482975046</v>
      </c>
      <c r="H110">
        <f t="shared" ca="1" si="21"/>
        <v>1.0554496635879476</v>
      </c>
      <c r="I110">
        <f t="shared" ca="1" si="22"/>
        <v>0.93023602586406895</v>
      </c>
      <c r="K110">
        <f t="shared" si="13"/>
        <v>1.0176040798313146</v>
      </c>
      <c r="L110" s="7">
        <f t="shared" ca="1" si="14"/>
        <v>1.1346090759978129</v>
      </c>
      <c r="M110">
        <f t="shared" ca="1" si="15"/>
        <v>1.311260148380438</v>
      </c>
      <c r="N110">
        <v>1.0530923177410627</v>
      </c>
      <c r="O110" t="b">
        <f t="shared" ca="1" si="16"/>
        <v>1</v>
      </c>
      <c r="AA110">
        <v>0.62714362138358049</v>
      </c>
      <c r="AB110">
        <v>0.49691721088206636</v>
      </c>
      <c r="AC110">
        <v>-3.3223568548639602</v>
      </c>
      <c r="AD110">
        <v>1.9157282294556923</v>
      </c>
      <c r="AE110">
        <v>2.7244645644791197</v>
      </c>
      <c r="AF110">
        <v>3.5291724302496945</v>
      </c>
      <c r="AG110">
        <v>-2.2533176839656548</v>
      </c>
      <c r="AH110">
        <v>-1.5582517764329766</v>
      </c>
      <c r="AI110">
        <v>-1.5582517764329766</v>
      </c>
      <c r="AJ110">
        <v>-1.5582517764329766</v>
      </c>
      <c r="AK110">
        <v>-1.5582517764329766</v>
      </c>
      <c r="AL110">
        <v>-1.5582517764329766</v>
      </c>
      <c r="AM110">
        <v>-1.5582517764329766</v>
      </c>
      <c r="AN110">
        <v>-1.5582517764329766</v>
      </c>
    </row>
    <row r="111" spans="1:40" x14ac:dyDescent="0.45">
      <c r="A111" s="1">
        <v>45077</v>
      </c>
      <c r="B111">
        <v>203.93</v>
      </c>
      <c r="C111" s="5">
        <f t="shared" si="12"/>
        <v>1.3770133227281817E-2</v>
      </c>
      <c r="D111">
        <f t="shared" ca="1" si="17"/>
        <v>-1.1686962884862153E-3</v>
      </c>
      <c r="E111">
        <f t="shared" ca="1" si="18"/>
        <v>3.8973668710782422E-2</v>
      </c>
      <c r="F111">
        <f t="shared" ca="1" si="19"/>
        <v>-8.1803776650472171E-2</v>
      </c>
      <c r="G111">
        <f t="shared" ca="1" si="20"/>
        <v>0.66946302122326262</v>
      </c>
      <c r="H111">
        <f t="shared" ca="1" si="21"/>
        <v>1.0554496635879476</v>
      </c>
      <c r="I111">
        <f t="shared" ca="1" si="22"/>
        <v>0.9423837279392292</v>
      </c>
      <c r="K111">
        <f t="shared" si="13"/>
        <v>1.0137701332272817</v>
      </c>
      <c r="L111" s="7">
        <f t="shared" ca="1" si="14"/>
        <v>1.0977552887979758</v>
      </c>
      <c r="M111">
        <f t="shared" ca="1" si="15"/>
        <v>1.28613821299589</v>
      </c>
      <c r="N111">
        <v>1.0149950441465232</v>
      </c>
      <c r="O111" t="b">
        <f t="shared" ca="1" si="16"/>
        <v>1</v>
      </c>
      <c r="AA111">
        <v>0.63694222327314398</v>
      </c>
      <c r="AB111">
        <v>0.71251328523910329</v>
      </c>
      <c r="AC111">
        <v>-2.8013489316085645</v>
      </c>
      <c r="AD111">
        <v>1.356955283664613</v>
      </c>
      <c r="AE111">
        <v>2.7962106888511142</v>
      </c>
      <c r="AF111">
        <v>3.3361341085434626</v>
      </c>
      <c r="AG111">
        <v>-2.8048624113234699</v>
      </c>
      <c r="AH111">
        <v>-1.5815341521917934</v>
      </c>
      <c r="AI111">
        <v>-1.5815341521917934</v>
      </c>
      <c r="AJ111">
        <v>-1.5815341521917934</v>
      </c>
      <c r="AK111">
        <v>-1.5815341521917934</v>
      </c>
      <c r="AL111">
        <v>-1.5815341521917934</v>
      </c>
      <c r="AM111">
        <v>-1.5815341521917934</v>
      </c>
      <c r="AN111">
        <v>-1.5815341521917934</v>
      </c>
    </row>
    <row r="112" spans="1:40" x14ac:dyDescent="0.45">
      <c r="A112" s="1">
        <v>45076</v>
      </c>
      <c r="B112">
        <v>201.16</v>
      </c>
      <c r="C112" s="5">
        <f t="shared" si="12"/>
        <v>4.1362530413625351E-2</v>
      </c>
      <c r="D112">
        <f t="shared" ca="1" si="17"/>
        <v>-1.0037961260282694E-3</v>
      </c>
      <c r="E112">
        <f t="shared" ca="1" si="18"/>
        <v>3.9106736686478662E-2</v>
      </c>
      <c r="F112">
        <f t="shared" ca="1" si="19"/>
        <v>-8.4693879582765766E-2</v>
      </c>
      <c r="G112">
        <f t="shared" ca="1" si="20"/>
        <v>0.63206593818783885</v>
      </c>
      <c r="H112">
        <f t="shared" ca="1" si="21"/>
        <v>1.0554496635879476</v>
      </c>
      <c r="I112">
        <f t="shared" ca="1" si="22"/>
        <v>0.9730789457433574</v>
      </c>
      <c r="K112">
        <f t="shared" si="13"/>
        <v>1.0413625304136254</v>
      </c>
      <c r="L112" s="7">
        <f t="shared" ca="1" si="14"/>
        <v>1.065071213003653</v>
      </c>
      <c r="M112">
        <f t="shared" ca="1" si="15"/>
        <v>1.312872284761228</v>
      </c>
      <c r="N112">
        <v>1.026696554970318</v>
      </c>
      <c r="O112" t="b">
        <f t="shared" ca="1" si="16"/>
        <v>1</v>
      </c>
      <c r="AA112">
        <v>0.62823014980741243</v>
      </c>
      <c r="AB112">
        <v>0.69139858957856737</v>
      </c>
      <c r="AC112">
        <v>-2.8746949045372796</v>
      </c>
      <c r="AD112">
        <v>1.7824522110175722</v>
      </c>
      <c r="AE112">
        <v>2.783479261076935</v>
      </c>
      <c r="AF112">
        <v>3.5224371962468064</v>
      </c>
      <c r="AG112">
        <v>-2.6498157477528101</v>
      </c>
      <c r="AH112">
        <v>-1.7732776259412999</v>
      </c>
      <c r="AI112">
        <v>-1.7732776259412999</v>
      </c>
      <c r="AJ112">
        <v>-1.7732776259412999</v>
      </c>
      <c r="AK112">
        <v>-1.7732776259412999</v>
      </c>
      <c r="AL112">
        <v>-1.7732776259412999</v>
      </c>
      <c r="AM112">
        <v>-1.7732776259412999</v>
      </c>
      <c r="AN112">
        <v>-1.7732776259412999</v>
      </c>
    </row>
    <row r="113" spans="1:40" x14ac:dyDescent="0.45">
      <c r="A113" s="1">
        <v>45072</v>
      </c>
      <c r="B113">
        <v>193.17</v>
      </c>
      <c r="C113" s="5">
        <f t="shared" si="12"/>
        <v>4.716214018539594E-2</v>
      </c>
      <c r="D113">
        <f t="shared" ca="1" si="17"/>
        <v>-1.3418609650666402E-3</v>
      </c>
      <c r="E113">
        <f t="shared" ca="1" si="18"/>
        <v>3.9030825577219194E-2</v>
      </c>
      <c r="F113">
        <f t="shared" ca="1" si="19"/>
        <v>-6.6806738164421536E-2</v>
      </c>
      <c r="G113">
        <f t="shared" ca="1" si="20"/>
        <v>0.65165327994019817</v>
      </c>
      <c r="H113">
        <f t="shared" ca="1" si="21"/>
        <v>1.0554496635879476</v>
      </c>
      <c r="I113">
        <f t="shared" ca="1" si="22"/>
        <v>0.89954997104699308</v>
      </c>
      <c r="K113">
        <f t="shared" si="13"/>
        <v>1.0471621401853959</v>
      </c>
      <c r="L113" s="7">
        <f t="shared" ca="1" si="14"/>
        <v>1.0723326301765292</v>
      </c>
      <c r="M113">
        <f t="shared" ca="1" si="15"/>
        <v>1.3575321442742676</v>
      </c>
      <c r="N113">
        <v>1.0545535946396418</v>
      </c>
      <c r="O113" t="b">
        <f t="shared" ca="1" si="16"/>
        <v>1</v>
      </c>
      <c r="AA113">
        <v>0.62786791574857659</v>
      </c>
      <c r="AB113">
        <v>0.73970751421718139</v>
      </c>
      <c r="AC113">
        <v>-2.8147837954801878</v>
      </c>
      <c r="AD113">
        <v>1.8158654346020009</v>
      </c>
      <c r="AE113">
        <v>2.7977623832636209</v>
      </c>
      <c r="AF113">
        <v>3.5508324501510997</v>
      </c>
      <c r="AG113">
        <v>-2.7434386723004902</v>
      </c>
      <c r="AH113">
        <v>-1.8116644520658027</v>
      </c>
      <c r="AI113">
        <v>-1.8116644520658027</v>
      </c>
      <c r="AJ113">
        <v>-1.8116644520658027</v>
      </c>
      <c r="AK113">
        <v>-1.8116644520658027</v>
      </c>
      <c r="AL113">
        <v>-1.8116644520658027</v>
      </c>
      <c r="AM113">
        <v>-1.8116644520658027</v>
      </c>
      <c r="AN113">
        <v>-1.8116644520658027</v>
      </c>
    </row>
    <row r="114" spans="1:40" x14ac:dyDescent="0.45">
      <c r="A114" s="1">
        <v>45071</v>
      </c>
      <c r="B114">
        <v>184.47</v>
      </c>
      <c r="C114" s="5">
        <f t="shared" si="12"/>
        <v>8.5839256424275184E-3</v>
      </c>
      <c r="D114">
        <f t="shared" ca="1" si="17"/>
        <v>-1.3831302606507898E-3</v>
      </c>
      <c r="E114">
        <f t="shared" ca="1" si="18"/>
        <v>3.8983617154146652E-2</v>
      </c>
      <c r="F114">
        <f t="shared" ca="1" si="19"/>
        <v>-6.8031732838157777E-2</v>
      </c>
      <c r="G114">
        <f t="shared" ca="1" si="20"/>
        <v>0.66276899742543227</v>
      </c>
      <c r="H114">
        <f t="shared" ca="1" si="21"/>
        <v>1.0554496635879476</v>
      </c>
      <c r="I114">
        <f t="shared" ca="1" si="22"/>
        <v>0.89954997104699308</v>
      </c>
      <c r="K114">
        <f t="shared" si="13"/>
        <v>1.0085839256424276</v>
      </c>
      <c r="L114" s="7">
        <f t="shared" ca="1" si="14"/>
        <v>1.0428514896263215</v>
      </c>
      <c r="M114">
        <f t="shared" ca="1" si="15"/>
        <v>1.3572490605426677</v>
      </c>
      <c r="N114">
        <v>1.0578448491623877</v>
      </c>
      <c r="O114" t="b">
        <f t="shared" ca="1" si="16"/>
        <v>1</v>
      </c>
      <c r="AA114">
        <v>0.60204353144041023</v>
      </c>
      <c r="AB114">
        <v>0.56404587959084496</v>
      </c>
      <c r="AC114">
        <v>-3.0008112103022007</v>
      </c>
      <c r="AD114">
        <v>2.2148392332481497</v>
      </c>
      <c r="AE114">
        <v>2.7527111053688058</v>
      </c>
      <c r="AF114">
        <v>3.6520928847296195</v>
      </c>
      <c r="AG114">
        <v>-2.305763545055874</v>
      </c>
      <c r="AH114">
        <v>-1.810079006577259</v>
      </c>
      <c r="AI114">
        <v>-1.810079006577259</v>
      </c>
      <c r="AJ114">
        <v>-1.810079006577259</v>
      </c>
      <c r="AK114">
        <v>-1.810079006577259</v>
      </c>
      <c r="AL114">
        <v>-1.810079006577259</v>
      </c>
      <c r="AM114">
        <v>-1.810079006577259</v>
      </c>
      <c r="AN114">
        <v>-1.810079006577259</v>
      </c>
    </row>
    <row r="115" spans="1:40" x14ac:dyDescent="0.45">
      <c r="A115" s="1">
        <v>45070</v>
      </c>
      <c r="B115">
        <v>182.9</v>
      </c>
      <c r="C115" s="5">
        <f t="shared" si="12"/>
        <v>-1.5449211390429049E-2</v>
      </c>
      <c r="D115">
        <f t="shared" ca="1" si="17"/>
        <v>-1.548113224067095E-3</v>
      </c>
      <c r="E115">
        <f t="shared" ca="1" si="18"/>
        <v>3.9011036472371134E-2</v>
      </c>
      <c r="F115">
        <f t="shared" ca="1" si="19"/>
        <v>-5.6201649350491378E-2</v>
      </c>
      <c r="G115">
        <f t="shared" ca="1" si="20"/>
        <v>0.65187992878010892</v>
      </c>
      <c r="H115">
        <f t="shared" ca="1" si="21"/>
        <v>1.0554496635879476</v>
      </c>
      <c r="I115">
        <f t="shared" ca="1" si="22"/>
        <v>0.86422013481858284</v>
      </c>
      <c r="K115">
        <f t="shared" si="13"/>
        <v>0.9845507886095709</v>
      </c>
      <c r="L115" s="7">
        <f t="shared" ca="1" si="14"/>
        <v>1.0519958587369145</v>
      </c>
      <c r="M115">
        <f t="shared" ca="1" si="15"/>
        <v>1.364670403797168</v>
      </c>
      <c r="N115">
        <v>1.0682161539444004</v>
      </c>
      <c r="O115" t="b">
        <f t="shared" ca="1" si="16"/>
        <v>1</v>
      </c>
      <c r="AA115">
        <v>0.584657493737197</v>
      </c>
      <c r="AB115">
        <v>0.4727120523786803</v>
      </c>
      <c r="AC115">
        <v>-3.0903525705740225</v>
      </c>
      <c r="AD115">
        <v>2.3511051603608948</v>
      </c>
      <c r="AE115">
        <v>2.8524084618085737</v>
      </c>
      <c r="AF115">
        <v>3.6510056100755368</v>
      </c>
      <c r="AG115">
        <v>-2.1177265546688084</v>
      </c>
      <c r="AH115">
        <v>-1.7470372214950751</v>
      </c>
      <c r="AI115">
        <v>-1.7470372214950751</v>
      </c>
      <c r="AJ115">
        <v>-1.7470372214950751</v>
      </c>
      <c r="AK115">
        <v>-1.7470372214950751</v>
      </c>
      <c r="AL115">
        <v>-1.7470372214950751</v>
      </c>
      <c r="AM115">
        <v>-1.7470372214950751</v>
      </c>
      <c r="AN115">
        <v>-1.7470372214950751</v>
      </c>
    </row>
    <row r="116" spans="1:40" x14ac:dyDescent="0.45">
      <c r="A116" s="1">
        <v>45069</v>
      </c>
      <c r="B116">
        <v>185.77</v>
      </c>
      <c r="C116" s="5">
        <f t="shared" si="12"/>
        <v>-1.6413406046486972E-2</v>
      </c>
      <c r="D116">
        <f t="shared" ca="1" si="17"/>
        <v>-1.4317756586303759E-3</v>
      </c>
      <c r="E116">
        <f t="shared" ca="1" si="18"/>
        <v>3.9004065931302193E-2</v>
      </c>
      <c r="F116">
        <f t="shared" ca="1" si="19"/>
        <v>-6.4970228665479038E-2</v>
      </c>
      <c r="G116">
        <f t="shared" ca="1" si="20"/>
        <v>0.65519344318528505</v>
      </c>
      <c r="H116">
        <f t="shared" ca="1" si="21"/>
        <v>1.0554496635879476</v>
      </c>
      <c r="I116">
        <f t="shared" ca="1" si="22"/>
        <v>0.86422013481858284</v>
      </c>
      <c r="K116">
        <f t="shared" si="13"/>
        <v>0.983586593953513</v>
      </c>
      <c r="L116" s="7">
        <f t="shared" ca="1" si="14"/>
        <v>1.1156017295219793</v>
      </c>
      <c r="M116">
        <f t="shared" ca="1" si="15"/>
        <v>1.4094851377838045</v>
      </c>
      <c r="N116">
        <v>1.1177190482212525</v>
      </c>
      <c r="O116" t="b">
        <f t="shared" ca="1" si="16"/>
        <v>1</v>
      </c>
      <c r="AA116">
        <v>0.509089871756779</v>
      </c>
      <c r="AB116">
        <v>0.23098771588532083</v>
      </c>
      <c r="AC116">
        <v>-3.3319585463729853</v>
      </c>
      <c r="AD116">
        <v>2.740682333272368</v>
      </c>
      <c r="AE116">
        <v>2.9506509384548214</v>
      </c>
      <c r="AF116">
        <v>3.6715461107705969</v>
      </c>
      <c r="AG116">
        <v>-1.4074479539904645</v>
      </c>
      <c r="AH116">
        <v>-1.6760627667384593</v>
      </c>
      <c r="AI116">
        <v>-1.6760627667384593</v>
      </c>
      <c r="AJ116">
        <v>-1.6760627667384593</v>
      </c>
      <c r="AK116">
        <v>-1.6760627667384593</v>
      </c>
      <c r="AL116">
        <v>-1.6760627667384593</v>
      </c>
      <c r="AM116">
        <v>-1.6760627667384593</v>
      </c>
      <c r="AN116">
        <v>-1.6760627667384593</v>
      </c>
    </row>
    <row r="117" spans="1:40" x14ac:dyDescent="0.45">
      <c r="A117" s="1">
        <v>45068</v>
      </c>
      <c r="B117">
        <v>188.87</v>
      </c>
      <c r="C117" s="5">
        <f t="shared" si="12"/>
        <v>4.8462307094482175E-2</v>
      </c>
      <c r="D117">
        <f t="shared" ca="1" si="17"/>
        <v>-1.6812188687157276E-3</v>
      </c>
      <c r="E117">
        <f t="shared" ca="1" si="18"/>
        <v>3.9259052874330104E-2</v>
      </c>
      <c r="F117">
        <f t="shared" ca="1" si="19"/>
        <v>-6.7075968744764514E-2</v>
      </c>
      <c r="G117">
        <f t="shared" ca="1" si="20"/>
        <v>0.59648363614026501</v>
      </c>
      <c r="H117">
        <f t="shared" ca="1" si="21"/>
        <v>1.0554496635879476</v>
      </c>
      <c r="I117">
        <f t="shared" ca="1" si="22"/>
        <v>0.84358858513090496</v>
      </c>
      <c r="K117">
        <f t="shared" si="13"/>
        <v>1.0484623070944821</v>
      </c>
      <c r="L117" s="7">
        <f t="shared" ca="1" si="14"/>
        <v>1.1353772167117526</v>
      </c>
      <c r="M117">
        <f t="shared" ca="1" si="15"/>
        <v>1.3538616767798759</v>
      </c>
      <c r="N117">
        <v>1.0695196335450716</v>
      </c>
      <c r="O117" t="b">
        <f t="shared" ca="1" si="16"/>
        <v>1</v>
      </c>
      <c r="AA117">
        <v>0.49084576278831626</v>
      </c>
      <c r="AB117">
        <v>0.45657293862689652</v>
      </c>
      <c r="AC117">
        <v>-3.4041095990422576</v>
      </c>
      <c r="AD117">
        <v>3.1156414909007903</v>
      </c>
      <c r="AE117">
        <v>3.4770216476578875</v>
      </c>
      <c r="AF117">
        <v>4.0544226570430562</v>
      </c>
      <c r="AG117">
        <v>-1.4545814512066206</v>
      </c>
      <c r="AH117">
        <v>-2.0030831376076565</v>
      </c>
      <c r="AI117">
        <v>-2.0030831376076565</v>
      </c>
      <c r="AJ117">
        <v>-2.0030831376076565</v>
      </c>
      <c r="AK117">
        <v>-2.0030831376076565</v>
      </c>
      <c r="AL117">
        <v>-2.0030831376076565</v>
      </c>
      <c r="AM117">
        <v>-2.0030831376076565</v>
      </c>
      <c r="AN117">
        <v>-2.0030831376076565</v>
      </c>
    </row>
    <row r="118" spans="1:40" x14ac:dyDescent="0.45">
      <c r="A118" s="1">
        <v>45065</v>
      </c>
      <c r="B118">
        <v>180.14</v>
      </c>
      <c r="C118" s="5">
        <f t="shared" si="12"/>
        <v>1.8373000169596927E-2</v>
      </c>
      <c r="D118">
        <f t="shared" ca="1" si="17"/>
        <v>-1.9034261090909196E-3</v>
      </c>
      <c r="E118">
        <f t="shared" ca="1" si="18"/>
        <v>3.9099257699002327E-2</v>
      </c>
      <c r="F118">
        <f t="shared" ca="1" si="19"/>
        <v>-6.1370696249043212E-2</v>
      </c>
      <c r="G118">
        <f t="shared" ca="1" si="20"/>
        <v>0.64076131561948335</v>
      </c>
      <c r="H118">
        <f t="shared" ca="1" si="21"/>
        <v>1.0554496635879476</v>
      </c>
      <c r="I118">
        <f t="shared" ca="1" si="22"/>
        <v>0.83271439184598328</v>
      </c>
      <c r="K118">
        <f t="shared" si="13"/>
        <v>1.018373000169597</v>
      </c>
      <c r="L118" s="7">
        <f t="shared" ca="1" si="14"/>
        <v>1.072389570186927</v>
      </c>
      <c r="M118">
        <f t="shared" ca="1" si="15"/>
        <v>1.3277956158894257</v>
      </c>
      <c r="N118">
        <v>1.0364591322307244</v>
      </c>
      <c r="O118" t="b">
        <f t="shared" ca="1" si="16"/>
        <v>1</v>
      </c>
      <c r="AA118">
        <v>0.47550735914059783</v>
      </c>
      <c r="AB118">
        <v>0.40123333209846168</v>
      </c>
      <c r="AC118">
        <v>-3.6241236478846157</v>
      </c>
      <c r="AD118">
        <v>3.708751744071459</v>
      </c>
      <c r="AE118">
        <v>3.5220159993803746</v>
      </c>
      <c r="AF118">
        <v>4.426295553879199</v>
      </c>
      <c r="AG118">
        <v>-1.1074855309399645</v>
      </c>
      <c r="AH118">
        <v>-2.1879675730318082</v>
      </c>
      <c r="AI118">
        <v>-2.1879675730318082</v>
      </c>
      <c r="AJ118">
        <v>-2.1879675730318082</v>
      </c>
      <c r="AK118">
        <v>-2.1879675730318082</v>
      </c>
      <c r="AL118">
        <v>-2.1879675730318082</v>
      </c>
      <c r="AM118">
        <v>-2.1879675730318082</v>
      </c>
      <c r="AN118">
        <v>-2.1879675730318082</v>
      </c>
    </row>
    <row r="119" spans="1:40" x14ac:dyDescent="0.45">
      <c r="A119" s="1">
        <v>45064</v>
      </c>
      <c r="B119">
        <v>176.89</v>
      </c>
      <c r="C119" s="5">
        <f t="shared" si="12"/>
        <v>1.7427815483722377E-2</v>
      </c>
      <c r="D119">
        <f t="shared" ca="1" si="17"/>
        <v>-1.8820127579143653E-3</v>
      </c>
      <c r="E119">
        <f t="shared" ca="1" si="18"/>
        <v>3.911158901257409E-2</v>
      </c>
      <c r="F119">
        <f t="shared" ca="1" si="19"/>
        <v>-6.242228081636228E-2</v>
      </c>
      <c r="G119">
        <f t="shared" ca="1" si="20"/>
        <v>0.63668294896639654</v>
      </c>
      <c r="H119">
        <f t="shared" ca="1" si="21"/>
        <v>1.0554496635879476</v>
      </c>
      <c r="I119">
        <f t="shared" ca="1" si="22"/>
        <v>0.84358858513090496</v>
      </c>
      <c r="K119">
        <f t="shared" si="13"/>
        <v>1.0174278154837224</v>
      </c>
      <c r="L119" s="7">
        <f t="shared" ca="1" si="14"/>
        <v>1.0279521152952114</v>
      </c>
      <c r="M119">
        <f t="shared" ca="1" si="15"/>
        <v>1.2570776032995465</v>
      </c>
      <c r="N119">
        <v>0.97462455768983247</v>
      </c>
      <c r="O119" t="b">
        <f t="shared" ca="1" si="16"/>
        <v>0</v>
      </c>
      <c r="AA119">
        <v>0.5015111875922027</v>
      </c>
      <c r="AB119">
        <v>0.41426805323285976</v>
      </c>
      <c r="AC119">
        <v>-3.4887678279906278</v>
      </c>
      <c r="AD119">
        <v>3.8381630737328076</v>
      </c>
      <c r="AE119">
        <v>3.8883185784999799</v>
      </c>
      <c r="AF119">
        <v>4.6855610163163233</v>
      </c>
      <c r="AG119">
        <v>-1.2346850205795159</v>
      </c>
      <c r="AH119">
        <v>-2.4044844011451474</v>
      </c>
      <c r="AI119">
        <v>-2.4044844011451474</v>
      </c>
      <c r="AJ119">
        <v>-2.4044844011451474</v>
      </c>
      <c r="AK119">
        <v>-2.4044844011451474</v>
      </c>
      <c r="AL119">
        <v>-2.4044844011451474</v>
      </c>
      <c r="AM119">
        <v>-2.4044844011451474</v>
      </c>
      <c r="AN119">
        <v>-2.4044844011451474</v>
      </c>
    </row>
    <row r="120" spans="1:40" x14ac:dyDescent="0.45">
      <c r="A120" s="1">
        <v>45063</v>
      </c>
      <c r="B120">
        <v>173.86</v>
      </c>
      <c r="C120" s="5">
        <f t="shared" si="12"/>
        <v>4.4078789334614475E-2</v>
      </c>
      <c r="D120">
        <f t="shared" ca="1" si="17"/>
        <v>-1.9134798526367037E-3</v>
      </c>
      <c r="E120">
        <f t="shared" ca="1" si="18"/>
        <v>3.9098504773635953E-2</v>
      </c>
      <c r="F120">
        <f t="shared" ca="1" si="19"/>
        <v>-6.0470305990702487E-2</v>
      </c>
      <c r="G120">
        <f t="shared" ca="1" si="20"/>
        <v>0.64116758823941078</v>
      </c>
      <c r="H120">
        <f t="shared" ca="1" si="21"/>
        <v>1.0554496635879476</v>
      </c>
      <c r="I120">
        <f t="shared" ca="1" si="22"/>
        <v>0.84358858513090496</v>
      </c>
      <c r="K120">
        <f t="shared" si="13"/>
        <v>1.0440787893346144</v>
      </c>
      <c r="L120" s="7">
        <f t="shared" ca="1" si="14"/>
        <v>1.031565207072505</v>
      </c>
      <c r="M120">
        <f t="shared" ca="1" si="15"/>
        <v>1.3079523179916732</v>
      </c>
      <c r="N120">
        <v>0.99916581031285734</v>
      </c>
      <c r="O120" t="b">
        <f t="shared" ca="1" si="16"/>
        <v>0</v>
      </c>
      <c r="AA120">
        <v>0.513947601366325</v>
      </c>
      <c r="AB120">
        <v>0.36670752316512822</v>
      </c>
      <c r="AC120">
        <v>-3.215803199323005</v>
      </c>
      <c r="AD120">
        <v>3.9252063886326503</v>
      </c>
      <c r="AE120">
        <v>4.0257669288395768</v>
      </c>
      <c r="AF120">
        <v>4.7982577962586275</v>
      </c>
      <c r="AG120">
        <v>-1.2231414579331503</v>
      </c>
      <c r="AH120">
        <v>-2.4954568989221917</v>
      </c>
      <c r="AI120">
        <v>-2.4954568989221917</v>
      </c>
      <c r="AJ120">
        <v>-2.4954568989221917</v>
      </c>
      <c r="AK120">
        <v>-2.4954568989221917</v>
      </c>
      <c r="AL120">
        <v>-2.4954568989221917</v>
      </c>
      <c r="AM120">
        <v>-2.4954568989221917</v>
      </c>
      <c r="AN120">
        <v>-2.4954568989221917</v>
      </c>
    </row>
    <row r="121" spans="1:40" x14ac:dyDescent="0.45">
      <c r="A121" s="1">
        <v>45062</v>
      </c>
      <c r="B121">
        <v>166.52</v>
      </c>
      <c r="C121" s="5">
        <f t="shared" si="12"/>
        <v>1.0219416892095939E-3</v>
      </c>
      <c r="D121">
        <f t="shared" ca="1" si="17"/>
        <v>-2.1317368314484253E-3</v>
      </c>
      <c r="E121">
        <f t="shared" ca="1" si="18"/>
        <v>3.896207314921759E-2</v>
      </c>
      <c r="F121">
        <f t="shared" ca="1" si="19"/>
        <v>-5.2480507218651953E-2</v>
      </c>
      <c r="G121">
        <f t="shared" ca="1" si="20"/>
        <v>0.68163134930567626</v>
      </c>
      <c r="H121">
        <f t="shared" ca="1" si="21"/>
        <v>1.0554496635879476</v>
      </c>
      <c r="I121">
        <f t="shared" ca="1" si="22"/>
        <v>0.83271439184598328</v>
      </c>
      <c r="K121">
        <f t="shared" si="13"/>
        <v>1.0010219416892097</v>
      </c>
      <c r="L121" s="7">
        <f t="shared" ca="1" si="14"/>
        <v>0.98445167011528234</v>
      </c>
      <c r="M121">
        <f t="shared" ca="1" si="15"/>
        <v>1.3187873187510011</v>
      </c>
      <c r="N121">
        <v>1.0172231673052599</v>
      </c>
      <c r="O121" t="b">
        <f t="shared" ca="1" si="16"/>
        <v>0</v>
      </c>
      <c r="AA121">
        <v>0.51299306806140377</v>
      </c>
      <c r="AB121">
        <v>0.48438637676893415</v>
      </c>
      <c r="AC121">
        <v>-3.0604352801381998</v>
      </c>
      <c r="AD121">
        <v>3.9589054772270527</v>
      </c>
      <c r="AE121">
        <v>4.032614064655208</v>
      </c>
      <c r="AF121">
        <v>4.5590859887355561</v>
      </c>
      <c r="AG121">
        <v>-1.2567623104641255</v>
      </c>
      <c r="AH121">
        <v>-2.1864640886320044</v>
      </c>
      <c r="AI121">
        <v>-2.1864640886320044</v>
      </c>
      <c r="AJ121">
        <v>-2.1864640886320044</v>
      </c>
      <c r="AK121">
        <v>-2.1864640886320044</v>
      </c>
      <c r="AL121">
        <v>-2.1864640886320044</v>
      </c>
      <c r="AM121">
        <v>-2.1864640886320044</v>
      </c>
      <c r="AN121">
        <v>-2.1864640886320044</v>
      </c>
    </row>
    <row r="122" spans="1:40" x14ac:dyDescent="0.45">
      <c r="A122" s="1">
        <v>45061</v>
      </c>
      <c r="B122">
        <v>166.35</v>
      </c>
      <c r="C122" s="5">
        <f t="shared" si="12"/>
        <v>-9.7035361352541712E-3</v>
      </c>
      <c r="D122">
        <f t="shared" ca="1" si="17"/>
        <v>-1.8475976968898456E-3</v>
      </c>
      <c r="E122">
        <f t="shared" ca="1" si="18"/>
        <v>3.9191725229667677E-2</v>
      </c>
      <c r="F122">
        <f t="shared" ca="1" si="19"/>
        <v>-5.5339803599008933E-2</v>
      </c>
      <c r="G122">
        <f t="shared" ca="1" si="20"/>
        <v>0.62475676467943764</v>
      </c>
      <c r="H122">
        <f t="shared" ca="1" si="21"/>
        <v>1.0554496635879476</v>
      </c>
      <c r="I122">
        <f t="shared" ca="1" si="22"/>
        <v>0.84358858513090496</v>
      </c>
      <c r="K122">
        <f t="shared" si="13"/>
        <v>0.99029646386474579</v>
      </c>
      <c r="L122" s="7">
        <f t="shared" ca="1" si="14"/>
        <v>0.96833343035100994</v>
      </c>
      <c r="M122">
        <f t="shared" ca="1" si="15"/>
        <v>1.3004249904105483</v>
      </c>
      <c r="N122">
        <v>1.0855169744009867</v>
      </c>
      <c r="O122" t="b">
        <f t="shared" ca="1" si="16"/>
        <v>0</v>
      </c>
      <c r="AA122">
        <v>0.53350869701496229</v>
      </c>
      <c r="AB122">
        <v>0.92409223266065632</v>
      </c>
      <c r="AC122">
        <v>-3.2164154406164984</v>
      </c>
      <c r="AD122">
        <v>4.0214335385245903</v>
      </c>
      <c r="AE122">
        <v>4.0931209443397245</v>
      </c>
      <c r="AF122">
        <v>3.4554595290733423</v>
      </c>
      <c r="AG122">
        <v>-1.4601300412655227</v>
      </c>
      <c r="AH122">
        <v>-0.77272949350328379</v>
      </c>
      <c r="AI122">
        <v>-0.77272949350328379</v>
      </c>
      <c r="AJ122">
        <v>-0.77272949350328379</v>
      </c>
      <c r="AK122">
        <v>-0.77272949350328379</v>
      </c>
      <c r="AL122">
        <v>-0.77272949350328379</v>
      </c>
      <c r="AM122">
        <v>-0.77272949350328379</v>
      </c>
      <c r="AN122">
        <v>-0.77272949350328379</v>
      </c>
    </row>
    <row r="123" spans="1:40" x14ac:dyDescent="0.45">
      <c r="A123" s="1">
        <v>45058</v>
      </c>
      <c r="B123">
        <v>167.98</v>
      </c>
      <c r="C123" s="5">
        <f t="shared" si="12"/>
        <v>-2.3826127382612868E-2</v>
      </c>
      <c r="D123">
        <f t="shared" ca="1" si="17"/>
        <v>-1.6884621572513449E-3</v>
      </c>
      <c r="E123">
        <f t="shared" ca="1" si="18"/>
        <v>3.9224268865784832E-2</v>
      </c>
      <c r="F123">
        <f t="shared" ca="1" si="19"/>
        <v>-6.6297059405809322E-2</v>
      </c>
      <c r="G123">
        <f t="shared" ca="1" si="20"/>
        <v>0.614300493889405</v>
      </c>
      <c r="H123">
        <f t="shared" ca="1" si="21"/>
        <v>1.0554496635879476</v>
      </c>
      <c r="I123">
        <f t="shared" ca="1" si="22"/>
        <v>0.86663857318016435</v>
      </c>
      <c r="K123">
        <f t="shared" si="13"/>
        <v>0.97617387261738708</v>
      </c>
      <c r="L123" s="7">
        <f t="shared" ca="1" si="14"/>
        <v>0.98776902269787115</v>
      </c>
      <c r="M123">
        <f t="shared" ca="1" si="15"/>
        <v>1.3268999425588683</v>
      </c>
      <c r="N123">
        <v>1.0290653446200726</v>
      </c>
      <c r="O123" t="b">
        <f t="shared" ca="1" si="16"/>
        <v>0</v>
      </c>
      <c r="AA123">
        <v>0.50109349277379478</v>
      </c>
      <c r="AB123">
        <v>0.66919320183695108</v>
      </c>
      <c r="AC123">
        <v>-2.6698917650965241</v>
      </c>
      <c r="AD123">
        <v>3.7123879928568724</v>
      </c>
      <c r="AE123">
        <v>3.9876241071130205</v>
      </c>
      <c r="AF123">
        <v>3.373779051761812</v>
      </c>
      <c r="AG123">
        <v>-1.2606708176790054</v>
      </c>
      <c r="AH123">
        <v>-0.99546692692726191</v>
      </c>
      <c r="AI123">
        <v>-0.99546692692726191</v>
      </c>
      <c r="AJ123">
        <v>-0.99546692692726191</v>
      </c>
      <c r="AK123">
        <v>-0.99546692692726191</v>
      </c>
      <c r="AL123">
        <v>-0.99546692692726191</v>
      </c>
      <c r="AM123">
        <v>-0.99546692692726191</v>
      </c>
      <c r="AN123">
        <v>-0.99546692692726191</v>
      </c>
    </row>
    <row r="124" spans="1:40" x14ac:dyDescent="0.45">
      <c r="A124" s="1">
        <v>45057</v>
      </c>
      <c r="B124">
        <v>172.08</v>
      </c>
      <c r="C124" s="5">
        <f t="shared" si="12"/>
        <v>2.1003915984336183E-2</v>
      </c>
      <c r="D124">
        <f t="shared" ca="1" si="17"/>
        <v>-1.2610567772339014E-3</v>
      </c>
      <c r="E124">
        <f t="shared" ca="1" si="18"/>
        <v>3.9446922977019246E-2</v>
      </c>
      <c r="F124">
        <f t="shared" ca="1" si="19"/>
        <v>-7.6100788601110234E-2</v>
      </c>
      <c r="G124">
        <f t="shared" ca="1" si="20"/>
        <v>0.5689221937065434</v>
      </c>
      <c r="H124">
        <f t="shared" ca="1" si="21"/>
        <v>1.0554496635879476</v>
      </c>
      <c r="I124">
        <f t="shared" ca="1" si="22"/>
        <v>0.90525860892230881</v>
      </c>
      <c r="K124">
        <f t="shared" si="13"/>
        <v>1.0210039159843363</v>
      </c>
      <c r="L124" s="7">
        <f t="shared" ca="1" si="14"/>
        <v>1.0674937965260547</v>
      </c>
      <c r="M124">
        <f t="shared" ca="1" si="15"/>
        <v>1.3717124304971948</v>
      </c>
      <c r="N124">
        <v>1.072189848494435</v>
      </c>
      <c r="O124" t="b">
        <f t="shared" ca="1" si="16"/>
        <v>1</v>
      </c>
      <c r="AA124">
        <v>0.48138204536068485</v>
      </c>
      <c r="AB124">
        <v>0.5522256726424799</v>
      </c>
      <c r="AC124">
        <v>-2.5958830314802857</v>
      </c>
      <c r="AD124">
        <v>3.6411279572017454</v>
      </c>
      <c r="AE124">
        <v>3.8433588484128012</v>
      </c>
      <c r="AF124">
        <v>3.3318812284881685</v>
      </c>
      <c r="AG124">
        <v>-1.1070900558800141</v>
      </c>
      <c r="AH124">
        <v>-1.0256934132026867</v>
      </c>
      <c r="AI124">
        <v>-1.0256934132026867</v>
      </c>
      <c r="AJ124">
        <v>-1.0256934132026867</v>
      </c>
      <c r="AK124">
        <v>-1.0256934132026867</v>
      </c>
      <c r="AL124">
        <v>-1.0256934132026867</v>
      </c>
      <c r="AM124">
        <v>-1.0256934132026867</v>
      </c>
      <c r="AN124">
        <v>-1.0256934132026867</v>
      </c>
    </row>
    <row r="125" spans="1:40" x14ac:dyDescent="0.45">
      <c r="A125" s="1">
        <v>45056</v>
      </c>
      <c r="B125">
        <v>168.54</v>
      </c>
      <c r="C125" s="5">
        <f t="shared" si="12"/>
        <v>-3.6062666272539973E-3</v>
      </c>
      <c r="D125">
        <f t="shared" ca="1" si="17"/>
        <v>-1.5443890087297168E-3</v>
      </c>
      <c r="E125">
        <f t="shared" ca="1" si="18"/>
        <v>3.9489682112596208E-2</v>
      </c>
      <c r="F125">
        <f t="shared" ca="1" si="19"/>
        <v>-5.8377060714369405E-2</v>
      </c>
      <c r="G125">
        <f t="shared" ca="1" si="20"/>
        <v>0.55372344341271162</v>
      </c>
      <c r="H125">
        <f t="shared" ca="1" si="21"/>
        <v>1.0554496635879476</v>
      </c>
      <c r="I125">
        <f t="shared" ca="1" si="22"/>
        <v>0.88866554342353521</v>
      </c>
      <c r="K125">
        <f t="shared" si="13"/>
        <v>0.99639373337274595</v>
      </c>
      <c r="L125" s="7">
        <f t="shared" ca="1" si="14"/>
        <v>1.0493742606313428</v>
      </c>
      <c r="M125">
        <f t="shared" ca="1" si="15"/>
        <v>1.351796750039048</v>
      </c>
      <c r="N125">
        <v>1.0372614003277256</v>
      </c>
      <c r="O125" t="b">
        <f t="shared" ca="1" si="16"/>
        <v>1</v>
      </c>
      <c r="AA125">
        <v>0.42488160402323882</v>
      </c>
      <c r="AB125">
        <v>-0.19060272466560466</v>
      </c>
      <c r="AC125">
        <v>-1.4923532114539491</v>
      </c>
      <c r="AD125">
        <v>3.0812429005909334</v>
      </c>
      <c r="AE125">
        <v>3.0524923445842687</v>
      </c>
      <c r="AF125">
        <v>3.2943587921898549</v>
      </c>
      <c r="AG125">
        <v>-0.61981349866729973</v>
      </c>
      <c r="AH125">
        <v>-1.7052097842142884</v>
      </c>
      <c r="AI125">
        <v>-1.7052097842142884</v>
      </c>
      <c r="AJ125">
        <v>-1.7052097842142884</v>
      </c>
      <c r="AK125">
        <v>-1.7052097842142884</v>
      </c>
      <c r="AL125">
        <v>-1.7052097842142884</v>
      </c>
      <c r="AM125">
        <v>-1.7052097842142884</v>
      </c>
      <c r="AN125">
        <v>-1.7052097842142884</v>
      </c>
    </row>
    <row r="126" spans="1:40" x14ac:dyDescent="0.45">
      <c r="A126" s="1">
        <v>45055</v>
      </c>
      <c r="B126">
        <v>169.15</v>
      </c>
      <c r="C126" s="5">
        <f t="shared" si="12"/>
        <v>-1.536759997671568E-2</v>
      </c>
      <c r="D126">
        <f t="shared" ca="1" si="17"/>
        <v>-1.5963319265383758E-3</v>
      </c>
      <c r="E126">
        <f t="shared" ca="1" si="18"/>
        <v>3.9499239017437293E-2</v>
      </c>
      <c r="F126">
        <f t="shared" ca="1" si="19"/>
        <v>-5.4507981205623154E-2</v>
      </c>
      <c r="G126">
        <f t="shared" ca="1" si="20"/>
        <v>0.54998895289401561</v>
      </c>
      <c r="H126">
        <f t="shared" ca="1" si="21"/>
        <v>1.0554496635879476</v>
      </c>
      <c r="I126">
        <f t="shared" ca="1" si="22"/>
        <v>0.88866554342353521</v>
      </c>
      <c r="K126">
        <f t="shared" si="13"/>
        <v>0.98463240002328434</v>
      </c>
      <c r="L126" s="7">
        <f t="shared" ca="1" si="14"/>
        <v>1.0551431601272534</v>
      </c>
      <c r="M126">
        <f t="shared" ca="1" si="15"/>
        <v>1.3516526686538874</v>
      </c>
      <c r="N126">
        <v>1.0342774565537907</v>
      </c>
      <c r="O126" t="b">
        <f t="shared" ca="1" si="16"/>
        <v>1</v>
      </c>
      <c r="AA126">
        <v>0.39904877822918439</v>
      </c>
      <c r="AB126">
        <v>-0.37678384399618864</v>
      </c>
      <c r="AC126">
        <v>-1.1798754146409112</v>
      </c>
      <c r="AD126">
        <v>2.8505067447219736</v>
      </c>
      <c r="AE126">
        <v>2.9167643016976106</v>
      </c>
      <c r="AF126">
        <v>3.2176850851538212</v>
      </c>
      <c r="AG126">
        <v>-0.54647960298393383</v>
      </c>
      <c r="AH126">
        <v>-1.8111398258072713</v>
      </c>
      <c r="AI126">
        <v>-1.8111398258072713</v>
      </c>
      <c r="AJ126">
        <v>-1.8111398258072713</v>
      </c>
      <c r="AK126">
        <v>-1.8111398258072713</v>
      </c>
      <c r="AL126">
        <v>-1.8111398258072713</v>
      </c>
      <c r="AM126">
        <v>-1.8111398258072713</v>
      </c>
      <c r="AN126">
        <v>-1.8111398258072713</v>
      </c>
    </row>
    <row r="127" spans="1:40" x14ac:dyDescent="0.45">
      <c r="A127" s="1">
        <v>45054</v>
      </c>
      <c r="B127">
        <v>171.79</v>
      </c>
      <c r="C127" s="5">
        <f t="shared" si="12"/>
        <v>1.0172880159943489E-2</v>
      </c>
      <c r="D127">
        <f t="shared" ca="1" si="17"/>
        <v>-1.5096303603867221E-3</v>
      </c>
      <c r="E127">
        <f t="shared" ca="1" si="18"/>
        <v>3.9487888451409749E-2</v>
      </c>
      <c r="F127">
        <f t="shared" ca="1" si="19"/>
        <v>-6.0989446402458028E-2</v>
      </c>
      <c r="G127">
        <f t="shared" ca="1" si="20"/>
        <v>0.55456549506017527</v>
      </c>
      <c r="H127">
        <f t="shared" ca="1" si="21"/>
        <v>1.0554496635879476</v>
      </c>
      <c r="I127">
        <f t="shared" ca="1" si="22"/>
        <v>0.88866554342353521</v>
      </c>
      <c r="K127">
        <f t="shared" si="13"/>
        <v>1.0101728801599434</v>
      </c>
      <c r="L127" s="7">
        <f t="shared" ca="1" si="14"/>
        <v>1.0615460668602854</v>
      </c>
      <c r="M127">
        <f t="shared" ca="1" si="15"/>
        <v>1.3332009985364461</v>
      </c>
      <c r="N127">
        <v>1.0125713614646523</v>
      </c>
      <c r="O127" t="b">
        <f t="shared" ca="1" si="16"/>
        <v>1</v>
      </c>
      <c r="AA127">
        <v>0.36551220587894928</v>
      </c>
      <c r="AB127">
        <v>-0.69771081511933564</v>
      </c>
      <c r="AC127">
        <v>-0.83084462093229683</v>
      </c>
      <c r="AD127">
        <v>2.5029773527125068</v>
      </c>
      <c r="AE127">
        <v>2.6879114094877239</v>
      </c>
      <c r="AF127">
        <v>3.0003157441485584</v>
      </c>
      <c r="AG127">
        <v>-0.26486896130787274</v>
      </c>
      <c r="AH127">
        <v>-1.6853563598181194</v>
      </c>
      <c r="AI127">
        <v>-1.6853563598181194</v>
      </c>
      <c r="AJ127">
        <v>-1.6853563598181194</v>
      </c>
      <c r="AK127">
        <v>-1.6853563598181194</v>
      </c>
      <c r="AL127">
        <v>-1.6853563598181194</v>
      </c>
      <c r="AM127">
        <v>-1.6853563598181194</v>
      </c>
      <c r="AN127">
        <v>-1.6853563598181194</v>
      </c>
    </row>
    <row r="128" spans="1:40" x14ac:dyDescent="0.45">
      <c r="A128" s="1">
        <v>45051</v>
      </c>
      <c r="B128">
        <v>170.06</v>
      </c>
      <c r="C128" s="5">
        <f t="shared" si="12"/>
        <v>5.4962779156327635E-2</v>
      </c>
      <c r="D128">
        <f t="shared" ca="1" si="17"/>
        <v>-1.0714644581561363E-3</v>
      </c>
      <c r="E128">
        <f t="shared" ca="1" si="18"/>
        <v>4.009963101400147E-2</v>
      </c>
      <c r="F128">
        <f t="shared" ca="1" si="19"/>
        <v>-1.4363331010795283E-2</v>
      </c>
      <c r="G128">
        <f t="shared" ca="1" si="20"/>
        <v>0.53457971987094544</v>
      </c>
      <c r="H128">
        <f t="shared" ca="1" si="21"/>
        <v>1.1111105663294147</v>
      </c>
      <c r="I128">
        <f t="shared" ca="1" si="22"/>
        <v>0.90267505042183027</v>
      </c>
      <c r="K128">
        <f t="shared" si="13"/>
        <v>1.0549627791563276</v>
      </c>
      <c r="L128" s="7">
        <f t="shared" ca="1" si="14"/>
        <v>1.0349948268516826</v>
      </c>
      <c r="M128">
        <f t="shared" ca="1" si="15"/>
        <v>1.3113062083761609</v>
      </c>
      <c r="N128">
        <v>0.99693014547121184</v>
      </c>
      <c r="O128" t="b">
        <f t="shared" ca="1" si="16"/>
        <v>0</v>
      </c>
      <c r="AA128">
        <v>0.35774761003779593</v>
      </c>
      <c r="AB128">
        <v>-0.75472345646038819</v>
      </c>
      <c r="AC128">
        <v>-0.62803564021660097</v>
      </c>
      <c r="AD128">
        <v>2.237248850645122</v>
      </c>
      <c r="AE128">
        <v>2.9363749293077737</v>
      </c>
      <c r="AF128">
        <v>2.9035497767702445</v>
      </c>
      <c r="AG128">
        <v>-0.32660477264420151</v>
      </c>
      <c r="AH128">
        <v>-1.6751309411530908</v>
      </c>
      <c r="AI128">
        <v>-1.6751309411530908</v>
      </c>
      <c r="AJ128">
        <v>-1.6751309411530908</v>
      </c>
      <c r="AK128">
        <v>-1.6751309411530908</v>
      </c>
      <c r="AL128">
        <v>-1.6751309411530908</v>
      </c>
      <c r="AM128">
        <v>-1.6751309411530908</v>
      </c>
      <c r="AN128">
        <v>-1.6751309411530908</v>
      </c>
    </row>
    <row r="129" spans="1:40" x14ac:dyDescent="0.45">
      <c r="A129" s="1">
        <v>45050</v>
      </c>
      <c r="B129">
        <v>161.19999999999999</v>
      </c>
      <c r="C129" s="5">
        <f t="shared" si="12"/>
        <v>3.6734948010707612E-3</v>
      </c>
      <c r="D129">
        <f t="shared" ca="1" si="17"/>
        <v>-1.3061610566624914E-3</v>
      </c>
      <c r="E129">
        <f t="shared" ca="1" si="18"/>
        <v>3.9906924738150454E-2</v>
      </c>
      <c r="F129">
        <f t="shared" ca="1" si="19"/>
        <v>-1.0742264466302489E-2</v>
      </c>
      <c r="G129">
        <f t="shared" ca="1" si="20"/>
        <v>0.5836499980038683</v>
      </c>
      <c r="H129">
        <f t="shared" ca="1" si="21"/>
        <v>1.1111105663294147</v>
      </c>
      <c r="I129">
        <f t="shared" ca="1" si="22"/>
        <v>0.88866554342353521</v>
      </c>
      <c r="K129">
        <f t="shared" si="13"/>
        <v>1.0036734948010708</v>
      </c>
      <c r="L129" s="7">
        <f t="shared" ca="1" si="14"/>
        <v>1.0063050127973032</v>
      </c>
      <c r="M129">
        <f t="shared" ca="1" si="15"/>
        <v>1.3011026618361727</v>
      </c>
      <c r="N129">
        <v>1.0275717057808054</v>
      </c>
      <c r="O129" t="b">
        <f t="shared" ca="1" si="16"/>
        <v>1</v>
      </c>
      <c r="AA129">
        <v>0.35295998683169733</v>
      </c>
      <c r="AB129">
        <v>-0.82774159770476496</v>
      </c>
      <c r="AC129">
        <v>-0.44102387782436342</v>
      </c>
      <c r="AD129">
        <v>2.1915818715571569</v>
      </c>
      <c r="AE129">
        <v>2.9138918796021307</v>
      </c>
      <c r="AF129">
        <v>2.902933547071783</v>
      </c>
      <c r="AG129">
        <v>-0.34862413725999741</v>
      </c>
      <c r="AH129">
        <v>-1.7157031128823597</v>
      </c>
      <c r="AI129">
        <v>-1.7157031128823597</v>
      </c>
      <c r="AJ129">
        <v>-1.7157031128823597</v>
      </c>
      <c r="AK129">
        <v>-1.7157031128823597</v>
      </c>
      <c r="AL129">
        <v>-1.7157031128823597</v>
      </c>
      <c r="AM129">
        <v>-1.7157031128823597</v>
      </c>
      <c r="AN129">
        <v>-1.7157031128823597</v>
      </c>
    </row>
    <row r="130" spans="1:40" x14ac:dyDescent="0.45">
      <c r="A130" s="1">
        <v>45049</v>
      </c>
      <c r="B130">
        <v>160.61000000000001</v>
      </c>
      <c r="C130" s="5">
        <f t="shared" si="12"/>
        <v>1.8713742124634232E-3</v>
      </c>
      <c r="D130">
        <f t="shared" ca="1" si="17"/>
        <v>-1.2209520986192224E-3</v>
      </c>
      <c r="E130">
        <f t="shared" ca="1" si="18"/>
        <v>3.9935793999515232E-2</v>
      </c>
      <c r="F130">
        <f t="shared" ca="1" si="19"/>
        <v>-1.6343373416951693E-2</v>
      </c>
      <c r="G130">
        <f t="shared" ca="1" si="20"/>
        <v>0.57375841902819946</v>
      </c>
      <c r="H130">
        <f t="shared" ca="1" si="21"/>
        <v>1.1111105663294147</v>
      </c>
      <c r="I130">
        <f t="shared" ca="1" si="22"/>
        <v>0.88866554342353521</v>
      </c>
      <c r="K130">
        <f t="shared" si="13"/>
        <v>1.0018713742124634</v>
      </c>
      <c r="L130" s="7">
        <f t="shared" ca="1" si="14"/>
        <v>1.044617886178862</v>
      </c>
      <c r="M130">
        <f t="shared" ca="1" si="15"/>
        <v>1.3476289592917032</v>
      </c>
      <c r="N130">
        <v>1.0767028305918096</v>
      </c>
      <c r="O130" t="b">
        <f t="shared" ca="1" si="16"/>
        <v>1</v>
      </c>
      <c r="AA130">
        <v>0.34438178624394306</v>
      </c>
      <c r="AB130">
        <v>-0.93859976415496804</v>
      </c>
      <c r="AC130">
        <v>-0.55151635180847591</v>
      </c>
      <c r="AD130">
        <v>2.261919993291881</v>
      </c>
      <c r="AE130">
        <v>2.9298908030803972</v>
      </c>
      <c r="AF130">
        <v>2.9293240757259902</v>
      </c>
      <c r="AG130">
        <v>-0.3101675252646261</v>
      </c>
      <c r="AH130">
        <v>-1.7600439783891126</v>
      </c>
      <c r="AI130">
        <v>-1.7600439783891126</v>
      </c>
      <c r="AJ130">
        <v>-1.7600439783891126</v>
      </c>
      <c r="AK130">
        <v>-1.7600439783891126</v>
      </c>
      <c r="AL130">
        <v>-1.7600439783891126</v>
      </c>
      <c r="AM130">
        <v>-1.7600439783891126</v>
      </c>
      <c r="AN130">
        <v>-1.7600439783891126</v>
      </c>
    </row>
    <row r="131" spans="1:40" x14ac:dyDescent="0.45">
      <c r="A131" s="1">
        <v>45048</v>
      </c>
      <c r="B131">
        <v>160.31</v>
      </c>
      <c r="C131" s="5">
        <f t="shared" ref="C131:C194" si="23">(B131-B132)/B132</f>
        <v>-9.3925724525737511E-3</v>
      </c>
      <c r="D131">
        <f t="shared" ca="1" si="17"/>
        <v>-1.2203117605690838E-3</v>
      </c>
      <c r="E131">
        <f t="shared" ca="1" si="18"/>
        <v>3.9935844858316541E-2</v>
      </c>
      <c r="F131">
        <f t="shared" ca="1" si="19"/>
        <v>-1.6391594282956147E-2</v>
      </c>
      <c r="G131">
        <f t="shared" ca="1" si="20"/>
        <v>0.5737410849135105</v>
      </c>
      <c r="H131">
        <f t="shared" ca="1" si="21"/>
        <v>1.1111105663294147</v>
      </c>
      <c r="I131">
        <f t="shared" ca="1" si="22"/>
        <v>0.88866554342353521</v>
      </c>
      <c r="K131">
        <f t="shared" ref="K131:K194" si="24">C131+1</f>
        <v>0.99060742754742626</v>
      </c>
      <c r="L131" s="7">
        <f t="shared" ref="L131:L194" ca="1" si="25">PRODUCT(OFFSET(K131,0,0,$J$6,1))</f>
        <v>0.99775938258542363</v>
      </c>
      <c r="M131">
        <f t="shared" ref="M131:M194" ca="1" si="26">OFFSET(D131,$J$6,0)*V$2 + OFFSET(E131,$J$6,0)*U$2 + OFFSET(F131,$J$6,0)*T$2 + OFFSET(G131,$J$6,0)*S$2 + OFFSET(H131,$J$6,0)*R$2 + OFFSET(I131,$J$6,0)*Q$2 + W$2</f>
        <v>1.3611645740413048</v>
      </c>
      <c r="N131">
        <v>1.1011834725143226</v>
      </c>
      <c r="O131" t="b">
        <f t="shared" ref="O131:O194" ca="1" si="27">OR(AND(L131&gt;1, N131&gt;1), AND(L131&lt;1, N131&lt;1))</f>
        <v>0</v>
      </c>
      <c r="AA131">
        <v>0.38502803878070591</v>
      </c>
      <c r="AB131">
        <v>-1.3751932656960375</v>
      </c>
      <c r="AC131">
        <v>-0.59351509119984769</v>
      </c>
      <c r="AD131">
        <v>2.658569955020456</v>
      </c>
      <c r="AE131">
        <v>2.9141827573188253</v>
      </c>
      <c r="AF131">
        <v>3.2420869367077212</v>
      </c>
      <c r="AG131">
        <v>-0.26380860150347207</v>
      </c>
      <c r="AH131">
        <v>-2.0025518768543331</v>
      </c>
      <c r="AI131">
        <v>-2.0025518768543331</v>
      </c>
      <c r="AJ131">
        <v>-2.0025518768543331</v>
      </c>
      <c r="AK131">
        <v>-2.0025518768543331</v>
      </c>
      <c r="AL131">
        <v>-2.0025518768543331</v>
      </c>
      <c r="AM131">
        <v>-2.0025518768543331</v>
      </c>
      <c r="AN131">
        <v>-2.0025518768543331</v>
      </c>
    </row>
    <row r="132" spans="1:40" x14ac:dyDescent="0.45">
      <c r="A132" s="1">
        <v>45047</v>
      </c>
      <c r="B132">
        <v>161.83000000000001</v>
      </c>
      <c r="C132" s="5">
        <f t="shared" si="23"/>
        <v>-1.5093420972551822E-2</v>
      </c>
      <c r="D132">
        <f t="shared" ref="D132:D195" ca="1" si="28">AVERAGE(OFFSET(C132,0,0,$J$3,1))</f>
        <v>-1.1365485558993804E-3</v>
      </c>
      <c r="E132">
        <f t="shared" ref="E132:E195" ca="1" si="29">STDEV(OFFSET(C132,0,0,$J$3,1))</f>
        <v>3.9936186725859767E-2</v>
      </c>
      <c r="F132">
        <f t="shared" ref="F132:F195" ca="1" si="30">SKEW(OFFSET(C132,0,0,$J$3,1))</f>
        <v>-2.2653182642972274E-2</v>
      </c>
      <c r="G132">
        <f t="shared" ref="G132:G195" ca="1" si="31">KURT(OFFSET(C132,0,0,$J$3,1))</f>
        <v>0.57378581353122016</v>
      </c>
      <c r="H132">
        <f t="shared" ref="H132:H195" ca="1" si="32">PERCENTILE(OFFSET(C132,0,0,$J$3,1), 0.95)/ABS(PERCENTILE(OFFSET(C132,0,0,$J$3,1), 0.05))</f>
        <v>1.1111105663294147</v>
      </c>
      <c r="I132">
        <f t="shared" ref="I132:I195" ca="1" si="33">PERCENTILE(OFFSET(C132,0,0,$J$3,1), 0.75)/ABS(PERCENTILE(OFFSET(C132,0,0,$J$3,1), 0.25))</f>
        <v>0.88866554342353521</v>
      </c>
      <c r="K132">
        <f t="shared" si="24"/>
        <v>0.98490657902744816</v>
      </c>
      <c r="L132" s="7">
        <f t="shared" ca="1" si="25"/>
        <v>0.9955705936634881</v>
      </c>
      <c r="M132">
        <f t="shared" ca="1" si="26"/>
        <v>1.3266812675515043</v>
      </c>
      <c r="N132">
        <v>1.0643870759924301</v>
      </c>
      <c r="O132" t="b">
        <f t="shared" ca="1" si="27"/>
        <v>0</v>
      </c>
      <c r="AA132">
        <v>0.35910332011032925</v>
      </c>
      <c r="AB132">
        <v>-1.577373980128427</v>
      </c>
      <c r="AC132">
        <v>-2.3033271029678479E-2</v>
      </c>
      <c r="AD132">
        <v>2.173104823418722</v>
      </c>
      <c r="AE132">
        <v>3.0098645053355888</v>
      </c>
      <c r="AF132">
        <v>2.8828386768442638</v>
      </c>
      <c r="AG132">
        <v>-0.52636414151219191</v>
      </c>
      <c r="AH132">
        <v>-1.6268586413793273</v>
      </c>
      <c r="AI132">
        <v>-1.6268586413793273</v>
      </c>
      <c r="AJ132">
        <v>-1.6268586413793273</v>
      </c>
      <c r="AK132">
        <v>-1.6268586413793273</v>
      </c>
      <c r="AL132">
        <v>-1.6268586413793273</v>
      </c>
      <c r="AM132">
        <v>-1.6268586413793273</v>
      </c>
      <c r="AN132">
        <v>-1.6268586413793273</v>
      </c>
    </row>
    <row r="133" spans="1:40" x14ac:dyDescent="0.45">
      <c r="A133" s="1">
        <v>45044</v>
      </c>
      <c r="B133">
        <v>164.31</v>
      </c>
      <c r="C133" s="5">
        <f t="shared" si="23"/>
        <v>2.5719458143454676E-2</v>
      </c>
      <c r="D133">
        <f t="shared" ca="1" si="28"/>
        <v>-1.0342294429367229E-3</v>
      </c>
      <c r="E133">
        <f t="shared" ca="1" si="29"/>
        <v>3.9926462258229434E-2</v>
      </c>
      <c r="F133">
        <f t="shared" ca="1" si="30"/>
        <v>-3.0196692033974702E-2</v>
      </c>
      <c r="G133">
        <f t="shared" ca="1" si="31"/>
        <v>0.57751493920735086</v>
      </c>
      <c r="H133">
        <f t="shared" ca="1" si="32"/>
        <v>1.1111105663294147</v>
      </c>
      <c r="I133">
        <f t="shared" ca="1" si="33"/>
        <v>0.88866554342353521</v>
      </c>
      <c r="K133">
        <f t="shared" si="24"/>
        <v>1.0257194581434548</v>
      </c>
      <c r="L133" s="7">
        <f t="shared" ca="1" si="25"/>
        <v>0.99533559486309675</v>
      </c>
      <c r="M133">
        <f t="shared" ca="1" si="26"/>
        <v>1.2710897990990544</v>
      </c>
      <c r="N133">
        <v>0.98772098066038883</v>
      </c>
      <c r="O133" t="b">
        <f t="shared" ca="1" si="27"/>
        <v>1</v>
      </c>
      <c r="AA133">
        <v>0.38230810008420218</v>
      </c>
      <c r="AB133">
        <v>-1.5763788829127678</v>
      </c>
      <c r="AC133">
        <v>-6.3274990360791553E-2</v>
      </c>
      <c r="AD133">
        <v>2.3264248550949245</v>
      </c>
      <c r="AE133">
        <v>2.986166343577104</v>
      </c>
      <c r="AF133">
        <v>2.9854082943826663</v>
      </c>
      <c r="AG133">
        <v>-0.48885400745303997</v>
      </c>
      <c r="AH133">
        <v>-1.6174349793799643</v>
      </c>
      <c r="AI133">
        <v>-1.6174349793799643</v>
      </c>
      <c r="AJ133">
        <v>-1.6174349793799643</v>
      </c>
      <c r="AK133">
        <v>-1.6174349793799643</v>
      </c>
      <c r="AL133">
        <v>-1.6174349793799643</v>
      </c>
      <c r="AM133">
        <v>-1.6174349793799643</v>
      </c>
      <c r="AN133">
        <v>-1.6174349793799643</v>
      </c>
    </row>
    <row r="134" spans="1:40" x14ac:dyDescent="0.45">
      <c r="A134" s="1">
        <v>45043</v>
      </c>
      <c r="B134">
        <v>160.19</v>
      </c>
      <c r="C134" s="5">
        <f t="shared" si="23"/>
        <v>4.1886178861788602E-2</v>
      </c>
      <c r="D134">
        <f t="shared" ca="1" si="28"/>
        <v>-1.0776591874232489E-3</v>
      </c>
      <c r="E134">
        <f t="shared" ca="1" si="29"/>
        <v>3.9901931380846301E-2</v>
      </c>
      <c r="F134">
        <f t="shared" ca="1" si="30"/>
        <v>-2.8012923256450998E-2</v>
      </c>
      <c r="G134">
        <f t="shared" ca="1" si="31"/>
        <v>0.58547252436654595</v>
      </c>
      <c r="H134">
        <f t="shared" ca="1" si="32"/>
        <v>1.1111105663294147</v>
      </c>
      <c r="I134">
        <f t="shared" ca="1" si="33"/>
        <v>0.84210061223144994</v>
      </c>
      <c r="K134">
        <f t="shared" si="24"/>
        <v>1.0418861788617886</v>
      </c>
      <c r="L134" s="7">
        <f t="shared" ca="1" si="25"/>
        <v>0.98282103196515114</v>
      </c>
      <c r="M134">
        <f t="shared" ca="1" si="26"/>
        <v>1.291925065314107</v>
      </c>
      <c r="N134">
        <v>1.0060005678548611</v>
      </c>
      <c r="O134" t="b">
        <f t="shared" ca="1" si="27"/>
        <v>0</v>
      </c>
      <c r="AA134">
        <v>0.40325577166448151</v>
      </c>
      <c r="AB134">
        <v>-1.5633420832927158</v>
      </c>
      <c r="AC134">
        <v>8.3233801252239892E-2</v>
      </c>
      <c r="AD134">
        <v>2.3773780933813042</v>
      </c>
      <c r="AE134">
        <v>2.895931329560439</v>
      </c>
      <c r="AF134">
        <v>3.0192424272577121</v>
      </c>
      <c r="AG134">
        <v>-0.54922240264693456</v>
      </c>
      <c r="AH134">
        <v>-1.6153938521766611</v>
      </c>
      <c r="AI134">
        <v>-1.6153938521766611</v>
      </c>
      <c r="AJ134">
        <v>-1.6153938521766611</v>
      </c>
      <c r="AK134">
        <v>-1.6153938521766611</v>
      </c>
      <c r="AL134">
        <v>-1.6153938521766611</v>
      </c>
      <c r="AM134">
        <v>-1.6153938521766611</v>
      </c>
      <c r="AN134">
        <v>-1.6153938521766611</v>
      </c>
    </row>
    <row r="135" spans="1:40" x14ac:dyDescent="0.45">
      <c r="A135" s="1">
        <v>45042</v>
      </c>
      <c r="B135">
        <v>153.75</v>
      </c>
      <c r="C135" s="5">
        <f t="shared" si="23"/>
        <v>-4.3069645857969678E-2</v>
      </c>
      <c r="D135">
        <f t="shared" ca="1" si="28"/>
        <v>-1.3142511234530898E-3</v>
      </c>
      <c r="E135">
        <f t="shared" ca="1" si="29"/>
        <v>3.9786019174313687E-2</v>
      </c>
      <c r="F135">
        <f t="shared" ca="1" si="30"/>
        <v>-1.6636779255610797E-2</v>
      </c>
      <c r="G135">
        <f t="shared" ca="1" si="31"/>
        <v>0.62031035698167614</v>
      </c>
      <c r="H135">
        <f t="shared" ca="1" si="32"/>
        <v>1.1111105663294147</v>
      </c>
      <c r="I135">
        <f t="shared" ca="1" si="33"/>
        <v>0.82524164675849798</v>
      </c>
      <c r="K135">
        <f t="shared" si="24"/>
        <v>0.95693035414203031</v>
      </c>
      <c r="L135" s="7">
        <f t="shared" ca="1" si="25"/>
        <v>0.85137604518522625</v>
      </c>
      <c r="M135">
        <f t="shared" ca="1" si="26"/>
        <v>1.2094122922248118</v>
      </c>
      <c r="N135">
        <v>0.94953168873354876</v>
      </c>
      <c r="O135" t="b">
        <f t="shared" ca="1" si="27"/>
        <v>1</v>
      </c>
      <c r="AA135">
        <v>0.38206826002485544</v>
      </c>
      <c r="AB135">
        <v>-1.5530667982467261</v>
      </c>
      <c r="AC135">
        <v>-3.2402395871118664E-2</v>
      </c>
      <c r="AD135">
        <v>2.0891546787933759</v>
      </c>
      <c r="AE135">
        <v>2.7920434686295694</v>
      </c>
      <c r="AF135">
        <v>2.6416010574384452</v>
      </c>
      <c r="AG135">
        <v>-0.57636917723825898</v>
      </c>
      <c r="AH135">
        <v>-1.2893822008661584</v>
      </c>
      <c r="AI135">
        <v>-1.2893822008661584</v>
      </c>
      <c r="AJ135">
        <v>-1.2893822008661584</v>
      </c>
      <c r="AK135">
        <v>-1.2893822008661584</v>
      </c>
      <c r="AL135">
        <v>-1.2893822008661584</v>
      </c>
      <c r="AM135">
        <v>-1.2893822008661584</v>
      </c>
      <c r="AN135">
        <v>-1.2893822008661584</v>
      </c>
    </row>
    <row r="136" spans="1:40" x14ac:dyDescent="0.45">
      <c r="A136" s="1">
        <v>45041</v>
      </c>
      <c r="B136">
        <v>160.66999999999999</v>
      </c>
      <c r="C136" s="5">
        <f t="shared" si="23"/>
        <v>-1.1565672100892179E-2</v>
      </c>
      <c r="D136">
        <f t="shared" ca="1" si="28"/>
        <v>-1.4263036670045287E-3</v>
      </c>
      <c r="E136">
        <f t="shared" ca="1" si="29"/>
        <v>3.9935486671799518E-2</v>
      </c>
      <c r="F136">
        <f t="shared" ca="1" si="30"/>
        <v>-2.3200816574747016E-2</v>
      </c>
      <c r="G136">
        <f t="shared" ca="1" si="31"/>
        <v>0.5937456524124296</v>
      </c>
      <c r="H136">
        <f t="shared" ca="1" si="32"/>
        <v>1.1111105663294147</v>
      </c>
      <c r="I136">
        <f t="shared" ca="1" si="33"/>
        <v>0.82524164675849798</v>
      </c>
      <c r="K136">
        <f t="shared" si="24"/>
        <v>0.98843432789910779</v>
      </c>
      <c r="L136" s="7">
        <f t="shared" ca="1" si="25"/>
        <v>0.87173783299875196</v>
      </c>
      <c r="M136">
        <f t="shared" ca="1" si="26"/>
        <v>1.17461783534544</v>
      </c>
      <c r="N136">
        <v>0.9424168976627687</v>
      </c>
      <c r="O136" t="b">
        <f t="shared" ca="1" si="27"/>
        <v>1</v>
      </c>
      <c r="AA136">
        <v>0.35222390355480293</v>
      </c>
      <c r="AB136">
        <v>-1.7288165262006099</v>
      </c>
      <c r="AC136">
        <v>-0.21318473563216586</v>
      </c>
      <c r="AD136">
        <v>1.621060455783087</v>
      </c>
      <c r="AE136">
        <v>2.2710491538958517</v>
      </c>
      <c r="AF136">
        <v>2.0494824693177529</v>
      </c>
      <c r="AG136">
        <v>-0.22407057048674842</v>
      </c>
      <c r="AH136">
        <v>-0.75232261490781716</v>
      </c>
      <c r="AI136">
        <v>-0.75232261490781716</v>
      </c>
      <c r="AJ136">
        <v>-0.75232261490781716</v>
      </c>
      <c r="AK136">
        <v>-0.75232261490781716</v>
      </c>
      <c r="AL136">
        <v>-0.75232261490781716</v>
      </c>
      <c r="AM136">
        <v>-0.75232261490781716</v>
      </c>
      <c r="AN136">
        <v>-0.75232261490781716</v>
      </c>
    </row>
    <row r="137" spans="1:40" x14ac:dyDescent="0.45">
      <c r="A137" s="1">
        <v>45040</v>
      </c>
      <c r="B137">
        <v>162.55000000000001</v>
      </c>
      <c r="C137" s="5">
        <f t="shared" si="23"/>
        <v>-1.5325902592682341E-2</v>
      </c>
      <c r="D137">
        <f t="shared" ca="1" si="28"/>
        <v>-1.2412993088227683E-3</v>
      </c>
      <c r="E137">
        <f t="shared" ca="1" si="29"/>
        <v>3.9973965414849585E-2</v>
      </c>
      <c r="F137">
        <f t="shared" ca="1" si="30"/>
        <v>-3.5535579533290104E-2</v>
      </c>
      <c r="G137">
        <f t="shared" ca="1" si="31"/>
        <v>0.58132567957456693</v>
      </c>
      <c r="H137">
        <f t="shared" ca="1" si="32"/>
        <v>1.1111105663294147</v>
      </c>
      <c r="I137">
        <f t="shared" ca="1" si="33"/>
        <v>0.84210061223144994</v>
      </c>
      <c r="K137">
        <f t="shared" si="24"/>
        <v>0.98467409740731771</v>
      </c>
      <c r="L137" s="7">
        <f t="shared" ca="1" si="25"/>
        <v>0.86906544054747659</v>
      </c>
      <c r="M137">
        <f t="shared" ca="1" si="26"/>
        <v>1.1774892796855947</v>
      </c>
      <c r="N137">
        <v>0.95622221412101527</v>
      </c>
      <c r="O137" t="b">
        <f t="shared" ca="1" si="27"/>
        <v>1</v>
      </c>
      <c r="AA137">
        <v>0.37352318547542157</v>
      </c>
      <c r="AB137">
        <v>-1.7027569543564061</v>
      </c>
      <c r="AC137">
        <v>-0.31114309318181765</v>
      </c>
      <c r="AD137">
        <v>1.5238838583113288</v>
      </c>
      <c r="AE137">
        <v>1.9804822058213036</v>
      </c>
      <c r="AF137">
        <v>1.724792885912066</v>
      </c>
      <c r="AG137">
        <v>-0.28902323211752801</v>
      </c>
      <c r="AH137">
        <v>-0.50949337096047986</v>
      </c>
      <c r="AI137">
        <v>-0.50949337096047986</v>
      </c>
      <c r="AJ137">
        <v>-0.50949337096047986</v>
      </c>
      <c r="AK137">
        <v>-0.50949337096047986</v>
      </c>
      <c r="AL137">
        <v>-0.50949337096047986</v>
      </c>
      <c r="AM137">
        <v>-0.50949337096047986</v>
      </c>
      <c r="AN137">
        <v>-0.50949337096047986</v>
      </c>
    </row>
    <row r="138" spans="1:40" x14ac:dyDescent="0.45">
      <c r="A138" s="1">
        <v>45037</v>
      </c>
      <c r="B138">
        <v>165.08</v>
      </c>
      <c r="C138" s="5">
        <f t="shared" si="23"/>
        <v>1.2822872568869275E-2</v>
      </c>
      <c r="D138">
        <f t="shared" ca="1" si="28"/>
        <v>-8.882741163488857E-4</v>
      </c>
      <c r="E138">
        <f t="shared" ca="1" si="29"/>
        <v>4.0160289549046914E-2</v>
      </c>
      <c r="F138">
        <f t="shared" ca="1" si="30"/>
        <v>-4.7313201595876909E-2</v>
      </c>
      <c r="G138">
        <f t="shared" ca="1" si="31"/>
        <v>0.53593999668014947</v>
      </c>
      <c r="H138">
        <f t="shared" ca="1" si="32"/>
        <v>1.1111105663294147</v>
      </c>
      <c r="I138">
        <f t="shared" ca="1" si="33"/>
        <v>0.88866554342353521</v>
      </c>
      <c r="K138">
        <f t="shared" si="24"/>
        <v>1.0128228725688693</v>
      </c>
      <c r="L138" s="7">
        <f t="shared" ca="1" si="25"/>
        <v>0.89232432432432429</v>
      </c>
      <c r="M138">
        <f t="shared" ca="1" si="26"/>
        <v>1.2085503734757554</v>
      </c>
      <c r="N138">
        <v>0.98196197339549707</v>
      </c>
      <c r="O138" t="b">
        <f t="shared" ca="1" si="27"/>
        <v>1</v>
      </c>
      <c r="AA138">
        <v>0.41918189611965861</v>
      </c>
      <c r="AB138">
        <v>-1.5467211513174137</v>
      </c>
      <c r="AC138">
        <v>-0.40808393083719258</v>
      </c>
      <c r="AD138">
        <v>1.4314055009992119</v>
      </c>
      <c r="AE138">
        <v>1.8488229239934939</v>
      </c>
      <c r="AF138">
        <v>1.4308807641094003</v>
      </c>
      <c r="AG138">
        <v>-0.50794000609671841</v>
      </c>
      <c r="AH138">
        <v>-0.29262114584338794</v>
      </c>
      <c r="AI138">
        <v>-0.29262114584338794</v>
      </c>
      <c r="AJ138">
        <v>-0.29262114584338794</v>
      </c>
      <c r="AK138">
        <v>-0.29262114584338794</v>
      </c>
      <c r="AL138">
        <v>-0.29262114584338794</v>
      </c>
      <c r="AM138">
        <v>-0.29262114584338794</v>
      </c>
      <c r="AN138">
        <v>-0.29262114584338794</v>
      </c>
    </row>
    <row r="139" spans="1:40" x14ac:dyDescent="0.45">
      <c r="A139" s="1">
        <v>45036</v>
      </c>
      <c r="B139">
        <v>162.99</v>
      </c>
      <c r="C139" s="5">
        <f t="shared" si="23"/>
        <v>-9.7458331026081146E-2</v>
      </c>
      <c r="D139">
        <f t="shared" ca="1" si="28"/>
        <v>-9.8100685931568629E-4</v>
      </c>
      <c r="E139">
        <f t="shared" ca="1" si="29"/>
        <v>4.0149881766809031E-2</v>
      </c>
      <c r="F139">
        <f t="shared" ca="1" si="30"/>
        <v>-4.0562029982546002E-2</v>
      </c>
      <c r="G139">
        <f t="shared" ca="1" si="31"/>
        <v>0.53917060077626688</v>
      </c>
      <c r="H139">
        <f t="shared" ca="1" si="32"/>
        <v>1.1111105663294147</v>
      </c>
      <c r="I139">
        <f t="shared" ca="1" si="33"/>
        <v>0.88866554342353521</v>
      </c>
      <c r="K139">
        <f t="shared" si="24"/>
        <v>0.90254166897391885</v>
      </c>
      <c r="L139" s="7">
        <f t="shared" ca="1" si="25"/>
        <v>0.87676169983862284</v>
      </c>
      <c r="M139">
        <f t="shared" ca="1" si="26"/>
        <v>1.2394803953318965</v>
      </c>
      <c r="N139">
        <v>1.0290142857714832</v>
      </c>
      <c r="O139" t="b">
        <f t="shared" ca="1" si="27"/>
        <v>0</v>
      </c>
      <c r="AA139">
        <v>0.53923328000648696</v>
      </c>
      <c r="AB139">
        <v>-1.5712725749021106</v>
      </c>
      <c r="AC139">
        <v>-0.6231319506497226</v>
      </c>
      <c r="AD139">
        <v>0.9247009543804029</v>
      </c>
      <c r="AE139">
        <v>1.7607019532528154</v>
      </c>
      <c r="AF139">
        <v>0.77824487375094575</v>
      </c>
      <c r="AG139">
        <v>-1.0026417238156702</v>
      </c>
      <c r="AH139">
        <v>0.33319097402645548</v>
      </c>
      <c r="AI139">
        <v>0.33319097402645548</v>
      </c>
      <c r="AJ139">
        <v>0.33319097402645548</v>
      </c>
      <c r="AK139">
        <v>0.33319097402645548</v>
      </c>
      <c r="AL139">
        <v>0.33319097402645548</v>
      </c>
      <c r="AM139">
        <v>0.33319097402645548</v>
      </c>
      <c r="AN139">
        <v>0.33319097402645548</v>
      </c>
    </row>
    <row r="140" spans="1:40" x14ac:dyDescent="0.45">
      <c r="A140" s="1">
        <v>45035</v>
      </c>
      <c r="B140">
        <v>180.59</v>
      </c>
      <c r="C140" s="5">
        <f t="shared" si="23"/>
        <v>-2.0183386685475552E-2</v>
      </c>
      <c r="D140">
        <f t="shared" ca="1" si="28"/>
        <v>-3.6602173890496777E-4</v>
      </c>
      <c r="E140">
        <f t="shared" ca="1" si="29"/>
        <v>3.960295197599735E-2</v>
      </c>
      <c r="F140">
        <f t="shared" ca="1" si="30"/>
        <v>-1.4417796668679853E-2</v>
      </c>
      <c r="G140">
        <f t="shared" ca="1" si="31"/>
        <v>0.55940809428257676</v>
      </c>
      <c r="H140">
        <f t="shared" ca="1" si="32"/>
        <v>1.1152181095866192</v>
      </c>
      <c r="I140">
        <f t="shared" ca="1" si="33"/>
        <v>0.91952969989778</v>
      </c>
      <c r="K140">
        <f t="shared" si="24"/>
        <v>0.97981661331452441</v>
      </c>
      <c r="L140" s="7">
        <f t="shared" ca="1" si="25"/>
        <v>1.0002769469369668</v>
      </c>
      <c r="M140">
        <f t="shared" ca="1" si="26"/>
        <v>1.2714231723446203</v>
      </c>
      <c r="N140">
        <v>1.0716353382326183</v>
      </c>
      <c r="O140" t="b">
        <f t="shared" ca="1" si="27"/>
        <v>1</v>
      </c>
      <c r="AA140">
        <v>0.61556597777786781</v>
      </c>
      <c r="AB140">
        <v>-1.52911689133796</v>
      </c>
      <c r="AC140">
        <v>-0.62764675947380311</v>
      </c>
      <c r="AD140">
        <v>0.77853882146285269</v>
      </c>
      <c r="AE140">
        <v>1.8988604777948588</v>
      </c>
      <c r="AF140">
        <v>0.59023897950270976</v>
      </c>
      <c r="AG140">
        <v>-1.4430721669212667</v>
      </c>
      <c r="AH140">
        <v>0.48264501345853866</v>
      </c>
      <c r="AI140">
        <v>0.48264501345853866</v>
      </c>
      <c r="AJ140">
        <v>0.48264501345853866</v>
      </c>
      <c r="AK140">
        <v>0.48264501345853866</v>
      </c>
      <c r="AL140">
        <v>0.48264501345853866</v>
      </c>
      <c r="AM140">
        <v>0.48264501345853866</v>
      </c>
      <c r="AN140">
        <v>0.48264501345853866</v>
      </c>
    </row>
    <row r="141" spans="1:40" x14ac:dyDescent="0.45">
      <c r="A141" s="1">
        <v>45034</v>
      </c>
      <c r="B141">
        <v>184.31</v>
      </c>
      <c r="C141" s="5">
        <f t="shared" si="23"/>
        <v>-1.4595808383233478E-2</v>
      </c>
      <c r="D141">
        <f t="shared" ca="1" si="28"/>
        <v>-2.0295924676896941E-4</v>
      </c>
      <c r="E141">
        <f t="shared" ca="1" si="29"/>
        <v>3.9588082367998455E-2</v>
      </c>
      <c r="F141">
        <f t="shared" ca="1" si="30"/>
        <v>-2.6107767331435137E-2</v>
      </c>
      <c r="G141">
        <f t="shared" ca="1" si="31"/>
        <v>0.56489294619492236</v>
      </c>
      <c r="H141">
        <f t="shared" ca="1" si="32"/>
        <v>1.1152181095866192</v>
      </c>
      <c r="I141">
        <f t="shared" ca="1" si="33"/>
        <v>0.91952969989778</v>
      </c>
      <c r="K141">
        <f t="shared" si="24"/>
        <v>0.98540419161676651</v>
      </c>
      <c r="L141" s="7">
        <f t="shared" ca="1" si="25"/>
        <v>0.98672305797954918</v>
      </c>
      <c r="M141">
        <f t="shared" ca="1" si="26"/>
        <v>1.2015046436130574</v>
      </c>
      <c r="N141">
        <v>1.0193810283663243</v>
      </c>
      <c r="O141" t="b">
        <f t="shared" ca="1" si="27"/>
        <v>0</v>
      </c>
      <c r="AA141">
        <v>0.61926568999912601</v>
      </c>
      <c r="AB141">
        <v>-1.4409524507711762</v>
      </c>
      <c r="AC141">
        <v>-0.71160526243717459</v>
      </c>
      <c r="AD141">
        <v>0.42739560689486927</v>
      </c>
      <c r="AE141">
        <v>1.6693027854607512</v>
      </c>
      <c r="AF141">
        <v>0.20957800575796134</v>
      </c>
      <c r="AG141">
        <v>-1.4942364350542183</v>
      </c>
      <c r="AH141">
        <v>0.74250820873821655</v>
      </c>
      <c r="AI141">
        <v>0.74250820873821655</v>
      </c>
      <c r="AJ141">
        <v>0.74250820873821655</v>
      </c>
      <c r="AK141">
        <v>0.74250820873821655</v>
      </c>
      <c r="AL141">
        <v>0.74250820873821655</v>
      </c>
      <c r="AM141">
        <v>0.74250820873821655</v>
      </c>
      <c r="AN141">
        <v>0.74250820873821655</v>
      </c>
    </row>
    <row r="142" spans="1:40" x14ac:dyDescent="0.45">
      <c r="A142" s="1">
        <v>45033</v>
      </c>
      <c r="B142">
        <v>187.04</v>
      </c>
      <c r="C142" s="5">
        <f t="shared" si="23"/>
        <v>1.1027027027026985E-2</v>
      </c>
      <c r="D142">
        <f t="shared" ca="1" si="28"/>
        <v>-2.1788339536442277E-4</v>
      </c>
      <c r="E142">
        <f t="shared" ca="1" si="29"/>
        <v>3.9594097697262305E-2</v>
      </c>
      <c r="F142">
        <f t="shared" ca="1" si="30"/>
        <v>-2.5138983452732744E-2</v>
      </c>
      <c r="G142">
        <f t="shared" ca="1" si="31"/>
        <v>0.56276144369954162</v>
      </c>
      <c r="H142">
        <f t="shared" ca="1" si="32"/>
        <v>1.1152181095866192</v>
      </c>
      <c r="I142">
        <f t="shared" ca="1" si="33"/>
        <v>0.91952969989778</v>
      </c>
      <c r="K142">
        <f t="shared" si="24"/>
        <v>1.011027027027027</v>
      </c>
      <c r="L142" s="7">
        <f t="shared" ca="1" si="25"/>
        <v>1.013711993929868</v>
      </c>
      <c r="M142">
        <f t="shared" ca="1" si="26"/>
        <v>1.2203392468367604</v>
      </c>
      <c r="N142">
        <v>1.0406521507869235</v>
      </c>
      <c r="O142" t="b">
        <f t="shared" ca="1" si="27"/>
        <v>1</v>
      </c>
      <c r="AA142">
        <v>0.66384654159706313</v>
      </c>
      <c r="AB142">
        <v>-1.3558317444534951</v>
      </c>
      <c r="AC142">
        <v>-0.80408993890385227</v>
      </c>
      <c r="AD142">
        <v>4.5739916279376798E-2</v>
      </c>
      <c r="AE142">
        <v>1.6913027334665875</v>
      </c>
      <c r="AF142">
        <v>-0.30595309890259303</v>
      </c>
      <c r="AG142">
        <v>-1.6492005557093652</v>
      </c>
      <c r="AH142">
        <v>1.3425932283044297</v>
      </c>
      <c r="AI142">
        <v>1.3425932283044297</v>
      </c>
      <c r="AJ142">
        <v>1.3425932283044297</v>
      </c>
      <c r="AK142">
        <v>1.3425932283044297</v>
      </c>
      <c r="AL142">
        <v>1.3425932283044297</v>
      </c>
      <c r="AM142">
        <v>1.3425932283044297</v>
      </c>
      <c r="AN142">
        <v>1.3425932283044297</v>
      </c>
    </row>
    <row r="143" spans="1:40" x14ac:dyDescent="0.45">
      <c r="A143" s="1">
        <v>45030</v>
      </c>
      <c r="B143">
        <v>185</v>
      </c>
      <c r="C143" s="5">
        <f t="shared" si="23"/>
        <v>-4.841312533620256E-3</v>
      </c>
      <c r="D143">
        <f t="shared" ca="1" si="28"/>
        <v>-3.6269759420973067E-4</v>
      </c>
      <c r="E143">
        <f t="shared" ca="1" si="29"/>
        <v>3.960572675072075E-2</v>
      </c>
      <c r="F143">
        <f t="shared" ca="1" si="30"/>
        <v>-1.4607423442327568E-2</v>
      </c>
      <c r="G143">
        <f t="shared" ca="1" si="31"/>
        <v>0.55839828427289184</v>
      </c>
      <c r="H143">
        <f t="shared" ca="1" si="32"/>
        <v>1.1152181095866192</v>
      </c>
      <c r="I143">
        <f t="shared" ca="1" si="33"/>
        <v>0.91952969989778</v>
      </c>
      <c r="K143">
        <f t="shared" si="24"/>
        <v>0.9951586874663797</v>
      </c>
      <c r="L143" s="7">
        <f t="shared" ca="1" si="25"/>
        <v>0.99967578082783948</v>
      </c>
      <c r="M143">
        <f t="shared" ca="1" si="26"/>
        <v>1.221460280584199</v>
      </c>
      <c r="N143">
        <v>1.0592554391899252</v>
      </c>
      <c r="O143" t="b">
        <f t="shared" ca="1" si="27"/>
        <v>0</v>
      </c>
      <c r="AA143">
        <v>0.73835646053379289</v>
      </c>
      <c r="AB143">
        <v>-0.95086433404064818</v>
      </c>
      <c r="AC143">
        <v>-1.0566384174513925</v>
      </c>
      <c r="AD143">
        <v>-0.50342085752901022</v>
      </c>
      <c r="AE143">
        <v>1.7619968878869705</v>
      </c>
      <c r="AF143">
        <v>-1.4214932116996326</v>
      </c>
      <c r="AG143">
        <v>-2.0264313633770805</v>
      </c>
      <c r="AH143">
        <v>2.3836367350750978</v>
      </c>
      <c r="AI143">
        <v>2.3836367350750978</v>
      </c>
      <c r="AJ143">
        <v>2.3836367350750978</v>
      </c>
      <c r="AK143">
        <v>2.3836367350750978</v>
      </c>
      <c r="AL143">
        <v>2.3836367350750978</v>
      </c>
      <c r="AM143">
        <v>2.3836367350750978</v>
      </c>
      <c r="AN143">
        <v>2.3836367350750978</v>
      </c>
    </row>
    <row r="144" spans="1:40" x14ac:dyDescent="0.45">
      <c r="A144" s="1">
        <v>45029</v>
      </c>
      <c r="B144">
        <v>185.9</v>
      </c>
      <c r="C144" s="5">
        <f t="shared" si="23"/>
        <v>2.9688711642849308E-2</v>
      </c>
      <c r="D144">
        <f t="shared" ca="1" si="28"/>
        <v>-5.88715594664281E-4</v>
      </c>
      <c r="E144">
        <f t="shared" ca="1" si="29"/>
        <v>3.9760094155926268E-2</v>
      </c>
      <c r="F144">
        <f t="shared" ca="1" si="30"/>
        <v>-7.1077404271768369E-3</v>
      </c>
      <c r="G144">
        <f t="shared" ca="1" si="31"/>
        <v>0.51501137105398209</v>
      </c>
      <c r="H144">
        <f t="shared" ca="1" si="32"/>
        <v>1.1152181095866192</v>
      </c>
      <c r="I144">
        <f t="shared" ca="1" si="33"/>
        <v>0.90267505042183027</v>
      </c>
      <c r="K144">
        <f t="shared" si="24"/>
        <v>1.0296887116428493</v>
      </c>
      <c r="L144" s="7">
        <f t="shared" ca="1" si="25"/>
        <v>1.0020482966796032</v>
      </c>
      <c r="M144">
        <f t="shared" ca="1" si="26"/>
        <v>1.160383151185151</v>
      </c>
      <c r="N144">
        <v>1.0266799937781674</v>
      </c>
      <c r="O144" t="b">
        <f t="shared" ca="1" si="27"/>
        <v>1</v>
      </c>
      <c r="AA144">
        <v>0.76382219141479835</v>
      </c>
      <c r="AB144">
        <v>-1.0274024066517926</v>
      </c>
      <c r="AC144">
        <v>-1.0633165019418345</v>
      </c>
      <c r="AD144">
        <v>-0.29971243242397216</v>
      </c>
      <c r="AE144">
        <v>1.9690952607401286</v>
      </c>
      <c r="AF144">
        <v>-1.2511033565064675</v>
      </c>
      <c r="AG144">
        <v>-1.9392958421530413</v>
      </c>
      <c r="AH144">
        <v>2.3018905601372248</v>
      </c>
      <c r="AI144">
        <v>2.3018905601372248</v>
      </c>
      <c r="AJ144">
        <v>2.3018905601372248</v>
      </c>
      <c r="AK144">
        <v>2.3018905601372248</v>
      </c>
      <c r="AL144">
        <v>2.3018905601372248</v>
      </c>
      <c r="AM144">
        <v>2.3018905601372248</v>
      </c>
      <c r="AN144">
        <v>2.3018905601372248</v>
      </c>
    </row>
    <row r="145" spans="1:40" x14ac:dyDescent="0.45">
      <c r="A145" s="1">
        <v>45028</v>
      </c>
      <c r="B145">
        <v>180.54</v>
      </c>
      <c r="C145" s="5">
        <f t="shared" si="23"/>
        <v>-3.3460035333797315E-2</v>
      </c>
      <c r="D145">
        <f t="shared" ca="1" si="28"/>
        <v>-7.5317416262590971E-4</v>
      </c>
      <c r="E145">
        <f t="shared" ca="1" si="29"/>
        <v>3.9702211559430343E-2</v>
      </c>
      <c r="F145">
        <f t="shared" ca="1" si="30"/>
        <v>3.1609270982477324E-3</v>
      </c>
      <c r="G145">
        <f t="shared" ca="1" si="31"/>
        <v>0.53401783521917867</v>
      </c>
      <c r="H145">
        <f t="shared" ca="1" si="32"/>
        <v>1.1152181095866192</v>
      </c>
      <c r="I145">
        <f t="shared" ca="1" si="33"/>
        <v>0.88866554342353521</v>
      </c>
      <c r="K145">
        <f t="shared" si="24"/>
        <v>0.96653996466620273</v>
      </c>
      <c r="L145" s="7">
        <f t="shared" ca="1" si="25"/>
        <v>0.93748052757295652</v>
      </c>
      <c r="M145">
        <f t="shared" ca="1" si="26"/>
        <v>1.1304011365040716</v>
      </c>
      <c r="N145">
        <v>0.98021949651307549</v>
      </c>
      <c r="O145" t="b">
        <f t="shared" ca="1" si="27"/>
        <v>1</v>
      </c>
      <c r="AA145">
        <v>0.75823993891827113</v>
      </c>
      <c r="AB145">
        <v>-0.7447816062571927</v>
      </c>
      <c r="AC145">
        <v>-1.0652907187409388</v>
      </c>
      <c r="AD145">
        <v>0.2062726126109016</v>
      </c>
      <c r="AE145">
        <v>2.0157087643216309</v>
      </c>
      <c r="AF145">
        <v>-0.91851800685373763</v>
      </c>
      <c r="AG145">
        <v>-1.8004517104414619</v>
      </c>
      <c r="AH145">
        <v>2.022321473663613</v>
      </c>
      <c r="AI145">
        <v>2.022321473663613</v>
      </c>
      <c r="AJ145">
        <v>2.022321473663613</v>
      </c>
      <c r="AK145">
        <v>2.022321473663613</v>
      </c>
      <c r="AL145">
        <v>2.022321473663613</v>
      </c>
      <c r="AM145">
        <v>2.022321473663613</v>
      </c>
      <c r="AN145">
        <v>2.022321473663613</v>
      </c>
    </row>
    <row r="146" spans="1:40" x14ac:dyDescent="0.45">
      <c r="A146" s="1">
        <v>45027</v>
      </c>
      <c r="B146">
        <v>186.79</v>
      </c>
      <c r="C146" s="5">
        <f t="shared" si="23"/>
        <v>1.2357053818221241E-2</v>
      </c>
      <c r="D146">
        <f t="shared" ca="1" si="28"/>
        <v>-3.5962223116047898E-4</v>
      </c>
      <c r="E146">
        <f t="shared" ca="1" si="29"/>
        <v>3.9766432643364089E-2</v>
      </c>
      <c r="F146">
        <f t="shared" ca="1" si="30"/>
        <v>-1.616249380279592E-2</v>
      </c>
      <c r="G146">
        <f t="shared" ca="1" si="31"/>
        <v>0.51790182353764491</v>
      </c>
      <c r="H146">
        <f t="shared" ca="1" si="32"/>
        <v>1.1152181095866192</v>
      </c>
      <c r="I146">
        <f t="shared" ca="1" si="33"/>
        <v>0.91952969989778</v>
      </c>
      <c r="K146">
        <f t="shared" si="24"/>
        <v>1.0123570538182212</v>
      </c>
      <c r="L146" s="7">
        <f t="shared" ca="1" si="25"/>
        <v>0.9590285978333416</v>
      </c>
      <c r="M146">
        <f t="shared" ca="1" si="26"/>
        <v>1.1536784375935665</v>
      </c>
      <c r="N146">
        <v>1.0103105715015344</v>
      </c>
      <c r="O146" t="b">
        <f t="shared" ca="1" si="27"/>
        <v>0</v>
      </c>
      <c r="AA146">
        <v>0.81322751928903858</v>
      </c>
      <c r="AB146">
        <v>-0.85385271855009715</v>
      </c>
      <c r="AC146">
        <v>-1.2643597237931194</v>
      </c>
      <c r="AD146">
        <v>0.46315191899831271</v>
      </c>
      <c r="AE146">
        <v>2.2702439476035821</v>
      </c>
      <c r="AF146">
        <v>-1.0133040622111333</v>
      </c>
      <c r="AG146">
        <v>-1.8489854296235908</v>
      </c>
      <c r="AH146">
        <v>2.7678208410885192</v>
      </c>
      <c r="AI146">
        <v>2.7678208410885192</v>
      </c>
      <c r="AJ146">
        <v>2.7678208410885192</v>
      </c>
      <c r="AK146">
        <v>2.7678208410885192</v>
      </c>
      <c r="AL146">
        <v>2.7678208410885192</v>
      </c>
      <c r="AM146">
        <v>2.7678208410885192</v>
      </c>
      <c r="AN146">
        <v>2.7678208410885192</v>
      </c>
    </row>
    <row r="147" spans="1:40" x14ac:dyDescent="0.45">
      <c r="A147" s="1">
        <v>45026</v>
      </c>
      <c r="B147">
        <v>184.51</v>
      </c>
      <c r="C147" s="5">
        <f t="shared" si="23"/>
        <v>-2.9720090781368818E-3</v>
      </c>
      <c r="D147">
        <f t="shared" ca="1" si="28"/>
        <v>-4.4294617031812852E-4</v>
      </c>
      <c r="E147">
        <f t="shared" ca="1" si="29"/>
        <v>3.9757111119671236E-2</v>
      </c>
      <c r="F147">
        <f t="shared" ca="1" si="30"/>
        <v>-9.9939493330236141E-3</v>
      </c>
      <c r="G147">
        <f t="shared" ca="1" si="31"/>
        <v>0.52107882032387254</v>
      </c>
      <c r="H147">
        <f t="shared" ca="1" si="32"/>
        <v>1.1152181095866192</v>
      </c>
      <c r="I147">
        <f t="shared" ca="1" si="33"/>
        <v>0.91952969989778</v>
      </c>
      <c r="K147">
        <f t="shared" si="24"/>
        <v>0.99702799092186312</v>
      </c>
      <c r="L147" s="7">
        <f t="shared" ca="1" si="25"/>
        <v>0.88937626530415492</v>
      </c>
      <c r="M147">
        <f t="shared" ca="1" si="26"/>
        <v>1.0738259918486226</v>
      </c>
      <c r="N147">
        <v>0.94572970645991172</v>
      </c>
      <c r="O147" t="b">
        <f t="shared" ca="1" si="27"/>
        <v>1</v>
      </c>
      <c r="AA147">
        <v>0.82265905195231459</v>
      </c>
      <c r="AB147">
        <v>-0.31928083690449965</v>
      </c>
      <c r="AC147">
        <v>-0.89056559718461525</v>
      </c>
      <c r="AD147">
        <v>1.1279187706857419</v>
      </c>
      <c r="AE147">
        <v>1.9325458259434056</v>
      </c>
      <c r="AF147">
        <v>-0.90325260784679073</v>
      </c>
      <c r="AG147">
        <v>-2.1650404121010025</v>
      </c>
      <c r="AH147">
        <v>2.4951578066099103</v>
      </c>
      <c r="AI147">
        <v>2.4951578066099103</v>
      </c>
      <c r="AJ147">
        <v>2.4951578066099103</v>
      </c>
      <c r="AK147">
        <v>2.4951578066099103</v>
      </c>
      <c r="AL147">
        <v>2.4951578066099103</v>
      </c>
      <c r="AM147">
        <v>2.4951578066099103</v>
      </c>
      <c r="AN147">
        <v>2.4951578066099103</v>
      </c>
    </row>
    <row r="148" spans="1:40" x14ac:dyDescent="0.45">
      <c r="A148" s="1">
        <v>45022</v>
      </c>
      <c r="B148">
        <v>185.06</v>
      </c>
      <c r="C148" s="5">
        <f t="shared" si="23"/>
        <v>-2.4795170332040099E-3</v>
      </c>
      <c r="D148">
        <f t="shared" ca="1" si="28"/>
        <v>-4.4812519055854844E-4</v>
      </c>
      <c r="E148">
        <f t="shared" ca="1" si="29"/>
        <v>3.9757509690709611E-2</v>
      </c>
      <c r="F148">
        <f t="shared" ca="1" si="30"/>
        <v>-9.6012583241348939E-3</v>
      </c>
      <c r="G148">
        <f t="shared" ca="1" si="31"/>
        <v>0.52093083204232649</v>
      </c>
      <c r="H148">
        <f t="shared" ca="1" si="32"/>
        <v>1.1152181095866192</v>
      </c>
      <c r="I148">
        <f t="shared" ca="1" si="33"/>
        <v>0.91952969989778</v>
      </c>
      <c r="K148">
        <f t="shared" si="24"/>
        <v>0.99752048296679596</v>
      </c>
      <c r="L148" s="7">
        <f t="shared" ca="1" si="25"/>
        <v>0.9476648914379352</v>
      </c>
      <c r="M148">
        <f t="shared" ca="1" si="26"/>
        <v>1.1119034510070116</v>
      </c>
      <c r="N148">
        <v>1.0175971523097518</v>
      </c>
      <c r="O148" t="b">
        <f t="shared" ca="1" si="27"/>
        <v>0</v>
      </c>
      <c r="AA148">
        <v>0.77996324841232989</v>
      </c>
      <c r="AB148">
        <v>0.61390098010385885</v>
      </c>
      <c r="AC148">
        <v>-4.4246411362431244E-2</v>
      </c>
      <c r="AD148">
        <v>1.962239357911959</v>
      </c>
      <c r="AE148">
        <v>1.375653827061698</v>
      </c>
      <c r="AF148">
        <v>-0.68193622383014263</v>
      </c>
      <c r="AG148">
        <v>-2.5218404719662937</v>
      </c>
      <c r="AH148">
        <v>1.2083501508570684</v>
      </c>
      <c r="AI148">
        <v>1.2083501508570684</v>
      </c>
      <c r="AJ148">
        <v>1.2083501508570684</v>
      </c>
      <c r="AK148">
        <v>1.2083501508570684</v>
      </c>
      <c r="AL148">
        <v>1.2083501508570684</v>
      </c>
      <c r="AM148">
        <v>1.2083501508570684</v>
      </c>
      <c r="AN148">
        <v>1.2083501508570684</v>
      </c>
    </row>
    <row r="149" spans="1:40" x14ac:dyDescent="0.45">
      <c r="A149" s="1">
        <v>45021</v>
      </c>
      <c r="B149">
        <v>185.52</v>
      </c>
      <c r="C149" s="5">
        <f t="shared" si="23"/>
        <v>-3.6660089313532047E-2</v>
      </c>
      <c r="D149">
        <f t="shared" ca="1" si="28"/>
        <v>3.2001680453568607E-5</v>
      </c>
      <c r="E149">
        <f t="shared" ca="1" si="29"/>
        <v>4.0308851203831007E-2</v>
      </c>
      <c r="F149">
        <f t="shared" ca="1" si="30"/>
        <v>1.9050932832819615E-2</v>
      </c>
      <c r="G149">
        <f t="shared" ca="1" si="31"/>
        <v>0.48107764445890622</v>
      </c>
      <c r="H149">
        <f t="shared" ca="1" si="32"/>
        <v>1.1205519707852962</v>
      </c>
      <c r="I149">
        <f t="shared" ca="1" si="33"/>
        <v>0.92359069320144149</v>
      </c>
      <c r="K149">
        <f t="shared" si="24"/>
        <v>0.96333991068646796</v>
      </c>
      <c r="L149" s="7">
        <f t="shared" ca="1" si="25"/>
        <v>0.95688054466680417</v>
      </c>
      <c r="M149">
        <f t="shared" ca="1" si="26"/>
        <v>1.1210947426323243</v>
      </c>
      <c r="N149">
        <v>1.03192487371272</v>
      </c>
      <c r="O149" t="b">
        <f t="shared" ca="1" si="27"/>
        <v>0</v>
      </c>
      <c r="AA149">
        <v>0.75253228730127641</v>
      </c>
      <c r="AB149">
        <v>1.2099017558529122</v>
      </c>
      <c r="AC149">
        <v>0.2110021730329629</v>
      </c>
      <c r="AD149">
        <v>2.6074558001203929</v>
      </c>
      <c r="AE149">
        <v>1.2057971539194177</v>
      </c>
      <c r="AF149">
        <v>-0.88232561078720584</v>
      </c>
      <c r="AG149">
        <v>-3.0122923083585267</v>
      </c>
      <c r="AH149">
        <v>0.59607581219626549</v>
      </c>
      <c r="AI149">
        <v>0.59607581219626549</v>
      </c>
      <c r="AJ149">
        <v>0.59607581219626549</v>
      </c>
      <c r="AK149">
        <v>0.59607581219626549</v>
      </c>
      <c r="AL149">
        <v>0.59607581219626549</v>
      </c>
      <c r="AM149">
        <v>0.59607581219626549</v>
      </c>
      <c r="AN149">
        <v>0.59607581219626549</v>
      </c>
    </row>
    <row r="150" spans="1:40" x14ac:dyDescent="0.45">
      <c r="A150" s="1">
        <v>45020</v>
      </c>
      <c r="B150">
        <v>192.58</v>
      </c>
      <c r="C150" s="5">
        <f t="shared" si="23"/>
        <v>-1.1244031421676837E-2</v>
      </c>
      <c r="D150">
        <f t="shared" ca="1" si="28"/>
        <v>3.0117730299495071E-4</v>
      </c>
      <c r="E150">
        <f t="shared" ca="1" si="29"/>
        <v>4.024229234497774E-2</v>
      </c>
      <c r="F150">
        <f t="shared" ca="1" si="30"/>
        <v>3.1159170507190624E-3</v>
      </c>
      <c r="G150">
        <f t="shared" ca="1" si="31"/>
        <v>0.50069801172768047</v>
      </c>
      <c r="H150">
        <f t="shared" ca="1" si="32"/>
        <v>1.1205519707852962</v>
      </c>
      <c r="I150">
        <f t="shared" ca="1" si="33"/>
        <v>0.97862848492606846</v>
      </c>
      <c r="K150">
        <f t="shared" si="24"/>
        <v>0.98875596857832315</v>
      </c>
      <c r="L150" s="7">
        <f t="shared" ca="1" si="25"/>
        <v>1.017918494635023</v>
      </c>
      <c r="M150">
        <f t="shared" ca="1" si="26"/>
        <v>1.1661618485913534</v>
      </c>
      <c r="N150">
        <v>1.041325931527916</v>
      </c>
      <c r="O150" t="b">
        <f t="shared" ca="1" si="27"/>
        <v>1</v>
      </c>
      <c r="AA150">
        <v>0.7490440755275698</v>
      </c>
      <c r="AB150">
        <v>0.77233748468324581</v>
      </c>
      <c r="AC150">
        <v>0.79705993376923889</v>
      </c>
      <c r="AD150">
        <v>2.467633598817796</v>
      </c>
      <c r="AE150">
        <v>1.012067460984269</v>
      </c>
      <c r="AF150">
        <v>-0.30071354694494823</v>
      </c>
      <c r="AG150">
        <v>-2.7146523033280632</v>
      </c>
      <c r="AH150">
        <v>0.10225441993553863</v>
      </c>
      <c r="AI150">
        <v>0.10225441993553863</v>
      </c>
      <c r="AJ150">
        <v>0.10225441993553863</v>
      </c>
      <c r="AK150">
        <v>0.10225441993553863</v>
      </c>
      <c r="AL150">
        <v>0.10225441993553863</v>
      </c>
      <c r="AM150">
        <v>0.10225441993553863</v>
      </c>
      <c r="AN150">
        <v>0.10225441993553863</v>
      </c>
    </row>
    <row r="151" spans="1:40" x14ac:dyDescent="0.45">
      <c r="A151" s="1">
        <v>45019</v>
      </c>
      <c r="B151">
        <v>194.77</v>
      </c>
      <c r="C151" s="5">
        <f t="shared" si="23"/>
        <v>-6.1168418008290738E-2</v>
      </c>
      <c r="D151">
        <f t="shared" ca="1" si="28"/>
        <v>-6.9641166506107248E-5</v>
      </c>
      <c r="E151">
        <f t="shared" ca="1" si="29"/>
        <v>4.0688434976081093E-2</v>
      </c>
      <c r="F151">
        <f t="shared" ca="1" si="30"/>
        <v>-1.6695221120633329E-2</v>
      </c>
      <c r="G151">
        <f t="shared" ca="1" si="31"/>
        <v>0.4484912817651443</v>
      </c>
      <c r="H151">
        <f t="shared" ca="1" si="32"/>
        <v>1.116424781984845</v>
      </c>
      <c r="I151">
        <f t="shared" ca="1" si="33"/>
        <v>0.92359069320144149</v>
      </c>
      <c r="K151">
        <f t="shared" si="24"/>
        <v>0.93883158199170924</v>
      </c>
      <c r="L151" s="7">
        <f t="shared" ca="1" si="25"/>
        <v>1.0154319378551693</v>
      </c>
      <c r="M151">
        <f t="shared" ca="1" si="26"/>
        <v>1.1613608448822101</v>
      </c>
      <c r="N151">
        <v>1.0386339370941609</v>
      </c>
      <c r="O151" t="b">
        <f t="shared" ca="1" si="27"/>
        <v>1</v>
      </c>
      <c r="AA151">
        <v>0.71503012674784194</v>
      </c>
      <c r="AB151">
        <v>0.36628630092224934</v>
      </c>
      <c r="AC151">
        <v>1.4512641470076</v>
      </c>
      <c r="AD151">
        <v>2.277557272808048</v>
      </c>
      <c r="AE151">
        <v>0.86418803210030448</v>
      </c>
      <c r="AF151">
        <v>0.35801767608617829</v>
      </c>
      <c r="AG151">
        <v>-2.4294698791135825</v>
      </c>
      <c r="AH151">
        <v>-0.58995975599318395</v>
      </c>
      <c r="AI151">
        <v>-0.58995975599318395</v>
      </c>
      <c r="AJ151">
        <v>-0.58995975599318395</v>
      </c>
      <c r="AK151">
        <v>-0.58995975599318395</v>
      </c>
      <c r="AL151">
        <v>-0.58995975599318395</v>
      </c>
      <c r="AM151">
        <v>-0.58995975599318395</v>
      </c>
      <c r="AN151">
        <v>-0.58995975599318395</v>
      </c>
    </row>
    <row r="152" spans="1:40" x14ac:dyDescent="0.45">
      <c r="A152" s="1">
        <v>45016</v>
      </c>
      <c r="B152">
        <v>207.46</v>
      </c>
      <c r="C152" s="5">
        <f t="shared" si="23"/>
        <v>6.2371978697255255E-2</v>
      </c>
      <c r="D152">
        <f t="shared" ca="1" si="28"/>
        <v>5.1031926298031826E-4</v>
      </c>
      <c r="E152">
        <f t="shared" ca="1" si="29"/>
        <v>4.0639804203081761E-2</v>
      </c>
      <c r="F152">
        <f t="shared" ca="1" si="30"/>
        <v>-3.0245460531061641E-2</v>
      </c>
      <c r="G152">
        <f t="shared" ca="1" si="31"/>
        <v>0.4565293427966246</v>
      </c>
      <c r="H152">
        <f t="shared" ca="1" si="32"/>
        <v>1.116424781984845</v>
      </c>
      <c r="I152">
        <f t="shared" ca="1" si="33"/>
        <v>0.99379601143507723</v>
      </c>
      <c r="K152">
        <f t="shared" si="24"/>
        <v>1.0623719786972552</v>
      </c>
      <c r="L152" s="7">
        <f t="shared" ca="1" si="25"/>
        <v>1.0895436164067014</v>
      </c>
      <c r="M152">
        <f t="shared" ca="1" si="26"/>
        <v>1.1554641216771544</v>
      </c>
      <c r="N152">
        <v>1.0165445180851962</v>
      </c>
      <c r="O152" t="b">
        <f t="shared" ca="1" si="27"/>
        <v>1</v>
      </c>
      <c r="AA152">
        <v>0.69260567036219278</v>
      </c>
      <c r="AB152">
        <v>0.99757347709367861</v>
      </c>
      <c r="AC152">
        <v>1.7179767250754823</v>
      </c>
      <c r="AD152">
        <v>2.5756991786782351</v>
      </c>
      <c r="AE152">
        <v>0.54877945201136513</v>
      </c>
      <c r="AF152">
        <v>3.6075506560915946E-2</v>
      </c>
      <c r="AG152">
        <v>-3.0190610598941259</v>
      </c>
      <c r="AH152">
        <v>-1.18249777834045</v>
      </c>
      <c r="AI152">
        <v>-1.18249777834045</v>
      </c>
      <c r="AJ152">
        <v>-1.18249777834045</v>
      </c>
      <c r="AK152">
        <v>-1.18249777834045</v>
      </c>
      <c r="AL152">
        <v>-1.18249777834045</v>
      </c>
      <c r="AM152">
        <v>-1.18249777834045</v>
      </c>
      <c r="AN152">
        <v>-1.18249777834045</v>
      </c>
    </row>
    <row r="153" spans="1:40" x14ac:dyDescent="0.45">
      <c r="A153" s="1">
        <v>45015</v>
      </c>
      <c r="B153">
        <v>195.28</v>
      </c>
      <c r="C153" s="5">
        <f t="shared" si="23"/>
        <v>7.2209614194347314E-3</v>
      </c>
      <c r="D153">
        <f t="shared" ca="1" si="28"/>
        <v>3.178871913326698E-4</v>
      </c>
      <c r="E153">
        <f t="shared" ca="1" si="29"/>
        <v>4.0436020225429942E-2</v>
      </c>
      <c r="F153">
        <f t="shared" ca="1" si="30"/>
        <v>-3.3478253084622073E-2</v>
      </c>
      <c r="G153">
        <f t="shared" ca="1" si="31"/>
        <v>0.49908476939785373</v>
      </c>
      <c r="H153">
        <f t="shared" ca="1" si="32"/>
        <v>1.116424781984845</v>
      </c>
      <c r="I153">
        <f t="shared" ca="1" si="33"/>
        <v>0.99379601143507723</v>
      </c>
      <c r="K153">
        <f t="shared" si="24"/>
        <v>1.0072209614194347</v>
      </c>
      <c r="L153" s="7">
        <f t="shared" ca="1" si="25"/>
        <v>1.0159192591821873</v>
      </c>
      <c r="M153">
        <f t="shared" ca="1" si="26"/>
        <v>1.1425892047360402</v>
      </c>
      <c r="N153">
        <v>0.99681240242161806</v>
      </c>
      <c r="O153" t="b">
        <f t="shared" ca="1" si="27"/>
        <v>0</v>
      </c>
      <c r="AA153">
        <v>0.67931246485824037</v>
      </c>
      <c r="AB153">
        <v>1.2559783627448451</v>
      </c>
      <c r="AC153">
        <v>1.8032541702810103</v>
      </c>
      <c r="AD153">
        <v>2.6978062229172868</v>
      </c>
      <c r="AE153">
        <v>0.334499128976537</v>
      </c>
      <c r="AF153">
        <v>-0.1306090783431065</v>
      </c>
      <c r="AG153">
        <v>-3.1522148753497099</v>
      </c>
      <c r="AH153">
        <v>-1.3797511467862784</v>
      </c>
      <c r="AI153">
        <v>-1.3797511467862784</v>
      </c>
      <c r="AJ153">
        <v>-1.3797511467862784</v>
      </c>
      <c r="AK153">
        <v>-1.3797511467862784</v>
      </c>
      <c r="AL153">
        <v>-1.3797511467862784</v>
      </c>
      <c r="AM153">
        <v>-1.3797511467862784</v>
      </c>
      <c r="AN153">
        <v>-1.3797511467862784</v>
      </c>
    </row>
    <row r="154" spans="1:40" x14ac:dyDescent="0.45">
      <c r="A154" s="1">
        <v>45014</v>
      </c>
      <c r="B154">
        <v>193.88</v>
      </c>
      <c r="C154" s="5">
        <f t="shared" si="23"/>
        <v>2.4789893757598169E-2</v>
      </c>
      <c r="D154">
        <f t="shared" ca="1" si="28"/>
        <v>-7.3318162636138503E-5</v>
      </c>
      <c r="E154">
        <f t="shared" ca="1" si="29"/>
        <v>4.0746188501158305E-2</v>
      </c>
      <c r="F154">
        <f t="shared" ca="1" si="30"/>
        <v>-3.0889683455325133E-2</v>
      </c>
      <c r="G154">
        <f t="shared" ca="1" si="31"/>
        <v>0.43925050543171151</v>
      </c>
      <c r="H154">
        <f t="shared" ca="1" si="32"/>
        <v>1.0908840197089082</v>
      </c>
      <c r="I154">
        <f t="shared" ca="1" si="33"/>
        <v>0.9379052022703912</v>
      </c>
      <c r="K154">
        <f t="shared" si="24"/>
        <v>1.0247898937575981</v>
      </c>
      <c r="L154" s="7">
        <f t="shared" ca="1" si="25"/>
        <v>1.0142819775045773</v>
      </c>
      <c r="M154">
        <f t="shared" ca="1" si="26"/>
        <v>1.1305575979735898</v>
      </c>
      <c r="N154">
        <v>0.97043930006406942</v>
      </c>
      <c r="O154" t="b">
        <f t="shared" ca="1" si="27"/>
        <v>0</v>
      </c>
      <c r="AA154">
        <v>0.68066526350255663</v>
      </c>
      <c r="AB154">
        <v>1.5779881959726147</v>
      </c>
      <c r="AC154">
        <v>1.8925028509061832</v>
      </c>
      <c r="AD154">
        <v>2.7832549195791496</v>
      </c>
      <c r="AE154">
        <v>0.23090360358958417</v>
      </c>
      <c r="AF154">
        <v>-0.32375463294316875</v>
      </c>
      <c r="AG154">
        <v>-3.4321297248042617</v>
      </c>
      <c r="AH154">
        <v>-1.6008091328512675</v>
      </c>
      <c r="AI154">
        <v>-1.6008091328512675</v>
      </c>
      <c r="AJ154">
        <v>-1.6008091328512675</v>
      </c>
      <c r="AK154">
        <v>-1.6008091328512675</v>
      </c>
      <c r="AL154">
        <v>-1.6008091328512675</v>
      </c>
      <c r="AM154">
        <v>-1.6008091328512675</v>
      </c>
      <c r="AN154">
        <v>-1.6008091328512675</v>
      </c>
    </row>
    <row r="155" spans="1:40" x14ac:dyDescent="0.45">
      <c r="A155" s="1">
        <v>45013</v>
      </c>
      <c r="B155">
        <v>189.19</v>
      </c>
      <c r="C155" s="5">
        <f t="shared" si="23"/>
        <v>-1.3659350398832201E-2</v>
      </c>
      <c r="D155">
        <f t="shared" ca="1" si="28"/>
        <v>-3.5322886743309169E-4</v>
      </c>
      <c r="E155">
        <f t="shared" ca="1" si="29"/>
        <v>4.0766812176639473E-2</v>
      </c>
      <c r="F155">
        <f t="shared" ca="1" si="30"/>
        <v>-1.3445201787468225E-2</v>
      </c>
      <c r="G155">
        <f t="shared" ca="1" si="31"/>
        <v>0.43257721830990459</v>
      </c>
      <c r="H155">
        <f t="shared" ca="1" si="32"/>
        <v>1.0908840197089082</v>
      </c>
      <c r="I155">
        <f t="shared" ca="1" si="33"/>
        <v>0.90666160717530198</v>
      </c>
      <c r="K155">
        <f t="shared" si="24"/>
        <v>0.98634064960116785</v>
      </c>
      <c r="L155" s="7">
        <f t="shared" ca="1" si="25"/>
        <v>0.95753618787326644</v>
      </c>
      <c r="M155">
        <f t="shared" ca="1" si="26"/>
        <v>1.1617052706148585</v>
      </c>
      <c r="N155">
        <v>1.014932665206703</v>
      </c>
      <c r="O155" t="b">
        <f t="shared" ca="1" si="27"/>
        <v>0</v>
      </c>
      <c r="AA155">
        <v>0.67080814490820095</v>
      </c>
      <c r="AB155">
        <v>1.6739156521189422</v>
      </c>
      <c r="AC155">
        <v>1.9107682588786792</v>
      </c>
      <c r="AD155">
        <v>2.9416481138911892</v>
      </c>
      <c r="AE155">
        <v>0.20402881531206921</v>
      </c>
      <c r="AF155">
        <v>-0.39680412422368466</v>
      </c>
      <c r="AG155">
        <v>-3.4811350631431703</v>
      </c>
      <c r="AH155">
        <v>-1.6485268592178206</v>
      </c>
      <c r="AI155">
        <v>-1.6485268592178206</v>
      </c>
      <c r="AJ155">
        <v>-1.6485268592178206</v>
      </c>
      <c r="AK155">
        <v>-1.6485268592178206</v>
      </c>
      <c r="AL155">
        <v>-1.6485268592178206</v>
      </c>
      <c r="AM155">
        <v>-1.6485268592178206</v>
      </c>
      <c r="AN155">
        <v>-1.6485268592178206</v>
      </c>
    </row>
    <row r="156" spans="1:40" x14ac:dyDescent="0.45">
      <c r="A156" s="1">
        <v>45012</v>
      </c>
      <c r="B156">
        <v>191.81</v>
      </c>
      <c r="C156" s="5">
        <f t="shared" si="23"/>
        <v>7.3525550128670011E-3</v>
      </c>
      <c r="D156">
        <f t="shared" ca="1" si="28"/>
        <v>-3.2958475511280015E-4</v>
      </c>
      <c r="E156">
        <f t="shared" ca="1" si="29"/>
        <v>4.0760426875425033E-2</v>
      </c>
      <c r="F156">
        <f t="shared" ca="1" si="30"/>
        <v>-1.5080040355722852E-2</v>
      </c>
      <c r="G156">
        <f t="shared" ca="1" si="31"/>
        <v>0.43474227912525176</v>
      </c>
      <c r="H156">
        <f t="shared" ca="1" si="32"/>
        <v>1.0908840197089082</v>
      </c>
      <c r="I156">
        <f t="shared" ca="1" si="33"/>
        <v>0.90666160717530198</v>
      </c>
      <c r="K156">
        <f t="shared" si="24"/>
        <v>1.007352555012867</v>
      </c>
      <c r="L156" s="7">
        <f t="shared" ca="1" si="25"/>
        <v>1.0467121418826741</v>
      </c>
      <c r="M156">
        <f t="shared" ca="1" si="26"/>
        <v>1.1740407969682862</v>
      </c>
      <c r="N156">
        <v>1.0519514461692938</v>
      </c>
      <c r="O156" t="b">
        <f t="shared" ca="1" si="27"/>
        <v>1</v>
      </c>
      <c r="AA156">
        <v>0.67198844361075494</v>
      </c>
      <c r="AB156">
        <v>2.431504460540689</v>
      </c>
      <c r="AC156">
        <v>1.9112483929646804</v>
      </c>
      <c r="AD156">
        <v>3.0772743635500492</v>
      </c>
      <c r="AE156">
        <v>0.2516256659060061</v>
      </c>
      <c r="AF156">
        <v>-0.86072420135082095</v>
      </c>
      <c r="AG156">
        <v>-3.8771343734137704</v>
      </c>
      <c r="AH156">
        <v>-1.5616501130128062</v>
      </c>
      <c r="AI156">
        <v>-1.5616501130128062</v>
      </c>
      <c r="AJ156">
        <v>-1.5616501130128062</v>
      </c>
      <c r="AK156">
        <v>-1.5616501130128062</v>
      </c>
      <c r="AL156">
        <v>-1.5616501130128062</v>
      </c>
      <c r="AM156">
        <v>-1.5616501130128062</v>
      </c>
      <c r="AN156">
        <v>-1.5616501130128062</v>
      </c>
    </row>
    <row r="157" spans="1:40" x14ac:dyDescent="0.45">
      <c r="A157" s="1">
        <v>45009</v>
      </c>
      <c r="B157">
        <v>190.41</v>
      </c>
      <c r="C157" s="5">
        <f t="shared" si="23"/>
        <v>-9.416293829986485E-3</v>
      </c>
      <c r="D157">
        <f t="shared" ca="1" si="28"/>
        <v>-3.039749439752911E-4</v>
      </c>
      <c r="E157">
        <f t="shared" ca="1" si="29"/>
        <v>4.0766886379967456E-2</v>
      </c>
      <c r="F157">
        <f t="shared" ca="1" si="30"/>
        <v>-1.685321249560847E-2</v>
      </c>
      <c r="G157">
        <f t="shared" ca="1" si="31"/>
        <v>0.43262149795029314</v>
      </c>
      <c r="H157">
        <f t="shared" ca="1" si="32"/>
        <v>1.0908840197089082</v>
      </c>
      <c r="I157">
        <f t="shared" ca="1" si="33"/>
        <v>0.90666160717530198</v>
      </c>
      <c r="K157">
        <f t="shared" si="24"/>
        <v>0.99058370617001357</v>
      </c>
      <c r="L157" s="7">
        <f t="shared" ca="1" si="25"/>
        <v>1.0570698939654695</v>
      </c>
      <c r="M157">
        <f t="shared" ca="1" si="26"/>
        <v>1.217506672970663</v>
      </c>
      <c r="N157">
        <v>1.1085078416403178</v>
      </c>
      <c r="O157" t="b">
        <f t="shared" ca="1" si="27"/>
        <v>1</v>
      </c>
      <c r="AA157">
        <v>0.67453491719867154</v>
      </c>
      <c r="AB157">
        <v>2.9687212869746316</v>
      </c>
      <c r="AC157">
        <v>1.8913733771611474</v>
      </c>
      <c r="AD157">
        <v>3.2399197069268433</v>
      </c>
      <c r="AE157">
        <v>0.43598183109340527</v>
      </c>
      <c r="AF157">
        <v>-1.2402271881133342</v>
      </c>
      <c r="AG157">
        <v>-4.2171577234581967</v>
      </c>
      <c r="AH157">
        <v>-1.5422195328684278</v>
      </c>
      <c r="AI157">
        <v>-1.5422195328684278</v>
      </c>
      <c r="AJ157">
        <v>-1.5422195328684278</v>
      </c>
      <c r="AK157">
        <v>-1.5422195328684278</v>
      </c>
      <c r="AL157">
        <v>-1.5422195328684278</v>
      </c>
      <c r="AM157">
        <v>-1.5422195328684278</v>
      </c>
      <c r="AN157">
        <v>-1.5422195328684278</v>
      </c>
    </row>
    <row r="158" spans="1:40" x14ac:dyDescent="0.45">
      <c r="A158" s="1">
        <v>45008</v>
      </c>
      <c r="B158">
        <v>192.22</v>
      </c>
      <c r="C158" s="5">
        <f t="shared" si="23"/>
        <v>5.5976981428197395E-3</v>
      </c>
      <c r="D158">
        <f t="shared" ca="1" si="28"/>
        <v>-2.4415635882737334E-4</v>
      </c>
      <c r="E158">
        <f t="shared" ca="1" si="29"/>
        <v>4.0762225496716327E-2</v>
      </c>
      <c r="F158">
        <f t="shared" ca="1" si="30"/>
        <v>-2.1247525745647013E-2</v>
      </c>
      <c r="G158">
        <f t="shared" ca="1" si="31"/>
        <v>0.43431381770842092</v>
      </c>
      <c r="H158">
        <f t="shared" ca="1" si="32"/>
        <v>1.0908840197089082</v>
      </c>
      <c r="I158">
        <f t="shared" ca="1" si="33"/>
        <v>0.90666160717530198</v>
      </c>
      <c r="K158">
        <f t="shared" si="24"/>
        <v>1.0055976981428196</v>
      </c>
      <c r="L158" s="7">
        <f t="shared" ca="1" si="25"/>
        <v>1.0439363493184164</v>
      </c>
      <c r="M158">
        <f t="shared" ca="1" si="26"/>
        <v>1.1973714754214861</v>
      </c>
      <c r="N158">
        <v>1.1029885982304113</v>
      </c>
      <c r="O158" t="b">
        <f t="shared" ca="1" si="27"/>
        <v>1</v>
      </c>
      <c r="AA158">
        <v>0.67935977358078725</v>
      </c>
      <c r="AB158">
        <v>3.2807171599213651</v>
      </c>
      <c r="AC158">
        <v>1.9015721865095923</v>
      </c>
      <c r="AD158">
        <v>3.3651074623813777</v>
      </c>
      <c r="AE158">
        <v>0.56338782828650047</v>
      </c>
      <c r="AF158">
        <v>-1.5300443765598544</v>
      </c>
      <c r="AG158">
        <v>-4.4071056484036983</v>
      </c>
      <c r="AH158">
        <v>-1.4862626919803865</v>
      </c>
      <c r="AI158">
        <v>-1.4862626919803865</v>
      </c>
      <c r="AJ158">
        <v>-1.4862626919803865</v>
      </c>
      <c r="AK158">
        <v>-1.4862626919803865</v>
      </c>
      <c r="AL158">
        <v>-1.4862626919803865</v>
      </c>
      <c r="AM158">
        <v>-1.4862626919803865</v>
      </c>
      <c r="AN158">
        <v>-1.4862626919803865</v>
      </c>
    </row>
    <row r="159" spans="1:40" x14ac:dyDescent="0.45">
      <c r="A159" s="1">
        <v>45007</v>
      </c>
      <c r="B159">
        <v>191.15</v>
      </c>
      <c r="C159" s="5">
        <f t="shared" si="23"/>
        <v>-3.2543779734791001E-2</v>
      </c>
      <c r="D159">
        <f t="shared" ca="1" si="28"/>
        <v>-1.9191612411858093E-4</v>
      </c>
      <c r="E159">
        <f t="shared" ca="1" si="29"/>
        <v>4.0776442496917413E-2</v>
      </c>
      <c r="F159">
        <f t="shared" ca="1" si="30"/>
        <v>-2.4798849499218928E-2</v>
      </c>
      <c r="G159">
        <f t="shared" ca="1" si="31"/>
        <v>0.42971218350713825</v>
      </c>
      <c r="H159">
        <f t="shared" ca="1" si="32"/>
        <v>1.0908840197089082</v>
      </c>
      <c r="I159">
        <f t="shared" ca="1" si="33"/>
        <v>0.90666160717530198</v>
      </c>
      <c r="K159">
        <f t="shared" si="24"/>
        <v>0.96745622026520905</v>
      </c>
      <c r="L159" s="7">
        <f t="shared" ca="1" si="25"/>
        <v>1.0592962039346081</v>
      </c>
      <c r="M159">
        <f t="shared" ca="1" si="26"/>
        <v>1.1572913757865479</v>
      </c>
      <c r="N159">
        <v>1.0432688876966543</v>
      </c>
      <c r="O159" t="b">
        <f t="shared" ca="1" si="27"/>
        <v>1</v>
      </c>
      <c r="AA159">
        <v>0.67810961321049978</v>
      </c>
      <c r="AB159">
        <v>3.6071906250480552</v>
      </c>
      <c r="AC159">
        <v>1.7767392168430156</v>
      </c>
      <c r="AD159">
        <v>3.3993908083742359</v>
      </c>
      <c r="AE159">
        <v>0.60719534834827782</v>
      </c>
      <c r="AF159">
        <v>-1.557254362139036</v>
      </c>
      <c r="AG159">
        <v>-4.5961378737130714</v>
      </c>
      <c r="AH159">
        <v>-1.6040937935086668</v>
      </c>
      <c r="AI159">
        <v>-1.6040937935086668</v>
      </c>
      <c r="AJ159">
        <v>-1.6040937935086668</v>
      </c>
      <c r="AK159">
        <v>-1.6040937935086668</v>
      </c>
      <c r="AL159">
        <v>-1.6040937935086668</v>
      </c>
      <c r="AM159">
        <v>-1.6040937935086668</v>
      </c>
      <c r="AN159">
        <v>-1.6040937935086668</v>
      </c>
    </row>
    <row r="160" spans="1:40" x14ac:dyDescent="0.45">
      <c r="A160" s="1">
        <v>45006</v>
      </c>
      <c r="B160">
        <v>197.58</v>
      </c>
      <c r="C160" s="5">
        <f t="shared" si="23"/>
        <v>7.8199181446111932E-2</v>
      </c>
      <c r="D160">
        <f t="shared" ca="1" si="28"/>
        <v>-4.9015265893550891E-4</v>
      </c>
      <c r="E160">
        <f t="shared" ca="1" si="29"/>
        <v>4.1229858769673E-2</v>
      </c>
      <c r="F160">
        <f t="shared" ca="1" si="30"/>
        <v>-5.6010598363328189E-2</v>
      </c>
      <c r="G160">
        <f t="shared" ca="1" si="31"/>
        <v>0.40378183914635768</v>
      </c>
      <c r="H160">
        <f t="shared" ca="1" si="32"/>
        <v>1.0846641271248065</v>
      </c>
      <c r="I160">
        <f t="shared" ca="1" si="33"/>
        <v>0.90666160717530198</v>
      </c>
      <c r="K160">
        <f t="shared" si="24"/>
        <v>1.078199181446112</v>
      </c>
      <c r="L160" s="7">
        <f t="shared" ca="1" si="25"/>
        <v>1.0781403470479105</v>
      </c>
      <c r="M160">
        <f t="shared" ca="1" si="26"/>
        <v>1.0912154333912061</v>
      </c>
      <c r="N160">
        <v>0.97726942702414776</v>
      </c>
      <c r="O160" t="b">
        <f t="shared" ca="1" si="27"/>
        <v>0</v>
      </c>
      <c r="AA160">
        <v>0.69923660205916316</v>
      </c>
      <c r="AB160">
        <v>4.0143813617886135</v>
      </c>
      <c r="AC160">
        <v>1.8374891320139612</v>
      </c>
      <c r="AD160">
        <v>3.2559207802211922</v>
      </c>
      <c r="AE160">
        <v>0.67073342894729693</v>
      </c>
      <c r="AF160">
        <v>-1.3466154092070926</v>
      </c>
      <c r="AG160">
        <v>-5.0285038668048134</v>
      </c>
      <c r="AH160">
        <v>-2.0298738201095534</v>
      </c>
      <c r="AI160">
        <v>-2.0298738201095534</v>
      </c>
      <c r="AJ160">
        <v>-2.0298738201095534</v>
      </c>
      <c r="AK160">
        <v>-2.0298738201095534</v>
      </c>
      <c r="AL160">
        <v>-2.0298738201095534</v>
      </c>
      <c r="AM160">
        <v>-2.0298738201095534</v>
      </c>
      <c r="AN160">
        <v>-2.0298738201095534</v>
      </c>
    </row>
    <row r="161" spans="1:40" x14ac:dyDescent="0.45">
      <c r="A161" s="1">
        <v>45005</v>
      </c>
      <c r="B161">
        <v>183.25</v>
      </c>
      <c r="C161" s="5">
        <f t="shared" si="23"/>
        <v>1.7320823849442096E-2</v>
      </c>
      <c r="D161">
        <f t="shared" ca="1" si="28"/>
        <v>-6.4728576783550399E-4</v>
      </c>
      <c r="E161">
        <f t="shared" ca="1" si="29"/>
        <v>4.0987629221517045E-2</v>
      </c>
      <c r="F161">
        <f t="shared" ca="1" si="30"/>
        <v>-7.3527023014349047E-2</v>
      </c>
      <c r="G161">
        <f t="shared" ca="1" si="31"/>
        <v>0.42361218787545596</v>
      </c>
      <c r="H161">
        <f t="shared" ca="1" si="32"/>
        <v>1.079501093145032</v>
      </c>
      <c r="I161">
        <f t="shared" ca="1" si="33"/>
        <v>0.90666160717530198</v>
      </c>
      <c r="K161">
        <f t="shared" si="24"/>
        <v>1.017320823849442</v>
      </c>
      <c r="L161" s="7">
        <f t="shared" ca="1" si="25"/>
        <v>1.0502636405318662</v>
      </c>
      <c r="M161">
        <f t="shared" ca="1" si="26"/>
        <v>1.0926334390436874</v>
      </c>
      <c r="N161">
        <v>0.95919168440494529</v>
      </c>
      <c r="O161" t="b">
        <f t="shared" ca="1" si="27"/>
        <v>0</v>
      </c>
      <c r="AA161">
        <v>0.71432179728558953</v>
      </c>
      <c r="AB161">
        <v>4.0704111753341756</v>
      </c>
      <c r="AC161">
        <v>1.9538747452727121</v>
      </c>
      <c r="AD161">
        <v>2.652623525132435</v>
      </c>
      <c r="AE161">
        <v>0.62421283934859295</v>
      </c>
      <c r="AF161">
        <v>-1.0315335973208313</v>
      </c>
      <c r="AG161">
        <v>-5.3503295229330723</v>
      </c>
      <c r="AH161">
        <v>-2.4235803518900183</v>
      </c>
      <c r="AI161">
        <v>-2.4235803518900183</v>
      </c>
      <c r="AJ161">
        <v>-2.4235803518900183</v>
      </c>
      <c r="AK161">
        <v>-2.4235803518900183</v>
      </c>
      <c r="AL161">
        <v>-2.4235803518900183</v>
      </c>
      <c r="AM161">
        <v>-2.4235803518900183</v>
      </c>
      <c r="AN161">
        <v>-2.4235803518900183</v>
      </c>
    </row>
    <row r="162" spans="1:40" x14ac:dyDescent="0.45">
      <c r="A162" s="1">
        <v>45002</v>
      </c>
      <c r="B162">
        <v>180.13</v>
      </c>
      <c r="C162" s="5">
        <f t="shared" si="23"/>
        <v>-2.1723782110465432E-2</v>
      </c>
      <c r="D162">
        <f t="shared" ca="1" si="28"/>
        <v>-8.518509004040196E-4</v>
      </c>
      <c r="E162">
        <f t="shared" ca="1" si="29"/>
        <v>4.0999596208355034E-2</v>
      </c>
      <c r="F162">
        <f t="shared" ca="1" si="30"/>
        <v>-5.9659934603787157E-2</v>
      </c>
      <c r="G162">
        <f t="shared" ca="1" si="31"/>
        <v>0.41851155569732068</v>
      </c>
      <c r="H162">
        <f t="shared" ca="1" si="32"/>
        <v>1.079501093145032</v>
      </c>
      <c r="I162">
        <f t="shared" ca="1" si="33"/>
        <v>0.90666160717530198</v>
      </c>
      <c r="K162">
        <f t="shared" si="24"/>
        <v>0.97827621788953456</v>
      </c>
      <c r="L162" s="7">
        <f t="shared" ca="1" si="25"/>
        <v>1.0385724169741697</v>
      </c>
      <c r="M162">
        <f t="shared" ca="1" si="26"/>
        <v>1.1376612600118143</v>
      </c>
      <c r="N162">
        <v>0.99339891184289142</v>
      </c>
      <c r="O162" t="b">
        <f t="shared" ca="1" si="27"/>
        <v>0</v>
      </c>
      <c r="AA162">
        <v>0.71552817392531265</v>
      </c>
      <c r="AB162">
        <v>3.9162854573461745</v>
      </c>
      <c r="AC162">
        <v>1.8893105213017418</v>
      </c>
      <c r="AD162">
        <v>2.3300859751706047</v>
      </c>
      <c r="AE162">
        <v>0.55661473217748458</v>
      </c>
      <c r="AF162">
        <v>-0.86433188731601118</v>
      </c>
      <c r="AG162">
        <v>-5.1812417698562605</v>
      </c>
      <c r="AH162">
        <v>-2.4533521878133402</v>
      </c>
      <c r="AI162">
        <v>-2.4533521878133402</v>
      </c>
      <c r="AJ162">
        <v>-2.4533521878133402</v>
      </c>
      <c r="AK162">
        <v>-2.4533521878133402</v>
      </c>
      <c r="AL162">
        <v>-2.4533521878133402</v>
      </c>
      <c r="AM162">
        <v>-2.4533521878133402</v>
      </c>
      <c r="AN162">
        <v>-2.4533521878133402</v>
      </c>
    </row>
    <row r="163" spans="1:40" x14ac:dyDescent="0.45">
      <c r="A163" s="1">
        <v>45001</v>
      </c>
      <c r="B163">
        <v>184.13</v>
      </c>
      <c r="C163" s="5">
        <f t="shared" si="23"/>
        <v>2.0393460792463326E-2</v>
      </c>
      <c r="D163">
        <f t="shared" ca="1" si="28"/>
        <v>-7.5225612002032818E-4</v>
      </c>
      <c r="E163">
        <f t="shared" ca="1" si="29"/>
        <v>4.097282453872176E-2</v>
      </c>
      <c r="F163">
        <f t="shared" ca="1" si="30"/>
        <v>-6.647196690694776E-2</v>
      </c>
      <c r="G163">
        <f t="shared" ca="1" si="31"/>
        <v>0.42784881836339217</v>
      </c>
      <c r="H163">
        <f t="shared" ca="1" si="32"/>
        <v>1.079501093145032</v>
      </c>
      <c r="I163">
        <f t="shared" ca="1" si="33"/>
        <v>0.90666160717530198</v>
      </c>
      <c r="K163">
        <f t="shared" si="24"/>
        <v>1.0203934607924634</v>
      </c>
      <c r="L163" s="7">
        <f t="shared" ca="1" si="25"/>
        <v>1.0648276659727043</v>
      </c>
      <c r="M163">
        <f t="shared" ca="1" si="26"/>
        <v>1.122318644386521</v>
      </c>
      <c r="N163">
        <v>0.94332704175943682</v>
      </c>
      <c r="O163" t="b">
        <f t="shared" ca="1" si="27"/>
        <v>0</v>
      </c>
      <c r="AA163">
        <v>0.74561636376432361</v>
      </c>
      <c r="AB163">
        <v>3.9921714292828936</v>
      </c>
      <c r="AC163">
        <v>2.3229419670931941</v>
      </c>
      <c r="AD163">
        <v>2.0072296734870227</v>
      </c>
      <c r="AE163">
        <v>-0.17074324160637203</v>
      </c>
      <c r="AF163">
        <v>-0.35705615857733297</v>
      </c>
      <c r="AG163">
        <v>-5.1932249096042122</v>
      </c>
      <c r="AH163">
        <v>-3.3125342318473403</v>
      </c>
      <c r="AI163">
        <v>-3.3125342318473403</v>
      </c>
      <c r="AJ163">
        <v>-3.3125342318473403</v>
      </c>
      <c r="AK163">
        <v>-3.3125342318473403</v>
      </c>
      <c r="AL163">
        <v>-3.3125342318473403</v>
      </c>
      <c r="AM163">
        <v>-3.3125342318473403</v>
      </c>
      <c r="AN163">
        <v>-3.3125342318473403</v>
      </c>
    </row>
    <row r="164" spans="1:40" x14ac:dyDescent="0.45">
      <c r="A164" s="1">
        <v>45000</v>
      </c>
      <c r="B164">
        <v>180.45</v>
      </c>
      <c r="C164" s="5">
        <f t="shared" si="23"/>
        <v>-1.5333406089708623E-2</v>
      </c>
      <c r="D164">
        <f t="shared" ca="1" si="28"/>
        <v>-4.8755817028420001E-4</v>
      </c>
      <c r="E164">
        <f t="shared" ca="1" si="29"/>
        <v>4.1279971668734351E-2</v>
      </c>
      <c r="F164">
        <f t="shared" ca="1" si="30"/>
        <v>-5.5770840694965247E-2</v>
      </c>
      <c r="G164">
        <f t="shared" ca="1" si="31"/>
        <v>0.38019226549528673</v>
      </c>
      <c r="H164">
        <f t="shared" ca="1" si="32"/>
        <v>1.079501093145032</v>
      </c>
      <c r="I164">
        <f t="shared" ca="1" si="33"/>
        <v>0.92071373642900012</v>
      </c>
      <c r="K164">
        <f t="shared" si="24"/>
        <v>0.98466659391029143</v>
      </c>
      <c r="L164" s="7">
        <f t="shared" ca="1" si="25"/>
        <v>0.99148351648351629</v>
      </c>
      <c r="M164">
        <f t="shared" ca="1" si="26"/>
        <v>1.1318348891112699</v>
      </c>
      <c r="N164">
        <v>0.94935286387431894</v>
      </c>
      <c r="O164" t="b">
        <f t="shared" ca="1" si="27"/>
        <v>1</v>
      </c>
      <c r="AA164">
        <v>0.74473231274351037</v>
      </c>
      <c r="AB164">
        <v>3.754402439855844</v>
      </c>
      <c r="AC164">
        <v>2.1866012830731156</v>
      </c>
      <c r="AD164">
        <v>1.5505925663021181</v>
      </c>
      <c r="AE164">
        <v>-9.3263885438759311E-2</v>
      </c>
      <c r="AF164">
        <v>-0.17310675122885047</v>
      </c>
      <c r="AG164">
        <v>-4.9533577288426365</v>
      </c>
      <c r="AH164">
        <v>-3.270462698153346</v>
      </c>
      <c r="AI164">
        <v>-3.270462698153346</v>
      </c>
      <c r="AJ164">
        <v>-3.270462698153346</v>
      </c>
      <c r="AK164">
        <v>-3.270462698153346</v>
      </c>
      <c r="AL164">
        <v>-3.270462698153346</v>
      </c>
      <c r="AM164">
        <v>-3.270462698153346</v>
      </c>
      <c r="AN164">
        <v>-3.270462698153346</v>
      </c>
    </row>
    <row r="165" spans="1:40" x14ac:dyDescent="0.45">
      <c r="A165" s="1">
        <v>44999</v>
      </c>
      <c r="B165">
        <v>183.26</v>
      </c>
      <c r="C165" s="5">
        <f t="shared" si="23"/>
        <v>5.0320953690967458E-2</v>
      </c>
      <c r="D165">
        <f t="shared" ca="1" si="28"/>
        <v>-3.9534127085201206E-5</v>
      </c>
      <c r="E165">
        <f t="shared" ca="1" si="29"/>
        <v>4.1603025476581797E-2</v>
      </c>
      <c r="F165">
        <f t="shared" ca="1" si="30"/>
        <v>-5.7432914292116354E-2</v>
      </c>
      <c r="G165">
        <f t="shared" ca="1" si="31"/>
        <v>0.33073633792507007</v>
      </c>
      <c r="H165">
        <f t="shared" ca="1" si="32"/>
        <v>1.0840873417881134</v>
      </c>
      <c r="I165">
        <f t="shared" ca="1" si="33"/>
        <v>0.95359552590045371</v>
      </c>
      <c r="K165">
        <f t="shared" si="24"/>
        <v>1.0503209536909675</v>
      </c>
      <c r="L165" s="7">
        <f t="shared" ca="1" si="25"/>
        <v>0.97629321826221283</v>
      </c>
      <c r="M165">
        <f t="shared" ca="1" si="26"/>
        <v>1.1057367823194579</v>
      </c>
      <c r="N165">
        <v>0.9238140756479245</v>
      </c>
      <c r="O165" t="b">
        <f t="shared" ca="1" si="27"/>
        <v>1</v>
      </c>
      <c r="AA165">
        <v>0.75471602408024219</v>
      </c>
      <c r="AB165">
        <v>3.3759369401707522</v>
      </c>
      <c r="AC165">
        <v>2.0389438247814287</v>
      </c>
      <c r="AD165">
        <v>0.98418068905237843</v>
      </c>
      <c r="AE165">
        <v>-0.1820949945755346</v>
      </c>
      <c r="AF165">
        <v>0.13583085961478333</v>
      </c>
      <c r="AG165">
        <v>-4.6582030341835088</v>
      </c>
      <c r="AH165">
        <v>-3.3132477395797184</v>
      </c>
      <c r="AI165">
        <v>-3.3132477395797184</v>
      </c>
      <c r="AJ165">
        <v>-3.3132477395797184</v>
      </c>
      <c r="AK165">
        <v>-3.3132477395797184</v>
      </c>
      <c r="AL165">
        <v>-3.3132477395797184</v>
      </c>
      <c r="AM165">
        <v>-3.3132477395797184</v>
      </c>
      <c r="AN165">
        <v>-3.3132477395797184</v>
      </c>
    </row>
    <row r="166" spans="1:40" x14ac:dyDescent="0.45">
      <c r="A166" s="1">
        <v>44998</v>
      </c>
      <c r="B166">
        <v>174.48</v>
      </c>
      <c r="C166" s="5">
        <f t="shared" si="23"/>
        <v>5.9963099630995853E-3</v>
      </c>
      <c r="D166">
        <f t="shared" ca="1" si="28"/>
        <v>-4.7260335744061836E-5</v>
      </c>
      <c r="E166">
        <f t="shared" ca="1" si="29"/>
        <v>4.1593768353951281E-2</v>
      </c>
      <c r="F166">
        <f t="shared" ca="1" si="30"/>
        <v>-5.7712516821175119E-2</v>
      </c>
      <c r="G166">
        <f t="shared" ca="1" si="31"/>
        <v>0.33239485717588968</v>
      </c>
      <c r="H166">
        <f t="shared" ca="1" si="32"/>
        <v>1.0840873417881134</v>
      </c>
      <c r="I166">
        <f t="shared" ca="1" si="33"/>
        <v>0.95359552590045371</v>
      </c>
      <c r="K166">
        <f t="shared" si="24"/>
        <v>1.0059963099630995</v>
      </c>
      <c r="L166" s="7">
        <f t="shared" ca="1" si="25"/>
        <v>0.9002631443165986</v>
      </c>
      <c r="M166">
        <f t="shared" ca="1" si="26"/>
        <v>1.1321016302060749</v>
      </c>
      <c r="N166">
        <v>0.98080172400216803</v>
      </c>
      <c r="O166" t="b">
        <f t="shared" ca="1" si="27"/>
        <v>1</v>
      </c>
      <c r="AA166">
        <v>0.76670752716495139</v>
      </c>
      <c r="AB166">
        <v>3.4547040246105825</v>
      </c>
      <c r="AC166">
        <v>2.4437806049328157</v>
      </c>
      <c r="AD166">
        <v>1.4129207316826931</v>
      </c>
      <c r="AE166">
        <v>9.6715677399592415E-2</v>
      </c>
      <c r="AF166">
        <v>-0.13836836099829522</v>
      </c>
      <c r="AG166">
        <v>-4.748192456718562</v>
      </c>
      <c r="AH166">
        <v>-3.4620606951753681</v>
      </c>
      <c r="AI166">
        <v>-3.4620606951753681</v>
      </c>
      <c r="AJ166">
        <v>-3.4620606951753681</v>
      </c>
      <c r="AK166">
        <v>-3.4620606951753681</v>
      </c>
      <c r="AL166">
        <v>-3.4620606951753681</v>
      </c>
      <c r="AM166">
        <v>-3.4620606951753681</v>
      </c>
      <c r="AN166">
        <v>-3.4620606951753681</v>
      </c>
    </row>
    <row r="167" spans="1:40" x14ac:dyDescent="0.45">
      <c r="A167" s="1">
        <v>44995</v>
      </c>
      <c r="B167">
        <v>173.44</v>
      </c>
      <c r="C167" s="5">
        <f t="shared" si="23"/>
        <v>3.0071709461023033E-3</v>
      </c>
      <c r="D167">
        <f t="shared" ca="1" si="28"/>
        <v>-4.235148944897589E-4</v>
      </c>
      <c r="E167">
        <f t="shared" ca="1" si="29"/>
        <v>4.1878208763619799E-2</v>
      </c>
      <c r="F167">
        <f t="shared" ca="1" si="30"/>
        <v>-5.2242181721755591E-2</v>
      </c>
      <c r="G167">
        <f t="shared" ca="1" si="31"/>
        <v>0.27775735316899652</v>
      </c>
      <c r="H167">
        <f t="shared" ca="1" si="32"/>
        <v>1.0709829726064193</v>
      </c>
      <c r="I167">
        <f t="shared" ca="1" si="33"/>
        <v>0.94628617804042325</v>
      </c>
      <c r="K167">
        <f t="shared" si="24"/>
        <v>1.0030071709461024</v>
      </c>
      <c r="L167" s="7">
        <f t="shared" ca="1" si="25"/>
        <v>0.87688963041609802</v>
      </c>
      <c r="M167">
        <f t="shared" ca="1" si="26"/>
        <v>1.0600967124132699</v>
      </c>
      <c r="N167">
        <v>0.8968429469808461</v>
      </c>
      <c r="O167" t="b">
        <f t="shared" ca="1" si="27"/>
        <v>1</v>
      </c>
      <c r="AA167">
        <v>0.7725582913658976</v>
      </c>
      <c r="AB167">
        <v>3.0723680202179033</v>
      </c>
      <c r="AC167">
        <v>2.5807140492506009</v>
      </c>
      <c r="AD167">
        <v>1.0872601102127195</v>
      </c>
      <c r="AE167">
        <v>-8.3008626769585037E-2</v>
      </c>
      <c r="AF167">
        <v>0.37524264075251673</v>
      </c>
      <c r="AG167">
        <v>-4.4380536515518303</v>
      </c>
      <c r="AH167">
        <v>-4.1784737046898446</v>
      </c>
      <c r="AI167">
        <v>-4.1784737046898446</v>
      </c>
      <c r="AJ167">
        <v>-4.1784737046898446</v>
      </c>
      <c r="AK167">
        <v>-4.1784737046898446</v>
      </c>
      <c r="AL167">
        <v>-4.1784737046898446</v>
      </c>
      <c r="AM167">
        <v>-4.1784737046898446</v>
      </c>
      <c r="AN167">
        <v>-4.1784737046898446</v>
      </c>
    </row>
    <row r="168" spans="1:40" x14ac:dyDescent="0.45">
      <c r="A168" s="1">
        <v>44994</v>
      </c>
      <c r="B168">
        <v>172.92</v>
      </c>
      <c r="C168" s="5">
        <f t="shared" si="23"/>
        <v>-4.989010989010996E-2</v>
      </c>
      <c r="D168">
        <f t="shared" ca="1" si="28"/>
        <v>-3.5569941618818701E-4</v>
      </c>
      <c r="E168">
        <f t="shared" ca="1" si="29"/>
        <v>4.1894770586533688E-2</v>
      </c>
      <c r="F168">
        <f t="shared" ca="1" si="30"/>
        <v>-5.6749454098415184E-2</v>
      </c>
      <c r="G168">
        <f t="shared" ca="1" si="31"/>
        <v>0.2730037329421946</v>
      </c>
      <c r="H168">
        <f t="shared" ca="1" si="32"/>
        <v>1.0709829726064193</v>
      </c>
      <c r="I168">
        <f t="shared" ca="1" si="33"/>
        <v>0.94628617804042325</v>
      </c>
      <c r="K168">
        <f t="shared" si="24"/>
        <v>0.95010989010989</v>
      </c>
      <c r="L168" s="7">
        <f t="shared" ca="1" si="25"/>
        <v>0.9058145625982188</v>
      </c>
      <c r="M168">
        <f t="shared" ca="1" si="26"/>
        <v>1.1448288360056766</v>
      </c>
      <c r="N168">
        <v>0.98329779196813893</v>
      </c>
      <c r="O168" t="b">
        <f t="shared" ca="1" si="27"/>
        <v>1</v>
      </c>
      <c r="AA168">
        <v>0.78912267812305437</v>
      </c>
      <c r="AB168">
        <v>3.328069350539379</v>
      </c>
      <c r="AC168">
        <v>2.8550066709843702</v>
      </c>
      <c r="AD168">
        <v>1.410490386968092</v>
      </c>
      <c r="AE168">
        <v>0.22877892715155407</v>
      </c>
      <c r="AF168">
        <v>1.9344326905571762E-2</v>
      </c>
      <c r="AG168">
        <v>-4.622546330527868</v>
      </c>
      <c r="AH168">
        <v>-4.4464095772073238</v>
      </c>
      <c r="AI168">
        <v>-4.4464095772073238</v>
      </c>
      <c r="AJ168">
        <v>-4.4464095772073238</v>
      </c>
      <c r="AK168">
        <v>-4.4464095772073238</v>
      </c>
      <c r="AL168">
        <v>-4.4464095772073238</v>
      </c>
      <c r="AM168">
        <v>-4.4464095772073238</v>
      </c>
      <c r="AN168">
        <v>-4.4464095772073238</v>
      </c>
    </row>
    <row r="169" spans="1:40" x14ac:dyDescent="0.45">
      <c r="A169" s="1">
        <v>44993</v>
      </c>
      <c r="B169">
        <v>182</v>
      </c>
      <c r="C169" s="5">
        <f t="shared" si="23"/>
        <v>-3.0419263757924499E-2</v>
      </c>
      <c r="D169">
        <f t="shared" ca="1" si="28"/>
        <v>-4.2706773400789775E-4</v>
      </c>
      <c r="E169">
        <f t="shared" ca="1" si="29"/>
        <v>4.1991622908367249E-2</v>
      </c>
      <c r="F169">
        <f t="shared" ca="1" si="30"/>
        <v>-6.0684968049380596E-2</v>
      </c>
      <c r="G169">
        <f t="shared" ca="1" si="31"/>
        <v>0.25963581396796576</v>
      </c>
      <c r="H169">
        <f t="shared" ca="1" si="32"/>
        <v>1.0709829726064193</v>
      </c>
      <c r="I169">
        <f t="shared" ca="1" si="33"/>
        <v>0.94628617804042325</v>
      </c>
      <c r="K169">
        <f t="shared" si="24"/>
        <v>0.96958073624207552</v>
      </c>
      <c r="L169" s="7">
        <f t="shared" ca="1" si="25"/>
        <v>0.89756867386694272</v>
      </c>
      <c r="M169">
        <f t="shared" ca="1" si="26"/>
        <v>1.0405394999812141</v>
      </c>
      <c r="N169">
        <v>0.86818922218215278</v>
      </c>
      <c r="O169" t="b">
        <f t="shared" ca="1" si="27"/>
        <v>1</v>
      </c>
      <c r="AA169">
        <v>0.7998367657980926</v>
      </c>
      <c r="AB169">
        <v>3.2495965792084229</v>
      </c>
      <c r="AC169">
        <v>2.7968288153424647</v>
      </c>
      <c r="AD169">
        <v>1.1989678705595832</v>
      </c>
      <c r="AE169">
        <v>0.18011459453220377</v>
      </c>
      <c r="AF169">
        <v>0.25502796806189693</v>
      </c>
      <c r="AG169">
        <v>-4.5796029425485845</v>
      </c>
      <c r="AH169">
        <v>-4.8772920461969465</v>
      </c>
      <c r="AI169">
        <v>-4.8772920461969465</v>
      </c>
      <c r="AJ169">
        <v>-4.8772920461969465</v>
      </c>
      <c r="AK169">
        <v>-4.8772920461969465</v>
      </c>
      <c r="AL169">
        <v>-4.8772920461969465</v>
      </c>
      <c r="AM169">
        <v>-4.8772920461969465</v>
      </c>
      <c r="AN169">
        <v>-4.8772920461969465</v>
      </c>
    </row>
    <row r="170" spans="1:40" x14ac:dyDescent="0.45">
      <c r="A170" s="1">
        <v>44992</v>
      </c>
      <c r="B170">
        <v>187.71</v>
      </c>
      <c r="C170" s="5">
        <f t="shared" si="23"/>
        <v>-3.1474124142201097E-2</v>
      </c>
      <c r="D170">
        <f t="shared" ca="1" si="28"/>
        <v>-2.7771863313182652E-4</v>
      </c>
      <c r="E170">
        <f t="shared" ca="1" si="29"/>
        <v>4.193749863880946E-2</v>
      </c>
      <c r="F170">
        <f t="shared" ca="1" si="30"/>
        <v>-6.9855238630536928E-2</v>
      </c>
      <c r="G170">
        <f t="shared" ca="1" si="31"/>
        <v>0.27631467536145937</v>
      </c>
      <c r="H170">
        <f t="shared" ca="1" si="32"/>
        <v>1.0709829726064193</v>
      </c>
      <c r="I170">
        <f t="shared" ca="1" si="33"/>
        <v>0.95359552590045371</v>
      </c>
      <c r="K170">
        <f t="shared" si="24"/>
        <v>0.96852587585779892</v>
      </c>
      <c r="L170" s="7">
        <f t="shared" ca="1" si="25"/>
        <v>0.91249817704535507</v>
      </c>
      <c r="M170">
        <f t="shared" ca="1" si="26"/>
        <v>1.0343279185780352</v>
      </c>
      <c r="N170">
        <v>0.85535142856266955</v>
      </c>
      <c r="O170" t="b">
        <f t="shared" ca="1" si="27"/>
        <v>1</v>
      </c>
      <c r="AA170">
        <v>0.80026705767252326</v>
      </c>
      <c r="AB170">
        <v>3.2510590156879178</v>
      </c>
      <c r="AC170">
        <v>2.5784341561405966</v>
      </c>
      <c r="AD170">
        <v>1.0498300067168704</v>
      </c>
      <c r="AE170">
        <v>0.21706548129455755</v>
      </c>
      <c r="AF170">
        <v>0.22592538551927344</v>
      </c>
      <c r="AG170">
        <v>-4.5496164735281157</v>
      </c>
      <c r="AH170">
        <v>-4.7993438086147311</v>
      </c>
      <c r="AI170">
        <v>-4.7993438086147311</v>
      </c>
      <c r="AJ170">
        <v>-4.7993438086147311</v>
      </c>
      <c r="AK170">
        <v>-4.7993438086147311</v>
      </c>
      <c r="AL170">
        <v>-4.7993438086147311</v>
      </c>
      <c r="AM170">
        <v>-4.7993438086147311</v>
      </c>
      <c r="AN170">
        <v>-4.7993438086147311</v>
      </c>
    </row>
    <row r="171" spans="1:40" x14ac:dyDescent="0.45">
      <c r="A171" s="1">
        <v>44991</v>
      </c>
      <c r="B171">
        <v>193.81</v>
      </c>
      <c r="C171" s="5">
        <f t="shared" si="23"/>
        <v>-2.0122351989483745E-2</v>
      </c>
      <c r="D171">
        <f t="shared" ca="1" si="28"/>
        <v>-4.6042364167989E-4</v>
      </c>
      <c r="E171">
        <f t="shared" ca="1" si="29"/>
        <v>4.2153134865567064E-2</v>
      </c>
      <c r="F171">
        <f t="shared" ca="1" si="30"/>
        <v>-7.4659213690161666E-2</v>
      </c>
      <c r="G171">
        <f t="shared" ca="1" si="31"/>
        <v>0.24040030189970807</v>
      </c>
      <c r="H171">
        <f t="shared" ca="1" si="32"/>
        <v>1.0709829726064193</v>
      </c>
      <c r="I171">
        <f t="shared" ca="1" si="33"/>
        <v>0.95359552590045371</v>
      </c>
      <c r="K171">
        <f t="shared" si="24"/>
        <v>0.97987764801051624</v>
      </c>
      <c r="L171" s="7">
        <f t="shared" ca="1" si="25"/>
        <v>0.93343929104657308</v>
      </c>
      <c r="M171">
        <f t="shared" ca="1" si="26"/>
        <v>1.0576824661773063</v>
      </c>
      <c r="N171">
        <v>0.90018842345746419</v>
      </c>
      <c r="O171" t="b">
        <f t="shared" ca="1" si="27"/>
        <v>1</v>
      </c>
      <c r="AA171">
        <v>0.80322221412624728</v>
      </c>
      <c r="AB171">
        <v>3.2604380194153535</v>
      </c>
      <c r="AC171">
        <v>2.4693488827882071</v>
      </c>
      <c r="AD171">
        <v>1.167255389672045</v>
      </c>
      <c r="AE171">
        <v>0.19701898847394578</v>
      </c>
      <c r="AF171">
        <v>5.7337760969233299E-2</v>
      </c>
      <c r="AG171">
        <v>-4.4904155703649051</v>
      </c>
      <c r="AH171">
        <v>-4.7009439166086215</v>
      </c>
      <c r="AI171">
        <v>-4.7009439166086215</v>
      </c>
      <c r="AJ171">
        <v>-4.7009439166086215</v>
      </c>
      <c r="AK171">
        <v>-4.7009439166086215</v>
      </c>
      <c r="AL171">
        <v>-4.7009439166086215</v>
      </c>
      <c r="AM171">
        <v>-4.7009439166086215</v>
      </c>
      <c r="AN171">
        <v>-4.7009439166086215</v>
      </c>
    </row>
    <row r="172" spans="1:40" x14ac:dyDescent="0.45">
      <c r="A172" s="1">
        <v>44988</v>
      </c>
      <c r="B172">
        <v>197.79</v>
      </c>
      <c r="C172" s="5">
        <f t="shared" si="23"/>
        <v>3.6092194866422136E-2</v>
      </c>
      <c r="D172">
        <f t="shared" ca="1" si="28"/>
        <v>-1.0276818451101954E-4</v>
      </c>
      <c r="E172">
        <f t="shared" ca="1" si="29"/>
        <v>4.2288712405590075E-2</v>
      </c>
      <c r="F172">
        <f t="shared" ca="1" si="30"/>
        <v>-8.9696319339635622E-2</v>
      </c>
      <c r="G172">
        <f t="shared" ca="1" si="31"/>
        <v>0.21259392939383925</v>
      </c>
      <c r="H172">
        <f t="shared" ca="1" si="32"/>
        <v>1.0709829726064193</v>
      </c>
      <c r="I172">
        <f t="shared" ca="1" si="33"/>
        <v>0.9623992049498602</v>
      </c>
      <c r="K172">
        <f t="shared" si="24"/>
        <v>1.0360921948664221</v>
      </c>
      <c r="L172" s="7">
        <f t="shared" ca="1" si="25"/>
        <v>1.0046221048354327</v>
      </c>
      <c r="M172">
        <f t="shared" ca="1" si="26"/>
        <v>1.0931292388099352</v>
      </c>
      <c r="N172">
        <v>0.93064760423802539</v>
      </c>
      <c r="O172" t="b">
        <f t="shared" ca="1" si="27"/>
        <v>0</v>
      </c>
      <c r="AA172">
        <v>0.80935130244665443</v>
      </c>
      <c r="AB172">
        <v>3.1776549399405232</v>
      </c>
      <c r="AC172">
        <v>2.7063304578816645</v>
      </c>
      <c r="AD172">
        <v>0.96910840562678635</v>
      </c>
      <c r="AE172">
        <v>-0.21727598618621982</v>
      </c>
      <c r="AF172">
        <v>5.6889243216774903E-2</v>
      </c>
      <c r="AG172">
        <v>-4.3395677012296554</v>
      </c>
      <c r="AH172">
        <v>-4.7034406155329185</v>
      </c>
      <c r="AI172">
        <v>-4.7034406155329185</v>
      </c>
      <c r="AJ172">
        <v>-4.7034406155329185</v>
      </c>
      <c r="AK172">
        <v>-4.7034406155329185</v>
      </c>
      <c r="AL172">
        <v>-4.7034406155329185</v>
      </c>
      <c r="AM172">
        <v>-4.7034406155329185</v>
      </c>
      <c r="AN172">
        <v>-4.7034406155329185</v>
      </c>
    </row>
    <row r="173" spans="1:40" x14ac:dyDescent="0.45">
      <c r="A173" s="1">
        <v>44987</v>
      </c>
      <c r="B173">
        <v>190.9</v>
      </c>
      <c r="C173" s="5">
        <f t="shared" si="23"/>
        <v>-5.853923164176162E-2</v>
      </c>
      <c r="D173">
        <f t="shared" ca="1" si="28"/>
        <v>-5.7701546064019131E-4</v>
      </c>
      <c r="E173">
        <f t="shared" ca="1" si="29"/>
        <v>4.2412428027943545E-2</v>
      </c>
      <c r="F173">
        <f t="shared" ca="1" si="30"/>
        <v>-7.1608533907310923E-2</v>
      </c>
      <c r="G173">
        <f t="shared" ca="1" si="31"/>
        <v>0.1868979232841963</v>
      </c>
      <c r="H173">
        <f t="shared" ca="1" si="32"/>
        <v>1.0709829726064193</v>
      </c>
      <c r="I173">
        <f t="shared" ca="1" si="33"/>
        <v>0.94628617804042325</v>
      </c>
      <c r="K173">
        <f t="shared" si="24"/>
        <v>0.94146076835823833</v>
      </c>
      <c r="L173" s="7">
        <f t="shared" ca="1" si="25"/>
        <v>0.94472212599594196</v>
      </c>
      <c r="M173">
        <f t="shared" ca="1" si="26"/>
        <v>1.1268047587175287</v>
      </c>
      <c r="N173">
        <v>1.0081790285506931</v>
      </c>
      <c r="O173" t="b">
        <f t="shared" ca="1" si="27"/>
        <v>0</v>
      </c>
      <c r="AA173">
        <v>0.81669925815825439</v>
      </c>
      <c r="AB173">
        <v>3.2323075974742261</v>
      </c>
      <c r="AC173">
        <v>3.0588354755273661</v>
      </c>
      <c r="AD173">
        <v>1.0775630994698819</v>
      </c>
      <c r="AE173">
        <v>-0.47955855440384443</v>
      </c>
      <c r="AF173">
        <v>-0.13846956413420569</v>
      </c>
      <c r="AG173">
        <v>-4.3495358606670953</v>
      </c>
      <c r="AH173">
        <v>-4.7238466959708951</v>
      </c>
      <c r="AI173">
        <v>-4.7238466959708951</v>
      </c>
      <c r="AJ173">
        <v>-4.7238466959708951</v>
      </c>
      <c r="AK173">
        <v>-4.7238466959708951</v>
      </c>
      <c r="AL173">
        <v>-4.7238466959708951</v>
      </c>
      <c r="AM173">
        <v>-4.7238466959708951</v>
      </c>
      <c r="AN173">
        <v>-4.7238466959708951</v>
      </c>
    </row>
    <row r="174" spans="1:40" x14ac:dyDescent="0.45">
      <c r="A174" s="1">
        <v>44986</v>
      </c>
      <c r="B174">
        <v>202.77</v>
      </c>
      <c r="C174" s="5">
        <f t="shared" si="23"/>
        <v>-1.4291964415925321E-2</v>
      </c>
      <c r="D174">
        <f t="shared" ca="1" si="28"/>
        <v>1.3190414719904328E-6</v>
      </c>
      <c r="E174">
        <f t="shared" ca="1" si="29"/>
        <v>4.2406700079409256E-2</v>
      </c>
      <c r="F174">
        <f t="shared" ca="1" si="30"/>
        <v>-8.7216539703164842E-2</v>
      </c>
      <c r="G174">
        <f t="shared" ca="1" si="31"/>
        <v>0.19202997653813014</v>
      </c>
      <c r="H174">
        <f t="shared" ca="1" si="32"/>
        <v>1.0709829726064193</v>
      </c>
      <c r="I174">
        <f t="shared" ca="1" si="33"/>
        <v>0.9623992049498602</v>
      </c>
      <c r="K174">
        <f t="shared" si="24"/>
        <v>0.98570803558407472</v>
      </c>
      <c r="L174" s="7">
        <f t="shared" ca="1" si="25"/>
        <v>1.0095091108234591</v>
      </c>
      <c r="M174">
        <f t="shared" ca="1" si="26"/>
        <v>1.1426740338858248</v>
      </c>
      <c r="N174">
        <v>1.027636159881796</v>
      </c>
      <c r="O174" t="b">
        <f t="shared" ca="1" si="27"/>
        <v>1</v>
      </c>
      <c r="AA174">
        <v>0.8019840728990596</v>
      </c>
      <c r="AB174">
        <v>2.8218203399520432</v>
      </c>
      <c r="AC174">
        <v>2.9981241141688115</v>
      </c>
      <c r="AD174">
        <v>1.0297967639813386</v>
      </c>
      <c r="AE174">
        <v>-1.0062509933928017</v>
      </c>
      <c r="AF174">
        <v>-0.14703074727710674</v>
      </c>
      <c r="AG174">
        <v>-3.7667506106276383</v>
      </c>
      <c r="AH174">
        <v>-4.2122213789871692</v>
      </c>
      <c r="AI174">
        <v>-4.2122213789871692</v>
      </c>
      <c r="AJ174">
        <v>-4.2122213789871692</v>
      </c>
      <c r="AK174">
        <v>-4.2122213789871692</v>
      </c>
      <c r="AL174">
        <v>-4.2122213789871692</v>
      </c>
      <c r="AM174">
        <v>-4.2122213789871692</v>
      </c>
      <c r="AN174">
        <v>-4.2122213789871692</v>
      </c>
    </row>
    <row r="175" spans="1:40" x14ac:dyDescent="0.45">
      <c r="A175" s="1">
        <v>44985</v>
      </c>
      <c r="B175">
        <v>205.71</v>
      </c>
      <c r="C175" s="5">
        <f t="shared" si="23"/>
        <v>-9.2472186100273929E-3</v>
      </c>
      <c r="D175">
        <f t="shared" ca="1" si="28"/>
        <v>3.190698463047055E-5</v>
      </c>
      <c r="E175">
        <f t="shared" ca="1" si="29"/>
        <v>4.2398544052868602E-2</v>
      </c>
      <c r="F175">
        <f t="shared" ca="1" si="30"/>
        <v>-8.9294982768997846E-2</v>
      </c>
      <c r="G175">
        <f t="shared" ca="1" si="31"/>
        <v>0.19472202317569476</v>
      </c>
      <c r="H175">
        <f t="shared" ca="1" si="32"/>
        <v>1.0709829726064193</v>
      </c>
      <c r="I175">
        <f t="shared" ca="1" si="33"/>
        <v>0.9623992049498602</v>
      </c>
      <c r="K175">
        <f t="shared" si="24"/>
        <v>0.99075278138997258</v>
      </c>
      <c r="L175" s="7">
        <f t="shared" ca="1" si="25"/>
        <v>1.0422556619547043</v>
      </c>
      <c r="M175">
        <f t="shared" ca="1" si="26"/>
        <v>1.1612895588976109</v>
      </c>
      <c r="N175">
        <v>1.0407501542959272</v>
      </c>
      <c r="O175" t="b">
        <f t="shared" ca="1" si="27"/>
        <v>1</v>
      </c>
      <c r="AA175">
        <v>0.80172555610776941</v>
      </c>
      <c r="AB175">
        <v>2.6740157694852131</v>
      </c>
      <c r="AC175">
        <v>2.9929987473576714</v>
      </c>
      <c r="AD175">
        <v>0.83850747830289463</v>
      </c>
      <c r="AE175">
        <v>-1.2472642110644008</v>
      </c>
      <c r="AF175">
        <v>-4.2530786715132135E-2</v>
      </c>
      <c r="AG175">
        <v>-3.5586418164467366</v>
      </c>
      <c r="AH175">
        <v>-3.9161431349762932</v>
      </c>
      <c r="AI175">
        <v>-3.9161431349762932</v>
      </c>
      <c r="AJ175">
        <v>-3.9161431349762932</v>
      </c>
      <c r="AK175">
        <v>-3.9161431349762932</v>
      </c>
      <c r="AL175">
        <v>-3.9161431349762932</v>
      </c>
      <c r="AM175">
        <v>-3.9161431349762932</v>
      </c>
      <c r="AN175">
        <v>-3.9161431349762932</v>
      </c>
    </row>
    <row r="176" spans="1:40" x14ac:dyDescent="0.45">
      <c r="A176" s="1">
        <v>44984</v>
      </c>
      <c r="B176">
        <v>207.63</v>
      </c>
      <c r="C176" s="5">
        <f t="shared" si="23"/>
        <v>5.4601787891101178E-2</v>
      </c>
      <c r="D176">
        <f t="shared" ca="1" si="28"/>
        <v>-3.3458003616370025E-4</v>
      </c>
      <c r="E176">
        <f t="shared" ca="1" si="29"/>
        <v>4.2794095631921276E-2</v>
      </c>
      <c r="F176">
        <f t="shared" ca="1" si="30"/>
        <v>-9.7307438103299893E-2</v>
      </c>
      <c r="G176">
        <f t="shared" ca="1" si="31"/>
        <v>0.14449935559453397</v>
      </c>
      <c r="H176">
        <f t="shared" ca="1" si="32"/>
        <v>1.0452139021608269</v>
      </c>
      <c r="I176">
        <f t="shared" ca="1" si="33"/>
        <v>0.95502237653767486</v>
      </c>
      <c r="K176">
        <f t="shared" si="24"/>
        <v>1.0546017878911012</v>
      </c>
      <c r="L176" s="7">
        <f t="shared" ca="1" si="25"/>
        <v>0.99673563439105139</v>
      </c>
      <c r="M176">
        <f t="shared" ca="1" si="26"/>
        <v>1.0727596271524038</v>
      </c>
      <c r="N176">
        <v>1.0066657534337273</v>
      </c>
      <c r="O176" t="b">
        <f t="shared" ca="1" si="27"/>
        <v>0</v>
      </c>
      <c r="AA176">
        <v>0.80400467222520222</v>
      </c>
      <c r="AB176">
        <v>2.6240735775601132</v>
      </c>
      <c r="AC176">
        <v>3.044625683582316</v>
      </c>
      <c r="AD176">
        <v>0.63586083761998691</v>
      </c>
      <c r="AE176">
        <v>-1.3942783800553384</v>
      </c>
      <c r="AF176">
        <v>4.4146309844762685E-2</v>
      </c>
      <c r="AG176">
        <v>-3.5078560804764987</v>
      </c>
      <c r="AH176">
        <v>-3.7556628037306661</v>
      </c>
      <c r="AI176">
        <v>-3.7556628037306661</v>
      </c>
      <c r="AJ176">
        <v>-3.7556628037306661</v>
      </c>
      <c r="AK176">
        <v>-3.7556628037306661</v>
      </c>
      <c r="AL176">
        <v>-3.7556628037306661</v>
      </c>
      <c r="AM176">
        <v>-3.7556628037306661</v>
      </c>
      <c r="AN176">
        <v>-3.7556628037306661</v>
      </c>
    </row>
    <row r="177" spans="1:40" x14ac:dyDescent="0.45">
      <c r="A177" s="1">
        <v>44981</v>
      </c>
      <c r="B177">
        <v>196.88</v>
      </c>
      <c r="C177" s="5">
        <f t="shared" si="23"/>
        <v>-2.5684168852377877E-2</v>
      </c>
      <c r="D177">
        <f t="shared" ca="1" si="28"/>
        <v>-5.2545306068990617E-4</v>
      </c>
      <c r="E177">
        <f t="shared" ca="1" si="29"/>
        <v>4.263266348953175E-2</v>
      </c>
      <c r="F177">
        <f t="shared" ca="1" si="30"/>
        <v>-9.5402158017363126E-2</v>
      </c>
      <c r="G177">
        <f t="shared" ca="1" si="31"/>
        <v>0.17707241149647146</v>
      </c>
      <c r="H177">
        <f t="shared" ca="1" si="32"/>
        <v>1.0452139021608269</v>
      </c>
      <c r="I177">
        <f t="shared" ca="1" si="33"/>
        <v>0.94628617804042325</v>
      </c>
      <c r="K177">
        <f t="shared" si="24"/>
        <v>0.9743158311476221</v>
      </c>
      <c r="L177" s="7">
        <f t="shared" ca="1" si="25"/>
        <v>0.97446050287071861</v>
      </c>
      <c r="M177">
        <f t="shared" ca="1" si="26"/>
        <v>1.0955404765617205</v>
      </c>
      <c r="N177">
        <v>1.0268406557844889</v>
      </c>
      <c r="O177" t="b">
        <f t="shared" ca="1" si="27"/>
        <v>0</v>
      </c>
      <c r="AA177">
        <v>0.8056550819300039</v>
      </c>
      <c r="AB177">
        <v>2.6347472066914146</v>
      </c>
      <c r="AC177">
        <v>3.1808111365656542</v>
      </c>
      <c r="AD177">
        <v>0.20814350921408076</v>
      </c>
      <c r="AE177">
        <v>-1.5021040669627381</v>
      </c>
      <c r="AF177">
        <v>0.24232332603355952</v>
      </c>
      <c r="AG177">
        <v>-3.5271576368051023</v>
      </c>
      <c r="AH177">
        <v>-3.8570557238484882</v>
      </c>
      <c r="AI177">
        <v>-3.8570557238484882</v>
      </c>
      <c r="AJ177">
        <v>-3.8570557238484882</v>
      </c>
      <c r="AK177">
        <v>-3.8570557238484882</v>
      </c>
      <c r="AL177">
        <v>-3.8570557238484882</v>
      </c>
      <c r="AM177">
        <v>-3.8570557238484882</v>
      </c>
      <c r="AN177">
        <v>-3.8570557238484882</v>
      </c>
    </row>
    <row r="178" spans="1:40" x14ac:dyDescent="0.45">
      <c r="A178" s="1">
        <v>44980</v>
      </c>
      <c r="B178">
        <v>202.07</v>
      </c>
      <c r="C178" s="5">
        <f t="shared" si="23"/>
        <v>6.0240963855420666E-3</v>
      </c>
      <c r="D178">
        <f t="shared" ca="1" si="28"/>
        <v>-8.5067976451327215E-4</v>
      </c>
      <c r="E178">
        <f t="shared" ca="1" si="29"/>
        <v>4.3071397521308605E-2</v>
      </c>
      <c r="F178">
        <f t="shared" ca="1" si="30"/>
        <v>-0.1152483697226357</v>
      </c>
      <c r="G178">
        <f t="shared" ca="1" si="31"/>
        <v>0.14287432740558481</v>
      </c>
      <c r="H178">
        <f t="shared" ca="1" si="32"/>
        <v>1.0335124668786271</v>
      </c>
      <c r="I178">
        <f t="shared" ca="1" si="33"/>
        <v>0.94628617804042325</v>
      </c>
      <c r="K178">
        <f t="shared" si="24"/>
        <v>1.006024096385542</v>
      </c>
      <c r="L178" s="7">
        <f t="shared" ca="1" si="25"/>
        <v>0.94319454817027615</v>
      </c>
      <c r="M178">
        <f t="shared" ca="1" si="26"/>
        <v>1.0109087431070716</v>
      </c>
      <c r="N178">
        <v>0.9893025795453454</v>
      </c>
      <c r="O178" t="b">
        <f t="shared" ca="1" si="27"/>
        <v>1</v>
      </c>
      <c r="AA178">
        <v>0.80524006937966741</v>
      </c>
      <c r="AB178">
        <v>2.5332031871646583</v>
      </c>
      <c r="AC178">
        <v>3.1166345229143135</v>
      </c>
      <c r="AD178">
        <v>-0.14367589987742113</v>
      </c>
      <c r="AE178">
        <v>-1.7020925814896271</v>
      </c>
      <c r="AF178">
        <v>0.46081680223469546</v>
      </c>
      <c r="AG178">
        <v>-3.3554469426996492</v>
      </c>
      <c r="AH178">
        <v>-3.9216126384460543</v>
      </c>
      <c r="AI178">
        <v>-3.9216126384460543</v>
      </c>
      <c r="AJ178">
        <v>-3.9216126384460543</v>
      </c>
      <c r="AK178">
        <v>-3.9216126384460543</v>
      </c>
      <c r="AL178">
        <v>-3.9216126384460543</v>
      </c>
      <c r="AM178">
        <v>-3.9216126384460543</v>
      </c>
      <c r="AN178">
        <v>-3.9216126384460543</v>
      </c>
    </row>
    <row r="179" spans="1:40" x14ac:dyDescent="0.45">
      <c r="A179" s="1">
        <v>44979</v>
      </c>
      <c r="B179">
        <v>200.86</v>
      </c>
      <c r="C179" s="5">
        <f t="shared" si="23"/>
        <v>1.7682525206465061E-2</v>
      </c>
      <c r="D179">
        <f t="shared" ca="1" si="28"/>
        <v>-9.2448044486554055E-4</v>
      </c>
      <c r="E179">
        <f t="shared" ca="1" si="29"/>
        <v>4.3072204112178721E-2</v>
      </c>
      <c r="F179">
        <f t="shared" ca="1" si="30"/>
        <v>-0.11010149917277137</v>
      </c>
      <c r="G179">
        <f t="shared" ca="1" si="31"/>
        <v>0.1418498674302402</v>
      </c>
      <c r="H179">
        <f t="shared" ca="1" si="32"/>
        <v>1.0335124668786271</v>
      </c>
      <c r="I179">
        <f t="shared" ca="1" si="33"/>
        <v>0.94628617804042325</v>
      </c>
      <c r="K179">
        <f t="shared" si="24"/>
        <v>1.017682525206465</v>
      </c>
      <c r="L179" s="7">
        <f t="shared" ca="1" si="25"/>
        <v>0.95990442054958192</v>
      </c>
      <c r="M179">
        <f t="shared" ca="1" si="26"/>
        <v>1.045466066473884</v>
      </c>
      <c r="N179">
        <v>1.0365479417506198</v>
      </c>
      <c r="O179" t="b">
        <f t="shared" ca="1" si="27"/>
        <v>0</v>
      </c>
      <c r="AA179">
        <v>0.81278480778851725</v>
      </c>
      <c r="AB179">
        <v>2.6666277502892446</v>
      </c>
      <c r="AC179">
        <v>3.1532580075394372</v>
      </c>
      <c r="AD179">
        <v>-0.54488258727276351</v>
      </c>
      <c r="AE179">
        <v>-1.8335338669938692</v>
      </c>
      <c r="AF179">
        <v>0.6560552298323038</v>
      </c>
      <c r="AG179">
        <v>-3.4499140391833545</v>
      </c>
      <c r="AH179">
        <v>-4.1250107324106056</v>
      </c>
      <c r="AI179">
        <v>-4.1250107324106056</v>
      </c>
      <c r="AJ179">
        <v>-4.1250107324106056</v>
      </c>
      <c r="AK179">
        <v>-4.1250107324106056</v>
      </c>
      <c r="AL179">
        <v>-4.1250107324106056</v>
      </c>
      <c r="AM179">
        <v>-4.1250107324106056</v>
      </c>
      <c r="AN179">
        <v>-4.1250107324106056</v>
      </c>
    </row>
    <row r="180" spans="1:40" x14ac:dyDescent="0.45">
      <c r="A180" s="1">
        <v>44978</v>
      </c>
      <c r="B180">
        <v>197.37</v>
      </c>
      <c r="C180" s="5">
        <f t="shared" si="23"/>
        <v>-5.2517882002784302E-2</v>
      </c>
      <c r="D180">
        <f t="shared" ca="1" si="28"/>
        <v>-1.4293287955309832E-3</v>
      </c>
      <c r="E180">
        <f t="shared" ca="1" si="29"/>
        <v>4.344315017445375E-2</v>
      </c>
      <c r="F180">
        <f t="shared" ca="1" si="30"/>
        <v>-0.10707662221675217</v>
      </c>
      <c r="G180">
        <f t="shared" ca="1" si="31"/>
        <v>9.5184923847121627E-2</v>
      </c>
      <c r="H180">
        <f t="shared" ca="1" si="32"/>
        <v>0.98092004176885605</v>
      </c>
      <c r="I180">
        <f t="shared" ca="1" si="33"/>
        <v>0.93068091713606116</v>
      </c>
      <c r="K180">
        <f t="shared" si="24"/>
        <v>0.94748211799721571</v>
      </c>
      <c r="L180" s="7">
        <f t="shared" ca="1" si="25"/>
        <v>1.0140258939580766</v>
      </c>
      <c r="M180">
        <f t="shared" ca="1" si="26"/>
        <v>1.0957649886859628</v>
      </c>
      <c r="N180">
        <v>0.9965501747152814</v>
      </c>
      <c r="O180" t="b">
        <f t="shared" ca="1" si="27"/>
        <v>0</v>
      </c>
      <c r="AA180">
        <v>0.81368738493327319</v>
      </c>
      <c r="AB180">
        <v>2.52319253103837</v>
      </c>
      <c r="AC180">
        <v>3.0512896857906444</v>
      </c>
      <c r="AD180">
        <v>-0.3201584850807665</v>
      </c>
      <c r="AE180">
        <v>-1.7287598665016415</v>
      </c>
      <c r="AF180">
        <v>0.66372549157772631</v>
      </c>
      <c r="AG180">
        <v>-3.3310514831514846</v>
      </c>
      <c r="AH180">
        <v>-3.9591195208441832</v>
      </c>
      <c r="AI180">
        <v>-3.9591195208441832</v>
      </c>
      <c r="AJ180">
        <v>-3.9591195208441832</v>
      </c>
      <c r="AK180">
        <v>-3.9591195208441832</v>
      </c>
      <c r="AL180">
        <v>-3.9591195208441832</v>
      </c>
      <c r="AM180">
        <v>-3.9591195208441832</v>
      </c>
      <c r="AN180">
        <v>-3.9591195208441832</v>
      </c>
    </row>
    <row r="181" spans="1:40" x14ac:dyDescent="0.45">
      <c r="A181" s="1">
        <v>44974</v>
      </c>
      <c r="B181">
        <v>208.31</v>
      </c>
      <c r="C181" s="5">
        <f t="shared" si="23"/>
        <v>3.103345872104539E-2</v>
      </c>
      <c r="D181">
        <f t="shared" ca="1" si="28"/>
        <v>-9.2824036049751323E-4</v>
      </c>
      <c r="E181">
        <f t="shared" ca="1" si="29"/>
        <v>4.3428886347884499E-2</v>
      </c>
      <c r="F181">
        <f t="shared" ca="1" si="30"/>
        <v>-0.12653620362267146</v>
      </c>
      <c r="G181">
        <f t="shared" ca="1" si="31"/>
        <v>0.10301249793975398</v>
      </c>
      <c r="H181">
        <f t="shared" ca="1" si="32"/>
        <v>0.98092004176885605</v>
      </c>
      <c r="I181">
        <f t="shared" ca="1" si="33"/>
        <v>0.95502237653767486</v>
      </c>
      <c r="K181">
        <f t="shared" si="24"/>
        <v>1.0310334587210455</v>
      </c>
      <c r="L181" s="7">
        <f t="shared" ca="1" si="25"/>
        <v>1.0580019300116816</v>
      </c>
      <c r="M181">
        <f t="shared" ca="1" si="26"/>
        <v>1.077377371621179</v>
      </c>
      <c r="N181">
        <v>0.98300714825514257</v>
      </c>
      <c r="O181" t="b">
        <f t="shared" ca="1" si="27"/>
        <v>0</v>
      </c>
      <c r="AA181">
        <v>0.78226846256249472</v>
      </c>
      <c r="AB181">
        <v>1.6616945904208729</v>
      </c>
      <c r="AC181">
        <v>1.8438065295477375</v>
      </c>
      <c r="AD181">
        <v>-0.74710633789835423</v>
      </c>
      <c r="AE181">
        <v>-2.6440717203825765</v>
      </c>
      <c r="AF181">
        <v>1.1434558265280312</v>
      </c>
      <c r="AG181">
        <v>-2.2022518196627203</v>
      </c>
      <c r="AH181">
        <v>-3.2047887011355574</v>
      </c>
      <c r="AI181">
        <v>-3.2047887011355574</v>
      </c>
      <c r="AJ181">
        <v>-3.2047887011355574</v>
      </c>
      <c r="AK181">
        <v>-3.2047887011355574</v>
      </c>
      <c r="AL181">
        <v>-3.2047887011355574</v>
      </c>
      <c r="AM181">
        <v>-3.2047887011355574</v>
      </c>
      <c r="AN181">
        <v>-3.2047887011355574</v>
      </c>
    </row>
    <row r="182" spans="1:40" x14ac:dyDescent="0.45">
      <c r="A182" s="1">
        <v>44973</v>
      </c>
      <c r="B182">
        <v>202.04</v>
      </c>
      <c r="C182" s="5">
        <f t="shared" si="23"/>
        <v>-5.6945481702763333E-2</v>
      </c>
      <c r="D182">
        <f t="shared" ca="1" si="28"/>
        <v>-1.0484717779647898E-3</v>
      </c>
      <c r="E182">
        <f t="shared" ca="1" si="29"/>
        <v>4.3373206778918642E-2</v>
      </c>
      <c r="F182">
        <f t="shared" ca="1" si="30"/>
        <v>-0.12062433579153352</v>
      </c>
      <c r="G182">
        <f t="shared" ca="1" si="31"/>
        <v>0.11627884190698845</v>
      </c>
      <c r="H182">
        <f t="shared" ca="1" si="32"/>
        <v>0.98092004176885605</v>
      </c>
      <c r="I182">
        <f t="shared" ca="1" si="33"/>
        <v>0.94628617804042325</v>
      </c>
      <c r="K182">
        <f t="shared" si="24"/>
        <v>0.94305451829723663</v>
      </c>
      <c r="L182" s="7">
        <f t="shared" ca="1" si="25"/>
        <v>0.97453212425236346</v>
      </c>
      <c r="M182">
        <f t="shared" ca="1" si="26"/>
        <v>1.0609627890376436</v>
      </c>
      <c r="N182">
        <v>1.1188946907902961</v>
      </c>
      <c r="O182" t="b">
        <f t="shared" ca="1" si="27"/>
        <v>0</v>
      </c>
      <c r="AA182">
        <v>0.78326845374213916</v>
      </c>
      <c r="AB182">
        <v>0.90833468034397347</v>
      </c>
      <c r="AC182">
        <v>0.80245659240390055</v>
      </c>
      <c r="AD182">
        <v>-1.5283037260016372</v>
      </c>
      <c r="AE182">
        <v>-3.5148264626645527</v>
      </c>
      <c r="AF182">
        <v>2.2150505114497658</v>
      </c>
      <c r="AG182">
        <v>-1.1127369053531233</v>
      </c>
      <c r="AH182">
        <v>-3.4409604741658999</v>
      </c>
      <c r="AI182">
        <v>-3.4409604741658999</v>
      </c>
      <c r="AJ182">
        <v>-3.4409604741658999</v>
      </c>
      <c r="AK182">
        <v>-3.4409604741658999</v>
      </c>
      <c r="AL182">
        <v>-3.4409604741658999</v>
      </c>
      <c r="AM182">
        <v>-3.4409604741658999</v>
      </c>
      <c r="AN182">
        <v>-3.4409604741658999</v>
      </c>
    </row>
    <row r="183" spans="1:40" x14ac:dyDescent="0.45">
      <c r="A183" s="1">
        <v>44972</v>
      </c>
      <c r="B183">
        <v>214.24</v>
      </c>
      <c r="C183" s="5">
        <f t="shared" si="23"/>
        <v>2.3847072879330987E-2</v>
      </c>
      <c r="D183">
        <f t="shared" ca="1" si="28"/>
        <v>-5.7895730437326483E-4</v>
      </c>
      <c r="E183">
        <f t="shared" ca="1" si="29"/>
        <v>4.3273215280587946E-2</v>
      </c>
      <c r="F183">
        <f t="shared" ca="1" si="30"/>
        <v>-0.13996367534346216</v>
      </c>
      <c r="G183">
        <f t="shared" ca="1" si="31"/>
        <v>0.13973929819417741</v>
      </c>
      <c r="H183">
        <f t="shared" ca="1" si="32"/>
        <v>0.98092004176885605</v>
      </c>
      <c r="I183">
        <f t="shared" ca="1" si="33"/>
        <v>0.9623992049498602</v>
      </c>
      <c r="K183">
        <f t="shared" si="24"/>
        <v>1.023847072879331</v>
      </c>
      <c r="L183" s="7">
        <f t="shared" ca="1" si="25"/>
        <v>1.06433503899846</v>
      </c>
      <c r="M183">
        <f t="shared" ca="1" si="26"/>
        <v>1.0948944514521721</v>
      </c>
      <c r="N183">
        <v>1.1103690071371206</v>
      </c>
      <c r="O183" t="b">
        <f t="shared" ca="1" si="27"/>
        <v>1</v>
      </c>
      <c r="AA183">
        <v>0.7634157715016715</v>
      </c>
      <c r="AB183">
        <v>0.30682919051828389</v>
      </c>
      <c r="AC183">
        <v>9.3817101074451334E-2</v>
      </c>
      <c r="AD183">
        <v>-2.2191655504854504</v>
      </c>
      <c r="AE183">
        <v>-3.6925745352592414</v>
      </c>
      <c r="AF183">
        <v>3.0316319491423842</v>
      </c>
      <c r="AG183">
        <v>-0.36045606504653349</v>
      </c>
      <c r="AH183">
        <v>-3.6019367287363724</v>
      </c>
      <c r="AI183">
        <v>-3.6019367287363724</v>
      </c>
      <c r="AJ183">
        <v>-3.6019367287363724</v>
      </c>
      <c r="AK183">
        <v>-3.6019367287363724</v>
      </c>
      <c r="AL183">
        <v>-3.6019367287363724</v>
      </c>
      <c r="AM183">
        <v>-3.6019367287363724</v>
      </c>
      <c r="AN183">
        <v>-3.6019367287363724</v>
      </c>
    </row>
    <row r="184" spans="1:40" x14ac:dyDescent="0.45">
      <c r="A184" s="1">
        <v>44971</v>
      </c>
      <c r="B184">
        <v>209.25</v>
      </c>
      <c r="C184" s="5">
        <f t="shared" si="23"/>
        <v>7.5061652281134483E-2</v>
      </c>
      <c r="D184">
        <f t="shared" ca="1" si="28"/>
        <v>-7.3665381275818647E-4</v>
      </c>
      <c r="E184">
        <f t="shared" ca="1" si="29"/>
        <v>4.324121051224844E-2</v>
      </c>
      <c r="F184">
        <f t="shared" ca="1" si="30"/>
        <v>-0.13016091722987708</v>
      </c>
      <c r="G184">
        <f t="shared" ca="1" si="31"/>
        <v>0.14663766179604565</v>
      </c>
      <c r="H184">
        <f t="shared" ca="1" si="32"/>
        <v>0.98092004176885605</v>
      </c>
      <c r="I184">
        <f t="shared" ca="1" si="33"/>
        <v>0.9623992049498602</v>
      </c>
      <c r="K184">
        <f t="shared" si="24"/>
        <v>1.0750616522811345</v>
      </c>
      <c r="L184" s="7">
        <f t="shared" ca="1" si="25"/>
        <v>1.0632081703165488</v>
      </c>
      <c r="M184">
        <f t="shared" ca="1" si="26"/>
        <v>1.1221786652073371</v>
      </c>
      <c r="N184">
        <v>1.1001461000050115</v>
      </c>
      <c r="O184" t="b">
        <f t="shared" ca="1" si="27"/>
        <v>1</v>
      </c>
      <c r="AA184">
        <v>0.75413111849483305</v>
      </c>
      <c r="AB184">
        <v>-8.0147343243666361E-2</v>
      </c>
      <c r="AC184">
        <v>-0.35459258623907608</v>
      </c>
      <c r="AD184">
        <v>-2.5802300507785043</v>
      </c>
      <c r="AE184">
        <v>-3.8901684556226312</v>
      </c>
      <c r="AF184">
        <v>3.6361580503528312</v>
      </c>
      <c r="AG184">
        <v>0.13396442854647914</v>
      </c>
      <c r="AH184">
        <v>-3.6665868778940482</v>
      </c>
      <c r="AI184">
        <v>-3.6665868778940482</v>
      </c>
      <c r="AJ184">
        <v>-3.6665868778940482</v>
      </c>
      <c r="AK184">
        <v>-3.6665868778940482</v>
      </c>
      <c r="AL184">
        <v>-3.6665868778940482</v>
      </c>
      <c r="AM184">
        <v>-3.6665868778940482</v>
      </c>
      <c r="AN184">
        <v>-3.6665868778940482</v>
      </c>
    </row>
    <row r="185" spans="1:40" x14ac:dyDescent="0.45">
      <c r="A185" s="1">
        <v>44970</v>
      </c>
      <c r="B185">
        <v>194.64</v>
      </c>
      <c r="C185" s="5">
        <f t="shared" si="23"/>
        <v>-1.1427700746609783E-2</v>
      </c>
      <c r="D185">
        <f t="shared" ca="1" si="28"/>
        <v>-1.1346617341794459E-3</v>
      </c>
      <c r="E185">
        <f t="shared" ca="1" si="29"/>
        <v>4.29050637558923E-2</v>
      </c>
      <c r="F185">
        <f t="shared" ca="1" si="30"/>
        <v>-0.13312396262022114</v>
      </c>
      <c r="G185">
        <f t="shared" ca="1" si="31"/>
        <v>0.1918451108417778</v>
      </c>
      <c r="H185">
        <f t="shared" ca="1" si="32"/>
        <v>0.97677024401998336</v>
      </c>
      <c r="I185">
        <f t="shared" ca="1" si="33"/>
        <v>0.9210983801313456</v>
      </c>
      <c r="K185">
        <f t="shared" si="24"/>
        <v>0.98857229925339019</v>
      </c>
      <c r="L185" s="7">
        <f t="shared" ca="1" si="25"/>
        <v>0.99938385705483657</v>
      </c>
      <c r="M185">
        <f t="shared" ca="1" si="26"/>
        <v>1.1049266363449219</v>
      </c>
      <c r="N185">
        <v>1.1665475005106334</v>
      </c>
      <c r="O185" t="b">
        <f t="shared" ca="1" si="27"/>
        <v>0</v>
      </c>
      <c r="AA185">
        <v>0.75150359188724214</v>
      </c>
      <c r="AB185">
        <v>-0.47696304880186252</v>
      </c>
      <c r="AC185">
        <v>-1.6365280933503306</v>
      </c>
      <c r="AD185">
        <v>-2.410480362350516</v>
      </c>
      <c r="AE185">
        <v>-4.4702808299464438</v>
      </c>
      <c r="AF185">
        <v>3.9326132915829328</v>
      </c>
      <c r="AG185">
        <v>1.1155743268955634</v>
      </c>
      <c r="AH185">
        <v>-3.3125530679955788</v>
      </c>
      <c r="AI185">
        <v>-3.3125530679955788</v>
      </c>
      <c r="AJ185">
        <v>-3.3125530679955788</v>
      </c>
      <c r="AK185">
        <v>-3.3125530679955788</v>
      </c>
      <c r="AL185">
        <v>-3.3125530679955788</v>
      </c>
      <c r="AM185">
        <v>-3.3125530679955788</v>
      </c>
      <c r="AN185">
        <v>-3.3125530679955788</v>
      </c>
    </row>
    <row r="186" spans="1:40" x14ac:dyDescent="0.45">
      <c r="A186" s="1">
        <v>44967</v>
      </c>
      <c r="B186">
        <v>196.89</v>
      </c>
      <c r="C186" s="5">
        <f t="shared" si="23"/>
        <v>-5.0308701524213809E-2</v>
      </c>
      <c r="D186">
        <f t="shared" ca="1" si="28"/>
        <v>-1.0484789366146715E-3</v>
      </c>
      <c r="E186">
        <f t="shared" ca="1" si="29"/>
        <v>4.2901595653487369E-2</v>
      </c>
      <c r="F186">
        <f t="shared" ca="1" si="30"/>
        <v>-0.13915205709350523</v>
      </c>
      <c r="G186">
        <f t="shared" ca="1" si="31"/>
        <v>0.19399441584283839</v>
      </c>
      <c r="H186">
        <f t="shared" ca="1" si="32"/>
        <v>0.97677024401998336</v>
      </c>
      <c r="I186">
        <f t="shared" ca="1" si="33"/>
        <v>0.9210983801313456</v>
      </c>
      <c r="K186">
        <f t="shared" si="24"/>
        <v>0.94969129847578615</v>
      </c>
      <c r="L186" s="7">
        <f t="shared" ca="1" si="25"/>
        <v>1.0363722497104957</v>
      </c>
      <c r="M186">
        <f t="shared" ca="1" si="26"/>
        <v>1.1687500354799503</v>
      </c>
      <c r="N186">
        <v>1.1703330836338961</v>
      </c>
      <c r="O186" t="b">
        <f t="shared" ca="1" si="27"/>
        <v>1</v>
      </c>
      <c r="AA186">
        <v>0.75861236830681567</v>
      </c>
      <c r="AB186">
        <v>-0.56060172356925508</v>
      </c>
      <c r="AC186">
        <v>-2.2336966225792141</v>
      </c>
      <c r="AD186">
        <v>-2.6002052979281864</v>
      </c>
      <c r="AE186">
        <v>-4.5121529872776129</v>
      </c>
      <c r="AF186">
        <v>4.2667926998344434</v>
      </c>
      <c r="AG186">
        <v>1.4120766404479248</v>
      </c>
      <c r="AH186">
        <v>-3.4986086458467671</v>
      </c>
      <c r="AI186">
        <v>-3.4986086458467671</v>
      </c>
      <c r="AJ186">
        <v>-3.4986086458467671</v>
      </c>
      <c r="AK186">
        <v>-3.4986086458467671</v>
      </c>
      <c r="AL186">
        <v>-3.4986086458467671</v>
      </c>
      <c r="AM186">
        <v>-3.4986086458467671</v>
      </c>
      <c r="AN186">
        <v>-3.4986086458467671</v>
      </c>
    </row>
    <row r="187" spans="1:40" x14ac:dyDescent="0.45">
      <c r="A187" s="1">
        <v>44966</v>
      </c>
      <c r="B187">
        <v>207.32</v>
      </c>
      <c r="C187" s="5">
        <f t="shared" si="23"/>
        <v>2.9956778776889074E-2</v>
      </c>
      <c r="D187">
        <f t="shared" ca="1" si="28"/>
        <v>-1.4061372578165023E-3</v>
      </c>
      <c r="E187">
        <f t="shared" ca="1" si="29"/>
        <v>4.3606702812916218E-2</v>
      </c>
      <c r="F187">
        <f t="shared" ca="1" si="30"/>
        <v>-0.20822454926361225</v>
      </c>
      <c r="G187">
        <f t="shared" ca="1" si="31"/>
        <v>0.27857461621195778</v>
      </c>
      <c r="H187">
        <f t="shared" ca="1" si="32"/>
        <v>0.91708493513129952</v>
      </c>
      <c r="I187">
        <f t="shared" ca="1" si="33"/>
        <v>0.9210983801313456</v>
      </c>
      <c r="K187">
        <f t="shared" si="24"/>
        <v>1.0299567787768891</v>
      </c>
      <c r="L187" s="7">
        <f t="shared" ca="1" si="25"/>
        <v>1.1011844691135069</v>
      </c>
      <c r="M187">
        <f t="shared" ca="1" si="26"/>
        <v>1.158555811897068</v>
      </c>
      <c r="N187">
        <v>1.2128458883531024</v>
      </c>
      <c r="O187" t="b">
        <f t="shared" ca="1" si="27"/>
        <v>1</v>
      </c>
      <c r="AA187">
        <v>0.76711911888949491</v>
      </c>
      <c r="AB187">
        <v>-0.41102456603161552</v>
      </c>
      <c r="AC187">
        <v>-2.6751721988479917</v>
      </c>
      <c r="AD187">
        <v>-2.7909251175547682</v>
      </c>
      <c r="AE187">
        <v>-4.7083714702685677</v>
      </c>
      <c r="AF187">
        <v>4.5095483799344187</v>
      </c>
      <c r="AG187">
        <v>1.5124621510942615</v>
      </c>
      <c r="AH187">
        <v>-3.8839524362466546</v>
      </c>
      <c r="AI187">
        <v>-3.8839524362466546</v>
      </c>
      <c r="AJ187">
        <v>-3.8839524362466546</v>
      </c>
      <c r="AK187">
        <v>-3.8839524362466546</v>
      </c>
      <c r="AL187">
        <v>-3.8839524362466546</v>
      </c>
      <c r="AM187">
        <v>-3.8839524362466546</v>
      </c>
      <c r="AN187">
        <v>-3.8839524362466546</v>
      </c>
    </row>
    <row r="188" spans="1:40" x14ac:dyDescent="0.45">
      <c r="A188" s="1">
        <v>44965</v>
      </c>
      <c r="B188">
        <v>201.29</v>
      </c>
      <c r="C188" s="5">
        <f t="shared" si="23"/>
        <v>2.2763070982165488E-2</v>
      </c>
      <c r="D188">
        <f t="shared" ca="1" si="28"/>
        <v>-1.5909044510559051E-3</v>
      </c>
      <c r="E188">
        <f t="shared" ca="1" si="29"/>
        <v>4.3551399493482114E-2</v>
      </c>
      <c r="F188">
        <f t="shared" ca="1" si="30"/>
        <v>-0.19806899944569653</v>
      </c>
      <c r="G188">
        <f t="shared" ca="1" si="31"/>
        <v>0.29056010099093932</v>
      </c>
      <c r="H188">
        <f t="shared" ca="1" si="32"/>
        <v>0.91708493513129952</v>
      </c>
      <c r="I188">
        <f t="shared" ca="1" si="33"/>
        <v>0.90666160717530198</v>
      </c>
      <c r="K188">
        <f t="shared" si="24"/>
        <v>1.0227630709821656</v>
      </c>
      <c r="L188" s="7">
        <f t="shared" ca="1" si="25"/>
        <v>1.1095860206162835</v>
      </c>
      <c r="M188">
        <f t="shared" ca="1" si="26"/>
        <v>1.1720499316711157</v>
      </c>
      <c r="N188">
        <v>1.212368417203046</v>
      </c>
      <c r="O188" t="b">
        <f t="shared" ca="1" si="27"/>
        <v>1</v>
      </c>
      <c r="AA188">
        <v>0.77376527697982866</v>
      </c>
      <c r="AB188">
        <v>-0.34223520303184973</v>
      </c>
      <c r="AC188">
        <v>-3.0237180462892486</v>
      </c>
      <c r="AD188">
        <v>-2.9450953373589281</v>
      </c>
      <c r="AE188">
        <v>-4.7511291480078173</v>
      </c>
      <c r="AF188">
        <v>4.7705244761977257</v>
      </c>
      <c r="AG188">
        <v>1.627112715915584</v>
      </c>
      <c r="AH188">
        <v>-4.2549218902570978</v>
      </c>
      <c r="AI188">
        <v>-4.2549218902570978</v>
      </c>
      <c r="AJ188">
        <v>-4.2549218902570978</v>
      </c>
      <c r="AK188">
        <v>-4.2549218902570978</v>
      </c>
      <c r="AL188">
        <v>-4.2549218902570978</v>
      </c>
      <c r="AM188">
        <v>-4.2549218902570978</v>
      </c>
      <c r="AN188">
        <v>-4.2549218902570978</v>
      </c>
    </row>
    <row r="189" spans="1:40" x14ac:dyDescent="0.45">
      <c r="A189" s="1">
        <v>44964</v>
      </c>
      <c r="B189">
        <v>196.81</v>
      </c>
      <c r="C189" s="5">
        <f t="shared" si="23"/>
        <v>1.0525775313206056E-2</v>
      </c>
      <c r="D189">
        <f t="shared" ca="1" si="28"/>
        <v>-1.7232025276701754E-3</v>
      </c>
      <c r="E189">
        <f t="shared" ca="1" si="29"/>
        <v>4.3517221925241989E-2</v>
      </c>
      <c r="F189">
        <f t="shared" ca="1" si="30"/>
        <v>-0.19021375955981307</v>
      </c>
      <c r="G189">
        <f t="shared" ca="1" si="31"/>
        <v>0.29812837776100931</v>
      </c>
      <c r="H189">
        <f t="shared" ca="1" si="32"/>
        <v>0.91708493513129952</v>
      </c>
      <c r="I189">
        <f t="shared" ca="1" si="33"/>
        <v>0.90267505042183027</v>
      </c>
      <c r="K189">
        <f t="shared" si="24"/>
        <v>1.010525775313206</v>
      </c>
      <c r="L189" s="7">
        <f t="shared" ca="1" si="25"/>
        <v>1.1361851980140862</v>
      </c>
      <c r="M189">
        <f t="shared" ca="1" si="26"/>
        <v>1.2455041101384285</v>
      </c>
      <c r="N189">
        <v>1.1340366037555119</v>
      </c>
      <c r="O189" t="b">
        <f t="shared" ca="1" si="27"/>
        <v>1</v>
      </c>
      <c r="AA189">
        <v>0.76962161525645001</v>
      </c>
      <c r="AB189">
        <v>-0.30809909704557947</v>
      </c>
      <c r="AC189">
        <v>-3.0034706009800707</v>
      </c>
      <c r="AD189">
        <v>-2.9760247533432707</v>
      </c>
      <c r="AE189">
        <v>-4.5399131990617398</v>
      </c>
      <c r="AF189">
        <v>4.6136024916987397</v>
      </c>
      <c r="AG189">
        <v>1.5862178120679391</v>
      </c>
      <c r="AH189">
        <v>-4.1933782329439966</v>
      </c>
      <c r="AI189">
        <v>-4.1933782329439966</v>
      </c>
      <c r="AJ189">
        <v>-4.1933782329439966</v>
      </c>
      <c r="AK189">
        <v>-4.1933782329439966</v>
      </c>
      <c r="AL189">
        <v>-4.1933782329439966</v>
      </c>
      <c r="AM189">
        <v>-4.1933782329439966</v>
      </c>
      <c r="AN189">
        <v>-4.1933782329439966</v>
      </c>
    </row>
    <row r="190" spans="1:40" x14ac:dyDescent="0.45">
      <c r="A190" s="1">
        <v>44963</v>
      </c>
      <c r="B190">
        <v>194.76</v>
      </c>
      <c r="C190" s="5">
        <f t="shared" si="23"/>
        <v>2.5160543215075278E-2</v>
      </c>
      <c r="D190">
        <f t="shared" ca="1" si="28"/>
        <v>-1.614242004328921E-3</v>
      </c>
      <c r="E190">
        <f t="shared" ca="1" si="29"/>
        <v>4.3575288948100491E-2</v>
      </c>
      <c r="F190">
        <f t="shared" ca="1" si="30"/>
        <v>-0.19472450191053309</v>
      </c>
      <c r="G190">
        <f t="shared" ca="1" si="31"/>
        <v>0.28418515121327337</v>
      </c>
      <c r="H190">
        <f t="shared" ca="1" si="32"/>
        <v>0.91708493513129952</v>
      </c>
      <c r="I190">
        <f t="shared" ca="1" si="33"/>
        <v>0.91787863280068338</v>
      </c>
      <c r="K190">
        <f t="shared" si="24"/>
        <v>1.0251605432150752</v>
      </c>
      <c r="L190" s="7">
        <f t="shared" ca="1" si="25"/>
        <v>1.1686067442697707</v>
      </c>
      <c r="M190">
        <f t="shared" ca="1" si="26"/>
        <v>1.2490407745574137</v>
      </c>
      <c r="N190">
        <v>1.1057464315706245</v>
      </c>
      <c r="O190" t="b">
        <f t="shared" ca="1" si="27"/>
        <v>1</v>
      </c>
      <c r="AA190">
        <v>0.7563092222785025</v>
      </c>
      <c r="AB190">
        <v>-0.17133633144010155</v>
      </c>
      <c r="AC190">
        <v>-2.3138309918326709</v>
      </c>
      <c r="AD190">
        <v>-3.2548126349308646</v>
      </c>
      <c r="AE190">
        <v>-4.1099155006947337</v>
      </c>
      <c r="AF190">
        <v>4.1292538170871138</v>
      </c>
      <c r="AG190">
        <v>1.1812518176177207</v>
      </c>
      <c r="AH190">
        <v>-4.0209194254076515</v>
      </c>
      <c r="AI190">
        <v>-4.0209194254076515</v>
      </c>
      <c r="AJ190">
        <v>-4.0209194254076515</v>
      </c>
      <c r="AK190">
        <v>-4.0209194254076515</v>
      </c>
      <c r="AL190">
        <v>-4.0209194254076515</v>
      </c>
      <c r="AM190">
        <v>-4.0209194254076515</v>
      </c>
      <c r="AN190">
        <v>-4.0209194254076515</v>
      </c>
    </row>
    <row r="191" spans="1:40" x14ac:dyDescent="0.45">
      <c r="A191" s="1">
        <v>44960</v>
      </c>
      <c r="B191">
        <v>189.98</v>
      </c>
      <c r="C191" s="5">
        <f t="shared" si="23"/>
        <v>9.0827003771178604E-3</v>
      </c>
      <c r="D191">
        <f t="shared" ca="1" si="28"/>
        <v>-1.9878293356991317E-3</v>
      </c>
      <c r="E191">
        <f t="shared" ca="1" si="29"/>
        <v>4.3664783690880699E-2</v>
      </c>
      <c r="F191">
        <f t="shared" ca="1" si="30"/>
        <v>-0.17549131387335415</v>
      </c>
      <c r="G191">
        <f t="shared" ca="1" si="31"/>
        <v>0.25718295746263431</v>
      </c>
      <c r="H191">
        <f t="shared" ca="1" si="32"/>
        <v>0.91708493513129952</v>
      </c>
      <c r="I191">
        <f t="shared" ca="1" si="33"/>
        <v>0.8957560100437062</v>
      </c>
      <c r="K191">
        <f t="shared" si="24"/>
        <v>1.0090827003771179</v>
      </c>
      <c r="L191" s="7">
        <f t="shared" ca="1" si="25"/>
        <v>1.0679033164699268</v>
      </c>
      <c r="M191">
        <f t="shared" ca="1" si="26"/>
        <v>1.1874459195667764</v>
      </c>
      <c r="N191">
        <v>1.1160696589356345</v>
      </c>
      <c r="O191" t="b">
        <f t="shared" ca="1" si="27"/>
        <v>1</v>
      </c>
      <c r="AA191">
        <v>0.76024588813752203</v>
      </c>
      <c r="AB191">
        <v>-0.1433115309810496</v>
      </c>
      <c r="AC191">
        <v>-2.3845797731412568</v>
      </c>
      <c r="AD191">
        <v>-3.0779832079219838</v>
      </c>
      <c r="AE191">
        <v>-3.2639738048660951</v>
      </c>
      <c r="AF191">
        <v>3.8367561922058599</v>
      </c>
      <c r="AG191">
        <v>1.2506079075070038</v>
      </c>
      <c r="AH191">
        <v>-3.737405505221175</v>
      </c>
      <c r="AI191">
        <v>-3.737405505221175</v>
      </c>
      <c r="AJ191">
        <v>-3.737405505221175</v>
      </c>
      <c r="AK191">
        <v>-3.737405505221175</v>
      </c>
      <c r="AL191">
        <v>-3.737405505221175</v>
      </c>
      <c r="AM191">
        <v>-3.737405505221175</v>
      </c>
      <c r="AN191">
        <v>-3.737405505221175</v>
      </c>
    </row>
    <row r="192" spans="1:40" x14ac:dyDescent="0.45">
      <c r="A192" s="1">
        <v>44959</v>
      </c>
      <c r="B192">
        <v>188.27</v>
      </c>
      <c r="C192" s="5">
        <f t="shared" si="23"/>
        <v>3.7814894438013419E-2</v>
      </c>
      <c r="D192">
        <f t="shared" ca="1" si="28"/>
        <v>-1.9144423727782758E-3</v>
      </c>
      <c r="E192">
        <f t="shared" ca="1" si="29"/>
        <v>4.3695806369663664E-2</v>
      </c>
      <c r="F192">
        <f t="shared" ca="1" si="30"/>
        <v>-0.17925120400952824</v>
      </c>
      <c r="G192">
        <f t="shared" ca="1" si="31"/>
        <v>0.24962724502989841</v>
      </c>
      <c r="H192">
        <f t="shared" ca="1" si="32"/>
        <v>0.91708493513129952</v>
      </c>
      <c r="I192">
        <f t="shared" ca="1" si="33"/>
        <v>0.90959883692435595</v>
      </c>
      <c r="K192">
        <f t="shared" si="24"/>
        <v>1.0378148944380134</v>
      </c>
      <c r="L192" s="7">
        <f t="shared" ca="1" si="25"/>
        <v>1.1747051850003118</v>
      </c>
      <c r="M192">
        <f t="shared" ca="1" si="26"/>
        <v>1.24470363058182</v>
      </c>
      <c r="N192">
        <v>1.09357910324167</v>
      </c>
      <c r="O192" t="b">
        <f t="shared" ca="1" si="27"/>
        <v>1</v>
      </c>
      <c r="AA192">
        <v>0.75797227548124901</v>
      </c>
      <c r="AB192">
        <v>-3.4745427926179392E-2</v>
      </c>
      <c r="AC192">
        <v>-2.2275001978760103</v>
      </c>
      <c r="AD192">
        <v>-3.3658251363740774</v>
      </c>
      <c r="AE192">
        <v>-3.5098448164419382</v>
      </c>
      <c r="AF192">
        <v>2.9679558464041409</v>
      </c>
      <c r="AG192">
        <v>0.98177185069519057</v>
      </c>
      <c r="AH192">
        <v>-2.9187259758183943</v>
      </c>
      <c r="AI192">
        <v>-2.9187259758183943</v>
      </c>
      <c r="AJ192">
        <v>-2.9187259758183943</v>
      </c>
      <c r="AK192">
        <v>-2.9187259758183943</v>
      </c>
      <c r="AL192">
        <v>-2.9187259758183943</v>
      </c>
      <c r="AM192">
        <v>-2.9187259758183943</v>
      </c>
      <c r="AN192">
        <v>-2.9187259758183943</v>
      </c>
    </row>
    <row r="193" spans="1:40" x14ac:dyDescent="0.45">
      <c r="A193" s="1">
        <v>44958</v>
      </c>
      <c r="B193">
        <v>181.41</v>
      </c>
      <c r="C193" s="5">
        <f t="shared" si="23"/>
        <v>4.7280914444059567E-2</v>
      </c>
      <c r="D193">
        <f t="shared" ca="1" si="28"/>
        <v>-2.0055979638324232E-3</v>
      </c>
      <c r="E193">
        <f t="shared" ca="1" si="29"/>
        <v>4.3631477889175187E-2</v>
      </c>
      <c r="F193">
        <f t="shared" ca="1" si="30"/>
        <v>-0.17693924549150761</v>
      </c>
      <c r="G193">
        <f t="shared" ca="1" si="31"/>
        <v>0.26431389235758118</v>
      </c>
      <c r="H193">
        <f t="shared" ca="1" si="32"/>
        <v>0.91708493513129952</v>
      </c>
      <c r="I193">
        <f t="shared" ca="1" si="33"/>
        <v>0.8957560100437062</v>
      </c>
      <c r="K193">
        <f t="shared" si="24"/>
        <v>1.0472809144440596</v>
      </c>
      <c r="L193" s="7">
        <f t="shared" ca="1" si="25"/>
        <v>1.2560409887142563</v>
      </c>
      <c r="M193">
        <f t="shared" ca="1" si="26"/>
        <v>1.2581198211502786</v>
      </c>
      <c r="N193">
        <v>1.1368435491829323</v>
      </c>
      <c r="O193" t="b">
        <f t="shared" ca="1" si="27"/>
        <v>1</v>
      </c>
      <c r="AA193">
        <v>0.75154902206594598</v>
      </c>
      <c r="AB193">
        <v>-0.33364985842619466</v>
      </c>
      <c r="AC193">
        <v>-2.5187817800621723</v>
      </c>
      <c r="AD193">
        <v>-3.7587188738643991</v>
      </c>
      <c r="AE193">
        <v>-3.5376521055938088</v>
      </c>
      <c r="AF193">
        <v>3.2577912047307342</v>
      </c>
      <c r="AG193">
        <v>1.272252409544596</v>
      </c>
      <c r="AH193">
        <v>-2.7549772262174699</v>
      </c>
      <c r="AI193">
        <v>-2.7549772262174699</v>
      </c>
      <c r="AJ193">
        <v>-2.7549772262174699</v>
      </c>
      <c r="AK193">
        <v>-2.7549772262174699</v>
      </c>
      <c r="AL193">
        <v>-2.7549772262174699</v>
      </c>
      <c r="AM193">
        <v>-2.7549772262174699</v>
      </c>
      <c r="AN193">
        <v>-2.7549772262174699</v>
      </c>
    </row>
    <row r="194" spans="1:40" x14ac:dyDescent="0.45">
      <c r="A194" s="1">
        <v>44957</v>
      </c>
      <c r="B194">
        <v>173.22</v>
      </c>
      <c r="C194" s="5">
        <f t="shared" si="23"/>
        <v>3.9361574462978534E-2</v>
      </c>
      <c r="D194">
        <f t="shared" ca="1" si="28"/>
        <v>-2.4247690491546302E-3</v>
      </c>
      <c r="E194">
        <f t="shared" ca="1" si="29"/>
        <v>4.3558238575248327E-2</v>
      </c>
      <c r="F194">
        <f t="shared" ca="1" si="30"/>
        <v>-0.15855695190846059</v>
      </c>
      <c r="G194">
        <f t="shared" ca="1" si="31"/>
        <v>0.27339272984416318</v>
      </c>
      <c r="H194">
        <f t="shared" ca="1" si="32"/>
        <v>0.91708493513129952</v>
      </c>
      <c r="I194">
        <f t="shared" ca="1" si="33"/>
        <v>0.86731118227474735</v>
      </c>
      <c r="K194">
        <f t="shared" si="24"/>
        <v>1.0393615744629785</v>
      </c>
      <c r="L194" s="7">
        <f t="shared" ca="1" si="25"/>
        <v>1.2038362638126348</v>
      </c>
      <c r="M194">
        <f t="shared" ca="1" si="26"/>
        <v>1.2501692568345315</v>
      </c>
      <c r="N194">
        <v>1.1258365234272225</v>
      </c>
      <c r="O194" t="b">
        <f t="shared" ca="1" si="27"/>
        <v>1</v>
      </c>
      <c r="AA194">
        <v>0.73672155133419315</v>
      </c>
      <c r="AB194">
        <v>-0.94850603574745396</v>
      </c>
      <c r="AC194">
        <v>-3.0194305903346486</v>
      </c>
      <c r="AD194">
        <v>-3.6148178010831593</v>
      </c>
      <c r="AE194">
        <v>-3.2535948849337721</v>
      </c>
      <c r="AF194">
        <v>3.4129252298132711</v>
      </c>
      <c r="AG194">
        <v>2.0028692065152391</v>
      </c>
      <c r="AH194">
        <v>-2.4557131504930179</v>
      </c>
      <c r="AI194">
        <v>-2.4557131504930179</v>
      </c>
      <c r="AJ194">
        <v>-2.4557131504930179</v>
      </c>
      <c r="AK194">
        <v>-2.4557131504930179</v>
      </c>
      <c r="AL194">
        <v>-2.4557131504930179</v>
      </c>
      <c r="AM194">
        <v>-2.4557131504930179</v>
      </c>
      <c r="AN194">
        <v>-2.4557131504930179</v>
      </c>
    </row>
    <row r="195" spans="1:40" x14ac:dyDescent="0.45">
      <c r="A195" s="1">
        <v>44956</v>
      </c>
      <c r="B195">
        <v>166.66</v>
      </c>
      <c r="C195" s="5">
        <f t="shared" ref="C195:C258" si="34">(B195-B196)/B196</f>
        <v>-6.3181562675660538E-2</v>
      </c>
      <c r="D195">
        <f t="shared" ca="1" si="28"/>
        <v>-2.4421299591644795E-3</v>
      </c>
      <c r="E195">
        <f t="shared" ca="1" si="29"/>
        <v>4.3542189186748535E-2</v>
      </c>
      <c r="F195">
        <f t="shared" ca="1" si="30"/>
        <v>-0.15855210542953946</v>
      </c>
      <c r="G195">
        <f t="shared" ca="1" si="31"/>
        <v>0.27674219722499949</v>
      </c>
      <c r="H195">
        <f t="shared" ca="1" si="32"/>
        <v>0.91708493513129952</v>
      </c>
      <c r="I195">
        <f t="shared" ca="1" si="33"/>
        <v>0.86731118227474735</v>
      </c>
      <c r="K195">
        <f t="shared" ref="K195:K258" si="35">C195+1</f>
        <v>0.93681843732433945</v>
      </c>
      <c r="L195" s="7">
        <f t="shared" ref="L195:L258" ca="1" si="36">PRODUCT(OFFSET(K195,0,0,$J$6,1))</f>
        <v>1.1593739130434786</v>
      </c>
      <c r="M195">
        <f t="shared" ref="M195:M258" ca="1" si="37">OFFSET(D195,$J$6,0)*V$2 + OFFSET(E195,$J$6,0)*U$2 + OFFSET(F195,$J$6,0)*T$2 + OFFSET(G195,$J$6,0)*S$2 + OFFSET(H195,$J$6,0)*R$2 + OFFSET(I195,$J$6,0)*Q$2 + W$2</f>
        <v>1.2887023817509355</v>
      </c>
      <c r="N195">
        <v>1.1067955533720308</v>
      </c>
      <c r="O195" t="b">
        <f t="shared" ref="O195:O258" ca="1" si="38">OR(AND(L195&gt;1, N195&gt;1), AND(L195&lt;1, N195&lt;1))</f>
        <v>1</v>
      </c>
      <c r="AA195">
        <v>0.71913846731130682</v>
      </c>
      <c r="AB195">
        <v>-1.1726594163973203</v>
      </c>
      <c r="AC195">
        <v>-3.1562443419606376</v>
      </c>
      <c r="AD195">
        <v>-3.3599567076608166</v>
      </c>
      <c r="AE195">
        <v>-3.1617439129731282</v>
      </c>
      <c r="AF195">
        <v>3.1902498924968805</v>
      </c>
      <c r="AG195">
        <v>2.2605454688015798</v>
      </c>
      <c r="AH195">
        <v>-1.9032237371846543</v>
      </c>
      <c r="AI195">
        <v>-1.9032237371846543</v>
      </c>
      <c r="AJ195">
        <v>-1.9032237371846543</v>
      </c>
      <c r="AK195">
        <v>-1.9032237371846543</v>
      </c>
      <c r="AL195">
        <v>-1.9032237371846543</v>
      </c>
      <c r="AM195">
        <v>-1.9032237371846543</v>
      </c>
      <c r="AN195">
        <v>-1.9032237371846543</v>
      </c>
    </row>
    <row r="196" spans="1:40" x14ac:dyDescent="0.45">
      <c r="A196" s="1">
        <v>44953</v>
      </c>
      <c r="B196">
        <v>177.9</v>
      </c>
      <c r="C196" s="5">
        <f t="shared" si="34"/>
        <v>0.11000187184126782</v>
      </c>
      <c r="D196">
        <f t="shared" ref="D196:D259" ca="1" si="39">AVERAGE(OFFSET(C196,0,0,$J$3,1))</f>
        <v>-2.0697683017604786E-3</v>
      </c>
      <c r="E196">
        <f t="shared" ref="E196:E259" ca="1" si="40">STDEV(OFFSET(C196,0,0,$J$3,1))</f>
        <v>4.3338106804410831E-2</v>
      </c>
      <c r="F196">
        <f t="shared" ref="F196:F259" ca="1" si="41">SKEW(OFFSET(C196,0,0,$J$3,1))</f>
        <v>-0.17270433064100241</v>
      </c>
      <c r="G196">
        <f t="shared" ref="G196:G259" ca="1" si="42">KURT(OFFSET(C196,0,0,$J$3,1))</f>
        <v>0.32543881963918952</v>
      </c>
      <c r="H196">
        <f t="shared" ref="H196:H259" ca="1" si="43">PERCENTILE(OFFSET(C196,0,0,$J$3,1), 0.95)/ABS(PERCENTILE(OFFSET(C196,0,0,$J$3,1), 0.05))</f>
        <v>0.91708493513129952</v>
      </c>
      <c r="I196">
        <f t="shared" ref="I196:I259" ca="1" si="44">PERCENTILE(OFFSET(C196,0,0,$J$3,1), 0.75)/ABS(PERCENTILE(OFFSET(C196,0,0,$J$3,1), 0.25))</f>
        <v>0.88185388647708296</v>
      </c>
      <c r="K196">
        <f t="shared" si="35"/>
        <v>1.1100018718412679</v>
      </c>
      <c r="L196" s="7">
        <f t="shared" ca="1" si="36"/>
        <v>1.3333833008544447</v>
      </c>
      <c r="M196">
        <f t="shared" ca="1" si="37"/>
        <v>1.2529155087979005</v>
      </c>
      <c r="N196">
        <v>1.1053300228077523</v>
      </c>
      <c r="O196" t="b">
        <f t="shared" ca="1" si="38"/>
        <v>1</v>
      </c>
      <c r="AA196">
        <v>0.73796232286958352</v>
      </c>
      <c r="AB196">
        <v>-1.998147968575354</v>
      </c>
      <c r="AC196">
        <v>-3.4599187054319089</v>
      </c>
      <c r="AD196">
        <v>-3.9276325726147565</v>
      </c>
      <c r="AE196">
        <v>-3.5717978076942147</v>
      </c>
      <c r="AF196">
        <v>3.5752877469302473</v>
      </c>
      <c r="AG196">
        <v>3.1601113864990338</v>
      </c>
      <c r="AH196">
        <v>-1.6352331945839136</v>
      </c>
      <c r="AI196">
        <v>-1.6352331945839136</v>
      </c>
      <c r="AJ196">
        <v>-1.6352331945839136</v>
      </c>
      <c r="AK196">
        <v>-1.6352331945839136</v>
      </c>
      <c r="AL196">
        <v>-1.6352331945839136</v>
      </c>
      <c r="AM196">
        <v>-1.6352331945839136</v>
      </c>
      <c r="AN196">
        <v>-1.6352331945839136</v>
      </c>
    </row>
    <row r="197" spans="1:40" x14ac:dyDescent="0.45">
      <c r="A197" s="1">
        <v>44952</v>
      </c>
      <c r="B197">
        <v>160.27000000000001</v>
      </c>
      <c r="C197" s="5">
        <f t="shared" si="34"/>
        <v>0.10967250571210969</v>
      </c>
      <c r="D197">
        <f t="shared" ca="1" si="39"/>
        <v>-2.8614182425424541E-3</v>
      </c>
      <c r="E197">
        <f t="shared" ca="1" si="40"/>
        <v>4.2722344728881409E-2</v>
      </c>
      <c r="F197">
        <f t="shared" ca="1" si="41"/>
        <v>-0.22219435935072021</v>
      </c>
      <c r="G197">
        <f t="shared" ca="1" si="42"/>
        <v>0.26698354434849403</v>
      </c>
      <c r="H197">
        <f t="shared" ca="1" si="43"/>
        <v>0.90979613652393754</v>
      </c>
      <c r="I197">
        <f t="shared" ca="1" si="44"/>
        <v>0.82186519213411036</v>
      </c>
      <c r="K197">
        <f t="shared" si="35"/>
        <v>1.1096725057121097</v>
      </c>
      <c r="L197" s="7">
        <f t="shared" ca="1" si="36"/>
        <v>1.2602815129354408</v>
      </c>
      <c r="M197">
        <f t="shared" ca="1" si="37"/>
        <v>1.2481447962711498</v>
      </c>
      <c r="N197">
        <v>1.0927532157404667</v>
      </c>
      <c r="O197" t="b">
        <f t="shared" ca="1" si="38"/>
        <v>1</v>
      </c>
      <c r="AA197">
        <v>0.74478742713897528</v>
      </c>
      <c r="AB197">
        <v>-2.6568231739853094</v>
      </c>
      <c r="AC197">
        <v>-3.5118990480931229</v>
      </c>
      <c r="AD197">
        <v>-4.4255140233787547</v>
      </c>
      <c r="AE197">
        <v>-3.9402888687823054</v>
      </c>
      <c r="AF197">
        <v>3.734658087448453</v>
      </c>
      <c r="AG197">
        <v>3.8106082859948378</v>
      </c>
      <c r="AH197">
        <v>-1.2693214850989296</v>
      </c>
      <c r="AI197">
        <v>-1.2693214850989296</v>
      </c>
      <c r="AJ197">
        <v>-1.2693214850989296</v>
      </c>
      <c r="AK197">
        <v>-1.2693214850989296</v>
      </c>
      <c r="AL197">
        <v>-1.2693214850989296</v>
      </c>
      <c r="AM197">
        <v>-1.2693214850989296</v>
      </c>
      <c r="AN197">
        <v>-1.2693214850989296</v>
      </c>
    </row>
    <row r="198" spans="1:40" x14ac:dyDescent="0.45">
      <c r="A198" s="1">
        <v>44951</v>
      </c>
      <c r="B198">
        <v>144.43</v>
      </c>
      <c r="C198" s="5">
        <f t="shared" si="34"/>
        <v>3.752866773229693E-3</v>
      </c>
      <c r="D198">
        <f t="shared" ca="1" si="39"/>
        <v>-3.5600276356396359E-3</v>
      </c>
      <c r="E198">
        <f t="shared" ca="1" si="40"/>
        <v>4.2009345628626876E-2</v>
      </c>
      <c r="F198">
        <f t="shared" ca="1" si="41"/>
        <v>-0.28225056313915431</v>
      </c>
      <c r="G198">
        <f t="shared" ca="1" si="42"/>
        <v>0.21103638006504033</v>
      </c>
      <c r="H198">
        <f t="shared" ca="1" si="43"/>
        <v>0.87077087515047458</v>
      </c>
      <c r="I198">
        <f t="shared" ca="1" si="44"/>
        <v>0.80300191740517934</v>
      </c>
      <c r="K198">
        <f t="shared" si="35"/>
        <v>1.0037528667732296</v>
      </c>
      <c r="L198" s="7">
        <f t="shared" ca="1" si="36"/>
        <v>1.1215250815343998</v>
      </c>
      <c r="M198">
        <f t="shared" ca="1" si="37"/>
        <v>1.2278294159825536</v>
      </c>
      <c r="N198">
        <v>1.115992745187774</v>
      </c>
      <c r="O198" t="b">
        <f t="shared" ca="1" si="38"/>
        <v>1</v>
      </c>
      <c r="AA198">
        <v>0.73106552659106738</v>
      </c>
      <c r="AB198">
        <v>-2.7399091889736726</v>
      </c>
      <c r="AC198">
        <v>-3.4974374387805582</v>
      </c>
      <c r="AD198">
        <v>-4.9443146009209444</v>
      </c>
      <c r="AE198">
        <v>-3.8093067298505581</v>
      </c>
      <c r="AF198">
        <v>3.9317975468223563</v>
      </c>
      <c r="AG198">
        <v>3.8299731921188278</v>
      </c>
      <c r="AH198">
        <v>-1.3535886423952732</v>
      </c>
      <c r="AI198">
        <v>-1.3535886423952732</v>
      </c>
      <c r="AJ198">
        <v>-1.3535886423952732</v>
      </c>
      <c r="AK198">
        <v>-1.3535886423952732</v>
      </c>
      <c r="AL198">
        <v>-1.3535886423952732</v>
      </c>
      <c r="AM198">
        <v>-1.3535886423952732</v>
      </c>
      <c r="AN198">
        <v>-1.3535886423952732</v>
      </c>
    </row>
    <row r="199" spans="1:40" x14ac:dyDescent="0.45">
      <c r="A199" s="1">
        <v>44950</v>
      </c>
      <c r="B199">
        <v>143.88999999999999</v>
      </c>
      <c r="C199" s="5">
        <f t="shared" si="34"/>
        <v>9.7391304347816592E-4</v>
      </c>
      <c r="D199">
        <f t="shared" ca="1" si="39"/>
        <v>-3.5238128681623609E-3</v>
      </c>
      <c r="E199">
        <f t="shared" ca="1" si="40"/>
        <v>4.201880237726096E-2</v>
      </c>
      <c r="F199">
        <f t="shared" ca="1" si="41"/>
        <v>-0.28448751812819756</v>
      </c>
      <c r="G199">
        <f t="shared" ca="1" si="42"/>
        <v>0.20917138422493142</v>
      </c>
      <c r="H199">
        <f t="shared" ca="1" si="43"/>
        <v>0.87077087515047458</v>
      </c>
      <c r="I199">
        <f t="shared" ca="1" si="44"/>
        <v>0.80300191740517934</v>
      </c>
      <c r="K199">
        <f t="shared" si="35"/>
        <v>1.0009739130434783</v>
      </c>
      <c r="L199" s="7">
        <f t="shared" ca="1" si="36"/>
        <v>1.0943037493345502</v>
      </c>
      <c r="M199">
        <f t="shared" ca="1" si="37"/>
        <v>1.2222466401143381</v>
      </c>
      <c r="N199">
        <v>1.1259567256298755</v>
      </c>
      <c r="O199" t="b">
        <f t="shared" ca="1" si="38"/>
        <v>1</v>
      </c>
      <c r="AA199">
        <v>0.71038069020699945</v>
      </c>
      <c r="AB199">
        <v>-2.4673339610333636</v>
      </c>
      <c r="AC199">
        <v>-3.3480252563289632</v>
      </c>
      <c r="AD199">
        <v>-5.3998988945930932</v>
      </c>
      <c r="AE199">
        <v>-3.6790398929002341</v>
      </c>
      <c r="AF199">
        <v>3.9474574081479945</v>
      </c>
      <c r="AG199">
        <v>3.5187151242111585</v>
      </c>
      <c r="AH199">
        <v>-1.5669646368421468</v>
      </c>
      <c r="AI199">
        <v>-1.5669646368421468</v>
      </c>
      <c r="AJ199">
        <v>-1.5669646368421468</v>
      </c>
      <c r="AK199">
        <v>-1.5669646368421468</v>
      </c>
      <c r="AL199">
        <v>-1.5669646368421468</v>
      </c>
      <c r="AM199">
        <v>-1.5669646368421468</v>
      </c>
      <c r="AN199">
        <v>-1.5669646368421468</v>
      </c>
    </row>
    <row r="200" spans="1:40" x14ac:dyDescent="0.45">
      <c r="A200" s="1">
        <v>44949</v>
      </c>
      <c r="B200">
        <v>143.75</v>
      </c>
      <c r="C200" s="5">
        <f t="shared" si="34"/>
        <v>7.7424673961924845E-2</v>
      </c>
      <c r="D200">
        <f t="shared" ca="1" si="39"/>
        <v>-3.7371480680274379E-3</v>
      </c>
      <c r="E200">
        <f t="shared" ca="1" si="40"/>
        <v>4.2104078718779699E-2</v>
      </c>
      <c r="F200">
        <f t="shared" ca="1" si="41"/>
        <v>-0.27119605145872033</v>
      </c>
      <c r="G200">
        <f t="shared" ca="1" si="42"/>
        <v>0.18061199374070247</v>
      </c>
      <c r="H200">
        <f t="shared" ca="1" si="43"/>
        <v>0.87077087515047458</v>
      </c>
      <c r="I200">
        <f t="shared" ca="1" si="44"/>
        <v>0.79709878704321346</v>
      </c>
      <c r="K200">
        <f t="shared" si="35"/>
        <v>1.0774246739619249</v>
      </c>
      <c r="L200" s="7">
        <f t="shared" ca="1" si="36"/>
        <v>1.1744281045751634</v>
      </c>
      <c r="M200">
        <f t="shared" ca="1" si="37"/>
        <v>1.2446584834743324</v>
      </c>
      <c r="N200">
        <v>1.0188361831805754</v>
      </c>
      <c r="O200" t="b">
        <f t="shared" ca="1" si="38"/>
        <v>1</v>
      </c>
      <c r="AA200">
        <v>0.72727748694144201</v>
      </c>
      <c r="AB200">
        <v>-3.3902799407221074</v>
      </c>
      <c r="AC200">
        <v>-3.7153701050604475</v>
      </c>
      <c r="AD200">
        <v>-6.3910247481147797</v>
      </c>
      <c r="AE200">
        <v>-3.4285001559728983</v>
      </c>
      <c r="AF200">
        <v>4.8518235714274738</v>
      </c>
      <c r="AG200">
        <v>4.46382385597094</v>
      </c>
      <c r="AH200">
        <v>-1.7594077495124654</v>
      </c>
      <c r="AI200">
        <v>-1.7594077495124654</v>
      </c>
      <c r="AJ200">
        <v>-1.7594077495124654</v>
      </c>
      <c r="AK200">
        <v>-1.7594077495124654</v>
      </c>
      <c r="AL200">
        <v>-1.7594077495124654</v>
      </c>
      <c r="AM200">
        <v>-1.7594077495124654</v>
      </c>
      <c r="AN200">
        <v>-1.7594077495124654</v>
      </c>
    </row>
    <row r="201" spans="1:40" x14ac:dyDescent="0.45">
      <c r="A201" s="1">
        <v>44946</v>
      </c>
      <c r="B201">
        <v>133.41999999999999</v>
      </c>
      <c r="C201" s="5">
        <f t="shared" si="34"/>
        <v>4.914681135487918E-2</v>
      </c>
      <c r="D201">
        <f t="shared" ca="1" si="39"/>
        <v>-4.360824550977649E-3</v>
      </c>
      <c r="E201">
        <f t="shared" ca="1" si="40"/>
        <v>4.1818676994327446E-2</v>
      </c>
      <c r="F201">
        <f t="shared" ca="1" si="41"/>
        <v>-0.27443887075813694</v>
      </c>
      <c r="G201">
        <f t="shared" ca="1" si="42"/>
        <v>0.18413961845635107</v>
      </c>
      <c r="H201">
        <f t="shared" ca="1" si="43"/>
        <v>0.76980677568832867</v>
      </c>
      <c r="I201">
        <f t="shared" ca="1" si="44"/>
        <v>0.75131078927450801</v>
      </c>
      <c r="K201">
        <f t="shared" si="35"/>
        <v>1.0491468113548792</v>
      </c>
      <c r="L201" s="7">
        <f t="shared" ca="1" si="36"/>
        <v>1.0797992877954032</v>
      </c>
      <c r="M201">
        <f t="shared" ca="1" si="37"/>
        <v>1.2269050354481759</v>
      </c>
      <c r="N201">
        <v>1.0246125201165968</v>
      </c>
      <c r="O201" t="b">
        <f t="shared" ca="1" si="38"/>
        <v>1</v>
      </c>
      <c r="AA201">
        <v>0.72623376106493542</v>
      </c>
      <c r="AB201">
        <v>-3.5002283353439272</v>
      </c>
      <c r="AC201">
        <v>-3.8060829647398875</v>
      </c>
      <c r="AD201">
        <v>-6.7190672059074545</v>
      </c>
      <c r="AE201">
        <v>-3.0817512283211466</v>
      </c>
      <c r="AF201">
        <v>5.0182918204114166</v>
      </c>
      <c r="AG201">
        <v>4.4675418130001106</v>
      </c>
      <c r="AH201">
        <v>-1.8291234262171205</v>
      </c>
      <c r="AI201">
        <v>-1.8291234262171205</v>
      </c>
      <c r="AJ201">
        <v>-1.8291234262171205</v>
      </c>
      <c r="AK201">
        <v>-1.8291234262171205</v>
      </c>
      <c r="AL201">
        <v>-1.8291234262171205</v>
      </c>
      <c r="AM201">
        <v>-1.8291234262171205</v>
      </c>
      <c r="AN201">
        <v>-1.8291234262171205</v>
      </c>
    </row>
    <row r="202" spans="1:40" x14ac:dyDescent="0.45">
      <c r="A202" s="1">
        <v>44945</v>
      </c>
      <c r="B202">
        <v>127.17</v>
      </c>
      <c r="C202" s="5">
        <f t="shared" si="34"/>
        <v>-1.2501941295232175E-2</v>
      </c>
      <c r="D202">
        <f t="shared" ca="1" si="39"/>
        <v>-4.3259871475689344E-3</v>
      </c>
      <c r="E202">
        <f t="shared" ca="1" si="40"/>
        <v>4.1866350963856762E-2</v>
      </c>
      <c r="F202">
        <f t="shared" ca="1" si="41"/>
        <v>-0.27132206979249474</v>
      </c>
      <c r="G202">
        <f t="shared" ca="1" si="42"/>
        <v>0.17909906383121355</v>
      </c>
      <c r="H202">
        <f t="shared" ca="1" si="43"/>
        <v>0.76980677568832867</v>
      </c>
      <c r="I202">
        <f t="shared" ca="1" si="44"/>
        <v>0.75131078927450801</v>
      </c>
      <c r="K202">
        <f t="shared" si="35"/>
        <v>0.98749805870476781</v>
      </c>
      <c r="L202" s="7">
        <f t="shared" ca="1" si="36"/>
        <v>1.0320564843369582</v>
      </c>
      <c r="M202">
        <f t="shared" ca="1" si="37"/>
        <v>1.2135118952538493</v>
      </c>
      <c r="N202">
        <v>1.1251918379596662</v>
      </c>
      <c r="O202" t="b">
        <f t="shared" ca="1" si="38"/>
        <v>1</v>
      </c>
      <c r="AA202">
        <v>0.73429235964934958</v>
      </c>
      <c r="AB202">
        <v>-3.0554868994782272</v>
      </c>
      <c r="AC202">
        <v>-4.0222218376856382</v>
      </c>
      <c r="AD202">
        <v>-7.1067777892253661</v>
      </c>
      <c r="AE202">
        <v>-3.2733734978176896</v>
      </c>
      <c r="AF202">
        <v>5.2134985610459577</v>
      </c>
      <c r="AG202">
        <v>4.1459173730484515</v>
      </c>
      <c r="AH202">
        <v>-2.2155257808999393</v>
      </c>
      <c r="AI202">
        <v>-2.2155257808999393</v>
      </c>
      <c r="AJ202">
        <v>-2.2155257808999393</v>
      </c>
      <c r="AK202">
        <v>-2.2155257808999393</v>
      </c>
      <c r="AL202">
        <v>-2.2155257808999393</v>
      </c>
      <c r="AM202">
        <v>-2.2155257808999393</v>
      </c>
      <c r="AN202">
        <v>-2.2155257808999393</v>
      </c>
    </row>
    <row r="203" spans="1:40" x14ac:dyDescent="0.45">
      <c r="A203" s="1">
        <v>44944</v>
      </c>
      <c r="B203">
        <v>128.78</v>
      </c>
      <c r="C203" s="5">
        <f t="shared" si="34"/>
        <v>-2.0609932314244489E-2</v>
      </c>
      <c r="D203">
        <f t="shared" ca="1" si="39"/>
        <v>-4.2310442562375396E-3</v>
      </c>
      <c r="E203">
        <f t="shared" ca="1" si="40"/>
        <v>4.1869247361334586E-2</v>
      </c>
      <c r="F203">
        <f t="shared" ca="1" si="41"/>
        <v>-0.27801208883292411</v>
      </c>
      <c r="G203">
        <f t="shared" ca="1" si="42"/>
        <v>0.18076340430551685</v>
      </c>
      <c r="H203">
        <f t="shared" ca="1" si="43"/>
        <v>0.76980677568832867</v>
      </c>
      <c r="I203">
        <f t="shared" ca="1" si="44"/>
        <v>0.75131078927450801</v>
      </c>
      <c r="K203">
        <f t="shared" si="35"/>
        <v>0.97939006768575554</v>
      </c>
      <c r="L203" s="7">
        <f t="shared" ca="1" si="36"/>
        <v>1.0835506941522928</v>
      </c>
      <c r="M203">
        <f t="shared" ca="1" si="37"/>
        <v>1.2518893578233601</v>
      </c>
      <c r="N203">
        <v>1.0698058655977762</v>
      </c>
      <c r="O203" t="b">
        <f t="shared" ca="1" si="38"/>
        <v>1</v>
      </c>
      <c r="AA203">
        <v>0.72355525541494992</v>
      </c>
      <c r="AB203">
        <v>-3.0277381918220976</v>
      </c>
      <c r="AC203">
        <v>-3.9752958996079792</v>
      </c>
      <c r="AD203">
        <v>-7.0873294322169951</v>
      </c>
      <c r="AE203">
        <v>-3.2601122058820104</v>
      </c>
      <c r="AF203">
        <v>5.2119152294620088</v>
      </c>
      <c r="AG203">
        <v>4.0616793790116947</v>
      </c>
      <c r="AH203">
        <v>-2.1129939331189465</v>
      </c>
      <c r="AI203">
        <v>-2.1129939331189465</v>
      </c>
      <c r="AJ203">
        <v>-2.1129939331189465</v>
      </c>
      <c r="AK203">
        <v>-2.1129939331189465</v>
      </c>
      <c r="AL203">
        <v>-2.1129939331189465</v>
      </c>
      <c r="AM203">
        <v>-2.1129939331189465</v>
      </c>
      <c r="AN203">
        <v>-2.1129939331189465</v>
      </c>
    </row>
    <row r="204" spans="1:40" x14ac:dyDescent="0.45">
      <c r="A204" s="1">
        <v>44943</v>
      </c>
      <c r="B204">
        <v>131.49</v>
      </c>
      <c r="C204" s="5">
        <f t="shared" si="34"/>
        <v>7.4264705882352969E-2</v>
      </c>
      <c r="D204">
        <f t="shared" ca="1" si="39"/>
        <v>-4.2028993697600346E-3</v>
      </c>
      <c r="E204">
        <f t="shared" ca="1" si="40"/>
        <v>4.186007291748519E-2</v>
      </c>
      <c r="F204">
        <f t="shared" ca="1" si="41"/>
        <v>-0.28001426981343858</v>
      </c>
      <c r="G204">
        <f t="shared" ca="1" si="42"/>
        <v>0.1842596649164534</v>
      </c>
      <c r="H204">
        <f t="shared" ca="1" si="43"/>
        <v>0.76980677568832867</v>
      </c>
      <c r="I204">
        <f t="shared" ca="1" si="44"/>
        <v>0.75131078927450801</v>
      </c>
      <c r="K204">
        <f t="shared" si="35"/>
        <v>1.0742647058823529</v>
      </c>
      <c r="L204" s="7">
        <f t="shared" ca="1" si="36"/>
        <v>1.097854220589463</v>
      </c>
      <c r="M204">
        <f t="shared" ca="1" si="37"/>
        <v>1.2273795561111611</v>
      </c>
      <c r="N204">
        <v>1.1073624273744804</v>
      </c>
      <c r="O204" t="b">
        <f t="shared" ca="1" si="38"/>
        <v>1</v>
      </c>
      <c r="AA204">
        <v>0.70822315172859474</v>
      </c>
      <c r="AB204">
        <v>-2.9161813844131985</v>
      </c>
      <c r="AC204">
        <v>-3.9523211424613636</v>
      </c>
      <c r="AD204">
        <v>-7.039877520970415</v>
      </c>
      <c r="AE204">
        <v>-3.2529390969341812</v>
      </c>
      <c r="AF204">
        <v>5.207346236634903</v>
      </c>
      <c r="AG204">
        <v>3.9170195952060163</v>
      </c>
      <c r="AH204">
        <v>-2.0745171593171614</v>
      </c>
      <c r="AI204">
        <v>-2.0745171593171614</v>
      </c>
      <c r="AJ204">
        <v>-2.0745171593171614</v>
      </c>
      <c r="AK204">
        <v>-2.0745171593171614</v>
      </c>
      <c r="AL204">
        <v>-2.0745171593171614</v>
      </c>
      <c r="AM204">
        <v>-2.0745171593171614</v>
      </c>
      <c r="AN204">
        <v>-2.0745171593171614</v>
      </c>
    </row>
    <row r="205" spans="1:40" x14ac:dyDescent="0.45">
      <c r="A205" s="1">
        <v>44939</v>
      </c>
      <c r="B205">
        <v>122.4</v>
      </c>
      <c r="C205" s="5">
        <f t="shared" si="34"/>
        <v>-9.3881515053415073E-3</v>
      </c>
      <c r="D205">
        <f t="shared" ca="1" si="39"/>
        <v>-4.5995964773647095E-3</v>
      </c>
      <c r="E205">
        <f t="shared" ca="1" si="40"/>
        <v>4.1486995994770279E-2</v>
      </c>
      <c r="F205">
        <f t="shared" ca="1" si="41"/>
        <v>-0.29300379903864537</v>
      </c>
      <c r="G205">
        <f t="shared" ca="1" si="42"/>
        <v>0.22374624341261207</v>
      </c>
      <c r="H205">
        <f t="shared" ca="1" si="43"/>
        <v>0.73743329391435963</v>
      </c>
      <c r="I205">
        <f t="shared" ca="1" si="44"/>
        <v>0.74121320907664101</v>
      </c>
      <c r="K205">
        <f t="shared" si="35"/>
        <v>0.99061184849465844</v>
      </c>
      <c r="L205" s="7">
        <f t="shared" ca="1" si="36"/>
        <v>1.0826110030072529</v>
      </c>
      <c r="M205">
        <f t="shared" ca="1" si="37"/>
        <v>1.2692832007037036</v>
      </c>
      <c r="N205">
        <v>1.0577565259060808</v>
      </c>
      <c r="O205" t="b">
        <f t="shared" ca="1" si="38"/>
        <v>1</v>
      </c>
      <c r="AA205">
        <v>0.6754035478981143</v>
      </c>
      <c r="AB205">
        <v>-2.1875925576914663</v>
      </c>
      <c r="AC205">
        <v>-3.967398616205621</v>
      </c>
      <c r="AD205">
        <v>-6.8990323288329352</v>
      </c>
      <c r="AE205">
        <v>-3.4269195758538942</v>
      </c>
      <c r="AF205">
        <v>4.8796113984403258</v>
      </c>
      <c r="AG205">
        <v>3.3070588162736265</v>
      </c>
      <c r="AH205">
        <v>-2.8251257268384036</v>
      </c>
      <c r="AI205">
        <v>-2.8251257268384036</v>
      </c>
      <c r="AJ205">
        <v>-2.8251257268384036</v>
      </c>
      <c r="AK205">
        <v>-2.8251257268384036</v>
      </c>
      <c r="AL205">
        <v>-2.8251257268384036</v>
      </c>
      <c r="AM205">
        <v>-2.8251257268384036</v>
      </c>
      <c r="AN205">
        <v>-2.8251257268384036</v>
      </c>
    </row>
    <row r="206" spans="1:40" x14ac:dyDescent="0.45">
      <c r="A206" s="1">
        <v>44938</v>
      </c>
      <c r="B206">
        <v>123.56</v>
      </c>
      <c r="C206" s="5">
        <f t="shared" si="34"/>
        <v>2.759292322674918E-3</v>
      </c>
      <c r="D206">
        <f t="shared" ca="1" si="39"/>
        <v>-4.517265951547565E-3</v>
      </c>
      <c r="E206">
        <f t="shared" ca="1" si="40"/>
        <v>4.1493783257324619E-2</v>
      </c>
      <c r="F206">
        <f t="shared" ca="1" si="41"/>
        <v>-0.29875172824459983</v>
      </c>
      <c r="G206">
        <f t="shared" ca="1" si="42"/>
        <v>0.22403401464582107</v>
      </c>
      <c r="H206">
        <f t="shared" ca="1" si="43"/>
        <v>0.73743329391435963</v>
      </c>
      <c r="I206">
        <f t="shared" ca="1" si="44"/>
        <v>0.74121320907664101</v>
      </c>
      <c r="K206">
        <f t="shared" si="35"/>
        <v>1.0027592923226749</v>
      </c>
      <c r="L206" s="7">
        <f t="shared" ca="1" si="36"/>
        <v>1.1198114917527642</v>
      </c>
      <c r="M206">
        <f t="shared" ca="1" si="37"/>
        <v>1.3570169071287657</v>
      </c>
      <c r="N206">
        <v>1.0476992239389258</v>
      </c>
      <c r="O206" t="b">
        <f t="shared" ca="1" si="38"/>
        <v>1</v>
      </c>
      <c r="AA206">
        <v>0.61772420320269372</v>
      </c>
      <c r="AB206">
        <v>-1.5671173746969291</v>
      </c>
      <c r="AC206">
        <v>-3.8965938933240585</v>
      </c>
      <c r="AD206">
        <v>-6.2716429703380303</v>
      </c>
      <c r="AE206">
        <v>-3.1813285189252452</v>
      </c>
      <c r="AF206">
        <v>4.2674212694703249</v>
      </c>
      <c r="AG206">
        <v>2.767269651248232</v>
      </c>
      <c r="AH206">
        <v>-2.631789036381829</v>
      </c>
      <c r="AI206">
        <v>-2.631789036381829</v>
      </c>
      <c r="AJ206">
        <v>-2.631789036381829</v>
      </c>
      <c r="AK206">
        <v>-2.631789036381829</v>
      </c>
      <c r="AL206">
        <v>-2.631789036381829</v>
      </c>
      <c r="AM206">
        <v>-2.631789036381829</v>
      </c>
      <c r="AN206">
        <v>-2.631789036381829</v>
      </c>
    </row>
    <row r="207" spans="1:40" x14ac:dyDescent="0.45">
      <c r="A207" s="1">
        <v>44937</v>
      </c>
      <c r="B207">
        <v>123.22</v>
      </c>
      <c r="C207">
        <f t="shared" si="34"/>
        <v>3.6769036600757296E-2</v>
      </c>
      <c r="D207">
        <f t="shared" ca="1" si="39"/>
        <v>-4.1293318266019275E-3</v>
      </c>
      <c r="E207">
        <f t="shared" ca="1" si="40"/>
        <v>4.1922626906026973E-2</v>
      </c>
      <c r="F207">
        <f t="shared" ca="1" si="41"/>
        <v>-0.2756411321383207</v>
      </c>
      <c r="G207">
        <f t="shared" ca="1" si="42"/>
        <v>0.18911816591615649</v>
      </c>
      <c r="H207">
        <f t="shared" ca="1" si="43"/>
        <v>0.76980677568832867</v>
      </c>
      <c r="I207">
        <f t="shared" ca="1" si="44"/>
        <v>0.75131078927450801</v>
      </c>
      <c r="K207">
        <f t="shared" si="35"/>
        <v>1.0367690366007574</v>
      </c>
      <c r="L207" s="7">
        <f t="shared" ca="1" si="36"/>
        <v>1.0843013023583246</v>
      </c>
      <c r="M207">
        <f t="shared" ca="1" si="37"/>
        <v>1.3150072771267456</v>
      </c>
      <c r="N207">
        <v>1.0700757456673831</v>
      </c>
      <c r="O207" t="b">
        <f t="shared" ca="1" si="38"/>
        <v>1</v>
      </c>
      <c r="AA207">
        <v>0.57020565553150593</v>
      </c>
      <c r="AB207">
        <v>-1.1543944092531178</v>
      </c>
      <c r="AC207">
        <v>-3.8269431105306992</v>
      </c>
      <c r="AD207">
        <v>-5.7774515253096999</v>
      </c>
      <c r="AE207">
        <v>-2.9067872300246074</v>
      </c>
      <c r="AF207">
        <v>3.9279206490580316</v>
      </c>
      <c r="AG207">
        <v>2.3654721480835752</v>
      </c>
      <c r="AH207">
        <v>-2.5716740264736599</v>
      </c>
      <c r="AI207">
        <v>-2.5716740264736599</v>
      </c>
      <c r="AJ207">
        <v>-2.5716740264736599</v>
      </c>
      <c r="AK207">
        <v>-2.5716740264736599</v>
      </c>
      <c r="AL207">
        <v>-2.5716740264736599</v>
      </c>
      <c r="AM207">
        <v>-2.5716740264736599</v>
      </c>
      <c r="AN207">
        <v>-2.5716740264736599</v>
      </c>
    </row>
    <row r="208" spans="1:40" x14ac:dyDescent="0.45">
      <c r="A208" s="1">
        <v>44936</v>
      </c>
      <c r="B208">
        <v>118.85</v>
      </c>
      <c r="C208">
        <f t="shared" si="34"/>
        <v>-7.6813893295483151E-3</v>
      </c>
      <c r="D208">
        <f t="shared" ca="1" si="39"/>
        <v>-4.3293469403398255E-3</v>
      </c>
      <c r="E208">
        <f t="shared" ca="1" si="40"/>
        <v>4.1821825142301011E-2</v>
      </c>
      <c r="F208">
        <f t="shared" ca="1" si="41"/>
        <v>-0.26789331542215622</v>
      </c>
      <c r="G208">
        <f t="shared" ca="1" si="42"/>
        <v>0.21031199604019513</v>
      </c>
      <c r="H208">
        <f t="shared" ca="1" si="43"/>
        <v>0.76980677568832867</v>
      </c>
      <c r="I208">
        <f t="shared" ca="1" si="44"/>
        <v>0.74121320907664101</v>
      </c>
      <c r="K208">
        <f t="shared" si="35"/>
        <v>0.99231861067045168</v>
      </c>
      <c r="L208" s="7">
        <f t="shared" ca="1" si="36"/>
        <v>1.0994449583718777</v>
      </c>
      <c r="M208">
        <f t="shared" ca="1" si="37"/>
        <v>1.3255676004309707</v>
      </c>
      <c r="N208">
        <v>1.0279847598979814</v>
      </c>
      <c r="O208" t="b">
        <f t="shared" ca="1" si="38"/>
        <v>1</v>
      </c>
      <c r="AA208">
        <v>0.51727448477347804</v>
      </c>
      <c r="AB208">
        <v>-1.2805416321897087</v>
      </c>
      <c r="AC208">
        <v>-4.0401533605993718</v>
      </c>
      <c r="AD208">
        <v>-5.2390804678179306</v>
      </c>
      <c r="AE208">
        <v>-2.0694239924308264</v>
      </c>
      <c r="AF208">
        <v>3.8824911227255985</v>
      </c>
      <c r="AG208">
        <v>2.4538054760700767</v>
      </c>
      <c r="AH208">
        <v>-2.3329925611994535</v>
      </c>
      <c r="AI208">
        <v>-2.3329925611994535</v>
      </c>
      <c r="AJ208">
        <v>-2.3329925611994535</v>
      </c>
      <c r="AK208">
        <v>-2.3329925611994535</v>
      </c>
      <c r="AL208">
        <v>-2.3329925611994535</v>
      </c>
      <c r="AM208">
        <v>-2.3329925611994535</v>
      </c>
      <c r="AN208">
        <v>-2.3329925611994535</v>
      </c>
    </row>
    <row r="209" spans="1:40" x14ac:dyDescent="0.45">
      <c r="A209" s="1">
        <v>44935</v>
      </c>
      <c r="B209">
        <v>119.77</v>
      </c>
      <c r="C209">
        <f t="shared" si="34"/>
        <v>5.9349018220413885E-2</v>
      </c>
      <c r="D209">
        <f t="shared" ca="1" si="39"/>
        <v>-4.2168341135646508E-3</v>
      </c>
      <c r="E209">
        <f t="shared" ca="1" si="40"/>
        <v>4.1843025697382748E-2</v>
      </c>
      <c r="F209">
        <f t="shared" ca="1" si="41"/>
        <v>-0.27514538110238557</v>
      </c>
      <c r="G209">
        <f t="shared" ca="1" si="42"/>
        <v>0.20691978689711865</v>
      </c>
      <c r="H209">
        <f t="shared" ca="1" si="43"/>
        <v>0.76980677568832867</v>
      </c>
      <c r="I209">
        <f t="shared" ca="1" si="44"/>
        <v>0.74121320907664101</v>
      </c>
      <c r="K209">
        <f t="shared" si="35"/>
        <v>1.0593490182204139</v>
      </c>
      <c r="L209" s="7">
        <f t="shared" ca="1" si="36"/>
        <v>0.97231693456729962</v>
      </c>
      <c r="M209">
        <f t="shared" ca="1" si="37"/>
        <v>1.2601969049364556</v>
      </c>
      <c r="N209">
        <v>0.93830781428166876</v>
      </c>
      <c r="O209" t="b">
        <f t="shared" ca="1" si="38"/>
        <v>1</v>
      </c>
      <c r="AA209">
        <v>0.50031942237564742</v>
      </c>
      <c r="AB209">
        <v>-1.4057881568636903</v>
      </c>
      <c r="AC209">
        <v>-4.0473964535035156</v>
      </c>
      <c r="AD209">
        <v>-4.955981202689939</v>
      </c>
      <c r="AE209">
        <v>-1.6714956742236904</v>
      </c>
      <c r="AF209">
        <v>3.8395149416862973</v>
      </c>
      <c r="AG209">
        <v>2.5298084333251798</v>
      </c>
      <c r="AH209">
        <v>-2.1653159509963245</v>
      </c>
      <c r="AI209">
        <v>-2.1653159509963245</v>
      </c>
      <c r="AJ209">
        <v>-2.1653159509963245</v>
      </c>
      <c r="AK209">
        <v>-2.1653159509963245</v>
      </c>
      <c r="AL209">
        <v>-2.1653159509963245</v>
      </c>
      <c r="AM209">
        <v>-2.1653159509963245</v>
      </c>
      <c r="AN209">
        <v>-2.1653159509963245</v>
      </c>
    </row>
    <row r="210" spans="1:40" x14ac:dyDescent="0.45">
      <c r="A210" s="1">
        <v>44932</v>
      </c>
      <c r="B210">
        <v>113.06</v>
      </c>
      <c r="C210">
        <f t="shared" si="34"/>
        <v>2.4651078484683692E-2</v>
      </c>
      <c r="D210">
        <f t="shared" ca="1" si="39"/>
        <v>-4.487773882432192E-3</v>
      </c>
      <c r="E210">
        <f t="shared" ca="1" si="40"/>
        <v>4.1604114530628275E-2</v>
      </c>
      <c r="F210">
        <f t="shared" ca="1" si="41"/>
        <v>-0.27822395966510344</v>
      </c>
      <c r="G210">
        <f t="shared" ca="1" si="42"/>
        <v>0.24641392354601743</v>
      </c>
      <c r="H210">
        <f t="shared" ca="1" si="43"/>
        <v>0.76980677568832867</v>
      </c>
      <c r="I210">
        <f t="shared" ca="1" si="44"/>
        <v>0.72042505683150959</v>
      </c>
      <c r="K210">
        <f t="shared" si="35"/>
        <v>1.0246510784846836</v>
      </c>
      <c r="L210" s="7">
        <f t="shared" ca="1" si="36"/>
        <v>0.92809062551305199</v>
      </c>
      <c r="M210">
        <f t="shared" ca="1" si="37"/>
        <v>1.2273889586938274</v>
      </c>
      <c r="N210">
        <v>1.0098206391331495</v>
      </c>
      <c r="O210" t="b">
        <f t="shared" ca="1" si="38"/>
        <v>0</v>
      </c>
      <c r="AA210">
        <v>0.48290792414465478</v>
      </c>
      <c r="AB210">
        <v>-1.9817633620203923</v>
      </c>
      <c r="AC210">
        <v>-4.2039190710393397</v>
      </c>
      <c r="AD210">
        <v>-4.5875670779530697</v>
      </c>
      <c r="AE210">
        <v>-0.67071330825408559</v>
      </c>
      <c r="AF210">
        <v>5.0239009807570678</v>
      </c>
      <c r="AG210">
        <v>3.0340865464273534</v>
      </c>
      <c r="AH210">
        <v>-2.7136401042026046</v>
      </c>
      <c r="AI210">
        <v>-2.7136401042026046</v>
      </c>
      <c r="AJ210">
        <v>-2.7136401042026046</v>
      </c>
      <c r="AK210">
        <v>-2.7136401042026046</v>
      </c>
      <c r="AL210">
        <v>-2.7136401042026046</v>
      </c>
      <c r="AM210">
        <v>-2.7136401042026046</v>
      </c>
      <c r="AN210">
        <v>-2.7136401042026046</v>
      </c>
    </row>
    <row r="211" spans="1:40" x14ac:dyDescent="0.45">
      <c r="A211" s="1">
        <v>44931</v>
      </c>
      <c r="B211">
        <v>110.34</v>
      </c>
      <c r="C211">
        <f t="shared" si="34"/>
        <v>-2.9039070749735982E-2</v>
      </c>
      <c r="D211">
        <f t="shared" ca="1" si="39"/>
        <v>-4.215755494759014E-3</v>
      </c>
      <c r="E211">
        <f t="shared" ca="1" si="40"/>
        <v>4.1971816915000328E-2</v>
      </c>
      <c r="F211">
        <f t="shared" ca="1" si="41"/>
        <v>-0.25228582853116399</v>
      </c>
      <c r="G211">
        <f t="shared" ca="1" si="42"/>
        <v>0.21905501932877547</v>
      </c>
      <c r="H211">
        <f t="shared" ca="1" si="43"/>
        <v>0.87077087515047458</v>
      </c>
      <c r="I211">
        <f t="shared" ca="1" si="44"/>
        <v>0.72042505683150959</v>
      </c>
      <c r="K211">
        <f t="shared" si="35"/>
        <v>0.970960929250264</v>
      </c>
      <c r="L211" s="7">
        <f t="shared" ca="1" si="36"/>
        <v>0.97897258450891678</v>
      </c>
      <c r="M211">
        <f t="shared" ca="1" si="37"/>
        <v>1.1101612291779763</v>
      </c>
      <c r="N211">
        <v>1.0625214009572455</v>
      </c>
      <c r="O211" t="b">
        <f t="shared" ca="1" si="38"/>
        <v>0</v>
      </c>
      <c r="AA211">
        <v>0.49424415724121701</v>
      </c>
      <c r="AB211">
        <v>-1.9641095419610637</v>
      </c>
      <c r="AC211">
        <v>-4.2094095483788099</v>
      </c>
      <c r="AD211">
        <v>-4.7462972743898835</v>
      </c>
      <c r="AE211">
        <v>-0.92633240848218656</v>
      </c>
      <c r="AF211">
        <v>5.2473637100661588</v>
      </c>
      <c r="AG211">
        <v>2.8848809643519608</v>
      </c>
      <c r="AH211">
        <v>-2.9595349444528383</v>
      </c>
      <c r="AI211">
        <v>-2.9595349444528383</v>
      </c>
      <c r="AJ211">
        <v>-2.9595349444528383</v>
      </c>
      <c r="AK211">
        <v>-2.9595349444528383</v>
      </c>
      <c r="AL211">
        <v>-2.9595349444528383</v>
      </c>
      <c r="AM211">
        <v>-2.9595349444528383</v>
      </c>
      <c r="AN211">
        <v>-2.9595349444528383</v>
      </c>
    </row>
    <row r="212" spans="1:40" x14ac:dyDescent="0.45">
      <c r="A212" s="1">
        <v>44930</v>
      </c>
      <c r="B212">
        <v>113.64</v>
      </c>
      <c r="C212">
        <f t="shared" si="34"/>
        <v>5.1248843663274805E-2</v>
      </c>
      <c r="D212">
        <f t="shared" ca="1" si="39"/>
        <v>-3.9834817406286215E-3</v>
      </c>
      <c r="E212">
        <f t="shared" ca="1" si="40"/>
        <v>4.1962293520305026E-2</v>
      </c>
      <c r="F212">
        <f t="shared" ca="1" si="41"/>
        <v>-0.26748532391564789</v>
      </c>
      <c r="G212">
        <f t="shared" ca="1" si="42"/>
        <v>0.227604567818672</v>
      </c>
      <c r="H212">
        <f t="shared" ca="1" si="43"/>
        <v>0.87077087515047458</v>
      </c>
      <c r="I212">
        <f t="shared" ca="1" si="44"/>
        <v>0.735032932531827</v>
      </c>
      <c r="K212">
        <f t="shared" si="35"/>
        <v>1.0512488436632748</v>
      </c>
      <c r="L212" s="7">
        <f t="shared" ca="1" si="36"/>
        <v>1.0416131989000919</v>
      </c>
      <c r="M212">
        <f t="shared" ca="1" si="37"/>
        <v>1.1748452321393894</v>
      </c>
      <c r="N212">
        <v>1.0225616994486719</v>
      </c>
      <c r="O212" t="b">
        <f t="shared" ca="1" si="38"/>
        <v>1</v>
      </c>
      <c r="AA212">
        <v>0.44813497442198197</v>
      </c>
      <c r="AB212">
        <v>-1.7481491291253639</v>
      </c>
      <c r="AC212">
        <v>-4.1802579641457278</v>
      </c>
      <c r="AD212">
        <v>-4.1499752754287949</v>
      </c>
      <c r="AE212">
        <v>1.2061263356522701E-2</v>
      </c>
      <c r="AF212">
        <v>4.4708388575898059</v>
      </c>
      <c r="AG212">
        <v>2.4914554206570179</v>
      </c>
      <c r="AH212">
        <v>-2.2780648780827852</v>
      </c>
      <c r="AI212">
        <v>-2.2780648780827852</v>
      </c>
      <c r="AJ212">
        <v>-2.2780648780827852</v>
      </c>
      <c r="AK212">
        <v>-2.2780648780827852</v>
      </c>
      <c r="AL212">
        <v>-2.2780648780827852</v>
      </c>
      <c r="AM212">
        <v>-2.2780648780827852</v>
      </c>
      <c r="AN212">
        <v>-2.2780648780827852</v>
      </c>
    </row>
    <row r="213" spans="1:40" x14ac:dyDescent="0.45">
      <c r="A213" s="1">
        <v>44929</v>
      </c>
      <c r="B213">
        <v>108.1</v>
      </c>
      <c r="C213">
        <f t="shared" si="34"/>
        <v>-0.12242247118038652</v>
      </c>
      <c r="D213">
        <f t="shared" ca="1" si="39"/>
        <v>-4.0458753464500292E-3</v>
      </c>
      <c r="E213">
        <f t="shared" ca="1" si="40"/>
        <v>4.188896928072533E-2</v>
      </c>
      <c r="F213">
        <f t="shared" ca="1" si="41"/>
        <v>-0.27061777064143644</v>
      </c>
      <c r="G213">
        <f t="shared" ca="1" si="42"/>
        <v>0.23889168007086559</v>
      </c>
      <c r="H213">
        <f t="shared" ca="1" si="43"/>
        <v>0.87077087515047458</v>
      </c>
      <c r="I213">
        <f t="shared" ca="1" si="44"/>
        <v>0.735032932531827</v>
      </c>
      <c r="K213">
        <f t="shared" si="35"/>
        <v>0.87757752881961348</v>
      </c>
      <c r="L213" s="7">
        <f t="shared" ca="1" si="36"/>
        <v>0.87779131140885092</v>
      </c>
      <c r="M213">
        <f t="shared" ca="1" si="37"/>
        <v>1.1787924978908619</v>
      </c>
      <c r="N213">
        <v>0.97534616147657527</v>
      </c>
      <c r="O213" t="b">
        <f t="shared" ca="1" si="38"/>
        <v>1</v>
      </c>
      <c r="AA213">
        <v>0.44831396828526837</v>
      </c>
      <c r="AB213">
        <v>-1.6009037878907011</v>
      </c>
      <c r="AC213">
        <v>-4.0615612009263895</v>
      </c>
      <c r="AD213">
        <v>-4.1065783527032833</v>
      </c>
      <c r="AE213">
        <v>0.25755172867171805</v>
      </c>
      <c r="AF213">
        <v>4.5392390625488881</v>
      </c>
      <c r="AG213">
        <v>2.0289094992634533</v>
      </c>
      <c r="AH213">
        <v>-2.2816618167883673</v>
      </c>
      <c r="AI213">
        <v>-2.2816618167883673</v>
      </c>
      <c r="AJ213">
        <v>-2.2816618167883673</v>
      </c>
      <c r="AK213">
        <v>-2.2816618167883673</v>
      </c>
      <c r="AL213">
        <v>-2.2816618167883673</v>
      </c>
      <c r="AM213">
        <v>-2.2816618167883673</v>
      </c>
      <c r="AN213">
        <v>-2.2816618167883673</v>
      </c>
    </row>
    <row r="214" spans="1:40" x14ac:dyDescent="0.45">
      <c r="A214" s="1">
        <v>44925</v>
      </c>
      <c r="B214">
        <v>123.18</v>
      </c>
      <c r="C214">
        <f t="shared" si="34"/>
        <v>1.1164012477425822E-2</v>
      </c>
      <c r="D214">
        <f t="shared" ca="1" si="39"/>
        <v>-3.2471000371459956E-3</v>
      </c>
      <c r="E214">
        <f t="shared" ca="1" si="40"/>
        <v>4.1136738177164699E-2</v>
      </c>
      <c r="F214">
        <f t="shared" ca="1" si="41"/>
        <v>-0.21846533081031103</v>
      </c>
      <c r="G214">
        <f t="shared" ca="1" si="42"/>
        <v>0.15097097777378732</v>
      </c>
      <c r="H214">
        <f t="shared" ca="1" si="43"/>
        <v>0.92744199323746479</v>
      </c>
      <c r="I214">
        <f t="shared" ca="1" si="44"/>
        <v>0.76184315969437011</v>
      </c>
      <c r="K214">
        <f t="shared" si="35"/>
        <v>1.0111640124774257</v>
      </c>
      <c r="L214" s="7">
        <f t="shared" ca="1" si="36"/>
        <v>0.9826884722776229</v>
      </c>
      <c r="M214">
        <f t="shared" ca="1" si="37"/>
        <v>1.1851061600681212</v>
      </c>
      <c r="N214">
        <v>0.96922141436147458</v>
      </c>
      <c r="O214" t="b">
        <f t="shared" ca="1" si="38"/>
        <v>1</v>
      </c>
      <c r="AA214">
        <v>0.40341674288519147</v>
      </c>
      <c r="AB214">
        <v>-1.2657549230459051</v>
      </c>
      <c r="AC214">
        <v>-3.83949411357582</v>
      </c>
      <c r="AD214">
        <v>-3.5018250986552357</v>
      </c>
      <c r="AE214">
        <v>0.82981436233300532</v>
      </c>
      <c r="AF214">
        <v>3.8612675926334816</v>
      </c>
      <c r="AG214">
        <v>1.6231921937463643</v>
      </c>
      <c r="AH214">
        <v>-1.7422962293920541</v>
      </c>
      <c r="AI214">
        <v>-1.7422962293920541</v>
      </c>
      <c r="AJ214">
        <v>-1.7422962293920541</v>
      </c>
      <c r="AK214">
        <v>-1.7422962293920541</v>
      </c>
      <c r="AL214">
        <v>-1.7422962293920541</v>
      </c>
      <c r="AM214">
        <v>-1.7422962293920541</v>
      </c>
      <c r="AN214">
        <v>-1.7422962293920541</v>
      </c>
    </row>
    <row r="215" spans="1:40" x14ac:dyDescent="0.45">
      <c r="A215" s="1">
        <v>44924</v>
      </c>
      <c r="B215">
        <v>121.82</v>
      </c>
      <c r="C215">
        <f t="shared" si="34"/>
        <v>8.0826900896105044E-2</v>
      </c>
      <c r="D215">
        <f t="shared" ca="1" si="39"/>
        <v>-3.0638601774240102E-3</v>
      </c>
      <c r="E215">
        <f t="shared" ca="1" si="40"/>
        <v>4.1282617615242857E-2</v>
      </c>
      <c r="F215">
        <f t="shared" ca="1" si="41"/>
        <v>-0.22022058119265625</v>
      </c>
      <c r="G215">
        <f t="shared" ca="1" si="42"/>
        <v>0.12193456838591699</v>
      </c>
      <c r="H215">
        <f t="shared" ca="1" si="43"/>
        <v>0.92744199323746479</v>
      </c>
      <c r="I215">
        <f t="shared" ca="1" si="44"/>
        <v>0.77222178261825658</v>
      </c>
      <c r="K215">
        <f t="shared" si="35"/>
        <v>1.0808269008961051</v>
      </c>
      <c r="L215" s="7">
        <f t="shared" ca="1" si="36"/>
        <v>0.88551282983208568</v>
      </c>
      <c r="M215">
        <f t="shared" ca="1" si="37"/>
        <v>1.0856121649079191</v>
      </c>
      <c r="N215">
        <v>0.95705366841937778</v>
      </c>
      <c r="O215" t="b">
        <f t="shared" ca="1" si="38"/>
        <v>1</v>
      </c>
      <c r="AA215">
        <v>0.39249545671319935</v>
      </c>
      <c r="AB215">
        <v>-1.0686627173656627</v>
      </c>
      <c r="AC215">
        <v>-3.7472651490488817</v>
      </c>
      <c r="AD215">
        <v>-3.271698508748675</v>
      </c>
      <c r="AE215">
        <v>1.1102964942061615</v>
      </c>
      <c r="AF215">
        <v>3.6716991129688368</v>
      </c>
      <c r="AG215">
        <v>1.2973184702724274</v>
      </c>
      <c r="AH215">
        <v>-1.6459388601505569</v>
      </c>
      <c r="AI215">
        <v>-1.6459388601505569</v>
      </c>
      <c r="AJ215">
        <v>-1.6459388601505569</v>
      </c>
      <c r="AK215">
        <v>-1.6459388601505569</v>
      </c>
      <c r="AL215">
        <v>-1.6459388601505569</v>
      </c>
      <c r="AM215">
        <v>-1.6459388601505569</v>
      </c>
      <c r="AN215">
        <v>-1.6459388601505569</v>
      </c>
    </row>
    <row r="216" spans="1:40" x14ac:dyDescent="0.45">
      <c r="A216" s="1">
        <v>44923</v>
      </c>
      <c r="B216">
        <v>112.71</v>
      </c>
      <c r="C216">
        <f t="shared" si="34"/>
        <v>3.3088909257561867E-2</v>
      </c>
      <c r="D216">
        <f t="shared" ca="1" si="39"/>
        <v>-3.2362531363606672E-3</v>
      </c>
      <c r="E216">
        <f t="shared" ca="1" si="40"/>
        <v>4.1001569263369557E-2</v>
      </c>
      <c r="F216">
        <f t="shared" ca="1" si="41"/>
        <v>-0.2466313673522344</v>
      </c>
      <c r="G216">
        <f t="shared" ca="1" si="42"/>
        <v>0.12550658879974286</v>
      </c>
      <c r="H216">
        <f t="shared" ca="1" si="43"/>
        <v>0.81990699370682829</v>
      </c>
      <c r="I216">
        <f t="shared" ca="1" si="44"/>
        <v>0.77222178261825658</v>
      </c>
      <c r="K216">
        <f t="shared" si="35"/>
        <v>1.0330889092575619</v>
      </c>
      <c r="L216" s="7">
        <f t="shared" ca="1" si="36"/>
        <v>0.81792452830188689</v>
      </c>
      <c r="M216">
        <f t="shared" ca="1" si="37"/>
        <v>1.069752115477197</v>
      </c>
      <c r="N216">
        <v>0.9756626734249001</v>
      </c>
      <c r="O216" t="b">
        <f t="shared" ca="1" si="38"/>
        <v>1</v>
      </c>
      <c r="AA216">
        <v>0.41766533508207093</v>
      </c>
      <c r="AB216">
        <v>-0.54858021934395917</v>
      </c>
      <c r="AC216">
        <v>-3.8550969260046655</v>
      </c>
      <c r="AD216">
        <v>-3.4466229918727609</v>
      </c>
      <c r="AE216">
        <v>1.2347783004249357</v>
      </c>
      <c r="AF216">
        <v>3.9317532643767663</v>
      </c>
      <c r="AG216">
        <v>0.48562554785450107</v>
      </c>
      <c r="AH216">
        <v>-2.1314727902801671</v>
      </c>
      <c r="AI216">
        <v>-2.1314727902801671</v>
      </c>
      <c r="AJ216">
        <v>-2.1314727902801671</v>
      </c>
      <c r="AK216">
        <v>-2.1314727902801671</v>
      </c>
      <c r="AL216">
        <v>-2.1314727902801671</v>
      </c>
      <c r="AM216">
        <v>-2.1314727902801671</v>
      </c>
      <c r="AN216">
        <v>-2.1314727902801671</v>
      </c>
    </row>
    <row r="217" spans="1:40" x14ac:dyDescent="0.45">
      <c r="A217" s="1">
        <v>44922</v>
      </c>
      <c r="B217">
        <v>109.1</v>
      </c>
      <c r="C217">
        <f t="shared" si="34"/>
        <v>-0.11408850994721892</v>
      </c>
      <c r="D217">
        <f t="shared" ca="1" si="39"/>
        <v>-3.5838813977629364E-3</v>
      </c>
      <c r="E217">
        <f t="shared" ca="1" si="40"/>
        <v>4.0986772823702333E-2</v>
      </c>
      <c r="F217">
        <f t="shared" ca="1" si="41"/>
        <v>-0.22742782427175887</v>
      </c>
      <c r="G217">
        <f t="shared" ca="1" si="42"/>
        <v>0.12080576018124578</v>
      </c>
      <c r="H217">
        <f t="shared" ca="1" si="43"/>
        <v>0.81990699370682829</v>
      </c>
      <c r="I217">
        <f t="shared" ca="1" si="44"/>
        <v>0.75624260085438599</v>
      </c>
      <c r="K217">
        <f t="shared" si="35"/>
        <v>0.88591149005278114</v>
      </c>
      <c r="L217" s="7">
        <f t="shared" ca="1" si="36"/>
        <v>0.72796423567091473</v>
      </c>
      <c r="M217">
        <f t="shared" ca="1" si="37"/>
        <v>1.0674599157403928</v>
      </c>
      <c r="N217">
        <v>0.94713614952963621</v>
      </c>
      <c r="O217" t="b">
        <f t="shared" ca="1" si="38"/>
        <v>1</v>
      </c>
      <c r="AA217">
        <v>0.44362400908433819</v>
      </c>
      <c r="AB217">
        <v>-0.37203951922215722</v>
      </c>
      <c r="AC217">
        <v>-3.8149251684898355</v>
      </c>
      <c r="AD217">
        <v>-3.4232184099928684</v>
      </c>
      <c r="AE217">
        <v>1.2627463329107604</v>
      </c>
      <c r="AF217">
        <v>3.7895962024880623</v>
      </c>
      <c r="AG217">
        <v>-0.27341046651058226</v>
      </c>
      <c r="AH217">
        <v>-2.1216140349398698</v>
      </c>
      <c r="AI217">
        <v>-2.1216140349398698</v>
      </c>
      <c r="AJ217">
        <v>-2.1216140349398698</v>
      </c>
      <c r="AK217">
        <v>-2.1216140349398698</v>
      </c>
      <c r="AL217">
        <v>-2.1216140349398698</v>
      </c>
      <c r="AM217">
        <v>-2.1216140349398698</v>
      </c>
      <c r="AN217">
        <v>-2.1216140349398698</v>
      </c>
    </row>
    <row r="218" spans="1:40" x14ac:dyDescent="0.45">
      <c r="A218" s="1">
        <v>44918</v>
      </c>
      <c r="B218">
        <v>123.15</v>
      </c>
      <c r="C218">
        <f t="shared" si="34"/>
        <v>-1.7550857598723484E-2</v>
      </c>
      <c r="D218">
        <f t="shared" ca="1" si="39"/>
        <v>-3.2696004323780081E-3</v>
      </c>
      <c r="E218">
        <f t="shared" ca="1" si="40"/>
        <v>4.0371549495256134E-2</v>
      </c>
      <c r="F218">
        <f t="shared" ca="1" si="41"/>
        <v>-0.16582574899794794</v>
      </c>
      <c r="G218">
        <f t="shared" ca="1" si="42"/>
        <v>4.2516465348651611E-2</v>
      </c>
      <c r="H218">
        <f t="shared" ca="1" si="43"/>
        <v>0.86386663906767291</v>
      </c>
      <c r="I218">
        <f t="shared" ca="1" si="44"/>
        <v>0.75624260085438599</v>
      </c>
      <c r="K218">
        <f t="shared" si="35"/>
        <v>0.98244914240127657</v>
      </c>
      <c r="L218" s="7">
        <f t="shared" ca="1" si="36"/>
        <v>0.81974306064035152</v>
      </c>
      <c r="M218">
        <f t="shared" ca="1" si="37"/>
        <v>1.0661423363842419</v>
      </c>
      <c r="N218">
        <v>0.96872683396803883</v>
      </c>
      <c r="O218" t="b">
        <f t="shared" ca="1" si="38"/>
        <v>1</v>
      </c>
      <c r="AA218">
        <v>0.47148608671570158</v>
      </c>
      <c r="AB218">
        <v>9.5515360168730232E-2</v>
      </c>
      <c r="AC218">
        <v>-3.8178673031720418</v>
      </c>
      <c r="AD218">
        <v>-3.421675364454714</v>
      </c>
      <c r="AE218">
        <v>1.4868163991374901</v>
      </c>
      <c r="AF218">
        <v>3.632502823681798</v>
      </c>
      <c r="AG218">
        <v>-0.89617911997571675</v>
      </c>
      <c r="AH218">
        <v>-2.2124663061771526</v>
      </c>
      <c r="AI218">
        <v>-2.2124663061771526</v>
      </c>
      <c r="AJ218">
        <v>-2.2124663061771526</v>
      </c>
      <c r="AK218">
        <v>-2.2124663061771526</v>
      </c>
      <c r="AL218">
        <v>-2.2124663061771526</v>
      </c>
      <c r="AM218">
        <v>-2.2124663061771526</v>
      </c>
      <c r="AN218">
        <v>-2.2124663061771526</v>
      </c>
    </row>
    <row r="219" spans="1:40" x14ac:dyDescent="0.45">
      <c r="A219" s="1">
        <v>44917</v>
      </c>
      <c r="B219">
        <v>125.35</v>
      </c>
      <c r="C219">
        <f t="shared" si="34"/>
        <v>-8.8827505996946998E-2</v>
      </c>
      <c r="D219">
        <f t="shared" ca="1" si="39"/>
        <v>-3.3021648054769336E-3</v>
      </c>
      <c r="E219">
        <f t="shared" ca="1" si="40"/>
        <v>4.0385751084659555E-2</v>
      </c>
      <c r="F219">
        <f t="shared" ca="1" si="41"/>
        <v>-0.16367585179898458</v>
      </c>
      <c r="G219">
        <f t="shared" ca="1" si="42"/>
        <v>3.7915162227072585E-2</v>
      </c>
      <c r="H219">
        <f t="shared" ca="1" si="43"/>
        <v>0.86386663906767291</v>
      </c>
      <c r="I219">
        <f t="shared" ca="1" si="44"/>
        <v>0.75624260085438599</v>
      </c>
      <c r="K219">
        <f t="shared" si="35"/>
        <v>0.911172494003053</v>
      </c>
      <c r="L219" s="7">
        <f t="shared" ca="1" si="36"/>
        <v>0.79501490454747259</v>
      </c>
      <c r="M219">
        <f t="shared" ca="1" si="37"/>
        <v>1.0653639532003023</v>
      </c>
      <c r="N219">
        <v>1.0060207820136808</v>
      </c>
      <c r="O219" t="b">
        <f t="shared" ca="1" si="38"/>
        <v>0</v>
      </c>
      <c r="AA219">
        <v>0.55447216891893447</v>
      </c>
      <c r="AB219">
        <v>0.92188909198830027</v>
      </c>
      <c r="AC219">
        <v>-3.8582776139409876</v>
      </c>
      <c r="AD219">
        <v>-3.4795801370512027</v>
      </c>
      <c r="AE219">
        <v>1.8761597881244054</v>
      </c>
      <c r="AF219">
        <v>3.4303945408691914</v>
      </c>
      <c r="AG219">
        <v>-2.1470613359144792</v>
      </c>
      <c r="AH219">
        <v>-2.3996006992923697</v>
      </c>
      <c r="AI219">
        <v>-2.3996006992923697</v>
      </c>
      <c r="AJ219">
        <v>-2.3996006992923697</v>
      </c>
      <c r="AK219">
        <v>-2.3996006992923697</v>
      </c>
      <c r="AL219">
        <v>-2.3996006992923697</v>
      </c>
      <c r="AM219">
        <v>-2.3996006992923697</v>
      </c>
      <c r="AN219">
        <v>-2.3996006992923697</v>
      </c>
    </row>
    <row r="220" spans="1:40" x14ac:dyDescent="0.45">
      <c r="A220" s="1">
        <v>44916</v>
      </c>
      <c r="B220">
        <v>137.57</v>
      </c>
      <c r="C220">
        <f t="shared" si="34"/>
        <v>-1.6690856313499142E-3</v>
      </c>
      <c r="D220">
        <f t="shared" ca="1" si="39"/>
        <v>-2.6483657034397979E-3</v>
      </c>
      <c r="E220">
        <f t="shared" ca="1" si="40"/>
        <v>4.0051276977276958E-2</v>
      </c>
      <c r="F220">
        <f t="shared" ca="1" si="41"/>
        <v>-0.16054443574673066</v>
      </c>
      <c r="G220">
        <f t="shared" ca="1" si="42"/>
        <v>5.2011235904732889E-2</v>
      </c>
      <c r="H220">
        <f t="shared" ca="1" si="43"/>
        <v>0.87364734311668268</v>
      </c>
      <c r="I220">
        <f t="shared" ca="1" si="44"/>
        <v>0.77222178261825658</v>
      </c>
      <c r="K220">
        <f t="shared" si="35"/>
        <v>0.99833091436865007</v>
      </c>
      <c r="L220" s="7">
        <f t="shared" ca="1" si="36"/>
        <v>0.87735969387755097</v>
      </c>
      <c r="M220">
        <f t="shared" ca="1" si="37"/>
        <v>1.0513552509022901</v>
      </c>
      <c r="N220">
        <v>1.0255902029844135</v>
      </c>
      <c r="O220" t="b">
        <f t="shared" ca="1" si="38"/>
        <v>0</v>
      </c>
      <c r="AA220">
        <v>0.62129222603068168</v>
      </c>
      <c r="AB220">
        <v>1.5593834510248132</v>
      </c>
      <c r="AC220">
        <v>-3.8728584748253478</v>
      </c>
      <c r="AD220">
        <v>-3.5238311528711579</v>
      </c>
      <c r="AE220">
        <v>2.2707706043549192</v>
      </c>
      <c r="AF220">
        <v>3.1917030391008829</v>
      </c>
      <c r="AG220">
        <v>-3.0371211797536781</v>
      </c>
      <c r="AH220">
        <v>-2.4972576697841937</v>
      </c>
      <c r="AI220">
        <v>-2.4972576697841937</v>
      </c>
      <c r="AJ220">
        <v>-2.4972576697841937</v>
      </c>
      <c r="AK220">
        <v>-2.4972576697841937</v>
      </c>
      <c r="AL220">
        <v>-2.4972576697841937</v>
      </c>
      <c r="AM220">
        <v>-2.4972576697841937</v>
      </c>
      <c r="AN220">
        <v>-2.4972576697841937</v>
      </c>
    </row>
    <row r="221" spans="1:40" x14ac:dyDescent="0.45">
      <c r="A221" s="1">
        <v>44915</v>
      </c>
      <c r="B221">
        <v>137.80000000000001</v>
      </c>
      <c r="C221">
        <f t="shared" si="34"/>
        <v>-8.0536464936278057E-2</v>
      </c>
      <c r="D221">
        <f t="shared" ca="1" si="39"/>
        <v>-2.5168440551729034E-3</v>
      </c>
      <c r="E221">
        <f t="shared" ca="1" si="40"/>
        <v>4.0097671550839403E-2</v>
      </c>
      <c r="F221">
        <f t="shared" ca="1" si="41"/>
        <v>-0.16832837100848616</v>
      </c>
      <c r="G221">
        <f t="shared" ca="1" si="42"/>
        <v>4.0996048163908227E-2</v>
      </c>
      <c r="H221">
        <f t="shared" ca="1" si="43"/>
        <v>0.87364734311668268</v>
      </c>
      <c r="I221">
        <f t="shared" ca="1" si="44"/>
        <v>0.80300191740517934</v>
      </c>
      <c r="K221">
        <f t="shared" si="35"/>
        <v>0.91946353506372192</v>
      </c>
      <c r="L221" s="7">
        <f t="shared" ca="1" si="36"/>
        <v>0.8561665113389253</v>
      </c>
      <c r="M221">
        <f t="shared" ca="1" si="37"/>
        <v>1.0337363909539605</v>
      </c>
      <c r="N221">
        <v>1.030581452889475</v>
      </c>
      <c r="O221" t="b">
        <f t="shared" ca="1" si="38"/>
        <v>0</v>
      </c>
      <c r="AA221">
        <v>0.70194133287370797</v>
      </c>
      <c r="AB221">
        <v>2.495226864442496</v>
      </c>
      <c r="AC221">
        <v>-4.0110186119759756</v>
      </c>
      <c r="AD221">
        <v>-3.6302382335376095</v>
      </c>
      <c r="AE221">
        <v>2.977542907569255</v>
      </c>
      <c r="AF221">
        <v>2.8249497231005378</v>
      </c>
      <c r="AG221">
        <v>-4.3365228524882538</v>
      </c>
      <c r="AH221">
        <v>-2.5596203602189127</v>
      </c>
      <c r="AI221">
        <v>-2.5596203602189127</v>
      </c>
      <c r="AJ221">
        <v>-2.5596203602189127</v>
      </c>
      <c r="AK221">
        <v>-2.5596203602189127</v>
      </c>
      <c r="AL221">
        <v>-2.5596203602189127</v>
      </c>
      <c r="AM221">
        <v>-2.5596203602189127</v>
      </c>
      <c r="AN221">
        <v>-2.5596203602189127</v>
      </c>
    </row>
    <row r="222" spans="1:40" x14ac:dyDescent="0.45">
      <c r="A222" s="1">
        <v>44914</v>
      </c>
      <c r="B222">
        <v>149.87</v>
      </c>
      <c r="C222">
        <f t="shared" si="34"/>
        <v>-2.3963256340277257E-3</v>
      </c>
      <c r="D222">
        <f t="shared" ca="1" si="39"/>
        <v>-2.31523176592078E-3</v>
      </c>
      <c r="E222">
        <f t="shared" ca="1" si="40"/>
        <v>3.980370900441333E-2</v>
      </c>
      <c r="F222">
        <f t="shared" ca="1" si="41"/>
        <v>-0.15352099744992173</v>
      </c>
      <c r="G222">
        <f t="shared" ca="1" si="42"/>
        <v>6.3931945193869133E-2</v>
      </c>
      <c r="H222">
        <f t="shared" ca="1" si="43"/>
        <v>0.89518655139054493</v>
      </c>
      <c r="I222">
        <f t="shared" ca="1" si="44"/>
        <v>0.80300191740517934</v>
      </c>
      <c r="K222">
        <f t="shared" si="35"/>
        <v>0.9976036743659723</v>
      </c>
      <c r="L222" s="7">
        <f t="shared" ca="1" si="36"/>
        <v>0.89304016207841763</v>
      </c>
      <c r="M222">
        <f t="shared" ca="1" si="37"/>
        <v>1.0873651607424772</v>
      </c>
      <c r="N222">
        <v>0.91372809745945061</v>
      </c>
      <c r="O222" t="b">
        <f t="shared" ca="1" si="38"/>
        <v>1</v>
      </c>
      <c r="AA222">
        <v>0.70409318475611271</v>
      </c>
      <c r="AB222">
        <v>2.3147937112820385</v>
      </c>
      <c r="AC222">
        <v>-3.6962236490992399</v>
      </c>
      <c r="AD222">
        <v>-3.4094463087020874</v>
      </c>
      <c r="AE222">
        <v>3.0643560794469824</v>
      </c>
      <c r="AF222">
        <v>2.5718605024888963</v>
      </c>
      <c r="AG222">
        <v>-4.1320457512821216</v>
      </c>
      <c r="AH222">
        <v>-2.3009700745374446</v>
      </c>
      <c r="AI222">
        <v>-2.3009700745374446</v>
      </c>
      <c r="AJ222">
        <v>-2.3009700745374446</v>
      </c>
      <c r="AK222">
        <v>-2.3009700745374446</v>
      </c>
      <c r="AL222">
        <v>-2.3009700745374446</v>
      </c>
      <c r="AM222">
        <v>-2.3009700745374446</v>
      </c>
      <c r="AN222">
        <v>-2.3009700745374446</v>
      </c>
    </row>
    <row r="223" spans="1:40" x14ac:dyDescent="0.45">
      <c r="A223" s="1">
        <v>44911</v>
      </c>
      <c r="B223">
        <v>150.22999999999999</v>
      </c>
      <c r="C223">
        <f t="shared" si="34"/>
        <v>-4.7187163062091697E-2</v>
      </c>
      <c r="D223">
        <f t="shared" ca="1" si="39"/>
        <v>-2.309201603812986E-3</v>
      </c>
      <c r="E223">
        <f t="shared" ca="1" si="40"/>
        <v>3.9803788012524863E-2</v>
      </c>
      <c r="F223">
        <f t="shared" ca="1" si="41"/>
        <v>-0.15397905103787529</v>
      </c>
      <c r="G223">
        <f t="shared" ca="1" si="42"/>
        <v>6.4002320614655606E-2</v>
      </c>
      <c r="H223">
        <f t="shared" ca="1" si="43"/>
        <v>0.89518655139054493</v>
      </c>
      <c r="I223">
        <f t="shared" ca="1" si="44"/>
        <v>0.80300191740517934</v>
      </c>
      <c r="K223">
        <f t="shared" si="35"/>
        <v>0.9528128369379083</v>
      </c>
      <c r="L223" s="7">
        <f t="shared" ca="1" si="36"/>
        <v>0.8390393744764032</v>
      </c>
      <c r="M223">
        <f t="shared" ca="1" si="37"/>
        <v>1.0231243874560003</v>
      </c>
      <c r="N223">
        <v>0.82514931736166663</v>
      </c>
      <c r="O223" t="b">
        <f t="shared" ca="1" si="38"/>
        <v>1</v>
      </c>
      <c r="AA223">
        <v>0.66859228212858346</v>
      </c>
      <c r="AB223">
        <v>1.9517222824788891</v>
      </c>
      <c r="AC223">
        <v>-3.5399457829772238</v>
      </c>
      <c r="AD223">
        <v>-3.174372240831671</v>
      </c>
      <c r="AE223">
        <v>3.1392459724176245</v>
      </c>
      <c r="AF223">
        <v>2.2916027471481173</v>
      </c>
      <c r="AG223">
        <v>-3.6077517778555439</v>
      </c>
      <c r="AH223">
        <v>-1.8818243750207844</v>
      </c>
      <c r="AI223">
        <v>-1.8818243750207844</v>
      </c>
      <c r="AJ223">
        <v>-1.8818243750207844</v>
      </c>
      <c r="AK223">
        <v>-1.8818243750207844</v>
      </c>
      <c r="AL223">
        <v>-1.8818243750207844</v>
      </c>
      <c r="AM223">
        <v>-1.8818243750207844</v>
      </c>
      <c r="AN223">
        <v>-1.8818243750207844</v>
      </c>
    </row>
    <row r="224" spans="1:40" x14ac:dyDescent="0.45">
      <c r="A224" s="1">
        <v>44910</v>
      </c>
      <c r="B224">
        <v>157.66999999999999</v>
      </c>
      <c r="C224">
        <f t="shared" si="34"/>
        <v>5.5484693877549491E-3</v>
      </c>
      <c r="D224">
        <f t="shared" ca="1" si="39"/>
        <v>-2.3039875483568746E-3</v>
      </c>
      <c r="E224">
        <f t="shared" ca="1" si="40"/>
        <v>3.9797947602117328E-2</v>
      </c>
      <c r="F224">
        <f t="shared" ca="1" si="41"/>
        <v>-0.15394819105577609</v>
      </c>
      <c r="G224">
        <f t="shared" ca="1" si="42"/>
        <v>6.5158763099503414E-2</v>
      </c>
      <c r="H224">
        <f t="shared" ca="1" si="43"/>
        <v>0.89518655139054493</v>
      </c>
      <c r="I224">
        <f t="shared" ca="1" si="44"/>
        <v>0.80300191740517934</v>
      </c>
      <c r="K224">
        <f t="shared" si="35"/>
        <v>1.005548469387755</v>
      </c>
      <c r="L224" s="7">
        <f t="shared" ca="1" si="36"/>
        <v>0.9090751845018451</v>
      </c>
      <c r="M224">
        <f t="shared" ca="1" si="37"/>
        <v>1.0082125148902139</v>
      </c>
      <c r="N224">
        <v>0.80192087910020415</v>
      </c>
      <c r="O224" t="b">
        <f t="shared" ca="1" si="38"/>
        <v>1</v>
      </c>
      <c r="AA224">
        <v>0.7062284194512547</v>
      </c>
      <c r="AB224">
        <v>2.1398401953304784</v>
      </c>
      <c r="AC224">
        <v>-4.2196175206804449</v>
      </c>
      <c r="AD224">
        <v>-3.6628489217848128</v>
      </c>
      <c r="AE224">
        <v>3.6393085290629426</v>
      </c>
      <c r="AF224">
        <v>2.6895166756730822</v>
      </c>
      <c r="AG224">
        <v>-3.7616464865400996</v>
      </c>
      <c r="AH224">
        <v>-2.2218724439750384</v>
      </c>
      <c r="AI224">
        <v>-2.2218724439750384</v>
      </c>
      <c r="AJ224">
        <v>-2.2218724439750384</v>
      </c>
      <c r="AK224">
        <v>-2.2218724439750384</v>
      </c>
      <c r="AL224">
        <v>-2.2218724439750384</v>
      </c>
      <c r="AM224">
        <v>-2.2218724439750384</v>
      </c>
      <c r="AN224">
        <v>-2.2218724439750384</v>
      </c>
    </row>
    <row r="225" spans="1:40" x14ac:dyDescent="0.45">
      <c r="A225" s="1">
        <v>44909</v>
      </c>
      <c r="B225">
        <v>156.80000000000001</v>
      </c>
      <c r="C225">
        <f t="shared" si="34"/>
        <v>-2.5784405094749784E-2</v>
      </c>
      <c r="D225">
        <f t="shared" ca="1" si="39"/>
        <v>-2.2419418533829935E-3</v>
      </c>
      <c r="E225">
        <f t="shared" ca="1" si="40"/>
        <v>3.9819918205390534E-2</v>
      </c>
      <c r="F225">
        <f t="shared" ca="1" si="41"/>
        <v>-0.15778542631670628</v>
      </c>
      <c r="G225">
        <f t="shared" ca="1" si="42"/>
        <v>5.9626357271022279E-2</v>
      </c>
      <c r="H225">
        <f t="shared" ca="1" si="43"/>
        <v>0.89518655139054493</v>
      </c>
      <c r="I225">
        <f t="shared" ca="1" si="44"/>
        <v>0.80300191740517934</v>
      </c>
      <c r="K225">
        <f t="shared" si="35"/>
        <v>0.97421559490525023</v>
      </c>
      <c r="L225" s="7">
        <f t="shared" ca="1" si="36"/>
        <v>0.90094231211215825</v>
      </c>
      <c r="M225">
        <f t="shared" ca="1" si="37"/>
        <v>1.0490020438098622</v>
      </c>
      <c r="N225">
        <v>0.89221141276257399</v>
      </c>
      <c r="O225" t="b">
        <f t="shared" ca="1" si="38"/>
        <v>1</v>
      </c>
      <c r="AA225">
        <v>0.68575553450985038</v>
      </c>
      <c r="AB225">
        <v>1.8292712462873066</v>
      </c>
      <c r="AC225">
        <v>-3.8361611116190133</v>
      </c>
      <c r="AD225">
        <v>-3.3636054080377216</v>
      </c>
      <c r="AE225">
        <v>3.5944222142822739</v>
      </c>
      <c r="AF225">
        <v>2.3402629178674652</v>
      </c>
      <c r="AG225">
        <v>-3.3127345421963752</v>
      </c>
      <c r="AH225">
        <v>-1.7650570979412636</v>
      </c>
      <c r="AI225">
        <v>-1.7650570979412636</v>
      </c>
      <c r="AJ225">
        <v>-1.7650570979412636</v>
      </c>
      <c r="AK225">
        <v>-1.7650570979412636</v>
      </c>
      <c r="AL225">
        <v>-1.7650570979412636</v>
      </c>
      <c r="AM225">
        <v>-1.7650570979412636</v>
      </c>
      <c r="AN225">
        <v>-1.7650570979412636</v>
      </c>
    </row>
    <row r="226" spans="1:40" x14ac:dyDescent="0.45">
      <c r="A226" s="1">
        <v>44908</v>
      </c>
      <c r="B226">
        <v>160.94999999999999</v>
      </c>
      <c r="C226">
        <f t="shared" si="34"/>
        <v>-4.0936717912048649E-2</v>
      </c>
      <c r="D226">
        <f t="shared" ca="1" si="39"/>
        <v>-2.1478302489774752E-3</v>
      </c>
      <c r="E226">
        <f t="shared" ca="1" si="40"/>
        <v>3.9786225998436099E-2</v>
      </c>
      <c r="F226">
        <f t="shared" ca="1" si="41"/>
        <v>-0.16431143789012331</v>
      </c>
      <c r="G226">
        <f t="shared" ca="1" si="42"/>
        <v>7.1076427616716398E-2</v>
      </c>
      <c r="H226">
        <f t="shared" ca="1" si="43"/>
        <v>0.89518655139054493</v>
      </c>
      <c r="I226">
        <f t="shared" ca="1" si="44"/>
        <v>0.80541134244399559</v>
      </c>
      <c r="K226">
        <f t="shared" si="35"/>
        <v>0.95906328208795133</v>
      </c>
      <c r="L226" s="7">
        <f t="shared" ca="1" si="36"/>
        <v>0.89506172839506171</v>
      </c>
      <c r="M226">
        <f t="shared" ca="1" si="37"/>
        <v>1.0566088029791096</v>
      </c>
      <c r="N226">
        <v>0.90735774223411947</v>
      </c>
      <c r="O226" t="b">
        <f t="shared" ca="1" si="38"/>
        <v>1</v>
      </c>
      <c r="AA226">
        <v>0.68836044437923094</v>
      </c>
      <c r="AB226">
        <v>1.8193018411458077</v>
      </c>
      <c r="AC226">
        <v>-3.4696611460576063</v>
      </c>
      <c r="AD226">
        <v>-3.2922137594552554</v>
      </c>
      <c r="AE226">
        <v>3.568366175948662</v>
      </c>
      <c r="AF226">
        <v>2.3043812979929119</v>
      </c>
      <c r="AG226">
        <v>-3.3435858452355744</v>
      </c>
      <c r="AH226">
        <v>-1.7459826307018214</v>
      </c>
      <c r="AI226">
        <v>-1.7459826307018214</v>
      </c>
      <c r="AJ226">
        <v>-1.7459826307018214</v>
      </c>
      <c r="AK226">
        <v>-1.7459826307018214</v>
      </c>
      <c r="AL226">
        <v>-1.7459826307018214</v>
      </c>
      <c r="AM226">
        <v>-1.7459826307018214</v>
      </c>
      <c r="AN226">
        <v>-1.7459826307018214</v>
      </c>
    </row>
    <row r="227" spans="1:40" x14ac:dyDescent="0.45">
      <c r="A227" s="1">
        <v>44907</v>
      </c>
      <c r="B227">
        <v>167.82</v>
      </c>
      <c r="C227">
        <f t="shared" si="34"/>
        <v>-6.2719910639486273E-2</v>
      </c>
      <c r="D227">
        <f t="shared" ca="1" si="39"/>
        <v>-1.5692723016491425E-3</v>
      </c>
      <c r="E227">
        <f t="shared" ca="1" si="40"/>
        <v>4.0059716131285575E-2</v>
      </c>
      <c r="F227">
        <f t="shared" ca="1" si="41"/>
        <v>-0.16419114319617276</v>
      </c>
      <c r="G227">
        <f t="shared" ca="1" si="42"/>
        <v>6.1073316497669339E-2</v>
      </c>
      <c r="H227">
        <f t="shared" ca="1" si="43"/>
        <v>1.0125948502860111</v>
      </c>
      <c r="I227">
        <f t="shared" ca="1" si="44"/>
        <v>0.83564587734567941</v>
      </c>
      <c r="K227">
        <f t="shared" si="35"/>
        <v>0.93728008936051377</v>
      </c>
      <c r="L227" s="7">
        <f t="shared" ca="1" si="36"/>
        <v>0.91981364757467798</v>
      </c>
      <c r="M227">
        <f t="shared" ca="1" si="37"/>
        <v>1.0641103818742708</v>
      </c>
      <c r="N227">
        <v>0.91606073997407922</v>
      </c>
      <c r="O227" t="b">
        <f t="shared" ca="1" si="38"/>
        <v>1</v>
      </c>
      <c r="AA227">
        <v>0.65453645592703358</v>
      </c>
      <c r="AB227">
        <v>1.3174270231228336</v>
      </c>
      <c r="AC227">
        <v>-3.0610930147542454</v>
      </c>
      <c r="AD227">
        <v>-3.1814869193198154</v>
      </c>
      <c r="AE227">
        <v>3.5358124225522318</v>
      </c>
      <c r="AF227">
        <v>2.2331214080020265</v>
      </c>
      <c r="AG227">
        <v>-2.7401834631601631</v>
      </c>
      <c r="AH227">
        <v>-1.4668418793349494</v>
      </c>
      <c r="AI227">
        <v>-1.4668418793349494</v>
      </c>
      <c r="AJ227">
        <v>-1.4668418793349494</v>
      </c>
      <c r="AK227">
        <v>-1.4668418793349494</v>
      </c>
      <c r="AL227">
        <v>-1.4668418793349494</v>
      </c>
      <c r="AM227">
        <v>-1.4668418793349494</v>
      </c>
      <c r="AN227">
        <v>-1.4668418793349494</v>
      </c>
    </row>
    <row r="228" spans="1:40" x14ac:dyDescent="0.45">
      <c r="A228" s="1">
        <v>44904</v>
      </c>
      <c r="B228">
        <v>179.05</v>
      </c>
      <c r="C228">
        <f t="shared" si="34"/>
        <v>3.2345479704797127E-2</v>
      </c>
      <c r="D228">
        <f t="shared" ca="1" si="39"/>
        <v>-1.1988398790474264E-3</v>
      </c>
      <c r="E228">
        <f t="shared" ca="1" si="40"/>
        <v>3.9833313622699727E-2</v>
      </c>
      <c r="F228">
        <f t="shared" ca="1" si="41"/>
        <v>-0.17664987409021726</v>
      </c>
      <c r="G228">
        <f t="shared" ca="1" si="42"/>
        <v>0.10977428909613041</v>
      </c>
      <c r="H228">
        <f t="shared" ca="1" si="43"/>
        <v>1.0125948502860111</v>
      </c>
      <c r="I228">
        <f t="shared" ca="1" si="44"/>
        <v>0.84210061223144994</v>
      </c>
      <c r="K228">
        <f t="shared" si="35"/>
        <v>1.0323454797047971</v>
      </c>
      <c r="L228" s="7">
        <f t="shared" ca="1" si="36"/>
        <v>0.91886482602894382</v>
      </c>
      <c r="M228">
        <f t="shared" ca="1" si="37"/>
        <v>1.0552317231400155</v>
      </c>
      <c r="N228">
        <v>0.89161049188820973</v>
      </c>
      <c r="O228" t="b">
        <f t="shared" ca="1" si="38"/>
        <v>1</v>
      </c>
      <c r="AA228">
        <v>0.62626829255073357</v>
      </c>
      <c r="AB228">
        <v>0.95100393526870863</v>
      </c>
      <c r="AC228">
        <v>-2.8555094945484698</v>
      </c>
      <c r="AD228">
        <v>-3.1936706413416331</v>
      </c>
      <c r="AE228">
        <v>3.4650940662633554</v>
      </c>
      <c r="AF228">
        <v>2.2737738356945054</v>
      </c>
      <c r="AG228">
        <v>-2.1241648411754466</v>
      </c>
      <c r="AH228">
        <v>-1.3239420558940753</v>
      </c>
      <c r="AI228">
        <v>-1.3239420558940753</v>
      </c>
      <c r="AJ228">
        <v>-1.3239420558940753</v>
      </c>
      <c r="AK228">
        <v>-1.3239420558940753</v>
      </c>
      <c r="AL228">
        <v>-1.3239420558940753</v>
      </c>
      <c r="AM228">
        <v>-1.3239420558940753</v>
      </c>
      <c r="AN228">
        <v>-1.3239420558940753</v>
      </c>
    </row>
    <row r="229" spans="1:40" x14ac:dyDescent="0.45">
      <c r="A229" s="1">
        <v>44903</v>
      </c>
      <c r="B229">
        <v>173.44</v>
      </c>
      <c r="C229">
        <f t="shared" si="34"/>
        <v>-3.447483337163838E-3</v>
      </c>
      <c r="D229">
        <f t="shared" ca="1" si="39"/>
        <v>-1.1202068252390742E-3</v>
      </c>
      <c r="E229">
        <f t="shared" ca="1" si="40"/>
        <v>3.9915302825337826E-2</v>
      </c>
      <c r="F229">
        <f t="shared" ca="1" si="41"/>
        <v>-0.17499893575264358</v>
      </c>
      <c r="G229">
        <f t="shared" ca="1" si="42"/>
        <v>9.4750897103169862E-2</v>
      </c>
      <c r="H229">
        <f t="shared" ca="1" si="43"/>
        <v>1.0125948502860111</v>
      </c>
      <c r="I229">
        <f t="shared" ca="1" si="44"/>
        <v>0.84210061223144994</v>
      </c>
      <c r="K229">
        <f t="shared" si="35"/>
        <v>0.99655251666283617</v>
      </c>
      <c r="L229" s="7">
        <f t="shared" ca="1" si="36"/>
        <v>0.89080636877247066</v>
      </c>
      <c r="M229">
        <f t="shared" ca="1" si="37"/>
        <v>1.0549912937938664</v>
      </c>
      <c r="N229">
        <v>0.89085818398775363</v>
      </c>
      <c r="O229" t="b">
        <f t="shared" ca="1" si="38"/>
        <v>1</v>
      </c>
      <c r="AA229">
        <v>0.55987433769512318</v>
      </c>
      <c r="AB229">
        <v>0.67456875693204199</v>
      </c>
      <c r="AC229">
        <v>-1.9917721219884563</v>
      </c>
      <c r="AD229">
        <v>-2.6259574920813944</v>
      </c>
      <c r="AE229">
        <v>2.9528027025880212</v>
      </c>
      <c r="AF229">
        <v>1.8725673700462711</v>
      </c>
      <c r="AG229">
        <v>-1.5080867711288453</v>
      </c>
      <c r="AH229">
        <v>-0.96372394801262939</v>
      </c>
      <c r="AI229">
        <v>-0.96372394801262939</v>
      </c>
      <c r="AJ229">
        <v>-0.96372394801262939</v>
      </c>
      <c r="AK229">
        <v>-0.96372394801262939</v>
      </c>
      <c r="AL229">
        <v>-0.96372394801262939</v>
      </c>
      <c r="AM229">
        <v>-0.96372394801262939</v>
      </c>
      <c r="AN229">
        <v>-0.96372394801262939</v>
      </c>
    </row>
    <row r="230" spans="1:40" x14ac:dyDescent="0.45">
      <c r="A230" s="1">
        <v>44902</v>
      </c>
      <c r="B230">
        <v>174.04</v>
      </c>
      <c r="C230">
        <f t="shared" si="34"/>
        <v>-3.2143254365476596E-2</v>
      </c>
      <c r="D230">
        <f t="shared" ca="1" si="39"/>
        <v>-1.4528596741433934E-3</v>
      </c>
      <c r="E230">
        <f t="shared" ca="1" si="40"/>
        <v>4.0210932769508184E-2</v>
      </c>
      <c r="F230">
        <f t="shared" ca="1" si="41"/>
        <v>-0.17158536586574308</v>
      </c>
      <c r="G230">
        <f t="shared" ca="1" si="42"/>
        <v>4.1724692355453286E-2</v>
      </c>
      <c r="H230">
        <f t="shared" ca="1" si="43"/>
        <v>1.0026572037208594</v>
      </c>
      <c r="I230">
        <f t="shared" ca="1" si="44"/>
        <v>0.83564587734567941</v>
      </c>
      <c r="K230">
        <f t="shared" si="35"/>
        <v>0.9678567456345234</v>
      </c>
      <c r="L230" s="7">
        <f t="shared" ca="1" si="36"/>
        <v>0.89388803287108376</v>
      </c>
      <c r="M230">
        <f t="shared" ca="1" si="37"/>
        <v>1.0206778847023856</v>
      </c>
      <c r="N230">
        <v>0.96836845953885042</v>
      </c>
      <c r="O230" t="b">
        <f t="shared" ca="1" si="38"/>
        <v>1</v>
      </c>
      <c r="AA230">
        <v>0.55464058742149536</v>
      </c>
      <c r="AB230">
        <v>0.91287177221800786</v>
      </c>
      <c r="AC230">
        <v>-0.52277971632145182</v>
      </c>
      <c r="AD230">
        <v>-1.5504151008356739</v>
      </c>
      <c r="AE230">
        <v>1.834861874384929</v>
      </c>
      <c r="AF230">
        <v>1.1726414689127589</v>
      </c>
      <c r="AG230">
        <v>-1.4331613777858569</v>
      </c>
      <c r="AH230">
        <v>-1.0473007878339642</v>
      </c>
      <c r="AI230">
        <v>-1.0473007878339642</v>
      </c>
      <c r="AJ230">
        <v>-1.0473007878339642</v>
      </c>
      <c r="AK230">
        <v>-1.0473007878339642</v>
      </c>
      <c r="AL230">
        <v>-1.0473007878339642</v>
      </c>
      <c r="AM230">
        <v>-1.0473007878339642</v>
      </c>
      <c r="AN230">
        <v>-1.0473007878339642</v>
      </c>
    </row>
    <row r="231" spans="1:40" x14ac:dyDescent="0.45">
      <c r="A231" s="1">
        <v>44901</v>
      </c>
      <c r="B231">
        <v>179.82</v>
      </c>
      <c r="C231">
        <f t="shared" si="34"/>
        <v>-1.4414908194025737E-2</v>
      </c>
      <c r="D231">
        <f t="shared" ca="1" si="39"/>
        <v>-1.4989802013078172E-3</v>
      </c>
      <c r="E231">
        <f t="shared" ca="1" si="40"/>
        <v>4.0251579780966502E-2</v>
      </c>
      <c r="F231">
        <f t="shared" ca="1" si="41"/>
        <v>-0.17029342582603474</v>
      </c>
      <c r="G231">
        <f t="shared" ca="1" si="42"/>
        <v>3.1725142833703757E-2</v>
      </c>
      <c r="H231">
        <f t="shared" ca="1" si="43"/>
        <v>1.0026572037208594</v>
      </c>
      <c r="I231">
        <f t="shared" ca="1" si="44"/>
        <v>0.83564587734567941</v>
      </c>
      <c r="K231">
        <f t="shared" si="35"/>
        <v>0.98558509180597431</v>
      </c>
      <c r="L231" s="7">
        <f t="shared" ca="1" si="36"/>
        <v>0.99441464358790033</v>
      </c>
      <c r="M231">
        <f t="shared" ca="1" si="37"/>
        <v>0.90216809804397036</v>
      </c>
      <c r="N231">
        <v>0.98262671993644179</v>
      </c>
      <c r="O231" t="b">
        <f t="shared" ca="1" si="38"/>
        <v>1</v>
      </c>
      <c r="AA231">
        <v>0.55991621054679752</v>
      </c>
      <c r="AB231">
        <v>0.86884578463527784</v>
      </c>
      <c r="AC231">
        <v>-0.56552306103883143</v>
      </c>
      <c r="AD231">
        <v>-1.5681653062790852</v>
      </c>
      <c r="AE231">
        <v>1.8390839554944844</v>
      </c>
      <c r="AF231">
        <v>1.1943564918127378</v>
      </c>
      <c r="AG231">
        <v>-1.3240519823763981</v>
      </c>
      <c r="AH231">
        <v>-1.0684897291402331</v>
      </c>
      <c r="AI231">
        <v>-1.0684897291402331</v>
      </c>
      <c r="AJ231">
        <v>-1.0684897291402331</v>
      </c>
      <c r="AK231">
        <v>-1.0684897291402331</v>
      </c>
      <c r="AL231">
        <v>-1.0684897291402331</v>
      </c>
      <c r="AM231">
        <v>-1.0684897291402331</v>
      </c>
      <c r="AN231">
        <v>-1.0684897291402331</v>
      </c>
    </row>
    <row r="232" spans="1:40" x14ac:dyDescent="0.45">
      <c r="A232" s="1">
        <v>44900</v>
      </c>
      <c r="B232">
        <v>182.45</v>
      </c>
      <c r="C232">
        <f t="shared" si="34"/>
        <v>-6.3686749461151715E-2</v>
      </c>
      <c r="D232">
        <f t="shared" ca="1" si="39"/>
        <v>-1.5374264448178804E-3</v>
      </c>
      <c r="E232">
        <f t="shared" ca="1" si="40"/>
        <v>4.0267647386697303E-2</v>
      </c>
      <c r="F232">
        <f t="shared" ca="1" si="41"/>
        <v>-0.16770901651511863</v>
      </c>
      <c r="G232">
        <f t="shared" ca="1" si="42"/>
        <v>2.6457287885290892E-2</v>
      </c>
      <c r="H232">
        <f t="shared" ca="1" si="43"/>
        <v>1.0026572037208594</v>
      </c>
      <c r="I232">
        <f t="shared" ca="1" si="44"/>
        <v>0.83564587734567941</v>
      </c>
      <c r="K232">
        <f t="shared" si="35"/>
        <v>0.93631325053884829</v>
      </c>
      <c r="L232" s="7">
        <f t="shared" ca="1" si="36"/>
        <v>0.99743057074130781</v>
      </c>
      <c r="M232">
        <f t="shared" ca="1" si="37"/>
        <v>0.92940515752609087</v>
      </c>
      <c r="N232">
        <v>1.0159130246632291</v>
      </c>
      <c r="O232" t="b">
        <f t="shared" ca="1" si="38"/>
        <v>0</v>
      </c>
      <c r="AA232">
        <v>0.56138906859370308</v>
      </c>
      <c r="AB232">
        <v>0.87944753739800297</v>
      </c>
      <c r="AC232">
        <v>-0.44903119711098888</v>
      </c>
      <c r="AD232">
        <v>-1.4979865154460896</v>
      </c>
      <c r="AE232">
        <v>1.7509323182069085</v>
      </c>
      <c r="AF232">
        <v>1.1080542487616527</v>
      </c>
      <c r="AG232">
        <v>-1.356260353729255</v>
      </c>
      <c r="AH232">
        <v>-1.0471368663501226</v>
      </c>
      <c r="AI232">
        <v>-1.0471368663501226</v>
      </c>
      <c r="AJ232">
        <v>-1.0471368663501226</v>
      </c>
      <c r="AK232">
        <v>-1.0471368663501226</v>
      </c>
      <c r="AL232">
        <v>-1.0471368663501226</v>
      </c>
      <c r="AM232">
        <v>-1.0471368663501226</v>
      </c>
      <c r="AN232">
        <v>-1.0471368663501226</v>
      </c>
    </row>
    <row r="233" spans="1:40" x14ac:dyDescent="0.45">
      <c r="A233" s="1">
        <v>44897</v>
      </c>
      <c r="B233">
        <v>194.86</v>
      </c>
      <c r="C233">
        <f t="shared" si="34"/>
        <v>8.2177709296366215E-4</v>
      </c>
      <c r="D233">
        <f t="shared" ca="1" si="39"/>
        <v>-1.4737060313003009E-3</v>
      </c>
      <c r="E233">
        <f t="shared" ca="1" si="40"/>
        <v>4.0178791947302388E-2</v>
      </c>
      <c r="F233">
        <f t="shared" ca="1" si="41"/>
        <v>-0.16428127999441947</v>
      </c>
      <c r="G233">
        <f t="shared" ca="1" si="42"/>
        <v>3.6963752446458997E-2</v>
      </c>
      <c r="H233">
        <f t="shared" ca="1" si="43"/>
        <v>1.0026572037208594</v>
      </c>
      <c r="I233">
        <f t="shared" ca="1" si="44"/>
        <v>0.83564587734567941</v>
      </c>
      <c r="K233">
        <f t="shared" si="35"/>
        <v>1.0008217770929637</v>
      </c>
      <c r="L233" s="7">
        <f t="shared" ca="1" si="36"/>
        <v>1.0656239746253966</v>
      </c>
      <c r="M233">
        <f t="shared" ca="1" si="37"/>
        <v>0.95654425385409381</v>
      </c>
      <c r="N233">
        <v>1.0298363627240654</v>
      </c>
      <c r="O233" t="b">
        <f t="shared" ca="1" si="38"/>
        <v>1</v>
      </c>
      <c r="AA233">
        <v>0.54297297312960424</v>
      </c>
      <c r="AB233">
        <v>0.77723159391462482</v>
      </c>
      <c r="AC233">
        <v>-0.64201260753608513</v>
      </c>
      <c r="AD233">
        <v>-1.6208233896801176</v>
      </c>
      <c r="AE233">
        <v>1.8640749655240072</v>
      </c>
      <c r="AF233">
        <v>1.252248322501391</v>
      </c>
      <c r="AG233">
        <v>-1.1166114082492098</v>
      </c>
      <c r="AH233">
        <v>-1.0661045530225828</v>
      </c>
      <c r="AI233">
        <v>-1.0661045530225828</v>
      </c>
      <c r="AJ233">
        <v>-1.0661045530225828</v>
      </c>
      <c r="AK233">
        <v>-1.0661045530225828</v>
      </c>
      <c r="AL233">
        <v>-1.0661045530225828</v>
      </c>
      <c r="AM233">
        <v>-1.0661045530225828</v>
      </c>
      <c r="AN233">
        <v>-1.0661045530225828</v>
      </c>
    </row>
    <row r="234" spans="1:40" x14ac:dyDescent="0.45">
      <c r="A234" s="1">
        <v>44896</v>
      </c>
      <c r="B234">
        <v>194.7</v>
      </c>
      <c r="C234">
        <f t="shared" si="34"/>
        <v>0</v>
      </c>
      <c r="D234">
        <f t="shared" ca="1" si="39"/>
        <v>-1.4726112755171553E-3</v>
      </c>
      <c r="E234">
        <f t="shared" ca="1" si="40"/>
        <v>4.0178857789709782E-2</v>
      </c>
      <c r="F234">
        <f t="shared" ca="1" si="41"/>
        <v>-0.16436274169682555</v>
      </c>
      <c r="G234">
        <f t="shared" ca="1" si="42"/>
        <v>3.6961842444320769E-2</v>
      </c>
      <c r="H234">
        <f t="shared" ca="1" si="43"/>
        <v>1.0026572037208594</v>
      </c>
      <c r="I234">
        <f t="shared" ca="1" si="44"/>
        <v>0.83564587734567941</v>
      </c>
      <c r="K234">
        <f t="shared" si="35"/>
        <v>1</v>
      </c>
      <c r="L234" s="7">
        <f t="shared" ca="1" si="36"/>
        <v>1.0627729257641922</v>
      </c>
      <c r="M234">
        <f t="shared" ca="1" si="37"/>
        <v>0.94246450973412399</v>
      </c>
      <c r="N234">
        <v>1.000502033094806</v>
      </c>
      <c r="O234" t="b">
        <f t="shared" ca="1" si="38"/>
        <v>1</v>
      </c>
      <c r="AA234">
        <v>0.5222394669763778</v>
      </c>
      <c r="AB234">
        <v>0.44629446058819466</v>
      </c>
      <c r="AC234">
        <v>-1.3701237747487456</v>
      </c>
      <c r="AD234">
        <v>-2.3458700621445159</v>
      </c>
      <c r="AE234">
        <v>2.422896381913862</v>
      </c>
      <c r="AF234">
        <v>1.9753308448121285</v>
      </c>
      <c r="AG234">
        <v>-0.49607036843403685</v>
      </c>
      <c r="AH234">
        <v>-1.1869786684109953</v>
      </c>
      <c r="AI234">
        <v>-1.1869786684109953</v>
      </c>
      <c r="AJ234">
        <v>-1.1869786684109953</v>
      </c>
      <c r="AK234">
        <v>-1.1869786684109953</v>
      </c>
      <c r="AL234">
        <v>-1.1869786684109953</v>
      </c>
      <c r="AM234">
        <v>-1.1869786684109953</v>
      </c>
      <c r="AN234">
        <v>-1.1869786684109953</v>
      </c>
    </row>
    <row r="235" spans="1:40" x14ac:dyDescent="0.45">
      <c r="A235" s="1">
        <v>44895</v>
      </c>
      <c r="B235">
        <v>194.7</v>
      </c>
      <c r="C235">
        <f t="shared" si="34"/>
        <v>7.6701874688934218E-2</v>
      </c>
      <c r="D235">
        <f t="shared" ca="1" si="39"/>
        <v>-1.2061512864790633E-3</v>
      </c>
      <c r="E235">
        <f t="shared" ca="1" si="40"/>
        <v>4.0364954181121709E-2</v>
      </c>
      <c r="F235">
        <f t="shared" ca="1" si="41"/>
        <v>-0.1694278188151431</v>
      </c>
      <c r="G235">
        <f t="shared" ca="1" si="42"/>
        <v>2.3470453529088608E-3</v>
      </c>
      <c r="H235">
        <f t="shared" ca="1" si="43"/>
        <v>1.0026572037208594</v>
      </c>
      <c r="I235">
        <f t="shared" ca="1" si="44"/>
        <v>0.88185388647708296</v>
      </c>
      <c r="K235">
        <f t="shared" si="35"/>
        <v>1.0767018746889343</v>
      </c>
      <c r="L235" s="7">
        <f t="shared" ca="1" si="36"/>
        <v>1.14590077099641</v>
      </c>
      <c r="M235">
        <f t="shared" ca="1" si="37"/>
        <v>0.90848598322775231</v>
      </c>
      <c r="N235">
        <v>1.0166127975249188</v>
      </c>
      <c r="O235" t="b">
        <f t="shared" ca="1" si="38"/>
        <v>1</v>
      </c>
      <c r="AA235">
        <v>0.49321044472916786</v>
      </c>
      <c r="AB235">
        <v>0.16064606708860302</v>
      </c>
      <c r="AC235">
        <v>-1.7251142902786611</v>
      </c>
      <c r="AD235">
        <v>-2.6799607484241461</v>
      </c>
      <c r="AE235">
        <v>2.53107335790778</v>
      </c>
      <c r="AF235">
        <v>2.660896709308799</v>
      </c>
      <c r="AG235">
        <v>-0.11661289121044602</v>
      </c>
      <c r="AH235">
        <v>-1.6081149615877262</v>
      </c>
      <c r="AI235">
        <v>-1.6081149615877262</v>
      </c>
      <c r="AJ235">
        <v>-1.6081149615877262</v>
      </c>
      <c r="AK235">
        <v>-1.6081149615877262</v>
      </c>
      <c r="AL235">
        <v>-1.6081149615877262</v>
      </c>
      <c r="AM235">
        <v>-1.6081149615877262</v>
      </c>
      <c r="AN235">
        <v>-1.6081149615877262</v>
      </c>
    </row>
    <row r="236" spans="1:40" x14ac:dyDescent="0.45">
      <c r="A236" s="1">
        <v>44894</v>
      </c>
      <c r="B236">
        <v>180.83</v>
      </c>
      <c r="C236">
        <f t="shared" si="34"/>
        <v>-1.1425759895035945E-2</v>
      </c>
      <c r="D236">
        <f t="shared" ca="1" si="39"/>
        <v>-1.4980386734376701E-3</v>
      </c>
      <c r="E236">
        <f t="shared" ca="1" si="40"/>
        <v>4.0008247758351136E-2</v>
      </c>
      <c r="F236">
        <f t="shared" ca="1" si="41"/>
        <v>-0.18878198639459848</v>
      </c>
      <c r="G236">
        <f t="shared" ca="1" si="42"/>
        <v>3.2390598584494334E-2</v>
      </c>
      <c r="H236">
        <f t="shared" ca="1" si="43"/>
        <v>0.8864011545903504</v>
      </c>
      <c r="I236">
        <f t="shared" ca="1" si="44"/>
        <v>0.83564587734567941</v>
      </c>
      <c r="K236">
        <f t="shared" si="35"/>
        <v>0.98857424010496409</v>
      </c>
      <c r="L236" s="7">
        <f t="shared" ca="1" si="36"/>
        <v>1.0772025972478705</v>
      </c>
      <c r="M236">
        <f t="shared" ca="1" si="37"/>
        <v>0.94012941561999686</v>
      </c>
      <c r="N236">
        <v>1.0115010674758955</v>
      </c>
      <c r="O236" t="b">
        <f t="shared" ca="1" si="38"/>
        <v>1</v>
      </c>
      <c r="AA236">
        <v>0.45722789334987501</v>
      </c>
      <c r="AB236">
        <v>-0.17979413056100368</v>
      </c>
      <c r="AC236">
        <v>-2.0521732206451802</v>
      </c>
      <c r="AD236">
        <v>-2.9087342828500482</v>
      </c>
      <c r="AE236">
        <v>2.5617727344603458</v>
      </c>
      <c r="AF236">
        <v>3.0900378159496622</v>
      </c>
      <c r="AG236">
        <v>0.33054820899810233</v>
      </c>
      <c r="AH236">
        <v>-1.7418623495657635</v>
      </c>
      <c r="AI236">
        <v>-1.7418623495657635</v>
      </c>
      <c r="AJ236">
        <v>-1.7418623495657635</v>
      </c>
      <c r="AK236">
        <v>-1.7418623495657635</v>
      </c>
      <c r="AL236">
        <v>-1.7418623495657635</v>
      </c>
      <c r="AM236">
        <v>-1.7418623495657635</v>
      </c>
      <c r="AN236">
        <v>-1.7418623495657635</v>
      </c>
    </row>
    <row r="237" spans="1:40" x14ac:dyDescent="0.45">
      <c r="A237" s="1">
        <v>44893</v>
      </c>
      <c r="B237">
        <v>182.92</v>
      </c>
      <c r="C237">
        <f t="shared" si="34"/>
        <v>3.2811987312683936E-4</v>
      </c>
      <c r="D237">
        <f t="shared" ca="1" si="39"/>
        <v>-1.6871646456669057E-3</v>
      </c>
      <c r="E237">
        <f t="shared" ca="1" si="40"/>
        <v>4.0144584509925918E-2</v>
      </c>
      <c r="F237">
        <f t="shared" ca="1" si="41"/>
        <v>-0.18105551810012832</v>
      </c>
      <c r="G237">
        <f t="shared" ca="1" si="42"/>
        <v>-2.4811310974066636E-3</v>
      </c>
      <c r="H237">
        <f t="shared" ca="1" si="43"/>
        <v>0.8864011545903504</v>
      </c>
      <c r="I237">
        <f t="shared" ca="1" si="44"/>
        <v>0.82186519213411036</v>
      </c>
      <c r="K237">
        <f t="shared" si="35"/>
        <v>1.0003281198731269</v>
      </c>
      <c r="L237" s="7">
        <f t="shared" ca="1" si="36"/>
        <v>1.0151506742882512</v>
      </c>
      <c r="M237">
        <f t="shared" ca="1" si="37"/>
        <v>0.85182685669849389</v>
      </c>
      <c r="N237">
        <v>0.96420428594094343</v>
      </c>
      <c r="O237" t="b">
        <f t="shared" ca="1" si="38"/>
        <v>0</v>
      </c>
      <c r="AA237">
        <v>0.45950531949671464</v>
      </c>
      <c r="AB237">
        <v>-0.23174093936430082</v>
      </c>
      <c r="AC237">
        <v>-2.0410095219587374</v>
      </c>
      <c r="AD237">
        <v>-2.8879732400068923</v>
      </c>
      <c r="AE237">
        <v>2.4013891941657937</v>
      </c>
      <c r="AF237">
        <v>3.3344057407865151</v>
      </c>
      <c r="AG237">
        <v>0.36562273495846093</v>
      </c>
      <c r="AH237">
        <v>-1.9748096150458623</v>
      </c>
      <c r="AI237">
        <v>-1.9748096150458623</v>
      </c>
      <c r="AJ237">
        <v>-1.9748096150458623</v>
      </c>
      <c r="AK237">
        <v>-1.9748096150458623</v>
      </c>
      <c r="AL237">
        <v>-1.9748096150458623</v>
      </c>
      <c r="AM237">
        <v>-1.9748096150458623</v>
      </c>
      <c r="AN237">
        <v>-1.9748096150458623</v>
      </c>
    </row>
    <row r="238" spans="1:40" x14ac:dyDescent="0.45">
      <c r="A238" s="1">
        <v>44890</v>
      </c>
      <c r="B238">
        <v>182.86</v>
      </c>
      <c r="C238">
        <f t="shared" si="34"/>
        <v>-1.8558951965064138E-3</v>
      </c>
      <c r="D238">
        <f t="shared" ca="1" si="39"/>
        <v>-1.8360690355220344E-3</v>
      </c>
      <c r="E238">
        <f t="shared" ca="1" si="40"/>
        <v>4.0192275173074589E-2</v>
      </c>
      <c r="F238">
        <f t="shared" ca="1" si="41"/>
        <v>-0.17085911869771889</v>
      </c>
      <c r="G238">
        <f t="shared" ca="1" si="42"/>
        <v>-1.8388432347095307E-2</v>
      </c>
      <c r="H238">
        <f t="shared" ca="1" si="43"/>
        <v>0.8864011545903504</v>
      </c>
      <c r="I238">
        <f t="shared" ca="1" si="44"/>
        <v>0.81571012527856424</v>
      </c>
      <c r="K238">
        <f t="shared" si="35"/>
        <v>0.99814410480349358</v>
      </c>
      <c r="L238" s="7">
        <f t="shared" ca="1" si="36"/>
        <v>0.99830758311950674</v>
      </c>
      <c r="M238">
        <f t="shared" ca="1" si="37"/>
        <v>0.85159229804533965</v>
      </c>
      <c r="N238">
        <v>0.95523027231123514</v>
      </c>
      <c r="O238" t="b">
        <f t="shared" ca="1" si="38"/>
        <v>1</v>
      </c>
      <c r="AA238">
        <v>0.45284200514397488</v>
      </c>
      <c r="AB238">
        <v>-0.40770697765608638</v>
      </c>
      <c r="AC238">
        <v>-1.9370662843341255</v>
      </c>
      <c r="AD238">
        <v>-2.7633259989044903</v>
      </c>
      <c r="AE238">
        <v>2.1723340475157826</v>
      </c>
      <c r="AF238">
        <v>3.4868189275152432</v>
      </c>
      <c r="AG238">
        <v>0.44991183735360279</v>
      </c>
      <c r="AH238">
        <v>-2.0984917323748467</v>
      </c>
      <c r="AI238">
        <v>-2.0984917323748467</v>
      </c>
      <c r="AJ238">
        <v>-2.0984917323748467</v>
      </c>
      <c r="AK238">
        <v>-2.0984917323748467</v>
      </c>
      <c r="AL238">
        <v>-2.0984917323748467</v>
      </c>
      <c r="AM238">
        <v>-2.0984917323748467</v>
      </c>
      <c r="AN238">
        <v>-2.0984917323748467</v>
      </c>
    </row>
    <row r="239" spans="1:40" x14ac:dyDescent="0.45">
      <c r="A239" s="1">
        <v>44888</v>
      </c>
      <c r="B239">
        <v>183.2</v>
      </c>
      <c r="C239">
        <f t="shared" si="34"/>
        <v>7.8217880054146274E-2</v>
      </c>
      <c r="D239">
        <f t="shared" ca="1" si="39"/>
        <v>-1.7725487197988966E-3</v>
      </c>
      <c r="E239">
        <f t="shared" ca="1" si="40"/>
        <v>4.0202281257475006E-2</v>
      </c>
      <c r="F239">
        <f t="shared" ca="1" si="41"/>
        <v>-0.17536008608768369</v>
      </c>
      <c r="G239">
        <f t="shared" ca="1" si="42"/>
        <v>-2.0234605927591964E-2</v>
      </c>
      <c r="H239">
        <f t="shared" ca="1" si="43"/>
        <v>0.8864011545903504</v>
      </c>
      <c r="I239">
        <f t="shared" ca="1" si="44"/>
        <v>0.81571012527856424</v>
      </c>
      <c r="K239">
        <f t="shared" si="35"/>
        <v>1.0782178800541462</v>
      </c>
      <c r="L239" s="7">
        <f t="shared" ca="1" si="36"/>
        <v>0.98009843783436768</v>
      </c>
      <c r="M239">
        <f t="shared" ca="1" si="37"/>
        <v>0.85579290575868638</v>
      </c>
      <c r="N239">
        <v>0.95915943008688487</v>
      </c>
      <c r="O239" t="b">
        <f t="shared" ca="1" si="38"/>
        <v>1</v>
      </c>
      <c r="AA239">
        <v>0.45423499427812047</v>
      </c>
      <c r="AB239">
        <v>-0.47990838491824234</v>
      </c>
      <c r="AC239">
        <v>-1.9202712906679478</v>
      </c>
      <c r="AD239">
        <v>-2.6893636120187612</v>
      </c>
      <c r="AE239">
        <v>1.9939984635271286</v>
      </c>
      <c r="AF239">
        <v>3.6761711209114916</v>
      </c>
      <c r="AG239">
        <v>0.53325018878731489</v>
      </c>
      <c r="AH239">
        <v>-2.1198307447321971</v>
      </c>
      <c r="AI239">
        <v>-2.1198307447321971</v>
      </c>
      <c r="AJ239">
        <v>-2.1198307447321971</v>
      </c>
      <c r="AK239">
        <v>-2.1198307447321971</v>
      </c>
      <c r="AL239">
        <v>-2.1198307447321971</v>
      </c>
      <c r="AM239">
        <v>-2.1198307447321971</v>
      </c>
      <c r="AN239">
        <v>-2.1198307447321971</v>
      </c>
    </row>
    <row r="240" spans="1:40" x14ac:dyDescent="0.45">
      <c r="A240" s="1">
        <v>44887</v>
      </c>
      <c r="B240">
        <v>169.91</v>
      </c>
      <c r="C240">
        <f t="shared" si="34"/>
        <v>1.2152260677905475E-2</v>
      </c>
      <c r="D240">
        <f t="shared" ca="1" si="39"/>
        <v>-2.0828636372676821E-3</v>
      </c>
      <c r="E240">
        <f t="shared" ca="1" si="40"/>
        <v>3.9819449666191532E-2</v>
      </c>
      <c r="F240">
        <f t="shared" ca="1" si="41"/>
        <v>-0.19753488552272322</v>
      </c>
      <c r="G240">
        <f t="shared" ca="1" si="42"/>
        <v>7.0247360687010207E-3</v>
      </c>
      <c r="H240">
        <f t="shared" ca="1" si="43"/>
        <v>0.82878621117508067</v>
      </c>
      <c r="I240">
        <f t="shared" ca="1" si="44"/>
        <v>0.79937950083979614</v>
      </c>
      <c r="K240">
        <f t="shared" si="35"/>
        <v>1.0121522606779054</v>
      </c>
      <c r="L240" s="7">
        <f t="shared" ca="1" si="36"/>
        <v>0.87393272297088787</v>
      </c>
      <c r="M240">
        <f t="shared" ca="1" si="37"/>
        <v>0.82772957157581173</v>
      </c>
      <c r="N240">
        <v>0.98205197409584555</v>
      </c>
      <c r="O240" t="b">
        <f t="shared" ca="1" si="38"/>
        <v>1</v>
      </c>
      <c r="AA240">
        <v>0.45964915799912787</v>
      </c>
      <c r="AB240">
        <v>-0.86157922798955622</v>
      </c>
      <c r="AC240">
        <v>-2.2498349954329586</v>
      </c>
      <c r="AD240">
        <v>-3.1269476446992046</v>
      </c>
      <c r="AE240">
        <v>2.5298131646451876</v>
      </c>
      <c r="AF240">
        <v>3.3662695073704043</v>
      </c>
      <c r="AG240">
        <v>0.96183976901498869</v>
      </c>
      <c r="AH240">
        <v>-0.98941788886314452</v>
      </c>
      <c r="AI240">
        <v>-0.98941788886314452</v>
      </c>
      <c r="AJ240">
        <v>-0.98941788886314452</v>
      </c>
      <c r="AK240">
        <v>-0.98941788886314452</v>
      </c>
      <c r="AL240">
        <v>-0.98941788886314452</v>
      </c>
      <c r="AM240">
        <v>-0.98941788886314452</v>
      </c>
      <c r="AN240">
        <v>-0.98941788886314452</v>
      </c>
    </row>
    <row r="241" spans="1:40" x14ac:dyDescent="0.45">
      <c r="A241" s="1">
        <v>44886</v>
      </c>
      <c r="B241">
        <v>167.87</v>
      </c>
      <c r="C241">
        <f t="shared" si="34"/>
        <v>-6.8372273711082704E-2</v>
      </c>
      <c r="D241">
        <f t="shared" ca="1" si="39"/>
        <v>-2.2301497495260838E-3</v>
      </c>
      <c r="E241">
        <f t="shared" ca="1" si="40"/>
        <v>3.9821010378136172E-2</v>
      </c>
      <c r="F241">
        <f t="shared" ca="1" si="41"/>
        <v>-0.18681882362380173</v>
      </c>
      <c r="G241">
        <f t="shared" ca="1" si="42"/>
        <v>3.6675141154285384E-3</v>
      </c>
      <c r="H241">
        <f t="shared" ca="1" si="43"/>
        <v>0.82878621117508067</v>
      </c>
      <c r="I241">
        <f t="shared" ca="1" si="44"/>
        <v>0.79937950083979614</v>
      </c>
      <c r="K241">
        <f t="shared" si="35"/>
        <v>0.93162772628891732</v>
      </c>
      <c r="L241" s="7">
        <f t="shared" ca="1" si="36"/>
        <v>0.87913066247708826</v>
      </c>
      <c r="M241">
        <f t="shared" ca="1" si="37"/>
        <v>0.90420862734285556</v>
      </c>
      <c r="N241">
        <v>1.0718328488788416</v>
      </c>
      <c r="O241" t="b">
        <f t="shared" ca="1" si="38"/>
        <v>0</v>
      </c>
      <c r="AA241">
        <v>0.51323350613944618</v>
      </c>
      <c r="AB241">
        <v>-0.53879294079016959</v>
      </c>
      <c r="AC241">
        <v>-2.3476987312386206</v>
      </c>
      <c r="AD241">
        <v>-4.1464687757754861</v>
      </c>
      <c r="AE241">
        <v>3.6122172513931932</v>
      </c>
      <c r="AF241">
        <v>2.2568295836528991</v>
      </c>
      <c r="AG241">
        <v>0.80902430141403692</v>
      </c>
      <c r="AH241">
        <v>3.0908046711731831E-2</v>
      </c>
      <c r="AI241">
        <v>3.0908046711731831E-2</v>
      </c>
      <c r="AJ241">
        <v>3.0908046711731831E-2</v>
      </c>
      <c r="AK241">
        <v>3.0908046711731831E-2</v>
      </c>
      <c r="AL241">
        <v>3.0908046711731831E-2</v>
      </c>
      <c r="AM241">
        <v>3.0908046711731831E-2</v>
      </c>
      <c r="AN241">
        <v>3.0908046711731831E-2</v>
      </c>
    </row>
    <row r="242" spans="1:40" x14ac:dyDescent="0.45">
      <c r="A242" s="1">
        <v>44883</v>
      </c>
      <c r="B242">
        <v>180.19</v>
      </c>
      <c r="C242">
        <f t="shared" si="34"/>
        <v>-1.6269039689905496E-2</v>
      </c>
      <c r="D242">
        <f t="shared" ca="1" si="39"/>
        <v>-1.707744561305769E-3</v>
      </c>
      <c r="E242">
        <f t="shared" ca="1" si="40"/>
        <v>3.9633837311297611E-2</v>
      </c>
      <c r="F242">
        <f t="shared" ca="1" si="41"/>
        <v>-0.20123671652801089</v>
      </c>
      <c r="G242">
        <f t="shared" ca="1" si="42"/>
        <v>3.579791083542716E-2</v>
      </c>
      <c r="H242">
        <f t="shared" ca="1" si="43"/>
        <v>0.82878621117508067</v>
      </c>
      <c r="I242">
        <f t="shared" ca="1" si="44"/>
        <v>0.82186519213411036</v>
      </c>
      <c r="K242">
        <f t="shared" si="35"/>
        <v>0.98373096031009455</v>
      </c>
      <c r="L242" s="7">
        <f t="shared" ca="1" si="36"/>
        <v>0.91947747104148592</v>
      </c>
      <c r="M242">
        <f t="shared" ca="1" si="37"/>
        <v>0.86113058716341095</v>
      </c>
      <c r="N242">
        <v>1.3045585399931543</v>
      </c>
      <c r="O242" t="b">
        <f t="shared" ca="1" si="38"/>
        <v>0</v>
      </c>
      <c r="AA242">
        <v>0.70042412950776012</v>
      </c>
      <c r="AB242">
        <v>0.40497795578092022</v>
      </c>
      <c r="AC242">
        <v>-3.6703181894423627</v>
      </c>
      <c r="AD242">
        <v>-7.566348617331859</v>
      </c>
      <c r="AE242">
        <v>6.9524311580216818</v>
      </c>
      <c r="AF242">
        <v>-0.64700663001998293</v>
      </c>
      <c r="AG242">
        <v>0.84855983766750043</v>
      </c>
      <c r="AH242">
        <v>3.2710250181196585</v>
      </c>
      <c r="AI242">
        <v>3.2710250181196585</v>
      </c>
      <c r="AJ242">
        <v>3.2710250181196585</v>
      </c>
      <c r="AK242">
        <v>3.2710250181196585</v>
      </c>
      <c r="AL242">
        <v>3.2710250181196585</v>
      </c>
      <c r="AM242">
        <v>3.2710250181196585</v>
      </c>
      <c r="AN242">
        <v>3.2710250181196585</v>
      </c>
    </row>
    <row r="243" spans="1:40" x14ac:dyDescent="0.45">
      <c r="A243" s="1">
        <v>44882</v>
      </c>
      <c r="B243">
        <v>183.17</v>
      </c>
      <c r="C243">
        <f t="shared" si="34"/>
        <v>-2.0062058634710039E-2</v>
      </c>
      <c r="D243">
        <f t="shared" ca="1" si="39"/>
        <v>-1.7065618077445599E-3</v>
      </c>
      <c r="E243">
        <f t="shared" ca="1" si="40"/>
        <v>3.9633404116509861E-2</v>
      </c>
      <c r="F243">
        <f t="shared" ca="1" si="41"/>
        <v>-0.20132167674848328</v>
      </c>
      <c r="G243">
        <f t="shared" ca="1" si="42"/>
        <v>3.5951169572390196E-2</v>
      </c>
      <c r="H243">
        <f t="shared" ca="1" si="43"/>
        <v>0.82878621117508067</v>
      </c>
      <c r="I243">
        <f t="shared" ca="1" si="44"/>
        <v>0.82186519213411036</v>
      </c>
      <c r="K243">
        <f t="shared" si="35"/>
        <v>0.97993794136529</v>
      </c>
      <c r="L243" s="7">
        <f t="shared" ca="1" si="36"/>
        <v>0.96041317114093938</v>
      </c>
      <c r="M243">
        <f t="shared" ca="1" si="37"/>
        <v>0.94559414139234788</v>
      </c>
      <c r="N243">
        <v>1.006060255700449</v>
      </c>
      <c r="O243" t="b">
        <f t="shared" ca="1" si="38"/>
        <v>0</v>
      </c>
      <c r="AA243">
        <v>0.70997504905024134</v>
      </c>
      <c r="AB243">
        <v>0.26538892683422166</v>
      </c>
      <c r="AC243">
        <v>-3.2126743338518873</v>
      </c>
      <c r="AD243">
        <v>-7.5136589999138677</v>
      </c>
      <c r="AE243">
        <v>6.5655486940064156</v>
      </c>
      <c r="AF243">
        <v>-0.48727123665826305</v>
      </c>
      <c r="AG243">
        <v>0.74373114659645445</v>
      </c>
      <c r="AH243">
        <v>2.8912107584590023</v>
      </c>
      <c r="AI243">
        <v>2.8912107584590023</v>
      </c>
      <c r="AJ243">
        <v>2.8912107584590023</v>
      </c>
      <c r="AK243">
        <v>2.8912107584590023</v>
      </c>
      <c r="AL243">
        <v>2.8912107584590023</v>
      </c>
      <c r="AM243">
        <v>2.8912107584590023</v>
      </c>
      <c r="AN243">
        <v>2.8912107584590023</v>
      </c>
    </row>
    <row r="244" spans="1:40" x14ac:dyDescent="0.45">
      <c r="A244" s="1">
        <v>44881</v>
      </c>
      <c r="B244">
        <v>186.92</v>
      </c>
      <c r="C244">
        <f t="shared" si="34"/>
        <v>-3.8576278160683063E-2</v>
      </c>
      <c r="D244">
        <f t="shared" ca="1" si="39"/>
        <v>-1.7436473401862304E-3</v>
      </c>
      <c r="E244">
        <f t="shared" ca="1" si="40"/>
        <v>3.9654130647297399E-2</v>
      </c>
      <c r="F244">
        <f t="shared" ca="1" si="41"/>
        <v>-0.19906225304470626</v>
      </c>
      <c r="G244">
        <f t="shared" ca="1" si="42"/>
        <v>2.943432155590564E-2</v>
      </c>
      <c r="H244">
        <f t="shared" ca="1" si="43"/>
        <v>0.82878621117508067</v>
      </c>
      <c r="I244">
        <f t="shared" ca="1" si="44"/>
        <v>0.81571012527856424</v>
      </c>
      <c r="K244">
        <f t="shared" si="35"/>
        <v>0.9614237218393169</v>
      </c>
      <c r="L244" s="7">
        <f t="shared" ca="1" si="36"/>
        <v>1.0525367419336673</v>
      </c>
      <c r="M244">
        <f t="shared" ca="1" si="37"/>
        <v>0.91112599082114132</v>
      </c>
      <c r="N244">
        <v>1.056931496408728</v>
      </c>
      <c r="O244" t="b">
        <f t="shared" ca="1" si="38"/>
        <v>1</v>
      </c>
      <c r="AA244">
        <v>0.68620098451010314</v>
      </c>
      <c r="AB244">
        <v>0.43137366736946425</v>
      </c>
      <c r="AC244">
        <v>-2.6786595280623504</v>
      </c>
      <c r="AD244">
        <v>-6.9180363830789124</v>
      </c>
      <c r="AE244">
        <v>6.1008434906907132</v>
      </c>
      <c r="AF244">
        <v>-0.52366329742481565</v>
      </c>
      <c r="AG244">
        <v>0.38395032319071659</v>
      </c>
      <c r="AH244">
        <v>2.6327860719445835</v>
      </c>
      <c r="AI244">
        <v>2.6327860719445835</v>
      </c>
      <c r="AJ244">
        <v>2.6327860719445835</v>
      </c>
      <c r="AK244">
        <v>2.6327860719445835</v>
      </c>
      <c r="AL244">
        <v>2.6327860719445835</v>
      </c>
      <c r="AM244">
        <v>2.6327860719445835</v>
      </c>
      <c r="AN244">
        <v>2.6327860719445835</v>
      </c>
    </row>
    <row r="245" spans="1:40" x14ac:dyDescent="0.45">
      <c r="A245" s="1">
        <v>44880</v>
      </c>
      <c r="B245">
        <v>194.42</v>
      </c>
      <c r="C245">
        <f t="shared" si="34"/>
        <v>1.8172296412673469E-2</v>
      </c>
      <c r="D245">
        <f t="shared" ca="1" si="39"/>
        <v>-1.5799582373664184E-3</v>
      </c>
      <c r="E245">
        <f t="shared" ca="1" si="40"/>
        <v>3.95688021970532E-2</v>
      </c>
      <c r="F245">
        <f t="shared" ca="1" si="41"/>
        <v>-0.20880033050978178</v>
      </c>
      <c r="G245">
        <f t="shared" ca="1" si="42"/>
        <v>5.5578068024169092E-2</v>
      </c>
      <c r="H245">
        <f t="shared" ca="1" si="43"/>
        <v>0.82878621117508067</v>
      </c>
      <c r="I245">
        <f t="shared" ca="1" si="44"/>
        <v>0.82186519213411036</v>
      </c>
      <c r="K245">
        <f t="shared" si="35"/>
        <v>1.0181722964126734</v>
      </c>
      <c r="L245" s="7">
        <f t="shared" ca="1" si="36"/>
        <v>1.0163094615786721</v>
      </c>
      <c r="M245">
        <f t="shared" ca="1" si="37"/>
        <v>0.88704523813805114</v>
      </c>
      <c r="N245">
        <v>0.95645720390849664</v>
      </c>
      <c r="O245" t="b">
        <f t="shared" ca="1" si="38"/>
        <v>0</v>
      </c>
      <c r="AA245">
        <v>0.66321266694836778</v>
      </c>
      <c r="AB245">
        <v>0.67753478792971555</v>
      </c>
      <c r="AC245">
        <v>-2.1927614699861406</v>
      </c>
      <c r="AD245">
        <v>-6.2925869464673285</v>
      </c>
      <c r="AE245">
        <v>5.5958650022605942</v>
      </c>
      <c r="AF245">
        <v>-0.60901230879085633</v>
      </c>
      <c r="AG245">
        <v>-2.9150876376378827E-2</v>
      </c>
      <c r="AH245">
        <v>2.3262385046244565</v>
      </c>
      <c r="AI245">
        <v>2.3262385046244565</v>
      </c>
      <c r="AJ245">
        <v>2.3262385046244565</v>
      </c>
      <c r="AK245">
        <v>2.3262385046244565</v>
      </c>
      <c r="AL245">
        <v>2.3262385046244565</v>
      </c>
      <c r="AM245">
        <v>2.3262385046244565</v>
      </c>
      <c r="AN245">
        <v>2.3262385046244565</v>
      </c>
    </row>
    <row r="246" spans="1:40" x14ac:dyDescent="0.45">
      <c r="A246" s="1">
        <v>44879</v>
      </c>
      <c r="B246">
        <v>190.95</v>
      </c>
      <c r="C246">
        <f t="shared" si="34"/>
        <v>-2.5616165739654081E-2</v>
      </c>
      <c r="D246">
        <f t="shared" ca="1" si="39"/>
        <v>-1.1369454757649241E-3</v>
      </c>
      <c r="E246">
        <f t="shared" ca="1" si="40"/>
        <v>4.0280654354057914E-2</v>
      </c>
      <c r="F246">
        <f t="shared" ca="1" si="41"/>
        <v>-0.13305022780809458</v>
      </c>
      <c r="G246">
        <f t="shared" ca="1" si="42"/>
        <v>0.11818876770719688</v>
      </c>
      <c r="H246">
        <f t="shared" ca="1" si="43"/>
        <v>0.8864011545903504</v>
      </c>
      <c r="I246">
        <f t="shared" ca="1" si="44"/>
        <v>0.86731118227474735</v>
      </c>
      <c r="K246">
        <f t="shared" si="35"/>
        <v>0.97438383426034592</v>
      </c>
      <c r="L246" s="7">
        <f t="shared" ca="1" si="36"/>
        <v>0.96889587984574788</v>
      </c>
      <c r="M246">
        <f t="shared" ca="1" si="37"/>
        <v>0.87646700312265402</v>
      </c>
      <c r="N246">
        <v>0.93062555361542199</v>
      </c>
      <c r="O246" t="b">
        <f t="shared" ca="1" si="38"/>
        <v>1</v>
      </c>
      <c r="AA246">
        <v>0.62252121659930393</v>
      </c>
      <c r="AB246">
        <v>0.66137440297759775</v>
      </c>
      <c r="AC246">
        <v>-1.5189498089098044</v>
      </c>
      <c r="AD246">
        <v>-5.5132803359577505</v>
      </c>
      <c r="AE246">
        <v>4.9618673718122208</v>
      </c>
      <c r="AF246">
        <v>-0.84478617513260745</v>
      </c>
      <c r="AG246">
        <v>-0.40722471007379984</v>
      </c>
      <c r="AH246">
        <v>2.1379979248676366</v>
      </c>
      <c r="AI246">
        <v>2.1379979248676366</v>
      </c>
      <c r="AJ246">
        <v>2.1379979248676366</v>
      </c>
      <c r="AK246">
        <v>2.1379979248676366</v>
      </c>
      <c r="AL246">
        <v>2.1379979248676366</v>
      </c>
      <c r="AM246">
        <v>2.1379979248676366</v>
      </c>
      <c r="AN246">
        <v>2.1379979248676366</v>
      </c>
    </row>
    <row r="247" spans="1:40" x14ac:dyDescent="0.45">
      <c r="A247" s="1">
        <v>44876</v>
      </c>
      <c r="B247">
        <v>195.97</v>
      </c>
      <c r="C247">
        <f t="shared" si="34"/>
        <v>2.752726510067114E-2</v>
      </c>
      <c r="D247">
        <f t="shared" ca="1" si="39"/>
        <v>-9.0483630793788624E-4</v>
      </c>
      <c r="E247">
        <f t="shared" ca="1" si="40"/>
        <v>4.0272636385333981E-2</v>
      </c>
      <c r="F247">
        <f t="shared" ca="1" si="41"/>
        <v>-0.14863396759418157</v>
      </c>
      <c r="G247">
        <f t="shared" ca="1" si="42"/>
        <v>0.1237493918889947</v>
      </c>
      <c r="H247">
        <f t="shared" ca="1" si="43"/>
        <v>0.8864011545903504</v>
      </c>
      <c r="I247">
        <f t="shared" ca="1" si="44"/>
        <v>0.88124472082531558</v>
      </c>
      <c r="K247">
        <f t="shared" si="35"/>
        <v>1.0275272651006711</v>
      </c>
      <c r="L247" s="7">
        <f t="shared" ca="1" si="36"/>
        <v>0.94457029932038361</v>
      </c>
      <c r="M247">
        <f t="shared" ca="1" si="37"/>
        <v>0.87820960491291578</v>
      </c>
      <c r="N247">
        <v>0.92924801691772041</v>
      </c>
      <c r="O247" t="b">
        <f t="shared" ca="1" si="38"/>
        <v>1</v>
      </c>
      <c r="AA247">
        <v>0.5995614984654466</v>
      </c>
      <c r="AB247">
        <v>0.81426143107512317</v>
      </c>
      <c r="AC247">
        <v>-1.1542014831884764</v>
      </c>
      <c r="AD247">
        <v>-5.4285159500418549</v>
      </c>
      <c r="AE247">
        <v>5.2013830290627334</v>
      </c>
      <c r="AF247">
        <v>0.25895833858460926</v>
      </c>
      <c r="AG247">
        <v>-0.6635881878092581</v>
      </c>
      <c r="AH247">
        <v>1.2972451641211811</v>
      </c>
      <c r="AI247">
        <v>1.2972451641211811</v>
      </c>
      <c r="AJ247">
        <v>1.2972451641211811</v>
      </c>
      <c r="AK247">
        <v>1.2972451641211811</v>
      </c>
      <c r="AL247">
        <v>1.2972451641211811</v>
      </c>
      <c r="AM247">
        <v>1.2972451641211811</v>
      </c>
      <c r="AN247">
        <v>1.2972451641211811</v>
      </c>
    </row>
    <row r="248" spans="1:40" x14ac:dyDescent="0.45">
      <c r="A248" s="1">
        <v>44875</v>
      </c>
      <c r="B248">
        <v>190.72</v>
      </c>
      <c r="C248">
        <f t="shared" si="34"/>
        <v>7.3934343149952106E-2</v>
      </c>
      <c r="D248">
        <f t="shared" ca="1" si="39"/>
        <v>-1.6201760929733574E-3</v>
      </c>
      <c r="E248">
        <f t="shared" ca="1" si="40"/>
        <v>4.1028597444255827E-2</v>
      </c>
      <c r="F248">
        <f t="shared" ca="1" si="41"/>
        <v>-0.20013529752952955</v>
      </c>
      <c r="G248">
        <f t="shared" ca="1" si="42"/>
        <v>0.19484448164138923</v>
      </c>
      <c r="H248">
        <f t="shared" ca="1" si="43"/>
        <v>0.87364734311668268</v>
      </c>
      <c r="I248">
        <f t="shared" ca="1" si="44"/>
        <v>0.81833474378961912</v>
      </c>
      <c r="K248">
        <f t="shared" si="35"/>
        <v>1.0739343431499522</v>
      </c>
      <c r="L248" s="7">
        <f t="shared" ca="1" si="36"/>
        <v>0.88579257814314238</v>
      </c>
      <c r="M248">
        <f t="shared" ca="1" si="37"/>
        <v>0.84945349427606409</v>
      </c>
      <c r="N248">
        <v>0.8801456164943473</v>
      </c>
      <c r="O248" t="b">
        <f t="shared" ca="1" si="38"/>
        <v>1</v>
      </c>
      <c r="AA248">
        <v>0.59271701919006459</v>
      </c>
      <c r="AB248">
        <v>0.88340693428299299</v>
      </c>
      <c r="AC248">
        <v>-1.1941001839648058</v>
      </c>
      <c r="AD248">
        <v>-5.4296533019114488</v>
      </c>
      <c r="AE248">
        <v>5.3962141255615306</v>
      </c>
      <c r="AF248">
        <v>0.42642899249893695</v>
      </c>
      <c r="AG248">
        <v>-0.69230942417898267</v>
      </c>
      <c r="AH248">
        <v>1.4575454297337818</v>
      </c>
      <c r="AI248">
        <v>1.4575454297337818</v>
      </c>
      <c r="AJ248">
        <v>1.4575454297337818</v>
      </c>
      <c r="AK248">
        <v>1.4575454297337818</v>
      </c>
      <c r="AL248">
        <v>1.4575454297337818</v>
      </c>
      <c r="AM248">
        <v>1.4575454297337818</v>
      </c>
      <c r="AN248">
        <v>1.4575454297337818</v>
      </c>
    </row>
    <row r="249" spans="1:40" x14ac:dyDescent="0.45">
      <c r="A249" s="1">
        <v>44874</v>
      </c>
      <c r="B249">
        <v>177.59</v>
      </c>
      <c r="C249">
        <f t="shared" si="34"/>
        <v>-7.1667537898588637E-2</v>
      </c>
      <c r="D249">
        <f t="shared" ca="1" si="39"/>
        <v>-1.886347042716185E-3</v>
      </c>
      <c r="E249">
        <f t="shared" ca="1" si="40"/>
        <v>4.0707398002039784E-2</v>
      </c>
      <c r="F249">
        <f t="shared" ca="1" si="41"/>
        <v>-0.21671351999699079</v>
      </c>
      <c r="G249">
        <f t="shared" ca="1" si="42"/>
        <v>0.23130167587802752</v>
      </c>
      <c r="H249">
        <f t="shared" ca="1" si="43"/>
        <v>0.81686138116491747</v>
      </c>
      <c r="I249">
        <f t="shared" ca="1" si="44"/>
        <v>0.80295309587011821</v>
      </c>
      <c r="K249">
        <f t="shared" si="35"/>
        <v>0.9283324621014114</v>
      </c>
      <c r="L249" s="7">
        <f t="shared" ca="1" si="36"/>
        <v>0.82607684435761453</v>
      </c>
      <c r="M249">
        <f t="shared" ca="1" si="37"/>
        <v>0.87708533754604678</v>
      </c>
      <c r="N249">
        <v>0.93867178694535203</v>
      </c>
      <c r="O249" t="b">
        <f t="shared" ca="1" si="38"/>
        <v>1</v>
      </c>
      <c r="AA249">
        <v>0.60572424606076947</v>
      </c>
      <c r="AB249">
        <v>0.59494637907909165</v>
      </c>
      <c r="AC249">
        <v>-1.3970030170946655</v>
      </c>
      <c r="AD249">
        <v>-5.7512548466282976</v>
      </c>
      <c r="AE249">
        <v>5.62665890022899</v>
      </c>
      <c r="AF249">
        <v>0.60797072952443976</v>
      </c>
      <c r="AG249">
        <v>-0.44693135718581123</v>
      </c>
      <c r="AH249">
        <v>1.8740654078722561</v>
      </c>
      <c r="AI249">
        <v>1.8740654078722561</v>
      </c>
      <c r="AJ249">
        <v>1.8740654078722561</v>
      </c>
      <c r="AK249">
        <v>1.8740654078722561</v>
      </c>
      <c r="AL249">
        <v>1.8740654078722561</v>
      </c>
      <c r="AM249">
        <v>1.8740654078722561</v>
      </c>
      <c r="AN249">
        <v>1.8740654078722561</v>
      </c>
    </row>
    <row r="250" spans="1:40" x14ac:dyDescent="0.45">
      <c r="A250" s="1">
        <v>44873</v>
      </c>
      <c r="B250">
        <v>191.3</v>
      </c>
      <c r="C250">
        <f t="shared" si="34"/>
        <v>-2.9328191597320887E-2</v>
      </c>
      <c r="D250">
        <f t="shared" ca="1" si="39"/>
        <v>-1.5903803209651776E-3</v>
      </c>
      <c r="E250">
        <f t="shared" ca="1" si="40"/>
        <v>4.041160878560305E-2</v>
      </c>
      <c r="F250">
        <f t="shared" ca="1" si="41"/>
        <v>-0.21765796280844951</v>
      </c>
      <c r="G250">
        <f t="shared" ca="1" si="42"/>
        <v>0.28845973247137158</v>
      </c>
      <c r="H250">
        <f t="shared" ca="1" si="43"/>
        <v>0.82878621117508067</v>
      </c>
      <c r="I250">
        <f t="shared" ca="1" si="44"/>
        <v>0.82200885081491581</v>
      </c>
      <c r="K250">
        <f t="shared" si="35"/>
        <v>0.97067180840267908</v>
      </c>
      <c r="L250" s="7">
        <f t="shared" ca="1" si="36"/>
        <v>0.8396980071986655</v>
      </c>
      <c r="M250">
        <f t="shared" ca="1" si="37"/>
        <v>0.85318483990300065</v>
      </c>
      <c r="N250">
        <v>0.89410020542622115</v>
      </c>
      <c r="O250" t="b">
        <f t="shared" ca="1" si="38"/>
        <v>1</v>
      </c>
      <c r="AA250">
        <v>0.58311062821959581</v>
      </c>
      <c r="AB250">
        <v>0.39931220222325819</v>
      </c>
      <c r="AC250">
        <v>-1.4162785838291938</v>
      </c>
      <c r="AD250">
        <v>-5.5643495195829491</v>
      </c>
      <c r="AE250">
        <v>5.3187634171749156</v>
      </c>
      <c r="AF250">
        <v>0.88367457796966331</v>
      </c>
      <c r="AG250">
        <v>-0.31254243628140549</v>
      </c>
      <c r="AH250">
        <v>1.8315951527130576</v>
      </c>
      <c r="AI250">
        <v>1.8315951527130576</v>
      </c>
      <c r="AJ250">
        <v>1.8315951527130576</v>
      </c>
      <c r="AK250">
        <v>1.8315951527130576</v>
      </c>
      <c r="AL250">
        <v>1.8315951527130576</v>
      </c>
      <c r="AM250">
        <v>1.8315951527130576</v>
      </c>
      <c r="AN250">
        <v>1.8315951527130576</v>
      </c>
    </row>
    <row r="251" spans="1:40" x14ac:dyDescent="0.45">
      <c r="A251" s="1">
        <v>44872</v>
      </c>
      <c r="B251">
        <v>197.08</v>
      </c>
      <c r="C251">
        <f t="shared" si="34"/>
        <v>-5.0079529570540252E-2</v>
      </c>
      <c r="D251">
        <f t="shared" ca="1" si="39"/>
        <v>-1.5173648250248301E-3</v>
      </c>
      <c r="E251">
        <f t="shared" ca="1" si="40"/>
        <v>4.0374415691165011E-2</v>
      </c>
      <c r="F251">
        <f t="shared" ca="1" si="41"/>
        <v>-0.22226906789435938</v>
      </c>
      <c r="G251">
        <f t="shared" ca="1" si="42"/>
        <v>0.30128727899254848</v>
      </c>
      <c r="H251">
        <f t="shared" ca="1" si="43"/>
        <v>0.82878621117508067</v>
      </c>
      <c r="I251">
        <f t="shared" ca="1" si="44"/>
        <v>0.82893085750830175</v>
      </c>
      <c r="K251">
        <f t="shared" si="35"/>
        <v>0.94992047042945971</v>
      </c>
      <c r="L251" s="7">
        <f t="shared" ca="1" si="36"/>
        <v>0.8661334270897425</v>
      </c>
      <c r="M251">
        <f t="shared" ca="1" si="37"/>
        <v>0.83501645957338289</v>
      </c>
      <c r="N251">
        <v>0.89818676361222582</v>
      </c>
      <c r="O251" t="b">
        <f t="shared" ca="1" si="38"/>
        <v>1</v>
      </c>
      <c r="AA251">
        <v>0.56069573551685625</v>
      </c>
      <c r="AB251">
        <v>5.311741720545813E-2</v>
      </c>
      <c r="AC251">
        <v>-1.651564057498198</v>
      </c>
      <c r="AD251">
        <v>-5.511243795740957</v>
      </c>
      <c r="AE251">
        <v>5.0887713863848028</v>
      </c>
      <c r="AF251">
        <v>1.3780643506795864</v>
      </c>
      <c r="AG251">
        <v>2.7404865439215432E-2</v>
      </c>
      <c r="AH251">
        <v>1.8467950890610996</v>
      </c>
      <c r="AI251">
        <v>1.8467950890610996</v>
      </c>
      <c r="AJ251">
        <v>1.8467950890610996</v>
      </c>
      <c r="AK251">
        <v>1.8467950890610996</v>
      </c>
      <c r="AL251">
        <v>1.8467950890610996</v>
      </c>
      <c r="AM251">
        <v>1.8467950890610996</v>
      </c>
      <c r="AN251">
        <v>1.8467950890610996</v>
      </c>
    </row>
    <row r="252" spans="1:40" x14ac:dyDescent="0.45">
      <c r="A252" s="1">
        <v>44869</v>
      </c>
      <c r="B252">
        <v>207.47</v>
      </c>
      <c r="C252">
        <f t="shared" si="34"/>
        <v>-3.641261436997819E-2</v>
      </c>
      <c r="D252">
        <f t="shared" ca="1" si="39"/>
        <v>-1.5298025531244308E-3</v>
      </c>
      <c r="E252">
        <f t="shared" ca="1" si="40"/>
        <v>4.0389831123725094E-2</v>
      </c>
      <c r="F252">
        <f t="shared" ca="1" si="41"/>
        <v>-0.22250790650452343</v>
      </c>
      <c r="G252">
        <f t="shared" ca="1" si="42"/>
        <v>0.29829401066709638</v>
      </c>
      <c r="H252">
        <f t="shared" ca="1" si="43"/>
        <v>0.82878621117508067</v>
      </c>
      <c r="I252">
        <f t="shared" ca="1" si="44"/>
        <v>0.82893085750830175</v>
      </c>
      <c r="K252">
        <f t="shared" si="35"/>
        <v>0.96358738563002178</v>
      </c>
      <c r="L252" s="7">
        <f t="shared" ca="1" si="36"/>
        <v>0.90788552424295454</v>
      </c>
      <c r="M252">
        <f t="shared" ca="1" si="37"/>
        <v>0.88039123382640616</v>
      </c>
      <c r="N252">
        <v>0.98679148925897575</v>
      </c>
      <c r="O252" t="b">
        <f t="shared" ca="1" si="38"/>
        <v>1</v>
      </c>
      <c r="AA252">
        <v>0.57313794866108791</v>
      </c>
      <c r="AB252">
        <v>-0.47375802022731112</v>
      </c>
      <c r="AC252">
        <v>-2.0119802013206614</v>
      </c>
      <c r="AD252">
        <v>-5.7804916581187467</v>
      </c>
      <c r="AE252">
        <v>5.0631081445601174</v>
      </c>
      <c r="AF252">
        <v>1.8536486180106795</v>
      </c>
      <c r="AG252">
        <v>0.49151317781142367</v>
      </c>
      <c r="AH252">
        <v>2.2323988286474865</v>
      </c>
      <c r="AI252">
        <v>2.2323988286474865</v>
      </c>
      <c r="AJ252">
        <v>2.2323988286474865</v>
      </c>
      <c r="AK252">
        <v>2.2323988286474865</v>
      </c>
      <c r="AL252">
        <v>2.2323988286474865</v>
      </c>
      <c r="AM252">
        <v>2.2323988286474865</v>
      </c>
      <c r="AN252">
        <v>2.2323988286474865</v>
      </c>
    </row>
    <row r="253" spans="1:40" x14ac:dyDescent="0.45">
      <c r="A253" s="1">
        <v>44868</v>
      </c>
      <c r="B253">
        <v>215.31</v>
      </c>
      <c r="C253">
        <f t="shared" si="34"/>
        <v>1.5350265140943926E-3</v>
      </c>
      <c r="D253">
        <f t="shared" ca="1" si="39"/>
        <v>-1.344620912381285E-3</v>
      </c>
      <c r="E253">
        <f t="shared" ca="1" si="40"/>
        <v>4.0313926531604843E-2</v>
      </c>
      <c r="F253">
        <f t="shared" ca="1" si="41"/>
        <v>-0.23439773487153381</v>
      </c>
      <c r="G253">
        <f t="shared" ca="1" si="42"/>
        <v>0.32491118824355558</v>
      </c>
      <c r="H253">
        <f t="shared" ca="1" si="43"/>
        <v>0.82878621117508067</v>
      </c>
      <c r="I253">
        <f t="shared" ca="1" si="44"/>
        <v>0.84440856350734539</v>
      </c>
      <c r="K253">
        <f t="shared" si="35"/>
        <v>1.0015350265140943</v>
      </c>
      <c r="L253" s="7">
        <f t="shared" ca="1" si="36"/>
        <v>0.95655071304811379</v>
      </c>
      <c r="M253">
        <f t="shared" ca="1" si="37"/>
        <v>0.86157928631567327</v>
      </c>
      <c r="N253">
        <v>1.0010934098692266</v>
      </c>
      <c r="O253" t="b">
        <f t="shared" ca="1" si="38"/>
        <v>0</v>
      </c>
      <c r="AA253">
        <v>0.54827260713767734</v>
      </c>
      <c r="AB253">
        <v>-0.21194329754276278</v>
      </c>
      <c r="AC253">
        <v>-1.0203810403915523</v>
      </c>
      <c r="AD253">
        <v>-5.5768621471887183</v>
      </c>
      <c r="AE253">
        <v>4.9041898870461047</v>
      </c>
      <c r="AF253">
        <v>1.1676481883117704</v>
      </c>
      <c r="AG253">
        <v>-0.58215558214977847</v>
      </c>
      <c r="AH253">
        <v>1.5326877472651923</v>
      </c>
      <c r="AI253">
        <v>1.5326877472651923</v>
      </c>
      <c r="AJ253">
        <v>1.5326877472651923</v>
      </c>
      <c r="AK253">
        <v>1.5326877472651923</v>
      </c>
      <c r="AL253">
        <v>1.5326877472651923</v>
      </c>
      <c r="AM253">
        <v>1.5326877472651923</v>
      </c>
      <c r="AN253">
        <v>1.5326877472651923</v>
      </c>
    </row>
    <row r="254" spans="1:40" x14ac:dyDescent="0.45">
      <c r="A254" s="1">
        <v>44867</v>
      </c>
      <c r="B254">
        <v>214.98</v>
      </c>
      <c r="C254">
        <f t="shared" si="34"/>
        <v>-5.6360284435080343E-2</v>
      </c>
      <c r="D254">
        <f t="shared" ca="1" si="39"/>
        <v>-1.5214357613443355E-3</v>
      </c>
      <c r="E254">
        <f t="shared" ca="1" si="40"/>
        <v>4.0378731090494162E-2</v>
      </c>
      <c r="F254">
        <f t="shared" ca="1" si="41"/>
        <v>-0.22264592978722894</v>
      </c>
      <c r="G254">
        <f t="shared" ca="1" si="42"/>
        <v>0.30139599553900132</v>
      </c>
      <c r="H254">
        <f t="shared" ca="1" si="43"/>
        <v>0.82878621117508067</v>
      </c>
      <c r="I254">
        <f t="shared" ca="1" si="44"/>
        <v>0.82893085750830175</v>
      </c>
      <c r="K254">
        <f t="shared" si="35"/>
        <v>0.94363971556491966</v>
      </c>
      <c r="L254" s="7">
        <f t="shared" ca="1" si="36"/>
        <v>0.95699786324786329</v>
      </c>
      <c r="M254">
        <f t="shared" ca="1" si="37"/>
        <v>0.85724933874936804</v>
      </c>
      <c r="O254" t="b">
        <f t="shared" ca="1" si="38"/>
        <v>1</v>
      </c>
    </row>
    <row r="255" spans="1:40" x14ac:dyDescent="0.45">
      <c r="A255" s="1">
        <v>44866</v>
      </c>
      <c r="B255">
        <v>227.82</v>
      </c>
      <c r="C255">
        <f t="shared" si="34"/>
        <v>1.2305528698250906E-3</v>
      </c>
      <c r="D255">
        <f t="shared" ca="1" si="39"/>
        <v>-1.3306252786607462E-3</v>
      </c>
      <c r="E255">
        <f t="shared" ca="1" si="40"/>
        <v>4.0208094136330551E-2</v>
      </c>
      <c r="F255">
        <f t="shared" ca="1" si="41"/>
        <v>-0.22735776228741858</v>
      </c>
      <c r="G255">
        <f t="shared" ca="1" si="42"/>
        <v>0.34507529611808163</v>
      </c>
      <c r="H255">
        <f t="shared" ca="1" si="43"/>
        <v>0.82878621117508067</v>
      </c>
      <c r="I255">
        <f t="shared" ca="1" si="44"/>
        <v>0.84440856350734539</v>
      </c>
      <c r="K255">
        <f t="shared" si="35"/>
        <v>1.0012305528698251</v>
      </c>
      <c r="L255" s="7">
        <f t="shared" ca="1" si="36"/>
        <v>1.0243014185194343</v>
      </c>
      <c r="M255">
        <f t="shared" ca="1" si="37"/>
        <v>0.85401422446916664</v>
      </c>
      <c r="O255" t="b">
        <f t="shared" ca="1" si="38"/>
        <v>0</v>
      </c>
    </row>
    <row r="256" spans="1:40" x14ac:dyDescent="0.45">
      <c r="A256" s="1">
        <v>44865</v>
      </c>
      <c r="B256">
        <v>227.54</v>
      </c>
      <c r="C256">
        <f t="shared" si="34"/>
        <v>-4.2884649046036156E-3</v>
      </c>
      <c r="D256">
        <f t="shared" ca="1" si="39"/>
        <v>-1.2492842593290546E-3</v>
      </c>
      <c r="E256">
        <f t="shared" ca="1" si="40"/>
        <v>4.0229750904038387E-2</v>
      </c>
      <c r="F256">
        <f t="shared" ca="1" si="41"/>
        <v>-0.23259865711833738</v>
      </c>
      <c r="G256">
        <f t="shared" ca="1" si="42"/>
        <v>0.3399222181947481</v>
      </c>
      <c r="H256">
        <f t="shared" ca="1" si="43"/>
        <v>0.82878621117508067</v>
      </c>
      <c r="I256">
        <f t="shared" ca="1" si="44"/>
        <v>0.84440856350734539</v>
      </c>
      <c r="K256">
        <f t="shared" si="35"/>
        <v>0.99571153509539634</v>
      </c>
      <c r="L256" s="7">
        <f t="shared" ca="1" si="36"/>
        <v>1.0771124260355027</v>
      </c>
      <c r="M256">
        <f t="shared" ca="1" si="37"/>
        <v>0.92023514081261526</v>
      </c>
      <c r="O256" t="b">
        <f t="shared" ca="1" si="38"/>
        <v>0</v>
      </c>
    </row>
    <row r="257" spans="1:15" x14ac:dyDescent="0.45">
      <c r="A257" s="1">
        <v>44862</v>
      </c>
      <c r="B257">
        <v>228.52</v>
      </c>
      <c r="C257">
        <f t="shared" si="34"/>
        <v>1.5238349104802554E-2</v>
      </c>
      <c r="D257">
        <f t="shared" ca="1" si="39"/>
        <v>-1.565301933721261E-3</v>
      </c>
      <c r="E257">
        <f t="shared" ca="1" si="40"/>
        <v>4.0501071765038948E-2</v>
      </c>
      <c r="F257">
        <f t="shared" ca="1" si="41"/>
        <v>-0.22651700118161244</v>
      </c>
      <c r="G257">
        <f t="shared" ca="1" si="42"/>
        <v>0.27957757264796168</v>
      </c>
      <c r="H257">
        <f t="shared" ca="1" si="43"/>
        <v>0.82878621117508067</v>
      </c>
      <c r="I257">
        <f t="shared" ca="1" si="44"/>
        <v>0.82893085750830175</v>
      </c>
      <c r="K257">
        <f t="shared" si="35"/>
        <v>1.0152383491048025</v>
      </c>
      <c r="L257" s="7">
        <f t="shared" ca="1" si="36"/>
        <v>1.0656593919044954</v>
      </c>
      <c r="M257">
        <f t="shared" ca="1" si="37"/>
        <v>0.92667280005563812</v>
      </c>
      <c r="O257" t="b">
        <f t="shared" ca="1" si="38"/>
        <v>0</v>
      </c>
    </row>
    <row r="258" spans="1:15" x14ac:dyDescent="0.45">
      <c r="A258" s="1">
        <v>44861</v>
      </c>
      <c r="B258">
        <v>225.09</v>
      </c>
      <c r="C258">
        <f t="shared" si="34"/>
        <v>2.0032051282052044E-3</v>
      </c>
      <c r="D258">
        <f t="shared" ca="1" si="39"/>
        <v>-1.4450449757503472E-3</v>
      </c>
      <c r="E258">
        <f t="shared" ca="1" si="40"/>
        <v>4.0586832622457825E-2</v>
      </c>
      <c r="F258">
        <f t="shared" ca="1" si="41"/>
        <v>-0.22924584465969666</v>
      </c>
      <c r="G258">
        <f t="shared" ca="1" si="42"/>
        <v>0.25944337268819329</v>
      </c>
      <c r="H258">
        <f t="shared" ca="1" si="43"/>
        <v>0.82878621117508067</v>
      </c>
      <c r="I258">
        <f t="shared" ca="1" si="44"/>
        <v>0.84481014443724234</v>
      </c>
      <c r="K258">
        <f t="shared" si="35"/>
        <v>1.0020032051282053</v>
      </c>
      <c r="L258" s="7">
        <f t="shared" ca="1" si="36"/>
        <v>1.0859224237746044</v>
      </c>
      <c r="M258">
        <f t="shared" ca="1" si="37"/>
        <v>0.99748381427640087</v>
      </c>
      <c r="O258" t="b">
        <f t="shared" ca="1" si="38"/>
        <v>0</v>
      </c>
    </row>
    <row r="259" spans="1:15" x14ac:dyDescent="0.45">
      <c r="A259" s="1">
        <v>44860</v>
      </c>
      <c r="B259">
        <v>224.64</v>
      </c>
      <c r="C259">
        <f t="shared" ref="C259:C322" si="45">(B259-B260)/B260</f>
        <v>1.0003821684688507E-2</v>
      </c>
      <c r="D259">
        <f t="shared" ca="1" si="39"/>
        <v>-1.4253904816682031E-3</v>
      </c>
      <c r="E259">
        <f t="shared" ca="1" si="40"/>
        <v>4.0589462555142036E-2</v>
      </c>
      <c r="F259">
        <f t="shared" ca="1" si="41"/>
        <v>-0.23064125268292962</v>
      </c>
      <c r="G259">
        <f t="shared" ca="1" si="42"/>
        <v>0.25904657159346023</v>
      </c>
      <c r="H259">
        <f t="shared" ca="1" si="43"/>
        <v>0.82878621117508067</v>
      </c>
      <c r="I259">
        <f t="shared" ca="1" si="44"/>
        <v>0.84481014443724234</v>
      </c>
      <c r="K259">
        <f t="shared" ref="K259:K322" si="46">C259+1</f>
        <v>1.0100038216846885</v>
      </c>
      <c r="L259" s="7">
        <f t="shared" ref="L259:L322" ca="1" si="47">PRODUCT(OFFSET(K259,0,0,$J$6,1))</f>
        <v>1.0117096018735361</v>
      </c>
      <c r="M259">
        <f t="shared" ref="M259:M322" ca="1" si="48">OFFSET(D259,$J$6,0)*V$2 + OFFSET(E259,$J$6,0)*U$2 + OFFSET(F259,$J$6,0)*T$2 + OFFSET(G259,$J$6,0)*S$2 + OFFSET(H259,$J$6,0)*R$2 + OFFSET(I259,$J$6,0)*Q$2 + W$2</f>
        <v>0.98023492776052246</v>
      </c>
      <c r="O259" t="b">
        <f t="shared" ref="O259:O322" ca="1" si="49">OR(AND(L259&gt;1, N259&gt;1), AND(L259&lt;1, N259&lt;1))</f>
        <v>0</v>
      </c>
    </row>
    <row r="260" spans="1:15" x14ac:dyDescent="0.45">
      <c r="A260" s="1">
        <v>44859</v>
      </c>
      <c r="B260">
        <v>222.41499999999999</v>
      </c>
      <c r="C260">
        <f t="shared" si="45"/>
        <v>5.2852071005917121E-2</v>
      </c>
      <c r="D260">
        <f t="shared" ref="D260:D323" ca="1" si="50">AVERAGE(OFFSET(C260,0,0,$J$3,1))</f>
        <v>-1.3236948202856162E-3</v>
      </c>
      <c r="E260">
        <f t="shared" ref="E260:E323" ca="1" si="51">STDEV(OFFSET(C260,0,0,$J$3,1))</f>
        <v>4.0643685315492346E-2</v>
      </c>
      <c r="F260">
        <f t="shared" ref="F260:F323" ca="1" si="52">SKEW(OFFSET(C260,0,0,$J$3,1))</f>
        <v>-0.23499056882659203</v>
      </c>
      <c r="G260">
        <f t="shared" ref="G260:G323" ca="1" si="53">KURT(OFFSET(C260,0,0,$J$3,1))</f>
        <v>0.24570767548826877</v>
      </c>
      <c r="H260">
        <f t="shared" ref="H260:H323" ca="1" si="54">PERCENTILE(OFFSET(C260,0,0,$J$3,1), 0.95)/ABS(PERCENTILE(OFFSET(C260,0,0,$J$3,1), 0.05))</f>
        <v>0.82878621117508067</v>
      </c>
      <c r="I260">
        <f t="shared" ref="I260:I323" ca="1" si="55">PERCENTILE(OFFSET(C260,0,0,$J$3,1), 0.75)/ABS(PERCENTILE(OFFSET(C260,0,0,$J$3,1), 0.25))</f>
        <v>0.88866554342353521</v>
      </c>
      <c r="K260">
        <f t="shared" si="46"/>
        <v>1.052852071005917</v>
      </c>
      <c r="L260" s="7">
        <f t="shared" ca="1" si="47"/>
        <v>1.0101049093964303</v>
      </c>
      <c r="M260">
        <f t="shared" ca="1" si="48"/>
        <v>1.1009613217883776</v>
      </c>
      <c r="O260" t="b">
        <f t="shared" ca="1" si="49"/>
        <v>0</v>
      </c>
    </row>
    <row r="261" spans="1:15" x14ac:dyDescent="0.45">
      <c r="A261" s="1">
        <v>44858</v>
      </c>
      <c r="B261">
        <v>211.25</v>
      </c>
      <c r="C261">
        <f t="shared" si="45"/>
        <v>-1.4875955978362235E-2</v>
      </c>
      <c r="D261">
        <f t="shared" ca="1" si="50"/>
        <v>-1.7651881987020713E-3</v>
      </c>
      <c r="E261">
        <f t="shared" ca="1" si="51"/>
        <v>4.0531661310086141E-2</v>
      </c>
      <c r="F261">
        <f t="shared" ca="1" si="52"/>
        <v>-0.21908526753653471</v>
      </c>
      <c r="G261">
        <f t="shared" ca="1" si="53"/>
        <v>0.25784562519485199</v>
      </c>
      <c r="H261">
        <f t="shared" ca="1" si="54"/>
        <v>0.82878621117508067</v>
      </c>
      <c r="I261">
        <f t="shared" ca="1" si="55"/>
        <v>0.83775553738350939</v>
      </c>
      <c r="K261">
        <f t="shared" si="46"/>
        <v>0.98512404402163778</v>
      </c>
      <c r="L261" s="7">
        <f t="shared" ca="1" si="47"/>
        <v>0.96307271483929791</v>
      </c>
      <c r="M261">
        <f t="shared" ca="1" si="48"/>
        <v>1.1186404513140453</v>
      </c>
      <c r="O261" t="b">
        <f t="shared" ca="1" si="49"/>
        <v>1</v>
      </c>
    </row>
    <row r="262" spans="1:15" x14ac:dyDescent="0.45">
      <c r="A262" s="1">
        <v>44855</v>
      </c>
      <c r="B262">
        <v>214.44</v>
      </c>
      <c r="C262">
        <f t="shared" si="45"/>
        <v>3.454264762639906E-2</v>
      </c>
      <c r="D262">
        <f t="shared" ca="1" si="50"/>
        <v>-1.7984297219557741E-3</v>
      </c>
      <c r="E262">
        <f t="shared" ca="1" si="51"/>
        <v>4.0545191974298747E-2</v>
      </c>
      <c r="F262">
        <f t="shared" ca="1" si="52"/>
        <v>-0.21679742344045796</v>
      </c>
      <c r="G262">
        <f t="shared" ca="1" si="53"/>
        <v>0.25294385673185449</v>
      </c>
      <c r="H262">
        <f t="shared" ca="1" si="54"/>
        <v>0.82878621117508067</v>
      </c>
      <c r="I262">
        <f t="shared" ca="1" si="55"/>
        <v>0.83775553738350939</v>
      </c>
      <c r="K262">
        <f t="shared" si="46"/>
        <v>1.034542647626399</v>
      </c>
      <c r="L262" s="7">
        <f t="shared" ca="1" si="47"/>
        <v>1.0460998097468168</v>
      </c>
      <c r="M262">
        <f t="shared" ca="1" si="48"/>
        <v>1.1270226787645448</v>
      </c>
      <c r="O262" t="b">
        <f t="shared" ca="1" si="49"/>
        <v>0</v>
      </c>
    </row>
    <row r="263" spans="1:15" x14ac:dyDescent="0.45">
      <c r="A263" s="1">
        <v>44854</v>
      </c>
      <c r="B263">
        <v>207.28</v>
      </c>
      <c r="C263">
        <f t="shared" si="45"/>
        <v>-6.6474509097459875E-2</v>
      </c>
      <c r="D263">
        <f t="shared" ca="1" si="50"/>
        <v>-2.2384989153796954E-3</v>
      </c>
      <c r="E263">
        <f t="shared" ca="1" si="51"/>
        <v>4.0626332156688295E-2</v>
      </c>
      <c r="F263">
        <f t="shared" ca="1" si="52"/>
        <v>-0.19675245460097593</v>
      </c>
      <c r="G263">
        <f t="shared" ca="1" si="53"/>
        <v>0.22748372455510157</v>
      </c>
      <c r="H263">
        <f t="shared" ca="1" si="54"/>
        <v>0.82878621117508067</v>
      </c>
      <c r="I263">
        <f t="shared" ca="1" si="55"/>
        <v>0.80295309587011821</v>
      </c>
      <c r="K263">
        <f t="shared" si="46"/>
        <v>0.93352549090254011</v>
      </c>
      <c r="L263" s="7">
        <f t="shared" ca="1" si="47"/>
        <v>0.93487281255637733</v>
      </c>
      <c r="M263">
        <f t="shared" ca="1" si="48"/>
        <v>1.0889405110113173</v>
      </c>
      <c r="O263" t="b">
        <f t="shared" ca="1" si="49"/>
        <v>1</v>
      </c>
    </row>
    <row r="264" spans="1:15" x14ac:dyDescent="0.45">
      <c r="A264" s="1">
        <v>44853</v>
      </c>
      <c r="B264">
        <v>222.04</v>
      </c>
      <c r="C264">
        <f t="shared" si="45"/>
        <v>8.4018347790544273E-3</v>
      </c>
      <c r="D264">
        <f t="shared" ca="1" si="50"/>
        <v>-2.1152895421713376E-3</v>
      </c>
      <c r="E264">
        <f t="shared" ca="1" si="51"/>
        <v>4.0467597838677746E-2</v>
      </c>
      <c r="F264">
        <f t="shared" ca="1" si="52"/>
        <v>-0.19275594413821795</v>
      </c>
      <c r="G264">
        <f t="shared" ca="1" si="53"/>
        <v>0.25334832186822887</v>
      </c>
      <c r="H264">
        <f t="shared" ca="1" si="54"/>
        <v>0.82878621117508067</v>
      </c>
      <c r="I264">
        <f t="shared" ca="1" si="55"/>
        <v>0.80295309587011821</v>
      </c>
      <c r="K264">
        <f t="shared" si="46"/>
        <v>1.0084018347790544</v>
      </c>
      <c r="L264" s="7">
        <f t="shared" ca="1" si="47"/>
        <v>1.0220953783833548</v>
      </c>
      <c r="M264">
        <f t="shared" ca="1" si="48"/>
        <v>1.1182034513423078</v>
      </c>
      <c r="O264" t="b">
        <f t="shared" ca="1" si="49"/>
        <v>0</v>
      </c>
    </row>
    <row r="265" spans="1:15" x14ac:dyDescent="0.45">
      <c r="A265" s="1">
        <v>44852</v>
      </c>
      <c r="B265">
        <v>220.19</v>
      </c>
      <c r="C265">
        <f t="shared" si="45"/>
        <v>3.8294962388876383E-3</v>
      </c>
      <c r="D265">
        <f t="shared" ca="1" si="50"/>
        <v>-1.4807104006177932E-3</v>
      </c>
      <c r="E265">
        <f t="shared" ca="1" si="51"/>
        <v>4.1612252793019562E-2</v>
      </c>
      <c r="F265">
        <f t="shared" ca="1" si="52"/>
        <v>-4.0718988198987317E-2</v>
      </c>
      <c r="G265">
        <f t="shared" ca="1" si="53"/>
        <v>0.52232340525059984</v>
      </c>
      <c r="H265">
        <f t="shared" ca="1" si="54"/>
        <v>0.8864011545903504</v>
      </c>
      <c r="I265">
        <f t="shared" ca="1" si="55"/>
        <v>0.81833474378961912</v>
      </c>
      <c r="K265">
        <f t="shared" si="46"/>
        <v>1.0038294962388876</v>
      </c>
      <c r="L265" s="7">
        <f t="shared" ca="1" si="47"/>
        <v>1.0170438799076211</v>
      </c>
      <c r="M265">
        <f t="shared" ca="1" si="48"/>
        <v>1.0997129669383363</v>
      </c>
      <c r="O265" t="b">
        <f t="shared" ca="1" si="49"/>
        <v>0</v>
      </c>
    </row>
    <row r="266" spans="1:15" x14ac:dyDescent="0.45">
      <c r="A266" s="1">
        <v>44851</v>
      </c>
      <c r="B266">
        <v>219.35</v>
      </c>
      <c r="C266">
        <f t="shared" si="45"/>
        <v>7.0052197668178856E-2</v>
      </c>
      <c r="D266">
        <f t="shared" ca="1" si="50"/>
        <v>-1.563202239679824E-3</v>
      </c>
      <c r="E266">
        <f t="shared" ca="1" si="51"/>
        <v>4.1618025701490619E-2</v>
      </c>
      <c r="F266">
        <f t="shared" ca="1" si="52"/>
        <v>-3.4804778784509612E-2</v>
      </c>
      <c r="G266">
        <f t="shared" ca="1" si="53"/>
        <v>0.52006390600511576</v>
      </c>
      <c r="H266">
        <f t="shared" ca="1" si="54"/>
        <v>0.8864011545903504</v>
      </c>
      <c r="I266">
        <f t="shared" ca="1" si="55"/>
        <v>0.81833474378961912</v>
      </c>
      <c r="K266">
        <f t="shared" si="46"/>
        <v>1.0700521976681789</v>
      </c>
      <c r="L266" s="7">
        <f t="shared" ca="1" si="47"/>
        <v>0.98380875493362052</v>
      </c>
      <c r="M266">
        <f t="shared" ca="1" si="48"/>
        <v>1.0313727756657056</v>
      </c>
      <c r="O266" t="b">
        <f t="shared" ca="1" si="49"/>
        <v>1</v>
      </c>
    </row>
    <row r="267" spans="1:15" x14ac:dyDescent="0.45">
      <c r="A267" s="1">
        <v>44848</v>
      </c>
      <c r="B267">
        <v>204.99</v>
      </c>
      <c r="C267">
        <f t="shared" si="45"/>
        <v>-7.5455529496662413E-2</v>
      </c>
      <c r="D267">
        <f t="shared" ca="1" si="50"/>
        <v>-1.9864201443584835E-3</v>
      </c>
      <c r="E267">
        <f t="shared" ca="1" si="51"/>
        <v>4.1315375963657863E-2</v>
      </c>
      <c r="F267">
        <f t="shared" ca="1" si="52"/>
        <v>-3.1128149903308262E-2</v>
      </c>
      <c r="G267">
        <f t="shared" ca="1" si="53"/>
        <v>0.57704814773294455</v>
      </c>
      <c r="H267">
        <f t="shared" ca="1" si="54"/>
        <v>0.82878621117508067</v>
      </c>
      <c r="I267">
        <f t="shared" ca="1" si="55"/>
        <v>0.80295309587011821</v>
      </c>
      <c r="K267">
        <f t="shared" si="46"/>
        <v>0.92454447050333755</v>
      </c>
      <c r="L267" s="7">
        <f t="shared" ca="1" si="47"/>
        <v>0.91894920876854802</v>
      </c>
      <c r="M267">
        <f t="shared" ca="1" si="48"/>
        <v>1.0386767085541959</v>
      </c>
      <c r="O267" t="b">
        <f t="shared" ca="1" si="49"/>
        <v>1</v>
      </c>
    </row>
    <row r="268" spans="1:15" x14ac:dyDescent="0.45">
      <c r="A268" s="1">
        <v>44847</v>
      </c>
      <c r="B268">
        <v>221.72</v>
      </c>
      <c r="C268">
        <f t="shared" si="45"/>
        <v>2.0622353157797778E-2</v>
      </c>
      <c r="D268">
        <f t="shared" ca="1" si="50"/>
        <v>-1.619615923311753E-3</v>
      </c>
      <c r="E268">
        <f t="shared" ca="1" si="51"/>
        <v>4.098415495622313E-2</v>
      </c>
      <c r="F268">
        <f t="shared" ca="1" si="52"/>
        <v>-2.9770566802376427E-2</v>
      </c>
      <c r="G268">
        <f t="shared" ca="1" si="53"/>
        <v>0.64270060187753986</v>
      </c>
      <c r="H268">
        <f t="shared" ca="1" si="54"/>
        <v>0.83762994632650423</v>
      </c>
      <c r="I268">
        <f t="shared" ca="1" si="55"/>
        <v>0.82200885081491581</v>
      </c>
      <c r="K268">
        <f t="shared" si="46"/>
        <v>1.0206223531577978</v>
      </c>
      <c r="L268" s="7">
        <f t="shared" ca="1" si="47"/>
        <v>0.93108806114307308</v>
      </c>
      <c r="M268">
        <f t="shared" ca="1" si="48"/>
        <v>0.95140021740175618</v>
      </c>
      <c r="O268" t="b">
        <f t="shared" ca="1" si="49"/>
        <v>1</v>
      </c>
    </row>
    <row r="269" spans="1:15" x14ac:dyDescent="0.45">
      <c r="A269" s="1">
        <v>44846</v>
      </c>
      <c r="B269">
        <v>217.24</v>
      </c>
      <c r="C269">
        <f t="shared" si="45"/>
        <v>3.4180138568129749E-3</v>
      </c>
      <c r="D269">
        <f t="shared" ca="1" si="50"/>
        <v>-1.7477381786975298E-3</v>
      </c>
      <c r="E269">
        <f t="shared" ca="1" si="51"/>
        <v>4.095431597941733E-2</v>
      </c>
      <c r="F269">
        <f t="shared" ca="1" si="52"/>
        <v>-2.1171535734850481E-2</v>
      </c>
      <c r="G269">
        <f t="shared" ca="1" si="53"/>
        <v>0.65268075560071459</v>
      </c>
      <c r="H269">
        <f t="shared" ca="1" si="54"/>
        <v>0.83762994632650423</v>
      </c>
      <c r="I269">
        <f t="shared" ca="1" si="55"/>
        <v>0.82200885081491581</v>
      </c>
      <c r="K269">
        <f t="shared" si="46"/>
        <v>1.003418013856813</v>
      </c>
      <c r="L269" s="7">
        <f t="shared" ca="1" si="47"/>
        <v>0.90212200490012862</v>
      </c>
      <c r="M269">
        <f t="shared" ca="1" si="48"/>
        <v>0.96543637647908565</v>
      </c>
      <c r="O269" t="b">
        <f t="shared" ca="1" si="49"/>
        <v>1</v>
      </c>
    </row>
    <row r="270" spans="1:15" x14ac:dyDescent="0.45">
      <c r="A270" s="1">
        <v>44845</v>
      </c>
      <c r="B270">
        <v>216.5</v>
      </c>
      <c r="C270">
        <f t="shared" si="45"/>
        <v>-2.8973806960889879E-2</v>
      </c>
      <c r="D270">
        <f t="shared" ca="1" si="50"/>
        <v>-1.6385865668585215E-3</v>
      </c>
      <c r="E270">
        <f t="shared" ca="1" si="51"/>
        <v>4.0997221605533603E-2</v>
      </c>
      <c r="F270">
        <f t="shared" ca="1" si="52"/>
        <v>-2.7733957996434945E-2</v>
      </c>
      <c r="G270">
        <f t="shared" ca="1" si="53"/>
        <v>0.63845254607988178</v>
      </c>
      <c r="H270">
        <f t="shared" ca="1" si="54"/>
        <v>0.83762994632650423</v>
      </c>
      <c r="I270">
        <f t="shared" ca="1" si="55"/>
        <v>0.83775553738350939</v>
      </c>
      <c r="K270">
        <f t="shared" si="46"/>
        <v>0.97102619303911009</v>
      </c>
      <c r="L270" s="7">
        <f t="shared" ca="1" si="47"/>
        <v>0.86794419499679265</v>
      </c>
      <c r="M270">
        <f t="shared" ca="1" si="48"/>
        <v>0.93319930715983412</v>
      </c>
      <c r="O270" t="b">
        <f t="shared" ca="1" si="49"/>
        <v>1</v>
      </c>
    </row>
    <row r="271" spans="1:15" x14ac:dyDescent="0.45">
      <c r="A271" s="1">
        <v>44844</v>
      </c>
      <c r="B271">
        <v>222.96</v>
      </c>
      <c r="C271">
        <f t="shared" si="45"/>
        <v>-4.9311875196120149E-4</v>
      </c>
      <c r="D271">
        <f t="shared" ca="1" si="50"/>
        <v>-1.2056179751240431E-3</v>
      </c>
      <c r="E271">
        <f t="shared" ca="1" si="51"/>
        <v>4.1164001363380054E-2</v>
      </c>
      <c r="F271">
        <f t="shared" ca="1" si="52"/>
        <v>-4.2643211116341243E-2</v>
      </c>
      <c r="G271">
        <f t="shared" ca="1" si="53"/>
        <v>0.60148802845990623</v>
      </c>
      <c r="H271">
        <f t="shared" ca="1" si="54"/>
        <v>0.83762994632650423</v>
      </c>
      <c r="I271">
        <f t="shared" ca="1" si="55"/>
        <v>0.88866554342353521</v>
      </c>
      <c r="K271">
        <f t="shared" si="46"/>
        <v>0.99950688124803877</v>
      </c>
      <c r="L271" s="7">
        <f t="shared" ca="1" si="47"/>
        <v>0.91980198019801973</v>
      </c>
      <c r="M271">
        <f t="shared" ca="1" si="48"/>
        <v>0.99717768082869185</v>
      </c>
      <c r="O271" t="b">
        <f t="shared" ca="1" si="49"/>
        <v>1</v>
      </c>
    </row>
    <row r="272" spans="1:15" x14ac:dyDescent="0.45">
      <c r="A272" s="1">
        <v>44841</v>
      </c>
      <c r="B272">
        <v>223.07</v>
      </c>
      <c r="C272">
        <f t="shared" si="45"/>
        <v>-6.3242766556082824E-2</v>
      </c>
      <c r="D272">
        <f t="shared" ca="1" si="50"/>
        <v>-8.2841169673968096E-4</v>
      </c>
      <c r="E272">
        <f t="shared" ca="1" si="51"/>
        <v>4.1514722003077452E-2</v>
      </c>
      <c r="F272">
        <f t="shared" ca="1" si="52"/>
        <v>-3.7774566823568285E-2</v>
      </c>
      <c r="G272">
        <f t="shared" ca="1" si="53"/>
        <v>0.53932254959016124</v>
      </c>
      <c r="H272">
        <f t="shared" ca="1" si="54"/>
        <v>0.89822713497278073</v>
      </c>
      <c r="I272">
        <f t="shared" ca="1" si="55"/>
        <v>0.90267505042183027</v>
      </c>
      <c r="K272">
        <f t="shared" si="46"/>
        <v>0.93675723344391715</v>
      </c>
      <c r="L272" s="7">
        <f t="shared" ca="1" si="47"/>
        <v>0.8409802073515551</v>
      </c>
      <c r="M272">
        <f t="shared" ca="1" si="48"/>
        <v>0.93668074391960898</v>
      </c>
      <c r="O272" t="b">
        <f t="shared" ca="1" si="49"/>
        <v>1</v>
      </c>
    </row>
    <row r="273" spans="1:15" x14ac:dyDescent="0.45">
      <c r="A273" s="1">
        <v>44840</v>
      </c>
      <c r="B273">
        <v>238.13</v>
      </c>
      <c r="C273">
        <f t="shared" si="45"/>
        <v>-1.1129105934138976E-2</v>
      </c>
      <c r="D273">
        <f t="shared" ca="1" si="50"/>
        <v>-2.9780023745083219E-4</v>
      </c>
      <c r="E273">
        <f t="shared" ca="1" si="51"/>
        <v>4.1390982851157165E-2</v>
      </c>
      <c r="F273">
        <f t="shared" ca="1" si="52"/>
        <v>-5.3582606408574783E-2</v>
      </c>
      <c r="G273">
        <f t="shared" ca="1" si="53"/>
        <v>0.5638359948394509</v>
      </c>
      <c r="H273">
        <f t="shared" ca="1" si="54"/>
        <v>0.89822713497278073</v>
      </c>
      <c r="I273">
        <f t="shared" ca="1" si="55"/>
        <v>0.93373992043169496</v>
      </c>
      <c r="K273">
        <f t="shared" si="46"/>
        <v>0.98887089406586104</v>
      </c>
      <c r="L273" s="7">
        <f t="shared" ca="1" si="47"/>
        <v>0.887849073487193</v>
      </c>
      <c r="M273">
        <f t="shared" ca="1" si="48"/>
        <v>0.93375708200374419</v>
      </c>
      <c r="O273" t="b">
        <f t="shared" ca="1" si="49"/>
        <v>1</v>
      </c>
    </row>
    <row r="274" spans="1:15" x14ac:dyDescent="0.45">
      <c r="A274" s="1">
        <v>44839</v>
      </c>
      <c r="B274">
        <v>240.81</v>
      </c>
      <c r="C274">
        <f t="shared" si="45"/>
        <v>-3.4597498396407939E-2</v>
      </c>
      <c r="D274">
        <f t="shared" ca="1" si="50"/>
        <v>-4.1710653450432246E-4</v>
      </c>
      <c r="E274">
        <f t="shared" ca="1" si="51"/>
        <v>4.1456697085085592E-2</v>
      </c>
      <c r="F274">
        <f t="shared" ca="1" si="52"/>
        <v>-4.7491543385114569E-2</v>
      </c>
      <c r="G274">
        <f t="shared" ca="1" si="53"/>
        <v>0.54291034438163877</v>
      </c>
      <c r="H274">
        <f t="shared" ca="1" si="54"/>
        <v>0.89822713497278073</v>
      </c>
      <c r="I274">
        <f t="shared" ca="1" si="55"/>
        <v>0.91662480271192259</v>
      </c>
      <c r="K274">
        <f t="shared" si="46"/>
        <v>0.96540250160359209</v>
      </c>
      <c r="L274" s="7">
        <f t="shared" ca="1" si="47"/>
        <v>0.83669782147944838</v>
      </c>
      <c r="M274">
        <f t="shared" ca="1" si="48"/>
        <v>0.92427091014214424</v>
      </c>
      <c r="O274" t="b">
        <f t="shared" ca="1" si="49"/>
        <v>1</v>
      </c>
    </row>
    <row r="275" spans="1:15" x14ac:dyDescent="0.45">
      <c r="A275" s="1">
        <v>44838</v>
      </c>
      <c r="B275">
        <v>249.44</v>
      </c>
      <c r="C275">
        <f t="shared" si="45"/>
        <v>2.9042904290429009E-2</v>
      </c>
      <c r="D275">
        <f t="shared" ca="1" si="50"/>
        <v>-2.1363094162026182E-4</v>
      </c>
      <c r="E275">
        <f t="shared" ca="1" si="51"/>
        <v>4.1387903393866249E-2</v>
      </c>
      <c r="F275">
        <f t="shared" ca="1" si="52"/>
        <v>-5.9747919937521925E-2</v>
      </c>
      <c r="G275">
        <f t="shared" ca="1" si="53"/>
        <v>0.56547324635101948</v>
      </c>
      <c r="H275">
        <f t="shared" ca="1" si="54"/>
        <v>0.89822713497278073</v>
      </c>
      <c r="I275">
        <f t="shared" ca="1" si="55"/>
        <v>0.93373992043169496</v>
      </c>
      <c r="K275">
        <f t="shared" si="46"/>
        <v>1.029042904290429</v>
      </c>
      <c r="L275" s="7">
        <f t="shared" ca="1" si="47"/>
        <v>0.88160033929455017</v>
      </c>
      <c r="M275">
        <f t="shared" ca="1" si="48"/>
        <v>0.9289800136043449</v>
      </c>
      <c r="O275" t="b">
        <f t="shared" ca="1" si="49"/>
        <v>1</v>
      </c>
    </row>
    <row r="276" spans="1:15" x14ac:dyDescent="0.45">
      <c r="A276" s="1">
        <v>44837</v>
      </c>
      <c r="B276">
        <v>242.4</v>
      </c>
      <c r="C276">
        <f t="shared" si="45"/>
        <v>-8.6145146088595637E-2</v>
      </c>
      <c r="D276">
        <f t="shared" ca="1" si="50"/>
        <v>-6.1023635847092558E-4</v>
      </c>
      <c r="E276">
        <f t="shared" ca="1" si="51"/>
        <v>4.1486076000129303E-2</v>
      </c>
      <c r="F276">
        <f t="shared" ca="1" si="52"/>
        <v>-4.1055133228677175E-2</v>
      </c>
      <c r="G276">
        <f t="shared" ca="1" si="53"/>
        <v>0.53894781611283182</v>
      </c>
      <c r="H276">
        <f t="shared" ca="1" si="54"/>
        <v>0.89822713497278073</v>
      </c>
      <c r="I276">
        <f t="shared" ca="1" si="55"/>
        <v>0.90267505042183027</v>
      </c>
      <c r="K276">
        <f t="shared" si="46"/>
        <v>0.91385485391140442</v>
      </c>
      <c r="L276" s="7">
        <f t="shared" ca="1" si="47"/>
        <v>0.87822904967211335</v>
      </c>
      <c r="M276">
        <f t="shared" ca="1" si="48"/>
        <v>0.99482161664555058</v>
      </c>
      <c r="O276" t="b">
        <f t="shared" ca="1" si="49"/>
        <v>1</v>
      </c>
    </row>
    <row r="277" spans="1:15" x14ac:dyDescent="0.45">
      <c r="A277" s="1">
        <v>44834</v>
      </c>
      <c r="B277">
        <v>265.25</v>
      </c>
      <c r="C277">
        <f t="shared" si="45"/>
        <v>-1.1036128406845307E-2</v>
      </c>
      <c r="D277">
        <f t="shared" ca="1" si="50"/>
        <v>-8.8322125885556739E-5</v>
      </c>
      <c r="E277">
        <f t="shared" ca="1" si="51"/>
        <v>4.1058993648198712E-2</v>
      </c>
      <c r="F277">
        <f t="shared" ca="1" si="52"/>
        <v>-3.4489997182673732E-2</v>
      </c>
      <c r="G277">
        <f t="shared" ca="1" si="53"/>
        <v>0.59391928233363878</v>
      </c>
      <c r="H277">
        <f t="shared" ca="1" si="54"/>
        <v>0.91315298619665142</v>
      </c>
      <c r="I277">
        <f t="shared" ca="1" si="55"/>
        <v>0.91952969989778</v>
      </c>
      <c r="K277">
        <f t="shared" si="46"/>
        <v>0.98896387159315469</v>
      </c>
      <c r="L277" s="7">
        <f t="shared" ca="1" si="47"/>
        <v>0.96338938728071755</v>
      </c>
      <c r="M277">
        <f t="shared" ca="1" si="48"/>
        <v>0.97886626973435487</v>
      </c>
      <c r="O277" t="b">
        <f t="shared" ca="1" si="49"/>
        <v>1</v>
      </c>
    </row>
    <row r="278" spans="1:15" x14ac:dyDescent="0.45">
      <c r="A278" s="1">
        <v>44833</v>
      </c>
      <c r="B278">
        <v>268.20999999999998</v>
      </c>
      <c r="C278">
        <f t="shared" si="45"/>
        <v>-6.8100482957506772E-2</v>
      </c>
      <c r="D278">
        <f t="shared" ca="1" si="50"/>
        <v>-7.4024710553013625E-5</v>
      </c>
      <c r="E278">
        <f t="shared" ca="1" si="51"/>
        <v>4.1055660009725492E-2</v>
      </c>
      <c r="F278">
        <f t="shared" ca="1" si="52"/>
        <v>-3.5496254515018859E-2</v>
      </c>
      <c r="G278">
        <f t="shared" ca="1" si="53"/>
        <v>0.59513288195569825</v>
      </c>
      <c r="H278">
        <f t="shared" ca="1" si="54"/>
        <v>0.91315298619665142</v>
      </c>
      <c r="I278">
        <f t="shared" ca="1" si="55"/>
        <v>0.91952969989778</v>
      </c>
      <c r="K278">
        <f t="shared" si="46"/>
        <v>0.93189951704249319</v>
      </c>
      <c r="L278" s="7">
        <f t="shared" ca="1" si="47"/>
        <v>0.92938078242489319</v>
      </c>
      <c r="M278">
        <f t="shared" ca="1" si="48"/>
        <v>0.90305364889897266</v>
      </c>
      <c r="O278" t="b">
        <f t="shared" ca="1" si="49"/>
        <v>1</v>
      </c>
    </row>
    <row r="279" spans="1:15" x14ac:dyDescent="0.45">
      <c r="A279" s="1">
        <v>44832</v>
      </c>
      <c r="B279">
        <v>287.81</v>
      </c>
      <c r="C279">
        <f t="shared" si="45"/>
        <v>1.7212129780165421E-2</v>
      </c>
      <c r="D279">
        <f t="shared" ca="1" si="50"/>
        <v>1.7620738363308165E-5</v>
      </c>
      <c r="E279">
        <f t="shared" ca="1" si="51"/>
        <v>4.0923290550148955E-2</v>
      </c>
      <c r="F279">
        <f t="shared" ca="1" si="52"/>
        <v>-2.8403878995671848E-2</v>
      </c>
      <c r="G279">
        <f t="shared" ca="1" si="53"/>
        <v>0.61441841590820934</v>
      </c>
      <c r="H279">
        <f t="shared" ca="1" si="54"/>
        <v>0.91424067782189722</v>
      </c>
      <c r="I279">
        <f t="shared" ca="1" si="55"/>
        <v>0.91952969989778</v>
      </c>
      <c r="K279">
        <f t="shared" si="46"/>
        <v>1.0172121297801655</v>
      </c>
      <c r="L279" s="7">
        <f t="shared" ca="1" si="47"/>
        <v>0.95681515957446794</v>
      </c>
      <c r="M279">
        <f t="shared" ca="1" si="48"/>
        <v>0.87893426462274515</v>
      </c>
      <c r="O279" t="b">
        <f t="shared" ca="1" si="49"/>
        <v>1</v>
      </c>
    </row>
    <row r="280" spans="1:15" x14ac:dyDescent="0.45">
      <c r="A280" s="1">
        <v>44831</v>
      </c>
      <c r="B280">
        <v>282.94</v>
      </c>
      <c r="C280">
        <f t="shared" si="45"/>
        <v>2.5107785949784453E-2</v>
      </c>
      <c r="D280">
        <f t="shared" ca="1" si="50"/>
        <v>-2.5403289475621136E-6</v>
      </c>
      <c r="E280">
        <f t="shared" ca="1" si="51"/>
        <v>4.0915769574260366E-2</v>
      </c>
      <c r="F280">
        <f t="shared" ca="1" si="52"/>
        <v>-2.713410823626683E-2</v>
      </c>
      <c r="G280">
        <f t="shared" ca="1" si="53"/>
        <v>0.61694822888504408</v>
      </c>
      <c r="H280">
        <f t="shared" ca="1" si="54"/>
        <v>0.91424067782189722</v>
      </c>
      <c r="I280">
        <f t="shared" ca="1" si="55"/>
        <v>0.91952969989778</v>
      </c>
      <c r="K280">
        <f t="shared" si="46"/>
        <v>1.0251077859497844</v>
      </c>
      <c r="L280" s="7">
        <f t="shared" ca="1" si="47"/>
        <v>0.91646422440320008</v>
      </c>
      <c r="M280">
        <f t="shared" ca="1" si="48"/>
        <v>0.9058589250646274</v>
      </c>
      <c r="O280" t="b">
        <f t="shared" ca="1" si="49"/>
        <v>1</v>
      </c>
    </row>
    <row r="281" spans="1:15" x14ac:dyDescent="0.45">
      <c r="A281" s="1">
        <v>44830</v>
      </c>
      <c r="B281">
        <v>276.01</v>
      </c>
      <c r="C281">
        <f t="shared" si="45"/>
        <v>2.4697635564595462E-3</v>
      </c>
      <c r="D281">
        <f t="shared" ca="1" si="50"/>
        <v>-4.328614769272872E-4</v>
      </c>
      <c r="E281">
        <f t="shared" ca="1" si="51"/>
        <v>4.1102504194250655E-2</v>
      </c>
      <c r="F281">
        <f t="shared" ca="1" si="52"/>
        <v>-1.2750824639242226E-2</v>
      </c>
      <c r="G281">
        <f t="shared" ca="1" si="53"/>
        <v>0.57394361850919529</v>
      </c>
      <c r="H281">
        <f t="shared" ca="1" si="54"/>
        <v>0.91424067782189722</v>
      </c>
      <c r="I281">
        <f t="shared" ca="1" si="55"/>
        <v>0.88866554342353521</v>
      </c>
      <c r="K281">
        <f t="shared" si="46"/>
        <v>1.0024697635564594</v>
      </c>
      <c r="L281" s="7">
        <f t="shared" ca="1" si="47"/>
        <v>0.89303394053127116</v>
      </c>
      <c r="M281">
        <f t="shared" ca="1" si="48"/>
        <v>0.91472463774776935</v>
      </c>
      <c r="O281" t="b">
        <f t="shared" ca="1" si="49"/>
        <v>1</v>
      </c>
    </row>
    <row r="282" spans="1:15" x14ac:dyDescent="0.45">
      <c r="A282" s="1">
        <v>44827</v>
      </c>
      <c r="B282">
        <v>275.33</v>
      </c>
      <c r="C282">
        <f t="shared" si="45"/>
        <v>-4.5947538029730735E-2</v>
      </c>
      <c r="D282">
        <f t="shared" ca="1" si="50"/>
        <v>-3.6338944201564423E-4</v>
      </c>
      <c r="E282">
        <f t="shared" ca="1" si="51"/>
        <v>4.1119173787256005E-2</v>
      </c>
      <c r="F282">
        <f t="shared" ca="1" si="52"/>
        <v>-1.7510898459018692E-2</v>
      </c>
      <c r="G282">
        <f t="shared" ca="1" si="53"/>
        <v>0.56832468743413322</v>
      </c>
      <c r="H282">
        <f t="shared" ca="1" si="54"/>
        <v>0.91424067782189722</v>
      </c>
      <c r="I282">
        <f t="shared" ca="1" si="55"/>
        <v>0.88866554342353521</v>
      </c>
      <c r="K282">
        <f t="shared" si="46"/>
        <v>0.95405246197026927</v>
      </c>
      <c r="L282" s="7">
        <f t="shared" ca="1" si="47"/>
        <v>0.90763144882149316</v>
      </c>
      <c r="M282">
        <f t="shared" ca="1" si="48"/>
        <v>0.9689670634884604</v>
      </c>
      <c r="O282" t="b">
        <f t="shared" ca="1" si="49"/>
        <v>1</v>
      </c>
    </row>
    <row r="283" spans="1:15" x14ac:dyDescent="0.45">
      <c r="A283" s="1">
        <v>44826</v>
      </c>
      <c r="B283">
        <v>288.58999999999997</v>
      </c>
      <c r="C283">
        <f t="shared" si="45"/>
        <v>-4.0591755319149055E-2</v>
      </c>
      <c r="D283">
        <f t="shared" ca="1" si="50"/>
        <v>7.8129883813889936E-5</v>
      </c>
      <c r="E283">
        <f t="shared" ca="1" si="51"/>
        <v>4.1101331811272492E-2</v>
      </c>
      <c r="F283">
        <f t="shared" ca="1" si="52"/>
        <v>-3.7463281677674057E-2</v>
      </c>
      <c r="G283">
        <f t="shared" ca="1" si="53"/>
        <v>0.57374157388664493</v>
      </c>
      <c r="H283">
        <f t="shared" ca="1" si="54"/>
        <v>0.91424067782189722</v>
      </c>
      <c r="I283">
        <f t="shared" ca="1" si="55"/>
        <v>0.91952969989778</v>
      </c>
      <c r="K283">
        <f t="shared" si="46"/>
        <v>0.95940824468085095</v>
      </c>
      <c r="L283" s="7">
        <f t="shared" ca="1" si="47"/>
        <v>0.95009053497942375</v>
      </c>
      <c r="M283">
        <f t="shared" ca="1" si="48"/>
        <v>0.95989427391367999</v>
      </c>
      <c r="O283" t="b">
        <f t="shared" ca="1" si="49"/>
        <v>1</v>
      </c>
    </row>
    <row r="284" spans="1:15" x14ac:dyDescent="0.45">
      <c r="A284" s="1">
        <v>44825</v>
      </c>
      <c r="B284">
        <v>300.8</v>
      </c>
      <c r="C284">
        <f t="shared" si="45"/>
        <v>-2.5685874388624384E-2</v>
      </c>
      <c r="D284">
        <f t="shared" ca="1" si="50"/>
        <v>2.5173801029125715E-4</v>
      </c>
      <c r="E284">
        <f t="shared" ca="1" si="51"/>
        <v>4.1001892966019859E-2</v>
      </c>
      <c r="F284">
        <f t="shared" ca="1" si="52"/>
        <v>-4.5629267399989681E-2</v>
      </c>
      <c r="G284">
        <f t="shared" ca="1" si="53"/>
        <v>0.60464866614714063</v>
      </c>
      <c r="H284">
        <f t="shared" ca="1" si="54"/>
        <v>0.91424067782189722</v>
      </c>
      <c r="I284">
        <f t="shared" ca="1" si="55"/>
        <v>0.93506762571259561</v>
      </c>
      <c r="K284">
        <f t="shared" si="46"/>
        <v>0.97431412561137565</v>
      </c>
      <c r="L284" s="7">
        <f t="shared" ca="1" si="47"/>
        <v>0.99401870394236791</v>
      </c>
      <c r="M284">
        <f t="shared" ca="1" si="48"/>
        <v>0.91398042968570969</v>
      </c>
      <c r="O284" t="b">
        <f t="shared" ca="1" si="49"/>
        <v>1</v>
      </c>
    </row>
    <row r="285" spans="1:15" x14ac:dyDescent="0.45">
      <c r="A285" s="1">
        <v>44824</v>
      </c>
      <c r="B285">
        <v>308.73</v>
      </c>
      <c r="C285">
        <f t="shared" si="45"/>
        <v>-1.1000744167987025E-3</v>
      </c>
      <c r="D285">
        <f t="shared" ca="1" si="50"/>
        <v>5.9173171470769947E-5</v>
      </c>
      <c r="E285">
        <f t="shared" ca="1" si="51"/>
        <v>4.1214208863436547E-2</v>
      </c>
      <c r="F285">
        <f t="shared" ca="1" si="52"/>
        <v>-4.8915095400691895E-2</v>
      </c>
      <c r="G285">
        <f t="shared" ca="1" si="53"/>
        <v>0.55909850798731453</v>
      </c>
      <c r="H285">
        <f t="shared" ca="1" si="54"/>
        <v>0.91424067782189722</v>
      </c>
      <c r="I285">
        <f t="shared" ca="1" si="55"/>
        <v>0.93506762571259561</v>
      </c>
      <c r="K285">
        <f t="shared" si="46"/>
        <v>0.99889992558320129</v>
      </c>
      <c r="L285" s="7">
        <f t="shared" ca="1" si="47"/>
        <v>1.0568240167048917</v>
      </c>
      <c r="M285">
        <f t="shared" ca="1" si="48"/>
        <v>0.97102430508413562</v>
      </c>
      <c r="O285" t="b">
        <f t="shared" ca="1" si="49"/>
        <v>0</v>
      </c>
    </row>
    <row r="286" spans="1:15" x14ac:dyDescent="0.45">
      <c r="A286" s="1">
        <v>44823</v>
      </c>
      <c r="B286">
        <v>309.07</v>
      </c>
      <c r="C286">
        <f t="shared" si="45"/>
        <v>1.8856106807318182E-2</v>
      </c>
      <c r="D286">
        <f t="shared" ca="1" si="50"/>
        <v>1.7180392869831666E-5</v>
      </c>
      <c r="E286">
        <f t="shared" ca="1" si="51"/>
        <v>4.1219674188802596E-2</v>
      </c>
      <c r="F286">
        <f t="shared" ca="1" si="52"/>
        <v>-4.587166933712758E-2</v>
      </c>
      <c r="G286">
        <f t="shared" ca="1" si="53"/>
        <v>0.55700483774634657</v>
      </c>
      <c r="H286">
        <f t="shared" ca="1" si="54"/>
        <v>0.91424067782189722</v>
      </c>
      <c r="I286">
        <f t="shared" ca="1" si="55"/>
        <v>0.93506762571259561</v>
      </c>
      <c r="K286">
        <f t="shared" si="46"/>
        <v>1.0188561068073181</v>
      </c>
      <c r="L286" s="7">
        <f t="shared" ca="1" si="47"/>
        <v>1.0152749490835027</v>
      </c>
      <c r="M286">
        <f t="shared" ca="1" si="48"/>
        <v>0.93395539740153577</v>
      </c>
      <c r="O286" t="b">
        <f t="shared" ca="1" si="49"/>
        <v>0</v>
      </c>
    </row>
    <row r="287" spans="1:15" x14ac:dyDescent="0.45">
      <c r="A287" s="1">
        <v>44820</v>
      </c>
      <c r="B287">
        <v>303.35000000000002</v>
      </c>
      <c r="C287">
        <f t="shared" si="45"/>
        <v>-1.3168724279834642E-3</v>
      </c>
      <c r="D287">
        <f t="shared" ca="1" si="50"/>
        <v>-2.9444245104628817E-4</v>
      </c>
      <c r="E287">
        <f t="shared" ca="1" si="51"/>
        <v>4.1312020267043788E-2</v>
      </c>
      <c r="F287">
        <f t="shared" ca="1" si="52"/>
        <v>-2.9107586342501594E-2</v>
      </c>
      <c r="G287">
        <f t="shared" ca="1" si="53"/>
        <v>0.52978526363893907</v>
      </c>
      <c r="H287">
        <f t="shared" ca="1" si="54"/>
        <v>0.91424067782189722</v>
      </c>
      <c r="I287">
        <f t="shared" ca="1" si="55"/>
        <v>0.91952969989778</v>
      </c>
      <c r="K287">
        <f t="shared" si="46"/>
        <v>0.99868312757201649</v>
      </c>
      <c r="L287" s="7">
        <f t="shared" ca="1" si="47"/>
        <v>1.0122463961558994</v>
      </c>
      <c r="M287">
        <f t="shared" ca="1" si="48"/>
        <v>0.98271500986881222</v>
      </c>
      <c r="O287" t="b">
        <f t="shared" ca="1" si="49"/>
        <v>0</v>
      </c>
    </row>
    <row r="288" spans="1:15" x14ac:dyDescent="0.45">
      <c r="A288" s="1">
        <v>44819</v>
      </c>
      <c r="B288">
        <v>303.75</v>
      </c>
      <c r="C288">
        <f t="shared" si="45"/>
        <v>3.7672251412708977E-3</v>
      </c>
      <c r="D288">
        <f t="shared" ca="1" si="50"/>
        <v>-2.5368895300292111E-4</v>
      </c>
      <c r="E288">
        <f t="shared" ca="1" si="51"/>
        <v>4.1315026734824116E-2</v>
      </c>
      <c r="F288">
        <f t="shared" ca="1" si="52"/>
        <v>-3.2064203489790249E-2</v>
      </c>
      <c r="G288">
        <f t="shared" ca="1" si="53"/>
        <v>0.5288722691953458</v>
      </c>
      <c r="H288">
        <f t="shared" ca="1" si="54"/>
        <v>0.91424067782189722</v>
      </c>
      <c r="I288">
        <f t="shared" ca="1" si="55"/>
        <v>0.91952969989778</v>
      </c>
      <c r="K288">
        <f t="shared" si="46"/>
        <v>1.0037672251412708</v>
      </c>
      <c r="L288" s="7">
        <f t="shared" ca="1" si="47"/>
        <v>1.0500933416303668</v>
      </c>
      <c r="M288">
        <f t="shared" ca="1" si="48"/>
        <v>0.99794432189634108</v>
      </c>
      <c r="O288" t="b">
        <f t="shared" ca="1" si="49"/>
        <v>0</v>
      </c>
    </row>
    <row r="289" spans="1:15" x14ac:dyDescent="0.45">
      <c r="A289" s="1">
        <v>44818</v>
      </c>
      <c r="B289">
        <v>302.61</v>
      </c>
      <c r="C289">
        <f t="shared" si="45"/>
        <v>3.587443946188347E-2</v>
      </c>
      <c r="D289">
        <f t="shared" ca="1" si="50"/>
        <v>-1.8019200270943185E-5</v>
      </c>
      <c r="E289">
        <f t="shared" ca="1" si="51"/>
        <v>4.1472210212710844E-2</v>
      </c>
      <c r="F289">
        <f t="shared" ca="1" si="52"/>
        <v>-3.940001032855274E-2</v>
      </c>
      <c r="G289">
        <f t="shared" ca="1" si="53"/>
        <v>0.48768881904109529</v>
      </c>
      <c r="H289">
        <f t="shared" ca="1" si="54"/>
        <v>0.91424067782189722</v>
      </c>
      <c r="I289">
        <f t="shared" ca="1" si="55"/>
        <v>0.93373992043169496</v>
      </c>
      <c r="K289">
        <f t="shared" si="46"/>
        <v>1.0358744394618835</v>
      </c>
      <c r="L289" s="7">
        <f t="shared" ca="1" si="47"/>
        <v>1.0666549171660207</v>
      </c>
      <c r="M289">
        <f t="shared" ca="1" si="48"/>
        <v>0.98406387041882626</v>
      </c>
      <c r="O289" t="b">
        <f t="shared" ca="1" si="49"/>
        <v>0</v>
      </c>
    </row>
    <row r="290" spans="1:15" x14ac:dyDescent="0.45">
      <c r="A290" s="1">
        <v>44817</v>
      </c>
      <c r="B290">
        <v>292.13</v>
      </c>
      <c r="C290">
        <f t="shared" si="45"/>
        <v>-4.0371854674462977E-2</v>
      </c>
      <c r="D290">
        <f t="shared" ca="1" si="50"/>
        <v>-3.5007956962337217E-4</v>
      </c>
      <c r="E290">
        <f t="shared" ca="1" si="51"/>
        <v>4.1449250029367023E-2</v>
      </c>
      <c r="F290">
        <f t="shared" ca="1" si="52"/>
        <v>-2.0510636548304088E-2</v>
      </c>
      <c r="G290">
        <f t="shared" ca="1" si="53"/>
        <v>0.49306734393513096</v>
      </c>
      <c r="H290">
        <f t="shared" ca="1" si="54"/>
        <v>0.91424067782189722</v>
      </c>
      <c r="I290">
        <f t="shared" ca="1" si="55"/>
        <v>0.90267505042183027</v>
      </c>
      <c r="K290">
        <f t="shared" si="46"/>
        <v>0.95962814532553697</v>
      </c>
      <c r="L290" s="7">
        <f t="shared" ca="1" si="47"/>
        <v>1.0645361125282415</v>
      </c>
      <c r="M290">
        <f t="shared" ca="1" si="48"/>
        <v>1.0091496908252227</v>
      </c>
      <c r="O290" t="b">
        <f t="shared" ca="1" si="49"/>
        <v>0</v>
      </c>
    </row>
    <row r="291" spans="1:15" x14ac:dyDescent="0.45">
      <c r="A291" s="1">
        <v>44816</v>
      </c>
      <c r="B291">
        <v>304.42</v>
      </c>
      <c r="C291">
        <f t="shared" si="45"/>
        <v>1.5816871329418076E-2</v>
      </c>
      <c r="D291">
        <f t="shared" ca="1" si="50"/>
        <v>-1.1680097614188073E-4</v>
      </c>
      <c r="E291">
        <f t="shared" ca="1" si="51"/>
        <v>4.1354054580308539E-2</v>
      </c>
      <c r="F291">
        <f t="shared" ca="1" si="52"/>
        <v>-3.3124862467885069E-2</v>
      </c>
      <c r="G291">
        <f t="shared" ca="1" si="53"/>
        <v>0.52179117231420635</v>
      </c>
      <c r="H291">
        <f t="shared" ca="1" si="54"/>
        <v>0.91424067782189722</v>
      </c>
      <c r="I291">
        <f t="shared" ca="1" si="55"/>
        <v>0.91952969989778</v>
      </c>
      <c r="K291">
        <f t="shared" si="46"/>
        <v>1.015816871329418</v>
      </c>
      <c r="L291" s="7">
        <f t="shared" ca="1" si="47"/>
        <v>1.1266052329669516</v>
      </c>
      <c r="M291">
        <f t="shared" ca="1" si="48"/>
        <v>0.99569620464718467</v>
      </c>
      <c r="O291" t="b">
        <f t="shared" ca="1" si="49"/>
        <v>0</v>
      </c>
    </row>
    <row r="292" spans="1:15" x14ac:dyDescent="0.45">
      <c r="A292" s="1">
        <v>44813</v>
      </c>
      <c r="B292">
        <v>299.68</v>
      </c>
      <c r="C292">
        <f t="shared" si="45"/>
        <v>3.6022955126875533E-2</v>
      </c>
      <c r="D292">
        <f t="shared" ca="1" si="50"/>
        <v>-4.0264167253011669E-4</v>
      </c>
      <c r="E292">
        <f t="shared" ca="1" si="51"/>
        <v>4.1440850054131027E-2</v>
      </c>
      <c r="F292">
        <f t="shared" ca="1" si="52"/>
        <v>-1.730408085551987E-2</v>
      </c>
      <c r="G292">
        <f t="shared" ca="1" si="53"/>
        <v>0.49617884605446383</v>
      </c>
      <c r="H292">
        <f t="shared" ca="1" si="54"/>
        <v>0.91424067782189722</v>
      </c>
      <c r="I292">
        <f t="shared" ca="1" si="55"/>
        <v>0.90267505042183027</v>
      </c>
      <c r="K292">
        <f t="shared" si="46"/>
        <v>1.0360229551268756</v>
      </c>
      <c r="L292" s="7">
        <f t="shared" ca="1" si="47"/>
        <v>1.0812527060181847</v>
      </c>
      <c r="M292">
        <f t="shared" ca="1" si="48"/>
        <v>0.93794116725110177</v>
      </c>
      <c r="O292" t="b">
        <f t="shared" ca="1" si="49"/>
        <v>0</v>
      </c>
    </row>
    <row r="293" spans="1:15" x14ac:dyDescent="0.45">
      <c r="A293" s="1">
        <v>44812</v>
      </c>
      <c r="B293">
        <v>289.26</v>
      </c>
      <c r="C293">
        <f t="shared" si="45"/>
        <v>1.9598167077899197E-2</v>
      </c>
      <c r="D293">
        <f t="shared" ca="1" si="50"/>
        <v>-4.9565022685691166E-4</v>
      </c>
      <c r="E293">
        <f t="shared" ca="1" si="51"/>
        <v>4.1379515923704743E-2</v>
      </c>
      <c r="F293">
        <f t="shared" ca="1" si="52"/>
        <v>-1.3626656835525436E-2</v>
      </c>
      <c r="G293">
        <f t="shared" ca="1" si="53"/>
        <v>0.51413780774761753</v>
      </c>
      <c r="H293">
        <f t="shared" ca="1" si="54"/>
        <v>0.91424067782189722</v>
      </c>
      <c r="I293">
        <f t="shared" ca="1" si="55"/>
        <v>0.88866554342353521</v>
      </c>
      <c r="K293">
        <f t="shared" si="46"/>
        <v>1.0195981670778993</v>
      </c>
      <c r="L293" s="7">
        <f t="shared" ca="1" si="47"/>
        <v>1.0495265048438012</v>
      </c>
      <c r="M293">
        <f t="shared" ca="1" si="48"/>
        <v>0.96402463743564759</v>
      </c>
      <c r="O293" t="b">
        <f t="shared" ca="1" si="49"/>
        <v>0</v>
      </c>
    </row>
    <row r="294" spans="1:15" x14ac:dyDescent="0.45">
      <c r="A294" s="1">
        <v>44811</v>
      </c>
      <c r="B294">
        <v>283.7</v>
      </c>
      <c r="C294">
        <f t="shared" si="45"/>
        <v>3.3816777202827678E-2</v>
      </c>
      <c r="D294">
        <f t="shared" ca="1" si="50"/>
        <v>-4.0812144313624537E-4</v>
      </c>
      <c r="E294">
        <f t="shared" ca="1" si="51"/>
        <v>4.1440702777694363E-2</v>
      </c>
      <c r="F294">
        <f t="shared" ca="1" si="52"/>
        <v>-1.6754267495344626E-2</v>
      </c>
      <c r="G294">
        <f t="shared" ca="1" si="53"/>
        <v>0.49649989574052933</v>
      </c>
      <c r="H294">
        <f t="shared" ca="1" si="54"/>
        <v>0.91424067782189722</v>
      </c>
      <c r="I294">
        <f t="shared" ca="1" si="55"/>
        <v>0.90267505042183027</v>
      </c>
      <c r="K294">
        <f t="shared" si="46"/>
        <v>1.0338167772028277</v>
      </c>
      <c r="L294" s="7">
        <f t="shared" ca="1" si="47"/>
        <v>1.0216060496939143</v>
      </c>
      <c r="M294">
        <f t="shared" ca="1" si="48"/>
        <v>0.97167462553972683</v>
      </c>
      <c r="O294" t="b">
        <f t="shared" ca="1" si="49"/>
        <v>0</v>
      </c>
    </row>
    <row r="295" spans="1:15" x14ac:dyDescent="0.45">
      <c r="A295" s="1">
        <v>44810</v>
      </c>
      <c r="B295">
        <v>274.42</v>
      </c>
      <c r="C295">
        <f t="shared" si="45"/>
        <v>1.5580474445801549E-2</v>
      </c>
      <c r="D295">
        <f t="shared" ca="1" si="50"/>
        <v>-5.4336263363547138E-4</v>
      </c>
      <c r="E295">
        <f t="shared" ca="1" si="51"/>
        <v>4.137252870929449E-2</v>
      </c>
      <c r="F295">
        <f t="shared" ca="1" si="52"/>
        <v>-9.778487826022449E-3</v>
      </c>
      <c r="G295">
        <f t="shared" ca="1" si="53"/>
        <v>0.51728844739856594</v>
      </c>
      <c r="H295">
        <f t="shared" ca="1" si="54"/>
        <v>0.91424067782189722</v>
      </c>
      <c r="I295">
        <f t="shared" ca="1" si="55"/>
        <v>0.88866554342353521</v>
      </c>
      <c r="K295">
        <f t="shared" si="46"/>
        <v>1.0155804744458015</v>
      </c>
      <c r="L295" s="7">
        <f t="shared" ca="1" si="47"/>
        <v>0.96348571027315499</v>
      </c>
      <c r="M295">
        <f t="shared" ca="1" si="48"/>
        <v>0.95818973712483313</v>
      </c>
      <c r="O295" t="b">
        <f t="shared" ca="1" si="49"/>
        <v>1</v>
      </c>
    </row>
    <row r="296" spans="1:15" x14ac:dyDescent="0.45">
      <c r="A296" s="1">
        <v>44806</v>
      </c>
      <c r="B296">
        <v>270.20999999999998</v>
      </c>
      <c r="C296">
        <f t="shared" si="45"/>
        <v>-2.5075768509164542E-2</v>
      </c>
      <c r="D296">
        <f t="shared" ca="1" si="50"/>
        <v>-4.5876859682748351E-4</v>
      </c>
      <c r="E296">
        <f t="shared" ca="1" si="51"/>
        <v>4.1422928811170087E-2</v>
      </c>
      <c r="F296">
        <f t="shared" ca="1" si="52"/>
        <v>-1.3654299330163506E-2</v>
      </c>
      <c r="G296">
        <f t="shared" ca="1" si="53"/>
        <v>0.50204515376045622</v>
      </c>
      <c r="H296">
        <f t="shared" ca="1" si="54"/>
        <v>0.91424067782189722</v>
      </c>
      <c r="I296">
        <f t="shared" ca="1" si="55"/>
        <v>0.90267505042183027</v>
      </c>
      <c r="K296">
        <f t="shared" si="46"/>
        <v>0.97492423149083551</v>
      </c>
      <c r="L296" s="7">
        <f t="shared" ca="1" si="47"/>
        <v>0.93793606164740195</v>
      </c>
      <c r="M296">
        <f t="shared" ca="1" si="48"/>
        <v>0.91244484574913276</v>
      </c>
      <c r="O296" t="b">
        <f t="shared" ca="1" si="49"/>
        <v>1</v>
      </c>
    </row>
    <row r="297" spans="1:15" x14ac:dyDescent="0.45">
      <c r="A297" s="1">
        <v>44805</v>
      </c>
      <c r="B297">
        <v>277.16000000000003</v>
      </c>
      <c r="C297">
        <f t="shared" si="45"/>
        <v>5.6238888284170074E-3</v>
      </c>
      <c r="D297">
        <f t="shared" ca="1" si="50"/>
        <v>-1.2942109855055574E-4</v>
      </c>
      <c r="E297">
        <f t="shared" ca="1" si="51"/>
        <v>4.1488027292934701E-2</v>
      </c>
      <c r="F297">
        <f t="shared" ca="1" si="52"/>
        <v>-3.1596038101571675E-2</v>
      </c>
      <c r="G297">
        <f t="shared" ca="1" si="53"/>
        <v>0.48488455921917151</v>
      </c>
      <c r="H297">
        <f t="shared" ca="1" si="54"/>
        <v>0.91424067782189722</v>
      </c>
      <c r="I297">
        <f t="shared" ca="1" si="55"/>
        <v>0.93373992043169496</v>
      </c>
      <c r="K297">
        <f t="shared" si="46"/>
        <v>1.005623888828417</v>
      </c>
      <c r="L297" s="7">
        <f t="shared" ca="1" si="47"/>
        <v>0.93612996926402547</v>
      </c>
      <c r="M297">
        <f t="shared" ca="1" si="48"/>
        <v>0.9604469813295835</v>
      </c>
      <c r="O297" t="b">
        <f t="shared" ca="1" si="49"/>
        <v>1</v>
      </c>
    </row>
    <row r="298" spans="1:15" x14ac:dyDescent="0.45">
      <c r="A298" s="1">
        <v>44804</v>
      </c>
      <c r="B298">
        <v>275.61</v>
      </c>
      <c r="C298">
        <f t="shared" si="45"/>
        <v>-7.5261073100467233E-3</v>
      </c>
      <c r="D298">
        <f t="shared" ca="1" si="50"/>
        <v>-2.5444218665312537E-4</v>
      </c>
      <c r="E298">
        <f t="shared" ca="1" si="51"/>
        <v>4.1508272236063889E-2</v>
      </c>
      <c r="F298">
        <f t="shared" ca="1" si="52"/>
        <v>-2.2942541094399312E-2</v>
      </c>
      <c r="G298">
        <f t="shared" ca="1" si="53"/>
        <v>0.47790113139377643</v>
      </c>
      <c r="H298">
        <f t="shared" ca="1" si="54"/>
        <v>0.91424067782189722</v>
      </c>
      <c r="I298">
        <f t="shared" ca="1" si="55"/>
        <v>0.93373992043169496</v>
      </c>
      <c r="K298">
        <f t="shared" si="46"/>
        <v>0.99247389268995323</v>
      </c>
      <c r="L298" s="7">
        <f t="shared" ca="1" si="47"/>
        <v>0.92767775609759395</v>
      </c>
      <c r="M298">
        <f t="shared" ca="1" si="48"/>
        <v>0.97378413202797232</v>
      </c>
      <c r="O298" t="b">
        <f t="shared" ca="1" si="49"/>
        <v>1</v>
      </c>
    </row>
    <row r="299" spans="1:15" x14ac:dyDescent="0.45">
      <c r="A299" s="1">
        <v>44803</v>
      </c>
      <c r="B299">
        <v>277.7</v>
      </c>
      <c r="C299">
        <f t="shared" si="45"/>
        <v>-2.4998244505301609E-2</v>
      </c>
      <c r="D299">
        <f t="shared" ca="1" si="50"/>
        <v>-3.5827730765727054E-4</v>
      </c>
      <c r="E299">
        <f t="shared" ca="1" si="51"/>
        <v>4.1552505429091315E-2</v>
      </c>
      <c r="F299">
        <f t="shared" ca="1" si="52"/>
        <v>-1.6829267583257857E-2</v>
      </c>
      <c r="G299">
        <f t="shared" ca="1" si="53"/>
        <v>0.46377972400467904</v>
      </c>
      <c r="H299">
        <f t="shared" ca="1" si="54"/>
        <v>0.91424067782189722</v>
      </c>
      <c r="I299">
        <f t="shared" ca="1" si="55"/>
        <v>0.90598991884356972</v>
      </c>
      <c r="K299">
        <f t="shared" si="46"/>
        <v>0.97500175549469836</v>
      </c>
      <c r="L299" s="7">
        <f t="shared" ca="1" si="47"/>
        <v>0.93674208053215857</v>
      </c>
      <c r="M299">
        <f t="shared" ca="1" si="48"/>
        <v>0.98294207471766049</v>
      </c>
      <c r="O299" t="b">
        <f t="shared" ca="1" si="49"/>
        <v>1</v>
      </c>
    </row>
    <row r="300" spans="1:15" x14ac:dyDescent="0.45">
      <c r="A300" s="1">
        <v>44802</v>
      </c>
      <c r="B300">
        <v>284.82</v>
      </c>
      <c r="C300">
        <f t="shared" si="45"/>
        <v>-1.1350619598042216E-2</v>
      </c>
      <c r="D300">
        <f t="shared" ca="1" si="50"/>
        <v>-2.5407359464666633E-4</v>
      </c>
      <c r="E300">
        <f t="shared" ca="1" si="51"/>
        <v>4.151652000433282E-2</v>
      </c>
      <c r="F300">
        <f t="shared" ca="1" si="52"/>
        <v>-2.3421700985071788E-2</v>
      </c>
      <c r="G300">
        <f t="shared" ca="1" si="53"/>
        <v>0.47552222986746306</v>
      </c>
      <c r="H300">
        <f t="shared" ca="1" si="54"/>
        <v>0.91424067782189722</v>
      </c>
      <c r="I300">
        <f t="shared" ca="1" si="55"/>
        <v>0.9219875750764156</v>
      </c>
      <c r="K300">
        <f t="shared" si="46"/>
        <v>0.98864938040195782</v>
      </c>
      <c r="L300" s="7">
        <f t="shared" ca="1" si="47"/>
        <v>0.9824326608327324</v>
      </c>
      <c r="M300">
        <f t="shared" ca="1" si="48"/>
        <v>0.99357977240368056</v>
      </c>
      <c r="O300" t="b">
        <f t="shared" ca="1" si="49"/>
        <v>1</v>
      </c>
    </row>
    <row r="301" spans="1:15" x14ac:dyDescent="0.45">
      <c r="A301" s="1">
        <v>44799</v>
      </c>
      <c r="B301">
        <v>288.08999999999997</v>
      </c>
      <c r="C301">
        <f t="shared" si="45"/>
        <v>-2.6953085418988814E-2</v>
      </c>
      <c r="D301">
        <f t="shared" ca="1" si="50"/>
        <v>1.9816565251643375E-5</v>
      </c>
      <c r="E301">
        <f t="shared" ca="1" si="51"/>
        <v>4.1623497962288765E-2</v>
      </c>
      <c r="F301">
        <f t="shared" ca="1" si="52"/>
        <v>-3.7219008482795503E-2</v>
      </c>
      <c r="G301">
        <f t="shared" ca="1" si="53"/>
        <v>0.44644817432516337</v>
      </c>
      <c r="H301">
        <f t="shared" ca="1" si="54"/>
        <v>0.91424067782189722</v>
      </c>
      <c r="I301">
        <f t="shared" ca="1" si="55"/>
        <v>0.95655178300705246</v>
      </c>
      <c r="K301">
        <f t="shared" si="46"/>
        <v>0.97304691458101122</v>
      </c>
      <c r="L301" s="7">
        <f t="shared" ca="1" si="47"/>
        <v>0.97108879652944191</v>
      </c>
      <c r="M301">
        <f t="shared" ca="1" si="48"/>
        <v>0.93527480919704153</v>
      </c>
      <c r="O301" t="b">
        <f t="shared" ca="1" si="49"/>
        <v>1</v>
      </c>
    </row>
    <row r="302" spans="1:15" x14ac:dyDescent="0.45">
      <c r="A302" s="1">
        <v>44798</v>
      </c>
      <c r="B302">
        <v>296.07</v>
      </c>
      <c r="C302">
        <f t="shared" si="45"/>
        <v>-3.4557771930822699E-3</v>
      </c>
      <c r="D302">
        <f t="shared" ca="1" si="50"/>
        <v>-4.4493251440826955E-4</v>
      </c>
      <c r="E302">
        <f t="shared" ca="1" si="51"/>
        <v>4.2437143789567457E-2</v>
      </c>
      <c r="F302">
        <f t="shared" ca="1" si="52"/>
        <v>-0.11517346221383926</v>
      </c>
      <c r="G302">
        <f t="shared" ca="1" si="53"/>
        <v>0.50975919811757464</v>
      </c>
      <c r="H302">
        <f t="shared" ca="1" si="54"/>
        <v>0.89822713497278073</v>
      </c>
      <c r="I302">
        <f t="shared" ca="1" si="55"/>
        <v>0.95655178300705246</v>
      </c>
      <c r="K302">
        <f t="shared" si="46"/>
        <v>0.99654422280691768</v>
      </c>
      <c r="L302" s="7">
        <f t="shared" ca="1" si="47"/>
        <v>0.97754812295704407</v>
      </c>
      <c r="M302">
        <f t="shared" ca="1" si="48"/>
        <v>0.92790566714762557</v>
      </c>
      <c r="O302" t="b">
        <f t="shared" ca="1" si="49"/>
        <v>1</v>
      </c>
    </row>
    <row r="303" spans="1:15" x14ac:dyDescent="0.45">
      <c r="A303" s="1">
        <v>44797</v>
      </c>
      <c r="B303">
        <v>297.0967</v>
      </c>
      <c r="C303">
        <f t="shared" si="45"/>
        <v>2.1713391330161072E-3</v>
      </c>
      <c r="D303">
        <f t="shared" ca="1" si="50"/>
        <v>-6.6964909685800623E-4</v>
      </c>
      <c r="E303">
        <f t="shared" ca="1" si="51"/>
        <v>4.2571946805631949E-2</v>
      </c>
      <c r="F303">
        <f t="shared" ca="1" si="52"/>
        <v>-0.10534011239390691</v>
      </c>
      <c r="G303">
        <f t="shared" ca="1" si="53"/>
        <v>0.47083484556010591</v>
      </c>
      <c r="H303">
        <f t="shared" ca="1" si="54"/>
        <v>0.89822713497278073</v>
      </c>
      <c r="I303">
        <f t="shared" ca="1" si="55"/>
        <v>0.89584312963397283</v>
      </c>
      <c r="K303">
        <f t="shared" si="46"/>
        <v>1.002171339133016</v>
      </c>
      <c r="L303" s="7">
        <f t="shared" ca="1" si="47"/>
        <v>0.97730142073770432</v>
      </c>
      <c r="M303">
        <f t="shared" ca="1" si="48"/>
        <v>1.0564430701614511</v>
      </c>
      <c r="O303" t="b">
        <f t="shared" ca="1" si="49"/>
        <v>1</v>
      </c>
    </row>
    <row r="304" spans="1:15" x14ac:dyDescent="0.45">
      <c r="A304" s="1">
        <v>44796</v>
      </c>
      <c r="B304">
        <v>296.45299999999997</v>
      </c>
      <c r="C304">
        <f t="shared" si="45"/>
        <v>2.2558491685436541E-2</v>
      </c>
      <c r="D304">
        <f t="shared" ca="1" si="50"/>
        <v>-7.1230080191401839E-4</v>
      </c>
      <c r="E304">
        <f t="shared" ca="1" si="51"/>
        <v>4.2573359329600498E-2</v>
      </c>
      <c r="F304">
        <f t="shared" ca="1" si="52"/>
        <v>-0.10230736939581157</v>
      </c>
      <c r="G304">
        <f t="shared" ca="1" si="53"/>
        <v>0.46994520139518992</v>
      </c>
      <c r="H304">
        <f t="shared" ca="1" si="54"/>
        <v>0.89822713497278073</v>
      </c>
      <c r="I304">
        <f t="shared" ca="1" si="55"/>
        <v>0.89584312963397283</v>
      </c>
      <c r="K304">
        <f t="shared" si="46"/>
        <v>1.0225584916854364</v>
      </c>
      <c r="L304" s="7">
        <f t="shared" ca="1" si="47"/>
        <v>0.96702146051545679</v>
      </c>
      <c r="M304">
        <f t="shared" ca="1" si="48"/>
        <v>1.0173450208542034</v>
      </c>
      <c r="O304" t="b">
        <f t="shared" ca="1" si="49"/>
        <v>1</v>
      </c>
    </row>
    <row r="305" spans="1:15" x14ac:dyDescent="0.45">
      <c r="A305" s="1">
        <v>44795</v>
      </c>
      <c r="B305">
        <v>289.91300000000001</v>
      </c>
      <c r="C305">
        <f t="shared" si="45"/>
        <v>-2.2766266554756553E-2</v>
      </c>
      <c r="D305">
        <f t="shared" ca="1" si="50"/>
        <v>-7.589818471634036E-4</v>
      </c>
      <c r="E305">
        <f t="shared" ca="1" si="51"/>
        <v>4.2552828591444505E-2</v>
      </c>
      <c r="F305">
        <f t="shared" ca="1" si="52"/>
        <v>-9.9783152731717437E-2</v>
      </c>
      <c r="G305">
        <f t="shared" ca="1" si="53"/>
        <v>0.47587726026669186</v>
      </c>
      <c r="H305">
        <f t="shared" ca="1" si="54"/>
        <v>0.89822713497278073</v>
      </c>
      <c r="I305">
        <f t="shared" ca="1" si="55"/>
        <v>0.89584312963397283</v>
      </c>
      <c r="K305">
        <f t="shared" si="46"/>
        <v>0.97723373344524345</v>
      </c>
      <c r="L305" s="7">
        <f t="shared" ca="1" si="47"/>
        <v>0.93725914910125441</v>
      </c>
      <c r="M305">
        <f t="shared" ca="1" si="48"/>
        <v>0.9687446711921921</v>
      </c>
      <c r="O305" t="b">
        <f t="shared" ca="1" si="49"/>
        <v>1</v>
      </c>
    </row>
    <row r="306" spans="1:15" x14ac:dyDescent="0.45">
      <c r="A306" s="1">
        <v>44792</v>
      </c>
      <c r="B306">
        <v>296.66699999999997</v>
      </c>
      <c r="C306">
        <f t="shared" si="45"/>
        <v>-2.0480734308449274E-2</v>
      </c>
      <c r="D306">
        <f t="shared" ca="1" si="50"/>
        <v>-4.6657131522511537E-4</v>
      </c>
      <c r="E306">
        <f t="shared" ca="1" si="51"/>
        <v>4.2601748864589693E-2</v>
      </c>
      <c r="F306">
        <f t="shared" ca="1" si="52"/>
        <v>-0.11635411042015634</v>
      </c>
      <c r="G306">
        <f t="shared" ca="1" si="53"/>
        <v>0.46511148862466634</v>
      </c>
      <c r="H306">
        <f t="shared" ca="1" si="54"/>
        <v>0.89822713497278073</v>
      </c>
      <c r="I306">
        <f t="shared" ca="1" si="55"/>
        <v>0.90644360797294932</v>
      </c>
      <c r="K306">
        <f t="shared" si="46"/>
        <v>0.97951926569155068</v>
      </c>
      <c r="L306" s="7">
        <f t="shared" ca="1" si="47"/>
        <v>0.98879112088791121</v>
      </c>
      <c r="M306">
        <f t="shared" ca="1" si="48"/>
        <v>0.97941467944227734</v>
      </c>
      <c r="O306" t="b">
        <f t="shared" ca="1" si="49"/>
        <v>1</v>
      </c>
    </row>
    <row r="307" spans="1:15" x14ac:dyDescent="0.45">
      <c r="A307" s="1">
        <v>44791</v>
      </c>
      <c r="B307">
        <v>302.87</v>
      </c>
      <c r="C307">
        <f t="shared" si="45"/>
        <v>-3.7072734270404296E-3</v>
      </c>
      <c r="D307">
        <f t="shared" ca="1" si="50"/>
        <v>-5.1553423728913225E-4</v>
      </c>
      <c r="E307">
        <f t="shared" ca="1" si="51"/>
        <v>4.2630484778353718E-2</v>
      </c>
      <c r="F307">
        <f t="shared" ca="1" si="52"/>
        <v>-0.11384827769292263</v>
      </c>
      <c r="G307">
        <f t="shared" ca="1" si="53"/>
        <v>0.45609905734747214</v>
      </c>
      <c r="H307">
        <f t="shared" ca="1" si="54"/>
        <v>0.89822713497278073</v>
      </c>
      <c r="I307">
        <f t="shared" ca="1" si="55"/>
        <v>0.86960527397312726</v>
      </c>
      <c r="K307">
        <f t="shared" si="46"/>
        <v>0.99629272657295953</v>
      </c>
      <c r="L307" s="7">
        <f t="shared" ca="1" si="47"/>
        <v>1.0566584097966019</v>
      </c>
      <c r="M307">
        <f t="shared" ca="1" si="48"/>
        <v>1.0291001096936063</v>
      </c>
      <c r="O307" t="b">
        <f t="shared" ca="1" si="49"/>
        <v>0</v>
      </c>
    </row>
    <row r="308" spans="1:15" x14ac:dyDescent="0.45">
      <c r="A308" s="1">
        <v>44790</v>
      </c>
      <c r="B308">
        <v>303.99700000000001</v>
      </c>
      <c r="C308">
        <f t="shared" si="45"/>
        <v>-8.370220802901767E-3</v>
      </c>
      <c r="D308">
        <f t="shared" ca="1" si="50"/>
        <v>-7.2446322082522779E-5</v>
      </c>
      <c r="E308">
        <f t="shared" ca="1" si="51"/>
        <v>4.305555663504905E-2</v>
      </c>
      <c r="F308">
        <f t="shared" ca="1" si="52"/>
        <v>-0.10204830043808864</v>
      </c>
      <c r="G308">
        <f t="shared" ca="1" si="53"/>
        <v>0.40373092032312075</v>
      </c>
      <c r="H308">
        <f t="shared" ca="1" si="54"/>
        <v>1.059014984545545</v>
      </c>
      <c r="I308">
        <f t="shared" ca="1" si="55"/>
        <v>0.89545296621637416</v>
      </c>
      <c r="K308">
        <f t="shared" si="46"/>
        <v>0.99162977919709827</v>
      </c>
      <c r="L308" s="7">
        <f t="shared" ca="1" si="47"/>
        <v>1.0327493485801256</v>
      </c>
      <c r="M308">
        <f t="shared" ca="1" si="48"/>
        <v>0.99119103163789557</v>
      </c>
      <c r="O308" t="b">
        <f t="shared" ca="1" si="49"/>
        <v>0</v>
      </c>
    </row>
    <row r="309" spans="1:15" x14ac:dyDescent="0.45">
      <c r="A309" s="1">
        <v>44789</v>
      </c>
      <c r="B309">
        <v>306.56299999999999</v>
      </c>
      <c r="C309">
        <f t="shared" si="45"/>
        <v>-8.9130997025734029E-3</v>
      </c>
      <c r="D309">
        <f t="shared" ca="1" si="50"/>
        <v>1.4098631240581371E-4</v>
      </c>
      <c r="E309">
        <f t="shared" ca="1" si="51"/>
        <v>4.3119970131677149E-2</v>
      </c>
      <c r="F309">
        <f t="shared" ca="1" si="52"/>
        <v>-0.11398012734455444</v>
      </c>
      <c r="G309">
        <f t="shared" ca="1" si="53"/>
        <v>0.38740431765649719</v>
      </c>
      <c r="H309">
        <f t="shared" ca="1" si="54"/>
        <v>1.059014984545545</v>
      </c>
      <c r="I309">
        <f t="shared" ca="1" si="55"/>
        <v>0.9137508841067683</v>
      </c>
      <c r="K309">
        <f t="shared" si="46"/>
        <v>0.99108690029742663</v>
      </c>
      <c r="L309" s="7">
        <f t="shared" ca="1" si="47"/>
        <v>1.0819883317509782</v>
      </c>
      <c r="M309">
        <f t="shared" ca="1" si="48"/>
        <v>1.007317776713101</v>
      </c>
      <c r="O309" t="b">
        <f t="shared" ca="1" si="49"/>
        <v>0</v>
      </c>
    </row>
    <row r="310" spans="1:15" x14ac:dyDescent="0.45">
      <c r="A310" s="1">
        <v>44788</v>
      </c>
      <c r="B310">
        <v>309.32</v>
      </c>
      <c r="C310">
        <f t="shared" si="45"/>
        <v>3.0963570309635775E-2</v>
      </c>
      <c r="D310">
        <f t="shared" ca="1" si="50"/>
        <v>3.7430577460738975E-4</v>
      </c>
      <c r="E310">
        <f t="shared" ca="1" si="51"/>
        <v>4.3196911907975012E-2</v>
      </c>
      <c r="F310">
        <f t="shared" ca="1" si="52"/>
        <v>-0.12634305294477838</v>
      </c>
      <c r="G310">
        <f t="shared" ca="1" si="53"/>
        <v>0.36857985505319668</v>
      </c>
      <c r="H310">
        <f t="shared" ca="1" si="54"/>
        <v>1.059014984545545</v>
      </c>
      <c r="I310">
        <f t="shared" ca="1" si="55"/>
        <v>0.91974817204643222</v>
      </c>
      <c r="K310">
        <f t="shared" si="46"/>
        <v>1.0309635703096358</v>
      </c>
      <c r="L310" s="7">
        <f t="shared" ca="1" si="47"/>
        <v>1.0650671606587632</v>
      </c>
      <c r="M310">
        <f t="shared" ca="1" si="48"/>
        <v>0.9543765503433308</v>
      </c>
      <c r="O310" t="b">
        <f t="shared" ca="1" si="49"/>
        <v>0</v>
      </c>
    </row>
    <row r="311" spans="1:15" x14ac:dyDescent="0.45">
      <c r="A311" s="1">
        <v>44785</v>
      </c>
      <c r="B311">
        <v>300.02999999999997</v>
      </c>
      <c r="C311">
        <f t="shared" si="45"/>
        <v>4.6750165718870938E-2</v>
      </c>
      <c r="D311">
        <f t="shared" ca="1" si="50"/>
        <v>3.1486993715736772E-4</v>
      </c>
      <c r="E311">
        <f t="shared" ca="1" si="51"/>
        <v>4.3162776239295687E-2</v>
      </c>
      <c r="F311">
        <f t="shared" ca="1" si="52"/>
        <v>-0.12386408027997074</v>
      </c>
      <c r="G311">
        <f t="shared" ca="1" si="53"/>
        <v>0.37756202851131482</v>
      </c>
      <c r="H311">
        <f t="shared" ca="1" si="54"/>
        <v>1.059014984545545</v>
      </c>
      <c r="I311">
        <f t="shared" ca="1" si="55"/>
        <v>0.9137508841067683</v>
      </c>
      <c r="K311">
        <f t="shared" si="46"/>
        <v>1.0467501657188709</v>
      </c>
      <c r="L311" s="7">
        <f t="shared" ca="1" si="47"/>
        <v>1.0411562619287225</v>
      </c>
      <c r="M311">
        <f t="shared" ca="1" si="48"/>
        <v>0.96103752110586571</v>
      </c>
      <c r="O311" t="b">
        <f t="shared" ca="1" si="49"/>
        <v>0</v>
      </c>
    </row>
    <row r="312" spans="1:15" x14ac:dyDescent="0.45">
      <c r="A312" s="1">
        <v>44784</v>
      </c>
      <c r="B312">
        <v>286.63</v>
      </c>
      <c r="C312">
        <f t="shared" si="45"/>
        <v>-2.625043739404883E-2</v>
      </c>
      <c r="D312">
        <f t="shared" ca="1" si="50"/>
        <v>4.9753848917792212E-5</v>
      </c>
      <c r="E312">
        <f t="shared" ca="1" si="51"/>
        <v>4.3038788862075551E-2</v>
      </c>
      <c r="F312">
        <f t="shared" ca="1" si="52"/>
        <v>-0.11266410417621688</v>
      </c>
      <c r="G312">
        <f t="shared" ca="1" si="53"/>
        <v>0.40709899616352052</v>
      </c>
      <c r="H312">
        <f t="shared" ca="1" si="54"/>
        <v>1.059014984545545</v>
      </c>
      <c r="I312">
        <f t="shared" ca="1" si="55"/>
        <v>0.89545296621637416</v>
      </c>
      <c r="K312">
        <f t="shared" si="46"/>
        <v>0.97374956260595114</v>
      </c>
      <c r="L312" s="7">
        <f t="shared" ca="1" si="47"/>
        <v>0.92870820683465471</v>
      </c>
      <c r="M312">
        <f t="shared" ca="1" si="48"/>
        <v>0.95776017820496673</v>
      </c>
      <c r="O312" t="b">
        <f t="shared" ca="1" si="49"/>
        <v>1</v>
      </c>
    </row>
    <row r="313" spans="1:15" x14ac:dyDescent="0.45">
      <c r="A313" s="1">
        <v>44783</v>
      </c>
      <c r="B313">
        <v>294.35700000000003</v>
      </c>
      <c r="C313">
        <f t="shared" si="45"/>
        <v>3.8908281068565961E-2</v>
      </c>
      <c r="D313">
        <f t="shared" ca="1" si="50"/>
        <v>8.1407960783248844E-4</v>
      </c>
      <c r="E313">
        <f t="shared" ca="1" si="51"/>
        <v>4.3917767057501139E-2</v>
      </c>
      <c r="F313">
        <f t="shared" ca="1" si="52"/>
        <v>-3.6199819891979138E-2</v>
      </c>
      <c r="G313">
        <f t="shared" ca="1" si="53"/>
        <v>0.49611373923044377</v>
      </c>
      <c r="H313">
        <f t="shared" ca="1" si="54"/>
        <v>1.0722434075011544</v>
      </c>
      <c r="I313">
        <f t="shared" ca="1" si="55"/>
        <v>0.9137508841067683</v>
      </c>
      <c r="K313">
        <f t="shared" si="46"/>
        <v>1.0389082810685659</v>
      </c>
      <c r="L313" s="7">
        <f t="shared" ca="1" si="47"/>
        <v>0.95757928672043013</v>
      </c>
      <c r="M313">
        <f t="shared" ca="1" si="48"/>
        <v>0.9288361779347114</v>
      </c>
      <c r="O313" t="b">
        <f t="shared" ca="1" si="49"/>
        <v>1</v>
      </c>
    </row>
    <row r="314" spans="1:15" x14ac:dyDescent="0.45">
      <c r="A314" s="1">
        <v>44782</v>
      </c>
      <c r="B314">
        <v>283.33300000000003</v>
      </c>
      <c r="C314">
        <f t="shared" si="45"/>
        <v>-2.4412667040833457E-2</v>
      </c>
      <c r="D314">
        <f t="shared" ca="1" si="50"/>
        <v>7.0723954477153715E-4</v>
      </c>
      <c r="E314">
        <f t="shared" ca="1" si="51"/>
        <v>4.3850568353995659E-2</v>
      </c>
      <c r="F314">
        <f t="shared" ca="1" si="52"/>
        <v>-3.2029425810036725E-2</v>
      </c>
      <c r="G314">
        <f t="shared" ca="1" si="53"/>
        <v>0.51467939689359543</v>
      </c>
      <c r="H314">
        <f t="shared" ca="1" si="54"/>
        <v>1.0722434075011544</v>
      </c>
      <c r="I314">
        <f t="shared" ca="1" si="55"/>
        <v>0.89545296621637416</v>
      </c>
      <c r="K314">
        <f t="shared" si="46"/>
        <v>0.97558733295916655</v>
      </c>
      <c r="L314" s="7">
        <f t="shared" ca="1" si="47"/>
        <v>0.94259898132653774</v>
      </c>
      <c r="M314">
        <f t="shared" ca="1" si="48"/>
        <v>0.94210072657220234</v>
      </c>
      <c r="O314" t="b">
        <f t="shared" ca="1" si="49"/>
        <v>1</v>
      </c>
    </row>
    <row r="315" spans="1:15" x14ac:dyDescent="0.45">
      <c r="A315" s="1">
        <v>44781</v>
      </c>
      <c r="B315">
        <v>290.423</v>
      </c>
      <c r="C315">
        <f t="shared" si="45"/>
        <v>7.8183016969149664E-3</v>
      </c>
      <c r="D315">
        <f t="shared" ca="1" si="50"/>
        <v>9.9215804283086704E-4</v>
      </c>
      <c r="E315">
        <f t="shared" ca="1" si="51"/>
        <v>4.3871652260304338E-2</v>
      </c>
      <c r="F315">
        <f t="shared" ca="1" si="52"/>
        <v>-4.8765915530646103E-2</v>
      </c>
      <c r="G315">
        <f t="shared" ca="1" si="53"/>
        <v>0.50975618733491856</v>
      </c>
      <c r="H315">
        <f t="shared" ca="1" si="54"/>
        <v>1.0722434075011544</v>
      </c>
      <c r="I315">
        <f t="shared" ca="1" si="55"/>
        <v>0.9137508841067683</v>
      </c>
      <c r="K315">
        <f t="shared" si="46"/>
        <v>1.0078183016969149</v>
      </c>
      <c r="L315" s="7">
        <f t="shared" ca="1" si="47"/>
        <v>0.9769440622718879</v>
      </c>
      <c r="M315">
        <f t="shared" ca="1" si="48"/>
        <v>0.94457908391598799</v>
      </c>
      <c r="O315" t="b">
        <f t="shared" ca="1" si="49"/>
        <v>1</v>
      </c>
    </row>
    <row r="316" spans="1:15" x14ac:dyDescent="0.45">
      <c r="A316" s="1">
        <v>44778</v>
      </c>
      <c r="B316">
        <v>288.17</v>
      </c>
      <c r="C316">
        <f t="shared" si="45"/>
        <v>-6.6302048063557578E-2</v>
      </c>
      <c r="D316">
        <f t="shared" ca="1" si="50"/>
        <v>9.6191793495027059E-4</v>
      </c>
      <c r="E316">
        <f t="shared" ca="1" si="51"/>
        <v>4.3869007780285393E-2</v>
      </c>
      <c r="F316">
        <f t="shared" ca="1" si="52"/>
        <v>-4.6704958969039631E-2</v>
      </c>
      <c r="G316">
        <f t="shared" ca="1" si="53"/>
        <v>0.5104762209655096</v>
      </c>
      <c r="H316">
        <f t="shared" ca="1" si="54"/>
        <v>1.0722434075011544</v>
      </c>
      <c r="I316">
        <f t="shared" ca="1" si="55"/>
        <v>0.9137508841067683</v>
      </c>
      <c r="K316">
        <f t="shared" si="46"/>
        <v>0.93369795193644245</v>
      </c>
      <c r="L316" s="7">
        <f t="shared" ca="1" si="47"/>
        <v>0.96977957260642789</v>
      </c>
      <c r="M316">
        <f t="shared" ca="1" si="48"/>
        <v>0.93777542038606709</v>
      </c>
      <c r="O316" t="b">
        <f t="shared" ca="1" si="49"/>
        <v>1</v>
      </c>
    </row>
    <row r="317" spans="1:15" x14ac:dyDescent="0.45">
      <c r="A317" s="1">
        <v>44777</v>
      </c>
      <c r="B317">
        <v>308.63299999999998</v>
      </c>
      <c r="C317">
        <f t="shared" si="45"/>
        <v>4.0208590194438787E-3</v>
      </c>
      <c r="D317">
        <f t="shared" ca="1" si="50"/>
        <v>1.2598634921414231E-3</v>
      </c>
      <c r="E317">
        <f t="shared" ca="1" si="51"/>
        <v>4.361147484202299E-2</v>
      </c>
      <c r="F317">
        <f t="shared" ca="1" si="52"/>
        <v>-4.9644407975921519E-2</v>
      </c>
      <c r="G317">
        <f t="shared" ca="1" si="53"/>
        <v>0.56701765035571317</v>
      </c>
      <c r="H317">
        <f t="shared" ca="1" si="54"/>
        <v>1.0722434075011544</v>
      </c>
      <c r="I317">
        <f t="shared" ca="1" si="55"/>
        <v>1.0151483992211139</v>
      </c>
      <c r="K317">
        <f t="shared" si="46"/>
        <v>1.0040208590194439</v>
      </c>
      <c r="L317" s="7">
        <f t="shared" ca="1" si="47"/>
        <v>1.0987290850836595</v>
      </c>
      <c r="M317">
        <f t="shared" ca="1" si="48"/>
        <v>0.95908532641683353</v>
      </c>
      <c r="O317" t="b">
        <f t="shared" ca="1" si="49"/>
        <v>0</v>
      </c>
    </row>
    <row r="318" spans="1:15" x14ac:dyDescent="0.45">
      <c r="A318" s="1">
        <v>44776</v>
      </c>
      <c r="B318">
        <v>307.39699999999999</v>
      </c>
      <c r="C318">
        <f t="shared" si="45"/>
        <v>2.2655670404907739E-2</v>
      </c>
      <c r="D318">
        <f t="shared" ca="1" si="50"/>
        <v>1.400376256935311E-3</v>
      </c>
      <c r="E318">
        <f t="shared" ca="1" si="51"/>
        <v>4.366565371761931E-2</v>
      </c>
      <c r="F318">
        <f t="shared" ca="1" si="52"/>
        <v>-5.7420071201771228E-2</v>
      </c>
      <c r="G318">
        <f t="shared" ca="1" si="53"/>
        <v>0.55110311946969226</v>
      </c>
      <c r="H318">
        <f t="shared" ca="1" si="54"/>
        <v>1.0722434075011544</v>
      </c>
      <c r="I318">
        <f t="shared" ca="1" si="55"/>
        <v>1.0218111968802039</v>
      </c>
      <c r="K318">
        <f t="shared" si="46"/>
        <v>1.0226556704049077</v>
      </c>
      <c r="L318" s="7">
        <f t="shared" ca="1" si="47"/>
        <v>1.1185394076122552</v>
      </c>
      <c r="M318">
        <f t="shared" ca="1" si="48"/>
        <v>0.97491554200238006</v>
      </c>
      <c r="O318" t="b">
        <f t="shared" ca="1" si="49"/>
        <v>0</v>
      </c>
    </row>
    <row r="319" spans="1:15" x14ac:dyDescent="0.45">
      <c r="A319" s="1">
        <v>44775</v>
      </c>
      <c r="B319">
        <v>300.58699999999999</v>
      </c>
      <c r="C319">
        <f t="shared" si="45"/>
        <v>1.1134396539254642E-2</v>
      </c>
      <c r="D319">
        <f t="shared" ca="1" si="50"/>
        <v>1.4380842561992049E-3</v>
      </c>
      <c r="E319">
        <f t="shared" ca="1" si="51"/>
        <v>4.368735214776906E-2</v>
      </c>
      <c r="F319">
        <f t="shared" ca="1" si="52"/>
        <v>-5.9080971939084709E-2</v>
      </c>
      <c r="G319">
        <f t="shared" ca="1" si="53"/>
        <v>0.54485355529913004</v>
      </c>
      <c r="H319">
        <f t="shared" ca="1" si="54"/>
        <v>1.0722434075011544</v>
      </c>
      <c r="I319">
        <f t="shared" ca="1" si="55"/>
        <v>1.0716661153811684</v>
      </c>
      <c r="K319">
        <f t="shared" si="46"/>
        <v>1.0111343965392547</v>
      </c>
      <c r="L319" s="7">
        <f t="shared" ca="1" si="47"/>
        <v>1.161195240670633</v>
      </c>
      <c r="M319">
        <f t="shared" ca="1" si="48"/>
        <v>1.0486586089819743</v>
      </c>
      <c r="O319" t="b">
        <f t="shared" ca="1" si="49"/>
        <v>0</v>
      </c>
    </row>
    <row r="320" spans="1:15" x14ac:dyDescent="0.45">
      <c r="A320" s="1">
        <v>44774</v>
      </c>
      <c r="B320">
        <v>297.27699999999999</v>
      </c>
      <c r="C320">
        <f t="shared" si="45"/>
        <v>4.273935722699295E-4</v>
      </c>
      <c r="D320">
        <f t="shared" ca="1" si="50"/>
        <v>1.4270379577757536E-3</v>
      </c>
      <c r="E320">
        <f t="shared" ca="1" si="51"/>
        <v>4.3685167375676404E-2</v>
      </c>
      <c r="F320">
        <f t="shared" ca="1" si="52"/>
        <v>-5.8353541163027892E-2</v>
      </c>
      <c r="G320">
        <f t="shared" ca="1" si="53"/>
        <v>0.54550318445335577</v>
      </c>
      <c r="H320">
        <f t="shared" ca="1" si="54"/>
        <v>1.0722434075011544</v>
      </c>
      <c r="I320">
        <f t="shared" ca="1" si="55"/>
        <v>1.0716661153811684</v>
      </c>
      <c r="K320">
        <f t="shared" si="46"/>
        <v>1.0004273935722698</v>
      </c>
      <c r="L320" s="7">
        <f t="shared" ca="1" si="47"/>
        <v>1.107453256492309</v>
      </c>
      <c r="M320">
        <f t="shared" ca="1" si="48"/>
        <v>1.0223603772036096</v>
      </c>
      <c r="O320" t="b">
        <f t="shared" ca="1" si="49"/>
        <v>0</v>
      </c>
    </row>
    <row r="321" spans="1:15" x14ac:dyDescent="0.45">
      <c r="A321" s="1">
        <v>44771</v>
      </c>
      <c r="B321">
        <v>297.14999999999998</v>
      </c>
      <c r="C321">
        <f t="shared" si="45"/>
        <v>5.7849768600925604E-2</v>
      </c>
      <c r="D321">
        <f t="shared" ca="1" si="50"/>
        <v>1.4581694122800181E-3</v>
      </c>
      <c r="E321">
        <f t="shared" ca="1" si="51"/>
        <v>4.3686669918840015E-2</v>
      </c>
      <c r="F321">
        <f t="shared" ca="1" si="52"/>
        <v>-6.0498184735563641E-2</v>
      </c>
      <c r="G321">
        <f t="shared" ca="1" si="53"/>
        <v>0.54518301015492998</v>
      </c>
      <c r="H321">
        <f t="shared" ca="1" si="54"/>
        <v>1.0722434075011544</v>
      </c>
      <c r="I321">
        <f t="shared" ca="1" si="55"/>
        <v>1.0716661153811684</v>
      </c>
      <c r="K321">
        <f t="shared" si="46"/>
        <v>1.0578497686009256</v>
      </c>
      <c r="L321" s="7">
        <f t="shared" ca="1" si="47"/>
        <v>1.0914881190700956</v>
      </c>
      <c r="M321">
        <f t="shared" ca="1" si="48"/>
        <v>1.0049764627534694</v>
      </c>
      <c r="O321" t="b">
        <f t="shared" ca="1" si="49"/>
        <v>0</v>
      </c>
    </row>
    <row r="322" spans="1:15" x14ac:dyDescent="0.45">
      <c r="A322" s="1">
        <v>44770</v>
      </c>
      <c r="B322">
        <v>280.89999999999998</v>
      </c>
      <c r="C322">
        <f t="shared" si="45"/>
        <v>2.2123571792445906E-2</v>
      </c>
      <c r="D322">
        <f t="shared" ca="1" si="50"/>
        <v>1.2559157961865189E-3</v>
      </c>
      <c r="E322">
        <f t="shared" ca="1" si="51"/>
        <v>4.3517594105733928E-2</v>
      </c>
      <c r="F322">
        <f t="shared" ca="1" si="52"/>
        <v>-5.7917623427855121E-2</v>
      </c>
      <c r="G322">
        <f t="shared" ca="1" si="53"/>
        <v>0.58557383661306339</v>
      </c>
      <c r="H322">
        <f t="shared" ca="1" si="54"/>
        <v>1.0722434075011544</v>
      </c>
      <c r="I322">
        <f t="shared" ca="1" si="55"/>
        <v>1.0218111968802039</v>
      </c>
      <c r="K322">
        <f t="shared" si="46"/>
        <v>1.022123571792446</v>
      </c>
      <c r="L322" s="7">
        <f t="shared" ca="1" si="47"/>
        <v>1.033834240560604</v>
      </c>
      <c r="M322">
        <f t="shared" ca="1" si="48"/>
        <v>1.0084006780877646</v>
      </c>
      <c r="O322" t="b">
        <f t="shared" ca="1" si="49"/>
        <v>0</v>
      </c>
    </row>
    <row r="323" spans="1:15" x14ac:dyDescent="0.45">
      <c r="A323" s="1">
        <v>44769</v>
      </c>
      <c r="B323">
        <v>274.82</v>
      </c>
      <c r="C323">
        <f t="shared" ref="C323:C386" si="56">(B323-B324)/B324</f>
        <v>6.1654948620876067E-2</v>
      </c>
      <c r="D323">
        <f t="shared" ca="1" si="50"/>
        <v>1.1863551117268294E-3</v>
      </c>
      <c r="E323">
        <f t="shared" ca="1" si="51"/>
        <v>4.3495183745100918E-2</v>
      </c>
      <c r="F323">
        <f t="shared" ca="1" si="52"/>
        <v>-5.3700692620750175E-2</v>
      </c>
      <c r="G323">
        <f t="shared" ca="1" si="53"/>
        <v>0.59242630372917615</v>
      </c>
      <c r="H323">
        <f t="shared" ca="1" si="54"/>
        <v>1.0722434075011544</v>
      </c>
      <c r="I323">
        <f t="shared" ca="1" si="55"/>
        <v>1.0218111968802039</v>
      </c>
      <c r="K323">
        <f t="shared" ref="K323:K386" si="57">C323+1</f>
        <v>1.0616549486208762</v>
      </c>
      <c r="L323" s="7">
        <f t="shared" ref="L323:L386" ca="1" si="58">PRODUCT(OFFSET(K323,0,0,$J$6,1))</f>
        <v>1.1103838383838385</v>
      </c>
      <c r="M323">
        <f t="shared" ref="M323:M386" ca="1" si="59">OFFSET(D323,$J$6,0)*V$2 + OFFSET(E323,$J$6,0)*U$2 + OFFSET(F323,$J$6,0)*T$2 + OFFSET(G323,$J$6,0)*S$2 + OFFSET(H323,$J$6,0)*R$2 + OFFSET(I323,$J$6,0)*Q$2 + W$2</f>
        <v>1.0488965011772193</v>
      </c>
      <c r="O323" t="b">
        <f t="shared" ref="O323:O386" ca="1" si="60">OR(AND(L323&gt;1, N323&gt;1), AND(L323&lt;1, N323&lt;1))</f>
        <v>0</v>
      </c>
    </row>
    <row r="324" spans="1:15" x14ac:dyDescent="0.45">
      <c r="A324" s="1">
        <v>44768</v>
      </c>
      <c r="B324">
        <v>258.86</v>
      </c>
      <c r="C324">
        <f t="shared" si="56"/>
        <v>-3.5662530314827086E-2</v>
      </c>
      <c r="D324">
        <f t="shared" ref="D324:D387" ca="1" si="61">AVERAGE(OFFSET(C324,0,0,$J$3,1))</f>
        <v>8.2691550321609673E-4</v>
      </c>
      <c r="E324">
        <f t="shared" ref="E324:E387" ca="1" si="62">STDEV(OFFSET(C324,0,0,$J$3,1))</f>
        <v>4.3289517438058228E-2</v>
      </c>
      <c r="F324">
        <f t="shared" ref="F324:F387" ca="1" si="63">SKEW(OFFSET(C324,0,0,$J$3,1))</f>
        <v>-4.3235404729876956E-2</v>
      </c>
      <c r="G324">
        <f t="shared" ref="G324:G387" ca="1" si="64">KURT(OFFSET(C324,0,0,$J$3,1))</f>
        <v>0.64047710786538348</v>
      </c>
      <c r="H324">
        <f t="shared" ref="H324:H387" ca="1" si="65">PERCENTILE(OFFSET(C324,0,0,$J$3,1), 0.95)/ABS(PERCENTILE(OFFSET(C324,0,0,$J$3,1), 0.05))</f>
        <v>1.0722434075011544</v>
      </c>
      <c r="I324">
        <f t="shared" ref="I324:I387" ca="1" si="66">PERCENTILE(OFFSET(C324,0,0,$J$3,1), 0.75)/ABS(PERCENTILE(OFFSET(C324,0,0,$J$3,1), 0.25))</f>
        <v>1.0151483992211139</v>
      </c>
      <c r="K324">
        <f t="shared" si="57"/>
        <v>0.96433746968517287</v>
      </c>
      <c r="L324" s="7">
        <f t="shared" ca="1" si="58"/>
        <v>1.0542907180385288</v>
      </c>
      <c r="M324">
        <f t="shared" ca="1" si="59"/>
        <v>1.0580962089741281</v>
      </c>
      <c r="O324" t="b">
        <f t="shared" ca="1" si="60"/>
        <v>0</v>
      </c>
    </row>
    <row r="325" spans="1:15" x14ac:dyDescent="0.45">
      <c r="A325" s="1">
        <v>44767</v>
      </c>
      <c r="B325">
        <v>268.43299999999999</v>
      </c>
      <c r="C325">
        <f t="shared" si="56"/>
        <v>-1.3994850188985584E-2</v>
      </c>
      <c r="D325">
        <f t="shared" ca="1" si="61"/>
        <v>1.0745988742144176E-3</v>
      </c>
      <c r="E325">
        <f t="shared" ca="1" si="62"/>
        <v>4.3221351669399458E-2</v>
      </c>
      <c r="F325">
        <f t="shared" ca="1" si="63"/>
        <v>-5.7611897794169767E-2</v>
      </c>
      <c r="G325">
        <f t="shared" ca="1" si="64"/>
        <v>0.6623432900093662</v>
      </c>
      <c r="H325">
        <f t="shared" ca="1" si="65"/>
        <v>1.0722434075011544</v>
      </c>
      <c r="I325">
        <f t="shared" ca="1" si="66"/>
        <v>1.0668477989839318</v>
      </c>
      <c r="K325">
        <f t="shared" si="57"/>
        <v>0.98600514981101439</v>
      </c>
      <c r="L325" s="7">
        <f t="shared" ca="1" si="58"/>
        <v>1.1159274486898609</v>
      </c>
      <c r="M325">
        <f t="shared" ca="1" si="59"/>
        <v>1.089333137156602</v>
      </c>
      <c r="O325" t="b">
        <f t="shared" ca="1" si="60"/>
        <v>0</v>
      </c>
    </row>
    <row r="326" spans="1:15" x14ac:dyDescent="0.45">
      <c r="A326" s="1">
        <v>44764</v>
      </c>
      <c r="B326">
        <v>272.24299999999999</v>
      </c>
      <c r="C326">
        <f t="shared" si="56"/>
        <v>1.9727132536151125E-3</v>
      </c>
      <c r="D326">
        <f t="shared" ca="1" si="61"/>
        <v>1.1584087958242647E-3</v>
      </c>
      <c r="E326">
        <f t="shared" ca="1" si="62"/>
        <v>4.3208233345895145E-2</v>
      </c>
      <c r="F326">
        <f t="shared" ca="1" si="63"/>
        <v>-6.33265627274118E-2</v>
      </c>
      <c r="G326">
        <f t="shared" ca="1" si="64"/>
        <v>0.66724999998489087</v>
      </c>
      <c r="H326">
        <f t="shared" ca="1" si="65"/>
        <v>1.0722434075011544</v>
      </c>
      <c r="I326">
        <f t="shared" ca="1" si="66"/>
        <v>1.0668477989839318</v>
      </c>
      <c r="K326">
        <f t="shared" si="57"/>
        <v>1.0019727132536151</v>
      </c>
      <c r="L326" s="7">
        <f t="shared" ca="1" si="58"/>
        <v>1.1340292501676614</v>
      </c>
      <c r="M326">
        <f t="shared" ca="1" si="59"/>
        <v>1.0862236992483045</v>
      </c>
      <c r="O326" t="b">
        <f t="shared" ca="1" si="60"/>
        <v>0</v>
      </c>
    </row>
    <row r="327" spans="1:15" x14ac:dyDescent="0.45">
      <c r="A327" s="1">
        <v>44763</v>
      </c>
      <c r="B327">
        <v>271.70699999999999</v>
      </c>
      <c r="C327">
        <f t="shared" si="56"/>
        <v>9.7806060606060577E-2</v>
      </c>
      <c r="D327">
        <f t="shared" ca="1" si="61"/>
        <v>1.1425377826251694E-3</v>
      </c>
      <c r="E327">
        <f t="shared" ca="1" si="62"/>
        <v>4.320851570146695E-2</v>
      </c>
      <c r="F327">
        <f t="shared" ca="1" si="63"/>
        <v>-6.2213115005321826E-2</v>
      </c>
      <c r="G327">
        <f t="shared" ca="1" si="64"/>
        <v>0.66705889558491815</v>
      </c>
      <c r="H327">
        <f t="shared" ca="1" si="65"/>
        <v>1.0722434075011544</v>
      </c>
      <c r="I327">
        <f t="shared" ca="1" si="66"/>
        <v>1.0668477989839318</v>
      </c>
      <c r="K327">
        <f t="shared" si="57"/>
        <v>1.0978060606060607</v>
      </c>
      <c r="L327" s="7">
        <f t="shared" ca="1" si="58"/>
        <v>1.1401266401748962</v>
      </c>
      <c r="M327">
        <f t="shared" ca="1" si="59"/>
        <v>1.1120814836144191</v>
      </c>
      <c r="O327" t="b">
        <f t="shared" ca="1" si="60"/>
        <v>0</v>
      </c>
    </row>
    <row r="328" spans="1:15" x14ac:dyDescent="0.45">
      <c r="A328" s="1">
        <v>44762</v>
      </c>
      <c r="B328">
        <v>247.5</v>
      </c>
      <c r="C328">
        <f t="shared" si="56"/>
        <v>8.0234594550564042E-3</v>
      </c>
      <c r="D328">
        <f t="shared" ca="1" si="61"/>
        <v>6.9419910172584601E-4</v>
      </c>
      <c r="E328">
        <f t="shared" ca="1" si="62"/>
        <v>4.2662229117834974E-2</v>
      </c>
      <c r="F328">
        <f t="shared" ca="1" si="63"/>
        <v>-9.1807715995874548E-2</v>
      </c>
      <c r="G328">
        <f t="shared" ca="1" si="64"/>
        <v>0.71980025609142873</v>
      </c>
      <c r="H328">
        <f t="shared" ca="1" si="65"/>
        <v>1.059014984545545</v>
      </c>
      <c r="I328">
        <f t="shared" ca="1" si="66"/>
        <v>1.045484105917371</v>
      </c>
      <c r="K328">
        <f t="shared" si="57"/>
        <v>1.0080234594550563</v>
      </c>
      <c r="L328" s="7">
        <f t="shared" ca="1" si="58"/>
        <v>1.0441275734053324</v>
      </c>
      <c r="M328">
        <f t="shared" ca="1" si="59"/>
        <v>1.0931928683867986</v>
      </c>
      <c r="O328" t="b">
        <f t="shared" ca="1" si="60"/>
        <v>0</v>
      </c>
    </row>
    <row r="329" spans="1:15" x14ac:dyDescent="0.45">
      <c r="A329" s="1">
        <v>44761</v>
      </c>
      <c r="B329">
        <v>245.53</v>
      </c>
      <c r="C329">
        <f t="shared" si="56"/>
        <v>2.0715286409724521E-2</v>
      </c>
      <c r="D329">
        <f t="shared" ca="1" si="61"/>
        <v>6.5241831646442898E-4</v>
      </c>
      <c r="E329">
        <f t="shared" ca="1" si="62"/>
        <v>4.2659106858789028E-2</v>
      </c>
      <c r="F329">
        <f t="shared" ca="1" si="63"/>
        <v>-8.8885777479528111E-2</v>
      </c>
      <c r="G329">
        <f t="shared" ca="1" si="64"/>
        <v>0.72053706113216354</v>
      </c>
      <c r="H329">
        <f t="shared" ca="1" si="65"/>
        <v>1.059014984545545</v>
      </c>
      <c r="I329">
        <f t="shared" ca="1" si="66"/>
        <v>1.045484105917371</v>
      </c>
      <c r="K329">
        <f t="shared" si="57"/>
        <v>1.0207152864097244</v>
      </c>
      <c r="L329" s="7">
        <f t="shared" ca="1" si="58"/>
        <v>1.0534603338052946</v>
      </c>
      <c r="M329">
        <f t="shared" ca="1" si="59"/>
        <v>1.0904544855720366</v>
      </c>
      <c r="O329" t="b">
        <f t="shared" ca="1" si="60"/>
        <v>0</v>
      </c>
    </row>
    <row r="330" spans="1:15" x14ac:dyDescent="0.45">
      <c r="A330" s="1">
        <v>44760</v>
      </c>
      <c r="B330">
        <v>240.547</v>
      </c>
      <c r="C330">
        <f t="shared" si="56"/>
        <v>1.9994418224911787E-3</v>
      </c>
      <c r="D330">
        <f t="shared" ca="1" si="61"/>
        <v>5.1151999850865759E-4</v>
      </c>
      <c r="E330">
        <f t="shared" ca="1" si="62"/>
        <v>4.2639040868194533E-2</v>
      </c>
      <c r="F330">
        <f t="shared" ca="1" si="63"/>
        <v>-7.95616090785526E-2</v>
      </c>
      <c r="G330">
        <f t="shared" ca="1" si="64"/>
        <v>0.72624421418118867</v>
      </c>
      <c r="H330">
        <f t="shared" ca="1" si="65"/>
        <v>1.059014984545545</v>
      </c>
      <c r="I330">
        <f t="shared" ca="1" si="66"/>
        <v>1.045484105917371</v>
      </c>
      <c r="K330">
        <f t="shared" si="57"/>
        <v>1.0019994418224911</v>
      </c>
      <c r="L330" s="7">
        <f t="shared" ca="1" si="58"/>
        <v>1.0264740145854581</v>
      </c>
      <c r="M330">
        <f t="shared" ca="1" si="59"/>
        <v>1.0822281422612532</v>
      </c>
      <c r="O330" t="b">
        <f t="shared" ca="1" si="60"/>
        <v>0</v>
      </c>
    </row>
    <row r="331" spans="1:15" x14ac:dyDescent="0.45">
      <c r="A331" s="1">
        <v>44757</v>
      </c>
      <c r="B331">
        <v>240.06700000000001</v>
      </c>
      <c r="C331">
        <f t="shared" si="56"/>
        <v>7.3600684813670226E-3</v>
      </c>
      <c r="D331">
        <f t="shared" ca="1" si="61"/>
        <v>5.2563665313165163E-4</v>
      </c>
      <c r="E331">
        <f t="shared" ca="1" si="62"/>
        <v>4.2640003309150784E-2</v>
      </c>
      <c r="F331">
        <f t="shared" ca="1" si="63"/>
        <v>-8.0554421224339756E-2</v>
      </c>
      <c r="G331">
        <f t="shared" ca="1" si="64"/>
        <v>0.72601236623818988</v>
      </c>
      <c r="H331">
        <f t="shared" ca="1" si="65"/>
        <v>1.059014984545545</v>
      </c>
      <c r="I331">
        <f t="shared" ca="1" si="66"/>
        <v>1.045484105917371</v>
      </c>
      <c r="K331">
        <f t="shared" si="57"/>
        <v>1.0073600684813671</v>
      </c>
      <c r="L331" s="7">
        <f t="shared" ca="1" si="58"/>
        <v>0.95734617946028733</v>
      </c>
      <c r="M331">
        <f t="shared" ca="1" si="59"/>
        <v>1.0358557993298185</v>
      </c>
      <c r="O331" t="b">
        <f t="shared" ca="1" si="60"/>
        <v>1</v>
      </c>
    </row>
    <row r="332" spans="1:15" x14ac:dyDescent="0.45">
      <c r="A332" s="1">
        <v>44756</v>
      </c>
      <c r="B332">
        <v>238.31299999999999</v>
      </c>
      <c r="C332">
        <f t="shared" si="56"/>
        <v>5.3704016199797346E-3</v>
      </c>
      <c r="D332">
        <f t="shared" ca="1" si="61"/>
        <v>4.0164475086781117E-4</v>
      </c>
      <c r="E332">
        <f t="shared" ca="1" si="62"/>
        <v>4.2656082045091519E-2</v>
      </c>
      <c r="F332">
        <f t="shared" ca="1" si="63"/>
        <v>-7.205490536655014E-2</v>
      </c>
      <c r="G332">
        <f t="shared" ca="1" si="64"/>
        <v>0.71958110481872684</v>
      </c>
      <c r="H332">
        <f t="shared" ca="1" si="65"/>
        <v>1.059014984545545</v>
      </c>
      <c r="I332">
        <f t="shared" ca="1" si="66"/>
        <v>1.045484105917371</v>
      </c>
      <c r="K332">
        <f t="shared" si="57"/>
        <v>1.0053704016199798</v>
      </c>
      <c r="L332" s="7">
        <f t="shared" ca="1" si="58"/>
        <v>0.97452390786078547</v>
      </c>
      <c r="M332">
        <f t="shared" ca="1" si="59"/>
        <v>1.0407523848246099</v>
      </c>
      <c r="O332" t="b">
        <f t="shared" ca="1" si="60"/>
        <v>1</v>
      </c>
    </row>
    <row r="333" spans="1:15" x14ac:dyDescent="0.45">
      <c r="A333" s="1">
        <v>44755</v>
      </c>
      <c r="B333">
        <v>237.04</v>
      </c>
      <c r="C333">
        <f t="shared" si="56"/>
        <v>1.7033509246149221E-2</v>
      </c>
      <c r="D333">
        <f t="shared" ca="1" si="61"/>
        <v>4.8436931271328865E-4</v>
      </c>
      <c r="E333">
        <f t="shared" ca="1" si="62"/>
        <v>4.268180190164713E-2</v>
      </c>
      <c r="F333">
        <f t="shared" ca="1" si="63"/>
        <v>-7.715595964384131E-2</v>
      </c>
      <c r="G333">
        <f t="shared" ca="1" si="64"/>
        <v>0.71143381590374144</v>
      </c>
      <c r="H333">
        <f t="shared" ca="1" si="65"/>
        <v>1.059014984545545</v>
      </c>
      <c r="I333">
        <f t="shared" ca="1" si="66"/>
        <v>1.045484105917371</v>
      </c>
      <c r="K333">
        <f t="shared" si="57"/>
        <v>1.0170335092461493</v>
      </c>
      <c r="L333" s="7">
        <f t="shared" ca="1" si="58"/>
        <v>1.0229013563022964</v>
      </c>
      <c r="M333">
        <f t="shared" ca="1" si="59"/>
        <v>1.0985377863203847</v>
      </c>
      <c r="O333" t="b">
        <f t="shared" ca="1" si="60"/>
        <v>0</v>
      </c>
    </row>
    <row r="334" spans="1:15" x14ac:dyDescent="0.45">
      <c r="A334" s="1">
        <v>44754</v>
      </c>
      <c r="B334">
        <v>233.07</v>
      </c>
      <c r="C334">
        <f t="shared" si="56"/>
        <v>-5.4322083441792424E-3</v>
      </c>
      <c r="D334">
        <f t="shared" ca="1" si="61"/>
        <v>5.3687378186391193E-4</v>
      </c>
      <c r="E334">
        <f t="shared" ca="1" si="62"/>
        <v>4.2708712199543017E-2</v>
      </c>
      <c r="F334">
        <f t="shared" ca="1" si="63"/>
        <v>-7.9741232773845525E-2</v>
      </c>
      <c r="G334">
        <f t="shared" ca="1" si="64"/>
        <v>0.70308065924965391</v>
      </c>
      <c r="H334">
        <f t="shared" ca="1" si="65"/>
        <v>1.059014984545545</v>
      </c>
      <c r="I334">
        <f t="shared" ca="1" si="66"/>
        <v>1.0668477989839318</v>
      </c>
      <c r="K334">
        <f t="shared" si="57"/>
        <v>0.99456779165582077</v>
      </c>
      <c r="L334" s="7">
        <f t="shared" ca="1" si="58"/>
        <v>1.0000128718351375</v>
      </c>
      <c r="M334">
        <f t="shared" ca="1" si="59"/>
        <v>1.0888435099153662</v>
      </c>
      <c r="O334" t="b">
        <f t="shared" ca="1" si="60"/>
        <v>0</v>
      </c>
    </row>
    <row r="335" spans="1:15" x14ac:dyDescent="0.45">
      <c r="A335" s="1">
        <v>44753</v>
      </c>
      <c r="B335">
        <v>234.34299999999999</v>
      </c>
      <c r="C335">
        <f t="shared" si="56"/>
        <v>-6.5480154568257745E-2</v>
      </c>
      <c r="D335">
        <f t="shared" ca="1" si="61"/>
        <v>5.7532560304755917E-4</v>
      </c>
      <c r="E335">
        <f t="shared" ca="1" si="62"/>
        <v>4.2706772944607063E-2</v>
      </c>
      <c r="F335">
        <f t="shared" ca="1" si="63"/>
        <v>-8.2466293644511399E-2</v>
      </c>
      <c r="G335">
        <f t="shared" ca="1" si="64"/>
        <v>0.70405767944380004</v>
      </c>
      <c r="H335">
        <f t="shared" ca="1" si="65"/>
        <v>1.059014984545545</v>
      </c>
      <c r="I335">
        <f t="shared" ca="1" si="66"/>
        <v>1.0668477989839318</v>
      </c>
      <c r="K335">
        <f t="shared" si="57"/>
        <v>0.93451984543174227</v>
      </c>
      <c r="L335" s="7">
        <f t="shared" ca="1" si="58"/>
        <v>1.0311533333626679</v>
      </c>
      <c r="M335">
        <f t="shared" ca="1" si="59"/>
        <v>1.1110611816355127</v>
      </c>
      <c r="O335" t="b">
        <f t="shared" ca="1" si="60"/>
        <v>0</v>
      </c>
    </row>
    <row r="336" spans="1:15" x14ac:dyDescent="0.45">
      <c r="A336" s="1">
        <v>44750</v>
      </c>
      <c r="B336">
        <v>250.76300000000001</v>
      </c>
      <c r="C336">
        <f t="shared" si="56"/>
        <v>2.5435199535460015E-2</v>
      </c>
      <c r="D336">
        <f t="shared" ca="1" si="61"/>
        <v>9.8766916579390231E-4</v>
      </c>
      <c r="E336">
        <f t="shared" ca="1" si="62"/>
        <v>4.2463219964845381E-2</v>
      </c>
      <c r="F336">
        <f t="shared" ca="1" si="63"/>
        <v>-9.3920004877496105E-2</v>
      </c>
      <c r="G336">
        <f t="shared" ca="1" si="64"/>
        <v>0.76375880982647848</v>
      </c>
      <c r="H336">
        <f t="shared" ca="1" si="65"/>
        <v>1.059014984545545</v>
      </c>
      <c r="I336">
        <f t="shared" ca="1" si="66"/>
        <v>1.1254165599682948</v>
      </c>
      <c r="K336">
        <f t="shared" si="57"/>
        <v>1.02543519953546</v>
      </c>
      <c r="L336" s="7">
        <f t="shared" ca="1" si="58"/>
        <v>1.1171187626128756</v>
      </c>
      <c r="M336">
        <f t="shared" ca="1" si="59"/>
        <v>1.107832060814971</v>
      </c>
      <c r="O336" t="b">
        <f t="shared" ca="1" si="60"/>
        <v>0</v>
      </c>
    </row>
    <row r="337" spans="1:15" x14ac:dyDescent="0.45">
      <c r="A337" s="1">
        <v>44749</v>
      </c>
      <c r="B337">
        <v>244.54300000000001</v>
      </c>
      <c r="C337">
        <f t="shared" si="56"/>
        <v>5.5279135902094233E-2</v>
      </c>
      <c r="D337">
        <f t="shared" ca="1" si="61"/>
        <v>9.2356067294424582E-4</v>
      </c>
      <c r="E337">
        <f t="shared" ca="1" si="62"/>
        <v>4.2435794904777918E-2</v>
      </c>
      <c r="F337">
        <f t="shared" ca="1" si="63"/>
        <v>-9.0390462489483833E-2</v>
      </c>
      <c r="G337">
        <f t="shared" ca="1" si="64"/>
        <v>0.7725035636270472</v>
      </c>
      <c r="H337">
        <f t="shared" ca="1" si="65"/>
        <v>1.059014984545545</v>
      </c>
      <c r="I337">
        <f t="shared" ca="1" si="66"/>
        <v>1.1028800238456293</v>
      </c>
      <c r="K337">
        <f t="shared" si="57"/>
        <v>1.0552791359020943</v>
      </c>
      <c r="L337" s="7">
        <f t="shared" ca="1" si="58"/>
        <v>1.070256904022058</v>
      </c>
      <c r="M337">
        <f t="shared" ca="1" si="59"/>
        <v>1.0877951793656386</v>
      </c>
      <c r="O337" t="b">
        <f t="shared" ca="1" si="60"/>
        <v>0</v>
      </c>
    </row>
    <row r="338" spans="1:15" x14ac:dyDescent="0.45">
      <c r="A338" s="1">
        <v>44748</v>
      </c>
      <c r="B338">
        <v>231.733</v>
      </c>
      <c r="C338">
        <f t="shared" si="56"/>
        <v>-5.7236760244908248E-3</v>
      </c>
      <c r="D338">
        <f t="shared" ca="1" si="61"/>
        <v>4.541470563734612E-4</v>
      </c>
      <c r="E338">
        <f t="shared" ca="1" si="62"/>
        <v>4.2350674008117893E-2</v>
      </c>
      <c r="F338">
        <f t="shared" ca="1" si="63"/>
        <v>-7.2205816661243066E-2</v>
      </c>
      <c r="G338">
        <f t="shared" ca="1" si="64"/>
        <v>0.7891443101479525</v>
      </c>
      <c r="H338">
        <f t="shared" ca="1" si="65"/>
        <v>1.059014984545545</v>
      </c>
      <c r="I338">
        <f t="shared" ca="1" si="66"/>
        <v>1.01530569070798</v>
      </c>
      <c r="K338">
        <f t="shared" si="57"/>
        <v>0.99427632397550914</v>
      </c>
      <c r="L338" s="7">
        <f t="shared" ca="1" si="58"/>
        <v>0.99600280233642657</v>
      </c>
      <c r="M338">
        <f t="shared" ca="1" si="59"/>
        <v>1.0594924490837831</v>
      </c>
      <c r="O338" t="b">
        <f t="shared" ca="1" si="60"/>
        <v>1</v>
      </c>
    </row>
    <row r="339" spans="1:15" x14ac:dyDescent="0.45">
      <c r="A339" s="1">
        <v>44747</v>
      </c>
      <c r="B339">
        <v>233.06700000000001</v>
      </c>
      <c r="C339">
        <f t="shared" si="56"/>
        <v>2.5538693056062808E-2</v>
      </c>
      <c r="D339">
        <f t="shared" ca="1" si="61"/>
        <v>4.9927159906081075E-4</v>
      </c>
      <c r="E339">
        <f t="shared" ca="1" si="62"/>
        <v>4.2348866445357632E-2</v>
      </c>
      <c r="F339">
        <f t="shared" ca="1" si="63"/>
        <v>-7.5426682533503625E-2</v>
      </c>
      <c r="G339">
        <f t="shared" ca="1" si="64"/>
        <v>0.79011783693591919</v>
      </c>
      <c r="H339">
        <f t="shared" ca="1" si="65"/>
        <v>1.059014984545545</v>
      </c>
      <c r="I339">
        <f t="shared" ca="1" si="66"/>
        <v>1.01530569070798</v>
      </c>
      <c r="K339">
        <f t="shared" si="57"/>
        <v>1.0255386930560628</v>
      </c>
      <c r="L339" s="7">
        <f t="shared" ca="1" si="58"/>
        <v>0.95160460558549742</v>
      </c>
      <c r="M339">
        <f t="shared" ca="1" si="59"/>
        <v>1.040437550380461</v>
      </c>
      <c r="O339" t="b">
        <f t="shared" ca="1" si="60"/>
        <v>1</v>
      </c>
    </row>
    <row r="340" spans="1:15" x14ac:dyDescent="0.45">
      <c r="A340" s="1">
        <v>44743</v>
      </c>
      <c r="B340">
        <v>227.26300000000001</v>
      </c>
      <c r="C340">
        <f t="shared" si="56"/>
        <v>1.2429111741723913E-2</v>
      </c>
      <c r="D340">
        <f t="shared" ca="1" si="61"/>
        <v>3.792584424217365E-4</v>
      </c>
      <c r="E340">
        <f t="shared" ca="1" si="62"/>
        <v>4.2311544513678002E-2</v>
      </c>
      <c r="F340">
        <f t="shared" ca="1" si="63"/>
        <v>-6.8083136744477857E-2</v>
      </c>
      <c r="G340">
        <f t="shared" ca="1" si="64"/>
        <v>0.80219681200634207</v>
      </c>
      <c r="H340">
        <f t="shared" ca="1" si="65"/>
        <v>1.059014984545545</v>
      </c>
      <c r="I340">
        <f t="shared" ca="1" si="66"/>
        <v>1.0034321159073836</v>
      </c>
      <c r="K340">
        <f t="shared" si="57"/>
        <v>1.0124291117417239</v>
      </c>
      <c r="L340" s="7">
        <f t="shared" ca="1" si="58"/>
        <v>0.92493498353730264</v>
      </c>
      <c r="M340">
        <f t="shared" ca="1" si="59"/>
        <v>1.0355883761723654</v>
      </c>
      <c r="O340" t="b">
        <f t="shared" ca="1" si="60"/>
        <v>1</v>
      </c>
    </row>
    <row r="341" spans="1:15" x14ac:dyDescent="0.45">
      <c r="A341" s="1">
        <v>44742</v>
      </c>
      <c r="B341">
        <v>224.47300000000001</v>
      </c>
      <c r="C341">
        <f t="shared" si="56"/>
        <v>-1.7580638102323933E-2</v>
      </c>
      <c r="D341">
        <f t="shared" ca="1" si="61"/>
        <v>3.9327250460744856E-4</v>
      </c>
      <c r="E341">
        <f t="shared" ca="1" si="62"/>
        <v>4.2316019541863904E-2</v>
      </c>
      <c r="F341">
        <f t="shared" ca="1" si="63"/>
        <v>-6.8962819836245526E-2</v>
      </c>
      <c r="G341">
        <f t="shared" ca="1" si="64"/>
        <v>0.80070642658998414</v>
      </c>
      <c r="H341">
        <f t="shared" ca="1" si="65"/>
        <v>1.059014984545545</v>
      </c>
      <c r="I341">
        <f t="shared" ca="1" si="66"/>
        <v>1.0034321159073836</v>
      </c>
      <c r="K341">
        <f t="shared" si="57"/>
        <v>0.98241936189767609</v>
      </c>
      <c r="L341" s="7">
        <f t="shared" ca="1" si="58"/>
        <v>0.95491981112009205</v>
      </c>
      <c r="M341">
        <f t="shared" ca="1" si="59"/>
        <v>1.0592401880247464</v>
      </c>
      <c r="O341" t="b">
        <f t="shared" ca="1" si="60"/>
        <v>1</v>
      </c>
    </row>
    <row r="342" spans="1:15" x14ac:dyDescent="0.45">
      <c r="A342" s="1">
        <v>44741</v>
      </c>
      <c r="B342">
        <v>228.49</v>
      </c>
      <c r="C342">
        <f t="shared" si="56"/>
        <v>-1.7935812742034624E-2</v>
      </c>
      <c r="D342">
        <f t="shared" ca="1" si="61"/>
        <v>4.9118914059222444E-4</v>
      </c>
      <c r="E342">
        <f t="shared" ca="1" si="62"/>
        <v>4.2296873002334555E-2</v>
      </c>
      <c r="F342">
        <f t="shared" ca="1" si="63"/>
        <v>-7.5681847728483242E-2</v>
      </c>
      <c r="G342">
        <f t="shared" ca="1" si="64"/>
        <v>0.80818891644198798</v>
      </c>
      <c r="H342">
        <f t="shared" ca="1" si="65"/>
        <v>1.059014984545545</v>
      </c>
      <c r="I342">
        <f t="shared" ca="1" si="66"/>
        <v>1.0034321159073836</v>
      </c>
      <c r="K342">
        <f t="shared" si="57"/>
        <v>0.9820641872579654</v>
      </c>
      <c r="L342" s="7">
        <f t="shared" ca="1" si="58"/>
        <v>0.96782118456331789</v>
      </c>
      <c r="M342">
        <f t="shared" ca="1" si="59"/>
        <v>1.0507042646704838</v>
      </c>
      <c r="O342" t="b">
        <f t="shared" ca="1" si="60"/>
        <v>1</v>
      </c>
    </row>
    <row r="343" spans="1:15" x14ac:dyDescent="0.45">
      <c r="A343" s="1">
        <v>44740</v>
      </c>
      <c r="B343">
        <v>232.66300000000001</v>
      </c>
      <c r="C343">
        <f t="shared" si="56"/>
        <v>-5.0044912624530369E-2</v>
      </c>
      <c r="D343">
        <f t="shared" ca="1" si="61"/>
        <v>6.2658519089289668E-4</v>
      </c>
      <c r="E343">
        <f t="shared" ca="1" si="62"/>
        <v>4.2280928590898624E-2</v>
      </c>
      <c r="F343">
        <f t="shared" ca="1" si="63"/>
        <v>-8.5007777505486673E-2</v>
      </c>
      <c r="G343">
        <f t="shared" ca="1" si="64"/>
        <v>0.81487541942345265</v>
      </c>
      <c r="H343">
        <f t="shared" ca="1" si="65"/>
        <v>1.059014984545545</v>
      </c>
      <c r="I343">
        <f t="shared" ca="1" si="66"/>
        <v>1.0034321159073836</v>
      </c>
      <c r="K343">
        <f t="shared" si="57"/>
        <v>0.94995508737546963</v>
      </c>
      <c r="L343" s="7">
        <f t="shared" ca="1" si="58"/>
        <v>0.98154718461674761</v>
      </c>
      <c r="M343">
        <f t="shared" ca="1" si="59"/>
        <v>1.0446815935427014</v>
      </c>
      <c r="O343" t="b">
        <f t="shared" ca="1" si="60"/>
        <v>1</v>
      </c>
    </row>
    <row r="344" spans="1:15" x14ac:dyDescent="0.45">
      <c r="A344" s="1">
        <v>44739</v>
      </c>
      <c r="B344">
        <v>244.92</v>
      </c>
      <c r="C344">
        <f t="shared" si="56"/>
        <v>-3.2030019494764341E-3</v>
      </c>
      <c r="D344">
        <f t="shared" ca="1" si="61"/>
        <v>7.5366771443204864E-4</v>
      </c>
      <c r="E344">
        <f t="shared" ca="1" si="62"/>
        <v>4.2165901795520926E-2</v>
      </c>
      <c r="F344">
        <f t="shared" ca="1" si="63"/>
        <v>-8.7120103940754534E-2</v>
      </c>
      <c r="G344">
        <f t="shared" ca="1" si="64"/>
        <v>0.84805596790186177</v>
      </c>
      <c r="H344">
        <f t="shared" ca="1" si="65"/>
        <v>1.059014984545545</v>
      </c>
      <c r="I344">
        <f t="shared" ca="1" si="66"/>
        <v>1.0034321159073836</v>
      </c>
      <c r="K344">
        <f t="shared" si="57"/>
        <v>0.99679699805052357</v>
      </c>
      <c r="L344" s="7">
        <f t="shared" ca="1" si="58"/>
        <v>1.1299132681306512</v>
      </c>
      <c r="M344">
        <f t="shared" ca="1" si="59"/>
        <v>0.83477812845784216</v>
      </c>
      <c r="O344" t="b">
        <f t="shared" ca="1" si="60"/>
        <v>0</v>
      </c>
    </row>
    <row r="345" spans="1:15" x14ac:dyDescent="0.45">
      <c r="A345" s="1">
        <v>44736</v>
      </c>
      <c r="B345">
        <v>245.70699999999999</v>
      </c>
      <c r="C345">
        <f t="shared" si="56"/>
        <v>4.5250350959288727E-2</v>
      </c>
      <c r="D345">
        <f t="shared" ca="1" si="61"/>
        <v>7.76248843006285E-4</v>
      </c>
      <c r="E345">
        <f t="shared" ca="1" si="62"/>
        <v>4.2164981508591021E-2</v>
      </c>
      <c r="F345">
        <f t="shared" ca="1" si="63"/>
        <v>-8.874445787557167E-2</v>
      </c>
      <c r="G345">
        <f t="shared" ca="1" si="64"/>
        <v>0.84858771345597761</v>
      </c>
      <c r="H345">
        <f t="shared" ca="1" si="65"/>
        <v>1.059014984545545</v>
      </c>
      <c r="I345">
        <f t="shared" ca="1" si="66"/>
        <v>1.0034321159073836</v>
      </c>
      <c r="K345">
        <f t="shared" si="57"/>
        <v>1.0452503509592888</v>
      </c>
      <c r="L345" s="7">
        <f t="shared" ca="1" si="58"/>
        <v>1.1530126701079304</v>
      </c>
      <c r="M345">
        <f t="shared" ca="1" si="59"/>
        <v>0.85659610955351262</v>
      </c>
      <c r="O345" t="b">
        <f t="shared" ca="1" si="60"/>
        <v>0</v>
      </c>
    </row>
    <row r="346" spans="1:15" x14ac:dyDescent="0.45">
      <c r="A346" s="1">
        <v>44735</v>
      </c>
      <c r="B346">
        <v>235.07</v>
      </c>
      <c r="C346">
        <f t="shared" si="56"/>
        <v>-4.307734013308636E-3</v>
      </c>
      <c r="D346">
        <f t="shared" ca="1" si="61"/>
        <v>5.5631250859370708E-4</v>
      </c>
      <c r="E346">
        <f t="shared" ca="1" si="62"/>
        <v>4.2046388853576193E-2</v>
      </c>
      <c r="F346">
        <f t="shared" ca="1" si="63"/>
        <v>-7.965328149589733E-2</v>
      </c>
      <c r="G346">
        <f t="shared" ca="1" si="64"/>
        <v>0.8843579766304539</v>
      </c>
      <c r="H346">
        <f t="shared" ca="1" si="65"/>
        <v>1.059014984545545</v>
      </c>
      <c r="I346">
        <f t="shared" ca="1" si="66"/>
        <v>0.94375489089460229</v>
      </c>
      <c r="K346">
        <f t="shared" si="57"/>
        <v>0.99569226598669136</v>
      </c>
      <c r="L346" s="7">
        <f t="shared" ca="1" si="58"/>
        <v>1.0088841201716736</v>
      </c>
      <c r="M346">
        <f t="shared" ca="1" si="59"/>
        <v>0.8289407723040032</v>
      </c>
      <c r="O346" t="b">
        <f t="shared" ca="1" si="60"/>
        <v>0</v>
      </c>
    </row>
    <row r="347" spans="1:15" x14ac:dyDescent="0.45">
      <c r="A347" s="1">
        <v>44734</v>
      </c>
      <c r="B347">
        <v>236.08699999999999</v>
      </c>
      <c r="C347">
        <f t="shared" si="56"/>
        <v>-4.007813126220873E-3</v>
      </c>
      <c r="D347">
        <f t="shared" ca="1" si="61"/>
        <v>7.0974061237405245E-4</v>
      </c>
      <c r="E347">
        <f t="shared" ca="1" si="62"/>
        <v>4.2084519589120031E-2</v>
      </c>
      <c r="F347">
        <f t="shared" ca="1" si="63"/>
        <v>-8.9304351233647924E-2</v>
      </c>
      <c r="G347">
        <f t="shared" ca="1" si="64"/>
        <v>0.87211338061276544</v>
      </c>
      <c r="H347">
        <f t="shared" ca="1" si="65"/>
        <v>1.059014984545545</v>
      </c>
      <c r="I347">
        <f t="shared" ca="1" si="66"/>
        <v>1.0034321159073836</v>
      </c>
      <c r="K347">
        <f t="shared" si="57"/>
        <v>0.99599218687377911</v>
      </c>
      <c r="L347" s="7">
        <f t="shared" ca="1" si="58"/>
        <v>1.068798949703472</v>
      </c>
      <c r="M347">
        <f t="shared" ca="1" si="59"/>
        <v>0.85926470727420323</v>
      </c>
      <c r="O347" t="b">
        <f t="shared" ca="1" si="60"/>
        <v>0</v>
      </c>
    </row>
    <row r="348" spans="1:15" x14ac:dyDescent="0.45">
      <c r="A348" s="1">
        <v>44733</v>
      </c>
      <c r="B348">
        <v>237.03700000000001</v>
      </c>
      <c r="C348">
        <f t="shared" si="56"/>
        <v>9.3545857169219482E-2</v>
      </c>
      <c r="D348">
        <f t="shared" ca="1" si="61"/>
        <v>7.3782866829721428E-4</v>
      </c>
      <c r="E348">
        <f t="shared" ca="1" si="62"/>
        <v>4.2083229810340184E-2</v>
      </c>
      <c r="F348">
        <f t="shared" ca="1" si="63"/>
        <v>-9.1327909981379629E-2</v>
      </c>
      <c r="G348">
        <f t="shared" ca="1" si="64"/>
        <v>0.87283891045802431</v>
      </c>
      <c r="H348">
        <f t="shared" ca="1" si="65"/>
        <v>1.059014984545545</v>
      </c>
      <c r="I348">
        <f t="shared" ca="1" si="66"/>
        <v>1.0034321159073836</v>
      </c>
      <c r="K348">
        <f t="shared" si="57"/>
        <v>1.0935458571692194</v>
      </c>
      <c r="L348" s="7">
        <f t="shared" ca="1" si="58"/>
        <v>1.0987313256418694</v>
      </c>
      <c r="M348">
        <f t="shared" ca="1" si="59"/>
        <v>0.84409081306247868</v>
      </c>
      <c r="O348" t="b">
        <f t="shared" ca="1" si="60"/>
        <v>0</v>
      </c>
    </row>
    <row r="349" spans="1:15" x14ac:dyDescent="0.45">
      <c r="A349" s="1">
        <v>44729</v>
      </c>
      <c r="B349">
        <v>216.76</v>
      </c>
      <c r="C349">
        <f t="shared" si="56"/>
        <v>1.7175035194744236E-2</v>
      </c>
      <c r="D349">
        <f t="shared" ca="1" si="61"/>
        <v>2.5851362537195288E-4</v>
      </c>
      <c r="E349">
        <f t="shared" ca="1" si="62"/>
        <v>4.1563579811928202E-2</v>
      </c>
      <c r="F349">
        <f t="shared" ca="1" si="63"/>
        <v>-0.11636168020851326</v>
      </c>
      <c r="G349">
        <f t="shared" ca="1" si="64"/>
        <v>0.93747030206975168</v>
      </c>
      <c r="H349">
        <f t="shared" ca="1" si="65"/>
        <v>0.84290540695141314</v>
      </c>
      <c r="I349">
        <f t="shared" ca="1" si="66"/>
        <v>0.94375489089460229</v>
      </c>
      <c r="K349">
        <f t="shared" si="57"/>
        <v>1.0171750351947442</v>
      </c>
      <c r="L349" s="7">
        <f t="shared" ca="1" si="58"/>
        <v>0.93338500624380982</v>
      </c>
      <c r="M349">
        <f t="shared" ca="1" si="59"/>
        <v>0.82984378321504204</v>
      </c>
      <c r="O349" t="b">
        <f t="shared" ca="1" si="60"/>
        <v>1</v>
      </c>
    </row>
    <row r="350" spans="1:15" x14ac:dyDescent="0.45">
      <c r="A350" s="1">
        <v>44728</v>
      </c>
      <c r="B350">
        <v>213.1</v>
      </c>
      <c r="C350">
        <f t="shared" si="56"/>
        <v>-8.5407725321888436E-2</v>
      </c>
      <c r="D350">
        <f t="shared" ca="1" si="61"/>
        <v>1.6156766159852493E-4</v>
      </c>
      <c r="E350">
        <f t="shared" ca="1" si="62"/>
        <v>4.1546533086288792E-2</v>
      </c>
      <c r="F350">
        <f t="shared" ca="1" si="63"/>
        <v>-0.10977766654197545</v>
      </c>
      <c r="G350">
        <f t="shared" ca="1" si="64"/>
        <v>0.94279028792095421</v>
      </c>
      <c r="H350">
        <f t="shared" ca="1" si="65"/>
        <v>0.84290540695141314</v>
      </c>
      <c r="I350">
        <f t="shared" ca="1" si="66"/>
        <v>0.94375489089460229</v>
      </c>
      <c r="K350">
        <f t="shared" si="57"/>
        <v>0.91459227467811155</v>
      </c>
      <c r="L350" s="7">
        <f t="shared" ca="1" si="58"/>
        <v>0.88900198992937196</v>
      </c>
      <c r="M350">
        <f t="shared" ca="1" si="59"/>
        <v>0.83417949655883117</v>
      </c>
      <c r="O350" t="b">
        <f t="shared" ca="1" si="60"/>
        <v>1</v>
      </c>
    </row>
    <row r="351" spans="1:15" x14ac:dyDescent="0.45">
      <c r="A351" s="1">
        <v>44727</v>
      </c>
      <c r="B351">
        <v>233</v>
      </c>
      <c r="C351">
        <f t="shared" si="56"/>
        <v>5.4823667888994586E-2</v>
      </c>
      <c r="D351">
        <f t="shared" ca="1" si="61"/>
        <v>6.2150359034188023E-4</v>
      </c>
      <c r="E351">
        <f t="shared" ca="1" si="62"/>
        <v>4.1101268801446891E-2</v>
      </c>
      <c r="F351">
        <f t="shared" ca="1" si="63"/>
        <v>-0.10147273504736469</v>
      </c>
      <c r="G351">
        <f t="shared" ca="1" si="64"/>
        <v>1.0250242933366778</v>
      </c>
      <c r="H351">
        <f t="shared" ca="1" si="65"/>
        <v>0.85793267714446686</v>
      </c>
      <c r="I351">
        <f t="shared" ca="1" si="66"/>
        <v>0.99556598774016281</v>
      </c>
      <c r="K351">
        <f t="shared" si="57"/>
        <v>1.0548236678889946</v>
      </c>
      <c r="L351" s="7">
        <f t="shared" ca="1" si="58"/>
        <v>0.9633393559270178</v>
      </c>
      <c r="M351">
        <f t="shared" ca="1" si="59"/>
        <v>0.82146239125698717</v>
      </c>
      <c r="O351" t="b">
        <f t="shared" ca="1" si="60"/>
        <v>1</v>
      </c>
    </row>
    <row r="352" spans="1:15" x14ac:dyDescent="0.45">
      <c r="A352" s="1">
        <v>44726</v>
      </c>
      <c r="B352">
        <v>220.89</v>
      </c>
      <c r="C352">
        <f t="shared" si="56"/>
        <v>2.388556436772548E-2</v>
      </c>
      <c r="D352">
        <f t="shared" ca="1" si="61"/>
        <v>4.8075679071663457E-4</v>
      </c>
      <c r="E352">
        <f t="shared" ca="1" si="62"/>
        <v>4.0962690291614541E-2</v>
      </c>
      <c r="F352">
        <f t="shared" ca="1" si="63"/>
        <v>-0.10254779388315191</v>
      </c>
      <c r="G352">
        <f t="shared" ca="1" si="64"/>
        <v>1.0638509608812106</v>
      </c>
      <c r="H352">
        <f t="shared" ca="1" si="65"/>
        <v>0.85793267714446686</v>
      </c>
      <c r="I352">
        <f t="shared" ca="1" si="66"/>
        <v>0.99556598774016281</v>
      </c>
      <c r="K352">
        <f t="shared" si="57"/>
        <v>1.0238855643677254</v>
      </c>
      <c r="L352" s="7">
        <f t="shared" ca="1" si="58"/>
        <v>0.92466312524331584</v>
      </c>
      <c r="M352">
        <f t="shared" ca="1" si="59"/>
        <v>0.81968036102535136</v>
      </c>
      <c r="O352" t="b">
        <f t="shared" ca="1" si="60"/>
        <v>1</v>
      </c>
    </row>
    <row r="353" spans="1:15" x14ac:dyDescent="0.45">
      <c r="A353" s="1">
        <v>44725</v>
      </c>
      <c r="B353">
        <v>215.73699999999999</v>
      </c>
      <c r="C353">
        <f t="shared" si="56"/>
        <v>-7.1020109374327151E-2</v>
      </c>
      <c r="D353">
        <f t="shared" ca="1" si="61"/>
        <v>4.3806609021978285E-4</v>
      </c>
      <c r="E353">
        <f t="shared" ca="1" si="62"/>
        <v>4.0942619822891997E-2</v>
      </c>
      <c r="F353">
        <f t="shared" ca="1" si="63"/>
        <v>-0.10024418136080096</v>
      </c>
      <c r="G353">
        <f t="shared" ca="1" si="64"/>
        <v>1.0710188555698608</v>
      </c>
      <c r="H353">
        <f t="shared" ca="1" si="65"/>
        <v>0.85793267714446686</v>
      </c>
      <c r="I353">
        <f t="shared" ca="1" si="66"/>
        <v>0.93801928555816272</v>
      </c>
      <c r="K353">
        <f t="shared" si="57"/>
        <v>0.92897989062567288</v>
      </c>
      <c r="L353" s="7">
        <f t="shared" ca="1" si="58"/>
        <v>0.9053928151754238</v>
      </c>
      <c r="M353">
        <f t="shared" ca="1" si="59"/>
        <v>0.81119783751986541</v>
      </c>
      <c r="O353" t="b">
        <f t="shared" ca="1" si="60"/>
        <v>1</v>
      </c>
    </row>
    <row r="354" spans="1:15" x14ac:dyDescent="0.45">
      <c r="A354" s="1">
        <v>44722</v>
      </c>
      <c r="B354">
        <v>232.23</v>
      </c>
      <c r="C354">
        <f t="shared" si="56"/>
        <v>-3.1192247201792204E-2</v>
      </c>
      <c r="D354">
        <f t="shared" ca="1" si="61"/>
        <v>7.2257477909346999E-4</v>
      </c>
      <c r="E354">
        <f t="shared" ca="1" si="62"/>
        <v>4.0640151166051151E-2</v>
      </c>
      <c r="F354">
        <f t="shared" ca="1" si="63"/>
        <v>-9.6353721787519983E-2</v>
      </c>
      <c r="G354">
        <f t="shared" ca="1" si="64"/>
        <v>1.1479847457601258</v>
      </c>
      <c r="H354">
        <f t="shared" ca="1" si="65"/>
        <v>0.8650350030127999</v>
      </c>
      <c r="I354">
        <f t="shared" ca="1" si="66"/>
        <v>0.97294988321089859</v>
      </c>
      <c r="K354">
        <f t="shared" si="57"/>
        <v>0.96880775279820774</v>
      </c>
      <c r="L354" s="7">
        <f t="shared" ca="1" si="58"/>
        <v>0.99024804171978986</v>
      </c>
      <c r="M354">
        <f t="shared" ca="1" si="59"/>
        <v>0.8115051018844941</v>
      </c>
      <c r="O354" t="b">
        <f t="shared" ca="1" si="60"/>
        <v>1</v>
      </c>
    </row>
    <row r="355" spans="1:15" x14ac:dyDescent="0.45">
      <c r="A355" s="1">
        <v>44721</v>
      </c>
      <c r="B355">
        <v>239.70699999999999</v>
      </c>
      <c r="C355">
        <f t="shared" si="56"/>
        <v>-8.9305279347740556E-3</v>
      </c>
      <c r="D355">
        <f t="shared" ca="1" si="61"/>
        <v>8.9767533836644707E-4</v>
      </c>
      <c r="E355">
        <f t="shared" ca="1" si="62"/>
        <v>4.0577347840440418E-2</v>
      </c>
      <c r="F355">
        <f t="shared" ca="1" si="63"/>
        <v>-0.10740640119531736</v>
      </c>
      <c r="G355">
        <f t="shared" ca="1" si="64"/>
        <v>1.1738031924743568</v>
      </c>
      <c r="H355">
        <f t="shared" ca="1" si="65"/>
        <v>0.8650350030127999</v>
      </c>
      <c r="I355">
        <f t="shared" ca="1" si="66"/>
        <v>1.0585835183643633</v>
      </c>
      <c r="K355">
        <f t="shared" si="57"/>
        <v>0.991069472065226</v>
      </c>
      <c r="L355" s="7">
        <f t="shared" ca="1" si="58"/>
        <v>0.92789926180549887</v>
      </c>
      <c r="M355">
        <f t="shared" ca="1" si="59"/>
        <v>0.83561752049767879</v>
      </c>
      <c r="O355" t="b">
        <f t="shared" ca="1" si="60"/>
        <v>1</v>
      </c>
    </row>
    <row r="356" spans="1:15" x14ac:dyDescent="0.45">
      <c r="A356" s="1">
        <v>44720</v>
      </c>
      <c r="B356">
        <v>241.86699999999999</v>
      </c>
      <c r="C356">
        <f t="shared" si="56"/>
        <v>1.2474517240368835E-2</v>
      </c>
      <c r="D356">
        <f t="shared" ca="1" si="61"/>
        <v>9.5783132718848304E-4</v>
      </c>
      <c r="E356">
        <f t="shared" ca="1" si="62"/>
        <v>4.0571622026080875E-2</v>
      </c>
      <c r="F356">
        <f t="shared" ca="1" si="63"/>
        <v>-0.11187198107056887</v>
      </c>
      <c r="G356">
        <f t="shared" ca="1" si="64"/>
        <v>1.1768312853177232</v>
      </c>
      <c r="H356">
        <f t="shared" ca="1" si="65"/>
        <v>0.8650350030127999</v>
      </c>
      <c r="I356">
        <f t="shared" ca="1" si="66"/>
        <v>1.0585835183643633</v>
      </c>
      <c r="K356">
        <f t="shared" si="57"/>
        <v>1.0124745172403689</v>
      </c>
      <c r="L356" s="7">
        <f t="shared" ca="1" si="58"/>
        <v>0.98005186595891225</v>
      </c>
      <c r="M356">
        <f t="shared" ca="1" si="59"/>
        <v>0.84225652555196273</v>
      </c>
      <c r="O356" t="b">
        <f t="shared" ca="1" si="60"/>
        <v>1</v>
      </c>
    </row>
    <row r="357" spans="1:15" x14ac:dyDescent="0.45">
      <c r="A357" s="1">
        <v>44719</v>
      </c>
      <c r="B357">
        <v>238.887</v>
      </c>
      <c r="C357">
        <f t="shared" si="56"/>
        <v>2.5474231995971097E-3</v>
      </c>
      <c r="D357">
        <f t="shared" ca="1" si="61"/>
        <v>1.0868564292200915E-3</v>
      </c>
      <c r="E357">
        <f t="shared" ca="1" si="62"/>
        <v>4.0649389004685337E-2</v>
      </c>
      <c r="F357">
        <f t="shared" ca="1" si="63"/>
        <v>-0.11703651151384044</v>
      </c>
      <c r="G357">
        <f t="shared" ca="1" si="64"/>
        <v>1.1497113026125927</v>
      </c>
      <c r="H357">
        <f t="shared" ca="1" si="65"/>
        <v>0.8650350030127999</v>
      </c>
      <c r="I357">
        <f t="shared" ca="1" si="66"/>
        <v>1.1235267358482541</v>
      </c>
      <c r="K357">
        <f t="shared" si="57"/>
        <v>1.002547423199597</v>
      </c>
      <c r="L357" s="7">
        <f t="shared" ca="1" si="58"/>
        <v>0.94514011703125167</v>
      </c>
      <c r="M357">
        <f t="shared" ca="1" si="59"/>
        <v>0.85640486863660481</v>
      </c>
      <c r="O357" t="b">
        <f t="shared" ca="1" si="60"/>
        <v>1</v>
      </c>
    </row>
    <row r="358" spans="1:15" x14ac:dyDescent="0.45">
      <c r="A358" s="1">
        <v>44718</v>
      </c>
      <c r="B358">
        <v>238.28</v>
      </c>
      <c r="C358">
        <f t="shared" si="56"/>
        <v>1.6045745084578112E-2</v>
      </c>
      <c r="D358">
        <f t="shared" ca="1" si="61"/>
        <v>1.1245224492192547E-3</v>
      </c>
      <c r="E358">
        <f t="shared" ca="1" si="62"/>
        <v>4.0654239048874059E-2</v>
      </c>
      <c r="F358">
        <f t="shared" ca="1" si="63"/>
        <v>-0.1197474746884033</v>
      </c>
      <c r="G358">
        <f t="shared" ca="1" si="64"/>
        <v>1.1481694650089365</v>
      </c>
      <c r="H358">
        <f t="shared" ca="1" si="65"/>
        <v>0.8650350030127999</v>
      </c>
      <c r="I358">
        <f t="shared" ca="1" si="66"/>
        <v>1.1235267358482541</v>
      </c>
      <c r="K358">
        <f t="shared" si="57"/>
        <v>1.0160457450845781</v>
      </c>
      <c r="L358" s="7">
        <f t="shared" ca="1" si="58"/>
        <v>0.94103708384344997</v>
      </c>
      <c r="M358">
        <f t="shared" ca="1" si="59"/>
        <v>0.86187676132782576</v>
      </c>
      <c r="O358" t="b">
        <f t="shared" ca="1" si="60"/>
        <v>1</v>
      </c>
    </row>
    <row r="359" spans="1:15" x14ac:dyDescent="0.45">
      <c r="A359" s="1">
        <v>44715</v>
      </c>
      <c r="B359">
        <v>234.517</v>
      </c>
      <c r="C359">
        <f t="shared" si="56"/>
        <v>-9.2191086698176494E-2</v>
      </c>
      <c r="D359">
        <f t="shared" ca="1" si="61"/>
        <v>9.3167218702291726E-4</v>
      </c>
      <c r="E359">
        <f t="shared" ca="1" si="62"/>
        <v>4.067457871638909E-2</v>
      </c>
      <c r="F359">
        <f t="shared" ca="1" si="63"/>
        <v>-0.1064484671215595</v>
      </c>
      <c r="G359">
        <f t="shared" ca="1" si="64"/>
        <v>1.1380861214827664</v>
      </c>
      <c r="H359">
        <f t="shared" ca="1" si="65"/>
        <v>0.8650350030127999</v>
      </c>
      <c r="I359">
        <f t="shared" ca="1" si="66"/>
        <v>1.0326395484759712</v>
      </c>
      <c r="K359">
        <f t="shared" si="57"/>
        <v>0.90780891330182345</v>
      </c>
      <c r="L359" s="7">
        <f t="shared" ca="1" si="58"/>
        <v>0.99409520579882182</v>
      </c>
      <c r="M359">
        <f t="shared" ca="1" si="59"/>
        <v>0.86353610422672977</v>
      </c>
      <c r="O359" t="b">
        <f t="shared" ca="1" si="60"/>
        <v>1</v>
      </c>
    </row>
    <row r="360" spans="1:15" x14ac:dyDescent="0.45">
      <c r="A360" s="1">
        <v>44714</v>
      </c>
      <c r="B360">
        <v>258.33300000000003</v>
      </c>
      <c r="C360">
        <f t="shared" si="56"/>
        <v>4.6772559666113031E-2</v>
      </c>
      <c r="D360">
        <f t="shared" ca="1" si="61"/>
        <v>1.5674787942248365E-3</v>
      </c>
      <c r="E360">
        <f t="shared" ca="1" si="62"/>
        <v>4.0202738406909855E-2</v>
      </c>
      <c r="F360">
        <f t="shared" ca="1" si="63"/>
        <v>-9.2005150627288368E-2</v>
      </c>
      <c r="G360">
        <f t="shared" ca="1" si="64"/>
        <v>1.1959516246437856</v>
      </c>
      <c r="H360">
        <f t="shared" ca="1" si="65"/>
        <v>0.90743306878309982</v>
      </c>
      <c r="I360">
        <f t="shared" ca="1" si="66"/>
        <v>1.2039819935461005</v>
      </c>
      <c r="K360">
        <f t="shared" si="57"/>
        <v>1.046772559666113</v>
      </c>
      <c r="L360" s="7">
        <f t="shared" ca="1" si="58"/>
        <v>1.1763797814207653</v>
      </c>
      <c r="M360">
        <f t="shared" ca="1" si="59"/>
        <v>0.91624798937716001</v>
      </c>
      <c r="O360" t="b">
        <f t="shared" ca="1" si="60"/>
        <v>0</v>
      </c>
    </row>
    <row r="361" spans="1:15" x14ac:dyDescent="0.45">
      <c r="A361" s="1">
        <v>44713</v>
      </c>
      <c r="B361">
        <v>246.79</v>
      </c>
      <c r="C361">
        <f t="shared" si="56"/>
        <v>-2.3592202664261132E-2</v>
      </c>
      <c r="D361">
        <f t="shared" ca="1" si="61"/>
        <v>1.1845273602957519E-3</v>
      </c>
      <c r="E361">
        <f t="shared" ca="1" si="62"/>
        <v>4.0134696349418589E-2</v>
      </c>
      <c r="F361">
        <f t="shared" ca="1" si="63"/>
        <v>-7.3239145731396935E-2</v>
      </c>
      <c r="G361">
        <f t="shared" ca="1" si="64"/>
        <v>1.2149760504473637</v>
      </c>
      <c r="H361">
        <f t="shared" ca="1" si="65"/>
        <v>0.90743306878309982</v>
      </c>
      <c r="I361">
        <f t="shared" ca="1" si="66"/>
        <v>1.0326395484759712</v>
      </c>
      <c r="K361">
        <f t="shared" si="57"/>
        <v>0.9764077973357389</v>
      </c>
      <c r="L361" s="7">
        <f t="shared" ca="1" si="58"/>
        <v>1.1786309560765473</v>
      </c>
      <c r="M361">
        <f t="shared" ca="1" si="59"/>
        <v>0.97340092583928906</v>
      </c>
      <c r="O361" t="b">
        <f t="shared" ca="1" si="60"/>
        <v>0</v>
      </c>
    </row>
    <row r="362" spans="1:15" x14ac:dyDescent="0.45">
      <c r="A362" s="1">
        <v>44712</v>
      </c>
      <c r="B362">
        <v>252.75299999999999</v>
      </c>
      <c r="C362">
        <f t="shared" si="56"/>
        <v>-1.8048260337270331E-3</v>
      </c>
      <c r="D362">
        <f t="shared" ca="1" si="61"/>
        <v>1.0863474532507862E-3</v>
      </c>
      <c r="E362">
        <f t="shared" ca="1" si="62"/>
        <v>4.0219538933228008E-2</v>
      </c>
      <c r="F362">
        <f t="shared" ca="1" si="63"/>
        <v>-7.1027413447752652E-2</v>
      </c>
      <c r="G362">
        <f t="shared" ca="1" si="64"/>
        <v>1.185347977656221</v>
      </c>
      <c r="H362">
        <f t="shared" ca="1" si="65"/>
        <v>0.90743306878309982</v>
      </c>
      <c r="I362">
        <f t="shared" ca="1" si="66"/>
        <v>1.0326395484759712</v>
      </c>
      <c r="K362">
        <f t="shared" si="57"/>
        <v>0.998195173966273</v>
      </c>
      <c r="L362" s="7">
        <f t="shared" ca="1" si="58"/>
        <v>1.1235114483457573</v>
      </c>
      <c r="M362">
        <f t="shared" ca="1" si="59"/>
        <v>0.94594986618883903</v>
      </c>
      <c r="O362" t="b">
        <f t="shared" ca="1" si="60"/>
        <v>0</v>
      </c>
    </row>
    <row r="363" spans="1:15" x14ac:dyDescent="0.45">
      <c r="A363" s="1">
        <v>44708</v>
      </c>
      <c r="B363">
        <v>253.21</v>
      </c>
      <c r="C363">
        <f t="shared" si="56"/>
        <v>7.3333050739688918E-2</v>
      </c>
      <c r="D363">
        <f t="shared" ca="1" si="61"/>
        <v>1.0602106280715496E-3</v>
      </c>
      <c r="E363">
        <f t="shared" ca="1" si="62"/>
        <v>4.0223125566989051E-2</v>
      </c>
      <c r="F363">
        <f t="shared" ca="1" si="63"/>
        <v>-6.907918762730958E-2</v>
      </c>
      <c r="G363">
        <f t="shared" ca="1" si="64"/>
        <v>1.1836617040409712</v>
      </c>
      <c r="H363">
        <f t="shared" ca="1" si="65"/>
        <v>0.90743306878309982</v>
      </c>
      <c r="I363">
        <f t="shared" ca="1" si="66"/>
        <v>1.0326395484759712</v>
      </c>
      <c r="K363">
        <f t="shared" si="57"/>
        <v>1.073333050739689</v>
      </c>
      <c r="L363" s="7">
        <f t="shared" ca="1" si="58"/>
        <v>1.1441934026208767</v>
      </c>
      <c r="M363">
        <f t="shared" ca="1" si="59"/>
        <v>0.95126573842608808</v>
      </c>
      <c r="O363" t="b">
        <f t="shared" ca="1" si="60"/>
        <v>0</v>
      </c>
    </row>
    <row r="364" spans="1:15" x14ac:dyDescent="0.45">
      <c r="A364" s="1">
        <v>44707</v>
      </c>
      <c r="B364">
        <v>235.91</v>
      </c>
      <c r="C364">
        <f t="shared" si="56"/>
        <v>7.4271402550091084E-2</v>
      </c>
      <c r="D364">
        <f t="shared" ca="1" si="61"/>
        <v>7.9547806912600794E-4</v>
      </c>
      <c r="E364">
        <f t="shared" ca="1" si="62"/>
        <v>3.9918144457450594E-2</v>
      </c>
      <c r="F364">
        <f t="shared" ca="1" si="63"/>
        <v>-8.0126621386047689E-2</v>
      </c>
      <c r="G364">
        <f t="shared" ca="1" si="64"/>
        <v>1.2565989222243408</v>
      </c>
      <c r="H364">
        <f t="shared" ca="1" si="65"/>
        <v>0.88796104749647042</v>
      </c>
      <c r="I364">
        <f t="shared" ca="1" si="66"/>
        <v>0.97294988321089859</v>
      </c>
      <c r="K364">
        <f t="shared" si="57"/>
        <v>1.074271402550091</v>
      </c>
      <c r="L364" s="7">
        <f t="shared" ca="1" si="58"/>
        <v>0.99761917851086601</v>
      </c>
      <c r="M364">
        <f t="shared" ca="1" si="59"/>
        <v>0.98765502695559881</v>
      </c>
      <c r="O364" t="b">
        <f t="shared" ca="1" si="60"/>
        <v>1</v>
      </c>
    </row>
    <row r="365" spans="1:15" x14ac:dyDescent="0.45">
      <c r="A365" s="1">
        <v>44706</v>
      </c>
      <c r="B365">
        <v>219.6</v>
      </c>
      <c r="C365">
        <f t="shared" si="56"/>
        <v>4.8775711959195146E-2</v>
      </c>
      <c r="D365">
        <f t="shared" ca="1" si="61"/>
        <v>4.0884617183508672E-4</v>
      </c>
      <c r="E365">
        <f t="shared" ca="1" si="62"/>
        <v>3.9575918443499052E-2</v>
      </c>
      <c r="F365">
        <f t="shared" ca="1" si="63"/>
        <v>-8.510569330116137E-2</v>
      </c>
      <c r="G365">
        <f t="shared" ca="1" si="64"/>
        <v>1.3418415991860089</v>
      </c>
      <c r="H365">
        <f t="shared" ca="1" si="65"/>
        <v>0.87262129691436785</v>
      </c>
      <c r="I365">
        <f t="shared" ca="1" si="66"/>
        <v>0.9564957945404684</v>
      </c>
      <c r="K365">
        <f t="shared" si="57"/>
        <v>1.0487757119591952</v>
      </c>
      <c r="L365" s="7">
        <f t="shared" ca="1" si="58"/>
        <v>0.92813700587059333</v>
      </c>
      <c r="M365">
        <f t="shared" ca="1" si="59"/>
        <v>0.98522123366929204</v>
      </c>
      <c r="O365" t="b">
        <f t="shared" ca="1" si="60"/>
        <v>1</v>
      </c>
    </row>
    <row r="366" spans="1:15" x14ac:dyDescent="0.45">
      <c r="A366" s="1">
        <v>44705</v>
      </c>
      <c r="B366">
        <v>209.387</v>
      </c>
      <c r="C366">
        <f t="shared" si="56"/>
        <v>-6.9254601786039788E-2</v>
      </c>
      <c r="D366">
        <f t="shared" ca="1" si="61"/>
        <v>1.3855116953743031E-4</v>
      </c>
      <c r="E366">
        <f t="shared" ca="1" si="62"/>
        <v>3.9428253371533037E-2</v>
      </c>
      <c r="F366">
        <f t="shared" ca="1" si="63"/>
        <v>-7.4676455965575761E-2</v>
      </c>
      <c r="G366">
        <f t="shared" ca="1" si="64"/>
        <v>1.3938357487532445</v>
      </c>
      <c r="H366">
        <f t="shared" ca="1" si="65"/>
        <v>0.87262129691436785</v>
      </c>
      <c r="I366">
        <f t="shared" ca="1" si="66"/>
        <v>0.94442387101072989</v>
      </c>
      <c r="K366">
        <f t="shared" si="57"/>
        <v>0.93074539821396018</v>
      </c>
      <c r="L366" s="7">
        <f t="shared" ca="1" si="58"/>
        <v>0.82478039941702441</v>
      </c>
      <c r="M366">
        <f t="shared" ca="1" si="59"/>
        <v>1.0168773330245435</v>
      </c>
      <c r="O366" t="b">
        <f t="shared" ca="1" si="60"/>
        <v>1</v>
      </c>
    </row>
    <row r="367" spans="1:15" x14ac:dyDescent="0.45">
      <c r="A367" s="1">
        <v>44704</v>
      </c>
      <c r="B367">
        <v>224.96700000000001</v>
      </c>
      <c r="C367">
        <f t="shared" si="56"/>
        <v>1.6570266606416636E-2</v>
      </c>
      <c r="D367">
        <f t="shared" ca="1" si="61"/>
        <v>5.8968057219727327E-4</v>
      </c>
      <c r="E367">
        <f t="shared" ca="1" si="62"/>
        <v>3.9145440375463116E-2</v>
      </c>
      <c r="F367">
        <f t="shared" ca="1" si="63"/>
        <v>-8.2189741279549061E-2</v>
      </c>
      <c r="G367">
        <f t="shared" ca="1" si="64"/>
        <v>1.4758485780603046</v>
      </c>
      <c r="H367">
        <f t="shared" ca="1" si="65"/>
        <v>0.87531363953416086</v>
      </c>
      <c r="I367">
        <f t="shared" ca="1" si="66"/>
        <v>1.040681232360956</v>
      </c>
      <c r="K367">
        <f t="shared" si="57"/>
        <v>1.0165702666064167</v>
      </c>
      <c r="L367" s="7">
        <f t="shared" ca="1" si="58"/>
        <v>0.93170626654021216</v>
      </c>
      <c r="M367">
        <f t="shared" ca="1" si="59"/>
        <v>1.0383334557661681</v>
      </c>
      <c r="O367" t="b">
        <f t="shared" ca="1" si="60"/>
        <v>1</v>
      </c>
    </row>
    <row r="368" spans="1:15" x14ac:dyDescent="0.45">
      <c r="A368" s="1">
        <v>44701</v>
      </c>
      <c r="B368">
        <v>221.3</v>
      </c>
      <c r="C368">
        <f t="shared" si="56"/>
        <v>-6.4163773454051845E-2</v>
      </c>
      <c r="D368">
        <f t="shared" ca="1" si="61"/>
        <v>3.9816461551378876E-4</v>
      </c>
      <c r="E368">
        <f t="shared" ca="1" si="62"/>
        <v>3.9160558485654105E-2</v>
      </c>
      <c r="F368">
        <f t="shared" ca="1" si="63"/>
        <v>-6.8559772099641023E-2</v>
      </c>
      <c r="G368">
        <f t="shared" ca="1" si="64"/>
        <v>1.4677571390235862</v>
      </c>
      <c r="H368">
        <f t="shared" ca="1" si="65"/>
        <v>0.87531363953416086</v>
      </c>
      <c r="I368">
        <f t="shared" ca="1" si="66"/>
        <v>0.9606100300790188</v>
      </c>
      <c r="K368">
        <f t="shared" si="57"/>
        <v>0.93583622654594811</v>
      </c>
      <c r="L368" s="7">
        <f t="shared" ca="1" si="58"/>
        <v>0.86266713444821275</v>
      </c>
      <c r="M368">
        <f t="shared" ca="1" si="59"/>
        <v>1.1115496675582421</v>
      </c>
      <c r="O368" t="b">
        <f t="shared" ca="1" si="60"/>
        <v>1</v>
      </c>
    </row>
    <row r="369" spans="1:15" x14ac:dyDescent="0.45">
      <c r="A369" s="1">
        <v>44700</v>
      </c>
      <c r="B369">
        <v>236.47300000000001</v>
      </c>
      <c r="C369">
        <f t="shared" si="56"/>
        <v>-5.494435827102591E-4</v>
      </c>
      <c r="D369">
        <f t="shared" ca="1" si="61"/>
        <v>7.4508350261753235E-4</v>
      </c>
      <c r="E369">
        <f t="shared" ca="1" si="62"/>
        <v>3.889214919843182E-2</v>
      </c>
      <c r="F369">
        <f t="shared" ca="1" si="63"/>
        <v>-7.3790837750358093E-2</v>
      </c>
      <c r="G369">
        <f t="shared" ca="1" si="64"/>
        <v>1.5565185706671443</v>
      </c>
      <c r="H369">
        <f t="shared" ca="1" si="65"/>
        <v>0.9189509306469581</v>
      </c>
      <c r="I369">
        <f t="shared" ca="1" si="66"/>
        <v>1.040681232360956</v>
      </c>
      <c r="K369">
        <f t="shared" si="57"/>
        <v>0.99945055641728975</v>
      </c>
      <c r="L369" s="7">
        <f t="shared" ca="1" si="58"/>
        <v>0.97447530978666241</v>
      </c>
      <c r="M369">
        <f t="shared" ca="1" si="59"/>
        <v>1.0607029967171946</v>
      </c>
      <c r="O369" t="b">
        <f t="shared" ca="1" si="60"/>
        <v>1</v>
      </c>
    </row>
    <row r="370" spans="1:15" x14ac:dyDescent="0.45">
      <c r="A370" s="1">
        <v>44699</v>
      </c>
      <c r="B370">
        <v>236.60300000000001</v>
      </c>
      <c r="C370">
        <f t="shared" si="56"/>
        <v>-6.8015125851813907E-2</v>
      </c>
      <c r="D370">
        <f t="shared" ca="1" si="61"/>
        <v>7.5613657901447181E-4</v>
      </c>
      <c r="E370">
        <f t="shared" ca="1" si="62"/>
        <v>3.8892093573823151E-2</v>
      </c>
      <c r="F370">
        <f t="shared" ca="1" si="63"/>
        <v>-7.4652108583713073E-2</v>
      </c>
      <c r="G370">
        <f t="shared" ca="1" si="64"/>
        <v>1.5566309829905611</v>
      </c>
      <c r="H370">
        <f t="shared" ca="1" si="65"/>
        <v>0.9189509306469581</v>
      </c>
      <c r="I370">
        <f t="shared" ca="1" si="66"/>
        <v>1.040681232360956</v>
      </c>
      <c r="K370">
        <f t="shared" si="57"/>
        <v>0.93198487414818609</v>
      </c>
      <c r="L370" s="7">
        <f t="shared" ca="1" si="58"/>
        <v>0.96704091683798787</v>
      </c>
      <c r="M370">
        <f t="shared" ca="1" si="59"/>
        <v>1.0484207159913659</v>
      </c>
      <c r="O370" t="b">
        <f t="shared" ca="1" si="60"/>
        <v>1</v>
      </c>
    </row>
    <row r="371" spans="1:15" x14ac:dyDescent="0.45">
      <c r="A371" s="1">
        <v>44698</v>
      </c>
      <c r="B371">
        <v>253.87</v>
      </c>
      <c r="C371">
        <f t="shared" si="56"/>
        <v>5.1408739444290336E-2</v>
      </c>
      <c r="D371">
        <f t="shared" ca="1" si="61"/>
        <v>1.0966983490345416E-3</v>
      </c>
      <c r="E371">
        <f t="shared" ca="1" si="62"/>
        <v>3.8583860552289989E-2</v>
      </c>
      <c r="F371">
        <f t="shared" ca="1" si="63"/>
        <v>-7.4461431689975113E-2</v>
      </c>
      <c r="G371">
        <f t="shared" ca="1" si="64"/>
        <v>1.6554016059129326</v>
      </c>
      <c r="H371">
        <f t="shared" ca="1" si="65"/>
        <v>0.9540956975412358</v>
      </c>
      <c r="I371">
        <f t="shared" ca="1" si="66"/>
        <v>1.1207333277878901</v>
      </c>
      <c r="K371">
        <f t="shared" si="57"/>
        <v>1.0514087394442904</v>
      </c>
      <c r="L371" s="7">
        <f t="shared" ca="1" si="58"/>
        <v>0.95196490175491222</v>
      </c>
      <c r="M371">
        <f t="shared" ca="1" si="59"/>
        <v>1.0486148018902486</v>
      </c>
      <c r="O371" t="b">
        <f t="shared" ca="1" si="60"/>
        <v>1</v>
      </c>
    </row>
    <row r="372" spans="1:15" x14ac:dyDescent="0.45">
      <c r="A372" s="1">
        <v>44697</v>
      </c>
      <c r="B372">
        <v>241.45699999999999</v>
      </c>
      <c r="C372">
        <f t="shared" si="56"/>
        <v>-5.8757260359412082E-2</v>
      </c>
      <c r="D372">
        <f t="shared" ca="1" si="61"/>
        <v>1.0031439366074957E-3</v>
      </c>
      <c r="E372">
        <f t="shared" ca="1" si="62"/>
        <v>3.8483810208805855E-2</v>
      </c>
      <c r="F372">
        <f t="shared" ca="1" si="63"/>
        <v>-7.6208573142294816E-2</v>
      </c>
      <c r="G372">
        <f t="shared" ca="1" si="64"/>
        <v>1.6909138428375687</v>
      </c>
      <c r="H372">
        <f t="shared" ca="1" si="65"/>
        <v>0.9540956975412358</v>
      </c>
      <c r="I372">
        <f t="shared" ca="1" si="66"/>
        <v>1.1207333277878901</v>
      </c>
      <c r="K372">
        <f t="shared" si="57"/>
        <v>0.94124273964058791</v>
      </c>
      <c r="L372" s="7">
        <f t="shared" ca="1" si="58"/>
        <v>0.92029195411060705</v>
      </c>
      <c r="M372">
        <f t="shared" ca="1" si="59"/>
        <v>1.0444465865353725</v>
      </c>
      <c r="O372" t="b">
        <f t="shared" ca="1" si="60"/>
        <v>1</v>
      </c>
    </row>
    <row r="373" spans="1:15" x14ac:dyDescent="0.45">
      <c r="A373" s="1">
        <v>44694</v>
      </c>
      <c r="B373">
        <v>256.52999999999997</v>
      </c>
      <c r="C373">
        <f t="shared" si="56"/>
        <v>5.7127668780674636E-2</v>
      </c>
      <c r="D373">
        <f t="shared" ca="1" si="61"/>
        <v>1.3696549342408235E-3</v>
      </c>
      <c r="E373">
        <f t="shared" ca="1" si="62"/>
        <v>3.8260212892378707E-2</v>
      </c>
      <c r="F373">
        <f t="shared" ca="1" si="63"/>
        <v>-8.7014527450928789E-2</v>
      </c>
      <c r="G373">
        <f t="shared" ca="1" si="64"/>
        <v>1.7747056147068712</v>
      </c>
      <c r="H373">
        <f t="shared" ca="1" si="65"/>
        <v>1.0430771221559527</v>
      </c>
      <c r="I373">
        <f t="shared" ca="1" si="66"/>
        <v>1.1757545680473598</v>
      </c>
      <c r="K373">
        <f t="shared" si="57"/>
        <v>1.0571276687806745</v>
      </c>
      <c r="L373" s="7">
        <f t="shared" ca="1" si="58"/>
        <v>0.88903136371512714</v>
      </c>
      <c r="M373">
        <f t="shared" ca="1" si="59"/>
        <v>1.0473253801686746</v>
      </c>
      <c r="O373" t="b">
        <f t="shared" ca="1" si="60"/>
        <v>1</v>
      </c>
    </row>
    <row r="374" spans="1:15" x14ac:dyDescent="0.45">
      <c r="A374" s="1">
        <v>44693</v>
      </c>
      <c r="B374">
        <v>242.667</v>
      </c>
      <c r="C374">
        <f t="shared" si="56"/>
        <v>-8.1743757842291775E-3</v>
      </c>
      <c r="D374">
        <f t="shared" ca="1" si="61"/>
        <v>1.3187147262921945E-3</v>
      </c>
      <c r="E374">
        <f t="shared" ca="1" si="62"/>
        <v>3.8192324829852145E-2</v>
      </c>
      <c r="F374">
        <f t="shared" ca="1" si="63"/>
        <v>-9.0609849339094425E-2</v>
      </c>
      <c r="G374">
        <f t="shared" ca="1" si="64"/>
        <v>1.7955367087526835</v>
      </c>
      <c r="H374">
        <f t="shared" ca="1" si="65"/>
        <v>0.99234213586357045</v>
      </c>
      <c r="I374">
        <f t="shared" ca="1" si="66"/>
        <v>1.1757545680473598</v>
      </c>
      <c r="K374">
        <f t="shared" si="57"/>
        <v>0.99182562421577081</v>
      </c>
      <c r="L374" s="7">
        <f t="shared" ca="1" si="58"/>
        <v>0.8336407952097783</v>
      </c>
      <c r="M374">
        <f t="shared" ca="1" si="59"/>
        <v>1.0477725788778431</v>
      </c>
      <c r="O374" t="b">
        <f t="shared" ca="1" si="60"/>
        <v>1</v>
      </c>
    </row>
    <row r="375" spans="1:15" x14ac:dyDescent="0.45">
      <c r="A375" s="1">
        <v>44692</v>
      </c>
      <c r="B375">
        <v>244.667</v>
      </c>
      <c r="C375">
        <f t="shared" si="56"/>
        <v>-8.254462276886157E-2</v>
      </c>
      <c r="D375">
        <f t="shared" ca="1" si="61"/>
        <v>1.3766389066924469E-3</v>
      </c>
      <c r="E375">
        <f t="shared" ca="1" si="62"/>
        <v>3.8186639452069696E-2</v>
      </c>
      <c r="F375">
        <f t="shared" ca="1" si="63"/>
        <v>-9.5168089399167946E-2</v>
      </c>
      <c r="G375">
        <f t="shared" ca="1" si="64"/>
        <v>1.7989757132874162</v>
      </c>
      <c r="H375">
        <f t="shared" ca="1" si="65"/>
        <v>0.99234213586357045</v>
      </c>
      <c r="I375">
        <f t="shared" ca="1" si="66"/>
        <v>1.1757545680473598</v>
      </c>
      <c r="K375">
        <f t="shared" si="57"/>
        <v>0.91745537723113846</v>
      </c>
      <c r="L375" s="7">
        <f t="shared" ca="1" si="58"/>
        <v>0.77050765257920262</v>
      </c>
      <c r="M375">
        <f t="shared" ca="1" si="59"/>
        <v>1.054938671299626</v>
      </c>
      <c r="O375" t="b">
        <f t="shared" ca="1" si="60"/>
        <v>1</v>
      </c>
    </row>
    <row r="376" spans="1:15" x14ac:dyDescent="0.45">
      <c r="A376" s="1">
        <v>44691</v>
      </c>
      <c r="B376">
        <v>266.68</v>
      </c>
      <c r="C376">
        <f t="shared" si="56"/>
        <v>1.6427182985859674E-2</v>
      </c>
      <c r="D376">
        <f t="shared" ca="1" si="61"/>
        <v>1.6917374008850092E-3</v>
      </c>
      <c r="E376">
        <f t="shared" ca="1" si="62"/>
        <v>3.7748167571848353E-2</v>
      </c>
      <c r="F376">
        <f t="shared" ca="1" si="63"/>
        <v>-6.8905431942081888E-2</v>
      </c>
      <c r="G376">
        <f t="shared" ca="1" si="64"/>
        <v>1.9039157669728537</v>
      </c>
      <c r="H376">
        <f t="shared" ca="1" si="65"/>
        <v>1.0156015196426049</v>
      </c>
      <c r="I376">
        <f t="shared" ca="1" si="66"/>
        <v>1.1757545680473598</v>
      </c>
      <c r="K376">
        <f t="shared" si="57"/>
        <v>1.0164271829858598</v>
      </c>
      <c r="L376" s="7">
        <f t="shared" ca="1" si="58"/>
        <v>0.87989098695736789</v>
      </c>
      <c r="M376">
        <f t="shared" ca="1" si="59"/>
        <v>1.0879500248435368</v>
      </c>
      <c r="O376" t="b">
        <f t="shared" ca="1" si="60"/>
        <v>1</v>
      </c>
    </row>
    <row r="377" spans="1:15" x14ac:dyDescent="0.45">
      <c r="A377" s="1">
        <v>44690</v>
      </c>
      <c r="B377">
        <v>262.37</v>
      </c>
      <c r="C377">
        <f t="shared" si="56"/>
        <v>-9.0729509617050785E-2</v>
      </c>
      <c r="D377">
        <f t="shared" ca="1" si="61"/>
        <v>1.7202748049895632E-3</v>
      </c>
      <c r="E377">
        <f t="shared" ca="1" si="62"/>
        <v>3.7761518516797821E-2</v>
      </c>
      <c r="F377">
        <f t="shared" ca="1" si="63"/>
        <v>-7.0618704431623325E-2</v>
      </c>
      <c r="G377">
        <f t="shared" ca="1" si="64"/>
        <v>1.8974584971157471</v>
      </c>
      <c r="H377">
        <f t="shared" ca="1" si="65"/>
        <v>1.0156015196426049</v>
      </c>
      <c r="I377">
        <f t="shared" ca="1" si="66"/>
        <v>1.1825923702493693</v>
      </c>
      <c r="K377">
        <f t="shared" si="57"/>
        <v>0.90927049038294916</v>
      </c>
      <c r="L377" s="7">
        <f t="shared" ca="1" si="58"/>
        <v>0.87171905109974046</v>
      </c>
      <c r="M377">
        <f t="shared" ca="1" si="59"/>
        <v>1.0924553759148923</v>
      </c>
      <c r="O377" t="b">
        <f t="shared" ca="1" si="60"/>
        <v>1</v>
      </c>
    </row>
    <row r="378" spans="1:15" x14ac:dyDescent="0.45">
      <c r="A378" s="1">
        <v>44687</v>
      </c>
      <c r="B378">
        <v>288.55</v>
      </c>
      <c r="C378">
        <f t="shared" si="56"/>
        <v>-8.7360396849117169E-3</v>
      </c>
      <c r="D378">
        <f t="shared" ca="1" si="61"/>
        <v>2.1286400316627486E-3</v>
      </c>
      <c r="E378">
        <f t="shared" ca="1" si="62"/>
        <v>3.719406845320266E-2</v>
      </c>
      <c r="F378">
        <f t="shared" ca="1" si="63"/>
        <v>-2.9347280794618368E-2</v>
      </c>
      <c r="G378">
        <f t="shared" ca="1" si="64"/>
        <v>2.00901939584665</v>
      </c>
      <c r="H378">
        <f t="shared" ca="1" si="65"/>
        <v>1.0416003324372332</v>
      </c>
      <c r="I378">
        <f t="shared" ca="1" si="66"/>
        <v>1.2023711303636664</v>
      </c>
      <c r="K378">
        <f t="shared" si="57"/>
        <v>0.99126396031508823</v>
      </c>
      <c r="L378" s="7">
        <f t="shared" ca="1" si="58"/>
        <v>0.99413270491605576</v>
      </c>
      <c r="M378">
        <f t="shared" ca="1" si="59"/>
        <v>1.1459942356412074</v>
      </c>
      <c r="O378" t="b">
        <f t="shared" ca="1" si="60"/>
        <v>1</v>
      </c>
    </row>
    <row r="379" spans="1:15" x14ac:dyDescent="0.45">
      <c r="A379" s="1">
        <v>44686</v>
      </c>
      <c r="B379">
        <v>291.09300000000002</v>
      </c>
      <c r="C379">
        <f t="shared" si="56"/>
        <v>-8.3287144926623424E-2</v>
      </c>
      <c r="D379">
        <f t="shared" ca="1" si="61"/>
        <v>2.1263100666482188E-3</v>
      </c>
      <c r="E379">
        <f t="shared" ca="1" si="62"/>
        <v>3.7194767063546706E-2</v>
      </c>
      <c r="F379">
        <f t="shared" ca="1" si="63"/>
        <v>-2.9172788231574133E-2</v>
      </c>
      <c r="G379">
        <f t="shared" ca="1" si="64"/>
        <v>2.008639055214835</v>
      </c>
      <c r="H379">
        <f t="shared" ca="1" si="65"/>
        <v>1.0416003324372332</v>
      </c>
      <c r="I379">
        <f t="shared" ca="1" si="66"/>
        <v>1.2023711303636664</v>
      </c>
      <c r="K379">
        <f t="shared" si="57"/>
        <v>0.91671285507337652</v>
      </c>
      <c r="L379" s="7">
        <f t="shared" ca="1" si="58"/>
        <v>0.99517953662013692</v>
      </c>
      <c r="M379">
        <f t="shared" ca="1" si="59"/>
        <v>1.1425463103791169</v>
      </c>
      <c r="O379" t="b">
        <f t="shared" ca="1" si="60"/>
        <v>1</v>
      </c>
    </row>
    <row r="380" spans="1:15" x14ac:dyDescent="0.45">
      <c r="A380" s="1">
        <v>44685</v>
      </c>
      <c r="B380">
        <v>317.54000000000002</v>
      </c>
      <c r="C380">
        <f t="shared" si="56"/>
        <v>4.7699805003909794E-2</v>
      </c>
      <c r="D380">
        <f t="shared" ca="1" si="61"/>
        <v>2.5032984626626054E-3</v>
      </c>
      <c r="E380">
        <f t="shared" ca="1" si="62"/>
        <v>3.6703560690579146E-2</v>
      </c>
      <c r="F380">
        <f t="shared" ca="1" si="63"/>
        <v>2.3796867275760088E-3</v>
      </c>
      <c r="G380">
        <f t="shared" ca="1" si="64"/>
        <v>2.1320849200598015</v>
      </c>
      <c r="H380">
        <f t="shared" ca="1" si="65"/>
        <v>1.0485891242269276</v>
      </c>
      <c r="I380">
        <f t="shared" ca="1" si="66"/>
        <v>1.2750028381524332</v>
      </c>
      <c r="K380">
        <f t="shared" si="57"/>
        <v>1.0476998050039097</v>
      </c>
      <c r="L380" s="7">
        <f t="shared" ca="1" si="58"/>
        <v>1.0806671726161101</v>
      </c>
      <c r="M380">
        <f t="shared" ca="1" si="59"/>
        <v>1.1266660484252724</v>
      </c>
      <c r="O380" t="b">
        <f t="shared" ca="1" si="60"/>
        <v>0</v>
      </c>
    </row>
    <row r="381" spans="1:15" x14ac:dyDescent="0.45">
      <c r="A381" s="1">
        <v>44684</v>
      </c>
      <c r="B381">
        <v>303.08300000000003</v>
      </c>
      <c r="C381">
        <f t="shared" si="56"/>
        <v>6.9871752275899018E-3</v>
      </c>
      <c r="D381">
        <f t="shared" ca="1" si="61"/>
        <v>2.3752879547293167E-3</v>
      </c>
      <c r="E381">
        <f t="shared" ca="1" si="62"/>
        <v>3.6589606486874503E-2</v>
      </c>
      <c r="F381">
        <f t="shared" ca="1" si="63"/>
        <v>4.2167276075770971E-3</v>
      </c>
      <c r="G381">
        <f t="shared" ca="1" si="64"/>
        <v>2.1852438688248483</v>
      </c>
      <c r="H381">
        <f t="shared" ca="1" si="65"/>
        <v>1.0485891242269276</v>
      </c>
      <c r="I381">
        <f t="shared" ca="1" si="66"/>
        <v>1.2750028381524332</v>
      </c>
      <c r="K381">
        <f t="shared" si="57"/>
        <v>1.0069871752275898</v>
      </c>
      <c r="L381" s="7">
        <f t="shared" ca="1" si="58"/>
        <v>1.0374580680495651</v>
      </c>
      <c r="M381">
        <f t="shared" ca="1" si="59"/>
        <v>1.1469828710601329</v>
      </c>
      <c r="O381" t="b">
        <f t="shared" ca="1" si="60"/>
        <v>0</v>
      </c>
    </row>
    <row r="382" spans="1:15" x14ac:dyDescent="0.45">
      <c r="A382" s="1">
        <v>44683</v>
      </c>
      <c r="B382">
        <v>300.98</v>
      </c>
      <c r="C382">
        <f t="shared" si="56"/>
        <v>3.6957413015541729E-2</v>
      </c>
      <c r="D382">
        <f t="shared" ca="1" si="61"/>
        <v>2.3558824874579032E-3</v>
      </c>
      <c r="E382">
        <f t="shared" ca="1" si="62"/>
        <v>3.6588177410001088E-2</v>
      </c>
      <c r="F382">
        <f t="shared" ca="1" si="63"/>
        <v>5.8142949172894252E-3</v>
      </c>
      <c r="G382">
        <f t="shared" ca="1" si="64"/>
        <v>2.1860707158148029</v>
      </c>
      <c r="H382">
        <f t="shared" ca="1" si="65"/>
        <v>1.0485891242269276</v>
      </c>
      <c r="I382">
        <f t="shared" ca="1" si="66"/>
        <v>1.2750028381524332</v>
      </c>
      <c r="K382">
        <f t="shared" si="57"/>
        <v>1.0369574130155417</v>
      </c>
      <c r="L382" s="7">
        <f t="shared" ca="1" si="58"/>
        <v>0.90473227463605399</v>
      </c>
      <c r="M382">
        <f t="shared" ca="1" si="59"/>
        <v>1.0568727269466933</v>
      </c>
      <c r="O382" t="b">
        <f t="shared" ca="1" si="60"/>
        <v>1</v>
      </c>
    </row>
    <row r="383" spans="1:15" x14ac:dyDescent="0.45">
      <c r="A383" s="1">
        <v>44680</v>
      </c>
      <c r="B383">
        <v>290.25299999999999</v>
      </c>
      <c r="C383">
        <f t="shared" si="56"/>
        <v>-7.692228797653358E-3</v>
      </c>
      <c r="D383">
        <f t="shared" ca="1" si="61"/>
        <v>2.12205614946177E-3</v>
      </c>
      <c r="E383">
        <f t="shared" ca="1" si="62"/>
        <v>3.6515296316022544E-2</v>
      </c>
      <c r="F383">
        <f t="shared" ca="1" si="63"/>
        <v>2.0747519596480486E-2</v>
      </c>
      <c r="G383">
        <f t="shared" ca="1" si="64"/>
        <v>2.2241416972927466</v>
      </c>
      <c r="H383">
        <f t="shared" ca="1" si="65"/>
        <v>1.0485891242269276</v>
      </c>
      <c r="I383">
        <f t="shared" ca="1" si="66"/>
        <v>1.2676307144743069</v>
      </c>
      <c r="K383">
        <f t="shared" si="57"/>
        <v>0.99230777120234659</v>
      </c>
      <c r="L383" s="7">
        <f t="shared" ca="1" si="58"/>
        <v>0.86638289997224005</v>
      </c>
      <c r="M383">
        <f t="shared" ca="1" si="59"/>
        <v>1.0421830637649721</v>
      </c>
      <c r="O383" t="b">
        <f t="shared" ca="1" si="60"/>
        <v>1</v>
      </c>
    </row>
    <row r="384" spans="1:15" x14ac:dyDescent="0.45">
      <c r="A384" s="1">
        <v>44679</v>
      </c>
      <c r="B384">
        <v>292.50299999999999</v>
      </c>
      <c r="C384">
        <f t="shared" si="56"/>
        <v>-4.5399320031173857E-3</v>
      </c>
      <c r="D384">
        <f t="shared" ca="1" si="61"/>
        <v>2.1392585753094171E-3</v>
      </c>
      <c r="E384">
        <f t="shared" ca="1" si="62"/>
        <v>3.6511459761845347E-2</v>
      </c>
      <c r="F384">
        <f t="shared" ca="1" si="63"/>
        <v>1.9397908062382323E-2</v>
      </c>
      <c r="G384">
        <f t="shared" ca="1" si="64"/>
        <v>2.226296152305224</v>
      </c>
      <c r="H384">
        <f t="shared" ca="1" si="65"/>
        <v>1.0485891242269276</v>
      </c>
      <c r="I384">
        <f t="shared" ca="1" si="66"/>
        <v>1.2676307144743069</v>
      </c>
      <c r="K384">
        <f t="shared" si="57"/>
        <v>0.99546006799688258</v>
      </c>
      <c r="L384" s="7">
        <f t="shared" ca="1" si="58"/>
        <v>0.86987152798429779</v>
      </c>
      <c r="M384">
        <f t="shared" ca="1" si="59"/>
        <v>1.0230150721546361</v>
      </c>
      <c r="O384" t="b">
        <f t="shared" ca="1" si="60"/>
        <v>1</v>
      </c>
    </row>
    <row r="385" spans="1:15" x14ac:dyDescent="0.45">
      <c r="A385" s="1">
        <v>44678</v>
      </c>
      <c r="B385">
        <v>293.83699999999999</v>
      </c>
      <c r="C385">
        <f t="shared" si="56"/>
        <v>5.808858766344913E-3</v>
      </c>
      <c r="D385">
        <f t="shared" ca="1" si="61"/>
        <v>2.0485620487036898E-3</v>
      </c>
      <c r="E385">
        <f t="shared" ca="1" si="62"/>
        <v>3.6550643126155219E-2</v>
      </c>
      <c r="F385">
        <f t="shared" ca="1" si="63"/>
        <v>2.5296846601320179E-2</v>
      </c>
      <c r="G385">
        <f t="shared" ca="1" si="64"/>
        <v>2.2050385465357989</v>
      </c>
      <c r="H385">
        <f t="shared" ca="1" si="65"/>
        <v>1.0485891242269276</v>
      </c>
      <c r="I385">
        <f t="shared" ca="1" si="66"/>
        <v>1.1954189664822947</v>
      </c>
      <c r="K385">
        <f t="shared" si="57"/>
        <v>1.005808858766345</v>
      </c>
      <c r="L385" s="7">
        <f t="shared" ca="1" si="58"/>
        <v>0.90207931035541389</v>
      </c>
      <c r="M385">
        <f t="shared" ca="1" si="59"/>
        <v>1.0736168487103552</v>
      </c>
      <c r="O385" t="b">
        <f t="shared" ca="1" si="60"/>
        <v>1</v>
      </c>
    </row>
    <row r="386" spans="1:15" x14ac:dyDescent="0.45">
      <c r="A386" s="1">
        <v>44677</v>
      </c>
      <c r="B386">
        <v>292.14</v>
      </c>
      <c r="C386">
        <f t="shared" si="56"/>
        <v>-0.12184036576457968</v>
      </c>
      <c r="D386">
        <f t="shared" ca="1" si="61"/>
        <v>1.8943903305281185E-3</v>
      </c>
      <c r="E386">
        <f t="shared" ca="1" si="62"/>
        <v>3.659969955361235E-2</v>
      </c>
      <c r="F386">
        <f t="shared" ca="1" si="63"/>
        <v>3.5899957567970549E-2</v>
      </c>
      <c r="G386">
        <f t="shared" ca="1" si="64"/>
        <v>2.1790010772161619</v>
      </c>
      <c r="H386">
        <f t="shared" ca="1" si="65"/>
        <v>1.0485891242269276</v>
      </c>
      <c r="I386">
        <f t="shared" ca="1" si="66"/>
        <v>1.1757545680473598</v>
      </c>
      <c r="K386">
        <f t="shared" si="57"/>
        <v>0.87815963423542032</v>
      </c>
      <c r="L386" s="7">
        <f t="shared" ca="1" si="58"/>
        <v>0.85242342807622606</v>
      </c>
      <c r="M386">
        <f t="shared" ca="1" si="59"/>
        <v>1.0655547272610706</v>
      </c>
      <c r="O386" t="b">
        <f t="shared" ca="1" si="60"/>
        <v>1</v>
      </c>
    </row>
    <row r="387" spans="1:15" x14ac:dyDescent="0.45">
      <c r="A387" s="1">
        <v>44676</v>
      </c>
      <c r="B387">
        <v>332.673</v>
      </c>
      <c r="C387">
        <f t="shared" ref="C387:C450" si="67">(B387-B388)/B388</f>
        <v>-6.9966598709916041E-3</v>
      </c>
      <c r="D387">
        <f t="shared" ca="1" si="61"/>
        <v>2.7224219315251132E-3</v>
      </c>
      <c r="E387">
        <f t="shared" ca="1" si="62"/>
        <v>3.5647201658036684E-2</v>
      </c>
      <c r="F387">
        <f t="shared" ca="1" si="63"/>
        <v>0.18895990937544804</v>
      </c>
      <c r="G387">
        <f t="shared" ca="1" si="64"/>
        <v>1.9970105641491092</v>
      </c>
      <c r="H387">
        <f t="shared" ca="1" si="65"/>
        <v>1.0620477434648956</v>
      </c>
      <c r="I387">
        <f t="shared" ca="1" si="66"/>
        <v>1.2023711303636664</v>
      </c>
      <c r="K387">
        <f t="shared" ref="K387:K450" si="68">C387+1</f>
        <v>0.99300334012900837</v>
      </c>
      <c r="L387" s="7">
        <f t="shared" ref="L387:L450" ca="1" si="69">PRODUCT(OFFSET(K387,0,0,$J$6,1))</f>
        <v>0.99375677718266353</v>
      </c>
      <c r="M387">
        <f t="shared" ref="M387:M450" ca="1" si="70">OFFSET(D387,$J$6,0)*V$2 + OFFSET(E387,$J$6,0)*U$2 + OFFSET(F387,$J$6,0)*T$2 + OFFSET(G387,$J$6,0)*S$2 + OFFSET(H387,$J$6,0)*R$2 + OFFSET(I387,$J$6,0)*Q$2 + W$2</f>
        <v>1.0876263374641537</v>
      </c>
      <c r="O387" t="b">
        <f t="shared" ref="O387:O450" ca="1" si="71">OR(AND(L387&gt;1, N387&gt;1), AND(L387&lt;1, N387&lt;1))</f>
        <v>1</v>
      </c>
    </row>
    <row r="388" spans="1:15" x14ac:dyDescent="0.45">
      <c r="A388" s="1">
        <v>44673</v>
      </c>
      <c r="B388">
        <v>335.017</v>
      </c>
      <c r="C388">
        <f t="shared" si="67"/>
        <v>-3.696544340688738E-3</v>
      </c>
      <c r="D388">
        <f t="shared" ref="D388:D451" ca="1" si="72">AVERAGE(OFFSET(C388,0,0,$J$3,1))</f>
        <v>2.7891143525374013E-3</v>
      </c>
      <c r="E388">
        <f t="shared" ref="E388:E451" ca="1" si="73">STDEV(OFFSET(C388,0,0,$J$3,1))</f>
        <v>3.5641403861221652E-2</v>
      </c>
      <c r="F388">
        <f t="shared" ref="F388:F451" ca="1" si="74">SKEW(OFFSET(C388,0,0,$J$3,1))</f>
        <v>0.18349005113091391</v>
      </c>
      <c r="G388">
        <f t="shared" ref="G388:G451" ca="1" si="75">KURT(OFFSET(C388,0,0,$J$3,1))</f>
        <v>1.9988415870817633</v>
      </c>
      <c r="H388">
        <f t="shared" ref="H388:H451" ca="1" si="76">PERCENTILE(OFFSET(C388,0,0,$J$3,1), 0.95)/ABS(PERCENTILE(OFFSET(C388,0,0,$J$3,1), 0.05))</f>
        <v>1.0620477434648956</v>
      </c>
      <c r="I388">
        <f t="shared" ref="I388:I451" ca="1" si="77">PERCENTILE(OFFSET(C388,0,0,$J$3,1), 0.75)/ABS(PERCENTILE(OFFSET(C388,0,0,$J$3,1), 0.25))</f>
        <v>1.2023711303636664</v>
      </c>
      <c r="K388">
        <f t="shared" si="68"/>
        <v>0.99630345565931122</v>
      </c>
      <c r="L388" s="7">
        <f t="shared" ca="1" si="69"/>
        <v>1.0203573810734832</v>
      </c>
      <c r="M388">
        <f t="shared" ca="1" si="70"/>
        <v>1.1150508888242365</v>
      </c>
      <c r="O388" t="b">
        <f t="shared" ca="1" si="71"/>
        <v>0</v>
      </c>
    </row>
    <row r="389" spans="1:15" x14ac:dyDescent="0.45">
      <c r="A389" s="1">
        <v>44672</v>
      </c>
      <c r="B389">
        <v>336.26</v>
      </c>
      <c r="C389">
        <f t="shared" si="67"/>
        <v>3.2317879981457166E-2</v>
      </c>
      <c r="D389">
        <f t="shared" ca="1" si="72"/>
        <v>2.8708873298683261E-3</v>
      </c>
      <c r="E389">
        <f t="shared" ca="1" si="73"/>
        <v>3.5645210053433206E-2</v>
      </c>
      <c r="F389">
        <f t="shared" ca="1" si="74"/>
        <v>0.17661780821940506</v>
      </c>
      <c r="G389">
        <f t="shared" ca="1" si="75"/>
        <v>1.9950258849879141</v>
      </c>
      <c r="H389">
        <f t="shared" ca="1" si="76"/>
        <v>1.0620477434648956</v>
      </c>
      <c r="I389">
        <f t="shared" ca="1" si="77"/>
        <v>1.2023711303636664</v>
      </c>
      <c r="K389">
        <f t="shared" si="68"/>
        <v>1.0323178799814572</v>
      </c>
      <c r="L389" s="7">
        <f t="shared" ca="1" si="69"/>
        <v>0.98670735643651508</v>
      </c>
      <c r="M389">
        <f t="shared" ca="1" si="70"/>
        <v>1.097399158067311</v>
      </c>
      <c r="O389" t="b">
        <f t="shared" ca="1" si="71"/>
        <v>1</v>
      </c>
    </row>
    <row r="390" spans="1:15" x14ac:dyDescent="0.45">
      <c r="A390" s="1">
        <v>44671</v>
      </c>
      <c r="B390">
        <v>325.733</v>
      </c>
      <c r="C390">
        <f t="shared" si="67"/>
        <v>-4.9556923058966966E-2</v>
      </c>
      <c r="D390">
        <f t="shared" ca="1" si="72"/>
        <v>2.5961122663569281E-3</v>
      </c>
      <c r="E390">
        <f t="shared" ca="1" si="73"/>
        <v>3.562888362994384E-2</v>
      </c>
      <c r="F390">
        <f t="shared" ca="1" si="74"/>
        <v>0.1955029656551911</v>
      </c>
      <c r="G390">
        <f t="shared" ca="1" si="75"/>
        <v>2.0090014411330648</v>
      </c>
      <c r="H390">
        <f t="shared" ca="1" si="76"/>
        <v>1.0620477434648956</v>
      </c>
      <c r="I390">
        <f t="shared" ca="1" si="77"/>
        <v>1.1757545680473598</v>
      </c>
      <c r="K390">
        <f t="shared" si="68"/>
        <v>0.95044307694103303</v>
      </c>
      <c r="L390" s="7">
        <f t="shared" ca="1" si="69"/>
        <v>0.99012107008568839</v>
      </c>
      <c r="M390">
        <f t="shared" ca="1" si="70"/>
        <v>1.1296913413057199</v>
      </c>
      <c r="O390" t="b">
        <f t="shared" ca="1" si="71"/>
        <v>1</v>
      </c>
    </row>
    <row r="391" spans="1:15" x14ac:dyDescent="0.45">
      <c r="A391" s="1">
        <v>44670</v>
      </c>
      <c r="B391">
        <v>342.71699999999998</v>
      </c>
      <c r="C391">
        <f t="shared" si="67"/>
        <v>2.3760092961289055E-2</v>
      </c>
      <c r="D391">
        <f t="shared" ca="1" si="72"/>
        <v>2.7016078847450021E-3</v>
      </c>
      <c r="E391">
        <f t="shared" ca="1" si="73"/>
        <v>3.5504705107149176E-2</v>
      </c>
      <c r="F391">
        <f t="shared" ca="1" si="74"/>
        <v>0.20124884944267002</v>
      </c>
      <c r="G391">
        <f t="shared" ca="1" si="75"/>
        <v>2.0565146430819947</v>
      </c>
      <c r="H391">
        <f t="shared" ca="1" si="76"/>
        <v>1.0620477434648956</v>
      </c>
      <c r="I391">
        <f t="shared" ca="1" si="77"/>
        <v>1.1757545680473598</v>
      </c>
      <c r="K391">
        <f t="shared" si="68"/>
        <v>1.0237600929612891</v>
      </c>
      <c r="L391" s="7">
        <f t="shared" ca="1" si="69"/>
        <v>1.0535089606836556</v>
      </c>
      <c r="M391">
        <f t="shared" ca="1" si="70"/>
        <v>1.1378328337639689</v>
      </c>
      <c r="O391" t="b">
        <f t="shared" ca="1" si="71"/>
        <v>0</v>
      </c>
    </row>
    <row r="392" spans="1:15" x14ac:dyDescent="0.45">
      <c r="A392" s="1">
        <v>44669</v>
      </c>
      <c r="B392">
        <v>334.76299999999998</v>
      </c>
      <c r="C392">
        <f t="shared" si="67"/>
        <v>1.9583776227183831E-2</v>
      </c>
      <c r="D392">
        <f t="shared" ca="1" si="72"/>
        <v>2.5900427976164207E-3</v>
      </c>
      <c r="E392">
        <f t="shared" ca="1" si="73"/>
        <v>3.5473244044730332E-2</v>
      </c>
      <c r="F392">
        <f t="shared" ca="1" si="74"/>
        <v>0.21025312634099697</v>
      </c>
      <c r="G392">
        <f t="shared" ca="1" si="75"/>
        <v>2.076633858366395</v>
      </c>
      <c r="H392">
        <f t="shared" ca="1" si="76"/>
        <v>1.0620477434648956</v>
      </c>
      <c r="I392">
        <f t="shared" ca="1" si="77"/>
        <v>1.160915381805012</v>
      </c>
      <c r="K392">
        <f t="shared" si="68"/>
        <v>1.0195837762271838</v>
      </c>
      <c r="L392" s="7">
        <f t="shared" ca="1" si="69"/>
        <v>0.97932598075066535</v>
      </c>
      <c r="M392">
        <f t="shared" ca="1" si="70"/>
        <v>1.1500434186945059</v>
      </c>
      <c r="O392" t="b">
        <f t="shared" ca="1" si="71"/>
        <v>1</v>
      </c>
    </row>
    <row r="393" spans="1:15" x14ac:dyDescent="0.45">
      <c r="A393" s="1">
        <v>44665</v>
      </c>
      <c r="B393">
        <v>328.33300000000003</v>
      </c>
      <c r="C393">
        <f t="shared" si="67"/>
        <v>-3.6553302620382033E-2</v>
      </c>
      <c r="D393">
        <f t="shared" ca="1" si="72"/>
        <v>2.4790152113292664E-3</v>
      </c>
      <c r="E393">
        <f t="shared" ca="1" si="73"/>
        <v>3.5454533688742705E-2</v>
      </c>
      <c r="F393">
        <f t="shared" ca="1" si="74"/>
        <v>0.21950068285597299</v>
      </c>
      <c r="G393">
        <f t="shared" ca="1" si="75"/>
        <v>2.0899291204289812</v>
      </c>
      <c r="H393">
        <f t="shared" ca="1" si="76"/>
        <v>1.0620477434648956</v>
      </c>
      <c r="I393">
        <f t="shared" ca="1" si="77"/>
        <v>1.160915381805012</v>
      </c>
      <c r="K393">
        <f t="shared" si="68"/>
        <v>0.96344669737961797</v>
      </c>
      <c r="L393" s="7">
        <f t="shared" ca="1" si="69"/>
        <v>0.93165257363373255</v>
      </c>
      <c r="M393">
        <f t="shared" ca="1" si="70"/>
        <v>1.1261385393096277</v>
      </c>
      <c r="O393" t="b">
        <f t="shared" ca="1" si="71"/>
        <v>1</v>
      </c>
    </row>
    <row r="394" spans="1:15" x14ac:dyDescent="0.45">
      <c r="A394" s="1">
        <v>44664</v>
      </c>
      <c r="B394">
        <v>340.79</v>
      </c>
      <c r="C394">
        <f t="shared" si="67"/>
        <v>3.5889392461008675E-2</v>
      </c>
      <c r="D394">
        <f t="shared" ca="1" si="72"/>
        <v>2.6540036528641042E-3</v>
      </c>
      <c r="E394">
        <f t="shared" ca="1" si="73"/>
        <v>3.5347122878893529E-2</v>
      </c>
      <c r="F394">
        <f t="shared" ca="1" si="74"/>
        <v>0.21333313447342811</v>
      </c>
      <c r="G394">
        <f t="shared" ca="1" si="75"/>
        <v>2.140476913362483</v>
      </c>
      <c r="H394">
        <f t="shared" ca="1" si="76"/>
        <v>1.0620477434648956</v>
      </c>
      <c r="I394">
        <f t="shared" ca="1" si="77"/>
        <v>1.1803315960706908</v>
      </c>
      <c r="K394">
        <f t="shared" si="68"/>
        <v>1.0358893924610086</v>
      </c>
      <c r="L394" s="7">
        <f t="shared" ca="1" si="69"/>
        <v>0.97763255657841541</v>
      </c>
      <c r="M394">
        <f t="shared" ca="1" si="70"/>
        <v>1.0735944088492291</v>
      </c>
      <c r="O394" t="b">
        <f t="shared" ca="1" si="71"/>
        <v>1</v>
      </c>
    </row>
    <row r="395" spans="1:15" x14ac:dyDescent="0.45">
      <c r="A395" s="1">
        <v>44663</v>
      </c>
      <c r="B395">
        <v>328.983</v>
      </c>
      <c r="C395">
        <f t="shared" si="67"/>
        <v>1.1290768805139718E-2</v>
      </c>
      <c r="D395">
        <f t="shared" ca="1" si="72"/>
        <v>2.4167755054893881E-3</v>
      </c>
      <c r="E395">
        <f t="shared" ca="1" si="73"/>
        <v>3.528209964375522E-2</v>
      </c>
      <c r="F395">
        <f t="shared" ca="1" si="74"/>
        <v>0.23031570626653181</v>
      </c>
      <c r="G395">
        <f t="shared" ca="1" si="75"/>
        <v>2.1809137319733356</v>
      </c>
      <c r="H395">
        <f t="shared" ca="1" si="76"/>
        <v>1.0620477434648956</v>
      </c>
      <c r="I395">
        <f t="shared" ca="1" si="77"/>
        <v>1.1191372631585321</v>
      </c>
      <c r="K395">
        <f t="shared" si="68"/>
        <v>1.0112907688051398</v>
      </c>
      <c r="L395" s="7">
        <f t="shared" ca="1" si="69"/>
        <v>0.90441315947909728</v>
      </c>
      <c r="M395">
        <f t="shared" ca="1" si="70"/>
        <v>1.0579517322149083</v>
      </c>
      <c r="O395" t="b">
        <f t="shared" ca="1" si="71"/>
        <v>1</v>
      </c>
    </row>
    <row r="396" spans="1:15" x14ac:dyDescent="0.45">
      <c r="A396" s="1">
        <v>44662</v>
      </c>
      <c r="B396">
        <v>325.31</v>
      </c>
      <c r="C396">
        <f t="shared" si="67"/>
        <v>-4.8328116315127352E-2</v>
      </c>
      <c r="D396">
        <f t="shared" ca="1" si="72"/>
        <v>2.4857028730355538E-3</v>
      </c>
      <c r="E396">
        <f t="shared" ca="1" si="73"/>
        <v>3.5312975250090251E-2</v>
      </c>
      <c r="F396">
        <f t="shared" ca="1" si="74"/>
        <v>0.22505779659055788</v>
      </c>
      <c r="G396">
        <f t="shared" ca="1" si="75"/>
        <v>2.1616990556437337</v>
      </c>
      <c r="H396">
        <f t="shared" ca="1" si="76"/>
        <v>1.0620477434648956</v>
      </c>
      <c r="I396">
        <f t="shared" ca="1" si="77"/>
        <v>1.1803315960706908</v>
      </c>
      <c r="K396">
        <f t="shared" si="68"/>
        <v>0.95167188368487265</v>
      </c>
      <c r="L396" s="7">
        <f t="shared" ca="1" si="69"/>
        <v>0.85200501811077045</v>
      </c>
      <c r="M396">
        <f t="shared" ca="1" si="70"/>
        <v>1.0396518924492599</v>
      </c>
      <c r="O396" t="b">
        <f t="shared" ca="1" si="71"/>
        <v>1</v>
      </c>
    </row>
    <row r="397" spans="1:15" x14ac:dyDescent="0.45">
      <c r="A397" s="1">
        <v>44659</v>
      </c>
      <c r="B397">
        <v>341.83</v>
      </c>
      <c r="C397">
        <f t="shared" si="67"/>
        <v>-3.0049372907326573E-2</v>
      </c>
      <c r="D397">
        <f t="shared" ca="1" si="72"/>
        <v>2.6688721805552258E-3</v>
      </c>
      <c r="E397">
        <f t="shared" ca="1" si="73"/>
        <v>3.514267794114119E-2</v>
      </c>
      <c r="F397">
        <f t="shared" ca="1" si="74"/>
        <v>0.22756196331257067</v>
      </c>
      <c r="G397">
        <f t="shared" ca="1" si="75"/>
        <v>2.235865173636606</v>
      </c>
      <c r="H397">
        <f t="shared" ca="1" si="76"/>
        <v>1.0620477434648956</v>
      </c>
      <c r="I397">
        <f t="shared" ca="1" si="77"/>
        <v>1.2516319603381911</v>
      </c>
      <c r="K397">
        <f t="shared" si="68"/>
        <v>0.96995062709267343</v>
      </c>
      <c r="L397" s="7">
        <f t="shared" ca="1" si="69"/>
        <v>0.94550936298509125</v>
      </c>
      <c r="M397">
        <f t="shared" ca="1" si="70"/>
        <v>1.0796861665871278</v>
      </c>
      <c r="O397" t="b">
        <f t="shared" ca="1" si="71"/>
        <v>1</v>
      </c>
    </row>
    <row r="398" spans="1:15" x14ac:dyDescent="0.45">
      <c r="A398" s="1">
        <v>44658</v>
      </c>
      <c r="B398">
        <v>352.42</v>
      </c>
      <c r="C398">
        <f t="shared" si="67"/>
        <v>1.0995820268684797E-2</v>
      </c>
      <c r="D398">
        <f t="shared" ca="1" si="72"/>
        <v>2.9961752964340598E-3</v>
      </c>
      <c r="E398">
        <f t="shared" ca="1" si="73"/>
        <v>3.5141259022912187E-2</v>
      </c>
      <c r="F398">
        <f t="shared" ca="1" si="74"/>
        <v>0.20756707777051009</v>
      </c>
      <c r="G398">
        <f t="shared" ca="1" si="75"/>
        <v>2.2283032461362779</v>
      </c>
      <c r="H398">
        <f t="shared" ca="1" si="76"/>
        <v>1.0620477434648956</v>
      </c>
      <c r="I398">
        <f t="shared" ca="1" si="77"/>
        <v>1.3596661920786626</v>
      </c>
      <c r="K398">
        <f t="shared" si="68"/>
        <v>1.0109958202686848</v>
      </c>
      <c r="L398" s="7">
        <f t="shared" ca="1" si="69"/>
        <v>0.98112472160356368</v>
      </c>
      <c r="M398">
        <f t="shared" ca="1" si="70"/>
        <v>1.062888874051779</v>
      </c>
      <c r="O398" t="b">
        <f t="shared" ca="1" si="71"/>
        <v>1</v>
      </c>
    </row>
    <row r="399" spans="1:15" x14ac:dyDescent="0.45">
      <c r="A399" s="1">
        <v>44657</v>
      </c>
      <c r="B399">
        <v>348.58699999999999</v>
      </c>
      <c r="C399">
        <f t="shared" si="67"/>
        <v>-4.1693126929537347E-2</v>
      </c>
      <c r="D399">
        <f t="shared" ca="1" si="72"/>
        <v>3.2046363570892599E-3</v>
      </c>
      <c r="E399">
        <f t="shared" ca="1" si="73"/>
        <v>3.5312197288944601E-2</v>
      </c>
      <c r="F399">
        <f t="shared" ca="1" si="74"/>
        <v>0.20076374353332443</v>
      </c>
      <c r="G399">
        <f t="shared" ca="1" si="75"/>
        <v>2.1421628377775521</v>
      </c>
      <c r="H399">
        <f t="shared" ca="1" si="76"/>
        <v>1.0620477434648956</v>
      </c>
      <c r="I399">
        <f t="shared" ca="1" si="77"/>
        <v>1.3675735638506756</v>
      </c>
      <c r="K399">
        <f t="shared" si="68"/>
        <v>0.95830687307046269</v>
      </c>
      <c r="L399" s="7">
        <f t="shared" ca="1" si="69"/>
        <v>0.95591546167283215</v>
      </c>
      <c r="M399">
        <f t="shared" ca="1" si="70"/>
        <v>1.0548862154542218</v>
      </c>
      <c r="O399" t="b">
        <f t="shared" ca="1" si="71"/>
        <v>1</v>
      </c>
    </row>
    <row r="400" spans="1:15" x14ac:dyDescent="0.45">
      <c r="A400" s="1">
        <v>44656</v>
      </c>
      <c r="B400">
        <v>363.75299999999999</v>
      </c>
      <c r="C400">
        <f t="shared" si="67"/>
        <v>-4.7310622628117714E-2</v>
      </c>
      <c r="D400">
        <f t="shared" ca="1" si="72"/>
        <v>3.4362967845059707E-3</v>
      </c>
      <c r="E400">
        <f t="shared" ca="1" si="73"/>
        <v>3.5167854427275623E-2</v>
      </c>
      <c r="F400">
        <f t="shared" ca="1" si="74"/>
        <v>0.1938466028729586</v>
      </c>
      <c r="G400">
        <f t="shared" ca="1" si="75"/>
        <v>2.2086241261068746</v>
      </c>
      <c r="H400">
        <f t="shared" ca="1" si="76"/>
        <v>1.0620477434648956</v>
      </c>
      <c r="I400">
        <f t="shared" ca="1" si="77"/>
        <v>1.4096280147748299</v>
      </c>
      <c r="K400">
        <f t="shared" si="68"/>
        <v>0.95268937737188231</v>
      </c>
      <c r="L400" s="7">
        <f t="shared" ca="1" si="69"/>
        <v>0.99244249337695034</v>
      </c>
      <c r="M400">
        <f t="shared" ca="1" si="70"/>
        <v>1.0560110599756496</v>
      </c>
      <c r="O400" t="b">
        <f t="shared" ca="1" si="71"/>
        <v>1</v>
      </c>
    </row>
    <row r="401" spans="1:15" x14ac:dyDescent="0.45">
      <c r="A401" s="1">
        <v>44655</v>
      </c>
      <c r="B401">
        <v>381.81700000000001</v>
      </c>
      <c r="C401">
        <f t="shared" si="67"/>
        <v>5.6114292036622236E-2</v>
      </c>
      <c r="D401">
        <f t="shared" ca="1" si="72"/>
        <v>3.6529480831401324E-3</v>
      </c>
      <c r="E401">
        <f t="shared" ca="1" si="73"/>
        <v>3.4986658510517042E-2</v>
      </c>
      <c r="F401">
        <f t="shared" ca="1" si="74"/>
        <v>0.19354994367783551</v>
      </c>
      <c r="G401">
        <f t="shared" ca="1" si="75"/>
        <v>2.2902814215763927</v>
      </c>
      <c r="H401">
        <f t="shared" ca="1" si="76"/>
        <v>1.0620477434648956</v>
      </c>
      <c r="I401">
        <f t="shared" ca="1" si="77"/>
        <v>1.4254591866527047</v>
      </c>
      <c r="K401">
        <f t="shared" si="68"/>
        <v>1.0561142920366222</v>
      </c>
      <c r="L401" s="7">
        <f t="shared" ca="1" si="69"/>
        <v>1.0491005558501649</v>
      </c>
      <c r="M401">
        <f t="shared" ca="1" si="70"/>
        <v>1.0488165109072924</v>
      </c>
      <c r="O401" t="b">
        <f t="shared" ca="1" si="71"/>
        <v>0</v>
      </c>
    </row>
    <row r="402" spans="1:15" x14ac:dyDescent="0.45">
      <c r="A402" s="1">
        <v>44652</v>
      </c>
      <c r="B402">
        <v>361.53</v>
      </c>
      <c r="C402">
        <f t="shared" si="67"/>
        <v>6.4866369710467262E-3</v>
      </c>
      <c r="D402">
        <f t="shared" ca="1" si="72"/>
        <v>3.4267961079059118E-3</v>
      </c>
      <c r="E402">
        <f t="shared" ca="1" si="73"/>
        <v>3.4791486102731826E-2</v>
      </c>
      <c r="F402">
        <f t="shared" ca="1" si="74"/>
        <v>0.19916654589868887</v>
      </c>
      <c r="G402">
        <f t="shared" ca="1" si="75"/>
        <v>2.3892871463024026</v>
      </c>
      <c r="H402">
        <f t="shared" ca="1" si="76"/>
        <v>1.0478386020032353</v>
      </c>
      <c r="I402">
        <f t="shared" ca="1" si="77"/>
        <v>1.417217117609664</v>
      </c>
      <c r="K402">
        <f t="shared" si="68"/>
        <v>1.0064866369710468</v>
      </c>
      <c r="L402" s="7">
        <f t="shared" ca="1" si="69"/>
        <v>1.0731714557112326</v>
      </c>
      <c r="M402">
        <f t="shared" ca="1" si="70"/>
        <v>1.0887077240325365</v>
      </c>
      <c r="O402" t="b">
        <f t="shared" ca="1" si="71"/>
        <v>0</v>
      </c>
    </row>
    <row r="403" spans="1:15" x14ac:dyDescent="0.45">
      <c r="A403" s="1">
        <v>44651</v>
      </c>
      <c r="B403">
        <v>359.2</v>
      </c>
      <c r="C403">
        <f t="shared" si="67"/>
        <v>-1.4980955018743393E-2</v>
      </c>
      <c r="D403">
        <f t="shared" ca="1" si="72"/>
        <v>3.4913260671364209E-3</v>
      </c>
      <c r="E403">
        <f t="shared" ca="1" si="73"/>
        <v>3.4809154192723263E-2</v>
      </c>
      <c r="F403">
        <f t="shared" ca="1" si="74"/>
        <v>0.193732117281848</v>
      </c>
      <c r="G403">
        <f t="shared" ca="1" si="75"/>
        <v>2.3770027697383407</v>
      </c>
      <c r="H403">
        <f t="shared" ca="1" si="76"/>
        <v>1.0478386020032353</v>
      </c>
      <c r="I403">
        <f t="shared" ca="1" si="77"/>
        <v>1.417217117609664</v>
      </c>
      <c r="K403">
        <f t="shared" si="68"/>
        <v>0.98501904498125659</v>
      </c>
      <c r="L403" s="7">
        <f t="shared" ca="1" si="69"/>
        <v>1.0628067922585531</v>
      </c>
      <c r="M403">
        <f t="shared" ca="1" si="70"/>
        <v>1.0614600328761532</v>
      </c>
      <c r="O403" t="b">
        <f t="shared" ca="1" si="71"/>
        <v>0</v>
      </c>
    </row>
    <row r="404" spans="1:15" x14ac:dyDescent="0.45">
      <c r="A404" s="1">
        <v>44650</v>
      </c>
      <c r="B404">
        <v>364.66300000000001</v>
      </c>
      <c r="C404">
        <f t="shared" si="67"/>
        <v>-5.0747156385820627E-3</v>
      </c>
      <c r="D404">
        <f t="shared" ca="1" si="72"/>
        <v>3.6121797778465702E-3</v>
      </c>
      <c r="E404">
        <f t="shared" ca="1" si="73"/>
        <v>3.4786649960034964E-2</v>
      </c>
      <c r="F404">
        <f t="shared" ca="1" si="74"/>
        <v>0.18436295858637761</v>
      </c>
      <c r="G404">
        <f t="shared" ca="1" si="75"/>
        <v>2.3879520809539017</v>
      </c>
      <c r="H404">
        <f t="shared" ca="1" si="76"/>
        <v>1.0478386020032353</v>
      </c>
      <c r="I404">
        <f t="shared" ca="1" si="77"/>
        <v>1.455859978138706</v>
      </c>
      <c r="K404">
        <f t="shared" si="68"/>
        <v>0.99492528436141792</v>
      </c>
      <c r="L404" s="7">
        <f t="shared" ca="1" si="69"/>
        <v>1.094962421592796</v>
      </c>
      <c r="M404">
        <f t="shared" ca="1" si="70"/>
        <v>1.0877832054436607</v>
      </c>
      <c r="O404" t="b">
        <f t="shared" ca="1" si="71"/>
        <v>0</v>
      </c>
    </row>
    <row r="405" spans="1:15" x14ac:dyDescent="0.45">
      <c r="A405" s="1">
        <v>44649</v>
      </c>
      <c r="B405">
        <v>366.52300000000002</v>
      </c>
      <c r="C405">
        <f t="shared" si="67"/>
        <v>7.0779536580876387E-3</v>
      </c>
      <c r="D405">
        <f t="shared" ca="1" si="72"/>
        <v>3.4891781975864679E-3</v>
      </c>
      <c r="E405">
        <f t="shared" ca="1" si="73"/>
        <v>3.4860932799210147E-2</v>
      </c>
      <c r="F405">
        <f t="shared" ca="1" si="74"/>
        <v>0.18953845225637062</v>
      </c>
      <c r="G405">
        <f t="shared" ca="1" si="75"/>
        <v>2.3487241564438586</v>
      </c>
      <c r="H405">
        <f t="shared" ca="1" si="76"/>
        <v>1.0478386020032353</v>
      </c>
      <c r="I405">
        <f t="shared" ca="1" si="77"/>
        <v>1.417217117609664</v>
      </c>
      <c r="K405">
        <f t="shared" si="68"/>
        <v>1.0070779536580876</v>
      </c>
      <c r="L405" s="7">
        <f t="shared" ca="1" si="69"/>
        <v>1.1062273826159656</v>
      </c>
      <c r="M405">
        <f t="shared" ca="1" si="70"/>
        <v>1.0964596486068996</v>
      </c>
      <c r="O405" t="b">
        <f t="shared" ca="1" si="71"/>
        <v>0</v>
      </c>
    </row>
    <row r="406" spans="1:15" x14ac:dyDescent="0.45">
      <c r="A406" s="1">
        <v>44648</v>
      </c>
      <c r="B406">
        <v>363.947</v>
      </c>
      <c r="C406">
        <f t="shared" si="67"/>
        <v>8.034611731180244E-2</v>
      </c>
      <c r="D406">
        <f t="shared" ca="1" si="72"/>
        <v>3.5177342819155961E-3</v>
      </c>
      <c r="E406">
        <f t="shared" ca="1" si="73"/>
        <v>3.486622604088991E-2</v>
      </c>
      <c r="F406">
        <f t="shared" ca="1" si="74"/>
        <v>0.18706105681190691</v>
      </c>
      <c r="G406">
        <f t="shared" ca="1" si="75"/>
        <v>2.3448452476035637</v>
      </c>
      <c r="H406">
        <f t="shared" ca="1" si="76"/>
        <v>1.0478386020032353</v>
      </c>
      <c r="I406">
        <f t="shared" ca="1" si="77"/>
        <v>1.417217117609664</v>
      </c>
      <c r="K406">
        <f t="shared" si="68"/>
        <v>1.0803461173118025</v>
      </c>
      <c r="L406" s="7">
        <f t="shared" ca="1" si="69"/>
        <v>1.1852904873100083</v>
      </c>
      <c r="M406">
        <f t="shared" ca="1" si="70"/>
        <v>1.0816976104345253</v>
      </c>
      <c r="O406" t="b">
        <f t="shared" ca="1" si="71"/>
        <v>0</v>
      </c>
    </row>
    <row r="407" spans="1:15" x14ac:dyDescent="0.45">
      <c r="A407" s="1">
        <v>44645</v>
      </c>
      <c r="B407">
        <v>336.88</v>
      </c>
      <c r="C407">
        <f t="shared" si="67"/>
        <v>-3.2339861468224317E-3</v>
      </c>
      <c r="D407">
        <f t="shared" ca="1" si="72"/>
        <v>3.1141352074058721E-3</v>
      </c>
      <c r="E407">
        <f t="shared" ca="1" si="73"/>
        <v>3.4436968442686192E-2</v>
      </c>
      <c r="F407">
        <f t="shared" ca="1" si="74"/>
        <v>0.17328900904795444</v>
      </c>
      <c r="G407">
        <f t="shared" ca="1" si="75"/>
        <v>2.4978283219282327</v>
      </c>
      <c r="H407">
        <f t="shared" ca="1" si="76"/>
        <v>1.0134982332615801</v>
      </c>
      <c r="I407">
        <f t="shared" ca="1" si="77"/>
        <v>1.3993304350267679</v>
      </c>
      <c r="K407">
        <f t="shared" si="68"/>
        <v>0.99676601385317753</v>
      </c>
      <c r="L407" s="7">
        <f t="shared" ca="1" si="69"/>
        <v>1.1162470137211435</v>
      </c>
      <c r="M407">
        <f t="shared" ca="1" si="70"/>
        <v>1.0662093745634063</v>
      </c>
      <c r="O407" t="b">
        <f t="shared" ca="1" si="71"/>
        <v>0</v>
      </c>
    </row>
    <row r="408" spans="1:15" x14ac:dyDescent="0.45">
      <c r="A408" s="1">
        <v>44644</v>
      </c>
      <c r="B408">
        <v>337.97300000000001</v>
      </c>
      <c r="C408">
        <f t="shared" si="67"/>
        <v>1.4821176025486766E-2</v>
      </c>
      <c r="D408">
        <f t="shared" ca="1" si="72"/>
        <v>3.2249978377837597E-3</v>
      </c>
      <c r="E408">
        <f t="shared" ca="1" si="73"/>
        <v>3.4452115873531468E-2</v>
      </c>
      <c r="F408">
        <f t="shared" ca="1" si="74"/>
        <v>0.16383298829557577</v>
      </c>
      <c r="G408">
        <f t="shared" ca="1" si="75"/>
        <v>2.4860943463337195</v>
      </c>
      <c r="H408">
        <f t="shared" ca="1" si="76"/>
        <v>1.0134982332615801</v>
      </c>
      <c r="I408">
        <f t="shared" ca="1" si="77"/>
        <v>1.3993304350267679</v>
      </c>
      <c r="K408">
        <f t="shared" si="68"/>
        <v>1.0148211760254868</v>
      </c>
      <c r="L408" s="7">
        <f t="shared" ca="1" si="69"/>
        <v>1.1632860983089701</v>
      </c>
      <c r="M408">
        <f t="shared" ca="1" si="70"/>
        <v>1.0909281794345245</v>
      </c>
      <c r="O408" t="b">
        <f t="shared" ca="1" si="71"/>
        <v>0</v>
      </c>
    </row>
    <row r="409" spans="1:15" x14ac:dyDescent="0.45">
      <c r="A409" s="1">
        <v>44643</v>
      </c>
      <c r="B409">
        <v>333.03699999999998</v>
      </c>
      <c r="C409">
        <f t="shared" si="67"/>
        <v>5.1610644469058647E-3</v>
      </c>
      <c r="D409">
        <f t="shared" ca="1" si="72"/>
        <v>3.1110305283109574E-3</v>
      </c>
      <c r="E409">
        <f t="shared" ca="1" si="73"/>
        <v>3.4451263329069559E-2</v>
      </c>
      <c r="F409">
        <f t="shared" ca="1" si="74"/>
        <v>0.1735018072015708</v>
      </c>
      <c r="G409">
        <f t="shared" ca="1" si="75"/>
        <v>2.4889080272944311</v>
      </c>
      <c r="H409">
        <f t="shared" ca="1" si="76"/>
        <v>1.0134982332615801</v>
      </c>
      <c r="I409">
        <f t="shared" ca="1" si="77"/>
        <v>1.3993304350267679</v>
      </c>
      <c r="K409">
        <f t="shared" si="68"/>
        <v>1.0051610644469058</v>
      </c>
      <c r="L409" s="7">
        <f t="shared" ca="1" si="69"/>
        <v>1.1890908571571388</v>
      </c>
      <c r="M409">
        <f t="shared" ca="1" si="70"/>
        <v>1.1068002933149903</v>
      </c>
      <c r="O409" t="b">
        <f t="shared" ca="1" si="71"/>
        <v>0</v>
      </c>
    </row>
    <row r="410" spans="1:15" x14ac:dyDescent="0.45">
      <c r="A410" s="1">
        <v>44642</v>
      </c>
      <c r="B410">
        <v>331.327</v>
      </c>
      <c r="C410">
        <f t="shared" si="67"/>
        <v>7.9054756019319147E-2</v>
      </c>
      <c r="D410">
        <f t="shared" ca="1" si="72"/>
        <v>3.0725089302348733E-3</v>
      </c>
      <c r="E410">
        <f t="shared" ca="1" si="73"/>
        <v>3.4453266794791083E-2</v>
      </c>
      <c r="F410">
        <f t="shared" ca="1" si="74"/>
        <v>0.17683616621293283</v>
      </c>
      <c r="G410">
        <f t="shared" ca="1" si="75"/>
        <v>2.4884236597526144</v>
      </c>
      <c r="H410">
        <f t="shared" ca="1" si="76"/>
        <v>1.0134982332615801</v>
      </c>
      <c r="I410">
        <f t="shared" ca="1" si="77"/>
        <v>1.3993304350267679</v>
      </c>
      <c r="K410">
        <f t="shared" si="68"/>
        <v>1.0790547560193191</v>
      </c>
      <c r="L410" s="7">
        <f t="shared" ca="1" si="69"/>
        <v>1.2395462724983817</v>
      </c>
      <c r="M410">
        <f t="shared" ca="1" si="70"/>
        <v>1.1694723208452014</v>
      </c>
      <c r="O410" t="b">
        <f t="shared" ca="1" si="71"/>
        <v>0</v>
      </c>
    </row>
    <row r="411" spans="1:15" x14ac:dyDescent="0.45">
      <c r="A411" s="1">
        <v>44641</v>
      </c>
      <c r="B411">
        <v>307.053</v>
      </c>
      <c r="C411">
        <f t="shared" si="67"/>
        <v>1.7415680076342612E-2</v>
      </c>
      <c r="D411">
        <f t="shared" ca="1" si="72"/>
        <v>2.7279905975223818E-3</v>
      </c>
      <c r="E411">
        <f t="shared" ca="1" si="73"/>
        <v>3.4031581314573157E-2</v>
      </c>
      <c r="F411">
        <f t="shared" ca="1" si="74"/>
        <v>0.15772153448787124</v>
      </c>
      <c r="G411">
        <f t="shared" ca="1" si="75"/>
        <v>2.6450580363321672</v>
      </c>
      <c r="H411">
        <f t="shared" ca="1" si="76"/>
        <v>0.95830252007200722</v>
      </c>
      <c r="I411">
        <f t="shared" ca="1" si="77"/>
        <v>1.342999027533246</v>
      </c>
      <c r="K411">
        <f t="shared" si="68"/>
        <v>1.0174156800763425</v>
      </c>
      <c r="L411" s="7">
        <f t="shared" ca="1" si="69"/>
        <v>1.2019752835115107</v>
      </c>
      <c r="M411">
        <f t="shared" ca="1" si="70"/>
        <v>1.2294222214498118</v>
      </c>
      <c r="O411" t="b">
        <f t="shared" ca="1" si="71"/>
        <v>0</v>
      </c>
    </row>
    <row r="412" spans="1:15" x14ac:dyDescent="0.45">
      <c r="A412" s="1">
        <v>44638</v>
      </c>
      <c r="B412">
        <v>301.79700000000003</v>
      </c>
      <c r="C412">
        <f t="shared" si="67"/>
        <v>3.8770122498993261E-2</v>
      </c>
      <c r="D412">
        <f t="shared" ca="1" si="72"/>
        <v>2.8696667730177452E-3</v>
      </c>
      <c r="E412">
        <f t="shared" ca="1" si="73"/>
        <v>3.4151803164398115E-2</v>
      </c>
      <c r="F412">
        <f t="shared" ca="1" si="74"/>
        <v>0.15323469424971786</v>
      </c>
      <c r="G412">
        <f t="shared" ca="1" si="75"/>
        <v>2.5755137425721548</v>
      </c>
      <c r="H412">
        <f t="shared" ca="1" si="76"/>
        <v>0.95830252007200722</v>
      </c>
      <c r="I412">
        <f t="shared" ca="1" si="77"/>
        <v>1.3993304350267679</v>
      </c>
      <c r="K412">
        <f t="shared" si="68"/>
        <v>1.0387701224989934</v>
      </c>
      <c r="L412" s="7">
        <f t="shared" ca="1" si="69"/>
        <v>1.1383540097390963</v>
      </c>
      <c r="M412">
        <f t="shared" ca="1" si="70"/>
        <v>1.2348247693190677</v>
      </c>
      <c r="O412" t="b">
        <f t="shared" ca="1" si="71"/>
        <v>0</v>
      </c>
    </row>
    <row r="413" spans="1:15" x14ac:dyDescent="0.45">
      <c r="A413" s="1">
        <v>44637</v>
      </c>
      <c r="B413">
        <v>290.53300000000002</v>
      </c>
      <c r="C413">
        <f t="shared" si="67"/>
        <v>3.7332590680420087E-2</v>
      </c>
      <c r="D413">
        <f t="shared" ca="1" si="72"/>
        <v>2.4090926457216054E-3</v>
      </c>
      <c r="E413">
        <f t="shared" ca="1" si="73"/>
        <v>3.4286083816753951E-2</v>
      </c>
      <c r="F413">
        <f t="shared" ca="1" si="74"/>
        <v>0.16395171527541763</v>
      </c>
      <c r="G413">
        <f t="shared" ca="1" si="75"/>
        <v>2.5270393153248651</v>
      </c>
      <c r="H413">
        <f t="shared" ca="1" si="76"/>
        <v>0.94615859451706308</v>
      </c>
      <c r="I413">
        <f t="shared" ca="1" si="77"/>
        <v>1.3048885609537444</v>
      </c>
      <c r="K413">
        <f t="shared" si="68"/>
        <v>1.0373325906804201</v>
      </c>
      <c r="L413" s="7">
        <f t="shared" ca="1" si="69"/>
        <v>1.0397232968189154</v>
      </c>
      <c r="M413">
        <f t="shared" ca="1" si="70"/>
        <v>1.2081429981646585</v>
      </c>
      <c r="O413" t="b">
        <f t="shared" ca="1" si="71"/>
        <v>0</v>
      </c>
    </row>
    <row r="414" spans="1:15" x14ac:dyDescent="0.45">
      <c r="A414" s="1">
        <v>44636</v>
      </c>
      <c r="B414">
        <v>280.077</v>
      </c>
      <c r="C414">
        <f t="shared" si="67"/>
        <v>4.7811984421822808E-2</v>
      </c>
      <c r="D414">
        <f t="shared" ca="1" si="72"/>
        <v>2.0719250449475661E-3</v>
      </c>
      <c r="E414">
        <f t="shared" ca="1" si="73"/>
        <v>3.4272488313124218E-2</v>
      </c>
      <c r="F414">
        <f t="shared" ca="1" si="74"/>
        <v>0.18425649410032455</v>
      </c>
      <c r="G414">
        <f t="shared" ca="1" si="75"/>
        <v>2.5412959634898735</v>
      </c>
      <c r="H414">
        <f t="shared" ca="1" si="76"/>
        <v>0.94615859451706308</v>
      </c>
      <c r="I414">
        <f t="shared" ca="1" si="77"/>
        <v>1.1715442192457315</v>
      </c>
      <c r="K414">
        <f t="shared" si="68"/>
        <v>1.0478119844218228</v>
      </c>
      <c r="L414" s="7">
        <f t="shared" ca="1" si="69"/>
        <v>0.97818547584371496</v>
      </c>
      <c r="M414">
        <f t="shared" ca="1" si="70"/>
        <v>1.2066529437618292</v>
      </c>
      <c r="O414" t="b">
        <f t="shared" ca="1" si="71"/>
        <v>1</v>
      </c>
    </row>
    <row r="415" spans="1:15" x14ac:dyDescent="0.45">
      <c r="A415" s="1">
        <v>44635</v>
      </c>
      <c r="B415">
        <v>267.29700000000003</v>
      </c>
      <c r="C415">
        <f t="shared" si="67"/>
        <v>4.6348309108773814E-2</v>
      </c>
      <c r="D415">
        <f t="shared" ca="1" si="72"/>
        <v>1.8223088555345706E-3</v>
      </c>
      <c r="E415">
        <f t="shared" ca="1" si="73"/>
        <v>3.4119135929729566E-2</v>
      </c>
      <c r="F415">
        <f t="shared" ca="1" si="74"/>
        <v>0.19668348039909594</v>
      </c>
      <c r="G415">
        <f t="shared" ca="1" si="75"/>
        <v>2.631237016921693</v>
      </c>
      <c r="H415">
        <f t="shared" ca="1" si="76"/>
        <v>0.94615859451706308</v>
      </c>
      <c r="I415">
        <f t="shared" ca="1" si="77"/>
        <v>1.1603853879213069</v>
      </c>
      <c r="K415">
        <f t="shared" si="68"/>
        <v>1.0463483091087737</v>
      </c>
      <c r="L415" s="7">
        <f t="shared" ca="1" si="69"/>
        <v>0.97269650655021833</v>
      </c>
      <c r="M415">
        <f t="shared" ca="1" si="70"/>
        <v>1.2037316075506381</v>
      </c>
      <c r="O415" t="b">
        <f t="shared" ca="1" si="71"/>
        <v>1</v>
      </c>
    </row>
    <row r="416" spans="1:15" x14ac:dyDescent="0.45">
      <c r="A416" s="1">
        <v>44634</v>
      </c>
      <c r="B416">
        <v>255.45699999999999</v>
      </c>
      <c r="C416">
        <f t="shared" si="67"/>
        <v>-3.643674302289187E-2</v>
      </c>
      <c r="D416">
        <f t="shared" ca="1" si="72"/>
        <v>1.5459607559658883E-3</v>
      </c>
      <c r="E416">
        <f t="shared" ca="1" si="73"/>
        <v>3.3980230647167993E-2</v>
      </c>
      <c r="F416">
        <f t="shared" ca="1" si="74"/>
        <v>0.21216957599876995</v>
      </c>
      <c r="G416">
        <f t="shared" ca="1" si="75"/>
        <v>2.7160506728977563</v>
      </c>
      <c r="H416">
        <f t="shared" ca="1" si="76"/>
        <v>0.94615859451706308</v>
      </c>
      <c r="I416">
        <f t="shared" ca="1" si="77"/>
        <v>1.1301068367319878</v>
      </c>
      <c r="K416">
        <f t="shared" si="68"/>
        <v>0.9635632569771081</v>
      </c>
      <c r="L416" s="7">
        <f t="shared" ca="1" si="69"/>
        <v>0.95251181052451028</v>
      </c>
      <c r="M416">
        <f t="shared" ca="1" si="70"/>
        <v>1.2453532868708814</v>
      </c>
      <c r="O416" t="b">
        <f t="shared" ca="1" si="71"/>
        <v>1</v>
      </c>
    </row>
    <row r="417" spans="1:15" x14ac:dyDescent="0.45">
      <c r="A417" s="1">
        <v>44631</v>
      </c>
      <c r="B417">
        <v>265.11700000000002</v>
      </c>
      <c r="C417">
        <f t="shared" si="67"/>
        <v>-5.1232316870233559E-2</v>
      </c>
      <c r="D417">
        <f t="shared" ca="1" si="72"/>
        <v>1.8227771094072921E-3</v>
      </c>
      <c r="E417">
        <f t="shared" ca="1" si="73"/>
        <v>3.389465143270326E-2</v>
      </c>
      <c r="F417">
        <f t="shared" ca="1" si="74"/>
        <v>0.196859128067262</v>
      </c>
      <c r="G417">
        <f t="shared" ca="1" si="75"/>
        <v>2.7596796115177114</v>
      </c>
      <c r="H417">
        <f t="shared" ca="1" si="76"/>
        <v>0.94615859451706308</v>
      </c>
      <c r="I417">
        <f t="shared" ca="1" si="77"/>
        <v>1.257613887660034</v>
      </c>
      <c r="K417">
        <f t="shared" si="68"/>
        <v>0.94876768312976645</v>
      </c>
      <c r="L417" s="7">
        <f t="shared" ca="1" si="69"/>
        <v>0.94877786923379726</v>
      </c>
      <c r="M417">
        <f t="shared" ca="1" si="70"/>
        <v>1.2176285223197629</v>
      </c>
      <c r="O417" t="b">
        <f t="shared" ca="1" si="71"/>
        <v>1</v>
      </c>
    </row>
    <row r="418" spans="1:15" x14ac:dyDescent="0.45">
      <c r="A418" s="1">
        <v>44630</v>
      </c>
      <c r="B418">
        <v>279.43299999999999</v>
      </c>
      <c r="C418">
        <f t="shared" si="67"/>
        <v>-2.4063732218508421E-2</v>
      </c>
      <c r="D418">
        <f t="shared" ca="1" si="72"/>
        <v>2.1983554517944091E-3</v>
      </c>
      <c r="E418">
        <f t="shared" ca="1" si="73"/>
        <v>3.3719523435659933E-2</v>
      </c>
      <c r="F418">
        <f t="shared" ca="1" si="74"/>
        <v>0.18738182493402</v>
      </c>
      <c r="G418">
        <f t="shared" ca="1" si="75"/>
        <v>2.8411509989374721</v>
      </c>
      <c r="H418">
        <f t="shared" ca="1" si="76"/>
        <v>0.95830252007200722</v>
      </c>
      <c r="I418">
        <f t="shared" ca="1" si="77"/>
        <v>1.2973163366968405</v>
      </c>
      <c r="K418">
        <f t="shared" si="68"/>
        <v>0.97593626778149156</v>
      </c>
      <c r="L418" s="7">
        <f t="shared" ca="1" si="69"/>
        <v>0.99882043014980548</v>
      </c>
      <c r="M418">
        <f t="shared" ca="1" si="70"/>
        <v>1.1826878890616648</v>
      </c>
      <c r="O418" t="b">
        <f t="shared" ca="1" si="71"/>
        <v>1</v>
      </c>
    </row>
    <row r="419" spans="1:15" x14ac:dyDescent="0.45">
      <c r="A419" s="1">
        <v>44629</v>
      </c>
      <c r="B419">
        <v>286.32299999999998</v>
      </c>
      <c r="C419">
        <f t="shared" si="67"/>
        <v>4.1932314410480231E-2</v>
      </c>
      <c r="D419">
        <f t="shared" ca="1" si="72"/>
        <v>2.304229179249548E-3</v>
      </c>
      <c r="E419">
        <f t="shared" ca="1" si="73"/>
        <v>3.3669856479695039E-2</v>
      </c>
      <c r="F419">
        <f t="shared" ca="1" si="74"/>
        <v>0.1810747135346186</v>
      </c>
      <c r="G419">
        <f t="shared" ca="1" si="75"/>
        <v>2.8716643665035511</v>
      </c>
      <c r="H419">
        <f t="shared" ca="1" si="76"/>
        <v>0.95830252007200722</v>
      </c>
      <c r="I419">
        <f t="shared" ca="1" si="77"/>
        <v>1.3326898963569005</v>
      </c>
      <c r="K419">
        <f t="shared" si="68"/>
        <v>1.0419323144104802</v>
      </c>
      <c r="L419" s="7">
        <f t="shared" ca="1" si="69"/>
        <v>0.97622205477723922</v>
      </c>
      <c r="M419">
        <f t="shared" ca="1" si="70"/>
        <v>1.2090367769465149</v>
      </c>
      <c r="O419" t="b">
        <f t="shared" ca="1" si="71"/>
        <v>1</v>
      </c>
    </row>
    <row r="420" spans="1:15" x14ac:dyDescent="0.45">
      <c r="A420" s="1">
        <v>44628</v>
      </c>
      <c r="B420">
        <v>274.8</v>
      </c>
      <c r="C420">
        <f t="shared" si="67"/>
        <v>2.4635244022029018E-2</v>
      </c>
      <c r="D420">
        <f t="shared" ca="1" si="72"/>
        <v>2.3145782462092694E-3</v>
      </c>
      <c r="E420">
        <f t="shared" ca="1" si="73"/>
        <v>3.3682413885610107E-2</v>
      </c>
      <c r="F420">
        <f t="shared" ca="1" si="74"/>
        <v>0.18130529405353665</v>
      </c>
      <c r="G420">
        <f t="shared" ca="1" si="75"/>
        <v>2.8648581706324618</v>
      </c>
      <c r="H420">
        <f t="shared" ca="1" si="76"/>
        <v>0.95830252007200722</v>
      </c>
      <c r="I420">
        <f t="shared" ca="1" si="77"/>
        <v>1.3326898963569005</v>
      </c>
      <c r="K420">
        <f t="shared" si="68"/>
        <v>1.024635244022029</v>
      </c>
      <c r="L420" s="7">
        <f t="shared" ca="1" si="69"/>
        <v>0.95375933195197893</v>
      </c>
      <c r="M420">
        <f t="shared" ca="1" si="70"/>
        <v>1.1966692816128668</v>
      </c>
      <c r="O420" t="b">
        <f t="shared" ca="1" si="71"/>
        <v>1</v>
      </c>
    </row>
    <row r="421" spans="1:15" x14ac:dyDescent="0.45">
      <c r="A421" s="1">
        <v>44627</v>
      </c>
      <c r="B421">
        <v>268.19299999999998</v>
      </c>
      <c r="C421">
        <f t="shared" si="67"/>
        <v>-4.0214007085853425E-2</v>
      </c>
      <c r="D421">
        <f t="shared" ca="1" si="72"/>
        <v>2.1411446037987347E-3</v>
      </c>
      <c r="E421">
        <f t="shared" ca="1" si="73"/>
        <v>3.365619758704784E-2</v>
      </c>
      <c r="F421">
        <f t="shared" ca="1" si="74"/>
        <v>0.19561251292744156</v>
      </c>
      <c r="G421">
        <f t="shared" ca="1" si="75"/>
        <v>2.8863380970272798</v>
      </c>
      <c r="H421">
        <f t="shared" ca="1" si="76"/>
        <v>0.95830252007200722</v>
      </c>
      <c r="I421">
        <f t="shared" ca="1" si="77"/>
        <v>1.3296361584295568</v>
      </c>
      <c r="K421">
        <f t="shared" si="68"/>
        <v>0.95978599291414657</v>
      </c>
      <c r="L421" s="7">
        <f t="shared" ca="1" si="69"/>
        <v>0.92434764926260515</v>
      </c>
      <c r="M421">
        <f t="shared" ca="1" si="70"/>
        <v>1.1519000613108736</v>
      </c>
      <c r="O421" t="b">
        <f t="shared" ca="1" si="71"/>
        <v>1</v>
      </c>
    </row>
    <row r="422" spans="1:15" x14ac:dyDescent="0.45">
      <c r="A422" s="1">
        <v>44624</v>
      </c>
      <c r="B422">
        <v>279.43</v>
      </c>
      <c r="C422">
        <f t="shared" si="67"/>
        <v>-1.1902932124690185E-3</v>
      </c>
      <c r="D422">
        <f t="shared" ca="1" si="72"/>
        <v>2.5491414840794553E-3</v>
      </c>
      <c r="E422">
        <f t="shared" ca="1" si="73"/>
        <v>3.3634754515201294E-2</v>
      </c>
      <c r="F422">
        <f t="shared" ca="1" si="74"/>
        <v>0.17742539132630775</v>
      </c>
      <c r="G422">
        <f t="shared" ca="1" si="75"/>
        <v>2.8883617031367672</v>
      </c>
      <c r="H422">
        <f t="shared" ca="1" si="76"/>
        <v>0.95830252007200722</v>
      </c>
      <c r="I422">
        <f t="shared" ca="1" si="77"/>
        <v>1.4559624464892122</v>
      </c>
      <c r="K422">
        <f t="shared" si="68"/>
        <v>0.998809706787531</v>
      </c>
      <c r="L422" s="7">
        <f t="shared" ca="1" si="69"/>
        <v>1.0350907737158141</v>
      </c>
      <c r="M422">
        <f t="shared" ca="1" si="70"/>
        <v>1.2151187305872342</v>
      </c>
      <c r="O422" t="b">
        <f t="shared" ca="1" si="71"/>
        <v>0</v>
      </c>
    </row>
    <row r="423" spans="1:15" x14ac:dyDescent="0.45">
      <c r="A423" s="1">
        <v>44623</v>
      </c>
      <c r="B423">
        <v>279.76299999999998</v>
      </c>
      <c r="C423">
        <f t="shared" si="67"/>
        <v>-4.6144351970869281E-2</v>
      </c>
      <c r="D423">
        <f t="shared" ca="1" si="72"/>
        <v>2.4304193649520777E-3</v>
      </c>
      <c r="E423">
        <f t="shared" ca="1" si="73"/>
        <v>3.3689880805372996E-2</v>
      </c>
      <c r="F423">
        <f t="shared" ca="1" si="74"/>
        <v>0.18448574921064873</v>
      </c>
      <c r="G423">
        <f t="shared" ca="1" si="75"/>
        <v>2.8544867338423741</v>
      </c>
      <c r="H423">
        <f t="shared" ca="1" si="76"/>
        <v>0.95830252007200722</v>
      </c>
      <c r="I423">
        <f t="shared" ca="1" si="77"/>
        <v>1.3326898963569005</v>
      </c>
      <c r="K423">
        <f t="shared" si="68"/>
        <v>0.9538556480291307</v>
      </c>
      <c r="L423" s="7">
        <f t="shared" ca="1" si="69"/>
        <v>1.0481037602604495</v>
      </c>
      <c r="M423">
        <f t="shared" ca="1" si="70"/>
        <v>1.2386643171037188</v>
      </c>
      <c r="O423" t="b">
        <f t="shared" ca="1" si="71"/>
        <v>0</v>
      </c>
    </row>
    <row r="424" spans="1:15" x14ac:dyDescent="0.45">
      <c r="A424" s="1">
        <v>44622</v>
      </c>
      <c r="B424">
        <v>293.29700000000003</v>
      </c>
      <c r="C424">
        <f t="shared" si="67"/>
        <v>1.7957608382531194E-2</v>
      </c>
      <c r="D424">
        <f t="shared" ca="1" si="72"/>
        <v>2.6701385607972067E-3</v>
      </c>
      <c r="E424">
        <f t="shared" ca="1" si="73"/>
        <v>3.3512616860123114E-2</v>
      </c>
      <c r="F424">
        <f t="shared" ca="1" si="74"/>
        <v>0.18120906065084649</v>
      </c>
      <c r="G424">
        <f t="shared" ca="1" si="75"/>
        <v>2.9518522540597143</v>
      </c>
      <c r="H424">
        <f t="shared" ca="1" si="76"/>
        <v>0.95830252007200722</v>
      </c>
      <c r="I424">
        <f t="shared" ca="1" si="77"/>
        <v>1.4559624464892122</v>
      </c>
      <c r="K424">
        <f t="shared" si="68"/>
        <v>1.0179576083825312</v>
      </c>
      <c r="L424" s="7">
        <f t="shared" ca="1" si="69"/>
        <v>1.1516294958379145</v>
      </c>
      <c r="M424">
        <f t="shared" ca="1" si="70"/>
        <v>1.2500101998356974</v>
      </c>
      <c r="O424" t="b">
        <f t="shared" ca="1" si="71"/>
        <v>0</v>
      </c>
    </row>
    <row r="425" spans="1:15" x14ac:dyDescent="0.45">
      <c r="A425" s="1">
        <v>44621</v>
      </c>
      <c r="B425">
        <v>288.12299999999999</v>
      </c>
      <c r="C425">
        <f t="shared" si="67"/>
        <v>-6.9620842136463128E-3</v>
      </c>
      <c r="D425">
        <f t="shared" ca="1" si="72"/>
        <v>2.4709039831230292E-3</v>
      </c>
      <c r="E425">
        <f t="shared" ca="1" si="73"/>
        <v>3.353971043455041E-2</v>
      </c>
      <c r="F425">
        <f t="shared" ca="1" si="74"/>
        <v>0.19629768750923321</v>
      </c>
      <c r="G425">
        <f t="shared" ca="1" si="75"/>
        <v>2.938302240435946</v>
      </c>
      <c r="H425">
        <f t="shared" ca="1" si="76"/>
        <v>0.95830252007200722</v>
      </c>
      <c r="I425">
        <f t="shared" ca="1" si="77"/>
        <v>1.3326898963569005</v>
      </c>
      <c r="K425">
        <f t="shared" si="68"/>
        <v>0.9930379157863537</v>
      </c>
      <c r="L425" s="7">
        <f t="shared" ca="1" si="69"/>
        <v>1.0521466679812888</v>
      </c>
      <c r="M425">
        <f t="shared" ca="1" si="70"/>
        <v>1.2514571544679614</v>
      </c>
      <c r="O425" t="b">
        <f t="shared" ca="1" si="71"/>
        <v>0</v>
      </c>
    </row>
    <row r="426" spans="1:15" x14ac:dyDescent="0.45">
      <c r="A426" s="1">
        <v>44620</v>
      </c>
      <c r="B426">
        <v>290.14299999999997</v>
      </c>
      <c r="C426">
        <f t="shared" si="67"/>
        <v>7.4774871553617728E-2</v>
      </c>
      <c r="D426">
        <f t="shared" ca="1" si="72"/>
        <v>2.6635887029795875E-3</v>
      </c>
      <c r="E426">
        <f t="shared" ca="1" si="73"/>
        <v>3.3595895636927484E-2</v>
      </c>
      <c r="F426">
        <f t="shared" ca="1" si="74"/>
        <v>0.18134671445949183</v>
      </c>
      <c r="G426">
        <f t="shared" ca="1" si="75"/>
        <v>2.896808316986065</v>
      </c>
      <c r="H426">
        <f t="shared" ca="1" si="76"/>
        <v>0.95830252007200722</v>
      </c>
      <c r="I426">
        <f t="shared" ca="1" si="77"/>
        <v>1.3455056917952173</v>
      </c>
      <c r="K426">
        <f t="shared" si="68"/>
        <v>1.0747748715536178</v>
      </c>
      <c r="L426" s="7">
        <f t="shared" ca="1" si="69"/>
        <v>1.0156934817615348</v>
      </c>
      <c r="M426">
        <f t="shared" ca="1" si="70"/>
        <v>1.2531906840913631</v>
      </c>
      <c r="O426" t="b">
        <f t="shared" ca="1" si="71"/>
        <v>0</v>
      </c>
    </row>
    <row r="427" spans="1:15" x14ac:dyDescent="0.45">
      <c r="A427" s="1">
        <v>44617</v>
      </c>
      <c r="B427">
        <v>269.95699999999999</v>
      </c>
      <c r="C427">
        <f t="shared" si="67"/>
        <v>1.1366573880856995E-2</v>
      </c>
      <c r="D427">
        <f t="shared" ca="1" si="72"/>
        <v>2.1354398194524606E-3</v>
      </c>
      <c r="E427">
        <f t="shared" ca="1" si="73"/>
        <v>3.3285412667530476E-2</v>
      </c>
      <c r="F427">
        <f t="shared" ca="1" si="74"/>
        <v>0.17775934641579152</v>
      </c>
      <c r="G427">
        <f t="shared" ca="1" si="75"/>
        <v>3.0228490753601438</v>
      </c>
      <c r="H427">
        <f t="shared" ca="1" si="76"/>
        <v>0.93410732198567892</v>
      </c>
      <c r="I427">
        <f t="shared" ca="1" si="77"/>
        <v>1.2973163366968405</v>
      </c>
      <c r="K427">
        <f t="shared" si="68"/>
        <v>1.011366573880857</v>
      </c>
      <c r="L427" s="7">
        <f t="shared" ca="1" si="69"/>
        <v>0.92413998500600791</v>
      </c>
      <c r="M427">
        <f t="shared" ca="1" si="70"/>
        <v>1.2614632234011922</v>
      </c>
      <c r="O427" t="b">
        <f t="shared" ca="1" si="71"/>
        <v>1</v>
      </c>
    </row>
    <row r="428" spans="1:15" x14ac:dyDescent="0.45">
      <c r="A428" s="1">
        <v>44616</v>
      </c>
      <c r="B428">
        <v>266.923</v>
      </c>
      <c r="C428">
        <f t="shared" si="67"/>
        <v>4.8072090466467703E-2</v>
      </c>
      <c r="D428">
        <f t="shared" ca="1" si="72"/>
        <v>1.8573736039150801E-3</v>
      </c>
      <c r="E428">
        <f t="shared" ca="1" si="73"/>
        <v>3.3439846438222558E-2</v>
      </c>
      <c r="F428">
        <f t="shared" ca="1" si="74"/>
        <v>0.18685519110558008</v>
      </c>
      <c r="G428">
        <f t="shared" ca="1" si="75"/>
        <v>2.9365697628002279</v>
      </c>
      <c r="H428">
        <f t="shared" ca="1" si="76"/>
        <v>0.93410732198567892</v>
      </c>
      <c r="I428">
        <f t="shared" ca="1" si="77"/>
        <v>1.2605022140659865</v>
      </c>
      <c r="K428">
        <f t="shared" si="68"/>
        <v>1.0480720904664678</v>
      </c>
      <c r="L428" s="7">
        <f t="shared" ca="1" si="69"/>
        <v>0.86720468360640302</v>
      </c>
      <c r="M428">
        <f t="shared" ca="1" si="70"/>
        <v>1.2689040448946582</v>
      </c>
      <c r="O428" t="b">
        <f t="shared" ca="1" si="71"/>
        <v>1</v>
      </c>
    </row>
    <row r="429" spans="1:15" x14ac:dyDescent="0.45">
      <c r="A429" s="1">
        <v>44615</v>
      </c>
      <c r="B429">
        <v>254.68</v>
      </c>
      <c r="C429">
        <f t="shared" si="67"/>
        <v>-6.9978053118027517E-2</v>
      </c>
      <c r="D429">
        <f t="shared" ca="1" si="72"/>
        <v>1.5228935407471833E-3</v>
      </c>
      <c r="E429">
        <f t="shared" ca="1" si="73"/>
        <v>3.3309571503086007E-2</v>
      </c>
      <c r="F429">
        <f t="shared" ca="1" si="74"/>
        <v>0.20471483980402527</v>
      </c>
      <c r="G429">
        <f t="shared" ca="1" si="75"/>
        <v>3.0200538641751455</v>
      </c>
      <c r="H429">
        <f t="shared" ca="1" si="76"/>
        <v>0.91053613341029338</v>
      </c>
      <c r="I429">
        <f t="shared" ca="1" si="77"/>
        <v>1.1577264701347181</v>
      </c>
      <c r="K429">
        <f t="shared" si="68"/>
        <v>0.93002194688197248</v>
      </c>
      <c r="L429" s="7">
        <f t="shared" ca="1" si="69"/>
        <v>0.8282895956445524</v>
      </c>
      <c r="M429">
        <f t="shared" ca="1" si="70"/>
        <v>1.2697037205111426</v>
      </c>
      <c r="O429" t="b">
        <f t="shared" ca="1" si="71"/>
        <v>1</v>
      </c>
    </row>
    <row r="430" spans="1:15" x14ac:dyDescent="0.45">
      <c r="A430" s="1">
        <v>44614</v>
      </c>
      <c r="B430">
        <v>273.84300000000002</v>
      </c>
      <c r="C430">
        <f t="shared" si="67"/>
        <v>-4.1367359798361709E-2</v>
      </c>
      <c r="D430">
        <f t="shared" ca="1" si="72"/>
        <v>1.5505723420967032E-3</v>
      </c>
      <c r="E430">
        <f t="shared" ca="1" si="73"/>
        <v>3.3252109194380763E-2</v>
      </c>
      <c r="F430">
        <f t="shared" ca="1" si="74"/>
        <v>0.21409280691725838</v>
      </c>
      <c r="G430">
        <f t="shared" ca="1" si="75"/>
        <v>3.0308527040504138</v>
      </c>
      <c r="H430">
        <f t="shared" ca="1" si="76"/>
        <v>0.91053613341029338</v>
      </c>
      <c r="I430">
        <f t="shared" ca="1" si="77"/>
        <v>1.1577264701347181</v>
      </c>
      <c r="K430">
        <f t="shared" si="68"/>
        <v>0.9586326402016383</v>
      </c>
      <c r="L430" s="7">
        <f t="shared" ca="1" si="69"/>
        <v>0.9380755001370239</v>
      </c>
      <c r="M430">
        <f t="shared" ca="1" si="70"/>
        <v>1.2983371953976124</v>
      </c>
      <c r="O430" t="b">
        <f t="shared" ca="1" si="71"/>
        <v>1</v>
      </c>
    </row>
    <row r="431" spans="1:15" x14ac:dyDescent="0.45">
      <c r="A431" s="1">
        <v>44610</v>
      </c>
      <c r="B431">
        <v>285.66000000000003</v>
      </c>
      <c r="C431">
        <f t="shared" si="67"/>
        <v>-2.2104156896038209E-2</v>
      </c>
      <c r="D431">
        <f t="shared" ca="1" si="72"/>
        <v>1.8239386645535613E-3</v>
      </c>
      <c r="E431">
        <f t="shared" ca="1" si="73"/>
        <v>3.3121987377509668E-2</v>
      </c>
      <c r="F431">
        <f t="shared" ca="1" si="74"/>
        <v>0.2028850462375692</v>
      </c>
      <c r="G431">
        <f t="shared" ca="1" si="75"/>
        <v>3.1051341261863916</v>
      </c>
      <c r="H431">
        <f t="shared" ca="1" si="76"/>
        <v>0.91053613341029338</v>
      </c>
      <c r="I431">
        <f t="shared" ca="1" si="77"/>
        <v>1.257613887660034</v>
      </c>
      <c r="K431">
        <f t="shared" si="68"/>
        <v>0.97789584310396183</v>
      </c>
      <c r="L431" s="7">
        <f t="shared" ca="1" si="69"/>
        <v>0.99648721338696133</v>
      </c>
      <c r="M431">
        <f t="shared" ca="1" si="70"/>
        <v>1.3082056398600348</v>
      </c>
      <c r="O431" t="b">
        <f t="shared" ca="1" si="71"/>
        <v>1</v>
      </c>
    </row>
    <row r="432" spans="1:15" x14ac:dyDescent="0.45">
      <c r="A432" s="1">
        <v>44609</v>
      </c>
      <c r="B432">
        <v>292.11700000000002</v>
      </c>
      <c r="C432">
        <f t="shared" si="67"/>
        <v>-5.0942666757635729E-2</v>
      </c>
      <c r="D432">
        <f t="shared" ca="1" si="72"/>
        <v>1.8793055681410953E-3</v>
      </c>
      <c r="E432">
        <f t="shared" ca="1" si="73"/>
        <v>3.3091028734370177E-2</v>
      </c>
      <c r="F432">
        <f t="shared" ca="1" si="74"/>
        <v>0.2000063752845247</v>
      </c>
      <c r="G432">
        <f t="shared" ca="1" si="75"/>
        <v>3.1255035459042908</v>
      </c>
      <c r="H432">
        <f t="shared" ca="1" si="76"/>
        <v>0.91053613341029338</v>
      </c>
      <c r="I432">
        <f t="shared" ca="1" si="77"/>
        <v>1.2943436540705495</v>
      </c>
      <c r="K432">
        <f t="shared" si="68"/>
        <v>0.9490573332423643</v>
      </c>
      <c r="L432" s="7">
        <f t="shared" ca="1" si="69"/>
        <v>0.96882431173035033</v>
      </c>
      <c r="M432">
        <f t="shared" ca="1" si="70"/>
        <v>1.3047934555147491</v>
      </c>
      <c r="O432" t="b">
        <f t="shared" ca="1" si="71"/>
        <v>1</v>
      </c>
    </row>
    <row r="433" spans="1:15" x14ac:dyDescent="0.45">
      <c r="A433" s="1">
        <v>44608</v>
      </c>
      <c r="B433">
        <v>307.79700000000003</v>
      </c>
      <c r="C433">
        <f t="shared" si="67"/>
        <v>1.0407282495928153E-3</v>
      </c>
      <c r="D433">
        <f t="shared" ca="1" si="72"/>
        <v>2.1142890626628876E-3</v>
      </c>
      <c r="E433">
        <f t="shared" ca="1" si="73"/>
        <v>3.288024180719272E-2</v>
      </c>
      <c r="F433">
        <f t="shared" ca="1" si="74"/>
        <v>0.20323763326475314</v>
      </c>
      <c r="G433">
        <f t="shared" ca="1" si="75"/>
        <v>3.2445476411811862</v>
      </c>
      <c r="H433">
        <f t="shared" ca="1" si="76"/>
        <v>0.91994692230530872</v>
      </c>
      <c r="I433">
        <f t="shared" ca="1" si="77"/>
        <v>1.3296361584295568</v>
      </c>
      <c r="K433">
        <f t="shared" si="68"/>
        <v>1.0010407282495928</v>
      </c>
      <c r="L433" s="7">
        <f t="shared" ca="1" si="69"/>
        <v>0.99076181248732598</v>
      </c>
      <c r="M433">
        <f t="shared" ca="1" si="70"/>
        <v>1.3108277979702914</v>
      </c>
      <c r="O433" t="b">
        <f t="shared" ca="1" si="71"/>
        <v>1</v>
      </c>
    </row>
    <row r="434" spans="1:15" x14ac:dyDescent="0.45">
      <c r="A434" s="1">
        <v>44607</v>
      </c>
      <c r="B434">
        <v>307.47699999999998</v>
      </c>
      <c r="C434">
        <f t="shared" si="67"/>
        <v>5.3291997807618383E-2</v>
      </c>
      <c r="D434">
        <f t="shared" ca="1" si="72"/>
        <v>2.0265843263645509E-3</v>
      </c>
      <c r="E434">
        <f t="shared" ca="1" si="73"/>
        <v>3.2906503680647584E-2</v>
      </c>
      <c r="F434">
        <f t="shared" ca="1" si="74"/>
        <v>0.20990939715338264</v>
      </c>
      <c r="G434">
        <f t="shared" ca="1" si="75"/>
        <v>3.2272607657737638</v>
      </c>
      <c r="H434">
        <f t="shared" ca="1" si="76"/>
        <v>0.91994692230530872</v>
      </c>
      <c r="I434">
        <f t="shared" ca="1" si="77"/>
        <v>1.2943436540705495</v>
      </c>
      <c r="K434">
        <f t="shared" si="68"/>
        <v>1.0532919978076183</v>
      </c>
      <c r="L434" s="7">
        <f t="shared" ca="1" si="69"/>
        <v>1.0004685471459296</v>
      </c>
      <c r="M434">
        <f t="shared" ca="1" si="70"/>
        <v>1.3343999391608765</v>
      </c>
      <c r="O434" t="b">
        <f t="shared" ca="1" si="71"/>
        <v>0</v>
      </c>
    </row>
    <row r="435" spans="1:15" x14ac:dyDescent="0.45">
      <c r="A435" s="1">
        <v>44606</v>
      </c>
      <c r="B435">
        <v>291.92</v>
      </c>
      <c r="C435">
        <f t="shared" si="67"/>
        <v>1.8324397297212597E-2</v>
      </c>
      <c r="D435">
        <f t="shared" ca="1" si="72"/>
        <v>1.5871710220355234E-3</v>
      </c>
      <c r="E435">
        <f t="shared" ca="1" si="73"/>
        <v>3.2805106102175491E-2</v>
      </c>
      <c r="F435">
        <f t="shared" ca="1" si="74"/>
        <v>0.22602376511585706</v>
      </c>
      <c r="G435">
        <f t="shared" ca="1" si="75"/>
        <v>3.2935773533707584</v>
      </c>
      <c r="H435">
        <f t="shared" ca="1" si="76"/>
        <v>0.88539076731719724</v>
      </c>
      <c r="I435">
        <f t="shared" ca="1" si="77"/>
        <v>1.227411747927909</v>
      </c>
      <c r="K435">
        <f t="shared" si="68"/>
        <v>1.0183243972972127</v>
      </c>
      <c r="L435" s="7">
        <f t="shared" ca="1" si="69"/>
        <v>0.96519390174146236</v>
      </c>
      <c r="M435">
        <f t="shared" ca="1" si="70"/>
        <v>1.3402283404673319</v>
      </c>
      <c r="O435" t="b">
        <f t="shared" ca="1" si="71"/>
        <v>1</v>
      </c>
    </row>
    <row r="436" spans="1:15" x14ac:dyDescent="0.45">
      <c r="A436" s="1">
        <v>44603</v>
      </c>
      <c r="B436">
        <v>286.66699999999997</v>
      </c>
      <c r="C436">
        <f t="shared" si="67"/>
        <v>-4.9250954340883009E-2</v>
      </c>
      <c r="D436">
        <f t="shared" ca="1" si="72"/>
        <v>1.7351277067774206E-3</v>
      </c>
      <c r="E436">
        <f t="shared" ca="1" si="73"/>
        <v>3.2947395645124999E-2</v>
      </c>
      <c r="F436">
        <f t="shared" ca="1" si="74"/>
        <v>0.22294654083722057</v>
      </c>
      <c r="G436">
        <f t="shared" ca="1" si="75"/>
        <v>3.2004651568231504</v>
      </c>
      <c r="H436">
        <f t="shared" ca="1" si="76"/>
        <v>0.91994692230530872</v>
      </c>
      <c r="I436">
        <f t="shared" ca="1" si="77"/>
        <v>1.257613887660034</v>
      </c>
      <c r="K436">
        <f t="shared" si="68"/>
        <v>0.950749045659117</v>
      </c>
      <c r="L436" s="7">
        <f t="shared" ca="1" si="69"/>
        <v>0.93142348419127063</v>
      </c>
      <c r="M436">
        <f t="shared" ca="1" si="70"/>
        <v>1.3209013662621425</v>
      </c>
      <c r="O436" t="b">
        <f t="shared" ca="1" si="71"/>
        <v>1</v>
      </c>
    </row>
    <row r="437" spans="1:15" x14ac:dyDescent="0.45">
      <c r="A437" s="1">
        <v>44602</v>
      </c>
      <c r="B437">
        <v>301.517</v>
      </c>
      <c r="C437">
        <f t="shared" si="67"/>
        <v>-2.9452758097898966E-2</v>
      </c>
      <c r="D437">
        <f t="shared" ca="1" si="72"/>
        <v>1.8560946404746908E-3</v>
      </c>
      <c r="E437">
        <f t="shared" ca="1" si="73"/>
        <v>3.2803357044084963E-2</v>
      </c>
      <c r="F437">
        <f t="shared" ca="1" si="74"/>
        <v>0.23101540255909933</v>
      </c>
      <c r="G437">
        <f t="shared" ca="1" si="75"/>
        <v>3.2794161997841895</v>
      </c>
      <c r="H437">
        <f t="shared" ca="1" si="76"/>
        <v>0.91994692230530872</v>
      </c>
      <c r="I437">
        <f t="shared" ca="1" si="77"/>
        <v>1.257613887660034</v>
      </c>
      <c r="K437">
        <f t="shared" si="68"/>
        <v>0.97054724190210107</v>
      </c>
      <c r="L437" s="7">
        <f t="shared" ca="1" si="69"/>
        <v>1.0150481236975966</v>
      </c>
      <c r="M437">
        <f t="shared" ca="1" si="70"/>
        <v>1.3668906182126062</v>
      </c>
      <c r="O437" t="b">
        <f t="shared" ca="1" si="71"/>
        <v>0</v>
      </c>
    </row>
    <row r="438" spans="1:15" x14ac:dyDescent="0.45">
      <c r="A438" s="1">
        <v>44601</v>
      </c>
      <c r="B438">
        <v>310.66699999999997</v>
      </c>
      <c r="C438">
        <f t="shared" si="67"/>
        <v>1.0848167948121244E-2</v>
      </c>
      <c r="D438">
        <f t="shared" ca="1" si="72"/>
        <v>1.9300121282904304E-3</v>
      </c>
      <c r="E438">
        <f t="shared" ca="1" si="73"/>
        <v>3.2749063954083009E-2</v>
      </c>
      <c r="F438">
        <f t="shared" ca="1" si="74"/>
        <v>0.22910966067039973</v>
      </c>
      <c r="G438">
        <f t="shared" ca="1" si="75"/>
        <v>3.3153329645525238</v>
      </c>
      <c r="H438">
        <f t="shared" ca="1" si="76"/>
        <v>0.91994692230530872</v>
      </c>
      <c r="I438">
        <f t="shared" ca="1" si="77"/>
        <v>1.2891949218679741</v>
      </c>
      <c r="K438">
        <f t="shared" si="68"/>
        <v>1.0108481679481212</v>
      </c>
      <c r="L438" s="7">
        <f t="shared" ca="1" si="69"/>
        <v>1.0290837300049354</v>
      </c>
      <c r="M438">
        <f t="shared" ca="1" si="70"/>
        <v>1.330755363606678</v>
      </c>
      <c r="O438" t="b">
        <f t="shared" ca="1" si="71"/>
        <v>0</v>
      </c>
    </row>
    <row r="439" spans="1:15" x14ac:dyDescent="0.45">
      <c r="A439" s="1">
        <v>44600</v>
      </c>
      <c r="B439">
        <v>307.33300000000003</v>
      </c>
      <c r="C439">
        <f t="shared" si="67"/>
        <v>1.6154896560389171E-2</v>
      </c>
      <c r="D439">
        <f t="shared" ca="1" si="72"/>
        <v>1.6491257001531685E-3</v>
      </c>
      <c r="E439">
        <f t="shared" ca="1" si="73"/>
        <v>3.2912694713972818E-2</v>
      </c>
      <c r="F439">
        <f t="shared" ca="1" si="74"/>
        <v>0.2364433658964725</v>
      </c>
      <c r="G439">
        <f t="shared" ca="1" si="75"/>
        <v>3.2195450807240382</v>
      </c>
      <c r="H439">
        <f t="shared" ca="1" si="76"/>
        <v>0.91994692230530872</v>
      </c>
      <c r="I439">
        <f t="shared" ca="1" si="77"/>
        <v>1.257613887660034</v>
      </c>
      <c r="K439">
        <f t="shared" si="68"/>
        <v>1.0161548965603893</v>
      </c>
      <c r="L439" s="7">
        <f t="shared" ca="1" si="69"/>
        <v>0.99006497711143426</v>
      </c>
      <c r="M439">
        <f t="shared" ca="1" si="70"/>
        <v>1.3049499807758593</v>
      </c>
      <c r="O439" t="b">
        <f t="shared" ca="1" si="71"/>
        <v>1</v>
      </c>
    </row>
    <row r="440" spans="1:15" x14ac:dyDescent="0.45">
      <c r="A440" s="1">
        <v>44599</v>
      </c>
      <c r="B440">
        <v>302.447</v>
      </c>
      <c r="C440">
        <f t="shared" si="67"/>
        <v>-1.7304961773774896E-2</v>
      </c>
      <c r="D440">
        <f t="shared" ca="1" si="72"/>
        <v>1.6286885635773615E-3</v>
      </c>
      <c r="E440">
        <f t="shared" ca="1" si="73"/>
        <v>3.2904910216311672E-2</v>
      </c>
      <c r="F440">
        <f t="shared" ca="1" si="74"/>
        <v>0.23821957630144333</v>
      </c>
      <c r="G440">
        <f t="shared" ca="1" si="75"/>
        <v>3.2259339703583771</v>
      </c>
      <c r="H440">
        <f t="shared" ca="1" si="76"/>
        <v>0.91994692230530872</v>
      </c>
      <c r="I440">
        <f t="shared" ca="1" si="77"/>
        <v>1.257613887660034</v>
      </c>
      <c r="K440">
        <f t="shared" si="68"/>
        <v>0.98269503822622506</v>
      </c>
      <c r="L440" s="7">
        <f t="shared" ca="1" si="69"/>
        <v>0.96863630540609758</v>
      </c>
      <c r="M440">
        <f t="shared" ca="1" si="70"/>
        <v>1.3191984664716467</v>
      </c>
      <c r="O440" t="b">
        <f t="shared" ca="1" si="71"/>
        <v>1</v>
      </c>
    </row>
    <row r="441" spans="1:15" x14ac:dyDescent="0.45">
      <c r="A441" s="1">
        <v>44596</v>
      </c>
      <c r="B441">
        <v>307.77300000000002</v>
      </c>
      <c r="C441">
        <f t="shared" si="67"/>
        <v>3.6108763932980299E-2</v>
      </c>
      <c r="D441">
        <f t="shared" ca="1" si="72"/>
        <v>1.7826589845214183E-3</v>
      </c>
      <c r="E441">
        <f t="shared" ca="1" si="73"/>
        <v>3.2887911935984518E-2</v>
      </c>
      <c r="F441">
        <f t="shared" ca="1" si="74"/>
        <v>0.22560873661347225</v>
      </c>
      <c r="G441">
        <f t="shared" ca="1" si="75"/>
        <v>3.2339827332762532</v>
      </c>
      <c r="H441">
        <f t="shared" ca="1" si="76"/>
        <v>0.91994692230530872</v>
      </c>
      <c r="I441">
        <f t="shared" ca="1" si="77"/>
        <v>1.2891949218679741</v>
      </c>
      <c r="K441">
        <f t="shared" si="68"/>
        <v>1.0361087639329802</v>
      </c>
      <c r="L441" s="7">
        <f t="shared" ca="1" si="69"/>
        <v>1.0909409925669138</v>
      </c>
      <c r="M441">
        <f t="shared" ca="1" si="70"/>
        <v>1.303322063509849</v>
      </c>
      <c r="O441" t="b">
        <f t="shared" ca="1" si="71"/>
        <v>0</v>
      </c>
    </row>
    <row r="442" spans="1:15" x14ac:dyDescent="0.45">
      <c r="A442" s="1">
        <v>44595</v>
      </c>
      <c r="B442">
        <v>297.04700000000003</v>
      </c>
      <c r="C442">
        <f t="shared" si="67"/>
        <v>-1.6032488977663746E-2</v>
      </c>
      <c r="D442">
        <f t="shared" ca="1" si="72"/>
        <v>1.4379682530680942E-3</v>
      </c>
      <c r="E442">
        <f t="shared" ca="1" si="73"/>
        <v>3.2887602491884514E-2</v>
      </c>
      <c r="F442">
        <f t="shared" ca="1" si="74"/>
        <v>0.24568805655391246</v>
      </c>
      <c r="G442">
        <f t="shared" ca="1" si="75"/>
        <v>3.2442564100715447</v>
      </c>
      <c r="H442">
        <f t="shared" ca="1" si="76"/>
        <v>0.91994692230530872</v>
      </c>
      <c r="I442">
        <f t="shared" ca="1" si="77"/>
        <v>1.2230918632586039</v>
      </c>
      <c r="K442">
        <f t="shared" si="68"/>
        <v>0.98396751102233626</v>
      </c>
      <c r="L442" s="7">
        <f t="shared" ca="1" si="69"/>
        <v>1.0748280366324487</v>
      </c>
      <c r="M442">
        <f t="shared" ca="1" si="70"/>
        <v>1.2994385848138683</v>
      </c>
      <c r="O442" t="b">
        <f t="shared" ca="1" si="71"/>
        <v>0</v>
      </c>
    </row>
    <row r="443" spans="1:15" x14ac:dyDescent="0.45">
      <c r="A443" s="1">
        <v>44594</v>
      </c>
      <c r="B443">
        <v>301.887</v>
      </c>
      <c r="C443">
        <f t="shared" si="67"/>
        <v>-2.7479165123044078E-2</v>
      </c>
      <c r="D443">
        <f t="shared" ca="1" si="72"/>
        <v>1.6928969322103457E-3</v>
      </c>
      <c r="E443">
        <f t="shared" ca="1" si="73"/>
        <v>3.2949050392559943E-2</v>
      </c>
      <c r="F443">
        <f t="shared" ca="1" si="74"/>
        <v>0.22696868834660058</v>
      </c>
      <c r="G443">
        <f t="shared" ca="1" si="75"/>
        <v>3.195063368702086</v>
      </c>
      <c r="H443">
        <f t="shared" ca="1" si="76"/>
        <v>0.91994692230530872</v>
      </c>
      <c r="I443">
        <f t="shared" ca="1" si="77"/>
        <v>1.2891949218679741</v>
      </c>
      <c r="K443">
        <f t="shared" si="68"/>
        <v>0.97252083487695595</v>
      </c>
      <c r="L443" s="7">
        <f t="shared" ca="1" si="69"/>
        <v>0.96613114859026461</v>
      </c>
      <c r="M443">
        <f t="shared" ca="1" si="70"/>
        <v>1.3272415481243249</v>
      </c>
      <c r="O443" t="b">
        <f t="shared" ca="1" si="71"/>
        <v>1</v>
      </c>
    </row>
    <row r="444" spans="1:15" x14ac:dyDescent="0.45">
      <c r="A444" s="1">
        <v>44593</v>
      </c>
      <c r="B444">
        <v>310.41699999999997</v>
      </c>
      <c r="C444">
        <f t="shared" si="67"/>
        <v>-5.8384575967205862E-3</v>
      </c>
      <c r="D444">
        <f t="shared" ca="1" si="72"/>
        <v>1.8607910576450538E-3</v>
      </c>
      <c r="E444">
        <f t="shared" ca="1" si="73"/>
        <v>3.2885144811157591E-2</v>
      </c>
      <c r="F444">
        <f t="shared" ca="1" si="74"/>
        <v>0.21637876950518883</v>
      </c>
      <c r="G444">
        <f t="shared" ca="1" si="75"/>
        <v>3.2358408662130751</v>
      </c>
      <c r="H444">
        <f t="shared" ca="1" si="76"/>
        <v>0.91994692230530872</v>
      </c>
      <c r="I444">
        <f t="shared" ca="1" si="77"/>
        <v>1.2955801601545887</v>
      </c>
      <c r="K444">
        <f t="shared" si="68"/>
        <v>0.99416154240327936</v>
      </c>
      <c r="L444" s="7">
        <f t="shared" ca="1" si="69"/>
        <v>1.0139939176763038</v>
      </c>
      <c r="M444">
        <f t="shared" ca="1" si="70"/>
        <v>1.3123829459277769</v>
      </c>
      <c r="O444" t="b">
        <f t="shared" ca="1" si="71"/>
        <v>0</v>
      </c>
    </row>
    <row r="445" spans="1:15" x14ac:dyDescent="0.45">
      <c r="A445" s="1">
        <v>44592</v>
      </c>
      <c r="B445">
        <v>312.24</v>
      </c>
      <c r="C445">
        <f t="shared" si="67"/>
        <v>0.10677484873297245</v>
      </c>
      <c r="D445">
        <f t="shared" ca="1" si="72"/>
        <v>1.7200069067191991E-3</v>
      </c>
      <c r="E445">
        <f t="shared" ca="1" si="73"/>
        <v>3.2978410253393528E-2</v>
      </c>
      <c r="F445">
        <f t="shared" ca="1" si="74"/>
        <v>0.22102516493204763</v>
      </c>
      <c r="G445">
        <f t="shared" ca="1" si="75"/>
        <v>3.1760423610488608</v>
      </c>
      <c r="H445">
        <f t="shared" ca="1" si="76"/>
        <v>0.91994692230530872</v>
      </c>
      <c r="I445">
        <f t="shared" ca="1" si="77"/>
        <v>1.2891949218679741</v>
      </c>
      <c r="K445">
        <f t="shared" si="68"/>
        <v>1.1067748487329725</v>
      </c>
      <c r="L445" s="7">
        <f t="shared" ca="1" si="69"/>
        <v>1.0072258064516129</v>
      </c>
      <c r="M445">
        <f t="shared" ca="1" si="70"/>
        <v>1.2663440815178881</v>
      </c>
      <c r="O445" t="b">
        <f t="shared" ca="1" si="71"/>
        <v>0</v>
      </c>
    </row>
    <row r="446" spans="1:15" x14ac:dyDescent="0.45">
      <c r="A446" s="1">
        <v>44589</v>
      </c>
      <c r="B446">
        <v>282.11700000000002</v>
      </c>
      <c r="C446">
        <f t="shared" si="67"/>
        <v>2.0805667825753434E-2</v>
      </c>
      <c r="D446">
        <f t="shared" ca="1" si="72"/>
        <v>1.1924262358953357E-3</v>
      </c>
      <c r="E446">
        <f t="shared" ca="1" si="73"/>
        <v>3.2122219313556966E-2</v>
      </c>
      <c r="F446">
        <f t="shared" ca="1" si="74"/>
        <v>0.11138957858969147</v>
      </c>
      <c r="G446">
        <f t="shared" ca="1" si="75"/>
        <v>3.2796910284087613</v>
      </c>
      <c r="H446">
        <f t="shared" ca="1" si="76"/>
        <v>0.88539076731719724</v>
      </c>
      <c r="I446">
        <f t="shared" ca="1" si="77"/>
        <v>1.2538059849393792</v>
      </c>
      <c r="K446">
        <f t="shared" si="68"/>
        <v>1.0208056678257533</v>
      </c>
      <c r="L446" s="7">
        <f t="shared" ca="1" si="69"/>
        <v>0.89665419711219096</v>
      </c>
      <c r="M446">
        <f t="shared" ca="1" si="70"/>
        <v>1.2651682445068109</v>
      </c>
      <c r="O446" t="b">
        <f t="shared" ca="1" si="71"/>
        <v>1</v>
      </c>
    </row>
    <row r="447" spans="1:15" x14ac:dyDescent="0.45">
      <c r="A447" s="1">
        <v>44588</v>
      </c>
      <c r="B447">
        <v>276.36700000000002</v>
      </c>
      <c r="C447">
        <f t="shared" si="67"/>
        <v>-0.11554069190642303</v>
      </c>
      <c r="D447">
        <f t="shared" ca="1" si="72"/>
        <v>1.1335885538133203E-3</v>
      </c>
      <c r="E447">
        <f t="shared" ca="1" si="73"/>
        <v>3.209688076560898E-2</v>
      </c>
      <c r="F447">
        <f t="shared" ca="1" si="74"/>
        <v>0.11612449848312686</v>
      </c>
      <c r="G447">
        <f t="shared" ca="1" si="75"/>
        <v>3.2998333449740826</v>
      </c>
      <c r="H447">
        <f t="shared" ca="1" si="76"/>
        <v>0.88539076731719724</v>
      </c>
      <c r="I447">
        <f t="shared" ca="1" si="77"/>
        <v>1.2064539150819065</v>
      </c>
      <c r="K447">
        <f t="shared" si="68"/>
        <v>0.88445930809357698</v>
      </c>
      <c r="L447" s="7">
        <f t="shared" ca="1" si="69"/>
        <v>0.83220512511668521</v>
      </c>
      <c r="M447">
        <f t="shared" ca="1" si="70"/>
        <v>1.3233589469716183</v>
      </c>
      <c r="O447" t="b">
        <f t="shared" ca="1" si="71"/>
        <v>1</v>
      </c>
    </row>
    <row r="448" spans="1:15" x14ac:dyDescent="0.45">
      <c r="A448" s="1">
        <v>44587</v>
      </c>
      <c r="B448">
        <v>312.47000000000003</v>
      </c>
      <c r="C448">
        <f t="shared" si="67"/>
        <v>2.0700153201386476E-2</v>
      </c>
      <c r="D448">
        <f t="shared" ca="1" si="72"/>
        <v>1.5139342073818064E-3</v>
      </c>
      <c r="E448">
        <f t="shared" ca="1" si="73"/>
        <v>3.1143911309831022E-2</v>
      </c>
      <c r="F448">
        <f t="shared" ca="1" si="74"/>
        <v>0.34573580498572426</v>
      </c>
      <c r="G448">
        <f t="shared" ca="1" si="75"/>
        <v>3.0895817635618554</v>
      </c>
      <c r="H448">
        <f t="shared" ca="1" si="76"/>
        <v>0.90966889898907988</v>
      </c>
      <c r="I448">
        <f t="shared" ca="1" si="77"/>
        <v>1.2064539150819065</v>
      </c>
      <c r="K448">
        <f t="shared" si="68"/>
        <v>1.0207001532013864</v>
      </c>
      <c r="L448" s="7">
        <f t="shared" ca="1" si="69"/>
        <v>0.94150649475869497</v>
      </c>
      <c r="M448">
        <f t="shared" ca="1" si="70"/>
        <v>1.3303817059957481</v>
      </c>
      <c r="O448" t="b">
        <f t="shared" ca="1" si="71"/>
        <v>1</v>
      </c>
    </row>
    <row r="449" spans="1:15" x14ac:dyDescent="0.45">
      <c r="A449" s="1">
        <v>44586</v>
      </c>
      <c r="B449">
        <v>306.13299999999998</v>
      </c>
      <c r="C449">
        <f t="shared" si="67"/>
        <v>-1.2474193548387157E-2</v>
      </c>
      <c r="D449">
        <f t="shared" ca="1" si="72"/>
        <v>1.840232623401686E-3</v>
      </c>
      <c r="E449">
        <f t="shared" ca="1" si="73"/>
        <v>3.1683136328205165E-2</v>
      </c>
      <c r="F449">
        <f t="shared" ca="1" si="74"/>
        <v>0.39215395086672267</v>
      </c>
      <c r="G449">
        <f t="shared" ca="1" si="75"/>
        <v>2.9259742058413005</v>
      </c>
      <c r="H449">
        <f t="shared" ca="1" si="76"/>
        <v>0.94517261172439659</v>
      </c>
      <c r="I449">
        <f t="shared" ca="1" si="77"/>
        <v>1.2064539150819065</v>
      </c>
      <c r="K449">
        <f t="shared" si="68"/>
        <v>0.98752580645161281</v>
      </c>
      <c r="L449" s="7">
        <f t="shared" ca="1" si="69"/>
        <v>0.8912091015216751</v>
      </c>
      <c r="M449">
        <f t="shared" ca="1" si="70"/>
        <v>1.3223494583976212</v>
      </c>
      <c r="O449" t="b">
        <f t="shared" ca="1" si="71"/>
        <v>1</v>
      </c>
    </row>
    <row r="450" spans="1:15" x14ac:dyDescent="0.45">
      <c r="A450" s="1">
        <v>44585</v>
      </c>
      <c r="B450">
        <v>310</v>
      </c>
      <c r="C450">
        <f t="shared" si="67"/>
        <v>-1.4725092409251355E-2</v>
      </c>
      <c r="D450">
        <f t="shared" ca="1" si="72"/>
        <v>2.0869411060434992E-3</v>
      </c>
      <c r="E450">
        <f t="shared" ca="1" si="73"/>
        <v>3.176311807090456E-2</v>
      </c>
      <c r="F450">
        <f t="shared" ca="1" si="74"/>
        <v>0.37293340722947688</v>
      </c>
      <c r="G450">
        <f t="shared" ca="1" si="75"/>
        <v>2.8613026258108132</v>
      </c>
      <c r="H450">
        <f t="shared" ca="1" si="76"/>
        <v>0.94517261172439659</v>
      </c>
      <c r="I450">
        <f t="shared" ca="1" si="77"/>
        <v>1.2538059849393792</v>
      </c>
      <c r="K450">
        <f t="shared" si="68"/>
        <v>0.98527490759074865</v>
      </c>
      <c r="L450" s="7">
        <f t="shared" ca="1" si="69"/>
        <v>0.88604338754394485</v>
      </c>
      <c r="M450">
        <f t="shared" ca="1" si="70"/>
        <v>1.2960569887550273</v>
      </c>
      <c r="O450" t="b">
        <f t="shared" ca="1" si="71"/>
        <v>1</v>
      </c>
    </row>
    <row r="451" spans="1:15" x14ac:dyDescent="0.45">
      <c r="A451" s="1">
        <v>44582</v>
      </c>
      <c r="B451">
        <v>314.63299999999998</v>
      </c>
      <c r="C451">
        <f t="shared" ref="C451:C514" si="78">(B451-B452)/B452</f>
        <v>-5.2567075190460402E-2</v>
      </c>
      <c r="D451">
        <f t="shared" ca="1" si="72"/>
        <v>2.1109905962032813E-3</v>
      </c>
      <c r="E451">
        <f t="shared" ca="1" si="73"/>
        <v>3.1752143864414148E-2</v>
      </c>
      <c r="F451">
        <f t="shared" ca="1" si="74"/>
        <v>0.37150434073863126</v>
      </c>
      <c r="G451">
        <f t="shared" ca="1" si="75"/>
        <v>2.8680200451009741</v>
      </c>
      <c r="H451">
        <f t="shared" ca="1" si="76"/>
        <v>0.94517261172439659</v>
      </c>
      <c r="I451">
        <f t="shared" ca="1" si="77"/>
        <v>1.2600159457786768</v>
      </c>
      <c r="K451">
        <f t="shared" ref="K451:K514" si="79">C451+1</f>
        <v>0.94743292480953956</v>
      </c>
      <c r="L451" s="7">
        <f t="shared" ref="L451:L514" ca="1" si="80">PRODUCT(OFFSET(K451,0,0,$J$6,1))</f>
        <v>0.91502182618735317</v>
      </c>
      <c r="M451">
        <f t="shared" ref="M451:M514" ca="1" si="81">OFFSET(D451,$J$6,0)*V$2 + OFFSET(E451,$J$6,0)*U$2 + OFFSET(F451,$J$6,0)*T$2 + OFFSET(G451,$J$6,0)*S$2 + OFFSET(H451,$J$6,0)*R$2 + OFFSET(I451,$J$6,0)*Q$2 + W$2</f>
        <v>1.3288359997305639</v>
      </c>
      <c r="O451" t="b">
        <f t="shared" ref="O451:O514" ca="1" si="82">OR(AND(L451&gt;1, N451&gt;1), AND(L451&lt;1, N451&lt;1))</f>
        <v>1</v>
      </c>
    </row>
    <row r="452" spans="1:15" x14ac:dyDescent="0.45">
      <c r="A452" s="1">
        <v>44581</v>
      </c>
      <c r="B452">
        <v>332.09</v>
      </c>
      <c r="C452">
        <f t="shared" si="78"/>
        <v>6.2371377865089097E-4</v>
      </c>
      <c r="D452">
        <f t="shared" ref="D452:D515" ca="1" si="83">AVERAGE(OFFSET(C452,0,0,$J$3,1))</f>
        <v>2.4694187772097498E-3</v>
      </c>
      <c r="E452">
        <f t="shared" ref="E452:E515" ca="1" si="84">STDEV(OFFSET(C452,0,0,$J$3,1))</f>
        <v>3.1535686236768182E-2</v>
      </c>
      <c r="F452">
        <f t="shared" ref="F452:F515" ca="1" si="85">SKEW(OFFSET(C452,0,0,$J$3,1))</f>
        <v>0.37201701499271927</v>
      </c>
      <c r="G452">
        <f t="shared" ref="G452:G515" ca="1" si="86">KURT(OFFSET(C452,0,0,$J$3,1))</f>
        <v>2.9676443072214846</v>
      </c>
      <c r="H452">
        <f t="shared" ref="H452:H515" ca="1" si="87">PERCENTILE(OFFSET(C452,0,0,$J$3,1), 0.95)/ABS(PERCENTILE(OFFSET(C452,0,0,$J$3,1), 0.05))</f>
        <v>1.0072057045535898</v>
      </c>
      <c r="I452">
        <f t="shared" ref="I452:I515" ca="1" si="88">PERCENTILE(OFFSET(C452,0,0,$J$3,1), 0.75)/ABS(PERCENTILE(OFFSET(C452,0,0,$J$3,1), 0.25))</f>
        <v>1.3296361584295568</v>
      </c>
      <c r="K452">
        <f t="shared" si="79"/>
        <v>1.0006237137786509</v>
      </c>
      <c r="L452" s="7">
        <f t="shared" ca="1" si="80"/>
        <v>0.9006074741009924</v>
      </c>
      <c r="M452">
        <f t="shared" ca="1" si="81"/>
        <v>1.3665011534929699</v>
      </c>
      <c r="O452" t="b">
        <f t="shared" ca="1" si="82"/>
        <v>1</v>
      </c>
    </row>
    <row r="453" spans="1:15" x14ac:dyDescent="0.45">
      <c r="A453" s="1">
        <v>44580</v>
      </c>
      <c r="B453">
        <v>331.88299999999998</v>
      </c>
      <c r="C453">
        <f t="shared" si="78"/>
        <v>-3.3827943278515779E-2</v>
      </c>
      <c r="D453">
        <f t="shared" ca="1" si="83"/>
        <v>2.3170202568980869E-3</v>
      </c>
      <c r="E453">
        <f t="shared" ca="1" si="84"/>
        <v>3.1618190343627638E-2</v>
      </c>
      <c r="F453">
        <f t="shared" ca="1" si="85"/>
        <v>0.37829530732115113</v>
      </c>
      <c r="G453">
        <f t="shared" ca="1" si="86"/>
        <v>2.9180802566670092</v>
      </c>
      <c r="H453">
        <f t="shared" ca="1" si="87"/>
        <v>1.0072057045535898</v>
      </c>
      <c r="I453">
        <f t="shared" ca="1" si="88"/>
        <v>1.2955801601545887</v>
      </c>
      <c r="K453">
        <f t="shared" si="79"/>
        <v>0.96617205672148421</v>
      </c>
      <c r="L453" s="7">
        <f t="shared" ca="1" si="80"/>
        <v>0.93540868094701235</v>
      </c>
      <c r="M453">
        <f t="shared" ca="1" si="81"/>
        <v>1.3656916497762936</v>
      </c>
      <c r="O453" t="b">
        <f t="shared" ca="1" si="82"/>
        <v>1</v>
      </c>
    </row>
    <row r="454" spans="1:15" x14ac:dyDescent="0.45">
      <c r="A454" s="1">
        <v>44579</v>
      </c>
      <c r="B454">
        <v>343.50299999999999</v>
      </c>
      <c r="C454">
        <f t="shared" si="78"/>
        <v>-1.8198187898362302E-2</v>
      </c>
      <c r="D454">
        <f t="shared" ca="1" si="83"/>
        <v>2.4902841321793132E-3</v>
      </c>
      <c r="E454">
        <f t="shared" ca="1" si="84"/>
        <v>3.1513899487756007E-2</v>
      </c>
      <c r="F454">
        <f t="shared" ca="1" si="85"/>
        <v>0.37306072664490969</v>
      </c>
      <c r="G454">
        <f t="shared" ca="1" si="86"/>
        <v>2.9798987817090792</v>
      </c>
      <c r="H454">
        <f t="shared" ca="1" si="87"/>
        <v>1.0072057045535898</v>
      </c>
      <c r="I454">
        <f t="shared" ca="1" si="88"/>
        <v>1.3296361584295568</v>
      </c>
      <c r="K454">
        <f t="shared" si="79"/>
        <v>0.98180181210163775</v>
      </c>
      <c r="L454" s="7">
        <f t="shared" ca="1" si="80"/>
        <v>0.97390468575900091</v>
      </c>
      <c r="M454">
        <f t="shared" ca="1" si="81"/>
        <v>1.371286896327184</v>
      </c>
      <c r="O454" t="b">
        <f t="shared" ca="1" si="82"/>
        <v>1</v>
      </c>
    </row>
    <row r="455" spans="1:15" x14ac:dyDescent="0.45">
      <c r="A455" s="1">
        <v>44575</v>
      </c>
      <c r="B455">
        <v>349.87</v>
      </c>
      <c r="C455">
        <f t="shared" si="78"/>
        <v>1.7498756736163405E-2</v>
      </c>
      <c r="D455">
        <f t="shared" ca="1" si="83"/>
        <v>2.8026656593410715E-3</v>
      </c>
      <c r="E455">
        <f t="shared" ca="1" si="84"/>
        <v>3.1617273126064972E-2</v>
      </c>
      <c r="F455">
        <f t="shared" ca="1" si="85"/>
        <v>0.35261384101393306</v>
      </c>
      <c r="G455">
        <f t="shared" ca="1" si="86"/>
        <v>2.9015117951970639</v>
      </c>
      <c r="H455">
        <f t="shared" ca="1" si="87"/>
        <v>1.0072057045535898</v>
      </c>
      <c r="I455">
        <f t="shared" ca="1" si="88"/>
        <v>1.4559624464892122</v>
      </c>
      <c r="K455">
        <f t="shared" si="79"/>
        <v>1.0174987567361633</v>
      </c>
      <c r="L455" s="7">
        <f t="shared" ca="1" si="80"/>
        <v>1.0220553867726103</v>
      </c>
      <c r="M455">
        <f t="shared" ca="1" si="81"/>
        <v>1.3869334821450896</v>
      </c>
      <c r="O455" t="b">
        <f t="shared" ca="1" si="82"/>
        <v>0</v>
      </c>
    </row>
    <row r="456" spans="1:15" x14ac:dyDescent="0.45">
      <c r="A456" s="1">
        <v>44574</v>
      </c>
      <c r="B456">
        <v>343.85300000000001</v>
      </c>
      <c r="C456">
        <f t="shared" si="78"/>
        <v>-6.7491999783044959E-2</v>
      </c>
      <c r="D456">
        <f t="shared" ca="1" si="83"/>
        <v>2.66890947351871E-3</v>
      </c>
      <c r="E456">
        <f t="shared" ca="1" si="84"/>
        <v>3.1611373926010169E-2</v>
      </c>
      <c r="F456">
        <f t="shared" ca="1" si="85"/>
        <v>0.36484185540442943</v>
      </c>
      <c r="G456">
        <f t="shared" ca="1" si="86"/>
        <v>2.9120097312889355</v>
      </c>
      <c r="H456">
        <f t="shared" ca="1" si="87"/>
        <v>1.0072057045535898</v>
      </c>
      <c r="I456">
        <f t="shared" ca="1" si="88"/>
        <v>1.4559624464892122</v>
      </c>
      <c r="K456">
        <f t="shared" si="79"/>
        <v>0.93250800021695501</v>
      </c>
      <c r="L456" s="7">
        <f t="shared" ca="1" si="80"/>
        <v>0.96887292194984509</v>
      </c>
      <c r="M456">
        <f t="shared" ca="1" si="81"/>
        <v>1.3896414550222613</v>
      </c>
      <c r="O456" t="b">
        <f t="shared" ca="1" si="82"/>
        <v>1</v>
      </c>
    </row>
    <row r="457" spans="1:15" x14ac:dyDescent="0.45">
      <c r="A457" s="1">
        <v>44573</v>
      </c>
      <c r="B457">
        <v>368.74</v>
      </c>
      <c r="C457">
        <f t="shared" si="78"/>
        <v>3.9289740698985338E-2</v>
      </c>
      <c r="D457">
        <f t="shared" ca="1" si="83"/>
        <v>3.2605311636357405E-3</v>
      </c>
      <c r="E457">
        <f t="shared" ca="1" si="84"/>
        <v>3.139821017004208E-2</v>
      </c>
      <c r="F457">
        <f t="shared" ca="1" si="85"/>
        <v>0.39017354507732349</v>
      </c>
      <c r="G457">
        <f t="shared" ca="1" si="86"/>
        <v>2.9428063837226528</v>
      </c>
      <c r="H457">
        <f t="shared" ca="1" si="87"/>
        <v>1.0606680105336541</v>
      </c>
      <c r="I457">
        <f t="shared" ca="1" si="88"/>
        <v>1.598851387172989</v>
      </c>
      <c r="K457">
        <f t="shared" si="79"/>
        <v>1.0392897406989854</v>
      </c>
      <c r="L457" s="7">
        <f t="shared" ca="1" si="80"/>
        <v>1.0166332604554089</v>
      </c>
      <c r="M457">
        <f t="shared" ca="1" si="81"/>
        <v>1.3595684885816524</v>
      </c>
      <c r="O457" t="b">
        <f t="shared" ca="1" si="82"/>
        <v>0</v>
      </c>
    </row>
    <row r="458" spans="1:15" x14ac:dyDescent="0.45">
      <c r="A458" s="1">
        <v>44572</v>
      </c>
      <c r="B458">
        <v>354.8</v>
      </c>
      <c r="C458">
        <f t="shared" si="78"/>
        <v>5.9341039446339817E-3</v>
      </c>
      <c r="D458">
        <f t="shared" ca="1" si="83"/>
        <v>3.2630881677521068E-3</v>
      </c>
      <c r="E458">
        <f t="shared" ca="1" si="84"/>
        <v>3.1401179740706983E-2</v>
      </c>
      <c r="F458">
        <f t="shared" ca="1" si="85"/>
        <v>0.39014724586756605</v>
      </c>
      <c r="G458">
        <f t="shared" ca="1" si="86"/>
        <v>2.9409322482861251</v>
      </c>
      <c r="H458">
        <f t="shared" ca="1" si="87"/>
        <v>1.0606680105336541</v>
      </c>
      <c r="I458">
        <f t="shared" ca="1" si="88"/>
        <v>1.598851387172989</v>
      </c>
      <c r="K458">
        <f t="shared" si="79"/>
        <v>1.0059341039446339</v>
      </c>
      <c r="L458" s="7">
        <f t="shared" ca="1" si="80"/>
        <v>0.92589451378794718</v>
      </c>
      <c r="M458">
        <f t="shared" ca="1" si="81"/>
        <v>1.4077039390944361</v>
      </c>
      <c r="O458" t="b">
        <f t="shared" ca="1" si="82"/>
        <v>1</v>
      </c>
    </row>
    <row r="459" spans="1:15" x14ac:dyDescent="0.45">
      <c r="A459" s="1">
        <v>44571</v>
      </c>
      <c r="B459">
        <v>352.70699999999999</v>
      </c>
      <c r="C459">
        <f t="shared" si="78"/>
        <v>3.0342953961205892E-2</v>
      </c>
      <c r="D459">
        <f t="shared" ca="1" si="83"/>
        <v>3.1734381099247167E-3</v>
      </c>
      <c r="E459">
        <f t="shared" ca="1" si="84"/>
        <v>3.1419105583131698E-2</v>
      </c>
      <c r="F459">
        <f t="shared" ca="1" si="85"/>
        <v>0.39754185333622066</v>
      </c>
      <c r="G459">
        <f t="shared" ca="1" si="86"/>
        <v>2.932148304852233</v>
      </c>
      <c r="H459">
        <f t="shared" ca="1" si="87"/>
        <v>1.0606680105336541</v>
      </c>
      <c r="I459">
        <f t="shared" ca="1" si="88"/>
        <v>1.5691145332843173</v>
      </c>
      <c r="K459">
        <f t="shared" si="79"/>
        <v>1.0303429539612059</v>
      </c>
      <c r="L459" s="7">
        <f t="shared" ca="1" si="80"/>
        <v>0.8819284519424796</v>
      </c>
      <c r="M459">
        <f t="shared" ca="1" si="81"/>
        <v>1.364223011611184</v>
      </c>
      <c r="O459" t="b">
        <f t="shared" ca="1" si="82"/>
        <v>1</v>
      </c>
    </row>
    <row r="460" spans="1:15" x14ac:dyDescent="0.45">
      <c r="A460" s="1">
        <v>44568</v>
      </c>
      <c r="B460">
        <v>342.32</v>
      </c>
      <c r="C460">
        <f t="shared" si="78"/>
        <v>-3.5446604677373865E-2</v>
      </c>
      <c r="D460">
        <f t="shared" ca="1" si="83"/>
        <v>2.8524668413343556E-3</v>
      </c>
      <c r="E460">
        <f t="shared" ca="1" si="84"/>
        <v>3.1468012237731588E-2</v>
      </c>
      <c r="F460">
        <f t="shared" ca="1" si="85"/>
        <v>0.41506651204994438</v>
      </c>
      <c r="G460">
        <f t="shared" ca="1" si="86"/>
        <v>2.9187542005597056</v>
      </c>
      <c r="H460">
        <f t="shared" ca="1" si="87"/>
        <v>1.0606680105336541</v>
      </c>
      <c r="I460">
        <f t="shared" ca="1" si="88"/>
        <v>1.4559624464892122</v>
      </c>
      <c r="K460">
        <f t="shared" si="79"/>
        <v>0.96455339532262618</v>
      </c>
      <c r="L460" s="7">
        <f t="shared" ca="1" si="80"/>
        <v>0.97178220632487378</v>
      </c>
      <c r="M460">
        <f t="shared" ca="1" si="81"/>
        <v>1.1004020675014679</v>
      </c>
      <c r="O460" t="b">
        <f t="shared" ca="1" si="82"/>
        <v>1</v>
      </c>
    </row>
    <row r="461" spans="1:15" x14ac:dyDescent="0.45">
      <c r="A461" s="1">
        <v>44567</v>
      </c>
      <c r="B461">
        <v>354.9</v>
      </c>
      <c r="C461">
        <f t="shared" si="78"/>
        <v>-2.1524260629102874E-2</v>
      </c>
      <c r="D461">
        <f t="shared" ca="1" si="83"/>
        <v>3.10997498490781E-3</v>
      </c>
      <c r="E461">
        <f t="shared" ca="1" si="84"/>
        <v>3.1363579492118418E-2</v>
      </c>
      <c r="F461">
        <f t="shared" ca="1" si="85"/>
        <v>0.40396725072578743</v>
      </c>
      <c r="G461">
        <f t="shared" ca="1" si="86"/>
        <v>2.973286833305429</v>
      </c>
      <c r="H461">
        <f t="shared" ca="1" si="87"/>
        <v>1.0606680105336541</v>
      </c>
      <c r="I461">
        <f t="shared" ca="1" si="88"/>
        <v>1.5597479331530617</v>
      </c>
      <c r="K461">
        <f t="shared" si="79"/>
        <v>0.97847573937089716</v>
      </c>
      <c r="L461" s="7">
        <f t="shared" ca="1" si="80"/>
        <v>0.99473064633667818</v>
      </c>
      <c r="M461">
        <f t="shared" ca="1" si="81"/>
        <v>1.0770801394192615</v>
      </c>
      <c r="O461" t="b">
        <f t="shared" ca="1" si="82"/>
        <v>1</v>
      </c>
    </row>
    <row r="462" spans="1:15" x14ac:dyDescent="0.45">
      <c r="A462" s="1">
        <v>44566</v>
      </c>
      <c r="B462">
        <v>362.70699999999999</v>
      </c>
      <c r="C462">
        <f t="shared" si="78"/>
        <v>-5.3471191058385138E-2</v>
      </c>
      <c r="D462">
        <f t="shared" ca="1" si="83"/>
        <v>2.976793460942052E-3</v>
      </c>
      <c r="E462">
        <f t="shared" ca="1" si="84"/>
        <v>3.1524850601092433E-2</v>
      </c>
      <c r="F462">
        <f t="shared" ca="1" si="85"/>
        <v>0.39118808094242807</v>
      </c>
      <c r="G462">
        <f t="shared" ca="1" si="86"/>
        <v>2.8919986735483096</v>
      </c>
      <c r="H462">
        <f t="shared" ca="1" si="87"/>
        <v>1.0333784790814593</v>
      </c>
      <c r="I462">
        <f t="shared" ca="1" si="88"/>
        <v>1.5597479331530617</v>
      </c>
      <c r="K462">
        <f t="shared" si="79"/>
        <v>0.94652880894161484</v>
      </c>
      <c r="L462" s="7">
        <f t="shared" ca="1" si="80"/>
        <v>1.0017786959728003</v>
      </c>
      <c r="M462">
        <f t="shared" ca="1" si="81"/>
        <v>1.0242124982151211</v>
      </c>
      <c r="O462" t="b">
        <f t="shared" ca="1" si="82"/>
        <v>0</v>
      </c>
    </row>
    <row r="463" spans="1:15" x14ac:dyDescent="0.45">
      <c r="A463" s="1">
        <v>44565</v>
      </c>
      <c r="B463">
        <v>383.197</v>
      </c>
      <c r="C463">
        <f t="shared" si="78"/>
        <v>-4.1832634455788227E-2</v>
      </c>
      <c r="D463">
        <f t="shared" ca="1" si="83"/>
        <v>3.1856493289204157E-3</v>
      </c>
      <c r="E463">
        <f t="shared" ca="1" si="84"/>
        <v>3.1286464919663304E-2</v>
      </c>
      <c r="F463">
        <f t="shared" ca="1" si="85"/>
        <v>0.40925666333037147</v>
      </c>
      <c r="G463">
        <f t="shared" ca="1" si="86"/>
        <v>3.0089932635696179</v>
      </c>
      <c r="H463">
        <f t="shared" ca="1" si="87"/>
        <v>1.0606680105336541</v>
      </c>
      <c r="I463">
        <f t="shared" ca="1" si="88"/>
        <v>1.6114338170709936</v>
      </c>
      <c r="K463">
        <f t="shared" si="79"/>
        <v>0.95816736554421178</v>
      </c>
      <c r="L463" s="7">
        <f t="shared" ca="1" si="80"/>
        <v>1.0561541026891899</v>
      </c>
      <c r="M463">
        <f t="shared" ca="1" si="81"/>
        <v>1.0402823742076386</v>
      </c>
      <c r="O463" t="b">
        <f t="shared" ca="1" si="82"/>
        <v>0</v>
      </c>
    </row>
    <row r="464" spans="1:15" x14ac:dyDescent="0.45">
      <c r="A464" s="1">
        <v>44564</v>
      </c>
      <c r="B464">
        <v>399.92700000000002</v>
      </c>
      <c r="C464">
        <f t="shared" si="78"/>
        <v>0.13531766308976334</v>
      </c>
      <c r="D464">
        <f t="shared" ca="1" si="83"/>
        <v>3.5103239767593909E-3</v>
      </c>
      <c r="E464">
        <f t="shared" ca="1" si="84"/>
        <v>3.1153589267521254E-2</v>
      </c>
      <c r="F464">
        <f t="shared" ca="1" si="85"/>
        <v>0.39957610311942898</v>
      </c>
      <c r="G464">
        <f t="shared" ca="1" si="86"/>
        <v>3.0735705175694861</v>
      </c>
      <c r="H464">
        <f t="shared" ca="1" si="87"/>
        <v>1.0606680105336541</v>
      </c>
      <c r="I464">
        <f t="shared" ca="1" si="88"/>
        <v>1.6319630080779708</v>
      </c>
      <c r="K464">
        <f t="shared" si="79"/>
        <v>1.1353176630897632</v>
      </c>
      <c r="L464" s="7">
        <f t="shared" ca="1" si="80"/>
        <v>1.0967511044928384</v>
      </c>
      <c r="M464">
        <f t="shared" ca="1" si="81"/>
        <v>1.012216553845525</v>
      </c>
      <c r="O464" t="b">
        <f t="shared" ca="1" si="82"/>
        <v>0</v>
      </c>
    </row>
    <row r="465" spans="1:15" x14ac:dyDescent="0.45">
      <c r="A465" s="1">
        <v>44561</v>
      </c>
      <c r="B465">
        <v>352.26</v>
      </c>
      <c r="C465">
        <f t="shared" si="78"/>
        <v>-1.2668871573518646E-2</v>
      </c>
      <c r="D465">
        <f t="shared" ca="1" si="83"/>
        <v>2.8468258689166742E-3</v>
      </c>
      <c r="E465">
        <f t="shared" ca="1" si="84"/>
        <v>2.9712039613575866E-2</v>
      </c>
      <c r="F465">
        <f t="shared" ca="1" si="85"/>
        <v>8.5151313561431671E-2</v>
      </c>
      <c r="G465">
        <f t="shared" ca="1" si="86"/>
        <v>2.3493600417024911</v>
      </c>
      <c r="H465">
        <f t="shared" ca="1" si="87"/>
        <v>1.0340752178626711</v>
      </c>
      <c r="I465">
        <f t="shared" ca="1" si="88"/>
        <v>1.6222212431516898</v>
      </c>
      <c r="K465">
        <f t="shared" si="79"/>
        <v>0.98733112842648141</v>
      </c>
      <c r="L465" s="7">
        <f t="shared" ca="1" si="80"/>
        <v>0.99042081497580614</v>
      </c>
      <c r="M465">
        <f t="shared" ca="1" si="81"/>
        <v>1.0503346366794371</v>
      </c>
      <c r="O465" t="b">
        <f t="shared" ca="1" si="82"/>
        <v>1</v>
      </c>
    </row>
    <row r="466" spans="1:15" x14ac:dyDescent="0.45">
      <c r="A466" s="1">
        <v>44560</v>
      </c>
      <c r="B466">
        <v>356.78</v>
      </c>
      <c r="C466">
        <f t="shared" si="78"/>
        <v>-1.4591383267552927E-2</v>
      </c>
      <c r="D466">
        <f t="shared" ca="1" si="83"/>
        <v>2.5635598145792716E-3</v>
      </c>
      <c r="E466">
        <f t="shared" ca="1" si="84"/>
        <v>3.0127853256713421E-2</v>
      </c>
      <c r="F466">
        <f t="shared" ca="1" si="85"/>
        <v>4.1091311532260179E-2</v>
      </c>
      <c r="G466">
        <f t="shared" ca="1" si="86"/>
        <v>2.2288070858442914</v>
      </c>
      <c r="H466">
        <f t="shared" ca="1" si="87"/>
        <v>1.0074698824499433</v>
      </c>
      <c r="I466">
        <f t="shared" ca="1" si="88"/>
        <v>1.6222212431516898</v>
      </c>
      <c r="K466">
        <f t="shared" si="79"/>
        <v>0.98540861673244706</v>
      </c>
      <c r="L466" s="7">
        <f t="shared" ca="1" si="80"/>
        <v>1.0609295548484938</v>
      </c>
      <c r="M466">
        <f t="shared" ca="1" si="81"/>
        <v>1.0589036816096646</v>
      </c>
      <c r="O466" t="b">
        <f t="shared" ca="1" si="82"/>
        <v>0</v>
      </c>
    </row>
    <row r="467" spans="1:15" x14ac:dyDescent="0.45">
      <c r="A467" s="1">
        <v>44559</v>
      </c>
      <c r="B467">
        <v>362.06299999999999</v>
      </c>
      <c r="C467">
        <f t="shared" si="78"/>
        <v>-2.0946852873163801E-3</v>
      </c>
      <c r="D467">
        <f t="shared" ca="1" si="83"/>
        <v>2.8206702231852493E-3</v>
      </c>
      <c r="E467">
        <f t="shared" ca="1" si="84"/>
        <v>3.0200048620186853E-2</v>
      </c>
      <c r="F467">
        <f t="shared" ca="1" si="85"/>
        <v>2.3343541603921512E-2</v>
      </c>
      <c r="G467">
        <f t="shared" ca="1" si="86"/>
        <v>2.1853368559880328</v>
      </c>
      <c r="H467">
        <f t="shared" ca="1" si="87"/>
        <v>1.0074698824499433</v>
      </c>
      <c r="I467">
        <f t="shared" ca="1" si="88"/>
        <v>1.6467404115561435</v>
      </c>
      <c r="K467">
        <f t="shared" si="79"/>
        <v>0.99790531471268362</v>
      </c>
      <c r="L467" s="7">
        <f t="shared" ca="1" si="80"/>
        <v>1.1573313131506857</v>
      </c>
      <c r="M467">
        <f t="shared" ca="1" si="81"/>
        <v>1.0926101599320703</v>
      </c>
      <c r="O467" t="b">
        <f t="shared" ca="1" si="82"/>
        <v>0</v>
      </c>
    </row>
    <row r="468" spans="1:15" x14ac:dyDescent="0.45">
      <c r="A468" s="1">
        <v>44558</v>
      </c>
      <c r="B468">
        <v>362.82299999999998</v>
      </c>
      <c r="C468">
        <f t="shared" si="78"/>
        <v>-5.0020979193576591E-3</v>
      </c>
      <c r="D468">
        <f t="shared" ca="1" si="83"/>
        <v>2.6117818392989221E-3</v>
      </c>
      <c r="E468">
        <f t="shared" ca="1" si="84"/>
        <v>3.0378177176824003E-2</v>
      </c>
      <c r="F468">
        <f t="shared" ca="1" si="85"/>
        <v>2.5361864070689428E-2</v>
      </c>
      <c r="G468">
        <f t="shared" ca="1" si="86"/>
        <v>2.093040209415272</v>
      </c>
      <c r="H468">
        <f t="shared" ca="1" si="87"/>
        <v>1.0074698824499433</v>
      </c>
      <c r="I468">
        <f t="shared" ca="1" si="88"/>
        <v>1.6319630080779708</v>
      </c>
      <c r="K468">
        <f t="shared" si="79"/>
        <v>0.99499790208064232</v>
      </c>
      <c r="L468" s="7">
        <f t="shared" ca="1" si="80"/>
        <v>1.2094906327088473</v>
      </c>
      <c r="M468">
        <f t="shared" ca="1" si="81"/>
        <v>2.5480895338186058</v>
      </c>
      <c r="O468" t="b">
        <f t="shared" ca="1" si="82"/>
        <v>0</v>
      </c>
    </row>
    <row r="469" spans="1:15" x14ac:dyDescent="0.45">
      <c r="A469" s="1">
        <v>44557</v>
      </c>
      <c r="B469">
        <v>364.64699999999999</v>
      </c>
      <c r="C469">
        <f t="shared" si="78"/>
        <v>2.5248336224614649E-2</v>
      </c>
      <c r="D469">
        <f t="shared" ca="1" si="83"/>
        <v>2.7392170509413509E-3</v>
      </c>
      <c r="E469">
        <f t="shared" ca="1" si="84"/>
        <v>3.0399527807869982E-2</v>
      </c>
      <c r="F469">
        <f t="shared" ca="1" si="85"/>
        <v>1.3716679474671209E-2</v>
      </c>
      <c r="G469">
        <f t="shared" ca="1" si="86"/>
        <v>2.0788739071812952</v>
      </c>
      <c r="H469">
        <f t="shared" ca="1" si="87"/>
        <v>1.0074698824499433</v>
      </c>
      <c r="I469">
        <f t="shared" ca="1" si="88"/>
        <v>1.6405247558767568</v>
      </c>
      <c r="K469">
        <f t="shared" si="79"/>
        <v>1.0252483362246148</v>
      </c>
      <c r="L469" s="7">
        <f t="shared" ca="1" si="80"/>
        <v>1.1730377633445603</v>
      </c>
      <c r="M469">
        <f t="shared" ca="1" si="81"/>
        <v>2.4572242102569533</v>
      </c>
      <c r="O469" t="b">
        <f t="shared" ca="1" si="82"/>
        <v>0</v>
      </c>
    </row>
    <row r="470" spans="1:15" x14ac:dyDescent="0.45">
      <c r="A470" s="1">
        <v>44553</v>
      </c>
      <c r="B470">
        <v>355.66699999999997</v>
      </c>
      <c r="C470">
        <f t="shared" si="78"/>
        <v>5.761991138600598E-2</v>
      </c>
      <c r="D470">
        <f t="shared" ca="1" si="83"/>
        <v>2.5710156785661341E-3</v>
      </c>
      <c r="E470">
        <f t="shared" ca="1" si="84"/>
        <v>3.0367407707959437E-2</v>
      </c>
      <c r="F470">
        <f t="shared" ca="1" si="85"/>
        <v>2.8227807862261756E-2</v>
      </c>
      <c r="G470">
        <f t="shared" ca="1" si="86"/>
        <v>2.0995685463443232</v>
      </c>
      <c r="H470">
        <f t="shared" ca="1" si="87"/>
        <v>1.0074698824499433</v>
      </c>
      <c r="I470">
        <f t="shared" ca="1" si="88"/>
        <v>1.6319630080779708</v>
      </c>
      <c r="K470">
        <f t="shared" si="79"/>
        <v>1.0576199113860061</v>
      </c>
      <c r="L470" s="7">
        <f t="shared" ca="1" si="80"/>
        <v>1.1511264738342832</v>
      </c>
      <c r="M470">
        <f t="shared" ca="1" si="81"/>
        <v>2.4714987831739883</v>
      </c>
      <c r="O470" t="b">
        <f t="shared" ca="1" si="82"/>
        <v>0</v>
      </c>
    </row>
    <row r="471" spans="1:15" x14ac:dyDescent="0.45">
      <c r="A471" s="1">
        <v>44552</v>
      </c>
      <c r="B471">
        <v>336.29</v>
      </c>
      <c r="C471">
        <f t="shared" si="78"/>
        <v>7.4948136924911216E-2</v>
      </c>
      <c r="D471">
        <f t="shared" ca="1" si="83"/>
        <v>2.518964925562691E-3</v>
      </c>
      <c r="E471">
        <f t="shared" ca="1" si="84"/>
        <v>3.0281377722627241E-2</v>
      </c>
      <c r="F471">
        <f t="shared" ca="1" si="85"/>
        <v>1.9442747319239766E-2</v>
      </c>
      <c r="G471">
        <f t="shared" ca="1" si="86"/>
        <v>2.1263012126915042</v>
      </c>
      <c r="H471">
        <f t="shared" ca="1" si="87"/>
        <v>1.0074698824499433</v>
      </c>
      <c r="I471">
        <f t="shared" ca="1" si="88"/>
        <v>1.6319630080779708</v>
      </c>
      <c r="K471">
        <f t="shared" si="79"/>
        <v>1.0749481369249112</v>
      </c>
      <c r="L471" s="7">
        <f t="shared" ca="1" si="80"/>
        <v>1.0336888697630098</v>
      </c>
      <c r="M471">
        <f t="shared" ca="1" si="81"/>
        <v>2.4731816221875671</v>
      </c>
      <c r="O471" t="b">
        <f t="shared" ca="1" si="82"/>
        <v>0</v>
      </c>
    </row>
    <row r="472" spans="1:15" x14ac:dyDescent="0.45">
      <c r="A472" s="1">
        <v>44551</v>
      </c>
      <c r="B472">
        <v>312.84300000000002</v>
      </c>
      <c r="C472">
        <f t="shared" si="78"/>
        <v>4.2879525301686774E-2</v>
      </c>
      <c r="D472">
        <f t="shared" ca="1" si="83"/>
        <v>2.1032492134358751E-3</v>
      </c>
      <c r="E472">
        <f t="shared" ca="1" si="84"/>
        <v>2.9849677473945992E-2</v>
      </c>
      <c r="F472">
        <f t="shared" ca="1" si="85"/>
        <v>-1.024636291469716E-2</v>
      </c>
      <c r="G472">
        <f t="shared" ca="1" si="86"/>
        <v>2.2508323501443046</v>
      </c>
      <c r="H472">
        <f t="shared" ca="1" si="87"/>
        <v>0.97539222191744157</v>
      </c>
      <c r="I472">
        <f t="shared" ca="1" si="88"/>
        <v>1.6222212431516898</v>
      </c>
      <c r="K472">
        <f t="shared" si="79"/>
        <v>1.0428795253016867</v>
      </c>
      <c r="L472" s="7">
        <f t="shared" ca="1" si="80"/>
        <v>0.97915512530398763</v>
      </c>
      <c r="M472">
        <f t="shared" ca="1" si="81"/>
        <v>2.4575001701276054</v>
      </c>
      <c r="O472" t="b">
        <f t="shared" ca="1" si="82"/>
        <v>1</v>
      </c>
    </row>
    <row r="473" spans="1:15" x14ac:dyDescent="0.45">
      <c r="A473" s="1">
        <v>44550</v>
      </c>
      <c r="B473">
        <v>299.98</v>
      </c>
      <c r="C473">
        <f t="shared" si="78"/>
        <v>-3.4990365344837043E-2</v>
      </c>
      <c r="D473">
        <f t="shared" ca="1" si="83"/>
        <v>2.8709102333596844E-3</v>
      </c>
      <c r="E473">
        <f t="shared" ca="1" si="84"/>
        <v>3.2738100823682476E-2</v>
      </c>
      <c r="F473">
        <f t="shared" ca="1" si="85"/>
        <v>0.97262790391579268</v>
      </c>
      <c r="G473">
        <f t="shared" ca="1" si="86"/>
        <v>6.9326004374612777</v>
      </c>
      <c r="H473">
        <f t="shared" ca="1" si="87"/>
        <v>1.0074698824499433</v>
      </c>
      <c r="I473">
        <f t="shared" ca="1" si="88"/>
        <v>1.6222212431516898</v>
      </c>
      <c r="K473">
        <f t="shared" si="79"/>
        <v>0.96500963465516298</v>
      </c>
      <c r="L473" s="7">
        <f t="shared" ca="1" si="80"/>
        <v>0.93121870508510363</v>
      </c>
      <c r="M473">
        <f t="shared" ca="1" si="81"/>
        <v>2.3779259049360584</v>
      </c>
      <c r="O473" t="b">
        <f t="shared" ca="1" si="82"/>
        <v>1</v>
      </c>
    </row>
    <row r="474" spans="1:15" x14ac:dyDescent="0.45">
      <c r="A474" s="1">
        <v>44547</v>
      </c>
      <c r="B474">
        <v>310.85700000000003</v>
      </c>
      <c r="C474">
        <f t="shared" si="78"/>
        <v>6.0976201804041601E-3</v>
      </c>
      <c r="D474">
        <f t="shared" ca="1" si="83"/>
        <v>2.7536140330716224E-3</v>
      </c>
      <c r="E474">
        <f t="shared" ca="1" si="84"/>
        <v>3.2915976755846288E-2</v>
      </c>
      <c r="F474">
        <f t="shared" ca="1" si="85"/>
        <v>0.9426503014501334</v>
      </c>
      <c r="G474">
        <f t="shared" ca="1" si="86"/>
        <v>6.7855968348143678</v>
      </c>
      <c r="H474">
        <f t="shared" ca="1" si="87"/>
        <v>0.95096493934385173</v>
      </c>
      <c r="I474">
        <f t="shared" ca="1" si="88"/>
        <v>1.6222212431516898</v>
      </c>
      <c r="K474">
        <f t="shared" si="79"/>
        <v>1.0060976201804042</v>
      </c>
      <c r="L474" s="7">
        <f t="shared" ca="1" si="80"/>
        <v>0.91695525205746164</v>
      </c>
      <c r="M474">
        <f t="shared" ca="1" si="81"/>
        <v>2.3665191083768824</v>
      </c>
      <c r="O474" t="b">
        <f t="shared" ca="1" si="82"/>
        <v>1</v>
      </c>
    </row>
    <row r="475" spans="1:15" x14ac:dyDescent="0.45">
      <c r="A475" s="1">
        <v>44546</v>
      </c>
      <c r="B475">
        <v>308.97300000000001</v>
      </c>
      <c r="C475">
        <f t="shared" si="78"/>
        <v>-5.0278179079703597E-2</v>
      </c>
      <c r="D475">
        <f t="shared" ca="1" si="83"/>
        <v>2.5341297120940035E-3</v>
      </c>
      <c r="E475">
        <f t="shared" ca="1" si="84"/>
        <v>3.3039686877054192E-2</v>
      </c>
      <c r="F475">
        <f t="shared" ca="1" si="85"/>
        <v>0.94284099033660085</v>
      </c>
      <c r="G475">
        <f t="shared" ca="1" si="86"/>
        <v>6.6762185647446097</v>
      </c>
      <c r="H475">
        <f t="shared" ca="1" si="87"/>
        <v>0.95096493934385173</v>
      </c>
      <c r="I475">
        <f t="shared" ca="1" si="88"/>
        <v>1.6114338170709936</v>
      </c>
      <c r="K475">
        <f t="shared" si="79"/>
        <v>0.94972182092029644</v>
      </c>
      <c r="L475" s="7">
        <f t="shared" ca="1" si="80"/>
        <v>0.92341004184100417</v>
      </c>
      <c r="M475">
        <f t="shared" ca="1" si="81"/>
        <v>2.3945968899964964</v>
      </c>
      <c r="O475" t="b">
        <f t="shared" ca="1" si="82"/>
        <v>1</v>
      </c>
    </row>
    <row r="476" spans="1:15" x14ac:dyDescent="0.45">
      <c r="A476" s="1">
        <v>44545</v>
      </c>
      <c r="B476">
        <v>325.33</v>
      </c>
      <c r="C476">
        <f t="shared" si="78"/>
        <v>1.8237700428477974E-2</v>
      </c>
      <c r="D476">
        <f t="shared" ca="1" si="83"/>
        <v>2.5424247056310694E-3</v>
      </c>
      <c r="E476">
        <f t="shared" ca="1" si="84"/>
        <v>3.3026566760799909E-2</v>
      </c>
      <c r="F476">
        <f t="shared" ca="1" si="85"/>
        <v>0.94509915619463591</v>
      </c>
      <c r="G476">
        <f t="shared" ca="1" si="86"/>
        <v>6.6866485406192444</v>
      </c>
      <c r="H476">
        <f t="shared" ca="1" si="87"/>
        <v>0.95096493934385173</v>
      </c>
      <c r="I476">
        <f t="shared" ca="1" si="88"/>
        <v>1.6114338170709936</v>
      </c>
      <c r="K476">
        <f t="shared" si="79"/>
        <v>1.0182377004284779</v>
      </c>
      <c r="L476" s="7">
        <f t="shared" ca="1" si="80"/>
        <v>0.91302761562640322</v>
      </c>
      <c r="M476">
        <f t="shared" ca="1" si="81"/>
        <v>2.3671417629666158</v>
      </c>
      <c r="O476" t="b">
        <f t="shared" ca="1" si="82"/>
        <v>1</v>
      </c>
    </row>
    <row r="477" spans="1:15" x14ac:dyDescent="0.45">
      <c r="A477" s="1">
        <v>44544</v>
      </c>
      <c r="B477">
        <v>319.50299999999999</v>
      </c>
      <c r="C477">
        <f t="shared" si="78"/>
        <v>-8.1766453403366093E-3</v>
      </c>
      <c r="D477">
        <f t="shared" ca="1" si="83"/>
        <v>2.2091170931234465E-3</v>
      </c>
      <c r="E477">
        <f t="shared" ca="1" si="84"/>
        <v>3.3203277228732626E-2</v>
      </c>
      <c r="F477">
        <f t="shared" ca="1" si="85"/>
        <v>0.94161627426860728</v>
      </c>
      <c r="G477">
        <f t="shared" ca="1" si="86"/>
        <v>6.5475559840981452</v>
      </c>
      <c r="H477">
        <f t="shared" ca="1" si="87"/>
        <v>0.94648839541275553</v>
      </c>
      <c r="I477">
        <f t="shared" ca="1" si="88"/>
        <v>1.5146265822667089</v>
      </c>
      <c r="K477">
        <f t="shared" si="79"/>
        <v>0.99182335465966343</v>
      </c>
      <c r="L477" s="7">
        <f t="shared" ca="1" si="80"/>
        <v>0.91134766945345336</v>
      </c>
      <c r="M477">
        <f t="shared" ca="1" si="81"/>
        <v>2.2846120402914534</v>
      </c>
      <c r="O477" t="b">
        <f t="shared" ca="1" si="82"/>
        <v>1</v>
      </c>
    </row>
    <row r="478" spans="1:15" x14ac:dyDescent="0.45">
      <c r="A478" s="1">
        <v>44543</v>
      </c>
      <c r="B478">
        <v>322.137</v>
      </c>
      <c r="C478">
        <f t="shared" si="78"/>
        <v>-4.9771393174242617E-2</v>
      </c>
      <c r="D478">
        <f t="shared" ca="1" si="83"/>
        <v>2.0273484576421225E-3</v>
      </c>
      <c r="E478">
        <f t="shared" ca="1" si="84"/>
        <v>3.3359558911236001E-2</v>
      </c>
      <c r="F478">
        <f t="shared" ca="1" si="85"/>
        <v>0.93114862848735003</v>
      </c>
      <c r="G478">
        <f t="shared" ca="1" si="86"/>
        <v>6.4094768997478111</v>
      </c>
      <c r="H478">
        <f t="shared" ca="1" si="87"/>
        <v>0.94648839541275553</v>
      </c>
      <c r="I478">
        <f t="shared" ca="1" si="88"/>
        <v>1.3308698633176266</v>
      </c>
      <c r="K478">
        <f t="shared" si="79"/>
        <v>0.95022860682575738</v>
      </c>
      <c r="L478" s="7">
        <f t="shared" ca="1" si="80"/>
        <v>0.95778044045109523</v>
      </c>
      <c r="M478">
        <f t="shared" ca="1" si="81"/>
        <v>2.2914275056955087</v>
      </c>
      <c r="O478" t="b">
        <f t="shared" ca="1" si="82"/>
        <v>1</v>
      </c>
    </row>
    <row r="479" spans="1:15" x14ac:dyDescent="0.45">
      <c r="A479" s="1">
        <v>44540</v>
      </c>
      <c r="B479">
        <v>339.01</v>
      </c>
      <c r="C479">
        <f t="shared" si="78"/>
        <v>1.3179916317991536E-2</v>
      </c>
      <c r="D479">
        <f t="shared" ca="1" si="83"/>
        <v>2.5939695719009778E-3</v>
      </c>
      <c r="E479">
        <f t="shared" ca="1" si="84"/>
        <v>3.3437651970214741E-2</v>
      </c>
      <c r="F479">
        <f t="shared" ca="1" si="85"/>
        <v>0.92377468729640566</v>
      </c>
      <c r="G479">
        <f t="shared" ca="1" si="86"/>
        <v>6.2853315916421701</v>
      </c>
      <c r="H479">
        <f t="shared" ca="1" si="87"/>
        <v>0.9746876709472454</v>
      </c>
      <c r="I479">
        <f t="shared" ca="1" si="88"/>
        <v>1.5237222196083036</v>
      </c>
      <c r="K479">
        <f t="shared" si="79"/>
        <v>1.0131799163179915</v>
      </c>
      <c r="L479" s="7">
        <f t="shared" ca="1" si="80"/>
        <v>1.002030603890365</v>
      </c>
      <c r="M479">
        <f t="shared" ca="1" si="81"/>
        <v>2.215772171090602</v>
      </c>
      <c r="O479" t="b">
        <f t="shared" ca="1" si="82"/>
        <v>0</v>
      </c>
    </row>
    <row r="480" spans="1:15" x14ac:dyDescent="0.45">
      <c r="A480" s="1">
        <v>44539</v>
      </c>
      <c r="B480">
        <v>334.6</v>
      </c>
      <c r="C480">
        <f t="shared" si="78"/>
        <v>-6.0956443646160673E-2</v>
      </c>
      <c r="D480">
        <f t="shared" ca="1" si="83"/>
        <v>2.478819087744256E-3</v>
      </c>
      <c r="E480">
        <f t="shared" ca="1" si="84"/>
        <v>3.3440668224054983E-2</v>
      </c>
      <c r="F480">
        <f t="shared" ca="1" si="85"/>
        <v>0.93353682615876543</v>
      </c>
      <c r="G480">
        <f t="shared" ca="1" si="86"/>
        <v>6.2950588215891967</v>
      </c>
      <c r="H480">
        <f t="shared" ca="1" si="87"/>
        <v>0.9746876709472454</v>
      </c>
      <c r="I480">
        <f t="shared" ca="1" si="88"/>
        <v>1.5237222196083036</v>
      </c>
      <c r="K480">
        <f t="shared" si="79"/>
        <v>0.93904355635383929</v>
      </c>
      <c r="L480" s="7">
        <f t="shared" ca="1" si="80"/>
        <v>0.92550334271007073</v>
      </c>
      <c r="M480">
        <f t="shared" ca="1" si="81"/>
        <v>2.2648693337312209</v>
      </c>
      <c r="O480" t="b">
        <f t="shared" ca="1" si="82"/>
        <v>1</v>
      </c>
    </row>
    <row r="481" spans="1:15" x14ac:dyDescent="0.45">
      <c r="A481" s="1">
        <v>44538</v>
      </c>
      <c r="B481">
        <v>356.32</v>
      </c>
      <c r="C481">
        <f t="shared" si="78"/>
        <v>1.636417053878815E-2</v>
      </c>
      <c r="D481">
        <f t="shared" ca="1" si="83"/>
        <v>2.3806539460656212E-3</v>
      </c>
      <c r="E481">
        <f t="shared" ca="1" si="84"/>
        <v>3.3655941787797128E-2</v>
      </c>
      <c r="F481">
        <f t="shared" ca="1" si="85"/>
        <v>0.88224472265228515</v>
      </c>
      <c r="G481">
        <f t="shared" ca="1" si="86"/>
        <v>6.1956359509978602</v>
      </c>
      <c r="H481">
        <f t="shared" ca="1" si="87"/>
        <v>0.9746876709472454</v>
      </c>
      <c r="I481">
        <f t="shared" ca="1" si="88"/>
        <v>1.5237222196083036</v>
      </c>
      <c r="K481">
        <f t="shared" si="79"/>
        <v>1.0163641705387882</v>
      </c>
      <c r="L481" s="7">
        <f t="shared" ca="1" si="80"/>
        <v>0.97621917808219194</v>
      </c>
      <c r="M481">
        <f t="shared" ca="1" si="81"/>
        <v>2.26777182392996</v>
      </c>
      <c r="O481" t="b">
        <f t="shared" ca="1" si="82"/>
        <v>1</v>
      </c>
    </row>
    <row r="482" spans="1:15" x14ac:dyDescent="0.45">
      <c r="A482" s="1">
        <v>44537</v>
      </c>
      <c r="B482">
        <v>350.58300000000003</v>
      </c>
      <c r="C482">
        <f t="shared" si="78"/>
        <v>4.2356327136176035E-2</v>
      </c>
      <c r="D482">
        <f t="shared" ca="1" si="83"/>
        <v>2.6077660266140066E-3</v>
      </c>
      <c r="E482">
        <f t="shared" ca="1" si="84"/>
        <v>3.3903126197859616E-2</v>
      </c>
      <c r="F482">
        <f t="shared" ca="1" si="85"/>
        <v>0.86973947281471509</v>
      </c>
      <c r="G482">
        <f t="shared" ca="1" si="86"/>
        <v>5.9536714362028826</v>
      </c>
      <c r="H482">
        <f t="shared" ca="1" si="87"/>
        <v>0.98074767690795295</v>
      </c>
      <c r="I482">
        <f t="shared" ca="1" si="88"/>
        <v>1.5317161050671764</v>
      </c>
      <c r="K482">
        <f t="shared" si="79"/>
        <v>1.042356327136176</v>
      </c>
      <c r="L482" s="7">
        <f t="shared" ca="1" si="80"/>
        <v>0.91874985258931796</v>
      </c>
      <c r="M482">
        <f t="shared" ca="1" si="81"/>
        <v>2.2776427049886938</v>
      </c>
      <c r="O482" t="b">
        <f t="shared" ca="1" si="82"/>
        <v>1</v>
      </c>
    </row>
    <row r="483" spans="1:15" x14ac:dyDescent="0.45">
      <c r="A483" s="1">
        <v>44536</v>
      </c>
      <c r="B483">
        <v>336.33699999999999</v>
      </c>
      <c r="C483">
        <f t="shared" si="78"/>
        <v>-5.8701300236755705E-3</v>
      </c>
      <c r="D483">
        <f t="shared" ca="1" si="83"/>
        <v>2.2863974204460325E-3</v>
      </c>
      <c r="E483">
        <f t="shared" ca="1" si="84"/>
        <v>3.3829000303420335E-2</v>
      </c>
      <c r="F483">
        <f t="shared" ca="1" si="85"/>
        <v>0.8940893855859301</v>
      </c>
      <c r="G483">
        <f t="shared" ca="1" si="86"/>
        <v>6.0584749630345653</v>
      </c>
      <c r="H483">
        <f t="shared" ca="1" si="87"/>
        <v>0.98074767690795295</v>
      </c>
      <c r="I483">
        <f t="shared" ca="1" si="88"/>
        <v>1.3388620045934512</v>
      </c>
      <c r="K483">
        <f t="shared" si="79"/>
        <v>0.99412986997632447</v>
      </c>
      <c r="L483" s="7">
        <f t="shared" ca="1" si="80"/>
        <v>0.88743974226708922</v>
      </c>
      <c r="M483">
        <f t="shared" ca="1" si="81"/>
        <v>2.2769718994870285</v>
      </c>
      <c r="O483" t="b">
        <f t="shared" ca="1" si="82"/>
        <v>1</v>
      </c>
    </row>
    <row r="484" spans="1:15" x14ac:dyDescent="0.45">
      <c r="A484" s="1">
        <v>44533</v>
      </c>
      <c r="B484">
        <v>338.32299999999998</v>
      </c>
      <c r="C484">
        <f t="shared" si="78"/>
        <v>-6.419884215272198E-2</v>
      </c>
      <c r="D484">
        <f t="shared" ca="1" si="83"/>
        <v>1.8882676821343719E-3</v>
      </c>
      <c r="E484">
        <f t="shared" ca="1" si="84"/>
        <v>3.4389388890372123E-2</v>
      </c>
      <c r="F484">
        <f t="shared" ca="1" si="85"/>
        <v>0.80181740419442937</v>
      </c>
      <c r="G484">
        <f t="shared" ca="1" si="86"/>
        <v>5.7363089974218093</v>
      </c>
      <c r="H484">
        <f t="shared" ca="1" si="87"/>
        <v>0.9761309346082544</v>
      </c>
      <c r="I484">
        <f t="shared" ca="1" si="88"/>
        <v>1.2617797430848967</v>
      </c>
      <c r="K484">
        <f t="shared" si="79"/>
        <v>0.93580115784727802</v>
      </c>
      <c r="L484" s="7">
        <f t="shared" ca="1" si="80"/>
        <v>0.93811834516415271</v>
      </c>
      <c r="M484">
        <f t="shared" ca="1" si="81"/>
        <v>2.3535962441094362</v>
      </c>
      <c r="O484" t="b">
        <f t="shared" ca="1" si="82"/>
        <v>1</v>
      </c>
    </row>
    <row r="485" spans="1:15" x14ac:dyDescent="0.45">
      <c r="A485" s="1">
        <v>44532</v>
      </c>
      <c r="B485">
        <v>361.53300000000002</v>
      </c>
      <c r="C485">
        <f t="shared" si="78"/>
        <v>-9.4986301369862584E-3</v>
      </c>
      <c r="D485">
        <f t="shared" ca="1" si="83"/>
        <v>2.1706464848358004E-3</v>
      </c>
      <c r="E485">
        <f t="shared" ca="1" si="84"/>
        <v>3.4074431385419414E-2</v>
      </c>
      <c r="F485">
        <f t="shared" ca="1" si="85"/>
        <v>0.8360626245110836</v>
      </c>
      <c r="G485">
        <f t="shared" ca="1" si="86"/>
        <v>5.9635869228778011</v>
      </c>
      <c r="H485">
        <f t="shared" ca="1" si="87"/>
        <v>0.98074767690795295</v>
      </c>
      <c r="I485">
        <f t="shared" ca="1" si="88"/>
        <v>1.3388620045934512</v>
      </c>
      <c r="K485">
        <f t="shared" si="79"/>
        <v>0.99050136986301374</v>
      </c>
      <c r="L485" s="7">
        <f t="shared" ca="1" si="80"/>
        <v>0.97186290322580671</v>
      </c>
      <c r="M485">
        <f t="shared" ca="1" si="81"/>
        <v>2.3515447434595869</v>
      </c>
      <c r="O485" t="b">
        <f t="shared" ca="1" si="82"/>
        <v>1</v>
      </c>
    </row>
    <row r="486" spans="1:15" x14ac:dyDescent="0.45">
      <c r="A486" s="1">
        <v>44531</v>
      </c>
      <c r="B486">
        <v>365</v>
      </c>
      <c r="C486">
        <f t="shared" si="78"/>
        <v>-4.3468461975905863E-2</v>
      </c>
      <c r="D486">
        <f t="shared" ca="1" si="83"/>
        <v>2.1506711145660245E-3</v>
      </c>
      <c r="E486">
        <f t="shared" ca="1" si="84"/>
        <v>3.4082476674391307E-2</v>
      </c>
      <c r="F486">
        <f t="shared" ca="1" si="85"/>
        <v>0.83695767060317572</v>
      </c>
      <c r="G486">
        <f t="shared" ca="1" si="86"/>
        <v>5.9572429360658221</v>
      </c>
      <c r="H486">
        <f t="shared" ca="1" si="87"/>
        <v>0.98074767690795295</v>
      </c>
      <c r="I486">
        <f t="shared" ca="1" si="88"/>
        <v>1.3388620045934512</v>
      </c>
      <c r="K486">
        <f t="shared" si="79"/>
        <v>0.95653153802409419</v>
      </c>
      <c r="L486" s="7">
        <f t="shared" ca="1" si="80"/>
        <v>0.98734841496766101</v>
      </c>
      <c r="M486">
        <f t="shared" ca="1" si="81"/>
        <v>2.3340319788086297</v>
      </c>
      <c r="O486" t="b">
        <f t="shared" ca="1" si="82"/>
        <v>1</v>
      </c>
    </row>
    <row r="487" spans="1:15" x14ac:dyDescent="0.45">
      <c r="A487" s="1">
        <v>44530</v>
      </c>
      <c r="B487">
        <v>381.58699999999999</v>
      </c>
      <c r="C487">
        <f t="shared" si="78"/>
        <v>6.8338271806900183E-3</v>
      </c>
      <c r="D487">
        <f t="shared" ca="1" si="83"/>
        <v>2.3801268954542314E-3</v>
      </c>
      <c r="E487">
        <f t="shared" ca="1" si="84"/>
        <v>3.3927936246945456E-2</v>
      </c>
      <c r="F487">
        <f t="shared" ca="1" si="85"/>
        <v>0.84029143457956901</v>
      </c>
      <c r="G487">
        <f t="shared" ca="1" si="86"/>
        <v>6.0819965967614875</v>
      </c>
      <c r="H487">
        <f t="shared" ca="1" si="87"/>
        <v>0.98074767690795295</v>
      </c>
      <c r="I487">
        <f t="shared" ca="1" si="88"/>
        <v>1.3983240066634237</v>
      </c>
      <c r="K487">
        <f t="shared" si="79"/>
        <v>1.00683382718069</v>
      </c>
      <c r="L487" s="7">
        <f t="shared" ca="1" si="80"/>
        <v>0.98953381930019724</v>
      </c>
      <c r="M487">
        <f t="shared" ca="1" si="81"/>
        <v>2.3337788095371783</v>
      </c>
      <c r="O487" t="b">
        <f t="shared" ca="1" si="82"/>
        <v>1</v>
      </c>
    </row>
    <row r="488" spans="1:15" x14ac:dyDescent="0.45">
      <c r="A488" s="1">
        <v>44529</v>
      </c>
      <c r="B488">
        <v>378.99700000000001</v>
      </c>
      <c r="C488">
        <f t="shared" si="78"/>
        <v>5.0901175687666451E-2</v>
      </c>
      <c r="D488">
        <f t="shared" ca="1" si="83"/>
        <v>2.224045540759426E-3</v>
      </c>
      <c r="E488">
        <f t="shared" ca="1" si="84"/>
        <v>3.3979109322615331E-2</v>
      </c>
      <c r="F488">
        <f t="shared" ca="1" si="85"/>
        <v>0.84792884494843446</v>
      </c>
      <c r="G488">
        <f t="shared" ca="1" si="86"/>
        <v>6.0448914923665678</v>
      </c>
      <c r="H488">
        <f t="shared" ca="1" si="87"/>
        <v>0.98074767690795295</v>
      </c>
      <c r="I488">
        <f t="shared" ca="1" si="88"/>
        <v>1.3388620045934512</v>
      </c>
      <c r="K488">
        <f t="shared" si="79"/>
        <v>1.0509011756876665</v>
      </c>
      <c r="L488" s="7">
        <f t="shared" ca="1" si="80"/>
        <v>0.99993931718642826</v>
      </c>
      <c r="M488">
        <f t="shared" ca="1" si="81"/>
        <v>2.3410636849074886</v>
      </c>
      <c r="O488" t="b">
        <f t="shared" ca="1" si="82"/>
        <v>1</v>
      </c>
    </row>
    <row r="489" spans="1:15" x14ac:dyDescent="0.45">
      <c r="A489" s="1">
        <v>44526</v>
      </c>
      <c r="B489">
        <v>360.64</v>
      </c>
      <c r="C489">
        <f t="shared" si="78"/>
        <v>-3.0537634408602188E-2</v>
      </c>
      <c r="D489">
        <f t="shared" ca="1" si="83"/>
        <v>1.9970204147060243E-3</v>
      </c>
      <c r="E489">
        <f t="shared" ca="1" si="84"/>
        <v>3.3803476508723868E-2</v>
      </c>
      <c r="F489">
        <f t="shared" ca="1" si="85"/>
        <v>0.86641428120231112</v>
      </c>
      <c r="G489">
        <f t="shared" ca="1" si="86"/>
        <v>6.2364991992867322</v>
      </c>
      <c r="H489">
        <f t="shared" ca="1" si="87"/>
        <v>0.9746876709472454</v>
      </c>
      <c r="I489">
        <f t="shared" ca="1" si="88"/>
        <v>1.3308698633176266</v>
      </c>
      <c r="K489">
        <f t="shared" si="79"/>
        <v>0.96946236559139787</v>
      </c>
      <c r="L489" s="7">
        <f t="shared" ca="1" si="80"/>
        <v>0.98681114212225696</v>
      </c>
      <c r="M489">
        <f t="shared" ca="1" si="81"/>
        <v>2.4017615969013772</v>
      </c>
      <c r="O489" t="b">
        <f t="shared" ca="1" si="82"/>
        <v>1</v>
      </c>
    </row>
    <row r="490" spans="1:15" x14ac:dyDescent="0.45">
      <c r="A490" s="1">
        <v>44524</v>
      </c>
      <c r="B490">
        <v>372</v>
      </c>
      <c r="C490">
        <f t="shared" si="78"/>
        <v>6.2838640218352212E-3</v>
      </c>
      <c r="D490">
        <f t="shared" ca="1" si="83"/>
        <v>2.1922026133562593E-3</v>
      </c>
      <c r="E490">
        <f t="shared" ca="1" si="84"/>
        <v>3.3727289400853872E-2</v>
      </c>
      <c r="F490">
        <f t="shared" ca="1" si="85"/>
        <v>0.85935484885729652</v>
      </c>
      <c r="G490">
        <f t="shared" ca="1" si="86"/>
        <v>6.295674402883912</v>
      </c>
      <c r="H490">
        <f t="shared" ca="1" si="87"/>
        <v>0.9746876709472454</v>
      </c>
      <c r="I490">
        <f t="shared" ca="1" si="88"/>
        <v>1.389976915647106</v>
      </c>
      <c r="K490">
        <f t="shared" si="79"/>
        <v>1.0062838640218352</v>
      </c>
      <c r="L490" s="7">
        <f t="shared" ca="1" si="80"/>
        <v>1.0247849191328997</v>
      </c>
      <c r="M490">
        <f t="shared" ca="1" si="81"/>
        <v>2.4165559797948544</v>
      </c>
      <c r="O490" t="b">
        <f t="shared" ca="1" si="82"/>
        <v>0</v>
      </c>
    </row>
    <row r="491" spans="1:15" x14ac:dyDescent="0.45">
      <c r="A491" s="1">
        <v>44523</v>
      </c>
      <c r="B491">
        <v>369.67700000000002</v>
      </c>
      <c r="C491">
        <f t="shared" si="78"/>
        <v>-4.1351267948229152E-2</v>
      </c>
      <c r="D491">
        <f t="shared" ca="1" si="83"/>
        <v>1.8980278218235064E-3</v>
      </c>
      <c r="E491">
        <f t="shared" ca="1" si="84"/>
        <v>3.3947288367671802E-2</v>
      </c>
      <c r="F491">
        <f t="shared" ca="1" si="85"/>
        <v>0.84772097506954813</v>
      </c>
      <c r="G491">
        <f t="shared" ca="1" si="86"/>
        <v>6.1204032198849978</v>
      </c>
      <c r="H491">
        <f t="shared" ca="1" si="87"/>
        <v>0.97009945533847253</v>
      </c>
      <c r="I491">
        <f t="shared" ca="1" si="88"/>
        <v>1.3308698633176266</v>
      </c>
      <c r="K491">
        <f t="shared" si="79"/>
        <v>0.95864873205177081</v>
      </c>
      <c r="L491" s="7">
        <f t="shared" ca="1" si="80"/>
        <v>1.0514823210847126</v>
      </c>
      <c r="M491">
        <f t="shared" ca="1" si="81"/>
        <v>2.4276172913478544</v>
      </c>
      <c r="O491" t="b">
        <f t="shared" ca="1" si="82"/>
        <v>0</v>
      </c>
    </row>
    <row r="492" spans="1:15" x14ac:dyDescent="0.45">
      <c r="A492" s="1">
        <v>44522</v>
      </c>
      <c r="B492">
        <v>385.62299999999999</v>
      </c>
      <c r="C492">
        <f t="shared" si="78"/>
        <v>1.7421244261516568E-2</v>
      </c>
      <c r="D492">
        <f t="shared" ca="1" si="83"/>
        <v>2.0239313678521997E-3</v>
      </c>
      <c r="E492">
        <f t="shared" ca="1" si="84"/>
        <v>3.3832580786423254E-2</v>
      </c>
      <c r="F492">
        <f t="shared" ca="1" si="85"/>
        <v>0.85492595336438038</v>
      </c>
      <c r="G492">
        <f t="shared" ca="1" si="86"/>
        <v>6.2188679007003893</v>
      </c>
      <c r="H492">
        <f t="shared" ca="1" si="87"/>
        <v>0.97009945533847253</v>
      </c>
      <c r="I492">
        <f t="shared" ca="1" si="88"/>
        <v>1.3308698633176266</v>
      </c>
      <c r="K492">
        <f t="shared" si="79"/>
        <v>1.0174212442615165</v>
      </c>
      <c r="L492" s="7">
        <f t="shared" ca="1" si="80"/>
        <v>1.1415820744411582</v>
      </c>
      <c r="M492">
        <f t="shared" ca="1" si="81"/>
        <v>2.4310153287473706</v>
      </c>
      <c r="O492" t="b">
        <f t="shared" ca="1" si="82"/>
        <v>0</v>
      </c>
    </row>
    <row r="493" spans="1:15" x14ac:dyDescent="0.45">
      <c r="A493" s="1">
        <v>44519</v>
      </c>
      <c r="B493">
        <v>379.02</v>
      </c>
      <c r="C493">
        <f t="shared" si="78"/>
        <v>3.7103923822032515E-2</v>
      </c>
      <c r="D493">
        <f t="shared" ca="1" si="83"/>
        <v>2.0024763608280692E-3</v>
      </c>
      <c r="E493">
        <f t="shared" ca="1" si="84"/>
        <v>3.3824126997271137E-2</v>
      </c>
      <c r="F493">
        <f t="shared" ca="1" si="85"/>
        <v>0.85719017540149445</v>
      </c>
      <c r="G493">
        <f t="shared" ca="1" si="86"/>
        <v>6.2301879315411339</v>
      </c>
      <c r="H493">
        <f t="shared" ca="1" si="87"/>
        <v>0.97009945533847253</v>
      </c>
      <c r="I493">
        <f t="shared" ca="1" si="88"/>
        <v>1.3308698633176266</v>
      </c>
      <c r="K493">
        <f t="shared" si="79"/>
        <v>1.0371039238220325</v>
      </c>
      <c r="L493" s="7">
        <f t="shared" ca="1" si="80"/>
        <v>1.1002894276184196</v>
      </c>
      <c r="M493">
        <f t="shared" ca="1" si="81"/>
        <v>2.3715026069465517</v>
      </c>
      <c r="O493" t="b">
        <f t="shared" ca="1" si="82"/>
        <v>0</v>
      </c>
    </row>
    <row r="494" spans="1:15" x14ac:dyDescent="0.45">
      <c r="A494" s="1">
        <v>44518</v>
      </c>
      <c r="B494">
        <v>365.46</v>
      </c>
      <c r="C494">
        <f t="shared" si="78"/>
        <v>6.768539102982603E-3</v>
      </c>
      <c r="D494">
        <f t="shared" ca="1" si="83"/>
        <v>1.8301392497474128E-3</v>
      </c>
      <c r="E494">
        <f t="shared" ca="1" si="84"/>
        <v>3.3732065193131891E-2</v>
      </c>
      <c r="F494">
        <f t="shared" ca="1" si="85"/>
        <v>0.87399018388238525</v>
      </c>
      <c r="G494">
        <f t="shared" ca="1" si="86"/>
        <v>6.3438567915665809</v>
      </c>
      <c r="H494">
        <f t="shared" ca="1" si="87"/>
        <v>0.97009945533847253</v>
      </c>
      <c r="I494">
        <f t="shared" ca="1" si="88"/>
        <v>1.3278202958307854</v>
      </c>
      <c r="K494">
        <f t="shared" si="79"/>
        <v>1.0067685391029826</v>
      </c>
      <c r="L494" s="7">
        <f t="shared" ca="1" si="80"/>
        <v>1.0309080600164173</v>
      </c>
      <c r="M494">
        <f t="shared" ca="1" si="81"/>
        <v>2.3621830950383234</v>
      </c>
      <c r="O494" t="b">
        <f t="shared" ca="1" si="82"/>
        <v>0</v>
      </c>
    </row>
    <row r="495" spans="1:15" x14ac:dyDescent="0.45">
      <c r="A495" s="1">
        <v>44517</v>
      </c>
      <c r="B495">
        <v>363.00299999999999</v>
      </c>
      <c r="C495">
        <f t="shared" si="78"/>
        <v>3.2499281807399201E-2</v>
      </c>
      <c r="D495">
        <f t="shared" ca="1" si="83"/>
        <v>1.768795387144042E-3</v>
      </c>
      <c r="E495">
        <f t="shared" ca="1" si="84"/>
        <v>3.3734194972119949E-2</v>
      </c>
      <c r="F495">
        <f t="shared" ca="1" si="85"/>
        <v>0.87926710638139738</v>
      </c>
      <c r="G495">
        <f t="shared" ca="1" si="86"/>
        <v>6.3479999792746975</v>
      </c>
      <c r="H495">
        <f t="shared" ca="1" si="87"/>
        <v>0.97009945533847253</v>
      </c>
      <c r="I495">
        <f t="shared" ca="1" si="88"/>
        <v>1.3278202958307854</v>
      </c>
      <c r="K495">
        <f t="shared" si="79"/>
        <v>1.0324992818073992</v>
      </c>
      <c r="L495" s="7">
        <f t="shared" ca="1" si="80"/>
        <v>1.0197200428110329</v>
      </c>
      <c r="M495">
        <f t="shared" ca="1" si="81"/>
        <v>2.3446998540658863</v>
      </c>
      <c r="O495" t="b">
        <f t="shared" ca="1" si="82"/>
        <v>0</v>
      </c>
    </row>
    <row r="496" spans="1:15" x14ac:dyDescent="0.45">
      <c r="A496" s="1">
        <v>44516</v>
      </c>
      <c r="B496">
        <v>351.577</v>
      </c>
      <c r="C496">
        <f t="shared" si="78"/>
        <v>4.0793731146220868E-2</v>
      </c>
      <c r="D496">
        <f t="shared" ca="1" si="83"/>
        <v>1.5026142429473864E-3</v>
      </c>
      <c r="E496">
        <f t="shared" ca="1" si="84"/>
        <v>3.3700510809758159E-2</v>
      </c>
      <c r="F496">
        <f t="shared" ca="1" si="85"/>
        <v>0.90048097516044712</v>
      </c>
      <c r="G496">
        <f t="shared" ca="1" si="86"/>
        <v>6.4117039043303832</v>
      </c>
      <c r="H496">
        <f t="shared" ca="1" si="87"/>
        <v>0.97009945533847253</v>
      </c>
      <c r="I496">
        <f t="shared" ca="1" si="88"/>
        <v>1.1889216721874465</v>
      </c>
      <c r="K496">
        <f t="shared" si="79"/>
        <v>1.0407937311462208</v>
      </c>
      <c r="L496" s="7">
        <f t="shared" ca="1" si="80"/>
        <v>1.0305129159619772</v>
      </c>
      <c r="M496">
        <f t="shared" ca="1" si="81"/>
        <v>2.3707049769584314</v>
      </c>
      <c r="O496" t="b">
        <f t="shared" ca="1" si="82"/>
        <v>0</v>
      </c>
    </row>
    <row r="497" spans="1:15" x14ac:dyDescent="0.45">
      <c r="A497" s="1">
        <v>44515</v>
      </c>
      <c r="B497">
        <v>337.79700000000003</v>
      </c>
      <c r="C497">
        <f t="shared" si="78"/>
        <v>-1.9380328792096876E-2</v>
      </c>
      <c r="D497">
        <f t="shared" ca="1" si="83"/>
        <v>1.4949933368885297E-3</v>
      </c>
      <c r="E497">
        <f t="shared" ca="1" si="84"/>
        <v>3.3691752214342972E-2</v>
      </c>
      <c r="F497">
        <f t="shared" ca="1" si="85"/>
        <v>0.90096785737461216</v>
      </c>
      <c r="G497">
        <f t="shared" ca="1" si="86"/>
        <v>6.4209714068330532</v>
      </c>
      <c r="H497">
        <f t="shared" ca="1" si="87"/>
        <v>0.97009945533847253</v>
      </c>
      <c r="I497">
        <f t="shared" ca="1" si="88"/>
        <v>1.1889216721874465</v>
      </c>
      <c r="K497">
        <f t="shared" si="79"/>
        <v>0.98061967120790317</v>
      </c>
      <c r="L497" s="7">
        <f t="shared" ca="1" si="80"/>
        <v>0.8714036223677728</v>
      </c>
      <c r="M497">
        <f t="shared" ca="1" si="81"/>
        <v>2.4937498114523371</v>
      </c>
      <c r="O497" t="b">
        <f t="shared" ca="1" si="82"/>
        <v>1</v>
      </c>
    </row>
    <row r="498" spans="1:15" x14ac:dyDescent="0.45">
      <c r="A498" s="1">
        <v>44512</v>
      </c>
      <c r="B498">
        <v>344.47300000000001</v>
      </c>
      <c r="C498">
        <f t="shared" si="78"/>
        <v>-2.8293131510875712E-2</v>
      </c>
      <c r="D498">
        <f t="shared" ca="1" si="83"/>
        <v>1.8835096646038813E-3</v>
      </c>
      <c r="E498">
        <f t="shared" ca="1" si="84"/>
        <v>3.3897209856759793E-2</v>
      </c>
      <c r="F498">
        <f t="shared" ca="1" si="85"/>
        <v>0.87505296445548308</v>
      </c>
      <c r="G498">
        <f t="shared" ca="1" si="86"/>
        <v>6.1919512787859619</v>
      </c>
      <c r="H498">
        <f t="shared" ca="1" si="87"/>
        <v>0.9761309346082544</v>
      </c>
      <c r="I498">
        <f t="shared" ca="1" si="88"/>
        <v>1.3278202958307854</v>
      </c>
      <c r="K498">
        <f t="shared" si="79"/>
        <v>0.97170686848912424</v>
      </c>
      <c r="L498" s="7">
        <f t="shared" ca="1" si="80"/>
        <v>0.84561680859577337</v>
      </c>
      <c r="M498">
        <f t="shared" ca="1" si="81"/>
        <v>2.4786160874849066</v>
      </c>
      <c r="O498" t="b">
        <f t="shared" ca="1" si="82"/>
        <v>1</v>
      </c>
    </row>
    <row r="499" spans="1:15" x14ac:dyDescent="0.45">
      <c r="A499" s="1">
        <v>44511</v>
      </c>
      <c r="B499">
        <v>354.50299999999999</v>
      </c>
      <c r="C499">
        <f t="shared" si="78"/>
        <v>-4.157501903180821E-3</v>
      </c>
      <c r="D499">
        <f t="shared" ca="1" si="83"/>
        <v>1.7742005723584569E-3</v>
      </c>
      <c r="E499">
        <f t="shared" ca="1" si="84"/>
        <v>3.402999920189425E-2</v>
      </c>
      <c r="F499">
        <f t="shared" ca="1" si="85"/>
        <v>0.85997150178837489</v>
      </c>
      <c r="G499">
        <f t="shared" ca="1" si="86"/>
        <v>6.0849335686866359</v>
      </c>
      <c r="H499">
        <f t="shared" ca="1" si="87"/>
        <v>0.97546061462774403</v>
      </c>
      <c r="I499">
        <f t="shared" ca="1" si="88"/>
        <v>1.3278202958307854</v>
      </c>
      <c r="K499">
        <f t="shared" si="79"/>
        <v>0.99584249809681913</v>
      </c>
      <c r="L499" s="7">
        <f t="shared" ca="1" si="80"/>
        <v>0.86470473449276763</v>
      </c>
      <c r="M499">
        <f t="shared" ca="1" si="81"/>
        <v>2.4694842723499271</v>
      </c>
      <c r="O499" t="b">
        <f t="shared" ca="1" si="82"/>
        <v>1</v>
      </c>
    </row>
    <row r="500" spans="1:15" x14ac:dyDescent="0.45">
      <c r="A500" s="1">
        <v>44510</v>
      </c>
      <c r="B500">
        <v>355.983</v>
      </c>
      <c r="C500">
        <f t="shared" si="78"/>
        <v>4.3427412381619651E-2</v>
      </c>
      <c r="D500">
        <f t="shared" ca="1" si="83"/>
        <v>1.628768670863193E-3</v>
      </c>
      <c r="E500">
        <f t="shared" ca="1" si="84"/>
        <v>3.4117516333301005E-2</v>
      </c>
      <c r="F500">
        <f t="shared" ca="1" si="85"/>
        <v>0.8608259673662827</v>
      </c>
      <c r="G500">
        <f t="shared" ca="1" si="86"/>
        <v>6.0122128101991654</v>
      </c>
      <c r="H500">
        <f t="shared" ca="1" si="87"/>
        <v>0.97546061462774403</v>
      </c>
      <c r="I500">
        <f t="shared" ca="1" si="88"/>
        <v>1.258228832643747</v>
      </c>
      <c r="K500">
        <f t="shared" si="79"/>
        <v>1.0434274123816196</v>
      </c>
      <c r="L500" s="7">
        <f t="shared" ca="1" si="80"/>
        <v>0.87979585784192571</v>
      </c>
      <c r="M500">
        <f t="shared" ca="1" si="81"/>
        <v>2.4957521007415755</v>
      </c>
      <c r="O500" t="b">
        <f t="shared" ca="1" si="82"/>
        <v>1</v>
      </c>
    </row>
    <row r="501" spans="1:15" x14ac:dyDescent="0.45">
      <c r="A501" s="1">
        <v>44509</v>
      </c>
      <c r="B501">
        <v>341.16699999999997</v>
      </c>
      <c r="C501">
        <f t="shared" si="78"/>
        <v>-0.11990290135097142</v>
      </c>
      <c r="D501">
        <f t="shared" ca="1" si="83"/>
        <v>1.3044510190032327E-3</v>
      </c>
      <c r="E501">
        <f t="shared" ca="1" si="84"/>
        <v>3.4026357299430605E-2</v>
      </c>
      <c r="F501">
        <f t="shared" ca="1" si="85"/>
        <v>0.8856568292077317</v>
      </c>
      <c r="G501">
        <f t="shared" ca="1" si="86"/>
        <v>6.1328616322385825</v>
      </c>
      <c r="H501">
        <f t="shared" ca="1" si="87"/>
        <v>0.97546061462774403</v>
      </c>
      <c r="I501">
        <f t="shared" ca="1" si="88"/>
        <v>1.1005268001046584</v>
      </c>
      <c r="K501">
        <f t="shared" si="79"/>
        <v>0.88009709864902863</v>
      </c>
      <c r="L501" s="7">
        <f t="shared" ca="1" si="80"/>
        <v>0.87329362346960449</v>
      </c>
      <c r="M501">
        <f t="shared" ca="1" si="81"/>
        <v>2.5207537397286957</v>
      </c>
      <c r="O501" t="b">
        <f t="shared" ca="1" si="82"/>
        <v>1</v>
      </c>
    </row>
    <row r="502" spans="1:15" x14ac:dyDescent="0.45">
      <c r="A502" s="1">
        <v>44508</v>
      </c>
      <c r="B502">
        <v>387.64699999999999</v>
      </c>
      <c r="C502">
        <f t="shared" si="78"/>
        <v>-4.8399093683029651E-2</v>
      </c>
      <c r="D502">
        <f t="shared" ca="1" si="83"/>
        <v>1.9169593949678978E-3</v>
      </c>
      <c r="E502">
        <f t="shared" ca="1" si="84"/>
        <v>3.2918066775234435E-2</v>
      </c>
      <c r="F502">
        <f t="shared" ca="1" si="85"/>
        <v>1.1751600680428349</v>
      </c>
      <c r="G502">
        <f t="shared" ca="1" si="86"/>
        <v>6.389464947719099</v>
      </c>
      <c r="H502">
        <f t="shared" ca="1" si="87"/>
        <v>0.9761309346082544</v>
      </c>
      <c r="I502">
        <f t="shared" ca="1" si="88"/>
        <v>1.1889216721874465</v>
      </c>
      <c r="K502">
        <f t="shared" si="79"/>
        <v>0.95160090631697036</v>
      </c>
      <c r="L502" s="7">
        <f t="shared" ca="1" si="80"/>
        <v>0.96223033636744981</v>
      </c>
      <c r="M502">
        <f t="shared" ca="1" si="81"/>
        <v>2.5271400402903099</v>
      </c>
      <c r="O502" t="b">
        <f t="shared" ca="1" si="82"/>
        <v>1</v>
      </c>
    </row>
    <row r="503" spans="1:15" x14ac:dyDescent="0.45">
      <c r="A503" s="1">
        <v>44505</v>
      </c>
      <c r="B503">
        <v>407.363</v>
      </c>
      <c r="C503">
        <f t="shared" si="78"/>
        <v>-6.3590018781862758E-3</v>
      </c>
      <c r="D503">
        <f t="shared" ca="1" si="83"/>
        <v>2.3606996448070064E-3</v>
      </c>
      <c r="E503">
        <f t="shared" ca="1" si="84"/>
        <v>3.283445281414557E-2</v>
      </c>
      <c r="F503">
        <f t="shared" ca="1" si="85"/>
        <v>1.1696107558335074</v>
      </c>
      <c r="G503">
        <f t="shared" ca="1" si="86"/>
        <v>6.4014624451082147</v>
      </c>
      <c r="H503">
        <f t="shared" ca="1" si="87"/>
        <v>0.98072250518890458</v>
      </c>
      <c r="I503">
        <f t="shared" ca="1" si="88"/>
        <v>1.3278202958307854</v>
      </c>
      <c r="K503">
        <f t="shared" si="79"/>
        <v>0.99364099812181372</v>
      </c>
      <c r="L503" s="7">
        <f t="shared" ca="1" si="80"/>
        <v>1.0970288124136554</v>
      </c>
      <c r="M503">
        <f t="shared" ca="1" si="81"/>
        <v>2.6516376497613625</v>
      </c>
      <c r="O503" t="b">
        <f t="shared" ca="1" si="82"/>
        <v>0</v>
      </c>
    </row>
    <row r="504" spans="1:15" x14ac:dyDescent="0.45">
      <c r="A504" s="1">
        <v>44504</v>
      </c>
      <c r="B504">
        <v>409.97</v>
      </c>
      <c r="C504">
        <f t="shared" si="78"/>
        <v>1.3222282635559347E-2</v>
      </c>
      <c r="D504">
        <f t="shared" ca="1" si="83"/>
        <v>2.4022580949054489E-3</v>
      </c>
      <c r="E504">
        <f t="shared" ca="1" si="84"/>
        <v>3.2828620379408507E-2</v>
      </c>
      <c r="F504">
        <f t="shared" ca="1" si="85"/>
        <v>1.1664932367758511</v>
      </c>
      <c r="G504">
        <f t="shared" ca="1" si="86"/>
        <v>6.4021155521139077</v>
      </c>
      <c r="H504">
        <f t="shared" ca="1" si="87"/>
        <v>0.98072250518890458</v>
      </c>
      <c r="I504">
        <f t="shared" ca="1" si="88"/>
        <v>1.3278202958307854</v>
      </c>
      <c r="K504">
        <f t="shared" si="79"/>
        <v>1.0132222826355592</v>
      </c>
      <c r="L504" s="7">
        <f t="shared" ca="1" si="80"/>
        <v>1.1419363644213438</v>
      </c>
      <c r="M504">
        <f t="shared" ca="1" si="81"/>
        <v>2.7143879033504192</v>
      </c>
      <c r="O504" t="b">
        <f t="shared" ca="1" si="82"/>
        <v>0</v>
      </c>
    </row>
    <row r="505" spans="1:15" x14ac:dyDescent="0.45">
      <c r="A505" s="1">
        <v>44503</v>
      </c>
      <c r="B505">
        <v>404.62</v>
      </c>
      <c r="C505">
        <f t="shared" si="78"/>
        <v>3.5715839832901247E-2</v>
      </c>
      <c r="D505">
        <f t="shared" ca="1" si="83"/>
        <v>2.3040459913864332E-3</v>
      </c>
      <c r="E505">
        <f t="shared" ca="1" si="84"/>
        <v>3.2825469452191253E-2</v>
      </c>
      <c r="F505">
        <f t="shared" ca="1" si="85"/>
        <v>1.1756153887711436</v>
      </c>
      <c r="G505">
        <f t="shared" ca="1" si="86"/>
        <v>6.4200094214227574</v>
      </c>
      <c r="H505">
        <f t="shared" ca="1" si="87"/>
        <v>0.98072250518890458</v>
      </c>
      <c r="I505">
        <f t="shared" ca="1" si="88"/>
        <v>1.3278202958307854</v>
      </c>
      <c r="K505">
        <f t="shared" si="79"/>
        <v>1.0357158398329012</v>
      </c>
      <c r="L505" s="7">
        <f t="shared" ca="1" si="80"/>
        <v>1.1695808390157043</v>
      </c>
      <c r="M505">
        <f t="shared" ca="1" si="81"/>
        <v>2.7714182071614863</v>
      </c>
      <c r="O505" t="b">
        <f t="shared" ca="1" si="82"/>
        <v>0</v>
      </c>
    </row>
    <row r="506" spans="1:15" x14ac:dyDescent="0.45">
      <c r="A506" s="1">
        <v>44502</v>
      </c>
      <c r="B506">
        <v>390.66699999999997</v>
      </c>
      <c r="C506">
        <f t="shared" si="78"/>
        <v>-3.02733187212527E-2</v>
      </c>
      <c r="D506">
        <f t="shared" ca="1" si="83"/>
        <v>2.1603847545474701E-3</v>
      </c>
      <c r="E506">
        <f t="shared" ca="1" si="84"/>
        <v>3.2741272954680781E-2</v>
      </c>
      <c r="F506">
        <f t="shared" ca="1" si="85"/>
        <v>1.1926252821981804</v>
      </c>
      <c r="G506">
        <f t="shared" ca="1" si="86"/>
        <v>6.5333768369744023</v>
      </c>
      <c r="H506">
        <f t="shared" ca="1" si="87"/>
        <v>0.98072250518890458</v>
      </c>
      <c r="I506">
        <f t="shared" ca="1" si="88"/>
        <v>1.2546798209722403</v>
      </c>
      <c r="K506">
        <f t="shared" si="79"/>
        <v>0.96972668127874728</v>
      </c>
      <c r="L506" s="7">
        <f t="shared" ca="1" si="80"/>
        <v>1.1507907752218856</v>
      </c>
      <c r="M506">
        <f t="shared" ca="1" si="81"/>
        <v>2.7084403405805069</v>
      </c>
      <c r="O506" t="b">
        <f t="shared" ca="1" si="82"/>
        <v>0</v>
      </c>
    </row>
    <row r="507" spans="1:15" x14ac:dyDescent="0.45">
      <c r="A507" s="1">
        <v>44501</v>
      </c>
      <c r="B507">
        <v>402.863</v>
      </c>
      <c r="C507">
        <f t="shared" si="78"/>
        <v>8.4910309614281435E-2</v>
      </c>
      <c r="D507">
        <f t="shared" ca="1" si="83"/>
        <v>2.4230492670823693E-3</v>
      </c>
      <c r="E507">
        <f t="shared" ca="1" si="84"/>
        <v>3.269044964766972E-2</v>
      </c>
      <c r="F507">
        <f t="shared" ca="1" si="85"/>
        <v>1.1799846521522808</v>
      </c>
      <c r="G507">
        <f t="shared" ca="1" si="86"/>
        <v>6.5497144450404106</v>
      </c>
      <c r="H507">
        <f t="shared" ca="1" si="87"/>
        <v>0.98072250518890458</v>
      </c>
      <c r="I507">
        <f t="shared" ca="1" si="88"/>
        <v>1.3867919097150831</v>
      </c>
      <c r="K507">
        <f t="shared" si="79"/>
        <v>1.0849103096142814</v>
      </c>
      <c r="L507" s="7">
        <f t="shared" ca="1" si="80"/>
        <v>1.1792722908494817</v>
      </c>
      <c r="M507">
        <f t="shared" ca="1" si="81"/>
        <v>2.6217888823178366</v>
      </c>
      <c r="O507" t="b">
        <f t="shared" ca="1" si="82"/>
        <v>0</v>
      </c>
    </row>
    <row r="508" spans="1:15" x14ac:dyDescent="0.45">
      <c r="A508" s="1">
        <v>44498</v>
      </c>
      <c r="B508">
        <v>371.33300000000003</v>
      </c>
      <c r="C508">
        <f t="shared" si="78"/>
        <v>3.4316306094765513E-2</v>
      </c>
      <c r="D508">
        <f t="shared" ca="1" si="83"/>
        <v>1.8870185609981315E-3</v>
      </c>
      <c r="E508">
        <f t="shared" ca="1" si="84"/>
        <v>3.2206451123763601E-2</v>
      </c>
      <c r="F508">
        <f t="shared" ca="1" si="85"/>
        <v>1.1968520702529257</v>
      </c>
      <c r="G508">
        <f t="shared" ca="1" si="86"/>
        <v>6.9981798477812758</v>
      </c>
      <c r="H508">
        <f t="shared" ca="1" si="87"/>
        <v>0.9746626547633781</v>
      </c>
      <c r="I508">
        <f t="shared" ca="1" si="88"/>
        <v>1.2546798209722403</v>
      </c>
      <c r="K508">
        <f t="shared" si="79"/>
        <v>1.0343163060947655</v>
      </c>
      <c r="L508" s="7">
        <f t="shared" ca="1" si="80"/>
        <v>1.2246040095374096</v>
      </c>
      <c r="M508">
        <f t="shared" ca="1" si="81"/>
        <v>2.5679729005912342</v>
      </c>
      <c r="O508" t="b">
        <f t="shared" ca="1" si="82"/>
        <v>0</v>
      </c>
    </row>
    <row r="509" spans="1:15" x14ac:dyDescent="0.45">
      <c r="A509" s="1">
        <v>44497</v>
      </c>
      <c r="B509">
        <v>359.01299999999998</v>
      </c>
      <c r="C509">
        <f t="shared" si="78"/>
        <v>3.7750792737741838E-2</v>
      </c>
      <c r="D509">
        <f t="shared" ca="1" si="83"/>
        <v>1.6603814306886287E-3</v>
      </c>
      <c r="E509">
        <f t="shared" ca="1" si="84"/>
        <v>3.2136507966606401E-2</v>
      </c>
      <c r="F509">
        <f t="shared" ca="1" si="85"/>
        <v>1.2205107068496732</v>
      </c>
      <c r="G509">
        <f t="shared" ca="1" si="86"/>
        <v>7.1154912449635814</v>
      </c>
      <c r="H509">
        <f t="shared" ca="1" si="87"/>
        <v>0.9746626547633781</v>
      </c>
      <c r="I509">
        <f t="shared" ca="1" si="88"/>
        <v>1.2229402636184359</v>
      </c>
      <c r="K509">
        <f t="shared" si="79"/>
        <v>1.0377507927377418</v>
      </c>
      <c r="L509" s="7">
        <f t="shared" ca="1" si="80"/>
        <v>1.2047416107382547</v>
      </c>
      <c r="M509">
        <f t="shared" ca="1" si="81"/>
        <v>2.4403744975546129</v>
      </c>
      <c r="O509" t="b">
        <f t="shared" ca="1" si="82"/>
        <v>0</v>
      </c>
    </row>
    <row r="510" spans="1:15" x14ac:dyDescent="0.45">
      <c r="A510" s="1">
        <v>44496</v>
      </c>
      <c r="B510">
        <v>345.95299999999997</v>
      </c>
      <c r="C510">
        <f t="shared" si="78"/>
        <v>1.9076402819631372E-2</v>
      </c>
      <c r="D510">
        <f t="shared" ca="1" si="83"/>
        <v>1.5008702278273337E-3</v>
      </c>
      <c r="E510">
        <f t="shared" ca="1" si="84"/>
        <v>3.2035486599704337E-2</v>
      </c>
      <c r="F510">
        <f t="shared" ca="1" si="85"/>
        <v>1.2399358655845758</v>
      </c>
      <c r="G510">
        <f t="shared" ca="1" si="86"/>
        <v>7.2609725642905714</v>
      </c>
      <c r="H510">
        <f t="shared" ca="1" si="87"/>
        <v>0.9746626547633781</v>
      </c>
      <c r="I510">
        <f t="shared" ca="1" si="88"/>
        <v>1.1988683598094827</v>
      </c>
      <c r="K510">
        <f t="shared" si="79"/>
        <v>1.0190764028196313</v>
      </c>
      <c r="L510" s="7">
        <f t="shared" ca="1" si="80"/>
        <v>1.1987283437283434</v>
      </c>
      <c r="M510">
        <f t="shared" ca="1" si="81"/>
        <v>2.4496116463545432</v>
      </c>
      <c r="O510" t="b">
        <f t="shared" ca="1" si="82"/>
        <v>0</v>
      </c>
    </row>
    <row r="511" spans="1:15" x14ac:dyDescent="0.45">
      <c r="A511" s="1">
        <v>44495</v>
      </c>
      <c r="B511">
        <v>339.47699999999998</v>
      </c>
      <c r="C511">
        <f t="shared" si="78"/>
        <v>-6.2730519290440517E-3</v>
      </c>
      <c r="D511">
        <f t="shared" ca="1" si="83"/>
        <v>1.641252663778549E-3</v>
      </c>
      <c r="E511">
        <f t="shared" ca="1" si="84"/>
        <v>3.2174108168631838E-2</v>
      </c>
      <c r="F511">
        <f t="shared" ca="1" si="85"/>
        <v>1.2244288907146681</v>
      </c>
      <c r="G511">
        <f t="shared" ca="1" si="86"/>
        <v>7.0831012142013039</v>
      </c>
      <c r="H511">
        <f t="shared" ca="1" si="87"/>
        <v>0.97886825987884385</v>
      </c>
      <c r="I511">
        <f t="shared" ca="1" si="88"/>
        <v>1.1988683598094827</v>
      </c>
      <c r="K511">
        <f t="shared" si="79"/>
        <v>0.99372694807095596</v>
      </c>
      <c r="L511" s="7">
        <f t="shared" ca="1" si="80"/>
        <v>1.178371342288868</v>
      </c>
      <c r="M511">
        <f t="shared" ca="1" si="81"/>
        <v>2.4417539219565949</v>
      </c>
      <c r="O511" t="b">
        <f t="shared" ca="1" si="82"/>
        <v>0</v>
      </c>
    </row>
    <row r="512" spans="1:15" x14ac:dyDescent="0.45">
      <c r="A512" s="1">
        <v>44494</v>
      </c>
      <c r="B512">
        <v>341.62</v>
      </c>
      <c r="C512">
        <f t="shared" si="78"/>
        <v>0.12661471438889027</v>
      </c>
      <c r="D512">
        <f t="shared" ca="1" si="83"/>
        <v>1.2815529476277654E-3</v>
      </c>
      <c r="E512">
        <f t="shared" ca="1" si="84"/>
        <v>3.2661478390036663E-2</v>
      </c>
      <c r="F512">
        <f t="shared" ca="1" si="85"/>
        <v>1.1296946689182645</v>
      </c>
      <c r="G512">
        <f t="shared" ca="1" si="86"/>
        <v>6.726991063011412</v>
      </c>
      <c r="H512">
        <f t="shared" ca="1" si="87"/>
        <v>0.97361631793805592</v>
      </c>
      <c r="I512">
        <f t="shared" ca="1" si="88"/>
        <v>1.1360353065795004</v>
      </c>
      <c r="K512">
        <f t="shared" si="79"/>
        <v>1.1266147143888903</v>
      </c>
      <c r="L512" s="7">
        <f t="shared" ca="1" si="80"/>
        <v>1.1778497226215965</v>
      </c>
      <c r="M512">
        <f t="shared" ca="1" si="81"/>
        <v>2.3924922140496827</v>
      </c>
      <c r="O512" t="b">
        <f t="shared" ca="1" si="82"/>
        <v>0</v>
      </c>
    </row>
    <row r="513" spans="1:15" x14ac:dyDescent="0.45">
      <c r="A513" s="1">
        <v>44491</v>
      </c>
      <c r="B513">
        <v>303.22699999999998</v>
      </c>
      <c r="C513">
        <f t="shared" si="78"/>
        <v>1.7540268456375758E-2</v>
      </c>
      <c r="D513">
        <f t="shared" ca="1" si="83"/>
        <v>1.0405010805283011E-3</v>
      </c>
      <c r="E513">
        <f t="shared" ca="1" si="84"/>
        <v>3.1900880080229607E-2</v>
      </c>
      <c r="F513">
        <f t="shared" ca="1" si="85"/>
        <v>0.99923766756157051</v>
      </c>
      <c r="G513">
        <f t="shared" ca="1" si="86"/>
        <v>6.6663200752135632</v>
      </c>
      <c r="H513">
        <f t="shared" ca="1" si="87"/>
        <v>0.97361631793805592</v>
      </c>
      <c r="I513">
        <f t="shared" ca="1" si="88"/>
        <v>1.1360353065795004</v>
      </c>
      <c r="K513">
        <f t="shared" si="79"/>
        <v>1.0175402684563757</v>
      </c>
      <c r="L513" s="7">
        <f t="shared" ca="1" si="80"/>
        <v>1.0790612433721218</v>
      </c>
      <c r="M513">
        <f t="shared" ca="1" si="81"/>
        <v>2.4058898886344564</v>
      </c>
      <c r="O513" t="b">
        <f t="shared" ca="1" si="82"/>
        <v>0</v>
      </c>
    </row>
    <row r="514" spans="1:15" x14ac:dyDescent="0.45">
      <c r="A514" s="1">
        <v>44490</v>
      </c>
      <c r="B514">
        <v>298</v>
      </c>
      <c r="C514">
        <f t="shared" si="78"/>
        <v>3.2571032571032492E-2</v>
      </c>
      <c r="D514">
        <f t="shared" ca="1" si="83"/>
        <v>1.3500329947257689E-3</v>
      </c>
      <c r="E514">
        <f t="shared" ca="1" si="84"/>
        <v>3.2358830153809651E-2</v>
      </c>
      <c r="F514">
        <f t="shared" ca="1" si="85"/>
        <v>0.99995808910664519</v>
      </c>
      <c r="G514">
        <f t="shared" ca="1" si="86"/>
        <v>6.2666502583868438</v>
      </c>
      <c r="H514">
        <f t="shared" ca="1" si="87"/>
        <v>0.97546061462774403</v>
      </c>
      <c r="I514">
        <f t="shared" ca="1" si="88"/>
        <v>1.1360353065795004</v>
      </c>
      <c r="K514">
        <f t="shared" si="79"/>
        <v>1.0325710325710324</v>
      </c>
      <c r="L514" s="7">
        <f t="shared" ca="1" si="80"/>
        <v>1.0924834936009062</v>
      </c>
      <c r="M514">
        <f t="shared" ca="1" si="81"/>
        <v>2.3763671075206854</v>
      </c>
      <c r="O514" t="b">
        <f t="shared" ca="1" si="82"/>
        <v>0</v>
      </c>
    </row>
    <row r="515" spans="1:15" x14ac:dyDescent="0.45">
      <c r="A515" s="1">
        <v>44489</v>
      </c>
      <c r="B515">
        <v>288.60000000000002</v>
      </c>
      <c r="C515">
        <f t="shared" ref="C515:C578" si="89">(B515-B516)/B516</f>
        <v>1.7702801207957505E-3</v>
      </c>
      <c r="D515">
        <f t="shared" ca="1" si="83"/>
        <v>1.3291155800474114E-3</v>
      </c>
      <c r="E515">
        <f t="shared" ca="1" si="84"/>
        <v>3.2339893443511548E-2</v>
      </c>
      <c r="F515">
        <f t="shared" ca="1" si="85"/>
        <v>1.002074815606528</v>
      </c>
      <c r="G515">
        <f t="shared" ca="1" si="86"/>
        <v>6.2891553011900916</v>
      </c>
      <c r="H515">
        <f t="shared" ca="1" si="87"/>
        <v>0.97546061462774403</v>
      </c>
      <c r="I515">
        <f t="shared" ca="1" si="88"/>
        <v>1.1360353065795004</v>
      </c>
      <c r="K515">
        <f t="shared" ref="K515:K578" si="90">C515+1</f>
        <v>1.0017702801207957</v>
      </c>
      <c r="L515" s="7">
        <f t="shared" ref="L515:L578" ca="1" si="91">PRODUCT(OFFSET(K515,0,0,$J$6,1))</f>
        <v>1.0674656014203285</v>
      </c>
      <c r="M515">
        <f t="shared" ref="M515:M578" ca="1" si="92">OFFSET(D515,$J$6,0)*V$2 + OFFSET(E515,$J$6,0)*U$2 + OFFSET(F515,$J$6,0)*T$2 + OFFSET(G515,$J$6,0)*S$2 + OFFSET(H515,$J$6,0)*R$2 + OFFSET(I515,$J$6,0)*Q$2 + W$2</f>
        <v>2.3843807719644734</v>
      </c>
      <c r="O515" t="b">
        <f t="shared" ref="O515:O578" ca="1" si="93">OR(AND(L515&gt;1, N515&gt;1), AND(L515&lt;1, N515&lt;1))</f>
        <v>0</v>
      </c>
    </row>
    <row r="516" spans="1:15" x14ac:dyDescent="0.45">
      <c r="A516" s="1">
        <v>44488</v>
      </c>
      <c r="B516">
        <v>288.08999999999997</v>
      </c>
      <c r="C516">
        <f t="shared" si="89"/>
        <v>-6.7129366253271235E-3</v>
      </c>
      <c r="D516">
        <f t="shared" ref="D516:D579" ca="1" si="94">AVERAGE(OFFSET(C516,0,0,$J$3,1))</f>
        <v>1.3568509991444076E-3</v>
      </c>
      <c r="E516">
        <f t="shared" ref="E516:E579" ca="1" si="95">STDEV(OFFSET(C516,0,0,$J$3,1))</f>
        <v>3.2342652231577076E-2</v>
      </c>
      <c r="F516">
        <f t="shared" ref="F516:F579" ca="1" si="96">SKEW(OFFSET(C516,0,0,$J$3,1))</f>
        <v>0.9992519794100323</v>
      </c>
      <c r="G516">
        <f t="shared" ref="G516:G579" ca="1" si="97">KURT(OFFSET(C516,0,0,$J$3,1))</f>
        <v>6.2824749917548681</v>
      </c>
      <c r="H516">
        <f t="shared" ref="H516:H579" ca="1" si="98">PERCENTILE(OFFSET(C516,0,0,$J$3,1), 0.95)/ABS(PERCENTILE(OFFSET(C516,0,0,$J$3,1), 0.05))</f>
        <v>0.97546061462774403</v>
      </c>
      <c r="I516">
        <f t="shared" ref="I516:I579" ca="1" si="99">PERCENTILE(OFFSET(C516,0,0,$J$3,1), 0.75)/ABS(PERCENTILE(OFFSET(C516,0,0,$J$3,1), 0.25))</f>
        <v>1.1360353065795004</v>
      </c>
      <c r="K516">
        <f t="shared" si="90"/>
        <v>0.99328706337467287</v>
      </c>
      <c r="L516" s="7">
        <f t="shared" ca="1" si="91"/>
        <v>1.0726692556586108</v>
      </c>
      <c r="M516">
        <f t="shared" ca="1" si="92"/>
        <v>2.3896875442020682</v>
      </c>
      <c r="O516" t="b">
        <f t="shared" ca="1" si="93"/>
        <v>0</v>
      </c>
    </row>
    <row r="517" spans="1:15" x14ac:dyDescent="0.45">
      <c r="A517" s="1">
        <v>44487</v>
      </c>
      <c r="B517">
        <v>290.03699999999998</v>
      </c>
      <c r="C517">
        <f t="shared" si="89"/>
        <v>3.212341197822137E-2</v>
      </c>
      <c r="D517">
        <f t="shared" ca="1" si="94"/>
        <v>1.561189798747748E-3</v>
      </c>
      <c r="E517">
        <f t="shared" ca="1" si="95"/>
        <v>3.242041807834864E-2</v>
      </c>
      <c r="F517">
        <f t="shared" ca="1" si="96"/>
        <v>0.97831256959847035</v>
      </c>
      <c r="G517">
        <f t="shared" ca="1" si="97"/>
        <v>6.1732888509654318</v>
      </c>
      <c r="H517">
        <f t="shared" ca="1" si="98"/>
        <v>0.97546061462774403</v>
      </c>
      <c r="I517">
        <f t="shared" ca="1" si="99"/>
        <v>1.181881444424288</v>
      </c>
      <c r="K517">
        <f t="shared" si="90"/>
        <v>1.0321234119782214</v>
      </c>
      <c r="L517" s="7">
        <f t="shared" ca="1" si="91"/>
        <v>1.0987082354723843</v>
      </c>
      <c r="M517">
        <f t="shared" ca="1" si="92"/>
        <v>2.3869957672225675</v>
      </c>
      <c r="O517" t="b">
        <f t="shared" ca="1" si="93"/>
        <v>0</v>
      </c>
    </row>
    <row r="518" spans="1:15" x14ac:dyDescent="0.45">
      <c r="A518" s="1">
        <v>44484</v>
      </c>
      <c r="B518">
        <v>281.01</v>
      </c>
      <c r="C518">
        <f t="shared" si="89"/>
        <v>3.0197270257686669E-2</v>
      </c>
      <c r="D518">
        <f t="shared" ca="1" si="94"/>
        <v>1.4789429832077238E-3</v>
      </c>
      <c r="E518">
        <f t="shared" ca="1" si="95"/>
        <v>3.2363310436969987E-2</v>
      </c>
      <c r="F518">
        <f t="shared" ca="1" si="96"/>
        <v>0.98734795026595401</v>
      </c>
      <c r="G518">
        <f t="shared" ca="1" si="97"/>
        <v>6.2448014624363841</v>
      </c>
      <c r="H518">
        <f t="shared" ca="1" si="98"/>
        <v>0.97546061462774403</v>
      </c>
      <c r="I518">
        <f t="shared" ca="1" si="99"/>
        <v>1.1360353065795004</v>
      </c>
      <c r="K518">
        <f t="shared" si="90"/>
        <v>1.0301972702576867</v>
      </c>
      <c r="L518" s="7">
        <f t="shared" ca="1" si="91"/>
        <v>1.0732536378566244</v>
      </c>
      <c r="M518">
        <f t="shared" ca="1" si="92"/>
        <v>2.3860678463439791</v>
      </c>
      <c r="O518" t="b">
        <f t="shared" ca="1" si="93"/>
        <v>0</v>
      </c>
    </row>
    <row r="519" spans="1:15" x14ac:dyDescent="0.45">
      <c r="A519" s="1">
        <v>44483</v>
      </c>
      <c r="B519">
        <v>272.77300000000002</v>
      </c>
      <c r="C519">
        <f t="shared" si="89"/>
        <v>8.925136854564324E-3</v>
      </c>
      <c r="D519">
        <f t="shared" ca="1" si="94"/>
        <v>1.5440856787082102E-3</v>
      </c>
      <c r="E519">
        <f t="shared" ca="1" si="95"/>
        <v>3.2434440907697995E-2</v>
      </c>
      <c r="F519">
        <f t="shared" ca="1" si="96"/>
        <v>0.98208001409869439</v>
      </c>
      <c r="G519">
        <f t="shared" ca="1" si="97"/>
        <v>6.1665261253913561</v>
      </c>
      <c r="H519">
        <f t="shared" ca="1" si="98"/>
        <v>0.97546061462774403</v>
      </c>
      <c r="I519">
        <f t="shared" ca="1" si="99"/>
        <v>1.1360353065795004</v>
      </c>
      <c r="K519">
        <f t="shared" si="90"/>
        <v>1.0089251368545644</v>
      </c>
      <c r="L519" s="7">
        <f t="shared" ca="1" si="91"/>
        <v>1.0311336410407619</v>
      </c>
      <c r="M519">
        <f t="shared" ca="1" si="92"/>
        <v>2.3890117574026362</v>
      </c>
      <c r="O519" t="b">
        <f t="shared" ca="1" si="93"/>
        <v>0</v>
      </c>
    </row>
    <row r="520" spans="1:15" x14ac:dyDescent="0.45">
      <c r="A520" s="1">
        <v>44482</v>
      </c>
      <c r="B520">
        <v>270.36</v>
      </c>
      <c r="C520">
        <f t="shared" si="89"/>
        <v>6.6536844731228924E-3</v>
      </c>
      <c r="D520">
        <f t="shared" ca="1" si="94"/>
        <v>1.5167948947653626E-3</v>
      </c>
      <c r="E520">
        <f t="shared" ca="1" si="95"/>
        <v>3.2430495225292184E-2</v>
      </c>
      <c r="F520">
        <f t="shared" ca="1" si="96"/>
        <v>0.98492977992884889</v>
      </c>
      <c r="G520">
        <f t="shared" ca="1" si="97"/>
        <v>6.1743746679470162</v>
      </c>
      <c r="H520">
        <f t="shared" ca="1" si="98"/>
        <v>0.97546061462774403</v>
      </c>
      <c r="I520">
        <f t="shared" ca="1" si="99"/>
        <v>1.1360353065795004</v>
      </c>
      <c r="K520">
        <f t="shared" si="90"/>
        <v>1.0066536844731229</v>
      </c>
      <c r="L520" s="7">
        <f t="shared" ca="1" si="91"/>
        <v>1.0361915858299766</v>
      </c>
      <c r="M520">
        <f t="shared" ca="1" si="92"/>
        <v>2.3548297460795</v>
      </c>
      <c r="O520" t="b">
        <f t="shared" ca="1" si="93"/>
        <v>0</v>
      </c>
    </row>
    <row r="521" spans="1:15" x14ac:dyDescent="0.45">
      <c r="A521" s="1">
        <v>44481</v>
      </c>
      <c r="B521">
        <v>268.57299999999998</v>
      </c>
      <c r="C521">
        <f t="shared" si="89"/>
        <v>1.7399045382225777E-2</v>
      </c>
      <c r="D521">
        <f t="shared" ca="1" si="94"/>
        <v>1.4980330230140095E-3</v>
      </c>
      <c r="E521">
        <f t="shared" ca="1" si="95"/>
        <v>3.2428593835955151E-2</v>
      </c>
      <c r="F521">
        <f t="shared" ca="1" si="96"/>
        <v>0.98683646879421405</v>
      </c>
      <c r="G521">
        <f t="shared" ca="1" si="97"/>
        <v>6.1788621114629629</v>
      </c>
      <c r="H521">
        <f t="shared" ca="1" si="98"/>
        <v>0.97546061462774403</v>
      </c>
      <c r="I521">
        <f t="shared" ca="1" si="99"/>
        <v>1.1360353065795004</v>
      </c>
      <c r="K521">
        <f t="shared" si="90"/>
        <v>1.0173990453822257</v>
      </c>
      <c r="L521" s="7">
        <f t="shared" ca="1" si="91"/>
        <v>1.0321909937470455</v>
      </c>
      <c r="M521">
        <f t="shared" ca="1" si="92"/>
        <v>2.3029437125008596</v>
      </c>
      <c r="O521" t="b">
        <f t="shared" ca="1" si="93"/>
        <v>0</v>
      </c>
    </row>
    <row r="522" spans="1:15" x14ac:dyDescent="0.45">
      <c r="A522" s="1">
        <v>44480</v>
      </c>
      <c r="B522">
        <v>263.98</v>
      </c>
      <c r="C522">
        <f t="shared" si="89"/>
        <v>8.2114349005080935E-3</v>
      </c>
      <c r="D522">
        <f t="shared" ca="1" si="94"/>
        <v>1.533247272852197E-3</v>
      </c>
      <c r="E522">
        <f t="shared" ca="1" si="95"/>
        <v>3.2449764542435366E-2</v>
      </c>
      <c r="F522">
        <f t="shared" ca="1" si="96"/>
        <v>0.98281476482020924</v>
      </c>
      <c r="G522">
        <f t="shared" ca="1" si="97"/>
        <v>6.1514482311869765</v>
      </c>
      <c r="H522">
        <f t="shared" ca="1" si="98"/>
        <v>0.97546061462774403</v>
      </c>
      <c r="I522">
        <f t="shared" ca="1" si="99"/>
        <v>1.1614178989601132</v>
      </c>
      <c r="K522">
        <f t="shared" si="90"/>
        <v>1.008211434900508</v>
      </c>
      <c r="L522" s="7">
        <f t="shared" ca="1" si="91"/>
        <v>1.0133200261026449</v>
      </c>
      <c r="M522">
        <f t="shared" ca="1" si="92"/>
        <v>2.2744203884553511</v>
      </c>
      <c r="O522" t="b">
        <f t="shared" ca="1" si="93"/>
        <v>0</v>
      </c>
    </row>
    <row r="523" spans="1:15" x14ac:dyDescent="0.45">
      <c r="A523" s="1">
        <v>44477</v>
      </c>
      <c r="B523">
        <v>261.83</v>
      </c>
      <c r="C523">
        <f t="shared" si="89"/>
        <v>-1.0232973081270271E-2</v>
      </c>
      <c r="D523">
        <f t="shared" ca="1" si="94"/>
        <v>1.5362291338010803E-3</v>
      </c>
      <c r="E523">
        <f t="shared" ca="1" si="95"/>
        <v>3.2450408689986873E-2</v>
      </c>
      <c r="F523">
        <f t="shared" ca="1" si="96"/>
        <v>0.98249072721684272</v>
      </c>
      <c r="G523">
        <f t="shared" ca="1" si="97"/>
        <v>6.1503532682903232</v>
      </c>
      <c r="H523">
        <f t="shared" ca="1" si="98"/>
        <v>0.97546061462774403</v>
      </c>
      <c r="I523">
        <f t="shared" ca="1" si="99"/>
        <v>1.1614178989601132</v>
      </c>
      <c r="K523">
        <f t="shared" si="90"/>
        <v>0.98976702691872975</v>
      </c>
      <c r="L523" s="7">
        <f t="shared" ca="1" si="91"/>
        <v>1.0132465451787296</v>
      </c>
      <c r="M523">
        <f t="shared" ca="1" si="92"/>
        <v>2.2919800985206469</v>
      </c>
      <c r="O523" t="b">
        <f t="shared" ca="1" si="93"/>
        <v>0</v>
      </c>
    </row>
    <row r="524" spans="1:15" x14ac:dyDescent="0.45">
      <c r="A524" s="1">
        <v>44476</v>
      </c>
      <c r="B524">
        <v>264.53699999999998</v>
      </c>
      <c r="C524">
        <f t="shared" si="89"/>
        <v>1.3874143884836959E-2</v>
      </c>
      <c r="D524">
        <f t="shared" ca="1" si="94"/>
        <v>1.5141551477625042E-3</v>
      </c>
      <c r="E524">
        <f t="shared" ca="1" si="95"/>
        <v>3.2459954924750768E-2</v>
      </c>
      <c r="F524">
        <f t="shared" ca="1" si="96"/>
        <v>0.98329770439709896</v>
      </c>
      <c r="G524">
        <f t="shared" ca="1" si="97"/>
        <v>6.1424966944493038</v>
      </c>
      <c r="H524">
        <f t="shared" ca="1" si="98"/>
        <v>0.97546061462774403</v>
      </c>
      <c r="I524">
        <f t="shared" ca="1" si="99"/>
        <v>1.1614178989601132</v>
      </c>
      <c r="K524">
        <f t="shared" si="90"/>
        <v>1.0138741438848369</v>
      </c>
      <c r="L524" s="7">
        <f t="shared" ca="1" si="91"/>
        <v>1.0233816776469766</v>
      </c>
      <c r="M524">
        <f t="shared" ca="1" si="92"/>
        <v>2.3019906758606559</v>
      </c>
      <c r="O524" t="b">
        <f t="shared" ca="1" si="93"/>
        <v>0</v>
      </c>
    </row>
    <row r="525" spans="1:15" x14ac:dyDescent="0.45">
      <c r="A525" s="1">
        <v>44475</v>
      </c>
      <c r="B525">
        <v>260.91699999999997</v>
      </c>
      <c r="C525">
        <f t="shared" si="89"/>
        <v>2.7671341329837409E-3</v>
      </c>
      <c r="D525">
        <f t="shared" ca="1" si="94"/>
        <v>1.1200294999281449E-3</v>
      </c>
      <c r="E525">
        <f t="shared" ca="1" si="95"/>
        <v>3.2786032745019567E-2</v>
      </c>
      <c r="F525">
        <f t="shared" ca="1" si="96"/>
        <v>0.9481185435027859</v>
      </c>
      <c r="G525">
        <f t="shared" ca="1" si="97"/>
        <v>5.9153695165505313</v>
      </c>
      <c r="H525">
        <f t="shared" ca="1" si="98"/>
        <v>0.97020473300854393</v>
      </c>
      <c r="I525">
        <f t="shared" ca="1" si="99"/>
        <v>1.0750678987751947</v>
      </c>
      <c r="K525">
        <f t="shared" si="90"/>
        <v>1.0027671341329838</v>
      </c>
      <c r="L525" s="7">
        <f t="shared" ca="1" si="91"/>
        <v>1.00184305609418</v>
      </c>
      <c r="M525">
        <f t="shared" ca="1" si="92"/>
        <v>2.2104562895591275</v>
      </c>
      <c r="O525" t="b">
        <f t="shared" ca="1" si="93"/>
        <v>0</v>
      </c>
    </row>
    <row r="526" spans="1:15" x14ac:dyDescent="0.45">
      <c r="A526" s="1">
        <v>44474</v>
      </c>
      <c r="B526">
        <v>260.197</v>
      </c>
      <c r="C526">
        <f t="shared" si="89"/>
        <v>-1.2014893862039391E-3</v>
      </c>
      <c r="D526">
        <f t="shared" ca="1" si="94"/>
        <v>1.4042732591754536E-3</v>
      </c>
      <c r="E526">
        <f t="shared" ca="1" si="95"/>
        <v>3.3045785054012129E-2</v>
      </c>
      <c r="F526">
        <f t="shared" ca="1" si="96"/>
        <v>0.92802356743969117</v>
      </c>
      <c r="G526">
        <f t="shared" ca="1" si="97"/>
        <v>5.6547356365629371</v>
      </c>
      <c r="H526">
        <f t="shared" ca="1" si="98"/>
        <v>0.98697213709257048</v>
      </c>
      <c r="I526">
        <f t="shared" ca="1" si="99"/>
        <v>1.1646810579549496</v>
      </c>
      <c r="K526">
        <f t="shared" si="90"/>
        <v>0.9987985106137961</v>
      </c>
      <c r="L526" s="7">
        <f t="shared" ca="1" si="91"/>
        <v>1.0038968003796487</v>
      </c>
      <c r="M526">
        <f t="shared" ca="1" si="92"/>
        <v>2.2273551301678123</v>
      </c>
      <c r="O526" t="b">
        <f t="shared" ca="1" si="93"/>
        <v>0</v>
      </c>
    </row>
    <row r="527" spans="1:15" x14ac:dyDescent="0.45">
      <c r="A527" s="1">
        <v>44473</v>
      </c>
      <c r="B527">
        <v>260.51</v>
      </c>
      <c r="C527">
        <f t="shared" si="89"/>
        <v>8.1383244261959194E-3</v>
      </c>
      <c r="D527">
        <f t="shared" ca="1" si="94"/>
        <v>1.6762617263868338E-3</v>
      </c>
      <c r="E527">
        <f t="shared" ca="1" si="95"/>
        <v>3.3247478962030813E-2</v>
      </c>
      <c r="F527">
        <f t="shared" ca="1" si="96"/>
        <v>0.90563588227507696</v>
      </c>
      <c r="G527">
        <f t="shared" ca="1" si="97"/>
        <v>5.4453708339747733</v>
      </c>
      <c r="H527">
        <f t="shared" ca="1" si="98"/>
        <v>1.0457769739307312</v>
      </c>
      <c r="I527">
        <f t="shared" ca="1" si="99"/>
        <v>1.1680044170323489</v>
      </c>
      <c r="K527">
        <f t="shared" si="90"/>
        <v>1.0081383244261959</v>
      </c>
      <c r="L527" s="7">
        <f t="shared" ca="1" si="91"/>
        <v>0.98757709818906936</v>
      </c>
      <c r="M527">
        <f t="shared" ca="1" si="92"/>
        <v>2.1680695587374124</v>
      </c>
      <c r="O527" t="b">
        <f t="shared" ca="1" si="93"/>
        <v>1</v>
      </c>
    </row>
    <row r="528" spans="1:15" x14ac:dyDescent="0.45">
      <c r="A528" s="1">
        <v>44470</v>
      </c>
      <c r="B528">
        <v>258.40699999999998</v>
      </c>
      <c r="C528">
        <f t="shared" si="89"/>
        <v>-3.3269759722705347E-4</v>
      </c>
      <c r="D528">
        <f t="shared" ca="1" si="94"/>
        <v>1.5528301394079037E-3</v>
      </c>
      <c r="E528">
        <f t="shared" ca="1" si="95"/>
        <v>3.3269184947140457E-2</v>
      </c>
      <c r="F528">
        <f t="shared" ca="1" si="96"/>
        <v>0.91423565384592076</v>
      </c>
      <c r="G528">
        <f t="shared" ca="1" si="97"/>
        <v>5.4374497367684347</v>
      </c>
      <c r="H528">
        <f t="shared" ca="1" si="98"/>
        <v>1.0457769739307312</v>
      </c>
      <c r="I528">
        <f t="shared" ca="1" si="99"/>
        <v>1.1496704443968584</v>
      </c>
      <c r="K528">
        <f t="shared" si="90"/>
        <v>0.99966730240277291</v>
      </c>
      <c r="L528" s="7">
        <f t="shared" ca="1" si="91"/>
        <v>1.0010731027001896</v>
      </c>
      <c r="M528">
        <f t="shared" ca="1" si="92"/>
        <v>2.1294315909241925</v>
      </c>
      <c r="O528" t="b">
        <f t="shared" ca="1" si="93"/>
        <v>0</v>
      </c>
    </row>
    <row r="529" spans="1:15" x14ac:dyDescent="0.45">
      <c r="A529" s="1">
        <v>44469</v>
      </c>
      <c r="B529">
        <v>258.49299999999999</v>
      </c>
      <c r="C529">
        <f t="shared" si="89"/>
        <v>-7.4643771814297379E-3</v>
      </c>
      <c r="D529">
        <f t="shared" ca="1" si="94"/>
        <v>1.5030581702186285E-3</v>
      </c>
      <c r="E529">
        <f t="shared" ca="1" si="95"/>
        <v>3.3279464431800042E-2</v>
      </c>
      <c r="F529">
        <f t="shared" ca="1" si="96"/>
        <v>0.91769313785132123</v>
      </c>
      <c r="G529">
        <f t="shared" ca="1" si="97"/>
        <v>5.4326437651136912</v>
      </c>
      <c r="H529">
        <f t="shared" ca="1" si="98"/>
        <v>1.0457769739307312</v>
      </c>
      <c r="I529">
        <f t="shared" ca="1" si="99"/>
        <v>1.1496704443968584</v>
      </c>
      <c r="K529">
        <f t="shared" si="90"/>
        <v>0.99253562281857022</v>
      </c>
      <c r="L529" s="7">
        <f t="shared" ca="1" si="91"/>
        <v>1.0289793919900641</v>
      </c>
      <c r="M529">
        <f t="shared" ca="1" si="92"/>
        <v>2.1502772122777922</v>
      </c>
      <c r="O529" t="b">
        <f t="shared" ca="1" si="93"/>
        <v>0</v>
      </c>
    </row>
    <row r="530" spans="1:15" x14ac:dyDescent="0.45">
      <c r="A530" s="1">
        <v>44468</v>
      </c>
      <c r="B530">
        <v>260.43700000000001</v>
      </c>
      <c r="C530">
        <f t="shared" si="89"/>
        <v>4.8227727470899389E-3</v>
      </c>
      <c r="D530">
        <f t="shared" ca="1" si="94"/>
        <v>1.7849824266564411E-3</v>
      </c>
      <c r="E530">
        <f t="shared" ca="1" si="95"/>
        <v>3.3441550900581561E-2</v>
      </c>
      <c r="F530">
        <f t="shared" ca="1" si="96"/>
        <v>0.89343456588097347</v>
      </c>
      <c r="G530">
        <f t="shared" ca="1" si="97"/>
        <v>5.2591882997342276</v>
      </c>
      <c r="H530">
        <f t="shared" ca="1" si="98"/>
        <v>1.0457769739307312</v>
      </c>
      <c r="I530">
        <f t="shared" ca="1" si="99"/>
        <v>1.1619966774470871</v>
      </c>
      <c r="K530">
        <f t="shared" si="90"/>
        <v>1.00482277274709</v>
      </c>
      <c r="L530" s="7">
        <f t="shared" ca="1" si="91"/>
        <v>1.039058915526617</v>
      </c>
      <c r="M530">
        <f t="shared" ca="1" si="92"/>
        <v>2.077905042301289</v>
      </c>
      <c r="O530" t="b">
        <f t="shared" ca="1" si="93"/>
        <v>0</v>
      </c>
    </row>
    <row r="531" spans="1:15" x14ac:dyDescent="0.45">
      <c r="A531" s="1">
        <v>44467</v>
      </c>
      <c r="B531">
        <v>259.18700000000001</v>
      </c>
      <c r="C531">
        <f t="shared" si="89"/>
        <v>-1.7438311971401041E-2</v>
      </c>
      <c r="D531">
        <f t="shared" ca="1" si="94"/>
        <v>1.6246873771184724E-3</v>
      </c>
      <c r="E531">
        <f t="shared" ca="1" si="95"/>
        <v>3.3503693047493732E-2</v>
      </c>
      <c r="F531">
        <f t="shared" ca="1" si="96"/>
        <v>0.89966791414144698</v>
      </c>
      <c r="G531">
        <f t="shared" ca="1" si="97"/>
        <v>5.2180847390575904</v>
      </c>
      <c r="H531">
        <f t="shared" ca="1" si="98"/>
        <v>1.0457769739307312</v>
      </c>
      <c r="I531">
        <f t="shared" ca="1" si="99"/>
        <v>1.1440919927249371</v>
      </c>
      <c r="K531">
        <f t="shared" si="90"/>
        <v>0.982561688028599</v>
      </c>
      <c r="L531" s="7">
        <f t="shared" ca="1" si="91"/>
        <v>1.0516392112310311</v>
      </c>
      <c r="M531">
        <f t="shared" ca="1" si="92"/>
        <v>2.0895734949612601</v>
      </c>
      <c r="O531" t="b">
        <f t="shared" ca="1" si="93"/>
        <v>0</v>
      </c>
    </row>
    <row r="532" spans="1:15" x14ac:dyDescent="0.45">
      <c r="A532" s="1">
        <v>44466</v>
      </c>
      <c r="B532">
        <v>263.78699999999998</v>
      </c>
      <c r="C532">
        <f t="shared" si="89"/>
        <v>2.1915313989075202E-2</v>
      </c>
      <c r="D532">
        <f t="shared" ca="1" si="94"/>
        <v>1.8987340634562982E-3</v>
      </c>
      <c r="E532">
        <f t="shared" ca="1" si="95"/>
        <v>3.3571073224351378E-2</v>
      </c>
      <c r="F532">
        <f t="shared" ca="1" si="96"/>
        <v>0.87658143535301913</v>
      </c>
      <c r="G532">
        <f t="shared" ca="1" si="97"/>
        <v>5.1284420408040434</v>
      </c>
      <c r="H532">
        <f t="shared" ca="1" si="98"/>
        <v>1.0457769739307312</v>
      </c>
      <c r="I532">
        <f t="shared" ca="1" si="99"/>
        <v>1.1894932811230594</v>
      </c>
      <c r="K532">
        <f t="shared" si="90"/>
        <v>1.0219153139890751</v>
      </c>
      <c r="L532" s="7">
        <f t="shared" ca="1" si="91"/>
        <v>1.0838037717243925</v>
      </c>
      <c r="M532">
        <f t="shared" ca="1" si="92"/>
        <v>2.0458886511107033</v>
      </c>
      <c r="O532" t="b">
        <f t="shared" ca="1" si="93"/>
        <v>0</v>
      </c>
    </row>
    <row r="533" spans="1:15" x14ac:dyDescent="0.45">
      <c r="A533" s="1">
        <v>44463</v>
      </c>
      <c r="B533">
        <v>258.13</v>
      </c>
      <c r="C533">
        <f t="shared" si="89"/>
        <v>2.7534403076273927E-2</v>
      </c>
      <c r="D533">
        <f t="shared" ca="1" si="94"/>
        <v>1.4398473890456433E-3</v>
      </c>
      <c r="E533">
        <f t="shared" ca="1" si="95"/>
        <v>3.3921517578697678E-2</v>
      </c>
      <c r="F533">
        <f t="shared" ca="1" si="96"/>
        <v>0.84159044172085429</v>
      </c>
      <c r="G533">
        <f t="shared" ca="1" si="97"/>
        <v>4.9442798256073868</v>
      </c>
      <c r="H533">
        <f t="shared" ca="1" si="98"/>
        <v>1.012936229007559</v>
      </c>
      <c r="I533">
        <f t="shared" ca="1" si="99"/>
        <v>1.1209385806144392</v>
      </c>
      <c r="K533">
        <f t="shared" si="90"/>
        <v>1.0275344030762739</v>
      </c>
      <c r="L533" s="7">
        <f t="shared" ca="1" si="91"/>
        <v>1.0196197706615893</v>
      </c>
      <c r="M533">
        <f t="shared" ca="1" si="92"/>
        <v>2.0451647304927199</v>
      </c>
      <c r="O533" t="b">
        <f t="shared" ca="1" si="93"/>
        <v>0</v>
      </c>
    </row>
    <row r="534" spans="1:15" x14ac:dyDescent="0.45">
      <c r="A534" s="1">
        <v>44462</v>
      </c>
      <c r="B534">
        <v>251.21299999999999</v>
      </c>
      <c r="C534">
        <f t="shared" si="89"/>
        <v>2.2581558925500902E-3</v>
      </c>
      <c r="D534">
        <f t="shared" ca="1" si="94"/>
        <v>1.3654466900442285E-3</v>
      </c>
      <c r="E534">
        <f t="shared" ca="1" si="95"/>
        <v>3.3880289685678001E-2</v>
      </c>
      <c r="F534">
        <f t="shared" ca="1" si="96"/>
        <v>0.84918599209987244</v>
      </c>
      <c r="G534">
        <f t="shared" ca="1" si="97"/>
        <v>4.9890628004181012</v>
      </c>
      <c r="H534">
        <f t="shared" ca="1" si="98"/>
        <v>1.012936229007559</v>
      </c>
      <c r="I534">
        <f t="shared" ca="1" si="99"/>
        <v>1.1090478838096927</v>
      </c>
      <c r="K534">
        <f t="shared" si="90"/>
        <v>1.0022581558925501</v>
      </c>
      <c r="L534" s="7">
        <f t="shared" ca="1" si="91"/>
        <v>0.99557325724249968</v>
      </c>
      <c r="M534">
        <f t="shared" ca="1" si="92"/>
        <v>2.0214349870944459</v>
      </c>
      <c r="O534" t="b">
        <f t="shared" ca="1" si="93"/>
        <v>1</v>
      </c>
    </row>
    <row r="535" spans="1:15" x14ac:dyDescent="0.45">
      <c r="A535" s="1">
        <v>44461</v>
      </c>
      <c r="B535">
        <v>250.64699999999999</v>
      </c>
      <c r="C535">
        <f t="shared" si="89"/>
        <v>1.6988557981011048E-2</v>
      </c>
      <c r="D535">
        <f t="shared" ca="1" si="94"/>
        <v>1.7107264234019906E-3</v>
      </c>
      <c r="E535">
        <f t="shared" ca="1" si="95"/>
        <v>3.4239410255769806E-2</v>
      </c>
      <c r="F535">
        <f t="shared" ca="1" si="96"/>
        <v>0.83546399954725725</v>
      </c>
      <c r="G535">
        <f t="shared" ca="1" si="97"/>
        <v>4.7124322270745109</v>
      </c>
      <c r="H535">
        <f t="shared" ca="1" si="98"/>
        <v>1.0485071225266571</v>
      </c>
      <c r="I535">
        <f t="shared" ca="1" si="99"/>
        <v>1.1209385806144392</v>
      </c>
      <c r="K535">
        <f t="shared" si="90"/>
        <v>1.016988557981011</v>
      </c>
      <c r="L535" s="7">
        <f t="shared" ca="1" si="91"/>
        <v>0.99485597932865744</v>
      </c>
      <c r="M535">
        <f t="shared" ca="1" si="92"/>
        <v>1.9921432277398772</v>
      </c>
      <c r="O535" t="b">
        <f t="shared" ca="1" si="93"/>
        <v>1</v>
      </c>
    </row>
    <row r="536" spans="1:15" x14ac:dyDescent="0.45">
      <c r="A536" s="1">
        <v>44460</v>
      </c>
      <c r="B536">
        <v>246.46</v>
      </c>
      <c r="C536">
        <f t="shared" si="89"/>
        <v>1.2613500965528665E-2</v>
      </c>
      <c r="D536">
        <f t="shared" ca="1" si="94"/>
        <v>1.6734850182779945E-3</v>
      </c>
      <c r="E536">
        <f t="shared" ca="1" si="95"/>
        <v>3.422675773447776E-2</v>
      </c>
      <c r="F536">
        <f t="shared" ca="1" si="96"/>
        <v>0.83929740472558068</v>
      </c>
      <c r="G536">
        <f t="shared" ca="1" si="97"/>
        <v>4.7274387166328564</v>
      </c>
      <c r="H536">
        <f t="shared" ca="1" si="98"/>
        <v>1.0485071225266571</v>
      </c>
      <c r="I536">
        <f t="shared" ca="1" si="99"/>
        <v>1.1209385806144392</v>
      </c>
      <c r="K536">
        <f t="shared" si="90"/>
        <v>1.0126135009655286</v>
      </c>
      <c r="L536" s="7">
        <f t="shared" ca="1" si="91"/>
        <v>0.99313757490036791</v>
      </c>
      <c r="M536">
        <f t="shared" ca="1" si="92"/>
        <v>1.9851932057956838</v>
      </c>
      <c r="O536" t="b">
        <f t="shared" ca="1" si="93"/>
        <v>1</v>
      </c>
    </row>
    <row r="537" spans="1:15" x14ac:dyDescent="0.45">
      <c r="A537" s="1">
        <v>44459</v>
      </c>
      <c r="B537">
        <v>243.39</v>
      </c>
      <c r="C537">
        <f t="shared" si="89"/>
        <v>-3.8603587412062677E-2</v>
      </c>
      <c r="D537">
        <f t="shared" ca="1" si="94"/>
        <v>1.8262850710827172E-3</v>
      </c>
      <c r="E537">
        <f t="shared" ca="1" si="95"/>
        <v>3.4343858062582472E-2</v>
      </c>
      <c r="F537">
        <f t="shared" ca="1" si="96"/>
        <v>0.82605108880483114</v>
      </c>
      <c r="G537">
        <f t="shared" ca="1" si="97"/>
        <v>4.6178310451595639</v>
      </c>
      <c r="H537">
        <f t="shared" ca="1" si="98"/>
        <v>1.0485071225266571</v>
      </c>
      <c r="I537">
        <f t="shared" ca="1" si="99"/>
        <v>1.1474636167823378</v>
      </c>
      <c r="K537">
        <f t="shared" si="90"/>
        <v>0.96139641258793729</v>
      </c>
      <c r="L537" s="7">
        <f t="shared" ca="1" si="91"/>
        <v>0.98273084423843304</v>
      </c>
      <c r="M537">
        <f t="shared" ca="1" si="92"/>
        <v>1.9372283524516987</v>
      </c>
      <c r="O537" t="b">
        <f t="shared" ca="1" si="93"/>
        <v>1</v>
      </c>
    </row>
    <row r="538" spans="1:15" x14ac:dyDescent="0.45">
      <c r="A538" s="1">
        <v>44456</v>
      </c>
      <c r="B538">
        <v>253.16300000000001</v>
      </c>
      <c r="C538">
        <f t="shared" si="89"/>
        <v>3.3012325129790289E-3</v>
      </c>
      <c r="D538">
        <f t="shared" ca="1" si="94"/>
        <v>1.8830163264274551E-3</v>
      </c>
      <c r="E538">
        <f t="shared" ca="1" si="95"/>
        <v>3.4286060538041702E-2</v>
      </c>
      <c r="F538">
        <f t="shared" ca="1" si="96"/>
        <v>0.83044615840572622</v>
      </c>
      <c r="G538">
        <f t="shared" ca="1" si="97"/>
        <v>4.6566804243647084</v>
      </c>
      <c r="H538">
        <f t="shared" ca="1" si="98"/>
        <v>1.0485071225266571</v>
      </c>
      <c r="I538">
        <f t="shared" ca="1" si="99"/>
        <v>1.1474636167823378</v>
      </c>
      <c r="K538">
        <f t="shared" si="90"/>
        <v>1.0033012325129791</v>
      </c>
      <c r="L538" s="7">
        <f t="shared" ca="1" si="91"/>
        <v>1.0315373864715209</v>
      </c>
      <c r="M538">
        <f t="shared" ca="1" si="92"/>
        <v>1.874440670828974</v>
      </c>
      <c r="O538" t="b">
        <f t="shared" ca="1" si="93"/>
        <v>0</v>
      </c>
    </row>
    <row r="539" spans="1:15" x14ac:dyDescent="0.45">
      <c r="A539" s="1">
        <v>44455</v>
      </c>
      <c r="B539">
        <v>252.33</v>
      </c>
      <c r="C539">
        <f t="shared" si="89"/>
        <v>1.5360617282480578E-3</v>
      </c>
      <c r="D539">
        <f t="shared" ca="1" si="94"/>
        <v>2.0176729545602345E-3</v>
      </c>
      <c r="E539">
        <f t="shared" ca="1" si="95"/>
        <v>3.4344494354354042E-2</v>
      </c>
      <c r="F539">
        <f t="shared" ca="1" si="96"/>
        <v>0.81718789538435521</v>
      </c>
      <c r="G539">
        <f t="shared" ca="1" si="97"/>
        <v>4.5936272764662771</v>
      </c>
      <c r="H539">
        <f t="shared" ca="1" si="98"/>
        <v>1.0485071225266571</v>
      </c>
      <c r="I539">
        <f t="shared" ca="1" si="99"/>
        <v>1.192450184362805</v>
      </c>
      <c r="K539">
        <f t="shared" si="90"/>
        <v>1.0015360617282481</v>
      </c>
      <c r="L539" s="7">
        <f t="shared" ca="1" si="91"/>
        <v>1.0028217152849537</v>
      </c>
      <c r="M539">
        <f t="shared" ca="1" si="92"/>
        <v>1.9417464374019962</v>
      </c>
      <c r="O539" t="b">
        <f t="shared" ca="1" si="93"/>
        <v>0</v>
      </c>
    </row>
    <row r="540" spans="1:15" x14ac:dyDescent="0.45">
      <c r="A540" s="1">
        <v>44454</v>
      </c>
      <c r="B540">
        <v>251.94300000000001</v>
      </c>
      <c r="C540">
        <f t="shared" si="89"/>
        <v>1.5231924178866313E-2</v>
      </c>
      <c r="D540">
        <f t="shared" ca="1" si="94"/>
        <v>1.8549886254942121E-3</v>
      </c>
      <c r="E540">
        <f t="shared" ca="1" si="95"/>
        <v>3.4423756612006251E-2</v>
      </c>
      <c r="F540">
        <f t="shared" ca="1" si="96"/>
        <v>0.82139789493631088</v>
      </c>
      <c r="G540">
        <f t="shared" ca="1" si="97"/>
        <v>4.5435980642446347</v>
      </c>
      <c r="H540">
        <f t="shared" ca="1" si="98"/>
        <v>1.0485071225266571</v>
      </c>
      <c r="I540">
        <f t="shared" ca="1" si="99"/>
        <v>1.0743173261507053</v>
      </c>
      <c r="K540">
        <f t="shared" si="90"/>
        <v>1.0152319241788663</v>
      </c>
      <c r="L540" s="7">
        <f t="shared" ca="1" si="91"/>
        <v>1.002598591269052</v>
      </c>
      <c r="M540">
        <f t="shared" ca="1" si="92"/>
        <v>1.9051604289388235</v>
      </c>
      <c r="O540" t="b">
        <f t="shared" ca="1" si="93"/>
        <v>0</v>
      </c>
    </row>
    <row r="541" spans="1:15" x14ac:dyDescent="0.45">
      <c r="A541" s="1">
        <v>44453</v>
      </c>
      <c r="B541">
        <v>248.16300000000001</v>
      </c>
      <c r="C541">
        <f t="shared" si="89"/>
        <v>2.0026890946311352E-3</v>
      </c>
      <c r="D541">
        <f t="shared" ca="1" si="94"/>
        <v>1.8812682074556344E-3</v>
      </c>
      <c r="E541">
        <f t="shared" ca="1" si="95"/>
        <v>3.4436024105359134E-2</v>
      </c>
      <c r="F541">
        <f t="shared" ca="1" si="96"/>
        <v>0.81871437359507715</v>
      </c>
      <c r="G541">
        <f t="shared" ca="1" si="97"/>
        <v>4.530561769827842</v>
      </c>
      <c r="H541">
        <f t="shared" ca="1" si="98"/>
        <v>1.0485071225266571</v>
      </c>
      <c r="I541">
        <f t="shared" ca="1" si="99"/>
        <v>1.0782400303628423</v>
      </c>
      <c r="K541">
        <f t="shared" si="90"/>
        <v>1.0020026890946312</v>
      </c>
      <c r="L541" s="7">
        <f t="shared" ca="1" si="91"/>
        <v>0.98880357648033868</v>
      </c>
      <c r="M541">
        <f t="shared" ca="1" si="92"/>
        <v>1.8701192673718006</v>
      </c>
      <c r="O541" t="b">
        <f t="shared" ca="1" si="93"/>
        <v>1</v>
      </c>
    </row>
    <row r="542" spans="1:15" x14ac:dyDescent="0.45">
      <c r="A542" s="1">
        <v>44452</v>
      </c>
      <c r="B542">
        <v>247.667</v>
      </c>
      <c r="C542">
        <f t="shared" si="89"/>
        <v>9.1433973180997698E-3</v>
      </c>
      <c r="D542">
        <f t="shared" ca="1" si="94"/>
        <v>2.0388694265100734E-3</v>
      </c>
      <c r="E542">
        <f t="shared" ca="1" si="95"/>
        <v>3.4508634419757177E-2</v>
      </c>
      <c r="F542">
        <f t="shared" ca="1" si="96"/>
        <v>0.80363067258373133</v>
      </c>
      <c r="G542">
        <f t="shared" ca="1" si="97"/>
        <v>4.4555496756226338</v>
      </c>
      <c r="H542">
        <f t="shared" ca="1" si="98"/>
        <v>1.0485071225266571</v>
      </c>
      <c r="I542">
        <f t="shared" ca="1" si="99"/>
        <v>1.0847156631575161</v>
      </c>
      <c r="K542">
        <f t="shared" si="90"/>
        <v>1.0091433973180999</v>
      </c>
      <c r="L542" s="7">
        <f t="shared" ca="1" si="91"/>
        <v>1.0128576861890293</v>
      </c>
      <c r="M542">
        <f t="shared" ca="1" si="92"/>
        <v>1.8159665682610546</v>
      </c>
      <c r="O542" t="b">
        <f t="shared" ca="1" si="93"/>
        <v>0</v>
      </c>
    </row>
    <row r="543" spans="1:15" x14ac:dyDescent="0.45">
      <c r="A543" s="1">
        <v>44449</v>
      </c>
      <c r="B543">
        <v>245.423</v>
      </c>
      <c r="C543">
        <f t="shared" si="89"/>
        <v>-2.4628407916699797E-2</v>
      </c>
      <c r="D543">
        <f t="shared" ca="1" si="94"/>
        <v>2.3144229199425696E-3</v>
      </c>
      <c r="E543">
        <f t="shared" ca="1" si="95"/>
        <v>3.4784577404001947E-2</v>
      </c>
      <c r="F543">
        <f t="shared" ca="1" si="96"/>
        <v>0.78965065839120563</v>
      </c>
      <c r="G543">
        <f t="shared" ca="1" si="97"/>
        <v>4.2474121481114215</v>
      </c>
      <c r="H543">
        <f t="shared" ca="1" si="98"/>
        <v>1.0632083314392033</v>
      </c>
      <c r="I543">
        <f t="shared" ca="1" si="99"/>
        <v>1.1186216027585749</v>
      </c>
      <c r="K543">
        <f t="shared" si="90"/>
        <v>0.97537159208330015</v>
      </c>
      <c r="L543" s="7">
        <f t="shared" ca="1" si="91"/>
        <v>1.0052963584975219</v>
      </c>
      <c r="M543">
        <f t="shared" ca="1" si="92"/>
        <v>1.7551888034046854</v>
      </c>
      <c r="O543" t="b">
        <f t="shared" ca="1" si="93"/>
        <v>0</v>
      </c>
    </row>
    <row r="544" spans="1:15" x14ac:dyDescent="0.45">
      <c r="A544" s="1">
        <v>44448</v>
      </c>
      <c r="B544">
        <v>251.62</v>
      </c>
      <c r="C544">
        <f t="shared" si="89"/>
        <v>1.3132237653707371E-3</v>
      </c>
      <c r="D544">
        <f t="shared" ca="1" si="94"/>
        <v>2.7668174855213011E-3</v>
      </c>
      <c r="E544">
        <f t="shared" ca="1" si="95"/>
        <v>3.5019978767267805E-2</v>
      </c>
      <c r="F544">
        <f t="shared" ca="1" si="96"/>
        <v>0.76730961015598043</v>
      </c>
      <c r="G544">
        <f t="shared" ca="1" si="97"/>
        <v>4.0660961347486602</v>
      </c>
      <c r="H544">
        <f t="shared" ca="1" si="98"/>
        <v>1.1613697905673732</v>
      </c>
      <c r="I544">
        <f t="shared" ca="1" si="99"/>
        <v>1.2915216133253851</v>
      </c>
      <c r="K544">
        <f t="shared" si="90"/>
        <v>1.0013132237653708</v>
      </c>
      <c r="L544" s="7">
        <f t="shared" ca="1" si="91"/>
        <v>1.0282921327192405</v>
      </c>
      <c r="M544">
        <f t="shared" ca="1" si="92"/>
        <v>1.7537583096206486</v>
      </c>
      <c r="O544" t="b">
        <f t="shared" ca="1" si="93"/>
        <v>0</v>
      </c>
    </row>
    <row r="545" spans="1:15" x14ac:dyDescent="0.45">
      <c r="A545" s="1">
        <v>44447</v>
      </c>
      <c r="B545">
        <v>251.29</v>
      </c>
      <c r="C545">
        <f t="shared" si="89"/>
        <v>1.2630840767731144E-3</v>
      </c>
      <c r="D545">
        <f t="shared" ca="1" si="94"/>
        <v>2.6635099307150464E-3</v>
      </c>
      <c r="E545">
        <f t="shared" ca="1" si="95"/>
        <v>3.505474642156093E-2</v>
      </c>
      <c r="F545">
        <f t="shared" ca="1" si="96"/>
        <v>0.77268509817983955</v>
      </c>
      <c r="G545">
        <f t="shared" ca="1" si="97"/>
        <v>4.047983742274484</v>
      </c>
      <c r="H545">
        <f t="shared" ca="1" si="98"/>
        <v>1.1613697905673732</v>
      </c>
      <c r="I545">
        <f t="shared" ca="1" si="99"/>
        <v>1.1662847722537746</v>
      </c>
      <c r="K545">
        <f t="shared" si="90"/>
        <v>1.0012630840767731</v>
      </c>
      <c r="L545" s="7">
        <f t="shared" ca="1" si="91"/>
        <v>1.0246697113032133</v>
      </c>
      <c r="M545">
        <f t="shared" ca="1" si="92"/>
        <v>1.759481085487395</v>
      </c>
      <c r="O545" t="b">
        <f t="shared" ca="1" si="93"/>
        <v>0</v>
      </c>
    </row>
    <row r="546" spans="1:15" x14ac:dyDescent="0.45">
      <c r="A546" s="1">
        <v>44446</v>
      </c>
      <c r="B546">
        <v>250.97300000000001</v>
      </c>
      <c r="C546">
        <f t="shared" si="89"/>
        <v>2.6377886742760464E-2</v>
      </c>
      <c r="D546">
        <f t="shared" ca="1" si="94"/>
        <v>2.7869621615058708E-3</v>
      </c>
      <c r="E546">
        <f t="shared" ca="1" si="95"/>
        <v>3.5093244768776392E-2</v>
      </c>
      <c r="F546">
        <f t="shared" ca="1" si="96"/>
        <v>0.76096879978346454</v>
      </c>
      <c r="G546">
        <f t="shared" ca="1" si="97"/>
        <v>4.0069095885193979</v>
      </c>
      <c r="H546">
        <f t="shared" ca="1" si="98"/>
        <v>1.1613697905673732</v>
      </c>
      <c r="I546">
        <f t="shared" ca="1" si="99"/>
        <v>1.1693947825480651</v>
      </c>
      <c r="K546">
        <f t="shared" si="90"/>
        <v>1.0263778867427604</v>
      </c>
      <c r="L546" s="7">
        <f t="shared" ca="1" si="91"/>
        <v>1.0301103691147078</v>
      </c>
      <c r="M546">
        <f t="shared" ca="1" si="92"/>
        <v>1.7799436945989728</v>
      </c>
      <c r="O546" t="b">
        <f t="shared" ca="1" si="93"/>
        <v>0</v>
      </c>
    </row>
    <row r="547" spans="1:15" x14ac:dyDescent="0.45">
      <c r="A547" s="1">
        <v>44442</v>
      </c>
      <c r="B547">
        <v>244.523</v>
      </c>
      <c r="C547">
        <f t="shared" si="89"/>
        <v>1.609798058411505E-3</v>
      </c>
      <c r="D547">
        <f t="shared" ca="1" si="94"/>
        <v>3.1649128805063468E-3</v>
      </c>
      <c r="E547">
        <f t="shared" ca="1" si="95"/>
        <v>3.5749506311755712E-2</v>
      </c>
      <c r="F547">
        <f t="shared" ca="1" si="96"/>
        <v>0.79471851545623307</v>
      </c>
      <c r="G547">
        <f t="shared" ca="1" si="97"/>
        <v>3.7739776999544015</v>
      </c>
      <c r="H547">
        <f t="shared" ca="1" si="98"/>
        <v>1.1879604073756056</v>
      </c>
      <c r="I547">
        <f t="shared" ca="1" si="99"/>
        <v>1.1693947825480651</v>
      </c>
      <c r="K547">
        <f t="shared" si="90"/>
        <v>1.0016097980584115</v>
      </c>
      <c r="L547" s="7">
        <f t="shared" ca="1" si="91"/>
        <v>1.0304078682887572</v>
      </c>
      <c r="M547">
        <f t="shared" ca="1" si="92"/>
        <v>1.7888963272166625</v>
      </c>
      <c r="O547" t="b">
        <f t="shared" ca="1" si="93"/>
        <v>0</v>
      </c>
    </row>
    <row r="548" spans="1:15" x14ac:dyDescent="0.45">
      <c r="A548" s="1">
        <v>44441</v>
      </c>
      <c r="B548">
        <v>244.13</v>
      </c>
      <c r="C548">
        <f t="shared" si="89"/>
        <v>-2.3171514158326716E-3</v>
      </c>
      <c r="D548">
        <f t="shared" ca="1" si="94"/>
        <v>3.5675453575376736E-3</v>
      </c>
      <c r="E548">
        <f t="shared" ca="1" si="95"/>
        <v>3.6182747429112185E-2</v>
      </c>
      <c r="F548">
        <f t="shared" ca="1" si="96"/>
        <v>0.78556392475692671</v>
      </c>
      <c r="G548">
        <f t="shared" ca="1" si="97"/>
        <v>3.5342463152623838</v>
      </c>
      <c r="H548">
        <f t="shared" ca="1" si="98"/>
        <v>1.2307349110223373</v>
      </c>
      <c r="I548">
        <f t="shared" ca="1" si="99"/>
        <v>1.1854521605606365</v>
      </c>
      <c r="K548">
        <f t="shared" si="90"/>
        <v>0.99768284858416734</v>
      </c>
      <c r="L548" s="7">
        <f t="shared" ca="1" si="91"/>
        <v>1.0445404757829884</v>
      </c>
      <c r="M548">
        <f t="shared" ca="1" si="92"/>
        <v>1.8181901004450709</v>
      </c>
      <c r="O548" t="b">
        <f t="shared" ca="1" si="93"/>
        <v>0</v>
      </c>
    </row>
    <row r="549" spans="1:15" x14ac:dyDescent="0.45">
      <c r="A549" s="1">
        <v>44440</v>
      </c>
      <c r="B549">
        <v>244.697</v>
      </c>
      <c r="C549">
        <f t="shared" si="89"/>
        <v>-2.2141575599413077E-3</v>
      </c>
      <c r="D549">
        <f t="shared" ca="1" si="94"/>
        <v>3.5741005271764147E-3</v>
      </c>
      <c r="E549">
        <f t="shared" ca="1" si="95"/>
        <v>3.618179469715635E-2</v>
      </c>
      <c r="F549">
        <f t="shared" ca="1" si="96"/>
        <v>0.78508855823896762</v>
      </c>
      <c r="G549">
        <f t="shared" ca="1" si="97"/>
        <v>3.5343563919750167</v>
      </c>
      <c r="H549">
        <f t="shared" ca="1" si="98"/>
        <v>1.2307349110223373</v>
      </c>
      <c r="I549">
        <f t="shared" ca="1" si="99"/>
        <v>1.1854521605606365</v>
      </c>
      <c r="K549">
        <f t="shared" si="90"/>
        <v>0.99778584244005875</v>
      </c>
      <c r="L549" s="7">
        <f t="shared" ca="1" si="91"/>
        <v>1.0321849941155878</v>
      </c>
      <c r="M549">
        <f t="shared" ca="1" si="92"/>
        <v>1.8146415306315045</v>
      </c>
      <c r="O549" t="b">
        <f t="shared" ca="1" si="93"/>
        <v>0</v>
      </c>
    </row>
    <row r="550" spans="1:15" x14ac:dyDescent="0.45">
      <c r="A550" s="1">
        <v>44439</v>
      </c>
      <c r="B550">
        <v>245.24</v>
      </c>
      <c r="C550">
        <f t="shared" si="89"/>
        <v>6.5794604267825031E-3</v>
      </c>
      <c r="D550">
        <f t="shared" ca="1" si="94"/>
        <v>3.5456093381887295E-3</v>
      </c>
      <c r="E550">
        <f t="shared" ca="1" si="95"/>
        <v>3.6188618420962153E-2</v>
      </c>
      <c r="F550">
        <f t="shared" ca="1" si="96"/>
        <v>0.78688873728275921</v>
      </c>
      <c r="G550">
        <f t="shared" ca="1" si="97"/>
        <v>3.5319685281986315</v>
      </c>
      <c r="H550">
        <f t="shared" ca="1" si="98"/>
        <v>1.2307349110223373</v>
      </c>
      <c r="I550">
        <f t="shared" ca="1" si="99"/>
        <v>1.1854521605606365</v>
      </c>
      <c r="K550">
        <f t="shared" si="90"/>
        <v>1.0065794604267826</v>
      </c>
      <c r="L550" s="7">
        <f t="shared" ca="1" si="91"/>
        <v>1.0384353179795311</v>
      </c>
      <c r="M550">
        <f t="shared" ca="1" si="92"/>
        <v>1.8360229739838747</v>
      </c>
      <c r="O550" t="b">
        <f t="shared" ca="1" si="93"/>
        <v>0</v>
      </c>
    </row>
    <row r="551" spans="1:15" x14ac:dyDescent="0.45">
      <c r="A551" s="1">
        <v>44438</v>
      </c>
      <c r="B551">
        <v>243.637</v>
      </c>
      <c r="C551">
        <f t="shared" si="89"/>
        <v>2.6674307963945491E-2</v>
      </c>
      <c r="D551">
        <f t="shared" ca="1" si="94"/>
        <v>3.4483434594274418E-3</v>
      </c>
      <c r="E551">
        <f t="shared" ca="1" si="95"/>
        <v>3.6206561385159763E-2</v>
      </c>
      <c r="F551">
        <f t="shared" ca="1" si="96"/>
        <v>0.79338373743332391</v>
      </c>
      <c r="G551">
        <f t="shared" ca="1" si="97"/>
        <v>3.527811949409962</v>
      </c>
      <c r="H551">
        <f t="shared" ca="1" si="98"/>
        <v>1.2307349110223373</v>
      </c>
      <c r="I551">
        <f t="shared" ca="1" si="99"/>
        <v>1.1854521605606365</v>
      </c>
      <c r="K551">
        <f t="shared" si="90"/>
        <v>1.0266743079639455</v>
      </c>
      <c r="L551" s="7">
        <f t="shared" ca="1" si="91"/>
        <v>1.0348464318935753</v>
      </c>
      <c r="M551">
        <f t="shared" ca="1" si="92"/>
        <v>1.7849728859604985</v>
      </c>
      <c r="O551" t="b">
        <f t="shared" ca="1" si="93"/>
        <v>0</v>
      </c>
    </row>
    <row r="552" spans="1:15" x14ac:dyDescent="0.45">
      <c r="A552" s="1">
        <v>44435</v>
      </c>
      <c r="B552">
        <v>237.30699999999999</v>
      </c>
      <c r="C552">
        <f t="shared" si="89"/>
        <v>1.534742426835525E-2</v>
      </c>
      <c r="D552">
        <f t="shared" ca="1" si="94"/>
        <v>3.3974358964476187E-3</v>
      </c>
      <c r="E552">
        <f t="shared" ca="1" si="95"/>
        <v>3.6180889508703892E-2</v>
      </c>
      <c r="F552">
        <f t="shared" ca="1" si="96"/>
        <v>0.79823260765584347</v>
      </c>
      <c r="G552">
        <f t="shared" ca="1" si="97"/>
        <v>3.5502682947882063</v>
      </c>
      <c r="H552">
        <f t="shared" ca="1" si="98"/>
        <v>1.2307349110223373</v>
      </c>
      <c r="I552">
        <f t="shared" ca="1" si="99"/>
        <v>1.1693947825480651</v>
      </c>
      <c r="K552">
        <f t="shared" si="90"/>
        <v>1.0153474242683553</v>
      </c>
      <c r="L552" s="7">
        <f t="shared" ca="1" si="91"/>
        <v>1.0465440369035914</v>
      </c>
      <c r="M552">
        <f t="shared" ca="1" si="92"/>
        <v>1.8429457880809772</v>
      </c>
      <c r="O552" t="b">
        <f t="shared" ca="1" si="93"/>
        <v>0</v>
      </c>
    </row>
    <row r="553" spans="1:15" x14ac:dyDescent="0.45">
      <c r="A553" s="1">
        <v>44434</v>
      </c>
      <c r="B553">
        <v>233.72</v>
      </c>
      <c r="C553">
        <f t="shared" si="89"/>
        <v>-1.4118371599590025E-2</v>
      </c>
      <c r="D553">
        <f t="shared" ca="1" si="94"/>
        <v>3.1913368608486141E-3</v>
      </c>
      <c r="E553">
        <f t="shared" ca="1" si="95"/>
        <v>3.6229844236549111E-2</v>
      </c>
      <c r="F553">
        <f t="shared" ca="1" si="96"/>
        <v>0.80938105404079908</v>
      </c>
      <c r="G553">
        <f t="shared" ca="1" si="97"/>
        <v>3.535425516798699</v>
      </c>
      <c r="H553">
        <f t="shared" ca="1" si="98"/>
        <v>1.2307349110223373</v>
      </c>
      <c r="I553">
        <f t="shared" ca="1" si="99"/>
        <v>1.1430168926466262</v>
      </c>
      <c r="K553">
        <f t="shared" si="90"/>
        <v>0.98588162840040994</v>
      </c>
      <c r="L553" s="7">
        <f t="shared" ca="1" si="91"/>
        <v>1.0411154171678025</v>
      </c>
      <c r="M553">
        <f t="shared" ca="1" si="92"/>
        <v>1.7716299909236044</v>
      </c>
      <c r="O553" t="b">
        <f t="shared" ca="1" si="93"/>
        <v>0</v>
      </c>
    </row>
    <row r="554" spans="1:15" x14ac:dyDescent="0.45">
      <c r="A554" s="1">
        <v>44433</v>
      </c>
      <c r="B554">
        <v>237.06700000000001</v>
      </c>
      <c r="C554">
        <f t="shared" si="89"/>
        <v>3.8278646528033446E-3</v>
      </c>
      <c r="D554">
        <f t="shared" ca="1" si="94"/>
        <v>3.1608590620717221E-3</v>
      </c>
      <c r="E554">
        <f t="shared" ca="1" si="95"/>
        <v>3.6247038753527347E-2</v>
      </c>
      <c r="F554">
        <f t="shared" ca="1" si="96"/>
        <v>0.80996396286672301</v>
      </c>
      <c r="G554">
        <f t="shared" ca="1" si="97"/>
        <v>3.5263528412074843</v>
      </c>
      <c r="H554">
        <f t="shared" ca="1" si="98"/>
        <v>1.2307349110223373</v>
      </c>
      <c r="I554">
        <f t="shared" ca="1" si="99"/>
        <v>1.1253336032416006</v>
      </c>
      <c r="K554">
        <f t="shared" si="90"/>
        <v>1.0038278646528034</v>
      </c>
      <c r="L554" s="7">
        <f t="shared" ca="1" si="91"/>
        <v>1.032238540818504</v>
      </c>
      <c r="M554">
        <f t="shared" ca="1" si="92"/>
        <v>1.732478732750963</v>
      </c>
      <c r="O554" t="b">
        <f t="shared" ca="1" si="93"/>
        <v>0</v>
      </c>
    </row>
    <row r="555" spans="1:15" x14ac:dyDescent="0.45">
      <c r="A555" s="1">
        <v>44432</v>
      </c>
      <c r="B555">
        <v>236.16300000000001</v>
      </c>
      <c r="C555">
        <f t="shared" si="89"/>
        <v>3.1006698296331364E-3</v>
      </c>
      <c r="D555">
        <f t="shared" ca="1" si="94"/>
        <v>3.0488278672744585E-3</v>
      </c>
      <c r="E555">
        <f t="shared" ca="1" si="95"/>
        <v>3.6279578473920306E-2</v>
      </c>
      <c r="F555">
        <f t="shared" ca="1" si="96"/>
        <v>0.81605198299338999</v>
      </c>
      <c r="G555">
        <f t="shared" ca="1" si="97"/>
        <v>3.5136992576494839</v>
      </c>
      <c r="H555">
        <f t="shared" ca="1" si="98"/>
        <v>1.2307349110223373</v>
      </c>
      <c r="I555">
        <f t="shared" ca="1" si="99"/>
        <v>1.1253336032416006</v>
      </c>
      <c r="K555">
        <f t="shared" si="90"/>
        <v>1.0031006698296332</v>
      </c>
      <c r="L555" s="7">
        <f t="shared" ca="1" si="91"/>
        <v>1.0642623128123552</v>
      </c>
      <c r="M555">
        <f t="shared" ca="1" si="92"/>
        <v>1.7163639841341403</v>
      </c>
      <c r="O555" t="b">
        <f t="shared" ca="1" si="93"/>
        <v>0</v>
      </c>
    </row>
    <row r="556" spans="1:15" x14ac:dyDescent="0.45">
      <c r="A556" s="1">
        <v>44431</v>
      </c>
      <c r="B556">
        <v>235.43299999999999</v>
      </c>
      <c r="C556">
        <f t="shared" si="89"/>
        <v>3.8279537646690481E-2</v>
      </c>
      <c r="D556">
        <f t="shared" ca="1" si="94"/>
        <v>3.2365284631974485E-3</v>
      </c>
      <c r="E556">
        <f t="shared" ca="1" si="95"/>
        <v>3.6376828838127484E-2</v>
      </c>
      <c r="F556">
        <f t="shared" ca="1" si="96"/>
        <v>0.79949007440086906</v>
      </c>
      <c r="G556">
        <f t="shared" ca="1" si="97"/>
        <v>3.4327409583210668</v>
      </c>
      <c r="H556">
        <f t="shared" ca="1" si="98"/>
        <v>1.2307349110223373</v>
      </c>
      <c r="I556">
        <f t="shared" ca="1" si="99"/>
        <v>1.1407859614419049</v>
      </c>
      <c r="K556">
        <f t="shared" si="90"/>
        <v>1.0382795376466905</v>
      </c>
      <c r="L556" s="7">
        <f t="shared" ca="1" si="91"/>
        <v>1.0293367960371278</v>
      </c>
      <c r="M556">
        <f t="shared" ca="1" si="92"/>
        <v>1.6862235131069996</v>
      </c>
      <c r="O556" t="b">
        <f t="shared" ca="1" si="93"/>
        <v>0</v>
      </c>
    </row>
    <row r="557" spans="1:15" x14ac:dyDescent="0.45">
      <c r="A557" s="1">
        <v>44428</v>
      </c>
      <c r="B557">
        <v>226.75299999999999</v>
      </c>
      <c r="C557">
        <f t="shared" si="89"/>
        <v>1.0080627199429716E-2</v>
      </c>
      <c r="D557">
        <f t="shared" ca="1" si="94"/>
        <v>3.010700484801222E-3</v>
      </c>
      <c r="E557">
        <f t="shared" ca="1" si="95"/>
        <v>3.6298297660495076E-2</v>
      </c>
      <c r="F557">
        <f t="shared" ca="1" si="96"/>
        <v>0.81886614510992595</v>
      </c>
      <c r="G557">
        <f t="shared" ca="1" si="97"/>
        <v>3.5050730161367643</v>
      </c>
      <c r="H557">
        <f t="shared" ca="1" si="98"/>
        <v>1.2307349110223373</v>
      </c>
      <c r="I557">
        <f t="shared" ca="1" si="99"/>
        <v>1.1253336032416006</v>
      </c>
      <c r="K557">
        <f t="shared" si="90"/>
        <v>1.0100806271994298</v>
      </c>
      <c r="L557" s="7">
        <f t="shared" ca="1" si="91"/>
        <v>0.94853110346068081</v>
      </c>
      <c r="M557">
        <f t="shared" ca="1" si="92"/>
        <v>1.6862564128555082</v>
      </c>
      <c r="O557" t="b">
        <f t="shared" ca="1" si="93"/>
        <v>1</v>
      </c>
    </row>
    <row r="558" spans="1:15" x14ac:dyDescent="0.45">
      <c r="A558" s="1">
        <v>44427</v>
      </c>
      <c r="B558">
        <v>224.49</v>
      </c>
      <c r="C558">
        <f t="shared" si="89"/>
        <v>-2.2524307354689268E-2</v>
      </c>
      <c r="D558">
        <f t="shared" ca="1" si="94"/>
        <v>3.252313258558911E-3</v>
      </c>
      <c r="E558">
        <f t="shared" ca="1" si="95"/>
        <v>3.6505825513615073E-2</v>
      </c>
      <c r="F558">
        <f t="shared" ca="1" si="96"/>
        <v>0.80261982006401811</v>
      </c>
      <c r="G558">
        <f t="shared" ca="1" si="97"/>
        <v>3.3628733383108296</v>
      </c>
      <c r="H558">
        <f t="shared" ca="1" si="98"/>
        <v>1.2307349110223373</v>
      </c>
      <c r="I558">
        <f t="shared" ca="1" si="99"/>
        <v>1.1407859614419049</v>
      </c>
      <c r="K558">
        <f t="shared" si="90"/>
        <v>0.97747569264531076</v>
      </c>
      <c r="L558" s="7">
        <f t="shared" ca="1" si="91"/>
        <v>0.93246105919003131</v>
      </c>
      <c r="M558">
        <f t="shared" ca="1" si="92"/>
        <v>1.6657203987556981</v>
      </c>
      <c r="O558" t="b">
        <f t="shared" ca="1" si="93"/>
        <v>1</v>
      </c>
    </row>
    <row r="559" spans="1:15" x14ac:dyDescent="0.45">
      <c r="A559" s="1">
        <v>44426</v>
      </c>
      <c r="B559">
        <v>229.66300000000001</v>
      </c>
      <c r="C559">
        <f t="shared" si="89"/>
        <v>3.4970234742207271E-2</v>
      </c>
      <c r="D559">
        <f t="shared" ca="1" si="94"/>
        <v>3.5255879221926622E-3</v>
      </c>
      <c r="E559">
        <f t="shared" ca="1" si="95"/>
        <v>3.6516463618262926E-2</v>
      </c>
      <c r="F559">
        <f t="shared" ca="1" si="96"/>
        <v>0.78353640758945875</v>
      </c>
      <c r="G559">
        <f t="shared" ca="1" si="97"/>
        <v>3.331871249982802</v>
      </c>
      <c r="H559">
        <f t="shared" ca="1" si="98"/>
        <v>1.2307349110223373</v>
      </c>
      <c r="I559">
        <f t="shared" ca="1" si="99"/>
        <v>1.2013728840541673</v>
      </c>
      <c r="K559">
        <f t="shared" si="90"/>
        <v>1.0349702347422072</v>
      </c>
      <c r="L559" s="7">
        <f t="shared" ca="1" si="91"/>
        <v>0.97339577858777648</v>
      </c>
      <c r="M559">
        <f t="shared" ca="1" si="92"/>
        <v>1.694170610050965</v>
      </c>
      <c r="O559" t="b">
        <f t="shared" ca="1" si="93"/>
        <v>1</v>
      </c>
    </row>
    <row r="560" spans="1:15" x14ac:dyDescent="0.45">
      <c r="A560" s="1">
        <v>44425</v>
      </c>
      <c r="B560">
        <v>221.90299999999999</v>
      </c>
      <c r="C560">
        <f t="shared" si="89"/>
        <v>-2.9817727119703839E-2</v>
      </c>
      <c r="D560">
        <f t="shared" ca="1" si="94"/>
        <v>3.0733950807804661E-3</v>
      </c>
      <c r="E560">
        <f t="shared" ca="1" si="95"/>
        <v>3.6684694287898251E-2</v>
      </c>
      <c r="F560">
        <f t="shared" ca="1" si="96"/>
        <v>0.78585485162785684</v>
      </c>
      <c r="G560">
        <f t="shared" ca="1" si="97"/>
        <v>3.2861209365172046</v>
      </c>
      <c r="H560">
        <f t="shared" ca="1" si="98"/>
        <v>1.1765352218354488</v>
      </c>
      <c r="I560">
        <f t="shared" ca="1" si="99"/>
        <v>1.1407859614419049</v>
      </c>
      <c r="K560">
        <f t="shared" si="90"/>
        <v>0.97018227288029613</v>
      </c>
      <c r="L560" s="7">
        <f t="shared" ca="1" si="91"/>
        <v>0.93763283656507335</v>
      </c>
      <c r="M560">
        <f t="shared" ca="1" si="92"/>
        <v>1.7028353263090352</v>
      </c>
      <c r="O560" t="b">
        <f t="shared" ca="1" si="93"/>
        <v>1</v>
      </c>
    </row>
    <row r="561" spans="1:15" x14ac:dyDescent="0.45">
      <c r="A561" s="1">
        <v>44424</v>
      </c>
      <c r="B561">
        <v>228.72300000000001</v>
      </c>
      <c r="C561">
        <f t="shared" si="89"/>
        <v>-4.3228184073254391E-2</v>
      </c>
      <c r="D561">
        <f t="shared" ca="1" si="94"/>
        <v>3.281704937008511E-3</v>
      </c>
      <c r="E561">
        <f t="shared" ca="1" si="95"/>
        <v>3.66152078324741E-2</v>
      </c>
      <c r="F561">
        <f t="shared" ca="1" si="96"/>
        <v>0.77684639101354114</v>
      </c>
      <c r="G561">
        <f t="shared" ca="1" si="97"/>
        <v>3.3127305766830597</v>
      </c>
      <c r="H561">
        <f t="shared" ca="1" si="98"/>
        <v>1.1765352218354488</v>
      </c>
      <c r="I561">
        <f t="shared" ca="1" si="99"/>
        <v>1.158712066418472</v>
      </c>
      <c r="K561">
        <f t="shared" si="90"/>
        <v>0.95677181592674565</v>
      </c>
      <c r="L561" s="7">
        <f t="shared" ca="1" si="91"/>
        <v>0.96134414929388046</v>
      </c>
      <c r="M561">
        <f t="shared" ca="1" si="92"/>
        <v>1.6880218064323804</v>
      </c>
      <c r="O561" t="b">
        <f t="shared" ca="1" si="93"/>
        <v>1</v>
      </c>
    </row>
    <row r="562" spans="1:15" x14ac:dyDescent="0.45">
      <c r="A562" s="1">
        <v>44421</v>
      </c>
      <c r="B562">
        <v>239.05699999999999</v>
      </c>
      <c r="C562">
        <f t="shared" si="89"/>
        <v>-7.032191069574297E-3</v>
      </c>
      <c r="D562">
        <f t="shared" ca="1" si="94"/>
        <v>3.2781510283270286E-3</v>
      </c>
      <c r="E562">
        <f t="shared" ca="1" si="95"/>
        <v>3.6619779022960007E-2</v>
      </c>
      <c r="F562">
        <f t="shared" ca="1" si="96"/>
        <v>0.77636549974655278</v>
      </c>
      <c r="G562">
        <f t="shared" ca="1" si="97"/>
        <v>3.3107065868951846</v>
      </c>
      <c r="H562">
        <f t="shared" ca="1" si="98"/>
        <v>1.1765352218354488</v>
      </c>
      <c r="I562">
        <f t="shared" ca="1" si="99"/>
        <v>1.158712066418472</v>
      </c>
      <c r="K562">
        <f t="shared" si="90"/>
        <v>0.99296780893042569</v>
      </c>
      <c r="L562" s="7">
        <f t="shared" ca="1" si="91"/>
        <v>1.0258504160354971</v>
      </c>
      <c r="M562">
        <f t="shared" ca="1" si="92"/>
        <v>1.7145720079145814</v>
      </c>
      <c r="O562" t="b">
        <f t="shared" ca="1" si="93"/>
        <v>0</v>
      </c>
    </row>
    <row r="563" spans="1:15" x14ac:dyDescent="0.45">
      <c r="A563" s="1">
        <v>44420</v>
      </c>
      <c r="B563">
        <v>240.75</v>
      </c>
      <c r="C563">
        <f t="shared" si="89"/>
        <v>2.0386538950580665E-2</v>
      </c>
      <c r="D563">
        <f t="shared" ca="1" si="94"/>
        <v>3.3656700600955642E-3</v>
      </c>
      <c r="E563">
        <f t="shared" ca="1" si="95"/>
        <v>3.6615930422477114E-2</v>
      </c>
      <c r="F563">
        <f t="shared" ca="1" si="96"/>
        <v>0.76951912735360217</v>
      </c>
      <c r="G563">
        <f t="shared" ca="1" si="97"/>
        <v>3.3058127098377836</v>
      </c>
      <c r="H563">
        <f t="shared" ca="1" si="98"/>
        <v>1.1765352218354488</v>
      </c>
      <c r="I563">
        <f t="shared" ca="1" si="99"/>
        <v>1.158712066418472</v>
      </c>
      <c r="K563">
        <f t="shared" si="90"/>
        <v>1.0203865389505806</v>
      </c>
      <c r="L563" s="7">
        <f t="shared" ca="1" si="91"/>
        <v>1.0106628605012382</v>
      </c>
      <c r="M563">
        <f t="shared" ca="1" si="92"/>
        <v>1.7139075900901179</v>
      </c>
      <c r="O563" t="b">
        <f t="shared" ca="1" si="93"/>
        <v>0</v>
      </c>
    </row>
    <row r="564" spans="1:15" x14ac:dyDescent="0.45">
      <c r="A564" s="1">
        <v>44419</v>
      </c>
      <c r="B564">
        <v>235.94</v>
      </c>
      <c r="C564">
        <f t="shared" si="89"/>
        <v>-3.054976908092998E-3</v>
      </c>
      <c r="D564">
        <f t="shared" ca="1" si="94"/>
        <v>3.2595650523835279E-3</v>
      </c>
      <c r="E564">
        <f t="shared" ca="1" si="95"/>
        <v>3.6597101874851094E-2</v>
      </c>
      <c r="F564">
        <f t="shared" ca="1" si="96"/>
        <v>0.77897483633009013</v>
      </c>
      <c r="G564">
        <f t="shared" ca="1" si="97"/>
        <v>3.3278177594058844</v>
      </c>
      <c r="H564">
        <f t="shared" ca="1" si="98"/>
        <v>1.1765352218354488</v>
      </c>
      <c r="I564">
        <f t="shared" ca="1" si="99"/>
        <v>1.158712066418472</v>
      </c>
      <c r="K564">
        <f t="shared" si="90"/>
        <v>0.99694502309190702</v>
      </c>
      <c r="L564" s="7">
        <f t="shared" ca="1" si="91"/>
        <v>0.99564085359935506</v>
      </c>
      <c r="M564">
        <f t="shared" ca="1" si="92"/>
        <v>1.7309809831957774</v>
      </c>
      <c r="O564" t="b">
        <f t="shared" ca="1" si="93"/>
        <v>1</v>
      </c>
    </row>
    <row r="565" spans="1:15" x14ac:dyDescent="0.45">
      <c r="A565" s="1">
        <v>44418</v>
      </c>
      <c r="B565">
        <v>236.66300000000001</v>
      </c>
      <c r="C565">
        <f t="shared" si="89"/>
        <v>-5.2832885003361489E-3</v>
      </c>
      <c r="D565">
        <f t="shared" ca="1" si="94"/>
        <v>3.2142466867302361E-3</v>
      </c>
      <c r="E565">
        <f t="shared" ca="1" si="95"/>
        <v>3.6610569812032069E-2</v>
      </c>
      <c r="F565">
        <f t="shared" ca="1" si="96"/>
        <v>0.78151638005869062</v>
      </c>
      <c r="G565">
        <f t="shared" ca="1" si="97"/>
        <v>3.3225396705828123</v>
      </c>
      <c r="H565">
        <f t="shared" ca="1" si="98"/>
        <v>1.1765352218354488</v>
      </c>
      <c r="I565">
        <f t="shared" ca="1" si="99"/>
        <v>1.158712066418472</v>
      </c>
      <c r="K565">
        <f t="shared" si="90"/>
        <v>0.9947167114996639</v>
      </c>
      <c r="L565" s="7">
        <f t="shared" ca="1" si="91"/>
        <v>1.0003508326992983</v>
      </c>
      <c r="M565">
        <f t="shared" ca="1" si="92"/>
        <v>1.7397017136686794</v>
      </c>
      <c r="O565" t="b">
        <f t="shared" ca="1" si="93"/>
        <v>0</v>
      </c>
    </row>
    <row r="566" spans="1:15" x14ac:dyDescent="0.45">
      <c r="A566" s="1">
        <v>44417</v>
      </c>
      <c r="B566">
        <v>237.92</v>
      </c>
      <c r="C566">
        <f t="shared" si="89"/>
        <v>2.097127874592869E-2</v>
      </c>
      <c r="D566">
        <f t="shared" ca="1" si="94"/>
        <v>3.2779288873239104E-3</v>
      </c>
      <c r="E566">
        <f t="shared" ca="1" si="95"/>
        <v>3.6606791506563909E-2</v>
      </c>
      <c r="F566">
        <f t="shared" ca="1" si="96"/>
        <v>0.7765581592713231</v>
      </c>
      <c r="G566">
        <f t="shared" ca="1" si="97"/>
        <v>3.3196230211940554</v>
      </c>
      <c r="H566">
        <f t="shared" ca="1" si="98"/>
        <v>1.1765352218354488</v>
      </c>
      <c r="I566">
        <f t="shared" ca="1" si="99"/>
        <v>1.158712066418472</v>
      </c>
      <c r="K566">
        <f t="shared" si="90"/>
        <v>1.0209712787459286</v>
      </c>
      <c r="L566" s="7">
        <f t="shared" ca="1" si="91"/>
        <v>1.0057618248455975</v>
      </c>
      <c r="M566">
        <f t="shared" ca="1" si="92"/>
        <v>1.7580170772770818</v>
      </c>
      <c r="O566" t="b">
        <f t="shared" ca="1" si="93"/>
        <v>0</v>
      </c>
    </row>
    <row r="567" spans="1:15" x14ac:dyDescent="0.45">
      <c r="A567" s="1">
        <v>44414</v>
      </c>
      <c r="B567">
        <v>233.03299999999999</v>
      </c>
      <c r="C567">
        <f t="shared" si="89"/>
        <v>-2.1732924730280091E-2</v>
      </c>
      <c r="D567">
        <f t="shared" ca="1" si="94"/>
        <v>3.1813556421861323E-3</v>
      </c>
      <c r="E567">
        <f t="shared" ca="1" si="95"/>
        <v>3.6585350639391931E-2</v>
      </c>
      <c r="F567">
        <f t="shared" ca="1" si="96"/>
        <v>0.78534869978565813</v>
      </c>
      <c r="G567">
        <f t="shared" ca="1" si="97"/>
        <v>3.3426921396179079</v>
      </c>
      <c r="H567">
        <f t="shared" ca="1" si="98"/>
        <v>1.1765352218354488</v>
      </c>
      <c r="I567">
        <f t="shared" ca="1" si="99"/>
        <v>1.158712066418472</v>
      </c>
      <c r="K567">
        <f t="shared" si="90"/>
        <v>0.9782670752697199</v>
      </c>
      <c r="L567" s="7">
        <f t="shared" ca="1" si="91"/>
        <v>1.0173137117088011</v>
      </c>
      <c r="M567">
        <f t="shared" ca="1" si="92"/>
        <v>1.7578401517714597</v>
      </c>
      <c r="O567" t="b">
        <f t="shared" ca="1" si="93"/>
        <v>0</v>
      </c>
    </row>
    <row r="568" spans="1:15" x14ac:dyDescent="0.45">
      <c r="A568" s="1">
        <v>44413</v>
      </c>
      <c r="B568">
        <v>238.21</v>
      </c>
      <c r="C568">
        <f t="shared" si="89"/>
        <v>5.2200039666966055E-3</v>
      </c>
      <c r="D568">
        <f t="shared" ca="1" si="94"/>
        <v>3.186858926097959E-3</v>
      </c>
      <c r="E568">
        <f t="shared" ca="1" si="95"/>
        <v>3.6581666718778272E-2</v>
      </c>
      <c r="F568">
        <f t="shared" ca="1" si="96"/>
        <v>0.78533337886082533</v>
      </c>
      <c r="G568">
        <f t="shared" ca="1" si="97"/>
        <v>3.3445993563466923</v>
      </c>
      <c r="H568">
        <f t="shared" ca="1" si="98"/>
        <v>1.1765352218354488</v>
      </c>
      <c r="I568">
        <f t="shared" ca="1" si="99"/>
        <v>1.158712066418472</v>
      </c>
      <c r="K568">
        <f t="shared" si="90"/>
        <v>1.0052200039666965</v>
      </c>
      <c r="L568" s="7">
        <f t="shared" ca="1" si="91"/>
        <v>1.0550395733956941</v>
      </c>
      <c r="M568">
        <f t="shared" ca="1" si="92"/>
        <v>1.7644626341006653</v>
      </c>
      <c r="O568" t="b">
        <f t="shared" ca="1" si="93"/>
        <v>0</v>
      </c>
    </row>
    <row r="569" spans="1:15" x14ac:dyDescent="0.45">
      <c r="A569" s="1">
        <v>44412</v>
      </c>
      <c r="B569">
        <v>236.97300000000001</v>
      </c>
      <c r="C569">
        <f t="shared" si="89"/>
        <v>1.6611716966776595E-3</v>
      </c>
      <c r="D569">
        <f t="shared" ca="1" si="94"/>
        <v>3.060217819861235E-3</v>
      </c>
      <c r="E569">
        <f t="shared" ca="1" si="95"/>
        <v>3.6618415949783094E-2</v>
      </c>
      <c r="F569">
        <f t="shared" ca="1" si="96"/>
        <v>0.79214371649318571</v>
      </c>
      <c r="G569">
        <f t="shared" ca="1" si="97"/>
        <v>3.3309400783000562</v>
      </c>
      <c r="H569">
        <f t="shared" ca="1" si="98"/>
        <v>1.1765352218354488</v>
      </c>
      <c r="I569">
        <f t="shared" ca="1" si="99"/>
        <v>1.1423186578141968</v>
      </c>
      <c r="K569">
        <f t="shared" si="90"/>
        <v>1.0016611716966777</v>
      </c>
      <c r="L569" s="7">
        <f t="shared" ca="1" si="91"/>
        <v>1.0988268570898636</v>
      </c>
      <c r="M569">
        <f t="shared" ca="1" si="92"/>
        <v>1.8037325462390861</v>
      </c>
      <c r="O569" t="b">
        <f t="shared" ca="1" si="93"/>
        <v>0</v>
      </c>
    </row>
    <row r="570" spans="1:15" x14ac:dyDescent="0.45">
      <c r="A570" s="1">
        <v>44411</v>
      </c>
      <c r="B570">
        <v>236.58</v>
      </c>
      <c r="C570">
        <f t="shared" si="89"/>
        <v>9.7228152200207798E-5</v>
      </c>
      <c r="D570">
        <f t="shared" ca="1" si="94"/>
        <v>2.9493235247988864E-3</v>
      </c>
      <c r="E570">
        <f t="shared" ca="1" si="95"/>
        <v>3.6656237495583388E-2</v>
      </c>
      <c r="F570">
        <f t="shared" ca="1" si="96"/>
        <v>0.79751122563121979</v>
      </c>
      <c r="G570">
        <f t="shared" ca="1" si="97"/>
        <v>3.315339623245027</v>
      </c>
      <c r="H570">
        <f t="shared" ca="1" si="98"/>
        <v>1.1765352218354488</v>
      </c>
      <c r="I570">
        <f t="shared" ca="1" si="99"/>
        <v>1.1159998463026419</v>
      </c>
      <c r="K570">
        <f t="shared" si="90"/>
        <v>1.0000972281522003</v>
      </c>
      <c r="L570" s="7">
        <f t="shared" ca="1" si="91"/>
        <v>1.1007458346322239</v>
      </c>
      <c r="M570">
        <f t="shared" ca="1" si="92"/>
        <v>1.7820847055341407</v>
      </c>
      <c r="O570" t="b">
        <f t="shared" ca="1" si="93"/>
        <v>0</v>
      </c>
    </row>
    <row r="571" spans="1:15" x14ac:dyDescent="0.45">
      <c r="A571" s="1">
        <v>44410</v>
      </c>
      <c r="B571">
        <v>236.55699999999999</v>
      </c>
      <c r="C571">
        <f t="shared" si="89"/>
        <v>3.2697856958880937E-2</v>
      </c>
      <c r="D571">
        <f t="shared" ca="1" si="94"/>
        <v>2.8142181224277874E-3</v>
      </c>
      <c r="E571">
        <f t="shared" ca="1" si="95"/>
        <v>3.6716549142952387E-2</v>
      </c>
      <c r="F571">
        <f t="shared" ca="1" si="96"/>
        <v>0.80200680703502947</v>
      </c>
      <c r="G571">
        <f t="shared" ca="1" si="97"/>
        <v>3.2878765367451823</v>
      </c>
      <c r="H571">
        <f t="shared" ca="1" si="98"/>
        <v>1.1765352218354488</v>
      </c>
      <c r="I571">
        <f t="shared" ca="1" si="99"/>
        <v>1.1074620603793637</v>
      </c>
      <c r="K571">
        <f t="shared" si="90"/>
        <v>1.0326978569588809</v>
      </c>
      <c r="L571" s="7">
        <f t="shared" ca="1" si="91"/>
        <v>1.0791489322877461</v>
      </c>
      <c r="M571">
        <f t="shared" ca="1" si="92"/>
        <v>1.7626169346820801</v>
      </c>
      <c r="O571" t="b">
        <f t="shared" ca="1" si="93"/>
        <v>0</v>
      </c>
    </row>
    <row r="572" spans="1:15" x14ac:dyDescent="0.45">
      <c r="A572" s="1">
        <v>44407</v>
      </c>
      <c r="B572">
        <v>229.06700000000001</v>
      </c>
      <c r="C572">
        <f t="shared" si="89"/>
        <v>1.4544939167253603E-2</v>
      </c>
      <c r="D572">
        <f t="shared" ca="1" si="94"/>
        <v>2.8147502504206052E-3</v>
      </c>
      <c r="E572">
        <f t="shared" ca="1" si="95"/>
        <v>3.6716985187494368E-2</v>
      </c>
      <c r="F572">
        <f t="shared" ca="1" si="96"/>
        <v>0.801963658712182</v>
      </c>
      <c r="G572">
        <f t="shared" ca="1" si="97"/>
        <v>3.2875607837381864</v>
      </c>
      <c r="H572">
        <f t="shared" ca="1" si="98"/>
        <v>1.1765352218354488</v>
      </c>
      <c r="I572">
        <f t="shared" ca="1" si="99"/>
        <v>1.1074620603793637</v>
      </c>
      <c r="K572">
        <f t="shared" si="90"/>
        <v>1.0145449391672536</v>
      </c>
      <c r="L572" s="7">
        <f t="shared" ca="1" si="91"/>
        <v>1.0681106033759207</v>
      </c>
      <c r="M572">
        <f t="shared" ca="1" si="92"/>
        <v>1.760845244714448</v>
      </c>
      <c r="O572" t="b">
        <f t="shared" ca="1" si="93"/>
        <v>0</v>
      </c>
    </row>
    <row r="573" spans="1:15" x14ac:dyDescent="0.45">
      <c r="A573" s="1">
        <v>44406</v>
      </c>
      <c r="B573">
        <v>225.78299999999999</v>
      </c>
      <c r="C573">
        <f t="shared" si="89"/>
        <v>4.6939627190948671E-2</v>
      </c>
      <c r="D573">
        <f t="shared" ca="1" si="94"/>
        <v>2.7912004340210988E-3</v>
      </c>
      <c r="E573">
        <f t="shared" ca="1" si="95"/>
        <v>3.6710933740766859E-2</v>
      </c>
      <c r="F573">
        <f t="shared" ca="1" si="96"/>
        <v>0.80417413497390988</v>
      </c>
      <c r="G573">
        <f t="shared" ca="1" si="97"/>
        <v>3.2937935501574707</v>
      </c>
      <c r="H573">
        <f t="shared" ca="1" si="98"/>
        <v>1.1765352218354488</v>
      </c>
      <c r="I573">
        <f t="shared" ca="1" si="99"/>
        <v>1.1074620603793637</v>
      </c>
      <c r="K573">
        <f t="shared" si="90"/>
        <v>1.0469396271909486</v>
      </c>
      <c r="L573" s="7">
        <f t="shared" ca="1" si="91"/>
        <v>1.043263099528694</v>
      </c>
      <c r="M573">
        <f t="shared" ca="1" si="92"/>
        <v>1.7675041745272146</v>
      </c>
      <c r="O573" t="b">
        <f t="shared" ca="1" si="93"/>
        <v>0</v>
      </c>
    </row>
    <row r="574" spans="1:15" x14ac:dyDescent="0.45">
      <c r="A574" s="1">
        <v>44405</v>
      </c>
      <c r="B574">
        <v>215.66</v>
      </c>
      <c r="C574">
        <f t="shared" si="89"/>
        <v>3.410460295821391E-3</v>
      </c>
      <c r="D574">
        <f t="shared" ca="1" si="94"/>
        <v>2.6521011561335016E-3</v>
      </c>
      <c r="E574">
        <f t="shared" ca="1" si="95"/>
        <v>3.6595336187015964E-2</v>
      </c>
      <c r="F574">
        <f t="shared" ca="1" si="96"/>
        <v>0.81487598873526701</v>
      </c>
      <c r="G574">
        <f t="shared" ca="1" si="97"/>
        <v>3.3760626704980732</v>
      </c>
      <c r="H574">
        <f t="shared" ca="1" si="98"/>
        <v>1.1765352218354488</v>
      </c>
      <c r="I574">
        <f t="shared" ca="1" si="99"/>
        <v>1.092461086464328</v>
      </c>
      <c r="K574">
        <f t="shared" si="90"/>
        <v>1.0034104602958214</v>
      </c>
      <c r="L574" s="7">
        <f t="shared" ca="1" si="91"/>
        <v>0.98731859176852965</v>
      </c>
      <c r="M574">
        <f t="shared" ca="1" si="92"/>
        <v>1.7397943441362935</v>
      </c>
      <c r="O574" t="b">
        <f t="shared" ca="1" si="93"/>
        <v>1</v>
      </c>
    </row>
    <row r="575" spans="1:15" x14ac:dyDescent="0.45">
      <c r="A575" s="1">
        <v>44404</v>
      </c>
      <c r="B575">
        <v>214.92699999999999</v>
      </c>
      <c r="C575">
        <f t="shared" si="89"/>
        <v>-1.9524923930348947E-2</v>
      </c>
      <c r="D575">
        <f t="shared" ca="1" si="94"/>
        <v>2.7299260496139992E-3</v>
      </c>
      <c r="E575">
        <f t="shared" ca="1" si="95"/>
        <v>3.6613503042542718E-2</v>
      </c>
      <c r="F575">
        <f t="shared" ca="1" si="96"/>
        <v>0.80767220895630321</v>
      </c>
      <c r="G575">
        <f t="shared" ca="1" si="97"/>
        <v>3.3564967982285809</v>
      </c>
      <c r="H575">
        <f t="shared" ca="1" si="98"/>
        <v>1.1765352218354488</v>
      </c>
      <c r="I575">
        <f t="shared" ca="1" si="99"/>
        <v>1.092461086464328</v>
      </c>
      <c r="K575">
        <f t="shared" si="90"/>
        <v>0.98047507606965101</v>
      </c>
      <c r="L575" s="7">
        <f t="shared" ca="1" si="91"/>
        <v>0.97619988463302843</v>
      </c>
      <c r="M575">
        <f t="shared" ca="1" si="92"/>
        <v>1.7271730162642016</v>
      </c>
      <c r="O575" t="b">
        <f t="shared" ca="1" si="93"/>
        <v>1</v>
      </c>
    </row>
    <row r="576" spans="1:15" x14ac:dyDescent="0.45">
      <c r="A576" s="1">
        <v>44403</v>
      </c>
      <c r="B576">
        <v>219.20699999999999</v>
      </c>
      <c r="C576">
        <f t="shared" si="89"/>
        <v>2.2134663806770427E-2</v>
      </c>
      <c r="D576">
        <f t="shared" ca="1" si="94"/>
        <v>2.8348161118581677E-3</v>
      </c>
      <c r="E576">
        <f t="shared" ca="1" si="95"/>
        <v>3.6579460144326892E-2</v>
      </c>
      <c r="F576">
        <f t="shared" ca="1" si="96"/>
        <v>0.80238287000907338</v>
      </c>
      <c r="G576">
        <f t="shared" ca="1" si="97"/>
        <v>3.370212832569691</v>
      </c>
      <c r="H576">
        <f t="shared" ca="1" si="98"/>
        <v>1.1765352218354488</v>
      </c>
      <c r="I576">
        <f t="shared" ca="1" si="99"/>
        <v>1.092461086464328</v>
      </c>
      <c r="K576">
        <f t="shared" si="90"/>
        <v>1.0221346638067703</v>
      </c>
      <c r="L576" s="7">
        <f t="shared" ca="1" si="91"/>
        <v>1.0176410237364615</v>
      </c>
      <c r="M576">
        <f t="shared" ca="1" si="92"/>
        <v>1.7063518338487955</v>
      </c>
      <c r="O576" t="b">
        <f t="shared" ca="1" si="93"/>
        <v>0</v>
      </c>
    </row>
    <row r="577" spans="1:15" x14ac:dyDescent="0.45">
      <c r="A577" s="1">
        <v>44400</v>
      </c>
      <c r="B577">
        <v>214.46</v>
      </c>
      <c r="C577">
        <f t="shared" si="89"/>
        <v>-9.0564642824137315E-3</v>
      </c>
      <c r="D577">
        <f t="shared" ca="1" si="94"/>
        <v>2.860888859653792E-3</v>
      </c>
      <c r="E577">
        <f t="shared" ca="1" si="95"/>
        <v>3.6595140654134106E-2</v>
      </c>
      <c r="F577">
        <f t="shared" ca="1" si="96"/>
        <v>0.79997415822347517</v>
      </c>
      <c r="G577">
        <f t="shared" ca="1" si="97"/>
        <v>3.3575362581938659</v>
      </c>
      <c r="H577">
        <f t="shared" ca="1" si="98"/>
        <v>1.1765352218354488</v>
      </c>
      <c r="I577">
        <f t="shared" ca="1" si="99"/>
        <v>1.1074620603793637</v>
      </c>
      <c r="K577">
        <f t="shared" si="90"/>
        <v>0.99094353571758631</v>
      </c>
      <c r="L577" s="7">
        <f t="shared" ca="1" si="91"/>
        <v>0.99869609760640798</v>
      </c>
      <c r="M577">
        <f t="shared" ca="1" si="92"/>
        <v>1.6776608679182874</v>
      </c>
      <c r="O577" t="b">
        <f t="shared" ca="1" si="93"/>
        <v>1</v>
      </c>
    </row>
    <row r="578" spans="1:15" x14ac:dyDescent="0.45">
      <c r="A578" s="1">
        <v>44399</v>
      </c>
      <c r="B578">
        <v>216.42</v>
      </c>
      <c r="C578">
        <f t="shared" si="89"/>
        <v>-9.2020326878176958E-3</v>
      </c>
      <c r="D578">
        <f t="shared" ca="1" si="94"/>
        <v>2.7687436828806077E-3</v>
      </c>
      <c r="E578">
        <f t="shared" ca="1" si="95"/>
        <v>3.6648461848877378E-2</v>
      </c>
      <c r="F578">
        <f t="shared" ca="1" si="96"/>
        <v>0.80139932782318846</v>
      </c>
      <c r="G578">
        <f t="shared" ca="1" si="97"/>
        <v>3.3309131179311988</v>
      </c>
      <c r="H578">
        <f t="shared" ca="1" si="98"/>
        <v>1.1765352218354488</v>
      </c>
      <c r="I578">
        <f t="shared" ca="1" si="99"/>
        <v>1.0936385676580218</v>
      </c>
      <c r="K578">
        <f t="shared" si="90"/>
        <v>0.99079796731218228</v>
      </c>
      <c r="L578" s="7">
        <f t="shared" ca="1" si="91"/>
        <v>0.99793882886746255</v>
      </c>
      <c r="M578">
        <f t="shared" ca="1" si="92"/>
        <v>1.6730118947333232</v>
      </c>
      <c r="O578" t="b">
        <f t="shared" ca="1" si="93"/>
        <v>1</v>
      </c>
    </row>
    <row r="579" spans="1:15" x14ac:dyDescent="0.45">
      <c r="A579" s="1">
        <v>44398</v>
      </c>
      <c r="B579">
        <v>218.43</v>
      </c>
      <c r="C579">
        <f t="shared" ref="C579:C642" si="100">(B579-B580)/B580</f>
        <v>-7.8894657237460423E-3</v>
      </c>
      <c r="D579">
        <f t="shared" ca="1" si="94"/>
        <v>2.9423168508801644E-3</v>
      </c>
      <c r="E579">
        <f t="shared" ca="1" si="95"/>
        <v>3.6673679815287512E-2</v>
      </c>
      <c r="F579">
        <f t="shared" ca="1" si="96"/>
        <v>0.78679224849123919</v>
      </c>
      <c r="G579">
        <f t="shared" ca="1" si="97"/>
        <v>3.2987630743770033</v>
      </c>
      <c r="H579">
        <f t="shared" ca="1" si="98"/>
        <v>1.1765352218354488</v>
      </c>
      <c r="I579">
        <f t="shared" ca="1" si="99"/>
        <v>1.1339035453400372</v>
      </c>
      <c r="K579">
        <f t="shared" ref="K579:K642" si="101">C579+1</f>
        <v>0.99211053427625395</v>
      </c>
      <c r="L579" s="7">
        <f t="shared" ref="L579:L642" ca="1" si="102">PRODUCT(OFFSET(K579,0,0,$J$6,1))</f>
        <v>1.0029247955627594</v>
      </c>
      <c r="M579">
        <f t="shared" ref="M579:M642" ca="1" si="103">OFFSET(D579,$J$6,0)*V$2 + OFFSET(E579,$J$6,0)*U$2 + OFFSET(F579,$J$6,0)*T$2 + OFFSET(G579,$J$6,0)*S$2 + OFFSET(H579,$J$6,0)*R$2 + OFFSET(I579,$J$6,0)*Q$2 + W$2</f>
        <v>1.6321869536576972</v>
      </c>
      <c r="O579" t="b">
        <f t="shared" ref="O579:O642" ca="1" si="104">OR(AND(L579&gt;1, N579&gt;1), AND(L579&lt;1, N579&lt;1))</f>
        <v>0</v>
      </c>
    </row>
    <row r="580" spans="1:15" x14ac:dyDescent="0.45">
      <c r="A580" s="1">
        <v>44397</v>
      </c>
      <c r="B580">
        <v>220.167</v>
      </c>
      <c r="C580">
        <f t="shared" si="100"/>
        <v>2.2097703417251948E-2</v>
      </c>
      <c r="D580">
        <f t="shared" ref="D580:D643" ca="1" si="105">AVERAGE(OFFSET(C580,0,0,$J$3,1))</f>
        <v>2.6127896368680096E-3</v>
      </c>
      <c r="E580">
        <f t="shared" ref="E580:E643" ca="1" si="106">STDEV(OFFSET(C580,0,0,$J$3,1))</f>
        <v>3.7065496562907148E-2</v>
      </c>
      <c r="F580">
        <f t="shared" ref="F580:F643" ca="1" si="107">SKEW(OFFSET(C580,0,0,$J$3,1))</f>
        <v>0.74412941235968955</v>
      </c>
      <c r="G580">
        <f t="shared" ref="G580:G643" ca="1" si="108">KURT(OFFSET(C580,0,0,$J$3,1))</f>
        <v>3.15633522483704</v>
      </c>
      <c r="H580">
        <f t="shared" ref="H580:H643" ca="1" si="109">PERCENTILE(OFFSET(C580,0,0,$J$3,1), 0.95)/ABS(PERCENTILE(OFFSET(C580,0,0,$J$3,1), 0.05))</f>
        <v>1.1576028982716031</v>
      </c>
      <c r="I580">
        <f t="shared" ref="I580:I643" ca="1" si="110">PERCENTILE(OFFSET(C580,0,0,$J$3,1), 0.75)/ABS(PERCENTILE(OFFSET(C580,0,0,$J$3,1), 0.25))</f>
        <v>1.1277502951961753</v>
      </c>
      <c r="K580">
        <f t="shared" si="101"/>
        <v>1.022097703417252</v>
      </c>
      <c r="L580" s="7">
        <f t="shared" ca="1" si="102"/>
        <v>0.98797381162860654</v>
      </c>
      <c r="M580">
        <f t="shared" ca="1" si="103"/>
        <v>1.5535480084345226</v>
      </c>
      <c r="O580" t="b">
        <f t="shared" ca="1" si="104"/>
        <v>1</v>
      </c>
    </row>
    <row r="581" spans="1:15" x14ac:dyDescent="0.45">
      <c r="A581" s="1">
        <v>44396</v>
      </c>
      <c r="B581">
        <v>215.40700000000001</v>
      </c>
      <c r="C581">
        <f t="shared" si="100"/>
        <v>3.1060817733072625E-3</v>
      </c>
      <c r="D581">
        <f t="shared" ca="1" si="105"/>
        <v>2.725513220227196E-3</v>
      </c>
      <c r="E581">
        <f t="shared" ca="1" si="106"/>
        <v>3.7159214870269297E-2</v>
      </c>
      <c r="F581">
        <f t="shared" ca="1" si="107"/>
        <v>0.7359337637026292</v>
      </c>
      <c r="G581">
        <f t="shared" ca="1" si="108"/>
        <v>3.0929193934036485</v>
      </c>
      <c r="H581">
        <f t="shared" ca="1" si="109"/>
        <v>1.1576028982716031</v>
      </c>
      <c r="I581">
        <f t="shared" ca="1" si="110"/>
        <v>1.1628656469437657</v>
      </c>
      <c r="K581">
        <f t="shared" si="101"/>
        <v>1.0031060817733073</v>
      </c>
      <c r="L581" s="7">
        <f t="shared" ca="1" si="102"/>
        <v>0.94242388446276171</v>
      </c>
      <c r="M581">
        <f t="shared" ca="1" si="103"/>
        <v>1.5136339636303222</v>
      </c>
      <c r="O581" t="b">
        <f t="shared" ca="1" si="104"/>
        <v>1</v>
      </c>
    </row>
    <row r="582" spans="1:15" x14ac:dyDescent="0.45">
      <c r="A582" s="1">
        <v>44393</v>
      </c>
      <c r="B582">
        <v>214.74</v>
      </c>
      <c r="C582">
        <f t="shared" si="100"/>
        <v>-9.8078545836848448E-3</v>
      </c>
      <c r="D582">
        <f t="shared" ca="1" si="105"/>
        <v>2.8285668188057157E-3</v>
      </c>
      <c r="E582">
        <f t="shared" ca="1" si="106"/>
        <v>3.7188843632049544E-2</v>
      </c>
      <c r="F582">
        <f t="shared" ca="1" si="107"/>
        <v>0.72669175067940261</v>
      </c>
      <c r="G582">
        <f t="shared" ca="1" si="108"/>
        <v>3.0656395042290567</v>
      </c>
      <c r="H582">
        <f t="shared" ca="1" si="109"/>
        <v>1.1576028982716031</v>
      </c>
      <c r="I582">
        <f t="shared" ca="1" si="110"/>
        <v>1.1628656469437657</v>
      </c>
      <c r="K582">
        <f t="shared" si="101"/>
        <v>0.99019214541631517</v>
      </c>
      <c r="L582" s="7">
        <f t="shared" ca="1" si="102"/>
        <v>0.98062406670837476</v>
      </c>
      <c r="M582">
        <f t="shared" ca="1" si="103"/>
        <v>1.5234907154879216</v>
      </c>
      <c r="O582" t="b">
        <f t="shared" ca="1" si="104"/>
        <v>1</v>
      </c>
    </row>
    <row r="583" spans="1:15" x14ac:dyDescent="0.45">
      <c r="A583" s="1">
        <v>44392</v>
      </c>
      <c r="B583">
        <v>216.86699999999999</v>
      </c>
      <c r="C583">
        <f t="shared" si="100"/>
        <v>-4.2517436281240264E-3</v>
      </c>
      <c r="D583">
        <f t="shared" ca="1" si="105"/>
        <v>2.85232119143924E-3</v>
      </c>
      <c r="E583">
        <f t="shared" ca="1" si="106"/>
        <v>3.7182248283566928E-2</v>
      </c>
      <c r="F583">
        <f t="shared" ca="1" si="107"/>
        <v>0.72529339218558131</v>
      </c>
      <c r="G583">
        <f t="shared" ca="1" si="108"/>
        <v>3.0680245736105247</v>
      </c>
      <c r="H583">
        <f t="shared" ca="1" si="109"/>
        <v>1.1576028982716031</v>
      </c>
      <c r="I583">
        <f t="shared" ca="1" si="110"/>
        <v>1.1628656469437657</v>
      </c>
      <c r="K583">
        <f t="shared" si="101"/>
        <v>0.99574825637187603</v>
      </c>
      <c r="L583" s="7">
        <f t="shared" ca="1" si="102"/>
        <v>0.99661769368988484</v>
      </c>
      <c r="M583">
        <f t="shared" ca="1" si="103"/>
        <v>1.5473044376822687</v>
      </c>
      <c r="O583" t="b">
        <f t="shared" ca="1" si="104"/>
        <v>1</v>
      </c>
    </row>
    <row r="584" spans="1:15" x14ac:dyDescent="0.45">
      <c r="A584" s="1">
        <v>44391</v>
      </c>
      <c r="B584">
        <v>217.79300000000001</v>
      </c>
      <c r="C584">
        <f t="shared" si="100"/>
        <v>-2.2679237324262844E-2</v>
      </c>
      <c r="D584">
        <f t="shared" ca="1" si="105"/>
        <v>3.0437080580553348E-3</v>
      </c>
      <c r="E584">
        <f t="shared" ca="1" si="106"/>
        <v>3.7243958704485526E-2</v>
      </c>
      <c r="F584">
        <f t="shared" ca="1" si="107"/>
        <v>0.70913366633262198</v>
      </c>
      <c r="G584">
        <f t="shared" ca="1" si="108"/>
        <v>3.0151043806860232</v>
      </c>
      <c r="H584">
        <f t="shared" ca="1" si="109"/>
        <v>1.1576028982716031</v>
      </c>
      <c r="I584">
        <f t="shared" ca="1" si="110"/>
        <v>1.1908200622770968</v>
      </c>
      <c r="K584">
        <f t="shared" si="101"/>
        <v>0.9773207626757372</v>
      </c>
      <c r="L584" s="7">
        <f t="shared" ca="1" si="102"/>
        <v>1.0135422532261742</v>
      </c>
      <c r="M584">
        <f t="shared" ca="1" si="103"/>
        <v>1.5422302403505674</v>
      </c>
      <c r="O584" t="b">
        <f t="shared" ca="1" si="104"/>
        <v>0</v>
      </c>
    </row>
    <row r="585" spans="1:15" x14ac:dyDescent="0.45">
      <c r="A585" s="1">
        <v>44390</v>
      </c>
      <c r="B585">
        <v>222.84700000000001</v>
      </c>
      <c r="C585">
        <f t="shared" si="100"/>
        <v>-2.5025484868769328E-2</v>
      </c>
      <c r="D585">
        <f t="shared" ca="1" si="105"/>
        <v>3.4091872073187053E-3</v>
      </c>
      <c r="E585">
        <f t="shared" ca="1" si="106"/>
        <v>3.7348769415830214E-2</v>
      </c>
      <c r="F585">
        <f t="shared" ca="1" si="107"/>
        <v>0.68554228296786035</v>
      </c>
      <c r="G585">
        <f t="shared" ca="1" si="108"/>
        <v>2.9316252464336872</v>
      </c>
      <c r="H585">
        <f t="shared" ca="1" si="109"/>
        <v>1.1576028982716031</v>
      </c>
      <c r="I585">
        <f t="shared" ca="1" si="110"/>
        <v>1.2257823626620818</v>
      </c>
      <c r="K585">
        <f t="shared" si="101"/>
        <v>0.97497451513123068</v>
      </c>
      <c r="L585" s="7">
        <f t="shared" ca="1" si="102"/>
        <v>1.0135859183116527</v>
      </c>
      <c r="M585">
        <f t="shared" ca="1" si="103"/>
        <v>1.4751944820461347</v>
      </c>
      <c r="O585" t="b">
        <f t="shared" ca="1" si="104"/>
        <v>0</v>
      </c>
    </row>
    <row r="586" spans="1:15" x14ac:dyDescent="0.45">
      <c r="A586" s="1">
        <v>44389</v>
      </c>
      <c r="B586">
        <v>228.56700000000001</v>
      </c>
      <c r="C586">
        <f t="shared" si="100"/>
        <v>4.3765954434819156E-2</v>
      </c>
      <c r="D586">
        <f t="shared" ca="1" si="105"/>
        <v>3.6319587118915976E-3</v>
      </c>
      <c r="E586">
        <f t="shared" ca="1" si="106"/>
        <v>3.7311170894329081E-2</v>
      </c>
      <c r="F586">
        <f t="shared" ca="1" si="107"/>
        <v>0.6721797685716876</v>
      </c>
      <c r="G586">
        <f t="shared" ca="1" si="108"/>
        <v>2.9375890976274386</v>
      </c>
      <c r="H586">
        <f t="shared" ca="1" si="109"/>
        <v>1.1576028982716031</v>
      </c>
      <c r="I586">
        <f t="shared" ca="1" si="110"/>
        <v>1.24127614101748</v>
      </c>
      <c r="K586">
        <f t="shared" si="101"/>
        <v>1.0437659544348192</v>
      </c>
      <c r="L586" s="7">
        <f t="shared" ca="1" si="102"/>
        <v>1.0100176756517896</v>
      </c>
      <c r="M586">
        <f t="shared" ca="1" si="103"/>
        <v>1.4806359749281901</v>
      </c>
      <c r="O586" t="b">
        <f t="shared" ca="1" si="104"/>
        <v>0</v>
      </c>
    </row>
    <row r="587" spans="1:15" x14ac:dyDescent="0.45">
      <c r="A587" s="1">
        <v>44386</v>
      </c>
      <c r="B587">
        <v>218.983</v>
      </c>
      <c r="C587">
        <f t="shared" si="100"/>
        <v>6.3418243314659973E-3</v>
      </c>
      <c r="D587">
        <f t="shared" ca="1" si="105"/>
        <v>2.8960862977544157E-3</v>
      </c>
      <c r="E587">
        <f t="shared" ca="1" si="106"/>
        <v>3.7961313145642529E-2</v>
      </c>
      <c r="F587">
        <f t="shared" ca="1" si="107"/>
        <v>0.57718529416409381</v>
      </c>
      <c r="G587">
        <f t="shared" ca="1" si="108"/>
        <v>2.9023671032064007</v>
      </c>
      <c r="H587">
        <f t="shared" ca="1" si="109"/>
        <v>1.1125097899057177</v>
      </c>
      <c r="I587">
        <f t="shared" ca="1" si="110"/>
        <v>1.1973174347457476</v>
      </c>
      <c r="K587">
        <f t="shared" si="101"/>
        <v>1.0063418243314659</v>
      </c>
      <c r="L587" s="7">
        <f t="shared" ca="1" si="102"/>
        <v>0.96906710093683757</v>
      </c>
      <c r="M587">
        <f t="shared" ca="1" si="103"/>
        <v>1.4992603014547994</v>
      </c>
      <c r="O587" t="b">
        <f t="shared" ca="1" si="104"/>
        <v>1</v>
      </c>
    </row>
    <row r="588" spans="1:15" x14ac:dyDescent="0.45">
      <c r="A588" s="1">
        <v>44385</v>
      </c>
      <c r="B588">
        <v>217.60300000000001</v>
      </c>
      <c r="C588">
        <f t="shared" si="100"/>
        <v>1.2658051125496195E-2</v>
      </c>
      <c r="D588">
        <f t="shared" ca="1" si="105"/>
        <v>2.5844316498181879E-3</v>
      </c>
      <c r="E588">
        <f t="shared" ca="1" si="106"/>
        <v>3.8188067067389767E-2</v>
      </c>
      <c r="F588">
        <f t="shared" ca="1" si="107"/>
        <v>0.57308180005331888</v>
      </c>
      <c r="G588">
        <f t="shared" ca="1" si="108"/>
        <v>2.8102990976611979</v>
      </c>
      <c r="H588">
        <f t="shared" ca="1" si="109"/>
        <v>1.1027009402384707</v>
      </c>
      <c r="I588">
        <f t="shared" ca="1" si="110"/>
        <v>1.1908200622770968</v>
      </c>
      <c r="K588">
        <f t="shared" si="101"/>
        <v>1.0126580511254961</v>
      </c>
      <c r="L588" s="7">
        <f t="shared" ca="1" si="102"/>
        <v>0.96043554445263435</v>
      </c>
      <c r="M588">
        <f t="shared" ca="1" si="103"/>
        <v>1.4455649180238725</v>
      </c>
      <c r="O588" t="b">
        <f t="shared" ca="1" si="104"/>
        <v>1</v>
      </c>
    </row>
    <row r="589" spans="1:15" x14ac:dyDescent="0.45">
      <c r="A589" s="1">
        <v>44384</v>
      </c>
      <c r="B589">
        <v>214.88300000000001</v>
      </c>
      <c r="C589">
        <f t="shared" si="100"/>
        <v>-2.2637132720822357E-2</v>
      </c>
      <c r="D589">
        <f t="shared" ca="1" si="105"/>
        <v>2.6030368638174607E-3</v>
      </c>
      <c r="E589">
        <f t="shared" ca="1" si="106"/>
        <v>3.8193905593299556E-2</v>
      </c>
      <c r="F589">
        <f t="shared" ca="1" si="107"/>
        <v>0.57148890655877982</v>
      </c>
      <c r="G589">
        <f t="shared" ca="1" si="108"/>
        <v>2.8056446040784619</v>
      </c>
      <c r="H589">
        <f t="shared" ca="1" si="109"/>
        <v>1.1027009402384707</v>
      </c>
      <c r="I589">
        <f t="shared" ca="1" si="110"/>
        <v>1.1908200622770968</v>
      </c>
      <c r="K589">
        <f t="shared" si="101"/>
        <v>0.97736286727917765</v>
      </c>
      <c r="L589" s="7">
        <f t="shared" ca="1" si="102"/>
        <v>0.94695487396439282</v>
      </c>
      <c r="M589">
        <f t="shared" ca="1" si="103"/>
        <v>1.3947463030727554</v>
      </c>
      <c r="O589" t="b">
        <f t="shared" ca="1" si="104"/>
        <v>1</v>
      </c>
    </row>
    <row r="590" spans="1:15" x14ac:dyDescent="0.45">
      <c r="A590" s="1">
        <v>44383</v>
      </c>
      <c r="B590">
        <v>219.86</v>
      </c>
      <c r="C590">
        <f t="shared" si="100"/>
        <v>-2.8457799381352174E-2</v>
      </c>
      <c r="D590">
        <f t="shared" ca="1" si="105"/>
        <v>2.9372749352632654E-3</v>
      </c>
      <c r="E590">
        <f t="shared" ca="1" si="106"/>
        <v>3.8264346391305146E-2</v>
      </c>
      <c r="F590">
        <f t="shared" ca="1" si="107"/>
        <v>0.54985100066014059</v>
      </c>
      <c r="G590">
        <f t="shared" ca="1" si="108"/>
        <v>2.7488620984158594</v>
      </c>
      <c r="H590">
        <f t="shared" ca="1" si="109"/>
        <v>1.1027009402384707</v>
      </c>
      <c r="I590">
        <f t="shared" ca="1" si="110"/>
        <v>1.2257823626620818</v>
      </c>
      <c r="K590">
        <f t="shared" si="101"/>
        <v>0.97154220061864782</v>
      </c>
      <c r="L590" s="7">
        <f t="shared" ca="1" si="102"/>
        <v>0.95769101767193876</v>
      </c>
      <c r="M590">
        <f t="shared" ca="1" si="103"/>
        <v>1.3788483998479095</v>
      </c>
      <c r="O590" t="b">
        <f t="shared" ca="1" si="104"/>
        <v>1</v>
      </c>
    </row>
    <row r="591" spans="1:15" x14ac:dyDescent="0.45">
      <c r="A591" s="1">
        <v>44379</v>
      </c>
      <c r="B591">
        <v>226.3</v>
      </c>
      <c r="C591">
        <f t="shared" si="100"/>
        <v>1.4470755355728258E-3</v>
      </c>
      <c r="D591">
        <f t="shared" ca="1" si="105"/>
        <v>2.872097870358044E-3</v>
      </c>
      <c r="E591">
        <f t="shared" ca="1" si="106"/>
        <v>3.8329138491735373E-2</v>
      </c>
      <c r="F591">
        <f t="shared" ca="1" si="107"/>
        <v>0.54710337997212288</v>
      </c>
      <c r="G591">
        <f t="shared" ca="1" si="108"/>
        <v>2.7205787316336068</v>
      </c>
      <c r="H591">
        <f t="shared" ca="1" si="109"/>
        <v>1.1027009402384707</v>
      </c>
      <c r="I591">
        <f t="shared" ca="1" si="110"/>
        <v>1.2257823626620818</v>
      </c>
      <c r="K591">
        <f t="shared" si="101"/>
        <v>1.0014470755355729</v>
      </c>
      <c r="L591" s="7">
        <f t="shared" ca="1" si="102"/>
        <v>1.0104618297262424</v>
      </c>
      <c r="M591">
        <f t="shared" ca="1" si="103"/>
        <v>1.3943132354403152</v>
      </c>
      <c r="O591" t="b">
        <f t="shared" ca="1" si="104"/>
        <v>0</v>
      </c>
    </row>
    <row r="592" spans="1:15" x14ac:dyDescent="0.45">
      <c r="A592" s="1">
        <v>44378</v>
      </c>
      <c r="B592">
        <v>225.97300000000001</v>
      </c>
      <c r="C592">
        <f t="shared" si="100"/>
        <v>-2.6217410302470973E-3</v>
      </c>
      <c r="D592">
        <f t="shared" ca="1" si="105"/>
        <v>2.7759150540462418E-3</v>
      </c>
      <c r="E592">
        <f t="shared" ca="1" si="106"/>
        <v>3.8356858411325655E-2</v>
      </c>
      <c r="F592">
        <f t="shared" ca="1" si="107"/>
        <v>0.55272371871178216</v>
      </c>
      <c r="G592">
        <f t="shared" ca="1" si="108"/>
        <v>2.7099815092422928</v>
      </c>
      <c r="H592">
        <f t="shared" ca="1" si="109"/>
        <v>1.1027009402384707</v>
      </c>
      <c r="I592">
        <f t="shared" ca="1" si="110"/>
        <v>1.2257823626620818</v>
      </c>
      <c r="K592">
        <f t="shared" si="101"/>
        <v>0.99737825896975285</v>
      </c>
      <c r="L592" s="7">
        <f t="shared" ca="1" si="102"/>
        <v>0.99720220469800125</v>
      </c>
      <c r="M592">
        <f t="shared" ca="1" si="103"/>
        <v>1.3392838188412837</v>
      </c>
      <c r="O592" t="b">
        <f t="shared" ca="1" si="104"/>
        <v>1</v>
      </c>
    </row>
    <row r="593" spans="1:15" x14ac:dyDescent="0.45">
      <c r="A593" s="1">
        <v>44377</v>
      </c>
      <c r="B593">
        <v>226.56700000000001</v>
      </c>
      <c r="C593">
        <f t="shared" si="100"/>
        <v>-1.5556143134143321E-3</v>
      </c>
      <c r="D593">
        <f t="shared" ca="1" si="105"/>
        <v>3.1481709856100082E-3</v>
      </c>
      <c r="E593">
        <f t="shared" ca="1" si="106"/>
        <v>3.8664255713129418E-2</v>
      </c>
      <c r="F593">
        <f t="shared" ca="1" si="107"/>
        <v>0.53939865535933462</v>
      </c>
      <c r="G593">
        <f t="shared" ca="1" si="108"/>
        <v>2.5600325284970324</v>
      </c>
      <c r="H593">
        <f t="shared" ca="1" si="109"/>
        <v>1.1332289951515744</v>
      </c>
      <c r="I593">
        <f t="shared" ca="1" si="110"/>
        <v>1.2470757628131317</v>
      </c>
      <c r="K593">
        <f t="shared" si="101"/>
        <v>0.99844438568658567</v>
      </c>
      <c r="L593" s="7">
        <f t="shared" ca="1" si="102"/>
        <v>1.035228482525119</v>
      </c>
      <c r="M593">
        <f t="shared" ca="1" si="103"/>
        <v>1.5600323847560946</v>
      </c>
      <c r="O593" t="b">
        <f t="shared" ca="1" si="104"/>
        <v>0</v>
      </c>
    </row>
    <row r="594" spans="1:15" x14ac:dyDescent="0.45">
      <c r="A594" s="1">
        <v>44376</v>
      </c>
      <c r="B594">
        <v>226.92</v>
      </c>
      <c r="C594">
        <f t="shared" si="100"/>
        <v>-1.1556237013934652E-2</v>
      </c>
      <c r="D594">
        <f t="shared" ca="1" si="105"/>
        <v>3.7850942600103055E-3</v>
      </c>
      <c r="E594">
        <f t="shared" ca="1" si="106"/>
        <v>3.9623691279608762E-2</v>
      </c>
      <c r="F594">
        <f t="shared" ca="1" si="107"/>
        <v>0.60310441694547823</v>
      </c>
      <c r="G594">
        <f t="shared" ca="1" si="108"/>
        <v>2.4712391403918765</v>
      </c>
      <c r="H594">
        <f t="shared" ca="1" si="109"/>
        <v>1.1465242214589979</v>
      </c>
      <c r="I594">
        <f t="shared" ca="1" si="110"/>
        <v>1.2801530906398169</v>
      </c>
      <c r="K594">
        <f t="shared" si="101"/>
        <v>0.9884437629860654</v>
      </c>
      <c r="L594" s="7">
        <f t="shared" ca="1" si="102"/>
        <v>1.0914705415506272</v>
      </c>
      <c r="M594">
        <f t="shared" ca="1" si="103"/>
        <v>1.594917566335361</v>
      </c>
      <c r="O594" t="b">
        <f t="shared" ca="1" si="104"/>
        <v>0</v>
      </c>
    </row>
    <row r="595" spans="1:15" x14ac:dyDescent="0.45">
      <c r="A595" s="1">
        <v>44375</v>
      </c>
      <c r="B595">
        <v>229.57300000000001</v>
      </c>
      <c r="C595">
        <f t="shared" si="100"/>
        <v>2.5076242314372912E-2</v>
      </c>
      <c r="D595">
        <f t="shared" ca="1" si="105"/>
        <v>3.8614567990951677E-3</v>
      </c>
      <c r="E595">
        <f t="shared" ca="1" si="106"/>
        <v>3.9608690690039368E-2</v>
      </c>
      <c r="F595">
        <f t="shared" ca="1" si="107"/>
        <v>0.59824263531777999</v>
      </c>
      <c r="G595">
        <f t="shared" ca="1" si="108"/>
        <v>2.4747547980408111</v>
      </c>
      <c r="H595">
        <f t="shared" ca="1" si="109"/>
        <v>1.1465242214589979</v>
      </c>
      <c r="I595">
        <f t="shared" ca="1" si="110"/>
        <v>1.2801530906398169</v>
      </c>
      <c r="K595">
        <f t="shared" si="101"/>
        <v>1.0250762423143729</v>
      </c>
      <c r="L595" s="7">
        <f t="shared" ca="1" si="102"/>
        <v>1.1093537834089577</v>
      </c>
      <c r="M595">
        <f t="shared" ca="1" si="103"/>
        <v>1.5047001335638917</v>
      </c>
      <c r="O595" t="b">
        <f t="shared" ca="1" si="104"/>
        <v>0</v>
      </c>
    </row>
    <row r="596" spans="1:15" x14ac:dyDescent="0.45">
      <c r="A596" s="1">
        <v>44372</v>
      </c>
      <c r="B596">
        <v>223.95699999999999</v>
      </c>
      <c r="C596">
        <f t="shared" si="100"/>
        <v>-1.1694254811192972E-2</v>
      </c>
      <c r="D596">
        <f t="shared" ca="1" si="105"/>
        <v>3.8051622673493375E-3</v>
      </c>
      <c r="E596">
        <f t="shared" ca="1" si="106"/>
        <v>3.9586381969418591E-2</v>
      </c>
      <c r="F596">
        <f t="shared" ca="1" si="107"/>
        <v>0.60286341035041924</v>
      </c>
      <c r="G596">
        <f t="shared" ca="1" si="108"/>
        <v>2.4902894807215992</v>
      </c>
      <c r="H596">
        <f t="shared" ca="1" si="109"/>
        <v>1.1465242214589979</v>
      </c>
      <c r="I596">
        <f t="shared" ca="1" si="110"/>
        <v>1.2801530906398169</v>
      </c>
      <c r="K596">
        <f t="shared" si="101"/>
        <v>0.98830574518880698</v>
      </c>
      <c r="L596" s="7">
        <f t="shared" ca="1" si="102"/>
        <v>1.0779082639457089</v>
      </c>
      <c r="M596">
        <f t="shared" ca="1" si="103"/>
        <v>1.5190826503628942</v>
      </c>
      <c r="O596" t="b">
        <f t="shared" ca="1" si="104"/>
        <v>0</v>
      </c>
    </row>
    <row r="597" spans="1:15" x14ac:dyDescent="0.45">
      <c r="A597" s="1">
        <v>44371</v>
      </c>
      <c r="B597">
        <v>226.607</v>
      </c>
      <c r="C597">
        <f t="shared" si="100"/>
        <v>3.5411250268440123E-2</v>
      </c>
      <c r="D597">
        <f t="shared" ca="1" si="105"/>
        <v>4.4097859898472027E-3</v>
      </c>
      <c r="E597">
        <f t="shared" ca="1" si="106"/>
        <v>4.0266099786496881E-2</v>
      </c>
      <c r="F597">
        <f t="shared" ca="1" si="107"/>
        <v>0.61873163743800874</v>
      </c>
      <c r="G597">
        <f t="shared" ca="1" si="108"/>
        <v>2.329782560238181</v>
      </c>
      <c r="H597">
        <f t="shared" ca="1" si="109"/>
        <v>1.1784205083150729</v>
      </c>
      <c r="I597">
        <f t="shared" ca="1" si="110"/>
        <v>1.3437336063960372</v>
      </c>
      <c r="K597">
        <f t="shared" si="101"/>
        <v>1.0354112502684401</v>
      </c>
      <c r="L597" s="7">
        <f t="shared" ca="1" si="102"/>
        <v>1.1025334131258728</v>
      </c>
      <c r="M597">
        <f t="shared" ca="1" si="103"/>
        <v>1.5554749933779446</v>
      </c>
      <c r="O597" t="b">
        <f t="shared" ca="1" si="104"/>
        <v>0</v>
      </c>
    </row>
    <row r="598" spans="1:15" x14ac:dyDescent="0.45">
      <c r="A598" s="1">
        <v>44370</v>
      </c>
      <c r="B598">
        <v>218.857</v>
      </c>
      <c r="C598">
        <f t="shared" si="100"/>
        <v>5.2688032399724909E-2</v>
      </c>
      <c r="D598">
        <f t="shared" ca="1" si="105"/>
        <v>3.1795886025325405E-3</v>
      </c>
      <c r="E598">
        <f t="shared" ca="1" si="106"/>
        <v>4.2981121180913677E-2</v>
      </c>
      <c r="F598">
        <f t="shared" ca="1" si="107"/>
        <v>-4.2076648369209539E-2</v>
      </c>
      <c r="G598">
        <f t="shared" ca="1" si="108"/>
        <v>4.3283437276017231</v>
      </c>
      <c r="H598">
        <f t="shared" ca="1" si="109"/>
        <v>1.125524097347345</v>
      </c>
      <c r="I598">
        <f t="shared" ca="1" si="110"/>
        <v>1.2732062015313763</v>
      </c>
      <c r="K598">
        <f t="shared" si="101"/>
        <v>1.052688032399725</v>
      </c>
      <c r="L598" s="7">
        <f t="shared" ca="1" si="102"/>
        <v>1.0854763593439241</v>
      </c>
      <c r="M598">
        <f t="shared" ca="1" si="103"/>
        <v>1.5916012036609786</v>
      </c>
      <c r="O598" t="b">
        <f t="shared" ca="1" si="104"/>
        <v>0</v>
      </c>
    </row>
    <row r="599" spans="1:15" x14ac:dyDescent="0.45">
      <c r="A599" s="1">
        <v>44369</v>
      </c>
      <c r="B599">
        <v>207.90299999999999</v>
      </c>
      <c r="C599">
        <f t="shared" si="100"/>
        <v>4.638958553804572E-3</v>
      </c>
      <c r="D599">
        <f t="shared" ca="1" si="105"/>
        <v>3.055202152932656E-3</v>
      </c>
      <c r="E599">
        <f t="shared" ca="1" si="106"/>
        <v>4.2872985963041489E-2</v>
      </c>
      <c r="F599">
        <f t="shared" ca="1" si="107"/>
        <v>-4.0457773237943008E-2</v>
      </c>
      <c r="G599">
        <f t="shared" ca="1" si="108"/>
        <v>4.3938460938474639</v>
      </c>
      <c r="H599">
        <f t="shared" ca="1" si="109"/>
        <v>1.125524097347345</v>
      </c>
      <c r="I599">
        <f t="shared" ca="1" si="110"/>
        <v>1.2732062015313763</v>
      </c>
      <c r="K599">
        <f t="shared" si="101"/>
        <v>1.0046389585538045</v>
      </c>
      <c r="L599" s="7">
        <f t="shared" ca="1" si="102"/>
        <v>1.0406232637759212</v>
      </c>
      <c r="M599">
        <f t="shared" ca="1" si="103"/>
        <v>1.6129158055849717</v>
      </c>
      <c r="O599" t="b">
        <f t="shared" ca="1" si="104"/>
        <v>0</v>
      </c>
    </row>
    <row r="600" spans="1:15" x14ac:dyDescent="0.45">
      <c r="A600" s="1">
        <v>44368</v>
      </c>
      <c r="B600">
        <v>206.94300000000001</v>
      </c>
      <c r="C600">
        <f t="shared" si="100"/>
        <v>-3.980362901285066E-3</v>
      </c>
      <c r="D600">
        <f t="shared" ca="1" si="105"/>
        <v>2.5808361793263389E-3</v>
      </c>
      <c r="E600">
        <f t="shared" ca="1" si="106"/>
        <v>4.3377268585307389E-2</v>
      </c>
      <c r="F600">
        <f t="shared" ca="1" si="107"/>
        <v>-5.6415158661164096E-2</v>
      </c>
      <c r="G600">
        <f t="shared" ca="1" si="108"/>
        <v>4.1614137701341027</v>
      </c>
      <c r="H600">
        <f t="shared" ca="1" si="109"/>
        <v>1.0256866131622466</v>
      </c>
      <c r="I600">
        <f t="shared" ca="1" si="110"/>
        <v>1.2577839675238855</v>
      </c>
      <c r="K600">
        <f t="shared" si="101"/>
        <v>0.99601963709871488</v>
      </c>
      <c r="L600" s="7">
        <f t="shared" ca="1" si="102"/>
        <v>1.0050802100079168</v>
      </c>
      <c r="M600">
        <f t="shared" ca="1" si="103"/>
        <v>1.5571182264099788</v>
      </c>
      <c r="O600" t="b">
        <f t="shared" ca="1" si="104"/>
        <v>0</v>
      </c>
    </row>
    <row r="601" spans="1:15" x14ac:dyDescent="0.45">
      <c r="A601" s="1">
        <v>44365</v>
      </c>
      <c r="B601">
        <v>207.77</v>
      </c>
      <c r="C601">
        <f t="shared" si="100"/>
        <v>1.0883896989777911E-2</v>
      </c>
      <c r="D601">
        <f t="shared" ca="1" si="105"/>
        <v>2.3093897147042517E-3</v>
      </c>
      <c r="E601">
        <f t="shared" ca="1" si="106"/>
        <v>4.3587888166122885E-2</v>
      </c>
      <c r="F601">
        <f t="shared" ca="1" si="107"/>
        <v>-5.0522736181579556E-2</v>
      </c>
      <c r="G601">
        <f t="shared" ca="1" si="108"/>
        <v>4.0412627825314562</v>
      </c>
      <c r="H601">
        <f t="shared" ca="1" si="109"/>
        <v>1.0256866131622466</v>
      </c>
      <c r="I601">
        <f t="shared" ca="1" si="110"/>
        <v>1.2205644874756547</v>
      </c>
      <c r="K601">
        <f t="shared" si="101"/>
        <v>1.010883896989778</v>
      </c>
      <c r="L601" s="7">
        <f t="shared" ca="1" si="102"/>
        <v>1.0220022922128713</v>
      </c>
      <c r="M601">
        <f t="shared" ca="1" si="103"/>
        <v>1.508265925780909</v>
      </c>
      <c r="O601" t="b">
        <f t="shared" ca="1" si="104"/>
        <v>0</v>
      </c>
    </row>
    <row r="602" spans="1:15" x14ac:dyDescent="0.45">
      <c r="A602" s="1">
        <v>44364</v>
      </c>
      <c r="B602">
        <v>205.53299999999999</v>
      </c>
      <c r="C602">
        <f t="shared" si="100"/>
        <v>1.9392628817148823E-2</v>
      </c>
      <c r="D602">
        <f t="shared" ca="1" si="105"/>
        <v>2.0214761566578992E-3</v>
      </c>
      <c r="E602">
        <f t="shared" ca="1" si="106"/>
        <v>4.3720939984663983E-2</v>
      </c>
      <c r="F602">
        <f t="shared" ca="1" si="107"/>
        <v>-3.7294635764550402E-2</v>
      </c>
      <c r="G602">
        <f t="shared" ca="1" si="108"/>
        <v>3.9622848730263502</v>
      </c>
      <c r="H602">
        <f t="shared" ca="1" si="109"/>
        <v>1.0256866131622466</v>
      </c>
      <c r="I602">
        <f t="shared" ca="1" si="110"/>
        <v>1.2012265230173631</v>
      </c>
      <c r="K602">
        <f t="shared" si="101"/>
        <v>1.0193926288171489</v>
      </c>
      <c r="L602" s="7">
        <f t="shared" ca="1" si="102"/>
        <v>1.0106208788777273</v>
      </c>
      <c r="M602">
        <f t="shared" ca="1" si="103"/>
        <v>1.5030010430918934</v>
      </c>
      <c r="O602" t="b">
        <f t="shared" ca="1" si="104"/>
        <v>0</v>
      </c>
    </row>
    <row r="603" spans="1:15" x14ac:dyDescent="0.45">
      <c r="A603" s="1">
        <v>44363</v>
      </c>
      <c r="B603">
        <v>201.62299999999999</v>
      </c>
      <c r="C603">
        <f t="shared" si="100"/>
        <v>9.1897871232862211E-3</v>
      </c>
      <c r="D603">
        <f t="shared" ca="1" si="105"/>
        <v>2.5529692337703113E-3</v>
      </c>
      <c r="E603">
        <f t="shared" ca="1" si="106"/>
        <v>4.4571018123139572E-2</v>
      </c>
      <c r="F603">
        <f t="shared" ca="1" si="107"/>
        <v>3.6790164001647488E-2</v>
      </c>
      <c r="G603">
        <f t="shared" ca="1" si="108"/>
        <v>3.7469178110106638</v>
      </c>
      <c r="H603">
        <f t="shared" ca="1" si="109"/>
        <v>1.1065981767588882</v>
      </c>
      <c r="I603">
        <f t="shared" ca="1" si="110"/>
        <v>1.254301384680002</v>
      </c>
      <c r="K603">
        <f t="shared" si="101"/>
        <v>1.0091897871232862</v>
      </c>
      <c r="L603" s="7">
        <f t="shared" ca="1" si="102"/>
        <v>1.0101706973691462</v>
      </c>
      <c r="M603">
        <f t="shared" ca="1" si="103"/>
        <v>1.5411447805949794</v>
      </c>
      <c r="O603" t="b">
        <f t="shared" ca="1" si="104"/>
        <v>0</v>
      </c>
    </row>
    <row r="604" spans="1:15" x14ac:dyDescent="0.45">
      <c r="A604" s="1">
        <v>44362</v>
      </c>
      <c r="B604">
        <v>199.78700000000001</v>
      </c>
      <c r="C604">
        <f t="shared" si="100"/>
        <v>-2.9675031690602514E-2</v>
      </c>
      <c r="D604">
        <f t="shared" ca="1" si="105"/>
        <v>2.4504038827434962E-3</v>
      </c>
      <c r="E604">
        <f t="shared" ca="1" si="106"/>
        <v>4.4579270186763185E-2</v>
      </c>
      <c r="F604">
        <f t="shared" ca="1" si="107"/>
        <v>4.3571858643040542E-2</v>
      </c>
      <c r="G604">
        <f t="shared" ca="1" si="108"/>
        <v>3.7423121119329839</v>
      </c>
      <c r="H604">
        <f t="shared" ca="1" si="109"/>
        <v>1.1065981767588882</v>
      </c>
      <c r="I604">
        <f t="shared" ca="1" si="110"/>
        <v>1.254301384680002</v>
      </c>
      <c r="K604">
        <f t="shared" si="101"/>
        <v>0.97032496830939752</v>
      </c>
      <c r="L604" s="7">
        <f t="shared" ca="1" si="102"/>
        <v>0.99299194321982964</v>
      </c>
      <c r="M604">
        <f t="shared" ca="1" si="103"/>
        <v>1.5048375981988404</v>
      </c>
      <c r="O604" t="b">
        <f t="shared" ca="1" si="104"/>
        <v>1</v>
      </c>
    </row>
    <row r="605" spans="1:15" x14ac:dyDescent="0.45">
      <c r="A605" s="1">
        <v>44361</v>
      </c>
      <c r="B605">
        <v>205.89699999999999</v>
      </c>
      <c r="C605">
        <f t="shared" si="100"/>
        <v>1.2789170523913262E-2</v>
      </c>
      <c r="D605">
        <f t="shared" ca="1" si="105"/>
        <v>2.79749721319832E-3</v>
      </c>
      <c r="E605">
        <f t="shared" ca="1" si="106"/>
        <v>4.459812744915008E-2</v>
      </c>
      <c r="F605">
        <f t="shared" ca="1" si="107"/>
        <v>2.4797328685927291E-2</v>
      </c>
      <c r="G605">
        <f t="shared" ca="1" si="108"/>
        <v>3.7308143367045945</v>
      </c>
      <c r="H605">
        <f t="shared" ca="1" si="109"/>
        <v>1.1065981767588882</v>
      </c>
      <c r="I605">
        <f t="shared" ca="1" si="110"/>
        <v>1.2972483895415314</v>
      </c>
      <c r="K605">
        <f t="shared" si="101"/>
        <v>1.0127891705239134</v>
      </c>
      <c r="L605" s="7">
        <f t="shared" ca="1" si="102"/>
        <v>1.020757523176838</v>
      </c>
      <c r="M605">
        <f t="shared" ca="1" si="103"/>
        <v>1.4547634326050196</v>
      </c>
      <c r="O605" t="b">
        <f t="shared" ca="1" si="104"/>
        <v>0</v>
      </c>
    </row>
    <row r="606" spans="1:15" x14ac:dyDescent="0.45">
      <c r="A606" s="1">
        <v>44358</v>
      </c>
      <c r="B606">
        <v>203.297</v>
      </c>
      <c r="C606">
        <f t="shared" si="100"/>
        <v>-3.7369759014221855E-4</v>
      </c>
      <c r="D606">
        <f t="shared" ca="1" si="105"/>
        <v>3.0544077684400294E-3</v>
      </c>
      <c r="E606">
        <f t="shared" ca="1" si="106"/>
        <v>4.4803496626740165E-2</v>
      </c>
      <c r="F606">
        <f t="shared" ca="1" si="107"/>
        <v>2.0072574410819128E-2</v>
      </c>
      <c r="G606">
        <f t="shared" ca="1" si="108"/>
        <v>3.6249667490279203</v>
      </c>
      <c r="H606">
        <f t="shared" ca="1" si="109"/>
        <v>1.1065981767588882</v>
      </c>
      <c r="I606">
        <f t="shared" ca="1" si="110"/>
        <v>1.3387278209369282</v>
      </c>
      <c r="K606">
        <f t="shared" si="101"/>
        <v>0.99962630240985784</v>
      </c>
      <c r="L606" s="7">
        <f t="shared" ca="1" si="102"/>
        <v>1.0180986864179726</v>
      </c>
      <c r="M606">
        <f t="shared" ca="1" si="103"/>
        <v>1.4705531309787605</v>
      </c>
      <c r="O606" t="b">
        <f t="shared" ca="1" si="104"/>
        <v>0</v>
      </c>
    </row>
    <row r="607" spans="1:15" x14ac:dyDescent="0.45">
      <c r="A607" s="1">
        <v>44357</v>
      </c>
      <c r="B607">
        <v>203.37299999999999</v>
      </c>
      <c r="C607">
        <f t="shared" si="100"/>
        <v>1.8938539928755022E-2</v>
      </c>
      <c r="D607">
        <f t="shared" ca="1" si="105"/>
        <v>3.0789527532629484E-3</v>
      </c>
      <c r="E607">
        <f t="shared" ca="1" si="106"/>
        <v>4.4802953808806979E-2</v>
      </c>
      <c r="F607">
        <f t="shared" ca="1" si="107"/>
        <v>1.8415630624600294E-2</v>
      </c>
      <c r="G607">
        <f t="shared" ca="1" si="108"/>
        <v>3.6252468342366111</v>
      </c>
      <c r="H607">
        <f t="shared" ca="1" si="109"/>
        <v>1.1065981767588882</v>
      </c>
      <c r="I607">
        <f t="shared" ca="1" si="110"/>
        <v>1.3387278209369282</v>
      </c>
      <c r="K607">
        <f t="shared" si="101"/>
        <v>1.0189385399287549</v>
      </c>
      <c r="L607" s="7">
        <f t="shared" ca="1" si="102"/>
        <v>1.0650756492639319</v>
      </c>
      <c r="M607">
        <f t="shared" ca="1" si="103"/>
        <v>1.4590521148779483</v>
      </c>
      <c r="O607" t="b">
        <f t="shared" ca="1" si="104"/>
        <v>0</v>
      </c>
    </row>
    <row r="608" spans="1:15" x14ac:dyDescent="0.45">
      <c r="A608" s="1">
        <v>44356</v>
      </c>
      <c r="B608">
        <v>199.59299999999999</v>
      </c>
      <c r="C608">
        <f t="shared" si="100"/>
        <v>-7.9722858690736611E-3</v>
      </c>
      <c r="D608">
        <f t="shared" ca="1" si="105"/>
        <v>2.8970028919464725E-3</v>
      </c>
      <c r="E608">
        <f t="shared" ca="1" si="106"/>
        <v>4.4812113535539481E-2</v>
      </c>
      <c r="F608">
        <f t="shared" ca="1" si="107"/>
        <v>2.9995177515380146E-2</v>
      </c>
      <c r="G608">
        <f t="shared" ca="1" si="108"/>
        <v>3.620336228917493</v>
      </c>
      <c r="H608">
        <f t="shared" ca="1" si="109"/>
        <v>1.1065981767588882</v>
      </c>
      <c r="I608">
        <f t="shared" ca="1" si="110"/>
        <v>1.3387278209369282</v>
      </c>
      <c r="K608">
        <f t="shared" si="101"/>
        <v>0.99202771413092639</v>
      </c>
      <c r="L608" s="7">
        <f t="shared" ca="1" si="102"/>
        <v>0.98951945148160481</v>
      </c>
      <c r="M608">
        <f t="shared" ca="1" si="103"/>
        <v>1.3769010927885463</v>
      </c>
      <c r="O608" t="b">
        <f t="shared" ca="1" si="104"/>
        <v>1</v>
      </c>
    </row>
    <row r="609" spans="1:15" x14ac:dyDescent="0.45">
      <c r="A609" s="1">
        <v>44355</v>
      </c>
      <c r="B609">
        <v>201.197</v>
      </c>
      <c r="C609">
        <f t="shared" si="100"/>
        <v>-2.5432551683109671E-3</v>
      </c>
      <c r="D609">
        <f t="shared" ca="1" si="105"/>
        <v>3.0571295792439584E-3</v>
      </c>
      <c r="E609">
        <f t="shared" ca="1" si="106"/>
        <v>4.483029346570689E-2</v>
      </c>
      <c r="F609">
        <f t="shared" ca="1" si="107"/>
        <v>1.9740695496119676E-2</v>
      </c>
      <c r="G609">
        <f t="shared" ca="1" si="108"/>
        <v>3.609401952989943</v>
      </c>
      <c r="H609">
        <f t="shared" ca="1" si="109"/>
        <v>1.1065981767588882</v>
      </c>
      <c r="I609">
        <f t="shared" ca="1" si="110"/>
        <v>1.3387278209369282</v>
      </c>
      <c r="K609">
        <f t="shared" si="101"/>
        <v>0.997456744831689</v>
      </c>
      <c r="L609" s="7">
        <f t="shared" ca="1" si="102"/>
        <v>0.96744675837993543</v>
      </c>
      <c r="M609">
        <f t="shared" ca="1" si="103"/>
        <v>1.3387528351957956</v>
      </c>
      <c r="O609" t="b">
        <f t="shared" ca="1" si="104"/>
        <v>1</v>
      </c>
    </row>
    <row r="610" spans="1:15" x14ac:dyDescent="0.45">
      <c r="A610" s="1">
        <v>44354</v>
      </c>
      <c r="B610">
        <v>201.71</v>
      </c>
      <c r="C610">
        <f t="shared" si="100"/>
        <v>1.0151089476820838E-2</v>
      </c>
      <c r="D610">
        <f t="shared" ca="1" si="105"/>
        <v>3.3980288710155648E-3</v>
      </c>
      <c r="E610">
        <f t="shared" ca="1" si="106"/>
        <v>4.5046200235417277E-2</v>
      </c>
      <c r="F610">
        <f t="shared" ca="1" si="107"/>
        <v>1.014409045104232E-2</v>
      </c>
      <c r="G610">
        <f t="shared" ca="1" si="108"/>
        <v>3.501344850832055</v>
      </c>
      <c r="H610">
        <f t="shared" ca="1" si="109"/>
        <v>1.1065981767588882</v>
      </c>
      <c r="I610">
        <f t="shared" ca="1" si="110"/>
        <v>1.418513363154885</v>
      </c>
      <c r="K610">
        <f t="shared" si="101"/>
        <v>1.0101510894768209</v>
      </c>
      <c r="L610" s="7">
        <f t="shared" ca="1" si="102"/>
        <v>0.96786576266632141</v>
      </c>
      <c r="M610">
        <f t="shared" ca="1" si="103"/>
        <v>1.3089420606067517</v>
      </c>
      <c r="O610" t="b">
        <f t="shared" ca="1" si="104"/>
        <v>1</v>
      </c>
    </row>
    <row r="611" spans="1:15" x14ac:dyDescent="0.45">
      <c r="A611" s="1">
        <v>44351</v>
      </c>
      <c r="B611">
        <v>199.68299999999999</v>
      </c>
      <c r="C611">
        <f t="shared" si="100"/>
        <v>4.5750915175415116E-2</v>
      </c>
      <c r="D611">
        <f t="shared" ca="1" si="105"/>
        <v>3.3245797524234099E-3</v>
      </c>
      <c r="E611">
        <f t="shared" ca="1" si="106"/>
        <v>4.5047109924685226E-2</v>
      </c>
      <c r="F611">
        <f t="shared" ca="1" si="107"/>
        <v>1.5039514292026436E-2</v>
      </c>
      <c r="G611">
        <f t="shared" ca="1" si="108"/>
        <v>3.5009020277297953</v>
      </c>
      <c r="H611">
        <f t="shared" ca="1" si="109"/>
        <v>1.1065981767588882</v>
      </c>
      <c r="I611">
        <f t="shared" ca="1" si="110"/>
        <v>1.418513363154885</v>
      </c>
      <c r="K611">
        <f t="shared" si="101"/>
        <v>1.0457509151754152</v>
      </c>
      <c r="L611" s="7">
        <f t="shared" ca="1" si="102"/>
        <v>0.94959174065426133</v>
      </c>
      <c r="M611">
        <f t="shared" ca="1" si="103"/>
        <v>1.3214999070364262</v>
      </c>
      <c r="O611" t="b">
        <f t="shared" ca="1" si="104"/>
        <v>1</v>
      </c>
    </row>
    <row r="612" spans="1:15" x14ac:dyDescent="0.45">
      <c r="A612" s="1">
        <v>44350</v>
      </c>
      <c r="B612">
        <v>190.947</v>
      </c>
      <c r="C612">
        <f t="shared" si="100"/>
        <v>-5.3344702960234358E-2</v>
      </c>
      <c r="D612">
        <f t="shared" ca="1" si="105"/>
        <v>3.2359670344269662E-3</v>
      </c>
      <c r="E612">
        <f t="shared" ca="1" si="106"/>
        <v>4.4980615219032814E-2</v>
      </c>
      <c r="F612">
        <f t="shared" ca="1" si="107"/>
        <v>1.7657604439031069E-2</v>
      </c>
      <c r="G612">
        <f t="shared" ca="1" si="108"/>
        <v>3.536189726848483</v>
      </c>
      <c r="H612">
        <f t="shared" ca="1" si="109"/>
        <v>1.1065981767588882</v>
      </c>
      <c r="I612">
        <f t="shared" ca="1" si="110"/>
        <v>1.3387278209369282</v>
      </c>
      <c r="K612">
        <f t="shared" si="101"/>
        <v>0.9466552970397657</v>
      </c>
      <c r="L612" s="7">
        <f t="shared" ca="1" si="102"/>
        <v>0.92523391657016052</v>
      </c>
      <c r="M612">
        <f t="shared" ca="1" si="103"/>
        <v>1.3605265648941569</v>
      </c>
      <c r="O612" t="b">
        <f t="shared" ca="1" si="104"/>
        <v>1</v>
      </c>
    </row>
    <row r="613" spans="1:15" x14ac:dyDescent="0.45">
      <c r="A613" s="1">
        <v>44349</v>
      </c>
      <c r="B613">
        <v>201.70699999999999</v>
      </c>
      <c r="C613">
        <f t="shared" si="100"/>
        <v>-3.0100929474387854E-2</v>
      </c>
      <c r="D613">
        <f t="shared" ca="1" si="105"/>
        <v>4.0628602948822668E-3</v>
      </c>
      <c r="E613">
        <f t="shared" ca="1" si="106"/>
        <v>4.545287313391469E-2</v>
      </c>
      <c r="F613">
        <f t="shared" ca="1" si="107"/>
        <v>4.1382646007270936E-2</v>
      </c>
      <c r="G613">
        <f t="shared" ca="1" si="108"/>
        <v>3.4193332755573023</v>
      </c>
      <c r="H613">
        <f t="shared" ca="1" si="109"/>
        <v>1.1192916654030676</v>
      </c>
      <c r="I613">
        <f t="shared" ca="1" si="110"/>
        <v>1.4617690291683081</v>
      </c>
      <c r="K613">
        <f t="shared" si="101"/>
        <v>0.96989907052561219</v>
      </c>
      <c r="L613" s="7">
        <f t="shared" ca="1" si="102"/>
        <v>1.0007144168324544</v>
      </c>
      <c r="M613">
        <f t="shared" ca="1" si="103"/>
        <v>1.3888446703287451</v>
      </c>
      <c r="O613" t="b">
        <f t="shared" ca="1" si="104"/>
        <v>0</v>
      </c>
    </row>
    <row r="614" spans="1:15" x14ac:dyDescent="0.45">
      <c r="A614" s="1">
        <v>44348</v>
      </c>
      <c r="B614">
        <v>207.96700000000001</v>
      </c>
      <c r="C614">
        <f t="shared" si="100"/>
        <v>-2.1112534607762583E-3</v>
      </c>
      <c r="D614">
        <f t="shared" ca="1" si="105"/>
        <v>4.3049747768938275E-3</v>
      </c>
      <c r="E614">
        <f t="shared" ca="1" si="106"/>
        <v>4.5398913345390597E-2</v>
      </c>
      <c r="F614">
        <f t="shared" ca="1" si="107"/>
        <v>2.7689838079633086E-2</v>
      </c>
      <c r="G614">
        <f t="shared" ca="1" si="108"/>
        <v>3.4477360173498397</v>
      </c>
      <c r="H614">
        <f t="shared" ca="1" si="109"/>
        <v>1.1192916654030676</v>
      </c>
      <c r="I614">
        <f t="shared" ca="1" si="110"/>
        <v>1.4796924123682997</v>
      </c>
      <c r="K614">
        <f t="shared" si="101"/>
        <v>0.99788874653922377</v>
      </c>
      <c r="L614" s="7">
        <f t="shared" ca="1" si="102"/>
        <v>1.0287909293731792</v>
      </c>
      <c r="M614">
        <f t="shared" ca="1" si="103"/>
        <v>1.3973813800331762</v>
      </c>
      <c r="O614" t="b">
        <f t="shared" ca="1" si="104"/>
        <v>0</v>
      </c>
    </row>
    <row r="615" spans="1:15" x14ac:dyDescent="0.45">
      <c r="A615" s="1">
        <v>44344</v>
      </c>
      <c r="B615">
        <v>208.40700000000001</v>
      </c>
      <c r="C615">
        <f t="shared" si="100"/>
        <v>-8.9213108049627232E-3</v>
      </c>
      <c r="D615">
        <f t="shared" ca="1" si="105"/>
        <v>4.5285535910134659E-3</v>
      </c>
      <c r="E615">
        <f t="shared" ca="1" si="106"/>
        <v>4.5477195904671162E-2</v>
      </c>
      <c r="F615">
        <f t="shared" ca="1" si="107"/>
        <v>1.5695269828060333E-2</v>
      </c>
      <c r="G615">
        <f t="shared" ca="1" si="108"/>
        <v>3.4052795461254588</v>
      </c>
      <c r="H615">
        <f t="shared" ca="1" si="109"/>
        <v>1.1192916654030676</v>
      </c>
      <c r="I615">
        <f t="shared" ca="1" si="110"/>
        <v>1.5351500240611566</v>
      </c>
      <c r="K615">
        <f t="shared" si="101"/>
        <v>0.99107868919503728</v>
      </c>
      <c r="L615" s="7">
        <f t="shared" ca="1" si="102"/>
        <v>1.0763323296854261</v>
      </c>
      <c r="M615">
        <f t="shared" ca="1" si="103"/>
        <v>1.4360818100979347</v>
      </c>
      <c r="O615" t="b">
        <f t="shared" ca="1" si="104"/>
        <v>0</v>
      </c>
    </row>
    <row r="616" spans="1:15" x14ac:dyDescent="0.45">
      <c r="A616" s="1">
        <v>44343</v>
      </c>
      <c r="B616">
        <v>210.28299999999999</v>
      </c>
      <c r="C616">
        <f t="shared" si="100"/>
        <v>1.8926527665388961E-2</v>
      </c>
      <c r="D616">
        <f t="shared" ca="1" si="105"/>
        <v>5.2293603502202137E-3</v>
      </c>
      <c r="E616">
        <f t="shared" ca="1" si="106"/>
        <v>4.6340642282220457E-2</v>
      </c>
      <c r="F616">
        <f t="shared" ca="1" si="107"/>
        <v>7.289809820591929E-2</v>
      </c>
      <c r="G616">
        <f t="shared" ca="1" si="108"/>
        <v>3.2213081549136335</v>
      </c>
      <c r="H616">
        <f t="shared" ca="1" si="109"/>
        <v>1.216988089082734</v>
      </c>
      <c r="I616">
        <f t="shared" ca="1" si="110"/>
        <v>1.5634792963471464</v>
      </c>
      <c r="K616">
        <f t="shared" si="101"/>
        <v>1.0189265276653889</v>
      </c>
      <c r="L616" s="7">
        <f t="shared" ca="1" si="102"/>
        <v>1.0751049372932568</v>
      </c>
      <c r="M616">
        <f t="shared" ca="1" si="103"/>
        <v>1.4276172076044307</v>
      </c>
      <c r="O616" t="b">
        <f t="shared" ca="1" si="104"/>
        <v>0</v>
      </c>
    </row>
    <row r="617" spans="1:15" x14ac:dyDescent="0.45">
      <c r="A617" s="1">
        <v>44342</v>
      </c>
      <c r="B617">
        <v>206.37700000000001</v>
      </c>
      <c r="C617">
        <f t="shared" si="100"/>
        <v>2.388335160718992E-2</v>
      </c>
      <c r="D617">
        <f t="shared" ca="1" si="105"/>
        <v>4.9790092222457751E-3</v>
      </c>
      <c r="E617">
        <f t="shared" ca="1" si="106"/>
        <v>4.6401482720706211E-2</v>
      </c>
      <c r="F617">
        <f t="shared" ca="1" si="107"/>
        <v>8.6385931354492976E-2</v>
      </c>
      <c r="G617">
        <f t="shared" ca="1" si="108"/>
        <v>3.1921420923879129</v>
      </c>
      <c r="H617">
        <f t="shared" ca="1" si="109"/>
        <v>1.216988089082734</v>
      </c>
      <c r="I617">
        <f t="shared" ca="1" si="110"/>
        <v>1.5445410100388239</v>
      </c>
      <c r="K617">
        <f t="shared" si="101"/>
        <v>1.0238833516071899</v>
      </c>
      <c r="L617" s="7">
        <f t="shared" ca="1" si="102"/>
        <v>1.0988020445107016</v>
      </c>
      <c r="M617">
        <f t="shared" ca="1" si="103"/>
        <v>1.4536653354551845</v>
      </c>
      <c r="O617" t="b">
        <f t="shared" ca="1" si="104"/>
        <v>0</v>
      </c>
    </row>
    <row r="618" spans="1:15" x14ac:dyDescent="0.45">
      <c r="A618" s="1">
        <v>44341</v>
      </c>
      <c r="B618">
        <v>201.56299999999999</v>
      </c>
      <c r="C618">
        <f t="shared" si="100"/>
        <v>-2.8889867274805125E-3</v>
      </c>
      <c r="D618">
        <f t="shared" ca="1" si="105"/>
        <v>4.7420878977428201E-3</v>
      </c>
      <c r="E618">
        <f t="shared" ca="1" si="106"/>
        <v>4.6425437470439104E-2</v>
      </c>
      <c r="F618">
        <f t="shared" ca="1" si="107"/>
        <v>0.10020232530189424</v>
      </c>
      <c r="G618">
        <f t="shared" ca="1" si="108"/>
        <v>3.1817944292132729</v>
      </c>
      <c r="H618">
        <f t="shared" ca="1" si="109"/>
        <v>1.216988089082734</v>
      </c>
      <c r="I618">
        <f t="shared" ca="1" si="110"/>
        <v>1.4988360123674156</v>
      </c>
      <c r="K618">
        <f t="shared" si="101"/>
        <v>0.9971110132725195</v>
      </c>
      <c r="L618" s="7">
        <f t="shared" ca="1" si="102"/>
        <v>1.0464119030437695</v>
      </c>
      <c r="M618">
        <f t="shared" ca="1" si="103"/>
        <v>1.4189974551252167</v>
      </c>
      <c r="O618" t="b">
        <f t="shared" ca="1" si="104"/>
        <v>0</v>
      </c>
    </row>
    <row r="619" spans="1:15" x14ac:dyDescent="0.45">
      <c r="A619" s="1">
        <v>44340</v>
      </c>
      <c r="B619">
        <v>202.14699999999999</v>
      </c>
      <c r="C619">
        <f t="shared" si="100"/>
        <v>4.400212780242415E-2</v>
      </c>
      <c r="D619">
        <f t="shared" ca="1" si="105"/>
        <v>4.6327730723341306E-3</v>
      </c>
      <c r="E619">
        <f t="shared" ca="1" si="106"/>
        <v>4.6469215116334062E-2</v>
      </c>
      <c r="F619">
        <f t="shared" ca="1" si="107"/>
        <v>0.10577258342367755</v>
      </c>
      <c r="G619">
        <f t="shared" ca="1" si="108"/>
        <v>3.1601781500423067</v>
      </c>
      <c r="H619">
        <f t="shared" ca="1" si="109"/>
        <v>1.216988089082734</v>
      </c>
      <c r="I619">
        <f t="shared" ca="1" si="110"/>
        <v>1.4750892641755904</v>
      </c>
      <c r="K619">
        <f t="shared" si="101"/>
        <v>1.0440021278024241</v>
      </c>
      <c r="L619" s="7">
        <f t="shared" ca="1" si="102"/>
        <v>1.0513321926179418</v>
      </c>
      <c r="M619">
        <f t="shared" ca="1" si="103"/>
        <v>1.4411065244685539</v>
      </c>
      <c r="O619" t="b">
        <f t="shared" ca="1" si="104"/>
        <v>0</v>
      </c>
    </row>
    <row r="620" spans="1:15" x14ac:dyDescent="0.45">
      <c r="A620" s="1">
        <v>44337</v>
      </c>
      <c r="B620">
        <v>193.62700000000001</v>
      </c>
      <c r="C620">
        <f t="shared" si="100"/>
        <v>-1.0051484460077711E-2</v>
      </c>
      <c r="D620">
        <f t="shared" ca="1" si="105"/>
        <v>4.4281157670661136E-3</v>
      </c>
      <c r="E620">
        <f t="shared" ca="1" si="106"/>
        <v>4.6385013170240866E-2</v>
      </c>
      <c r="F620">
        <f t="shared" ca="1" si="107"/>
        <v>0.11661616161598441</v>
      </c>
      <c r="G620">
        <f t="shared" ca="1" si="108"/>
        <v>3.2046550926975366</v>
      </c>
      <c r="H620">
        <f t="shared" ca="1" si="109"/>
        <v>1.216988089082734</v>
      </c>
      <c r="I620">
        <f t="shared" ca="1" si="110"/>
        <v>1.4483615642894434</v>
      </c>
      <c r="K620">
        <f t="shared" si="101"/>
        <v>0.98994851553992225</v>
      </c>
      <c r="L620" s="7">
        <f t="shared" ca="1" si="102"/>
        <v>0.98497812595381018</v>
      </c>
      <c r="M620">
        <f t="shared" ca="1" si="103"/>
        <v>1.4390044080667415</v>
      </c>
      <c r="O620" t="b">
        <f t="shared" ca="1" si="104"/>
        <v>1</v>
      </c>
    </row>
    <row r="621" spans="1:15" x14ac:dyDescent="0.45">
      <c r="A621" s="1">
        <v>44336</v>
      </c>
      <c r="B621">
        <v>195.59299999999999</v>
      </c>
      <c r="C621">
        <f t="shared" si="100"/>
        <v>4.1385368970290687E-2</v>
      </c>
      <c r="D621">
        <f t="shared" ca="1" si="105"/>
        <v>4.471715487060616E-3</v>
      </c>
      <c r="E621">
        <f t="shared" ca="1" si="106"/>
        <v>4.6375431815778988E-2</v>
      </c>
      <c r="F621">
        <f t="shared" ca="1" si="107"/>
        <v>0.11398429801312759</v>
      </c>
      <c r="G621">
        <f t="shared" ca="1" si="108"/>
        <v>3.2093313391610678</v>
      </c>
      <c r="H621">
        <f t="shared" ca="1" si="109"/>
        <v>1.216988089082734</v>
      </c>
      <c r="I621">
        <f t="shared" ca="1" si="110"/>
        <v>1.4483615642894434</v>
      </c>
      <c r="K621">
        <f t="shared" si="101"/>
        <v>1.0413853689702908</v>
      </c>
      <c r="L621" s="7">
        <f t="shared" ca="1" si="102"/>
        <v>1.0263954702644269</v>
      </c>
      <c r="M621">
        <f t="shared" ca="1" si="103"/>
        <v>1.4388492254421421</v>
      </c>
      <c r="O621" t="b">
        <f t="shared" ca="1" si="104"/>
        <v>0</v>
      </c>
    </row>
    <row r="622" spans="1:15" x14ac:dyDescent="0.45">
      <c r="A622" s="1">
        <v>44335</v>
      </c>
      <c r="B622">
        <v>187.82</v>
      </c>
      <c r="C622">
        <f t="shared" si="100"/>
        <v>-2.4934717037944573E-2</v>
      </c>
      <c r="D622">
        <f t="shared" ca="1" si="105"/>
        <v>4.2715209654414863E-3</v>
      </c>
      <c r="E622">
        <f t="shared" ca="1" si="106"/>
        <v>4.6301643086745038E-2</v>
      </c>
      <c r="F622">
        <f t="shared" ca="1" si="107"/>
        <v>0.12505869550139243</v>
      </c>
      <c r="G622">
        <f t="shared" ca="1" si="108"/>
        <v>3.2492996249130721</v>
      </c>
      <c r="H622">
        <f t="shared" ca="1" si="109"/>
        <v>1.216988089082734</v>
      </c>
      <c r="I622">
        <f t="shared" ca="1" si="110"/>
        <v>1.3960392036313407</v>
      </c>
      <c r="K622">
        <f t="shared" si="101"/>
        <v>0.97506528296205541</v>
      </c>
      <c r="L622" s="7">
        <f t="shared" ca="1" si="102"/>
        <v>0.95519503636271164</v>
      </c>
      <c r="M622">
        <f t="shared" ca="1" si="103"/>
        <v>1.4447382749579694</v>
      </c>
      <c r="O622" t="b">
        <f t="shared" ca="1" si="104"/>
        <v>1</v>
      </c>
    </row>
    <row r="623" spans="1:15" x14ac:dyDescent="0.45">
      <c r="A623" s="1">
        <v>44334</v>
      </c>
      <c r="B623">
        <v>192.62299999999999</v>
      </c>
      <c r="C623">
        <f t="shared" si="100"/>
        <v>1.7994871981568449E-3</v>
      </c>
      <c r="D623">
        <f t="shared" ca="1" si="105"/>
        <v>4.5857441606286936E-3</v>
      </c>
      <c r="E623">
        <f t="shared" ca="1" si="106"/>
        <v>4.6315684244297245E-2</v>
      </c>
      <c r="F623">
        <f t="shared" ca="1" si="107"/>
        <v>0.10760334433945189</v>
      </c>
      <c r="G623">
        <f t="shared" ca="1" si="108"/>
        <v>3.2390275190367586</v>
      </c>
      <c r="H623">
        <f t="shared" ca="1" si="109"/>
        <v>1.216988089082734</v>
      </c>
      <c r="I623">
        <f t="shared" ca="1" si="110"/>
        <v>1.4716780361757207</v>
      </c>
      <c r="K623">
        <f t="shared" si="101"/>
        <v>1.0017994871981568</v>
      </c>
      <c r="L623" s="7">
        <f t="shared" ca="1" si="102"/>
        <v>0.93627663038987397</v>
      </c>
      <c r="M623">
        <f t="shared" ca="1" si="103"/>
        <v>1.3811627967007785</v>
      </c>
      <c r="O623" t="b">
        <f t="shared" ca="1" si="104"/>
        <v>1</v>
      </c>
    </row>
    <row r="624" spans="1:15" x14ac:dyDescent="0.45">
      <c r="A624" s="1">
        <v>44333</v>
      </c>
      <c r="B624">
        <v>192.27699999999999</v>
      </c>
      <c r="C624">
        <f t="shared" si="100"/>
        <v>-2.1889307152304534E-2</v>
      </c>
      <c r="D624">
        <f t="shared" ca="1" si="105"/>
        <v>4.3860563670556733E-3</v>
      </c>
      <c r="E624">
        <f t="shared" ca="1" si="106"/>
        <v>4.6413748014808118E-2</v>
      </c>
      <c r="F624">
        <f t="shared" ca="1" si="107"/>
        <v>0.11600235585972447</v>
      </c>
      <c r="G624">
        <f t="shared" ca="1" si="108"/>
        <v>3.1917217174987025</v>
      </c>
      <c r="H624">
        <f t="shared" ca="1" si="109"/>
        <v>1.216988089082734</v>
      </c>
      <c r="I624">
        <f t="shared" ca="1" si="110"/>
        <v>1.4483615642894434</v>
      </c>
      <c r="K624">
        <f t="shared" si="101"/>
        <v>0.97811069284769547</v>
      </c>
      <c r="L624" s="7">
        <f t="shared" ca="1" si="102"/>
        <v>0.91700209843571145</v>
      </c>
      <c r="M624">
        <f t="shared" ca="1" si="103"/>
        <v>1.3848418041285382</v>
      </c>
      <c r="O624" t="b">
        <f t="shared" ca="1" si="104"/>
        <v>1</v>
      </c>
    </row>
    <row r="625" spans="1:15" x14ac:dyDescent="0.45">
      <c r="A625" s="1">
        <v>44330</v>
      </c>
      <c r="B625">
        <v>196.58</v>
      </c>
      <c r="C625">
        <f t="shared" si="100"/>
        <v>3.1574859757665573E-2</v>
      </c>
      <c r="D625">
        <f t="shared" ca="1" si="105"/>
        <v>4.4567449193329885E-3</v>
      </c>
      <c r="E625">
        <f t="shared" ca="1" si="106"/>
        <v>4.6384285886947818E-2</v>
      </c>
      <c r="F625">
        <f t="shared" ca="1" si="107"/>
        <v>0.11243714556752216</v>
      </c>
      <c r="G625">
        <f t="shared" ca="1" si="108"/>
        <v>3.206361713225018</v>
      </c>
      <c r="H625">
        <f t="shared" ca="1" si="109"/>
        <v>1.216988089082734</v>
      </c>
      <c r="I625">
        <f t="shared" ca="1" si="110"/>
        <v>1.4711986556988423</v>
      </c>
      <c r="K625">
        <f t="shared" si="101"/>
        <v>1.0315748597576655</v>
      </c>
      <c r="L625" s="7">
        <f t="shared" ca="1" si="102"/>
        <v>0.87710765963332626</v>
      </c>
      <c r="M625">
        <f t="shared" ca="1" si="103"/>
        <v>1.4007702619409304</v>
      </c>
      <c r="O625" t="b">
        <f t="shared" ca="1" si="104"/>
        <v>1</v>
      </c>
    </row>
    <row r="626" spans="1:15" x14ac:dyDescent="0.45">
      <c r="A626" s="1">
        <v>44329</v>
      </c>
      <c r="B626">
        <v>190.56299999999999</v>
      </c>
      <c r="C626">
        <f t="shared" si="100"/>
        <v>-3.0854905151808002E-2</v>
      </c>
      <c r="D626">
        <f t="shared" ca="1" si="105"/>
        <v>4.3754711811307273E-3</v>
      </c>
      <c r="E626">
        <f t="shared" ca="1" si="106"/>
        <v>4.6350759751654633E-2</v>
      </c>
      <c r="F626">
        <f t="shared" ca="1" si="107"/>
        <v>0.11704361390067491</v>
      </c>
      <c r="G626">
        <f t="shared" ca="1" si="108"/>
        <v>3.224697728338751</v>
      </c>
      <c r="H626">
        <f t="shared" ca="1" si="109"/>
        <v>1.216988089082734</v>
      </c>
      <c r="I626">
        <f t="shared" ca="1" si="110"/>
        <v>1.4244967720434951</v>
      </c>
      <c r="K626">
        <f t="shared" si="101"/>
        <v>0.969145094848192</v>
      </c>
      <c r="L626" s="7">
        <f t="shared" ca="1" si="102"/>
        <v>0.86157428338909481</v>
      </c>
      <c r="M626">
        <f t="shared" ca="1" si="103"/>
        <v>1.3984506010802806</v>
      </c>
      <c r="O626" t="b">
        <f t="shared" ca="1" si="104"/>
        <v>1</v>
      </c>
    </row>
    <row r="627" spans="1:15" x14ac:dyDescent="0.45">
      <c r="A627" s="1">
        <v>44328</v>
      </c>
      <c r="B627">
        <v>196.63</v>
      </c>
      <c r="C627">
        <f t="shared" si="100"/>
        <v>-4.4246669226619011E-2</v>
      </c>
      <c r="D627">
        <f t="shared" ca="1" si="105"/>
        <v>4.3247914980043415E-3</v>
      </c>
      <c r="E627">
        <f t="shared" ca="1" si="106"/>
        <v>4.6394994219148618E-2</v>
      </c>
      <c r="F627">
        <f t="shared" ca="1" si="107"/>
        <v>0.11749617299266753</v>
      </c>
      <c r="G627">
        <f t="shared" ca="1" si="108"/>
        <v>3.2043472269175188</v>
      </c>
      <c r="H627">
        <f t="shared" ca="1" si="109"/>
        <v>1.216988089082734</v>
      </c>
      <c r="I627">
        <f t="shared" ca="1" si="110"/>
        <v>1.4244967720434951</v>
      </c>
      <c r="K627">
        <f t="shared" si="101"/>
        <v>0.95575333077338098</v>
      </c>
      <c r="L627" s="7">
        <f t="shared" ca="1" si="102"/>
        <v>0.87919802188269891</v>
      </c>
      <c r="M627">
        <f t="shared" ca="1" si="103"/>
        <v>1.4087668220543224</v>
      </c>
      <c r="O627" t="b">
        <f t="shared" ca="1" si="104"/>
        <v>1</v>
      </c>
    </row>
    <row r="628" spans="1:15" x14ac:dyDescent="0.45">
      <c r="A628" s="1">
        <v>44327</v>
      </c>
      <c r="B628">
        <v>205.733</v>
      </c>
      <c r="C628">
        <f t="shared" si="100"/>
        <v>-1.8823922167111803E-2</v>
      </c>
      <c r="D628">
        <f t="shared" ca="1" si="105"/>
        <v>4.9786270203540268E-3</v>
      </c>
      <c r="E628">
        <f t="shared" ca="1" si="106"/>
        <v>4.6627899379375365E-2</v>
      </c>
      <c r="F628">
        <f t="shared" ca="1" si="107"/>
        <v>0.10679161632664079</v>
      </c>
      <c r="G628">
        <f t="shared" ca="1" si="108"/>
        <v>3.1169874189665592</v>
      </c>
      <c r="H628">
        <f t="shared" ca="1" si="109"/>
        <v>1.2344336694181948</v>
      </c>
      <c r="I628">
        <f t="shared" ca="1" si="110"/>
        <v>1.5445410100388239</v>
      </c>
      <c r="K628">
        <f t="shared" si="101"/>
        <v>0.98117607783288818</v>
      </c>
      <c r="L628" s="7">
        <f t="shared" ca="1" si="102"/>
        <v>0.91627065954670361</v>
      </c>
      <c r="M628">
        <f t="shared" ca="1" si="103"/>
        <v>1.3619708489750937</v>
      </c>
      <c r="O628" t="b">
        <f t="shared" ca="1" si="104"/>
        <v>1</v>
      </c>
    </row>
    <row r="629" spans="1:15" x14ac:dyDescent="0.45">
      <c r="A629" s="1">
        <v>44326</v>
      </c>
      <c r="B629">
        <v>209.68</v>
      </c>
      <c r="C629">
        <f t="shared" si="100"/>
        <v>-6.44422928481235E-2</v>
      </c>
      <c r="D629">
        <f t="shared" ca="1" si="105"/>
        <v>4.7552966207802536E-3</v>
      </c>
      <c r="E629">
        <f t="shared" ca="1" si="106"/>
        <v>4.6848920853155396E-2</v>
      </c>
      <c r="F629">
        <f t="shared" ca="1" si="107"/>
        <v>0.10455382268442293</v>
      </c>
      <c r="G629">
        <f t="shared" ca="1" si="108"/>
        <v>3.0266861625694759</v>
      </c>
      <c r="H629">
        <f t="shared" ca="1" si="109"/>
        <v>1.2344336694181948</v>
      </c>
      <c r="I629">
        <f t="shared" ca="1" si="110"/>
        <v>1.4983477855238336</v>
      </c>
      <c r="K629">
        <f t="shared" si="101"/>
        <v>0.93555770715187647</v>
      </c>
      <c r="L629" s="7">
        <f t="shared" ca="1" si="102"/>
        <v>0.9184406482698203</v>
      </c>
      <c r="M629">
        <f t="shared" ca="1" si="103"/>
        <v>1.3463107272193486</v>
      </c>
      <c r="O629" t="b">
        <f t="shared" ca="1" si="104"/>
        <v>1</v>
      </c>
    </row>
    <row r="630" spans="1:15" x14ac:dyDescent="0.45">
      <c r="A630" s="1">
        <v>44323</v>
      </c>
      <c r="B630">
        <v>224.12299999999999</v>
      </c>
      <c r="C630">
        <f t="shared" si="100"/>
        <v>1.3305904693010143E-2</v>
      </c>
      <c r="D630">
        <f t="shared" ca="1" si="105"/>
        <v>4.8286267322819511E-3</v>
      </c>
      <c r="E630">
        <f t="shared" ca="1" si="106"/>
        <v>4.6751441845093708E-2</v>
      </c>
      <c r="F630">
        <f t="shared" ca="1" si="107"/>
        <v>0.1088598812698153</v>
      </c>
      <c r="G630">
        <f t="shared" ca="1" si="108"/>
        <v>3.0615087853160663</v>
      </c>
      <c r="H630">
        <f t="shared" ca="1" si="109"/>
        <v>1.2520030398861903</v>
      </c>
      <c r="I630">
        <f t="shared" ca="1" si="110"/>
        <v>1.4983477855238336</v>
      </c>
      <c r="K630">
        <f t="shared" si="101"/>
        <v>1.0133059046930102</v>
      </c>
      <c r="L630" s="7">
        <f t="shared" ca="1" si="102"/>
        <v>0.94774610960757755</v>
      </c>
      <c r="M630">
        <f t="shared" ca="1" si="103"/>
        <v>1.3428427722724376</v>
      </c>
      <c r="O630" t="b">
        <f t="shared" ca="1" si="104"/>
        <v>1</v>
      </c>
    </row>
    <row r="631" spans="1:15" x14ac:dyDescent="0.45">
      <c r="A631" s="1">
        <v>44322</v>
      </c>
      <c r="B631">
        <v>221.18</v>
      </c>
      <c r="C631">
        <f t="shared" si="100"/>
        <v>-1.1030776178531277E-2</v>
      </c>
      <c r="D631">
        <f t="shared" ca="1" si="105"/>
        <v>4.8385148566071007E-3</v>
      </c>
      <c r="E631">
        <f t="shared" ca="1" si="106"/>
        <v>4.6753452929260808E-2</v>
      </c>
      <c r="F631">
        <f t="shared" ca="1" si="107"/>
        <v>0.10823144051688398</v>
      </c>
      <c r="G631">
        <f t="shared" ca="1" si="108"/>
        <v>3.0603716990252368</v>
      </c>
      <c r="H631">
        <f t="shared" ca="1" si="109"/>
        <v>1.2520030398861903</v>
      </c>
      <c r="I631">
        <f t="shared" ca="1" si="110"/>
        <v>1.4983477855238336</v>
      </c>
      <c r="K631">
        <f t="shared" si="101"/>
        <v>0.98896922382146868</v>
      </c>
      <c r="L631" s="7">
        <f t="shared" ca="1" si="102"/>
        <v>0.98011672065476985</v>
      </c>
      <c r="M631">
        <f t="shared" ca="1" si="103"/>
        <v>1.3654011646853386</v>
      </c>
      <c r="O631" t="b">
        <f t="shared" ca="1" si="104"/>
        <v>1</v>
      </c>
    </row>
    <row r="632" spans="1:15" x14ac:dyDescent="0.45">
      <c r="A632" s="1">
        <v>44321</v>
      </c>
      <c r="B632">
        <v>223.64699999999999</v>
      </c>
      <c r="C632">
        <f t="shared" si="100"/>
        <v>-3.9459678532776732E-3</v>
      </c>
      <c r="D632">
        <f t="shared" ca="1" si="105"/>
        <v>4.6665225806337886E-3</v>
      </c>
      <c r="E632">
        <f t="shared" ca="1" si="106"/>
        <v>4.6875237081899855E-2</v>
      </c>
      <c r="F632">
        <f t="shared" ca="1" si="107"/>
        <v>0.11244605149205444</v>
      </c>
      <c r="G632">
        <f t="shared" ca="1" si="108"/>
        <v>3.0055439565186184</v>
      </c>
      <c r="H632">
        <f t="shared" ca="1" si="109"/>
        <v>1.2520030398861903</v>
      </c>
      <c r="I632">
        <f t="shared" ca="1" si="110"/>
        <v>1.4673375691126587</v>
      </c>
      <c r="K632">
        <f t="shared" si="101"/>
        <v>0.99605403214672228</v>
      </c>
      <c r="L632" s="7">
        <f t="shared" ca="1" si="102"/>
        <v>0.96621548644083155</v>
      </c>
      <c r="M632">
        <f t="shared" ca="1" si="103"/>
        <v>1.342302794949688</v>
      </c>
      <c r="O632" t="b">
        <f t="shared" ca="1" si="104"/>
        <v>1</v>
      </c>
    </row>
    <row r="633" spans="1:15" x14ac:dyDescent="0.45">
      <c r="A633" s="1">
        <v>44320</v>
      </c>
      <c r="B633">
        <v>224.53299999999999</v>
      </c>
      <c r="C633">
        <f t="shared" si="100"/>
        <v>-1.650021901007457E-2</v>
      </c>
      <c r="D633">
        <f t="shared" ca="1" si="105"/>
        <v>5.1598372124163697E-3</v>
      </c>
      <c r="E633">
        <f t="shared" ca="1" si="106"/>
        <v>4.7301370819457761E-2</v>
      </c>
      <c r="F633">
        <f t="shared" ca="1" si="107"/>
        <v>0.1128827727218906</v>
      </c>
      <c r="G633">
        <f t="shared" ca="1" si="108"/>
        <v>2.8529557410010797</v>
      </c>
      <c r="H633">
        <f t="shared" ca="1" si="109"/>
        <v>1.2952095435527127</v>
      </c>
      <c r="I633">
        <f t="shared" ca="1" si="110"/>
        <v>1.4984526594257357</v>
      </c>
      <c r="K633">
        <f t="shared" si="101"/>
        <v>0.98349978098992541</v>
      </c>
      <c r="L633" s="7">
        <f t="shared" ca="1" si="102"/>
        <v>0.9558134288013006</v>
      </c>
      <c r="M633">
        <f t="shared" ca="1" si="103"/>
        <v>1.341078946246324</v>
      </c>
      <c r="O633" t="b">
        <f t="shared" ca="1" si="104"/>
        <v>1</v>
      </c>
    </row>
    <row r="634" spans="1:15" x14ac:dyDescent="0.45">
      <c r="A634" s="1">
        <v>44319</v>
      </c>
      <c r="B634">
        <v>228.3</v>
      </c>
      <c r="C634">
        <f t="shared" si="100"/>
        <v>-3.4590663058186651E-2</v>
      </c>
      <c r="D634">
        <f t="shared" ca="1" si="105"/>
        <v>5.2429880280868753E-3</v>
      </c>
      <c r="E634">
        <f t="shared" ca="1" si="106"/>
        <v>4.7277714510389882E-2</v>
      </c>
      <c r="F634">
        <f t="shared" ca="1" si="107"/>
        <v>0.10820468420434373</v>
      </c>
      <c r="G634">
        <f t="shared" ca="1" si="108"/>
        <v>2.8637474318944669</v>
      </c>
      <c r="H634">
        <f t="shared" ca="1" si="109"/>
        <v>1.2952095435527127</v>
      </c>
      <c r="I634">
        <f t="shared" ca="1" si="110"/>
        <v>1.4984526594257357</v>
      </c>
      <c r="K634">
        <f t="shared" si="101"/>
        <v>0.9654093369418133</v>
      </c>
      <c r="L634" s="7">
        <f t="shared" ca="1" si="102"/>
        <v>0.9277960880573175</v>
      </c>
      <c r="M634">
        <f t="shared" ca="1" si="103"/>
        <v>1.2880855683141252</v>
      </c>
      <c r="O634" t="b">
        <f t="shared" ca="1" si="104"/>
        <v>1</v>
      </c>
    </row>
    <row r="635" spans="1:15" x14ac:dyDescent="0.45">
      <c r="A635" s="1">
        <v>44316</v>
      </c>
      <c r="B635">
        <v>236.48</v>
      </c>
      <c r="C635">
        <f t="shared" si="100"/>
        <v>4.7915734245591902E-2</v>
      </c>
      <c r="D635">
        <f t="shared" ca="1" si="105"/>
        <v>5.2692406535352768E-3</v>
      </c>
      <c r="E635">
        <f t="shared" ca="1" si="106"/>
        <v>4.7256937518434579E-2</v>
      </c>
      <c r="F635">
        <f t="shared" ca="1" si="107"/>
        <v>0.1077146519422436</v>
      </c>
      <c r="G635">
        <f t="shared" ca="1" si="108"/>
        <v>2.8727717973472862</v>
      </c>
      <c r="H635">
        <f t="shared" ca="1" si="109"/>
        <v>1.2952095435527127</v>
      </c>
      <c r="I635">
        <f t="shared" ca="1" si="110"/>
        <v>1.4984526594257357</v>
      </c>
      <c r="K635">
        <f t="shared" si="101"/>
        <v>1.0479157342455918</v>
      </c>
      <c r="L635" s="7">
        <f t="shared" ca="1" si="102"/>
        <v>0.97263637597528907</v>
      </c>
      <c r="M635">
        <f t="shared" ca="1" si="103"/>
        <v>1.2778900527237727</v>
      </c>
      <c r="O635" t="b">
        <f t="shared" ca="1" si="104"/>
        <v>1</v>
      </c>
    </row>
    <row r="636" spans="1:15" x14ac:dyDescent="0.45">
      <c r="A636" s="1">
        <v>44315</v>
      </c>
      <c r="B636">
        <v>225.667</v>
      </c>
      <c r="C636">
        <f t="shared" si="100"/>
        <v>-2.5057567601429194E-2</v>
      </c>
      <c r="D636">
        <f t="shared" ca="1" si="105"/>
        <v>5.1259337386364333E-3</v>
      </c>
      <c r="E636">
        <f t="shared" ca="1" si="106"/>
        <v>4.7170340476301628E-2</v>
      </c>
      <c r="F636">
        <f t="shared" ca="1" si="107"/>
        <v>0.1138965067437534</v>
      </c>
      <c r="G636">
        <f t="shared" ca="1" si="108"/>
        <v>2.9142884416346098</v>
      </c>
      <c r="H636">
        <f t="shared" ca="1" si="109"/>
        <v>1.2952095435527127</v>
      </c>
      <c r="I636">
        <f t="shared" ca="1" si="110"/>
        <v>1.4673375691126587</v>
      </c>
      <c r="K636">
        <f t="shared" si="101"/>
        <v>0.97494243239857081</v>
      </c>
      <c r="L636" s="7">
        <f t="shared" ca="1" si="102"/>
        <v>0.94068287640112225</v>
      </c>
      <c r="M636">
        <f t="shared" ca="1" si="103"/>
        <v>1.308625367675198</v>
      </c>
      <c r="O636" t="b">
        <f t="shared" ca="1" si="104"/>
        <v>1</v>
      </c>
    </row>
    <row r="637" spans="1:15" x14ac:dyDescent="0.45">
      <c r="A637" s="1">
        <v>44314</v>
      </c>
      <c r="B637">
        <v>231.46700000000001</v>
      </c>
      <c r="C637">
        <f t="shared" si="100"/>
        <v>-1.4669260534751153E-2</v>
      </c>
      <c r="D637">
        <f t="shared" ca="1" si="105"/>
        <v>5.3171507979172727E-3</v>
      </c>
      <c r="E637">
        <f t="shared" ca="1" si="106"/>
        <v>4.7124861873944095E-2</v>
      </c>
      <c r="F637">
        <f t="shared" ca="1" si="107"/>
        <v>0.10328967814995793</v>
      </c>
      <c r="G637">
        <f t="shared" ca="1" si="108"/>
        <v>2.9346496511963061</v>
      </c>
      <c r="H637">
        <f t="shared" ca="1" si="109"/>
        <v>1.2952095435527127</v>
      </c>
      <c r="I637">
        <f t="shared" ca="1" si="110"/>
        <v>1.4983477855238336</v>
      </c>
      <c r="K637">
        <f t="shared" si="101"/>
        <v>0.98533073946524885</v>
      </c>
      <c r="L637" s="7">
        <f t="shared" ca="1" si="102"/>
        <v>0.93318416384454128</v>
      </c>
      <c r="M637">
        <f t="shared" ca="1" si="103"/>
        <v>1.2872256448066111</v>
      </c>
      <c r="O637" t="b">
        <f t="shared" ca="1" si="104"/>
        <v>1</v>
      </c>
    </row>
    <row r="638" spans="1:15" x14ac:dyDescent="0.45">
      <c r="A638" s="1">
        <v>44313</v>
      </c>
      <c r="B638">
        <v>234.91300000000001</v>
      </c>
      <c r="C638">
        <f t="shared" si="100"/>
        <v>-4.5329117679331225E-2</v>
      </c>
      <c r="D638">
        <f t="shared" ca="1" si="105"/>
        <v>5.2364335718418894E-3</v>
      </c>
      <c r="E638">
        <f t="shared" ca="1" si="106"/>
        <v>4.7173068266372735E-2</v>
      </c>
      <c r="F638">
        <f t="shared" ca="1" si="107"/>
        <v>0.10626401417947297</v>
      </c>
      <c r="G638">
        <f t="shared" ca="1" si="108"/>
        <v>2.9125806297342161</v>
      </c>
      <c r="H638">
        <f t="shared" ca="1" si="109"/>
        <v>1.2952095435527127</v>
      </c>
      <c r="I638">
        <f t="shared" ca="1" si="110"/>
        <v>1.4673375691126587</v>
      </c>
      <c r="K638">
        <f t="shared" si="101"/>
        <v>0.95467088232066877</v>
      </c>
      <c r="L638" s="7">
        <f t="shared" ca="1" si="102"/>
        <v>0.98018050345693741</v>
      </c>
      <c r="M638">
        <f t="shared" ca="1" si="103"/>
        <v>1.2329120931193831</v>
      </c>
      <c r="O638" t="b">
        <f t="shared" ca="1" si="104"/>
        <v>1</v>
      </c>
    </row>
    <row r="639" spans="1:15" x14ac:dyDescent="0.45">
      <c r="A639" s="1">
        <v>44312</v>
      </c>
      <c r="B639">
        <v>246.06700000000001</v>
      </c>
      <c r="C639">
        <f t="shared" si="100"/>
        <v>1.206746924522791E-2</v>
      </c>
      <c r="D639">
        <f t="shared" ca="1" si="105"/>
        <v>6.0023359809632214E-3</v>
      </c>
      <c r="E639">
        <f t="shared" ca="1" si="106"/>
        <v>4.7589640529846128E-2</v>
      </c>
      <c r="F639">
        <f t="shared" ca="1" si="107"/>
        <v>0.1117000673400059</v>
      </c>
      <c r="G639">
        <f t="shared" ca="1" si="108"/>
        <v>2.8030934279655479</v>
      </c>
      <c r="H639">
        <f t="shared" ca="1" si="109"/>
        <v>1.3527963909881613</v>
      </c>
      <c r="I639">
        <f t="shared" ca="1" si="110"/>
        <v>1.5301204516426232</v>
      </c>
      <c r="K639">
        <f t="shared" si="101"/>
        <v>1.0120674692452278</v>
      </c>
      <c r="L639" s="7">
        <f t="shared" ca="1" si="102"/>
        <v>1.0329835019520592</v>
      </c>
      <c r="M639">
        <f t="shared" ca="1" si="103"/>
        <v>1.1588701477774461</v>
      </c>
      <c r="O639" t="b">
        <f t="shared" ca="1" si="104"/>
        <v>0</v>
      </c>
    </row>
    <row r="640" spans="1:15" x14ac:dyDescent="0.45">
      <c r="A640" s="1">
        <v>44309</v>
      </c>
      <c r="B640">
        <v>243.13300000000001</v>
      </c>
      <c r="C640">
        <f t="shared" si="100"/>
        <v>1.348912241503653E-2</v>
      </c>
      <c r="D640">
        <f t="shared" ca="1" si="105"/>
        <v>6.0459590470864797E-3</v>
      </c>
      <c r="E640">
        <f t="shared" ca="1" si="106"/>
        <v>4.7599225819870174E-2</v>
      </c>
      <c r="F640">
        <f t="shared" ca="1" si="107"/>
        <v>0.10899719194979456</v>
      </c>
      <c r="G640">
        <f t="shared" ca="1" si="108"/>
        <v>2.7980176296735202</v>
      </c>
      <c r="H640">
        <f t="shared" ca="1" si="109"/>
        <v>1.3527963909881613</v>
      </c>
      <c r="I640">
        <f t="shared" ca="1" si="110"/>
        <v>1.5301204516426232</v>
      </c>
      <c r="K640">
        <f t="shared" si="101"/>
        <v>1.0134891224150366</v>
      </c>
      <c r="L640" s="7">
        <f t="shared" ca="1" si="102"/>
        <v>0.98596878256884835</v>
      </c>
      <c r="M640">
        <f t="shared" ca="1" si="103"/>
        <v>1.1050420990592937</v>
      </c>
      <c r="O640" t="b">
        <f t="shared" ca="1" si="104"/>
        <v>1</v>
      </c>
    </row>
    <row r="641" spans="1:15" x14ac:dyDescent="0.45">
      <c r="A641" s="1">
        <v>44308</v>
      </c>
      <c r="B641">
        <v>239.89699999999999</v>
      </c>
      <c r="C641">
        <f t="shared" si="100"/>
        <v>-3.2829382357684248E-2</v>
      </c>
      <c r="D641">
        <f t="shared" ca="1" si="105"/>
        <v>5.8922493198255536E-3</v>
      </c>
      <c r="E641">
        <f t="shared" ca="1" si="106"/>
        <v>4.7624699086939407E-2</v>
      </c>
      <c r="F641">
        <f t="shared" ca="1" si="107"/>
        <v>0.11798909804848173</v>
      </c>
      <c r="G641">
        <f t="shared" ca="1" si="108"/>
        <v>2.7873082116671091</v>
      </c>
      <c r="H641">
        <f t="shared" ca="1" si="109"/>
        <v>1.3527963909881613</v>
      </c>
      <c r="I641">
        <f t="shared" ca="1" si="110"/>
        <v>1.5301204516426232</v>
      </c>
      <c r="K641">
        <f t="shared" si="101"/>
        <v>0.96717061764231571</v>
      </c>
      <c r="L641" s="7">
        <f t="shared" ca="1" si="102"/>
        <v>0.97407047989508</v>
      </c>
      <c r="M641">
        <f t="shared" ca="1" si="103"/>
        <v>1.0396953193517224</v>
      </c>
      <c r="O641" t="b">
        <f t="shared" ca="1" si="104"/>
        <v>1</v>
      </c>
    </row>
    <row r="642" spans="1:15" x14ac:dyDescent="0.45">
      <c r="A642" s="1">
        <v>44307</v>
      </c>
      <c r="B642">
        <v>248.04</v>
      </c>
      <c r="C642">
        <f t="shared" si="100"/>
        <v>3.4953246850786233E-2</v>
      </c>
      <c r="D642">
        <f t="shared" ca="1" si="105"/>
        <v>6.1230310372269144E-3</v>
      </c>
      <c r="E642">
        <f t="shared" ca="1" si="106"/>
        <v>4.7547888517961788E-2</v>
      </c>
      <c r="F642">
        <f t="shared" ca="1" si="107"/>
        <v>0.10661447577638632</v>
      </c>
      <c r="G642">
        <f t="shared" ca="1" si="108"/>
        <v>2.8205590740638966</v>
      </c>
      <c r="H642">
        <f t="shared" ca="1" si="109"/>
        <v>1.3527963909881613</v>
      </c>
      <c r="I642">
        <f t="shared" ca="1" si="110"/>
        <v>1.5772932096902452</v>
      </c>
      <c r="K642">
        <f t="shared" si="101"/>
        <v>1.0349532468507863</v>
      </c>
      <c r="L642" s="7">
        <f t="shared" ca="1" si="102"/>
        <v>1.0162366794085476</v>
      </c>
      <c r="M642">
        <f t="shared" ca="1" si="103"/>
        <v>1.0312600356548169</v>
      </c>
      <c r="O642" t="b">
        <f t="shared" ca="1" si="104"/>
        <v>0</v>
      </c>
    </row>
    <row r="643" spans="1:15" x14ac:dyDescent="0.45">
      <c r="A643" s="1">
        <v>44306</v>
      </c>
      <c r="B643">
        <v>239.66300000000001</v>
      </c>
      <c r="C643">
        <f t="shared" ref="C643:C706" si="111">(B643-B644)/B644</f>
        <v>6.0996599638974136E-3</v>
      </c>
      <c r="D643">
        <f t="shared" ca="1" si="105"/>
        <v>6.6222387385603022E-3</v>
      </c>
      <c r="E643">
        <f t="shared" ca="1" si="106"/>
        <v>4.8369128023442683E-2</v>
      </c>
      <c r="F643">
        <f t="shared" ca="1" si="107"/>
        <v>0.16448027542460572</v>
      </c>
      <c r="G643">
        <f t="shared" ca="1" si="108"/>
        <v>2.6833024626447433</v>
      </c>
      <c r="H643">
        <f t="shared" ca="1" si="109"/>
        <v>1.3676225366867276</v>
      </c>
      <c r="I643">
        <f t="shared" ca="1" si="110"/>
        <v>1.5772932096902452</v>
      </c>
      <c r="K643">
        <f t="shared" ref="K643:K706" si="112">C643+1</f>
        <v>1.0060996599638974</v>
      </c>
      <c r="L643" s="7">
        <f t="shared" ref="L643:L706" ca="1" si="113">PRODUCT(OFFSET(K643,0,0,$J$6,1))</f>
        <v>0.94315780360241952</v>
      </c>
      <c r="M643">
        <f t="shared" ref="M643:M706" ca="1" si="114">OFFSET(D643,$J$6,0)*V$2 + OFFSET(E643,$J$6,0)*U$2 + OFFSET(F643,$J$6,0)*T$2 + OFFSET(G643,$J$6,0)*S$2 + OFFSET(H643,$J$6,0)*R$2 + OFFSET(I643,$J$6,0)*Q$2 + W$2</f>
        <v>1.0226353976135085</v>
      </c>
      <c r="O643" t="b">
        <f t="shared" ref="O643:O706" ca="1" si="115">OR(AND(L643&gt;1, N643&gt;1), AND(L643&lt;1, N643&lt;1))</f>
        <v>1</v>
      </c>
    </row>
    <row r="644" spans="1:15" x14ac:dyDescent="0.45">
      <c r="A644" s="1">
        <v>44305</v>
      </c>
      <c r="B644">
        <v>238.21</v>
      </c>
      <c r="C644">
        <f t="shared" si="111"/>
        <v>-3.3995287781891544E-2</v>
      </c>
      <c r="D644">
        <f t="shared" ref="D644:D707" ca="1" si="116">AVERAGE(OFFSET(C644,0,0,$J$3,1))</f>
        <v>6.9893249086103249E-3</v>
      </c>
      <c r="E644">
        <f t="shared" ref="E644:E707" ca="1" si="117">STDEV(OFFSET(C644,0,0,$J$3,1))</f>
        <v>4.8642958443751404E-2</v>
      </c>
      <c r="F644">
        <f t="shared" ref="F644:F707" ca="1" si="118">SKEW(OFFSET(C644,0,0,$J$3,1))</f>
        <v>0.15593137339345065</v>
      </c>
      <c r="G644">
        <f t="shared" ref="G644:G707" ca="1" si="119">KURT(OFFSET(C644,0,0,$J$3,1))</f>
        <v>2.5763465984166682</v>
      </c>
      <c r="H644">
        <f t="shared" ref="H644:H707" ca="1" si="120">PERCENTILE(OFFSET(C644,0,0,$J$3,1), 0.95)/ABS(PERCENTILE(OFFSET(C644,0,0,$J$3,1), 0.05))</f>
        <v>1.3676225366867276</v>
      </c>
      <c r="I644">
        <f t="shared" ref="I644:I707" ca="1" si="121">PERCENTILE(OFFSET(C644,0,0,$J$3,1), 0.75)/ABS(PERCENTILE(OFFSET(C644,0,0,$J$3,1), 0.25))</f>
        <v>1.6090773637449181</v>
      </c>
      <c r="K644">
        <f t="shared" si="112"/>
        <v>0.96600471221810846</v>
      </c>
      <c r="L644" s="7">
        <f t="shared" ca="1" si="113"/>
        <v>1.018021906638233</v>
      </c>
      <c r="M644">
        <f t="shared" ca="1" si="114"/>
        <v>1.0501529420341305</v>
      </c>
      <c r="O644" t="b">
        <f t="shared" ca="1" si="115"/>
        <v>0</v>
      </c>
    </row>
    <row r="645" spans="1:15" x14ac:dyDescent="0.45">
      <c r="A645" s="1">
        <v>44302</v>
      </c>
      <c r="B645">
        <v>246.59299999999999</v>
      </c>
      <c r="C645">
        <f t="shared" si="111"/>
        <v>1.2587145682000068E-3</v>
      </c>
      <c r="D645">
        <f t="shared" ca="1" si="116"/>
        <v>7.3436880379499003E-3</v>
      </c>
      <c r="E645">
        <f t="shared" ca="1" si="117"/>
        <v>4.8601020732645911E-2</v>
      </c>
      <c r="F645">
        <f t="shared" ca="1" si="118"/>
        <v>0.13846468716785817</v>
      </c>
      <c r="G645">
        <f t="shared" ca="1" si="119"/>
        <v>2.5894495400370001</v>
      </c>
      <c r="H645">
        <f t="shared" ca="1" si="120"/>
        <v>1.3676225366867276</v>
      </c>
      <c r="I645">
        <f t="shared" ca="1" si="121"/>
        <v>1.6486207020372232</v>
      </c>
      <c r="K645">
        <f t="shared" si="112"/>
        <v>1.0012587145681999</v>
      </c>
      <c r="L645" s="7">
        <f t="shared" ca="1" si="113"/>
        <v>1.0927005002813808</v>
      </c>
      <c r="M645">
        <f t="shared" ca="1" si="114"/>
        <v>1.1002407651904238</v>
      </c>
      <c r="O645" t="b">
        <f t="shared" ca="1" si="115"/>
        <v>0</v>
      </c>
    </row>
    <row r="646" spans="1:15" x14ac:dyDescent="0.45">
      <c r="A646" s="1">
        <v>44301</v>
      </c>
      <c r="B646">
        <v>246.28299999999999</v>
      </c>
      <c r="C646">
        <f t="shared" si="111"/>
        <v>9.0381314093502824E-3</v>
      </c>
      <c r="D646">
        <f t="shared" ca="1" si="116"/>
        <v>7.6864284969115453E-3</v>
      </c>
      <c r="E646">
        <f t="shared" ca="1" si="117"/>
        <v>4.8799193917820026E-2</v>
      </c>
      <c r="F646">
        <f t="shared" ca="1" si="118"/>
        <v>0.12615579245510872</v>
      </c>
      <c r="G646">
        <f t="shared" ca="1" si="119"/>
        <v>2.5084472127210988</v>
      </c>
      <c r="H646">
        <f t="shared" ca="1" si="120"/>
        <v>1.3676225366867276</v>
      </c>
      <c r="I646">
        <f t="shared" ca="1" si="121"/>
        <v>1.6856933984424536</v>
      </c>
      <c r="K646">
        <f t="shared" si="112"/>
        <v>1.0090381314093504</v>
      </c>
      <c r="L646" s="7">
        <f t="shared" ca="1" si="113"/>
        <v>1.0805061136386573</v>
      </c>
      <c r="M646">
        <f t="shared" ca="1" si="114"/>
        <v>1.0828178397689325</v>
      </c>
      <c r="O646" t="b">
        <f t="shared" ca="1" si="115"/>
        <v>0</v>
      </c>
    </row>
    <row r="647" spans="1:15" x14ac:dyDescent="0.45">
      <c r="A647" s="1">
        <v>44300</v>
      </c>
      <c r="B647">
        <v>244.077</v>
      </c>
      <c r="C647">
        <f t="shared" si="111"/>
        <v>-3.9471561192725907E-2</v>
      </c>
      <c r="D647">
        <f t="shared" ca="1" si="116"/>
        <v>7.8996905153536391E-3</v>
      </c>
      <c r="E647">
        <f t="shared" ca="1" si="117"/>
        <v>4.8898229985026777E-2</v>
      </c>
      <c r="F647">
        <f t="shared" ca="1" si="118"/>
        <v>0.11587366343898461</v>
      </c>
      <c r="G647">
        <f t="shared" ca="1" si="119"/>
        <v>2.4648032914266151</v>
      </c>
      <c r="H647">
        <f t="shared" ca="1" si="120"/>
        <v>1.3676225366867276</v>
      </c>
      <c r="I647">
        <f t="shared" ca="1" si="121"/>
        <v>1.7832858460292829</v>
      </c>
      <c r="K647">
        <f t="shared" si="112"/>
        <v>0.96052843880727412</v>
      </c>
      <c r="L647" s="7">
        <f t="shared" ca="1" si="113"/>
        <v>1.0913005182042146</v>
      </c>
      <c r="M647">
        <f t="shared" ca="1" si="114"/>
        <v>1.1102279956934678</v>
      </c>
      <c r="O647" t="b">
        <f t="shared" ca="1" si="115"/>
        <v>0</v>
      </c>
    </row>
    <row r="648" spans="1:15" x14ac:dyDescent="0.45">
      <c r="A648" s="1">
        <v>44299</v>
      </c>
      <c r="B648">
        <v>254.107</v>
      </c>
      <c r="C648">
        <f t="shared" si="111"/>
        <v>8.5959836405362575E-2</v>
      </c>
      <c r="D648">
        <f t="shared" ca="1" si="116"/>
        <v>7.9639852774421385E-3</v>
      </c>
      <c r="E648">
        <f t="shared" ca="1" si="117"/>
        <v>4.8844053905804694E-2</v>
      </c>
      <c r="F648">
        <f t="shared" ca="1" si="118"/>
        <v>0.11511061695379569</v>
      </c>
      <c r="G648">
        <f t="shared" ca="1" si="119"/>
        <v>2.4853722755235825</v>
      </c>
      <c r="H648">
        <f t="shared" ca="1" si="120"/>
        <v>1.3676225366867276</v>
      </c>
      <c r="I648">
        <f t="shared" ca="1" si="121"/>
        <v>1.7832858460292829</v>
      </c>
      <c r="K648">
        <f t="shared" si="112"/>
        <v>1.0859598364053626</v>
      </c>
      <c r="L648" s="7">
        <f t="shared" ca="1" si="113"/>
        <v>1.1022252103756398</v>
      </c>
      <c r="M648">
        <f t="shared" ca="1" si="114"/>
        <v>1.096378772209655</v>
      </c>
      <c r="O648" t="b">
        <f t="shared" ca="1" si="115"/>
        <v>0</v>
      </c>
    </row>
    <row r="649" spans="1:15" x14ac:dyDescent="0.45">
      <c r="A649" s="1">
        <v>44298</v>
      </c>
      <c r="B649">
        <v>233.99299999999999</v>
      </c>
      <c r="C649">
        <f t="shared" si="111"/>
        <v>3.6867502979975424E-2</v>
      </c>
      <c r="D649">
        <f t="shared" ca="1" si="116"/>
        <v>7.6649530565606862E-3</v>
      </c>
      <c r="E649">
        <f t="shared" ca="1" si="117"/>
        <v>4.8546315059579959E-2</v>
      </c>
      <c r="F649">
        <f t="shared" ca="1" si="118"/>
        <v>0.11512440550558298</v>
      </c>
      <c r="G649">
        <f t="shared" ca="1" si="119"/>
        <v>2.5905724054534272</v>
      </c>
      <c r="H649">
        <f t="shared" ca="1" si="120"/>
        <v>1.3676225366867276</v>
      </c>
      <c r="I649">
        <f t="shared" ca="1" si="121"/>
        <v>1.6856933984424536</v>
      </c>
      <c r="K649">
        <f t="shared" si="112"/>
        <v>1.0368675029799754</v>
      </c>
      <c r="L649" s="7">
        <f t="shared" ca="1" si="113"/>
        <v>1.0158150640329935</v>
      </c>
      <c r="M649">
        <f t="shared" ca="1" si="114"/>
        <v>1.084114892619521</v>
      </c>
      <c r="O649" t="b">
        <f t="shared" ca="1" si="115"/>
        <v>0</v>
      </c>
    </row>
    <row r="650" spans="1:15" x14ac:dyDescent="0.45">
      <c r="A650" s="1">
        <v>44295</v>
      </c>
      <c r="B650">
        <v>225.673</v>
      </c>
      <c r="C650">
        <f t="shared" si="111"/>
        <v>-9.9151943772950429E-3</v>
      </c>
      <c r="D650">
        <f t="shared" ca="1" si="116"/>
        <v>7.2763340605564364E-3</v>
      </c>
      <c r="E650">
        <f t="shared" ca="1" si="117"/>
        <v>4.862240494329792E-2</v>
      </c>
      <c r="F650">
        <f t="shared" ca="1" si="118"/>
        <v>0.13266131630347799</v>
      </c>
      <c r="G650">
        <f t="shared" ca="1" si="119"/>
        <v>2.5637680526863225</v>
      </c>
      <c r="H650">
        <f t="shared" ca="1" si="120"/>
        <v>1.3676225366867276</v>
      </c>
      <c r="I650">
        <f t="shared" ca="1" si="121"/>
        <v>1.6286511054189921</v>
      </c>
      <c r="K650">
        <f t="shared" si="112"/>
        <v>0.99008480562270496</v>
      </c>
      <c r="L650" s="7">
        <f t="shared" ca="1" si="113"/>
        <v>1.0230752143184199</v>
      </c>
      <c r="M650">
        <f t="shared" ca="1" si="114"/>
        <v>1.1169254190635418</v>
      </c>
      <c r="O650" t="b">
        <f t="shared" ca="1" si="115"/>
        <v>0</v>
      </c>
    </row>
    <row r="651" spans="1:15" x14ac:dyDescent="0.45">
      <c r="A651" s="1">
        <v>44294</v>
      </c>
      <c r="B651">
        <v>227.93299999999999</v>
      </c>
      <c r="C651">
        <f t="shared" si="111"/>
        <v>1.9118561010833472E-2</v>
      </c>
      <c r="D651">
        <f t="shared" ca="1" si="116"/>
        <v>7.3634205924236022E-3</v>
      </c>
      <c r="E651">
        <f t="shared" ca="1" si="117"/>
        <v>4.860705429625093E-2</v>
      </c>
      <c r="F651">
        <f t="shared" ca="1" si="118"/>
        <v>0.12758238737851232</v>
      </c>
      <c r="G651">
        <f t="shared" ca="1" si="119"/>
        <v>2.5698238339006512</v>
      </c>
      <c r="H651">
        <f t="shared" ca="1" si="120"/>
        <v>1.3676225366867276</v>
      </c>
      <c r="I651">
        <f t="shared" ca="1" si="121"/>
        <v>1.6286511054189921</v>
      </c>
      <c r="K651">
        <f t="shared" si="112"/>
        <v>1.0191185610108335</v>
      </c>
      <c r="L651" s="7">
        <f t="shared" ca="1" si="113"/>
        <v>1.0237600104202693</v>
      </c>
      <c r="M651">
        <f t="shared" ca="1" si="114"/>
        <v>1.1165554188838018</v>
      </c>
      <c r="O651" t="b">
        <f t="shared" ca="1" si="115"/>
        <v>0</v>
      </c>
    </row>
    <row r="652" spans="1:15" x14ac:dyDescent="0.45">
      <c r="A652" s="1">
        <v>44293</v>
      </c>
      <c r="B652">
        <v>223.65700000000001</v>
      </c>
      <c r="C652">
        <f t="shared" si="111"/>
        <v>-2.9855990283681712E-2</v>
      </c>
      <c r="D652">
        <f t="shared" ca="1" si="116"/>
        <v>7.2349548894140451E-3</v>
      </c>
      <c r="E652">
        <f t="shared" ca="1" si="117"/>
        <v>4.8609782685825213E-2</v>
      </c>
      <c r="F652">
        <f t="shared" ca="1" si="118"/>
        <v>0.1353779532860119</v>
      </c>
      <c r="G652">
        <f t="shared" ca="1" si="119"/>
        <v>2.5699974331717748</v>
      </c>
      <c r="H652">
        <f t="shared" ca="1" si="120"/>
        <v>1.3676225366867276</v>
      </c>
      <c r="I652">
        <f t="shared" ca="1" si="121"/>
        <v>1.6286511054189921</v>
      </c>
      <c r="K652">
        <f t="shared" si="112"/>
        <v>0.97014400971631831</v>
      </c>
      <c r="L652" s="7">
        <f t="shared" ca="1" si="113"/>
        <v>1.0556182241248298</v>
      </c>
      <c r="M652">
        <f t="shared" ca="1" si="114"/>
        <v>1.1058155358749544</v>
      </c>
      <c r="O652" t="b">
        <f t="shared" ca="1" si="115"/>
        <v>0</v>
      </c>
    </row>
    <row r="653" spans="1:15" x14ac:dyDescent="0.45">
      <c r="A653" s="1">
        <v>44292</v>
      </c>
      <c r="B653">
        <v>230.54</v>
      </c>
      <c r="C653">
        <f t="shared" si="111"/>
        <v>8.2483177772953219E-4</v>
      </c>
      <c r="D653">
        <f t="shared" ca="1" si="116"/>
        <v>7.3689951974401091E-3</v>
      </c>
      <c r="E653">
        <f t="shared" ca="1" si="117"/>
        <v>4.8543907995915681E-2</v>
      </c>
      <c r="F653">
        <f t="shared" ca="1" si="118"/>
        <v>0.12977841829860914</v>
      </c>
      <c r="G653">
        <f t="shared" ca="1" si="119"/>
        <v>2.5972778318517884</v>
      </c>
      <c r="H653">
        <f t="shared" ca="1" si="120"/>
        <v>1.3676225366867276</v>
      </c>
      <c r="I653">
        <f t="shared" ca="1" si="121"/>
        <v>1.6486207020372232</v>
      </c>
      <c r="K653">
        <f t="shared" si="112"/>
        <v>1.0008248317777295</v>
      </c>
      <c r="L653" s="7">
        <f t="shared" ca="1" si="113"/>
        <v>1.1314124742961185</v>
      </c>
      <c r="M653">
        <f t="shared" ca="1" si="114"/>
        <v>1.1609769118384565</v>
      </c>
      <c r="O653" t="b">
        <f t="shared" ca="1" si="115"/>
        <v>0</v>
      </c>
    </row>
    <row r="654" spans="1:15" x14ac:dyDescent="0.45">
      <c r="A654" s="1">
        <v>44291</v>
      </c>
      <c r="B654">
        <v>230.35</v>
      </c>
      <c r="C654">
        <f t="shared" si="111"/>
        <v>4.4278117533989456E-2</v>
      </c>
      <c r="D654">
        <f t="shared" ca="1" si="116"/>
        <v>7.4262298248665018E-3</v>
      </c>
      <c r="E654">
        <f t="shared" ca="1" si="117"/>
        <v>4.8542901583770899E-2</v>
      </c>
      <c r="F654">
        <f t="shared" ca="1" si="118"/>
        <v>0.12623126835685747</v>
      </c>
      <c r="G654">
        <f t="shared" ca="1" si="119"/>
        <v>2.5971286328786958</v>
      </c>
      <c r="H654">
        <f t="shared" ca="1" si="120"/>
        <v>1.3676225366867276</v>
      </c>
      <c r="I654">
        <f t="shared" ca="1" si="121"/>
        <v>1.6486207020372232</v>
      </c>
      <c r="K654">
        <f t="shared" si="112"/>
        <v>1.0442781175339895</v>
      </c>
      <c r="L654" s="7">
        <f t="shared" ca="1" si="113"/>
        <v>1.1169188845842406</v>
      </c>
      <c r="M654">
        <f t="shared" ca="1" si="114"/>
        <v>1.1671275993643841</v>
      </c>
      <c r="O654" t="b">
        <f t="shared" ca="1" si="115"/>
        <v>0</v>
      </c>
    </row>
    <row r="655" spans="1:15" x14ac:dyDescent="0.45">
      <c r="A655" s="1">
        <v>44287</v>
      </c>
      <c r="B655">
        <v>220.583</v>
      </c>
      <c r="C655">
        <f t="shared" si="111"/>
        <v>-9.2524804283090067E-3</v>
      </c>
      <c r="D655">
        <f t="shared" ca="1" si="116"/>
        <v>7.254018087847103E-3</v>
      </c>
      <c r="E655">
        <f t="shared" ca="1" si="117"/>
        <v>4.8472551338552092E-2</v>
      </c>
      <c r="F655">
        <f t="shared" ca="1" si="118"/>
        <v>0.13531780818967226</v>
      </c>
      <c r="G655">
        <f t="shared" ca="1" si="119"/>
        <v>2.6301129091714008</v>
      </c>
      <c r="H655">
        <f t="shared" ca="1" si="120"/>
        <v>1.3676225366867276</v>
      </c>
      <c r="I655">
        <f t="shared" ca="1" si="121"/>
        <v>1.6288069582385445</v>
      </c>
      <c r="K655">
        <f t="shared" si="112"/>
        <v>0.99074751957169105</v>
      </c>
      <c r="L655" s="7">
        <f t="shared" ca="1" si="113"/>
        <v>1.0333547265802507</v>
      </c>
      <c r="M655">
        <f t="shared" ca="1" si="114"/>
        <v>1.12732996940505</v>
      </c>
      <c r="O655" t="b">
        <f t="shared" ca="1" si="115"/>
        <v>0</v>
      </c>
    </row>
    <row r="656" spans="1:15" x14ac:dyDescent="0.45">
      <c r="A656" s="1">
        <v>44286</v>
      </c>
      <c r="B656">
        <v>222.643</v>
      </c>
      <c r="C656">
        <f t="shared" si="111"/>
        <v>5.083233824036102E-2</v>
      </c>
      <c r="D656">
        <f t="shared" ca="1" si="116"/>
        <v>7.256025267463672E-3</v>
      </c>
      <c r="E656">
        <f t="shared" ca="1" si="117"/>
        <v>4.8471872699823268E-2</v>
      </c>
      <c r="F656">
        <f t="shared" ca="1" si="118"/>
        <v>0.13521228158454815</v>
      </c>
      <c r="G656">
        <f t="shared" ca="1" si="119"/>
        <v>2.6304013865796199</v>
      </c>
      <c r="H656">
        <f t="shared" ca="1" si="120"/>
        <v>1.3676225366867276</v>
      </c>
      <c r="I656">
        <f t="shared" ca="1" si="121"/>
        <v>1.6288069582385445</v>
      </c>
      <c r="K656">
        <f t="shared" si="112"/>
        <v>1.050832338240361</v>
      </c>
      <c r="L656" s="7">
        <f t="shared" ca="1" si="113"/>
        <v>1.0597505830834406</v>
      </c>
      <c r="M656">
        <f t="shared" ca="1" si="114"/>
        <v>1.1541778034304935</v>
      </c>
      <c r="O656" t="b">
        <f t="shared" ca="1" si="115"/>
        <v>0</v>
      </c>
    </row>
    <row r="657" spans="1:15" x14ac:dyDescent="0.45">
      <c r="A657" s="1">
        <v>44285</v>
      </c>
      <c r="B657">
        <v>211.87299999999999</v>
      </c>
      <c r="C657">
        <f t="shared" si="111"/>
        <v>3.980114152225863E-2</v>
      </c>
      <c r="D657">
        <f t="shared" ca="1" si="116"/>
        <v>7.2992076871163701E-3</v>
      </c>
      <c r="E657">
        <f t="shared" ca="1" si="117"/>
        <v>4.8514716946864447E-2</v>
      </c>
      <c r="F657">
        <f t="shared" ca="1" si="118"/>
        <v>0.13480622349059132</v>
      </c>
      <c r="G657">
        <f t="shared" ca="1" si="119"/>
        <v>2.6134594288665056</v>
      </c>
      <c r="H657">
        <f t="shared" ca="1" si="120"/>
        <v>1.3676225366867276</v>
      </c>
      <c r="I657">
        <f t="shared" ca="1" si="121"/>
        <v>1.6288069582385445</v>
      </c>
      <c r="K657">
        <f t="shared" si="112"/>
        <v>1.0398011415222586</v>
      </c>
      <c r="L657" s="7">
        <f t="shared" ca="1" si="113"/>
        <v>0.95991754258789408</v>
      </c>
      <c r="M657">
        <f t="shared" ca="1" si="114"/>
        <v>1.0487749932988151</v>
      </c>
      <c r="O657" t="b">
        <f t="shared" ca="1" si="115"/>
        <v>1</v>
      </c>
    </row>
    <row r="658" spans="1:15" x14ac:dyDescent="0.45">
      <c r="A658" s="1">
        <v>44284</v>
      </c>
      <c r="B658">
        <v>203.76300000000001</v>
      </c>
      <c r="C658">
        <f t="shared" si="111"/>
        <v>-1.199590762084393E-2</v>
      </c>
      <c r="D658">
        <f t="shared" ca="1" si="116"/>
        <v>6.9071589302883533E-3</v>
      </c>
      <c r="E658">
        <f t="shared" ca="1" si="117"/>
        <v>4.8567535007708898E-2</v>
      </c>
      <c r="F658">
        <f t="shared" ca="1" si="118"/>
        <v>0.15302069925913764</v>
      </c>
      <c r="G658">
        <f t="shared" ca="1" si="119"/>
        <v>2.5966154120140787</v>
      </c>
      <c r="H658">
        <f t="shared" ca="1" si="120"/>
        <v>1.3676225366867276</v>
      </c>
      <c r="I658">
        <f t="shared" ca="1" si="121"/>
        <v>1.5772932096902452</v>
      </c>
      <c r="K658">
        <f t="shared" si="112"/>
        <v>0.9880040923791561</v>
      </c>
      <c r="L658" s="7">
        <f t="shared" ca="1" si="113"/>
        <v>0.91237300354179651</v>
      </c>
      <c r="M658">
        <f t="shared" ca="1" si="114"/>
        <v>1.0103413762863895</v>
      </c>
      <c r="O658" t="b">
        <f t="shared" ca="1" si="115"/>
        <v>1</v>
      </c>
    </row>
    <row r="659" spans="1:15" x14ac:dyDescent="0.45">
      <c r="A659" s="1">
        <v>44281</v>
      </c>
      <c r="B659">
        <v>206.23699999999999</v>
      </c>
      <c r="C659">
        <f t="shared" si="111"/>
        <v>-3.3851299756866529E-2</v>
      </c>
      <c r="D659">
        <f t="shared" ca="1" si="116"/>
        <v>6.7124656498338767E-3</v>
      </c>
      <c r="E659">
        <f t="shared" ca="1" si="117"/>
        <v>4.8721495660857018E-2</v>
      </c>
      <c r="F659">
        <f t="shared" ca="1" si="118"/>
        <v>0.15548713067328207</v>
      </c>
      <c r="G659">
        <f t="shared" ca="1" si="119"/>
        <v>2.5382403071868165</v>
      </c>
      <c r="H659">
        <f t="shared" ca="1" si="120"/>
        <v>1.3676225366867276</v>
      </c>
      <c r="I659">
        <f t="shared" ca="1" si="121"/>
        <v>1.5301204516426232</v>
      </c>
      <c r="K659">
        <f t="shared" si="112"/>
        <v>0.96614870024313348</v>
      </c>
      <c r="L659" s="7">
        <f t="shared" ca="1" si="113"/>
        <v>0.94478446103806857</v>
      </c>
      <c r="M659">
        <f t="shared" ca="1" si="114"/>
        <v>1.049531323232896</v>
      </c>
      <c r="O659" t="b">
        <f t="shared" ca="1" si="115"/>
        <v>1</v>
      </c>
    </row>
    <row r="660" spans="1:15" x14ac:dyDescent="0.45">
      <c r="A660" s="1">
        <v>44280</v>
      </c>
      <c r="B660">
        <v>213.46299999999999</v>
      </c>
      <c r="C660">
        <f t="shared" si="111"/>
        <v>1.6055024037317296E-2</v>
      </c>
      <c r="D660">
        <f t="shared" ca="1" si="116"/>
        <v>7.3302378068807539E-3</v>
      </c>
      <c r="E660">
        <f t="shared" ca="1" si="117"/>
        <v>4.8987166139978437E-2</v>
      </c>
      <c r="F660">
        <f t="shared" ca="1" si="118"/>
        <v>0.14231652554719776</v>
      </c>
      <c r="G660">
        <f t="shared" ca="1" si="119"/>
        <v>2.4500058703517276</v>
      </c>
      <c r="H660">
        <f t="shared" ca="1" si="120"/>
        <v>1.4151904480551454</v>
      </c>
      <c r="I660">
        <f t="shared" ca="1" si="121"/>
        <v>1.6090773637449181</v>
      </c>
      <c r="K660">
        <f t="shared" si="112"/>
        <v>1.0160550240373174</v>
      </c>
      <c r="L660" s="7">
        <f t="shared" ca="1" si="113"/>
        <v>0.9804473635862575</v>
      </c>
      <c r="M660">
        <f t="shared" ca="1" si="114"/>
        <v>1.050592617876799</v>
      </c>
      <c r="O660" t="b">
        <f t="shared" ca="1" si="115"/>
        <v>1</v>
      </c>
    </row>
    <row r="661" spans="1:15" x14ac:dyDescent="0.45">
      <c r="A661" s="1">
        <v>44279</v>
      </c>
      <c r="B661">
        <v>210.09</v>
      </c>
      <c r="C661">
        <f t="shared" si="111"/>
        <v>-4.8160565422254421E-2</v>
      </c>
      <c r="D661">
        <f t="shared" ca="1" si="116"/>
        <v>7.2012717442990178E-3</v>
      </c>
      <c r="E661">
        <f t="shared" ca="1" si="117"/>
        <v>4.8998032453103191E-2</v>
      </c>
      <c r="F661">
        <f t="shared" ca="1" si="118"/>
        <v>0.14995461698053747</v>
      </c>
      <c r="G661">
        <f t="shared" ca="1" si="119"/>
        <v>2.4467713303248804</v>
      </c>
      <c r="H661">
        <f t="shared" ca="1" si="120"/>
        <v>1.4151904480551454</v>
      </c>
      <c r="I661">
        <f t="shared" ca="1" si="121"/>
        <v>1.6090773637449181</v>
      </c>
      <c r="K661">
        <f t="shared" si="112"/>
        <v>0.95183943457774556</v>
      </c>
      <c r="L661" s="7">
        <f t="shared" ca="1" si="113"/>
        <v>0.8980622988240422</v>
      </c>
      <c r="M661">
        <f t="shared" ca="1" si="114"/>
        <v>1.1680863847493388</v>
      </c>
      <c r="O661" t="b">
        <f t="shared" ca="1" si="115"/>
        <v>1</v>
      </c>
    </row>
    <row r="662" spans="1:15" x14ac:dyDescent="0.45">
      <c r="A662" s="1">
        <v>44278</v>
      </c>
      <c r="B662">
        <v>220.72</v>
      </c>
      <c r="C662">
        <f t="shared" si="111"/>
        <v>-1.1700017462712629E-2</v>
      </c>
      <c r="D662">
        <f t="shared" ca="1" si="116"/>
        <v>7.8048548708479996E-3</v>
      </c>
      <c r="E662">
        <f t="shared" ca="1" si="117"/>
        <v>4.9056120178752868E-2</v>
      </c>
      <c r="F662">
        <f t="shared" ca="1" si="118"/>
        <v>0.13143397021452616</v>
      </c>
      <c r="G662">
        <f t="shared" ca="1" si="119"/>
        <v>2.4211804546815294</v>
      </c>
      <c r="H662">
        <f t="shared" ca="1" si="120"/>
        <v>1.4151904480551454</v>
      </c>
      <c r="I662">
        <f t="shared" ca="1" si="121"/>
        <v>1.6486207020372232</v>
      </c>
      <c r="K662">
        <f t="shared" si="112"/>
        <v>0.98829998253728735</v>
      </c>
      <c r="L662" s="7">
        <f t="shared" ca="1" si="113"/>
        <v>0.97825171632827634</v>
      </c>
      <c r="M662">
        <f t="shared" ca="1" si="114"/>
        <v>1.1213374364650139</v>
      </c>
      <c r="O662" t="b">
        <f t="shared" ca="1" si="115"/>
        <v>1</v>
      </c>
    </row>
    <row r="663" spans="1:15" x14ac:dyDescent="0.45">
      <c r="A663" s="1">
        <v>44277</v>
      </c>
      <c r="B663">
        <v>223.333</v>
      </c>
      <c r="C663">
        <f t="shared" si="111"/>
        <v>2.3102295112006992E-2</v>
      </c>
      <c r="D663">
        <f t="shared" ca="1" si="116"/>
        <v>7.9864519311925054E-3</v>
      </c>
      <c r="E663">
        <f t="shared" ca="1" si="117"/>
        <v>4.9050777488587737E-2</v>
      </c>
      <c r="F663">
        <f t="shared" ca="1" si="118"/>
        <v>0.12078163090812856</v>
      </c>
      <c r="G663">
        <f t="shared" ca="1" si="119"/>
        <v>2.4215950261076555</v>
      </c>
      <c r="H663">
        <f t="shared" ca="1" si="120"/>
        <v>1.4151904480551454</v>
      </c>
      <c r="I663">
        <f t="shared" ca="1" si="121"/>
        <v>1.6486207020372232</v>
      </c>
      <c r="K663">
        <f t="shared" si="112"/>
        <v>1.023102295112007</v>
      </c>
      <c r="L663" s="7">
        <f t="shared" ca="1" si="113"/>
        <v>0.94640647512501064</v>
      </c>
      <c r="M663">
        <f t="shared" ca="1" si="114"/>
        <v>1.0627195497123592</v>
      </c>
      <c r="O663" t="b">
        <f t="shared" ca="1" si="115"/>
        <v>1</v>
      </c>
    </row>
    <row r="664" spans="1:15" x14ac:dyDescent="0.45">
      <c r="A664" s="1">
        <v>44274</v>
      </c>
      <c r="B664">
        <v>218.29</v>
      </c>
      <c r="C664">
        <f t="shared" si="111"/>
        <v>2.6180415212198843E-3</v>
      </c>
      <c r="D664">
        <f t="shared" ca="1" si="116"/>
        <v>7.7657233450045826E-3</v>
      </c>
      <c r="E664">
        <f t="shared" ca="1" si="117"/>
        <v>4.9081732487231709E-2</v>
      </c>
      <c r="F664">
        <f t="shared" ca="1" si="118"/>
        <v>0.1329826053749778</v>
      </c>
      <c r="G664">
        <f t="shared" ca="1" si="119"/>
        <v>2.4107182834072889</v>
      </c>
      <c r="H664">
        <f t="shared" ca="1" si="120"/>
        <v>1.4151904480551454</v>
      </c>
      <c r="I664">
        <f t="shared" ca="1" si="121"/>
        <v>1.6363331691301455</v>
      </c>
      <c r="K664">
        <f t="shared" si="112"/>
        <v>1.0026180415212198</v>
      </c>
      <c r="L664" s="7">
        <f t="shared" ca="1" si="113"/>
        <v>0.94398533144787089</v>
      </c>
      <c r="M664">
        <f t="shared" ca="1" si="114"/>
        <v>1.1011567957901987</v>
      </c>
      <c r="O664" t="b">
        <f t="shared" ca="1" si="115"/>
        <v>1</v>
      </c>
    </row>
    <row r="665" spans="1:15" x14ac:dyDescent="0.45">
      <c r="A665" s="1">
        <v>44273</v>
      </c>
      <c r="B665">
        <v>217.72</v>
      </c>
      <c r="C665">
        <f t="shared" si="111"/>
        <v>-6.9322082440999119E-2</v>
      </c>
      <c r="D665">
        <f t="shared" ca="1" si="116"/>
        <v>7.7605707661828937E-3</v>
      </c>
      <c r="E665">
        <f t="shared" ca="1" si="117"/>
        <v>4.9082329692118225E-2</v>
      </c>
      <c r="F665">
        <f t="shared" ca="1" si="118"/>
        <v>0.1332915996003837</v>
      </c>
      <c r="G665">
        <f t="shared" ca="1" si="119"/>
        <v>2.4105104360385994</v>
      </c>
      <c r="H665">
        <f t="shared" ca="1" si="120"/>
        <v>1.4151904480551454</v>
      </c>
      <c r="I665">
        <f t="shared" ca="1" si="121"/>
        <v>1.6363331691301455</v>
      </c>
      <c r="K665">
        <f t="shared" si="112"/>
        <v>0.93067791755900087</v>
      </c>
      <c r="L665" s="7">
        <f t="shared" ca="1" si="113"/>
        <v>0.93361921097770151</v>
      </c>
      <c r="M665">
        <f t="shared" ca="1" si="114"/>
        <v>1.0913866229673204</v>
      </c>
      <c r="O665" t="b">
        <f t="shared" ca="1" si="115"/>
        <v>1</v>
      </c>
    </row>
    <row r="666" spans="1:15" x14ac:dyDescent="0.45">
      <c r="A666" s="1">
        <v>44272</v>
      </c>
      <c r="B666">
        <v>233.93700000000001</v>
      </c>
      <c r="C666">
        <f t="shared" si="111"/>
        <v>3.6830698453642521E-2</v>
      </c>
      <c r="D666">
        <f t="shared" ca="1" si="116"/>
        <v>8.015103407495016E-3</v>
      </c>
      <c r="E666">
        <f t="shared" ca="1" si="117"/>
        <v>4.8811834343924075E-2</v>
      </c>
      <c r="F666">
        <f t="shared" ca="1" si="118"/>
        <v>0.1389248784176238</v>
      </c>
      <c r="G666">
        <f t="shared" ca="1" si="119"/>
        <v>2.4975605944302597</v>
      </c>
      <c r="H666">
        <f t="shared" ca="1" si="120"/>
        <v>1.5323906728775778</v>
      </c>
      <c r="I666">
        <f t="shared" ca="1" si="121"/>
        <v>1.6486207020372232</v>
      </c>
      <c r="K666">
        <f t="shared" si="112"/>
        <v>1.0368306984536426</v>
      </c>
      <c r="L666" s="7">
        <f t="shared" ca="1" si="113"/>
        <v>1.0505193388028939</v>
      </c>
      <c r="M666">
        <f t="shared" ca="1" si="114"/>
        <v>1.1308727346260028</v>
      </c>
      <c r="O666" t="b">
        <f t="shared" ca="1" si="115"/>
        <v>0</v>
      </c>
    </row>
    <row r="667" spans="1:15" x14ac:dyDescent="0.45">
      <c r="A667" s="1">
        <v>44271</v>
      </c>
      <c r="B667">
        <v>225.62700000000001</v>
      </c>
      <c r="C667">
        <f t="shared" si="111"/>
        <v>-4.3872362064581664E-2</v>
      </c>
      <c r="D667">
        <f t="shared" ca="1" si="116"/>
        <v>8.2087880123297447E-3</v>
      </c>
      <c r="E667">
        <f t="shared" ca="1" si="117"/>
        <v>4.900322727492968E-2</v>
      </c>
      <c r="F667">
        <f t="shared" ca="1" si="118"/>
        <v>0.13759129373115495</v>
      </c>
      <c r="G667">
        <f t="shared" ca="1" si="119"/>
        <v>2.427231541756945</v>
      </c>
      <c r="H667">
        <f t="shared" ca="1" si="120"/>
        <v>1.5323906728775778</v>
      </c>
      <c r="I667">
        <f t="shared" ca="1" si="121"/>
        <v>1.6486207020372232</v>
      </c>
      <c r="K667">
        <f t="shared" si="112"/>
        <v>0.95612763793541833</v>
      </c>
      <c r="L667" s="7">
        <f t="shared" ca="1" si="113"/>
        <v>1.0048991880709224</v>
      </c>
      <c r="M667">
        <f t="shared" ca="1" si="114"/>
        <v>1.1351617402550072</v>
      </c>
      <c r="O667" t="b">
        <f t="shared" ca="1" si="115"/>
        <v>0</v>
      </c>
    </row>
    <row r="668" spans="1:15" x14ac:dyDescent="0.45">
      <c r="A668" s="1">
        <v>44270</v>
      </c>
      <c r="B668">
        <v>235.98</v>
      </c>
      <c r="C668">
        <f t="shared" si="111"/>
        <v>2.0484944409128038E-2</v>
      </c>
      <c r="D668">
        <f t="shared" ca="1" si="116"/>
        <v>8.6092718110109528E-3</v>
      </c>
      <c r="E668">
        <f t="shared" ca="1" si="117"/>
        <v>4.890264614131816E-2</v>
      </c>
      <c r="F668">
        <f t="shared" ca="1" si="118"/>
        <v>0.1207107879484806</v>
      </c>
      <c r="G668">
        <f t="shared" ca="1" si="119"/>
        <v>2.4618434186192264</v>
      </c>
      <c r="H668">
        <f t="shared" ca="1" si="120"/>
        <v>1.5323906728775778</v>
      </c>
      <c r="I668">
        <f t="shared" ca="1" si="121"/>
        <v>1.6875136686119285</v>
      </c>
      <c r="K668">
        <f t="shared" si="112"/>
        <v>1.020484944409128</v>
      </c>
      <c r="L668" s="7">
        <f t="shared" ca="1" si="113"/>
        <v>1.2574400400709769</v>
      </c>
      <c r="M668">
        <f t="shared" ca="1" si="114"/>
        <v>0.96829028962478825</v>
      </c>
      <c r="O668" t="b">
        <f t="shared" ca="1" si="115"/>
        <v>0</v>
      </c>
    </row>
    <row r="669" spans="1:15" x14ac:dyDescent="0.45">
      <c r="A669" s="1">
        <v>44267</v>
      </c>
      <c r="B669">
        <v>231.24299999999999</v>
      </c>
      <c r="C669">
        <f t="shared" si="111"/>
        <v>-8.3919382504287904E-3</v>
      </c>
      <c r="D669">
        <f t="shared" ca="1" si="116"/>
        <v>8.418947963110374E-3</v>
      </c>
      <c r="E669">
        <f t="shared" ca="1" si="117"/>
        <v>4.8930259245299541E-2</v>
      </c>
      <c r="F669">
        <f t="shared" ca="1" si="118"/>
        <v>0.13144269895376984</v>
      </c>
      <c r="G669">
        <f t="shared" ca="1" si="119"/>
        <v>2.4518214890221532</v>
      </c>
      <c r="H669">
        <f t="shared" ca="1" si="120"/>
        <v>1.5323906728775778</v>
      </c>
      <c r="I669">
        <f t="shared" ca="1" si="121"/>
        <v>1.6875136686119285</v>
      </c>
      <c r="K669">
        <f t="shared" si="112"/>
        <v>0.99160806174957117</v>
      </c>
      <c r="L669" s="7">
        <f t="shared" ca="1" si="113"/>
        <v>1.1601770044702659</v>
      </c>
      <c r="M669">
        <f t="shared" ca="1" si="114"/>
        <v>0.93029634664788263</v>
      </c>
      <c r="O669" t="b">
        <f t="shared" ca="1" si="115"/>
        <v>0</v>
      </c>
    </row>
    <row r="670" spans="1:15" x14ac:dyDescent="0.45">
      <c r="A670" s="1">
        <v>44266</v>
      </c>
      <c r="B670">
        <v>233.2</v>
      </c>
      <c r="C670">
        <f t="shared" si="111"/>
        <v>4.7209760785317405E-2</v>
      </c>
      <c r="D670">
        <f t="shared" ca="1" si="116"/>
        <v>8.4692148388406299E-3</v>
      </c>
      <c r="E670">
        <f t="shared" ca="1" si="117"/>
        <v>4.8918064836456852E-2</v>
      </c>
      <c r="F670">
        <f t="shared" ca="1" si="118"/>
        <v>0.1286197880307676</v>
      </c>
      <c r="G670">
        <f t="shared" ca="1" si="119"/>
        <v>2.4566890666890746</v>
      </c>
      <c r="H670">
        <f t="shared" ca="1" si="120"/>
        <v>1.5323906728775778</v>
      </c>
      <c r="I670">
        <f t="shared" ca="1" si="121"/>
        <v>1.6875136686119285</v>
      </c>
      <c r="K670">
        <f t="shared" si="112"/>
        <v>1.0472097607853175</v>
      </c>
      <c r="L670" s="7">
        <f t="shared" ca="1" si="113"/>
        <v>1.1257705880365152</v>
      </c>
      <c r="M670">
        <f t="shared" ca="1" si="114"/>
        <v>0.91168840685111485</v>
      </c>
      <c r="O670" t="b">
        <f t="shared" ca="1" si="115"/>
        <v>0</v>
      </c>
    </row>
    <row r="671" spans="1:15" x14ac:dyDescent="0.45">
      <c r="A671" s="1">
        <v>44265</v>
      </c>
      <c r="B671">
        <v>222.68700000000001</v>
      </c>
      <c r="C671">
        <f t="shared" si="111"/>
        <v>-8.1950055004519507E-3</v>
      </c>
      <c r="D671">
        <f t="shared" ca="1" si="116"/>
        <v>8.2453403982389109E-3</v>
      </c>
      <c r="E671">
        <f t="shared" ca="1" si="117"/>
        <v>4.8842274908724517E-2</v>
      </c>
      <c r="F671">
        <f t="shared" ca="1" si="118"/>
        <v>0.14056683134942838</v>
      </c>
      <c r="G671">
        <f t="shared" ca="1" si="119"/>
        <v>2.4913728699760744</v>
      </c>
      <c r="H671">
        <f t="shared" ca="1" si="120"/>
        <v>1.5323906728775778</v>
      </c>
      <c r="I671">
        <f t="shared" ca="1" si="121"/>
        <v>1.6576159340626069</v>
      </c>
      <c r="K671">
        <f t="shared" si="112"/>
        <v>0.99180499449954806</v>
      </c>
      <c r="L671" s="7">
        <f t="shared" ca="1" si="113"/>
        <v>1.0227526374045279</v>
      </c>
      <c r="M671">
        <f t="shared" ca="1" si="114"/>
        <v>0.87784727247452743</v>
      </c>
      <c r="O671" t="b">
        <f t="shared" ca="1" si="115"/>
        <v>0</v>
      </c>
    </row>
    <row r="672" spans="1:15" x14ac:dyDescent="0.45">
      <c r="A672" s="1">
        <v>44264</v>
      </c>
      <c r="B672">
        <v>224.52699999999999</v>
      </c>
      <c r="C672">
        <f t="shared" si="111"/>
        <v>0.19641172928644879</v>
      </c>
      <c r="D672">
        <f t="shared" ca="1" si="116"/>
        <v>8.221555840942002E-3</v>
      </c>
      <c r="E672">
        <f t="shared" ca="1" si="117"/>
        <v>4.8851478400388816E-2</v>
      </c>
      <c r="F672">
        <f t="shared" ca="1" si="118"/>
        <v>0.14174156226364523</v>
      </c>
      <c r="G672">
        <f t="shared" ca="1" si="119"/>
        <v>2.4875986608602991</v>
      </c>
      <c r="H672">
        <f t="shared" ca="1" si="120"/>
        <v>1.5323906728775778</v>
      </c>
      <c r="I672">
        <f t="shared" ca="1" si="121"/>
        <v>1.6576159340626069</v>
      </c>
      <c r="K672">
        <f t="shared" si="112"/>
        <v>1.1964117292864489</v>
      </c>
      <c r="L672" s="7">
        <f t="shared" ca="1" si="113"/>
        <v>0.98126854680459596</v>
      </c>
      <c r="M672">
        <f t="shared" ca="1" si="114"/>
        <v>0.87739534402404873</v>
      </c>
      <c r="O672" t="b">
        <f t="shared" ca="1" si="115"/>
        <v>1</v>
      </c>
    </row>
    <row r="673" spans="1:15" x14ac:dyDescent="0.45">
      <c r="A673" s="1">
        <v>44263</v>
      </c>
      <c r="B673">
        <v>187.667</v>
      </c>
      <c r="C673">
        <f t="shared" si="111"/>
        <v>-5.8449605402449388E-2</v>
      </c>
      <c r="D673">
        <f t="shared" ca="1" si="116"/>
        <v>7.3133053301416362E-3</v>
      </c>
      <c r="E673">
        <f t="shared" ca="1" si="117"/>
        <v>4.6988139677052142E-2</v>
      </c>
      <c r="F673">
        <f t="shared" ca="1" si="118"/>
        <v>-0.10821382099029773</v>
      </c>
      <c r="G673">
        <f t="shared" ca="1" si="119"/>
        <v>2.0755416517496315</v>
      </c>
      <c r="H673">
        <f t="shared" ca="1" si="120"/>
        <v>1.47661278056062</v>
      </c>
      <c r="I673">
        <f t="shared" ca="1" si="121"/>
        <v>1.6376940821814925</v>
      </c>
      <c r="K673">
        <f t="shared" si="112"/>
        <v>0.94155039459755063</v>
      </c>
      <c r="L673" s="7">
        <f t="shared" ca="1" si="113"/>
        <v>0.78365354501684936</v>
      </c>
      <c r="M673">
        <f t="shared" ca="1" si="114"/>
        <v>0.8403529858482206</v>
      </c>
      <c r="O673" t="b">
        <f t="shared" ca="1" si="115"/>
        <v>1</v>
      </c>
    </row>
    <row r="674" spans="1:15" x14ac:dyDescent="0.45">
      <c r="A674" s="1">
        <v>44260</v>
      </c>
      <c r="B674">
        <v>199.31700000000001</v>
      </c>
      <c r="C674">
        <f t="shared" si="111"/>
        <v>-3.7799244015119624E-2</v>
      </c>
      <c r="D674">
        <f t="shared" ca="1" si="116"/>
        <v>7.6522792929256782E-3</v>
      </c>
      <c r="E674">
        <f t="shared" ca="1" si="117"/>
        <v>4.6755299930034959E-2</v>
      </c>
      <c r="F674">
        <f t="shared" ca="1" si="118"/>
        <v>-0.11768398031794712</v>
      </c>
      <c r="G674">
        <f t="shared" ca="1" si="119"/>
        <v>2.1612095247297516</v>
      </c>
      <c r="H674">
        <f t="shared" ca="1" si="120"/>
        <v>1.4809255628865536</v>
      </c>
      <c r="I674">
        <f t="shared" ca="1" si="121"/>
        <v>1.6583943874690978</v>
      </c>
      <c r="K674">
        <f t="shared" si="112"/>
        <v>0.96220075598488042</v>
      </c>
      <c r="L674" s="7">
        <f t="shared" ca="1" si="113"/>
        <v>0.88519632095289291</v>
      </c>
      <c r="M674">
        <f t="shared" ca="1" si="114"/>
        <v>0.90419178303194325</v>
      </c>
      <c r="O674" t="b">
        <f t="shared" ca="1" si="115"/>
        <v>1</v>
      </c>
    </row>
    <row r="675" spans="1:15" x14ac:dyDescent="0.45">
      <c r="A675" s="1">
        <v>44259</v>
      </c>
      <c r="B675">
        <v>207.14699999999999</v>
      </c>
      <c r="C675">
        <f t="shared" si="111"/>
        <v>-4.8619180372290891E-2</v>
      </c>
      <c r="D675">
        <f t="shared" ca="1" si="116"/>
        <v>7.8067358573838562E-3</v>
      </c>
      <c r="E675">
        <f t="shared" ca="1" si="117"/>
        <v>4.6655313841937399E-2</v>
      </c>
      <c r="F675">
        <f t="shared" ca="1" si="118"/>
        <v>-0.12393559256605509</v>
      </c>
      <c r="G675">
        <f t="shared" ca="1" si="119"/>
        <v>2.2029801516760363</v>
      </c>
      <c r="H675">
        <f t="shared" ca="1" si="120"/>
        <v>1.4809255628865536</v>
      </c>
      <c r="I675">
        <f t="shared" ca="1" si="121"/>
        <v>1.6711794902397763</v>
      </c>
      <c r="K675">
        <f t="shared" si="112"/>
        <v>0.95138081962770915</v>
      </c>
      <c r="L675" s="7">
        <f t="shared" ca="1" si="113"/>
        <v>0.91090863517833653</v>
      </c>
      <c r="M675">
        <f t="shared" ca="1" si="114"/>
        <v>0.89718333285705176</v>
      </c>
      <c r="O675" t="b">
        <f t="shared" ca="1" si="115"/>
        <v>1</v>
      </c>
    </row>
    <row r="676" spans="1:15" x14ac:dyDescent="0.45">
      <c r="A676" s="1">
        <v>44258</v>
      </c>
      <c r="B676">
        <v>217.733</v>
      </c>
      <c r="C676">
        <f t="shared" si="111"/>
        <v>-4.8423822073046484E-2</v>
      </c>
      <c r="D676">
        <f t="shared" ca="1" si="116"/>
        <v>8.1403006206890571E-3</v>
      </c>
      <c r="E676">
        <f t="shared" ca="1" si="117"/>
        <v>4.6488050533257809E-2</v>
      </c>
      <c r="F676">
        <f t="shared" ca="1" si="118"/>
        <v>-0.13789020589949086</v>
      </c>
      <c r="G676">
        <f t="shared" ca="1" si="119"/>
        <v>2.2714197813019821</v>
      </c>
      <c r="H676">
        <f t="shared" ca="1" si="120"/>
        <v>1.4809255628865536</v>
      </c>
      <c r="I676">
        <f t="shared" ca="1" si="121"/>
        <v>1.722189712301446</v>
      </c>
      <c r="K676">
        <f t="shared" si="112"/>
        <v>0.95157617792695348</v>
      </c>
      <c r="L676" s="7">
        <f t="shared" ca="1" si="113"/>
        <v>0.88029837470688121</v>
      </c>
      <c r="M676">
        <f t="shared" ca="1" si="114"/>
        <v>0.94985512246600523</v>
      </c>
      <c r="O676" t="b">
        <f t="shared" ca="1" si="115"/>
        <v>1</v>
      </c>
    </row>
    <row r="677" spans="1:15" x14ac:dyDescent="0.45">
      <c r="A677" s="1">
        <v>44257</v>
      </c>
      <c r="B677">
        <v>228.81299999999999</v>
      </c>
      <c r="C677">
        <f t="shared" si="111"/>
        <v>-4.453037243660149E-2</v>
      </c>
      <c r="D677">
        <f t="shared" ca="1" si="116"/>
        <v>8.356530603367579E-3</v>
      </c>
      <c r="E677">
        <f t="shared" ca="1" si="117"/>
        <v>4.6323916951346328E-2</v>
      </c>
      <c r="F677">
        <f t="shared" ca="1" si="118"/>
        <v>-0.14438563029430496</v>
      </c>
      <c r="G677">
        <f t="shared" ca="1" si="119"/>
        <v>2.3383183256763207</v>
      </c>
      <c r="H677">
        <f t="shared" ca="1" si="120"/>
        <v>1.4809255628865536</v>
      </c>
      <c r="I677">
        <f t="shared" ca="1" si="121"/>
        <v>1.7925987672112669</v>
      </c>
      <c r="K677">
        <f t="shared" si="112"/>
        <v>0.95546962756339848</v>
      </c>
      <c r="L677" s="7">
        <f t="shared" ca="1" si="113"/>
        <v>0.9822534739661809</v>
      </c>
      <c r="M677">
        <f t="shared" ca="1" si="114"/>
        <v>0.96318653738250726</v>
      </c>
      <c r="O677" t="b">
        <f t="shared" ca="1" si="115"/>
        <v>1</v>
      </c>
    </row>
    <row r="678" spans="1:15" x14ac:dyDescent="0.45">
      <c r="A678" s="1">
        <v>44256</v>
      </c>
      <c r="B678">
        <v>239.477</v>
      </c>
      <c r="C678">
        <f t="shared" si="111"/>
        <v>6.3552829677528247E-2</v>
      </c>
      <c r="D678">
        <f t="shared" ca="1" si="116"/>
        <v>8.6573722108033522E-3</v>
      </c>
      <c r="E678">
        <f t="shared" ca="1" si="117"/>
        <v>4.6173860019350157E-2</v>
      </c>
      <c r="F678">
        <f t="shared" ca="1" si="118"/>
        <v>-0.15789469120753052</v>
      </c>
      <c r="G678">
        <f t="shared" ca="1" si="119"/>
        <v>2.4036752328863571</v>
      </c>
      <c r="H678">
        <f t="shared" ca="1" si="120"/>
        <v>1.4809255628865536</v>
      </c>
      <c r="I678">
        <f t="shared" ca="1" si="121"/>
        <v>1.8231542328794796</v>
      </c>
      <c r="K678">
        <f t="shared" si="112"/>
        <v>1.0635528296775283</v>
      </c>
      <c r="L678" s="7">
        <f t="shared" ca="1" si="113"/>
        <v>1.005500342196862</v>
      </c>
      <c r="M678">
        <f t="shared" ca="1" si="114"/>
        <v>0.96964672116408446</v>
      </c>
      <c r="O678" t="b">
        <f t="shared" ca="1" si="115"/>
        <v>0</v>
      </c>
    </row>
    <row r="679" spans="1:15" x14ac:dyDescent="0.45">
      <c r="A679" s="1">
        <v>44253</v>
      </c>
      <c r="B679">
        <v>225.167</v>
      </c>
      <c r="C679">
        <f t="shared" si="111"/>
        <v>-9.850180513352751E-3</v>
      </c>
      <c r="D679">
        <f t="shared" ca="1" si="116"/>
        <v>8.2256362273579759E-3</v>
      </c>
      <c r="E679">
        <f t="shared" ca="1" si="117"/>
        <v>4.6061542070576132E-2</v>
      </c>
      <c r="F679">
        <f t="shared" ca="1" si="118"/>
        <v>-0.14085679640427176</v>
      </c>
      <c r="G679">
        <f t="shared" ca="1" si="119"/>
        <v>2.4417685959962352</v>
      </c>
      <c r="H679">
        <f t="shared" ca="1" si="120"/>
        <v>1.4809255628865536</v>
      </c>
      <c r="I679">
        <f t="shared" ca="1" si="121"/>
        <v>1.7571895092979899</v>
      </c>
      <c r="K679">
        <f t="shared" si="112"/>
        <v>0.99014981948664726</v>
      </c>
      <c r="L679" s="7">
        <f t="shared" ca="1" si="113"/>
        <v>0.86458705310002948</v>
      </c>
      <c r="M679">
        <f t="shared" ca="1" si="114"/>
        <v>0.93880126791820651</v>
      </c>
      <c r="O679" t="b">
        <f t="shared" ca="1" si="115"/>
        <v>1</v>
      </c>
    </row>
    <row r="680" spans="1:15" x14ac:dyDescent="0.45">
      <c r="A680" s="1">
        <v>44252</v>
      </c>
      <c r="B680">
        <v>227.40700000000001</v>
      </c>
      <c r="C680">
        <f t="shared" si="111"/>
        <v>-8.0589471981887248E-2</v>
      </c>
      <c r="D680">
        <f t="shared" ca="1" si="116"/>
        <v>8.263303725716627E-3</v>
      </c>
      <c r="E680">
        <f t="shared" ca="1" si="117"/>
        <v>4.6049764836408914E-2</v>
      </c>
      <c r="F680">
        <f t="shared" ca="1" si="118"/>
        <v>-0.14319751888477023</v>
      </c>
      <c r="G680">
        <f t="shared" ca="1" si="119"/>
        <v>2.4477496774664758</v>
      </c>
      <c r="H680">
        <f t="shared" ca="1" si="120"/>
        <v>1.4809255628865536</v>
      </c>
      <c r="I680">
        <f t="shared" ca="1" si="121"/>
        <v>1.7571895092979899</v>
      </c>
      <c r="K680">
        <f t="shared" si="112"/>
        <v>0.91941052801811274</v>
      </c>
      <c r="L680" s="7">
        <f t="shared" ca="1" si="113"/>
        <v>0.86644441057684984</v>
      </c>
      <c r="M680">
        <f t="shared" ca="1" si="114"/>
        <v>0.92217216098183652</v>
      </c>
      <c r="O680" t="b">
        <f t="shared" ca="1" si="115"/>
        <v>1</v>
      </c>
    </row>
    <row r="681" spans="1:15" x14ac:dyDescent="0.45">
      <c r="A681" s="1">
        <v>44251</v>
      </c>
      <c r="B681">
        <v>247.34</v>
      </c>
      <c r="C681">
        <f t="shared" si="111"/>
        <v>6.1786586648465106E-2</v>
      </c>
      <c r="D681">
        <f t="shared" ca="1" si="116"/>
        <v>8.6166428261254362E-3</v>
      </c>
      <c r="E681">
        <f t="shared" ca="1" si="117"/>
        <v>4.5633810892197112E-2</v>
      </c>
      <c r="F681">
        <f t="shared" ca="1" si="118"/>
        <v>-0.13346581189169712</v>
      </c>
      <c r="G681">
        <f t="shared" ca="1" si="119"/>
        <v>2.5803414015400463</v>
      </c>
      <c r="H681">
        <f t="shared" ca="1" si="120"/>
        <v>1.5450040980255593</v>
      </c>
      <c r="I681">
        <f t="shared" ca="1" si="121"/>
        <v>1.7871414119244913</v>
      </c>
      <c r="K681">
        <f t="shared" si="112"/>
        <v>1.061786586648465</v>
      </c>
      <c r="L681" s="7">
        <f t="shared" ca="1" si="113"/>
        <v>0.92967487314414576</v>
      </c>
      <c r="M681">
        <f t="shared" ca="1" si="114"/>
        <v>0.83081010511739661</v>
      </c>
      <c r="O681" t="b">
        <f t="shared" ca="1" si="115"/>
        <v>1</v>
      </c>
    </row>
    <row r="682" spans="1:15" x14ac:dyDescent="0.45">
      <c r="A682" s="1">
        <v>44250</v>
      </c>
      <c r="B682">
        <v>232.947</v>
      </c>
      <c r="C682">
        <f t="shared" si="111"/>
        <v>-2.1917394097419034E-2</v>
      </c>
      <c r="D682">
        <f t="shared" ca="1" si="116"/>
        <v>8.5601294787892301E-3</v>
      </c>
      <c r="E682">
        <f t="shared" ca="1" si="117"/>
        <v>4.5574594086107825E-2</v>
      </c>
      <c r="F682">
        <f t="shared" ca="1" si="118"/>
        <v>-0.13435402789171733</v>
      </c>
      <c r="G682">
        <f t="shared" ca="1" si="119"/>
        <v>2.6030439923809299</v>
      </c>
      <c r="H682">
        <f t="shared" ca="1" si="120"/>
        <v>1.5450040980255593</v>
      </c>
      <c r="I682">
        <f t="shared" ca="1" si="121"/>
        <v>1.7871414119244913</v>
      </c>
      <c r="K682">
        <f t="shared" si="112"/>
        <v>0.978082605902581</v>
      </c>
      <c r="L682" s="7">
        <f t="shared" ca="1" si="113"/>
        <v>0.8776972724909291</v>
      </c>
      <c r="M682">
        <f t="shared" ca="1" si="114"/>
        <v>0.85050107070429748</v>
      </c>
      <c r="O682" t="b">
        <f t="shared" ca="1" si="115"/>
        <v>1</v>
      </c>
    </row>
    <row r="683" spans="1:15" x14ac:dyDescent="0.45">
      <c r="A683" s="1">
        <v>44249</v>
      </c>
      <c r="B683">
        <v>238.167</v>
      </c>
      <c r="C683">
        <f t="shared" si="111"/>
        <v>-8.5496077686007504E-2</v>
      </c>
      <c r="D683">
        <f t="shared" ca="1" si="116"/>
        <v>8.6534912710197892E-3</v>
      </c>
      <c r="E683">
        <f t="shared" ca="1" si="117"/>
        <v>4.5530950365290694E-2</v>
      </c>
      <c r="F683">
        <f t="shared" ca="1" si="118"/>
        <v>-0.13952050334240224</v>
      </c>
      <c r="G683">
        <f t="shared" ca="1" si="119"/>
        <v>2.6248590544077839</v>
      </c>
      <c r="H683">
        <f t="shared" ca="1" si="120"/>
        <v>1.5450040980255593</v>
      </c>
      <c r="I683">
        <f t="shared" ca="1" si="121"/>
        <v>1.8379548182451597</v>
      </c>
      <c r="K683">
        <f t="shared" si="112"/>
        <v>0.91450392231399247</v>
      </c>
      <c r="L683" s="7">
        <f t="shared" ca="1" si="113"/>
        <v>0.87548522276135854</v>
      </c>
      <c r="M683">
        <f t="shared" ca="1" si="114"/>
        <v>0.84969632645437976</v>
      </c>
      <c r="O683" t="b">
        <f t="shared" ca="1" si="115"/>
        <v>1</v>
      </c>
    </row>
    <row r="684" spans="1:15" x14ac:dyDescent="0.45">
      <c r="A684" s="1">
        <v>44246</v>
      </c>
      <c r="B684">
        <v>260.43299999999999</v>
      </c>
      <c r="C684">
        <f t="shared" si="111"/>
        <v>-7.723081612436131E-3</v>
      </c>
      <c r="D684">
        <f t="shared" ca="1" si="116"/>
        <v>9.1745007725829511E-3</v>
      </c>
      <c r="E684">
        <f t="shared" ca="1" si="117"/>
        <v>4.5041747170322256E-2</v>
      </c>
      <c r="F684">
        <f t="shared" ca="1" si="118"/>
        <v>-0.13275592984001128</v>
      </c>
      <c r="G684">
        <f t="shared" ca="1" si="119"/>
        <v>2.7818436884180455</v>
      </c>
      <c r="H684">
        <f t="shared" ca="1" si="120"/>
        <v>1.5619524420774993</v>
      </c>
      <c r="I684">
        <f t="shared" ca="1" si="121"/>
        <v>1.8706609953892872</v>
      </c>
      <c r="K684">
        <f t="shared" si="112"/>
        <v>0.99227691838756382</v>
      </c>
      <c r="L684" s="7">
        <f t="shared" ca="1" si="113"/>
        <v>0.96259512923530688</v>
      </c>
      <c r="M684">
        <f t="shared" ca="1" si="114"/>
        <v>0.81928435348817397</v>
      </c>
      <c r="O684" t="b">
        <f t="shared" ca="1" si="115"/>
        <v>1</v>
      </c>
    </row>
    <row r="685" spans="1:15" x14ac:dyDescent="0.45">
      <c r="A685" s="1">
        <v>44245</v>
      </c>
      <c r="B685">
        <v>262.45999999999998</v>
      </c>
      <c r="C685">
        <f t="shared" si="111"/>
        <v>-1.3493704190941671E-2</v>
      </c>
      <c r="D685">
        <f t="shared" ca="1" si="116"/>
        <v>9.2592281894734139E-3</v>
      </c>
      <c r="E685">
        <f t="shared" ca="1" si="117"/>
        <v>4.5025736744069476E-2</v>
      </c>
      <c r="F685">
        <f t="shared" ca="1" si="118"/>
        <v>-0.1383316041706244</v>
      </c>
      <c r="G685">
        <f t="shared" ca="1" si="119"/>
        <v>2.7910746617063706</v>
      </c>
      <c r="H685">
        <f t="shared" ca="1" si="120"/>
        <v>1.5619524420774993</v>
      </c>
      <c r="I685">
        <f t="shared" ca="1" si="121"/>
        <v>1.8706609953892872</v>
      </c>
      <c r="K685">
        <f t="shared" si="112"/>
        <v>0.98650629580905835</v>
      </c>
      <c r="L685" s="7">
        <f t="shared" ca="1" si="113"/>
        <v>0.97833177397650872</v>
      </c>
      <c r="M685">
        <f t="shared" ca="1" si="114"/>
        <v>0.83404888226012153</v>
      </c>
      <c r="O685" t="b">
        <f t="shared" ca="1" si="115"/>
        <v>1</v>
      </c>
    </row>
    <row r="686" spans="1:15" x14ac:dyDescent="0.45">
      <c r="A686" s="1">
        <v>44244</v>
      </c>
      <c r="B686">
        <v>266.05</v>
      </c>
      <c r="C686">
        <f t="shared" si="111"/>
        <v>2.4226942017355575E-3</v>
      </c>
      <c r="D686">
        <f t="shared" ca="1" si="116"/>
        <v>9.753530804112823E-3</v>
      </c>
      <c r="E686">
        <f t="shared" ca="1" si="117"/>
        <v>4.5316412952419505E-2</v>
      </c>
      <c r="F686">
        <f t="shared" ca="1" si="118"/>
        <v>-0.14405427154765213</v>
      </c>
      <c r="G686">
        <f t="shared" ca="1" si="119"/>
        <v>2.689302153039602</v>
      </c>
      <c r="H686">
        <f t="shared" ca="1" si="120"/>
        <v>1.5619524420774993</v>
      </c>
      <c r="I686">
        <f t="shared" ca="1" si="121"/>
        <v>1.9083568257499577</v>
      </c>
      <c r="K686">
        <f t="shared" si="112"/>
        <v>1.0024226942017356</v>
      </c>
      <c r="L686" s="7">
        <f t="shared" ca="1" si="113"/>
        <v>0.93959802650863666</v>
      </c>
      <c r="M686">
        <f t="shared" ca="1" si="114"/>
        <v>0.80211770659267811</v>
      </c>
      <c r="O686" t="b">
        <f t="shared" ca="1" si="115"/>
        <v>1</v>
      </c>
    </row>
    <row r="687" spans="1:15" x14ac:dyDescent="0.45">
      <c r="A687" s="1">
        <v>44243</v>
      </c>
      <c r="B687">
        <v>265.40699999999998</v>
      </c>
      <c r="C687">
        <f t="shared" si="111"/>
        <v>-2.4382443758270981E-2</v>
      </c>
      <c r="D687">
        <f t="shared" ca="1" si="116"/>
        <v>9.2262548304422893E-3</v>
      </c>
      <c r="E687">
        <f t="shared" ca="1" si="117"/>
        <v>4.6010334375560728E-2</v>
      </c>
      <c r="F687">
        <f t="shared" ca="1" si="118"/>
        <v>-0.17765235661573955</v>
      </c>
      <c r="G687">
        <f t="shared" ca="1" si="119"/>
        <v>2.5289445700277771</v>
      </c>
      <c r="H687">
        <f t="shared" ca="1" si="120"/>
        <v>1.5450040980255593</v>
      </c>
      <c r="I687">
        <f t="shared" ca="1" si="121"/>
        <v>1.8749915839712386</v>
      </c>
      <c r="K687">
        <f t="shared" si="112"/>
        <v>0.97561755624172897</v>
      </c>
      <c r="L687" s="7">
        <f t="shared" ca="1" si="113"/>
        <v>0.92217006535629764</v>
      </c>
      <c r="M687">
        <f t="shared" ca="1" si="114"/>
        <v>0.757730881141502</v>
      </c>
      <c r="O687" t="b">
        <f t="shared" ca="1" si="115"/>
        <v>1</v>
      </c>
    </row>
    <row r="688" spans="1:15" x14ac:dyDescent="0.45">
      <c r="A688" s="1">
        <v>44239</v>
      </c>
      <c r="B688">
        <v>272.04000000000002</v>
      </c>
      <c r="C688">
        <f t="shared" si="111"/>
        <v>5.4961504769861103E-3</v>
      </c>
      <c r="D688">
        <f t="shared" ca="1" si="116"/>
        <v>9.2318036581683291E-3</v>
      </c>
      <c r="E688">
        <f t="shared" ca="1" si="117"/>
        <v>4.6006327556451572E-2</v>
      </c>
      <c r="F688">
        <f t="shared" ca="1" si="118"/>
        <v>-0.17787463755600949</v>
      </c>
      <c r="G688">
        <f t="shared" ca="1" si="119"/>
        <v>2.5307889826577954</v>
      </c>
      <c r="H688">
        <f t="shared" ca="1" si="120"/>
        <v>1.5450040980255593</v>
      </c>
      <c r="I688">
        <f t="shared" ca="1" si="121"/>
        <v>1.8749915839712386</v>
      </c>
      <c r="K688">
        <f t="shared" si="112"/>
        <v>1.0054961504769862</v>
      </c>
      <c r="L688" s="7">
        <f t="shared" ca="1" si="113"/>
        <v>0.9576276854514798</v>
      </c>
      <c r="M688">
        <f t="shared" ca="1" si="114"/>
        <v>0.77641432975588698</v>
      </c>
      <c r="O688" t="b">
        <f t="shared" ca="1" si="115"/>
        <v>1</v>
      </c>
    </row>
    <row r="689" spans="1:15" x14ac:dyDescent="0.45">
      <c r="A689" s="1">
        <v>44238</v>
      </c>
      <c r="B689">
        <v>270.553</v>
      </c>
      <c r="C689">
        <f t="shared" si="111"/>
        <v>8.4988053214448429E-3</v>
      </c>
      <c r="D689">
        <f t="shared" ca="1" si="116"/>
        <v>9.408380657462103E-3</v>
      </c>
      <c r="E689">
        <f t="shared" ca="1" si="117"/>
        <v>4.60596588378335E-2</v>
      </c>
      <c r="F689">
        <f t="shared" ca="1" si="118"/>
        <v>-0.18723600875098079</v>
      </c>
      <c r="G689">
        <f t="shared" ca="1" si="119"/>
        <v>2.5089888609444735</v>
      </c>
      <c r="H689">
        <f t="shared" ca="1" si="120"/>
        <v>1.5450040980255593</v>
      </c>
      <c r="I689">
        <f t="shared" ca="1" si="121"/>
        <v>1.8978000590219968</v>
      </c>
      <c r="K689">
        <f t="shared" si="112"/>
        <v>1.0084988053214448</v>
      </c>
      <c r="L689" s="7">
        <f t="shared" ca="1" si="113"/>
        <v>0.95490417534323935</v>
      </c>
      <c r="M689">
        <f t="shared" ca="1" si="114"/>
        <v>0.74502391496428988</v>
      </c>
      <c r="O689" t="b">
        <f t="shared" ca="1" si="115"/>
        <v>1</v>
      </c>
    </row>
    <row r="690" spans="1:15" x14ac:dyDescent="0.45">
      <c r="A690" s="1">
        <v>44237</v>
      </c>
      <c r="B690">
        <v>268.27300000000002</v>
      </c>
      <c r="C690">
        <f t="shared" si="111"/>
        <v>-5.2551094284715313E-2</v>
      </c>
      <c r="D690">
        <f t="shared" ca="1" si="116"/>
        <v>9.1804124524511223E-3</v>
      </c>
      <c r="E690">
        <f t="shared" ca="1" si="117"/>
        <v>4.6176865043358307E-2</v>
      </c>
      <c r="F690">
        <f t="shared" ca="1" si="118"/>
        <v>-0.17603785409278508</v>
      </c>
      <c r="G690">
        <f t="shared" ca="1" si="119"/>
        <v>2.4544362259592374</v>
      </c>
      <c r="H690">
        <f t="shared" ca="1" si="120"/>
        <v>1.5450040980255593</v>
      </c>
      <c r="I690">
        <f t="shared" ca="1" si="121"/>
        <v>1.8453321286043458</v>
      </c>
      <c r="K690">
        <f t="shared" si="112"/>
        <v>0.94744890571528473</v>
      </c>
      <c r="L690" s="7">
        <f t="shared" ca="1" si="113"/>
        <v>0.94164908721397578</v>
      </c>
      <c r="M690">
        <f t="shared" ca="1" si="114"/>
        <v>0.69461752133417543</v>
      </c>
      <c r="O690" t="b">
        <f t="shared" ca="1" si="115"/>
        <v>1</v>
      </c>
    </row>
    <row r="691" spans="1:15" x14ac:dyDescent="0.45">
      <c r="A691" s="1">
        <v>44236</v>
      </c>
      <c r="B691">
        <v>283.15300000000002</v>
      </c>
      <c r="C691">
        <f t="shared" si="111"/>
        <v>-1.6170558742490612E-2</v>
      </c>
      <c r="D691">
        <f t="shared" ca="1" si="116"/>
        <v>9.950652932138513E-3</v>
      </c>
      <c r="E691">
        <f t="shared" ca="1" si="117"/>
        <v>4.6426101100723274E-2</v>
      </c>
      <c r="F691">
        <f t="shared" ca="1" si="118"/>
        <v>-0.17165601973227901</v>
      </c>
      <c r="G691">
        <f t="shared" ca="1" si="119"/>
        <v>2.4119732355415326</v>
      </c>
      <c r="H691">
        <f t="shared" ca="1" si="120"/>
        <v>1.6033654188426592</v>
      </c>
      <c r="I691">
        <f t="shared" ca="1" si="121"/>
        <v>1.9320298955157038</v>
      </c>
      <c r="K691">
        <f t="shared" si="112"/>
        <v>0.98382944125750937</v>
      </c>
      <c r="L691" s="7">
        <f t="shared" ca="1" si="113"/>
        <v>0.97326848382772491</v>
      </c>
      <c r="M691">
        <f t="shared" ca="1" si="114"/>
        <v>0.70012648086705775</v>
      </c>
      <c r="O691" t="b">
        <f t="shared" ca="1" si="115"/>
        <v>1</v>
      </c>
    </row>
    <row r="692" spans="1:15" x14ac:dyDescent="0.45">
      <c r="A692" s="1">
        <v>44235</v>
      </c>
      <c r="B692">
        <v>287.80700000000002</v>
      </c>
      <c r="C692">
        <f t="shared" si="111"/>
        <v>1.3130242856690328E-2</v>
      </c>
      <c r="D692">
        <f t="shared" ca="1" si="116"/>
        <v>1.0169818297595364E-2</v>
      </c>
      <c r="E692">
        <f t="shared" ca="1" si="117"/>
        <v>4.6405627770361786E-2</v>
      </c>
      <c r="F692">
        <f t="shared" ca="1" si="118"/>
        <v>-0.18500749700811941</v>
      </c>
      <c r="G692">
        <f t="shared" ca="1" si="119"/>
        <v>2.4246290859699657</v>
      </c>
      <c r="H692">
        <f t="shared" ca="1" si="120"/>
        <v>1.6033654188426592</v>
      </c>
      <c r="I692">
        <f t="shared" ca="1" si="121"/>
        <v>1.9320298955157038</v>
      </c>
      <c r="K692">
        <f t="shared" si="112"/>
        <v>1.0131302428566904</v>
      </c>
      <c r="L692" s="7">
        <f t="shared" ca="1" si="113"/>
        <v>1.0281134683875299</v>
      </c>
      <c r="M692">
        <f t="shared" ca="1" si="114"/>
        <v>0.69087675186445585</v>
      </c>
      <c r="O692" t="b">
        <f t="shared" ca="1" si="115"/>
        <v>0</v>
      </c>
    </row>
    <row r="693" spans="1:15" x14ac:dyDescent="0.45">
      <c r="A693" s="1">
        <v>44232</v>
      </c>
      <c r="B693">
        <v>284.077</v>
      </c>
      <c r="C693">
        <f t="shared" si="111"/>
        <v>2.636501605901296E-3</v>
      </c>
      <c r="D693">
        <f t="shared" ca="1" si="116"/>
        <v>9.9233232341336148E-3</v>
      </c>
      <c r="E693">
        <f t="shared" ca="1" si="117"/>
        <v>4.6520613258793059E-2</v>
      </c>
      <c r="F693">
        <f t="shared" ca="1" si="118"/>
        <v>-0.17260029697130105</v>
      </c>
      <c r="G693">
        <f t="shared" ca="1" si="119"/>
        <v>2.3719366051273569</v>
      </c>
      <c r="H693">
        <f t="shared" ca="1" si="120"/>
        <v>1.6033654188426592</v>
      </c>
      <c r="I693">
        <f t="shared" ca="1" si="121"/>
        <v>1.8786156226892086</v>
      </c>
      <c r="K693">
        <f t="shared" si="112"/>
        <v>1.0026365016059013</v>
      </c>
      <c r="L693" s="7">
        <f t="shared" ca="1" si="113"/>
        <v>1.07397451892178</v>
      </c>
      <c r="M693">
        <f t="shared" ca="1" si="114"/>
        <v>0.71971511345387684</v>
      </c>
      <c r="O693" t="b">
        <f t="shared" ca="1" si="115"/>
        <v>0</v>
      </c>
    </row>
    <row r="694" spans="1:15" x14ac:dyDescent="0.45">
      <c r="A694" s="1">
        <v>44231</v>
      </c>
      <c r="B694">
        <v>283.33</v>
      </c>
      <c r="C694">
        <f t="shared" si="111"/>
        <v>-5.5002334176913314E-3</v>
      </c>
      <c r="D694">
        <f t="shared" ca="1" si="116"/>
        <v>1.024062500680387E-2</v>
      </c>
      <c r="E694">
        <f t="shared" ca="1" si="117"/>
        <v>4.6686786789426685E-2</v>
      </c>
      <c r="F694">
        <f t="shared" ca="1" si="118"/>
        <v>-0.18249849707296303</v>
      </c>
      <c r="G694">
        <f t="shared" ca="1" si="119"/>
        <v>2.3108414297012052</v>
      </c>
      <c r="H694">
        <f t="shared" ca="1" si="120"/>
        <v>1.6033654188426592</v>
      </c>
      <c r="I694">
        <f t="shared" ca="1" si="121"/>
        <v>1.9715605616531164</v>
      </c>
      <c r="K694">
        <f t="shared" si="112"/>
        <v>0.99449976658230865</v>
      </c>
      <c r="L694" s="7">
        <f t="shared" ca="1" si="113"/>
        <v>1.0174269329244428</v>
      </c>
      <c r="M694">
        <f t="shared" ca="1" si="114"/>
        <v>0.67548294107805473</v>
      </c>
      <c r="O694" t="b">
        <f t="shared" ca="1" si="115"/>
        <v>0</v>
      </c>
    </row>
    <row r="695" spans="1:15" x14ac:dyDescent="0.45">
      <c r="A695" s="1">
        <v>44230</v>
      </c>
      <c r="B695">
        <v>284.89699999999999</v>
      </c>
      <c r="C695">
        <f t="shared" si="111"/>
        <v>-2.0736947031932133E-2</v>
      </c>
      <c r="D695">
        <f t="shared" ca="1" si="116"/>
        <v>9.8685868098191132E-3</v>
      </c>
      <c r="E695">
        <f t="shared" ca="1" si="117"/>
        <v>4.7107428312170803E-2</v>
      </c>
      <c r="F695">
        <f t="shared" ca="1" si="118"/>
        <v>-0.1891039252295055</v>
      </c>
      <c r="G695">
        <f t="shared" ca="1" si="119"/>
        <v>2.1849754484260826</v>
      </c>
      <c r="H695">
        <f t="shared" ca="1" si="120"/>
        <v>1.5368663671810652</v>
      </c>
      <c r="I695">
        <f t="shared" ca="1" si="121"/>
        <v>1.9385178546961475</v>
      </c>
      <c r="K695">
        <f t="shared" si="112"/>
        <v>0.97926305296806782</v>
      </c>
      <c r="L695" s="7">
        <f t="shared" ca="1" si="113"/>
        <v>0.98904368293334921</v>
      </c>
      <c r="M695">
        <f t="shared" ca="1" si="114"/>
        <v>0.59874353748523523</v>
      </c>
      <c r="O695" t="b">
        <f t="shared" ca="1" si="115"/>
        <v>1</v>
      </c>
    </row>
    <row r="696" spans="1:15" x14ac:dyDescent="0.45">
      <c r="A696" s="1">
        <v>44229</v>
      </c>
      <c r="B696">
        <v>290.93</v>
      </c>
      <c r="C696">
        <f t="shared" si="111"/>
        <v>3.9269549934449519E-2</v>
      </c>
      <c r="D696">
        <f t="shared" ca="1" si="116"/>
        <v>9.9223305390355957E-3</v>
      </c>
      <c r="E696">
        <f t="shared" ca="1" si="117"/>
        <v>4.7078458318156588E-2</v>
      </c>
      <c r="F696">
        <f t="shared" ca="1" si="118"/>
        <v>-0.19189884827423259</v>
      </c>
      <c r="G696">
        <f t="shared" ca="1" si="119"/>
        <v>2.1979872771487114</v>
      </c>
      <c r="H696">
        <f t="shared" ca="1" si="120"/>
        <v>1.5368663671810652</v>
      </c>
      <c r="I696">
        <f t="shared" ca="1" si="121"/>
        <v>1.9715605616531164</v>
      </c>
      <c r="K696">
        <f t="shared" si="112"/>
        <v>1.0392695499344495</v>
      </c>
      <c r="L696" s="7">
        <f t="shared" ca="1" si="113"/>
        <v>0.98833752883344717</v>
      </c>
      <c r="M696">
        <f t="shared" ca="1" si="114"/>
        <v>0.62183605809887021</v>
      </c>
      <c r="O696" t="b">
        <f t="shared" ca="1" si="115"/>
        <v>1</v>
      </c>
    </row>
    <row r="697" spans="1:15" x14ac:dyDescent="0.45">
      <c r="A697" s="1">
        <v>44228</v>
      </c>
      <c r="B697">
        <v>279.93700000000001</v>
      </c>
      <c r="C697">
        <f t="shared" si="111"/>
        <v>5.8322936750973581E-2</v>
      </c>
      <c r="D697">
        <f t="shared" ca="1" si="116"/>
        <v>9.7842146580769535E-3</v>
      </c>
      <c r="E697">
        <f t="shared" ca="1" si="117"/>
        <v>4.7032425686468218E-2</v>
      </c>
      <c r="F697">
        <f t="shared" ca="1" si="118"/>
        <v>-0.18479692832432543</v>
      </c>
      <c r="G697">
        <f t="shared" ca="1" si="119"/>
        <v>2.2154933682214226</v>
      </c>
      <c r="H697">
        <f t="shared" ca="1" si="120"/>
        <v>1.5368663671810652</v>
      </c>
      <c r="I697">
        <f t="shared" ca="1" si="121"/>
        <v>1.8786156226892086</v>
      </c>
      <c r="K697">
        <f t="shared" si="112"/>
        <v>1.0583229367509737</v>
      </c>
      <c r="L697" s="7">
        <f t="shared" ca="1" si="113"/>
        <v>0.95346389645776564</v>
      </c>
      <c r="M697">
        <f t="shared" ca="1" si="114"/>
        <v>0.59104107203008205</v>
      </c>
      <c r="O697" t="b">
        <f t="shared" ca="1" si="115"/>
        <v>1</v>
      </c>
    </row>
    <row r="698" spans="1:15" x14ac:dyDescent="0.45">
      <c r="A698" s="1">
        <v>44225</v>
      </c>
      <c r="B698">
        <v>264.51</v>
      </c>
      <c r="C698">
        <f t="shared" si="111"/>
        <v>-5.0154949959960733E-2</v>
      </c>
      <c r="D698">
        <f t="shared" ca="1" si="116"/>
        <v>9.5979739006980397E-3</v>
      </c>
      <c r="E698">
        <f t="shared" ca="1" si="117"/>
        <v>4.6912850691638891E-2</v>
      </c>
      <c r="F698">
        <f t="shared" ca="1" si="118"/>
        <v>-0.17973482565447896</v>
      </c>
      <c r="G698">
        <f t="shared" ca="1" si="119"/>
        <v>2.2604126691470636</v>
      </c>
      <c r="H698">
        <f t="shared" ca="1" si="120"/>
        <v>1.5368663671810652</v>
      </c>
      <c r="I698">
        <f t="shared" ca="1" si="121"/>
        <v>1.8453321286043458</v>
      </c>
      <c r="K698">
        <f t="shared" si="112"/>
        <v>0.94984505004003927</v>
      </c>
      <c r="L698" s="7">
        <f t="shared" ca="1" si="113"/>
        <v>0.93727078483273252</v>
      </c>
      <c r="M698">
        <f t="shared" ca="1" si="114"/>
        <v>0.61386379937899438</v>
      </c>
      <c r="O698" t="b">
        <f t="shared" ca="1" si="115"/>
        <v>1</v>
      </c>
    </row>
    <row r="699" spans="1:15" x14ac:dyDescent="0.45">
      <c r="A699" s="1">
        <v>44224</v>
      </c>
      <c r="B699">
        <v>278.47699999999998</v>
      </c>
      <c r="C699">
        <f t="shared" si="111"/>
        <v>-3.3243882202233691E-2</v>
      </c>
      <c r="D699">
        <f t="shared" ca="1" si="116"/>
        <v>9.9891894230118954E-3</v>
      </c>
      <c r="E699">
        <f t="shared" ca="1" si="117"/>
        <v>4.6737971682132604E-2</v>
      </c>
      <c r="F699">
        <f t="shared" ca="1" si="118"/>
        <v>-0.196204393882879</v>
      </c>
      <c r="G699">
        <f t="shared" ca="1" si="119"/>
        <v>2.3328363619900196</v>
      </c>
      <c r="H699">
        <f t="shared" ca="1" si="120"/>
        <v>1.5368663671810652</v>
      </c>
      <c r="I699">
        <f t="shared" ca="1" si="121"/>
        <v>1.8978000590219968</v>
      </c>
      <c r="K699">
        <f t="shared" si="112"/>
        <v>0.96675611779776627</v>
      </c>
      <c r="L699" s="7">
        <f t="shared" ca="1" si="113"/>
        <v>0.98868861014758758</v>
      </c>
      <c r="M699">
        <f t="shared" ca="1" si="114"/>
        <v>0.56780756054165993</v>
      </c>
      <c r="O699" t="b">
        <f t="shared" ca="1" si="115"/>
        <v>1</v>
      </c>
    </row>
    <row r="700" spans="1:15" x14ac:dyDescent="0.45">
      <c r="A700" s="1">
        <v>44223</v>
      </c>
      <c r="B700">
        <v>288.053</v>
      </c>
      <c r="C700">
        <f t="shared" si="111"/>
        <v>-2.1436117990372438E-2</v>
      </c>
      <c r="D700">
        <f t="shared" ca="1" si="116"/>
        <v>1.060812758913578E-2</v>
      </c>
      <c r="E700">
        <f t="shared" ca="1" si="117"/>
        <v>4.6981578952688237E-2</v>
      </c>
      <c r="F700">
        <f t="shared" ca="1" si="118"/>
        <v>-0.20355075356874053</v>
      </c>
      <c r="G700">
        <f t="shared" ca="1" si="119"/>
        <v>2.273062793872759</v>
      </c>
      <c r="H700">
        <f t="shared" ca="1" si="120"/>
        <v>1.5505102970850069</v>
      </c>
      <c r="I700">
        <f t="shared" ca="1" si="121"/>
        <v>1.9664101269464298</v>
      </c>
      <c r="K700">
        <f t="shared" si="112"/>
        <v>0.97856388200962752</v>
      </c>
      <c r="L700" s="7">
        <f t="shared" ca="1" si="113"/>
        <v>1.0161208961383925</v>
      </c>
      <c r="M700">
        <f t="shared" ca="1" si="114"/>
        <v>0.49111367689245844</v>
      </c>
      <c r="O700" t="b">
        <f t="shared" ca="1" si="115"/>
        <v>0</v>
      </c>
    </row>
    <row r="701" spans="1:15" x14ac:dyDescent="0.45">
      <c r="A701" s="1">
        <v>44222</v>
      </c>
      <c r="B701">
        <v>294.363</v>
      </c>
      <c r="C701">
        <f t="shared" si="111"/>
        <v>2.5987738419617737E-3</v>
      </c>
      <c r="D701">
        <f t="shared" ca="1" si="116"/>
        <v>1.1395504514166176E-2</v>
      </c>
      <c r="E701">
        <f t="shared" ca="1" si="117"/>
        <v>4.7755061190655243E-2</v>
      </c>
      <c r="F701">
        <f t="shared" ca="1" si="118"/>
        <v>-0.15027854869601473</v>
      </c>
      <c r="G701">
        <f t="shared" ca="1" si="119"/>
        <v>2.1906149911662887</v>
      </c>
      <c r="H701">
        <f t="shared" ca="1" si="120"/>
        <v>1.6240366898868177</v>
      </c>
      <c r="I701">
        <f t="shared" ca="1" si="121"/>
        <v>2.0812519922334616</v>
      </c>
      <c r="K701">
        <f t="shared" si="112"/>
        <v>1.0025987738419617</v>
      </c>
      <c r="L701" s="7">
        <f t="shared" ca="1" si="113"/>
        <v>1.0456313473076226</v>
      </c>
      <c r="M701">
        <f t="shared" ca="1" si="114"/>
        <v>0.45731459887766435</v>
      </c>
      <c r="O701" t="b">
        <f t="shared" ca="1" si="115"/>
        <v>0</v>
      </c>
    </row>
    <row r="702" spans="1:15" x14ac:dyDescent="0.45">
      <c r="A702" s="1">
        <v>44221</v>
      </c>
      <c r="B702">
        <v>293.60000000000002</v>
      </c>
      <c r="C702">
        <f t="shared" si="111"/>
        <v>4.034895628479198E-2</v>
      </c>
      <c r="D702">
        <f t="shared" ca="1" si="116"/>
        <v>1.1602615976296405E-2</v>
      </c>
      <c r="E702">
        <f t="shared" ca="1" si="117"/>
        <v>4.7806514020360569E-2</v>
      </c>
      <c r="F702">
        <f t="shared" ca="1" si="118"/>
        <v>-0.16127711028579947</v>
      </c>
      <c r="G702">
        <f t="shared" ca="1" si="119"/>
        <v>2.1719612070559569</v>
      </c>
      <c r="H702">
        <f t="shared" ca="1" si="120"/>
        <v>1.6240366898868177</v>
      </c>
      <c r="I702">
        <f t="shared" ca="1" si="121"/>
        <v>2.1163208309772235</v>
      </c>
      <c r="K702">
        <f t="shared" si="112"/>
        <v>1.0403489562847921</v>
      </c>
      <c r="L702" s="7">
        <f t="shared" ca="1" si="113"/>
        <v>1.0661360194925686</v>
      </c>
      <c r="M702">
        <f t="shared" ca="1" si="114"/>
        <v>0.51315990252436627</v>
      </c>
      <c r="O702" t="b">
        <f t="shared" ca="1" si="115"/>
        <v>0</v>
      </c>
    </row>
    <row r="703" spans="1:15" x14ac:dyDescent="0.45">
      <c r="A703" s="1">
        <v>44218</v>
      </c>
      <c r="B703">
        <v>282.21300000000002</v>
      </c>
      <c r="C703">
        <f t="shared" si="111"/>
        <v>1.952688141502474E-3</v>
      </c>
      <c r="D703">
        <f t="shared" ca="1" si="116"/>
        <v>1.1431946482318853E-2</v>
      </c>
      <c r="E703">
        <f t="shared" ca="1" si="117"/>
        <v>4.7764284183196164E-2</v>
      </c>
      <c r="F703">
        <f t="shared" ca="1" si="118"/>
        <v>-0.15199122992449479</v>
      </c>
      <c r="G703">
        <f t="shared" ca="1" si="119"/>
        <v>2.1874642475049813</v>
      </c>
      <c r="H703">
        <f t="shared" ca="1" si="120"/>
        <v>1.6240366898868177</v>
      </c>
      <c r="I703">
        <f t="shared" ca="1" si="121"/>
        <v>2.0812519922334616</v>
      </c>
      <c r="K703">
        <f t="shared" si="112"/>
        <v>1.0019526881415024</v>
      </c>
      <c r="L703" s="7">
        <f t="shared" ca="1" si="113"/>
        <v>1.0019384592444269</v>
      </c>
      <c r="M703">
        <f t="shared" ca="1" si="114"/>
        <v>0.39179205823729335</v>
      </c>
      <c r="O703" t="b">
        <f t="shared" ca="1" si="115"/>
        <v>0</v>
      </c>
    </row>
    <row r="704" spans="1:15" x14ac:dyDescent="0.45">
      <c r="A704" s="1">
        <v>44217</v>
      </c>
      <c r="B704">
        <v>281.66300000000001</v>
      </c>
      <c r="C704">
        <f t="shared" si="111"/>
        <v>-6.4201380682439267E-3</v>
      </c>
      <c r="D704">
        <f t="shared" ca="1" si="116"/>
        <v>1.170508924802696E-2</v>
      </c>
      <c r="E704">
        <f t="shared" ca="1" si="117"/>
        <v>4.7865894266442159E-2</v>
      </c>
      <c r="F704">
        <f t="shared" ca="1" si="118"/>
        <v>-0.16401850779428939</v>
      </c>
      <c r="G704">
        <f t="shared" ca="1" si="119"/>
        <v>2.1508791267990395</v>
      </c>
      <c r="H704">
        <f t="shared" ca="1" si="120"/>
        <v>1.6240366898868177</v>
      </c>
      <c r="I704">
        <f t="shared" ca="1" si="121"/>
        <v>2.1163208309772235</v>
      </c>
      <c r="K704">
        <f t="shared" si="112"/>
        <v>0.99357986193175607</v>
      </c>
      <c r="L704" s="7">
        <f t="shared" ca="1" si="113"/>
        <v>0.98897483523698837</v>
      </c>
      <c r="M704">
        <f t="shared" ca="1" si="114"/>
        <v>0.37392359855915558</v>
      </c>
      <c r="O704" t="b">
        <f t="shared" ca="1" si="115"/>
        <v>1</v>
      </c>
    </row>
    <row r="705" spans="1:15" x14ac:dyDescent="0.45">
      <c r="A705" s="1">
        <v>44216</v>
      </c>
      <c r="B705">
        <v>283.483</v>
      </c>
      <c r="C705">
        <f t="shared" si="111"/>
        <v>6.9835924651087079E-3</v>
      </c>
      <c r="D705">
        <f t="shared" ca="1" si="116"/>
        <v>1.2114572308128844E-2</v>
      </c>
      <c r="E705">
        <f t="shared" ca="1" si="117"/>
        <v>4.8059968471029224E-2</v>
      </c>
      <c r="F705">
        <f t="shared" ca="1" si="118"/>
        <v>-0.17572806762823334</v>
      </c>
      <c r="G705">
        <f t="shared" ca="1" si="119"/>
        <v>2.0890585120898466</v>
      </c>
      <c r="H705">
        <f t="shared" ca="1" si="120"/>
        <v>1.6240366898868177</v>
      </c>
      <c r="I705">
        <f t="shared" ca="1" si="121"/>
        <v>2.1452045614215915</v>
      </c>
      <c r="K705">
        <f t="shared" si="112"/>
        <v>1.0069835924651087</v>
      </c>
      <c r="L705" s="7">
        <f t="shared" ca="1" si="113"/>
        <v>1.001186662758214</v>
      </c>
      <c r="M705">
        <f t="shared" ca="1" si="114"/>
        <v>0.38312285555388659</v>
      </c>
      <c r="O705" t="b">
        <f t="shared" ca="1" si="115"/>
        <v>0</v>
      </c>
    </row>
    <row r="706" spans="1:15" x14ac:dyDescent="0.45">
      <c r="A706" s="1">
        <v>44215</v>
      </c>
      <c r="B706">
        <v>281.517</v>
      </c>
      <c r="C706">
        <f t="shared" si="111"/>
        <v>2.2259583785726979E-2</v>
      </c>
      <c r="D706">
        <f t="shared" ca="1" si="116"/>
        <v>1.2360646490499318E-2</v>
      </c>
      <c r="E706">
        <f t="shared" ca="1" si="117"/>
        <v>4.8159455741099325E-2</v>
      </c>
      <c r="F706">
        <f t="shared" ca="1" si="118"/>
        <v>-0.18622561991704836</v>
      </c>
      <c r="G706">
        <f t="shared" ca="1" si="119"/>
        <v>2.0541173712893759</v>
      </c>
      <c r="H706">
        <f t="shared" ca="1" si="120"/>
        <v>1.6240366898868177</v>
      </c>
      <c r="I706">
        <f t="shared" ca="1" si="121"/>
        <v>2.1945424583390438</v>
      </c>
      <c r="K706">
        <f t="shared" si="112"/>
        <v>1.0222595837857269</v>
      </c>
      <c r="L706" s="7">
        <f t="shared" ca="1" si="113"/>
        <v>1.0411247166203765</v>
      </c>
      <c r="M706">
        <f t="shared" ca="1" si="114"/>
        <v>0.39240385159558189</v>
      </c>
      <c r="O706" t="b">
        <f t="shared" ca="1" si="115"/>
        <v>0</v>
      </c>
    </row>
    <row r="707" spans="1:15" x14ac:dyDescent="0.45">
      <c r="A707" s="1">
        <v>44211</v>
      </c>
      <c r="B707">
        <v>275.387</v>
      </c>
      <c r="C707">
        <f t="shared" ref="C707:C770" si="122">(B707-B708)/B708</f>
        <v>-2.2295831602566055E-2</v>
      </c>
      <c r="D707">
        <f t="shared" ca="1" si="116"/>
        <v>1.1968075209995804E-2</v>
      </c>
      <c r="E707">
        <f t="shared" ca="1" si="117"/>
        <v>4.8397773571639678E-2</v>
      </c>
      <c r="F707">
        <f t="shared" ca="1" si="118"/>
        <v>-0.17341552416807721</v>
      </c>
      <c r="G707">
        <f t="shared" ca="1" si="119"/>
        <v>1.9691729503531468</v>
      </c>
      <c r="H707">
        <f t="shared" ca="1" si="120"/>
        <v>1.6240366898868177</v>
      </c>
      <c r="I707">
        <f t="shared" ca="1" si="121"/>
        <v>2.1760336938052074</v>
      </c>
      <c r="K707">
        <f t="shared" ref="K707:K770" si="123">C707+1</f>
        <v>0.9777041683974339</v>
      </c>
      <c r="L707" s="7">
        <f t="shared" ref="L707:L770" ca="1" si="124">PRODUCT(OFFSET(K707,0,0,$J$6,1))</f>
        <v>0.9387979818640485</v>
      </c>
      <c r="M707">
        <f t="shared" ref="M707:M770" ca="1" si="125">OFFSET(D707,$J$6,0)*V$2 + OFFSET(E707,$J$6,0)*U$2 + OFFSET(F707,$J$6,0)*T$2 + OFFSET(G707,$J$6,0)*S$2 + OFFSET(H707,$J$6,0)*R$2 + OFFSET(I707,$J$6,0)*Q$2 + W$2</f>
        <v>0.51329451969813467</v>
      </c>
      <c r="O707" t="b">
        <f t="shared" ref="O707:O770" ca="1" si="126">OR(AND(L707&gt;1, N707&gt;1), AND(L707&lt;1, N707&lt;1))</f>
        <v>1</v>
      </c>
    </row>
    <row r="708" spans="1:15" x14ac:dyDescent="0.45">
      <c r="A708" s="1">
        <v>44210</v>
      </c>
      <c r="B708">
        <v>281.66699999999997</v>
      </c>
      <c r="C708">
        <f t="shared" si="122"/>
        <v>-1.1011119967135262E-2</v>
      </c>
      <c r="D708">
        <f t="shared" ref="D708:D771" ca="1" si="127">AVERAGE(OFFSET(C708,0,0,$J$3,1))</f>
        <v>1.1674596920530154E-2</v>
      </c>
      <c r="E708">
        <f t="shared" ref="E708:E771" ca="1" si="128">STDEV(OFFSET(C708,0,0,$J$3,1))</f>
        <v>4.8783018315112281E-2</v>
      </c>
      <c r="F708">
        <f t="shared" ref="F708:F771" ca="1" si="129">SKEW(OFFSET(C708,0,0,$J$3,1))</f>
        <v>-0.18447284455919086</v>
      </c>
      <c r="G708">
        <f t="shared" ref="G708:G771" ca="1" si="130">KURT(OFFSET(C708,0,0,$J$3,1))</f>
        <v>1.8748999905797543</v>
      </c>
      <c r="H708">
        <f t="shared" ref="H708:H771" ca="1" si="131">PERCENTILE(OFFSET(C708,0,0,$J$3,1), 0.95)/ABS(PERCENTILE(OFFSET(C708,0,0,$J$3,1), 0.05))</f>
        <v>1.4954593710281547</v>
      </c>
      <c r="I708">
        <f t="shared" ref="I708:I771" ca="1" si="132">PERCENTILE(OFFSET(C708,0,0,$J$3,1), 0.75)/ABS(PERCENTILE(OFFSET(C708,0,0,$J$3,1), 0.25))</f>
        <v>2.1760336938052074</v>
      </c>
      <c r="K708">
        <f t="shared" si="123"/>
        <v>0.98898888003286478</v>
      </c>
      <c r="L708" s="7">
        <f t="shared" ca="1" si="124"/>
        <v>1.0354909508001457</v>
      </c>
      <c r="M708">
        <f t="shared" ca="1" si="125"/>
        <v>0.52379780269558207</v>
      </c>
      <c r="O708" t="b">
        <f t="shared" ca="1" si="126"/>
        <v>0</v>
      </c>
    </row>
    <row r="709" spans="1:15" x14ac:dyDescent="0.45">
      <c r="A709" s="1">
        <v>44209</v>
      </c>
      <c r="B709">
        <v>284.803</v>
      </c>
      <c r="C709">
        <f t="shared" si="122"/>
        <v>5.8485521654829684E-3</v>
      </c>
      <c r="D709">
        <f t="shared" ca="1" si="127"/>
        <v>1.1947425027258974E-2</v>
      </c>
      <c r="E709">
        <f t="shared" ca="1" si="128"/>
        <v>4.8808084419369381E-2</v>
      </c>
      <c r="F709">
        <f t="shared" ca="1" si="129"/>
        <v>-0.199203656189511</v>
      </c>
      <c r="G709">
        <f t="shared" ca="1" si="130"/>
        <v>1.8698516586677076</v>
      </c>
      <c r="H709">
        <f t="shared" ca="1" si="131"/>
        <v>1.4954593710281547</v>
      </c>
      <c r="I709">
        <f t="shared" ca="1" si="132"/>
        <v>2.2667523365096991</v>
      </c>
      <c r="K709">
        <f t="shared" si="123"/>
        <v>1.005848552165483</v>
      </c>
      <c r="L709" s="7">
        <f t="shared" ca="1" si="124"/>
        <v>1.1302020294214521</v>
      </c>
      <c r="M709">
        <f t="shared" ca="1" si="125"/>
        <v>0.67617010669452116</v>
      </c>
      <c r="O709" t="b">
        <f t="shared" ca="1" si="126"/>
        <v>0</v>
      </c>
    </row>
    <row r="710" spans="1:15" x14ac:dyDescent="0.45">
      <c r="A710" s="1">
        <v>44208</v>
      </c>
      <c r="B710">
        <v>283.14699999999999</v>
      </c>
      <c r="C710">
        <f t="shared" si="122"/>
        <v>4.7152890009874368E-2</v>
      </c>
      <c r="D710">
        <f t="shared" ca="1" si="127"/>
        <v>1.1799287055776774E-2</v>
      </c>
      <c r="E710">
        <f t="shared" ca="1" si="128"/>
        <v>4.8871608382195487E-2</v>
      </c>
      <c r="F710">
        <f t="shared" ca="1" si="129"/>
        <v>-0.19121558860246235</v>
      </c>
      <c r="G710">
        <f t="shared" ca="1" si="130"/>
        <v>1.8433993792537207</v>
      </c>
      <c r="H710">
        <f t="shared" ca="1" si="131"/>
        <v>1.4954593710281547</v>
      </c>
      <c r="I710">
        <f t="shared" ca="1" si="132"/>
        <v>2.2271209956935492</v>
      </c>
      <c r="K710">
        <f t="shared" si="123"/>
        <v>1.0471528900098743</v>
      </c>
      <c r="L710" s="7">
        <f t="shared" ca="1" si="124"/>
        <v>1.1555275325767129</v>
      </c>
      <c r="M710">
        <f t="shared" ca="1" si="125"/>
        <v>0.69025326739392012</v>
      </c>
      <c r="O710" t="b">
        <f t="shared" ca="1" si="126"/>
        <v>0</v>
      </c>
    </row>
    <row r="711" spans="1:15" x14ac:dyDescent="0.45">
      <c r="A711" s="1">
        <v>44207</v>
      </c>
      <c r="B711">
        <v>270.39699999999999</v>
      </c>
      <c r="C711">
        <f t="shared" si="122"/>
        <v>-7.8212995159200882E-2</v>
      </c>
      <c r="D711">
        <f t="shared" ca="1" si="127"/>
        <v>1.1432880499776654E-2</v>
      </c>
      <c r="E711">
        <f t="shared" ca="1" si="128"/>
        <v>4.8879925184620712E-2</v>
      </c>
      <c r="F711">
        <f t="shared" ca="1" si="129"/>
        <v>-0.17269410708967756</v>
      </c>
      <c r="G711">
        <f t="shared" ca="1" si="130"/>
        <v>1.8349020844070392</v>
      </c>
      <c r="H711">
        <f t="shared" ca="1" si="131"/>
        <v>1.4954593710281547</v>
      </c>
      <c r="I711">
        <f t="shared" ca="1" si="132"/>
        <v>2.0788801057633761</v>
      </c>
      <c r="K711">
        <f t="shared" si="123"/>
        <v>0.92178700484079912</v>
      </c>
      <c r="L711" s="7">
        <f t="shared" ca="1" si="124"/>
        <v>1.1115692456948822</v>
      </c>
      <c r="M711">
        <f t="shared" ca="1" si="125"/>
        <v>0.69782484305256931</v>
      </c>
      <c r="O711" t="b">
        <f t="shared" ca="1" si="126"/>
        <v>0</v>
      </c>
    </row>
    <row r="712" spans="1:15" x14ac:dyDescent="0.45">
      <c r="A712" s="1">
        <v>44204</v>
      </c>
      <c r="B712">
        <v>293.33999999999997</v>
      </c>
      <c r="C712">
        <f t="shared" si="122"/>
        <v>7.8404340968997802E-2</v>
      </c>
      <c r="D712">
        <f t="shared" ca="1" si="127"/>
        <v>1.1721122109786845E-2</v>
      </c>
      <c r="E712">
        <f t="shared" ca="1" si="128"/>
        <v>4.8517261803915454E-2</v>
      </c>
      <c r="F712">
        <f t="shared" ca="1" si="129"/>
        <v>-0.1640356295589073</v>
      </c>
      <c r="G712">
        <f t="shared" ca="1" si="130"/>
        <v>1.9268519365470826</v>
      </c>
      <c r="H712">
        <f t="shared" ca="1" si="131"/>
        <v>1.6240366898868177</v>
      </c>
      <c r="I712">
        <f t="shared" ca="1" si="132"/>
        <v>2.0788801057633761</v>
      </c>
      <c r="K712">
        <f t="shared" si="123"/>
        <v>1.0784043409689978</v>
      </c>
      <c r="L712" s="7">
        <f t="shared" ca="1" si="124"/>
        <v>1.2470719274900837</v>
      </c>
      <c r="M712">
        <f t="shared" ca="1" si="125"/>
        <v>0.75026407583738397</v>
      </c>
      <c r="O712" t="b">
        <f t="shared" ca="1" si="126"/>
        <v>0</v>
      </c>
    </row>
    <row r="713" spans="1:15" x14ac:dyDescent="0.45">
      <c r="A713" s="1">
        <v>44203</v>
      </c>
      <c r="B713">
        <v>272.01299999999998</v>
      </c>
      <c r="C713">
        <f t="shared" si="122"/>
        <v>7.9446651295869253E-2</v>
      </c>
      <c r="D713">
        <f t="shared" ca="1" si="127"/>
        <v>1.1668204029591733E-2</v>
      </c>
      <c r="E713">
        <f t="shared" ca="1" si="128"/>
        <v>4.8449889545201366E-2</v>
      </c>
      <c r="F713">
        <f t="shared" ca="1" si="129"/>
        <v>-0.16676511361709709</v>
      </c>
      <c r="G713">
        <f t="shared" ca="1" si="130"/>
        <v>1.9445429656136062</v>
      </c>
      <c r="H713">
        <f t="shared" ca="1" si="131"/>
        <v>1.6240366898868177</v>
      </c>
      <c r="I713">
        <f t="shared" ca="1" si="132"/>
        <v>2.0788801057633761</v>
      </c>
      <c r="K713">
        <f t="shared" si="123"/>
        <v>1.0794466512958691</v>
      </c>
      <c r="L713" s="7">
        <f t="shared" ca="1" si="124"/>
        <v>1.174530318273868</v>
      </c>
      <c r="M713">
        <f t="shared" ca="1" si="125"/>
        <v>0.68559331690579617</v>
      </c>
      <c r="O713" t="b">
        <f t="shared" ca="1" si="126"/>
        <v>0</v>
      </c>
    </row>
    <row r="714" spans="1:15" x14ac:dyDescent="0.45">
      <c r="A714" s="1">
        <v>44202</v>
      </c>
      <c r="B714">
        <v>251.99299999999999</v>
      </c>
      <c r="C714">
        <f t="shared" si="122"/>
        <v>2.8387549635361144E-2</v>
      </c>
      <c r="D714">
        <f t="shared" ca="1" si="127"/>
        <v>1.208505719683107E-2</v>
      </c>
      <c r="E714">
        <f t="shared" ca="1" si="128"/>
        <v>4.93855888571028E-2</v>
      </c>
      <c r="F714">
        <f t="shared" ca="1" si="129"/>
        <v>-5.0643266841121623E-2</v>
      </c>
      <c r="G714">
        <f t="shared" ca="1" si="130"/>
        <v>2.0143103143168322</v>
      </c>
      <c r="H714">
        <f t="shared" ca="1" si="131"/>
        <v>1.7344846326476113</v>
      </c>
      <c r="I714">
        <f t="shared" ca="1" si="132"/>
        <v>2.0788801057633761</v>
      </c>
      <c r="K714">
        <f t="shared" si="123"/>
        <v>1.0283875496353612</v>
      </c>
      <c r="L714" s="7">
        <f t="shared" ca="1" si="124"/>
        <v>1.1351189430487796</v>
      </c>
      <c r="M714">
        <f t="shared" ca="1" si="125"/>
        <v>0.68862477039904979</v>
      </c>
      <c r="O714" t="b">
        <f t="shared" ca="1" si="126"/>
        <v>0</v>
      </c>
    </row>
    <row r="715" spans="1:15" x14ac:dyDescent="0.45">
      <c r="A715" s="1">
        <v>44201</v>
      </c>
      <c r="B715">
        <v>245.03700000000001</v>
      </c>
      <c r="C715">
        <f t="shared" si="122"/>
        <v>7.3173639401949422E-3</v>
      </c>
      <c r="D715">
        <f t="shared" ca="1" si="127"/>
        <v>1.2022184075697984E-2</v>
      </c>
      <c r="E715">
        <f t="shared" ca="1" si="128"/>
        <v>4.9372732495563773E-2</v>
      </c>
      <c r="F715">
        <f t="shared" ca="1" si="129"/>
        <v>-4.7004479276042184E-2</v>
      </c>
      <c r="G715">
        <f t="shared" ca="1" si="130"/>
        <v>2.0192671110715512</v>
      </c>
      <c r="H715">
        <f t="shared" ca="1" si="131"/>
        <v>1.7344846326476113</v>
      </c>
      <c r="I715">
        <f t="shared" ca="1" si="132"/>
        <v>2.0788801057633761</v>
      </c>
      <c r="K715">
        <f t="shared" si="123"/>
        <v>1.0073173639401949</v>
      </c>
      <c r="L715" s="7">
        <f t="shared" ca="1" si="124"/>
        <v>1.1076119875242958</v>
      </c>
      <c r="M715">
        <f t="shared" ca="1" si="125"/>
        <v>0.7566111054293696</v>
      </c>
      <c r="O715" t="b">
        <f t="shared" ca="1" si="126"/>
        <v>0</v>
      </c>
    </row>
    <row r="716" spans="1:15" x14ac:dyDescent="0.45">
      <c r="A716" s="1">
        <v>44200</v>
      </c>
      <c r="B716">
        <v>243.25700000000001</v>
      </c>
      <c r="C716">
        <f t="shared" si="122"/>
        <v>3.4154823295340982E-2</v>
      </c>
      <c r="D716">
        <f t="shared" ca="1" si="127"/>
        <v>1.1984316972019498E-2</v>
      </c>
      <c r="E716">
        <f t="shared" ca="1" si="128"/>
        <v>4.9379262893872719E-2</v>
      </c>
      <c r="F716">
        <f t="shared" ca="1" si="129"/>
        <v>-4.4735650626100958E-2</v>
      </c>
      <c r="G716">
        <f t="shared" ca="1" si="130"/>
        <v>2.0164639692718458</v>
      </c>
      <c r="H716">
        <f t="shared" ca="1" si="131"/>
        <v>1.7344846326476113</v>
      </c>
      <c r="I716">
        <f t="shared" ca="1" si="132"/>
        <v>2.0788801057633761</v>
      </c>
      <c r="K716">
        <f t="shared" si="123"/>
        <v>1.034154823295341</v>
      </c>
      <c r="L716" s="7">
        <f t="shared" ca="1" si="124"/>
        <v>1.1027562446167098</v>
      </c>
      <c r="M716">
        <f t="shared" ca="1" si="125"/>
        <v>0.77506931602305018</v>
      </c>
      <c r="O716" t="b">
        <f t="shared" ca="1" si="126"/>
        <v>0</v>
      </c>
    </row>
    <row r="717" spans="1:15" x14ac:dyDescent="0.45">
      <c r="A717" s="1">
        <v>44196</v>
      </c>
      <c r="B717">
        <v>235.22300000000001</v>
      </c>
      <c r="C717">
        <f t="shared" si="122"/>
        <v>1.5674048870216388E-2</v>
      </c>
      <c r="D717">
        <f t="shared" ca="1" si="127"/>
        <v>1.2732928436885995E-2</v>
      </c>
      <c r="E717">
        <f t="shared" ca="1" si="128"/>
        <v>5.0830664213801245E-2</v>
      </c>
      <c r="F717">
        <f t="shared" ca="1" si="129"/>
        <v>0.11022887660376564</v>
      </c>
      <c r="G717">
        <f t="shared" ca="1" si="130"/>
        <v>2.1317066476303959</v>
      </c>
      <c r="H717">
        <f t="shared" ca="1" si="131"/>
        <v>1.7471556662428891</v>
      </c>
      <c r="I717">
        <f t="shared" ca="1" si="132"/>
        <v>2.1655484244006824</v>
      </c>
      <c r="K717">
        <f t="shared" si="123"/>
        <v>1.0156740488702163</v>
      </c>
      <c r="L717" s="7">
        <f t="shared" ca="1" si="124"/>
        <v>1.0923990024474404</v>
      </c>
      <c r="M717">
        <f t="shared" ca="1" si="125"/>
        <v>0.733639312015816</v>
      </c>
      <c r="O717" t="b">
        <f t="shared" ca="1" si="126"/>
        <v>0</v>
      </c>
    </row>
    <row r="718" spans="1:15" x14ac:dyDescent="0.45">
      <c r="A718" s="1">
        <v>44195</v>
      </c>
      <c r="B718">
        <v>231.59299999999999</v>
      </c>
      <c r="C718">
        <f t="shared" si="122"/>
        <v>4.3225809357784001E-2</v>
      </c>
      <c r="D718">
        <f t="shared" ca="1" si="127"/>
        <v>1.1852832251112317E-2</v>
      </c>
      <c r="E718">
        <f t="shared" ca="1" si="128"/>
        <v>5.2282571963760287E-2</v>
      </c>
      <c r="F718">
        <f t="shared" ca="1" si="129"/>
        <v>-3.1835516941457136E-2</v>
      </c>
      <c r="G718">
        <f t="shared" ca="1" si="130"/>
        <v>2.1981508771987039</v>
      </c>
      <c r="H718">
        <f t="shared" ca="1" si="131"/>
        <v>1.6088308410753691</v>
      </c>
      <c r="I718">
        <f t="shared" ca="1" si="132"/>
        <v>2.129254544628306</v>
      </c>
      <c r="K718">
        <f t="shared" si="123"/>
        <v>1.043225809357784</v>
      </c>
      <c r="L718" s="7">
        <f t="shared" ca="1" si="124"/>
        <v>1.0850140784363331</v>
      </c>
      <c r="M718">
        <f t="shared" ca="1" si="125"/>
        <v>0.75838573988013014</v>
      </c>
      <c r="O718" t="b">
        <f t="shared" ca="1" si="126"/>
        <v>0</v>
      </c>
    </row>
    <row r="719" spans="1:15" x14ac:dyDescent="0.45">
      <c r="A719" s="1">
        <v>44194</v>
      </c>
      <c r="B719">
        <v>221.99700000000001</v>
      </c>
      <c r="C719">
        <f t="shared" si="122"/>
        <v>3.4669800659947762E-3</v>
      </c>
      <c r="D719">
        <f t="shared" ca="1" si="127"/>
        <v>1.1469656259969763E-2</v>
      </c>
      <c r="E719">
        <f t="shared" ca="1" si="128"/>
        <v>5.2332289632525175E-2</v>
      </c>
      <c r="F719">
        <f t="shared" ca="1" si="129"/>
        <v>-1.3934331669469634E-2</v>
      </c>
      <c r="G719">
        <f t="shared" ca="1" si="130"/>
        <v>2.1797327904229551</v>
      </c>
      <c r="H719">
        <f t="shared" ca="1" si="131"/>
        <v>1.6088308410753691</v>
      </c>
      <c r="I719">
        <f t="shared" ca="1" si="132"/>
        <v>1.9637537333301966</v>
      </c>
      <c r="K719">
        <f t="shared" si="123"/>
        <v>1.0034669800659948</v>
      </c>
      <c r="L719" s="7">
        <f t="shared" ca="1" si="124"/>
        <v>1.0248222694118734</v>
      </c>
      <c r="M719">
        <f t="shared" ca="1" si="125"/>
        <v>0.71217386600180443</v>
      </c>
      <c r="O719" t="b">
        <f t="shared" ca="1" si="126"/>
        <v>0</v>
      </c>
    </row>
    <row r="720" spans="1:15" x14ac:dyDescent="0.45">
      <c r="A720" s="1">
        <v>44193</v>
      </c>
      <c r="B720">
        <v>221.23</v>
      </c>
      <c r="C720">
        <f t="shared" si="122"/>
        <v>2.9013101228522885E-3</v>
      </c>
      <c r="D720">
        <f t="shared" ca="1" si="127"/>
        <v>1.0523430238851012E-2</v>
      </c>
      <c r="E720">
        <f t="shared" ca="1" si="128"/>
        <v>5.4156791445041798E-2</v>
      </c>
      <c r="F720">
        <f t="shared" ca="1" si="129"/>
        <v>-0.20484501891297277</v>
      </c>
      <c r="G720">
        <f t="shared" ca="1" si="130"/>
        <v>2.4051931449879147</v>
      </c>
      <c r="H720">
        <f t="shared" ca="1" si="131"/>
        <v>1.568521906750258</v>
      </c>
      <c r="I720">
        <f t="shared" ca="1" si="132"/>
        <v>1.9055885304515066</v>
      </c>
      <c r="K720">
        <f t="shared" si="123"/>
        <v>1.0029013101228523</v>
      </c>
      <c r="L720" s="7">
        <f t="shared" ca="1" si="124"/>
        <v>0.95494826626148743</v>
      </c>
      <c r="M720">
        <f t="shared" ca="1" si="125"/>
        <v>0.65477619588289704</v>
      </c>
      <c r="O720" t="b">
        <f t="shared" ca="1" si="126"/>
        <v>1</v>
      </c>
    </row>
    <row r="721" spans="1:15" x14ac:dyDescent="0.45">
      <c r="A721" s="1">
        <v>44189</v>
      </c>
      <c r="B721">
        <v>220.59</v>
      </c>
      <c r="C721">
        <f t="shared" si="122"/>
        <v>2.4441895349863255E-2</v>
      </c>
      <c r="D721">
        <f t="shared" ca="1" si="127"/>
        <v>1.0384666262494178E-2</v>
      </c>
      <c r="E721">
        <f t="shared" ca="1" si="128"/>
        <v>5.4211946369285099E-2</v>
      </c>
      <c r="F721">
        <f t="shared" ca="1" si="129"/>
        <v>-0.19786007469193975</v>
      </c>
      <c r="G721">
        <f t="shared" ca="1" si="130"/>
        <v>2.3818733568073442</v>
      </c>
      <c r="H721">
        <f t="shared" ca="1" si="131"/>
        <v>1.568521906750258</v>
      </c>
      <c r="I721">
        <f t="shared" ca="1" si="132"/>
        <v>1.8910101172153837</v>
      </c>
      <c r="K721">
        <f t="shared" si="123"/>
        <v>1.0244418953498633</v>
      </c>
      <c r="L721" s="7">
        <f t="shared" ca="1" si="124"/>
        <v>1.0089510732597551</v>
      </c>
      <c r="M721">
        <f t="shared" ca="1" si="125"/>
        <v>0.70860315544517061</v>
      </c>
      <c r="O721" t="b">
        <f t="shared" ca="1" si="126"/>
        <v>0</v>
      </c>
    </row>
    <row r="722" spans="1:15" x14ac:dyDescent="0.45">
      <c r="A722" s="1">
        <v>44188</v>
      </c>
      <c r="B722">
        <v>215.327</v>
      </c>
      <c r="C722">
        <f t="shared" si="122"/>
        <v>8.8078070902846868E-3</v>
      </c>
      <c r="D722">
        <f t="shared" ca="1" si="127"/>
        <v>9.6815949532866093E-3</v>
      </c>
      <c r="E722">
        <f t="shared" ca="1" si="128"/>
        <v>5.4935700454315749E-2</v>
      </c>
      <c r="F722">
        <f t="shared" ca="1" si="129"/>
        <v>-0.21350261120625227</v>
      </c>
      <c r="G722">
        <f t="shared" ca="1" si="130"/>
        <v>2.2351333131385909</v>
      </c>
      <c r="H722">
        <f t="shared" ca="1" si="131"/>
        <v>1.4596652223100761</v>
      </c>
      <c r="I722">
        <f t="shared" ca="1" si="132"/>
        <v>1.8689434164675298</v>
      </c>
      <c r="K722">
        <f t="shared" si="123"/>
        <v>1.0088078070902846</v>
      </c>
      <c r="L722" s="7">
        <f t="shared" ca="1" si="124"/>
        <v>1.0372705814345584</v>
      </c>
      <c r="M722">
        <f t="shared" ca="1" si="125"/>
        <v>0.77095018276802341</v>
      </c>
      <c r="O722" t="b">
        <f t="shared" ca="1" si="126"/>
        <v>0</v>
      </c>
    </row>
    <row r="723" spans="1:15" x14ac:dyDescent="0.45">
      <c r="A723" s="1">
        <v>44187</v>
      </c>
      <c r="B723">
        <v>213.447</v>
      </c>
      <c r="C723">
        <f t="shared" si="122"/>
        <v>-1.4647770288985328E-2</v>
      </c>
      <c r="D723">
        <f t="shared" ca="1" si="127"/>
        <v>9.5515534074916385E-3</v>
      </c>
      <c r="E723">
        <f t="shared" ca="1" si="128"/>
        <v>5.4968552323841416E-2</v>
      </c>
      <c r="F723">
        <f t="shared" ca="1" si="129"/>
        <v>-0.20654477311531472</v>
      </c>
      <c r="G723">
        <f t="shared" ca="1" si="130"/>
        <v>2.2207875624869358</v>
      </c>
      <c r="H723">
        <f t="shared" ca="1" si="131"/>
        <v>1.4596652223100761</v>
      </c>
      <c r="I723">
        <f t="shared" ca="1" si="132"/>
        <v>1.8689434164675298</v>
      </c>
      <c r="K723">
        <f t="shared" si="123"/>
        <v>0.98535222971101466</v>
      </c>
      <c r="L723" s="7">
        <f t="shared" ca="1" si="124"/>
        <v>1.0111993860235076</v>
      </c>
      <c r="M723">
        <f t="shared" ca="1" si="125"/>
        <v>0.75015152482680358</v>
      </c>
      <c r="O723" t="b">
        <f t="shared" ca="1" si="126"/>
        <v>0</v>
      </c>
    </row>
    <row r="724" spans="1:15" x14ac:dyDescent="0.45">
      <c r="A724" s="1">
        <v>44186</v>
      </c>
      <c r="B724">
        <v>216.62</v>
      </c>
      <c r="C724">
        <f t="shared" si="122"/>
        <v>-6.4950985682034973E-2</v>
      </c>
      <c r="D724">
        <f t="shared" ca="1" si="127"/>
        <v>9.9317867548201974E-3</v>
      </c>
      <c r="E724">
        <f t="shared" ca="1" si="128"/>
        <v>5.5063254247081216E-2</v>
      </c>
      <c r="F724">
        <f t="shared" ca="1" si="129"/>
        <v>-0.2217383550053941</v>
      </c>
      <c r="G724">
        <f t="shared" ca="1" si="130"/>
        <v>2.1944817387781095</v>
      </c>
      <c r="H724">
        <f t="shared" ca="1" si="131"/>
        <v>1.4596652223100761</v>
      </c>
      <c r="I724">
        <f t="shared" ca="1" si="132"/>
        <v>1.9468594940154578</v>
      </c>
      <c r="K724">
        <f t="shared" si="123"/>
        <v>0.93504901431796505</v>
      </c>
      <c r="L724" s="7">
        <f t="shared" ca="1" si="124"/>
        <v>1.0156744515348586</v>
      </c>
      <c r="M724">
        <f t="shared" ca="1" si="125"/>
        <v>0.7378400050089664</v>
      </c>
      <c r="O724" t="b">
        <f t="shared" ca="1" si="126"/>
        <v>0</v>
      </c>
    </row>
    <row r="725" spans="1:15" x14ac:dyDescent="0.45">
      <c r="A725" s="1">
        <v>44183</v>
      </c>
      <c r="B725">
        <v>231.667</v>
      </c>
      <c r="C725">
        <f t="shared" si="122"/>
        <v>5.9615885982445431E-2</v>
      </c>
      <c r="D725">
        <f t="shared" ca="1" si="127"/>
        <v>9.5779088000161241E-3</v>
      </c>
      <c r="E725">
        <f t="shared" ca="1" si="128"/>
        <v>5.5769821047120513E-2</v>
      </c>
      <c r="F725">
        <f t="shared" ca="1" si="129"/>
        <v>-0.27233252552677145</v>
      </c>
      <c r="G725">
        <f t="shared" ca="1" si="130"/>
        <v>2.1507722867388743</v>
      </c>
      <c r="H725">
        <f t="shared" ca="1" si="131"/>
        <v>1.3800462738889163</v>
      </c>
      <c r="I725">
        <f t="shared" ca="1" si="132"/>
        <v>1.9468594940154578</v>
      </c>
      <c r="K725">
        <f t="shared" si="123"/>
        <v>1.0596158859824454</v>
      </c>
      <c r="L725" s="7">
        <f t="shared" ca="1" si="124"/>
        <v>1.1393645797472089</v>
      </c>
      <c r="M725">
        <f t="shared" ca="1" si="125"/>
        <v>0.77158242528013465</v>
      </c>
      <c r="O725" t="b">
        <f t="shared" ca="1" si="126"/>
        <v>0</v>
      </c>
    </row>
    <row r="726" spans="1:15" x14ac:dyDescent="0.45">
      <c r="A726" s="1">
        <v>44182</v>
      </c>
      <c r="B726">
        <v>218.63300000000001</v>
      </c>
      <c r="C726">
        <f t="shared" si="122"/>
        <v>5.3196204056072095E-2</v>
      </c>
      <c r="D726">
        <f t="shared" ca="1" si="127"/>
        <v>9.1344958794294627E-3</v>
      </c>
      <c r="E726">
        <f t="shared" ca="1" si="128"/>
        <v>5.5722508757646706E-2</v>
      </c>
      <c r="F726">
        <f t="shared" ca="1" si="129"/>
        <v>-0.25428123361051785</v>
      </c>
      <c r="G726">
        <f t="shared" ca="1" si="130"/>
        <v>2.1576244256946353</v>
      </c>
      <c r="H726">
        <f t="shared" ca="1" si="131"/>
        <v>1.3800462738889163</v>
      </c>
      <c r="I726">
        <f t="shared" ca="1" si="132"/>
        <v>1.8642089326462419</v>
      </c>
      <c r="K726">
        <f t="shared" si="123"/>
        <v>1.0531962040560721</v>
      </c>
      <c r="L726" s="7">
        <f t="shared" ca="1" si="124"/>
        <v>1.0459758017060325</v>
      </c>
      <c r="M726">
        <f t="shared" ca="1" si="125"/>
        <v>0.76811461289890293</v>
      </c>
      <c r="O726" t="b">
        <f t="shared" ca="1" si="126"/>
        <v>0</v>
      </c>
    </row>
    <row r="727" spans="1:15" x14ac:dyDescent="0.45">
      <c r="A727" s="1">
        <v>44181</v>
      </c>
      <c r="B727">
        <v>207.59</v>
      </c>
      <c r="C727">
        <f t="shared" si="122"/>
        <v>-1.6547992969590138E-2</v>
      </c>
      <c r="D727">
        <f t="shared" ca="1" si="127"/>
        <v>8.7020039628921946E-3</v>
      </c>
      <c r="E727">
        <f t="shared" ca="1" si="128"/>
        <v>5.5714483284499544E-2</v>
      </c>
      <c r="F727">
        <f t="shared" ca="1" si="129"/>
        <v>-0.23562117552647288</v>
      </c>
      <c r="G727">
        <f t="shared" ca="1" si="130"/>
        <v>2.1525031045164997</v>
      </c>
      <c r="H727">
        <f t="shared" ca="1" si="131"/>
        <v>1.3800462738889163</v>
      </c>
      <c r="I727">
        <f t="shared" ca="1" si="132"/>
        <v>1.8088086466448841</v>
      </c>
      <c r="K727">
        <f t="shared" si="123"/>
        <v>0.98345200703040991</v>
      </c>
      <c r="L727" s="7">
        <f t="shared" ca="1" si="124"/>
        <v>1.0302591157012899</v>
      </c>
      <c r="M727">
        <f t="shared" ca="1" si="125"/>
        <v>0.75207882076475885</v>
      </c>
      <c r="O727" t="b">
        <f t="shared" ca="1" si="126"/>
        <v>0</v>
      </c>
    </row>
    <row r="728" spans="1:15" x14ac:dyDescent="0.45">
      <c r="A728" s="1">
        <v>44180</v>
      </c>
      <c r="B728">
        <v>211.083</v>
      </c>
      <c r="C728">
        <f t="shared" si="122"/>
        <v>-1.0287091435082022E-2</v>
      </c>
      <c r="D728">
        <f t="shared" ca="1" si="127"/>
        <v>8.8115041142163928E-3</v>
      </c>
      <c r="E728">
        <f t="shared" ca="1" si="128"/>
        <v>5.5686121786251479E-2</v>
      </c>
      <c r="F728">
        <f t="shared" ca="1" si="129"/>
        <v>-0.24146800476572625</v>
      </c>
      <c r="G728">
        <f t="shared" ca="1" si="130"/>
        <v>2.164796379088239</v>
      </c>
      <c r="H728">
        <f t="shared" ca="1" si="131"/>
        <v>1.3800462738889163</v>
      </c>
      <c r="I728">
        <f t="shared" ca="1" si="132"/>
        <v>1.8088086466448841</v>
      </c>
      <c r="K728">
        <f t="shared" si="123"/>
        <v>0.989712908564918</v>
      </c>
      <c r="L728" s="7">
        <f t="shared" ca="1" si="124"/>
        <v>0.97440762231854761</v>
      </c>
      <c r="M728">
        <f t="shared" ca="1" si="125"/>
        <v>0.72123658204838526</v>
      </c>
      <c r="O728" t="b">
        <f t="shared" ca="1" si="126"/>
        <v>1</v>
      </c>
    </row>
    <row r="729" spans="1:15" x14ac:dyDescent="0.45">
      <c r="A729" s="1">
        <v>44179</v>
      </c>
      <c r="B729">
        <v>213.27699999999999</v>
      </c>
      <c r="C729">
        <f t="shared" si="122"/>
        <v>4.8920474106132761E-2</v>
      </c>
      <c r="D729">
        <f t="shared" ca="1" si="127"/>
        <v>8.8756476664483535E-3</v>
      </c>
      <c r="E729">
        <f t="shared" ca="1" si="128"/>
        <v>5.5671398608724283E-2</v>
      </c>
      <c r="F729">
        <f t="shared" ca="1" si="129"/>
        <v>-0.24495341022992023</v>
      </c>
      <c r="G729">
        <f t="shared" ca="1" si="130"/>
        <v>2.1713833596510295</v>
      </c>
      <c r="H729">
        <f t="shared" ca="1" si="131"/>
        <v>1.3800462738889163</v>
      </c>
      <c r="I729">
        <f t="shared" ca="1" si="132"/>
        <v>1.8088086466448841</v>
      </c>
      <c r="K729">
        <f t="shared" si="123"/>
        <v>1.0489204741061329</v>
      </c>
      <c r="L729" s="7">
        <f t="shared" ca="1" si="124"/>
        <v>0.99699420344053846</v>
      </c>
      <c r="M729">
        <f t="shared" ca="1" si="125"/>
        <v>0.74211781527535825</v>
      </c>
      <c r="O729" t="b">
        <f t="shared" ca="1" si="126"/>
        <v>1</v>
      </c>
    </row>
    <row r="730" spans="1:15" x14ac:dyDescent="0.45">
      <c r="A730" s="1">
        <v>44176</v>
      </c>
      <c r="B730">
        <v>203.33</v>
      </c>
      <c r="C730">
        <f t="shared" si="122"/>
        <v>-2.7236237160503791E-2</v>
      </c>
      <c r="D730">
        <f t="shared" ca="1" si="127"/>
        <v>9.1971461611246048E-3</v>
      </c>
      <c r="E730">
        <f t="shared" ca="1" si="128"/>
        <v>5.6087921808297379E-2</v>
      </c>
      <c r="F730">
        <f t="shared" ca="1" si="129"/>
        <v>-0.22607162003539408</v>
      </c>
      <c r="G730">
        <f t="shared" ca="1" si="130"/>
        <v>2.0839013934499713</v>
      </c>
      <c r="H730">
        <f t="shared" ca="1" si="131"/>
        <v>1.4564036380981329</v>
      </c>
      <c r="I730">
        <f t="shared" ca="1" si="132"/>
        <v>1.8088086466448841</v>
      </c>
      <c r="K730">
        <f t="shared" si="123"/>
        <v>0.97276376283949617</v>
      </c>
      <c r="L730" s="7">
        <f t="shared" ca="1" si="124"/>
        <v>1.0182792467948718</v>
      </c>
      <c r="M730">
        <f t="shared" ca="1" si="125"/>
        <v>0.81471747314887155</v>
      </c>
      <c r="O730" t="b">
        <f t="shared" ca="1" si="126"/>
        <v>0</v>
      </c>
    </row>
    <row r="731" spans="1:15" x14ac:dyDescent="0.45">
      <c r="A731" s="1">
        <v>44175</v>
      </c>
      <c r="B731">
        <v>209.023</v>
      </c>
      <c r="C731">
        <f t="shared" si="122"/>
        <v>3.7371025296164144E-2</v>
      </c>
      <c r="D731">
        <f t="shared" ca="1" si="127"/>
        <v>9.2522522961723756E-3</v>
      </c>
      <c r="E731">
        <f t="shared" ca="1" si="128"/>
        <v>5.6057352115449696E-2</v>
      </c>
      <c r="F731">
        <f t="shared" ca="1" si="129"/>
        <v>-0.22849990454656172</v>
      </c>
      <c r="G731">
        <f t="shared" ca="1" si="130"/>
        <v>2.095305357559492</v>
      </c>
      <c r="H731">
        <f t="shared" ca="1" si="131"/>
        <v>1.4564036380981329</v>
      </c>
      <c r="I731">
        <f t="shared" ca="1" si="132"/>
        <v>1.8222976231602968</v>
      </c>
      <c r="K731">
        <f t="shared" si="123"/>
        <v>1.0373710252961641</v>
      </c>
      <c r="L731" s="7">
        <f t="shared" ca="1" si="124"/>
        <v>1.0567765289974875</v>
      </c>
      <c r="M731">
        <f t="shared" ca="1" si="125"/>
        <v>0.82263115894286853</v>
      </c>
      <c r="O731" t="b">
        <f t="shared" ca="1" si="126"/>
        <v>0</v>
      </c>
    </row>
    <row r="732" spans="1:15" x14ac:dyDescent="0.45">
      <c r="A732" s="1">
        <v>44174</v>
      </c>
      <c r="B732">
        <v>201.49299999999999</v>
      </c>
      <c r="C732">
        <f t="shared" si="122"/>
        <v>-6.9862020893055876E-2</v>
      </c>
      <c r="D732">
        <f t="shared" ca="1" si="127"/>
        <v>8.4246710525883121E-3</v>
      </c>
      <c r="E732">
        <f t="shared" ca="1" si="128"/>
        <v>5.6856220906955739E-2</v>
      </c>
      <c r="F732">
        <f t="shared" ca="1" si="129"/>
        <v>-0.24713873948346665</v>
      </c>
      <c r="G732">
        <f t="shared" ca="1" si="130"/>
        <v>1.9727168796967165</v>
      </c>
      <c r="H732">
        <f t="shared" ca="1" si="131"/>
        <v>1.3496441811792899</v>
      </c>
      <c r="I732">
        <f t="shared" ca="1" si="132"/>
        <v>1.7909516705743085</v>
      </c>
      <c r="K732">
        <f t="shared" si="123"/>
        <v>0.93013797910694418</v>
      </c>
      <c r="L732" s="7">
        <f t="shared" ca="1" si="124"/>
        <v>1.0626875590036235</v>
      </c>
      <c r="M732">
        <f t="shared" ca="1" si="125"/>
        <v>0.85258012662460869</v>
      </c>
      <c r="O732" t="b">
        <f t="shared" ca="1" si="126"/>
        <v>0</v>
      </c>
    </row>
    <row r="733" spans="1:15" x14ac:dyDescent="0.45">
      <c r="A733" s="1">
        <v>44173</v>
      </c>
      <c r="B733">
        <v>216.62700000000001</v>
      </c>
      <c r="C733">
        <f t="shared" si="122"/>
        <v>1.2654263275991128E-2</v>
      </c>
      <c r="D733">
        <f t="shared" ca="1" si="127"/>
        <v>8.642031855288836E-3</v>
      </c>
      <c r="E733">
        <f t="shared" ca="1" si="128"/>
        <v>5.6638106107514775E-2</v>
      </c>
      <c r="F733">
        <f t="shared" ca="1" si="129"/>
        <v>-0.24940886461681791</v>
      </c>
      <c r="G733">
        <f t="shared" ca="1" si="130"/>
        <v>2.0361201962351521</v>
      </c>
      <c r="H733">
        <f t="shared" ca="1" si="131"/>
        <v>1.3496441811792899</v>
      </c>
      <c r="I733">
        <f t="shared" ca="1" si="132"/>
        <v>1.7909516705743085</v>
      </c>
      <c r="K733">
        <f t="shared" si="123"/>
        <v>1.0126542632759912</v>
      </c>
      <c r="L733" s="7">
        <f t="shared" ca="1" si="124"/>
        <v>1.1113636363636363</v>
      </c>
      <c r="M733">
        <f t="shared" ca="1" si="125"/>
        <v>0.83491694838009867</v>
      </c>
      <c r="O733" t="b">
        <f t="shared" ca="1" si="126"/>
        <v>0</v>
      </c>
    </row>
    <row r="734" spans="1:15" x14ac:dyDescent="0.45">
      <c r="A734" s="1">
        <v>44172</v>
      </c>
      <c r="B734">
        <v>213.92</v>
      </c>
      <c r="C734">
        <f t="shared" si="122"/>
        <v>7.1314102564102463E-2</v>
      </c>
      <c r="D734">
        <f t="shared" ca="1" si="127"/>
        <v>8.3755888769796172E-3</v>
      </c>
      <c r="E734">
        <f t="shared" ca="1" si="128"/>
        <v>5.6744379719724902E-2</v>
      </c>
      <c r="F734">
        <f t="shared" ca="1" si="129"/>
        <v>-0.23710707326886571</v>
      </c>
      <c r="G734">
        <f t="shared" ca="1" si="130"/>
        <v>1.9964215374689509</v>
      </c>
      <c r="H734">
        <f t="shared" ca="1" si="131"/>
        <v>1.3496441811792899</v>
      </c>
      <c r="I734">
        <f t="shared" ca="1" si="132"/>
        <v>1.728746814505792</v>
      </c>
      <c r="K734">
        <f t="shared" si="123"/>
        <v>1.0713141025641024</v>
      </c>
      <c r="L734" s="7">
        <f t="shared" ca="1" si="124"/>
        <v>1.1306553911205075</v>
      </c>
      <c r="M734">
        <f t="shared" ca="1" si="125"/>
        <v>0.80411434594017139</v>
      </c>
      <c r="O734" t="b">
        <f t="shared" ca="1" si="126"/>
        <v>0</v>
      </c>
    </row>
    <row r="735" spans="1:15" x14ac:dyDescent="0.45">
      <c r="A735" s="1">
        <v>44169</v>
      </c>
      <c r="B735">
        <v>199.68</v>
      </c>
      <c r="C735">
        <f t="shared" si="122"/>
        <v>9.5402769562117993E-3</v>
      </c>
      <c r="D735">
        <f t="shared" ca="1" si="127"/>
        <v>7.6460413236358162E-3</v>
      </c>
      <c r="E735">
        <f t="shared" ca="1" si="128"/>
        <v>5.6868952911019441E-2</v>
      </c>
      <c r="F735">
        <f t="shared" ca="1" si="129"/>
        <v>-0.21932039599489009</v>
      </c>
      <c r="G735">
        <f t="shared" ca="1" si="130"/>
        <v>1.9555824119987069</v>
      </c>
      <c r="H735">
        <f t="shared" ca="1" si="131"/>
        <v>1.3496441811792899</v>
      </c>
      <c r="I735">
        <f t="shared" ca="1" si="132"/>
        <v>1.5880125868293311</v>
      </c>
      <c r="K735">
        <f t="shared" si="123"/>
        <v>1.0095402769562118</v>
      </c>
      <c r="L735" s="7">
        <f t="shared" ca="1" si="124"/>
        <v>1.0226731471475472</v>
      </c>
      <c r="M735">
        <f t="shared" ca="1" si="125"/>
        <v>0.80814743594935967</v>
      </c>
      <c r="O735" t="b">
        <f t="shared" ca="1" si="126"/>
        <v>0</v>
      </c>
    </row>
    <row r="736" spans="1:15" x14ac:dyDescent="0.45">
      <c r="A736" s="1">
        <v>44168</v>
      </c>
      <c r="B736">
        <v>197.79300000000001</v>
      </c>
      <c r="C736">
        <f t="shared" si="122"/>
        <v>4.3173511526473217E-2</v>
      </c>
      <c r="D736">
        <f t="shared" ca="1" si="127"/>
        <v>7.6071790618136292E-3</v>
      </c>
      <c r="E736">
        <f t="shared" ca="1" si="128"/>
        <v>5.6870307647051643E-2</v>
      </c>
      <c r="F736">
        <f t="shared" ca="1" si="129"/>
        <v>-0.21723976097402251</v>
      </c>
      <c r="G736">
        <f t="shared" ca="1" si="130"/>
        <v>1.9544977090012026</v>
      </c>
      <c r="H736">
        <f t="shared" ca="1" si="131"/>
        <v>1.3496441811792899</v>
      </c>
      <c r="I736">
        <f t="shared" ca="1" si="132"/>
        <v>1.5880125868293311</v>
      </c>
      <c r="K736">
        <f t="shared" si="123"/>
        <v>1.0431735115264733</v>
      </c>
      <c r="L736" s="7">
        <f t="shared" ca="1" si="124"/>
        <v>1.033763125022866</v>
      </c>
      <c r="M736">
        <f t="shared" ca="1" si="125"/>
        <v>0.80431827019351143</v>
      </c>
      <c r="O736" t="b">
        <f t="shared" ca="1" si="126"/>
        <v>0</v>
      </c>
    </row>
    <row r="737" spans="1:15" x14ac:dyDescent="0.45">
      <c r="A737" s="1">
        <v>44167</v>
      </c>
      <c r="B737">
        <v>189.607</v>
      </c>
      <c r="C737">
        <f t="shared" si="122"/>
        <v>-2.7257336343115064E-2</v>
      </c>
      <c r="D737">
        <f t="shared" ca="1" si="127"/>
        <v>7.2931612032556773E-3</v>
      </c>
      <c r="E737">
        <f t="shared" ca="1" si="128"/>
        <v>5.6846320566853244E-2</v>
      </c>
      <c r="F737">
        <f t="shared" ca="1" si="129"/>
        <v>-0.20257685775483283</v>
      </c>
      <c r="G737">
        <f t="shared" ca="1" si="130"/>
        <v>1.95766644077914</v>
      </c>
      <c r="H737">
        <f t="shared" ca="1" si="131"/>
        <v>1.3496441811792899</v>
      </c>
      <c r="I737">
        <f t="shared" ca="1" si="132"/>
        <v>1.5089205273480768</v>
      </c>
      <c r="K737">
        <f t="shared" si="123"/>
        <v>0.97274266365688489</v>
      </c>
      <c r="L737" s="7">
        <f t="shared" ca="1" si="124"/>
        <v>1.0241996035154244</v>
      </c>
      <c r="M737">
        <f t="shared" ca="1" si="125"/>
        <v>0.84847299310804125</v>
      </c>
      <c r="O737" t="b">
        <f t="shared" ca="1" si="126"/>
        <v>0</v>
      </c>
    </row>
    <row r="738" spans="1:15" x14ac:dyDescent="0.45">
      <c r="A738" s="1">
        <v>44166</v>
      </c>
      <c r="B738">
        <v>194.92</v>
      </c>
      <c r="C738">
        <f t="shared" si="122"/>
        <v>3.023255813953488E-2</v>
      </c>
      <c r="D738">
        <f t="shared" ca="1" si="127"/>
        <v>7.773220983891862E-3</v>
      </c>
      <c r="E738">
        <f t="shared" ca="1" si="128"/>
        <v>5.6958373708481301E-2</v>
      </c>
      <c r="F738">
        <f t="shared" ca="1" si="129"/>
        <v>-0.21941402566914059</v>
      </c>
      <c r="G738">
        <f t="shared" ca="1" si="130"/>
        <v>1.9318381142954824</v>
      </c>
      <c r="H738">
        <f t="shared" ca="1" si="131"/>
        <v>1.3496441811792899</v>
      </c>
      <c r="I738">
        <f t="shared" ca="1" si="132"/>
        <v>1.6939325239048313</v>
      </c>
      <c r="K738">
        <f t="shared" si="123"/>
        <v>1.0302325581395348</v>
      </c>
      <c r="L738" s="7">
        <f t="shared" ca="1" si="124"/>
        <v>1.120551882724921</v>
      </c>
      <c r="M738">
        <f t="shared" ca="1" si="125"/>
        <v>0.88729889093701875</v>
      </c>
      <c r="O738" t="b">
        <f t="shared" ca="1" si="126"/>
        <v>0</v>
      </c>
    </row>
    <row r="739" spans="1:15" x14ac:dyDescent="0.45">
      <c r="A739" s="1">
        <v>44165</v>
      </c>
      <c r="B739">
        <v>189.2</v>
      </c>
      <c r="C739">
        <f t="shared" si="122"/>
        <v>-3.1000804084956431E-2</v>
      </c>
      <c r="D739">
        <f t="shared" ca="1" si="127"/>
        <v>7.9868634909988304E-3</v>
      </c>
      <c r="E739">
        <f t="shared" ca="1" si="128"/>
        <v>5.7122935163464922E-2</v>
      </c>
      <c r="F739">
        <f t="shared" ca="1" si="129"/>
        <v>-0.22162162019019269</v>
      </c>
      <c r="G739">
        <f t="shared" ca="1" si="130"/>
        <v>1.8866830477287921</v>
      </c>
      <c r="H739">
        <f t="shared" ca="1" si="131"/>
        <v>1.3496441811792899</v>
      </c>
      <c r="I739">
        <f t="shared" ca="1" si="132"/>
        <v>1.728746814505792</v>
      </c>
      <c r="K739">
        <f t="shared" si="123"/>
        <v>0.96899919591504358</v>
      </c>
      <c r="L739" s="7">
        <f t="shared" ca="1" si="124"/>
        <v>1.1592924149678623</v>
      </c>
      <c r="M739">
        <f t="shared" ca="1" si="125"/>
        <v>0.90953276132204719</v>
      </c>
      <c r="O739" t="b">
        <f t="shared" ca="1" si="126"/>
        <v>0</v>
      </c>
    </row>
    <row r="740" spans="1:15" x14ac:dyDescent="0.45">
      <c r="A740" s="1">
        <v>44162</v>
      </c>
      <c r="B740">
        <v>195.25299999999999</v>
      </c>
      <c r="C740">
        <f t="shared" si="122"/>
        <v>2.0487840571150755E-2</v>
      </c>
      <c r="D740">
        <f t="shared" ca="1" si="127"/>
        <v>8.1171753472445082E-3</v>
      </c>
      <c r="E740">
        <f t="shared" ca="1" si="128"/>
        <v>5.7063243740103138E-2</v>
      </c>
      <c r="F740">
        <f t="shared" ca="1" si="129"/>
        <v>-0.22767803810908721</v>
      </c>
      <c r="G740">
        <f t="shared" ca="1" si="130"/>
        <v>1.9083287260066317</v>
      </c>
      <c r="H740">
        <f t="shared" ca="1" si="131"/>
        <v>1.3496441811792899</v>
      </c>
      <c r="I740">
        <f t="shared" ca="1" si="132"/>
        <v>1.7909516705743085</v>
      </c>
      <c r="K740">
        <f t="shared" si="123"/>
        <v>1.0204878405711508</v>
      </c>
      <c r="L740" s="7">
        <f t="shared" ca="1" si="124"/>
        <v>1.1732332670364074</v>
      </c>
      <c r="M740">
        <f t="shared" ca="1" si="125"/>
        <v>0.89253468324605212</v>
      </c>
      <c r="O740" t="b">
        <f t="shared" ca="1" si="126"/>
        <v>0</v>
      </c>
    </row>
    <row r="741" spans="1:15" x14ac:dyDescent="0.45">
      <c r="A741" s="1">
        <v>44160</v>
      </c>
      <c r="B741">
        <v>191.333</v>
      </c>
      <c r="C741">
        <f t="shared" si="122"/>
        <v>3.3522932905518853E-2</v>
      </c>
      <c r="D741">
        <f t="shared" ca="1" si="127"/>
        <v>8.253951278682739E-3</v>
      </c>
      <c r="E741">
        <f t="shared" ca="1" si="128"/>
        <v>5.712579400640113E-2</v>
      </c>
      <c r="F741">
        <f t="shared" ca="1" si="129"/>
        <v>-0.23253095509092103</v>
      </c>
      <c r="G741">
        <f t="shared" ca="1" si="130"/>
        <v>1.8901028199237313</v>
      </c>
      <c r="H741">
        <f t="shared" ca="1" si="131"/>
        <v>1.3496441811792899</v>
      </c>
      <c r="I741">
        <f t="shared" ca="1" si="132"/>
        <v>1.85040972103959</v>
      </c>
      <c r="K741">
        <f t="shared" si="123"/>
        <v>1.0335229329055189</v>
      </c>
      <c r="L741" s="7">
        <f t="shared" ca="1" si="124"/>
        <v>1.1795170547366736</v>
      </c>
      <c r="M741">
        <f t="shared" ca="1" si="125"/>
        <v>0.8996151997083115</v>
      </c>
      <c r="O741" t="b">
        <f t="shared" ca="1" si="126"/>
        <v>0</v>
      </c>
    </row>
    <row r="742" spans="1:15" x14ac:dyDescent="0.45">
      <c r="A742" s="1">
        <v>44159</v>
      </c>
      <c r="B742">
        <v>185.12700000000001</v>
      </c>
      <c r="C742">
        <f t="shared" si="122"/>
        <v>6.4254096004599151E-2</v>
      </c>
      <c r="D742">
        <f t="shared" ca="1" si="127"/>
        <v>8.0405644830488839E-3</v>
      </c>
      <c r="E742">
        <f t="shared" ca="1" si="128"/>
        <v>5.7110636488372855E-2</v>
      </c>
      <c r="F742">
        <f t="shared" ca="1" si="129"/>
        <v>-0.22197717235959499</v>
      </c>
      <c r="G742">
        <f t="shared" ca="1" si="130"/>
        <v>1.8917199207509148</v>
      </c>
      <c r="H742">
        <f t="shared" ca="1" si="131"/>
        <v>1.3496441811792899</v>
      </c>
      <c r="I742">
        <f t="shared" ca="1" si="132"/>
        <v>1.85040972103959</v>
      </c>
      <c r="K742">
        <f t="shared" si="123"/>
        <v>1.0642540960045992</v>
      </c>
      <c r="L742" s="7">
        <f t="shared" ca="1" si="124"/>
        <v>1.2576306189411903</v>
      </c>
      <c r="M742">
        <f t="shared" ca="1" si="125"/>
        <v>1.0329968045979494</v>
      </c>
      <c r="O742" t="b">
        <f t="shared" ca="1" si="126"/>
        <v>0</v>
      </c>
    </row>
    <row r="743" spans="1:15" x14ac:dyDescent="0.45">
      <c r="A743" s="1">
        <v>44158</v>
      </c>
      <c r="B743">
        <v>173.95</v>
      </c>
      <c r="C743">
        <f t="shared" si="122"/>
        <v>6.5850505199046491E-2</v>
      </c>
      <c r="D743">
        <f t="shared" ca="1" si="127"/>
        <v>7.7393839702946067E-3</v>
      </c>
      <c r="E743">
        <f t="shared" ca="1" si="128"/>
        <v>5.6971358987543137E-2</v>
      </c>
      <c r="F743">
        <f t="shared" ca="1" si="129"/>
        <v>-0.21246702808198123</v>
      </c>
      <c r="G743">
        <f t="shared" ca="1" si="130"/>
        <v>1.9305141798489398</v>
      </c>
      <c r="H743">
        <f t="shared" ca="1" si="131"/>
        <v>1.3496441811792899</v>
      </c>
      <c r="I743">
        <f t="shared" ca="1" si="132"/>
        <v>1.7909516705743085</v>
      </c>
      <c r="K743">
        <f t="shared" si="123"/>
        <v>1.0658505051990466</v>
      </c>
      <c r="L743" s="7">
        <f t="shared" ca="1" si="124"/>
        <v>1.2787620377857825</v>
      </c>
      <c r="M743">
        <f t="shared" ca="1" si="125"/>
        <v>1.0252528178443403</v>
      </c>
      <c r="O743" t="b">
        <f t="shared" ca="1" si="126"/>
        <v>0</v>
      </c>
    </row>
    <row r="744" spans="1:15" x14ac:dyDescent="0.45">
      <c r="A744" s="1">
        <v>44155</v>
      </c>
      <c r="B744">
        <v>163.203</v>
      </c>
      <c r="C744">
        <f t="shared" si="122"/>
        <v>-1.934828719588037E-2</v>
      </c>
      <c r="D744">
        <f t="shared" ca="1" si="127"/>
        <v>7.5652707729312743E-3</v>
      </c>
      <c r="E744">
        <f t="shared" ca="1" si="128"/>
        <v>5.6845943673921671E-2</v>
      </c>
      <c r="F744">
        <f t="shared" ca="1" si="129"/>
        <v>-0.20966824054025038</v>
      </c>
      <c r="G744">
        <f t="shared" ca="1" si="130"/>
        <v>1.9663863179507066</v>
      </c>
      <c r="H744">
        <f t="shared" ca="1" si="131"/>
        <v>1.3496441811792899</v>
      </c>
      <c r="I744">
        <f t="shared" ca="1" si="132"/>
        <v>1.7548846702544989</v>
      </c>
      <c r="K744">
        <f t="shared" si="123"/>
        <v>0.98065171280411967</v>
      </c>
      <c r="L744" s="7">
        <f t="shared" ca="1" si="124"/>
        <v>1.1985503095463661</v>
      </c>
      <c r="M744">
        <f t="shared" ca="1" si="125"/>
        <v>1.0363081513493619</v>
      </c>
      <c r="O744" t="b">
        <f t="shared" ca="1" si="126"/>
        <v>0</v>
      </c>
    </row>
    <row r="745" spans="1:15" x14ac:dyDescent="0.45">
      <c r="A745" s="1">
        <v>44154</v>
      </c>
      <c r="B745">
        <v>166.423</v>
      </c>
      <c r="C745">
        <f t="shared" si="122"/>
        <v>2.5953530234938064E-2</v>
      </c>
      <c r="D745">
        <f t="shared" ca="1" si="127"/>
        <v>7.6560639646441218E-3</v>
      </c>
      <c r="E745">
        <f t="shared" ca="1" si="128"/>
        <v>5.6817235930513597E-2</v>
      </c>
      <c r="F745">
        <f t="shared" ca="1" si="129"/>
        <v>-0.21430768232488212</v>
      </c>
      <c r="G745">
        <f t="shared" ca="1" si="130"/>
        <v>1.977647892623656</v>
      </c>
      <c r="H745">
        <f t="shared" ca="1" si="131"/>
        <v>1.3496441811792899</v>
      </c>
      <c r="I745">
        <f t="shared" ca="1" si="132"/>
        <v>1.7548846702544989</v>
      </c>
      <c r="K745">
        <f t="shared" si="123"/>
        <v>1.0259535302349381</v>
      </c>
      <c r="L745" s="7">
        <f t="shared" ca="1" si="124"/>
        <v>1.2125272307344832</v>
      </c>
      <c r="M745">
        <f t="shared" ca="1" si="125"/>
        <v>1.0129740787175123</v>
      </c>
      <c r="O745" t="b">
        <f t="shared" ca="1" si="126"/>
        <v>0</v>
      </c>
    </row>
    <row r="746" spans="1:15" x14ac:dyDescent="0.45">
      <c r="A746" s="1">
        <v>44153</v>
      </c>
      <c r="B746">
        <v>162.21299999999999</v>
      </c>
      <c r="C746">
        <f t="shared" si="122"/>
        <v>0.10196803054285572</v>
      </c>
      <c r="D746">
        <f t="shared" ca="1" si="127"/>
        <v>7.6233461297209636E-3</v>
      </c>
      <c r="E746">
        <f t="shared" ca="1" si="128"/>
        <v>5.6808529874907622E-2</v>
      </c>
      <c r="F746">
        <f t="shared" ca="1" si="129"/>
        <v>-0.21278562723221975</v>
      </c>
      <c r="G746">
        <f t="shared" ca="1" si="130"/>
        <v>1.9801795521724195</v>
      </c>
      <c r="H746">
        <f t="shared" ca="1" si="131"/>
        <v>1.3496441811792899</v>
      </c>
      <c r="I746">
        <f t="shared" ca="1" si="132"/>
        <v>1.7548846702544989</v>
      </c>
      <c r="K746">
        <f t="shared" si="123"/>
        <v>1.1019680305428556</v>
      </c>
      <c r="L746" s="7">
        <f t="shared" ca="1" si="124"/>
        <v>1.166639097257683</v>
      </c>
      <c r="M746">
        <f t="shared" ca="1" si="125"/>
        <v>0.90962874424412599</v>
      </c>
      <c r="O746" t="b">
        <f t="shared" ca="1" si="126"/>
        <v>0</v>
      </c>
    </row>
    <row r="747" spans="1:15" x14ac:dyDescent="0.45">
      <c r="A747" s="1">
        <v>44152</v>
      </c>
      <c r="B747">
        <v>147.203</v>
      </c>
      <c r="C747">
        <f t="shared" si="122"/>
        <v>8.2136293464676921E-2</v>
      </c>
      <c r="D747">
        <f t="shared" ca="1" si="127"/>
        <v>6.2547163467733102E-3</v>
      </c>
      <c r="E747">
        <f t="shared" ca="1" si="128"/>
        <v>5.7812584747281522E-2</v>
      </c>
      <c r="F747">
        <f t="shared" ca="1" si="129"/>
        <v>-0.30382524434363156</v>
      </c>
      <c r="G747">
        <f t="shared" ca="1" si="130"/>
        <v>2.0504906511756475</v>
      </c>
      <c r="H747">
        <f t="shared" ca="1" si="131"/>
        <v>1.3249295902844644</v>
      </c>
      <c r="I747">
        <f t="shared" ca="1" si="132"/>
        <v>1.6095650490818429</v>
      </c>
      <c r="K747">
        <f t="shared" si="123"/>
        <v>1.082136293464677</v>
      </c>
      <c r="L747" s="7">
        <f t="shared" ca="1" si="124"/>
        <v>1.0761475871245074</v>
      </c>
      <c r="M747">
        <f t="shared" ca="1" si="125"/>
        <v>0.90069301558009363</v>
      </c>
      <c r="O747" t="b">
        <f t="shared" ca="1" si="126"/>
        <v>0</v>
      </c>
    </row>
    <row r="748" spans="1:15" x14ac:dyDescent="0.45">
      <c r="A748" s="1">
        <v>44151</v>
      </c>
      <c r="B748">
        <v>136.03</v>
      </c>
      <c r="C748">
        <f t="shared" si="122"/>
        <v>-1.0061174880844879E-3</v>
      </c>
      <c r="D748">
        <f t="shared" ca="1" si="127"/>
        <v>6.5303137256037726E-3</v>
      </c>
      <c r="E748">
        <f t="shared" ca="1" si="128"/>
        <v>5.8305415222309212E-2</v>
      </c>
      <c r="F748">
        <f t="shared" ca="1" si="129"/>
        <v>-0.26412690653746923</v>
      </c>
      <c r="G748">
        <f t="shared" ca="1" si="130"/>
        <v>2.0024358406780927</v>
      </c>
      <c r="H748">
        <f t="shared" ca="1" si="131"/>
        <v>1.342735331966598</v>
      </c>
      <c r="I748">
        <f t="shared" ca="1" si="132"/>
        <v>1.6095650490818429</v>
      </c>
      <c r="K748">
        <f t="shared" si="123"/>
        <v>0.99899388251191557</v>
      </c>
      <c r="L748" s="7">
        <f t="shared" ca="1" si="124"/>
        <v>0.96873664720125363</v>
      </c>
      <c r="M748">
        <f t="shared" ca="1" si="125"/>
        <v>0.88778389354904652</v>
      </c>
      <c r="O748" t="b">
        <f t="shared" ca="1" si="126"/>
        <v>1</v>
      </c>
    </row>
    <row r="749" spans="1:15" x14ac:dyDescent="0.45">
      <c r="A749" s="1">
        <v>44148</v>
      </c>
      <c r="B749">
        <v>136.167</v>
      </c>
      <c r="C749">
        <f t="shared" si="122"/>
        <v>-7.9123953574784123E-3</v>
      </c>
      <c r="D749">
        <f t="shared" ca="1" si="127"/>
        <v>7.5300919918087237E-3</v>
      </c>
      <c r="E749">
        <f t="shared" ca="1" si="128"/>
        <v>5.9868919432909166E-2</v>
      </c>
      <c r="F749">
        <f t="shared" ca="1" si="129"/>
        <v>-0.12604770644955304</v>
      </c>
      <c r="G749">
        <f t="shared" ca="1" si="130"/>
        <v>2.0548810600509206</v>
      </c>
      <c r="H749">
        <f t="shared" ca="1" si="131"/>
        <v>1.3761604570571917</v>
      </c>
      <c r="I749">
        <f t="shared" ca="1" si="132"/>
        <v>1.6939325239048313</v>
      </c>
      <c r="K749">
        <f t="shared" si="123"/>
        <v>0.99208760464252155</v>
      </c>
      <c r="L749" s="7">
        <f t="shared" ca="1" si="124"/>
        <v>0.95011059399792064</v>
      </c>
      <c r="M749">
        <f t="shared" ca="1" si="125"/>
        <v>0.88036782322377904</v>
      </c>
      <c r="O749" t="b">
        <f t="shared" ca="1" si="126"/>
        <v>1</v>
      </c>
    </row>
    <row r="750" spans="1:15" x14ac:dyDescent="0.45">
      <c r="A750" s="1">
        <v>44147</v>
      </c>
      <c r="B750">
        <v>137.25299999999999</v>
      </c>
      <c r="C750">
        <f t="shared" si="122"/>
        <v>-1.2873715325475E-2</v>
      </c>
      <c r="D750">
        <f t="shared" ca="1" si="127"/>
        <v>7.6457997246347576E-3</v>
      </c>
      <c r="E750">
        <f t="shared" ca="1" si="128"/>
        <v>5.9861286167345616E-2</v>
      </c>
      <c r="F750">
        <f t="shared" ca="1" si="129"/>
        <v>-0.13185536506682177</v>
      </c>
      <c r="G750">
        <f t="shared" ca="1" si="130"/>
        <v>2.0584787563618594</v>
      </c>
      <c r="H750">
        <f t="shared" ca="1" si="131"/>
        <v>1.3761604570571917</v>
      </c>
      <c r="I750">
        <f t="shared" ca="1" si="132"/>
        <v>1.6939325239048313</v>
      </c>
      <c r="K750">
        <f t="shared" si="123"/>
        <v>0.98712628467452501</v>
      </c>
      <c r="L750" s="7">
        <f t="shared" ca="1" si="124"/>
        <v>0.93989591179894538</v>
      </c>
      <c r="M750">
        <f t="shared" ca="1" si="125"/>
        <v>0.87520328711163575</v>
      </c>
      <c r="O750" t="b">
        <f t="shared" ca="1" si="126"/>
        <v>1</v>
      </c>
    </row>
    <row r="751" spans="1:15" x14ac:dyDescent="0.45">
      <c r="A751" s="1">
        <v>44146</v>
      </c>
      <c r="B751">
        <v>139.04300000000001</v>
      </c>
      <c r="C751">
        <f t="shared" si="122"/>
        <v>1.6492795367980876E-2</v>
      </c>
      <c r="D751">
        <f t="shared" ca="1" si="127"/>
        <v>8.2249787843939551E-3</v>
      </c>
      <c r="E751">
        <f t="shared" ca="1" si="128"/>
        <v>6.0221050052706851E-2</v>
      </c>
      <c r="F751">
        <f t="shared" ca="1" si="129"/>
        <v>-0.13832401848045076</v>
      </c>
      <c r="G751">
        <f t="shared" ca="1" si="130"/>
        <v>1.9748854613335141</v>
      </c>
      <c r="H751">
        <f t="shared" ca="1" si="131"/>
        <v>1.3761604570571917</v>
      </c>
      <c r="I751">
        <f t="shared" ca="1" si="132"/>
        <v>1.728746814505792</v>
      </c>
      <c r="K751">
        <f t="shared" si="123"/>
        <v>1.016492795367981</v>
      </c>
      <c r="L751" s="7">
        <f t="shared" ca="1" si="124"/>
        <v>0.99084994334661192</v>
      </c>
      <c r="M751">
        <f t="shared" ca="1" si="125"/>
        <v>0.89783470118165098</v>
      </c>
      <c r="O751" t="b">
        <f t="shared" ca="1" si="126"/>
        <v>1</v>
      </c>
    </row>
    <row r="752" spans="1:15" x14ac:dyDescent="0.45">
      <c r="A752" s="1">
        <v>44145</v>
      </c>
      <c r="B752">
        <v>136.78700000000001</v>
      </c>
      <c r="C752">
        <f t="shared" si="122"/>
        <v>-2.5872382851445531E-2</v>
      </c>
      <c r="D752">
        <f t="shared" ca="1" si="127"/>
        <v>8.2667960955072062E-3</v>
      </c>
      <c r="E752">
        <f t="shared" ca="1" si="128"/>
        <v>6.0229723205584493E-2</v>
      </c>
      <c r="F752">
        <f t="shared" ca="1" si="129"/>
        <v>-0.14027446054066214</v>
      </c>
      <c r="G752">
        <f t="shared" ca="1" si="130"/>
        <v>1.9724169367171491</v>
      </c>
      <c r="H752">
        <f t="shared" ca="1" si="131"/>
        <v>1.3761604570571917</v>
      </c>
      <c r="I752">
        <f t="shared" ca="1" si="132"/>
        <v>1.728746814505792</v>
      </c>
      <c r="K752">
        <f t="shared" si="123"/>
        <v>0.97412761714855445</v>
      </c>
      <c r="L752" s="7">
        <f t="shared" ca="1" si="124"/>
        <v>0.9680608634111818</v>
      </c>
      <c r="M752">
        <f t="shared" ca="1" si="125"/>
        <v>0.86364514303434659</v>
      </c>
      <c r="O752" t="b">
        <f t="shared" ca="1" si="126"/>
        <v>1</v>
      </c>
    </row>
    <row r="753" spans="1:15" x14ac:dyDescent="0.45">
      <c r="A753" s="1">
        <v>44144</v>
      </c>
      <c r="B753">
        <v>140.41999999999999</v>
      </c>
      <c r="C753">
        <f t="shared" si="122"/>
        <v>-2.0213931354968493E-2</v>
      </c>
      <c r="D753">
        <f t="shared" ca="1" si="127"/>
        <v>8.475725121666439E-3</v>
      </c>
      <c r="E753">
        <f t="shared" ca="1" si="128"/>
        <v>6.0183160511173367E-2</v>
      </c>
      <c r="F753">
        <f t="shared" ca="1" si="129"/>
        <v>-0.15018328396395519</v>
      </c>
      <c r="G753">
        <f t="shared" ca="1" si="130"/>
        <v>1.9894833045860922</v>
      </c>
      <c r="H753">
        <f t="shared" ca="1" si="131"/>
        <v>1.3761604570571917</v>
      </c>
      <c r="I753">
        <f t="shared" ca="1" si="132"/>
        <v>1.7909516705743085</v>
      </c>
      <c r="K753">
        <f t="shared" si="123"/>
        <v>0.97978606864503148</v>
      </c>
      <c r="L753" s="7">
        <f t="shared" ca="1" si="124"/>
        <v>1.0518115697774582</v>
      </c>
      <c r="M753">
        <f t="shared" ca="1" si="125"/>
        <v>0.84924391412547395</v>
      </c>
      <c r="O753" t="b">
        <f t="shared" ca="1" si="126"/>
        <v>0</v>
      </c>
    </row>
    <row r="754" spans="1:15" x14ac:dyDescent="0.45">
      <c r="A754" s="1">
        <v>44141</v>
      </c>
      <c r="B754">
        <v>143.31700000000001</v>
      </c>
      <c r="C754">
        <f t="shared" si="122"/>
        <v>-1.8578374306649277E-2</v>
      </c>
      <c r="D754">
        <f t="shared" ca="1" si="127"/>
        <v>8.5165898106683343E-3</v>
      </c>
      <c r="E754">
        <f t="shared" ca="1" si="128"/>
        <v>6.0166354576648262E-2</v>
      </c>
      <c r="F754">
        <f t="shared" ca="1" si="129"/>
        <v>-0.15201826918901643</v>
      </c>
      <c r="G754">
        <f t="shared" ca="1" si="130"/>
        <v>1.9953323412175417</v>
      </c>
      <c r="H754">
        <f t="shared" ca="1" si="131"/>
        <v>1.3761604570571917</v>
      </c>
      <c r="I754">
        <f t="shared" ca="1" si="132"/>
        <v>1.7909516705743085</v>
      </c>
      <c r="K754">
        <f t="shared" si="123"/>
        <v>0.98142162569335067</v>
      </c>
      <c r="L754" s="7">
        <f t="shared" ca="1" si="124"/>
        <v>1.1080040511183098</v>
      </c>
      <c r="M754">
        <f t="shared" ca="1" si="125"/>
        <v>0.8886018065753194</v>
      </c>
      <c r="O754" t="b">
        <f t="shared" ca="1" si="126"/>
        <v>0</v>
      </c>
    </row>
    <row r="755" spans="1:15" x14ac:dyDescent="0.45">
      <c r="A755" s="1">
        <v>44140</v>
      </c>
      <c r="B755">
        <v>146.03</v>
      </c>
      <c r="C755">
        <f t="shared" si="122"/>
        <v>4.0640789014231064E-2</v>
      </c>
      <c r="D755">
        <f t="shared" ca="1" si="127"/>
        <v>8.5449937972731302E-3</v>
      </c>
      <c r="E755">
        <f t="shared" ca="1" si="128"/>
        <v>6.0154838837907995E-2</v>
      </c>
      <c r="F755">
        <f t="shared" ca="1" si="129"/>
        <v>-0.15330158886363099</v>
      </c>
      <c r="G755">
        <f t="shared" ca="1" si="130"/>
        <v>1.9993576671374695</v>
      </c>
      <c r="H755">
        <f t="shared" ca="1" si="131"/>
        <v>1.3761604570571917</v>
      </c>
      <c r="I755">
        <f t="shared" ca="1" si="132"/>
        <v>1.7909516705743085</v>
      </c>
      <c r="K755">
        <f t="shared" si="123"/>
        <v>1.0406407890142311</v>
      </c>
      <c r="L755" s="7">
        <f t="shared" ca="1" si="124"/>
        <v>1.0663560751553567</v>
      </c>
      <c r="M755">
        <f t="shared" ca="1" si="125"/>
        <v>0.8570745193476883</v>
      </c>
      <c r="O755" t="b">
        <f t="shared" ca="1" si="126"/>
        <v>0</v>
      </c>
    </row>
    <row r="756" spans="1:15" x14ac:dyDescent="0.45">
      <c r="A756" s="1">
        <v>44139</v>
      </c>
      <c r="B756">
        <v>140.327</v>
      </c>
      <c r="C756">
        <f t="shared" si="122"/>
        <v>-6.886058032554941E-3</v>
      </c>
      <c r="D756">
        <f t="shared" ca="1" si="127"/>
        <v>8.3649656166730028E-3</v>
      </c>
      <c r="E756">
        <f t="shared" ca="1" si="128"/>
        <v>6.0112164307282445E-2</v>
      </c>
      <c r="F756">
        <f t="shared" ca="1" si="129"/>
        <v>-0.14532694216263561</v>
      </c>
      <c r="G756">
        <f t="shared" ca="1" si="130"/>
        <v>2.0114467897292538</v>
      </c>
      <c r="H756">
        <f t="shared" ca="1" si="131"/>
        <v>1.3761604570571917</v>
      </c>
      <c r="I756">
        <f t="shared" ca="1" si="132"/>
        <v>1.7548846702544989</v>
      </c>
      <c r="K756">
        <f t="shared" si="123"/>
        <v>0.99311394196744507</v>
      </c>
      <c r="L756" s="7">
        <f t="shared" ca="1" si="124"/>
        <v>1.0368479385251961</v>
      </c>
      <c r="M756">
        <f t="shared" ca="1" si="125"/>
        <v>0.89550097051271882</v>
      </c>
      <c r="O756" t="b">
        <f t="shared" ca="1" si="126"/>
        <v>0</v>
      </c>
    </row>
    <row r="757" spans="1:15" x14ac:dyDescent="0.45">
      <c r="A757" s="1">
        <v>44138</v>
      </c>
      <c r="B757">
        <v>141.30000000000001</v>
      </c>
      <c r="C757">
        <f t="shared" si="122"/>
        <v>5.8403181950967588E-2</v>
      </c>
      <c r="D757">
        <f t="shared" ca="1" si="127"/>
        <v>8.6037133410463047E-3</v>
      </c>
      <c r="E757">
        <f t="shared" ca="1" si="128"/>
        <v>6.0146101320526564E-2</v>
      </c>
      <c r="F757">
        <f t="shared" ca="1" si="129"/>
        <v>-0.15622634872883154</v>
      </c>
      <c r="G757">
        <f t="shared" ca="1" si="130"/>
        <v>2.0028959643788742</v>
      </c>
      <c r="H757">
        <f t="shared" ca="1" si="131"/>
        <v>1.3761604570571917</v>
      </c>
      <c r="I757">
        <f t="shared" ca="1" si="132"/>
        <v>1.7909516705743085</v>
      </c>
      <c r="K757">
        <f t="shared" si="123"/>
        <v>1.0584031819509676</v>
      </c>
      <c r="L757" s="7">
        <f t="shared" ca="1" si="124"/>
        <v>0.99816332297259125</v>
      </c>
      <c r="M757">
        <f t="shared" ca="1" si="125"/>
        <v>0.83721476444302301</v>
      </c>
      <c r="O757" t="b">
        <f t="shared" ca="1" si="126"/>
        <v>1</v>
      </c>
    </row>
    <row r="758" spans="1:15" x14ac:dyDescent="0.45">
      <c r="A758" s="1">
        <v>44137</v>
      </c>
      <c r="B758">
        <v>133.50299999999999</v>
      </c>
      <c r="C758">
        <f t="shared" si="122"/>
        <v>3.2130625372061024E-2</v>
      </c>
      <c r="D758">
        <f t="shared" ca="1" si="127"/>
        <v>8.6711541986340384E-3</v>
      </c>
      <c r="E758">
        <f t="shared" ca="1" si="128"/>
        <v>6.0209749622572854E-2</v>
      </c>
      <c r="F758">
        <f t="shared" ca="1" si="129"/>
        <v>-0.15610288815663761</v>
      </c>
      <c r="G758">
        <f t="shared" ca="1" si="130"/>
        <v>1.9861859624093885</v>
      </c>
      <c r="H758">
        <f t="shared" ca="1" si="131"/>
        <v>1.3761604570571917</v>
      </c>
      <c r="I758">
        <f t="shared" ca="1" si="132"/>
        <v>1.7909516705743085</v>
      </c>
      <c r="K758">
        <f t="shared" si="123"/>
        <v>1.032130625372061</v>
      </c>
      <c r="L758" s="7">
        <f t="shared" ca="1" si="124"/>
        <v>0.952959819548443</v>
      </c>
      <c r="M758">
        <f t="shared" ca="1" si="125"/>
        <v>0.77237441260780759</v>
      </c>
      <c r="O758" t="b">
        <f t="shared" ca="1" si="126"/>
        <v>1</v>
      </c>
    </row>
    <row r="759" spans="1:15" x14ac:dyDescent="0.45">
      <c r="A759" s="1">
        <v>44134</v>
      </c>
      <c r="B759">
        <v>129.34700000000001</v>
      </c>
      <c r="C759">
        <f t="shared" si="122"/>
        <v>-5.546833354023209E-2</v>
      </c>
      <c r="D759">
        <f t="shared" ca="1" si="127"/>
        <v>8.4813768718128776E-3</v>
      </c>
      <c r="E759">
        <f t="shared" ca="1" si="128"/>
        <v>6.0195250148433216E-2</v>
      </c>
      <c r="F759">
        <f t="shared" ca="1" si="129"/>
        <v>-0.14703340515649169</v>
      </c>
      <c r="G759">
        <f t="shared" ca="1" si="130"/>
        <v>1.9889806051288534</v>
      </c>
      <c r="H759">
        <f t="shared" ca="1" si="131"/>
        <v>1.3761604570571917</v>
      </c>
      <c r="I759">
        <f t="shared" ca="1" si="132"/>
        <v>1.7909516705743085</v>
      </c>
      <c r="K759">
        <f t="shared" si="123"/>
        <v>0.94453166645976794</v>
      </c>
      <c r="L759" s="7">
        <f t="shared" ca="1" si="124"/>
        <v>0.9225233578204125</v>
      </c>
      <c r="M759">
        <f t="shared" ca="1" si="125"/>
        <v>0.77797389563853203</v>
      </c>
      <c r="O759" t="b">
        <f t="shared" ca="1" si="126"/>
        <v>1</v>
      </c>
    </row>
    <row r="760" spans="1:15" x14ac:dyDescent="0.45">
      <c r="A760" s="1">
        <v>44133</v>
      </c>
      <c r="B760">
        <v>136.94300000000001</v>
      </c>
      <c r="C760">
        <f t="shared" si="122"/>
        <v>1.1844244125905191E-2</v>
      </c>
      <c r="D760">
        <f t="shared" ca="1" si="127"/>
        <v>8.7104061463726627E-3</v>
      </c>
      <c r="E760">
        <f t="shared" ca="1" si="128"/>
        <v>6.0037647447497053E-2</v>
      </c>
      <c r="F760">
        <f t="shared" ca="1" si="129"/>
        <v>-0.15376021982120996</v>
      </c>
      <c r="G760">
        <f t="shared" ca="1" si="130"/>
        <v>2.0377357674090195</v>
      </c>
      <c r="H760">
        <f t="shared" ca="1" si="131"/>
        <v>1.3761604570571917</v>
      </c>
      <c r="I760">
        <f t="shared" ca="1" si="132"/>
        <v>1.804307480803006</v>
      </c>
      <c r="K760">
        <f t="shared" si="123"/>
        <v>1.0118442441259052</v>
      </c>
      <c r="L760" s="7">
        <f t="shared" ca="1" si="124"/>
        <v>0.96486296061438759</v>
      </c>
      <c r="M760">
        <f t="shared" ca="1" si="125"/>
        <v>0.78076899478891582</v>
      </c>
      <c r="O760" t="b">
        <f t="shared" ca="1" si="126"/>
        <v>1</v>
      </c>
    </row>
    <row r="761" spans="1:15" x14ac:dyDescent="0.45">
      <c r="A761" s="1">
        <v>44132</v>
      </c>
      <c r="B761">
        <v>135.34</v>
      </c>
      <c r="C761">
        <f t="shared" si="122"/>
        <v>-4.3938965809550715E-2</v>
      </c>
      <c r="D761">
        <f t="shared" ca="1" si="127"/>
        <v>8.4706839400008459E-3</v>
      </c>
      <c r="E761">
        <f t="shared" ca="1" si="128"/>
        <v>6.0120731922598383E-2</v>
      </c>
      <c r="F761">
        <f t="shared" ca="1" si="129"/>
        <v>-0.1431431655733455</v>
      </c>
      <c r="G761">
        <f t="shared" ca="1" si="130"/>
        <v>2.0088637724055411</v>
      </c>
      <c r="H761">
        <f t="shared" ca="1" si="131"/>
        <v>1.3761604570571917</v>
      </c>
      <c r="I761">
        <f t="shared" ca="1" si="132"/>
        <v>1.7909516705743085</v>
      </c>
      <c r="K761">
        <f t="shared" si="123"/>
        <v>0.9560610341904493</v>
      </c>
      <c r="L761" s="7">
        <f t="shared" ca="1" si="124"/>
        <v>0.96067575241340164</v>
      </c>
      <c r="M761">
        <f t="shared" ca="1" si="125"/>
        <v>0.77068190634792799</v>
      </c>
      <c r="O761" t="b">
        <f t="shared" ca="1" si="126"/>
        <v>1</v>
      </c>
    </row>
    <row r="762" spans="1:15" x14ac:dyDescent="0.45">
      <c r="A762" s="1">
        <v>44131</v>
      </c>
      <c r="B762">
        <v>141.56</v>
      </c>
      <c r="C762">
        <f t="shared" si="122"/>
        <v>1.0471615284132776E-2</v>
      </c>
      <c r="D762">
        <f t="shared" ca="1" si="127"/>
        <v>8.8147832536687992E-3</v>
      </c>
      <c r="E762">
        <f t="shared" ca="1" si="128"/>
        <v>6.0016112652711839E-2</v>
      </c>
      <c r="F762">
        <f t="shared" ca="1" si="129"/>
        <v>-0.15778336450101216</v>
      </c>
      <c r="G762">
        <f t="shared" ca="1" si="130"/>
        <v>2.0447066533930389</v>
      </c>
      <c r="H762">
        <f t="shared" ca="1" si="131"/>
        <v>1.3761604570571917</v>
      </c>
      <c r="I762">
        <f t="shared" ca="1" si="132"/>
        <v>1.804307480803006</v>
      </c>
      <c r="K762">
        <f t="shared" si="123"/>
        <v>1.0104716152841329</v>
      </c>
      <c r="L762" s="7">
        <f t="shared" ca="1" si="124"/>
        <v>1.0064914288964573</v>
      </c>
      <c r="M762">
        <f t="shared" ca="1" si="125"/>
        <v>0.73153416030312313</v>
      </c>
      <c r="O762" t="b">
        <f t="shared" ca="1" si="126"/>
        <v>0</v>
      </c>
    </row>
    <row r="763" spans="1:15" x14ac:dyDescent="0.45">
      <c r="A763" s="1">
        <v>44130</v>
      </c>
      <c r="B763">
        <v>140.09299999999999</v>
      </c>
      <c r="C763">
        <f t="shared" si="122"/>
        <v>-8.3446259182667882E-4</v>
      </c>
      <c r="D763">
        <f t="shared" ca="1" si="127"/>
        <v>9.250869715108077E-3</v>
      </c>
      <c r="E763">
        <f t="shared" ca="1" si="128"/>
        <v>6.0344182518911188E-2</v>
      </c>
      <c r="F763">
        <f t="shared" ca="1" si="129"/>
        <v>-0.16090778676590436</v>
      </c>
      <c r="G763">
        <f t="shared" ca="1" si="130"/>
        <v>1.9636956179223954</v>
      </c>
      <c r="H763">
        <f t="shared" ca="1" si="131"/>
        <v>1.3761604570571917</v>
      </c>
      <c r="I763">
        <f t="shared" ca="1" si="132"/>
        <v>1.8642089326462419</v>
      </c>
      <c r="K763">
        <f t="shared" si="123"/>
        <v>0.99916553740817338</v>
      </c>
      <c r="L763" s="7">
        <f t="shared" ca="1" si="124"/>
        <v>0.97551006197339984</v>
      </c>
      <c r="M763">
        <f t="shared" ca="1" si="125"/>
        <v>0.69471733556540416</v>
      </c>
      <c r="O763" t="b">
        <f t="shared" ca="1" si="126"/>
        <v>1</v>
      </c>
    </row>
    <row r="764" spans="1:15" x14ac:dyDescent="0.45">
      <c r="A764" s="1">
        <v>44127</v>
      </c>
      <c r="B764">
        <v>140.21</v>
      </c>
      <c r="C764">
        <f t="shared" si="122"/>
        <v>-1.2118650038751488E-2</v>
      </c>
      <c r="D764">
        <f t="shared" ca="1" si="127"/>
        <v>9.2219157211674008E-3</v>
      </c>
      <c r="E764">
        <f t="shared" ca="1" si="128"/>
        <v>6.0350434851043994E-2</v>
      </c>
      <c r="F764">
        <f t="shared" ca="1" si="129"/>
        <v>-0.15947266800826942</v>
      </c>
      <c r="G764">
        <f t="shared" ca="1" si="130"/>
        <v>1.9613271012621443</v>
      </c>
      <c r="H764">
        <f t="shared" ca="1" si="131"/>
        <v>1.3761604570571917</v>
      </c>
      <c r="I764">
        <f t="shared" ca="1" si="132"/>
        <v>1.8642089326462419</v>
      </c>
      <c r="K764">
        <f t="shared" si="123"/>
        <v>0.98788134996124854</v>
      </c>
      <c r="L764" s="7">
        <f t="shared" ca="1" si="124"/>
        <v>0.9566926178892855</v>
      </c>
      <c r="M764">
        <f t="shared" ca="1" si="125"/>
        <v>0.64527117021245983</v>
      </c>
      <c r="O764" t="b">
        <f t="shared" ca="1" si="126"/>
        <v>1</v>
      </c>
    </row>
    <row r="765" spans="1:15" x14ac:dyDescent="0.45">
      <c r="A765" s="1">
        <v>44126</v>
      </c>
      <c r="B765">
        <v>141.93</v>
      </c>
      <c r="C765">
        <f t="shared" si="122"/>
        <v>7.4531516183987184E-3</v>
      </c>
      <c r="D765">
        <f t="shared" ca="1" si="127"/>
        <v>9.1727839848481894E-3</v>
      </c>
      <c r="E765">
        <f t="shared" ca="1" si="128"/>
        <v>6.0371891704595317E-2</v>
      </c>
      <c r="F765">
        <f t="shared" ca="1" si="129"/>
        <v>-0.15731075784011322</v>
      </c>
      <c r="G765">
        <f t="shared" ca="1" si="130"/>
        <v>1.9539730050987441</v>
      </c>
      <c r="H765">
        <f t="shared" ca="1" si="131"/>
        <v>1.3761604570571917</v>
      </c>
      <c r="I765">
        <f t="shared" ca="1" si="132"/>
        <v>1.85040972103959</v>
      </c>
      <c r="K765">
        <f t="shared" si="123"/>
        <v>1.0074531516183987</v>
      </c>
      <c r="L765" s="7">
        <f t="shared" ca="1" si="124"/>
        <v>0.94855874942356666</v>
      </c>
      <c r="M765">
        <f t="shared" ca="1" si="125"/>
        <v>0.59675312825412119</v>
      </c>
      <c r="O765" t="b">
        <f t="shared" ca="1" si="126"/>
        <v>1</v>
      </c>
    </row>
    <row r="766" spans="1:15" x14ac:dyDescent="0.45">
      <c r="A766" s="1">
        <v>44125</v>
      </c>
      <c r="B766">
        <v>140.88</v>
      </c>
      <c r="C766">
        <f t="shared" si="122"/>
        <v>1.6566297183729772E-3</v>
      </c>
      <c r="D766">
        <f t="shared" ca="1" si="127"/>
        <v>9.3815312677178637E-3</v>
      </c>
      <c r="E766">
        <f t="shared" ca="1" si="128"/>
        <v>6.0438057949606168E-2</v>
      </c>
      <c r="F766">
        <f t="shared" ca="1" si="129"/>
        <v>-0.16578617088323164</v>
      </c>
      <c r="G766">
        <f t="shared" ca="1" si="130"/>
        <v>1.935374340696316</v>
      </c>
      <c r="H766">
        <f t="shared" ca="1" si="131"/>
        <v>1.3761604570571917</v>
      </c>
      <c r="I766">
        <f t="shared" ca="1" si="132"/>
        <v>1.9296119785835322</v>
      </c>
      <c r="K766">
        <f t="shared" si="123"/>
        <v>1.0016566297183729</v>
      </c>
      <c r="L766" s="7">
        <f t="shared" ca="1" si="124"/>
        <v>0.91619138046524939</v>
      </c>
      <c r="M766">
        <f t="shared" ca="1" si="125"/>
        <v>0.59855835355060227</v>
      </c>
      <c r="O766" t="b">
        <f t="shared" ca="1" si="126"/>
        <v>1</v>
      </c>
    </row>
    <row r="767" spans="1:15" x14ac:dyDescent="0.45">
      <c r="A767" s="1">
        <v>44124</v>
      </c>
      <c r="B767">
        <v>140.64699999999999</v>
      </c>
      <c r="C767">
        <f t="shared" si="122"/>
        <v>-2.0632267947914645E-2</v>
      </c>
      <c r="D767">
        <f t="shared" ca="1" si="127"/>
        <v>9.5672506504603967E-3</v>
      </c>
      <c r="E767">
        <f t="shared" ca="1" si="128"/>
        <v>6.0471261272749099E-2</v>
      </c>
      <c r="F767">
        <f t="shared" ca="1" si="129"/>
        <v>-0.17422490020443371</v>
      </c>
      <c r="G767">
        <f t="shared" ca="1" si="130"/>
        <v>1.9268574329176005</v>
      </c>
      <c r="H767">
        <f t="shared" ca="1" si="131"/>
        <v>1.3761604570571917</v>
      </c>
      <c r="I767">
        <f t="shared" ca="1" si="132"/>
        <v>1.9296119785835322</v>
      </c>
      <c r="K767">
        <f t="shared" si="123"/>
        <v>0.97936773205208538</v>
      </c>
      <c r="L767" s="7">
        <f t="shared" ca="1" si="124"/>
        <v>0.94468139411484187</v>
      </c>
      <c r="M767">
        <f t="shared" ca="1" si="125"/>
        <v>0.62987907159779244</v>
      </c>
      <c r="O767" t="b">
        <f t="shared" ca="1" si="126"/>
        <v>1</v>
      </c>
    </row>
    <row r="768" spans="1:15" x14ac:dyDescent="0.45">
      <c r="A768" s="1">
        <v>44123</v>
      </c>
      <c r="B768">
        <v>143.61000000000001</v>
      </c>
      <c r="C768">
        <f t="shared" si="122"/>
        <v>-2.0108217280648311E-2</v>
      </c>
      <c r="D768">
        <f t="shared" ca="1" si="127"/>
        <v>9.7666908552368759E-3</v>
      </c>
      <c r="E768">
        <f t="shared" ca="1" si="128"/>
        <v>6.0436927370454238E-2</v>
      </c>
      <c r="F768">
        <f t="shared" ca="1" si="129"/>
        <v>-0.18386774707988685</v>
      </c>
      <c r="G768">
        <f t="shared" ca="1" si="130"/>
        <v>1.9402562641534011</v>
      </c>
      <c r="H768">
        <f t="shared" ca="1" si="131"/>
        <v>1.3761604570571917</v>
      </c>
      <c r="I768">
        <f t="shared" ca="1" si="132"/>
        <v>1.9343413386679289</v>
      </c>
      <c r="K768">
        <f t="shared" si="123"/>
        <v>0.97989178271935173</v>
      </c>
      <c r="L768" s="7">
        <f t="shared" ca="1" si="124"/>
        <v>0.97406957736734678</v>
      </c>
      <c r="M768">
        <f t="shared" ca="1" si="125"/>
        <v>0.64098072812993445</v>
      </c>
      <c r="O768" t="b">
        <f t="shared" ca="1" si="126"/>
        <v>1</v>
      </c>
    </row>
    <row r="769" spans="1:15" x14ac:dyDescent="0.45">
      <c r="A769" s="1">
        <v>44120</v>
      </c>
      <c r="B769">
        <v>146.55699999999999</v>
      </c>
      <c r="C769">
        <f t="shared" si="122"/>
        <v>-2.051768731579208E-2</v>
      </c>
      <c r="D769">
        <f t="shared" ca="1" si="127"/>
        <v>1.0015398166713327E-2</v>
      </c>
      <c r="E769">
        <f t="shared" ca="1" si="128"/>
        <v>6.041571289589049E-2</v>
      </c>
      <c r="F769">
        <f t="shared" ca="1" si="129"/>
        <v>-0.19574190519505466</v>
      </c>
      <c r="G769">
        <f t="shared" ca="1" si="130"/>
        <v>1.9501978718842263</v>
      </c>
      <c r="H769">
        <f t="shared" ca="1" si="131"/>
        <v>1.3761604570571917</v>
      </c>
      <c r="I769">
        <f t="shared" ca="1" si="132"/>
        <v>1.9343413386679289</v>
      </c>
      <c r="K769">
        <f t="shared" si="123"/>
        <v>0.97948231268420793</v>
      </c>
      <c r="L769" s="7">
        <f t="shared" ca="1" si="124"/>
        <v>1.0130644860265301</v>
      </c>
      <c r="M769">
        <f t="shared" ca="1" si="125"/>
        <v>0.6469692805317373</v>
      </c>
      <c r="O769" t="b">
        <f t="shared" ca="1" si="126"/>
        <v>0</v>
      </c>
    </row>
    <row r="770" spans="1:15" x14ac:dyDescent="0.45">
      <c r="A770" s="1">
        <v>44119</v>
      </c>
      <c r="B770">
        <v>149.62700000000001</v>
      </c>
      <c r="C770">
        <f t="shared" si="122"/>
        <v>-2.692385232201959E-2</v>
      </c>
      <c r="D770">
        <f t="shared" ca="1" si="127"/>
        <v>1.0260571234343575E-2</v>
      </c>
      <c r="E770">
        <f t="shared" ca="1" si="128"/>
        <v>6.0390672423771545E-2</v>
      </c>
      <c r="F770">
        <f t="shared" ca="1" si="129"/>
        <v>-0.20748596436456254</v>
      </c>
      <c r="G770">
        <f t="shared" ca="1" si="130"/>
        <v>1.9615322549230774</v>
      </c>
      <c r="H770">
        <f t="shared" ca="1" si="131"/>
        <v>1.3761604570571917</v>
      </c>
      <c r="I770">
        <f t="shared" ca="1" si="132"/>
        <v>1.9343413386679289</v>
      </c>
      <c r="K770">
        <f t="shared" si="123"/>
        <v>0.97307614767798045</v>
      </c>
      <c r="L770" s="7">
        <f t="shared" ca="1" si="124"/>
        <v>1.0539116592591553</v>
      </c>
      <c r="M770">
        <f t="shared" ca="1" si="125"/>
        <v>0.65176684967615062</v>
      </c>
      <c r="O770" t="b">
        <f t="shared" ca="1" si="126"/>
        <v>0</v>
      </c>
    </row>
    <row r="771" spans="1:15" x14ac:dyDescent="0.45">
      <c r="A771" s="1">
        <v>44118</v>
      </c>
      <c r="B771">
        <v>153.767</v>
      </c>
      <c r="C771">
        <f t="shared" ref="C771:C834" si="133">(B771-B772)/B772</f>
        <v>3.2804282557444338E-2</v>
      </c>
      <c r="D771">
        <f t="shared" ca="1" si="127"/>
        <v>1.0438957021434114E-2</v>
      </c>
      <c r="E771">
        <f t="shared" ca="1" si="128"/>
        <v>6.0332947907618006E-2</v>
      </c>
      <c r="F771">
        <f t="shared" ca="1" si="129"/>
        <v>-0.21585353702895857</v>
      </c>
      <c r="G771">
        <f t="shared" ca="1" si="130"/>
        <v>1.9825263851716599</v>
      </c>
      <c r="H771">
        <f t="shared" ca="1" si="131"/>
        <v>1.3761604570571917</v>
      </c>
      <c r="I771">
        <f t="shared" ca="1" si="132"/>
        <v>2.014256474700701</v>
      </c>
      <c r="K771">
        <f t="shared" ref="K771:K834" si="134">C771+1</f>
        <v>1.0328042825574444</v>
      </c>
      <c r="L771" s="7">
        <f t="shared" ref="L771:L834" ca="1" si="135">PRODUCT(OFFSET(K771,0,0,$J$6,1))</f>
        <v>1.0846459331156055</v>
      </c>
      <c r="M771">
        <f t="shared" ref="M771:M834" ca="1" si="136">OFFSET(D771,$J$6,0)*V$2 + OFFSET(E771,$J$6,0)*U$2 + OFFSET(F771,$J$6,0)*T$2 + OFFSET(G771,$J$6,0)*S$2 + OFFSET(H771,$J$6,0)*R$2 + OFFSET(I771,$J$6,0)*Q$2 + W$2</f>
        <v>0.61822214385632823</v>
      </c>
      <c r="O771" t="b">
        <f t="shared" ref="O771:O834" ca="1" si="137">OR(AND(L771&gt;1, N771&gt;1), AND(L771&lt;1, N771&lt;1))</f>
        <v>0</v>
      </c>
    </row>
    <row r="772" spans="1:15" x14ac:dyDescent="0.45">
      <c r="A772" s="1">
        <v>44117</v>
      </c>
      <c r="B772">
        <v>148.88300000000001</v>
      </c>
      <c r="C772">
        <f t="shared" si="133"/>
        <v>9.8349758873523367E-3</v>
      </c>
      <c r="D772">
        <f t="shared" ref="D772:D835" ca="1" si="138">AVERAGE(OFFSET(C772,0,0,$J$3,1))</f>
        <v>1.0092776818740292E-2</v>
      </c>
      <c r="E772">
        <f t="shared" ref="E772:E835" ca="1" si="139">STDEV(OFFSET(C772,0,0,$J$3,1))</f>
        <v>6.0402566754400269E-2</v>
      </c>
      <c r="F772">
        <f t="shared" ref="F772:F835" ca="1" si="140">SKEW(OFFSET(C772,0,0,$J$3,1))</f>
        <v>-0.2003698389679068</v>
      </c>
      <c r="G772">
        <f t="shared" ref="G772:G835" ca="1" si="141">KURT(OFFSET(C772,0,0,$J$3,1))</f>
        <v>1.95627491381489</v>
      </c>
      <c r="H772">
        <f t="shared" ref="H772:H835" ca="1" si="142">PERCENTILE(OFFSET(C772,0,0,$J$3,1), 0.95)/ABS(PERCENTILE(OFFSET(C772,0,0,$J$3,1), 0.05))</f>
        <v>1.3761604570571917</v>
      </c>
      <c r="I772">
        <f t="shared" ref="I772:I835" ca="1" si="143">PERCENTILE(OFFSET(C772,0,0,$J$3,1), 0.75)/ABS(PERCENTILE(OFFSET(C772,0,0,$J$3,1), 0.25))</f>
        <v>1.9343413386679289</v>
      </c>
      <c r="K772">
        <f t="shared" si="134"/>
        <v>1.0098349758873524</v>
      </c>
      <c r="L772" s="7">
        <f t="shared" ca="1" si="135"/>
        <v>1.0789170465168527</v>
      </c>
      <c r="M772">
        <f t="shared" ca="1" si="136"/>
        <v>0.6426444675482057</v>
      </c>
      <c r="O772" t="b">
        <f t="shared" ca="1" si="137"/>
        <v>0</v>
      </c>
    </row>
    <row r="773" spans="1:15" x14ac:dyDescent="0.45">
      <c r="A773" s="1">
        <v>44116</v>
      </c>
      <c r="B773">
        <v>147.43299999999999</v>
      </c>
      <c r="C773">
        <f t="shared" si="133"/>
        <v>1.9119771613429402E-2</v>
      </c>
      <c r="D773">
        <f t="shared" ca="1" si="138"/>
        <v>1.0037110308807837E-2</v>
      </c>
      <c r="E773">
        <f t="shared" ca="1" si="139"/>
        <v>6.0407935476819094E-2</v>
      </c>
      <c r="F773">
        <f t="shared" ca="1" si="140"/>
        <v>-0.19755800013893812</v>
      </c>
      <c r="G773">
        <f t="shared" ca="1" si="141"/>
        <v>1.9537552422746458</v>
      </c>
      <c r="H773">
        <f t="shared" ca="1" si="142"/>
        <v>1.3761604570571917</v>
      </c>
      <c r="I773">
        <f t="shared" ca="1" si="143"/>
        <v>1.9343413386679289</v>
      </c>
      <c r="K773">
        <f t="shared" si="134"/>
        <v>1.0191197716134295</v>
      </c>
      <c r="L773" s="7">
        <f t="shared" ca="1" si="135"/>
        <v>1.0390435046126307</v>
      </c>
      <c r="M773">
        <f t="shared" ca="1" si="136"/>
        <v>0.62408381163292104</v>
      </c>
      <c r="O773" t="b">
        <f t="shared" ca="1" si="137"/>
        <v>0</v>
      </c>
    </row>
    <row r="774" spans="1:15" x14ac:dyDescent="0.45">
      <c r="A774" s="1">
        <v>44113</v>
      </c>
      <c r="B774">
        <v>144.667</v>
      </c>
      <c r="C774">
        <f t="shared" si="133"/>
        <v>1.8975438991920914E-2</v>
      </c>
      <c r="D774">
        <f t="shared" ca="1" si="138"/>
        <v>1.00084073943033E-2</v>
      </c>
      <c r="E774">
        <f t="shared" ca="1" si="139"/>
        <v>6.0404961900832249E-2</v>
      </c>
      <c r="F774">
        <f t="shared" ca="1" si="140"/>
        <v>-0.19616364969026082</v>
      </c>
      <c r="G774">
        <f t="shared" ca="1" si="141"/>
        <v>1.9543553532930797</v>
      </c>
      <c r="H774">
        <f t="shared" ca="1" si="142"/>
        <v>1.3761604570571917</v>
      </c>
      <c r="I774">
        <f t="shared" ca="1" si="143"/>
        <v>1.9343413386679289</v>
      </c>
      <c r="K774">
        <f t="shared" si="134"/>
        <v>1.018975438991921</v>
      </c>
      <c r="L774" s="7">
        <f t="shared" ca="1" si="135"/>
        <v>1.0455613133568946</v>
      </c>
      <c r="M774">
        <f t="shared" ca="1" si="136"/>
        <v>0.61128589086895291</v>
      </c>
      <c r="O774" t="b">
        <f t="shared" ca="1" si="137"/>
        <v>0</v>
      </c>
    </row>
    <row r="775" spans="1:15" x14ac:dyDescent="0.45">
      <c r="A775" s="1">
        <v>44112</v>
      </c>
      <c r="B775">
        <v>141.97300000000001</v>
      </c>
      <c r="C775">
        <f t="shared" si="133"/>
        <v>1.4530885184846777E-3</v>
      </c>
      <c r="D775">
        <f t="shared" ca="1" si="138"/>
        <v>9.9854494780040656E-3</v>
      </c>
      <c r="E775">
        <f t="shared" ca="1" si="139"/>
        <v>6.0402409204557923E-2</v>
      </c>
      <c r="F775">
        <f t="shared" ca="1" si="140"/>
        <v>-0.19505143293253399</v>
      </c>
      <c r="G775">
        <f t="shared" ca="1" si="141"/>
        <v>1.9548948265718167</v>
      </c>
      <c r="H775">
        <f t="shared" ca="1" si="142"/>
        <v>1.3761604570571917</v>
      </c>
      <c r="I775">
        <f t="shared" ca="1" si="143"/>
        <v>1.9343413386679289</v>
      </c>
      <c r="K775">
        <f t="shared" si="134"/>
        <v>1.0014530885184847</v>
      </c>
      <c r="L775" s="7">
        <f t="shared" ca="1" si="135"/>
        <v>0.95037051416789975</v>
      </c>
      <c r="M775">
        <f t="shared" ca="1" si="136"/>
        <v>0.61341652843238914</v>
      </c>
      <c r="O775" t="b">
        <f t="shared" ca="1" si="137"/>
        <v>1</v>
      </c>
    </row>
    <row r="776" spans="1:15" x14ac:dyDescent="0.45">
      <c r="A776" s="1">
        <v>44111</v>
      </c>
      <c r="B776">
        <v>141.767</v>
      </c>
      <c r="C776">
        <f t="shared" si="133"/>
        <v>2.7349213365895381E-2</v>
      </c>
      <c r="D776">
        <f t="shared" ca="1" si="138"/>
        <v>1.014621723153728E-2</v>
      </c>
      <c r="E776">
        <f t="shared" ca="1" si="139"/>
        <v>6.0422372086888276E-2</v>
      </c>
      <c r="F776">
        <f t="shared" ca="1" si="140"/>
        <v>-0.20260345331229646</v>
      </c>
      <c r="G776">
        <f t="shared" ca="1" si="141"/>
        <v>1.9505646588407739</v>
      </c>
      <c r="H776">
        <f t="shared" ca="1" si="142"/>
        <v>1.3761604570571917</v>
      </c>
      <c r="I776">
        <f t="shared" ca="1" si="143"/>
        <v>1.9343413386679289</v>
      </c>
      <c r="K776">
        <f t="shared" si="134"/>
        <v>1.0273492133658955</v>
      </c>
      <c r="L776" s="7">
        <f t="shared" ca="1" si="135"/>
        <v>0.99135682468199993</v>
      </c>
      <c r="M776">
        <f t="shared" ca="1" si="136"/>
        <v>0.5918455948789787</v>
      </c>
      <c r="O776" t="b">
        <f t="shared" ca="1" si="137"/>
        <v>1</v>
      </c>
    </row>
    <row r="777" spans="1:15" x14ac:dyDescent="0.45">
      <c r="A777" s="1">
        <v>44110</v>
      </c>
      <c r="B777">
        <v>137.99299999999999</v>
      </c>
      <c r="C777">
        <f t="shared" si="133"/>
        <v>-2.7485499637050492E-2</v>
      </c>
      <c r="D777">
        <f t="shared" ca="1" si="138"/>
        <v>1.0028646246382883E-2</v>
      </c>
      <c r="E777">
        <f t="shared" ca="1" si="139"/>
        <v>6.0411606187398187E-2</v>
      </c>
      <c r="F777">
        <f t="shared" ca="1" si="140"/>
        <v>-0.19693730815688601</v>
      </c>
      <c r="G777">
        <f t="shared" ca="1" si="141"/>
        <v>1.9525060972476744</v>
      </c>
      <c r="H777">
        <f t="shared" ca="1" si="142"/>
        <v>1.3761604570571917</v>
      </c>
      <c r="I777">
        <f t="shared" ca="1" si="143"/>
        <v>1.9343413386679289</v>
      </c>
      <c r="K777">
        <f t="shared" si="134"/>
        <v>0.97251450036294951</v>
      </c>
      <c r="L777" s="7">
        <f t="shared" ca="1" si="135"/>
        <v>0.98785167155845088</v>
      </c>
      <c r="M777">
        <f t="shared" ca="1" si="136"/>
        <v>0.61956303933200529</v>
      </c>
      <c r="O777" t="b">
        <f t="shared" ca="1" si="137"/>
        <v>1</v>
      </c>
    </row>
    <row r="778" spans="1:15" x14ac:dyDescent="0.45">
      <c r="A778" s="1">
        <v>44109</v>
      </c>
      <c r="B778">
        <v>141.893</v>
      </c>
      <c r="C778">
        <f t="shared" si="133"/>
        <v>2.551260091209356E-2</v>
      </c>
      <c r="D778">
        <f t="shared" ca="1" si="138"/>
        <v>1.030457050153113E-2</v>
      </c>
      <c r="E778">
        <f t="shared" ca="1" si="139"/>
        <v>6.0365410996321228E-2</v>
      </c>
      <c r="F778">
        <f t="shared" ca="1" si="140"/>
        <v>-0.20989552511210008</v>
      </c>
      <c r="G778">
        <f t="shared" ca="1" si="141"/>
        <v>1.9708755048324491</v>
      </c>
      <c r="H778">
        <f t="shared" ca="1" si="142"/>
        <v>1.3761604570571917</v>
      </c>
      <c r="I778">
        <f t="shared" ca="1" si="143"/>
        <v>2.014256474700701</v>
      </c>
      <c r="K778">
        <f t="shared" si="134"/>
        <v>1.0255126009120936</v>
      </c>
      <c r="L778" s="7">
        <f t="shared" ca="1" si="135"/>
        <v>1.0106339031339033</v>
      </c>
      <c r="M778">
        <f t="shared" ca="1" si="136"/>
        <v>0.59459301998244207</v>
      </c>
      <c r="O778" t="b">
        <f t="shared" ca="1" si="137"/>
        <v>0</v>
      </c>
    </row>
    <row r="779" spans="1:15" x14ac:dyDescent="0.45">
      <c r="A779" s="1">
        <v>44106</v>
      </c>
      <c r="B779">
        <v>138.363</v>
      </c>
      <c r="C779">
        <f t="shared" si="133"/>
        <v>-7.3794908526176983E-2</v>
      </c>
      <c r="D779">
        <f t="shared" ca="1" si="138"/>
        <v>1.0363819813918339E-2</v>
      </c>
      <c r="E779">
        <f t="shared" ca="1" si="139"/>
        <v>6.0386224650831932E-2</v>
      </c>
      <c r="F779">
        <f t="shared" ca="1" si="140"/>
        <v>-0.21227624801760142</v>
      </c>
      <c r="G779">
        <f t="shared" ca="1" si="141"/>
        <v>1.9649946469283588</v>
      </c>
      <c r="H779">
        <f t="shared" ca="1" si="142"/>
        <v>1.3761604570571917</v>
      </c>
      <c r="I779">
        <f t="shared" ca="1" si="143"/>
        <v>2.014256474700701</v>
      </c>
      <c r="K779">
        <f t="shared" si="134"/>
        <v>0.92620509147382302</v>
      </c>
      <c r="L779" s="7">
        <f t="shared" ca="1" si="135"/>
        <v>1.0190234202386212</v>
      </c>
      <c r="M779">
        <f t="shared" ca="1" si="136"/>
        <v>0.61889153415114095</v>
      </c>
      <c r="O779" t="b">
        <f t="shared" ca="1" si="137"/>
        <v>0</v>
      </c>
    </row>
    <row r="780" spans="1:15" x14ac:dyDescent="0.45">
      <c r="A780" s="1">
        <v>44105</v>
      </c>
      <c r="B780">
        <v>149.387</v>
      </c>
      <c r="C780">
        <f t="shared" si="133"/>
        <v>4.4642420089089148E-2</v>
      </c>
      <c r="D780">
        <f t="shared" ca="1" si="138"/>
        <v>1.0699904405186245E-2</v>
      </c>
      <c r="E780">
        <f t="shared" ca="1" si="139"/>
        <v>6.0101859610159104E-2</v>
      </c>
      <c r="F780">
        <f t="shared" ca="1" si="140"/>
        <v>-0.21842644343708642</v>
      </c>
      <c r="G780">
        <f t="shared" ca="1" si="141"/>
        <v>2.0454146041436028</v>
      </c>
      <c r="H780">
        <f t="shared" ca="1" si="142"/>
        <v>1.3761604570571917</v>
      </c>
      <c r="I780">
        <f t="shared" ca="1" si="143"/>
        <v>2.1374126393527031</v>
      </c>
      <c r="K780">
        <f t="shared" si="134"/>
        <v>1.0446424200890891</v>
      </c>
      <c r="L780" s="7">
        <f t="shared" ca="1" si="135"/>
        <v>1.1556826005894958</v>
      </c>
      <c r="M780">
        <f t="shared" ca="1" si="136"/>
        <v>0.62114704367880469</v>
      </c>
      <c r="O780" t="b">
        <f t="shared" ca="1" si="137"/>
        <v>0</v>
      </c>
    </row>
    <row r="781" spans="1:15" x14ac:dyDescent="0.45">
      <c r="A781" s="1">
        <v>44104</v>
      </c>
      <c r="B781">
        <v>143.00299999999999</v>
      </c>
      <c r="C781">
        <f t="shared" si="133"/>
        <v>2.3716801489011299E-2</v>
      </c>
      <c r="D781">
        <f t="shared" ca="1" si="138"/>
        <v>1.0799092033528253E-2</v>
      </c>
      <c r="E781">
        <f t="shared" ca="1" si="139"/>
        <v>6.0174482606333055E-2</v>
      </c>
      <c r="F781">
        <f t="shared" ca="1" si="140"/>
        <v>-0.21991890741663808</v>
      </c>
      <c r="G781">
        <f t="shared" ca="1" si="141"/>
        <v>2.0251240654351044</v>
      </c>
      <c r="H781">
        <f t="shared" ca="1" si="142"/>
        <v>1.3761604570571917</v>
      </c>
      <c r="I781">
        <f t="shared" ca="1" si="143"/>
        <v>2.1374126393527031</v>
      </c>
      <c r="K781">
        <f t="shared" si="134"/>
        <v>1.0237168014890112</v>
      </c>
      <c r="L781" s="7">
        <f t="shared" ca="1" si="135"/>
        <v>1.1278995480609209</v>
      </c>
      <c r="M781">
        <f t="shared" ca="1" si="136"/>
        <v>0.63017290932640835</v>
      </c>
      <c r="O781" t="b">
        <f t="shared" ca="1" si="137"/>
        <v>0</v>
      </c>
    </row>
    <row r="782" spans="1:15" x14ac:dyDescent="0.45">
      <c r="A782" s="1">
        <v>44103</v>
      </c>
      <c r="B782">
        <v>139.69</v>
      </c>
      <c r="C782">
        <f t="shared" si="133"/>
        <v>-5.0569800569801133E-3</v>
      </c>
      <c r="D782">
        <f t="shared" ca="1" si="138"/>
        <v>1.0662575444250153E-2</v>
      </c>
      <c r="E782">
        <f t="shared" ca="1" si="139"/>
        <v>6.0176000415977128E-2</v>
      </c>
      <c r="F782">
        <f t="shared" ca="1" si="140"/>
        <v>-0.21314720112655253</v>
      </c>
      <c r="G782">
        <f t="shared" ca="1" si="141"/>
        <v>2.0226130934781139</v>
      </c>
      <c r="H782">
        <f t="shared" ca="1" si="142"/>
        <v>1.3761604570571917</v>
      </c>
      <c r="I782">
        <f t="shared" ca="1" si="143"/>
        <v>2.1374126393527031</v>
      </c>
      <c r="K782">
        <f t="shared" si="134"/>
        <v>0.99494301994301992</v>
      </c>
      <c r="L782" s="7">
        <f t="shared" ca="1" si="135"/>
        <v>0.98783678664875174</v>
      </c>
      <c r="M782">
        <f t="shared" ca="1" si="136"/>
        <v>0.6095727968428275</v>
      </c>
      <c r="O782" t="b">
        <f t="shared" ca="1" si="137"/>
        <v>1</v>
      </c>
    </row>
    <row r="783" spans="1:15" x14ac:dyDescent="0.45">
      <c r="A783" s="1">
        <v>44102</v>
      </c>
      <c r="B783">
        <v>140.4</v>
      </c>
      <c r="C783">
        <f t="shared" si="133"/>
        <v>3.4025629695095039E-2</v>
      </c>
      <c r="D783">
        <f t="shared" ca="1" si="138"/>
        <v>1.0786825611001267E-2</v>
      </c>
      <c r="E783">
        <f t="shared" ca="1" si="139"/>
        <v>6.0169034414257618E-2</v>
      </c>
      <c r="F783">
        <f t="shared" ca="1" si="140"/>
        <v>-0.21937063074048624</v>
      </c>
      <c r="G783">
        <f t="shared" ca="1" si="141"/>
        <v>2.0267617022849995</v>
      </c>
      <c r="H783">
        <f t="shared" ca="1" si="142"/>
        <v>1.3761604570571917</v>
      </c>
      <c r="I783">
        <f t="shared" ca="1" si="143"/>
        <v>2.1374126393527031</v>
      </c>
      <c r="K783">
        <f t="shared" si="134"/>
        <v>1.0340256296950949</v>
      </c>
      <c r="L783" s="7">
        <f t="shared" ca="1" si="135"/>
        <v>0.93726843661755588</v>
      </c>
      <c r="M783">
        <f t="shared" ca="1" si="136"/>
        <v>0.5884821018730082</v>
      </c>
      <c r="O783" t="b">
        <f t="shared" ca="1" si="137"/>
        <v>1</v>
      </c>
    </row>
    <row r="784" spans="1:15" x14ac:dyDescent="0.45">
      <c r="A784" s="1">
        <v>44099</v>
      </c>
      <c r="B784">
        <v>135.78</v>
      </c>
      <c r="C784">
        <f t="shared" si="133"/>
        <v>5.0416592528411033E-2</v>
      </c>
      <c r="D784">
        <f t="shared" ca="1" si="138"/>
        <v>1.0672016519973331E-2</v>
      </c>
      <c r="E784">
        <f t="shared" ca="1" si="139"/>
        <v>6.0146371973231402E-2</v>
      </c>
      <c r="F784">
        <f t="shared" ca="1" si="140"/>
        <v>-0.21412712628409949</v>
      </c>
      <c r="G784">
        <f t="shared" ca="1" si="141"/>
        <v>2.0326050229050825</v>
      </c>
      <c r="H784">
        <f t="shared" ca="1" si="142"/>
        <v>1.3761604570571917</v>
      </c>
      <c r="I784">
        <f t="shared" ca="1" si="143"/>
        <v>2.1374126393527031</v>
      </c>
      <c r="K784">
        <f t="shared" si="134"/>
        <v>1.050416592528411</v>
      </c>
      <c r="L784" s="7">
        <f t="shared" ca="1" si="135"/>
        <v>0.92127314547810812</v>
      </c>
      <c r="M784">
        <f t="shared" ca="1" si="136"/>
        <v>0.61389138244285379</v>
      </c>
      <c r="O784" t="b">
        <f t="shared" ca="1" si="137"/>
        <v>1</v>
      </c>
    </row>
    <row r="785" spans="1:15" x14ac:dyDescent="0.45">
      <c r="A785" s="1">
        <v>44098</v>
      </c>
      <c r="B785">
        <v>129.26300000000001</v>
      </c>
      <c r="C785">
        <f t="shared" si="133"/>
        <v>1.9528816045809104E-2</v>
      </c>
      <c r="D785">
        <f t="shared" ca="1" si="138"/>
        <v>1.0557042409433968E-2</v>
      </c>
      <c r="E785">
        <f t="shared" ca="1" si="139"/>
        <v>6.0091969102449565E-2</v>
      </c>
      <c r="F785">
        <f t="shared" ca="1" si="140"/>
        <v>-0.21026997664149147</v>
      </c>
      <c r="G785">
        <f t="shared" ca="1" si="141"/>
        <v>2.0483960183407559</v>
      </c>
      <c r="H785">
        <f t="shared" ca="1" si="142"/>
        <v>1.3761604570571917</v>
      </c>
      <c r="I785">
        <f t="shared" ca="1" si="143"/>
        <v>2.0853630811695001</v>
      </c>
      <c r="K785">
        <f t="shared" si="134"/>
        <v>1.0195288160458091</v>
      </c>
      <c r="L785" s="7">
        <f t="shared" ca="1" si="135"/>
        <v>0.91583004470643259</v>
      </c>
      <c r="M785">
        <f t="shared" ca="1" si="136"/>
        <v>0.63421894121746991</v>
      </c>
      <c r="O785" t="b">
        <f t="shared" ca="1" si="137"/>
        <v>1</v>
      </c>
    </row>
    <row r="786" spans="1:15" x14ac:dyDescent="0.45">
      <c r="A786" s="1">
        <v>44097</v>
      </c>
      <c r="B786">
        <v>126.78700000000001</v>
      </c>
      <c r="C786">
        <f t="shared" si="133"/>
        <v>-0.10340852839261715</v>
      </c>
      <c r="D786">
        <f t="shared" ca="1" si="138"/>
        <v>1.0513567768352503E-2</v>
      </c>
      <c r="E786">
        <f t="shared" ca="1" si="139"/>
        <v>6.0088590848589175E-2</v>
      </c>
      <c r="F786">
        <f t="shared" ca="1" si="140"/>
        <v>-0.20812988638290164</v>
      </c>
      <c r="G786">
        <f t="shared" ca="1" si="141"/>
        <v>2.0489213376892366</v>
      </c>
      <c r="H786">
        <f t="shared" ca="1" si="142"/>
        <v>1.3761604570571917</v>
      </c>
      <c r="I786">
        <f t="shared" ca="1" si="143"/>
        <v>2.0853630811695001</v>
      </c>
      <c r="K786">
        <f t="shared" si="134"/>
        <v>0.89659147160738284</v>
      </c>
      <c r="L786" s="7">
        <f t="shared" ca="1" si="135"/>
        <v>0.8610147161687709</v>
      </c>
      <c r="M786">
        <f t="shared" ca="1" si="136"/>
        <v>0.59184707661072755</v>
      </c>
      <c r="O786" t="b">
        <f t="shared" ca="1" si="137"/>
        <v>1</v>
      </c>
    </row>
    <row r="787" spans="1:15" x14ac:dyDescent="0.45">
      <c r="A787" s="1">
        <v>44096</v>
      </c>
      <c r="B787">
        <v>141.41</v>
      </c>
      <c r="C787">
        <f t="shared" si="133"/>
        <v>-5.5989105255779492E-2</v>
      </c>
      <c r="D787">
        <f t="shared" ca="1" si="138"/>
        <v>1.1114152978432294E-2</v>
      </c>
      <c r="E787">
        <f t="shared" ca="1" si="139"/>
        <v>5.9542016925223026E-2</v>
      </c>
      <c r="F787">
        <f t="shared" ca="1" si="140"/>
        <v>-0.20892347372519376</v>
      </c>
      <c r="G787">
        <f t="shared" ca="1" si="141"/>
        <v>2.1771511802898891</v>
      </c>
      <c r="H787">
        <f t="shared" ca="1" si="142"/>
        <v>1.4018306835742871</v>
      </c>
      <c r="I787">
        <f t="shared" ca="1" si="143"/>
        <v>2.1752077822593838</v>
      </c>
      <c r="K787">
        <f t="shared" si="134"/>
        <v>0.94401089474422051</v>
      </c>
      <c r="L787" s="7">
        <f t="shared" ca="1" si="135"/>
        <v>0.94323639274279625</v>
      </c>
      <c r="M787">
        <f t="shared" ca="1" si="136"/>
        <v>0.58939471791626064</v>
      </c>
      <c r="O787" t="b">
        <f t="shared" ca="1" si="137"/>
        <v>1</v>
      </c>
    </row>
    <row r="788" spans="1:15" x14ac:dyDescent="0.45">
      <c r="A788" s="1">
        <v>44095</v>
      </c>
      <c r="B788">
        <v>149.797</v>
      </c>
      <c r="C788">
        <f t="shared" si="133"/>
        <v>1.637909392535087E-2</v>
      </c>
      <c r="D788">
        <f t="shared" ca="1" si="138"/>
        <v>1.1354169669471122E-2</v>
      </c>
      <c r="E788">
        <f t="shared" ca="1" si="139"/>
        <v>5.9366654862461218E-2</v>
      </c>
      <c r="F788">
        <f t="shared" ca="1" si="140"/>
        <v>-0.21587065094606631</v>
      </c>
      <c r="G788">
        <f t="shared" ca="1" si="141"/>
        <v>2.2341992597886779</v>
      </c>
      <c r="H788">
        <f t="shared" ca="1" si="142"/>
        <v>1.4018306835742871</v>
      </c>
      <c r="I788">
        <f t="shared" ca="1" si="143"/>
        <v>2.2139153339062658</v>
      </c>
      <c r="K788">
        <f t="shared" si="134"/>
        <v>1.016379093925351</v>
      </c>
      <c r="L788" s="7">
        <f t="shared" ca="1" si="135"/>
        <v>1.0709500761404991</v>
      </c>
      <c r="M788">
        <f t="shared" ca="1" si="136"/>
        <v>0.64333740316433641</v>
      </c>
      <c r="O788" t="b">
        <f t="shared" ca="1" si="137"/>
        <v>0</v>
      </c>
    </row>
    <row r="789" spans="1:15" x14ac:dyDescent="0.45">
      <c r="A789" s="1">
        <v>44092</v>
      </c>
      <c r="B789">
        <v>147.38300000000001</v>
      </c>
      <c r="C789">
        <f t="shared" si="133"/>
        <v>4.421048156833856E-2</v>
      </c>
      <c r="D789">
        <f t="shared" ca="1" si="138"/>
        <v>1.1225137008980014E-2</v>
      </c>
      <c r="E789">
        <f t="shared" ca="1" si="139"/>
        <v>5.9383721001524788E-2</v>
      </c>
      <c r="F789">
        <f t="shared" ca="1" si="140"/>
        <v>-0.2093207659068046</v>
      </c>
      <c r="G789">
        <f t="shared" ca="1" si="141"/>
        <v>2.2263242706424577</v>
      </c>
      <c r="H789">
        <f t="shared" ca="1" si="142"/>
        <v>1.4018306835742871</v>
      </c>
      <c r="I789">
        <f t="shared" ca="1" si="143"/>
        <v>2.2139153339062658</v>
      </c>
      <c r="K789">
        <f t="shared" si="134"/>
        <v>1.0442104815683386</v>
      </c>
      <c r="L789" s="7">
        <f t="shared" ca="1" si="135"/>
        <v>1.1862765614938831</v>
      </c>
      <c r="M789">
        <f t="shared" ca="1" si="136"/>
        <v>0.72207313022567687</v>
      </c>
      <c r="O789" t="b">
        <f t="shared" ca="1" si="137"/>
        <v>0</v>
      </c>
    </row>
    <row r="790" spans="1:15" x14ac:dyDescent="0.45">
      <c r="A790" s="1">
        <v>44091</v>
      </c>
      <c r="B790">
        <v>141.143</v>
      </c>
      <c r="C790">
        <f t="shared" si="133"/>
        <v>-4.1493212362396593E-2</v>
      </c>
      <c r="D790">
        <f t="shared" ca="1" si="138"/>
        <v>1.1023928092876173E-2</v>
      </c>
      <c r="E790">
        <f t="shared" ca="1" si="139"/>
        <v>5.9339554529416257E-2</v>
      </c>
      <c r="F790">
        <f t="shared" ca="1" si="140"/>
        <v>-0.20039442999606016</v>
      </c>
      <c r="G790">
        <f t="shared" ca="1" si="141"/>
        <v>2.2387002727668115</v>
      </c>
      <c r="H790">
        <f t="shared" ca="1" si="142"/>
        <v>1.4018306835742871</v>
      </c>
      <c r="I790">
        <f t="shared" ca="1" si="143"/>
        <v>2.162661483437156</v>
      </c>
      <c r="K790">
        <f t="shared" si="134"/>
        <v>0.95850678763760344</v>
      </c>
      <c r="L790" s="7">
        <f t="shared" ca="1" si="135"/>
        <v>1.1402730651155275</v>
      </c>
      <c r="M790">
        <f t="shared" ca="1" si="136"/>
        <v>0.7158388798719888</v>
      </c>
      <c r="O790" t="b">
        <f t="shared" ca="1" si="137"/>
        <v>0</v>
      </c>
    </row>
    <row r="791" spans="1:15" x14ac:dyDescent="0.45">
      <c r="A791" s="1">
        <v>44090</v>
      </c>
      <c r="B791">
        <v>147.25299999999999</v>
      </c>
      <c r="C791">
        <f t="shared" si="133"/>
        <v>-1.7789487726787633E-2</v>
      </c>
      <c r="D791">
        <f t="shared" ca="1" si="138"/>
        <v>1.1306112285257351E-2</v>
      </c>
      <c r="E791">
        <f t="shared" ca="1" si="139"/>
        <v>5.9222633865245775E-2</v>
      </c>
      <c r="F791">
        <f t="shared" ca="1" si="140"/>
        <v>-0.21248151986810401</v>
      </c>
      <c r="G791">
        <f t="shared" ca="1" si="141"/>
        <v>2.281344678516275</v>
      </c>
      <c r="H791">
        <f t="shared" ca="1" si="142"/>
        <v>1.4018306835742871</v>
      </c>
      <c r="I791">
        <f t="shared" ca="1" si="143"/>
        <v>2.1810565075019439</v>
      </c>
      <c r="K791">
        <f t="shared" si="134"/>
        <v>0.98221051227321232</v>
      </c>
      <c r="L791" s="7">
        <f t="shared" ca="1" si="135"/>
        <v>1.2060724202042701</v>
      </c>
      <c r="M791">
        <f t="shared" ca="1" si="136"/>
        <v>0.76242118779099544</v>
      </c>
      <c r="O791" t="b">
        <f t="shared" ca="1" si="137"/>
        <v>0</v>
      </c>
    </row>
    <row r="792" spans="1:15" x14ac:dyDescent="0.45">
      <c r="A792" s="1">
        <v>44089</v>
      </c>
      <c r="B792">
        <v>149.91999999999999</v>
      </c>
      <c r="C792">
        <f t="shared" si="133"/>
        <v>7.182944528250626E-2</v>
      </c>
      <c r="D792">
        <f t="shared" ca="1" si="138"/>
        <v>1.137468482576578E-2</v>
      </c>
      <c r="E792">
        <f t="shared" ca="1" si="139"/>
        <v>5.9196709624159564E-2</v>
      </c>
      <c r="F792">
        <f t="shared" ca="1" si="140"/>
        <v>-0.21575739712356529</v>
      </c>
      <c r="G792">
        <f t="shared" ca="1" si="141"/>
        <v>2.2914155713370477</v>
      </c>
      <c r="H792">
        <f t="shared" ca="1" si="142"/>
        <v>1.4018306835742871</v>
      </c>
      <c r="I792">
        <f t="shared" ca="1" si="143"/>
        <v>2.2038793449866194</v>
      </c>
      <c r="K792">
        <f t="shared" si="134"/>
        <v>1.0718294452825063</v>
      </c>
      <c r="L792" s="7">
        <f t="shared" ca="1" si="135"/>
        <v>1.3620423366948307</v>
      </c>
      <c r="M792">
        <f t="shared" ca="1" si="136"/>
        <v>0.83243136261805928</v>
      </c>
      <c r="O792" t="b">
        <f t="shared" ca="1" si="137"/>
        <v>0</v>
      </c>
    </row>
    <row r="793" spans="1:15" x14ac:dyDescent="0.45">
      <c r="A793" s="1">
        <v>44088</v>
      </c>
      <c r="B793">
        <v>139.87299999999999</v>
      </c>
      <c r="C793">
        <f t="shared" si="133"/>
        <v>0.12582904056664518</v>
      </c>
      <c r="D793">
        <f t="shared" ca="1" si="138"/>
        <v>1.1051564596799436E-2</v>
      </c>
      <c r="E793">
        <f t="shared" ca="1" si="139"/>
        <v>5.9041232469710964E-2</v>
      </c>
      <c r="F793">
        <f t="shared" ca="1" si="140"/>
        <v>-0.2063330581933274</v>
      </c>
      <c r="G793">
        <f t="shared" ca="1" si="141"/>
        <v>2.337370317872594</v>
      </c>
      <c r="H793">
        <f t="shared" ca="1" si="142"/>
        <v>1.4018306835742871</v>
      </c>
      <c r="I793">
        <f t="shared" ca="1" si="143"/>
        <v>2.1672811120120534</v>
      </c>
      <c r="K793">
        <f t="shared" si="134"/>
        <v>1.1258290405666451</v>
      </c>
      <c r="L793" s="7">
        <f t="shared" ca="1" si="135"/>
        <v>1.0031052782558805</v>
      </c>
      <c r="M793">
        <f t="shared" ca="1" si="136"/>
        <v>0.7910821634497327</v>
      </c>
      <c r="O793" t="b">
        <f t="shared" ca="1" si="137"/>
        <v>0</v>
      </c>
    </row>
    <row r="794" spans="1:15" x14ac:dyDescent="0.45">
      <c r="A794" s="1">
        <v>44085</v>
      </c>
      <c r="B794">
        <v>124.24</v>
      </c>
      <c r="C794">
        <f t="shared" si="133"/>
        <v>3.7162708030375967E-3</v>
      </c>
      <c r="D794">
        <f t="shared" ca="1" si="138"/>
        <v>1.0312107076537892E-2</v>
      </c>
      <c r="E794">
        <f t="shared" ca="1" si="139"/>
        <v>5.8520316858470062E-2</v>
      </c>
      <c r="F794">
        <f t="shared" ca="1" si="140"/>
        <v>-0.21281594682352836</v>
      </c>
      <c r="G794">
        <f t="shared" ca="1" si="141"/>
        <v>2.4435466471257445</v>
      </c>
      <c r="H794">
        <f t="shared" ca="1" si="142"/>
        <v>1.3677820624894306</v>
      </c>
      <c r="I794">
        <f t="shared" ca="1" si="143"/>
        <v>2.1161984028067904</v>
      </c>
      <c r="K794">
        <f t="shared" si="134"/>
        <v>1.0037162708030376</v>
      </c>
      <c r="L794" s="7">
        <f t="shared" ca="1" si="135"/>
        <v>0.91577170572062483</v>
      </c>
      <c r="M794">
        <f t="shared" ca="1" si="136"/>
        <v>0.79173627908688271</v>
      </c>
      <c r="O794" t="b">
        <f t="shared" ca="1" si="137"/>
        <v>1</v>
      </c>
    </row>
    <row r="795" spans="1:15" x14ac:dyDescent="0.45">
      <c r="A795" s="1">
        <v>44084</v>
      </c>
      <c r="B795">
        <v>123.78</v>
      </c>
      <c r="C795">
        <f t="shared" si="133"/>
        <v>1.3817335965206831E-2</v>
      </c>
      <c r="D795">
        <f t="shared" ca="1" si="138"/>
        <v>1.0343069246508525E-2</v>
      </c>
      <c r="E795">
        <f t="shared" ca="1" si="139"/>
        <v>5.8518447699213418E-2</v>
      </c>
      <c r="F795">
        <f t="shared" ca="1" si="140"/>
        <v>-0.21443241012018457</v>
      </c>
      <c r="G795">
        <f t="shared" ca="1" si="141"/>
        <v>2.4447084982297209</v>
      </c>
      <c r="H795">
        <f t="shared" ca="1" si="142"/>
        <v>1.3677820624894306</v>
      </c>
      <c r="I795">
        <f t="shared" ca="1" si="143"/>
        <v>2.1161984028067904</v>
      </c>
      <c r="K795">
        <f t="shared" si="134"/>
        <v>1.0138173359652067</v>
      </c>
      <c r="L795" s="7">
        <f t="shared" ca="1" si="135"/>
        <v>0.83005304346076736</v>
      </c>
      <c r="M795">
        <f t="shared" ca="1" si="136"/>
        <v>1.0452468786573736</v>
      </c>
      <c r="O795" t="b">
        <f t="shared" ca="1" si="137"/>
        <v>1</v>
      </c>
    </row>
    <row r="796" spans="1:15" x14ac:dyDescent="0.45">
      <c r="A796" s="1">
        <v>44083</v>
      </c>
      <c r="B796">
        <v>122.093</v>
      </c>
      <c r="C796">
        <f t="shared" si="133"/>
        <v>0.10923048968838023</v>
      </c>
      <c r="D796">
        <f t="shared" ca="1" si="138"/>
        <v>9.9669477795523327E-3</v>
      </c>
      <c r="E796">
        <f t="shared" ca="1" si="139"/>
        <v>5.8737343887754853E-2</v>
      </c>
      <c r="F796">
        <f t="shared" ca="1" si="140"/>
        <v>-0.20189234665960107</v>
      </c>
      <c r="G796">
        <f t="shared" ca="1" si="141"/>
        <v>2.3693209354461722</v>
      </c>
      <c r="H796">
        <f t="shared" ca="1" si="142"/>
        <v>1.3677820624894306</v>
      </c>
      <c r="I796">
        <f t="shared" ca="1" si="143"/>
        <v>2.0798877927416841</v>
      </c>
      <c r="K796">
        <f t="shared" si="134"/>
        <v>1.1092304896883802</v>
      </c>
      <c r="L796" s="7">
        <f t="shared" ca="1" si="135"/>
        <v>0.77103252289232727</v>
      </c>
      <c r="M796">
        <f t="shared" ca="1" si="136"/>
        <v>1.0016160329479713</v>
      </c>
      <c r="O796" t="b">
        <f t="shared" ca="1" si="137"/>
        <v>1</v>
      </c>
    </row>
    <row r="797" spans="1:15" x14ac:dyDescent="0.45">
      <c r="A797" s="1">
        <v>44082</v>
      </c>
      <c r="B797">
        <v>110.07</v>
      </c>
      <c r="C797">
        <f t="shared" si="133"/>
        <v>-0.21062822719449228</v>
      </c>
      <c r="D797">
        <f t="shared" ca="1" si="138"/>
        <v>9.457846090650996E-3</v>
      </c>
      <c r="E797">
        <f t="shared" ca="1" si="139"/>
        <v>5.8312383825608841E-2</v>
      </c>
      <c r="F797">
        <f t="shared" ca="1" si="140"/>
        <v>-0.20491990538419563</v>
      </c>
      <c r="G797">
        <f t="shared" ca="1" si="141"/>
        <v>2.4776480326804426</v>
      </c>
      <c r="H797">
        <f t="shared" ca="1" si="142"/>
        <v>1.3513971748272278</v>
      </c>
      <c r="I797">
        <f t="shared" ca="1" si="143"/>
        <v>2.0455410071779099</v>
      </c>
      <c r="K797">
        <f t="shared" si="134"/>
        <v>0.78937177280550774</v>
      </c>
      <c r="L797" s="7">
        <f t="shared" ca="1" si="135"/>
        <v>0.66264516245552563</v>
      </c>
      <c r="M797">
        <f t="shared" ca="1" si="136"/>
        <v>0.95920692404349106</v>
      </c>
      <c r="O797" t="b">
        <f t="shared" ca="1" si="137"/>
        <v>1</v>
      </c>
    </row>
    <row r="798" spans="1:15" x14ac:dyDescent="0.45">
      <c r="A798" s="1">
        <v>44078</v>
      </c>
      <c r="B798">
        <v>139.44</v>
      </c>
      <c r="C798">
        <f t="shared" si="133"/>
        <v>2.7810742479748178E-2</v>
      </c>
      <c r="D798">
        <f t="shared" ca="1" si="138"/>
        <v>1.040945601834576E-2</v>
      </c>
      <c r="E798">
        <f t="shared" ca="1" si="139"/>
        <v>5.6218051624028841E-2</v>
      </c>
      <c r="F798">
        <f t="shared" ca="1" si="140"/>
        <v>2.3814102475921056E-2</v>
      </c>
      <c r="G798">
        <f t="shared" ca="1" si="141"/>
        <v>2.128364797508338</v>
      </c>
      <c r="H798">
        <f t="shared" ca="1" si="142"/>
        <v>1.443481227278588</v>
      </c>
      <c r="I798">
        <f t="shared" ca="1" si="143"/>
        <v>2.0455410071779099</v>
      </c>
      <c r="K798">
        <f t="shared" si="134"/>
        <v>1.0278107424797482</v>
      </c>
      <c r="L798" s="7">
        <f t="shared" ca="1" si="135"/>
        <v>0.94497153700189762</v>
      </c>
      <c r="M798">
        <f t="shared" ca="1" si="136"/>
        <v>0.94942497985470231</v>
      </c>
      <c r="O798" t="b">
        <f t="shared" ca="1" si="137"/>
        <v>1</v>
      </c>
    </row>
    <row r="799" spans="1:15" x14ac:dyDescent="0.45">
      <c r="A799" s="1">
        <v>44077</v>
      </c>
      <c r="B799">
        <v>135.667</v>
      </c>
      <c r="C799">
        <f t="shared" si="133"/>
        <v>-9.0234236167459014E-2</v>
      </c>
      <c r="D799">
        <f t="shared" ca="1" si="138"/>
        <v>1.0406541715445279E-2</v>
      </c>
      <c r="E799">
        <f t="shared" ca="1" si="139"/>
        <v>5.6217160121447514E-2</v>
      </c>
      <c r="F799">
        <f t="shared" ca="1" si="140"/>
        <v>2.3957700632255507E-2</v>
      </c>
      <c r="G799">
        <f t="shared" ca="1" si="141"/>
        <v>2.128692009692382</v>
      </c>
      <c r="H799">
        <f t="shared" ca="1" si="142"/>
        <v>1.443481227278588</v>
      </c>
      <c r="I799">
        <f t="shared" ca="1" si="143"/>
        <v>2.0455410071779099</v>
      </c>
      <c r="K799">
        <f t="shared" si="134"/>
        <v>0.90976576383254093</v>
      </c>
      <c r="L799" s="7">
        <f t="shared" ca="1" si="135"/>
        <v>0.9089916247906199</v>
      </c>
      <c r="M799">
        <f t="shared" ca="1" si="136"/>
        <v>0.92445476655554515</v>
      </c>
      <c r="O799" t="b">
        <f t="shared" ca="1" si="137"/>
        <v>1</v>
      </c>
    </row>
    <row r="800" spans="1:15" x14ac:dyDescent="0.45">
      <c r="A800" s="1">
        <v>44076</v>
      </c>
      <c r="B800">
        <v>149.12299999999999</v>
      </c>
      <c r="C800">
        <f t="shared" si="133"/>
        <v>-5.8269655825702586E-2</v>
      </c>
      <c r="D800">
        <f t="shared" ca="1" si="138"/>
        <v>1.0826769033943362E-2</v>
      </c>
      <c r="E800">
        <f t="shared" ca="1" si="139"/>
        <v>5.5773454602093132E-2</v>
      </c>
      <c r="F800">
        <f t="shared" ca="1" si="140"/>
        <v>3.1390938485828933E-2</v>
      </c>
      <c r="G800">
        <f t="shared" ca="1" si="141"/>
        <v>2.2391461296998481</v>
      </c>
      <c r="H800">
        <f t="shared" ca="1" si="142"/>
        <v>1.6872516795307142</v>
      </c>
      <c r="I800">
        <f t="shared" ca="1" si="143"/>
        <v>2.0812519922334616</v>
      </c>
      <c r="K800">
        <f t="shared" si="134"/>
        <v>0.94173034417429746</v>
      </c>
      <c r="L800" s="7">
        <f t="shared" ca="1" si="135"/>
        <v>1.0388588944233517</v>
      </c>
      <c r="M800">
        <f t="shared" ca="1" si="136"/>
        <v>0.8770684690842927</v>
      </c>
      <c r="O800" t="b">
        <f t="shared" ca="1" si="137"/>
        <v>0</v>
      </c>
    </row>
    <row r="801" spans="1:15" x14ac:dyDescent="0.45">
      <c r="A801" s="1">
        <v>44075</v>
      </c>
      <c r="B801">
        <v>158.35</v>
      </c>
      <c r="C801">
        <f t="shared" si="133"/>
        <v>-4.6698814619492282E-2</v>
      </c>
      <c r="D801">
        <f t="shared" ca="1" si="138"/>
        <v>1.1158477982887246E-2</v>
      </c>
      <c r="E801">
        <f t="shared" ca="1" si="139"/>
        <v>5.5557305981330088E-2</v>
      </c>
      <c r="F801">
        <f t="shared" ca="1" si="140"/>
        <v>2.3429880470016172E-2</v>
      </c>
      <c r="G801">
        <f t="shared" ca="1" si="141"/>
        <v>2.3086900786975928</v>
      </c>
      <c r="H801">
        <f t="shared" ca="1" si="142"/>
        <v>1.6872516795307142</v>
      </c>
      <c r="I801">
        <f t="shared" ca="1" si="143"/>
        <v>2.1030304632726211</v>
      </c>
      <c r="K801">
        <f t="shared" si="134"/>
        <v>0.95330118538050768</v>
      </c>
      <c r="L801" s="7">
        <f t="shared" ca="1" si="135"/>
        <v>1.1739281928103849</v>
      </c>
      <c r="M801">
        <f t="shared" ca="1" si="136"/>
        <v>0.90154598647027795</v>
      </c>
      <c r="O801" t="b">
        <f t="shared" ca="1" si="137"/>
        <v>0</v>
      </c>
    </row>
    <row r="802" spans="1:15" x14ac:dyDescent="0.45">
      <c r="A802" s="1">
        <v>44074</v>
      </c>
      <c r="B802">
        <v>166.107</v>
      </c>
      <c r="C802">
        <f t="shared" si="133"/>
        <v>0.12569124423963132</v>
      </c>
      <c r="D802">
        <f t="shared" ca="1" si="138"/>
        <v>1.1438777984735686E-2</v>
      </c>
      <c r="E802">
        <f t="shared" ca="1" si="139"/>
        <v>5.5405144875965068E-2</v>
      </c>
      <c r="F802">
        <f t="shared" ca="1" si="140"/>
        <v>1.4072653873414482E-2</v>
      </c>
      <c r="G802">
        <f t="shared" ca="1" si="141"/>
        <v>2.3611460134294742</v>
      </c>
      <c r="H802">
        <f t="shared" ca="1" si="142"/>
        <v>1.6872516795307142</v>
      </c>
      <c r="I802">
        <f t="shared" ca="1" si="143"/>
        <v>2.1138907705679246</v>
      </c>
      <c r="K802">
        <f t="shared" si="134"/>
        <v>1.1256912442396314</v>
      </c>
      <c r="L802" s="7">
        <f t="shared" ca="1" si="135"/>
        <v>1.2370196604110815</v>
      </c>
      <c r="M802">
        <f t="shared" ca="1" si="136"/>
        <v>0.87681596941819162</v>
      </c>
      <c r="O802" t="b">
        <f t="shared" ca="1" si="137"/>
        <v>0</v>
      </c>
    </row>
    <row r="803" spans="1:15" x14ac:dyDescent="0.45">
      <c r="A803" s="1">
        <v>44071</v>
      </c>
      <c r="B803">
        <v>147.56</v>
      </c>
      <c r="C803">
        <f t="shared" si="133"/>
        <v>-1.1323283082077036E-2</v>
      </c>
      <c r="D803">
        <f t="shared" ca="1" si="138"/>
        <v>1.0755732352211562E-2</v>
      </c>
      <c r="E803">
        <f t="shared" ca="1" si="139"/>
        <v>5.4828612345348852E-2</v>
      </c>
      <c r="F803">
        <f t="shared" ca="1" si="140"/>
        <v>6.0011441602385272E-3</v>
      </c>
      <c r="G803">
        <f t="shared" ca="1" si="141"/>
        <v>2.4940145929922277</v>
      </c>
      <c r="H803">
        <f t="shared" ca="1" si="142"/>
        <v>1.6114625820480986</v>
      </c>
      <c r="I803">
        <f t="shared" ca="1" si="143"/>
        <v>1.9903514688646489</v>
      </c>
      <c r="K803">
        <f t="shared" si="134"/>
        <v>0.98867671691792292</v>
      </c>
      <c r="L803" s="7">
        <f t="shared" ca="1" si="135"/>
        <v>1.0797204843961512</v>
      </c>
      <c r="M803">
        <f t="shared" ca="1" si="136"/>
        <v>0.86425428205266774</v>
      </c>
      <c r="O803" t="b">
        <f t="shared" ca="1" si="137"/>
        <v>0</v>
      </c>
    </row>
    <row r="804" spans="1:15" x14ac:dyDescent="0.45">
      <c r="A804" s="1">
        <v>44070</v>
      </c>
      <c r="B804">
        <v>149.25</v>
      </c>
      <c r="C804">
        <f t="shared" si="133"/>
        <v>3.9743634400362347E-2</v>
      </c>
      <c r="D804">
        <f t="shared" ca="1" si="138"/>
        <v>1.0882482645740699E-2</v>
      </c>
      <c r="E804">
        <f t="shared" ca="1" si="139"/>
        <v>5.4806611735064618E-2</v>
      </c>
      <c r="F804">
        <f t="shared" ca="1" si="140"/>
        <v>-6.6683050821421332E-4</v>
      </c>
      <c r="G804">
        <f t="shared" ca="1" si="141"/>
        <v>2.5027519977961976</v>
      </c>
      <c r="H804">
        <f t="shared" ca="1" si="142"/>
        <v>1.6114625820480986</v>
      </c>
      <c r="I804">
        <f t="shared" ca="1" si="143"/>
        <v>1.9903514688646489</v>
      </c>
      <c r="K804">
        <f t="shared" si="134"/>
        <v>1.0397436344003623</v>
      </c>
      <c r="L804" s="7">
        <f t="shared" ca="1" si="135"/>
        <v>1.1183545015173655</v>
      </c>
      <c r="M804">
        <f t="shared" ca="1" si="136"/>
        <v>0.89038328052699578</v>
      </c>
      <c r="O804" t="b">
        <f t="shared" ca="1" si="137"/>
        <v>0</v>
      </c>
    </row>
    <row r="805" spans="1:15" x14ac:dyDescent="0.45">
      <c r="A805" s="1">
        <v>44069</v>
      </c>
      <c r="B805">
        <v>143.54499999999999</v>
      </c>
      <c r="C805">
        <f t="shared" si="133"/>
        <v>6.4171281572255531E-2</v>
      </c>
      <c r="D805">
        <f t="shared" ca="1" si="138"/>
        <v>1.0801668015294323E-2</v>
      </c>
      <c r="E805">
        <f t="shared" ca="1" si="139"/>
        <v>5.4775748675038816E-2</v>
      </c>
      <c r="F805">
        <f t="shared" ca="1" si="140"/>
        <v>3.1236231365267407E-3</v>
      </c>
      <c r="G805">
        <f t="shared" ca="1" si="141"/>
        <v>2.5148888254839044</v>
      </c>
      <c r="H805">
        <f t="shared" ca="1" si="142"/>
        <v>1.6114625820480986</v>
      </c>
      <c r="I805">
        <f t="shared" ca="1" si="143"/>
        <v>1.8399748831572438</v>
      </c>
      <c r="K805">
        <f t="shared" si="134"/>
        <v>1.0641712815722555</v>
      </c>
      <c r="L805" s="7">
        <f t="shared" ca="1" si="135"/>
        <v>1.1462051343474269</v>
      </c>
      <c r="M805">
        <f t="shared" ca="1" si="136"/>
        <v>0.93911915267226709</v>
      </c>
      <c r="O805" t="b">
        <f t="shared" ca="1" si="137"/>
        <v>0</v>
      </c>
    </row>
    <row r="806" spans="1:15" x14ac:dyDescent="0.45">
      <c r="A806" s="1">
        <v>44068</v>
      </c>
      <c r="B806">
        <v>134.88900000000001</v>
      </c>
      <c r="C806">
        <f t="shared" si="133"/>
        <v>4.5352993744415312E-3</v>
      </c>
      <c r="D806">
        <f t="shared" ca="1" si="138"/>
        <v>1.0504661258517345E-2</v>
      </c>
      <c r="E806">
        <f t="shared" ca="1" si="139"/>
        <v>5.4645801907021598E-2</v>
      </c>
      <c r="F806">
        <f t="shared" ca="1" si="140"/>
        <v>1.4880871156318707E-2</v>
      </c>
      <c r="G806">
        <f t="shared" ca="1" si="141"/>
        <v>2.5634066620280427</v>
      </c>
      <c r="H806">
        <f t="shared" ca="1" si="142"/>
        <v>1.6114625820480986</v>
      </c>
      <c r="I806">
        <f t="shared" ca="1" si="143"/>
        <v>1.741758319169423</v>
      </c>
      <c r="K806">
        <f t="shared" si="134"/>
        <v>1.0045352993744416</v>
      </c>
      <c r="L806" s="7">
        <f t="shared" ca="1" si="135"/>
        <v>1.0721984643021798</v>
      </c>
      <c r="M806">
        <f t="shared" ca="1" si="136"/>
        <v>0.93966290215403303</v>
      </c>
      <c r="O806" t="b">
        <f t="shared" ca="1" si="137"/>
        <v>0</v>
      </c>
    </row>
    <row r="807" spans="1:15" x14ac:dyDescent="0.45">
      <c r="A807" s="1">
        <v>44067</v>
      </c>
      <c r="B807">
        <v>134.28</v>
      </c>
      <c r="C807">
        <f t="shared" si="133"/>
        <v>-1.7451432334540599E-2</v>
      </c>
      <c r="D807">
        <f t="shared" ca="1" si="138"/>
        <v>1.061915635819116E-2</v>
      </c>
      <c r="E807">
        <f t="shared" ca="1" si="139"/>
        <v>5.4657219992346837E-2</v>
      </c>
      <c r="F807">
        <f t="shared" ca="1" si="140"/>
        <v>8.6811571354051577E-3</v>
      </c>
      <c r="G807">
        <f t="shared" ca="1" si="141"/>
        <v>2.558666611005517</v>
      </c>
      <c r="H807">
        <f t="shared" ca="1" si="142"/>
        <v>1.6114625820480986</v>
      </c>
      <c r="I807">
        <f t="shared" ca="1" si="143"/>
        <v>1.741758319169423</v>
      </c>
      <c r="K807">
        <f t="shared" si="134"/>
        <v>0.98254856766545939</v>
      </c>
      <c r="L807" s="7">
        <f t="shared" ca="1" si="135"/>
        <v>1.0972739752892726</v>
      </c>
      <c r="M807">
        <f t="shared" ca="1" si="136"/>
        <v>0.969925361576776</v>
      </c>
      <c r="O807" t="b">
        <f t="shared" ca="1" si="137"/>
        <v>0</v>
      </c>
    </row>
    <row r="808" spans="1:15" x14ac:dyDescent="0.45">
      <c r="A808" s="1">
        <v>44064</v>
      </c>
      <c r="B808">
        <v>136.66499999999999</v>
      </c>
      <c r="C808">
        <f t="shared" si="133"/>
        <v>2.4053051590423584E-2</v>
      </c>
      <c r="D808">
        <f t="shared" ca="1" si="138"/>
        <v>1.0853945201346743E-2</v>
      </c>
      <c r="E808">
        <f t="shared" ca="1" si="139"/>
        <v>5.4636885870030009E-2</v>
      </c>
      <c r="F808">
        <f t="shared" ca="1" si="140"/>
        <v>-3.4331960454183942E-3</v>
      </c>
      <c r="G808">
        <f t="shared" ca="1" si="141"/>
        <v>2.5666735796589739</v>
      </c>
      <c r="H808">
        <f t="shared" ca="1" si="142"/>
        <v>1.6114625820480986</v>
      </c>
      <c r="I808">
        <f t="shared" ca="1" si="143"/>
        <v>1.8213475717739953</v>
      </c>
      <c r="K808">
        <f t="shared" si="134"/>
        <v>1.0240530515904236</v>
      </c>
      <c r="L808" s="7">
        <f t="shared" ca="1" si="135"/>
        <v>1.2418784701082264</v>
      </c>
      <c r="M808">
        <f t="shared" ca="1" si="136"/>
        <v>1.0420214335226738</v>
      </c>
      <c r="O808" t="b">
        <f t="shared" ca="1" si="137"/>
        <v>0</v>
      </c>
    </row>
    <row r="809" spans="1:15" x14ac:dyDescent="0.45">
      <c r="A809" s="1">
        <v>44063</v>
      </c>
      <c r="B809">
        <v>133.45500000000001</v>
      </c>
      <c r="C809">
        <f t="shared" si="133"/>
        <v>6.5636603186010403E-2</v>
      </c>
      <c r="D809">
        <f t="shared" ca="1" si="138"/>
        <v>1.0729734694938471E-2</v>
      </c>
      <c r="E809">
        <f t="shared" ca="1" si="139"/>
        <v>5.4634966231484755E-2</v>
      </c>
      <c r="F809">
        <f t="shared" ca="1" si="140"/>
        <v>3.3350376606333942E-3</v>
      </c>
      <c r="G809">
        <f t="shared" ca="1" si="141"/>
        <v>2.5674544316023269</v>
      </c>
      <c r="H809">
        <f t="shared" ca="1" si="142"/>
        <v>1.6114625820480986</v>
      </c>
      <c r="I809">
        <f t="shared" ca="1" si="143"/>
        <v>1.8213475717739953</v>
      </c>
      <c r="K809">
        <f t="shared" si="134"/>
        <v>1.0656366031860105</v>
      </c>
      <c r="L809" s="7">
        <f t="shared" ca="1" si="135"/>
        <v>1.2349283314980526</v>
      </c>
      <c r="M809">
        <f t="shared" ca="1" si="136"/>
        <v>1.0572108046990945</v>
      </c>
      <c r="O809" t="b">
        <f t="shared" ca="1" si="137"/>
        <v>0</v>
      </c>
    </row>
    <row r="810" spans="1:15" x14ac:dyDescent="0.45">
      <c r="A810" s="1">
        <v>44062</v>
      </c>
      <c r="B810">
        <v>125.235</v>
      </c>
      <c r="C810">
        <f t="shared" si="133"/>
        <v>-4.5387342416100818E-3</v>
      </c>
      <c r="D810">
        <f t="shared" ca="1" si="138"/>
        <v>1.0467955666120198E-2</v>
      </c>
      <c r="E810">
        <f t="shared" ca="1" si="139"/>
        <v>5.4495814488191165E-2</v>
      </c>
      <c r="F810">
        <f t="shared" ca="1" si="140"/>
        <v>1.2726197427020686E-2</v>
      </c>
      <c r="G810">
        <f t="shared" ca="1" si="141"/>
        <v>2.6197762721168196</v>
      </c>
      <c r="H810">
        <f t="shared" ca="1" si="142"/>
        <v>1.6114625820480986</v>
      </c>
      <c r="I810">
        <f t="shared" ca="1" si="143"/>
        <v>1.7943852738329222</v>
      </c>
      <c r="K810">
        <f t="shared" si="134"/>
        <v>0.99546126575838989</v>
      </c>
      <c r="L810" s="7">
        <f t="shared" ca="1" si="135"/>
        <v>1.2082372577206204</v>
      </c>
      <c r="M810">
        <f t="shared" ca="1" si="136"/>
        <v>1.091475241726362</v>
      </c>
      <c r="O810" t="b">
        <f t="shared" ca="1" si="137"/>
        <v>0</v>
      </c>
    </row>
    <row r="811" spans="1:15" x14ac:dyDescent="0.45">
      <c r="A811" s="1">
        <v>44061</v>
      </c>
      <c r="B811">
        <v>125.806</v>
      </c>
      <c r="C811">
        <f t="shared" si="133"/>
        <v>2.8028371576125977E-2</v>
      </c>
      <c r="D811">
        <f t="shared" ca="1" si="138"/>
        <v>1.0465071453386113E-2</v>
      </c>
      <c r="E811">
        <f t="shared" ca="1" si="139"/>
        <v>5.4496627973114838E-2</v>
      </c>
      <c r="F811">
        <f t="shared" ca="1" si="140"/>
        <v>1.2873307055596195E-2</v>
      </c>
      <c r="G811">
        <f t="shared" ca="1" si="141"/>
        <v>2.6194456087248152</v>
      </c>
      <c r="H811">
        <f t="shared" ca="1" si="142"/>
        <v>1.6114625820480986</v>
      </c>
      <c r="I811">
        <f t="shared" ca="1" si="143"/>
        <v>1.7943852738329222</v>
      </c>
      <c r="K811">
        <f t="shared" si="134"/>
        <v>1.028028371576126</v>
      </c>
      <c r="L811" s="7">
        <f t="shared" ca="1" si="135"/>
        <v>1.3730382205924083</v>
      </c>
      <c r="M811">
        <f t="shared" ca="1" si="136"/>
        <v>1.0434835360346053</v>
      </c>
      <c r="O811" t="b">
        <f t="shared" ca="1" si="137"/>
        <v>0</v>
      </c>
    </row>
    <row r="812" spans="1:15" x14ac:dyDescent="0.45">
      <c r="A812" s="1">
        <v>44060</v>
      </c>
      <c r="B812">
        <v>122.376</v>
      </c>
      <c r="C812">
        <f t="shared" si="133"/>
        <v>0.112033949130826</v>
      </c>
      <c r="D812">
        <f t="shared" ca="1" si="138"/>
        <v>1.0323501071694375E-2</v>
      </c>
      <c r="E812">
        <f t="shared" ca="1" si="139"/>
        <v>5.4487549214956937E-2</v>
      </c>
      <c r="F812">
        <f t="shared" ca="1" si="140"/>
        <v>2.054415579470676E-2</v>
      </c>
      <c r="G812">
        <f t="shared" ca="1" si="141"/>
        <v>2.6233503621234568</v>
      </c>
      <c r="H812">
        <f t="shared" ca="1" si="142"/>
        <v>1.6114625820480986</v>
      </c>
      <c r="I812">
        <f t="shared" ca="1" si="143"/>
        <v>1.7943852738329222</v>
      </c>
      <c r="K812">
        <f t="shared" si="134"/>
        <v>1.112033949130826</v>
      </c>
      <c r="L812" s="7">
        <f t="shared" ca="1" si="135"/>
        <v>1.2940078015211804</v>
      </c>
      <c r="M812">
        <f t="shared" ca="1" si="136"/>
        <v>1.0305910018095941</v>
      </c>
      <c r="O812" t="b">
        <f t="shared" ca="1" si="137"/>
        <v>0</v>
      </c>
    </row>
    <row r="813" spans="1:15" x14ac:dyDescent="0.45">
      <c r="A813" s="1">
        <v>44057</v>
      </c>
      <c r="B813">
        <v>110.047</v>
      </c>
      <c r="C813">
        <f t="shared" si="133"/>
        <v>1.8321966927924382E-2</v>
      </c>
      <c r="D813">
        <f t="shared" ca="1" si="138"/>
        <v>9.7442148578907491E-3</v>
      </c>
      <c r="E813">
        <f t="shared" ca="1" si="139"/>
        <v>5.4014594757820278E-2</v>
      </c>
      <c r="F813">
        <f t="shared" ca="1" si="140"/>
        <v>1.9607200380804973E-2</v>
      </c>
      <c r="G813">
        <f t="shared" ca="1" si="141"/>
        <v>2.7595891630264671</v>
      </c>
      <c r="H813">
        <f t="shared" ca="1" si="142"/>
        <v>1.5859134112823787</v>
      </c>
      <c r="I813">
        <f t="shared" ca="1" si="143"/>
        <v>1.7473792149782832</v>
      </c>
      <c r="K813">
        <f t="shared" si="134"/>
        <v>1.0183219669279244</v>
      </c>
      <c r="L813" s="7">
        <f t="shared" ca="1" si="135"/>
        <v>1.1362939390153364</v>
      </c>
      <c r="M813">
        <f t="shared" ca="1" si="136"/>
        <v>1.1630364323698643</v>
      </c>
      <c r="O813" t="b">
        <f t="shared" ca="1" si="137"/>
        <v>0</v>
      </c>
    </row>
    <row r="814" spans="1:15" x14ac:dyDescent="0.45">
      <c r="A814" s="1">
        <v>44056</v>
      </c>
      <c r="B814">
        <v>108.06699999999999</v>
      </c>
      <c r="C814">
        <f t="shared" si="133"/>
        <v>4.2604509363151313E-2</v>
      </c>
      <c r="D814">
        <f t="shared" ca="1" si="138"/>
        <v>9.4772973193243248E-3</v>
      </c>
      <c r="E814">
        <f t="shared" ca="1" si="139"/>
        <v>5.4103819881916905E-2</v>
      </c>
      <c r="F814">
        <f t="shared" ca="1" si="140"/>
        <v>3.1557145564050329E-2</v>
      </c>
      <c r="G814">
        <f t="shared" ca="1" si="141"/>
        <v>2.7243058330188408</v>
      </c>
      <c r="H814">
        <f t="shared" ca="1" si="142"/>
        <v>1.5859134112823787</v>
      </c>
      <c r="I814">
        <f t="shared" ca="1" si="143"/>
        <v>1.6710222318894219</v>
      </c>
      <c r="K814">
        <f t="shared" si="134"/>
        <v>1.0426045093631513</v>
      </c>
      <c r="L814" s="7">
        <f t="shared" ca="1" si="135"/>
        <v>1.0882299333469612</v>
      </c>
      <c r="M814">
        <f t="shared" ca="1" si="136"/>
        <v>1.1936744389337686</v>
      </c>
      <c r="O814" t="b">
        <f t="shared" ca="1" si="137"/>
        <v>0</v>
      </c>
    </row>
    <row r="815" spans="1:15" x14ac:dyDescent="0.45">
      <c r="A815" s="1">
        <v>44055</v>
      </c>
      <c r="B815">
        <v>103.651</v>
      </c>
      <c r="C815">
        <f t="shared" si="133"/>
        <v>0.13124004103638695</v>
      </c>
      <c r="D815">
        <f t="shared" ca="1" si="138"/>
        <v>9.2578748602787919E-3</v>
      </c>
      <c r="E815">
        <f t="shared" ca="1" si="139"/>
        <v>5.4057763609432874E-2</v>
      </c>
      <c r="F815">
        <f t="shared" ca="1" si="140"/>
        <v>4.2729921256829242E-2</v>
      </c>
      <c r="G815">
        <f t="shared" ca="1" si="141"/>
        <v>2.7438786832524613</v>
      </c>
      <c r="H815">
        <f t="shared" ca="1" si="142"/>
        <v>1.5859134112823787</v>
      </c>
      <c r="I815">
        <f t="shared" ca="1" si="143"/>
        <v>1.6379709301968346</v>
      </c>
      <c r="K815">
        <f t="shared" si="134"/>
        <v>1.131240041036387</v>
      </c>
      <c r="L815" s="7">
        <f t="shared" ca="1" si="135"/>
        <v>1.0469660499407583</v>
      </c>
      <c r="M815">
        <f t="shared" ca="1" si="136"/>
        <v>1.197270624813187</v>
      </c>
      <c r="O815" t="b">
        <f t="shared" ca="1" si="137"/>
        <v>0</v>
      </c>
    </row>
    <row r="816" spans="1:15" x14ac:dyDescent="0.45">
      <c r="A816" s="1">
        <v>44054</v>
      </c>
      <c r="B816">
        <v>91.626000000000005</v>
      </c>
      <c r="C816">
        <f t="shared" si="133"/>
        <v>-3.114369792949858E-2</v>
      </c>
      <c r="D816">
        <f t="shared" ca="1" si="138"/>
        <v>9.0763301632130026E-3</v>
      </c>
      <c r="E816">
        <f t="shared" ca="1" si="139"/>
        <v>5.370587031292922E-2</v>
      </c>
      <c r="F816">
        <f t="shared" ca="1" si="140"/>
        <v>1.4949189363081875E-2</v>
      </c>
      <c r="G816">
        <f t="shared" ca="1" si="141"/>
        <v>2.7929614747809728</v>
      </c>
      <c r="H816">
        <f t="shared" ca="1" si="142"/>
        <v>1.5282831758554276</v>
      </c>
      <c r="I816">
        <f t="shared" ca="1" si="143"/>
        <v>1.6379709301968346</v>
      </c>
      <c r="K816">
        <f t="shared" si="134"/>
        <v>0.96885630207050144</v>
      </c>
      <c r="L816" s="7">
        <f t="shared" ca="1" si="135"/>
        <v>0.92427065375610407</v>
      </c>
      <c r="M816">
        <f t="shared" ca="1" si="136"/>
        <v>1.1413674397775653</v>
      </c>
      <c r="O816" t="b">
        <f t="shared" ca="1" si="137"/>
        <v>1</v>
      </c>
    </row>
    <row r="817" spans="1:15" x14ac:dyDescent="0.45">
      <c r="A817" s="1">
        <v>44053</v>
      </c>
      <c r="B817">
        <v>94.571299999999994</v>
      </c>
      <c r="C817">
        <f t="shared" si="133"/>
        <v>-2.3500913293401163E-2</v>
      </c>
      <c r="D817">
        <f t="shared" ca="1" si="138"/>
        <v>1.0115508517278852E-2</v>
      </c>
      <c r="E817">
        <f t="shared" ca="1" si="139"/>
        <v>5.4920735729565032E-2</v>
      </c>
      <c r="F817">
        <f t="shared" ca="1" si="140"/>
        <v>0.10292132901099516</v>
      </c>
      <c r="G817">
        <f t="shared" ca="1" si="141"/>
        <v>2.7309006344112987</v>
      </c>
      <c r="H817">
        <f t="shared" ca="1" si="142"/>
        <v>1.5859134112823787</v>
      </c>
      <c r="I817">
        <f t="shared" ca="1" si="143"/>
        <v>1.7473792149782832</v>
      </c>
      <c r="K817">
        <f t="shared" si="134"/>
        <v>0.9764990867065988</v>
      </c>
      <c r="L817" s="7">
        <f t="shared" ca="1" si="135"/>
        <v>0.95526565656565643</v>
      </c>
      <c r="M817">
        <f t="shared" ca="1" si="136"/>
        <v>1.1340285135387398</v>
      </c>
      <c r="O817" t="b">
        <f t="shared" ca="1" si="137"/>
        <v>1</v>
      </c>
    </row>
    <row r="818" spans="1:15" x14ac:dyDescent="0.45">
      <c r="A818" s="1">
        <v>44050</v>
      </c>
      <c r="B818">
        <v>96.847300000000004</v>
      </c>
      <c r="C818">
        <f t="shared" si="133"/>
        <v>-2.4751951809218624E-2</v>
      </c>
      <c r="D818">
        <f t="shared" ca="1" si="138"/>
        <v>1.021540610668775E-2</v>
      </c>
      <c r="E818">
        <f t="shared" ca="1" si="139"/>
        <v>5.4877435882109193E-2</v>
      </c>
      <c r="F818">
        <f t="shared" ca="1" si="140"/>
        <v>9.8737725912792992E-2</v>
      </c>
      <c r="G818">
        <f t="shared" ca="1" si="141"/>
        <v>2.7476904812137715</v>
      </c>
      <c r="H818">
        <f t="shared" ca="1" si="142"/>
        <v>1.5859134112823787</v>
      </c>
      <c r="I818">
        <f t="shared" ca="1" si="143"/>
        <v>2.0892595775774314</v>
      </c>
      <c r="K818">
        <f t="shared" si="134"/>
        <v>0.97524804819078137</v>
      </c>
      <c r="L818" s="7">
        <f t="shared" ca="1" si="135"/>
        <v>1.0153411473622411</v>
      </c>
      <c r="M818">
        <f t="shared" ca="1" si="136"/>
        <v>1.1509210610094756</v>
      </c>
      <c r="O818" t="b">
        <f t="shared" ca="1" si="137"/>
        <v>0</v>
      </c>
    </row>
    <row r="819" spans="1:15" x14ac:dyDescent="0.45">
      <c r="A819" s="1">
        <v>44049</v>
      </c>
      <c r="B819">
        <v>99.305300000000003</v>
      </c>
      <c r="C819">
        <f t="shared" si="133"/>
        <v>3.0706667488204905E-3</v>
      </c>
      <c r="D819">
        <f t="shared" ca="1" si="138"/>
        <v>1.0380201368692422E-2</v>
      </c>
      <c r="E819">
        <f t="shared" ca="1" si="139"/>
        <v>5.4821361171831784E-2</v>
      </c>
      <c r="F819">
        <f t="shared" ca="1" si="140"/>
        <v>9.1248725866785396E-2</v>
      </c>
      <c r="G819">
        <f t="shared" ca="1" si="141"/>
        <v>2.7693979362137657</v>
      </c>
      <c r="H819">
        <f t="shared" ca="1" si="142"/>
        <v>1.5859134112823787</v>
      </c>
      <c r="I819">
        <f t="shared" ca="1" si="143"/>
        <v>2.227861348042838</v>
      </c>
      <c r="K819">
        <f t="shared" si="134"/>
        <v>1.0030706667488205</v>
      </c>
      <c r="L819" s="7">
        <f t="shared" ca="1" si="135"/>
        <v>1.0014047153258177</v>
      </c>
      <c r="M819">
        <f t="shared" ca="1" si="136"/>
        <v>1.1863805539971657</v>
      </c>
      <c r="O819" t="b">
        <f t="shared" ca="1" si="137"/>
        <v>0</v>
      </c>
    </row>
    <row r="820" spans="1:15" x14ac:dyDescent="0.45">
      <c r="A820" s="1">
        <v>44048</v>
      </c>
      <c r="B820">
        <v>99.001300000000001</v>
      </c>
      <c r="C820">
        <f t="shared" si="133"/>
        <v>-1.3315404611770716E-3</v>
      </c>
      <c r="D820">
        <f t="shared" ca="1" si="138"/>
        <v>1.0297714351352289E-2</v>
      </c>
      <c r="E820">
        <f t="shared" ca="1" si="139"/>
        <v>5.4844821136292375E-2</v>
      </c>
      <c r="F820">
        <f t="shared" ca="1" si="140"/>
        <v>9.5286138632655559E-2</v>
      </c>
      <c r="G820">
        <f t="shared" ca="1" si="141"/>
        <v>2.7602076733523244</v>
      </c>
      <c r="H820">
        <f t="shared" ca="1" si="142"/>
        <v>1.5859134112823787</v>
      </c>
      <c r="I820">
        <f t="shared" ca="1" si="143"/>
        <v>2.2006817236866261</v>
      </c>
      <c r="K820">
        <f t="shared" si="134"/>
        <v>0.99866845953882288</v>
      </c>
      <c r="L820" s="7">
        <f t="shared" ca="1" si="135"/>
        <v>0.99060042605264909</v>
      </c>
      <c r="M820">
        <f t="shared" ca="1" si="136"/>
        <v>1.1578831825575882</v>
      </c>
      <c r="O820" t="b">
        <f t="shared" ca="1" si="137"/>
        <v>1</v>
      </c>
    </row>
    <row r="821" spans="1:15" x14ac:dyDescent="0.45">
      <c r="A821" s="1">
        <v>44047</v>
      </c>
      <c r="B821">
        <v>99.133300000000006</v>
      </c>
      <c r="C821">
        <f t="shared" si="133"/>
        <v>1.3464646464647022E-3</v>
      </c>
      <c r="D821">
        <f t="shared" ca="1" si="138"/>
        <v>1.0208550195853573E-2</v>
      </c>
      <c r="E821">
        <f t="shared" ca="1" si="139"/>
        <v>5.487830811348824E-2</v>
      </c>
      <c r="F821">
        <f t="shared" ca="1" si="140"/>
        <v>9.9298222147718773E-2</v>
      </c>
      <c r="G821">
        <f t="shared" ca="1" si="141"/>
        <v>2.7471112307647596</v>
      </c>
      <c r="H821">
        <f t="shared" ca="1" si="142"/>
        <v>1.5859134112823787</v>
      </c>
      <c r="I821">
        <f t="shared" ca="1" si="143"/>
        <v>2.0365814010269188</v>
      </c>
      <c r="K821">
        <f t="shared" si="134"/>
        <v>1.0013464646464647</v>
      </c>
      <c r="L821" s="7">
        <f t="shared" ca="1" si="135"/>
        <v>1.0071175534146684</v>
      </c>
      <c r="M821">
        <f t="shared" ca="1" si="136"/>
        <v>1.1605263936246693</v>
      </c>
      <c r="O821" t="b">
        <f t="shared" ca="1" si="137"/>
        <v>0</v>
      </c>
    </row>
    <row r="822" spans="1:15" x14ac:dyDescent="0.45">
      <c r="A822" s="1">
        <v>44046</v>
      </c>
      <c r="B822">
        <v>99</v>
      </c>
      <c r="C822">
        <f t="shared" si="133"/>
        <v>3.7909921999496769E-2</v>
      </c>
      <c r="D822">
        <f t="shared" ca="1" si="138"/>
        <v>1.0244551187860298E-2</v>
      </c>
      <c r="E822">
        <f t="shared" ca="1" si="139"/>
        <v>5.4874826846842299E-2</v>
      </c>
      <c r="F822">
        <f t="shared" ca="1" si="140"/>
        <v>9.7350309884539105E-2</v>
      </c>
      <c r="G822">
        <f t="shared" ca="1" si="141"/>
        <v>2.7483145370002431</v>
      </c>
      <c r="H822">
        <f t="shared" ca="1" si="142"/>
        <v>1.5859134112823787</v>
      </c>
      <c r="I822">
        <f t="shared" ca="1" si="143"/>
        <v>2.0365814010269188</v>
      </c>
      <c r="K822">
        <f t="shared" si="134"/>
        <v>1.0379099219994967</v>
      </c>
      <c r="L822" s="7">
        <f t="shared" ca="1" si="135"/>
        <v>0.96453624318004672</v>
      </c>
      <c r="M822">
        <f t="shared" ca="1" si="136"/>
        <v>1.1384941559978867</v>
      </c>
      <c r="O822" t="b">
        <f t="shared" ca="1" si="137"/>
        <v>1</v>
      </c>
    </row>
    <row r="823" spans="1:15" x14ac:dyDescent="0.45">
      <c r="A823" s="1">
        <v>44043</v>
      </c>
      <c r="B823">
        <v>95.384</v>
      </c>
      <c r="C823">
        <f t="shared" si="133"/>
        <v>-3.8138071516447138E-2</v>
      </c>
      <c r="D823">
        <f t="shared" ca="1" si="138"/>
        <v>1.0091063394796746E-2</v>
      </c>
      <c r="E823">
        <f t="shared" ca="1" si="139"/>
        <v>5.4839976770834402E-2</v>
      </c>
      <c r="F823">
        <f t="shared" ca="1" si="140"/>
        <v>0.10536481822162201</v>
      </c>
      <c r="G823">
        <f t="shared" ca="1" si="141"/>
        <v>2.7638765428855026</v>
      </c>
      <c r="H823">
        <f t="shared" ca="1" si="142"/>
        <v>1.5859134112823787</v>
      </c>
      <c r="I823">
        <f t="shared" ca="1" si="143"/>
        <v>1.9962996710640901</v>
      </c>
      <c r="K823">
        <f t="shared" si="134"/>
        <v>0.9618619284835529</v>
      </c>
      <c r="L823" s="7">
        <f t="shared" ca="1" si="135"/>
        <v>1.0097103000316514</v>
      </c>
      <c r="M823">
        <f t="shared" ca="1" si="136"/>
        <v>1.1991076682677977</v>
      </c>
      <c r="O823" t="b">
        <f t="shared" ca="1" si="137"/>
        <v>0</v>
      </c>
    </row>
    <row r="824" spans="1:15" x14ac:dyDescent="0.45">
      <c r="A824" s="1">
        <v>44042</v>
      </c>
      <c r="B824">
        <v>99.165999999999997</v>
      </c>
      <c r="C824">
        <f t="shared" si="133"/>
        <v>-7.7515966968413254E-3</v>
      </c>
      <c r="D824">
        <f t="shared" ca="1" si="138"/>
        <v>1.0299849918910413E-2</v>
      </c>
      <c r="E824">
        <f t="shared" ca="1" si="139"/>
        <v>5.4734824617729272E-2</v>
      </c>
      <c r="F824">
        <f t="shared" ca="1" si="140"/>
        <v>9.7878226759978842E-2</v>
      </c>
      <c r="G824">
        <f t="shared" ca="1" si="141"/>
        <v>2.8039147483079105</v>
      </c>
      <c r="H824">
        <f t="shared" ca="1" si="142"/>
        <v>1.5859134112823787</v>
      </c>
      <c r="I824">
        <f t="shared" ca="1" si="143"/>
        <v>2.1571542384199049</v>
      </c>
      <c r="K824">
        <f t="shared" si="134"/>
        <v>0.99224840330315867</v>
      </c>
      <c r="L824" s="7">
        <f t="shared" ca="1" si="135"/>
        <v>0.98309722318604942</v>
      </c>
      <c r="M824">
        <f t="shared" ca="1" si="136"/>
        <v>1.2569080348976192</v>
      </c>
      <c r="O824" t="b">
        <f t="shared" ca="1" si="137"/>
        <v>1</v>
      </c>
    </row>
    <row r="825" spans="1:15" x14ac:dyDescent="0.45">
      <c r="A825" s="1">
        <v>44041</v>
      </c>
      <c r="B825">
        <v>99.940700000000007</v>
      </c>
      <c r="C825">
        <f t="shared" si="133"/>
        <v>1.532011211721318E-2</v>
      </c>
      <c r="D825">
        <f t="shared" ca="1" si="138"/>
        <v>1.0521562035276141E-2</v>
      </c>
      <c r="E825">
        <f t="shared" ca="1" si="139"/>
        <v>5.4751142510598275E-2</v>
      </c>
      <c r="F825">
        <f t="shared" ca="1" si="140"/>
        <v>8.6263540612111805E-2</v>
      </c>
      <c r="G825">
        <f t="shared" ca="1" si="141"/>
        <v>2.7956312831148669</v>
      </c>
      <c r="H825">
        <f t="shared" ca="1" si="142"/>
        <v>1.5859134112823787</v>
      </c>
      <c r="I825">
        <f t="shared" ca="1" si="143"/>
        <v>2.2006817236866261</v>
      </c>
      <c r="K825">
        <f t="shared" si="134"/>
        <v>1.0153201121172133</v>
      </c>
      <c r="L825" s="7">
        <f t="shared" ca="1" si="135"/>
        <v>0.94146012905656828</v>
      </c>
      <c r="M825">
        <f t="shared" ca="1" si="136"/>
        <v>1.2856262284824207</v>
      </c>
      <c r="O825" t="b">
        <f t="shared" ca="1" si="137"/>
        <v>1</v>
      </c>
    </row>
    <row r="826" spans="1:15" x14ac:dyDescent="0.45">
      <c r="A826" s="1">
        <v>44040</v>
      </c>
      <c r="B826">
        <v>98.432699999999997</v>
      </c>
      <c r="C826">
        <f t="shared" si="133"/>
        <v>-4.0990841777084994E-2</v>
      </c>
      <c r="D826">
        <f t="shared" ca="1" si="138"/>
        <v>1.0509315483025451E-2</v>
      </c>
      <c r="E826">
        <f t="shared" ca="1" si="139"/>
        <v>5.4750337714261112E-2</v>
      </c>
      <c r="F826">
        <f t="shared" ca="1" si="140"/>
        <v>8.6942146445398674E-2</v>
      </c>
      <c r="G826">
        <f t="shared" ca="1" si="141"/>
        <v>2.7960535211816326</v>
      </c>
      <c r="H826">
        <f t="shared" ca="1" si="142"/>
        <v>1.5859134112823787</v>
      </c>
      <c r="I826">
        <f t="shared" ca="1" si="143"/>
        <v>2.2006817236866261</v>
      </c>
      <c r="K826">
        <f t="shared" si="134"/>
        <v>0.95900915822291499</v>
      </c>
      <c r="L826" s="7">
        <f t="shared" ca="1" si="135"/>
        <v>0.94142620771445229</v>
      </c>
      <c r="M826">
        <f t="shared" ca="1" si="136"/>
        <v>1.307815774385626</v>
      </c>
      <c r="O826" t="b">
        <f t="shared" ca="1" si="137"/>
        <v>1</v>
      </c>
    </row>
    <row r="827" spans="1:15" x14ac:dyDescent="0.45">
      <c r="A827" s="1">
        <v>44039</v>
      </c>
      <c r="B827">
        <v>102.64</v>
      </c>
      <c r="C827">
        <f t="shared" si="133"/>
        <v>8.6520435243318511E-2</v>
      </c>
      <c r="D827">
        <f t="shared" ca="1" si="138"/>
        <v>1.0718563643573249E-2</v>
      </c>
      <c r="E827">
        <f t="shared" ca="1" si="139"/>
        <v>5.4632366847501203E-2</v>
      </c>
      <c r="F827">
        <f t="shared" ca="1" si="140"/>
        <v>8.0124084295064082E-2</v>
      </c>
      <c r="G827">
        <f t="shared" ca="1" si="141"/>
        <v>2.8412478065922437</v>
      </c>
      <c r="H827">
        <f t="shared" ca="1" si="142"/>
        <v>1.5859134112823787</v>
      </c>
      <c r="I827">
        <f t="shared" ca="1" si="143"/>
        <v>2.227861348042838</v>
      </c>
      <c r="K827">
        <f t="shared" si="134"/>
        <v>1.0865204352433184</v>
      </c>
      <c r="L827" s="7">
        <f t="shared" ca="1" si="135"/>
        <v>0.93706919375895836</v>
      </c>
      <c r="M827">
        <f t="shared" ca="1" si="136"/>
        <v>1.3055694982449468</v>
      </c>
      <c r="O827" t="b">
        <f t="shared" ca="1" si="137"/>
        <v>1</v>
      </c>
    </row>
    <row r="828" spans="1:15" x14ac:dyDescent="0.45">
      <c r="A828" s="1">
        <v>44036</v>
      </c>
      <c r="B828">
        <v>94.466700000000003</v>
      </c>
      <c r="C828">
        <f t="shared" si="133"/>
        <v>-6.3490002081866864E-2</v>
      </c>
      <c r="D828">
        <f t="shared" ca="1" si="138"/>
        <v>1.0379285969178153E-2</v>
      </c>
      <c r="E828">
        <f t="shared" ca="1" si="139"/>
        <v>5.4369321669698947E-2</v>
      </c>
      <c r="F828">
        <f t="shared" ca="1" si="140"/>
        <v>8.6462660258674523E-2</v>
      </c>
      <c r="G828">
        <f t="shared" ca="1" si="141"/>
        <v>2.93840107830147</v>
      </c>
      <c r="H828">
        <f t="shared" ca="1" si="142"/>
        <v>1.5859134112823787</v>
      </c>
      <c r="I828">
        <f t="shared" ca="1" si="143"/>
        <v>2.1837962744979094</v>
      </c>
      <c r="K828">
        <f t="shared" si="134"/>
        <v>0.93650999791813316</v>
      </c>
      <c r="L828" s="7">
        <f t="shared" ca="1" si="135"/>
        <v>0.94413828256176535</v>
      </c>
      <c r="M828">
        <f t="shared" ca="1" si="136"/>
        <v>1.4052780983207271</v>
      </c>
      <c r="O828" t="b">
        <f t="shared" ca="1" si="137"/>
        <v>1</v>
      </c>
    </row>
    <row r="829" spans="1:15" x14ac:dyDescent="0.45">
      <c r="A829" s="1">
        <v>44035</v>
      </c>
      <c r="B829">
        <v>100.871</v>
      </c>
      <c r="C829">
        <f t="shared" si="133"/>
        <v>-4.9776270547783955E-2</v>
      </c>
      <c r="D829">
        <f t="shared" ca="1" si="138"/>
        <v>1.0745732698416364E-2</v>
      </c>
      <c r="E829">
        <f t="shared" ca="1" si="139"/>
        <v>5.4115334333744353E-2</v>
      </c>
      <c r="F829">
        <f t="shared" ca="1" si="140"/>
        <v>8.0076003509556362E-2</v>
      </c>
      <c r="G829">
        <f t="shared" ca="1" si="141"/>
        <v>3.0310622073703497</v>
      </c>
      <c r="H829">
        <f t="shared" ca="1" si="142"/>
        <v>1.6364778559175348</v>
      </c>
      <c r="I829">
        <f t="shared" ca="1" si="143"/>
        <v>2.3006957718673742</v>
      </c>
      <c r="K829">
        <f t="shared" si="134"/>
        <v>0.950223729452216</v>
      </c>
      <c r="L829" s="7">
        <f t="shared" ca="1" si="135"/>
        <v>1.0082764411303136</v>
      </c>
      <c r="M829">
        <f t="shared" ca="1" si="136"/>
        <v>1.3889595411661042</v>
      </c>
      <c r="O829" t="b">
        <f t="shared" ca="1" si="137"/>
        <v>0</v>
      </c>
    </row>
    <row r="830" spans="1:15" x14ac:dyDescent="0.45">
      <c r="A830" s="1">
        <v>44034</v>
      </c>
      <c r="B830">
        <v>106.155</v>
      </c>
      <c r="C830">
        <f t="shared" si="133"/>
        <v>1.5283529558040103E-2</v>
      </c>
      <c r="D830">
        <f t="shared" ca="1" si="138"/>
        <v>1.1130497178055154E-2</v>
      </c>
      <c r="E830">
        <f t="shared" ca="1" si="139"/>
        <v>5.395619222556558E-2</v>
      </c>
      <c r="F830">
        <f t="shared" ca="1" si="140"/>
        <v>6.6483902039631643E-2</v>
      </c>
      <c r="G830">
        <f t="shared" ca="1" si="141"/>
        <v>3.0926704035390751</v>
      </c>
      <c r="H830">
        <f t="shared" ca="1" si="142"/>
        <v>1.6364778559175348</v>
      </c>
      <c r="I830">
        <f t="shared" ca="1" si="143"/>
        <v>2.5177429450723734</v>
      </c>
      <c r="K830">
        <f t="shared" si="134"/>
        <v>1.01528352955804</v>
      </c>
      <c r="L830" s="7">
        <f t="shared" ca="1" si="135"/>
        <v>1.0299610932694265</v>
      </c>
      <c r="M830">
        <f t="shared" ca="1" si="136"/>
        <v>1.4735335534971701</v>
      </c>
      <c r="O830" t="b">
        <f t="shared" ca="1" si="137"/>
        <v>0</v>
      </c>
    </row>
    <row r="831" spans="1:15" x14ac:dyDescent="0.45">
      <c r="A831" s="1">
        <v>44033</v>
      </c>
      <c r="B831">
        <v>104.557</v>
      </c>
      <c r="C831">
        <f t="shared" si="133"/>
        <v>-4.5429231373193456E-2</v>
      </c>
      <c r="D831">
        <f t="shared" ca="1" si="138"/>
        <v>1.1019770569382319E-2</v>
      </c>
      <c r="E831">
        <f t="shared" ca="1" si="139"/>
        <v>5.3970347709214564E-2</v>
      </c>
      <c r="F831">
        <f t="shared" ca="1" si="140"/>
        <v>7.2458263400324449E-2</v>
      </c>
      <c r="G831">
        <f t="shared" ca="1" si="141"/>
        <v>3.0868773800227771</v>
      </c>
      <c r="H831">
        <f t="shared" ca="1" si="142"/>
        <v>1.6364778559175348</v>
      </c>
      <c r="I831">
        <f t="shared" ca="1" si="143"/>
        <v>2.5177429450723734</v>
      </c>
      <c r="K831">
        <f t="shared" si="134"/>
        <v>0.95457076862680657</v>
      </c>
      <c r="L831" s="7">
        <f t="shared" ca="1" si="135"/>
        <v>1.0339893196202532</v>
      </c>
      <c r="M831">
        <f t="shared" ca="1" si="136"/>
        <v>1.4954312307333004</v>
      </c>
      <c r="O831" t="b">
        <f t="shared" ca="1" si="137"/>
        <v>0</v>
      </c>
    </row>
    <row r="832" spans="1:15" x14ac:dyDescent="0.45">
      <c r="A832" s="1">
        <v>44032</v>
      </c>
      <c r="B832">
        <v>109.533</v>
      </c>
      <c r="C832">
        <f t="shared" si="133"/>
        <v>9.4716958503238233E-2</v>
      </c>
      <c r="D832">
        <f t="shared" ca="1" si="138"/>
        <v>1.1039188777677456E-2</v>
      </c>
      <c r="E832">
        <f t="shared" ca="1" si="139"/>
        <v>5.395063068948814E-2</v>
      </c>
      <c r="F832">
        <f t="shared" ca="1" si="140"/>
        <v>7.2566421781435728E-2</v>
      </c>
      <c r="G832">
        <f t="shared" ca="1" si="141"/>
        <v>3.0942001302016617</v>
      </c>
      <c r="H832">
        <f t="shared" ca="1" si="142"/>
        <v>1.6364778559175348</v>
      </c>
      <c r="I832">
        <f t="shared" ca="1" si="143"/>
        <v>2.5177429450723734</v>
      </c>
      <c r="K832">
        <f t="shared" si="134"/>
        <v>1.0947169585032381</v>
      </c>
      <c r="L832" s="7">
        <f t="shared" ca="1" si="135"/>
        <v>1.097481062883251</v>
      </c>
      <c r="M832">
        <f t="shared" ca="1" si="136"/>
        <v>1.4559204003290342</v>
      </c>
      <c r="O832" t="b">
        <f t="shared" ca="1" si="137"/>
        <v>0</v>
      </c>
    </row>
    <row r="833" spans="1:15" x14ac:dyDescent="0.45">
      <c r="A833" s="1">
        <v>44029</v>
      </c>
      <c r="B833">
        <v>100.056</v>
      </c>
      <c r="C833">
        <f t="shared" si="133"/>
        <v>1.2994412402657875E-4</v>
      </c>
      <c r="D833">
        <f t="shared" ca="1" si="138"/>
        <v>1.0533726981354415E-2</v>
      </c>
      <c r="E833">
        <f t="shared" ca="1" si="139"/>
        <v>5.363536110744016E-2</v>
      </c>
      <c r="F833">
        <f t="shared" ca="1" si="140"/>
        <v>8.2963672288857426E-2</v>
      </c>
      <c r="G833">
        <f t="shared" ca="1" si="141"/>
        <v>3.2118589360212875</v>
      </c>
      <c r="H833">
        <f t="shared" ca="1" si="142"/>
        <v>1.6364778559175348</v>
      </c>
      <c r="I833">
        <f t="shared" ca="1" si="143"/>
        <v>2.4821319651512654</v>
      </c>
      <c r="K833">
        <f t="shared" si="134"/>
        <v>1.0001299441240266</v>
      </c>
      <c r="L833" s="7">
        <f t="shared" ca="1" si="135"/>
        <v>0.97163444264253196</v>
      </c>
      <c r="M833">
        <f t="shared" ca="1" si="136"/>
        <v>1.4386384193495068</v>
      </c>
      <c r="O833" t="b">
        <f t="shared" ca="1" si="137"/>
        <v>1</v>
      </c>
    </row>
    <row r="834" spans="1:15" x14ac:dyDescent="0.45">
      <c r="A834" s="1">
        <v>44028</v>
      </c>
      <c r="B834">
        <v>100.04300000000001</v>
      </c>
      <c r="C834">
        <f t="shared" si="133"/>
        <v>-2.9340137968505795E-2</v>
      </c>
      <c r="D834">
        <f t="shared" ca="1" si="138"/>
        <v>1.0612383525524415E-2</v>
      </c>
      <c r="E834">
        <f t="shared" ca="1" si="139"/>
        <v>5.3631562124592316E-2</v>
      </c>
      <c r="F834">
        <f t="shared" ca="1" si="140"/>
        <v>7.8579058549910805E-2</v>
      </c>
      <c r="G834">
        <f t="shared" ca="1" si="141"/>
        <v>3.21314168541093</v>
      </c>
      <c r="H834">
        <f t="shared" ca="1" si="142"/>
        <v>1.6364778559175348</v>
      </c>
      <c r="I834">
        <f t="shared" ca="1" si="143"/>
        <v>2.4821319651512654</v>
      </c>
      <c r="K834">
        <f t="shared" si="134"/>
        <v>0.97065986203149424</v>
      </c>
      <c r="L834" s="7">
        <f t="shared" ca="1" si="135"/>
        <v>1.0762866856011706</v>
      </c>
      <c r="M834">
        <f t="shared" ca="1" si="136"/>
        <v>1.1646159903215572</v>
      </c>
      <c r="O834" t="b">
        <f t="shared" ca="1" si="137"/>
        <v>0</v>
      </c>
    </row>
    <row r="835" spans="1:15" x14ac:dyDescent="0.45">
      <c r="A835" s="1">
        <v>44027</v>
      </c>
      <c r="B835">
        <v>103.06699999999999</v>
      </c>
      <c r="C835">
        <f t="shared" ref="C835:C898" si="144">(B835-B836)/B836</f>
        <v>1.9254351265822669E-2</v>
      </c>
      <c r="D835">
        <f t="shared" ca="1" si="138"/>
        <v>1.0733065134707795E-2</v>
      </c>
      <c r="E835">
        <f t="shared" ca="1" si="139"/>
        <v>5.3568327762581303E-2</v>
      </c>
      <c r="F835">
        <f t="shared" ca="1" si="140"/>
        <v>7.4005989108252457E-2</v>
      </c>
      <c r="G835">
        <f t="shared" ca="1" si="141"/>
        <v>3.2404722514846016</v>
      </c>
      <c r="H835">
        <f t="shared" ca="1" si="142"/>
        <v>1.6364778559175348</v>
      </c>
      <c r="I835">
        <f t="shared" ca="1" si="143"/>
        <v>2.7196538180176812</v>
      </c>
      <c r="K835">
        <f t="shared" ref="K835:K898" si="145">C835+1</f>
        <v>1.0192543512658228</v>
      </c>
      <c r="L835" s="7">
        <f t="shared" ref="L835:L898" ca="1" si="146">PRODUCT(OFFSET(K835,0,0,$J$6,1))</f>
        <v>1.1318742745064447</v>
      </c>
      <c r="M835">
        <f t="shared" ref="M835:M898" ca="1" si="147">OFFSET(D835,$J$6,0)*V$2 + OFFSET(E835,$J$6,0)*U$2 + OFFSET(F835,$J$6,0)*T$2 + OFFSET(G835,$J$6,0)*S$2 + OFFSET(H835,$J$6,0)*R$2 + OFFSET(I835,$J$6,0)*Q$2 + W$2</f>
        <v>1.1840936807516917</v>
      </c>
      <c r="O835" t="b">
        <f t="shared" ref="O835:O898" ca="1" si="148">OR(AND(L835&gt;1, N835&gt;1), AND(L835&lt;1, N835&lt;1))</f>
        <v>0</v>
      </c>
    </row>
    <row r="836" spans="1:15" x14ac:dyDescent="0.45">
      <c r="A836" s="1">
        <v>44026</v>
      </c>
      <c r="B836">
        <v>101.12</v>
      </c>
      <c r="C836">
        <f t="shared" si="144"/>
        <v>1.3185844254739313E-2</v>
      </c>
      <c r="D836">
        <f t="shared" ref="D836:D899" ca="1" si="149">AVERAGE(OFFSET(C836,0,0,$J$3,1))</f>
        <v>1.0627919303663301E-2</v>
      </c>
      <c r="E836">
        <f t="shared" ref="E836:E899" ca="1" si="150">STDEV(OFFSET(C836,0,0,$J$3,1))</f>
        <v>5.3572156090750854E-2</v>
      </c>
      <c r="F836">
        <f t="shared" ref="F836:F899" ca="1" si="151">SKEW(OFFSET(C836,0,0,$J$3,1))</f>
        <v>7.9852665282220042E-2</v>
      </c>
      <c r="G836">
        <f t="shared" ref="G836:G899" ca="1" si="152">KURT(OFFSET(C836,0,0,$J$3,1))</f>
        <v>3.2393034463150174</v>
      </c>
      <c r="H836">
        <f t="shared" ref="H836:H899" ca="1" si="153">PERCENTILE(OFFSET(C836,0,0,$J$3,1), 0.95)/ABS(PERCENTILE(OFFSET(C836,0,0,$J$3,1), 0.05))</f>
        <v>1.6364778559175348</v>
      </c>
      <c r="I836">
        <f t="shared" ref="I836:I899" ca="1" si="154">PERCENTILE(OFFSET(C836,0,0,$J$3,1), 0.75)/ABS(PERCENTILE(OFFSET(C836,0,0,$J$3,1), 0.25))</f>
        <v>2.7196538180176812</v>
      </c>
      <c r="K836">
        <f t="shared" si="145"/>
        <v>1.0131858442547392</v>
      </c>
      <c r="L836" s="7">
        <f t="shared" ca="1" si="146"/>
        <v>1.0913333326138359</v>
      </c>
      <c r="M836">
        <f t="shared" ca="1" si="147"/>
        <v>1.1895735811082067</v>
      </c>
      <c r="O836" t="b">
        <f t="shared" ca="1" si="148"/>
        <v>0</v>
      </c>
    </row>
    <row r="837" spans="1:15" x14ac:dyDescent="0.45">
      <c r="A837" s="1">
        <v>44025</v>
      </c>
      <c r="B837">
        <v>99.804000000000002</v>
      </c>
      <c r="C837">
        <f t="shared" si="144"/>
        <v>-3.0812705749827647E-2</v>
      </c>
      <c r="D837">
        <f t="shared" ca="1" si="149"/>
        <v>1.0865006472821631E-2</v>
      </c>
      <c r="E837">
        <f t="shared" ca="1" si="150"/>
        <v>5.3688331793096407E-2</v>
      </c>
      <c r="F837">
        <f t="shared" ca="1" si="151"/>
        <v>7.0046906530781466E-2</v>
      </c>
      <c r="G837">
        <f t="shared" ca="1" si="152"/>
        <v>3.1875841076689868</v>
      </c>
      <c r="H837">
        <f t="shared" ca="1" si="153"/>
        <v>1.6364778559175348</v>
      </c>
      <c r="I837">
        <f t="shared" ca="1" si="154"/>
        <v>2.758672507944544</v>
      </c>
      <c r="K837">
        <f t="shared" si="145"/>
        <v>0.96918729425017236</v>
      </c>
      <c r="L837" s="7">
        <f t="shared" ca="1" si="146"/>
        <v>1.091485333890355</v>
      </c>
      <c r="M837">
        <f t="shared" ca="1" si="147"/>
        <v>1.1901743834309539</v>
      </c>
      <c r="O837" t="b">
        <f t="shared" ca="1" si="148"/>
        <v>0</v>
      </c>
    </row>
    <row r="838" spans="1:15" x14ac:dyDescent="0.45">
      <c r="A838" s="1">
        <v>44022</v>
      </c>
      <c r="B838">
        <v>102.977</v>
      </c>
      <c r="C838">
        <f t="shared" si="144"/>
        <v>0.10785136414493508</v>
      </c>
      <c r="D838">
        <f t="shared" ca="1" si="149"/>
        <v>1.1142048087279104E-2</v>
      </c>
      <c r="E838">
        <f t="shared" ca="1" si="150"/>
        <v>5.3615095036386604E-2</v>
      </c>
      <c r="F838">
        <f t="shared" ca="1" si="151"/>
        <v>5.7145489244664394E-2</v>
      </c>
      <c r="G838">
        <f t="shared" ca="1" si="152"/>
        <v>3.2184732563357077</v>
      </c>
      <c r="H838">
        <f t="shared" ca="1" si="153"/>
        <v>1.6364778559175348</v>
      </c>
      <c r="I838">
        <f t="shared" ca="1" si="154"/>
        <v>2.8370423519715224</v>
      </c>
      <c r="K838">
        <f t="shared" si="145"/>
        <v>1.107851364144935</v>
      </c>
      <c r="L838" s="7">
        <f t="shared" ca="1" si="146"/>
        <v>1.2779902031961856</v>
      </c>
      <c r="M838">
        <f t="shared" ca="1" si="147"/>
        <v>1.2795772978093516</v>
      </c>
      <c r="O838" t="b">
        <f t="shared" ca="1" si="148"/>
        <v>0</v>
      </c>
    </row>
    <row r="839" spans="1:15" x14ac:dyDescent="0.45">
      <c r="A839" s="1">
        <v>44021</v>
      </c>
      <c r="B839">
        <v>92.951999999999998</v>
      </c>
      <c r="C839">
        <f t="shared" si="144"/>
        <v>2.0792082469879281E-2</v>
      </c>
      <c r="D839">
        <f t="shared" ca="1" si="149"/>
        <v>1.0229299163582157E-2</v>
      </c>
      <c r="E839">
        <f t="shared" ca="1" si="150"/>
        <v>5.3514210617650007E-2</v>
      </c>
      <c r="F839">
        <f t="shared" ca="1" si="151"/>
        <v>5.8252180404845977E-2</v>
      </c>
      <c r="G839">
        <f t="shared" ca="1" si="152"/>
        <v>3.2471492775715571</v>
      </c>
      <c r="H839">
        <f t="shared" ca="1" si="153"/>
        <v>1.3120452975613566</v>
      </c>
      <c r="I839">
        <f t="shared" ca="1" si="154"/>
        <v>2.7196538180176812</v>
      </c>
      <c r="K839">
        <f t="shared" si="145"/>
        <v>1.0207920824698793</v>
      </c>
      <c r="L839" s="7">
        <f t="shared" ca="1" si="146"/>
        <v>1.2453042522976341</v>
      </c>
      <c r="M839">
        <f t="shared" ca="1" si="147"/>
        <v>1.357816219736613</v>
      </c>
      <c r="O839" t="b">
        <f t="shared" ca="1" si="148"/>
        <v>0</v>
      </c>
    </row>
    <row r="840" spans="1:15" x14ac:dyDescent="0.45">
      <c r="A840" s="1">
        <v>44020</v>
      </c>
      <c r="B840">
        <v>91.058700000000002</v>
      </c>
      <c r="C840">
        <f t="shared" si="144"/>
        <v>-1.7252823037148767E-2</v>
      </c>
      <c r="D840">
        <f t="shared" ca="1" si="149"/>
        <v>1.0138024755484287E-2</v>
      </c>
      <c r="E840">
        <f t="shared" ca="1" si="150"/>
        <v>5.3511671889325797E-2</v>
      </c>
      <c r="F840">
        <f t="shared" ca="1" si="151"/>
        <v>6.3375123347960943E-2</v>
      </c>
      <c r="G840">
        <f t="shared" ca="1" si="152"/>
        <v>3.248761100009494</v>
      </c>
      <c r="H840">
        <f t="shared" ca="1" si="153"/>
        <v>1.3120452975613566</v>
      </c>
      <c r="I840">
        <f t="shared" ca="1" si="154"/>
        <v>2.7196538180176812</v>
      </c>
      <c r="K840">
        <f t="shared" si="145"/>
        <v>0.98274717696285119</v>
      </c>
      <c r="L840" s="7">
        <f t="shared" ca="1" si="146"/>
        <v>1.2649272857851315</v>
      </c>
      <c r="M840">
        <f t="shared" ca="1" si="147"/>
        <v>1.4055935931805568</v>
      </c>
      <c r="O840" t="b">
        <f t="shared" ca="1" si="148"/>
        <v>0</v>
      </c>
    </row>
    <row r="841" spans="1:15" x14ac:dyDescent="0.45">
      <c r="A841" s="1">
        <v>44019</v>
      </c>
      <c r="B841">
        <v>92.657300000000006</v>
      </c>
      <c r="C841">
        <f t="shared" si="144"/>
        <v>1.332696112258824E-2</v>
      </c>
      <c r="D841">
        <f t="shared" ca="1" si="149"/>
        <v>1.0103029746582439E-2</v>
      </c>
      <c r="E841">
        <f t="shared" ca="1" si="150"/>
        <v>5.3531959407841084E-2</v>
      </c>
      <c r="F841">
        <f t="shared" ca="1" si="151"/>
        <v>6.461829473974362E-2</v>
      </c>
      <c r="G841">
        <f t="shared" ca="1" si="152"/>
        <v>3.2399213966481941</v>
      </c>
      <c r="H841">
        <f t="shared" ca="1" si="153"/>
        <v>1.3120452975613566</v>
      </c>
      <c r="I841">
        <f t="shared" ca="1" si="154"/>
        <v>2.7196538180176812</v>
      </c>
      <c r="K841">
        <f t="shared" si="145"/>
        <v>1.0133269611225881</v>
      </c>
      <c r="L841" s="7">
        <f t="shared" ca="1" si="146"/>
        <v>1.3769846931193341</v>
      </c>
      <c r="M841">
        <f t="shared" ca="1" si="147"/>
        <v>1.4852633659659404</v>
      </c>
      <c r="O841" t="b">
        <f t="shared" ca="1" si="148"/>
        <v>0</v>
      </c>
    </row>
    <row r="842" spans="1:15" x14ac:dyDescent="0.45">
      <c r="A842" s="1">
        <v>44018</v>
      </c>
      <c r="B842">
        <v>91.438699999999997</v>
      </c>
      <c r="C842">
        <f t="shared" si="144"/>
        <v>0.13479478711746365</v>
      </c>
      <c r="D842">
        <f t="shared" ca="1" si="149"/>
        <v>1.0100247534807861E-2</v>
      </c>
      <c r="E842">
        <f t="shared" ca="1" si="150"/>
        <v>5.3531805468489596E-2</v>
      </c>
      <c r="F842">
        <f t="shared" ca="1" si="151"/>
        <v>6.4775865611549674E-2</v>
      </c>
      <c r="G842">
        <f t="shared" ca="1" si="152"/>
        <v>3.240007385879732</v>
      </c>
      <c r="H842">
        <f t="shared" ca="1" si="153"/>
        <v>1.3120452975613566</v>
      </c>
      <c r="I842">
        <f t="shared" ca="1" si="154"/>
        <v>2.7196538180176812</v>
      </c>
      <c r="K842">
        <f t="shared" si="145"/>
        <v>1.1347947871174637</v>
      </c>
      <c r="L842" s="7">
        <f t="shared" ca="1" si="146"/>
        <v>1.4291159954175117</v>
      </c>
      <c r="M842">
        <f t="shared" ca="1" si="147"/>
        <v>1.5470897038407987</v>
      </c>
      <c r="O842" t="b">
        <f t="shared" ca="1" si="148"/>
        <v>0</v>
      </c>
    </row>
    <row r="843" spans="1:15" x14ac:dyDescent="0.45">
      <c r="A843" s="1">
        <v>44014</v>
      </c>
      <c r="B843">
        <v>80.577299999999994</v>
      </c>
      <c r="C843">
        <f t="shared" si="144"/>
        <v>7.9516893973902075E-2</v>
      </c>
      <c r="D843">
        <f t="shared" ca="1" si="149"/>
        <v>9.3997405984178224E-3</v>
      </c>
      <c r="E843">
        <f t="shared" ca="1" si="150"/>
        <v>5.2803593884994664E-2</v>
      </c>
      <c r="F843">
        <f t="shared" ca="1" si="151"/>
        <v>4.072589314803856E-2</v>
      </c>
      <c r="G843">
        <f t="shared" ca="1" si="152"/>
        <v>3.4340914287345745</v>
      </c>
      <c r="H843">
        <f t="shared" ca="1" si="153"/>
        <v>1.2743737250793901</v>
      </c>
      <c r="I843">
        <f t="shared" ca="1" si="154"/>
        <v>2.7074404158427146</v>
      </c>
      <c r="K843">
        <f t="shared" si="145"/>
        <v>1.0795168939739022</v>
      </c>
      <c r="L843" s="7">
        <f t="shared" ca="1" si="146"/>
        <v>1.2258458589423722</v>
      </c>
      <c r="M843">
        <f t="shared" ca="1" si="147"/>
        <v>1.5040595803988759</v>
      </c>
      <c r="O843" t="b">
        <f t="shared" ca="1" si="148"/>
        <v>0</v>
      </c>
    </row>
    <row r="844" spans="1:15" x14ac:dyDescent="0.45">
      <c r="A844" s="1">
        <v>44013</v>
      </c>
      <c r="B844">
        <v>74.641999999999996</v>
      </c>
      <c r="C844">
        <f t="shared" si="144"/>
        <v>3.6877338086023378E-2</v>
      </c>
      <c r="D844">
        <f t="shared" ca="1" si="149"/>
        <v>9.0429288330759368E-3</v>
      </c>
      <c r="E844">
        <f t="shared" ca="1" si="150"/>
        <v>5.256799178516617E-2</v>
      </c>
      <c r="F844">
        <f t="shared" ca="1" si="151"/>
        <v>4.9799364292700432E-2</v>
      </c>
      <c r="G844">
        <f t="shared" ca="1" si="152"/>
        <v>3.5357436177553945</v>
      </c>
      <c r="H844">
        <f t="shared" ca="1" si="153"/>
        <v>1.2743737250793901</v>
      </c>
      <c r="I844">
        <f t="shared" ca="1" si="154"/>
        <v>2.6897941756966413</v>
      </c>
      <c r="K844">
        <f t="shared" si="145"/>
        <v>1.0368773380860234</v>
      </c>
      <c r="L844" s="7">
        <f t="shared" ca="1" si="146"/>
        <v>1.1652489122917664</v>
      </c>
      <c r="M844">
        <f t="shared" ca="1" si="147"/>
        <v>1.5156460497763429</v>
      </c>
      <c r="O844" t="b">
        <f t="shared" ca="1" si="148"/>
        <v>0</v>
      </c>
    </row>
    <row r="845" spans="1:15" x14ac:dyDescent="0.45">
      <c r="A845" s="1">
        <v>44012</v>
      </c>
      <c r="B845">
        <v>71.987300000000005</v>
      </c>
      <c r="C845">
        <f t="shared" si="144"/>
        <v>6.9806806360529022E-2</v>
      </c>
      <c r="D845">
        <f t="shared" ca="1" si="149"/>
        <v>8.8097861246115988E-3</v>
      </c>
      <c r="E845">
        <f t="shared" ca="1" si="150"/>
        <v>5.254732025239961E-2</v>
      </c>
      <c r="F845">
        <f t="shared" ca="1" si="151"/>
        <v>6.2316497700139778E-2</v>
      </c>
      <c r="G845">
        <f t="shared" ca="1" si="152"/>
        <v>3.5467897936551287</v>
      </c>
      <c r="H845">
        <f t="shared" ca="1" si="153"/>
        <v>1.2743737250793901</v>
      </c>
      <c r="I845">
        <f t="shared" ca="1" si="154"/>
        <v>2.6832915939609423</v>
      </c>
      <c r="K845">
        <f t="shared" si="145"/>
        <v>1.0698068063605291</v>
      </c>
      <c r="L845" s="7">
        <f t="shared" ca="1" si="146"/>
        <v>1.0778913922674604</v>
      </c>
      <c r="M845">
        <f t="shared" ca="1" si="147"/>
        <v>1.4816065089825847</v>
      </c>
      <c r="O845" t="b">
        <f t="shared" ca="1" si="148"/>
        <v>0</v>
      </c>
    </row>
    <row r="846" spans="1:15" x14ac:dyDescent="0.45">
      <c r="A846" s="1">
        <v>44011</v>
      </c>
      <c r="B846">
        <v>67.290000000000006</v>
      </c>
      <c r="C846">
        <f t="shared" si="144"/>
        <v>5.1690535097768692E-2</v>
      </c>
      <c r="D846">
        <f t="shared" ca="1" si="149"/>
        <v>8.4471473146644476E-3</v>
      </c>
      <c r="E846">
        <f t="shared" ca="1" si="150"/>
        <v>5.237423186001379E-2</v>
      </c>
      <c r="F846">
        <f t="shared" ca="1" si="151"/>
        <v>7.5846004712150472E-2</v>
      </c>
      <c r="G846">
        <f t="shared" ca="1" si="152"/>
        <v>3.6267029650200788</v>
      </c>
      <c r="H846">
        <f t="shared" ca="1" si="153"/>
        <v>1.2743737250793901</v>
      </c>
      <c r="I846">
        <f t="shared" ca="1" si="154"/>
        <v>2.6687568992317554</v>
      </c>
      <c r="K846">
        <f t="shared" si="145"/>
        <v>1.0516905350977688</v>
      </c>
      <c r="L846" s="7">
        <f t="shared" ca="1" si="146"/>
        <v>1.01511585807386</v>
      </c>
      <c r="M846">
        <f t="shared" ca="1" si="147"/>
        <v>1.4978888939057917</v>
      </c>
      <c r="O846" t="b">
        <f t="shared" ca="1" si="148"/>
        <v>0</v>
      </c>
    </row>
    <row r="847" spans="1:15" x14ac:dyDescent="0.45">
      <c r="A847" s="1">
        <v>44008</v>
      </c>
      <c r="B847">
        <v>63.982700000000001</v>
      </c>
      <c r="C847">
        <f t="shared" si="144"/>
        <v>-2.6612608775025835E-2</v>
      </c>
      <c r="D847">
        <f t="shared" ca="1" si="149"/>
        <v>8.1638058797892047E-3</v>
      </c>
      <c r="E847">
        <f t="shared" ca="1" si="150"/>
        <v>5.2292334117316756E-2</v>
      </c>
      <c r="F847">
        <f t="shared" ca="1" si="151"/>
        <v>8.9666132886110292E-2</v>
      </c>
      <c r="G847">
        <f t="shared" ca="1" si="152"/>
        <v>3.6680034782094362</v>
      </c>
      <c r="H847">
        <f t="shared" ca="1" si="153"/>
        <v>1.2743737250793901</v>
      </c>
      <c r="I847">
        <f t="shared" ca="1" si="154"/>
        <v>2.6602530601707963</v>
      </c>
      <c r="K847">
        <f t="shared" si="145"/>
        <v>0.9733873912249742</v>
      </c>
      <c r="L847" s="7">
        <f t="shared" ca="1" si="146"/>
        <v>0.95887703123337453</v>
      </c>
      <c r="M847">
        <f t="shared" ca="1" si="147"/>
        <v>1.4522601003973121</v>
      </c>
      <c r="O847" t="b">
        <f t="shared" ca="1" si="148"/>
        <v>1</v>
      </c>
    </row>
    <row r="848" spans="1:15" x14ac:dyDescent="0.45">
      <c r="A848" s="1">
        <v>44007</v>
      </c>
      <c r="B848">
        <v>65.731999999999999</v>
      </c>
      <c r="C848">
        <f t="shared" si="144"/>
        <v>2.6153392229071943E-2</v>
      </c>
      <c r="D848">
        <f t="shared" ca="1" si="149"/>
        <v>8.5422407387025119E-3</v>
      </c>
      <c r="E848">
        <f t="shared" ca="1" si="150"/>
        <v>5.2313261352793017E-2</v>
      </c>
      <c r="F848">
        <f t="shared" ca="1" si="151"/>
        <v>7.1555740649075231E-2</v>
      </c>
      <c r="G848">
        <f t="shared" ca="1" si="152"/>
        <v>3.6557563277968885</v>
      </c>
      <c r="H848">
        <f t="shared" ca="1" si="153"/>
        <v>1.2743737250793901</v>
      </c>
      <c r="I848">
        <f t="shared" ca="1" si="154"/>
        <v>2.7445723725568407</v>
      </c>
      <c r="K848">
        <f t="shared" si="145"/>
        <v>1.026153392229072</v>
      </c>
      <c r="L848" s="7">
        <f t="shared" ca="1" si="146"/>
        <v>0.98209043084862391</v>
      </c>
      <c r="M848">
        <f t="shared" ca="1" si="147"/>
        <v>1.4484302118667935</v>
      </c>
      <c r="O848" t="b">
        <f t="shared" ca="1" si="148"/>
        <v>1</v>
      </c>
    </row>
    <row r="849" spans="1:15" x14ac:dyDescent="0.45">
      <c r="A849" s="1">
        <v>44006</v>
      </c>
      <c r="B849">
        <v>64.056700000000006</v>
      </c>
      <c r="C849">
        <f t="shared" si="144"/>
        <v>-4.0856296220874951E-2</v>
      </c>
      <c r="D849">
        <f t="shared" ca="1" si="149"/>
        <v>8.4923657899562827E-3</v>
      </c>
      <c r="E849">
        <f t="shared" ca="1" si="150"/>
        <v>5.2301140305169171E-2</v>
      </c>
      <c r="F849">
        <f t="shared" ca="1" si="151"/>
        <v>7.431723742692263E-2</v>
      </c>
      <c r="G849">
        <f t="shared" ca="1" si="152"/>
        <v>3.662190312260206</v>
      </c>
      <c r="H849">
        <f t="shared" ca="1" si="153"/>
        <v>1.2743737250793901</v>
      </c>
      <c r="I849">
        <f t="shared" ca="1" si="154"/>
        <v>2.7445723725568407</v>
      </c>
      <c r="K849">
        <f t="shared" si="145"/>
        <v>0.95914370377912506</v>
      </c>
      <c r="L849" s="7">
        <f t="shared" ca="1" si="146"/>
        <v>0.96880487240488056</v>
      </c>
      <c r="M849">
        <f t="shared" ca="1" si="147"/>
        <v>1.4637194824763395</v>
      </c>
      <c r="O849" t="b">
        <f t="shared" ca="1" si="148"/>
        <v>1</v>
      </c>
    </row>
    <row r="850" spans="1:15" x14ac:dyDescent="0.45">
      <c r="A850" s="1">
        <v>44005</v>
      </c>
      <c r="B850">
        <v>66.785300000000007</v>
      </c>
      <c r="C850">
        <f t="shared" si="144"/>
        <v>7.5021119961382133E-3</v>
      </c>
      <c r="D850">
        <f t="shared" ca="1" si="149"/>
        <v>8.7920750473362685E-3</v>
      </c>
      <c r="E850">
        <f t="shared" ca="1" si="150"/>
        <v>5.2188554852455854E-2</v>
      </c>
      <c r="F850">
        <f t="shared" ca="1" si="151"/>
        <v>6.1730559157138348E-2</v>
      </c>
      <c r="G850">
        <f t="shared" ca="1" si="152"/>
        <v>3.7144793164262335</v>
      </c>
      <c r="H850">
        <f t="shared" ca="1" si="153"/>
        <v>1.2743737250793901</v>
      </c>
      <c r="I850">
        <f t="shared" ca="1" si="154"/>
        <v>2.7850589515501163</v>
      </c>
      <c r="K850">
        <f t="shared" si="145"/>
        <v>1.0075021119961383</v>
      </c>
      <c r="L850" s="7">
        <f t="shared" ca="1" si="146"/>
        <v>1.0200075448298827</v>
      </c>
      <c r="M850">
        <f t="shared" ca="1" si="147"/>
        <v>1.4551724399162507</v>
      </c>
      <c r="O850" t="b">
        <f t="shared" ca="1" si="148"/>
        <v>0</v>
      </c>
    </row>
    <row r="851" spans="1:15" x14ac:dyDescent="0.45">
      <c r="A851" s="1">
        <v>44004</v>
      </c>
      <c r="B851">
        <v>66.287999999999997</v>
      </c>
      <c r="C851">
        <f t="shared" si="144"/>
        <v>-6.574579591078193E-3</v>
      </c>
      <c r="D851">
        <f t="shared" ca="1" si="149"/>
        <v>8.7081753280447496E-3</v>
      </c>
      <c r="E851">
        <f t="shared" ca="1" si="150"/>
        <v>5.2204124673793408E-2</v>
      </c>
      <c r="F851">
        <f t="shared" ca="1" si="151"/>
        <v>6.6335060361178658E-2</v>
      </c>
      <c r="G851">
        <f t="shared" ca="1" si="152"/>
        <v>3.7069114558086786</v>
      </c>
      <c r="H851">
        <f t="shared" ca="1" si="153"/>
        <v>1.2743737250793901</v>
      </c>
      <c r="I851">
        <f t="shared" ca="1" si="154"/>
        <v>2.7850589515501163</v>
      </c>
      <c r="K851">
        <f t="shared" si="145"/>
        <v>0.99342542040892179</v>
      </c>
      <c r="L851" s="7">
        <f t="shared" ca="1" si="146"/>
        <v>1.0034514078110806</v>
      </c>
      <c r="M851">
        <f t="shared" ca="1" si="147"/>
        <v>1.4185961574790737</v>
      </c>
      <c r="O851" t="b">
        <f t="shared" ca="1" si="148"/>
        <v>0</v>
      </c>
    </row>
    <row r="852" spans="1:15" x14ac:dyDescent="0.45">
      <c r="A852" s="1">
        <v>44001</v>
      </c>
      <c r="B852">
        <v>66.726699999999994</v>
      </c>
      <c r="C852">
        <f t="shared" si="144"/>
        <v>-3.0479286784690393E-3</v>
      </c>
      <c r="D852">
        <f t="shared" ca="1" si="149"/>
        <v>8.9426863445428249E-3</v>
      </c>
      <c r="E852">
        <f t="shared" ca="1" si="150"/>
        <v>5.2240460829740806E-2</v>
      </c>
      <c r="F852">
        <f t="shared" ca="1" si="151"/>
        <v>5.3846013544637285E-2</v>
      </c>
      <c r="G852">
        <f t="shared" ca="1" si="152"/>
        <v>3.6876896252561062</v>
      </c>
      <c r="H852">
        <f t="shared" ca="1" si="153"/>
        <v>1.2743737250793901</v>
      </c>
      <c r="I852">
        <f t="shared" ca="1" si="154"/>
        <v>2.8002270553497626</v>
      </c>
      <c r="K852">
        <f t="shared" si="145"/>
        <v>0.99695207132153096</v>
      </c>
      <c r="L852" s="7">
        <f t="shared" ca="1" si="146"/>
        <v>1.0701613420579932</v>
      </c>
      <c r="M852">
        <f t="shared" ca="1" si="147"/>
        <v>1.4790165224456078</v>
      </c>
      <c r="O852" t="b">
        <f t="shared" ca="1" si="148"/>
        <v>0</v>
      </c>
    </row>
    <row r="853" spans="1:15" x14ac:dyDescent="0.45">
      <c r="A853" s="1">
        <v>44000</v>
      </c>
      <c r="B853">
        <v>66.930700000000002</v>
      </c>
      <c r="C853">
        <f t="shared" si="144"/>
        <v>1.2271757263008019E-2</v>
      </c>
      <c r="D853">
        <f t="shared" ca="1" si="149"/>
        <v>8.8616971452811621E-3</v>
      </c>
      <c r="E853">
        <f t="shared" ca="1" si="150"/>
        <v>5.22716900272455E-2</v>
      </c>
      <c r="F853">
        <f t="shared" ca="1" si="151"/>
        <v>5.7709929733772446E-2</v>
      </c>
      <c r="G853">
        <f t="shared" ca="1" si="152"/>
        <v>3.6723864313196835</v>
      </c>
      <c r="H853">
        <f t="shared" ca="1" si="153"/>
        <v>1.2743737250793901</v>
      </c>
      <c r="I853">
        <f t="shared" ca="1" si="154"/>
        <v>2.7595199766674874</v>
      </c>
      <c r="K853">
        <f t="shared" si="145"/>
        <v>1.012271757263008</v>
      </c>
      <c r="L853" s="7">
        <f t="shared" ca="1" si="146"/>
        <v>1.0319893302084617</v>
      </c>
      <c r="M853">
        <f t="shared" ca="1" si="147"/>
        <v>1.471036144733326</v>
      </c>
      <c r="O853" t="b">
        <f t="shared" ca="1" si="148"/>
        <v>0</v>
      </c>
    </row>
    <row r="854" spans="1:15" x14ac:dyDescent="0.45">
      <c r="A854" s="1">
        <v>43999</v>
      </c>
      <c r="B854">
        <v>66.119299999999996</v>
      </c>
      <c r="C854">
        <f t="shared" si="144"/>
        <v>9.8357701301099981E-3</v>
      </c>
      <c r="D854">
        <f t="shared" ca="1" si="149"/>
        <v>8.7870411055138223E-3</v>
      </c>
      <c r="E854">
        <f t="shared" ca="1" si="150"/>
        <v>5.2277457487743088E-2</v>
      </c>
      <c r="F854">
        <f t="shared" ca="1" si="151"/>
        <v>6.1962588377145994E-2</v>
      </c>
      <c r="G854">
        <f t="shared" ca="1" si="152"/>
        <v>3.6697828762205251</v>
      </c>
      <c r="H854">
        <f t="shared" ca="1" si="153"/>
        <v>1.2743737250793901</v>
      </c>
      <c r="I854">
        <f t="shared" ca="1" si="154"/>
        <v>2.7595199766674874</v>
      </c>
      <c r="K854">
        <f t="shared" si="145"/>
        <v>1.0098357701301099</v>
      </c>
      <c r="L854" s="7">
        <f t="shared" ca="1" si="146"/>
        <v>0.9675518425677565</v>
      </c>
      <c r="M854">
        <f t="shared" ca="1" si="147"/>
        <v>1.4239399034653446</v>
      </c>
      <c r="O854" t="b">
        <f t="shared" ca="1" si="148"/>
        <v>1</v>
      </c>
    </row>
    <row r="855" spans="1:15" x14ac:dyDescent="0.45">
      <c r="A855" s="1">
        <v>43998</v>
      </c>
      <c r="B855">
        <v>65.475300000000004</v>
      </c>
      <c r="C855">
        <f t="shared" si="144"/>
        <v>-8.851044504995428E-3</v>
      </c>
      <c r="D855">
        <f t="shared" ca="1" si="149"/>
        <v>8.8258147875579351E-3</v>
      </c>
      <c r="E855">
        <f t="shared" ca="1" si="150"/>
        <v>5.2281114906937161E-2</v>
      </c>
      <c r="F855">
        <f t="shared" ca="1" si="151"/>
        <v>5.9726389451471261E-2</v>
      </c>
      <c r="G855">
        <f t="shared" ca="1" si="152"/>
        <v>3.6677238639116121</v>
      </c>
      <c r="H855">
        <f t="shared" ca="1" si="153"/>
        <v>1.2743737250793901</v>
      </c>
      <c r="I855">
        <f t="shared" ca="1" si="154"/>
        <v>2.7595199766674874</v>
      </c>
      <c r="K855">
        <f t="shared" si="145"/>
        <v>0.99114895549500459</v>
      </c>
      <c r="L855" s="7">
        <f t="shared" ca="1" si="146"/>
        <v>1.044074991269516</v>
      </c>
      <c r="M855">
        <f t="shared" ca="1" si="147"/>
        <v>1.5531843010740558</v>
      </c>
      <c r="O855" t="b">
        <f t="shared" ca="1" si="148"/>
        <v>0</v>
      </c>
    </row>
    <row r="856" spans="1:15" x14ac:dyDescent="0.45">
      <c r="A856" s="1">
        <v>43997</v>
      </c>
      <c r="B856">
        <v>66.06</v>
      </c>
      <c r="C856">
        <f t="shared" si="144"/>
        <v>5.9468822170900784E-2</v>
      </c>
      <c r="D856">
        <f t="shared" ca="1" si="149"/>
        <v>9.0120057632816844E-3</v>
      </c>
      <c r="E856">
        <f t="shared" ca="1" si="150"/>
        <v>5.2284154103651753E-2</v>
      </c>
      <c r="F856">
        <f t="shared" ca="1" si="151"/>
        <v>4.9386596617608934E-2</v>
      </c>
      <c r="G856">
        <f t="shared" ca="1" si="152"/>
        <v>3.6654006352591786</v>
      </c>
      <c r="H856">
        <f t="shared" ca="1" si="153"/>
        <v>1.2743737250793901</v>
      </c>
      <c r="I856">
        <f t="shared" ca="1" si="154"/>
        <v>2.7662072872229109</v>
      </c>
      <c r="K856">
        <f t="shared" si="145"/>
        <v>1.0594688221709008</v>
      </c>
      <c r="L856" s="7">
        <f t="shared" ca="1" si="146"/>
        <v>1.0431404749873672</v>
      </c>
      <c r="M856">
        <f t="shared" ca="1" si="147"/>
        <v>1.5381330552507939</v>
      </c>
      <c r="O856" t="b">
        <f t="shared" ca="1" si="148"/>
        <v>0</v>
      </c>
    </row>
    <row r="857" spans="1:15" x14ac:dyDescent="0.45">
      <c r="A857" s="1">
        <v>43994</v>
      </c>
      <c r="B857">
        <v>62.351999999999997</v>
      </c>
      <c r="C857">
        <f t="shared" si="144"/>
        <v>-3.8608609843345229E-2</v>
      </c>
      <c r="D857">
        <f t="shared" ca="1" si="149"/>
        <v>8.7499405201401856E-3</v>
      </c>
      <c r="E857">
        <f t="shared" ca="1" si="150"/>
        <v>5.2161188240847242E-2</v>
      </c>
      <c r="F857">
        <f t="shared" ca="1" si="151"/>
        <v>6.0366830520435719E-2</v>
      </c>
      <c r="G857">
        <f t="shared" ca="1" si="152"/>
        <v>3.7254561072726116</v>
      </c>
      <c r="H857">
        <f t="shared" ca="1" si="153"/>
        <v>1.2743737250793901</v>
      </c>
      <c r="I857">
        <f t="shared" ca="1" si="154"/>
        <v>2.7595199766674874</v>
      </c>
      <c r="K857">
        <f t="shared" si="145"/>
        <v>0.96139139015665476</v>
      </c>
      <c r="L857" s="7">
        <f t="shared" ca="1" si="146"/>
        <v>1.0560260144976625</v>
      </c>
      <c r="M857">
        <f t="shared" ca="1" si="147"/>
        <v>1.6240047281411654</v>
      </c>
      <c r="O857" t="b">
        <f t="shared" ca="1" si="148"/>
        <v>0</v>
      </c>
    </row>
    <row r="858" spans="1:15" x14ac:dyDescent="0.45">
      <c r="A858" s="1">
        <v>43993</v>
      </c>
      <c r="B858">
        <v>64.855999999999995</v>
      </c>
      <c r="C858">
        <f t="shared" si="144"/>
        <v>-5.0934563711739066E-2</v>
      </c>
      <c r="D858">
        <f t="shared" ca="1" si="149"/>
        <v>8.9215997986969789E-3</v>
      </c>
      <c r="E858">
        <f t="shared" ca="1" si="150"/>
        <v>5.2060946660976409E-2</v>
      </c>
      <c r="F858">
        <f t="shared" ca="1" si="151"/>
        <v>5.4465849487304617E-2</v>
      </c>
      <c r="G858">
        <f t="shared" ca="1" si="152"/>
        <v>3.7734316616774857</v>
      </c>
      <c r="H858">
        <f t="shared" ca="1" si="153"/>
        <v>1.2743737250793901</v>
      </c>
      <c r="I858">
        <f t="shared" ca="1" si="154"/>
        <v>2.8002270553497626</v>
      </c>
      <c r="K858">
        <f t="shared" si="145"/>
        <v>0.9490654362882609</v>
      </c>
      <c r="L858" s="7">
        <f t="shared" ca="1" si="146"/>
        <v>1.1254778716987155</v>
      </c>
      <c r="M858">
        <f t="shared" ca="1" si="147"/>
        <v>1.655201550182841</v>
      </c>
      <c r="O858" t="b">
        <f t="shared" ca="1" si="148"/>
        <v>0</v>
      </c>
    </row>
    <row r="859" spans="1:15" x14ac:dyDescent="0.45">
      <c r="A859" s="1">
        <v>43992</v>
      </c>
      <c r="B859">
        <v>68.336699999999993</v>
      </c>
      <c r="C859">
        <f t="shared" si="144"/>
        <v>8.9703131652509066E-2</v>
      </c>
      <c r="D859">
        <f t="shared" ca="1" si="149"/>
        <v>9.2614194600816983E-3</v>
      </c>
      <c r="E859">
        <f t="shared" ca="1" si="150"/>
        <v>5.1889812296057672E-2</v>
      </c>
      <c r="F859">
        <f t="shared" ca="1" si="151"/>
        <v>4.2971514476477866E-2</v>
      </c>
      <c r="G859">
        <f t="shared" ca="1" si="152"/>
        <v>3.8532572114916839</v>
      </c>
      <c r="H859">
        <f t="shared" ca="1" si="153"/>
        <v>1.2743737250793901</v>
      </c>
      <c r="I859">
        <f t="shared" ca="1" si="154"/>
        <v>2.8152820607013429</v>
      </c>
      <c r="K859">
        <f t="shared" si="145"/>
        <v>1.089703131652509</v>
      </c>
      <c r="L859" s="7">
        <f t="shared" ca="1" si="146"/>
        <v>1.1609251834737699</v>
      </c>
      <c r="M859">
        <f t="shared" ca="1" si="147"/>
        <v>1.6232658846391126</v>
      </c>
      <c r="O859" t="b">
        <f t="shared" ca="1" si="148"/>
        <v>0</v>
      </c>
    </row>
    <row r="860" spans="1:15" x14ac:dyDescent="0.45">
      <c r="A860" s="1">
        <v>43991</v>
      </c>
      <c r="B860">
        <v>62.711300000000001</v>
      </c>
      <c r="C860">
        <f t="shared" si="144"/>
        <v>-9.7381884790298367E-3</v>
      </c>
      <c r="D860">
        <f t="shared" ca="1" si="149"/>
        <v>8.570938913230363E-3</v>
      </c>
      <c r="E860">
        <f t="shared" ca="1" si="150"/>
        <v>5.1732583512577458E-2</v>
      </c>
      <c r="F860">
        <f t="shared" ca="1" si="151"/>
        <v>5.7702856310669966E-2</v>
      </c>
      <c r="G860">
        <f t="shared" ca="1" si="152"/>
        <v>3.9172662016140629</v>
      </c>
      <c r="H860">
        <f t="shared" ca="1" si="153"/>
        <v>1.2743737250793901</v>
      </c>
      <c r="I860">
        <f t="shared" ca="1" si="154"/>
        <v>2.7850589515501163</v>
      </c>
      <c r="K860">
        <f t="shared" si="145"/>
        <v>0.99026181152097015</v>
      </c>
      <c r="L860" s="7">
        <f t="shared" ca="1" si="146"/>
        <v>1.0670504179803884</v>
      </c>
      <c r="M860">
        <f t="shared" ca="1" si="147"/>
        <v>1.6033585829274375</v>
      </c>
      <c r="O860" t="b">
        <f t="shared" ca="1" si="148"/>
        <v>0</v>
      </c>
    </row>
    <row r="861" spans="1:15" x14ac:dyDescent="0.45">
      <c r="A861" s="1">
        <v>43990</v>
      </c>
      <c r="B861">
        <v>63.328000000000003</v>
      </c>
      <c r="C861">
        <f t="shared" si="144"/>
        <v>7.2556059887541602E-2</v>
      </c>
      <c r="D861">
        <f t="shared" ca="1" si="149"/>
        <v>8.6495170992065499E-3</v>
      </c>
      <c r="E861">
        <f t="shared" ca="1" si="150"/>
        <v>5.171656647378018E-2</v>
      </c>
      <c r="F861">
        <f t="shared" ca="1" si="151"/>
        <v>5.3376827547820645E-2</v>
      </c>
      <c r="G861">
        <f t="shared" ca="1" si="152"/>
        <v>3.925469645081189</v>
      </c>
      <c r="H861">
        <f t="shared" ca="1" si="153"/>
        <v>1.2743737250793901</v>
      </c>
      <c r="I861">
        <f t="shared" ca="1" si="154"/>
        <v>2.7850589515501163</v>
      </c>
      <c r="K861">
        <f t="shared" si="145"/>
        <v>1.0725560598875417</v>
      </c>
      <c r="L861" s="7">
        <f t="shared" ca="1" si="146"/>
        <v>1.0577001768734982</v>
      </c>
      <c r="M861">
        <f t="shared" ca="1" si="147"/>
        <v>1.6031289416225292</v>
      </c>
      <c r="O861" t="b">
        <f t="shared" ca="1" si="148"/>
        <v>0</v>
      </c>
    </row>
    <row r="862" spans="1:15" x14ac:dyDescent="0.45">
      <c r="A862" s="1">
        <v>43987</v>
      </c>
      <c r="B862">
        <v>59.043999999999997</v>
      </c>
      <c r="C862">
        <f t="shared" si="144"/>
        <v>2.4619394606188498E-2</v>
      </c>
      <c r="D862">
        <f t="shared" ca="1" si="149"/>
        <v>8.175395457031432E-3</v>
      </c>
      <c r="E862">
        <f t="shared" ca="1" si="150"/>
        <v>5.1562176513320318E-2</v>
      </c>
      <c r="F862">
        <f t="shared" ca="1" si="151"/>
        <v>7.0964345806942414E-2</v>
      </c>
      <c r="G862">
        <f t="shared" ca="1" si="152"/>
        <v>3.9999288102791795</v>
      </c>
      <c r="H862">
        <f t="shared" ca="1" si="153"/>
        <v>1.2743737250793901</v>
      </c>
      <c r="I862">
        <f t="shared" ca="1" si="154"/>
        <v>2.7358269518877281</v>
      </c>
      <c r="K862">
        <f t="shared" si="145"/>
        <v>1.0246193946061886</v>
      </c>
      <c r="L862" s="7">
        <f t="shared" ca="1" si="146"/>
        <v>1.0606700235508841</v>
      </c>
      <c r="M862">
        <f t="shared" ca="1" si="147"/>
        <v>1.7144787637381484</v>
      </c>
      <c r="O862" t="b">
        <f t="shared" ca="1" si="148"/>
        <v>0</v>
      </c>
    </row>
    <row r="863" spans="1:15" x14ac:dyDescent="0.45">
      <c r="A863" s="1">
        <v>43986</v>
      </c>
      <c r="B863">
        <v>57.625300000000003</v>
      </c>
      <c r="C863">
        <f t="shared" si="144"/>
        <v>-2.1043422125577509E-2</v>
      </c>
      <c r="D863">
        <f t="shared" ca="1" si="149"/>
        <v>8.0309058110736246E-3</v>
      </c>
      <c r="E863">
        <f t="shared" ca="1" si="150"/>
        <v>5.1556354058890794E-2</v>
      </c>
      <c r="F863">
        <f t="shared" ca="1" si="151"/>
        <v>7.9244768605506513E-2</v>
      </c>
      <c r="G863">
        <f t="shared" ca="1" si="152"/>
        <v>4.003933993152021</v>
      </c>
      <c r="H863">
        <f t="shared" ca="1" si="153"/>
        <v>1.2743737250793901</v>
      </c>
      <c r="I863">
        <f t="shared" ca="1" si="154"/>
        <v>2.7358269518877281</v>
      </c>
      <c r="K863">
        <f t="shared" si="145"/>
        <v>0.97895657787442247</v>
      </c>
      <c r="L863" s="7">
        <f t="shared" ca="1" si="146"/>
        <v>1.0726833418030668</v>
      </c>
      <c r="M863">
        <f t="shared" ca="1" si="147"/>
        <v>1.6928376659675268</v>
      </c>
      <c r="O863" t="b">
        <f t="shared" ca="1" si="148"/>
        <v>0</v>
      </c>
    </row>
    <row r="864" spans="1:15" x14ac:dyDescent="0.45">
      <c r="A864" s="1">
        <v>43985</v>
      </c>
      <c r="B864">
        <v>58.863999999999997</v>
      </c>
      <c r="C864">
        <f t="shared" si="144"/>
        <v>1.5875257568822437E-3</v>
      </c>
      <c r="D864">
        <f t="shared" ca="1" si="149"/>
        <v>8.2927448262620652E-3</v>
      </c>
      <c r="E864">
        <f t="shared" ca="1" si="150"/>
        <v>5.1540930148241453E-2</v>
      </c>
      <c r="F864">
        <f t="shared" ca="1" si="151"/>
        <v>6.5300898444222086E-2</v>
      </c>
      <c r="G864">
        <f t="shared" ca="1" si="152"/>
        <v>4.0105545663324609</v>
      </c>
      <c r="H864">
        <f t="shared" ca="1" si="153"/>
        <v>1.2743737250793901</v>
      </c>
      <c r="I864">
        <f t="shared" ca="1" si="154"/>
        <v>2.7850589515501163</v>
      </c>
      <c r="K864">
        <f t="shared" si="145"/>
        <v>1.0015875257568823</v>
      </c>
      <c r="L864" s="7">
        <f t="shared" ca="1" si="146"/>
        <v>1.0764785486997548</v>
      </c>
      <c r="M864">
        <f t="shared" ca="1" si="147"/>
        <v>1.6987870307788948</v>
      </c>
      <c r="O864" t="b">
        <f t="shared" ca="1" si="148"/>
        <v>0</v>
      </c>
    </row>
    <row r="865" spans="1:15" x14ac:dyDescent="0.45">
      <c r="A865" s="1">
        <v>43984</v>
      </c>
      <c r="B865">
        <v>58.770699999999998</v>
      </c>
      <c r="C865">
        <f t="shared" si="144"/>
        <v>-1.8415554178573795E-2</v>
      </c>
      <c r="D865">
        <f t="shared" ca="1" si="149"/>
        <v>8.384521999926179E-3</v>
      </c>
      <c r="E865">
        <f t="shared" ca="1" si="150"/>
        <v>5.1545272659795041E-2</v>
      </c>
      <c r="F865">
        <f t="shared" ca="1" si="151"/>
        <v>5.9958667523808615E-2</v>
      </c>
      <c r="G865">
        <f t="shared" ca="1" si="152"/>
        <v>4.007733713783999</v>
      </c>
      <c r="H865">
        <f t="shared" ca="1" si="153"/>
        <v>1.2743737250793901</v>
      </c>
      <c r="I865">
        <f t="shared" ca="1" si="154"/>
        <v>2.7850589515501163</v>
      </c>
      <c r="K865">
        <f t="shared" si="145"/>
        <v>0.98158444582142623</v>
      </c>
      <c r="L865" s="7">
        <f t="shared" ca="1" si="146"/>
        <v>1.0765579863458099</v>
      </c>
      <c r="M865">
        <f t="shared" ca="1" si="147"/>
        <v>1.6808847330004126</v>
      </c>
      <c r="O865" t="b">
        <f t="shared" ca="1" si="148"/>
        <v>0</v>
      </c>
    </row>
    <row r="866" spans="1:15" x14ac:dyDescent="0.45">
      <c r="A866" s="1">
        <v>43983</v>
      </c>
      <c r="B866">
        <v>59.8733</v>
      </c>
      <c r="C866">
        <f t="shared" si="144"/>
        <v>7.5567619420587206E-2</v>
      </c>
      <c r="D866">
        <f t="shared" ca="1" si="149"/>
        <v>8.3859998923929528E-3</v>
      </c>
      <c r="E866">
        <f t="shared" ca="1" si="150"/>
        <v>5.1544504625399369E-2</v>
      </c>
      <c r="F866">
        <f t="shared" ca="1" si="151"/>
        <v>5.9897809501822441E-2</v>
      </c>
      <c r="G866">
        <f t="shared" ca="1" si="152"/>
        <v>4.0081306856674921</v>
      </c>
      <c r="H866">
        <f t="shared" ca="1" si="153"/>
        <v>1.2743737250793901</v>
      </c>
      <c r="I866">
        <f t="shared" ca="1" si="154"/>
        <v>2.7850589515501163</v>
      </c>
      <c r="K866">
        <f t="shared" si="145"/>
        <v>1.0755676194205872</v>
      </c>
      <c r="L866" s="7">
        <f t="shared" ca="1" si="146"/>
        <v>1.0994258034069855</v>
      </c>
      <c r="M866">
        <f t="shared" ca="1" si="147"/>
        <v>1.6605417512175471</v>
      </c>
      <c r="O866" t="b">
        <f t="shared" ca="1" si="148"/>
        <v>0</v>
      </c>
    </row>
    <row r="867" spans="1:15" x14ac:dyDescent="0.45">
      <c r="A867" s="1">
        <v>43980</v>
      </c>
      <c r="B867">
        <v>55.666699999999999</v>
      </c>
      <c r="C867">
        <f t="shared" si="144"/>
        <v>3.6224397671660975E-2</v>
      </c>
      <c r="D867">
        <f t="shared" ca="1" si="149"/>
        <v>7.6809071724275079E-3</v>
      </c>
      <c r="E867">
        <f t="shared" ca="1" si="150"/>
        <v>5.1585390287018439E-2</v>
      </c>
      <c r="F867">
        <f t="shared" ca="1" si="151"/>
        <v>7.5080543606832681E-2</v>
      </c>
      <c r="G867">
        <f t="shared" ca="1" si="152"/>
        <v>3.9956672596240219</v>
      </c>
      <c r="H867">
        <f t="shared" ca="1" si="153"/>
        <v>1.2743737250793901</v>
      </c>
      <c r="I867">
        <f t="shared" ca="1" si="154"/>
        <v>2.7358269518877281</v>
      </c>
      <c r="K867">
        <f t="shared" si="145"/>
        <v>1.036224397671661</v>
      </c>
      <c r="L867" s="7">
        <f t="shared" ca="1" si="146"/>
        <v>1.0089427313573778</v>
      </c>
      <c r="M867">
        <f t="shared" ca="1" si="147"/>
        <v>1.6687462269759723</v>
      </c>
      <c r="O867" t="b">
        <f t="shared" ca="1" si="148"/>
        <v>0</v>
      </c>
    </row>
    <row r="868" spans="1:15" x14ac:dyDescent="0.45">
      <c r="A868" s="1">
        <v>43979</v>
      </c>
      <c r="B868">
        <v>53.720700000000001</v>
      </c>
      <c r="C868">
        <f t="shared" si="144"/>
        <v>-1.7579825170988651E-2</v>
      </c>
      <c r="D868">
        <f t="shared" ca="1" si="149"/>
        <v>7.6305876180293676E-3</v>
      </c>
      <c r="E868">
        <f t="shared" ca="1" si="150"/>
        <v>5.1562310615374002E-2</v>
      </c>
      <c r="F868">
        <f t="shared" ca="1" si="151"/>
        <v>7.7511274744631126E-2</v>
      </c>
      <c r="G868">
        <f t="shared" ca="1" si="152"/>
        <v>4.0081848405083758</v>
      </c>
      <c r="H868">
        <f t="shared" ca="1" si="153"/>
        <v>1.2743737250793901</v>
      </c>
      <c r="I868">
        <f t="shared" ca="1" si="154"/>
        <v>2.6578539674488937</v>
      </c>
      <c r="K868">
        <f t="shared" si="145"/>
        <v>0.98242017482901134</v>
      </c>
      <c r="L868" s="7">
        <f t="shared" ca="1" si="146"/>
        <v>0.98804503160709733</v>
      </c>
      <c r="M868">
        <f t="shared" ca="1" si="147"/>
        <v>1.6733178744326134</v>
      </c>
      <c r="O868" t="b">
        <f t="shared" ca="1" si="148"/>
        <v>1</v>
      </c>
    </row>
    <row r="869" spans="1:15" x14ac:dyDescent="0.45">
      <c r="A869" s="1">
        <v>43978</v>
      </c>
      <c r="B869">
        <v>54.682000000000002</v>
      </c>
      <c r="C869">
        <f t="shared" si="144"/>
        <v>1.6614368956226603E-3</v>
      </c>
      <c r="D869">
        <f t="shared" ca="1" si="149"/>
        <v>7.5908323299138112E-3</v>
      </c>
      <c r="E869">
        <f t="shared" ca="1" si="150"/>
        <v>5.1584906124439549E-2</v>
      </c>
      <c r="F869">
        <f t="shared" ca="1" si="151"/>
        <v>7.8988859827408248E-2</v>
      </c>
      <c r="G869">
        <f t="shared" ca="1" si="152"/>
        <v>3.9966675273097545</v>
      </c>
      <c r="H869">
        <f t="shared" ca="1" si="153"/>
        <v>1.2743737250793901</v>
      </c>
      <c r="I869">
        <f t="shared" ca="1" si="154"/>
        <v>2.6578539674488937</v>
      </c>
      <c r="K869">
        <f t="shared" si="145"/>
        <v>1.0016614368956227</v>
      </c>
      <c r="L869" s="7">
        <f t="shared" ca="1" si="146"/>
        <v>1.0151242033664212</v>
      </c>
      <c r="M869">
        <f t="shared" ca="1" si="147"/>
        <v>1.6725805404495797</v>
      </c>
      <c r="O869" t="b">
        <f t="shared" ca="1" si="148"/>
        <v>0</v>
      </c>
    </row>
    <row r="870" spans="1:15" x14ac:dyDescent="0.45">
      <c r="A870" s="1">
        <v>43977</v>
      </c>
      <c r="B870">
        <v>54.591299999999997</v>
      </c>
      <c r="C870">
        <f t="shared" si="144"/>
        <v>2.4348726649735765E-3</v>
      </c>
      <c r="D870">
        <f t="shared" ca="1" si="149"/>
        <v>7.5134736747086116E-3</v>
      </c>
      <c r="E870">
        <f t="shared" ca="1" si="150"/>
        <v>5.160543965744839E-2</v>
      </c>
      <c r="F870">
        <f t="shared" ca="1" si="151"/>
        <v>8.3082837837792287E-2</v>
      </c>
      <c r="G870">
        <f t="shared" ca="1" si="152"/>
        <v>3.9861123092112107</v>
      </c>
      <c r="H870">
        <f t="shared" ca="1" si="153"/>
        <v>1.2743737250793901</v>
      </c>
      <c r="I870">
        <f t="shared" ca="1" si="154"/>
        <v>2.5844339845816284</v>
      </c>
      <c r="K870">
        <f t="shared" si="145"/>
        <v>1.0024348726649737</v>
      </c>
      <c r="L870" s="7">
        <f t="shared" ca="1" si="146"/>
        <v>1.0064396593045979</v>
      </c>
      <c r="M870">
        <f t="shared" ca="1" si="147"/>
        <v>1.6638974342844297</v>
      </c>
      <c r="O870" t="b">
        <f t="shared" ca="1" si="148"/>
        <v>0</v>
      </c>
    </row>
    <row r="871" spans="1:15" x14ac:dyDescent="0.45">
      <c r="A871" s="1">
        <v>43973</v>
      </c>
      <c r="B871">
        <v>54.4587</v>
      </c>
      <c r="C871">
        <f t="shared" si="144"/>
        <v>-1.2951916959833783E-2</v>
      </c>
      <c r="D871">
        <f t="shared" ca="1" si="149"/>
        <v>7.6058535581369092E-3</v>
      </c>
      <c r="E871">
        <f t="shared" ca="1" si="150"/>
        <v>5.1612839240743925E-2</v>
      </c>
      <c r="F871">
        <f t="shared" ca="1" si="151"/>
        <v>7.7716889723320928E-2</v>
      </c>
      <c r="G871">
        <f t="shared" ca="1" si="152"/>
        <v>3.9815161270117709</v>
      </c>
      <c r="H871">
        <f t="shared" ca="1" si="153"/>
        <v>1.2743737250793901</v>
      </c>
      <c r="I871">
        <f t="shared" ca="1" si="154"/>
        <v>2.5844339845816284</v>
      </c>
      <c r="K871">
        <f t="shared" si="145"/>
        <v>0.98704808304016622</v>
      </c>
      <c r="L871" s="7">
        <f t="shared" ca="1" si="146"/>
        <v>1.0221611171590523</v>
      </c>
      <c r="M871">
        <f t="shared" ca="1" si="147"/>
        <v>1.6105795767042514</v>
      </c>
      <c r="O871" t="b">
        <f t="shared" ca="1" si="148"/>
        <v>0</v>
      </c>
    </row>
    <row r="872" spans="1:15" x14ac:dyDescent="0.45">
      <c r="A872" s="1">
        <v>43972</v>
      </c>
      <c r="B872">
        <v>55.173299999999998</v>
      </c>
      <c r="C872">
        <f t="shared" si="144"/>
        <v>1.4761627126375019E-2</v>
      </c>
      <c r="D872">
        <f t="shared" ca="1" si="149"/>
        <v>7.7284680895340109E-3</v>
      </c>
      <c r="E872">
        <f t="shared" ca="1" si="150"/>
        <v>5.1592880738277919E-2</v>
      </c>
      <c r="F872">
        <f t="shared" ca="1" si="151"/>
        <v>7.0928777821712752E-2</v>
      </c>
      <c r="G872">
        <f t="shared" ca="1" si="152"/>
        <v>3.9915430776749776</v>
      </c>
      <c r="H872">
        <f t="shared" ca="1" si="153"/>
        <v>1.2743737250793901</v>
      </c>
      <c r="I872">
        <f t="shared" ca="1" si="154"/>
        <v>2.6578539674488937</v>
      </c>
      <c r="K872">
        <f t="shared" si="145"/>
        <v>1.0147616271263751</v>
      </c>
      <c r="L872" s="7">
        <f t="shared" ca="1" si="146"/>
        <v>1.030211762421273</v>
      </c>
      <c r="M872">
        <f t="shared" ca="1" si="147"/>
        <v>1.60820898580161</v>
      </c>
      <c r="O872" t="b">
        <f t="shared" ca="1" si="148"/>
        <v>0</v>
      </c>
    </row>
    <row r="873" spans="1:15" x14ac:dyDescent="0.45">
      <c r="A873" s="1">
        <v>43971</v>
      </c>
      <c r="B873">
        <v>54.370699999999999</v>
      </c>
      <c r="C873">
        <f t="shared" si="144"/>
        <v>9.3451871543589367E-3</v>
      </c>
      <c r="D873">
        <f t="shared" ca="1" si="149"/>
        <v>7.707874856702818E-3</v>
      </c>
      <c r="E873">
        <f t="shared" ca="1" si="150"/>
        <v>5.1590881292392227E-2</v>
      </c>
      <c r="F873">
        <f t="shared" ca="1" si="151"/>
        <v>7.2134668444529149E-2</v>
      </c>
      <c r="G873">
        <f t="shared" ca="1" si="152"/>
        <v>3.9927488782925762</v>
      </c>
      <c r="H873">
        <f t="shared" ca="1" si="153"/>
        <v>1.2743737250793901</v>
      </c>
      <c r="I873">
        <f t="shared" ca="1" si="154"/>
        <v>2.6578539674488937</v>
      </c>
      <c r="K873">
        <f t="shared" si="145"/>
        <v>1.0093451871543588</v>
      </c>
      <c r="L873" s="7">
        <f t="shared" ca="1" si="146"/>
        <v>1.0311014266831278</v>
      </c>
      <c r="M873">
        <f t="shared" ca="1" si="147"/>
        <v>1.6244714478635163</v>
      </c>
      <c r="O873" t="b">
        <f t="shared" ca="1" si="148"/>
        <v>0</v>
      </c>
    </row>
    <row r="874" spans="1:15" x14ac:dyDescent="0.45">
      <c r="A874" s="1">
        <v>43970</v>
      </c>
      <c r="B874">
        <v>53.8673</v>
      </c>
      <c r="C874">
        <f t="shared" si="144"/>
        <v>-6.9079311234835948E-3</v>
      </c>
      <c r="D874">
        <f t="shared" ca="1" si="149"/>
        <v>7.532682010601823E-3</v>
      </c>
      <c r="E874">
        <f t="shared" ca="1" si="150"/>
        <v>5.164475738658842E-2</v>
      </c>
      <c r="F874">
        <f t="shared" ca="1" si="151"/>
        <v>8.0815466302185252E-2</v>
      </c>
      <c r="G874">
        <f t="shared" ca="1" si="152"/>
        <v>3.9653781693080061</v>
      </c>
      <c r="H874">
        <f t="shared" ca="1" si="153"/>
        <v>1.2743737250793901</v>
      </c>
      <c r="I874">
        <f t="shared" ca="1" si="154"/>
        <v>2.5844339845816284</v>
      </c>
      <c r="K874">
        <f t="shared" si="145"/>
        <v>0.99309206887651635</v>
      </c>
      <c r="L874" s="7">
        <f t="shared" ca="1" si="146"/>
        <v>0.99826911066757817</v>
      </c>
      <c r="M874">
        <f t="shared" ca="1" si="147"/>
        <v>1.6716944916487684</v>
      </c>
      <c r="O874" t="b">
        <f t="shared" ca="1" si="148"/>
        <v>1</v>
      </c>
    </row>
    <row r="875" spans="1:15" x14ac:dyDescent="0.45">
      <c r="A875" s="1">
        <v>43969</v>
      </c>
      <c r="B875">
        <v>54.241999999999997</v>
      </c>
      <c r="C875">
        <f t="shared" si="144"/>
        <v>1.8093772288749553E-2</v>
      </c>
      <c r="D875">
        <f t="shared" ca="1" si="149"/>
        <v>7.5777091582012786E-3</v>
      </c>
      <c r="E875">
        <f t="shared" ca="1" si="150"/>
        <v>5.1636028896645356E-2</v>
      </c>
      <c r="F875">
        <f t="shared" ca="1" si="151"/>
        <v>7.831910265189064E-2</v>
      </c>
      <c r="G875">
        <f t="shared" ca="1" si="152"/>
        <v>3.9698055166957067</v>
      </c>
      <c r="H875">
        <f t="shared" ca="1" si="153"/>
        <v>1.2743737250793901</v>
      </c>
      <c r="I875">
        <f t="shared" ca="1" si="154"/>
        <v>2.5844339845816284</v>
      </c>
      <c r="K875">
        <f t="shared" si="145"/>
        <v>1.0180937722887495</v>
      </c>
      <c r="L875" s="7">
        <f t="shared" ca="1" si="146"/>
        <v>1.0028842953814296</v>
      </c>
      <c r="M875">
        <f t="shared" ca="1" si="147"/>
        <v>1.6727414458758614</v>
      </c>
      <c r="O875" t="b">
        <f t="shared" ca="1" si="148"/>
        <v>0</v>
      </c>
    </row>
    <row r="876" spans="1:15" x14ac:dyDescent="0.45">
      <c r="A876" s="1">
        <v>43966</v>
      </c>
      <c r="B876">
        <v>53.277999999999999</v>
      </c>
      <c r="C876">
        <f t="shared" si="144"/>
        <v>-5.1778255373418477E-3</v>
      </c>
      <c r="D876">
        <f t="shared" ca="1" si="149"/>
        <v>7.3266609321216225E-3</v>
      </c>
      <c r="E876">
        <f t="shared" ca="1" si="150"/>
        <v>5.1706652488195295E-2</v>
      </c>
      <c r="F876">
        <f t="shared" ca="1" si="151"/>
        <v>9.0372564495316846E-2</v>
      </c>
      <c r="G876">
        <f t="shared" ca="1" si="152"/>
        <v>3.9349898254648155</v>
      </c>
      <c r="H876">
        <f t="shared" ca="1" si="153"/>
        <v>1.2743737250793901</v>
      </c>
      <c r="I876">
        <f t="shared" ca="1" si="154"/>
        <v>2.3587215999531335</v>
      </c>
      <c r="K876">
        <f t="shared" si="145"/>
        <v>0.99482217446265819</v>
      </c>
      <c r="L876" s="7">
        <f t="shared" ca="1" si="146"/>
        <v>0.97528739840374912</v>
      </c>
      <c r="M876">
        <f t="shared" ca="1" si="147"/>
        <v>1.6093694687497004</v>
      </c>
      <c r="O876" t="b">
        <f t="shared" ca="1" si="148"/>
        <v>1</v>
      </c>
    </row>
    <row r="877" spans="1:15" x14ac:dyDescent="0.45">
      <c r="A877" s="1">
        <v>43965</v>
      </c>
      <c r="B877">
        <v>53.555300000000003</v>
      </c>
      <c r="C877">
        <f t="shared" si="144"/>
        <v>1.5637949050553164E-2</v>
      </c>
      <c r="D877">
        <f t="shared" ca="1" si="149"/>
        <v>7.3391141096637545E-3</v>
      </c>
      <c r="E877">
        <f t="shared" ca="1" si="150"/>
        <v>5.170392559226003E-2</v>
      </c>
      <c r="F877">
        <f t="shared" ca="1" si="151"/>
        <v>8.9691925138922116E-2</v>
      </c>
      <c r="G877">
        <f t="shared" ca="1" si="152"/>
        <v>3.9363636628563414</v>
      </c>
      <c r="H877">
        <f t="shared" ca="1" si="153"/>
        <v>1.2743737250793901</v>
      </c>
      <c r="I877">
        <f t="shared" ca="1" si="154"/>
        <v>2.3587215999531335</v>
      </c>
      <c r="K877">
        <f t="shared" si="145"/>
        <v>1.0156379490505532</v>
      </c>
      <c r="L877" s="7">
        <f t="shared" ca="1" si="146"/>
        <v>1.0298561420849301</v>
      </c>
      <c r="M877">
        <f t="shared" ca="1" si="147"/>
        <v>1.6456549582376323</v>
      </c>
      <c r="O877" t="b">
        <f t="shared" ca="1" si="148"/>
        <v>0</v>
      </c>
    </row>
    <row r="878" spans="1:15" x14ac:dyDescent="0.45">
      <c r="A878" s="1">
        <v>43964</v>
      </c>
      <c r="B878">
        <v>52.730699999999999</v>
      </c>
      <c r="C878">
        <f t="shared" si="144"/>
        <v>-2.2794367011547367E-2</v>
      </c>
      <c r="D878">
        <f t="shared" ca="1" si="149"/>
        <v>7.3985691029273392E-3</v>
      </c>
      <c r="E878">
        <f t="shared" ca="1" si="150"/>
        <v>5.1720350676613298E-2</v>
      </c>
      <c r="F878">
        <f t="shared" ca="1" si="151"/>
        <v>8.6403996502432079E-2</v>
      </c>
      <c r="G878">
        <f t="shared" ca="1" si="152"/>
        <v>3.9272017839181865</v>
      </c>
      <c r="H878">
        <f t="shared" ca="1" si="153"/>
        <v>1.2743737250793901</v>
      </c>
      <c r="I878">
        <f t="shared" ca="1" si="154"/>
        <v>2.4279189918569544</v>
      </c>
      <c r="K878">
        <f t="shared" si="145"/>
        <v>0.97720563298845264</v>
      </c>
      <c r="L878" s="7">
        <f t="shared" ca="1" si="146"/>
        <v>1.0107088093230086</v>
      </c>
      <c r="M878">
        <f t="shared" ca="1" si="147"/>
        <v>1.6236919574070749</v>
      </c>
      <c r="O878" t="b">
        <f t="shared" ca="1" si="148"/>
        <v>0</v>
      </c>
    </row>
    <row r="879" spans="1:15" x14ac:dyDescent="0.45">
      <c r="A879" s="1">
        <v>43963</v>
      </c>
      <c r="B879">
        <v>53.960700000000003</v>
      </c>
      <c r="C879">
        <f t="shared" si="144"/>
        <v>-2.3166808416225223E-3</v>
      </c>
      <c r="D879">
        <f t="shared" ca="1" si="149"/>
        <v>7.6820174125586706E-3</v>
      </c>
      <c r="E879">
        <f t="shared" ca="1" si="150"/>
        <v>5.1709389651448709E-2</v>
      </c>
      <c r="F879">
        <f t="shared" ca="1" si="151"/>
        <v>7.1541385313596981E-2</v>
      </c>
      <c r="G879">
        <f t="shared" ca="1" si="152"/>
        <v>3.9310847796747934</v>
      </c>
      <c r="H879">
        <f t="shared" ca="1" si="153"/>
        <v>1.2743737250793901</v>
      </c>
      <c r="I879">
        <f t="shared" ca="1" si="154"/>
        <v>2.6687568992317554</v>
      </c>
      <c r="K879">
        <f t="shared" si="145"/>
        <v>0.99768331915837749</v>
      </c>
      <c r="L879" s="7">
        <f t="shared" ca="1" si="146"/>
        <v>1.0536318194243761</v>
      </c>
      <c r="M879">
        <f t="shared" ca="1" si="147"/>
        <v>1.6529646294792983</v>
      </c>
      <c r="O879" t="b">
        <f t="shared" ca="1" si="148"/>
        <v>0</v>
      </c>
    </row>
    <row r="880" spans="1:15" x14ac:dyDescent="0.45">
      <c r="A880" s="1">
        <v>43962</v>
      </c>
      <c r="B880">
        <v>54.085999999999999</v>
      </c>
      <c r="C880">
        <f t="shared" si="144"/>
        <v>-9.921651900124508E-3</v>
      </c>
      <c r="D880">
        <f t="shared" ca="1" si="149"/>
        <v>7.6765568893214717E-3</v>
      </c>
      <c r="E880">
        <f t="shared" ca="1" si="150"/>
        <v>5.171050847324303E-2</v>
      </c>
      <c r="F880">
        <f t="shared" ca="1" si="151"/>
        <v>7.1843350418270155E-2</v>
      </c>
      <c r="G880">
        <f t="shared" ca="1" si="152"/>
        <v>3.9305156009596782</v>
      </c>
      <c r="H880">
        <f t="shared" ca="1" si="153"/>
        <v>1.2743737250793901</v>
      </c>
      <c r="I880">
        <f t="shared" ca="1" si="154"/>
        <v>2.6687568992317554</v>
      </c>
      <c r="K880">
        <f t="shared" si="145"/>
        <v>0.99007834809987549</v>
      </c>
      <c r="L880" s="7">
        <f t="shared" ca="1" si="146"/>
        <v>1.0658179955070348</v>
      </c>
      <c r="M880">
        <f t="shared" ca="1" si="147"/>
        <v>1.6428747091430753</v>
      </c>
      <c r="O880" t="b">
        <f t="shared" ca="1" si="148"/>
        <v>0</v>
      </c>
    </row>
    <row r="881" spans="1:15" x14ac:dyDescent="0.45">
      <c r="A881" s="1">
        <v>43959</v>
      </c>
      <c r="B881">
        <v>54.628</v>
      </c>
      <c r="C881">
        <f t="shared" si="144"/>
        <v>5.0483917181223338E-2</v>
      </c>
      <c r="D881">
        <f t="shared" ca="1" si="149"/>
        <v>7.0454808402376588E-3</v>
      </c>
      <c r="E881">
        <f t="shared" ca="1" si="150"/>
        <v>5.2687297471173483E-2</v>
      </c>
      <c r="F881">
        <f t="shared" ca="1" si="151"/>
        <v>1.181594759930106E-3</v>
      </c>
      <c r="G881">
        <f t="shared" ca="1" si="152"/>
        <v>3.7139737474110248</v>
      </c>
      <c r="H881">
        <f t="shared" ca="1" si="153"/>
        <v>1.2682816922080444</v>
      </c>
      <c r="I881">
        <f t="shared" ca="1" si="154"/>
        <v>2.4356801453610775</v>
      </c>
      <c r="K881">
        <f t="shared" si="145"/>
        <v>1.0504839171812232</v>
      </c>
      <c r="L881" s="7">
        <f t="shared" ca="1" si="146"/>
        <v>1.1683959045828547</v>
      </c>
      <c r="M881">
        <f t="shared" ca="1" si="147"/>
        <v>1.7198078046350784</v>
      </c>
      <c r="O881" t="b">
        <f t="shared" ca="1" si="148"/>
        <v>0</v>
      </c>
    </row>
    <row r="882" spans="1:15" x14ac:dyDescent="0.45">
      <c r="A882" s="1">
        <v>43958</v>
      </c>
      <c r="B882">
        <v>52.002699999999997</v>
      </c>
      <c r="C882">
        <f t="shared" si="144"/>
        <v>-3.2450356513072107E-3</v>
      </c>
      <c r="D882">
        <f t="shared" ca="1" si="149"/>
        <v>6.8835788187748574E-3</v>
      </c>
      <c r="E882">
        <f t="shared" ca="1" si="150"/>
        <v>5.2602828301423168E-2</v>
      </c>
      <c r="F882">
        <f t="shared" ca="1" si="151"/>
        <v>7.702911377419748E-3</v>
      </c>
      <c r="G882">
        <f t="shared" ca="1" si="152"/>
        <v>3.7551373879314172</v>
      </c>
      <c r="H882">
        <f t="shared" ca="1" si="153"/>
        <v>1.2682816922080444</v>
      </c>
      <c r="I882">
        <f t="shared" ca="1" si="154"/>
        <v>2.4279189918569544</v>
      </c>
      <c r="K882">
        <f t="shared" si="145"/>
        <v>0.99675496434869282</v>
      </c>
      <c r="L882" s="7">
        <f t="shared" ca="1" si="146"/>
        <v>0.99764797516752868</v>
      </c>
      <c r="M882">
        <f t="shared" ca="1" si="147"/>
        <v>1.7670273152246536</v>
      </c>
      <c r="O882" t="b">
        <f t="shared" ca="1" si="148"/>
        <v>1</v>
      </c>
    </row>
    <row r="883" spans="1:15" x14ac:dyDescent="0.45">
      <c r="A883" s="1">
        <v>43957</v>
      </c>
      <c r="B883">
        <v>52.171999999999997</v>
      </c>
      <c r="C883">
        <f t="shared" si="144"/>
        <v>1.8705822626625502E-2</v>
      </c>
      <c r="D883">
        <f t="shared" ca="1" si="149"/>
        <v>6.9876287933095457E-3</v>
      </c>
      <c r="E883">
        <f t="shared" ca="1" si="150"/>
        <v>5.2603274316472902E-2</v>
      </c>
      <c r="F883">
        <f t="shared" ca="1" si="151"/>
        <v>1.7874593243983881E-3</v>
      </c>
      <c r="G883">
        <f t="shared" ca="1" si="152"/>
        <v>3.7548697981632522</v>
      </c>
      <c r="H883">
        <f t="shared" ca="1" si="153"/>
        <v>1.2682816922080444</v>
      </c>
      <c r="I883">
        <f t="shared" ca="1" si="154"/>
        <v>2.4279189918569544</v>
      </c>
      <c r="K883">
        <f t="shared" si="145"/>
        <v>1.0187058226266255</v>
      </c>
      <c r="L883" s="7">
        <f t="shared" ca="1" si="146"/>
        <v>0.97760238947820088</v>
      </c>
      <c r="M883">
        <f t="shared" ca="1" si="147"/>
        <v>1.7985817372402164</v>
      </c>
      <c r="O883" t="b">
        <f t="shared" ca="1" si="148"/>
        <v>1</v>
      </c>
    </row>
    <row r="884" spans="1:15" x14ac:dyDescent="0.45">
      <c r="A884" s="1">
        <v>43956</v>
      </c>
      <c r="B884">
        <v>51.213999999999999</v>
      </c>
      <c r="C884">
        <f t="shared" si="144"/>
        <v>9.2224017656563351E-3</v>
      </c>
      <c r="D884">
        <f t="shared" ca="1" si="149"/>
        <v>6.8456741630953145E-3</v>
      </c>
      <c r="E884">
        <f t="shared" ca="1" si="150"/>
        <v>5.2609800136171447E-2</v>
      </c>
      <c r="F884">
        <f t="shared" ca="1" si="151"/>
        <v>9.7456925621906467E-3</v>
      </c>
      <c r="G884">
        <f t="shared" ca="1" si="152"/>
        <v>3.7515979656770142</v>
      </c>
      <c r="H884">
        <f t="shared" ca="1" si="153"/>
        <v>1.2682816922080444</v>
      </c>
      <c r="I884">
        <f t="shared" ca="1" si="154"/>
        <v>2.4279189918569544</v>
      </c>
      <c r="K884">
        <f t="shared" si="145"/>
        <v>1.0092224017656564</v>
      </c>
      <c r="L884" s="7">
        <f t="shared" ca="1" si="146"/>
        <v>0.99881618029944597</v>
      </c>
      <c r="M884">
        <f t="shared" ca="1" si="147"/>
        <v>1.8068323032197795</v>
      </c>
      <c r="O884" t="b">
        <f t="shared" ca="1" si="148"/>
        <v>1</v>
      </c>
    </row>
    <row r="885" spans="1:15" x14ac:dyDescent="0.45">
      <c r="A885" s="1">
        <v>43955</v>
      </c>
      <c r="B885">
        <v>50.746000000000002</v>
      </c>
      <c r="C885">
        <f t="shared" si="144"/>
        <v>8.5366818736939867E-2</v>
      </c>
      <c r="D885">
        <f t="shared" ca="1" si="149"/>
        <v>6.891056412580792E-3</v>
      </c>
      <c r="E885">
        <f t="shared" ca="1" si="150"/>
        <v>5.2615775073681349E-2</v>
      </c>
      <c r="F885">
        <f t="shared" ca="1" si="151"/>
        <v>7.1805551465629379E-3</v>
      </c>
      <c r="G885">
        <f t="shared" ca="1" si="152"/>
        <v>3.7484926444404181</v>
      </c>
      <c r="H885">
        <f t="shared" ca="1" si="153"/>
        <v>1.2682816922080444</v>
      </c>
      <c r="I885">
        <f t="shared" ca="1" si="154"/>
        <v>2.4279189918569544</v>
      </c>
      <c r="K885">
        <f t="shared" si="145"/>
        <v>1.0853668187369399</v>
      </c>
      <c r="L885" s="7">
        <f t="shared" ca="1" si="146"/>
        <v>0.95297652582159642</v>
      </c>
      <c r="M885">
        <f t="shared" ca="1" si="147"/>
        <v>1.7946852526896779</v>
      </c>
      <c r="O885" t="b">
        <f t="shared" ca="1" si="148"/>
        <v>1</v>
      </c>
    </row>
    <row r="886" spans="1:15" x14ac:dyDescent="0.45">
      <c r="A886" s="1">
        <v>43952</v>
      </c>
      <c r="B886">
        <v>46.7547</v>
      </c>
      <c r="C886">
        <f t="shared" si="144"/>
        <v>-0.10303250053237109</v>
      </c>
      <c r="D886">
        <f t="shared" ca="1" si="149"/>
        <v>6.4383257990352303E-3</v>
      </c>
      <c r="E886">
        <f t="shared" ca="1" si="150"/>
        <v>5.232589186144259E-2</v>
      </c>
      <c r="F886">
        <f t="shared" ca="1" si="151"/>
        <v>1.6334947131801218E-2</v>
      </c>
      <c r="G886">
        <f t="shared" ca="1" si="152"/>
        <v>3.874235543247754</v>
      </c>
      <c r="H886">
        <f t="shared" ca="1" si="153"/>
        <v>1.2682816922080444</v>
      </c>
      <c r="I886">
        <f t="shared" ca="1" si="154"/>
        <v>2.3587215999531335</v>
      </c>
      <c r="K886">
        <f t="shared" si="145"/>
        <v>0.89696749946762888</v>
      </c>
      <c r="L886" s="7">
        <f t="shared" ca="1" si="146"/>
        <v>0.96713918991876846</v>
      </c>
      <c r="M886">
        <f t="shared" ca="1" si="147"/>
        <v>1.8140939724268015</v>
      </c>
      <c r="O886" t="b">
        <f t="shared" ca="1" si="148"/>
        <v>1</v>
      </c>
    </row>
    <row r="887" spans="1:15" x14ac:dyDescent="0.45">
      <c r="A887" s="1">
        <v>43951</v>
      </c>
      <c r="B887">
        <v>52.125300000000003</v>
      </c>
      <c r="C887">
        <f t="shared" si="144"/>
        <v>-2.3272678213063006E-2</v>
      </c>
      <c r="D887">
        <f t="shared" ca="1" si="149"/>
        <v>7.0026404713463622E-3</v>
      </c>
      <c r="E887">
        <f t="shared" ca="1" si="150"/>
        <v>5.1744722607611572E-2</v>
      </c>
      <c r="F887">
        <f t="shared" ca="1" si="151"/>
        <v>3.1906716455688919E-2</v>
      </c>
      <c r="G887">
        <f t="shared" ca="1" si="152"/>
        <v>4.0844980198970253</v>
      </c>
      <c r="H887">
        <f t="shared" ca="1" si="153"/>
        <v>1.2743737250793901</v>
      </c>
      <c r="I887">
        <f t="shared" ca="1" si="154"/>
        <v>2.5844339845816284</v>
      </c>
      <c r="K887">
        <f t="shared" si="145"/>
        <v>0.976727321786937</v>
      </c>
      <c r="L887" s="7">
        <f t="shared" ca="1" si="146"/>
        <v>1.1080587560052721</v>
      </c>
      <c r="M887">
        <f t="shared" ca="1" si="147"/>
        <v>1.8003271149056155</v>
      </c>
      <c r="O887" t="b">
        <f t="shared" ca="1" si="148"/>
        <v>0</v>
      </c>
    </row>
    <row r="888" spans="1:15" x14ac:dyDescent="0.45">
      <c r="A888" s="1">
        <v>43950</v>
      </c>
      <c r="B888">
        <v>53.3673</v>
      </c>
      <c r="C888">
        <f t="shared" si="144"/>
        <v>4.0811550335740576E-2</v>
      </c>
      <c r="D888">
        <f t="shared" ca="1" si="149"/>
        <v>7.0969032706957001E-3</v>
      </c>
      <c r="E888">
        <f t="shared" ca="1" si="150"/>
        <v>5.1706450839855249E-2</v>
      </c>
      <c r="F888">
        <f t="shared" ca="1" si="151"/>
        <v>2.7417459134768733E-2</v>
      </c>
      <c r="G888">
        <f t="shared" ca="1" si="152"/>
        <v>4.1048110732965819</v>
      </c>
      <c r="H888">
        <f t="shared" ca="1" si="153"/>
        <v>1.2743737250793901</v>
      </c>
      <c r="I888">
        <f t="shared" ca="1" si="154"/>
        <v>2.6924874348663357</v>
      </c>
      <c r="K888">
        <f t="shared" si="145"/>
        <v>1.0408115503357407</v>
      </c>
      <c r="L888" s="7">
        <f t="shared" ca="1" si="146"/>
        <v>1.0934286469442074</v>
      </c>
      <c r="M888">
        <f t="shared" ca="1" si="147"/>
        <v>1.7775843930952724</v>
      </c>
      <c r="O888" t="b">
        <f t="shared" ca="1" si="148"/>
        <v>0</v>
      </c>
    </row>
    <row r="889" spans="1:15" x14ac:dyDescent="0.45">
      <c r="A889" s="1">
        <v>43949</v>
      </c>
      <c r="B889">
        <v>51.274700000000003</v>
      </c>
      <c r="C889">
        <f t="shared" si="144"/>
        <v>-3.7094835680751122E-2</v>
      </c>
      <c r="D889">
        <f t="shared" ca="1" si="149"/>
        <v>7.0646156108847705E-3</v>
      </c>
      <c r="E889">
        <f t="shared" ca="1" si="150"/>
        <v>5.1687304849131047E-2</v>
      </c>
      <c r="F889">
        <f t="shared" ca="1" si="151"/>
        <v>2.8676583859745405E-2</v>
      </c>
      <c r="G889">
        <f t="shared" ca="1" si="152"/>
        <v>4.1149455087340545</v>
      </c>
      <c r="H889">
        <f t="shared" ca="1" si="153"/>
        <v>1.2743737250793901</v>
      </c>
      <c r="I889">
        <f t="shared" ca="1" si="154"/>
        <v>2.6924874348663357</v>
      </c>
      <c r="K889">
        <f t="shared" si="145"/>
        <v>0.96290516431924889</v>
      </c>
      <c r="L889" s="7">
        <f t="shared" ca="1" si="146"/>
        <v>1.1199922238992777</v>
      </c>
      <c r="M889">
        <f t="shared" ca="1" si="147"/>
        <v>1.8112143952065831</v>
      </c>
      <c r="O889" t="b">
        <f t="shared" ca="1" si="148"/>
        <v>0</v>
      </c>
    </row>
    <row r="890" spans="1:15" x14ac:dyDescent="0.45">
      <c r="A890" s="1">
        <v>43948</v>
      </c>
      <c r="B890">
        <v>53.25</v>
      </c>
      <c r="C890">
        <f t="shared" si="144"/>
        <v>0.10149700165276265</v>
      </c>
      <c r="D890">
        <f t="shared" ca="1" si="149"/>
        <v>7.3858816254330426E-3</v>
      </c>
      <c r="E890">
        <f t="shared" ca="1" si="150"/>
        <v>5.1611078354605551E-2</v>
      </c>
      <c r="F890">
        <f t="shared" ca="1" si="151"/>
        <v>1.3419723351879461E-2</v>
      </c>
      <c r="G890">
        <f t="shared" ca="1" si="152"/>
        <v>4.1541058965514832</v>
      </c>
      <c r="H890">
        <f t="shared" ca="1" si="153"/>
        <v>1.2743737250793901</v>
      </c>
      <c r="I890">
        <f t="shared" ca="1" si="154"/>
        <v>2.7998322001104943</v>
      </c>
      <c r="K890">
        <f t="shared" si="145"/>
        <v>1.1014970016527625</v>
      </c>
      <c r="L890" s="7">
        <f t="shared" ca="1" si="146"/>
        <v>1.0701947251961019</v>
      </c>
      <c r="M890">
        <f t="shared" ca="1" si="147"/>
        <v>1.9753518169074074</v>
      </c>
      <c r="O890" t="b">
        <f t="shared" ca="1" si="148"/>
        <v>0</v>
      </c>
    </row>
    <row r="891" spans="1:15" x14ac:dyDescent="0.45">
      <c r="A891" s="1">
        <v>43945</v>
      </c>
      <c r="B891">
        <v>48.343299999999999</v>
      </c>
      <c r="C891">
        <f t="shared" si="144"/>
        <v>2.7662514348879674E-2</v>
      </c>
      <c r="D891">
        <f t="shared" ca="1" si="149"/>
        <v>6.8717102786458768E-3</v>
      </c>
      <c r="E891">
        <f t="shared" ca="1" si="150"/>
        <v>5.1179224661955652E-2</v>
      </c>
      <c r="F891">
        <f t="shared" ca="1" si="151"/>
        <v>1.26209037312055E-2</v>
      </c>
      <c r="G891">
        <f t="shared" ca="1" si="152"/>
        <v>4.3408937971174186</v>
      </c>
      <c r="H891">
        <f t="shared" ca="1" si="153"/>
        <v>1.216654675229875</v>
      </c>
      <c r="I891">
        <f t="shared" ca="1" si="154"/>
        <v>2.7222189552594545</v>
      </c>
      <c r="K891">
        <f t="shared" si="145"/>
        <v>1.0276625143488798</v>
      </c>
      <c r="L891" s="7">
        <f t="shared" ca="1" si="146"/>
        <v>0.96187770223620306</v>
      </c>
      <c r="M891">
        <f t="shared" ca="1" si="147"/>
        <v>1.9887787453514965</v>
      </c>
      <c r="O891" t="b">
        <f t="shared" ca="1" si="148"/>
        <v>1</v>
      </c>
    </row>
    <row r="892" spans="1:15" x14ac:dyDescent="0.45">
      <c r="A892" s="1">
        <v>43944</v>
      </c>
      <c r="B892">
        <v>47.042000000000002</v>
      </c>
      <c r="C892">
        <f t="shared" si="144"/>
        <v>-3.6168769835659753E-2</v>
      </c>
      <c r="D892">
        <f t="shared" ca="1" si="149"/>
        <v>6.9259674551622567E-3</v>
      </c>
      <c r="E892">
        <f t="shared" ca="1" si="150"/>
        <v>5.1207121019264092E-2</v>
      </c>
      <c r="F892">
        <f t="shared" ca="1" si="151"/>
        <v>1.0247388265349168E-2</v>
      </c>
      <c r="G892">
        <f t="shared" ca="1" si="152"/>
        <v>4.3253737666401308</v>
      </c>
      <c r="H892">
        <f t="shared" ca="1" si="153"/>
        <v>1.216654675229875</v>
      </c>
      <c r="I892">
        <f t="shared" ca="1" si="154"/>
        <v>2.7222189552594545</v>
      </c>
      <c r="K892">
        <f t="shared" si="145"/>
        <v>0.96383123016434025</v>
      </c>
      <c r="L892" s="7">
        <f t="shared" ca="1" si="146"/>
        <v>0.94688681922758733</v>
      </c>
      <c r="M892">
        <f t="shared" ca="1" si="147"/>
        <v>1.9885074402505221</v>
      </c>
      <c r="O892" t="b">
        <f t="shared" ca="1" si="148"/>
        <v>1</v>
      </c>
    </row>
    <row r="893" spans="1:15" x14ac:dyDescent="0.45">
      <c r="A893" s="1">
        <v>43943</v>
      </c>
      <c r="B893">
        <v>48.807299999999998</v>
      </c>
      <c r="C893">
        <f t="shared" si="144"/>
        <v>6.6096856139952254E-2</v>
      </c>
      <c r="D893">
        <f t="shared" ca="1" si="149"/>
        <v>7.1007224791256552E-3</v>
      </c>
      <c r="E893">
        <f t="shared" ca="1" si="150"/>
        <v>5.1118874932885125E-2</v>
      </c>
      <c r="F893">
        <f t="shared" ca="1" si="151"/>
        <v>2.9617594153528034E-3</v>
      </c>
      <c r="G893">
        <f t="shared" ca="1" si="152"/>
        <v>4.3736785319459797</v>
      </c>
      <c r="H893">
        <f t="shared" ca="1" si="153"/>
        <v>1.216654675229875</v>
      </c>
      <c r="I893">
        <f t="shared" ca="1" si="154"/>
        <v>2.7316496282452025</v>
      </c>
      <c r="K893">
        <f t="shared" si="145"/>
        <v>1.0660968561399522</v>
      </c>
      <c r="L893" s="7">
        <f t="shared" ca="1" si="146"/>
        <v>1.0031240173218539</v>
      </c>
      <c r="M893">
        <f t="shared" ca="1" si="147"/>
        <v>1.9937651082289292</v>
      </c>
      <c r="O893" t="b">
        <f t="shared" ca="1" si="148"/>
        <v>0</v>
      </c>
    </row>
    <row r="894" spans="1:15" x14ac:dyDescent="0.45">
      <c r="A894" s="1">
        <v>43942</v>
      </c>
      <c r="B894">
        <v>45.781300000000002</v>
      </c>
      <c r="C894">
        <f t="shared" si="144"/>
        <v>-7.9907872814642247E-2</v>
      </c>
      <c r="D894">
        <f t="shared" ca="1" si="149"/>
        <v>6.7110361392238331E-3</v>
      </c>
      <c r="E894">
        <f t="shared" ca="1" si="150"/>
        <v>5.0963707019468077E-2</v>
      </c>
      <c r="F894">
        <f t="shared" ca="1" si="151"/>
        <v>1.8025451212453962E-2</v>
      </c>
      <c r="G894">
        <f t="shared" ca="1" si="152"/>
        <v>4.4554507725439301</v>
      </c>
      <c r="H894">
        <f t="shared" ca="1" si="153"/>
        <v>1.216654675229875</v>
      </c>
      <c r="I894">
        <f t="shared" ca="1" si="154"/>
        <v>2.5975839504543896</v>
      </c>
      <c r="K894">
        <f t="shared" si="145"/>
        <v>0.92009212718535771</v>
      </c>
      <c r="L894" s="7">
        <f t="shared" ca="1" si="146"/>
        <v>0.96736043612390665</v>
      </c>
      <c r="M894">
        <f t="shared" ca="1" si="147"/>
        <v>1.9678338879799941</v>
      </c>
      <c r="O894" t="b">
        <f t="shared" ca="1" si="148"/>
        <v>1</v>
      </c>
    </row>
    <row r="895" spans="1:15" x14ac:dyDescent="0.45">
      <c r="A895" s="1">
        <v>43941</v>
      </c>
      <c r="B895">
        <v>49.757300000000001</v>
      </c>
      <c r="C895">
        <f t="shared" si="144"/>
        <v>-9.9882011886357827E-3</v>
      </c>
      <c r="D895">
        <f t="shared" ca="1" si="149"/>
        <v>7.0722613270518334E-3</v>
      </c>
      <c r="E895">
        <f t="shared" ca="1" si="150"/>
        <v>5.0601421279378445E-2</v>
      </c>
      <c r="F895">
        <f t="shared" ca="1" si="151"/>
        <v>2.2126641272830778E-2</v>
      </c>
      <c r="G895">
        <f t="shared" ca="1" si="152"/>
        <v>4.6271980625466531</v>
      </c>
      <c r="H895">
        <f t="shared" ca="1" si="153"/>
        <v>1.3771152774762871</v>
      </c>
      <c r="I895">
        <f t="shared" ca="1" si="154"/>
        <v>2.6065828462788545</v>
      </c>
      <c r="K895">
        <f t="shared" si="145"/>
        <v>0.99001179881136425</v>
      </c>
      <c r="L895" s="7">
        <f t="shared" ca="1" si="146"/>
        <v>1.146568748314964</v>
      </c>
      <c r="M895">
        <f t="shared" ca="1" si="147"/>
        <v>1.7868450294469986</v>
      </c>
      <c r="O895" t="b">
        <f t="shared" ca="1" si="148"/>
        <v>0</v>
      </c>
    </row>
    <row r="896" spans="1:15" x14ac:dyDescent="0.45">
      <c r="A896" s="1">
        <v>43938</v>
      </c>
      <c r="B896">
        <v>50.259300000000003</v>
      </c>
      <c r="C896">
        <f t="shared" si="144"/>
        <v>1.1646373742721048E-2</v>
      </c>
      <c r="D896">
        <f t="shared" ca="1" si="149"/>
        <v>7.3526632548386976E-3</v>
      </c>
      <c r="E896">
        <f t="shared" ca="1" si="150"/>
        <v>5.0661753150682762E-2</v>
      </c>
      <c r="F896">
        <f t="shared" ca="1" si="151"/>
        <v>7.7884341458984352E-3</v>
      </c>
      <c r="G896">
        <f t="shared" ca="1" si="152"/>
        <v>4.592103653459767</v>
      </c>
      <c r="H896">
        <f t="shared" ca="1" si="153"/>
        <v>1.3771152774762871</v>
      </c>
      <c r="I896">
        <f t="shared" ca="1" si="154"/>
        <v>2.7840401500164584</v>
      </c>
      <c r="K896">
        <f t="shared" si="145"/>
        <v>1.011646373742721</v>
      </c>
      <c r="L896" s="7">
        <f t="shared" ca="1" si="146"/>
        <v>1.3156884816753924</v>
      </c>
      <c r="M896">
        <f t="shared" ca="1" si="147"/>
        <v>1.8623412810488427</v>
      </c>
      <c r="O896" t="b">
        <f t="shared" ca="1" si="148"/>
        <v>0</v>
      </c>
    </row>
    <row r="897" spans="1:15" x14ac:dyDescent="0.45">
      <c r="A897" s="1">
        <v>43937</v>
      </c>
      <c r="B897">
        <v>49.680700000000002</v>
      </c>
      <c r="C897">
        <f t="shared" si="144"/>
        <v>2.1074785275191084E-2</v>
      </c>
      <c r="D897">
        <f t="shared" ca="1" si="149"/>
        <v>7.2367544430360954E-3</v>
      </c>
      <c r="E897">
        <f t="shared" ca="1" si="150"/>
        <v>5.0678396218426895E-2</v>
      </c>
      <c r="F897">
        <f t="shared" ca="1" si="151"/>
        <v>1.4445641726316598E-2</v>
      </c>
      <c r="G897">
        <f t="shared" ca="1" si="152"/>
        <v>4.5822774813343843</v>
      </c>
      <c r="H897">
        <f t="shared" ca="1" si="153"/>
        <v>1.3771152774762871</v>
      </c>
      <c r="I897">
        <f t="shared" ca="1" si="154"/>
        <v>2.7316496282452025</v>
      </c>
      <c r="K897">
        <f t="shared" si="145"/>
        <v>1.0210747852751911</v>
      </c>
      <c r="L897" s="7">
        <f t="shared" ca="1" si="146"/>
        <v>1.3577931253125914</v>
      </c>
      <c r="M897">
        <f t="shared" ca="1" si="147"/>
        <v>1.8900222786826553</v>
      </c>
      <c r="O897" t="b">
        <f t="shared" ca="1" si="148"/>
        <v>0</v>
      </c>
    </row>
    <row r="898" spans="1:15" x14ac:dyDescent="0.45">
      <c r="A898" s="1">
        <v>43936</v>
      </c>
      <c r="B898">
        <v>48.655299999999997</v>
      </c>
      <c r="C898">
        <f t="shared" si="144"/>
        <v>2.8088154502810218E-2</v>
      </c>
      <c r="D898">
        <f t="shared" ca="1" si="149"/>
        <v>7.2144156975318422E-3</v>
      </c>
      <c r="E898">
        <f t="shared" ca="1" si="150"/>
        <v>5.0673250259950321E-2</v>
      </c>
      <c r="F898">
        <f t="shared" ca="1" si="151"/>
        <v>1.5714642789673359E-2</v>
      </c>
      <c r="G898">
        <f t="shared" ca="1" si="152"/>
        <v>4.5853808419014479</v>
      </c>
      <c r="H898">
        <f t="shared" ca="1" si="153"/>
        <v>1.3771152774762871</v>
      </c>
      <c r="I898">
        <f t="shared" ca="1" si="154"/>
        <v>2.7316496282452025</v>
      </c>
      <c r="K898">
        <f t="shared" si="145"/>
        <v>1.0280881545028102</v>
      </c>
      <c r="L898" s="7">
        <f t="shared" ca="1" si="146"/>
        <v>1.3380331268064227</v>
      </c>
      <c r="M898">
        <f t="shared" ca="1" si="147"/>
        <v>1.8880721336279263</v>
      </c>
      <c r="O898" t="b">
        <f t="shared" ca="1" si="148"/>
        <v>0</v>
      </c>
    </row>
    <row r="899" spans="1:15" x14ac:dyDescent="0.45">
      <c r="A899" s="1">
        <v>43935</v>
      </c>
      <c r="B899">
        <v>47.326000000000001</v>
      </c>
      <c r="C899">
        <f t="shared" ref="C899:C962" si="155">(B899-B900)/B900</f>
        <v>9.0543751022543126E-2</v>
      </c>
      <c r="D899">
        <f t="shared" ca="1" si="149"/>
        <v>7.0878750327183814E-3</v>
      </c>
      <c r="E899">
        <f t="shared" ca="1" si="150"/>
        <v>5.0652457983856612E-2</v>
      </c>
      <c r="F899">
        <f t="shared" ca="1" si="151"/>
        <v>2.2945726415122596E-2</v>
      </c>
      <c r="G899">
        <f t="shared" ca="1" si="152"/>
        <v>4.5979648581877246</v>
      </c>
      <c r="H899">
        <f t="shared" ca="1" si="153"/>
        <v>1.3771152774762871</v>
      </c>
      <c r="I899">
        <f t="shared" ca="1" si="154"/>
        <v>2.6065828462788545</v>
      </c>
      <c r="K899">
        <f t="shared" ref="K899:K962" si="156">C899+1</f>
        <v>1.0905437510225431</v>
      </c>
      <c r="L899" s="7">
        <f t="shared" ref="L899:L962" ca="1" si="157">PRODUCT(OFFSET(K899,0,0,$J$6,1))</f>
        <v>1.3751162250116227</v>
      </c>
      <c r="M899">
        <f t="shared" ref="M899:M962" ca="1" si="158">OFFSET(D899,$J$6,0)*V$2 + OFFSET(E899,$J$6,0)*U$2 + OFFSET(F899,$J$6,0)*T$2 + OFFSET(G899,$J$6,0)*S$2 + OFFSET(H899,$J$6,0)*R$2 + OFFSET(I899,$J$6,0)*Q$2 + W$2</f>
        <v>1.8469177369768848</v>
      </c>
      <c r="O899" t="b">
        <f t="shared" ref="O899:O962" ca="1" si="159">OR(AND(L899&gt;1, N899&gt;1), AND(L899&lt;1, N899&lt;1))</f>
        <v>0</v>
      </c>
    </row>
    <row r="900" spans="1:15" x14ac:dyDescent="0.45">
      <c r="A900" s="1">
        <v>43934</v>
      </c>
      <c r="B900">
        <v>43.396700000000003</v>
      </c>
      <c r="C900">
        <f t="shared" si="155"/>
        <v>0.13603926701570679</v>
      </c>
      <c r="D900">
        <f t="shared" ref="D900:D963" ca="1" si="160">AVERAGE(OFFSET(C900,0,0,$J$3,1))</f>
        <v>6.7165627627609513E-3</v>
      </c>
      <c r="E900">
        <f t="shared" ref="E900:E963" ca="1" si="161">STDEV(OFFSET(C900,0,0,$J$3,1))</f>
        <v>5.0308629871597045E-2</v>
      </c>
      <c r="F900">
        <f t="shared" ref="F900:F963" ca="1" si="162">SKEW(OFFSET(C900,0,0,$J$3,1))</f>
        <v>2.2644964575802826E-2</v>
      </c>
      <c r="G900">
        <f t="shared" ref="G900:G963" ca="1" si="163">KURT(OFFSET(C900,0,0,$J$3,1))</f>
        <v>4.7702090235281993</v>
      </c>
      <c r="H900">
        <f t="shared" ref="H900:H963" ca="1" si="164">PERCENTILE(OFFSET(C900,0,0,$J$3,1), 0.95)/ABS(PERCENTILE(OFFSET(C900,0,0,$J$3,1), 0.05))</f>
        <v>1.1599355586014757</v>
      </c>
      <c r="I900">
        <f t="shared" ref="I900:I963" ca="1" si="165">PERCENTILE(OFFSET(C900,0,0,$J$3,1), 0.75)/ABS(PERCENTILE(OFFSET(C900,0,0,$J$3,1), 0.25))</f>
        <v>2.5715836480704639</v>
      </c>
      <c r="K900">
        <f t="shared" si="156"/>
        <v>1.1360392670157067</v>
      </c>
      <c r="L900" s="7">
        <f t="shared" ca="1" si="157"/>
        <v>1.3561172099360326</v>
      </c>
      <c r="M900">
        <f t="shared" ca="1" si="158"/>
        <v>1.8543547005256658</v>
      </c>
      <c r="O900" t="b">
        <f t="shared" ca="1" si="159"/>
        <v>0</v>
      </c>
    </row>
    <row r="901" spans="1:15" x14ac:dyDescent="0.45">
      <c r="A901" s="1">
        <v>43930</v>
      </c>
      <c r="B901">
        <v>38.200000000000003</v>
      </c>
      <c r="C901">
        <f t="shared" si="155"/>
        <v>4.402106626800735E-2</v>
      </c>
      <c r="D901">
        <f t="shared" ca="1" si="160"/>
        <v>6.0252065513625155E-3</v>
      </c>
      <c r="E901">
        <f t="shared" ca="1" si="161"/>
        <v>4.9465525759151419E-2</v>
      </c>
      <c r="F901">
        <f t="shared" ca="1" si="162"/>
        <v>-2.4555818684062206E-2</v>
      </c>
      <c r="G901">
        <f t="shared" ca="1" si="163"/>
        <v>5.0723027301449024</v>
      </c>
      <c r="H901">
        <f t="shared" ca="1" si="164"/>
        <v>1.1089194836697216</v>
      </c>
      <c r="I901">
        <f t="shared" ca="1" si="165"/>
        <v>2.5507274877334605</v>
      </c>
      <c r="K901">
        <f t="shared" si="156"/>
        <v>1.0440210662680074</v>
      </c>
      <c r="L901" s="7">
        <f t="shared" ca="1" si="157"/>
        <v>1.2608092943428615</v>
      </c>
      <c r="M901">
        <f t="shared" ca="1" si="158"/>
        <v>1.9032151382588181</v>
      </c>
      <c r="O901" t="b">
        <f t="shared" ca="1" si="159"/>
        <v>0</v>
      </c>
    </row>
    <row r="902" spans="1:15" x14ac:dyDescent="0.45">
      <c r="A902" s="1">
        <v>43929</v>
      </c>
      <c r="B902">
        <v>36.589300000000001</v>
      </c>
      <c r="C902">
        <f t="shared" si="155"/>
        <v>6.2150574892817501E-3</v>
      </c>
      <c r="D902">
        <f t="shared" ca="1" si="160"/>
        <v>5.7183768265231224E-3</v>
      </c>
      <c r="E902">
        <f t="shared" ca="1" si="161"/>
        <v>4.9418958384819266E-2</v>
      </c>
      <c r="F902">
        <f t="shared" ca="1" si="162"/>
        <v>-8.6544359310095822E-3</v>
      </c>
      <c r="G902">
        <f t="shared" ca="1" si="163"/>
        <v>5.1009361564328168</v>
      </c>
      <c r="H902">
        <f t="shared" ca="1" si="164"/>
        <v>1.1089194836697216</v>
      </c>
      <c r="I902">
        <f t="shared" ca="1" si="165"/>
        <v>2.4567458553455817</v>
      </c>
      <c r="K902">
        <f t="shared" si="156"/>
        <v>1.0062150574892819</v>
      </c>
      <c r="L902" s="7">
        <f t="shared" ca="1" si="157"/>
        <v>1.1397115624221286</v>
      </c>
      <c r="M902">
        <f t="shared" ca="1" si="158"/>
        <v>1.9018854359110238</v>
      </c>
      <c r="O902" t="b">
        <f t="shared" ca="1" si="159"/>
        <v>0</v>
      </c>
    </row>
    <row r="903" spans="1:15" x14ac:dyDescent="0.45">
      <c r="A903" s="1">
        <v>43928</v>
      </c>
      <c r="B903">
        <v>36.363300000000002</v>
      </c>
      <c r="C903">
        <f t="shared" si="155"/>
        <v>5.6581241283124299E-2</v>
      </c>
      <c r="D903">
        <f t="shared" ca="1" si="160"/>
        <v>5.7273943000684183E-3</v>
      </c>
      <c r="E903">
        <f t="shared" ca="1" si="161"/>
        <v>4.9419214010634704E-2</v>
      </c>
      <c r="F903">
        <f t="shared" ca="1" si="162"/>
        <v>-9.2067312863527914E-3</v>
      </c>
      <c r="G903">
        <f t="shared" ca="1" si="163"/>
        <v>5.1007742738817532</v>
      </c>
      <c r="H903">
        <f t="shared" ca="1" si="164"/>
        <v>1.1089194836697216</v>
      </c>
      <c r="I903">
        <f t="shared" ca="1" si="165"/>
        <v>2.4567458553455817</v>
      </c>
      <c r="K903">
        <f t="shared" si="156"/>
        <v>1.0565812412831244</v>
      </c>
      <c r="L903" s="7">
        <f t="shared" ca="1" si="157"/>
        <v>1.0409351535640778</v>
      </c>
      <c r="M903">
        <f t="shared" ca="1" si="158"/>
        <v>1.9216080825132846</v>
      </c>
      <c r="O903" t="b">
        <f t="shared" ca="1" si="159"/>
        <v>0</v>
      </c>
    </row>
    <row r="904" spans="1:15" x14ac:dyDescent="0.45">
      <c r="A904" s="1">
        <v>43927</v>
      </c>
      <c r="B904">
        <v>34.415999999999997</v>
      </c>
      <c r="C904">
        <f t="shared" si="155"/>
        <v>7.5476473952132139E-2</v>
      </c>
      <c r="D904">
        <f t="shared" ca="1" si="160"/>
        <v>5.4955081533469485E-3</v>
      </c>
      <c r="E904">
        <f t="shared" ca="1" si="161"/>
        <v>4.9288029272706785E-2</v>
      </c>
      <c r="F904">
        <f t="shared" ca="1" si="162"/>
        <v>-5.9499779719627351E-4</v>
      </c>
      <c r="G904">
        <f t="shared" ca="1" si="163"/>
        <v>5.1818352163843615</v>
      </c>
      <c r="H904">
        <f t="shared" ca="1" si="164"/>
        <v>1.1089194836697216</v>
      </c>
      <c r="I904">
        <f t="shared" ca="1" si="165"/>
        <v>2.2241950587049582</v>
      </c>
      <c r="K904">
        <f t="shared" si="156"/>
        <v>1.0754764739521321</v>
      </c>
      <c r="L904" s="7">
        <f t="shared" ca="1" si="157"/>
        <v>1.0281013164930561</v>
      </c>
      <c r="M904">
        <f t="shared" ca="1" si="158"/>
        <v>1.9552391102712563</v>
      </c>
      <c r="O904" t="b">
        <f t="shared" ca="1" si="159"/>
        <v>0</v>
      </c>
    </row>
    <row r="905" spans="1:15" x14ac:dyDescent="0.45">
      <c r="A905" s="1">
        <v>43924</v>
      </c>
      <c r="B905">
        <v>32.000700000000002</v>
      </c>
      <c r="C905">
        <f t="shared" si="155"/>
        <v>5.6198428939204029E-2</v>
      </c>
      <c r="D905">
        <f t="shared" ca="1" si="160"/>
        <v>4.9677478513822197E-3</v>
      </c>
      <c r="E905">
        <f t="shared" ca="1" si="161"/>
        <v>4.90996789997123E-2</v>
      </c>
      <c r="F905">
        <f t="shared" ca="1" si="162"/>
        <v>1.5344765950599528E-2</v>
      </c>
      <c r="G905">
        <f t="shared" ca="1" si="163"/>
        <v>5.2888236542088025</v>
      </c>
      <c r="H905">
        <f t="shared" ca="1" si="164"/>
        <v>1.0915924682850116</v>
      </c>
      <c r="I905">
        <f t="shared" ca="1" si="165"/>
        <v>2.0098762733924636</v>
      </c>
      <c r="K905">
        <f t="shared" si="156"/>
        <v>1.0561984289392041</v>
      </c>
      <c r="L905" s="7">
        <f t="shared" ca="1" si="157"/>
        <v>0.93321804454268931</v>
      </c>
      <c r="M905">
        <f t="shared" ca="1" si="158"/>
        <v>1.9442822163184643</v>
      </c>
      <c r="O905" t="b">
        <f t="shared" ca="1" si="159"/>
        <v>1</v>
      </c>
    </row>
    <row r="906" spans="1:15" x14ac:dyDescent="0.45">
      <c r="A906" s="1">
        <v>43923</v>
      </c>
      <c r="B906">
        <v>30.297999999999998</v>
      </c>
      <c r="C906">
        <f t="shared" si="155"/>
        <v>-5.6254672314976356E-2</v>
      </c>
      <c r="D906">
        <f t="shared" ca="1" si="160"/>
        <v>4.7243323784476347E-3</v>
      </c>
      <c r="E906">
        <f t="shared" ca="1" si="161"/>
        <v>4.8964912798667826E-2</v>
      </c>
      <c r="F906">
        <f t="shared" ca="1" si="162"/>
        <v>2.4723338304565835E-2</v>
      </c>
      <c r="G906">
        <f t="shared" ca="1" si="163"/>
        <v>5.3751030110317233</v>
      </c>
      <c r="H906">
        <f t="shared" ca="1" si="164"/>
        <v>1.0915924682850116</v>
      </c>
      <c r="I906">
        <f t="shared" ca="1" si="165"/>
        <v>1.9745873074760083</v>
      </c>
      <c r="K906">
        <f t="shared" si="156"/>
        <v>0.94374532768502362</v>
      </c>
      <c r="L906" s="7">
        <f t="shared" ca="1" si="157"/>
        <v>0.8604770708903825</v>
      </c>
      <c r="M906">
        <f t="shared" ca="1" si="158"/>
        <v>1.9492915066156367</v>
      </c>
      <c r="O906" t="b">
        <f t="shared" ca="1" si="159"/>
        <v>1</v>
      </c>
    </row>
    <row r="907" spans="1:15" x14ac:dyDescent="0.45">
      <c r="A907" s="1">
        <v>43922</v>
      </c>
      <c r="B907">
        <v>32.103999999999999</v>
      </c>
      <c r="C907">
        <f t="shared" si="155"/>
        <v>-8.0991489495696178E-2</v>
      </c>
      <c r="D907">
        <f t="shared" ca="1" si="160"/>
        <v>4.999173264352604E-3</v>
      </c>
      <c r="E907">
        <f t="shared" ca="1" si="161"/>
        <v>4.8774816279789586E-2</v>
      </c>
      <c r="F907">
        <f t="shared" ca="1" si="162"/>
        <v>1.7847375176824932E-2</v>
      </c>
      <c r="G907">
        <f t="shared" ca="1" si="163"/>
        <v>5.4938932677204706</v>
      </c>
      <c r="H907">
        <f t="shared" ca="1" si="164"/>
        <v>1.0915924682850116</v>
      </c>
      <c r="I907">
        <f t="shared" ca="1" si="165"/>
        <v>2.0440413860616555</v>
      </c>
      <c r="K907">
        <f t="shared" si="156"/>
        <v>0.91900851050430377</v>
      </c>
      <c r="L907" s="7">
        <f t="shared" ca="1" si="157"/>
        <v>0.89301808066759358</v>
      </c>
      <c r="M907">
        <f t="shared" ca="1" si="158"/>
        <v>1.9270581596704282</v>
      </c>
      <c r="O907" t="b">
        <f t="shared" ca="1" si="159"/>
        <v>1</v>
      </c>
    </row>
    <row r="908" spans="1:15" x14ac:dyDescent="0.45">
      <c r="A908" s="1">
        <v>43921</v>
      </c>
      <c r="B908">
        <v>34.933300000000003</v>
      </c>
      <c r="C908">
        <f t="shared" si="155"/>
        <v>4.3554501378628589E-2</v>
      </c>
      <c r="D908">
        <f t="shared" ca="1" si="160"/>
        <v>5.6393345085926742E-3</v>
      </c>
      <c r="E908">
        <f t="shared" ca="1" si="161"/>
        <v>4.847984078356031E-2</v>
      </c>
      <c r="F908">
        <f t="shared" ca="1" si="162"/>
        <v>9.7946679742252872E-3</v>
      </c>
      <c r="G908">
        <f t="shared" ca="1" si="163"/>
        <v>5.6536960373356857</v>
      </c>
      <c r="H908">
        <f t="shared" ca="1" si="164"/>
        <v>1.1677621265599765</v>
      </c>
      <c r="I908">
        <f t="shared" ca="1" si="165"/>
        <v>2.0877793979658108</v>
      </c>
      <c r="K908">
        <f t="shared" si="156"/>
        <v>1.0435545013786285</v>
      </c>
      <c r="L908" s="7">
        <f t="shared" ca="1" si="157"/>
        <v>1.0376217449289653</v>
      </c>
      <c r="M908">
        <f t="shared" ca="1" si="158"/>
        <v>1.9664175733812175</v>
      </c>
      <c r="O908" t="b">
        <f t="shared" ca="1" si="159"/>
        <v>0</v>
      </c>
    </row>
    <row r="909" spans="1:15" x14ac:dyDescent="0.45">
      <c r="A909" s="1">
        <v>43920</v>
      </c>
      <c r="B909">
        <v>33.475299999999997</v>
      </c>
      <c r="C909">
        <f t="shared" si="155"/>
        <v>-2.3779042130956902E-2</v>
      </c>
      <c r="D909">
        <f t="shared" ca="1" si="160"/>
        <v>5.4451583188508627E-3</v>
      </c>
      <c r="E909">
        <f t="shared" ca="1" si="161"/>
        <v>4.8404931602803562E-2</v>
      </c>
      <c r="F909">
        <f t="shared" ca="1" si="162"/>
        <v>1.9556897634375459E-2</v>
      </c>
      <c r="G909">
        <f t="shared" ca="1" si="163"/>
        <v>5.7059437732021197</v>
      </c>
      <c r="H909">
        <f t="shared" ca="1" si="164"/>
        <v>1.1677621265599765</v>
      </c>
      <c r="I909">
        <f t="shared" ca="1" si="165"/>
        <v>2.0511226261081403</v>
      </c>
      <c r="K909">
        <f t="shared" si="156"/>
        <v>0.97622095786904306</v>
      </c>
      <c r="L909" s="7">
        <f t="shared" ca="1" si="157"/>
        <v>1.1562065023296617</v>
      </c>
      <c r="M909">
        <f t="shared" ca="1" si="158"/>
        <v>2.02160908416197</v>
      </c>
      <c r="O909" t="b">
        <f t="shared" ca="1" si="159"/>
        <v>0</v>
      </c>
    </row>
    <row r="910" spans="1:15" x14ac:dyDescent="0.45">
      <c r="A910" s="1">
        <v>43917</v>
      </c>
      <c r="B910">
        <v>34.290700000000001</v>
      </c>
      <c r="C910">
        <f t="shared" si="155"/>
        <v>-2.6128421190149631E-2</v>
      </c>
      <c r="D910">
        <f t="shared" ca="1" si="160"/>
        <v>5.6751590654285748E-3</v>
      </c>
      <c r="E910">
        <f t="shared" ca="1" si="161"/>
        <v>4.8374649793737151E-2</v>
      </c>
      <c r="F910">
        <f t="shared" ca="1" si="162"/>
        <v>6.5165888911564614E-3</v>
      </c>
      <c r="G910">
        <f t="shared" ca="1" si="163"/>
        <v>5.7269969472423741</v>
      </c>
      <c r="H910">
        <f t="shared" ca="1" si="164"/>
        <v>1.1677621265599765</v>
      </c>
      <c r="I910">
        <f t="shared" ca="1" si="165"/>
        <v>2.1278210822549384</v>
      </c>
      <c r="K910">
        <f t="shared" si="156"/>
        <v>0.97387157880985042</v>
      </c>
      <c r="L910" s="7">
        <f t="shared" ca="1" si="157"/>
        <v>1.2030980282085471</v>
      </c>
      <c r="M910">
        <f t="shared" ca="1" si="158"/>
        <v>1.9936554781076188</v>
      </c>
      <c r="O910" t="b">
        <f t="shared" ca="1" si="159"/>
        <v>0</v>
      </c>
    </row>
    <row r="911" spans="1:15" x14ac:dyDescent="0.45">
      <c r="A911" s="1">
        <v>43916</v>
      </c>
      <c r="B911">
        <v>35.210700000000003</v>
      </c>
      <c r="C911">
        <f t="shared" si="155"/>
        <v>-2.0564673157162726E-2</v>
      </c>
      <c r="D911">
        <f t="shared" ca="1" si="160"/>
        <v>5.6252618334259909E-3</v>
      </c>
      <c r="E911">
        <f t="shared" ca="1" si="161"/>
        <v>4.8412751001306945E-2</v>
      </c>
      <c r="F911">
        <f t="shared" ca="1" si="162"/>
        <v>7.8003233854510995E-3</v>
      </c>
      <c r="G911">
        <f t="shared" ca="1" si="163"/>
        <v>5.7013477888559061</v>
      </c>
      <c r="H911">
        <f t="shared" ca="1" si="164"/>
        <v>1.1677621265599765</v>
      </c>
      <c r="I911">
        <f t="shared" ca="1" si="165"/>
        <v>2.1278210822549384</v>
      </c>
      <c r="K911">
        <f t="shared" si="156"/>
        <v>0.97943532684283729</v>
      </c>
      <c r="L911" s="7">
        <f t="shared" ca="1" si="157"/>
        <v>1.2350601382706698</v>
      </c>
      <c r="M911">
        <f t="shared" ca="1" si="158"/>
        <v>1.9764509696651542</v>
      </c>
      <c r="O911" t="b">
        <f t="shared" ca="1" si="159"/>
        <v>0</v>
      </c>
    </row>
    <row r="912" spans="1:15" x14ac:dyDescent="0.45">
      <c r="A912" s="1">
        <v>43915</v>
      </c>
      <c r="B912">
        <v>35.950000000000003</v>
      </c>
      <c r="C912">
        <f t="shared" si="155"/>
        <v>6.7820724929975443E-2</v>
      </c>
      <c r="D912">
        <f t="shared" ca="1" si="160"/>
        <v>5.827190328862311E-3</v>
      </c>
      <c r="E912">
        <f t="shared" ca="1" si="161"/>
        <v>4.8387181607702417E-2</v>
      </c>
      <c r="F912">
        <f t="shared" ca="1" si="162"/>
        <v>-3.9003428778888022E-3</v>
      </c>
      <c r="G912">
        <f t="shared" ca="1" si="163"/>
        <v>5.719404121608604</v>
      </c>
      <c r="H912">
        <f t="shared" ca="1" si="164"/>
        <v>1.1677621265599765</v>
      </c>
      <c r="I912">
        <f t="shared" ca="1" si="165"/>
        <v>2.1668735233842851</v>
      </c>
      <c r="K912">
        <f t="shared" si="156"/>
        <v>1.0678207249299754</v>
      </c>
      <c r="L912" s="7">
        <f t="shared" ca="1" si="157"/>
        <v>1.4928596047555578</v>
      </c>
      <c r="M912">
        <f t="shared" ca="1" si="158"/>
        <v>1.8982959940819897</v>
      </c>
      <c r="O912" t="b">
        <f t="shared" ca="1" si="159"/>
        <v>0</v>
      </c>
    </row>
    <row r="913" spans="1:15" x14ac:dyDescent="0.45">
      <c r="A913" s="1">
        <v>43914</v>
      </c>
      <c r="B913">
        <v>33.666699999999999</v>
      </c>
      <c r="C913">
        <f t="shared" si="155"/>
        <v>0.16281728474373716</v>
      </c>
      <c r="D913">
        <f t="shared" ca="1" si="160"/>
        <v>5.6929894056860289E-3</v>
      </c>
      <c r="E913">
        <f t="shared" ca="1" si="161"/>
        <v>4.8251409599913406E-2</v>
      </c>
      <c r="F913">
        <f t="shared" ca="1" si="162"/>
        <v>-4.3075463278828881E-3</v>
      </c>
      <c r="G913">
        <f t="shared" ca="1" si="163"/>
        <v>5.8057269581242297</v>
      </c>
      <c r="H913">
        <f t="shared" ca="1" si="164"/>
        <v>1.1677621265599765</v>
      </c>
      <c r="I913">
        <f t="shared" ca="1" si="165"/>
        <v>2.1668735233842851</v>
      </c>
      <c r="K913">
        <f t="shared" si="156"/>
        <v>1.1628172847437372</v>
      </c>
      <c r="L913" s="7">
        <f t="shared" ca="1" si="157"/>
        <v>1.1738737796373782</v>
      </c>
      <c r="M913">
        <f t="shared" ca="1" si="158"/>
        <v>2.2567153322873281</v>
      </c>
      <c r="O913" t="b">
        <f t="shared" ca="1" si="159"/>
        <v>0</v>
      </c>
    </row>
    <row r="914" spans="1:15" x14ac:dyDescent="0.45">
      <c r="A914" s="1">
        <v>43913</v>
      </c>
      <c r="B914">
        <v>28.9527</v>
      </c>
      <c r="C914">
        <f t="shared" si="155"/>
        <v>1.5812925408743288E-2</v>
      </c>
      <c r="D914">
        <f t="shared" ca="1" si="160"/>
        <v>4.843688123992107E-3</v>
      </c>
      <c r="E914">
        <f t="shared" ca="1" si="161"/>
        <v>4.6949208369127374E-2</v>
      </c>
      <c r="F914">
        <f t="shared" ca="1" si="162"/>
        <v>-0.14021791812024365</v>
      </c>
      <c r="G914">
        <f t="shared" ca="1" si="163"/>
        <v>6.1673467591666293</v>
      </c>
      <c r="H914">
        <f t="shared" ca="1" si="164"/>
        <v>1.1185262253984543</v>
      </c>
      <c r="I914">
        <f t="shared" ca="1" si="165"/>
        <v>2.1310802030034419</v>
      </c>
      <c r="K914">
        <f t="shared" si="156"/>
        <v>1.0158129254087434</v>
      </c>
      <c r="L914" s="7">
        <f t="shared" ca="1" si="157"/>
        <v>0.97578131055936235</v>
      </c>
      <c r="M914">
        <f t="shared" ca="1" si="158"/>
        <v>2.2482972669517434</v>
      </c>
      <c r="O914" t="b">
        <f t="shared" ca="1" si="159"/>
        <v>1</v>
      </c>
    </row>
    <row r="915" spans="1:15" x14ac:dyDescent="0.45">
      <c r="A915" s="1">
        <v>43910</v>
      </c>
      <c r="B915">
        <v>28.501999999999999</v>
      </c>
      <c r="C915">
        <f t="shared" si="155"/>
        <v>-2.5605679550184501E-4</v>
      </c>
      <c r="D915">
        <f t="shared" ca="1" si="160"/>
        <v>5.0026824012670236E-3</v>
      </c>
      <c r="E915">
        <f t="shared" ca="1" si="161"/>
        <v>4.7040297857663588E-2</v>
      </c>
      <c r="F915">
        <f t="shared" ca="1" si="162"/>
        <v>-0.14589692894414455</v>
      </c>
      <c r="G915">
        <f t="shared" ca="1" si="163"/>
        <v>6.1016574729728239</v>
      </c>
      <c r="H915">
        <f t="shared" ca="1" si="164"/>
        <v>1.1185262253984543</v>
      </c>
      <c r="I915">
        <f t="shared" ca="1" si="165"/>
        <v>2.1668735233842851</v>
      </c>
      <c r="K915">
        <f t="shared" si="156"/>
        <v>0.99974394320449811</v>
      </c>
      <c r="L915" s="7">
        <f t="shared" ca="1" si="157"/>
        <v>0.78213455612176297</v>
      </c>
      <c r="M915">
        <f t="shared" ca="1" si="158"/>
        <v>2.5281437040873951</v>
      </c>
      <c r="O915" t="b">
        <f t="shared" ca="1" si="159"/>
        <v>1</v>
      </c>
    </row>
    <row r="916" spans="1:15" x14ac:dyDescent="0.45">
      <c r="A916" s="1">
        <v>43909</v>
      </c>
      <c r="B916">
        <v>28.5093</v>
      </c>
      <c r="C916">
        <f t="shared" si="155"/>
        <v>0.18387711626864003</v>
      </c>
      <c r="D916">
        <f t="shared" ca="1" si="160"/>
        <v>5.08117064700083E-3</v>
      </c>
      <c r="E916">
        <f t="shared" ca="1" si="161"/>
        <v>4.7044575211382472E-2</v>
      </c>
      <c r="F916">
        <f t="shared" ca="1" si="162"/>
        <v>-0.15085029424991828</v>
      </c>
      <c r="G916">
        <f t="shared" ca="1" si="163"/>
        <v>6.0993528234416141</v>
      </c>
      <c r="H916">
        <f t="shared" ca="1" si="164"/>
        <v>1.1185262253984543</v>
      </c>
      <c r="I916">
        <f t="shared" ca="1" si="165"/>
        <v>2.1668735233842851</v>
      </c>
      <c r="K916">
        <f t="shared" si="156"/>
        <v>1.1838771162686401</v>
      </c>
      <c r="L916" s="7">
        <f t="shared" ca="1" si="157"/>
        <v>0.76289269467487308</v>
      </c>
      <c r="M916">
        <f t="shared" ca="1" si="158"/>
        <v>2.5507182523793097</v>
      </c>
      <c r="O916" t="b">
        <f t="shared" ca="1" si="159"/>
        <v>1</v>
      </c>
    </row>
    <row r="917" spans="1:15" x14ac:dyDescent="0.45">
      <c r="A917" s="1">
        <v>43908</v>
      </c>
      <c r="B917">
        <v>24.081299999999999</v>
      </c>
      <c r="C917">
        <f t="shared" si="155"/>
        <v>-0.16034518828451885</v>
      </c>
      <c r="D917">
        <f t="shared" ca="1" si="160"/>
        <v>4.5705418650005339E-3</v>
      </c>
      <c r="E917">
        <f t="shared" ca="1" si="161"/>
        <v>4.5627032821844E-2</v>
      </c>
      <c r="F917">
        <f t="shared" ca="1" si="162"/>
        <v>-0.41278753740045215</v>
      </c>
      <c r="G917">
        <f t="shared" ca="1" si="163"/>
        <v>6.0903766541336468</v>
      </c>
      <c r="H917">
        <f t="shared" ca="1" si="164"/>
        <v>1.1185262253984543</v>
      </c>
      <c r="I917">
        <f t="shared" ca="1" si="165"/>
        <v>2.1668735233842851</v>
      </c>
      <c r="K917">
        <f t="shared" si="156"/>
        <v>0.83965481171548118</v>
      </c>
      <c r="L917" s="7">
        <f t="shared" ca="1" si="157"/>
        <v>0.56954022988505759</v>
      </c>
      <c r="M917">
        <f t="shared" ca="1" si="158"/>
        <v>2.642641016210058</v>
      </c>
      <c r="O917" t="b">
        <f t="shared" ca="1" si="159"/>
        <v>1</v>
      </c>
    </row>
    <row r="918" spans="1:15" x14ac:dyDescent="0.45">
      <c r="A918" s="1">
        <v>43907</v>
      </c>
      <c r="B918">
        <v>28.68</v>
      </c>
      <c r="C918">
        <f t="shared" si="155"/>
        <v>-3.3409388870726899E-2</v>
      </c>
      <c r="D918">
        <f t="shared" ca="1" si="160"/>
        <v>5.2051015718152229E-3</v>
      </c>
      <c r="E918">
        <f t="shared" ca="1" si="161"/>
        <v>4.4181555271077477E-2</v>
      </c>
      <c r="F918">
        <f t="shared" ca="1" si="162"/>
        <v>-0.2374167145649469</v>
      </c>
      <c r="G918">
        <f t="shared" ca="1" si="163"/>
        <v>6.3560679686313533</v>
      </c>
      <c r="H918">
        <f t="shared" ca="1" si="164"/>
        <v>1.4051037993218867</v>
      </c>
      <c r="I918">
        <f t="shared" ca="1" si="165"/>
        <v>2.1668735233842851</v>
      </c>
      <c r="K918">
        <f t="shared" si="156"/>
        <v>0.96659061112927314</v>
      </c>
      <c r="L918" s="7">
        <f t="shared" ca="1" si="157"/>
        <v>0.66663567477104735</v>
      </c>
      <c r="M918">
        <f t="shared" ca="1" si="158"/>
        <v>2.6458612363992287</v>
      </c>
      <c r="O918" t="b">
        <f t="shared" ca="1" si="159"/>
        <v>1</v>
      </c>
    </row>
    <row r="919" spans="1:15" x14ac:dyDescent="0.45">
      <c r="A919" s="1">
        <v>43906</v>
      </c>
      <c r="B919">
        <v>29.671299999999999</v>
      </c>
      <c r="C919">
        <f t="shared" si="155"/>
        <v>-0.18577822415775508</v>
      </c>
      <c r="D919">
        <f t="shared" ca="1" si="160"/>
        <v>5.2908606615306676E-3</v>
      </c>
      <c r="E919">
        <f t="shared" ca="1" si="161"/>
        <v>4.4122832881853313E-2</v>
      </c>
      <c r="F919">
        <f t="shared" ca="1" si="162"/>
        <v>-0.24143765401545811</v>
      </c>
      <c r="G919">
        <f t="shared" ca="1" si="163"/>
        <v>6.4053627394042687</v>
      </c>
      <c r="H919">
        <f t="shared" ca="1" si="164"/>
        <v>1.4051037993218867</v>
      </c>
      <c r="I919">
        <f t="shared" ca="1" si="165"/>
        <v>2.1668735233842851</v>
      </c>
      <c r="K919">
        <f t="shared" si="156"/>
        <v>0.81422177584224498</v>
      </c>
      <c r="L919" s="7">
        <f t="shared" ca="1" si="157"/>
        <v>0.73202280593980751</v>
      </c>
      <c r="M919">
        <f t="shared" ca="1" si="158"/>
        <v>2.7062725698374508</v>
      </c>
      <c r="O919" t="b">
        <f t="shared" ca="1" si="159"/>
        <v>1</v>
      </c>
    </row>
    <row r="920" spans="1:15" x14ac:dyDescent="0.45">
      <c r="A920" s="1">
        <v>43903</v>
      </c>
      <c r="B920">
        <v>36.441299999999998</v>
      </c>
      <c r="C920">
        <f t="shared" si="155"/>
        <v>-2.4851485148514832E-2</v>
      </c>
      <c r="D920">
        <f t="shared" ca="1" si="160"/>
        <v>6.1765751174699098E-3</v>
      </c>
      <c r="E920">
        <f t="shared" ca="1" si="161"/>
        <v>4.1994717159882081E-2</v>
      </c>
      <c r="F920">
        <f t="shared" ca="1" si="162"/>
        <v>0.13393697940005642</v>
      </c>
      <c r="G920">
        <f t="shared" ca="1" si="163"/>
        <v>6.2381817929155714</v>
      </c>
      <c r="H920">
        <f t="shared" ca="1" si="164"/>
        <v>1.6451375986169954</v>
      </c>
      <c r="I920">
        <f t="shared" ca="1" si="165"/>
        <v>2.1975310398629535</v>
      </c>
      <c r="K920">
        <f t="shared" si="156"/>
        <v>0.97514851485148513</v>
      </c>
      <c r="L920" s="7">
        <f t="shared" ca="1" si="157"/>
        <v>0.77702153791043238</v>
      </c>
      <c r="M920">
        <f t="shared" ca="1" si="158"/>
        <v>2.7703141148201937</v>
      </c>
      <c r="O920" t="b">
        <f t="shared" ca="1" si="159"/>
        <v>1</v>
      </c>
    </row>
    <row r="921" spans="1:15" x14ac:dyDescent="0.45">
      <c r="A921" s="1">
        <v>43902</v>
      </c>
      <c r="B921">
        <v>37.369999999999997</v>
      </c>
      <c r="C921">
        <f t="shared" si="155"/>
        <v>-0.11617236649165127</v>
      </c>
      <c r="D921">
        <f t="shared" ca="1" si="160"/>
        <v>6.3315559136417369E-3</v>
      </c>
      <c r="E921">
        <f t="shared" ca="1" si="161"/>
        <v>4.1936788654196991E-2</v>
      </c>
      <c r="F921">
        <f t="shared" ca="1" si="162"/>
        <v>0.12534984196499996</v>
      </c>
      <c r="G921">
        <f t="shared" ca="1" si="163"/>
        <v>6.286057910606206</v>
      </c>
      <c r="H921">
        <f t="shared" ca="1" si="164"/>
        <v>1.6451375986169954</v>
      </c>
      <c r="I921">
        <f t="shared" ca="1" si="165"/>
        <v>2.3028736964294096</v>
      </c>
      <c r="K921">
        <f t="shared" si="156"/>
        <v>0.8838276335083487</v>
      </c>
      <c r="L921" s="7">
        <f t="shared" ca="1" si="157"/>
        <v>0.77366275591219535</v>
      </c>
      <c r="M921">
        <f t="shared" ca="1" si="158"/>
        <v>2.8313028489032512</v>
      </c>
      <c r="O921" t="b">
        <f t="shared" ca="1" si="159"/>
        <v>1</v>
      </c>
    </row>
    <row r="922" spans="1:15" x14ac:dyDescent="0.45">
      <c r="A922" s="1">
        <v>43901</v>
      </c>
      <c r="B922">
        <v>42.281999999999996</v>
      </c>
      <c r="C922">
        <f t="shared" si="155"/>
        <v>-1.720050206870908E-2</v>
      </c>
      <c r="D922">
        <f t="shared" ca="1" si="160"/>
        <v>6.861783141459076E-3</v>
      </c>
      <c r="E922">
        <f t="shared" ca="1" si="161"/>
        <v>4.1040952494859492E-2</v>
      </c>
      <c r="F922">
        <f t="shared" ca="1" si="162"/>
        <v>0.22925165266727732</v>
      </c>
      <c r="G922">
        <f t="shared" ca="1" si="163"/>
        <v>6.7037910184083271</v>
      </c>
      <c r="H922">
        <f t="shared" ca="1" si="164"/>
        <v>1.6939929673122496</v>
      </c>
      <c r="I922">
        <f t="shared" ca="1" si="165"/>
        <v>2.3028736964294096</v>
      </c>
      <c r="K922">
        <f t="shared" si="156"/>
        <v>0.98279949793129096</v>
      </c>
      <c r="L922" s="7">
        <f t="shared" ca="1" si="157"/>
        <v>0.84620357157867121</v>
      </c>
      <c r="M922">
        <f t="shared" ca="1" si="158"/>
        <v>2.8309055823598546</v>
      </c>
      <c r="O922" t="b">
        <f t="shared" ca="1" si="159"/>
        <v>1</v>
      </c>
    </row>
    <row r="923" spans="1:15" x14ac:dyDescent="0.45">
      <c r="A923" s="1">
        <v>43900</v>
      </c>
      <c r="B923">
        <v>43.021999999999998</v>
      </c>
      <c r="C923">
        <f t="shared" si="155"/>
        <v>6.1398899176726335E-2</v>
      </c>
      <c r="D923">
        <f t="shared" ca="1" si="160"/>
        <v>6.8234829363253988E-3</v>
      </c>
      <c r="E923">
        <f t="shared" ca="1" si="161"/>
        <v>4.1067086650536981E-2</v>
      </c>
      <c r="F923">
        <f t="shared" ca="1" si="162"/>
        <v>0.23032192164165566</v>
      </c>
      <c r="G923">
        <f t="shared" ca="1" si="163"/>
        <v>6.6811018640970614</v>
      </c>
      <c r="H923">
        <f t="shared" ca="1" si="164"/>
        <v>1.6939929673122496</v>
      </c>
      <c r="I923">
        <f t="shared" ca="1" si="165"/>
        <v>2.3028736964294096</v>
      </c>
      <c r="K923">
        <f t="shared" si="156"/>
        <v>1.0613988991767263</v>
      </c>
      <c r="L923" s="7">
        <f t="shared" ca="1" si="157"/>
        <v>0.86562161096322587</v>
      </c>
      <c r="M923">
        <f t="shared" ca="1" si="158"/>
        <v>2.6960178421531693</v>
      </c>
      <c r="O923" t="b">
        <f t="shared" ca="1" si="159"/>
        <v>1</v>
      </c>
    </row>
    <row r="924" spans="1:15" x14ac:dyDescent="0.45">
      <c r="A924" s="1">
        <v>43899</v>
      </c>
      <c r="B924">
        <v>40.533299999999997</v>
      </c>
      <c r="C924">
        <f t="shared" si="155"/>
        <v>-0.1357265766428494</v>
      </c>
      <c r="D924">
        <f t="shared" ca="1" si="160"/>
        <v>6.5880910150212992E-3</v>
      </c>
      <c r="E924">
        <f t="shared" ca="1" si="161"/>
        <v>4.0887224672713086E-2</v>
      </c>
      <c r="F924">
        <f t="shared" ca="1" si="162"/>
        <v>0.23878119326513489</v>
      </c>
      <c r="G924">
        <f t="shared" ca="1" si="163"/>
        <v>6.84235970262612</v>
      </c>
      <c r="H924">
        <f t="shared" ca="1" si="164"/>
        <v>1.6939929673122496</v>
      </c>
      <c r="I924">
        <f t="shared" ca="1" si="165"/>
        <v>2.2648338684821945</v>
      </c>
      <c r="K924">
        <f t="shared" si="156"/>
        <v>0.86427342335715063</v>
      </c>
      <c r="L924" s="7">
        <f t="shared" ca="1" si="157"/>
        <v>0.81762068151698342</v>
      </c>
      <c r="M924">
        <f t="shared" ca="1" si="158"/>
        <v>2.6649720129086574</v>
      </c>
      <c r="O924" t="b">
        <f t="shared" ca="1" si="159"/>
        <v>1</v>
      </c>
    </row>
    <row r="925" spans="1:15" x14ac:dyDescent="0.45">
      <c r="A925" s="1">
        <v>43896</v>
      </c>
      <c r="B925">
        <v>46.898699999999998</v>
      </c>
      <c r="C925">
        <f t="shared" si="155"/>
        <v>-2.906669813488694E-2</v>
      </c>
      <c r="D925">
        <f t="shared" ca="1" si="160"/>
        <v>6.9656340796281713E-3</v>
      </c>
      <c r="E925">
        <f t="shared" ca="1" si="161"/>
        <v>3.9903296403654649E-2</v>
      </c>
      <c r="F925">
        <f t="shared" ca="1" si="162"/>
        <v>0.43466077862618879</v>
      </c>
      <c r="G925">
        <f t="shared" ca="1" si="163"/>
        <v>7.039732491216955</v>
      </c>
      <c r="H925">
        <f t="shared" ca="1" si="164"/>
        <v>1.6939929673122496</v>
      </c>
      <c r="I925">
        <f t="shared" ca="1" si="165"/>
        <v>2.2648338684821945</v>
      </c>
      <c r="K925">
        <f t="shared" si="156"/>
        <v>0.97093330186511306</v>
      </c>
      <c r="L925" s="7">
        <f t="shared" ca="1" si="157"/>
        <v>1.0531294980991495</v>
      </c>
      <c r="M925">
        <f t="shared" ca="1" si="158"/>
        <v>2.7127005341793464</v>
      </c>
      <c r="O925" t="b">
        <f t="shared" ca="1" si="159"/>
        <v>0</v>
      </c>
    </row>
    <row r="926" spans="1:15" x14ac:dyDescent="0.45">
      <c r="A926" s="1">
        <v>43895</v>
      </c>
      <c r="B926">
        <v>48.302700000000002</v>
      </c>
      <c r="C926">
        <f t="shared" si="155"/>
        <v>-3.3302179251381445E-2</v>
      </c>
      <c r="D926">
        <f t="shared" ca="1" si="160"/>
        <v>7.1041381167319352E-3</v>
      </c>
      <c r="E926">
        <f t="shared" ca="1" si="161"/>
        <v>3.982559897303365E-2</v>
      </c>
      <c r="F926">
        <f t="shared" ca="1" si="162"/>
        <v>0.430383800389468</v>
      </c>
      <c r="G926">
        <f t="shared" ca="1" si="163"/>
        <v>7.1090241834842489</v>
      </c>
      <c r="H926">
        <f t="shared" ca="1" si="164"/>
        <v>1.6939929673122496</v>
      </c>
      <c r="I926">
        <f t="shared" ca="1" si="165"/>
        <v>2.4363185252961044</v>
      </c>
      <c r="K926">
        <f t="shared" si="156"/>
        <v>0.96669782074861854</v>
      </c>
      <c r="L926" s="7">
        <f t="shared" ca="1" si="157"/>
        <v>1.0670691700521577</v>
      </c>
      <c r="M926">
        <f t="shared" ca="1" si="158"/>
        <v>2.7186847625497719</v>
      </c>
      <c r="O926" t="b">
        <f t="shared" ca="1" si="159"/>
        <v>0</v>
      </c>
    </row>
    <row r="927" spans="1:15" x14ac:dyDescent="0.45">
      <c r="A927" s="1">
        <v>43894</v>
      </c>
      <c r="B927">
        <v>49.966700000000003</v>
      </c>
      <c r="C927">
        <f t="shared" si="155"/>
        <v>5.3520372952494703E-3</v>
      </c>
      <c r="D927">
        <f t="shared" ca="1" si="160"/>
        <v>7.1363082423419443E-3</v>
      </c>
      <c r="E927">
        <f t="shared" ca="1" si="161"/>
        <v>3.9795382901329668E-2</v>
      </c>
      <c r="F927">
        <f t="shared" ca="1" si="162"/>
        <v>0.43107067445758668</v>
      </c>
      <c r="G927">
        <f t="shared" ca="1" si="163"/>
        <v>7.135720754617668</v>
      </c>
      <c r="H927">
        <f t="shared" ca="1" si="164"/>
        <v>1.6939929673122496</v>
      </c>
      <c r="I927">
        <f t="shared" ca="1" si="165"/>
        <v>2.4363185252961044</v>
      </c>
      <c r="K927">
        <f t="shared" si="156"/>
        <v>1.0053520372952496</v>
      </c>
      <c r="L927" s="7">
        <f t="shared" ca="1" si="157"/>
        <v>0.96237865947611723</v>
      </c>
      <c r="M927">
        <f t="shared" ca="1" si="158"/>
        <v>2.8012101798639555</v>
      </c>
      <c r="O927" t="b">
        <f t="shared" ca="1" si="159"/>
        <v>1</v>
      </c>
    </row>
    <row r="928" spans="1:15" x14ac:dyDescent="0.45">
      <c r="A928" s="1">
        <v>43893</v>
      </c>
      <c r="B928">
        <v>49.700699999999998</v>
      </c>
      <c r="C928">
        <f t="shared" si="155"/>
        <v>2.5416190113101574E-3</v>
      </c>
      <c r="D928">
        <f t="shared" ca="1" si="160"/>
        <v>6.7307213576657246E-3</v>
      </c>
      <c r="E928">
        <f t="shared" ca="1" si="161"/>
        <v>4.0224709711718681E-2</v>
      </c>
      <c r="F928">
        <f t="shared" ca="1" si="162"/>
        <v>0.4035361382565914</v>
      </c>
      <c r="G928">
        <f t="shared" ca="1" si="163"/>
        <v>6.8173690098050495</v>
      </c>
      <c r="H928">
        <f t="shared" ca="1" si="164"/>
        <v>1.6451375986169954</v>
      </c>
      <c r="I928">
        <f t="shared" ca="1" si="165"/>
        <v>2.2648338684821945</v>
      </c>
      <c r="K928">
        <f t="shared" si="156"/>
        <v>1.0025416190113101</v>
      </c>
      <c r="L928" s="7">
        <f t="shared" ca="1" si="157"/>
        <v>0.93199355677110973</v>
      </c>
      <c r="M928">
        <f t="shared" ca="1" si="158"/>
        <v>2.7955370682037457</v>
      </c>
      <c r="O928" t="b">
        <f t="shared" ca="1" si="159"/>
        <v>1</v>
      </c>
    </row>
    <row r="929" spans="1:15" x14ac:dyDescent="0.45">
      <c r="A929" s="1">
        <v>43892</v>
      </c>
      <c r="B929">
        <v>49.5747</v>
      </c>
      <c r="C929">
        <f t="shared" si="155"/>
        <v>0.11322017304138311</v>
      </c>
      <c r="D929">
        <f t="shared" ca="1" si="160"/>
        <v>6.6399898135394405E-3</v>
      </c>
      <c r="E929">
        <f t="shared" ca="1" si="161"/>
        <v>4.0254660617096844E-2</v>
      </c>
      <c r="F929">
        <f t="shared" ca="1" si="162"/>
        <v>0.40860487030220155</v>
      </c>
      <c r="G929">
        <f t="shared" ca="1" si="163"/>
        <v>6.7922651803269192</v>
      </c>
      <c r="H929">
        <f t="shared" ca="1" si="164"/>
        <v>1.6451375986169954</v>
      </c>
      <c r="I929">
        <f t="shared" ca="1" si="165"/>
        <v>2.1612313058416466</v>
      </c>
      <c r="K929">
        <f t="shared" si="156"/>
        <v>1.1132201730413831</v>
      </c>
      <c r="L929" s="7">
        <f t="shared" ca="1" si="157"/>
        <v>0.89185586298708297</v>
      </c>
      <c r="M929">
        <f t="shared" ca="1" si="158"/>
        <v>2.7935801226148729</v>
      </c>
      <c r="O929" t="b">
        <f t="shared" ca="1" si="159"/>
        <v>1</v>
      </c>
    </row>
    <row r="930" spans="1:15" x14ac:dyDescent="0.45">
      <c r="A930" s="1">
        <v>43889</v>
      </c>
      <c r="B930">
        <v>44.532699999999998</v>
      </c>
      <c r="C930">
        <f t="shared" si="155"/>
        <v>-1.6215010150949855E-2</v>
      </c>
      <c r="D930">
        <f t="shared" ca="1" si="160"/>
        <v>6.0661406642546038E-3</v>
      </c>
      <c r="E930">
        <f t="shared" ca="1" si="161"/>
        <v>3.9539368897133234E-2</v>
      </c>
      <c r="F930">
        <f t="shared" ca="1" si="162"/>
        <v>0.37570709148791859</v>
      </c>
      <c r="G930">
        <f t="shared" ca="1" si="163"/>
        <v>7.271263543460516</v>
      </c>
      <c r="H930">
        <f t="shared" ca="1" si="164"/>
        <v>1.5444457268071168</v>
      </c>
      <c r="I930">
        <f t="shared" ca="1" si="165"/>
        <v>2.1556285228219223</v>
      </c>
      <c r="K930">
        <f t="shared" si="156"/>
        <v>0.98378498984905016</v>
      </c>
      <c r="L930" s="7">
        <f t="shared" ca="1" si="157"/>
        <v>0.74138749090594303</v>
      </c>
      <c r="M930">
        <f t="shared" ca="1" si="158"/>
        <v>3.0929129270066311</v>
      </c>
      <c r="O930" t="b">
        <f t="shared" ca="1" si="159"/>
        <v>1</v>
      </c>
    </row>
    <row r="931" spans="1:15" x14ac:dyDescent="0.45">
      <c r="A931" s="1">
        <v>43888</v>
      </c>
      <c r="B931">
        <v>45.2667</v>
      </c>
      <c r="C931">
        <f t="shared" si="155"/>
        <v>-0.12814522342064719</v>
      </c>
      <c r="D931">
        <f t="shared" ca="1" si="160"/>
        <v>6.2639396478757449E-3</v>
      </c>
      <c r="E931">
        <f t="shared" ca="1" si="161"/>
        <v>3.9526293894583016E-2</v>
      </c>
      <c r="F931">
        <f t="shared" ca="1" si="162"/>
        <v>0.3622488038878392</v>
      </c>
      <c r="G931">
        <f t="shared" ca="1" si="163"/>
        <v>7.277034480699073</v>
      </c>
      <c r="H931">
        <f t="shared" ca="1" si="164"/>
        <v>1.5444457268071168</v>
      </c>
      <c r="I931">
        <f t="shared" ca="1" si="165"/>
        <v>2.2648338684821945</v>
      </c>
      <c r="K931">
        <f t="shared" si="156"/>
        <v>0.87185477657935284</v>
      </c>
      <c r="L931" s="7">
        <f t="shared" ca="1" si="157"/>
        <v>0.75493948536291289</v>
      </c>
      <c r="M931">
        <f t="shared" ca="1" si="158"/>
        <v>3.0724403529095317</v>
      </c>
      <c r="O931" t="b">
        <f t="shared" ca="1" si="159"/>
        <v>1</v>
      </c>
    </row>
    <row r="932" spans="1:15" x14ac:dyDescent="0.45">
      <c r="A932" s="1">
        <v>43887</v>
      </c>
      <c r="B932">
        <v>51.92</v>
      </c>
      <c r="C932">
        <f t="shared" si="155"/>
        <v>-2.6389860352952415E-2</v>
      </c>
      <c r="D932">
        <f t="shared" ca="1" si="160"/>
        <v>6.6435184703898028E-3</v>
      </c>
      <c r="E932">
        <f t="shared" ca="1" si="161"/>
        <v>3.8582294246907504E-2</v>
      </c>
      <c r="F932">
        <f t="shared" ca="1" si="162"/>
        <v>0.55659537081098953</v>
      </c>
      <c r="G932">
        <f t="shared" ca="1" si="163"/>
        <v>7.5666230410703692</v>
      </c>
      <c r="H932">
        <f t="shared" ca="1" si="164"/>
        <v>1.5444457268071168</v>
      </c>
      <c r="I932">
        <f t="shared" ca="1" si="165"/>
        <v>2.2648338684821945</v>
      </c>
      <c r="K932">
        <f t="shared" si="156"/>
        <v>0.97361013964704757</v>
      </c>
      <c r="L932" s="7">
        <f t="shared" ca="1" si="157"/>
        <v>0.84890281926643174</v>
      </c>
      <c r="M932">
        <f t="shared" ca="1" si="158"/>
        <v>3.0933553353831882</v>
      </c>
      <c r="O932" t="b">
        <f t="shared" ca="1" si="159"/>
        <v>1</v>
      </c>
    </row>
    <row r="933" spans="1:15" x14ac:dyDescent="0.45">
      <c r="A933" s="1">
        <v>43886</v>
      </c>
      <c r="B933">
        <v>53.327300000000001</v>
      </c>
      <c r="C933">
        <f t="shared" si="155"/>
        <v>-4.0634332385852512E-2</v>
      </c>
      <c r="D933">
        <f t="shared" ca="1" si="160"/>
        <v>6.7246371249936442E-3</v>
      </c>
      <c r="E933">
        <f t="shared" ca="1" si="161"/>
        <v>3.85295120550294E-2</v>
      </c>
      <c r="F933">
        <f t="shared" ca="1" si="162"/>
        <v>0.55528338521930509</v>
      </c>
      <c r="G933">
        <f t="shared" ca="1" si="163"/>
        <v>7.6174857180499886</v>
      </c>
      <c r="H933">
        <f t="shared" ca="1" si="164"/>
        <v>1.5444457268071168</v>
      </c>
      <c r="I933">
        <f t="shared" ca="1" si="165"/>
        <v>2.2648338684821945</v>
      </c>
      <c r="K933">
        <f t="shared" si="156"/>
        <v>0.95936566761414754</v>
      </c>
      <c r="L933" s="7">
        <f t="shared" ca="1" si="157"/>
        <v>0.93186047771407421</v>
      </c>
      <c r="M933">
        <f t="shared" ca="1" si="158"/>
        <v>3.017739855699817</v>
      </c>
      <c r="O933" t="b">
        <f t="shared" ca="1" si="159"/>
        <v>1</v>
      </c>
    </row>
    <row r="934" spans="1:15" x14ac:dyDescent="0.45">
      <c r="A934" s="1">
        <v>43885</v>
      </c>
      <c r="B934">
        <v>55.585999999999999</v>
      </c>
      <c r="C934">
        <f t="shared" si="155"/>
        <v>-7.4595408104656979E-2</v>
      </c>
      <c r="D934">
        <f t="shared" ca="1" si="160"/>
        <v>6.8693932061672722E-3</v>
      </c>
      <c r="E934">
        <f t="shared" ca="1" si="161"/>
        <v>3.8404872954491145E-2</v>
      </c>
      <c r="F934">
        <f t="shared" ca="1" si="162"/>
        <v>0.55824476465647999</v>
      </c>
      <c r="G934">
        <f t="shared" ca="1" si="163"/>
        <v>7.7362091879635164</v>
      </c>
      <c r="H934">
        <f t="shared" ca="1" si="164"/>
        <v>1.5444457268071168</v>
      </c>
      <c r="I934">
        <f t="shared" ca="1" si="165"/>
        <v>2.2648338684821945</v>
      </c>
      <c r="K934">
        <f t="shared" si="156"/>
        <v>0.92540459189534308</v>
      </c>
      <c r="L934" s="7">
        <f t="shared" ca="1" si="157"/>
        <v>1.0421990689093339</v>
      </c>
      <c r="M934">
        <f t="shared" ca="1" si="158"/>
        <v>2.7214849943756971</v>
      </c>
      <c r="O934" t="b">
        <f t="shared" ca="1" si="159"/>
        <v>0</v>
      </c>
    </row>
    <row r="935" spans="1:15" x14ac:dyDescent="0.45">
      <c r="A935" s="1">
        <v>43882</v>
      </c>
      <c r="B935">
        <v>60.066699999999997</v>
      </c>
      <c r="C935">
        <f t="shared" si="155"/>
        <v>1.7678245917741877E-3</v>
      </c>
      <c r="D935">
        <f t="shared" ca="1" si="160"/>
        <v>7.1974419801323656E-3</v>
      </c>
      <c r="E935">
        <f t="shared" ca="1" si="161"/>
        <v>3.7983417732873261E-2</v>
      </c>
      <c r="F935">
        <f t="shared" ca="1" si="162"/>
        <v>0.60056989118545345</v>
      </c>
      <c r="G935">
        <f t="shared" ca="1" si="163"/>
        <v>8.0917134589015198</v>
      </c>
      <c r="H935">
        <f t="shared" ca="1" si="164"/>
        <v>1.7633735847181511</v>
      </c>
      <c r="I935">
        <f t="shared" ca="1" si="165"/>
        <v>2.2757889989343298</v>
      </c>
      <c r="K935">
        <f t="shared" si="156"/>
        <v>1.0017678245917743</v>
      </c>
      <c r="L935" s="7">
        <f t="shared" ca="1" si="157"/>
        <v>1.1206473880597012</v>
      </c>
      <c r="M935">
        <f t="shared" ca="1" si="158"/>
        <v>2.6948322526597557</v>
      </c>
      <c r="O935" t="b">
        <f t="shared" ca="1" si="159"/>
        <v>0</v>
      </c>
    </row>
    <row r="936" spans="1:15" x14ac:dyDescent="0.45">
      <c r="A936" s="1">
        <v>43881</v>
      </c>
      <c r="B936">
        <v>59.960700000000003</v>
      </c>
      <c r="C936">
        <f t="shared" si="155"/>
        <v>-1.9630060185116968E-2</v>
      </c>
      <c r="D936">
        <f t="shared" ca="1" si="160"/>
        <v>7.0264664158334001E-3</v>
      </c>
      <c r="E936">
        <f t="shared" ca="1" si="161"/>
        <v>3.8084807274686806E-2</v>
      </c>
      <c r="F936">
        <f t="shared" ca="1" si="162"/>
        <v>0.60368815224587058</v>
      </c>
      <c r="G936">
        <f t="shared" ca="1" si="163"/>
        <v>7.9905880275074059</v>
      </c>
      <c r="H936">
        <f t="shared" ca="1" si="164"/>
        <v>1.7633735847181511</v>
      </c>
      <c r="I936">
        <f t="shared" ca="1" si="165"/>
        <v>2.198919696314384</v>
      </c>
      <c r="K936">
        <f t="shared" si="156"/>
        <v>0.98036993981488307</v>
      </c>
      <c r="L936" s="7">
        <f t="shared" ca="1" si="157"/>
        <v>1.1721903242644083</v>
      </c>
      <c r="M936">
        <f t="shared" ca="1" si="158"/>
        <v>2.7646554508317194</v>
      </c>
      <c r="O936" t="b">
        <f t="shared" ca="1" si="159"/>
        <v>0</v>
      </c>
    </row>
    <row r="937" spans="1:15" x14ac:dyDescent="0.45">
      <c r="A937" s="1">
        <v>43880</v>
      </c>
      <c r="B937">
        <v>61.161299999999997</v>
      </c>
      <c r="C937">
        <f t="shared" si="155"/>
        <v>6.8754619784121673E-2</v>
      </c>
      <c r="D937">
        <f t="shared" ca="1" si="160"/>
        <v>7.1307042358743824E-3</v>
      </c>
      <c r="E937">
        <f t="shared" ca="1" si="161"/>
        <v>3.8039985377476652E-2</v>
      </c>
      <c r="F937">
        <f t="shared" ca="1" si="162"/>
        <v>0.59924946282004465</v>
      </c>
      <c r="G937">
        <f t="shared" ca="1" si="163"/>
        <v>8.0347017619416476</v>
      </c>
      <c r="H937">
        <f t="shared" ca="1" si="164"/>
        <v>1.7633735847181511</v>
      </c>
      <c r="I937">
        <f t="shared" ca="1" si="165"/>
        <v>2.2757889989343298</v>
      </c>
      <c r="K937">
        <f t="shared" si="156"/>
        <v>1.0687546197841216</v>
      </c>
      <c r="L937" s="7">
        <f t="shared" ca="1" si="157"/>
        <v>1.1847156336137512</v>
      </c>
      <c r="M937">
        <f t="shared" ca="1" si="158"/>
        <v>2.7353278851791232</v>
      </c>
      <c r="O937" t="b">
        <f t="shared" ca="1" si="159"/>
        <v>0</v>
      </c>
    </row>
    <row r="938" spans="1:15" x14ac:dyDescent="0.45">
      <c r="A938" s="1">
        <v>43879</v>
      </c>
      <c r="B938">
        <v>57.226700000000001</v>
      </c>
      <c r="C938">
        <f t="shared" si="155"/>
        <v>7.2961059560928784E-2</v>
      </c>
      <c r="D938">
        <f t="shared" ca="1" si="160"/>
        <v>7.0108254915100133E-3</v>
      </c>
      <c r="E938">
        <f t="shared" ca="1" si="161"/>
        <v>3.7882260092938422E-2</v>
      </c>
      <c r="F938">
        <f t="shared" ca="1" si="162"/>
        <v>0.59948750675389362</v>
      </c>
      <c r="G938">
        <f t="shared" ca="1" si="163"/>
        <v>8.1968614044483274</v>
      </c>
      <c r="H938">
        <f t="shared" ca="1" si="164"/>
        <v>1.6571637490727416</v>
      </c>
      <c r="I938">
        <f t="shared" ca="1" si="165"/>
        <v>2.2757889989343298</v>
      </c>
      <c r="K938">
        <f t="shared" si="156"/>
        <v>1.0729610595609287</v>
      </c>
      <c r="L938" s="7">
        <f t="shared" ca="1" si="157"/>
        <v>1.1129550144208236</v>
      </c>
      <c r="M938">
        <f t="shared" ca="1" si="158"/>
        <v>2.5104946071888494</v>
      </c>
      <c r="O938" t="b">
        <f t="shared" ca="1" si="159"/>
        <v>0</v>
      </c>
    </row>
    <row r="939" spans="1:15" x14ac:dyDescent="0.45">
      <c r="A939" s="1">
        <v>43875</v>
      </c>
      <c r="B939">
        <v>53.335299999999997</v>
      </c>
      <c r="C939">
        <f t="shared" si="155"/>
        <v>-4.9384328358209858E-3</v>
      </c>
      <c r="D939">
        <f t="shared" ca="1" si="160"/>
        <v>6.8615874438928606E-3</v>
      </c>
      <c r="E939">
        <f t="shared" ca="1" si="161"/>
        <v>3.7679391488539903E-2</v>
      </c>
      <c r="F939">
        <f t="shared" ca="1" si="162"/>
        <v>0.59847246886580574</v>
      </c>
      <c r="G939">
        <f t="shared" ca="1" si="163"/>
        <v>8.406284165398624</v>
      </c>
      <c r="H939">
        <f t="shared" ca="1" si="164"/>
        <v>1.3566667149984371</v>
      </c>
      <c r="I939">
        <f t="shared" ca="1" si="165"/>
        <v>2.2757889989343298</v>
      </c>
      <c r="K939">
        <f t="shared" si="156"/>
        <v>0.99506156716417904</v>
      </c>
      <c r="L939" s="7">
        <f t="shared" ca="1" si="157"/>
        <v>1.0694587869175258</v>
      </c>
      <c r="M939">
        <f t="shared" ca="1" si="158"/>
        <v>2.5099305041630688</v>
      </c>
      <c r="O939" t="b">
        <f t="shared" ca="1" si="159"/>
        <v>0</v>
      </c>
    </row>
    <row r="940" spans="1:15" x14ac:dyDescent="0.45">
      <c r="A940" s="1">
        <v>43874</v>
      </c>
      <c r="B940">
        <v>53.6</v>
      </c>
      <c r="C940">
        <f t="shared" si="155"/>
        <v>4.7843026858797252E-2</v>
      </c>
      <c r="D940">
        <f t="shared" ca="1" si="160"/>
        <v>6.7882447051328069E-3</v>
      </c>
      <c r="E940">
        <f t="shared" ca="1" si="161"/>
        <v>3.771673320914315E-2</v>
      </c>
      <c r="F940">
        <f t="shared" ca="1" si="162"/>
        <v>0.60099044938597235</v>
      </c>
      <c r="G940">
        <f t="shared" ca="1" si="163"/>
        <v>8.3669514444828756</v>
      </c>
      <c r="H940">
        <f t="shared" ca="1" si="164"/>
        <v>1.3566667149984371</v>
      </c>
      <c r="I940">
        <f t="shared" ca="1" si="165"/>
        <v>2.198919696314384</v>
      </c>
      <c r="K940">
        <f t="shared" si="156"/>
        <v>1.0478430268587973</v>
      </c>
      <c r="L940" s="7">
        <f t="shared" ca="1" si="157"/>
        <v>1.0734878541658739</v>
      </c>
      <c r="M940">
        <f t="shared" ca="1" si="158"/>
        <v>2.5038891768458482</v>
      </c>
      <c r="O940" t="b">
        <f t="shared" ca="1" si="159"/>
        <v>0</v>
      </c>
    </row>
    <row r="941" spans="1:15" x14ac:dyDescent="0.45">
      <c r="A941" s="1">
        <v>43873</v>
      </c>
      <c r="B941">
        <v>51.152700000000003</v>
      </c>
      <c r="C941">
        <f t="shared" si="155"/>
        <v>-9.1544262212519805E-3</v>
      </c>
      <c r="D941">
        <f t="shared" ca="1" si="160"/>
        <v>6.4914758374557888E-3</v>
      </c>
      <c r="E941">
        <f t="shared" ca="1" si="161"/>
        <v>3.7625474131853347E-2</v>
      </c>
      <c r="F941">
        <f t="shared" ca="1" si="162"/>
        <v>0.62209791189087882</v>
      </c>
      <c r="G941">
        <f t="shared" ca="1" si="163"/>
        <v>8.4906686409620526</v>
      </c>
      <c r="H941">
        <f t="shared" ca="1" si="164"/>
        <v>1.3566667149984371</v>
      </c>
      <c r="I941">
        <f t="shared" ca="1" si="165"/>
        <v>2.1556285228219223</v>
      </c>
      <c r="K941">
        <f t="shared" si="156"/>
        <v>0.99084557377874805</v>
      </c>
      <c r="L941" s="7">
        <f t="shared" ca="1" si="157"/>
        <v>1.0443589220089835</v>
      </c>
      <c r="M941">
        <f t="shared" ca="1" si="158"/>
        <v>2.52456764083079</v>
      </c>
      <c r="O941" t="b">
        <f t="shared" ca="1" si="159"/>
        <v>0</v>
      </c>
    </row>
    <row r="942" spans="1:15" x14ac:dyDescent="0.45">
      <c r="A942" s="1">
        <v>43872</v>
      </c>
      <c r="B942">
        <v>51.625300000000003</v>
      </c>
      <c r="C942">
        <f t="shared" si="155"/>
        <v>4.0179934537435151E-3</v>
      </c>
      <c r="D942">
        <f t="shared" ca="1" si="160"/>
        <v>6.6718486319965976E-3</v>
      </c>
      <c r="E942">
        <f t="shared" ca="1" si="161"/>
        <v>3.7636559616008723E-2</v>
      </c>
      <c r="F942">
        <f t="shared" ca="1" si="162"/>
        <v>0.60820193696688607</v>
      </c>
      <c r="G942">
        <f t="shared" ca="1" si="163"/>
        <v>8.4653397661372374</v>
      </c>
      <c r="H942">
        <f t="shared" ca="1" si="164"/>
        <v>1.3566667149984371</v>
      </c>
      <c r="I942">
        <f t="shared" ca="1" si="165"/>
        <v>2.1914307863197955</v>
      </c>
      <c r="K942">
        <f t="shared" si="156"/>
        <v>1.0040179934537434</v>
      </c>
      <c r="L942" s="7">
        <f t="shared" ca="1" si="157"/>
        <v>0.87297357167134793</v>
      </c>
      <c r="M942">
        <f t="shared" ca="1" si="158"/>
        <v>2.685206260290268</v>
      </c>
      <c r="O942" t="b">
        <f t="shared" ca="1" si="159"/>
        <v>1</v>
      </c>
    </row>
    <row r="943" spans="1:15" x14ac:dyDescent="0.45">
      <c r="A943" s="1">
        <v>43871</v>
      </c>
      <c r="B943">
        <v>51.418700000000001</v>
      </c>
      <c r="C943">
        <f t="shared" si="155"/>
        <v>3.1027865726379767E-2</v>
      </c>
      <c r="D943">
        <f t="shared" ca="1" si="160"/>
        <v>6.3995583097635278E-3</v>
      </c>
      <c r="E943">
        <f t="shared" ca="1" si="161"/>
        <v>3.7852232752010315E-2</v>
      </c>
      <c r="F943">
        <f t="shared" ca="1" si="162"/>
        <v>0.60223069766602966</v>
      </c>
      <c r="G943">
        <f t="shared" ca="1" si="163"/>
        <v>8.2494235972114716</v>
      </c>
      <c r="H943">
        <f t="shared" ca="1" si="164"/>
        <v>1.1882326744821274</v>
      </c>
      <c r="I943">
        <f t="shared" ca="1" si="165"/>
        <v>2.1310802030034419</v>
      </c>
      <c r="K943">
        <f t="shared" si="156"/>
        <v>1.0310278657263798</v>
      </c>
      <c r="L943" s="7">
        <f t="shared" ca="1" si="157"/>
        <v>0.9888211538461541</v>
      </c>
      <c r="M943">
        <f t="shared" ca="1" si="158"/>
        <v>2.8340299634069601</v>
      </c>
      <c r="O943" t="b">
        <f t="shared" ca="1" si="159"/>
        <v>1</v>
      </c>
    </row>
    <row r="944" spans="1:15" x14ac:dyDescent="0.45">
      <c r="A944" s="1">
        <v>43868</v>
      </c>
      <c r="B944">
        <v>49.871299999999998</v>
      </c>
      <c r="C944">
        <f t="shared" si="155"/>
        <v>-1.1896488533107621E-3</v>
      </c>
      <c r="D944">
        <f t="shared" ca="1" si="160"/>
        <v>6.0312143882297522E-3</v>
      </c>
      <c r="E944">
        <f t="shared" ca="1" si="161"/>
        <v>3.7969625041766687E-2</v>
      </c>
      <c r="F944">
        <f t="shared" ca="1" si="162"/>
        <v>0.61373867589309838</v>
      </c>
      <c r="G944">
        <f t="shared" ca="1" si="163"/>
        <v>8.1475950165723283</v>
      </c>
      <c r="H944">
        <f t="shared" ca="1" si="164"/>
        <v>1.1594306047519938</v>
      </c>
      <c r="I944">
        <f t="shared" ca="1" si="165"/>
        <v>2.0872477945324523</v>
      </c>
      <c r="K944">
        <f t="shared" si="156"/>
        <v>0.99881035114668926</v>
      </c>
      <c r="L944" s="7">
        <f t="shared" ca="1" si="157"/>
        <v>1.1498686919691135</v>
      </c>
      <c r="M944">
        <f t="shared" ca="1" si="158"/>
        <v>2.0784252233378049</v>
      </c>
      <c r="O944" t="b">
        <f t="shared" ca="1" si="159"/>
        <v>0</v>
      </c>
    </row>
    <row r="945" spans="1:15" x14ac:dyDescent="0.45">
      <c r="A945" s="1">
        <v>43867</v>
      </c>
      <c r="B945">
        <v>49.930700000000002</v>
      </c>
      <c r="C945">
        <f t="shared" si="155"/>
        <v>1.9409963250306347E-2</v>
      </c>
      <c r="D945">
        <f t="shared" ca="1" si="160"/>
        <v>5.9378918873831087E-3</v>
      </c>
      <c r="E945">
        <f t="shared" ca="1" si="161"/>
        <v>3.8010376928282082E-2</v>
      </c>
      <c r="F945">
        <f t="shared" ca="1" si="162"/>
        <v>0.61763841851243306</v>
      </c>
      <c r="G945">
        <f t="shared" ca="1" si="163"/>
        <v>8.1069281496023891</v>
      </c>
      <c r="H945">
        <f t="shared" ca="1" si="164"/>
        <v>1.1594306047519938</v>
      </c>
      <c r="I945">
        <f t="shared" ca="1" si="165"/>
        <v>2.0479696249913948</v>
      </c>
      <c r="K945">
        <f t="shared" si="156"/>
        <v>1.0194099632503064</v>
      </c>
      <c r="L945" s="7">
        <f t="shared" ca="1" si="157"/>
        <v>1.1687706428031377</v>
      </c>
      <c r="M945">
        <f t="shared" ca="1" si="158"/>
        <v>2.0710984644125294</v>
      </c>
      <c r="O945" t="b">
        <f t="shared" ca="1" si="159"/>
        <v>0</v>
      </c>
    </row>
    <row r="946" spans="1:15" x14ac:dyDescent="0.45">
      <c r="A946" s="1">
        <v>43866</v>
      </c>
      <c r="B946">
        <v>48.98</v>
      </c>
      <c r="C946">
        <f t="shared" si="155"/>
        <v>-0.17175792604667453</v>
      </c>
      <c r="D946">
        <f t="shared" ca="1" si="160"/>
        <v>5.8627069201042702E-3</v>
      </c>
      <c r="E946">
        <f t="shared" ca="1" si="161"/>
        <v>3.799846491280956E-2</v>
      </c>
      <c r="F946">
        <f t="shared" ca="1" si="162"/>
        <v>0.62398875940802057</v>
      </c>
      <c r="G946">
        <f t="shared" ca="1" si="163"/>
        <v>8.1258524368410896</v>
      </c>
      <c r="H946">
        <f t="shared" ca="1" si="164"/>
        <v>1.1594306047519938</v>
      </c>
      <c r="I946">
        <f t="shared" ca="1" si="165"/>
        <v>2.0479696249913948</v>
      </c>
      <c r="K946">
        <f t="shared" si="156"/>
        <v>0.8282420739533255</v>
      </c>
      <c r="L946" s="7">
        <f t="shared" ca="1" si="157"/>
        <v>1.2645645668905083</v>
      </c>
      <c r="M946">
        <f t="shared" ca="1" si="158"/>
        <v>2.1805976551115624</v>
      </c>
      <c r="O946" t="b">
        <f t="shared" ca="1" si="159"/>
        <v>0</v>
      </c>
    </row>
    <row r="947" spans="1:15" x14ac:dyDescent="0.45">
      <c r="A947" s="1">
        <v>43865</v>
      </c>
      <c r="B947">
        <v>59.137300000000003</v>
      </c>
      <c r="C947">
        <f t="shared" si="155"/>
        <v>0.13725576923076929</v>
      </c>
      <c r="D947">
        <f t="shared" ca="1" si="160"/>
        <v>6.5292068037780529E-3</v>
      </c>
      <c r="E947">
        <f t="shared" ca="1" si="161"/>
        <v>3.5982908471011432E-2</v>
      </c>
      <c r="F947">
        <f t="shared" ca="1" si="162"/>
        <v>1.279732472572743</v>
      </c>
      <c r="G947">
        <f t="shared" ca="1" si="163"/>
        <v>7.6853707069332531</v>
      </c>
      <c r="H947">
        <f t="shared" ca="1" si="164"/>
        <v>1.1964474895028432</v>
      </c>
      <c r="I947">
        <f t="shared" ca="1" si="165"/>
        <v>2.0479696249913948</v>
      </c>
      <c r="K947">
        <f t="shared" si="156"/>
        <v>1.1372557692307692</v>
      </c>
      <c r="L947" s="7">
        <f t="shared" ca="1" si="157"/>
        <v>1.5647561869431879</v>
      </c>
      <c r="M947">
        <f t="shared" ca="1" si="158"/>
        <v>2.2049289910412138</v>
      </c>
      <c r="O947" t="b">
        <f t="shared" ca="1" si="159"/>
        <v>0</v>
      </c>
    </row>
    <row r="948" spans="1:15" x14ac:dyDescent="0.45">
      <c r="A948" s="1">
        <v>43864</v>
      </c>
      <c r="B948">
        <v>52</v>
      </c>
      <c r="C948">
        <f t="shared" si="155"/>
        <v>0.19894953575290578</v>
      </c>
      <c r="D948">
        <f t="shared" ca="1" si="160"/>
        <v>5.8803408544276566E-3</v>
      </c>
      <c r="E948">
        <f t="shared" ca="1" si="161"/>
        <v>3.4763120880407068E-2</v>
      </c>
      <c r="F948">
        <f t="shared" ca="1" si="162"/>
        <v>1.2058674646162608</v>
      </c>
      <c r="G948">
        <f t="shared" ca="1" si="163"/>
        <v>8.3267086560524568</v>
      </c>
      <c r="H948">
        <f t="shared" ca="1" si="164"/>
        <v>1.1798162275601007</v>
      </c>
      <c r="I948">
        <f t="shared" ca="1" si="165"/>
        <v>2.0055670953390905</v>
      </c>
      <c r="K948">
        <f t="shared" si="156"/>
        <v>1.1989495357529059</v>
      </c>
      <c r="L948" s="7">
        <f t="shared" ca="1" si="157"/>
        <v>1.3978006144946544</v>
      </c>
      <c r="M948">
        <f t="shared" ca="1" si="158"/>
        <v>2.2353401469645204</v>
      </c>
      <c r="O948" t="b">
        <f t="shared" ca="1" si="159"/>
        <v>0</v>
      </c>
    </row>
    <row r="949" spans="1:15" x14ac:dyDescent="0.45">
      <c r="A949" s="1">
        <v>43861</v>
      </c>
      <c r="B949">
        <v>43.371299999999998</v>
      </c>
      <c r="C949">
        <f t="shared" si="155"/>
        <v>1.5229151207728272E-2</v>
      </c>
      <c r="D949">
        <f t="shared" ca="1" si="160"/>
        <v>4.8466335619669057E-3</v>
      </c>
      <c r="E949">
        <f t="shared" ca="1" si="161"/>
        <v>3.1953479589350763E-2</v>
      </c>
      <c r="F949">
        <f t="shared" ca="1" si="162"/>
        <v>0.5307317308451307</v>
      </c>
      <c r="G949">
        <f t="shared" ca="1" si="163"/>
        <v>6.0468017907311866</v>
      </c>
      <c r="H949">
        <f t="shared" ca="1" si="164"/>
        <v>1.1462620606038274</v>
      </c>
      <c r="I949">
        <f t="shared" ca="1" si="165"/>
        <v>1.9784694813324259</v>
      </c>
      <c r="K949">
        <f t="shared" si="156"/>
        <v>1.0152291512077283</v>
      </c>
      <c r="L949" s="7">
        <f t="shared" ca="1" si="157"/>
        <v>1.151816373520437</v>
      </c>
      <c r="M949">
        <f t="shared" ca="1" si="158"/>
        <v>2.2104266782886315</v>
      </c>
      <c r="O949" t="b">
        <f t="shared" ca="1" si="159"/>
        <v>0</v>
      </c>
    </row>
    <row r="950" spans="1:15" x14ac:dyDescent="0.45">
      <c r="A950" s="1">
        <v>43860</v>
      </c>
      <c r="B950">
        <v>42.720700000000001</v>
      </c>
      <c r="C950">
        <f t="shared" si="155"/>
        <v>0.10296209662636478</v>
      </c>
      <c r="D950">
        <f t="shared" ca="1" si="160"/>
        <v>4.9014940169684867E-3</v>
      </c>
      <c r="E950">
        <f t="shared" ca="1" si="161"/>
        <v>3.1980801984548245E-2</v>
      </c>
      <c r="F950">
        <f t="shared" ca="1" si="162"/>
        <v>0.52551188550639438</v>
      </c>
      <c r="G950">
        <f t="shared" ca="1" si="163"/>
        <v>6.0130438417892185</v>
      </c>
      <c r="H950">
        <f t="shared" ca="1" si="164"/>
        <v>1.1462620606038274</v>
      </c>
      <c r="I950">
        <f t="shared" ca="1" si="165"/>
        <v>2.0055670953390905</v>
      </c>
      <c r="K950">
        <f t="shared" si="156"/>
        <v>1.1029620966263647</v>
      </c>
      <c r="L950" s="7">
        <f t="shared" ca="1" si="157"/>
        <v>1.1199055226271211</v>
      </c>
      <c r="M950">
        <f t="shared" ca="1" si="158"/>
        <v>2.2201632431496781</v>
      </c>
      <c r="O950" t="b">
        <f t="shared" ca="1" si="159"/>
        <v>0</v>
      </c>
    </row>
    <row r="951" spans="1:15" x14ac:dyDescent="0.45">
      <c r="A951" s="1">
        <v>43859</v>
      </c>
      <c r="B951">
        <v>38.732700000000001</v>
      </c>
      <c r="C951">
        <f t="shared" si="155"/>
        <v>2.485625759063112E-2</v>
      </c>
      <c r="D951">
        <f t="shared" ca="1" si="160"/>
        <v>4.3620291159330712E-3</v>
      </c>
      <c r="E951">
        <f t="shared" ca="1" si="161"/>
        <v>3.1219288974340946E-2</v>
      </c>
      <c r="F951">
        <f t="shared" ca="1" si="162"/>
        <v>0.45982372831602059</v>
      </c>
      <c r="G951">
        <f t="shared" ca="1" si="163"/>
        <v>6.4562956118538013</v>
      </c>
      <c r="H951">
        <f t="shared" ca="1" si="164"/>
        <v>1.1314641213577308</v>
      </c>
      <c r="I951">
        <f t="shared" ca="1" si="165"/>
        <v>1.9784694813324259</v>
      </c>
      <c r="K951">
        <f t="shared" si="156"/>
        <v>1.024856257590631</v>
      </c>
      <c r="L951" s="7">
        <f t="shared" ca="1" si="157"/>
        <v>1.0200681051442297</v>
      </c>
      <c r="M951">
        <f t="shared" ca="1" si="158"/>
        <v>2.231298461829311</v>
      </c>
      <c r="O951" t="b">
        <f t="shared" ca="1" si="159"/>
        <v>0</v>
      </c>
    </row>
    <row r="952" spans="1:15" x14ac:dyDescent="0.45">
      <c r="A952" s="1">
        <v>43858</v>
      </c>
      <c r="B952">
        <v>37.793300000000002</v>
      </c>
      <c r="C952">
        <f t="shared" si="155"/>
        <v>1.5913422380400648E-2</v>
      </c>
      <c r="D952">
        <f t="shared" ca="1" si="160"/>
        <v>4.2243360356615158E-3</v>
      </c>
      <c r="E952">
        <f t="shared" ca="1" si="161"/>
        <v>3.118915986528395E-2</v>
      </c>
      <c r="F952">
        <f t="shared" ca="1" si="162"/>
        <v>0.47303719897009466</v>
      </c>
      <c r="G952">
        <f t="shared" ca="1" si="163"/>
        <v>6.5005157388926031</v>
      </c>
      <c r="H952">
        <f t="shared" ca="1" si="164"/>
        <v>1.1314641213577308</v>
      </c>
      <c r="I952">
        <f t="shared" ca="1" si="165"/>
        <v>1.9414359052960022</v>
      </c>
      <c r="K952">
        <f t="shared" si="156"/>
        <v>1.0159134223804007</v>
      </c>
      <c r="L952" s="7">
        <f t="shared" ca="1" si="157"/>
        <v>1.0360005482456143</v>
      </c>
      <c r="M952">
        <f t="shared" ca="1" si="158"/>
        <v>2.2608409874419437</v>
      </c>
      <c r="O952" t="b">
        <f t="shared" ca="1" si="159"/>
        <v>0</v>
      </c>
    </row>
    <row r="953" spans="1:15" x14ac:dyDescent="0.45">
      <c r="A953" s="1">
        <v>43857</v>
      </c>
      <c r="B953">
        <v>37.201300000000003</v>
      </c>
      <c r="C953">
        <f t="shared" si="155"/>
        <v>-1.2040993554589333E-2</v>
      </c>
      <c r="D953">
        <f t="shared" ca="1" si="160"/>
        <v>4.0064022643376482E-3</v>
      </c>
      <c r="E953">
        <f t="shared" ca="1" si="161"/>
        <v>3.1259274192132959E-2</v>
      </c>
      <c r="F953">
        <f t="shared" ca="1" si="162"/>
        <v>0.48532964616151469</v>
      </c>
      <c r="G953">
        <f t="shared" ca="1" si="163"/>
        <v>6.4341771881708114</v>
      </c>
      <c r="H953">
        <f t="shared" ca="1" si="164"/>
        <v>1.1314641213577308</v>
      </c>
      <c r="I953">
        <f t="shared" ca="1" si="165"/>
        <v>1.93473334470539</v>
      </c>
      <c r="K953">
        <f t="shared" si="156"/>
        <v>0.98795900644541068</v>
      </c>
      <c r="L953" s="7">
        <f t="shared" ca="1" si="157"/>
        <v>1.0930853017485815</v>
      </c>
      <c r="M953">
        <f t="shared" ca="1" si="158"/>
        <v>2.2404271380088852</v>
      </c>
      <c r="O953" t="b">
        <f t="shared" ca="1" si="159"/>
        <v>0</v>
      </c>
    </row>
    <row r="954" spans="1:15" x14ac:dyDescent="0.45">
      <c r="A954" s="1">
        <v>43854</v>
      </c>
      <c r="B954">
        <v>37.654699999999998</v>
      </c>
      <c r="C954">
        <f t="shared" si="155"/>
        <v>-1.2897576985689573E-2</v>
      </c>
      <c r="D954">
        <f t="shared" ca="1" si="160"/>
        <v>4.1354625807940824E-3</v>
      </c>
      <c r="E954">
        <f t="shared" ca="1" si="161"/>
        <v>3.1245968655428707E-2</v>
      </c>
      <c r="F954">
        <f t="shared" ca="1" si="162"/>
        <v>0.47427582115185746</v>
      </c>
      <c r="G954">
        <f t="shared" ca="1" si="163"/>
        <v>6.4419235178764049</v>
      </c>
      <c r="H954">
        <f t="shared" ca="1" si="164"/>
        <v>1.1314641213577308</v>
      </c>
      <c r="I954">
        <f t="shared" ca="1" si="165"/>
        <v>1.9414359052960022</v>
      </c>
      <c r="K954">
        <f t="shared" si="156"/>
        <v>0.98710242301431039</v>
      </c>
      <c r="L954" s="7">
        <f t="shared" ca="1" si="157"/>
        <v>1.0999629009689564</v>
      </c>
      <c r="M954">
        <f t="shared" ca="1" si="158"/>
        <v>2.2216402497648309</v>
      </c>
      <c r="O954" t="b">
        <f t="shared" ca="1" si="159"/>
        <v>0</v>
      </c>
    </row>
    <row r="955" spans="1:15" x14ac:dyDescent="0.45">
      <c r="A955" s="1">
        <v>43853</v>
      </c>
      <c r="B955">
        <v>38.146700000000003</v>
      </c>
      <c r="C955">
        <f t="shared" si="155"/>
        <v>4.6351528942053192E-3</v>
      </c>
      <c r="D955">
        <f t="shared" ca="1" si="160"/>
        <v>4.1836711533519014E-3</v>
      </c>
      <c r="E955">
        <f t="shared" ca="1" si="161"/>
        <v>3.1226988980904369E-2</v>
      </c>
      <c r="F955">
        <f t="shared" ca="1" si="162"/>
        <v>0.47121936138360926</v>
      </c>
      <c r="G955">
        <f t="shared" ca="1" si="163"/>
        <v>6.4615850002395154</v>
      </c>
      <c r="H955">
        <f t="shared" ca="1" si="164"/>
        <v>1.1314641213577308</v>
      </c>
      <c r="I955">
        <f t="shared" ca="1" si="165"/>
        <v>1.9786708562985755</v>
      </c>
      <c r="K955">
        <f t="shared" si="156"/>
        <v>1.0046351528942052</v>
      </c>
      <c r="L955" s="7">
        <f t="shared" ca="1" si="157"/>
        <v>1.103567884698279</v>
      </c>
      <c r="M955">
        <f t="shared" ca="1" si="158"/>
        <v>2.219764654289869</v>
      </c>
      <c r="O955" t="b">
        <f t="shared" ca="1" si="159"/>
        <v>0</v>
      </c>
    </row>
    <row r="956" spans="1:15" x14ac:dyDescent="0.45">
      <c r="A956" s="1">
        <v>43852</v>
      </c>
      <c r="B956">
        <v>37.970700000000001</v>
      </c>
      <c r="C956">
        <f t="shared" si="155"/>
        <v>4.0863486842105376E-2</v>
      </c>
      <c r="D956">
        <f t="shared" ca="1" si="160"/>
        <v>4.1284726074268113E-3</v>
      </c>
      <c r="E956">
        <f t="shared" ca="1" si="161"/>
        <v>3.1235942821901244E-2</v>
      </c>
      <c r="F956">
        <f t="shared" ca="1" si="162"/>
        <v>0.47597153019805688</v>
      </c>
      <c r="G956">
        <f t="shared" ca="1" si="163"/>
        <v>6.4541703219969806</v>
      </c>
      <c r="H956">
        <f t="shared" ca="1" si="164"/>
        <v>1.1314641213577308</v>
      </c>
      <c r="I956">
        <f t="shared" ca="1" si="165"/>
        <v>1.9786708562985755</v>
      </c>
      <c r="K956">
        <f t="shared" si="156"/>
        <v>1.0408634868421054</v>
      </c>
      <c r="L956" s="7">
        <f t="shared" ca="1" si="157"/>
        <v>1.058821068951767</v>
      </c>
      <c r="M956">
        <f t="shared" ca="1" si="158"/>
        <v>2.191108027382751</v>
      </c>
      <c r="O956" t="b">
        <f t="shared" ca="1" si="159"/>
        <v>0</v>
      </c>
    </row>
    <row r="957" spans="1:15" x14ac:dyDescent="0.45">
      <c r="A957" s="1">
        <v>43851</v>
      </c>
      <c r="B957">
        <v>36.479999999999997</v>
      </c>
      <c r="C957">
        <f t="shared" si="155"/>
        <v>7.1891353468514663E-2</v>
      </c>
      <c r="D957">
        <f t="shared" ca="1" si="160"/>
        <v>4.0582297867049677E-3</v>
      </c>
      <c r="E957">
        <f t="shared" ca="1" si="161"/>
        <v>3.1168642243934813E-2</v>
      </c>
      <c r="F957">
        <f t="shared" ca="1" si="162"/>
        <v>0.47953796437496082</v>
      </c>
      <c r="G957">
        <f t="shared" ca="1" si="163"/>
        <v>6.532326862685335</v>
      </c>
      <c r="H957">
        <f t="shared" ca="1" si="164"/>
        <v>1.1314641213577308</v>
      </c>
      <c r="I957">
        <f t="shared" ca="1" si="165"/>
        <v>1.9786708562985755</v>
      </c>
      <c r="K957">
        <f t="shared" si="156"/>
        <v>1.0718913534685146</v>
      </c>
      <c r="L957" s="7">
        <f t="shared" ca="1" si="157"/>
        <v>1.0425627380989806</v>
      </c>
      <c r="M957">
        <f t="shared" ca="1" si="158"/>
        <v>2.2073537400355705</v>
      </c>
      <c r="O957" t="b">
        <f t="shared" ca="1" si="159"/>
        <v>0</v>
      </c>
    </row>
    <row r="958" spans="1:15" x14ac:dyDescent="0.45">
      <c r="A958" s="1">
        <v>43847</v>
      </c>
      <c r="B958">
        <v>34.033299999999997</v>
      </c>
      <c r="C958">
        <f t="shared" si="155"/>
        <v>-5.8248399921713521E-3</v>
      </c>
      <c r="D958">
        <f t="shared" ca="1" si="160"/>
        <v>3.2870325032731585E-3</v>
      </c>
      <c r="E958">
        <f t="shared" ca="1" si="161"/>
        <v>3.1389203747748541E-2</v>
      </c>
      <c r="F958">
        <f t="shared" ca="1" si="162"/>
        <v>0.38686121122609762</v>
      </c>
      <c r="G958">
        <f t="shared" ca="1" si="163"/>
        <v>6.4854241749243906</v>
      </c>
      <c r="H958">
        <f t="shared" ca="1" si="164"/>
        <v>1.0748008891451253</v>
      </c>
      <c r="I958">
        <f t="shared" ca="1" si="165"/>
        <v>1.902162533986121</v>
      </c>
      <c r="K958">
        <f t="shared" si="156"/>
        <v>0.99417516000782868</v>
      </c>
      <c r="L958" s="7">
        <f t="shared" ca="1" si="157"/>
        <v>1.0676544309793672</v>
      </c>
      <c r="M958">
        <f t="shared" ca="1" si="158"/>
        <v>2.2716118527030531</v>
      </c>
      <c r="O958" t="b">
        <f t="shared" ca="1" si="159"/>
        <v>0</v>
      </c>
    </row>
    <row r="959" spans="1:15" x14ac:dyDescent="0.45">
      <c r="A959" s="1">
        <v>43846</v>
      </c>
      <c r="B959">
        <v>34.232700000000001</v>
      </c>
      <c r="C959">
        <f t="shared" si="155"/>
        <v>-9.6624786282750764E-3</v>
      </c>
      <c r="D959">
        <f t="shared" ca="1" si="160"/>
        <v>3.4198626223155898E-3</v>
      </c>
      <c r="E959">
        <f t="shared" ca="1" si="161"/>
        <v>3.1406656200148979E-2</v>
      </c>
      <c r="F959">
        <f t="shared" ca="1" si="162"/>
        <v>0.37439552288218342</v>
      </c>
      <c r="G959">
        <f t="shared" ca="1" si="163"/>
        <v>6.4581404811102212</v>
      </c>
      <c r="H959">
        <f t="shared" ca="1" si="164"/>
        <v>1.0748008891451253</v>
      </c>
      <c r="I959">
        <f t="shared" ca="1" si="165"/>
        <v>1.9414359052960022</v>
      </c>
      <c r="K959">
        <f t="shared" si="156"/>
        <v>0.99033752137172493</v>
      </c>
      <c r="L959" s="7">
        <f t="shared" ca="1" si="157"/>
        <v>1.0667948506199887</v>
      </c>
      <c r="M959">
        <f t="shared" ca="1" si="158"/>
        <v>2.2414036444223293</v>
      </c>
      <c r="O959" t="b">
        <f t="shared" ca="1" si="159"/>
        <v>0</v>
      </c>
    </row>
    <row r="960" spans="1:15" x14ac:dyDescent="0.45">
      <c r="A960" s="1">
        <v>43845</v>
      </c>
      <c r="B960">
        <v>34.566699999999997</v>
      </c>
      <c r="C960">
        <f t="shared" si="155"/>
        <v>-3.6100197148458163E-2</v>
      </c>
      <c r="D960">
        <f t="shared" ca="1" si="160"/>
        <v>3.4111172262906836E-3</v>
      </c>
      <c r="E960">
        <f t="shared" ca="1" si="161"/>
        <v>3.1410560651265559E-2</v>
      </c>
      <c r="F960">
        <f t="shared" ca="1" si="162"/>
        <v>0.37493199419080409</v>
      </c>
      <c r="G960">
        <f t="shared" ca="1" si="163"/>
        <v>6.4539430305361654</v>
      </c>
      <c r="H960">
        <f t="shared" ca="1" si="164"/>
        <v>1.0748008891451253</v>
      </c>
      <c r="I960">
        <f t="shared" ca="1" si="165"/>
        <v>1.93473334470539</v>
      </c>
      <c r="K960">
        <f t="shared" si="156"/>
        <v>0.96389980285154186</v>
      </c>
      <c r="L960" s="7">
        <f t="shared" ca="1" si="157"/>
        <v>1.0535640809160818</v>
      </c>
      <c r="M960">
        <f t="shared" ca="1" si="158"/>
        <v>2.2181107137033904</v>
      </c>
      <c r="O960" t="b">
        <f t="shared" ca="1" si="159"/>
        <v>0</v>
      </c>
    </row>
    <row r="961" spans="1:15" x14ac:dyDescent="0.45">
      <c r="A961" s="1">
        <v>43844</v>
      </c>
      <c r="B961">
        <v>35.8613</v>
      </c>
      <c r="C961">
        <f t="shared" si="155"/>
        <v>2.488089692403991E-2</v>
      </c>
      <c r="D961">
        <f t="shared" ca="1" si="160"/>
        <v>3.7581482029748585E-3</v>
      </c>
      <c r="E961">
        <f t="shared" ca="1" si="161"/>
        <v>3.1355195974823745E-2</v>
      </c>
      <c r="F961">
        <f t="shared" ca="1" si="162"/>
        <v>0.35793740137247704</v>
      </c>
      <c r="G961">
        <f t="shared" ca="1" si="163"/>
        <v>6.4955120826564157</v>
      </c>
      <c r="H961">
        <f t="shared" ca="1" si="164"/>
        <v>1.0748008891451253</v>
      </c>
      <c r="I961">
        <f t="shared" ca="1" si="165"/>
        <v>2.0152131204728048</v>
      </c>
      <c r="K961">
        <f t="shared" si="156"/>
        <v>1.0248808969240399</v>
      </c>
      <c r="L961" s="7">
        <f t="shared" ca="1" si="157"/>
        <v>1.1468019583827676</v>
      </c>
      <c r="M961">
        <f t="shared" ca="1" si="158"/>
        <v>2.2397094384402112</v>
      </c>
      <c r="O961" t="b">
        <f t="shared" ca="1" si="159"/>
        <v>0</v>
      </c>
    </row>
    <row r="962" spans="1:15" x14ac:dyDescent="0.45">
      <c r="A962" s="1">
        <v>43843</v>
      </c>
      <c r="B962">
        <v>34.990699999999997</v>
      </c>
      <c r="C962">
        <f t="shared" si="155"/>
        <v>9.7688907571988226E-2</v>
      </c>
      <c r="D962">
        <f t="shared" ca="1" si="160"/>
        <v>3.655978263192531E-3</v>
      </c>
      <c r="E962">
        <f t="shared" ca="1" si="161"/>
        <v>3.1319293485988879E-2</v>
      </c>
      <c r="F962">
        <f t="shared" ca="1" si="162"/>
        <v>0.36749818365924602</v>
      </c>
      <c r="G962">
        <f t="shared" ca="1" si="163"/>
        <v>6.5430929330940097</v>
      </c>
      <c r="H962">
        <f t="shared" ca="1" si="164"/>
        <v>1.0748008891451253</v>
      </c>
      <c r="I962">
        <f t="shared" ca="1" si="165"/>
        <v>1.97749176614776</v>
      </c>
      <c r="K962">
        <f t="shared" si="156"/>
        <v>1.0976889075719882</v>
      </c>
      <c r="L962" s="7">
        <f t="shared" ca="1" si="157"/>
        <v>1.1623774611579691</v>
      </c>
      <c r="M962">
        <f t="shared" ca="1" si="158"/>
        <v>2.2797974817747644</v>
      </c>
      <c r="O962" t="b">
        <f t="shared" ca="1" si="159"/>
        <v>0</v>
      </c>
    </row>
    <row r="963" spans="1:15" x14ac:dyDescent="0.45">
      <c r="A963" s="1">
        <v>43840</v>
      </c>
      <c r="B963">
        <v>31.8767</v>
      </c>
      <c r="C963">
        <f t="shared" ref="C963:C1026" si="166">(B963-B964)/B964</f>
        <v>-6.6252613799616033E-3</v>
      </c>
      <c r="D963">
        <f t="shared" ca="1" si="160"/>
        <v>3.2364945374710008E-3</v>
      </c>
      <c r="E963">
        <f t="shared" ca="1" si="161"/>
        <v>3.060726158326324E-2</v>
      </c>
      <c r="F963">
        <f t="shared" ca="1" si="162"/>
        <v>0.28827576678118455</v>
      </c>
      <c r="G963">
        <f t="shared" ca="1" si="163"/>
        <v>7.0206364389815077</v>
      </c>
      <c r="H963">
        <f t="shared" ca="1" si="164"/>
        <v>1.0446326819155551</v>
      </c>
      <c r="I963">
        <f t="shared" ca="1" si="165"/>
        <v>1.9374890196330286</v>
      </c>
      <c r="K963">
        <f t="shared" ref="K963:K1026" si="167">C963+1</f>
        <v>0.99337473862003844</v>
      </c>
      <c r="L963" s="7">
        <f t="shared" ref="L963:L1026" ca="1" si="168">PRODUCT(OFFSET(K963,0,0,$J$6,1))</f>
        <v>1.0793221371978057</v>
      </c>
      <c r="M963">
        <f t="shared" ref="M963:M1026" ca="1" si="169">OFFSET(D963,$J$6,0)*V$2 + OFFSET(E963,$J$6,0)*U$2 + OFFSET(F963,$J$6,0)*T$2 + OFFSET(G963,$J$6,0)*S$2 + OFFSET(H963,$J$6,0)*R$2 + OFFSET(I963,$J$6,0)*Q$2 + W$2</f>
        <v>2.2959752919170011</v>
      </c>
      <c r="O963" t="b">
        <f t="shared" ref="O963:O1026" ca="1" si="170">OR(AND(L963&gt;1, N963&gt;1), AND(L963&lt;1, N963&lt;1))</f>
        <v>0</v>
      </c>
    </row>
    <row r="964" spans="1:15" x14ac:dyDescent="0.45">
      <c r="A964" s="1">
        <v>43839</v>
      </c>
      <c r="B964">
        <v>32.089300000000001</v>
      </c>
      <c r="C964">
        <f t="shared" si="166"/>
        <v>-2.1944997302594048E-2</v>
      </c>
      <c r="D964">
        <f t="shared" ref="D964:D1027" ca="1" si="171">AVERAGE(OFFSET(C964,0,0,$J$3,1))</f>
        <v>3.4014599821366848E-3</v>
      </c>
      <c r="E964">
        <f t="shared" ref="E964:E1027" ca="1" si="172">STDEV(OFFSET(C964,0,0,$J$3,1))</f>
        <v>3.0642733772823522E-2</v>
      </c>
      <c r="F964">
        <f t="shared" ref="F964:F1027" ca="1" si="173">SKEW(OFFSET(C964,0,0,$J$3,1))</f>
        <v>0.27331455951997258</v>
      </c>
      <c r="G964">
        <f t="shared" ref="G964:G1027" ca="1" si="174">KURT(OFFSET(C964,0,0,$J$3,1))</f>
        <v>6.9695474491297906</v>
      </c>
      <c r="H964">
        <f t="shared" ref="H964:H1027" ca="1" si="175">PERCENTILE(OFFSET(C964,0,0,$J$3,1), 0.95)/ABS(PERCENTILE(OFFSET(C964,0,0,$J$3,1), 0.05))</f>
        <v>1.0446326819155551</v>
      </c>
      <c r="I964">
        <f t="shared" ref="I964:I1027" ca="1" si="176">PERCENTILE(OFFSET(C964,0,0,$J$3,1), 0.75)/ABS(PERCENTILE(OFFSET(C964,0,0,$J$3,1), 0.25))</f>
        <v>1.97749176614776</v>
      </c>
      <c r="K964">
        <f t="shared" si="167"/>
        <v>0.97805500269740597</v>
      </c>
      <c r="L964" s="7">
        <f t="shared" ca="1" si="168"/>
        <v>1.1187177520568954</v>
      </c>
      <c r="M964">
        <f t="shared" ca="1" si="169"/>
        <v>2.3097395011026887</v>
      </c>
      <c r="O964" t="b">
        <f t="shared" ca="1" si="170"/>
        <v>0</v>
      </c>
    </row>
    <row r="965" spans="1:15" x14ac:dyDescent="0.45">
      <c r="A965" s="1">
        <v>43838</v>
      </c>
      <c r="B965">
        <v>32.8093</v>
      </c>
      <c r="C965">
        <f t="shared" si="166"/>
        <v>4.9202608192333359E-2</v>
      </c>
      <c r="D965">
        <f t="shared" ca="1" si="171"/>
        <v>3.6523034332807615E-3</v>
      </c>
      <c r="E965">
        <f t="shared" ca="1" si="172"/>
        <v>3.0639545287161743E-2</v>
      </c>
      <c r="F965">
        <f t="shared" ca="1" si="173"/>
        <v>0.2541629341006838</v>
      </c>
      <c r="G965">
        <f t="shared" ca="1" si="174"/>
        <v>6.9646158237915303</v>
      </c>
      <c r="H965">
        <f t="shared" ca="1" si="175"/>
        <v>1.0446326819155551</v>
      </c>
      <c r="I965">
        <f t="shared" ca="1" si="176"/>
        <v>2.0534224737058531</v>
      </c>
      <c r="K965">
        <f t="shared" si="167"/>
        <v>1.0492026081923334</v>
      </c>
      <c r="L965" s="7">
        <f t="shared" ca="1" si="168"/>
        <v>1.1764370515656875</v>
      </c>
      <c r="M965">
        <f t="shared" ca="1" si="169"/>
        <v>2.3443490522785</v>
      </c>
      <c r="O965" t="b">
        <f t="shared" ca="1" si="170"/>
        <v>0</v>
      </c>
    </row>
    <row r="966" spans="1:15" x14ac:dyDescent="0.45">
      <c r="A966" s="1">
        <v>43837</v>
      </c>
      <c r="B966">
        <v>31.270700000000001</v>
      </c>
      <c r="C966">
        <f t="shared" si="166"/>
        <v>3.8800506266879808E-2</v>
      </c>
      <c r="D966">
        <f t="shared" ca="1" si="171"/>
        <v>3.3286052948157899E-3</v>
      </c>
      <c r="E966">
        <f t="shared" ca="1" si="172"/>
        <v>3.0497549872710503E-2</v>
      </c>
      <c r="F966">
        <f t="shared" ca="1" si="173"/>
        <v>0.27171790554612557</v>
      </c>
      <c r="G966">
        <f t="shared" ca="1" si="174"/>
        <v>7.1384670030077517</v>
      </c>
      <c r="H966">
        <f t="shared" ca="1" si="175"/>
        <v>1.0062475839916398</v>
      </c>
      <c r="I966">
        <f t="shared" ca="1" si="176"/>
        <v>1.97749176614776</v>
      </c>
      <c r="K966">
        <f t="shared" si="167"/>
        <v>1.0388005062668797</v>
      </c>
      <c r="L966" s="7">
        <f t="shared" ca="1" si="168"/>
        <v>1.1310825523480197</v>
      </c>
      <c r="M966">
        <f t="shared" ca="1" si="169"/>
        <v>2.355942816814069</v>
      </c>
      <c r="O966" t="b">
        <f t="shared" ca="1" si="170"/>
        <v>0</v>
      </c>
    </row>
    <row r="967" spans="1:15" x14ac:dyDescent="0.45">
      <c r="A967" s="1">
        <v>43836</v>
      </c>
      <c r="B967">
        <v>30.102699999999999</v>
      </c>
      <c r="C967">
        <f t="shared" si="166"/>
        <v>1.9255773007381315E-2</v>
      </c>
      <c r="D967">
        <f t="shared" ca="1" si="171"/>
        <v>2.9614310971796619E-3</v>
      </c>
      <c r="E967">
        <f t="shared" ca="1" si="172"/>
        <v>3.0510396503581307E-2</v>
      </c>
      <c r="F967">
        <f t="shared" ca="1" si="173"/>
        <v>0.29008984488440809</v>
      </c>
      <c r="G967">
        <f t="shared" ca="1" si="174"/>
        <v>7.1376286824552464</v>
      </c>
      <c r="H967">
        <f t="shared" ca="1" si="175"/>
        <v>1.0062475839916398</v>
      </c>
      <c r="I967">
        <f t="shared" ca="1" si="176"/>
        <v>1.8955955597159657</v>
      </c>
      <c r="K967">
        <f t="shared" si="167"/>
        <v>1.0192557730073812</v>
      </c>
      <c r="L967" s="7">
        <f t="shared" ca="1" si="168"/>
        <v>1.049167015195873</v>
      </c>
      <c r="M967">
        <f t="shared" ca="1" si="169"/>
        <v>2.2032693452794345</v>
      </c>
      <c r="O967" t="b">
        <f t="shared" ca="1" si="170"/>
        <v>0</v>
      </c>
    </row>
    <row r="968" spans="1:15" x14ac:dyDescent="0.45">
      <c r="A968" s="1">
        <v>43833</v>
      </c>
      <c r="B968">
        <v>29.533999999999999</v>
      </c>
      <c r="C968">
        <f t="shared" si="166"/>
        <v>2.9633245014642234E-2</v>
      </c>
      <c r="D968">
        <f t="shared" ca="1" si="171"/>
        <v>2.8728276707392464E-3</v>
      </c>
      <c r="E968">
        <f t="shared" ca="1" si="172"/>
        <v>3.0488562270083348E-2</v>
      </c>
      <c r="F968">
        <f t="shared" ca="1" si="173"/>
        <v>0.29874462175595529</v>
      </c>
      <c r="G968">
        <f t="shared" ca="1" si="174"/>
        <v>7.1698997243969496</v>
      </c>
      <c r="H968">
        <f t="shared" ca="1" si="175"/>
        <v>1.0062475839916398</v>
      </c>
      <c r="I968">
        <f t="shared" ca="1" si="176"/>
        <v>1.8710619201481637</v>
      </c>
      <c r="K968">
        <f t="shared" si="167"/>
        <v>1.0296332450146422</v>
      </c>
      <c r="L968" s="7">
        <f t="shared" ca="1" si="168"/>
        <v>1.0280097322245931</v>
      </c>
      <c r="M968">
        <f t="shared" ca="1" si="169"/>
        <v>2.1977949790055198</v>
      </c>
      <c r="O968" t="b">
        <f t="shared" ca="1" si="170"/>
        <v>0</v>
      </c>
    </row>
    <row r="969" spans="1:15" x14ac:dyDescent="0.45">
      <c r="A969" s="1">
        <v>43832</v>
      </c>
      <c r="B969">
        <v>28.684000000000001</v>
      </c>
      <c r="C969">
        <f t="shared" si="166"/>
        <v>2.8516926210257237E-2</v>
      </c>
      <c r="D969">
        <f t="shared" ca="1" si="171"/>
        <v>2.8392632974659597E-3</v>
      </c>
      <c r="E969">
        <f t="shared" ca="1" si="172"/>
        <v>3.0462638138417361E-2</v>
      </c>
      <c r="F969">
        <f t="shared" ca="1" si="173"/>
        <v>0.30085255339037698</v>
      </c>
      <c r="G969">
        <f t="shared" ca="1" si="174"/>
        <v>7.2039514205275816</v>
      </c>
      <c r="H969">
        <f t="shared" ca="1" si="175"/>
        <v>1.0062475839916398</v>
      </c>
      <c r="I969">
        <f t="shared" ca="1" si="176"/>
        <v>1.8710619201481637</v>
      </c>
      <c r="K969">
        <f t="shared" si="167"/>
        <v>1.0285169262102571</v>
      </c>
      <c r="L969" s="7">
        <f t="shared" ca="1" si="168"/>
        <v>1.0117813051146385</v>
      </c>
      <c r="M969">
        <f t="shared" ca="1" si="169"/>
        <v>2.2057932049859712</v>
      </c>
      <c r="O969" t="b">
        <f t="shared" ca="1" si="170"/>
        <v>0</v>
      </c>
    </row>
    <row r="970" spans="1:15" x14ac:dyDescent="0.45">
      <c r="A970" s="1">
        <v>43830</v>
      </c>
      <c r="B970">
        <v>27.8887</v>
      </c>
      <c r="C970">
        <f t="shared" si="166"/>
        <v>8.7533050960874499E-3</v>
      </c>
      <c r="D970">
        <f t="shared" ca="1" si="171"/>
        <v>2.659191190070468E-3</v>
      </c>
      <c r="E970">
        <f t="shared" ca="1" si="172"/>
        <v>3.0416498528185142E-2</v>
      </c>
      <c r="F970">
        <f t="shared" ca="1" si="173"/>
        <v>0.31691089921164756</v>
      </c>
      <c r="G970">
        <f t="shared" ca="1" si="174"/>
        <v>7.2711643632456573</v>
      </c>
      <c r="H970">
        <f t="shared" ca="1" si="175"/>
        <v>1.0062475839916398</v>
      </c>
      <c r="I970">
        <f t="shared" ca="1" si="176"/>
        <v>1.8263694793445626</v>
      </c>
      <c r="K970">
        <f t="shared" si="167"/>
        <v>1.0087533050960875</v>
      </c>
      <c r="L970" s="7">
        <f t="shared" ca="1" si="168"/>
        <v>0.99787820237584079</v>
      </c>
      <c r="M970">
        <f t="shared" ca="1" si="169"/>
        <v>2.2150433250836894</v>
      </c>
      <c r="O970" t="b">
        <f t="shared" ca="1" si="170"/>
        <v>1</v>
      </c>
    </row>
    <row r="971" spans="1:15" x14ac:dyDescent="0.45">
      <c r="A971" s="1">
        <v>43829</v>
      </c>
      <c r="B971">
        <v>27.646699999999999</v>
      </c>
      <c r="C971">
        <f t="shared" si="166"/>
        <v>-3.6431757981318869E-2</v>
      </c>
      <c r="D971">
        <f t="shared" ca="1" si="171"/>
        <v>2.507593273674009E-3</v>
      </c>
      <c r="E971">
        <f t="shared" ca="1" si="172"/>
        <v>3.0461496572735742E-2</v>
      </c>
      <c r="F971">
        <f t="shared" ca="1" si="173"/>
        <v>0.32799580989488936</v>
      </c>
      <c r="G971">
        <f t="shared" ca="1" si="174"/>
        <v>7.2189103896901861</v>
      </c>
      <c r="H971">
        <f t="shared" ca="1" si="175"/>
        <v>1.0062475839916398</v>
      </c>
      <c r="I971">
        <f t="shared" ca="1" si="176"/>
        <v>1.799747981000106</v>
      </c>
      <c r="K971">
        <f t="shared" si="167"/>
        <v>0.96356824201868108</v>
      </c>
      <c r="L971" s="7">
        <f t="shared" ca="1" si="168"/>
        <v>1.0224635992795668</v>
      </c>
      <c r="M971">
        <f t="shared" ca="1" si="169"/>
        <v>2.2355111925793878</v>
      </c>
      <c r="O971" t="b">
        <f t="shared" ca="1" si="170"/>
        <v>0</v>
      </c>
    </row>
    <row r="972" spans="1:15" x14ac:dyDescent="0.45">
      <c r="A972" s="1">
        <v>43826</v>
      </c>
      <c r="B972">
        <v>28.692</v>
      </c>
      <c r="C972">
        <f t="shared" si="166"/>
        <v>-1.2983260991391483E-3</v>
      </c>
      <c r="D972">
        <f t="shared" ca="1" si="171"/>
        <v>2.4391920735129901E-3</v>
      </c>
      <c r="E972">
        <f t="shared" ca="1" si="172"/>
        <v>3.0564559277599324E-2</v>
      </c>
      <c r="F972">
        <f t="shared" ca="1" si="173"/>
        <v>0.31606660806259146</v>
      </c>
      <c r="G972">
        <f t="shared" ca="1" si="174"/>
        <v>7.1158673806538948</v>
      </c>
      <c r="H972">
        <f t="shared" ca="1" si="175"/>
        <v>0.8910411638734369</v>
      </c>
      <c r="I972">
        <f t="shared" ca="1" si="176"/>
        <v>1.799747981000106</v>
      </c>
      <c r="K972">
        <f t="shared" si="167"/>
        <v>0.99870167390086084</v>
      </c>
      <c r="L972" s="7">
        <f t="shared" ca="1" si="168"/>
        <v>1.0651915651915649</v>
      </c>
      <c r="M972">
        <f t="shared" ca="1" si="169"/>
        <v>2.2054065435880754</v>
      </c>
      <c r="O972" t="b">
        <f t="shared" ca="1" si="170"/>
        <v>0</v>
      </c>
    </row>
    <row r="973" spans="1:15" x14ac:dyDescent="0.45">
      <c r="A973" s="1">
        <v>43825</v>
      </c>
      <c r="B973">
        <v>28.729299999999999</v>
      </c>
      <c r="C973">
        <f t="shared" si="166"/>
        <v>1.3379188712521943E-2</v>
      </c>
      <c r="D973">
        <f t="shared" ca="1" si="171"/>
        <v>2.4629957887262934E-3</v>
      </c>
      <c r="E973">
        <f t="shared" ca="1" si="172"/>
        <v>3.0563487684330547E-2</v>
      </c>
      <c r="F973">
        <f t="shared" ca="1" si="173"/>
        <v>0.3137492401447326</v>
      </c>
      <c r="G973">
        <f t="shared" ca="1" si="174"/>
        <v>7.1162903961336275</v>
      </c>
      <c r="H973">
        <f t="shared" ca="1" si="175"/>
        <v>0.8910411638734369</v>
      </c>
      <c r="I973">
        <f t="shared" ca="1" si="176"/>
        <v>1.799747981000106</v>
      </c>
      <c r="K973">
        <f t="shared" si="167"/>
        <v>1.0133791887125219</v>
      </c>
      <c r="L973" s="7">
        <f t="shared" ca="1" si="168"/>
        <v>1.0961198016024414</v>
      </c>
      <c r="M973">
        <f t="shared" ca="1" si="169"/>
        <v>2.2394998949767473</v>
      </c>
      <c r="O973" t="b">
        <f t="shared" ca="1" si="170"/>
        <v>0</v>
      </c>
    </row>
    <row r="974" spans="1:15" x14ac:dyDescent="0.45">
      <c r="A974" s="1">
        <v>43823</v>
      </c>
      <c r="B974">
        <v>28.35</v>
      </c>
      <c r="C974">
        <f t="shared" si="166"/>
        <v>1.4383855732073889E-2</v>
      </c>
      <c r="D974">
        <f t="shared" ca="1" si="171"/>
        <v>2.4949050773678894E-3</v>
      </c>
      <c r="E974">
        <f t="shared" ca="1" si="172"/>
        <v>3.0578269680538155E-2</v>
      </c>
      <c r="F974">
        <f t="shared" ca="1" si="173"/>
        <v>0.31082019747040751</v>
      </c>
      <c r="G974">
        <f t="shared" ca="1" si="174"/>
        <v>7.0957704617859045</v>
      </c>
      <c r="H974">
        <f t="shared" ca="1" si="175"/>
        <v>0.8910411638734369</v>
      </c>
      <c r="I974">
        <f t="shared" ca="1" si="176"/>
        <v>1.843788976544509</v>
      </c>
      <c r="K974">
        <f t="shared" si="167"/>
        <v>1.0143838557320739</v>
      </c>
      <c r="L974" s="7">
        <f t="shared" ca="1" si="168"/>
        <v>1.1220612681073381</v>
      </c>
      <c r="M974">
        <f t="shared" ca="1" si="169"/>
        <v>2.2893551536938017</v>
      </c>
      <c r="O974" t="b">
        <f t="shared" ca="1" si="170"/>
        <v>0</v>
      </c>
    </row>
    <row r="975" spans="1:15" x14ac:dyDescent="0.45">
      <c r="A975" s="1">
        <v>43822</v>
      </c>
      <c r="B975">
        <v>27.948</v>
      </c>
      <c r="C975">
        <f t="shared" si="166"/>
        <v>3.3606639225127855E-2</v>
      </c>
      <c r="D975">
        <f t="shared" ca="1" si="171"/>
        <v>2.2930533944939984E-3</v>
      </c>
      <c r="E975">
        <f t="shared" ca="1" si="172"/>
        <v>3.0632591614109896E-2</v>
      </c>
      <c r="F975">
        <f t="shared" ca="1" si="173"/>
        <v>0.32476125956804353</v>
      </c>
      <c r="G975">
        <f t="shared" ca="1" si="174"/>
        <v>7.0362422688130595</v>
      </c>
      <c r="H975">
        <f t="shared" ca="1" si="175"/>
        <v>0.8910411638734369</v>
      </c>
      <c r="I975">
        <f t="shared" ca="1" si="176"/>
        <v>1.7907510627602736</v>
      </c>
      <c r="K975">
        <f t="shared" si="167"/>
        <v>1.0336066392251277</v>
      </c>
      <c r="L975" s="7">
        <f t="shared" ca="1" si="168"/>
        <v>1.0988743104512586</v>
      </c>
      <c r="M975">
        <f t="shared" ca="1" si="169"/>
        <v>2.277815234537544</v>
      </c>
      <c r="O975" t="b">
        <f t="shared" ca="1" si="170"/>
        <v>0</v>
      </c>
    </row>
    <row r="976" spans="1:15" x14ac:dyDescent="0.45">
      <c r="A976" s="1">
        <v>43819</v>
      </c>
      <c r="B976">
        <v>27.039300000000001</v>
      </c>
      <c r="C976">
        <f t="shared" si="166"/>
        <v>3.8350163350163659E-3</v>
      </c>
      <c r="D976">
        <f t="shared" ca="1" si="171"/>
        <v>2.2443273721081116E-3</v>
      </c>
      <c r="E976">
        <f t="shared" ca="1" si="172"/>
        <v>3.0590253456656495E-2</v>
      </c>
      <c r="F976">
        <f t="shared" ca="1" si="173"/>
        <v>0.3272730550437471</v>
      </c>
      <c r="G976">
        <f t="shared" ca="1" si="174"/>
        <v>7.0898791944666035</v>
      </c>
      <c r="H976">
        <f t="shared" ca="1" si="175"/>
        <v>0.8910411638734369</v>
      </c>
      <c r="I976">
        <f t="shared" ca="1" si="176"/>
        <v>1.7907510627602736</v>
      </c>
      <c r="K976">
        <f t="shared" si="167"/>
        <v>1.0038350163350163</v>
      </c>
      <c r="L976" s="7">
        <f t="shared" ca="1" si="168"/>
        <v>1.1316971292486828</v>
      </c>
      <c r="M976">
        <f t="shared" ca="1" si="169"/>
        <v>2.3095500652750327</v>
      </c>
      <c r="O976" t="b">
        <f t="shared" ca="1" si="170"/>
        <v>0</v>
      </c>
    </row>
    <row r="977" spans="1:15" x14ac:dyDescent="0.45">
      <c r="A977" s="1">
        <v>43818</v>
      </c>
      <c r="B977">
        <v>26.936</v>
      </c>
      <c r="C977">
        <f t="shared" si="166"/>
        <v>2.7699351392598208E-2</v>
      </c>
      <c r="D977">
        <f t="shared" ca="1" si="171"/>
        <v>2.3616542183804022E-3</v>
      </c>
      <c r="E977">
        <f t="shared" ca="1" si="172"/>
        <v>3.0641342350428674E-2</v>
      </c>
      <c r="F977">
        <f t="shared" ca="1" si="173"/>
        <v>0.31681027292587338</v>
      </c>
      <c r="G977">
        <f t="shared" ca="1" si="174"/>
        <v>7.0197247256093549</v>
      </c>
      <c r="H977">
        <f t="shared" ca="1" si="175"/>
        <v>0.8910411638734369</v>
      </c>
      <c r="I977">
        <f t="shared" ca="1" si="176"/>
        <v>1.8142316545334953</v>
      </c>
      <c r="K977">
        <f t="shared" si="167"/>
        <v>1.0276993513925983</v>
      </c>
      <c r="L977" s="7">
        <f t="shared" ca="1" si="168"/>
        <v>1.1233302889647898</v>
      </c>
      <c r="M977">
        <f t="shared" ca="1" si="169"/>
        <v>2.1994602766344169</v>
      </c>
      <c r="O977" t="b">
        <f t="shared" ca="1" si="170"/>
        <v>0</v>
      </c>
    </row>
    <row r="978" spans="1:15" x14ac:dyDescent="0.45">
      <c r="A978" s="1">
        <v>43817</v>
      </c>
      <c r="B978">
        <v>26.21</v>
      </c>
      <c r="C978">
        <f t="shared" si="166"/>
        <v>3.7362463389535451E-2</v>
      </c>
      <c r="D978">
        <f t="shared" ca="1" si="171"/>
        <v>2.2294834822688438E-3</v>
      </c>
      <c r="E978">
        <f t="shared" ca="1" si="172"/>
        <v>3.0588465477232523E-2</v>
      </c>
      <c r="F978">
        <f t="shared" ca="1" si="173"/>
        <v>0.32866470590031599</v>
      </c>
      <c r="G978">
        <f t="shared" ca="1" si="174"/>
        <v>7.0927465743175153</v>
      </c>
      <c r="H978">
        <f t="shared" ca="1" si="175"/>
        <v>0.8910411638734369</v>
      </c>
      <c r="I978">
        <f t="shared" ca="1" si="176"/>
        <v>1.7907510627602736</v>
      </c>
      <c r="K978">
        <f t="shared" si="167"/>
        <v>1.0373624633895355</v>
      </c>
      <c r="L978" s="7">
        <f t="shared" ca="1" si="168"/>
        <v>1.1146882828016484</v>
      </c>
      <c r="M978">
        <f t="shared" ca="1" si="169"/>
        <v>2.1901688569447315</v>
      </c>
      <c r="O978" t="b">
        <f t="shared" ca="1" si="170"/>
        <v>0</v>
      </c>
    </row>
    <row r="979" spans="1:15" x14ac:dyDescent="0.45">
      <c r="A979" s="1">
        <v>43816</v>
      </c>
      <c r="B979">
        <v>25.265999999999998</v>
      </c>
      <c r="C979">
        <f t="shared" si="166"/>
        <v>-6.5779902725954121E-3</v>
      </c>
      <c r="D979">
        <f t="shared" ca="1" si="171"/>
        <v>2.0372469952191939E-3</v>
      </c>
      <c r="E979">
        <f t="shared" ca="1" si="172"/>
        <v>3.0487204440112568E-2</v>
      </c>
      <c r="F979">
        <f t="shared" ca="1" si="173"/>
        <v>0.34328384979923054</v>
      </c>
      <c r="G979">
        <f t="shared" ca="1" si="174"/>
        <v>7.2275720025060393</v>
      </c>
      <c r="H979">
        <f t="shared" ca="1" si="175"/>
        <v>0.8910411638734369</v>
      </c>
      <c r="I979">
        <f t="shared" ca="1" si="176"/>
        <v>1.7479769380749393</v>
      </c>
      <c r="K979">
        <f t="shared" si="167"/>
        <v>0.99342200972740458</v>
      </c>
      <c r="L979" s="7">
        <f t="shared" ca="1" si="168"/>
        <v>1.0864293085655312</v>
      </c>
      <c r="M979">
        <f t="shared" ca="1" si="169"/>
        <v>2.1654171835496268</v>
      </c>
      <c r="O979" t="b">
        <f t="shared" ca="1" si="170"/>
        <v>0</v>
      </c>
    </row>
    <row r="980" spans="1:15" x14ac:dyDescent="0.45">
      <c r="A980" s="1">
        <v>43815</v>
      </c>
      <c r="B980">
        <v>25.433299999999999</v>
      </c>
      <c r="C980">
        <f t="shared" si="166"/>
        <v>6.4479945757490678E-2</v>
      </c>
      <c r="D980">
        <f t="shared" ca="1" si="171"/>
        <v>1.9155953149589586E-3</v>
      </c>
      <c r="E980">
        <f t="shared" ca="1" si="172"/>
        <v>3.0570183353413469E-2</v>
      </c>
      <c r="F980">
        <f t="shared" ca="1" si="173"/>
        <v>0.34631512142512494</v>
      </c>
      <c r="G980">
        <f t="shared" ca="1" si="174"/>
        <v>7.1289626674501774</v>
      </c>
      <c r="H980">
        <f t="shared" ca="1" si="175"/>
        <v>0.8910411638734369</v>
      </c>
      <c r="I980">
        <f t="shared" ca="1" si="176"/>
        <v>1.7112847570327545</v>
      </c>
      <c r="K980">
        <f t="shared" si="167"/>
        <v>1.0644799457574907</v>
      </c>
      <c r="L980" s="7">
        <f t="shared" ca="1" si="168"/>
        <v>1.1236122339885042</v>
      </c>
      <c r="M980">
        <f t="shared" ca="1" si="169"/>
        <v>2.198215831843322</v>
      </c>
      <c r="O980" t="b">
        <f t="shared" ca="1" si="170"/>
        <v>0</v>
      </c>
    </row>
    <row r="981" spans="1:15" x14ac:dyDescent="0.45">
      <c r="A981" s="1">
        <v>43812</v>
      </c>
      <c r="B981">
        <v>23.892700000000001</v>
      </c>
      <c r="C981">
        <f t="shared" si="166"/>
        <v>-3.5865163666086368E-3</v>
      </c>
      <c r="D981">
        <f t="shared" ca="1" si="171"/>
        <v>1.433243009680745E-3</v>
      </c>
      <c r="E981">
        <f t="shared" ca="1" si="172"/>
        <v>3.0338250528703519E-2</v>
      </c>
      <c r="F981">
        <f t="shared" ca="1" si="173"/>
        <v>0.35089988981087133</v>
      </c>
      <c r="G981">
        <f t="shared" ca="1" si="174"/>
        <v>7.3793062168563788</v>
      </c>
      <c r="H981">
        <f t="shared" ca="1" si="175"/>
        <v>0.84752668542929999</v>
      </c>
      <c r="I981">
        <f t="shared" ca="1" si="176"/>
        <v>1.5914198721936088</v>
      </c>
      <c r="K981">
        <f t="shared" si="167"/>
        <v>0.99641348363339133</v>
      </c>
      <c r="L981" s="7">
        <f t="shared" ca="1" si="168"/>
        <v>1.0669861160110212</v>
      </c>
      <c r="M981">
        <f t="shared" ca="1" si="169"/>
        <v>2.1934075072466297</v>
      </c>
      <c r="O981" t="b">
        <f t="shared" ca="1" si="170"/>
        <v>0</v>
      </c>
    </row>
    <row r="982" spans="1:15" x14ac:dyDescent="0.45">
      <c r="A982" s="1">
        <v>43811</v>
      </c>
      <c r="B982">
        <v>23.9787</v>
      </c>
      <c r="C982">
        <f t="shared" si="166"/>
        <v>1.9793053293242501E-2</v>
      </c>
      <c r="D982">
        <f t="shared" ca="1" si="171"/>
        <v>1.0590122925215107E-3</v>
      </c>
      <c r="E982">
        <f t="shared" ca="1" si="172"/>
        <v>3.0857659458538186E-2</v>
      </c>
      <c r="F982">
        <f t="shared" ca="1" si="173"/>
        <v>0.28224616977217504</v>
      </c>
      <c r="G982">
        <f t="shared" ca="1" si="174"/>
        <v>6.9403706151541931</v>
      </c>
      <c r="H982">
        <f t="shared" ca="1" si="175"/>
        <v>0.81963885580263929</v>
      </c>
      <c r="I982">
        <f t="shared" ca="1" si="176"/>
        <v>1.5364463597630895</v>
      </c>
      <c r="K982">
        <f t="shared" si="167"/>
        <v>1.0197930532932424</v>
      </c>
      <c r="L982" s="7">
        <f t="shared" ca="1" si="168"/>
        <v>1.0887185750543706</v>
      </c>
      <c r="M982">
        <f t="shared" ca="1" si="169"/>
        <v>2.2014989048324458</v>
      </c>
      <c r="O982" t="b">
        <f t="shared" ca="1" si="170"/>
        <v>0</v>
      </c>
    </row>
    <row r="983" spans="1:15" x14ac:dyDescent="0.45">
      <c r="A983" s="1">
        <v>43810</v>
      </c>
      <c r="B983">
        <v>23.513300000000001</v>
      </c>
      <c r="C983">
        <f t="shared" si="166"/>
        <v>1.1063811489508116E-2</v>
      </c>
      <c r="D983">
        <f t="shared" ca="1" si="171"/>
        <v>1.0416857093515366E-3</v>
      </c>
      <c r="E983">
        <f t="shared" ca="1" si="172"/>
        <v>3.0848058824444125E-2</v>
      </c>
      <c r="F983">
        <f t="shared" ca="1" si="173"/>
        <v>0.28369043317761872</v>
      </c>
      <c r="G983">
        <f t="shared" ca="1" si="174"/>
        <v>6.9530628294540184</v>
      </c>
      <c r="H983">
        <f t="shared" ca="1" si="175"/>
        <v>0.81963885580263929</v>
      </c>
      <c r="I983">
        <f t="shared" ca="1" si="176"/>
        <v>1.5007636761570426</v>
      </c>
      <c r="K983">
        <f t="shared" si="167"/>
        <v>1.0110638114895081</v>
      </c>
      <c r="L983" s="7">
        <f t="shared" ca="1" si="168"/>
        <v>1.0590622466444464</v>
      </c>
      <c r="M983">
        <f t="shared" ca="1" si="169"/>
        <v>2.2005282649790123</v>
      </c>
      <c r="O983" t="b">
        <f t="shared" ca="1" si="170"/>
        <v>0</v>
      </c>
    </row>
    <row r="984" spans="1:15" x14ac:dyDescent="0.45">
      <c r="A984" s="1">
        <v>43809</v>
      </c>
      <c r="B984">
        <v>23.256</v>
      </c>
      <c r="C984">
        <f t="shared" si="166"/>
        <v>2.7421770420537804E-2</v>
      </c>
      <c r="D984">
        <f t="shared" ca="1" si="171"/>
        <v>1.2697385101123142E-3</v>
      </c>
      <c r="E984">
        <f t="shared" ca="1" si="172"/>
        <v>3.109016673358813E-2</v>
      </c>
      <c r="F984">
        <f t="shared" ca="1" si="173"/>
        <v>0.28379861036397286</v>
      </c>
      <c r="G984">
        <f t="shared" ca="1" si="174"/>
        <v>6.6894396977704575</v>
      </c>
      <c r="H984">
        <f t="shared" ca="1" si="175"/>
        <v>0.8617214921797286</v>
      </c>
      <c r="I984">
        <f t="shared" ca="1" si="176"/>
        <v>1.5364463597630895</v>
      </c>
      <c r="K984">
        <f t="shared" si="167"/>
        <v>1.0274217704205377</v>
      </c>
      <c r="L984" s="7">
        <f t="shared" ca="1" si="168"/>
        <v>1.0375982117760434</v>
      </c>
      <c r="M984">
        <f t="shared" ca="1" si="169"/>
        <v>2.2010058362435219</v>
      </c>
      <c r="O984" t="b">
        <f t="shared" ca="1" si="170"/>
        <v>0</v>
      </c>
    </row>
    <row r="985" spans="1:15" x14ac:dyDescent="0.45">
      <c r="A985" s="1">
        <v>43808</v>
      </c>
      <c r="B985">
        <v>22.635300000000001</v>
      </c>
      <c r="C985">
        <f t="shared" si="166"/>
        <v>1.0833887829515845E-2</v>
      </c>
      <c r="D985">
        <f t="shared" ca="1" si="171"/>
        <v>1.117392184367693E-3</v>
      </c>
      <c r="E985">
        <f t="shared" ca="1" si="172"/>
        <v>3.1035978707013575E-2</v>
      </c>
      <c r="F985">
        <f t="shared" ca="1" si="173"/>
        <v>0.29711212185738262</v>
      </c>
      <c r="G985">
        <f t="shared" ca="1" si="174"/>
        <v>6.760801785785044</v>
      </c>
      <c r="H985">
        <f t="shared" ca="1" si="175"/>
        <v>0.8617214921797286</v>
      </c>
      <c r="I985">
        <f t="shared" ca="1" si="176"/>
        <v>1.5007636761570426</v>
      </c>
      <c r="K985">
        <f t="shared" si="167"/>
        <v>1.0108338878295158</v>
      </c>
      <c r="L985" s="7">
        <f t="shared" ca="1" si="168"/>
        <v>1.0139128409340323</v>
      </c>
      <c r="M985">
        <f t="shared" ca="1" si="169"/>
        <v>2.2133083827521647</v>
      </c>
      <c r="O985" t="b">
        <f t="shared" ca="1" si="170"/>
        <v>0</v>
      </c>
    </row>
    <row r="986" spans="1:15" x14ac:dyDescent="0.45">
      <c r="A986" s="1">
        <v>43805</v>
      </c>
      <c r="B986">
        <v>22.392700000000001</v>
      </c>
      <c r="C986">
        <f t="shared" si="166"/>
        <v>1.6708513623341165E-2</v>
      </c>
      <c r="D986">
        <f t="shared" ca="1" si="171"/>
        <v>1.1321126181288593E-3</v>
      </c>
      <c r="E986">
        <f t="shared" ca="1" si="172"/>
        <v>3.1041308156955754E-2</v>
      </c>
      <c r="F986">
        <f t="shared" ca="1" si="173"/>
        <v>0.2957107988073906</v>
      </c>
      <c r="G986">
        <f t="shared" ca="1" si="174"/>
        <v>6.75358869378445</v>
      </c>
      <c r="H986">
        <f t="shared" ca="1" si="175"/>
        <v>0.8617214921797286</v>
      </c>
      <c r="I986">
        <f t="shared" ca="1" si="176"/>
        <v>1.5007636761570426</v>
      </c>
      <c r="K986">
        <f t="shared" si="167"/>
        <v>1.0167085136233411</v>
      </c>
      <c r="L986" s="7">
        <f t="shared" ca="1" si="168"/>
        <v>1.0180350972904166</v>
      </c>
      <c r="M986">
        <f t="shared" ca="1" si="169"/>
        <v>2.2157056655357361</v>
      </c>
      <c r="O986" t="b">
        <f t="shared" ca="1" si="170"/>
        <v>0</v>
      </c>
    </row>
    <row r="987" spans="1:15" x14ac:dyDescent="0.45">
      <c r="A987" s="1">
        <v>43804</v>
      </c>
      <c r="B987">
        <v>22.024699999999999</v>
      </c>
      <c r="C987">
        <f t="shared" si="166"/>
        <v>-7.9857670480138025E-3</v>
      </c>
      <c r="D987">
        <f t="shared" ca="1" si="171"/>
        <v>1.1083167446292862E-3</v>
      </c>
      <c r="E987">
        <f t="shared" ca="1" si="172"/>
        <v>3.1031129974783394E-2</v>
      </c>
      <c r="F987">
        <f t="shared" ca="1" si="173"/>
        <v>0.29789866290448702</v>
      </c>
      <c r="G987">
        <f t="shared" ca="1" si="174"/>
        <v>6.7671280946800936</v>
      </c>
      <c r="H987">
        <f t="shared" ca="1" si="175"/>
        <v>0.8617214921797286</v>
      </c>
      <c r="I987">
        <f t="shared" ca="1" si="176"/>
        <v>1.5007636761570426</v>
      </c>
      <c r="K987">
        <f t="shared" si="167"/>
        <v>0.99201423295198621</v>
      </c>
      <c r="L987" s="7">
        <f t="shared" ca="1" si="168"/>
        <v>0.99722448609979186</v>
      </c>
      <c r="M987">
        <f t="shared" ca="1" si="169"/>
        <v>2.220402590329404</v>
      </c>
      <c r="O987" t="b">
        <f t="shared" ca="1" si="170"/>
        <v>1</v>
      </c>
    </row>
    <row r="988" spans="1:15" x14ac:dyDescent="0.45">
      <c r="A988" s="1">
        <v>43803</v>
      </c>
      <c r="B988">
        <v>22.202000000000002</v>
      </c>
      <c r="C988">
        <f t="shared" si="166"/>
        <v>-9.4274381728704747E-3</v>
      </c>
      <c r="D988">
        <f t="shared" ca="1" si="171"/>
        <v>9.6099377403217456E-4</v>
      </c>
      <c r="E988">
        <f t="shared" ca="1" si="172"/>
        <v>3.1144258522603861E-2</v>
      </c>
      <c r="F988">
        <f t="shared" ca="1" si="173"/>
        <v>0.29949240917291003</v>
      </c>
      <c r="G988">
        <f t="shared" ca="1" si="174"/>
        <v>6.6430993328666679</v>
      </c>
      <c r="H988">
        <f t="shared" ca="1" si="175"/>
        <v>0.8617214921797286</v>
      </c>
      <c r="I988">
        <f t="shared" ca="1" si="176"/>
        <v>1.4902669611320483</v>
      </c>
      <c r="K988">
        <f t="shared" si="167"/>
        <v>0.99057256182712949</v>
      </c>
      <c r="L988" s="7">
        <f t="shared" ca="1" si="168"/>
        <v>1.0124954396205763</v>
      </c>
      <c r="M988">
        <f t="shared" ca="1" si="169"/>
        <v>2.2349926139154306</v>
      </c>
      <c r="O988" t="b">
        <f t="shared" ca="1" si="170"/>
        <v>0</v>
      </c>
    </row>
    <row r="989" spans="1:15" x14ac:dyDescent="0.45">
      <c r="A989" s="1">
        <v>43802</v>
      </c>
      <c r="B989">
        <v>22.4133</v>
      </c>
      <c r="C989">
        <f t="shared" si="166"/>
        <v>3.9686983475701607E-3</v>
      </c>
      <c r="D989">
        <f t="shared" ca="1" si="171"/>
        <v>9.5775306933311996E-4</v>
      </c>
      <c r="E989">
        <f t="shared" ca="1" si="172"/>
        <v>3.114537862005819E-2</v>
      </c>
      <c r="F989">
        <f t="shared" ca="1" si="173"/>
        <v>0.29973790329001126</v>
      </c>
      <c r="G989">
        <f t="shared" ca="1" si="174"/>
        <v>6.6418504015247501</v>
      </c>
      <c r="H989">
        <f t="shared" ca="1" si="175"/>
        <v>0.8617214921797286</v>
      </c>
      <c r="I989">
        <f t="shared" ca="1" si="176"/>
        <v>1.4902669611320483</v>
      </c>
      <c r="K989">
        <f t="shared" si="167"/>
        <v>1.0039686983475702</v>
      </c>
      <c r="L989" s="7">
        <f t="shared" ca="1" si="168"/>
        <v>0.99958078197540889</v>
      </c>
      <c r="M989">
        <f t="shared" ca="1" si="169"/>
        <v>2.2294096113033768</v>
      </c>
      <c r="O989" t="b">
        <f t="shared" ca="1" si="170"/>
        <v>1</v>
      </c>
    </row>
    <row r="990" spans="1:15" x14ac:dyDescent="0.45">
      <c r="A990" s="1">
        <v>43801</v>
      </c>
      <c r="B990">
        <v>22.3247</v>
      </c>
      <c r="C990">
        <f t="shared" si="166"/>
        <v>1.4943626113838942E-2</v>
      </c>
      <c r="D990">
        <f t="shared" ca="1" si="171"/>
        <v>9.015398290410458E-4</v>
      </c>
      <c r="E990">
        <f t="shared" ca="1" si="172"/>
        <v>3.1150062343879199E-2</v>
      </c>
      <c r="F990">
        <f t="shared" ca="1" si="173"/>
        <v>0.30497293812445575</v>
      </c>
      <c r="G990">
        <f t="shared" ca="1" si="174"/>
        <v>6.638275972644414</v>
      </c>
      <c r="H990">
        <f t="shared" ca="1" si="175"/>
        <v>0.8617214921797286</v>
      </c>
      <c r="I990">
        <f t="shared" ca="1" si="176"/>
        <v>1.4902669611320483</v>
      </c>
      <c r="K990">
        <f t="shared" si="167"/>
        <v>1.0149436261138389</v>
      </c>
      <c r="L990" s="7">
        <f t="shared" ca="1" si="168"/>
        <v>1.0054948272057003</v>
      </c>
      <c r="M990">
        <f t="shared" ca="1" si="169"/>
        <v>2.2218235992503317</v>
      </c>
      <c r="O990" t="b">
        <f t="shared" ca="1" si="170"/>
        <v>0</v>
      </c>
    </row>
    <row r="991" spans="1:15" x14ac:dyDescent="0.45">
      <c r="A991" s="1">
        <v>43798</v>
      </c>
      <c r="B991">
        <v>21.995999999999999</v>
      </c>
      <c r="C991">
        <f t="shared" si="166"/>
        <v>-4.0749796251018681E-3</v>
      </c>
      <c r="D991">
        <f t="shared" ca="1" si="171"/>
        <v>8.9447167649795226E-4</v>
      </c>
      <c r="E991">
        <f t="shared" ca="1" si="172"/>
        <v>3.1147020324009646E-2</v>
      </c>
      <c r="F991">
        <f t="shared" ca="1" si="173"/>
        <v>0.30562316345049556</v>
      </c>
      <c r="G991">
        <f t="shared" ca="1" si="174"/>
        <v>6.6422684899210251</v>
      </c>
      <c r="H991">
        <f t="shared" ca="1" si="175"/>
        <v>0.8617214921797286</v>
      </c>
      <c r="I991">
        <f t="shared" ca="1" si="176"/>
        <v>1.4902669611320483</v>
      </c>
      <c r="K991">
        <f t="shared" si="167"/>
        <v>0.99592502037489816</v>
      </c>
      <c r="L991" s="7">
        <f t="shared" ca="1" si="168"/>
        <v>0.92985504305589006</v>
      </c>
      <c r="M991">
        <f t="shared" ca="1" si="169"/>
        <v>2.2794949456104354</v>
      </c>
      <c r="O991" t="b">
        <f t="shared" ca="1" si="170"/>
        <v>1</v>
      </c>
    </row>
    <row r="992" spans="1:15" x14ac:dyDescent="0.45">
      <c r="A992" s="1">
        <v>43796</v>
      </c>
      <c r="B992">
        <v>22.085999999999999</v>
      </c>
      <c r="C992">
        <f t="shared" si="166"/>
        <v>7.2053994892373992E-3</v>
      </c>
      <c r="D992">
        <f t="shared" ca="1" si="171"/>
        <v>8.4344129735000443E-4</v>
      </c>
      <c r="E992">
        <f t="shared" ca="1" si="172"/>
        <v>3.1163559322144659E-2</v>
      </c>
      <c r="F992">
        <f t="shared" ca="1" si="173"/>
        <v>0.30953339662320745</v>
      </c>
      <c r="G992">
        <f t="shared" ca="1" si="174"/>
        <v>6.6240583939990243</v>
      </c>
      <c r="H992">
        <f t="shared" ca="1" si="175"/>
        <v>0.8617214921797286</v>
      </c>
      <c r="I992">
        <f t="shared" ca="1" si="176"/>
        <v>1.4831309101862835</v>
      </c>
      <c r="K992">
        <f t="shared" si="167"/>
        <v>1.0072053994892374</v>
      </c>
      <c r="L992" s="7">
        <f t="shared" ca="1" si="168"/>
        <v>0.94057824737131224</v>
      </c>
      <c r="M992">
        <f t="shared" ca="1" si="169"/>
        <v>2.2998250795957245</v>
      </c>
      <c r="O992" t="b">
        <f t="shared" ca="1" si="170"/>
        <v>1</v>
      </c>
    </row>
    <row r="993" spans="1:15" x14ac:dyDescent="0.45">
      <c r="A993" s="1">
        <v>43795</v>
      </c>
      <c r="B993">
        <v>21.928000000000001</v>
      </c>
      <c r="C993">
        <f t="shared" si="166"/>
        <v>-2.2062463485664E-2</v>
      </c>
      <c r="D993">
        <f t="shared" ca="1" si="171"/>
        <v>7.4906136325499843E-4</v>
      </c>
      <c r="E993">
        <f t="shared" ca="1" si="172"/>
        <v>3.1172777018452828E-2</v>
      </c>
      <c r="F993">
        <f t="shared" ca="1" si="173"/>
        <v>0.31806205946196653</v>
      </c>
      <c r="G993">
        <f t="shared" ca="1" si="174"/>
        <v>6.6166250730149736</v>
      </c>
      <c r="H993">
        <f t="shared" ca="1" si="175"/>
        <v>0.8617214921797286</v>
      </c>
      <c r="I993">
        <f t="shared" ca="1" si="176"/>
        <v>1.4702482945730118</v>
      </c>
      <c r="K993">
        <f t="shared" si="167"/>
        <v>0.97793753651433601</v>
      </c>
      <c r="L993" s="7">
        <f t="shared" ca="1" si="168"/>
        <v>0.91488651535380494</v>
      </c>
      <c r="M993">
        <f t="shared" ca="1" si="169"/>
        <v>2.29690186221799</v>
      </c>
      <c r="O993" t="b">
        <f t="shared" ca="1" si="170"/>
        <v>1</v>
      </c>
    </row>
    <row r="994" spans="1:15" x14ac:dyDescent="0.45">
      <c r="A994" s="1">
        <v>43794</v>
      </c>
      <c r="B994">
        <v>22.422699999999999</v>
      </c>
      <c r="C994">
        <f t="shared" si="166"/>
        <v>9.9087047971642573E-3</v>
      </c>
      <c r="D994">
        <f t="shared" ca="1" si="171"/>
        <v>8.4290360013095913E-4</v>
      </c>
      <c r="E994">
        <f t="shared" ca="1" si="172"/>
        <v>3.1131983821667052E-2</v>
      </c>
      <c r="F994">
        <f t="shared" ca="1" si="173"/>
        <v>0.31216539356237438</v>
      </c>
      <c r="G994">
        <f t="shared" ca="1" si="174"/>
        <v>6.6619804690626898</v>
      </c>
      <c r="H994">
        <f t="shared" ca="1" si="175"/>
        <v>0.8617214921797286</v>
      </c>
      <c r="I994">
        <f t="shared" ca="1" si="176"/>
        <v>1.4835324483442933</v>
      </c>
      <c r="K994">
        <f t="shared" si="167"/>
        <v>1.0099087047971642</v>
      </c>
      <c r="L994" s="7">
        <f t="shared" ca="1" si="168"/>
        <v>0.96099894139983799</v>
      </c>
      <c r="M994">
        <f t="shared" ca="1" si="169"/>
        <v>2.2972929204826626</v>
      </c>
      <c r="O994" t="b">
        <f t="shared" ca="1" si="170"/>
        <v>1</v>
      </c>
    </row>
    <row r="995" spans="1:15" x14ac:dyDescent="0.45">
      <c r="A995" s="1">
        <v>43791</v>
      </c>
      <c r="B995">
        <v>22.2027</v>
      </c>
      <c r="C995">
        <f t="shared" si="166"/>
        <v>-6.1406957426031389E-2</v>
      </c>
      <c r="D995">
        <f t="shared" ca="1" si="171"/>
        <v>9.0845962634208022E-4</v>
      </c>
      <c r="E995">
        <f t="shared" ca="1" si="172"/>
        <v>3.1164956987505741E-2</v>
      </c>
      <c r="F995">
        <f t="shared" ca="1" si="173"/>
        <v>0.30650538688380896</v>
      </c>
      <c r="G995">
        <f t="shared" ca="1" si="174"/>
        <v>6.6195938563540215</v>
      </c>
      <c r="H995">
        <f t="shared" ca="1" si="175"/>
        <v>0.8617214921797286</v>
      </c>
      <c r="I995">
        <f t="shared" ca="1" si="176"/>
        <v>1.5188054362334498</v>
      </c>
      <c r="K995">
        <f t="shared" si="167"/>
        <v>0.93859304257396858</v>
      </c>
      <c r="L995" s="7">
        <f t="shared" ca="1" si="168"/>
        <v>0.94568106312292355</v>
      </c>
      <c r="M995">
        <f t="shared" ca="1" si="169"/>
        <v>2.2882903790036093</v>
      </c>
      <c r="O995" t="b">
        <f t="shared" ca="1" si="170"/>
        <v>1</v>
      </c>
    </row>
    <row r="996" spans="1:15" x14ac:dyDescent="0.45">
      <c r="A996" s="1">
        <v>43790</v>
      </c>
      <c r="B996">
        <v>23.6553</v>
      </c>
      <c r="C996">
        <f t="shared" si="166"/>
        <v>7.4101519081140946E-3</v>
      </c>
      <c r="D996">
        <f t="shared" ca="1" si="171"/>
        <v>1.1876904848258979E-3</v>
      </c>
      <c r="E996">
        <f t="shared" ca="1" si="172"/>
        <v>3.0852436944803118E-2</v>
      </c>
      <c r="F996">
        <f t="shared" ca="1" si="173"/>
        <v>0.33026531999110764</v>
      </c>
      <c r="G996">
        <f t="shared" ca="1" si="174"/>
        <v>6.9183184574374588</v>
      </c>
      <c r="H996">
        <f t="shared" ca="1" si="175"/>
        <v>0.8910411638734369</v>
      </c>
      <c r="I996">
        <f t="shared" ca="1" si="176"/>
        <v>1.525700071159596</v>
      </c>
      <c r="K996">
        <f t="shared" si="167"/>
        <v>1.007410151908114</v>
      </c>
      <c r="L996" s="7">
        <f t="shared" ca="1" si="168"/>
        <v>1.015684843280378</v>
      </c>
      <c r="M996">
        <f t="shared" ca="1" si="169"/>
        <v>2.2736671261284065</v>
      </c>
      <c r="O996" t="b">
        <f t="shared" ca="1" si="170"/>
        <v>0</v>
      </c>
    </row>
    <row r="997" spans="1:15" x14ac:dyDescent="0.45">
      <c r="A997" s="1">
        <v>43789</v>
      </c>
      <c r="B997">
        <v>23.481300000000001</v>
      </c>
      <c r="C997">
        <f t="shared" si="166"/>
        <v>-2.030624165554068E-2</v>
      </c>
      <c r="D997">
        <f t="shared" ca="1" si="171"/>
        <v>9.975992486445102E-4</v>
      </c>
      <c r="E997">
        <f t="shared" ca="1" si="172"/>
        <v>3.0930926958090892E-2</v>
      </c>
      <c r="F997">
        <f t="shared" ca="1" si="173"/>
        <v>0.34082592913568421</v>
      </c>
      <c r="G997">
        <f t="shared" ca="1" si="174"/>
        <v>6.8316532008399209</v>
      </c>
      <c r="H997">
        <f t="shared" ca="1" si="175"/>
        <v>0.8910411638734369</v>
      </c>
      <c r="I997">
        <f t="shared" ca="1" si="176"/>
        <v>1.5188054362334498</v>
      </c>
      <c r="K997">
        <f t="shared" si="167"/>
        <v>0.97969375834445938</v>
      </c>
      <c r="L997" s="7">
        <f t="shared" ca="1" si="168"/>
        <v>1.0176519025743265</v>
      </c>
      <c r="M997">
        <f t="shared" ca="1" si="169"/>
        <v>2.2922885694835995</v>
      </c>
      <c r="O997" t="b">
        <f t="shared" ca="1" si="170"/>
        <v>0</v>
      </c>
    </row>
    <row r="998" spans="1:15" x14ac:dyDescent="0.45">
      <c r="A998" s="1">
        <v>43788</v>
      </c>
      <c r="B998">
        <v>23.968</v>
      </c>
      <c r="C998">
        <f t="shared" si="166"/>
        <v>2.7227881899651599E-2</v>
      </c>
      <c r="D998">
        <f t="shared" ca="1" si="171"/>
        <v>1.0348779841472446E-3</v>
      </c>
      <c r="E998">
        <f t="shared" ca="1" si="172"/>
        <v>3.0909607585657146E-2</v>
      </c>
      <c r="F998">
        <f t="shared" ca="1" si="173"/>
        <v>0.33908237546356251</v>
      </c>
      <c r="G998">
        <f t="shared" ca="1" si="174"/>
        <v>6.856294465701553</v>
      </c>
      <c r="H998">
        <f t="shared" ca="1" si="175"/>
        <v>0.8910411638734369</v>
      </c>
      <c r="I998">
        <f t="shared" ca="1" si="176"/>
        <v>1.5188054362334498</v>
      </c>
      <c r="K998">
        <f t="shared" si="167"/>
        <v>1.0272278818996516</v>
      </c>
      <c r="L998" s="7">
        <f t="shared" ca="1" si="168"/>
        <v>1.0274040130825979</v>
      </c>
      <c r="M998">
        <f t="shared" ca="1" si="169"/>
        <v>2.219810587756621</v>
      </c>
      <c r="O998" t="b">
        <f t="shared" ca="1" si="170"/>
        <v>0</v>
      </c>
    </row>
    <row r="999" spans="1:15" x14ac:dyDescent="0.45">
      <c r="A999" s="1">
        <v>43787</v>
      </c>
      <c r="B999">
        <v>23.332699999999999</v>
      </c>
      <c r="C999">
        <f t="shared" si="166"/>
        <v>-6.1887724678423382E-3</v>
      </c>
      <c r="D999">
        <f t="shared" ca="1" si="171"/>
        <v>1.0339300719667298E-3</v>
      </c>
      <c r="E999">
        <f t="shared" ca="1" si="172"/>
        <v>3.0908803178666691E-2</v>
      </c>
      <c r="F999">
        <f t="shared" ca="1" si="173"/>
        <v>0.33913519378018908</v>
      </c>
      <c r="G999">
        <f t="shared" ca="1" si="174"/>
        <v>6.8572912675343849</v>
      </c>
      <c r="H999">
        <f t="shared" ca="1" si="175"/>
        <v>0.8910411638734369</v>
      </c>
      <c r="I999">
        <f t="shared" ca="1" si="176"/>
        <v>1.5188054362334498</v>
      </c>
      <c r="K999">
        <f t="shared" si="167"/>
        <v>0.99381122753215767</v>
      </c>
      <c r="L999" s="7">
        <f t="shared" ca="1" si="168"/>
        <v>1.0142006433104407</v>
      </c>
      <c r="M999">
        <f t="shared" ca="1" si="169"/>
        <v>2.2354572198562903</v>
      </c>
      <c r="O999" t="b">
        <f t="shared" ca="1" si="170"/>
        <v>0</v>
      </c>
    </row>
    <row r="1000" spans="1:15" x14ac:dyDescent="0.45">
      <c r="A1000" s="1">
        <v>43784</v>
      </c>
      <c r="B1000">
        <v>23.478000000000002</v>
      </c>
      <c r="C1000">
        <f t="shared" si="166"/>
        <v>8.0721339630743828E-3</v>
      </c>
      <c r="D1000">
        <f t="shared" ca="1" si="171"/>
        <v>1.0757560328934304E-3</v>
      </c>
      <c r="E1000">
        <f t="shared" ca="1" si="172"/>
        <v>3.0904639895089289E-2</v>
      </c>
      <c r="F1000">
        <f t="shared" ca="1" si="173"/>
        <v>0.33523614458380463</v>
      </c>
      <c r="G1000">
        <f t="shared" ca="1" si="174"/>
        <v>6.8607502261272417</v>
      </c>
      <c r="H1000">
        <f t="shared" ca="1" si="175"/>
        <v>0.8910411638734369</v>
      </c>
      <c r="I1000">
        <f t="shared" ca="1" si="176"/>
        <v>1.5188054362334498</v>
      </c>
      <c r="K1000">
        <f t="shared" si="167"/>
        <v>1.0080721339630745</v>
      </c>
      <c r="L1000" s="7">
        <f t="shared" ca="1" si="168"/>
        <v>1.0445808862786974</v>
      </c>
      <c r="M1000">
        <f t="shared" ca="1" si="169"/>
        <v>2.2701751493967586</v>
      </c>
      <c r="O1000" t="b">
        <f t="shared" ca="1" si="170"/>
        <v>0</v>
      </c>
    </row>
    <row r="1001" spans="1:15" x14ac:dyDescent="0.45">
      <c r="A1001" s="1">
        <v>43783</v>
      </c>
      <c r="B1001">
        <v>23.29</v>
      </c>
      <c r="C1001">
        <f t="shared" si="166"/>
        <v>9.3611857501949176E-3</v>
      </c>
      <c r="D1001">
        <f t="shared" ca="1" si="171"/>
        <v>1.1199175440434687E-3</v>
      </c>
      <c r="E1001">
        <f t="shared" ca="1" si="172"/>
        <v>3.092099386072324E-2</v>
      </c>
      <c r="F1001">
        <f t="shared" ca="1" si="173"/>
        <v>0.33099871950098547</v>
      </c>
      <c r="G1001">
        <f t="shared" ca="1" si="174"/>
        <v>6.8382089378074395</v>
      </c>
      <c r="H1001">
        <f t="shared" ca="1" si="175"/>
        <v>0.8910411638734369</v>
      </c>
      <c r="I1001">
        <f t="shared" ca="1" si="176"/>
        <v>1.5188054362334498</v>
      </c>
      <c r="K1001">
        <f t="shared" si="167"/>
        <v>1.009361185750195</v>
      </c>
      <c r="L1001" s="7">
        <f t="shared" ca="1" si="168"/>
        <v>1.0411590885722846</v>
      </c>
      <c r="M1001">
        <f t="shared" ca="1" si="169"/>
        <v>2.2527233254532231</v>
      </c>
      <c r="O1001" t="b">
        <f t="shared" ca="1" si="170"/>
        <v>0</v>
      </c>
    </row>
    <row r="1002" spans="1:15" x14ac:dyDescent="0.45">
      <c r="A1002" s="1">
        <v>43782</v>
      </c>
      <c r="B1002">
        <v>23.074000000000002</v>
      </c>
      <c r="C1002">
        <f t="shared" si="166"/>
        <v>-1.0917882265192646E-2</v>
      </c>
      <c r="D1002">
        <f t="shared" ca="1" si="171"/>
        <v>1.0447653192570884E-3</v>
      </c>
      <c r="E1002">
        <f t="shared" ca="1" si="172"/>
        <v>3.0919128526074931E-2</v>
      </c>
      <c r="F1002">
        <f t="shared" ca="1" si="173"/>
        <v>0.33827426026766305</v>
      </c>
      <c r="G1002">
        <f t="shared" ca="1" si="174"/>
        <v>6.8438993241891604</v>
      </c>
      <c r="H1002">
        <f t="shared" ca="1" si="175"/>
        <v>0.8910411638734369</v>
      </c>
      <c r="I1002">
        <f t="shared" ca="1" si="176"/>
        <v>1.5188054362334498</v>
      </c>
      <c r="K1002">
        <f t="shared" si="167"/>
        <v>0.98908211773480736</v>
      </c>
      <c r="L1002" s="7">
        <f t="shared" ca="1" si="168"/>
        <v>1.0598015800110239</v>
      </c>
      <c r="M1002">
        <f t="shared" ca="1" si="169"/>
        <v>2.2732147025078517</v>
      </c>
      <c r="O1002" t="b">
        <f t="shared" ca="1" si="170"/>
        <v>0</v>
      </c>
    </row>
    <row r="1003" spans="1:15" x14ac:dyDescent="0.45">
      <c r="A1003" s="1">
        <v>43781</v>
      </c>
      <c r="B1003">
        <v>23.328700000000001</v>
      </c>
      <c r="C1003">
        <f t="shared" si="166"/>
        <v>1.4026775623750374E-2</v>
      </c>
      <c r="D1003">
        <f t="shared" ca="1" si="171"/>
        <v>1.2894640055960372E-3</v>
      </c>
      <c r="E1003">
        <f t="shared" ca="1" si="172"/>
        <v>3.1017480400475056E-2</v>
      </c>
      <c r="F1003">
        <f t="shared" ca="1" si="173"/>
        <v>0.32005089374822476</v>
      </c>
      <c r="G1003">
        <f t="shared" ca="1" si="174"/>
        <v>6.7187162546901424</v>
      </c>
      <c r="H1003">
        <f t="shared" ca="1" si="175"/>
        <v>0.8910411638734369</v>
      </c>
      <c r="I1003">
        <f t="shared" ca="1" si="176"/>
        <v>1.5315472160489669</v>
      </c>
      <c r="K1003">
        <f t="shared" si="167"/>
        <v>1.0140267756237504</v>
      </c>
      <c r="L1003" s="7">
        <f t="shared" ca="1" si="168"/>
        <v>1.1031161339133726</v>
      </c>
      <c r="M1003">
        <f t="shared" ca="1" si="169"/>
        <v>2.313027873414379</v>
      </c>
      <c r="O1003" t="b">
        <f t="shared" ca="1" si="170"/>
        <v>0</v>
      </c>
    </row>
    <row r="1004" spans="1:15" x14ac:dyDescent="0.45">
      <c r="A1004" s="1">
        <v>43780</v>
      </c>
      <c r="B1004">
        <v>23.006</v>
      </c>
      <c r="C1004">
        <f t="shared" si="166"/>
        <v>2.3580708311087432E-2</v>
      </c>
      <c r="D1004">
        <f t="shared" ca="1" si="171"/>
        <v>1.2375499496315766E-3</v>
      </c>
      <c r="E1004">
        <f t="shared" ca="1" si="172"/>
        <v>3.1004741049319016E-2</v>
      </c>
      <c r="F1004">
        <f t="shared" ca="1" si="173"/>
        <v>0.32516977309498685</v>
      </c>
      <c r="G1004">
        <f t="shared" ca="1" si="174"/>
        <v>6.7368318039816062</v>
      </c>
      <c r="H1004">
        <f t="shared" ca="1" si="175"/>
        <v>0.8910411638734369</v>
      </c>
      <c r="I1004">
        <f t="shared" ca="1" si="176"/>
        <v>1.5315472160489669</v>
      </c>
      <c r="K1004">
        <f t="shared" si="167"/>
        <v>1.0235807083110875</v>
      </c>
      <c r="L1004" s="7">
        <f t="shared" ca="1" si="168"/>
        <v>1.0869986345187981</v>
      </c>
      <c r="M1004">
        <f t="shared" ca="1" si="169"/>
        <v>2.3224365615607914</v>
      </c>
      <c r="O1004" t="b">
        <f t="shared" ca="1" si="170"/>
        <v>0</v>
      </c>
    </row>
    <row r="1005" spans="1:15" x14ac:dyDescent="0.45">
      <c r="A1005" s="1">
        <v>43777</v>
      </c>
      <c r="B1005">
        <v>22.475999999999999</v>
      </c>
      <c r="C1005">
        <f t="shared" si="166"/>
        <v>4.7699302168597146E-3</v>
      </c>
      <c r="D1005">
        <f t="shared" ca="1" si="171"/>
        <v>1.1085368119099599E-3</v>
      </c>
      <c r="E1005">
        <f t="shared" ca="1" si="172"/>
        <v>3.0964960085242483E-2</v>
      </c>
      <c r="F1005">
        <f t="shared" ca="1" si="173"/>
        <v>0.33713622437302565</v>
      </c>
      <c r="G1005">
        <f t="shared" ca="1" si="174"/>
        <v>6.7914221617586792</v>
      </c>
      <c r="H1005">
        <f t="shared" ca="1" si="175"/>
        <v>0.8910411638734369</v>
      </c>
      <c r="I1005">
        <f t="shared" ca="1" si="176"/>
        <v>1.5188054362334498</v>
      </c>
      <c r="K1005">
        <f t="shared" si="167"/>
        <v>1.0047699302168598</v>
      </c>
      <c r="L1005" s="7">
        <f t="shared" ca="1" si="168"/>
        <v>1.0760605726924974</v>
      </c>
      <c r="M1005">
        <f t="shared" ca="1" si="169"/>
        <v>2.2360828068864422</v>
      </c>
      <c r="O1005" t="b">
        <f t="shared" ca="1" si="170"/>
        <v>0</v>
      </c>
    </row>
    <row r="1006" spans="1:15" x14ac:dyDescent="0.45">
      <c r="A1006" s="1">
        <v>43776</v>
      </c>
      <c r="B1006">
        <v>22.369299999999999</v>
      </c>
      <c r="C1006">
        <f t="shared" si="166"/>
        <v>2.7434319309204511E-2</v>
      </c>
      <c r="D1006">
        <f t="shared" ca="1" si="171"/>
        <v>1.1795466853702736E-3</v>
      </c>
      <c r="E1006">
        <f t="shared" ca="1" si="172"/>
        <v>3.0989673065185463E-2</v>
      </c>
      <c r="F1006">
        <f t="shared" ca="1" si="173"/>
        <v>0.33035046671745666</v>
      </c>
      <c r="G1006">
        <f t="shared" ca="1" si="174"/>
        <v>6.7575296447240936</v>
      </c>
      <c r="H1006">
        <f t="shared" ca="1" si="175"/>
        <v>0.8910411638734369</v>
      </c>
      <c r="I1006">
        <f t="shared" ca="1" si="176"/>
        <v>1.5315472160489669</v>
      </c>
      <c r="K1006">
        <f t="shared" si="167"/>
        <v>1.0274343193092046</v>
      </c>
      <c r="L1006" s="7">
        <f t="shared" ca="1" si="168"/>
        <v>1.0654736671636176</v>
      </c>
      <c r="M1006">
        <f t="shared" ca="1" si="169"/>
        <v>2.2261774785613011</v>
      </c>
      <c r="O1006" t="b">
        <f t="shared" ca="1" si="170"/>
        <v>0</v>
      </c>
    </row>
    <row r="1007" spans="1:15" x14ac:dyDescent="0.45">
      <c r="A1007" s="1">
        <v>43775</v>
      </c>
      <c r="B1007">
        <v>21.771999999999998</v>
      </c>
      <c r="C1007">
        <f t="shared" si="166"/>
        <v>2.9506336296576452E-2</v>
      </c>
      <c r="D1007">
        <f t="shared" ca="1" si="171"/>
        <v>1.1105188557428384E-3</v>
      </c>
      <c r="E1007">
        <f t="shared" ca="1" si="172"/>
        <v>3.0946243242531996E-2</v>
      </c>
      <c r="F1007">
        <f t="shared" ca="1" si="173"/>
        <v>0.33573338278780385</v>
      </c>
      <c r="G1007">
        <f t="shared" ca="1" si="174"/>
        <v>6.8131552531743411</v>
      </c>
      <c r="H1007">
        <f t="shared" ca="1" si="175"/>
        <v>0.8910411638734369</v>
      </c>
      <c r="I1007">
        <f t="shared" ca="1" si="176"/>
        <v>1.5188054362334498</v>
      </c>
      <c r="K1007">
        <f t="shared" si="167"/>
        <v>1.0295063362965764</v>
      </c>
      <c r="L1007" s="7">
        <f t="shared" ca="1" si="168"/>
        <v>1.0367273471836653</v>
      </c>
      <c r="M1007">
        <f t="shared" ca="1" si="169"/>
        <v>2.220013358972373</v>
      </c>
      <c r="O1007" t="b">
        <f t="shared" ca="1" si="170"/>
        <v>0</v>
      </c>
    </row>
    <row r="1008" spans="1:15" x14ac:dyDescent="0.45">
      <c r="A1008" s="1">
        <v>43774</v>
      </c>
      <c r="B1008">
        <v>21.148</v>
      </c>
      <c r="C1008">
        <f t="shared" si="166"/>
        <v>-7.8904969123116129E-4</v>
      </c>
      <c r="D1008">
        <f t="shared" ca="1" si="171"/>
        <v>7.7347994824630557E-4</v>
      </c>
      <c r="E1008">
        <f t="shared" ca="1" si="172"/>
        <v>3.1002448925875201E-2</v>
      </c>
      <c r="F1008">
        <f t="shared" ca="1" si="173"/>
        <v>0.35284146080716822</v>
      </c>
      <c r="G1008">
        <f t="shared" ca="1" si="174"/>
        <v>6.7661193748183761</v>
      </c>
      <c r="H1008">
        <f t="shared" ca="1" si="175"/>
        <v>0.8910411638734369</v>
      </c>
      <c r="I1008">
        <f t="shared" ca="1" si="176"/>
        <v>1.4702482945730118</v>
      </c>
      <c r="K1008">
        <f t="shared" si="167"/>
        <v>0.99921095030876883</v>
      </c>
      <c r="L1008" s="7">
        <f t="shared" ca="1" si="168"/>
        <v>1.0031639415026588</v>
      </c>
      <c r="M1008">
        <f t="shared" ca="1" si="169"/>
        <v>2.1834431463855619</v>
      </c>
      <c r="O1008" t="b">
        <f t="shared" ca="1" si="170"/>
        <v>0</v>
      </c>
    </row>
    <row r="1009" spans="1:15" x14ac:dyDescent="0.45">
      <c r="A1009" s="1">
        <v>43773</v>
      </c>
      <c r="B1009">
        <v>21.1647</v>
      </c>
      <c r="C1009">
        <f t="shared" si="166"/>
        <v>1.3280797422357131E-2</v>
      </c>
      <c r="D1009">
        <f t="shared" ca="1" si="171"/>
        <v>7.2216657045126435E-4</v>
      </c>
      <c r="E1009">
        <f t="shared" ca="1" si="172"/>
        <v>3.1013539222618187E-2</v>
      </c>
      <c r="F1009">
        <f t="shared" ca="1" si="173"/>
        <v>0.35719613332363803</v>
      </c>
      <c r="G1009">
        <f t="shared" ca="1" si="174"/>
        <v>6.7545966636014247</v>
      </c>
      <c r="H1009">
        <f t="shared" ca="1" si="175"/>
        <v>0.8910411638734369</v>
      </c>
      <c r="I1009">
        <f t="shared" ca="1" si="176"/>
        <v>1.4702482945730118</v>
      </c>
      <c r="K1009">
        <f t="shared" si="167"/>
        <v>1.0132807974223572</v>
      </c>
      <c r="L1009" s="7">
        <f t="shared" ca="1" si="168"/>
        <v>0.96875586456907714</v>
      </c>
      <c r="M1009">
        <f t="shared" ca="1" si="169"/>
        <v>2.1829199367412513</v>
      </c>
      <c r="O1009" t="b">
        <f t="shared" ca="1" si="170"/>
        <v>1</v>
      </c>
    </row>
    <row r="1010" spans="1:15" x14ac:dyDescent="0.45">
      <c r="A1010" s="1">
        <v>43770</v>
      </c>
      <c r="B1010">
        <v>20.8873</v>
      </c>
      <c r="C1010">
        <f t="shared" si="166"/>
        <v>-5.1155767884276471E-3</v>
      </c>
      <c r="D1010">
        <f t="shared" ca="1" si="171"/>
        <v>7.2137364879623632E-6</v>
      </c>
      <c r="E1010">
        <f t="shared" ca="1" si="172"/>
        <v>3.2342282373854885E-2</v>
      </c>
      <c r="F1010">
        <f t="shared" ca="1" si="173"/>
        <v>4.8727356525159825E-2</v>
      </c>
      <c r="G1010">
        <f t="shared" ca="1" si="174"/>
        <v>6.6117885674789116</v>
      </c>
      <c r="H1010">
        <f t="shared" ca="1" si="175"/>
        <v>0.8617214921797286</v>
      </c>
      <c r="I1010">
        <f t="shared" ca="1" si="176"/>
        <v>1.4641376821099519</v>
      </c>
      <c r="K1010">
        <f t="shared" si="167"/>
        <v>0.99488442321157233</v>
      </c>
      <c r="L1010" s="7">
        <f t="shared" ca="1" si="168"/>
        <v>0.9548349051213012</v>
      </c>
      <c r="M1010">
        <f t="shared" ca="1" si="169"/>
        <v>2.1730986571124826</v>
      </c>
      <c r="O1010" t="b">
        <f t="shared" ca="1" si="170"/>
        <v>1</v>
      </c>
    </row>
    <row r="1011" spans="1:15" x14ac:dyDescent="0.45">
      <c r="A1011" s="1">
        <v>43769</v>
      </c>
      <c r="B1011">
        <v>20.994700000000002</v>
      </c>
      <c r="C1011">
        <f t="shared" si="166"/>
        <v>-2.8570476222205334E-4</v>
      </c>
      <c r="D1011">
        <f t="shared" ca="1" si="171"/>
        <v>5.0997082068592305E-5</v>
      </c>
      <c r="E1011">
        <f t="shared" ca="1" si="172"/>
        <v>3.2341239701105341E-2</v>
      </c>
      <c r="F1011">
        <f t="shared" ca="1" si="173"/>
        <v>4.4657036765878247E-2</v>
      </c>
      <c r="G1011">
        <f t="shared" ca="1" si="174"/>
        <v>6.6127735513480443</v>
      </c>
      <c r="H1011">
        <f t="shared" ca="1" si="175"/>
        <v>0.8617214921797286</v>
      </c>
      <c r="I1011">
        <f t="shared" ca="1" si="176"/>
        <v>1.4641376821099519</v>
      </c>
      <c r="K1011">
        <f t="shared" si="167"/>
        <v>0.99971429523777799</v>
      </c>
      <c r="L1011" s="7">
        <f t="shared" ca="1" si="168"/>
        <v>1.0508541596800596</v>
      </c>
      <c r="M1011">
        <f t="shared" ca="1" si="169"/>
        <v>2.2149031631826492</v>
      </c>
      <c r="O1011" t="b">
        <f t="shared" ca="1" si="170"/>
        <v>0</v>
      </c>
    </row>
    <row r="1012" spans="1:15" x14ac:dyDescent="0.45">
      <c r="A1012" s="1">
        <v>43768</v>
      </c>
      <c r="B1012">
        <v>21.000699999999998</v>
      </c>
      <c r="C1012">
        <f t="shared" si="166"/>
        <v>-3.823293629899506E-3</v>
      </c>
      <c r="D1012">
        <f t="shared" ca="1" si="171"/>
        <v>7.5942721113567648E-5</v>
      </c>
      <c r="E1012">
        <f t="shared" ca="1" si="172"/>
        <v>3.2342902768396943E-2</v>
      </c>
      <c r="F1012">
        <f t="shared" ca="1" si="173"/>
        <v>4.2328030493271891E-2</v>
      </c>
      <c r="G1012">
        <f t="shared" ca="1" si="174"/>
        <v>6.6106524417503012</v>
      </c>
      <c r="H1012">
        <f t="shared" ca="1" si="175"/>
        <v>0.8617214921797286</v>
      </c>
      <c r="I1012">
        <f t="shared" ca="1" si="176"/>
        <v>1.4641376821099519</v>
      </c>
      <c r="K1012">
        <f t="shared" si="167"/>
        <v>0.99617670637010047</v>
      </c>
      <c r="L1012" s="7">
        <f t="shared" ca="1" si="168"/>
        <v>1.2368850383127092</v>
      </c>
      <c r="M1012">
        <f t="shared" ca="1" si="169"/>
        <v>1.0661610451677914</v>
      </c>
      <c r="O1012" t="b">
        <f t="shared" ca="1" si="170"/>
        <v>0</v>
      </c>
    </row>
    <row r="1013" spans="1:15" x14ac:dyDescent="0.45">
      <c r="A1013" s="1">
        <v>43767</v>
      </c>
      <c r="B1013">
        <v>21.081299999999999</v>
      </c>
      <c r="C1013">
        <f t="shared" si="166"/>
        <v>-3.5061540785360286E-2</v>
      </c>
      <c r="D1013">
        <f t="shared" ca="1" si="171"/>
        <v>2.4503698528249683E-4</v>
      </c>
      <c r="E1013">
        <f t="shared" ca="1" si="172"/>
        <v>3.2410748680031298E-2</v>
      </c>
      <c r="F1013">
        <f t="shared" ca="1" si="173"/>
        <v>3.0254803807037066E-2</v>
      </c>
      <c r="G1013">
        <f t="shared" ca="1" si="174"/>
        <v>6.5329977415292406</v>
      </c>
      <c r="H1013">
        <f t="shared" ca="1" si="175"/>
        <v>0.8617214921797286</v>
      </c>
      <c r="I1013">
        <f t="shared" ca="1" si="176"/>
        <v>1.4989495332337748</v>
      </c>
      <c r="K1013">
        <f t="shared" si="167"/>
        <v>0.96493845921463972</v>
      </c>
      <c r="L1013" s="7">
        <f t="shared" ca="1" si="168"/>
        <v>1.23725988485037</v>
      </c>
      <c r="M1013">
        <f t="shared" ca="1" si="169"/>
        <v>1.0614132730282426</v>
      </c>
      <c r="O1013" t="b">
        <f t="shared" ca="1" si="170"/>
        <v>0</v>
      </c>
    </row>
    <row r="1014" spans="1:15" x14ac:dyDescent="0.45">
      <c r="A1014" s="1">
        <v>43766</v>
      </c>
      <c r="B1014">
        <v>21.847300000000001</v>
      </c>
      <c r="C1014">
        <f t="shared" si="166"/>
        <v>-1.2799824459549672E-3</v>
      </c>
      <c r="D1014">
        <f t="shared" ca="1" si="171"/>
        <v>2.3516670323047451E-4</v>
      </c>
      <c r="E1014">
        <f t="shared" ca="1" si="172"/>
        <v>3.2421853565552758E-2</v>
      </c>
      <c r="F1014">
        <f t="shared" ca="1" si="173"/>
        <v>2.9984143246048409E-2</v>
      </c>
      <c r="G1014">
        <f t="shared" ca="1" si="174"/>
        <v>6.5216883916882695</v>
      </c>
      <c r="H1014">
        <f t="shared" ca="1" si="175"/>
        <v>0.8617214921797286</v>
      </c>
      <c r="I1014">
        <f t="shared" ca="1" si="176"/>
        <v>1.4989495332337748</v>
      </c>
      <c r="K1014">
        <f t="shared" si="167"/>
        <v>0.99872001755404505</v>
      </c>
      <c r="L1014" s="7">
        <f t="shared" ca="1" si="168"/>
        <v>1.2927396449704143</v>
      </c>
      <c r="M1014">
        <f t="shared" ca="1" si="169"/>
        <v>1.0503556831806167</v>
      </c>
      <c r="O1014" t="b">
        <f t="shared" ca="1" si="170"/>
        <v>0</v>
      </c>
    </row>
    <row r="1015" spans="1:15" x14ac:dyDescent="0.45">
      <c r="A1015" s="1">
        <v>43763</v>
      </c>
      <c r="B1015">
        <v>21.875299999999999</v>
      </c>
      <c r="C1015">
        <f t="shared" si="166"/>
        <v>9.4931101623228709E-2</v>
      </c>
      <c r="D1015">
        <f t="shared" ca="1" si="171"/>
        <v>2.7476515446364018E-4</v>
      </c>
      <c r="E1015">
        <f t="shared" ca="1" si="172"/>
        <v>3.2424829960760307E-2</v>
      </c>
      <c r="F1015">
        <f t="shared" ca="1" si="173"/>
        <v>2.6314795149279906E-2</v>
      </c>
      <c r="G1015">
        <f t="shared" ca="1" si="174"/>
        <v>6.5180434275285011</v>
      </c>
      <c r="H1015">
        <f t="shared" ca="1" si="175"/>
        <v>0.8617214921797286</v>
      </c>
      <c r="I1015">
        <f t="shared" ca="1" si="176"/>
        <v>1.4989495332337748</v>
      </c>
      <c r="K1015">
        <f t="shared" si="167"/>
        <v>1.0949311016232288</v>
      </c>
      <c r="L1015" s="7">
        <f t="shared" ca="1" si="168"/>
        <v>1.2770169293636893</v>
      </c>
      <c r="M1015">
        <f t="shared" ca="1" si="169"/>
        <v>1.0438858833462334</v>
      </c>
      <c r="O1015" t="b">
        <f t="shared" ca="1" si="170"/>
        <v>0</v>
      </c>
    </row>
    <row r="1016" spans="1:15" x14ac:dyDescent="0.45">
      <c r="A1016" s="1">
        <v>43762</v>
      </c>
      <c r="B1016">
        <v>19.9787</v>
      </c>
      <c r="C1016">
        <f t="shared" si="166"/>
        <v>0.17669197288367189</v>
      </c>
      <c r="D1016">
        <f t="shared" ca="1" si="171"/>
        <v>-1.0478075496051084E-4</v>
      </c>
      <c r="E1016">
        <f t="shared" ca="1" si="172"/>
        <v>3.174849125926562E-2</v>
      </c>
      <c r="F1016">
        <f t="shared" ca="1" si="173"/>
        <v>-6.9215429257578884E-2</v>
      </c>
      <c r="G1016">
        <f t="shared" ca="1" si="174"/>
        <v>6.9465655762108396</v>
      </c>
      <c r="H1016">
        <f t="shared" ca="1" si="175"/>
        <v>0.81963885580263929</v>
      </c>
      <c r="I1016">
        <f t="shared" ca="1" si="176"/>
        <v>1.4989495332337748</v>
      </c>
      <c r="K1016">
        <f t="shared" si="167"/>
        <v>1.1766919728836718</v>
      </c>
      <c r="L1016" s="7">
        <f t="shared" ca="1" si="168"/>
        <v>1.1439475055397457</v>
      </c>
      <c r="M1016">
        <f t="shared" ca="1" si="169"/>
        <v>1.049524825892862</v>
      </c>
      <c r="O1016" t="b">
        <f t="shared" ca="1" si="170"/>
        <v>0</v>
      </c>
    </row>
    <row r="1017" spans="1:15" x14ac:dyDescent="0.45">
      <c r="A1017" s="1">
        <v>43761</v>
      </c>
      <c r="B1017">
        <v>16.9787</v>
      </c>
      <c r="C1017">
        <f t="shared" si="166"/>
        <v>-3.5213954116217038E-3</v>
      </c>
      <c r="D1017">
        <f t="shared" ca="1" si="171"/>
        <v>-9.4082753963096609E-4</v>
      </c>
      <c r="E1017">
        <f t="shared" ca="1" si="172"/>
        <v>2.9165995549635722E-2</v>
      </c>
      <c r="F1017">
        <f t="shared" ca="1" si="173"/>
        <v>-1.1327967217337915</v>
      </c>
      <c r="G1017">
        <f t="shared" ca="1" si="174"/>
        <v>3.854019062019046</v>
      </c>
      <c r="H1017">
        <f t="shared" ca="1" si="175"/>
        <v>0.80513777019240407</v>
      </c>
      <c r="I1017">
        <f t="shared" ca="1" si="176"/>
        <v>1.4641376821099519</v>
      </c>
      <c r="K1017">
        <f t="shared" si="167"/>
        <v>0.99647860458837834</v>
      </c>
      <c r="L1017" s="7">
        <f t="shared" ca="1" si="168"/>
        <v>0.98048126952594883</v>
      </c>
      <c r="M1017">
        <f t="shared" ca="1" si="169"/>
        <v>1.0738018446211237</v>
      </c>
      <c r="O1017" t="b">
        <f t="shared" ca="1" si="170"/>
        <v>1</v>
      </c>
    </row>
    <row r="1018" spans="1:15" x14ac:dyDescent="0.45">
      <c r="A1018" s="1">
        <v>43760</v>
      </c>
      <c r="B1018">
        <v>17.038699999999999</v>
      </c>
      <c r="C1018">
        <f t="shared" si="166"/>
        <v>8.2071005917159802E-3</v>
      </c>
      <c r="D1018">
        <f t="shared" ca="1" si="171"/>
        <v>-9.1739898062513539E-4</v>
      </c>
      <c r="E1018">
        <f t="shared" ca="1" si="172"/>
        <v>2.916579418214884E-2</v>
      </c>
      <c r="F1018">
        <f t="shared" ca="1" si="173"/>
        <v>-1.1352489699335984</v>
      </c>
      <c r="G1018">
        <f t="shared" ca="1" si="174"/>
        <v>3.857927245084336</v>
      </c>
      <c r="H1018">
        <f t="shared" ca="1" si="175"/>
        <v>0.80513777019240407</v>
      </c>
      <c r="I1018">
        <f t="shared" ca="1" si="176"/>
        <v>1.4641376821099519</v>
      </c>
      <c r="K1018">
        <f t="shared" si="167"/>
        <v>1.0082071005917159</v>
      </c>
      <c r="L1018" s="7">
        <f t="shared" ca="1" si="168"/>
        <v>0.99104270998737831</v>
      </c>
      <c r="M1018">
        <f t="shared" ca="1" si="169"/>
        <v>1.084949009033807</v>
      </c>
      <c r="O1018" t="b">
        <f t="shared" ca="1" si="170"/>
        <v>1</v>
      </c>
    </row>
    <row r="1019" spans="1:15" x14ac:dyDescent="0.45">
      <c r="A1019" s="1">
        <v>43759</v>
      </c>
      <c r="B1019">
        <v>16.899999999999999</v>
      </c>
      <c r="C1019">
        <f t="shared" si="166"/>
        <v>-1.3426736719206097E-2</v>
      </c>
      <c r="D1019">
        <f t="shared" ca="1" si="171"/>
        <v>-6.8661246869181633E-4</v>
      </c>
      <c r="E1019">
        <f t="shared" ca="1" si="172"/>
        <v>2.9419871173857581E-2</v>
      </c>
      <c r="F1019">
        <f t="shared" ca="1" si="173"/>
        <v>-1.0963355882114736</v>
      </c>
      <c r="G1019">
        <f t="shared" ca="1" si="174"/>
        <v>3.7217490636622284</v>
      </c>
      <c r="H1019">
        <f t="shared" ca="1" si="175"/>
        <v>0.81963885580263929</v>
      </c>
      <c r="I1019">
        <f t="shared" ca="1" si="176"/>
        <v>1.4989495332337748</v>
      </c>
      <c r="K1019">
        <f t="shared" si="167"/>
        <v>0.98657326328079387</v>
      </c>
      <c r="L1019" s="7">
        <f t="shared" ca="1" si="168"/>
        <v>0.98653294961676985</v>
      </c>
      <c r="M1019">
        <f t="shared" ca="1" si="169"/>
        <v>1.091641011116073</v>
      </c>
      <c r="O1019" t="b">
        <f t="shared" ca="1" si="170"/>
        <v>1</v>
      </c>
    </row>
    <row r="1020" spans="1:15" x14ac:dyDescent="0.45">
      <c r="A1020" s="1">
        <v>43756</v>
      </c>
      <c r="B1020">
        <v>17.13</v>
      </c>
      <c r="C1020">
        <f t="shared" si="166"/>
        <v>-1.9164371560920115E-2</v>
      </c>
      <c r="D1020">
        <f t="shared" ca="1" si="171"/>
        <v>-3.3099995968627728E-4</v>
      </c>
      <c r="E1020">
        <f t="shared" ca="1" si="172"/>
        <v>2.9693673450044544E-2</v>
      </c>
      <c r="F1020">
        <f t="shared" ca="1" si="173"/>
        <v>-1.0635983736838843</v>
      </c>
      <c r="G1020">
        <f t="shared" ca="1" si="174"/>
        <v>3.6038881569437748</v>
      </c>
      <c r="H1020">
        <f t="shared" ca="1" si="175"/>
        <v>0.8617214921797286</v>
      </c>
      <c r="I1020">
        <f t="shared" ca="1" si="176"/>
        <v>1.5178331184916947</v>
      </c>
      <c r="K1020">
        <f t="shared" si="167"/>
        <v>0.9808356284390799</v>
      </c>
      <c r="L1020" s="7">
        <f t="shared" ca="1" si="168"/>
        <v>1.036548469079027</v>
      </c>
      <c r="M1020">
        <f t="shared" ca="1" si="169"/>
        <v>1.1193589644402011</v>
      </c>
      <c r="O1020" t="b">
        <f t="shared" ca="1" si="170"/>
        <v>0</v>
      </c>
    </row>
    <row r="1021" spans="1:15" x14ac:dyDescent="0.45">
      <c r="A1021" s="1">
        <v>43755</v>
      </c>
      <c r="B1021">
        <v>17.464700000000001</v>
      </c>
      <c r="C1021">
        <f t="shared" si="166"/>
        <v>8.546663047809322E-3</v>
      </c>
      <c r="D1021">
        <f t="shared" ca="1" si="171"/>
        <v>-3.925443514524084E-4</v>
      </c>
      <c r="E1021">
        <f t="shared" ca="1" si="172"/>
        <v>2.9745614993126449E-2</v>
      </c>
      <c r="F1021">
        <f t="shared" ca="1" si="173"/>
        <v>-1.0563032074588896</v>
      </c>
      <c r="G1021">
        <f t="shared" ca="1" si="174"/>
        <v>3.5540073912496428</v>
      </c>
      <c r="H1021">
        <f t="shared" ca="1" si="175"/>
        <v>0.8617214921797286</v>
      </c>
      <c r="I1021">
        <f t="shared" ca="1" si="176"/>
        <v>1.5178331184916947</v>
      </c>
      <c r="K1021">
        <f t="shared" si="167"/>
        <v>1.0085466630478093</v>
      </c>
      <c r="L1021" s="7">
        <f t="shared" ca="1" si="168"/>
        <v>1.0704032851189018</v>
      </c>
      <c r="M1021">
        <f t="shared" ca="1" si="169"/>
        <v>1.2310688622631836</v>
      </c>
      <c r="O1021" t="b">
        <f t="shared" ca="1" si="170"/>
        <v>0</v>
      </c>
    </row>
    <row r="1022" spans="1:15" x14ac:dyDescent="0.45">
      <c r="A1022" s="1">
        <v>43754</v>
      </c>
      <c r="B1022">
        <v>17.316700000000001</v>
      </c>
      <c r="C1022">
        <f t="shared" si="166"/>
        <v>7.2123633867863888E-3</v>
      </c>
      <c r="D1022">
        <f t="shared" ca="1" si="171"/>
        <v>-7.7602234706302797E-4</v>
      </c>
      <c r="E1022">
        <f t="shared" ca="1" si="172"/>
        <v>3.0121790370378963E-2</v>
      </c>
      <c r="F1022">
        <f t="shared" ca="1" si="173"/>
        <v>-1.0365449255887917</v>
      </c>
      <c r="G1022">
        <f t="shared" ca="1" si="174"/>
        <v>3.3081414649232839</v>
      </c>
      <c r="H1022">
        <f t="shared" ca="1" si="175"/>
        <v>0.85488054608325459</v>
      </c>
      <c r="I1022">
        <f t="shared" ca="1" si="176"/>
        <v>1.5115247350676595</v>
      </c>
      <c r="K1022">
        <f t="shared" si="167"/>
        <v>1.0072123633867864</v>
      </c>
      <c r="L1022" s="7">
        <f t="shared" ca="1" si="168"/>
        <v>1.0622438964544232</v>
      </c>
      <c r="M1022">
        <f t="shared" ca="1" si="169"/>
        <v>1.1680272107436847</v>
      </c>
      <c r="O1022" t="b">
        <f t="shared" ca="1" si="170"/>
        <v>0</v>
      </c>
    </row>
    <row r="1023" spans="1:15" x14ac:dyDescent="0.45">
      <c r="A1023" s="1">
        <v>43753</v>
      </c>
      <c r="B1023">
        <v>17.192699999999999</v>
      </c>
      <c r="C1023">
        <f t="shared" si="166"/>
        <v>3.619233306286235E-3</v>
      </c>
      <c r="D1023">
        <f t="shared" ca="1" si="171"/>
        <v>-8.2810087708888212E-4</v>
      </c>
      <c r="E1023">
        <f t="shared" ca="1" si="172"/>
        <v>3.011691321936609E-2</v>
      </c>
      <c r="F1023">
        <f t="shared" ca="1" si="173"/>
        <v>-1.0319059222868048</v>
      </c>
      <c r="G1023">
        <f t="shared" ca="1" si="174"/>
        <v>3.3049319165086368</v>
      </c>
      <c r="H1023">
        <f t="shared" ca="1" si="175"/>
        <v>0.85488054608325459</v>
      </c>
      <c r="I1023">
        <f t="shared" ca="1" si="176"/>
        <v>1.5115247350676595</v>
      </c>
      <c r="K1023">
        <f t="shared" si="167"/>
        <v>1.0036192333062863</v>
      </c>
      <c r="L1023" s="7">
        <f t="shared" ca="1" si="168"/>
        <v>1.0743221710522206</v>
      </c>
      <c r="M1023">
        <f t="shared" ca="1" si="169"/>
        <v>1.1593547965086746</v>
      </c>
      <c r="O1023" t="b">
        <f t="shared" ca="1" si="170"/>
        <v>0</v>
      </c>
    </row>
    <row r="1024" spans="1:15" x14ac:dyDescent="0.45">
      <c r="A1024" s="1">
        <v>43752</v>
      </c>
      <c r="B1024">
        <v>17.130700000000001</v>
      </c>
      <c r="C1024">
        <f t="shared" si="166"/>
        <v>3.6590826576304074E-2</v>
      </c>
      <c r="D1024">
        <f t="shared" ca="1" si="171"/>
        <v>-5.6560791796136641E-4</v>
      </c>
      <c r="E1024">
        <f t="shared" ca="1" si="172"/>
        <v>3.038347401143077E-2</v>
      </c>
      <c r="F1024">
        <f t="shared" ca="1" si="173"/>
        <v>-0.99776193385629341</v>
      </c>
      <c r="G1024">
        <f t="shared" ca="1" si="174"/>
        <v>3.1836058955670952</v>
      </c>
      <c r="H1024">
        <f t="shared" ca="1" si="175"/>
        <v>0.88749148000916256</v>
      </c>
      <c r="I1024">
        <f t="shared" ca="1" si="176"/>
        <v>1.5485127216219647</v>
      </c>
      <c r="K1024">
        <f t="shared" si="167"/>
        <v>1.036590826576304</v>
      </c>
      <c r="L1024" s="7">
        <f t="shared" ca="1" si="168"/>
        <v>1.0809376577486121</v>
      </c>
      <c r="M1024">
        <f t="shared" ca="1" si="169"/>
        <v>1.1539358411375265</v>
      </c>
      <c r="O1024" t="b">
        <f t="shared" ca="1" si="170"/>
        <v>0</v>
      </c>
    </row>
    <row r="1025" spans="1:15" x14ac:dyDescent="0.45">
      <c r="A1025" s="1">
        <v>43749</v>
      </c>
      <c r="B1025">
        <v>16.526</v>
      </c>
      <c r="C1025">
        <f t="shared" si="166"/>
        <v>1.2870801667075316E-2</v>
      </c>
      <c r="D1025">
        <f t="shared" ca="1" si="171"/>
        <v>-9.0128085963617894E-4</v>
      </c>
      <c r="E1025">
        <f t="shared" ca="1" si="172"/>
        <v>3.0341730134736799E-2</v>
      </c>
      <c r="F1025">
        <f t="shared" ca="1" si="173"/>
        <v>-0.98257712655698493</v>
      </c>
      <c r="G1025">
        <f t="shared" ca="1" si="174"/>
        <v>3.1661249953942292</v>
      </c>
      <c r="H1025">
        <f t="shared" ca="1" si="175"/>
        <v>0.88749148000916256</v>
      </c>
      <c r="I1025">
        <f t="shared" ca="1" si="176"/>
        <v>1.465215992766199</v>
      </c>
      <c r="K1025">
        <f t="shared" si="167"/>
        <v>1.0128708016670753</v>
      </c>
      <c r="L1025" s="7">
        <f t="shared" ca="1" si="168"/>
        <v>1.0711207036237662</v>
      </c>
      <c r="M1025">
        <f t="shared" ca="1" si="169"/>
        <v>1.1935688775319946</v>
      </c>
      <c r="O1025" t="b">
        <f t="shared" ca="1" si="170"/>
        <v>0</v>
      </c>
    </row>
    <row r="1026" spans="1:15" x14ac:dyDescent="0.45">
      <c r="A1026" s="1">
        <v>43748</v>
      </c>
      <c r="B1026">
        <v>16.315999999999999</v>
      </c>
      <c r="C1026">
        <f t="shared" si="166"/>
        <v>8.5879033247450291E-4</v>
      </c>
      <c r="D1026">
        <f t="shared" ca="1" si="171"/>
        <v>-4.4600068880871785E-4</v>
      </c>
      <c r="E1026">
        <f t="shared" ca="1" si="172"/>
        <v>3.1219864240156908E-2</v>
      </c>
      <c r="F1026">
        <f t="shared" ca="1" si="173"/>
        <v>-0.75445001199401118</v>
      </c>
      <c r="G1026">
        <f t="shared" ca="1" si="174"/>
        <v>3.1978641796394376</v>
      </c>
      <c r="H1026">
        <f t="shared" ca="1" si="175"/>
        <v>0.91312156735651462</v>
      </c>
      <c r="I1026">
        <f t="shared" ca="1" si="176"/>
        <v>1.5010707744857736</v>
      </c>
      <c r="K1026">
        <f t="shared" si="167"/>
        <v>1.0008587903324746</v>
      </c>
      <c r="L1026" s="7">
        <f t="shared" ca="1" si="168"/>
        <v>1.0502532941108316</v>
      </c>
      <c r="M1026">
        <f t="shared" ca="1" si="169"/>
        <v>1.1867840028538761</v>
      </c>
      <c r="O1026" t="b">
        <f t="shared" ca="1" si="170"/>
        <v>0</v>
      </c>
    </row>
    <row r="1027" spans="1:15" x14ac:dyDescent="0.45">
      <c r="A1027" s="1">
        <v>43747</v>
      </c>
      <c r="B1027">
        <v>16.302</v>
      </c>
      <c r="C1027">
        <f t="shared" ref="C1027:C1090" si="177">(B1027-B1028)/B1028</f>
        <v>1.8664900364299877E-2</v>
      </c>
      <c r="D1027">
        <f t="shared" ca="1" si="171"/>
        <v>-8.3149831811439698E-4</v>
      </c>
      <c r="E1027">
        <f t="shared" ca="1" si="172"/>
        <v>3.167634077207266E-2</v>
      </c>
      <c r="F1027">
        <f t="shared" ca="1" si="173"/>
        <v>-0.75495976728119063</v>
      </c>
      <c r="G1027">
        <f t="shared" ca="1" si="174"/>
        <v>2.9770260324818167</v>
      </c>
      <c r="H1027">
        <f t="shared" ca="1" si="175"/>
        <v>0.87669753702895881</v>
      </c>
      <c r="I1027">
        <f t="shared" ca="1" si="176"/>
        <v>1.386686880488655</v>
      </c>
      <c r="K1027">
        <f t="shared" ref="K1027:K1090" si="178">C1027+1</f>
        <v>1.0186649003642998</v>
      </c>
      <c r="L1027" s="7">
        <f t="shared" ref="L1027:L1090" ca="1" si="179">PRODUCT(OFFSET(K1027,0,0,$J$6,1))</f>
        <v>1.0057561679838602</v>
      </c>
      <c r="M1027">
        <f t="shared" ref="M1027:M1050" ca="1" si="180">OFFSET(D1027,$J$6,0)*V$2 + OFFSET(E1027,$J$6,0)*U$2 + OFFSET(F1027,$J$6,0)*T$2 + OFFSET(G1027,$J$6,0)*S$2 + OFFSET(H1027,$J$6,0)*R$2 + OFFSET(I1027,$J$6,0)*Q$2 + W$2</f>
        <v>1.1882709934572535</v>
      </c>
      <c r="O1027" t="b">
        <f t="shared" ref="O1027:O1048" ca="1" si="181">OR(AND(L1027&gt;1, N1027&gt;1), AND(L1027&lt;1, N1027&lt;1))</f>
        <v>0</v>
      </c>
    </row>
    <row r="1028" spans="1:15" x14ac:dyDescent="0.45">
      <c r="A1028" s="1">
        <v>43746</v>
      </c>
      <c r="B1028">
        <v>16.003299999999999</v>
      </c>
      <c r="C1028">
        <f t="shared" si="177"/>
        <v>9.7993437657747755E-3</v>
      </c>
      <c r="D1028">
        <f t="shared" ref="D1028:D1091" ca="1" si="182">AVERAGE(OFFSET(C1028,0,0,$J$3,1))</f>
        <v>-8.5521620314564896E-4</v>
      </c>
      <c r="E1028">
        <f t="shared" ref="E1028:E1091" ca="1" si="183">STDEV(OFFSET(C1028,0,0,$J$3,1))</f>
        <v>3.1663442615535692E-2</v>
      </c>
      <c r="F1028">
        <f t="shared" ref="F1028:F1091" ca="1" si="184">SKEW(OFFSET(C1028,0,0,$J$3,1))</f>
        <v>-0.75428440333152413</v>
      </c>
      <c r="G1028">
        <f t="shared" ref="G1028:G1091" ca="1" si="185">KURT(OFFSET(C1028,0,0,$J$3,1))</f>
        <v>2.9840358526652615</v>
      </c>
      <c r="H1028">
        <f t="shared" ref="H1028:H1091" ca="1" si="186">PERCENTILE(OFFSET(C1028,0,0,$J$3,1), 0.95)/ABS(PERCENTILE(OFFSET(C1028,0,0,$J$3,1), 0.05))</f>
        <v>0.87669753702895881</v>
      </c>
      <c r="I1028">
        <f t="shared" ref="I1028:I1091" ca="1" si="187">PERCENTILE(OFFSET(C1028,0,0,$J$3,1), 0.75)/ABS(PERCENTILE(OFFSET(C1028,0,0,$J$3,1), 0.25))</f>
        <v>1.3535642880976657</v>
      </c>
      <c r="K1028">
        <f t="shared" si="178"/>
        <v>1.0097993437657748</v>
      </c>
      <c r="L1028" s="7">
        <f t="shared" ca="1" si="179"/>
        <v>0.98103318273492446</v>
      </c>
      <c r="M1028">
        <f t="shared" ca="1" si="180"/>
        <v>1.1733303518708484</v>
      </c>
      <c r="O1028" t="b">
        <f t="shared" ca="1" si="181"/>
        <v>1</v>
      </c>
    </row>
    <row r="1029" spans="1:15" x14ac:dyDescent="0.45">
      <c r="A1029" s="1">
        <v>43745</v>
      </c>
      <c r="B1029">
        <v>15.848000000000001</v>
      </c>
      <c r="C1029">
        <f t="shared" si="177"/>
        <v>2.7176625379973788E-2</v>
      </c>
      <c r="D1029">
        <f t="shared" ca="1" si="182"/>
        <v>-1.1683583404806942E-3</v>
      </c>
      <c r="E1029">
        <f t="shared" ca="1" si="183"/>
        <v>3.1866579404848681E-2</v>
      </c>
      <c r="F1029">
        <f t="shared" ca="1" si="184"/>
        <v>-0.73238454826793209</v>
      </c>
      <c r="G1029">
        <f t="shared" ca="1" si="185"/>
        <v>2.8383626635047525</v>
      </c>
      <c r="H1029">
        <f t="shared" ca="1" si="186"/>
        <v>0.86730996346667988</v>
      </c>
      <c r="I1029">
        <f t="shared" ca="1" si="187"/>
        <v>1.2721695778057429</v>
      </c>
      <c r="K1029">
        <f t="shared" si="178"/>
        <v>1.0271766253799739</v>
      </c>
      <c r="L1029" s="7">
        <f t="shared" ca="1" si="179"/>
        <v>0.98692240627724492</v>
      </c>
      <c r="M1029">
        <f t="shared" ca="1" si="180"/>
        <v>1.1629489246453089</v>
      </c>
      <c r="O1029" t="b">
        <f t="shared" ca="1" si="181"/>
        <v>1</v>
      </c>
    </row>
    <row r="1030" spans="1:15" x14ac:dyDescent="0.45">
      <c r="A1030" s="1">
        <v>43742</v>
      </c>
      <c r="B1030">
        <v>15.428699999999999</v>
      </c>
      <c r="C1030">
        <f t="shared" si="177"/>
        <v>-6.8617921765270224E-3</v>
      </c>
      <c r="D1030">
        <f t="shared" ca="1" si="182"/>
        <v>-1.3644808225724517E-3</v>
      </c>
      <c r="E1030">
        <f t="shared" ca="1" si="183"/>
        <v>3.1811910367044532E-2</v>
      </c>
      <c r="F1030">
        <f t="shared" ca="1" si="184"/>
        <v>-0.72127828491852297</v>
      </c>
      <c r="G1030">
        <f t="shared" ca="1" si="185"/>
        <v>2.8573381935037476</v>
      </c>
      <c r="H1030">
        <f t="shared" ca="1" si="186"/>
        <v>0.86730996346667988</v>
      </c>
      <c r="I1030">
        <f t="shared" ca="1" si="187"/>
        <v>1.2615857025725539</v>
      </c>
      <c r="K1030">
        <f t="shared" si="178"/>
        <v>0.99313820782347295</v>
      </c>
      <c r="L1030" s="7">
        <f t="shared" ca="1" si="179"/>
        <v>0.95581092801387679</v>
      </c>
      <c r="M1030">
        <f t="shared" ca="1" si="180"/>
        <v>1.1579652836567895</v>
      </c>
      <c r="O1030" t="b">
        <f t="shared" ca="1" si="181"/>
        <v>1</v>
      </c>
    </row>
    <row r="1031" spans="1:15" x14ac:dyDescent="0.45">
      <c r="A1031" s="1">
        <v>43741</v>
      </c>
      <c r="B1031">
        <v>15.535299999999999</v>
      </c>
      <c r="C1031">
        <f t="shared" si="177"/>
        <v>-4.1545589714165901E-2</v>
      </c>
      <c r="D1031">
        <f t="shared" ca="1" si="182"/>
        <v>-1.4936168418861323E-3</v>
      </c>
      <c r="E1031">
        <f t="shared" ca="1" si="183"/>
        <v>3.1886671196450271E-2</v>
      </c>
      <c r="F1031">
        <f t="shared" ca="1" si="184"/>
        <v>-0.70873068751806412</v>
      </c>
      <c r="G1031">
        <f t="shared" ca="1" si="185"/>
        <v>2.7951746124630255</v>
      </c>
      <c r="H1031">
        <f t="shared" ca="1" si="186"/>
        <v>0.86730996346667988</v>
      </c>
      <c r="I1031">
        <f t="shared" ca="1" si="187"/>
        <v>1.2039253261144656</v>
      </c>
      <c r="K1031">
        <f t="shared" si="178"/>
        <v>0.95845441028583411</v>
      </c>
      <c r="L1031" s="7">
        <f t="shared" ca="1" si="179"/>
        <v>0.96070671028465071</v>
      </c>
      <c r="M1031">
        <f t="shared" ca="1" si="180"/>
        <v>1.1511324854011655</v>
      </c>
      <c r="O1031" t="b">
        <f t="shared" ca="1" si="181"/>
        <v>1</v>
      </c>
    </row>
    <row r="1032" spans="1:15" x14ac:dyDescent="0.45">
      <c r="A1032" s="1">
        <v>43740</v>
      </c>
      <c r="B1032">
        <v>16.2087</v>
      </c>
      <c r="C1032">
        <f t="shared" si="177"/>
        <v>-6.375400761369927E-3</v>
      </c>
      <c r="D1032">
        <f t="shared" ca="1" si="182"/>
        <v>-1.522284895070789E-3</v>
      </c>
      <c r="E1032">
        <f t="shared" ca="1" si="183"/>
        <v>3.1925415196080088E-2</v>
      </c>
      <c r="F1032">
        <f t="shared" ca="1" si="184"/>
        <v>-0.70838224115373494</v>
      </c>
      <c r="G1032">
        <f t="shared" ca="1" si="185"/>
        <v>2.7733508076023066</v>
      </c>
      <c r="H1032">
        <f t="shared" ca="1" si="186"/>
        <v>0.86730996346667988</v>
      </c>
      <c r="I1032">
        <f t="shared" ca="1" si="187"/>
        <v>1.2039253261144656</v>
      </c>
      <c r="K1032">
        <f t="shared" si="178"/>
        <v>0.99362459923863011</v>
      </c>
      <c r="L1032" s="7">
        <f t="shared" ca="1" si="179"/>
        <v>1.0630956206916908</v>
      </c>
      <c r="M1032">
        <f t="shared" ca="1" si="180"/>
        <v>1.1555081121088082</v>
      </c>
      <c r="O1032" t="b">
        <f t="shared" ca="1" si="181"/>
        <v>0</v>
      </c>
    </row>
    <row r="1033" spans="1:15" x14ac:dyDescent="0.45">
      <c r="A1033" s="1">
        <v>43739</v>
      </c>
      <c r="B1033">
        <v>16.3127</v>
      </c>
      <c r="C1033">
        <f t="shared" si="177"/>
        <v>1.5861252958027133E-2</v>
      </c>
      <c r="D1033">
        <f t="shared" ca="1" si="182"/>
        <v>-1.637426319325231E-3</v>
      </c>
      <c r="E1033">
        <f t="shared" ca="1" si="183"/>
        <v>3.1984478271978554E-2</v>
      </c>
      <c r="F1033">
        <f t="shared" ca="1" si="184"/>
        <v>-0.69690084654637929</v>
      </c>
      <c r="G1033">
        <f t="shared" ca="1" si="185"/>
        <v>2.7231557471163121</v>
      </c>
      <c r="H1033">
        <f t="shared" ca="1" si="186"/>
        <v>0.86730996346667988</v>
      </c>
      <c r="I1033">
        <f t="shared" ca="1" si="187"/>
        <v>1.1297040734593145</v>
      </c>
      <c r="K1033">
        <f t="shared" si="178"/>
        <v>1.0158612529580271</v>
      </c>
      <c r="L1033" s="7">
        <f t="shared" ca="1" si="179"/>
        <v>1.0962320320952643</v>
      </c>
      <c r="M1033">
        <f t="shared" ca="1" si="180"/>
        <v>1.1943677155547152</v>
      </c>
      <c r="O1033" t="b">
        <f t="shared" ca="1" si="181"/>
        <v>0</v>
      </c>
    </row>
    <row r="1034" spans="1:15" x14ac:dyDescent="0.45">
      <c r="A1034" s="1">
        <v>43738</v>
      </c>
      <c r="B1034">
        <v>16.058</v>
      </c>
      <c r="C1034">
        <f t="shared" si="177"/>
        <v>-5.2038161318299862E-3</v>
      </c>
      <c r="D1034">
        <f t="shared" ca="1" si="182"/>
        <v>-1.5777595890253504E-3</v>
      </c>
      <c r="E1034">
        <f t="shared" ca="1" si="183"/>
        <v>3.2028386556026342E-2</v>
      </c>
      <c r="F1034">
        <f t="shared" ca="1" si="184"/>
        <v>-0.69657281652173275</v>
      </c>
      <c r="G1034">
        <f t="shared" ca="1" si="185"/>
        <v>2.7000920741687073</v>
      </c>
      <c r="H1034">
        <f t="shared" ca="1" si="186"/>
        <v>0.86730996346667988</v>
      </c>
      <c r="I1034">
        <f t="shared" ca="1" si="187"/>
        <v>1.1391815484652039</v>
      </c>
      <c r="K1034">
        <f t="shared" si="178"/>
        <v>0.99479618386817004</v>
      </c>
      <c r="L1034" s="7">
        <f t="shared" ca="1" si="179"/>
        <v>0.99850764830244998</v>
      </c>
      <c r="M1034">
        <f t="shared" ca="1" si="180"/>
        <v>1.2018336725591556</v>
      </c>
      <c r="O1034" t="b">
        <f t="shared" ca="1" si="181"/>
        <v>1</v>
      </c>
    </row>
    <row r="1035" spans="1:15" x14ac:dyDescent="0.45">
      <c r="A1035" s="1">
        <v>43735</v>
      </c>
      <c r="B1035">
        <v>16.141999999999999</v>
      </c>
      <c r="C1035">
        <f t="shared" si="177"/>
        <v>-1.7748149430760953E-3</v>
      </c>
      <c r="D1035">
        <f t="shared" ca="1" si="182"/>
        <v>-1.5539285847811907E-3</v>
      </c>
      <c r="E1035">
        <f t="shared" ca="1" si="183"/>
        <v>3.2027448152001668E-2</v>
      </c>
      <c r="F1035">
        <f t="shared" ca="1" si="184"/>
        <v>-0.69888124202352442</v>
      </c>
      <c r="G1035">
        <f t="shared" ca="1" si="185"/>
        <v>2.702883582979152</v>
      </c>
      <c r="H1035">
        <f t="shared" ca="1" si="186"/>
        <v>0.86730996346667988</v>
      </c>
      <c r="I1035">
        <f t="shared" ca="1" si="187"/>
        <v>1.1391815484652039</v>
      </c>
      <c r="K1035">
        <f t="shared" si="178"/>
        <v>0.99822518505692392</v>
      </c>
      <c r="L1035" s="7">
        <f t="shared" ca="1" si="179"/>
        <v>1.0062775460841702</v>
      </c>
      <c r="M1035">
        <f t="shared" ca="1" si="180"/>
        <v>1.2008820120732335</v>
      </c>
      <c r="O1035" t="b">
        <f t="shared" ca="1" si="181"/>
        <v>0</v>
      </c>
    </row>
    <row r="1036" spans="1:15" x14ac:dyDescent="0.45">
      <c r="A1036" s="1">
        <v>43734</v>
      </c>
      <c r="B1036">
        <v>16.1707</v>
      </c>
      <c r="C1036">
        <f t="shared" si="177"/>
        <v>6.0603278086405546E-2</v>
      </c>
      <c r="D1036">
        <f t="shared" ca="1" si="182"/>
        <v>-1.5229950522273081E-3</v>
      </c>
      <c r="E1036">
        <f t="shared" ca="1" si="183"/>
        <v>3.2030221316038193E-2</v>
      </c>
      <c r="F1036">
        <f t="shared" ca="1" si="184"/>
        <v>-0.70159348068730576</v>
      </c>
      <c r="G1036">
        <f t="shared" ca="1" si="185"/>
        <v>2.7036587619602512</v>
      </c>
      <c r="H1036">
        <f t="shared" ca="1" si="186"/>
        <v>0.86730996346667988</v>
      </c>
      <c r="I1036">
        <f t="shared" ca="1" si="187"/>
        <v>1.1391815484652039</v>
      </c>
      <c r="K1036">
        <f t="shared" si="178"/>
        <v>1.0606032780864056</v>
      </c>
      <c r="L1036" s="7">
        <f t="shared" ca="1" si="179"/>
        <v>0.98361922141119207</v>
      </c>
      <c r="M1036">
        <f t="shared" ca="1" si="180"/>
        <v>1.1759744684934392</v>
      </c>
      <c r="O1036" t="b">
        <f t="shared" ca="1" si="181"/>
        <v>1</v>
      </c>
    </row>
    <row r="1037" spans="1:15" x14ac:dyDescent="0.45">
      <c r="A1037" s="1">
        <v>43733</v>
      </c>
      <c r="B1037">
        <v>15.246700000000001</v>
      </c>
      <c r="C1037">
        <f t="shared" si="177"/>
        <v>2.4595617141666821E-2</v>
      </c>
      <c r="D1037">
        <f t="shared" ca="1" si="182"/>
        <v>-1.7256523288365967E-3</v>
      </c>
      <c r="E1037">
        <f t="shared" ca="1" si="183"/>
        <v>3.1762270907051596E-2</v>
      </c>
      <c r="F1037">
        <f t="shared" ca="1" si="184"/>
        <v>-0.73655391167015394</v>
      </c>
      <c r="G1037">
        <f t="shared" ca="1" si="185"/>
        <v>2.8060091792865673</v>
      </c>
      <c r="H1037">
        <f t="shared" ca="1" si="186"/>
        <v>0.8429657458777412</v>
      </c>
      <c r="I1037">
        <f t="shared" ca="1" si="187"/>
        <v>1.1391815484652039</v>
      </c>
      <c r="K1037">
        <f t="shared" si="178"/>
        <v>1.0245956171416668</v>
      </c>
      <c r="L1037" s="7">
        <f t="shared" ca="1" si="179"/>
        <v>0.93925841049240133</v>
      </c>
      <c r="M1037">
        <f t="shared" ca="1" si="180"/>
        <v>1.1714640356858799</v>
      </c>
      <c r="O1037" t="b">
        <f t="shared" ca="1" si="181"/>
        <v>1</v>
      </c>
    </row>
    <row r="1038" spans="1:15" x14ac:dyDescent="0.45">
      <c r="A1038" s="1">
        <v>43732</v>
      </c>
      <c r="B1038">
        <v>14.880699999999999</v>
      </c>
      <c r="C1038">
        <f t="shared" si="177"/>
        <v>-7.4698420594453516E-2</v>
      </c>
      <c r="D1038">
        <f t="shared" ca="1" si="182"/>
        <v>-1.9188047658918155E-3</v>
      </c>
      <c r="E1038">
        <f t="shared" ca="1" si="183"/>
        <v>3.1718831876663987E-2</v>
      </c>
      <c r="F1038">
        <f t="shared" ca="1" si="184"/>
        <v>-0.72432808504339352</v>
      </c>
      <c r="G1038">
        <f t="shared" ca="1" si="185"/>
        <v>2.8175619984776787</v>
      </c>
      <c r="H1038">
        <f t="shared" ca="1" si="186"/>
        <v>0.8429657458777412</v>
      </c>
      <c r="I1038">
        <f t="shared" ca="1" si="187"/>
        <v>1.1297040734593145</v>
      </c>
      <c r="K1038">
        <f t="shared" si="178"/>
        <v>0.92530157940554647</v>
      </c>
      <c r="L1038" s="7">
        <f t="shared" ca="1" si="179"/>
        <v>0.91184670911129795</v>
      </c>
      <c r="M1038">
        <f t="shared" ca="1" si="180"/>
        <v>1.1640388202808647</v>
      </c>
      <c r="O1038" t="b">
        <f t="shared" ca="1" si="181"/>
        <v>1</v>
      </c>
    </row>
    <row r="1039" spans="1:15" x14ac:dyDescent="0.45">
      <c r="A1039" s="1">
        <v>43731</v>
      </c>
      <c r="B1039">
        <v>16.082000000000001</v>
      </c>
      <c r="C1039">
        <f t="shared" si="177"/>
        <v>2.5372008503052163E-3</v>
      </c>
      <c r="D1039">
        <f t="shared" ca="1" si="182"/>
        <v>-1.4986070749295568E-3</v>
      </c>
      <c r="E1039">
        <f t="shared" ca="1" si="183"/>
        <v>3.1303777846086081E-2</v>
      </c>
      <c r="F1039">
        <f t="shared" ca="1" si="184"/>
        <v>-0.73017613283921334</v>
      </c>
      <c r="G1039">
        <f t="shared" ca="1" si="185"/>
        <v>3.0224213831665336</v>
      </c>
      <c r="H1039">
        <f t="shared" ca="1" si="186"/>
        <v>0.8581136049179463</v>
      </c>
      <c r="I1039">
        <f t="shared" ca="1" si="187"/>
        <v>1.2039253261144656</v>
      </c>
      <c r="K1039">
        <f t="shared" si="178"/>
        <v>1.0025372008503053</v>
      </c>
      <c r="L1039" s="7">
        <f t="shared" ca="1" si="179"/>
        <v>0.99349490032309307</v>
      </c>
      <c r="M1039">
        <f t="shared" ca="1" si="180"/>
        <v>1.1600262752748773</v>
      </c>
      <c r="O1039" t="b">
        <f t="shared" ca="1" si="181"/>
        <v>1</v>
      </c>
    </row>
    <row r="1040" spans="1:15" x14ac:dyDescent="0.45">
      <c r="A1040" s="1">
        <v>43728</v>
      </c>
      <c r="B1040">
        <v>16.0413</v>
      </c>
      <c r="C1040">
        <f t="shared" si="177"/>
        <v>-2.4251824817518343E-2</v>
      </c>
      <c r="D1040">
        <f t="shared" ca="1" si="182"/>
        <v>-1.4944097395016779E-3</v>
      </c>
      <c r="E1040">
        <f t="shared" ca="1" si="183"/>
        <v>3.1304377976392565E-2</v>
      </c>
      <c r="F1040">
        <f t="shared" ca="1" si="184"/>
        <v>-0.73053215007542616</v>
      </c>
      <c r="G1040">
        <f t="shared" ca="1" si="185"/>
        <v>3.022357331860146</v>
      </c>
      <c r="H1040">
        <f t="shared" ca="1" si="186"/>
        <v>0.8581136049179463</v>
      </c>
      <c r="I1040">
        <f t="shared" ca="1" si="187"/>
        <v>1.2039253261144656</v>
      </c>
      <c r="K1040">
        <f t="shared" si="178"/>
        <v>0.97574817518248169</v>
      </c>
      <c r="L1040" s="7">
        <f t="shared" ca="1" si="179"/>
        <v>0.98131733010332367</v>
      </c>
      <c r="M1040">
        <f t="shared" ca="1" si="180"/>
        <v>1.156503625317749</v>
      </c>
      <c r="O1040" t="b">
        <f t="shared" ca="1" si="181"/>
        <v>1</v>
      </c>
    </row>
    <row r="1041" spans="1:15" x14ac:dyDescent="0.45">
      <c r="A1041" s="1">
        <v>43727</v>
      </c>
      <c r="B1041">
        <v>16.440000000000001</v>
      </c>
      <c r="C1041">
        <f t="shared" si="177"/>
        <v>1.2770518767672661E-2</v>
      </c>
      <c r="D1041">
        <f t="shared" ca="1" si="182"/>
        <v>-1.2588785966512197E-3</v>
      </c>
      <c r="E1041">
        <f t="shared" ca="1" si="183"/>
        <v>3.1309503896189035E-2</v>
      </c>
      <c r="F1041">
        <f t="shared" ca="1" si="184"/>
        <v>-0.74863328229392467</v>
      </c>
      <c r="G1041">
        <f t="shared" ca="1" si="185"/>
        <v>3.0414675856858073</v>
      </c>
      <c r="H1041">
        <f t="shared" ca="1" si="186"/>
        <v>0.8581136049179463</v>
      </c>
      <c r="I1041">
        <f t="shared" ca="1" si="187"/>
        <v>1.2569689639757271</v>
      </c>
      <c r="K1041">
        <f t="shared" si="178"/>
        <v>1.0127705187676728</v>
      </c>
      <c r="L1041" s="7">
        <f t="shared" ca="1" si="179"/>
        <v>1.0029710883212437</v>
      </c>
      <c r="M1041">
        <f t="shared" ca="1" si="180"/>
        <v>1.1342904394470685</v>
      </c>
      <c r="O1041" t="b">
        <f t="shared" ca="1" si="181"/>
        <v>0</v>
      </c>
    </row>
    <row r="1042" spans="1:15" x14ac:dyDescent="0.45">
      <c r="A1042" s="1">
        <v>43726</v>
      </c>
      <c r="B1042">
        <v>16.232700000000001</v>
      </c>
      <c r="C1042">
        <f t="shared" si="177"/>
        <v>-5.3066001605459262E-3</v>
      </c>
      <c r="D1042">
        <f t="shared" ca="1" si="182"/>
        <v>-1.1863038030103022E-3</v>
      </c>
      <c r="E1042">
        <f t="shared" ca="1" si="183"/>
        <v>3.1358970782985947E-2</v>
      </c>
      <c r="F1042">
        <f t="shared" ca="1" si="184"/>
        <v>-0.74873558577071375</v>
      </c>
      <c r="G1042">
        <f t="shared" ca="1" si="185"/>
        <v>3.0135361247928918</v>
      </c>
      <c r="H1042">
        <f t="shared" ca="1" si="186"/>
        <v>0.8581136049179463</v>
      </c>
      <c r="I1042">
        <f t="shared" ca="1" si="187"/>
        <v>1.2877278063949562</v>
      </c>
      <c r="K1042">
        <f t="shared" si="178"/>
        <v>0.99469339983945404</v>
      </c>
      <c r="L1042" s="7">
        <f t="shared" ca="1" si="179"/>
        <v>0.98539454754056588</v>
      </c>
      <c r="M1042">
        <f t="shared" ca="1" si="180"/>
        <v>1.1217021221254848</v>
      </c>
      <c r="O1042" t="b">
        <f t="shared" ca="1" si="181"/>
        <v>1</v>
      </c>
    </row>
    <row r="1043" spans="1:15" x14ac:dyDescent="0.45">
      <c r="A1043" s="1">
        <v>43725</v>
      </c>
      <c r="B1043">
        <v>16.319299999999998</v>
      </c>
      <c r="C1043">
        <f t="shared" si="177"/>
        <v>8.154540905524572E-3</v>
      </c>
      <c r="D1043">
        <f t="shared" ca="1" si="182"/>
        <v>-1.2560569094978056E-3</v>
      </c>
      <c r="E1043">
        <f t="shared" ca="1" si="183"/>
        <v>3.1383687532846802E-2</v>
      </c>
      <c r="F1043">
        <f t="shared" ca="1" si="184"/>
        <v>-0.74119035567222635</v>
      </c>
      <c r="G1043">
        <f t="shared" ca="1" si="185"/>
        <v>2.9882842277252468</v>
      </c>
      <c r="H1043">
        <f t="shared" ca="1" si="186"/>
        <v>0.8581136049179463</v>
      </c>
      <c r="I1043">
        <f t="shared" ca="1" si="187"/>
        <v>1.2437334560218105</v>
      </c>
      <c r="K1043">
        <f t="shared" si="178"/>
        <v>1.0081545409055246</v>
      </c>
      <c r="L1043" s="7">
        <f t="shared" ca="1" si="179"/>
        <v>1.0392671324039815</v>
      </c>
      <c r="M1043">
        <f t="shared" ca="1" si="180"/>
        <v>1.1527908319346287</v>
      </c>
      <c r="O1043" t="b">
        <f t="shared" ca="1" si="181"/>
        <v>0</v>
      </c>
    </row>
    <row r="1044" spans="1:15" x14ac:dyDescent="0.45">
      <c r="A1044" s="1">
        <v>43724</v>
      </c>
      <c r="B1044">
        <v>16.1873</v>
      </c>
      <c r="C1044">
        <f t="shared" si="177"/>
        <v>-9.7512036068440732E-3</v>
      </c>
      <c r="D1044">
        <f t="shared" ca="1" si="182"/>
        <v>-1.239410737542526E-3</v>
      </c>
      <c r="E1044">
        <f t="shared" ca="1" si="183"/>
        <v>3.1389586448415552E-2</v>
      </c>
      <c r="F1044">
        <f t="shared" ca="1" si="184"/>
        <v>-0.742176990326743</v>
      </c>
      <c r="G1044">
        <f t="shared" ca="1" si="185"/>
        <v>2.9854529385913402</v>
      </c>
      <c r="H1044">
        <f t="shared" ca="1" si="186"/>
        <v>0.8581136049179463</v>
      </c>
      <c r="I1044">
        <f t="shared" ca="1" si="187"/>
        <v>1.2437334560218105</v>
      </c>
      <c r="K1044">
        <f t="shared" si="178"/>
        <v>0.99024879639315588</v>
      </c>
      <c r="L1044" s="7">
        <f t="shared" ca="1" si="179"/>
        <v>1.0475386178467194</v>
      </c>
      <c r="M1044">
        <f t="shared" ca="1" si="180"/>
        <v>1.167768603528311</v>
      </c>
      <c r="O1044" t="b">
        <f t="shared" ca="1" si="181"/>
        <v>0</v>
      </c>
    </row>
    <row r="1045" spans="1:15" x14ac:dyDescent="0.45">
      <c r="A1045" s="1">
        <v>43721</v>
      </c>
      <c r="B1045">
        <v>16.346699999999998</v>
      </c>
      <c r="C1045">
        <f t="shared" si="177"/>
        <v>-2.7209556289008582E-3</v>
      </c>
      <c r="D1045">
        <f t="shared" ca="1" si="182"/>
        <v>-1.2207197049635293E-3</v>
      </c>
      <c r="E1045">
        <f t="shared" ca="1" si="183"/>
        <v>3.138560531533547E-2</v>
      </c>
      <c r="F1045">
        <f t="shared" ca="1" si="184"/>
        <v>-0.74418069694552014</v>
      </c>
      <c r="G1045">
        <f t="shared" ca="1" si="185"/>
        <v>2.9902949398911955</v>
      </c>
      <c r="H1045">
        <f t="shared" ca="1" si="186"/>
        <v>0.8581136049179463</v>
      </c>
      <c r="I1045">
        <f t="shared" ca="1" si="187"/>
        <v>1.2437334560218105</v>
      </c>
      <c r="K1045">
        <f t="shared" si="178"/>
        <v>0.99727904437109915</v>
      </c>
      <c r="L1045" s="7">
        <f t="shared" ca="1" si="179"/>
        <v>1.0780436976119974</v>
      </c>
      <c r="M1045">
        <f t="shared" ca="1" si="180"/>
        <v>1.181610780231658</v>
      </c>
      <c r="O1045" t="b">
        <f t="shared" ca="1" si="181"/>
        <v>0</v>
      </c>
    </row>
    <row r="1046" spans="1:15" x14ac:dyDescent="0.45">
      <c r="A1046" s="1">
        <v>43720</v>
      </c>
      <c r="B1046">
        <v>16.391300000000001</v>
      </c>
      <c r="C1046">
        <f t="shared" si="177"/>
        <v>-4.977751877280035E-3</v>
      </c>
      <c r="D1046">
        <f t="shared" ca="1" si="182"/>
        <v>-8.9759002119339229E-4</v>
      </c>
      <c r="E1046">
        <f t="shared" ca="1" si="183"/>
        <v>3.1701172942485749E-2</v>
      </c>
      <c r="F1046">
        <f t="shared" ca="1" si="184"/>
        <v>-0.71298800138463347</v>
      </c>
      <c r="G1046">
        <f t="shared" ca="1" si="185"/>
        <v>2.8639615043696578</v>
      </c>
      <c r="H1046">
        <f t="shared" ca="1" si="186"/>
        <v>0.88289528129840122</v>
      </c>
      <c r="I1046">
        <f t="shared" ca="1" si="187"/>
        <v>1.2653001836672795</v>
      </c>
      <c r="K1046">
        <f t="shared" si="178"/>
        <v>0.99502224812272</v>
      </c>
      <c r="L1046" s="7">
        <f t="shared" ca="1" si="179"/>
        <v>1.0709558126923355</v>
      </c>
      <c r="M1046">
        <f t="shared" ca="1" si="180"/>
        <v>1.1521004802259052</v>
      </c>
      <c r="O1046" t="b">
        <f t="shared" ca="1" si="181"/>
        <v>0</v>
      </c>
    </row>
    <row r="1047" spans="1:15" x14ac:dyDescent="0.45">
      <c r="A1047" s="1">
        <v>43719</v>
      </c>
      <c r="B1047">
        <v>16.473299999999998</v>
      </c>
      <c r="C1047">
        <f t="shared" si="177"/>
        <v>4.9074363007635513E-2</v>
      </c>
      <c r="D1047">
        <f t="shared" ca="1" si="182"/>
        <v>-1.0554387762219649E-3</v>
      </c>
      <c r="E1047">
        <f t="shared" ca="1" si="183"/>
        <v>3.180003430202142E-2</v>
      </c>
      <c r="F1047">
        <f t="shared" ca="1" si="184"/>
        <v>-0.69845792607394974</v>
      </c>
      <c r="G1047">
        <f t="shared" ca="1" si="185"/>
        <v>2.7846907241395069</v>
      </c>
      <c r="H1047">
        <f t="shared" ca="1" si="186"/>
        <v>0.88289528129840122</v>
      </c>
      <c r="I1047">
        <f t="shared" ca="1" si="187"/>
        <v>1.1872952089570379</v>
      </c>
      <c r="K1047">
        <f t="shared" si="178"/>
        <v>1.0490743630076356</v>
      </c>
      <c r="L1047" s="7">
        <f t="shared" ca="1" si="179"/>
        <v>1.1197185970636216</v>
      </c>
      <c r="M1047">
        <f t="shared" ca="1" si="180"/>
        <v>1.1804363753600819</v>
      </c>
      <c r="O1047" t="b">
        <f t="shared" ca="1" si="181"/>
        <v>0</v>
      </c>
    </row>
    <row r="1048" spans="1:15" x14ac:dyDescent="0.45">
      <c r="A1048" s="1">
        <v>43718</v>
      </c>
      <c r="B1048">
        <v>15.7027</v>
      </c>
      <c r="C1048">
        <f t="shared" si="177"/>
        <v>1.6178402479825531E-2</v>
      </c>
      <c r="D1048">
        <f t="shared" ca="1" si="182"/>
        <v>-1.4346273917436104E-3</v>
      </c>
      <c r="E1048">
        <f t="shared" ca="1" si="183"/>
        <v>3.1651076456551921E-2</v>
      </c>
      <c r="F1048">
        <f t="shared" ca="1" si="184"/>
        <v>-0.69494668467458909</v>
      </c>
      <c r="G1048">
        <f t="shared" ca="1" si="185"/>
        <v>2.8300248519424844</v>
      </c>
      <c r="H1048">
        <f t="shared" ca="1" si="186"/>
        <v>0.8581136049179463</v>
      </c>
      <c r="I1048">
        <f t="shared" ca="1" si="187"/>
        <v>1.1512208958478292</v>
      </c>
      <c r="K1048">
        <f t="shared" si="178"/>
        <v>1.0161784024798255</v>
      </c>
      <c r="L1048" s="7">
        <f t="shared" ca="1" si="179"/>
        <v>1.0467978161019151</v>
      </c>
      <c r="M1048">
        <f t="shared" ca="1" si="180"/>
        <v>1.1638184314455469</v>
      </c>
      <c r="O1048" t="b">
        <f t="shared" ca="1" si="181"/>
        <v>0</v>
      </c>
    </row>
    <row r="1049" spans="1:15" x14ac:dyDescent="0.45">
      <c r="A1049" s="1">
        <v>43717</v>
      </c>
      <c r="B1049">
        <v>15.4527</v>
      </c>
      <c r="C1049">
        <f t="shared" si="177"/>
        <v>1.9085555255122601E-2</v>
      </c>
      <c r="D1049">
        <f t="shared" ca="1" si="182"/>
        <v>-1.6001162799782031E-3</v>
      </c>
      <c r="E1049">
        <f t="shared" ca="1" si="183"/>
        <v>3.1645049213784367E-2</v>
      </c>
      <c r="F1049">
        <f t="shared" ca="1" si="184"/>
        <v>-0.68096651735388902</v>
      </c>
      <c r="G1049">
        <f t="shared" ca="1" si="185"/>
        <v>2.8195996596473929</v>
      </c>
      <c r="H1049">
        <f t="shared" ca="1" si="186"/>
        <v>0.8581136049179463</v>
      </c>
      <c r="I1049">
        <f t="shared" ca="1" si="187"/>
        <v>1.1052988661891781</v>
      </c>
      <c r="K1049">
        <f t="shared" si="178"/>
        <v>1.0190855552551226</v>
      </c>
      <c r="L1049" s="7">
        <f t="shared" ca="1" si="179"/>
        <v>1.0273923421117366</v>
      </c>
      <c r="M1049">
        <f t="shared" ca="1" si="180"/>
        <v>1.1380432924046242</v>
      </c>
    </row>
    <row r="1050" spans="1:15" x14ac:dyDescent="0.45">
      <c r="A1050" s="1">
        <v>43714</v>
      </c>
      <c r="B1050">
        <v>15.1633</v>
      </c>
      <c r="C1050">
        <f t="shared" si="177"/>
        <v>-9.2778318621654747E-3</v>
      </c>
      <c r="D1050">
        <f t="shared" ca="1" si="182"/>
        <v>-1.7073980656608198E-3</v>
      </c>
      <c r="E1050">
        <f t="shared" ca="1" si="183"/>
        <v>3.1610920913741923E-2</v>
      </c>
      <c r="F1050">
        <f t="shared" ca="1" si="184"/>
        <v>-0.67431257676724787</v>
      </c>
      <c r="G1050">
        <f t="shared" ca="1" si="185"/>
        <v>2.8346098020208252</v>
      </c>
      <c r="H1050">
        <f t="shared" ca="1" si="186"/>
        <v>0.8581136049179463</v>
      </c>
      <c r="I1050">
        <f t="shared" ca="1" si="187"/>
        <v>1.0788975463742061</v>
      </c>
      <c r="K1050">
        <f t="shared" si="178"/>
        <v>0.99072216813783454</v>
      </c>
      <c r="L1050" s="7">
        <f t="shared" ca="1" si="179"/>
        <v>1.0258851069299828</v>
      </c>
      <c r="M1050">
        <f t="shared" ca="1" si="180"/>
        <v>1.1570477960848624</v>
      </c>
    </row>
    <row r="1051" spans="1:15" x14ac:dyDescent="0.45">
      <c r="A1051" s="1">
        <v>43713</v>
      </c>
      <c r="B1051">
        <v>15.305300000000001</v>
      </c>
      <c r="C1051">
        <f t="shared" si="177"/>
        <v>4.0327623708537319E-2</v>
      </c>
      <c r="D1051">
        <f t="shared" ca="1" si="182"/>
        <v>-1.5767618562882169E-3</v>
      </c>
      <c r="E1051">
        <f t="shared" ca="1" si="183"/>
        <v>3.1633456970126782E-2</v>
      </c>
      <c r="F1051">
        <f t="shared" ca="1" si="184"/>
        <v>-0.68429246992632942</v>
      </c>
      <c r="G1051">
        <f t="shared" ca="1" si="185"/>
        <v>2.8298947202312172</v>
      </c>
      <c r="H1051">
        <f t="shared" ca="1" si="186"/>
        <v>0.8581136049179463</v>
      </c>
      <c r="I1051">
        <f t="shared" ca="1" si="187"/>
        <v>1.0788975463742061</v>
      </c>
      <c r="K1051">
        <f t="shared" si="178"/>
        <v>1.0403276237085373</v>
      </c>
      <c r="L1051" s="7">
        <f t="shared" ca="1" si="179"/>
        <v>1.0648869036437134</v>
      </c>
    </row>
    <row r="1052" spans="1:15" x14ac:dyDescent="0.45">
      <c r="A1052" s="1">
        <v>43712</v>
      </c>
      <c r="B1052">
        <v>14.712</v>
      </c>
      <c r="C1052">
        <f t="shared" si="177"/>
        <v>-1.9245768530801923E-2</v>
      </c>
      <c r="D1052">
        <f t="shared" ca="1" si="182"/>
        <v>-1.7138649973091329E-3</v>
      </c>
      <c r="E1052">
        <f t="shared" ca="1" si="183"/>
        <v>3.1510107385344502E-2</v>
      </c>
      <c r="F1052">
        <f t="shared" ca="1" si="184"/>
        <v>-0.69062027516926594</v>
      </c>
      <c r="G1052">
        <f t="shared" ca="1" si="185"/>
        <v>2.8940914245233724</v>
      </c>
      <c r="H1052">
        <f t="shared" ca="1" si="186"/>
        <v>0.8581136049179463</v>
      </c>
      <c r="I1052">
        <f t="shared" ca="1" si="187"/>
        <v>1.0699216069873252</v>
      </c>
      <c r="K1052">
        <f t="shared" si="178"/>
        <v>0.98075423146919805</v>
      </c>
      <c r="L1052" s="7">
        <f t="shared" ca="1" si="179"/>
        <v>1.030829596412556</v>
      </c>
    </row>
    <row r="1053" spans="1:15" x14ac:dyDescent="0.45">
      <c r="A1053" s="1">
        <v>43711</v>
      </c>
      <c r="B1053">
        <v>15.0007</v>
      </c>
      <c r="C1053">
        <f t="shared" si="177"/>
        <v>-2.6594506904598289E-3</v>
      </c>
      <c r="D1053">
        <f t="shared" ca="1" si="182"/>
        <v>-1.5398529645036759E-3</v>
      </c>
      <c r="E1053">
        <f t="shared" ca="1" si="183"/>
        <v>3.1508899055285561E-2</v>
      </c>
      <c r="F1053">
        <f t="shared" ca="1" si="184"/>
        <v>-0.70572492362626127</v>
      </c>
      <c r="G1053">
        <f t="shared" ca="1" si="185"/>
        <v>2.9106914536829773</v>
      </c>
      <c r="H1053">
        <f t="shared" ca="1" si="186"/>
        <v>0.8581136049179463</v>
      </c>
      <c r="I1053">
        <f t="shared" ca="1" si="187"/>
        <v>1.1143738119713971</v>
      </c>
      <c r="K1053">
        <f t="shared" si="178"/>
        <v>0.99734054930954019</v>
      </c>
      <c r="L1053" s="7">
        <f t="shared" ca="1" si="179"/>
        <v>1.0465628989834861</v>
      </c>
    </row>
    <row r="1054" spans="1:15" x14ac:dyDescent="0.45">
      <c r="A1054" s="1">
        <v>43707</v>
      </c>
      <c r="B1054">
        <v>15.040699999999999</v>
      </c>
      <c r="C1054">
        <f t="shared" si="177"/>
        <v>1.7590506538932512E-2</v>
      </c>
      <c r="D1054">
        <f t="shared" ca="1" si="182"/>
        <v>-1.4141053481403001E-3</v>
      </c>
      <c r="E1054">
        <f t="shared" ca="1" si="183"/>
        <v>3.1554559477951452E-2</v>
      </c>
      <c r="F1054">
        <f t="shared" ca="1" si="184"/>
        <v>-0.71249986482434846</v>
      </c>
      <c r="G1054">
        <f t="shared" ca="1" si="185"/>
        <v>2.8895212325443662</v>
      </c>
      <c r="H1054">
        <f t="shared" ca="1" si="186"/>
        <v>0.8581136049179463</v>
      </c>
      <c r="I1054">
        <f t="shared" ca="1" si="187"/>
        <v>1.1237226761547721</v>
      </c>
      <c r="K1054">
        <f t="shared" si="178"/>
        <v>1.0175905065389326</v>
      </c>
      <c r="L1054" s="7">
        <f t="shared" ca="1" si="179"/>
        <v>1.0672234324111458</v>
      </c>
    </row>
    <row r="1055" spans="1:15" x14ac:dyDescent="0.45">
      <c r="A1055" s="1">
        <v>43706</v>
      </c>
      <c r="B1055">
        <v>14.7807</v>
      </c>
      <c r="C1055">
        <f t="shared" si="177"/>
        <v>2.8387150639754499E-2</v>
      </c>
      <c r="D1055">
        <f t="shared" ca="1" si="182"/>
        <v>-1.7763728423409986E-3</v>
      </c>
      <c r="E1055">
        <f t="shared" ca="1" si="183"/>
        <v>3.1750575924958169E-2</v>
      </c>
      <c r="F1055">
        <f t="shared" ca="1" si="184"/>
        <v>-0.69011125526610595</v>
      </c>
      <c r="G1055">
        <f t="shared" ca="1" si="185"/>
        <v>2.7522885371278925</v>
      </c>
      <c r="H1055">
        <f t="shared" ca="1" si="186"/>
        <v>0.84722985983140875</v>
      </c>
      <c r="I1055">
        <f t="shared" ca="1" si="187"/>
        <v>1.0777308632575977</v>
      </c>
      <c r="K1055">
        <f t="shared" si="178"/>
        <v>1.0283871506397544</v>
      </c>
      <c r="L1055" s="7">
        <f t="shared" ca="1" si="179"/>
        <v>0.99802160702228193</v>
      </c>
    </row>
    <row r="1056" spans="1:15" x14ac:dyDescent="0.45">
      <c r="A1056" s="1">
        <v>43705</v>
      </c>
      <c r="B1056">
        <v>14.3727</v>
      </c>
      <c r="C1056">
        <f t="shared" si="177"/>
        <v>7.0557735426008822E-3</v>
      </c>
      <c r="D1056" t="e">
        <f t="shared" ca="1" si="182"/>
        <v>#DIV/0!</v>
      </c>
      <c r="E1056" t="e">
        <f t="shared" ca="1" si="183"/>
        <v>#DIV/0!</v>
      </c>
      <c r="F1056" t="e">
        <f t="shared" ca="1" si="184"/>
        <v>#DIV/0!</v>
      </c>
      <c r="G1056" t="e">
        <f t="shared" ca="1" si="185"/>
        <v>#DIV/0!</v>
      </c>
      <c r="H1056" t="e">
        <f t="shared" ca="1" si="186"/>
        <v>#DIV/0!</v>
      </c>
      <c r="I1056" t="e">
        <f t="shared" ca="1" si="187"/>
        <v>#DIV/0!</v>
      </c>
      <c r="K1056">
        <f t="shared" si="178"/>
        <v>1.0070557735426009</v>
      </c>
      <c r="L1056" s="7">
        <f t="shared" ca="1" si="179"/>
        <v>0.97627360412987385</v>
      </c>
    </row>
    <row r="1057" spans="1:12" x14ac:dyDescent="0.45">
      <c r="A1057" s="1">
        <v>43704</v>
      </c>
      <c r="B1057">
        <v>14.272</v>
      </c>
      <c r="C1057">
        <f t="shared" si="177"/>
        <v>-4.276754131986301E-3</v>
      </c>
      <c r="D1057" t="e">
        <f t="shared" ca="1" si="182"/>
        <v>#DIV/0!</v>
      </c>
      <c r="E1057" t="e">
        <f t="shared" ca="1" si="183"/>
        <v>#DIV/0!</v>
      </c>
      <c r="F1057" t="e">
        <f t="shared" ca="1" si="184"/>
        <v>#DIV/0!</v>
      </c>
      <c r="G1057" t="e">
        <f t="shared" ca="1" si="185"/>
        <v>#DIV/0!</v>
      </c>
      <c r="H1057" t="e">
        <f t="shared" ca="1" si="186"/>
        <v>#DIV/0!</v>
      </c>
      <c r="I1057" t="e">
        <f t="shared" ca="1" si="187"/>
        <v>#DIV/0!</v>
      </c>
      <c r="K1057">
        <f t="shared" si="178"/>
        <v>0.99572324586801375</v>
      </c>
      <c r="L1057" s="7">
        <f t="shared" ca="1" si="179"/>
        <v>0.94784589534644337</v>
      </c>
    </row>
    <row r="1058" spans="1:12" x14ac:dyDescent="0.45">
      <c r="A1058" s="1">
        <v>43703</v>
      </c>
      <c r="B1058">
        <v>14.333299999999999</v>
      </c>
      <c r="C1058">
        <f t="shared" si="177"/>
        <v>1.7029368565204758E-2</v>
      </c>
      <c r="D1058" t="e">
        <f t="shared" ca="1" si="182"/>
        <v>#DIV/0!</v>
      </c>
      <c r="E1058" t="e">
        <f t="shared" ca="1" si="183"/>
        <v>#DIV/0!</v>
      </c>
      <c r="F1058" t="e">
        <f t="shared" ca="1" si="184"/>
        <v>#DIV/0!</v>
      </c>
      <c r="G1058" t="e">
        <f t="shared" ca="1" si="185"/>
        <v>#DIV/0!</v>
      </c>
      <c r="H1058" t="e">
        <f t="shared" ca="1" si="186"/>
        <v>#DIV/0!</v>
      </c>
      <c r="I1058" t="e">
        <f t="shared" ca="1" si="187"/>
        <v>#DIV/0!</v>
      </c>
      <c r="K1058">
        <f t="shared" si="178"/>
        <v>1.0170293685652048</v>
      </c>
      <c r="L1058" s="7">
        <f t="shared" ca="1" si="179"/>
        <v>0.94784420050257923</v>
      </c>
    </row>
    <row r="1059" spans="1:12" x14ac:dyDescent="0.45">
      <c r="A1059" s="1">
        <v>43700</v>
      </c>
      <c r="B1059">
        <v>14.093299999999999</v>
      </c>
      <c r="C1059">
        <f t="shared" si="177"/>
        <v>-4.8392977717758349E-2</v>
      </c>
      <c r="D1059" t="e">
        <f t="shared" ca="1" si="182"/>
        <v>#DIV/0!</v>
      </c>
      <c r="E1059" t="e">
        <f t="shared" ca="1" si="183"/>
        <v>#DIV/0!</v>
      </c>
      <c r="F1059" t="e">
        <f t="shared" ca="1" si="184"/>
        <v>#DIV/0!</v>
      </c>
      <c r="G1059" t="e">
        <f t="shared" ca="1" si="185"/>
        <v>#DIV/0!</v>
      </c>
      <c r="H1059" t="e">
        <f t="shared" ca="1" si="186"/>
        <v>#DIV/0!</v>
      </c>
      <c r="I1059" t="e">
        <f t="shared" ca="1" si="187"/>
        <v>#DIV/0!</v>
      </c>
      <c r="K1059">
        <f t="shared" si="178"/>
        <v>0.9516070222822417</v>
      </c>
      <c r="L1059" s="7">
        <f t="shared" ca="1" si="179"/>
        <v>0.96116677010373275</v>
      </c>
    </row>
    <row r="1060" spans="1:12" x14ac:dyDescent="0.45">
      <c r="A1060" s="1">
        <v>43699</v>
      </c>
      <c r="B1060">
        <v>14.81</v>
      </c>
      <c r="C1060">
        <f t="shared" si="177"/>
        <v>5.977448716207103E-3</v>
      </c>
      <c r="D1060" t="e">
        <f t="shared" ca="1" si="182"/>
        <v>#DIV/0!</v>
      </c>
      <c r="E1060" t="e">
        <f t="shared" ca="1" si="183"/>
        <v>#DIV/0!</v>
      </c>
      <c r="F1060" t="e">
        <f t="shared" ca="1" si="184"/>
        <v>#DIV/0!</v>
      </c>
      <c r="G1060" t="e">
        <f t="shared" ca="1" si="185"/>
        <v>#DIV/0!</v>
      </c>
      <c r="H1060" t="e">
        <f t="shared" ca="1" si="186"/>
        <v>#DIV/0!</v>
      </c>
      <c r="I1060" t="e">
        <f t="shared" ca="1" si="187"/>
        <v>#DIV/0!</v>
      </c>
      <c r="K1060">
        <f t="shared" si="178"/>
        <v>1.0059774487162072</v>
      </c>
      <c r="L1060" s="7">
        <f t="shared" ca="1" si="179"/>
        <v>1.0301892042292711</v>
      </c>
    </row>
    <row r="1061" spans="1:12" x14ac:dyDescent="0.45">
      <c r="A1061" s="1">
        <v>43698</v>
      </c>
      <c r="B1061">
        <v>14.722</v>
      </c>
      <c r="C1061">
        <f t="shared" si="177"/>
        <v>-2.2268268547481963E-2</v>
      </c>
      <c r="D1061" t="e">
        <f t="shared" ca="1" si="182"/>
        <v>#DIV/0!</v>
      </c>
      <c r="E1061" t="e">
        <f t="shared" ca="1" si="183"/>
        <v>#DIV/0!</v>
      </c>
      <c r="F1061" t="e">
        <f t="shared" ca="1" si="184"/>
        <v>#DIV/0!</v>
      </c>
      <c r="G1061" t="e">
        <f t="shared" ca="1" si="185"/>
        <v>#DIV/0!</v>
      </c>
      <c r="H1061" t="e">
        <f t="shared" ca="1" si="186"/>
        <v>#DIV/0!</v>
      </c>
      <c r="I1061" t="e">
        <f t="shared" ca="1" si="187"/>
        <v>#DIV/0!</v>
      </c>
      <c r="K1061">
        <f t="shared" si="178"/>
        <v>0.97773173145251802</v>
      </c>
      <c r="L1061" s="7">
        <f t="shared" ca="1" si="179"/>
        <v>1.0055118056456736</v>
      </c>
    </row>
    <row r="1062" spans="1:12" x14ac:dyDescent="0.45">
      <c r="A1062" s="1">
        <v>43697</v>
      </c>
      <c r="B1062">
        <v>15.0573</v>
      </c>
      <c r="C1062">
        <f t="shared" si="177"/>
        <v>-4.2785345853723188E-3</v>
      </c>
      <c r="D1062" t="e">
        <f t="shared" ca="1" si="182"/>
        <v>#DIV/0!</v>
      </c>
      <c r="E1062" t="e">
        <f t="shared" ca="1" si="183"/>
        <v>#DIV/0!</v>
      </c>
      <c r="F1062" t="e">
        <f t="shared" ca="1" si="184"/>
        <v>#DIV/0!</v>
      </c>
      <c r="G1062" t="e">
        <f t="shared" ca="1" si="185"/>
        <v>#DIV/0!</v>
      </c>
      <c r="H1062" t="e">
        <f t="shared" ca="1" si="186"/>
        <v>#DIV/0!</v>
      </c>
      <c r="I1062" t="e">
        <f t="shared" ca="1" si="187"/>
        <v>#DIV/0!</v>
      </c>
      <c r="K1062">
        <f t="shared" si="178"/>
        <v>0.99572146541462769</v>
      </c>
      <c r="L1062" s="7">
        <f t="shared" ca="1" si="179"/>
        <v>0.96110221042082866</v>
      </c>
    </row>
    <row r="1063" spans="1:12" x14ac:dyDescent="0.45">
      <c r="A1063" s="1">
        <v>43696</v>
      </c>
      <c r="B1063">
        <v>15.122</v>
      </c>
      <c r="C1063">
        <f t="shared" si="177"/>
        <v>3.1324380912110372E-2</v>
      </c>
      <c r="D1063" t="e">
        <f t="shared" ca="1" si="182"/>
        <v>#DIV/0!</v>
      </c>
      <c r="E1063" t="e">
        <f t="shared" ca="1" si="183"/>
        <v>#DIV/0!</v>
      </c>
      <c r="F1063" t="e">
        <f t="shared" ca="1" si="184"/>
        <v>#DIV/0!</v>
      </c>
      <c r="G1063" t="e">
        <f t="shared" ca="1" si="185"/>
        <v>#DIV/0!</v>
      </c>
      <c r="H1063" t="e">
        <f t="shared" ca="1" si="186"/>
        <v>#DIV/0!</v>
      </c>
      <c r="I1063" t="e">
        <f t="shared" ca="1" si="187"/>
        <v>#DIV/0!</v>
      </c>
      <c r="K1063">
        <f t="shared" si="178"/>
        <v>1.0313243809121104</v>
      </c>
      <c r="L1063" s="7">
        <f t="shared" ca="1" si="179"/>
        <v>0.99048292756414036</v>
      </c>
    </row>
    <row r="1064" spans="1:12" x14ac:dyDescent="0.45">
      <c r="A1064" s="1">
        <v>43693</v>
      </c>
      <c r="B1064">
        <v>14.662699999999999</v>
      </c>
      <c r="C1064">
        <f t="shared" si="177"/>
        <v>1.9942960489705047E-2</v>
      </c>
      <c r="D1064" t="e">
        <f t="shared" ca="1" si="182"/>
        <v>#DIV/0!</v>
      </c>
      <c r="E1064" t="e">
        <f t="shared" ca="1" si="183"/>
        <v>#DIV/0!</v>
      </c>
      <c r="F1064" t="e">
        <f t="shared" ca="1" si="184"/>
        <v>#DIV/0!</v>
      </c>
      <c r="G1064" t="e">
        <f t="shared" ca="1" si="185"/>
        <v>#DIV/0!</v>
      </c>
      <c r="H1064" t="e">
        <f t="shared" ca="1" si="186"/>
        <v>#DIV/0!</v>
      </c>
      <c r="I1064" t="e">
        <f t="shared" ca="1" si="187"/>
        <v>#DIV/0!</v>
      </c>
      <c r="K1064">
        <f t="shared" si="178"/>
        <v>1.019942960489705</v>
      </c>
      <c r="L1064" s="7">
        <f t="shared" ca="1" si="179"/>
        <v>0.93587918786261826</v>
      </c>
    </row>
    <row r="1065" spans="1:12" x14ac:dyDescent="0.45">
      <c r="A1065" s="1">
        <v>43692</v>
      </c>
      <c r="B1065">
        <v>14.375999999999999</v>
      </c>
      <c r="C1065">
        <f t="shared" si="177"/>
        <v>-1.8119975685219201E-2</v>
      </c>
      <c r="D1065" t="e">
        <f t="shared" ca="1" si="182"/>
        <v>#DIV/0!</v>
      </c>
      <c r="E1065" t="e">
        <f t="shared" ca="1" si="183"/>
        <v>#DIV/0!</v>
      </c>
      <c r="F1065" t="e">
        <f t="shared" ca="1" si="184"/>
        <v>#DIV/0!</v>
      </c>
      <c r="G1065" t="e">
        <f t="shared" ca="1" si="185"/>
        <v>#DIV/0!</v>
      </c>
      <c r="H1065" t="e">
        <f t="shared" ca="1" si="186"/>
        <v>#DIV/0!</v>
      </c>
      <c r="I1065" t="e">
        <f t="shared" ca="1" si="187"/>
        <v>#DIV/0!</v>
      </c>
      <c r="K1065">
        <f t="shared" si="178"/>
        <v>0.98188002431478083</v>
      </c>
      <c r="L1065" s="7">
        <f t="shared" ca="1" si="179"/>
        <v>0.90490787891758506</v>
      </c>
    </row>
    <row r="1066" spans="1:12" x14ac:dyDescent="0.45">
      <c r="A1066" s="1">
        <v>43691</v>
      </c>
      <c r="B1066">
        <v>14.641299999999999</v>
      </c>
      <c r="C1066">
        <f t="shared" si="177"/>
        <v>-6.5450924572500985E-2</v>
      </c>
      <c r="D1066" t="e">
        <f t="shared" ca="1" si="182"/>
        <v>#DIV/0!</v>
      </c>
      <c r="E1066" t="e">
        <f t="shared" ca="1" si="183"/>
        <v>#DIV/0!</v>
      </c>
      <c r="F1066" t="e">
        <f t="shared" ca="1" si="184"/>
        <v>#DIV/0!</v>
      </c>
      <c r="G1066" t="e">
        <f t="shared" ca="1" si="185"/>
        <v>#DIV/0!</v>
      </c>
      <c r="H1066" t="e">
        <f t="shared" ca="1" si="186"/>
        <v>#DIV/0!</v>
      </c>
      <c r="I1066" t="e">
        <f t="shared" ca="1" si="187"/>
        <v>#DIV/0!</v>
      </c>
      <c r="K1066">
        <f t="shared" si="178"/>
        <v>0.93454907542749899</v>
      </c>
      <c r="L1066" s="7">
        <f t="shared" ca="1" si="179"/>
        <v>0.94087897540693899</v>
      </c>
    </row>
    <row r="1067" spans="1:12" x14ac:dyDescent="0.45">
      <c r="A1067" s="1">
        <v>43690</v>
      </c>
      <c r="B1067">
        <v>15.666700000000001</v>
      </c>
      <c r="C1067">
        <f t="shared" si="177"/>
        <v>2.6160486792032641E-2</v>
      </c>
      <c r="D1067" t="e">
        <f t="shared" ca="1" si="182"/>
        <v>#DIV/0!</v>
      </c>
      <c r="E1067" t="e">
        <f t="shared" ca="1" si="183"/>
        <v>#DIV/0!</v>
      </c>
      <c r="F1067" t="e">
        <f t="shared" ca="1" si="184"/>
        <v>#DIV/0!</v>
      </c>
      <c r="G1067" t="e">
        <f t="shared" ca="1" si="185"/>
        <v>#DIV/0!</v>
      </c>
      <c r="H1067" t="e">
        <f t="shared" ca="1" si="186"/>
        <v>#DIV/0!</v>
      </c>
      <c r="I1067" t="e">
        <f t="shared" ca="1" si="187"/>
        <v>#DIV/0!</v>
      </c>
      <c r="K1067">
        <f t="shared" si="178"/>
        <v>1.0261604867920326</v>
      </c>
      <c r="L1067" s="7">
        <f t="shared" ca="1" si="179"/>
        <v>1.0184225751301736</v>
      </c>
    </row>
    <row r="1068" spans="1:12" x14ac:dyDescent="0.45">
      <c r="A1068" s="1">
        <v>43689</v>
      </c>
      <c r="B1068">
        <v>15.267300000000001</v>
      </c>
      <c r="C1068">
        <f t="shared" si="177"/>
        <v>-2.5530882794099725E-2</v>
      </c>
      <c r="D1068" t="e">
        <f t="shared" ca="1" si="182"/>
        <v>#DIV/0!</v>
      </c>
      <c r="E1068" t="e">
        <f t="shared" ca="1" si="183"/>
        <v>#DIV/0!</v>
      </c>
      <c r="F1068" t="e">
        <f t="shared" ca="1" si="184"/>
        <v>#DIV/0!</v>
      </c>
      <c r="G1068" t="e">
        <f t="shared" ca="1" si="185"/>
        <v>#DIV/0!</v>
      </c>
      <c r="H1068" t="e">
        <f t="shared" ca="1" si="186"/>
        <v>#DIV/0!</v>
      </c>
      <c r="I1068" t="e">
        <f t="shared" ca="1" si="187"/>
        <v>#DIV/0!</v>
      </c>
      <c r="K1068">
        <f t="shared" si="178"/>
        <v>0.97446911720590024</v>
      </c>
      <c r="L1068" s="7">
        <f t="shared" ca="1" si="179"/>
        <v>1.0030220808997921</v>
      </c>
    </row>
    <row r="1069" spans="1:12" x14ac:dyDescent="0.45">
      <c r="A1069" s="1">
        <v>43686</v>
      </c>
      <c r="B1069">
        <v>15.667299999999999</v>
      </c>
      <c r="C1069">
        <f t="shared" si="177"/>
        <v>-1.3810294145417254E-2</v>
      </c>
      <c r="D1069" t="e">
        <f t="shared" ca="1" si="182"/>
        <v>#DIV/0!</v>
      </c>
      <c r="E1069" t="e">
        <f t="shared" ca="1" si="183"/>
        <v>#DIV/0!</v>
      </c>
      <c r="F1069" t="e">
        <f t="shared" ca="1" si="184"/>
        <v>#DIV/0!</v>
      </c>
      <c r="G1069" t="e">
        <f t="shared" ca="1" si="185"/>
        <v>#DIV/0!</v>
      </c>
      <c r="H1069" t="e">
        <f t="shared" ca="1" si="186"/>
        <v>#DIV/0!</v>
      </c>
      <c r="I1069" t="e">
        <f t="shared" ca="1" si="187"/>
        <v>#DIV/0!</v>
      </c>
      <c r="K1069">
        <f t="shared" si="178"/>
        <v>0.98618970585458277</v>
      </c>
      <c r="L1069" s="7">
        <f t="shared" ca="1" si="179"/>
        <v>1.0028548202295378</v>
      </c>
    </row>
    <row r="1070" spans="1:12" x14ac:dyDescent="0.45">
      <c r="A1070" s="1">
        <v>43685</v>
      </c>
      <c r="B1070">
        <v>15.886699999999999</v>
      </c>
      <c r="C1070">
        <f t="shared" si="177"/>
        <v>2.0910849350632667E-2</v>
      </c>
      <c r="D1070" t="e">
        <f t="shared" ca="1" si="182"/>
        <v>#DIV/0!</v>
      </c>
      <c r="E1070" t="e">
        <f t="shared" ca="1" si="183"/>
        <v>#DIV/0!</v>
      </c>
      <c r="F1070" t="e">
        <f t="shared" ca="1" si="184"/>
        <v>#DIV/0!</v>
      </c>
      <c r="G1070" t="e">
        <f t="shared" ca="1" si="185"/>
        <v>#DIV/0!</v>
      </c>
      <c r="H1070" t="e">
        <f t="shared" ca="1" si="186"/>
        <v>#DIV/0!</v>
      </c>
      <c r="I1070" t="e">
        <f t="shared" ca="1" si="187"/>
        <v>#DIV/0!</v>
      </c>
      <c r="K1070">
        <f t="shared" si="178"/>
        <v>1.0209108493506327</v>
      </c>
      <c r="L1070" s="7">
        <f t="shared" ca="1" si="179"/>
        <v>1.0190314304041053</v>
      </c>
    </row>
    <row r="1071" spans="1:12" x14ac:dyDescent="0.45">
      <c r="A1071" s="1">
        <v>43684</v>
      </c>
      <c r="B1071">
        <v>15.561299999999999</v>
      </c>
      <c r="C1071">
        <f t="shared" si="177"/>
        <v>1.1570989319586762E-2</v>
      </c>
      <c r="D1071" t="e">
        <f t="shared" ca="1" si="182"/>
        <v>#DIV/0!</v>
      </c>
      <c r="E1071" t="e">
        <f t="shared" ca="1" si="183"/>
        <v>#DIV/0!</v>
      </c>
      <c r="F1071" t="e">
        <f t="shared" ca="1" si="184"/>
        <v>#DIV/0!</v>
      </c>
      <c r="G1071" t="e">
        <f t="shared" ca="1" si="185"/>
        <v>#DIV/0!</v>
      </c>
      <c r="H1071" t="e">
        <f t="shared" ca="1" si="186"/>
        <v>#DIV/0!</v>
      </c>
      <c r="I1071" t="e">
        <f t="shared" ca="1" si="187"/>
        <v>#DIV/0!</v>
      </c>
      <c r="K1071">
        <f t="shared" si="178"/>
        <v>1.0115709893195868</v>
      </c>
      <c r="L1071" s="7">
        <f t="shared" ca="1" si="179"/>
        <v>0.96610232627442216</v>
      </c>
    </row>
    <row r="1072" spans="1:12" x14ac:dyDescent="0.45">
      <c r="A1072" s="1">
        <v>43683</v>
      </c>
      <c r="B1072">
        <v>15.3833</v>
      </c>
      <c r="C1072">
        <f t="shared" si="177"/>
        <v>1.0642980560136179E-2</v>
      </c>
      <c r="D1072" t="e">
        <f t="shared" ca="1" si="182"/>
        <v>#DIV/0!</v>
      </c>
      <c r="E1072" t="e">
        <f t="shared" ca="1" si="183"/>
        <v>#DIV/0!</v>
      </c>
      <c r="F1072" t="e">
        <f t="shared" ca="1" si="184"/>
        <v>#DIV/0!</v>
      </c>
      <c r="G1072" t="e">
        <f t="shared" ca="1" si="185"/>
        <v>#DIV/0!</v>
      </c>
      <c r="H1072" t="e">
        <f t="shared" ca="1" si="186"/>
        <v>#DIV/0!</v>
      </c>
      <c r="I1072" t="e">
        <f t="shared" ca="1" si="187"/>
        <v>#DIV/0!</v>
      </c>
      <c r="K1072">
        <f t="shared" si="178"/>
        <v>1.0106429805601362</v>
      </c>
      <c r="L1072" s="7">
        <f t="shared" ca="1" si="179"/>
        <v>0.95248503160853715</v>
      </c>
    </row>
    <row r="1073" spans="1:12" x14ac:dyDescent="0.45">
      <c r="A1073" s="1">
        <v>43682</v>
      </c>
      <c r="B1073">
        <v>15.221299999999999</v>
      </c>
      <c r="C1073">
        <f t="shared" si="177"/>
        <v>-2.5693382065840133E-2</v>
      </c>
      <c r="D1073" t="e">
        <f t="shared" ca="1" si="182"/>
        <v>#DIV/0!</v>
      </c>
      <c r="E1073" t="e">
        <f t="shared" ca="1" si="183"/>
        <v>#DIV/0!</v>
      </c>
      <c r="F1073" t="e">
        <f t="shared" ca="1" si="184"/>
        <v>#DIV/0!</v>
      </c>
      <c r="G1073" t="e">
        <f t="shared" ca="1" si="185"/>
        <v>#DIV/0!</v>
      </c>
      <c r="H1073" t="e">
        <f t="shared" ca="1" si="186"/>
        <v>#DIV/0!</v>
      </c>
      <c r="I1073" t="e">
        <f t="shared" ca="1" si="187"/>
        <v>#DIV/0!</v>
      </c>
      <c r="K1073">
        <f t="shared" si="178"/>
        <v>0.97430661793415985</v>
      </c>
      <c r="L1073" s="7">
        <f t="shared" ca="1" si="179"/>
        <v>0.96839928744115</v>
      </c>
    </row>
    <row r="1074" spans="1:12" x14ac:dyDescent="0.45">
      <c r="A1074" s="1">
        <v>43679</v>
      </c>
      <c r="B1074">
        <v>15.6227</v>
      </c>
      <c r="C1074">
        <f t="shared" si="177"/>
        <v>2.0974983964079648E-3</v>
      </c>
      <c r="D1074" t="e">
        <f t="shared" ca="1" si="182"/>
        <v>#DIV/0!</v>
      </c>
      <c r="E1074" t="e">
        <f t="shared" ca="1" si="183"/>
        <v>#DIV/0!</v>
      </c>
      <c r="F1074" t="e">
        <f t="shared" ca="1" si="184"/>
        <v>#DIV/0!</v>
      </c>
      <c r="G1074" t="e">
        <f t="shared" ca="1" si="185"/>
        <v>#DIV/0!</v>
      </c>
      <c r="H1074" t="e">
        <f t="shared" ca="1" si="186"/>
        <v>#DIV/0!</v>
      </c>
      <c r="I1074" t="e">
        <f t="shared" ca="1" si="187"/>
        <v>#DIV/0!</v>
      </c>
      <c r="K1074">
        <f t="shared" si="178"/>
        <v>1.0020974983964079</v>
      </c>
      <c r="L1074" s="7">
        <f t="shared" ca="1" si="179"/>
        <v>1.0276266715780749</v>
      </c>
    </row>
    <row r="1075" spans="1:12" x14ac:dyDescent="0.45">
      <c r="A1075" s="1">
        <v>43678</v>
      </c>
      <c r="B1075">
        <v>15.59</v>
      </c>
      <c r="C1075">
        <f t="shared" si="177"/>
        <v>-3.2115872927182008E-2</v>
      </c>
      <c r="D1075" t="e">
        <f t="shared" ca="1" si="182"/>
        <v>#DIV/0!</v>
      </c>
      <c r="E1075" t="e">
        <f t="shared" ca="1" si="183"/>
        <v>#DIV/0!</v>
      </c>
      <c r="F1075" t="e">
        <f t="shared" ca="1" si="184"/>
        <v>#DIV/0!</v>
      </c>
      <c r="G1075" t="e">
        <f t="shared" ca="1" si="185"/>
        <v>#DIV/0!</v>
      </c>
      <c r="H1075" t="e">
        <f t="shared" ca="1" si="186"/>
        <v>#DIV/0!</v>
      </c>
      <c r="I1075" t="e">
        <f t="shared" ca="1" si="187"/>
        <v>#DIV/0!</v>
      </c>
      <c r="K1075">
        <f t="shared" si="178"/>
        <v>0.96788412707281801</v>
      </c>
      <c r="L1075" s="7">
        <f t="shared" ca="1" si="179"/>
        <v>1.0219801110477427</v>
      </c>
    </row>
    <row r="1076" spans="1:12" x14ac:dyDescent="0.45">
      <c r="A1076" s="1">
        <v>43677</v>
      </c>
      <c r="B1076">
        <v>16.107299999999999</v>
      </c>
      <c r="C1076">
        <f t="shared" si="177"/>
        <v>-2.687190028915272E-3</v>
      </c>
      <c r="D1076" t="e">
        <f t="shared" ca="1" si="182"/>
        <v>#DIV/0!</v>
      </c>
      <c r="E1076" t="e">
        <f t="shared" ca="1" si="183"/>
        <v>#DIV/0!</v>
      </c>
      <c r="F1076" t="e">
        <f t="shared" ca="1" si="184"/>
        <v>#DIV/0!</v>
      </c>
      <c r="G1076" t="e">
        <f t="shared" ca="1" si="185"/>
        <v>#DIV/0!</v>
      </c>
      <c r="H1076" t="e">
        <f t="shared" ca="1" si="186"/>
        <v>#DIV/0!</v>
      </c>
      <c r="I1076" t="e">
        <f t="shared" ca="1" si="187"/>
        <v>#DIV/0!</v>
      </c>
      <c r="K1076">
        <f t="shared" si="178"/>
        <v>0.99731280997108473</v>
      </c>
      <c r="L1076" s="7">
        <f t="shared" ca="1" si="179"/>
        <v>0.91214528815824503</v>
      </c>
    </row>
    <row r="1077" spans="1:12" x14ac:dyDescent="0.45">
      <c r="A1077" s="1">
        <v>43676</v>
      </c>
      <c r="B1077">
        <v>16.150700000000001</v>
      </c>
      <c r="C1077">
        <f t="shared" si="177"/>
        <v>2.7528947703270169E-2</v>
      </c>
      <c r="D1077" t="e">
        <f t="shared" ca="1" si="182"/>
        <v>#DIV/0!</v>
      </c>
      <c r="E1077" t="e">
        <f t="shared" ca="1" si="183"/>
        <v>#DIV/0!</v>
      </c>
      <c r="F1077" t="e">
        <f t="shared" ca="1" si="184"/>
        <v>#DIV/0!</v>
      </c>
      <c r="G1077" t="e">
        <f t="shared" ca="1" si="185"/>
        <v>#DIV/0!</v>
      </c>
      <c r="H1077" t="e">
        <f t="shared" ca="1" si="186"/>
        <v>#DIV/0!</v>
      </c>
      <c r="I1077" t="e">
        <f t="shared" ca="1" si="187"/>
        <v>#DIV/0!</v>
      </c>
      <c r="K1077">
        <f t="shared" si="178"/>
        <v>1.0275289477032701</v>
      </c>
      <c r="L1077" s="7">
        <f t="shared" ca="1" si="179"/>
        <v>0.93116052742336264</v>
      </c>
    </row>
    <row r="1078" spans="1:12" x14ac:dyDescent="0.45">
      <c r="A1078" s="1">
        <v>43675</v>
      </c>
      <c r="B1078">
        <v>15.718</v>
      </c>
      <c r="C1078">
        <f t="shared" si="177"/>
        <v>3.3895294914719085E-2</v>
      </c>
      <c r="D1078" t="e">
        <f t="shared" ca="1" si="182"/>
        <v>#DIV/0!</v>
      </c>
      <c r="E1078" t="e">
        <f t="shared" ca="1" si="183"/>
        <v>#DIV/0!</v>
      </c>
      <c r="F1078" t="e">
        <f t="shared" ca="1" si="184"/>
        <v>#DIV/0!</v>
      </c>
      <c r="G1078" t="e">
        <f t="shared" ca="1" si="185"/>
        <v>#DIV/0!</v>
      </c>
      <c r="H1078" t="e">
        <f t="shared" ca="1" si="186"/>
        <v>#DIV/0!</v>
      </c>
      <c r="I1078" t="e">
        <f t="shared" ca="1" si="187"/>
        <v>#DIV/0!</v>
      </c>
      <c r="K1078">
        <f t="shared" si="178"/>
        <v>1.0338952949147191</v>
      </c>
      <c r="L1078" s="7">
        <f t="shared" ca="1" si="179"/>
        <v>0.92213102732131424</v>
      </c>
    </row>
    <row r="1079" spans="1:12" x14ac:dyDescent="0.45">
      <c r="A1079" s="1">
        <v>43672</v>
      </c>
      <c r="B1079">
        <v>15.2027</v>
      </c>
      <c r="C1079">
        <f t="shared" si="177"/>
        <v>-3.4087854890623615E-3</v>
      </c>
      <c r="D1079" t="e">
        <f t="shared" ca="1" si="182"/>
        <v>#DIV/0!</v>
      </c>
      <c r="E1079" t="e">
        <f t="shared" ca="1" si="183"/>
        <v>#DIV/0!</v>
      </c>
      <c r="F1079" t="e">
        <f t="shared" ca="1" si="184"/>
        <v>#DIV/0!</v>
      </c>
      <c r="G1079" t="e">
        <f t="shared" ca="1" si="185"/>
        <v>#DIV/0!</v>
      </c>
      <c r="H1079" t="e">
        <f t="shared" ca="1" si="186"/>
        <v>#DIV/0!</v>
      </c>
      <c r="I1079" t="e">
        <f t="shared" ca="1" si="187"/>
        <v>#DIV/0!</v>
      </c>
      <c r="K1079">
        <f t="shared" si="178"/>
        <v>0.99659121451093768</v>
      </c>
      <c r="L1079" s="7">
        <f t="shared" ca="1" si="179"/>
        <v>0.88326167789914001</v>
      </c>
    </row>
    <row r="1080" spans="1:12" x14ac:dyDescent="0.45">
      <c r="A1080" s="1">
        <v>43671</v>
      </c>
      <c r="B1080">
        <v>15.2547</v>
      </c>
      <c r="C1080">
        <f t="shared" si="177"/>
        <v>-0.13613686171688744</v>
      </c>
      <c r="D1080" t="e">
        <f t="shared" ca="1" si="182"/>
        <v>#DIV/0!</v>
      </c>
      <c r="E1080" t="e">
        <f t="shared" ca="1" si="183"/>
        <v>#DIV/0!</v>
      </c>
      <c r="F1080" t="e">
        <f t="shared" ca="1" si="184"/>
        <v>#DIV/0!</v>
      </c>
      <c r="G1080" t="e">
        <f t="shared" ca="1" si="185"/>
        <v>#DIV/0!</v>
      </c>
      <c r="H1080" t="e">
        <f t="shared" ca="1" si="186"/>
        <v>#DIV/0!</v>
      </c>
      <c r="I1080" t="e">
        <f t="shared" ca="1" si="187"/>
        <v>#DIV/0!</v>
      </c>
      <c r="K1080">
        <f t="shared" si="178"/>
        <v>0.86386313828311256</v>
      </c>
      <c r="L1080" s="7">
        <f t="shared" ca="1" si="179"/>
        <v>0.90250078389843014</v>
      </c>
    </row>
    <row r="1081" spans="1:12" x14ac:dyDescent="0.45">
      <c r="A1081" s="1">
        <v>43670</v>
      </c>
      <c r="B1081">
        <v>17.6587</v>
      </c>
      <c r="C1081">
        <f t="shared" si="177"/>
        <v>1.8103512888663399E-2</v>
      </c>
      <c r="D1081" t="e">
        <f t="shared" ca="1" si="182"/>
        <v>#DIV/0!</v>
      </c>
      <c r="E1081" t="e">
        <f t="shared" ca="1" si="183"/>
        <v>#DIV/0!</v>
      </c>
      <c r="F1081" t="e">
        <f t="shared" ca="1" si="184"/>
        <v>#DIV/0!</v>
      </c>
      <c r="G1081" t="e">
        <f t="shared" ca="1" si="185"/>
        <v>#DIV/0!</v>
      </c>
      <c r="H1081" t="e">
        <f t="shared" ca="1" si="186"/>
        <v>#DIV/0!</v>
      </c>
      <c r="I1081" t="e">
        <f t="shared" ca="1" si="187"/>
        <v>#DIV/0!</v>
      </c>
      <c r="K1081">
        <f t="shared" si="178"/>
        <v>1.0181035128886633</v>
      </c>
      <c r="L1081" s="7">
        <f t="shared" ca="1" si="179"/>
        <v>1.0393156256069493</v>
      </c>
    </row>
    <row r="1082" spans="1:12" x14ac:dyDescent="0.45">
      <c r="A1082" s="1">
        <v>43669</v>
      </c>
      <c r="B1082">
        <v>17.3447</v>
      </c>
      <c r="C1082">
        <f t="shared" si="177"/>
        <v>1.7564959255630497E-2</v>
      </c>
      <c r="D1082" t="e">
        <f t="shared" ca="1" si="182"/>
        <v>#DIV/0!</v>
      </c>
      <c r="E1082" t="e">
        <f t="shared" ca="1" si="183"/>
        <v>#DIV/0!</v>
      </c>
      <c r="F1082" t="e">
        <f t="shared" ca="1" si="184"/>
        <v>#DIV/0!</v>
      </c>
      <c r="G1082" t="e">
        <f t="shared" ca="1" si="185"/>
        <v>#DIV/0!</v>
      </c>
      <c r="H1082" t="e">
        <f t="shared" ca="1" si="186"/>
        <v>#DIV/0!</v>
      </c>
      <c r="I1082" t="e">
        <f t="shared" ca="1" si="187"/>
        <v>#DIV/0!</v>
      </c>
      <c r="K1082">
        <f t="shared" si="178"/>
        <v>1.0175649592556304</v>
      </c>
      <c r="L1082" s="7">
        <f t="shared" ca="1" si="179"/>
        <v>1.0308701776491356</v>
      </c>
    </row>
    <row r="1083" spans="1:12" x14ac:dyDescent="0.45">
      <c r="A1083" s="1">
        <v>43668</v>
      </c>
      <c r="B1083">
        <v>17.045300000000001</v>
      </c>
      <c r="C1083">
        <f t="shared" si="177"/>
        <v>-9.6851034162211674E-3</v>
      </c>
      <c r="D1083" t="e">
        <f t="shared" ca="1" si="182"/>
        <v>#DIV/0!</v>
      </c>
      <c r="E1083" t="e">
        <f t="shared" ca="1" si="183"/>
        <v>#DIV/0!</v>
      </c>
      <c r="F1083" t="e">
        <f t="shared" ca="1" si="184"/>
        <v>#DIV/0!</v>
      </c>
      <c r="G1083" t="e">
        <f t="shared" ca="1" si="185"/>
        <v>#DIV/0!</v>
      </c>
      <c r="H1083" t="e">
        <f t="shared" ca="1" si="186"/>
        <v>#DIV/0!</v>
      </c>
      <c r="I1083" t="e">
        <f t="shared" ca="1" si="187"/>
        <v>#DIV/0!</v>
      </c>
      <c r="K1083">
        <f t="shared" si="178"/>
        <v>0.9903148965837788</v>
      </c>
      <c r="L1083" s="7">
        <f t="shared" ca="1" si="179"/>
        <v>1.0085976331360949</v>
      </c>
    </row>
    <row r="1084" spans="1:12" x14ac:dyDescent="0.45">
      <c r="A1084" s="1">
        <v>43665</v>
      </c>
      <c r="B1084">
        <v>17.212</v>
      </c>
      <c r="C1084">
        <f t="shared" si="177"/>
        <v>1.8298851662752125E-2</v>
      </c>
      <c r="D1084" t="e">
        <f t="shared" ca="1" si="182"/>
        <v>#DIV/0!</v>
      </c>
      <c r="E1084" t="e">
        <f t="shared" ca="1" si="183"/>
        <v>#DIV/0!</v>
      </c>
      <c r="F1084" t="e">
        <f t="shared" ca="1" si="184"/>
        <v>#DIV/0!</v>
      </c>
      <c r="G1084" t="e">
        <f t="shared" ca="1" si="185"/>
        <v>#DIV/0!</v>
      </c>
      <c r="H1084" t="e">
        <f t="shared" ca="1" si="186"/>
        <v>#DIV/0!</v>
      </c>
      <c r="I1084" t="e">
        <f t="shared" ca="1" si="187"/>
        <v>#DIV/0!</v>
      </c>
      <c r="K1084">
        <f t="shared" si="178"/>
        <v>1.018298851662752</v>
      </c>
      <c r="L1084" s="7">
        <f t="shared" ca="1" si="179"/>
        <v>1.0534497848666051</v>
      </c>
    </row>
    <row r="1085" spans="1:12" x14ac:dyDescent="0.45">
      <c r="A1085" s="1">
        <v>43664</v>
      </c>
      <c r="B1085">
        <v>16.902699999999999</v>
      </c>
      <c r="C1085">
        <f t="shared" si="177"/>
        <v>-5.1793039721730692E-3</v>
      </c>
      <c r="D1085" t="e">
        <f t="shared" ca="1" si="182"/>
        <v>#DIV/0!</v>
      </c>
      <c r="E1085" t="e">
        <f t="shared" ca="1" si="183"/>
        <v>#DIV/0!</v>
      </c>
      <c r="F1085" t="e">
        <f t="shared" ca="1" si="184"/>
        <v>#DIV/0!</v>
      </c>
      <c r="G1085" t="e">
        <f t="shared" ca="1" si="185"/>
        <v>#DIV/0!</v>
      </c>
      <c r="H1085" t="e">
        <f t="shared" ca="1" si="186"/>
        <v>#DIV/0!</v>
      </c>
      <c r="I1085" t="e">
        <f t="shared" ca="1" si="187"/>
        <v>#DIV/0!</v>
      </c>
      <c r="K1085">
        <f t="shared" si="178"/>
        <v>0.99482069602782697</v>
      </c>
      <c r="L1085" s="7">
        <f t="shared" ca="1" si="179"/>
        <v>1.0626151244444166</v>
      </c>
    </row>
    <row r="1086" spans="1:12" x14ac:dyDescent="0.45">
      <c r="A1086" s="1">
        <v>43663</v>
      </c>
      <c r="B1086">
        <v>16.9907</v>
      </c>
      <c r="C1086">
        <f t="shared" si="177"/>
        <v>9.8304339298557405E-3</v>
      </c>
      <c r="D1086" t="e">
        <f t="shared" ca="1" si="182"/>
        <v>#DIV/0!</v>
      </c>
      <c r="E1086" t="e">
        <f t="shared" ca="1" si="183"/>
        <v>#DIV/0!</v>
      </c>
      <c r="F1086" t="e">
        <f t="shared" ca="1" si="184"/>
        <v>#DIV/0!</v>
      </c>
      <c r="G1086" t="e">
        <f t="shared" ca="1" si="185"/>
        <v>#DIV/0!</v>
      </c>
      <c r="H1086" t="e">
        <f t="shared" ca="1" si="186"/>
        <v>#DIV/0!</v>
      </c>
      <c r="I1086" t="e">
        <f t="shared" ca="1" si="187"/>
        <v>#DIV/0!</v>
      </c>
      <c r="K1086">
        <f t="shared" si="178"/>
        <v>1.0098304339298558</v>
      </c>
      <c r="L1086" s="7">
        <f t="shared" ca="1" si="179"/>
        <v>1.0667189854344552</v>
      </c>
    </row>
    <row r="1087" spans="1:12" x14ac:dyDescent="0.45">
      <c r="A1087" s="1">
        <v>43662</v>
      </c>
      <c r="B1087">
        <v>16.825299999999999</v>
      </c>
      <c r="C1087">
        <f t="shared" si="177"/>
        <v>-4.4201183431952663E-3</v>
      </c>
      <c r="D1087" t="e">
        <f t="shared" ca="1" si="182"/>
        <v>#DIV/0!</v>
      </c>
      <c r="E1087" t="e">
        <f t="shared" ca="1" si="183"/>
        <v>#DIV/0!</v>
      </c>
      <c r="F1087" t="e">
        <f t="shared" ca="1" si="184"/>
        <v>#DIV/0!</v>
      </c>
      <c r="G1087" t="e">
        <f t="shared" ca="1" si="185"/>
        <v>#DIV/0!</v>
      </c>
      <c r="H1087" t="e">
        <f t="shared" ca="1" si="186"/>
        <v>#DIV/0!</v>
      </c>
      <c r="I1087" t="e">
        <f t="shared" ca="1" si="187"/>
        <v>#DIV/0!</v>
      </c>
      <c r="K1087">
        <f t="shared" si="178"/>
        <v>0.99557988165680478</v>
      </c>
      <c r="L1087" s="7">
        <f t="shared" ca="1" si="179"/>
        <v>1.0970183800277753</v>
      </c>
    </row>
    <row r="1088" spans="1:12" x14ac:dyDescent="0.45">
      <c r="A1088" s="1">
        <v>43661</v>
      </c>
      <c r="B1088">
        <v>16.899999999999999</v>
      </c>
      <c r="C1088">
        <f t="shared" si="177"/>
        <v>3.4354018373554764E-2</v>
      </c>
      <c r="D1088" t="e">
        <f t="shared" ca="1" si="182"/>
        <v>#DIV/0!</v>
      </c>
      <c r="E1088" t="e">
        <f t="shared" ca="1" si="183"/>
        <v>#DIV/0!</v>
      </c>
      <c r="F1088" t="e">
        <f t="shared" ca="1" si="184"/>
        <v>#DIV/0!</v>
      </c>
      <c r="G1088" t="e">
        <f t="shared" ca="1" si="185"/>
        <v>#DIV/0!</v>
      </c>
      <c r="H1088" t="e">
        <f t="shared" ca="1" si="186"/>
        <v>#DIV/0!</v>
      </c>
      <c r="I1088" t="e">
        <f t="shared" ca="1" si="187"/>
        <v>#DIV/0!</v>
      </c>
      <c r="K1088">
        <f t="shared" si="178"/>
        <v>1.0343540183735547</v>
      </c>
      <c r="L1088" s="7">
        <f t="shared" ca="1" si="179"/>
        <v>1.1005470174524614</v>
      </c>
    </row>
    <row r="1089" spans="1:12" x14ac:dyDescent="0.45">
      <c r="A1089" s="1">
        <v>43658</v>
      </c>
      <c r="B1089">
        <v>16.338699999999999</v>
      </c>
      <c r="C1089">
        <f t="shared" si="177"/>
        <v>2.7158367228903454E-2</v>
      </c>
      <c r="D1089" t="e">
        <f t="shared" ca="1" si="182"/>
        <v>#DIV/0!</v>
      </c>
      <c r="E1089" t="e">
        <f t="shared" ca="1" si="183"/>
        <v>#DIV/0!</v>
      </c>
      <c r="F1089" t="e">
        <f t="shared" ca="1" si="184"/>
        <v>#DIV/0!</v>
      </c>
      <c r="G1089" t="e">
        <f t="shared" ca="1" si="185"/>
        <v>#DIV/0!</v>
      </c>
      <c r="H1089" t="e">
        <f t="shared" ca="1" si="186"/>
        <v>#DIV/0!</v>
      </c>
      <c r="I1089" t="e">
        <f t="shared" ca="1" si="187"/>
        <v>#DIV/0!</v>
      </c>
      <c r="K1089">
        <f t="shared" si="178"/>
        <v>1.0271583672289035</v>
      </c>
      <c r="L1089" s="7">
        <f t="shared" ca="1" si="179"/>
        <v>1.0513963963963964</v>
      </c>
    </row>
    <row r="1090" spans="1:12" x14ac:dyDescent="0.45">
      <c r="A1090" s="1">
        <v>43657</v>
      </c>
      <c r="B1090">
        <v>15.906700000000001</v>
      </c>
      <c r="C1090">
        <f t="shared" si="177"/>
        <v>-1.3372677046710256E-3</v>
      </c>
      <c r="D1090" t="e">
        <f t="shared" ca="1" si="182"/>
        <v>#DIV/0!</v>
      </c>
      <c r="E1090" t="e">
        <f t="shared" ca="1" si="183"/>
        <v>#DIV/0!</v>
      </c>
      <c r="F1090" t="e">
        <f t="shared" ca="1" si="184"/>
        <v>#DIV/0!</v>
      </c>
      <c r="G1090" t="e">
        <f t="shared" ca="1" si="185"/>
        <v>#DIV/0!</v>
      </c>
      <c r="H1090" t="e">
        <f t="shared" ca="1" si="186"/>
        <v>#DIV/0!</v>
      </c>
      <c r="I1090" t="e">
        <f t="shared" ca="1" si="187"/>
        <v>#DIV/0!</v>
      </c>
      <c r="K1090">
        <f t="shared" si="178"/>
        <v>0.99866273229532898</v>
      </c>
      <c r="L1090" s="7">
        <f t="shared" ca="1" si="179"/>
        <v>1.0157535121328225</v>
      </c>
    </row>
    <row r="1091" spans="1:12" x14ac:dyDescent="0.45">
      <c r="A1091" s="1">
        <v>43656</v>
      </c>
      <c r="B1091">
        <v>15.928000000000001</v>
      </c>
      <c r="C1091">
        <f t="shared" ref="C1091:C1154" si="188">(B1091-B1092)/B1092</f>
        <v>3.8513949652155204E-2</v>
      </c>
      <c r="D1091" t="e">
        <f t="shared" ca="1" si="182"/>
        <v>#DIV/0!</v>
      </c>
      <c r="E1091" t="e">
        <f t="shared" ca="1" si="183"/>
        <v>#DIV/0!</v>
      </c>
      <c r="F1091" t="e">
        <f t="shared" ca="1" si="184"/>
        <v>#DIV/0!</v>
      </c>
      <c r="G1091" t="e">
        <f t="shared" ca="1" si="185"/>
        <v>#DIV/0!</v>
      </c>
      <c r="H1091" t="e">
        <f t="shared" ca="1" si="186"/>
        <v>#DIV/0!</v>
      </c>
      <c r="I1091" t="e">
        <f t="shared" ca="1" si="187"/>
        <v>#DIV/0!</v>
      </c>
      <c r="K1091">
        <f t="shared" ref="K1091:K1154" si="189">C1091+1</f>
        <v>1.0385139496521552</v>
      </c>
      <c r="L1091" s="7">
        <f t="shared" ref="L1091:L1154" ca="1" si="190">PRODUCT(OFFSET(K1091,0,0,$J$6,1))</f>
        <v>1.0639946559786237</v>
      </c>
    </row>
    <row r="1092" spans="1:12" x14ac:dyDescent="0.45">
      <c r="A1092" s="1">
        <v>43655</v>
      </c>
      <c r="B1092">
        <v>15.337300000000001</v>
      </c>
      <c r="C1092">
        <f t="shared" si="188"/>
        <v>-1.2177650429798809E-3</v>
      </c>
      <c r="D1092" t="e">
        <f t="shared" ref="D1092:D1155" ca="1" si="191">AVERAGE(OFFSET(C1092,0,0,$J$3,1))</f>
        <v>#DIV/0!</v>
      </c>
      <c r="E1092" t="e">
        <f t="shared" ref="E1092:E1155" ca="1" si="192">STDEV(OFFSET(C1092,0,0,$J$3,1))</f>
        <v>#DIV/0!</v>
      </c>
      <c r="F1092" t="e">
        <f t="shared" ref="F1092:F1155" ca="1" si="193">SKEW(OFFSET(C1092,0,0,$J$3,1))</f>
        <v>#DIV/0!</v>
      </c>
      <c r="G1092" t="e">
        <f t="shared" ref="G1092:G1155" ca="1" si="194">KURT(OFFSET(C1092,0,0,$J$3,1))</f>
        <v>#DIV/0!</v>
      </c>
      <c r="H1092" t="e">
        <f t="shared" ref="H1092:H1155" ca="1" si="195">PERCENTILE(OFFSET(C1092,0,0,$J$3,1), 0.95)/ABS(PERCENTILE(OFFSET(C1092,0,0,$J$3,1), 0.05))</f>
        <v>#DIV/0!</v>
      </c>
      <c r="I1092" t="e">
        <f t="shared" ref="I1092:I1155" ca="1" si="196">PERCENTILE(OFFSET(C1092,0,0,$J$3,1), 0.75)/ABS(PERCENTILE(OFFSET(C1092,0,0,$J$3,1), 0.25))</f>
        <v>#DIV/0!</v>
      </c>
      <c r="K1092">
        <f t="shared" si="189"/>
        <v>0.99878223495702012</v>
      </c>
      <c r="L1092" s="7">
        <f t="shared" ca="1" si="190"/>
        <v>1.0127173202506488</v>
      </c>
    </row>
    <row r="1093" spans="1:12" x14ac:dyDescent="0.45">
      <c r="A1093" s="1">
        <v>43654</v>
      </c>
      <c r="B1093">
        <v>15.356</v>
      </c>
      <c r="C1093">
        <f t="shared" si="188"/>
        <v>-1.1840411840411794E-2</v>
      </c>
      <c r="D1093" t="e">
        <f t="shared" ca="1" si="191"/>
        <v>#DIV/0!</v>
      </c>
      <c r="E1093" t="e">
        <f t="shared" ca="1" si="192"/>
        <v>#DIV/0!</v>
      </c>
      <c r="F1093" t="e">
        <f t="shared" ca="1" si="193"/>
        <v>#DIV/0!</v>
      </c>
      <c r="G1093" t="e">
        <f t="shared" ca="1" si="194"/>
        <v>#DIV/0!</v>
      </c>
      <c r="H1093" t="e">
        <f t="shared" ca="1" si="195"/>
        <v>#DIV/0!</v>
      </c>
      <c r="I1093" t="e">
        <f t="shared" ca="1" si="196"/>
        <v>#DIV/0!</v>
      </c>
      <c r="K1093">
        <f t="shared" si="189"/>
        <v>0.98815958815958815</v>
      </c>
      <c r="L1093" s="7">
        <f t="shared" ca="1" si="190"/>
        <v>1.0307908144428857</v>
      </c>
    </row>
    <row r="1094" spans="1:12" x14ac:dyDescent="0.45">
      <c r="A1094" s="1">
        <v>43651</v>
      </c>
      <c r="B1094">
        <v>15.54</v>
      </c>
      <c r="C1094">
        <f t="shared" si="188"/>
        <v>-7.6628352490422094E-3</v>
      </c>
      <c r="D1094" t="e">
        <f t="shared" ca="1" si="191"/>
        <v>#DIV/0!</v>
      </c>
      <c r="E1094" t="e">
        <f t="shared" ca="1" si="192"/>
        <v>#DIV/0!</v>
      </c>
      <c r="F1094" t="e">
        <f t="shared" ca="1" si="193"/>
        <v>#DIV/0!</v>
      </c>
      <c r="G1094" t="e">
        <f t="shared" ca="1" si="194"/>
        <v>#DIV/0!</v>
      </c>
      <c r="H1094" t="e">
        <f t="shared" ca="1" si="195"/>
        <v>#DIV/0!</v>
      </c>
      <c r="I1094" t="e">
        <f t="shared" ca="1" si="196"/>
        <v>#DIV/0!</v>
      </c>
      <c r="K1094">
        <f t="shared" si="189"/>
        <v>0.99233716475095779</v>
      </c>
      <c r="L1094" s="7">
        <f t="shared" ca="1" si="190"/>
        <v>1.0460420032310176</v>
      </c>
    </row>
    <row r="1095" spans="1:12" x14ac:dyDescent="0.45">
      <c r="A1095" s="1">
        <v>43649</v>
      </c>
      <c r="B1095">
        <v>15.66</v>
      </c>
      <c r="C1095">
        <f t="shared" si="188"/>
        <v>4.6092184368737438E-2</v>
      </c>
      <c r="D1095" t="e">
        <f t="shared" ca="1" si="191"/>
        <v>#DIV/0!</v>
      </c>
      <c r="E1095" t="e">
        <f t="shared" ca="1" si="192"/>
        <v>#DIV/0!</v>
      </c>
      <c r="F1095" t="e">
        <f t="shared" ca="1" si="193"/>
        <v>#DIV/0!</v>
      </c>
      <c r="G1095" t="e">
        <f t="shared" ca="1" si="194"/>
        <v>#DIV/0!</v>
      </c>
      <c r="H1095" t="e">
        <f t="shared" ca="1" si="195"/>
        <v>#DIV/0!</v>
      </c>
      <c r="I1095" t="e">
        <f t="shared" ca="1" si="196"/>
        <v>#DIV/0!</v>
      </c>
      <c r="K1095">
        <f t="shared" si="189"/>
        <v>1.0460921843687374</v>
      </c>
      <c r="L1095" s="7">
        <f t="shared" ca="1" si="190"/>
        <v>1.0712819811191683</v>
      </c>
    </row>
    <row r="1096" spans="1:12" x14ac:dyDescent="0.45">
      <c r="A1096" s="1">
        <v>43648</v>
      </c>
      <c r="B1096">
        <v>14.97</v>
      </c>
      <c r="C1096">
        <f t="shared" si="188"/>
        <v>-1.1535388617800263E-2</v>
      </c>
      <c r="D1096" t="e">
        <f t="shared" ca="1" si="191"/>
        <v>#DIV/0!</v>
      </c>
      <c r="E1096" t="e">
        <f t="shared" ca="1" si="192"/>
        <v>#DIV/0!</v>
      </c>
      <c r="F1096" t="e">
        <f t="shared" ca="1" si="193"/>
        <v>#DIV/0!</v>
      </c>
      <c r="G1096" t="e">
        <f t="shared" ca="1" si="194"/>
        <v>#DIV/0!</v>
      </c>
      <c r="H1096" t="e">
        <f t="shared" ca="1" si="195"/>
        <v>#DIV/0!</v>
      </c>
      <c r="I1096" t="e">
        <f t="shared" ca="1" si="196"/>
        <v>#DIV/0!</v>
      </c>
      <c r="K1096">
        <f t="shared" si="189"/>
        <v>0.98846461138219976</v>
      </c>
      <c r="L1096" s="7">
        <f t="shared" ca="1" si="190"/>
        <v>1.0217941804828437</v>
      </c>
    </row>
    <row r="1097" spans="1:12" x14ac:dyDescent="0.45">
      <c r="A1097" s="1">
        <v>43647</v>
      </c>
      <c r="B1097">
        <v>15.1447</v>
      </c>
      <c r="C1097">
        <f t="shared" si="188"/>
        <v>1.6607036174340367E-2</v>
      </c>
      <c r="D1097" t="e">
        <f t="shared" ca="1" si="191"/>
        <v>#DIV/0!</v>
      </c>
      <c r="E1097" t="e">
        <f t="shared" ca="1" si="192"/>
        <v>#DIV/0!</v>
      </c>
      <c r="F1097" t="e">
        <f t="shared" ca="1" si="193"/>
        <v>#DIV/0!</v>
      </c>
      <c r="G1097" t="e">
        <f t="shared" ca="1" si="194"/>
        <v>#DIV/0!</v>
      </c>
      <c r="H1097" t="e">
        <f t="shared" ca="1" si="195"/>
        <v>#DIV/0!</v>
      </c>
      <c r="I1097" t="e">
        <f t="shared" ca="1" si="196"/>
        <v>#DIV/0!</v>
      </c>
      <c r="K1097">
        <f t="shared" si="189"/>
        <v>1.0166070361743405</v>
      </c>
      <c r="L1097" s="7">
        <f t="shared" ca="1" si="190"/>
        <v>1.0157888029619093</v>
      </c>
    </row>
    <row r="1098" spans="1:12" x14ac:dyDescent="0.45">
      <c r="A1098" s="1">
        <v>43644</v>
      </c>
      <c r="B1098">
        <v>14.8973</v>
      </c>
      <c r="C1098">
        <f t="shared" si="188"/>
        <v>2.7800215401184484E-3</v>
      </c>
      <c r="D1098" t="e">
        <f t="shared" ca="1" si="191"/>
        <v>#DIV/0!</v>
      </c>
      <c r="E1098" t="e">
        <f t="shared" ca="1" si="192"/>
        <v>#DIV/0!</v>
      </c>
      <c r="F1098" t="e">
        <f t="shared" ca="1" si="193"/>
        <v>#DIV/0!</v>
      </c>
      <c r="G1098" t="e">
        <f t="shared" ca="1" si="194"/>
        <v>#DIV/0!</v>
      </c>
      <c r="H1098" t="e">
        <f t="shared" ca="1" si="195"/>
        <v>#DIV/0!</v>
      </c>
      <c r="I1098" t="e">
        <f t="shared" ca="1" si="196"/>
        <v>#DIV/0!</v>
      </c>
      <c r="K1098">
        <f t="shared" si="189"/>
        <v>1.0027800215401184</v>
      </c>
      <c r="L1098" s="7">
        <f t="shared" ca="1" si="190"/>
        <v>1.00720723157119</v>
      </c>
    </row>
    <row r="1099" spans="1:12" x14ac:dyDescent="0.45">
      <c r="A1099" s="1">
        <v>43643</v>
      </c>
      <c r="B1099">
        <v>14.856</v>
      </c>
      <c r="C1099">
        <f t="shared" si="188"/>
        <v>1.628129703105757E-2</v>
      </c>
      <c r="D1099" t="e">
        <f t="shared" ca="1" si="191"/>
        <v>#DIV/0!</v>
      </c>
      <c r="E1099" t="e">
        <f t="shared" ca="1" si="192"/>
        <v>#DIV/0!</v>
      </c>
      <c r="F1099" t="e">
        <f t="shared" ca="1" si="193"/>
        <v>#DIV/0!</v>
      </c>
      <c r="G1099" t="e">
        <f t="shared" ca="1" si="194"/>
        <v>#DIV/0!</v>
      </c>
      <c r="H1099" t="e">
        <f t="shared" ca="1" si="195"/>
        <v>#DIV/0!</v>
      </c>
      <c r="I1099" t="e">
        <f t="shared" ca="1" si="196"/>
        <v>#DIV/0!</v>
      </c>
      <c r="K1099">
        <f t="shared" si="189"/>
        <v>1.0162812970310575</v>
      </c>
      <c r="L1099" s="7">
        <f t="shared" ca="1" si="190"/>
        <v>1.0146639984154411</v>
      </c>
    </row>
    <row r="1100" spans="1:12" x14ac:dyDescent="0.45">
      <c r="A1100" s="1">
        <v>43642</v>
      </c>
      <c r="B1100">
        <v>14.618</v>
      </c>
      <c r="C1100">
        <f t="shared" si="188"/>
        <v>-2.2319752639805724E-3</v>
      </c>
      <c r="D1100" t="e">
        <f t="shared" ca="1" si="191"/>
        <v>#DIV/0!</v>
      </c>
      <c r="E1100" t="e">
        <f t="shared" ca="1" si="192"/>
        <v>#DIV/0!</v>
      </c>
      <c r="F1100" t="e">
        <f t="shared" ca="1" si="193"/>
        <v>#DIV/0!</v>
      </c>
      <c r="G1100" t="e">
        <f t="shared" ca="1" si="194"/>
        <v>#DIV/0!</v>
      </c>
      <c r="H1100" t="e">
        <f t="shared" ca="1" si="195"/>
        <v>#DIV/0!</v>
      </c>
      <c r="I1100" t="e">
        <f t="shared" ca="1" si="196"/>
        <v>#DIV/0!</v>
      </c>
      <c r="K1100">
        <f t="shared" si="189"/>
        <v>0.99776802473601944</v>
      </c>
      <c r="L1100" s="7">
        <f t="shared" ca="1" si="190"/>
        <v>0.96838088676607936</v>
      </c>
    </row>
    <row r="1101" spans="1:12" x14ac:dyDescent="0.45">
      <c r="A1101" s="1">
        <v>43641</v>
      </c>
      <c r="B1101">
        <v>14.650700000000001</v>
      </c>
      <c r="C1101">
        <f t="shared" si="188"/>
        <v>-1.7344878699871859E-2</v>
      </c>
      <c r="D1101" t="e">
        <f t="shared" ca="1" si="191"/>
        <v>#DIV/0!</v>
      </c>
      <c r="E1101" t="e">
        <f t="shared" ca="1" si="192"/>
        <v>#DIV/0!</v>
      </c>
      <c r="F1101" t="e">
        <f t="shared" ca="1" si="193"/>
        <v>#DIV/0!</v>
      </c>
      <c r="G1101" t="e">
        <f t="shared" ca="1" si="194"/>
        <v>#DIV/0!</v>
      </c>
      <c r="H1101" t="e">
        <f t="shared" ca="1" si="195"/>
        <v>#DIV/0!</v>
      </c>
      <c r="I1101" t="e">
        <f t="shared" ca="1" si="196"/>
        <v>#DIV/0!</v>
      </c>
      <c r="K1101">
        <f t="shared" si="189"/>
        <v>0.98265512130012811</v>
      </c>
      <c r="L1101" s="7">
        <f t="shared" ca="1" si="190"/>
        <v>0.9778411100802924</v>
      </c>
    </row>
    <row r="1102" spans="1:12" x14ac:dyDescent="0.45">
      <c r="A1102" s="1">
        <v>43640</v>
      </c>
      <c r="B1102">
        <v>14.9093</v>
      </c>
      <c r="C1102">
        <f t="shared" si="188"/>
        <v>8.0185521983408975E-3</v>
      </c>
      <c r="D1102" t="e">
        <f t="shared" ca="1" si="191"/>
        <v>#DIV/0!</v>
      </c>
      <c r="E1102" t="e">
        <f t="shared" ca="1" si="192"/>
        <v>#DIV/0!</v>
      </c>
      <c r="F1102" t="e">
        <f t="shared" ca="1" si="193"/>
        <v>#DIV/0!</v>
      </c>
      <c r="G1102" t="e">
        <f t="shared" ca="1" si="194"/>
        <v>#DIV/0!</v>
      </c>
      <c r="H1102" t="e">
        <f t="shared" ca="1" si="195"/>
        <v>#DIV/0!</v>
      </c>
      <c r="I1102" t="e">
        <f t="shared" ca="1" si="196"/>
        <v>#DIV/0!</v>
      </c>
      <c r="K1102">
        <f t="shared" si="189"/>
        <v>1.0080185521983409</v>
      </c>
      <c r="L1102" s="7">
        <f t="shared" ca="1" si="190"/>
        <v>0.99382082389014759</v>
      </c>
    </row>
    <row r="1103" spans="1:12" x14ac:dyDescent="0.45">
      <c r="A1103" s="1">
        <v>43637</v>
      </c>
      <c r="B1103">
        <v>14.790699999999999</v>
      </c>
      <c r="C1103">
        <f t="shared" si="188"/>
        <v>1.0204011938830568E-2</v>
      </c>
      <c r="D1103" t="e">
        <f t="shared" ca="1" si="191"/>
        <v>#DIV/0!</v>
      </c>
      <c r="E1103" t="e">
        <f t="shared" ca="1" si="192"/>
        <v>#DIV/0!</v>
      </c>
      <c r="F1103" t="e">
        <f t="shared" ca="1" si="193"/>
        <v>#DIV/0!</v>
      </c>
      <c r="G1103" t="e">
        <f t="shared" ca="1" si="194"/>
        <v>#DIV/0!</v>
      </c>
      <c r="H1103" t="e">
        <f t="shared" ca="1" si="195"/>
        <v>#DIV/0!</v>
      </c>
      <c r="I1103" t="e">
        <f t="shared" ca="1" si="196"/>
        <v>#DIV/0!</v>
      </c>
      <c r="K1103">
        <f t="shared" si="189"/>
        <v>1.0102040119388305</v>
      </c>
      <c r="L1103" s="7">
        <f t="shared" ca="1" si="190"/>
        <v>1.032293411501954</v>
      </c>
    </row>
    <row r="1104" spans="1:12" x14ac:dyDescent="0.45">
      <c r="A1104" s="1">
        <v>43636</v>
      </c>
      <c r="B1104">
        <v>14.641299999999999</v>
      </c>
      <c r="C1104">
        <f t="shared" si="188"/>
        <v>-3.0075586440812745E-2</v>
      </c>
      <c r="D1104" t="e">
        <f t="shared" ca="1" si="191"/>
        <v>#DIV/0!</v>
      </c>
      <c r="E1104" t="e">
        <f t="shared" ca="1" si="192"/>
        <v>#DIV/0!</v>
      </c>
      <c r="F1104" t="e">
        <f t="shared" ca="1" si="193"/>
        <v>#DIV/0!</v>
      </c>
      <c r="G1104" t="e">
        <f t="shared" ca="1" si="194"/>
        <v>#DIV/0!</v>
      </c>
      <c r="H1104" t="e">
        <f t="shared" ca="1" si="195"/>
        <v>#DIV/0!</v>
      </c>
      <c r="I1104" t="e">
        <f t="shared" ca="1" si="196"/>
        <v>#DIV/0!</v>
      </c>
      <c r="K1104">
        <f t="shared" si="189"/>
        <v>0.96992441355918724</v>
      </c>
      <c r="L1104" s="7">
        <f t="shared" ca="1" si="190"/>
        <v>1.0266887319696787</v>
      </c>
    </row>
    <row r="1105" spans="1:12" x14ac:dyDescent="0.45">
      <c r="A1105" s="1">
        <v>43635</v>
      </c>
      <c r="B1105">
        <v>15.0953</v>
      </c>
      <c r="C1105">
        <f t="shared" si="188"/>
        <v>7.5153343522863358E-3</v>
      </c>
      <c r="D1105" t="e">
        <f t="shared" ca="1" si="191"/>
        <v>#DIV/0!</v>
      </c>
      <c r="E1105" t="e">
        <f t="shared" ca="1" si="192"/>
        <v>#DIV/0!</v>
      </c>
      <c r="F1105" t="e">
        <f t="shared" ca="1" si="193"/>
        <v>#DIV/0!</v>
      </c>
      <c r="G1105" t="e">
        <f t="shared" ca="1" si="194"/>
        <v>#DIV/0!</v>
      </c>
      <c r="H1105" t="e">
        <f t="shared" ca="1" si="195"/>
        <v>#DIV/0!</v>
      </c>
      <c r="I1105" t="e">
        <f t="shared" ca="1" si="196"/>
        <v>#DIV/0!</v>
      </c>
      <c r="K1105">
        <f t="shared" si="189"/>
        <v>1.0075153343522862</v>
      </c>
      <c r="L1105" s="7">
        <f t="shared" ca="1" si="190"/>
        <v>1.0820460622047638</v>
      </c>
    </row>
    <row r="1106" spans="1:12" x14ac:dyDescent="0.45">
      <c r="A1106" s="1">
        <v>43634</v>
      </c>
      <c r="B1106">
        <v>14.982699999999999</v>
      </c>
      <c r="C1106">
        <f t="shared" si="188"/>
        <v>-1.2864951339822161E-3</v>
      </c>
      <c r="D1106" t="e">
        <f t="shared" ca="1" si="191"/>
        <v>#DIV/0!</v>
      </c>
      <c r="E1106" t="e">
        <f t="shared" ca="1" si="192"/>
        <v>#DIV/0!</v>
      </c>
      <c r="F1106" t="e">
        <f t="shared" ca="1" si="193"/>
        <v>#DIV/0!</v>
      </c>
      <c r="G1106" t="e">
        <f t="shared" ca="1" si="194"/>
        <v>#DIV/0!</v>
      </c>
      <c r="H1106" t="e">
        <f t="shared" ca="1" si="195"/>
        <v>#DIV/0!</v>
      </c>
      <c r="I1106" t="e">
        <f t="shared" ca="1" si="196"/>
        <v>#DIV/0!</v>
      </c>
      <c r="K1106">
        <f t="shared" si="189"/>
        <v>0.99871350486601773</v>
      </c>
      <c r="L1106" s="7">
        <f t="shared" ca="1" si="190"/>
        <v>1.0351958433805695</v>
      </c>
    </row>
    <row r="1107" spans="1:12" x14ac:dyDescent="0.45">
      <c r="A1107" s="1">
        <v>43633</v>
      </c>
      <c r="B1107">
        <v>15.002000000000001</v>
      </c>
      <c r="C1107">
        <f t="shared" si="188"/>
        <v>4.7040759352317232E-2</v>
      </c>
      <c r="D1107" t="e">
        <f t="shared" ca="1" si="191"/>
        <v>#DIV/0!</v>
      </c>
      <c r="E1107" t="e">
        <f t="shared" ca="1" si="192"/>
        <v>#DIV/0!</v>
      </c>
      <c r="F1107" t="e">
        <f t="shared" ca="1" si="193"/>
        <v>#DIV/0!</v>
      </c>
      <c r="G1107" t="e">
        <f t="shared" ca="1" si="194"/>
        <v>#DIV/0!</v>
      </c>
      <c r="H1107" t="e">
        <f t="shared" ca="1" si="195"/>
        <v>#DIV/0!</v>
      </c>
      <c r="I1107" t="e">
        <f t="shared" ca="1" si="196"/>
        <v>#DIV/0!</v>
      </c>
      <c r="K1107">
        <f t="shared" si="189"/>
        <v>1.0470407593523172</v>
      </c>
      <c r="L1107" s="7">
        <f t="shared" ca="1" si="190"/>
        <v>1.0570744081172492</v>
      </c>
    </row>
    <row r="1108" spans="1:12" x14ac:dyDescent="0.45">
      <c r="A1108" s="1">
        <v>43630</v>
      </c>
      <c r="B1108">
        <v>14.327999999999999</v>
      </c>
      <c r="C1108">
        <f t="shared" si="188"/>
        <v>4.7192634302663595E-3</v>
      </c>
      <c r="D1108" t="e">
        <f t="shared" ca="1" si="191"/>
        <v>#DIV/0!</v>
      </c>
      <c r="E1108" t="e">
        <f t="shared" ca="1" si="192"/>
        <v>#DIV/0!</v>
      </c>
      <c r="F1108" t="e">
        <f t="shared" ca="1" si="193"/>
        <v>#DIV/0!</v>
      </c>
      <c r="G1108" t="e">
        <f t="shared" ca="1" si="194"/>
        <v>#DIV/0!</v>
      </c>
      <c r="H1108" t="e">
        <f t="shared" ca="1" si="195"/>
        <v>#DIV/0!</v>
      </c>
      <c r="I1108" t="e">
        <f t="shared" ca="1" si="196"/>
        <v>#DIV/0!</v>
      </c>
      <c r="K1108">
        <f t="shared" si="189"/>
        <v>1.0047192634302664</v>
      </c>
      <c r="L1108" s="7">
        <f t="shared" ca="1" si="190"/>
        <v>1.0509561148071267</v>
      </c>
    </row>
    <row r="1109" spans="1:12" x14ac:dyDescent="0.45">
      <c r="A1109" s="1">
        <v>43629</v>
      </c>
      <c r="B1109">
        <v>14.2607</v>
      </c>
      <c r="C1109">
        <f t="shared" si="188"/>
        <v>2.2221107184585757E-2</v>
      </c>
      <c r="D1109" t="e">
        <f t="shared" ca="1" si="191"/>
        <v>#DIV/0!</v>
      </c>
      <c r="E1109" t="e">
        <f t="shared" ca="1" si="192"/>
        <v>#DIV/0!</v>
      </c>
      <c r="F1109" t="e">
        <f t="shared" ca="1" si="193"/>
        <v>#DIV/0!</v>
      </c>
      <c r="G1109" t="e">
        <f t="shared" ca="1" si="194"/>
        <v>#DIV/0!</v>
      </c>
      <c r="H1109" t="e">
        <f t="shared" ca="1" si="195"/>
        <v>#DIV/0!</v>
      </c>
      <c r="I1109" t="e">
        <f t="shared" ca="1" si="196"/>
        <v>#DIV/0!</v>
      </c>
      <c r="K1109">
        <f t="shared" si="189"/>
        <v>1.0222211071845857</v>
      </c>
      <c r="L1109" s="7">
        <f t="shared" ca="1" si="190"/>
        <v>1.0386525855790243</v>
      </c>
    </row>
    <row r="1110" spans="1:12" x14ac:dyDescent="0.45">
      <c r="A1110" s="1">
        <v>43628</v>
      </c>
      <c r="B1110">
        <v>13.950699999999999</v>
      </c>
      <c r="C1110">
        <f t="shared" si="188"/>
        <v>-3.6107867590666996E-2</v>
      </c>
      <c r="D1110" t="e">
        <f t="shared" ca="1" si="191"/>
        <v>#DIV/0!</v>
      </c>
      <c r="E1110" t="e">
        <f t="shared" ca="1" si="192"/>
        <v>#DIV/0!</v>
      </c>
      <c r="F1110" t="e">
        <f t="shared" ca="1" si="193"/>
        <v>#DIV/0!</v>
      </c>
      <c r="G1110" t="e">
        <f t="shared" ca="1" si="194"/>
        <v>#DIV/0!</v>
      </c>
      <c r="H1110" t="e">
        <f t="shared" ca="1" si="195"/>
        <v>#DIV/0!</v>
      </c>
      <c r="I1110" t="e">
        <f t="shared" ca="1" si="196"/>
        <v>#DIV/0!</v>
      </c>
      <c r="K1110">
        <f t="shared" si="189"/>
        <v>0.96389213240933302</v>
      </c>
      <c r="L1110" s="7">
        <f t="shared" ca="1" si="190"/>
        <v>1.064451396307035</v>
      </c>
    </row>
    <row r="1111" spans="1:12" x14ac:dyDescent="0.45">
      <c r="A1111" s="1">
        <v>43627</v>
      </c>
      <c r="B1111">
        <v>14.4733</v>
      </c>
      <c r="C1111">
        <f t="shared" si="188"/>
        <v>1.9821025930101457E-2</v>
      </c>
      <c r="D1111" t="e">
        <f t="shared" ca="1" si="191"/>
        <v>#DIV/0!</v>
      </c>
      <c r="E1111" t="e">
        <f t="shared" ca="1" si="192"/>
        <v>#DIV/0!</v>
      </c>
      <c r="F1111" t="e">
        <f t="shared" ca="1" si="193"/>
        <v>#DIV/0!</v>
      </c>
      <c r="G1111" t="e">
        <f t="shared" ca="1" si="194"/>
        <v>#DIV/0!</v>
      </c>
      <c r="H1111" t="e">
        <f t="shared" ca="1" si="195"/>
        <v>#DIV/0!</v>
      </c>
      <c r="I1111" t="e">
        <f t="shared" ca="1" si="196"/>
        <v>#DIV/0!</v>
      </c>
      <c r="K1111">
        <f t="shared" si="189"/>
        <v>1.0198210259301015</v>
      </c>
      <c r="L1111" s="7">
        <f t="shared" ca="1" si="190"/>
        <v>1.1213788187530511</v>
      </c>
    </row>
    <row r="1112" spans="1:12" x14ac:dyDescent="0.45">
      <c r="A1112" s="1">
        <v>43626</v>
      </c>
      <c r="B1112">
        <v>14.192</v>
      </c>
      <c r="C1112">
        <f t="shared" si="188"/>
        <v>4.0980540294719543E-2</v>
      </c>
      <c r="D1112" t="e">
        <f t="shared" ca="1" si="191"/>
        <v>#DIV/0!</v>
      </c>
      <c r="E1112" t="e">
        <f t="shared" ca="1" si="192"/>
        <v>#DIV/0!</v>
      </c>
      <c r="F1112" t="e">
        <f t="shared" ca="1" si="193"/>
        <v>#DIV/0!</v>
      </c>
      <c r="G1112" t="e">
        <f t="shared" ca="1" si="194"/>
        <v>#DIV/0!</v>
      </c>
      <c r="H1112" t="e">
        <f t="shared" ca="1" si="195"/>
        <v>#DIV/0!</v>
      </c>
      <c r="I1112" t="e">
        <f t="shared" ca="1" si="196"/>
        <v>#DIV/0!</v>
      </c>
      <c r="K1112">
        <f t="shared" si="189"/>
        <v>1.0409805402947196</v>
      </c>
      <c r="L1112" s="7">
        <f t="shared" ca="1" si="190"/>
        <v>1.1894764191663947</v>
      </c>
    </row>
    <row r="1113" spans="1:12" x14ac:dyDescent="0.45">
      <c r="A1113" s="1">
        <v>43623</v>
      </c>
      <c r="B1113">
        <v>13.6333</v>
      </c>
      <c r="C1113">
        <f t="shared" si="188"/>
        <v>-7.042971595047358E-3</v>
      </c>
      <c r="D1113" t="e">
        <f t="shared" ca="1" si="191"/>
        <v>#DIV/0!</v>
      </c>
      <c r="E1113" t="e">
        <f t="shared" ca="1" si="192"/>
        <v>#DIV/0!</v>
      </c>
      <c r="F1113" t="e">
        <f t="shared" ca="1" si="193"/>
        <v>#DIV/0!</v>
      </c>
      <c r="G1113" t="e">
        <f t="shared" ca="1" si="194"/>
        <v>#DIV/0!</v>
      </c>
      <c r="H1113" t="e">
        <f t="shared" ca="1" si="195"/>
        <v>#DIV/0!</v>
      </c>
      <c r="I1113" t="e">
        <f t="shared" ca="1" si="196"/>
        <v>#DIV/0!</v>
      </c>
      <c r="K1113">
        <f t="shared" si="189"/>
        <v>0.99295702840495259</v>
      </c>
      <c r="L1113" s="7">
        <f t="shared" ca="1" si="190"/>
        <v>1.1044475048606612</v>
      </c>
    </row>
    <row r="1114" spans="1:12" x14ac:dyDescent="0.45">
      <c r="A1114" s="1">
        <v>43622</v>
      </c>
      <c r="B1114">
        <v>13.73</v>
      </c>
      <c r="C1114">
        <f t="shared" si="188"/>
        <v>4.7611780863726583E-2</v>
      </c>
      <c r="D1114" t="e">
        <f t="shared" ca="1" si="191"/>
        <v>#DIV/0!</v>
      </c>
      <c r="E1114" t="e">
        <f t="shared" ca="1" si="192"/>
        <v>#DIV/0!</v>
      </c>
      <c r="F1114" t="e">
        <f t="shared" ca="1" si="193"/>
        <v>#DIV/0!</v>
      </c>
      <c r="G1114" t="e">
        <f t="shared" ca="1" si="194"/>
        <v>#DIV/0!</v>
      </c>
      <c r="H1114" t="e">
        <f t="shared" ca="1" si="195"/>
        <v>#DIV/0!</v>
      </c>
      <c r="I1114" t="e">
        <f t="shared" ca="1" si="196"/>
        <v>#DIV/0!</v>
      </c>
      <c r="K1114">
        <f t="shared" si="189"/>
        <v>1.0476117808637266</v>
      </c>
      <c r="L1114" s="7">
        <f t="shared" ca="1" si="190"/>
        <v>1.0941982786101374</v>
      </c>
    </row>
    <row r="1115" spans="1:12" x14ac:dyDescent="0.45">
      <c r="A1115" s="1">
        <v>43621</v>
      </c>
      <c r="B1115">
        <v>13.106</v>
      </c>
      <c r="C1115">
        <f t="shared" si="188"/>
        <v>1.5441592351259355E-2</v>
      </c>
      <c r="D1115" t="e">
        <f t="shared" ca="1" si="191"/>
        <v>#DIV/0!</v>
      </c>
      <c r="E1115" t="e">
        <f t="shared" ca="1" si="192"/>
        <v>#DIV/0!</v>
      </c>
      <c r="F1115" t="e">
        <f t="shared" ca="1" si="193"/>
        <v>#DIV/0!</v>
      </c>
      <c r="G1115" t="e">
        <f t="shared" ca="1" si="194"/>
        <v>#DIV/0!</v>
      </c>
      <c r="H1115" t="e">
        <f t="shared" ca="1" si="195"/>
        <v>#DIV/0!</v>
      </c>
      <c r="I1115" t="e">
        <f t="shared" ca="1" si="196"/>
        <v>#DIV/0!</v>
      </c>
      <c r="K1115">
        <f t="shared" si="189"/>
        <v>1.0154415923512594</v>
      </c>
      <c r="L1115" s="7">
        <f t="shared" ca="1" si="190"/>
        <v>1.0354498984775586</v>
      </c>
    </row>
    <row r="1116" spans="1:12" x14ac:dyDescent="0.45">
      <c r="A1116" s="1">
        <v>43620</v>
      </c>
      <c r="B1116">
        <v>12.906700000000001</v>
      </c>
      <c r="C1116">
        <f t="shared" si="188"/>
        <v>8.1751359868580994E-2</v>
      </c>
      <c r="D1116" t="e">
        <f t="shared" ca="1" si="191"/>
        <v>#DIV/0!</v>
      </c>
      <c r="E1116" t="e">
        <f t="shared" ca="1" si="192"/>
        <v>#DIV/0!</v>
      </c>
      <c r="F1116" t="e">
        <f t="shared" ca="1" si="193"/>
        <v>#DIV/0!</v>
      </c>
      <c r="G1116" t="e">
        <f t="shared" ca="1" si="194"/>
        <v>#DIV/0!</v>
      </c>
      <c r="H1116" t="e">
        <f t="shared" ca="1" si="195"/>
        <v>#DIV/0!</v>
      </c>
      <c r="I1116" t="e">
        <f t="shared" ca="1" si="196"/>
        <v>#DIV/0!</v>
      </c>
      <c r="K1116">
        <f t="shared" si="189"/>
        <v>1.0817513598685811</v>
      </c>
      <c r="L1116" s="7">
        <f t="shared" ca="1" si="190"/>
        <v>1.0259697933227347</v>
      </c>
    </row>
    <row r="1117" spans="1:12" x14ac:dyDescent="0.45">
      <c r="A1117" s="1">
        <v>43619</v>
      </c>
      <c r="B1117">
        <v>11.9313</v>
      </c>
      <c r="C1117">
        <f t="shared" si="188"/>
        <v>-3.3433246921581269E-2</v>
      </c>
      <c r="D1117" t="e">
        <f t="shared" ca="1" si="191"/>
        <v>#DIV/0!</v>
      </c>
      <c r="E1117" t="e">
        <f t="shared" ca="1" si="192"/>
        <v>#DIV/0!</v>
      </c>
      <c r="F1117" t="e">
        <f t="shared" ca="1" si="193"/>
        <v>#DIV/0!</v>
      </c>
      <c r="G1117" t="e">
        <f t="shared" ca="1" si="194"/>
        <v>#DIV/0!</v>
      </c>
      <c r="H1117" t="e">
        <f t="shared" ca="1" si="195"/>
        <v>#DIV/0!</v>
      </c>
      <c r="I1117" t="e">
        <f t="shared" ca="1" si="196"/>
        <v>#DIV/0!</v>
      </c>
      <c r="K1117">
        <f t="shared" si="189"/>
        <v>0.96656675307841877</v>
      </c>
      <c r="L1117" s="7">
        <f t="shared" ca="1" si="190"/>
        <v>0.93882930590855074</v>
      </c>
    </row>
    <row r="1118" spans="1:12" x14ac:dyDescent="0.45">
      <c r="A1118" s="1">
        <v>43616</v>
      </c>
      <c r="B1118">
        <v>12.343999999999999</v>
      </c>
      <c r="C1118">
        <f t="shared" si="188"/>
        <v>-1.625757092763792E-2</v>
      </c>
      <c r="D1118" t="e">
        <f t="shared" ca="1" si="191"/>
        <v>#DIV/0!</v>
      </c>
      <c r="E1118" t="e">
        <f t="shared" ca="1" si="192"/>
        <v>#DIV/0!</v>
      </c>
      <c r="F1118" t="e">
        <f t="shared" ca="1" si="193"/>
        <v>#DIV/0!</v>
      </c>
      <c r="G1118" t="e">
        <f t="shared" ca="1" si="194"/>
        <v>#DIV/0!</v>
      </c>
      <c r="H1118" t="e">
        <f t="shared" ca="1" si="195"/>
        <v>#DIV/0!</v>
      </c>
      <c r="I1118" t="e">
        <f t="shared" ca="1" si="196"/>
        <v>#DIV/0!</v>
      </c>
      <c r="K1118">
        <f t="shared" si="189"/>
        <v>0.98374242907236209</v>
      </c>
      <c r="L1118" s="7">
        <f t="shared" ca="1" si="190"/>
        <v>0.94715599990792376</v>
      </c>
    </row>
    <row r="1119" spans="1:12" x14ac:dyDescent="0.45">
      <c r="A1119" s="1">
        <v>43615</v>
      </c>
      <c r="B1119">
        <v>12.548</v>
      </c>
      <c r="C1119">
        <f t="shared" si="188"/>
        <v>-8.6353329699066384E-3</v>
      </c>
      <c r="D1119" t="e">
        <f t="shared" ca="1" si="191"/>
        <v>#DIV/0!</v>
      </c>
      <c r="E1119" t="e">
        <f t="shared" ca="1" si="192"/>
        <v>#DIV/0!</v>
      </c>
      <c r="F1119" t="e">
        <f t="shared" ca="1" si="193"/>
        <v>#DIV/0!</v>
      </c>
      <c r="G1119" t="e">
        <f t="shared" ca="1" si="194"/>
        <v>#DIV/0!</v>
      </c>
      <c r="H1119" t="e">
        <f t="shared" ca="1" si="195"/>
        <v>#DIV/0!</v>
      </c>
      <c r="I1119" t="e">
        <f t="shared" ca="1" si="196"/>
        <v>#DIV/0!</v>
      </c>
      <c r="K1119">
        <f t="shared" si="189"/>
        <v>0.9913646670300934</v>
      </c>
      <c r="L1119" s="7">
        <f t="shared" ca="1" si="190"/>
        <v>0.9765968541564517</v>
      </c>
    </row>
    <row r="1120" spans="1:12" x14ac:dyDescent="0.45">
      <c r="A1120" s="1">
        <v>43614</v>
      </c>
      <c r="B1120">
        <v>12.657299999999999</v>
      </c>
      <c r="C1120">
        <f t="shared" si="188"/>
        <v>6.1446740858504979E-3</v>
      </c>
      <c r="D1120" t="e">
        <f t="shared" ca="1" si="191"/>
        <v>#DIV/0!</v>
      </c>
      <c r="E1120" t="e">
        <f t="shared" ca="1" si="192"/>
        <v>#DIV/0!</v>
      </c>
      <c r="F1120" t="e">
        <f t="shared" ca="1" si="193"/>
        <v>#DIV/0!</v>
      </c>
      <c r="G1120" t="e">
        <f t="shared" ca="1" si="194"/>
        <v>#DIV/0!</v>
      </c>
      <c r="H1120" t="e">
        <f t="shared" ca="1" si="195"/>
        <v>#DIV/0!</v>
      </c>
      <c r="I1120" t="e">
        <f t="shared" ca="1" si="196"/>
        <v>#DIV/0!</v>
      </c>
      <c r="K1120">
        <f t="shared" si="189"/>
        <v>1.0061446740858504</v>
      </c>
      <c r="L1120" s="7">
        <f t="shared" ca="1" si="190"/>
        <v>0.92578262141603251</v>
      </c>
    </row>
    <row r="1121" spans="1:12" x14ac:dyDescent="0.45">
      <c r="A1121" s="1">
        <v>43613</v>
      </c>
      <c r="B1121">
        <v>12.58</v>
      </c>
      <c r="C1121">
        <f t="shared" si="188"/>
        <v>-1.0126920928183077E-2</v>
      </c>
      <c r="D1121" t="e">
        <f t="shared" ca="1" si="191"/>
        <v>#DIV/0!</v>
      </c>
      <c r="E1121" t="e">
        <f t="shared" ca="1" si="192"/>
        <v>#DIV/0!</v>
      </c>
      <c r="F1121" t="e">
        <f t="shared" ca="1" si="193"/>
        <v>#DIV/0!</v>
      </c>
      <c r="G1121" t="e">
        <f t="shared" ca="1" si="194"/>
        <v>#DIV/0!</v>
      </c>
      <c r="H1121" t="e">
        <f t="shared" ca="1" si="195"/>
        <v>#DIV/0!</v>
      </c>
      <c r="I1121" t="e">
        <f t="shared" ca="1" si="196"/>
        <v>#DIV/0!</v>
      </c>
      <c r="K1121">
        <f t="shared" si="189"/>
        <v>0.98987307907181687</v>
      </c>
      <c r="L1121" s="7">
        <f t="shared" ca="1" si="190"/>
        <v>0.91887193496315023</v>
      </c>
    </row>
    <row r="1122" spans="1:12" x14ac:dyDescent="0.45">
      <c r="A1122" s="1">
        <v>43609</v>
      </c>
      <c r="B1122">
        <v>12.7087</v>
      </c>
      <c r="C1122">
        <f t="shared" si="188"/>
        <v>-2.4860543095444523E-2</v>
      </c>
      <c r="D1122" t="e">
        <f t="shared" ca="1" si="191"/>
        <v>#DIV/0!</v>
      </c>
      <c r="E1122" t="e">
        <f t="shared" ca="1" si="192"/>
        <v>#DIV/0!</v>
      </c>
      <c r="F1122" t="e">
        <f t="shared" ca="1" si="193"/>
        <v>#DIV/0!</v>
      </c>
      <c r="G1122" t="e">
        <f t="shared" ca="1" si="194"/>
        <v>#DIV/0!</v>
      </c>
      <c r="H1122" t="e">
        <f t="shared" ca="1" si="195"/>
        <v>#DIV/0!</v>
      </c>
      <c r="I1122" t="e">
        <f t="shared" ca="1" si="196"/>
        <v>#DIV/0!</v>
      </c>
      <c r="K1122">
        <f t="shared" si="189"/>
        <v>0.9751394569045555</v>
      </c>
      <c r="L1122" s="7">
        <f t="shared" ca="1" si="190"/>
        <v>0.90333150895249759</v>
      </c>
    </row>
    <row r="1123" spans="1:12" x14ac:dyDescent="0.45">
      <c r="A1123" s="1">
        <v>43608</v>
      </c>
      <c r="B1123">
        <v>13.0327</v>
      </c>
      <c r="C1123">
        <f t="shared" si="188"/>
        <v>1.4320514915905972E-2</v>
      </c>
      <c r="D1123" t="e">
        <f t="shared" ca="1" si="191"/>
        <v>#DIV/0!</v>
      </c>
      <c r="E1123" t="e">
        <f t="shared" ca="1" si="192"/>
        <v>#DIV/0!</v>
      </c>
      <c r="F1123" t="e">
        <f t="shared" ca="1" si="193"/>
        <v>#DIV/0!</v>
      </c>
      <c r="G1123" t="e">
        <f t="shared" ca="1" si="194"/>
        <v>#DIV/0!</v>
      </c>
      <c r="H1123" t="e">
        <f t="shared" ca="1" si="195"/>
        <v>#DIV/0!</v>
      </c>
      <c r="I1123" t="e">
        <f t="shared" ca="1" si="196"/>
        <v>#DIV/0!</v>
      </c>
      <c r="K1123">
        <f t="shared" si="189"/>
        <v>1.014320514915906</v>
      </c>
      <c r="L1123" s="7">
        <f t="shared" ca="1" si="190"/>
        <v>0.85617527263171733</v>
      </c>
    </row>
    <row r="1124" spans="1:12" x14ac:dyDescent="0.45">
      <c r="A1124" s="1">
        <v>43607</v>
      </c>
      <c r="B1124">
        <v>12.848699999999999</v>
      </c>
      <c r="C1124">
        <f t="shared" si="188"/>
        <v>-6.021796372147465E-2</v>
      </c>
      <c r="D1124" t="e">
        <f t="shared" ca="1" si="191"/>
        <v>#DIV/0!</v>
      </c>
      <c r="E1124" t="e">
        <f t="shared" ca="1" si="192"/>
        <v>#DIV/0!</v>
      </c>
      <c r="F1124" t="e">
        <f t="shared" ca="1" si="193"/>
        <v>#DIV/0!</v>
      </c>
      <c r="G1124" t="e">
        <f t="shared" ca="1" si="194"/>
        <v>#DIV/0!</v>
      </c>
      <c r="H1124" t="e">
        <f t="shared" ca="1" si="195"/>
        <v>#DIV/0!</v>
      </c>
      <c r="I1124" t="e">
        <f t="shared" ca="1" si="196"/>
        <v>#DIV/0!</v>
      </c>
      <c r="K1124">
        <f t="shared" si="189"/>
        <v>0.9397820362785253</v>
      </c>
      <c r="L1124" s="7">
        <f t="shared" ca="1" si="190"/>
        <v>0.83091578123686416</v>
      </c>
    </row>
    <row r="1125" spans="1:12" x14ac:dyDescent="0.45">
      <c r="A1125" s="1">
        <v>43606</v>
      </c>
      <c r="B1125">
        <v>13.672000000000001</v>
      </c>
      <c r="C1125">
        <f t="shared" si="188"/>
        <v>-1.3658907141343431E-3</v>
      </c>
      <c r="D1125" t="e">
        <f t="shared" ca="1" si="191"/>
        <v>#DIV/0!</v>
      </c>
      <c r="E1125" t="e">
        <f t="shared" ca="1" si="192"/>
        <v>#DIV/0!</v>
      </c>
      <c r="F1125" t="e">
        <f t="shared" ca="1" si="193"/>
        <v>#DIV/0!</v>
      </c>
      <c r="G1125" t="e">
        <f t="shared" ca="1" si="194"/>
        <v>#DIV/0!</v>
      </c>
      <c r="H1125" t="e">
        <f t="shared" ca="1" si="195"/>
        <v>#DIV/0!</v>
      </c>
      <c r="I1125" t="e">
        <f t="shared" ca="1" si="196"/>
        <v>#DIV/0!</v>
      </c>
      <c r="K1125">
        <f t="shared" si="189"/>
        <v>0.99863410928586571</v>
      </c>
      <c r="L1125" s="7">
        <f t="shared" ca="1" si="190"/>
        <v>0.88278783261123639</v>
      </c>
    </row>
    <row r="1126" spans="1:12" x14ac:dyDescent="0.45">
      <c r="A1126" s="1">
        <v>43605</v>
      </c>
      <c r="B1126">
        <v>13.6907</v>
      </c>
      <c r="C1126">
        <f t="shared" si="188"/>
        <v>-2.6868154129379412E-2</v>
      </c>
      <c r="D1126" t="e">
        <f t="shared" ca="1" si="191"/>
        <v>#DIV/0!</v>
      </c>
      <c r="E1126" t="e">
        <f t="shared" ca="1" si="192"/>
        <v>#DIV/0!</v>
      </c>
      <c r="F1126" t="e">
        <f t="shared" ca="1" si="193"/>
        <v>#DIV/0!</v>
      </c>
      <c r="G1126" t="e">
        <f t="shared" ca="1" si="194"/>
        <v>#DIV/0!</v>
      </c>
      <c r="H1126" t="e">
        <f t="shared" ca="1" si="195"/>
        <v>#DIV/0!</v>
      </c>
      <c r="I1126" t="e">
        <f t="shared" ca="1" si="196"/>
        <v>#DIV/0!</v>
      </c>
      <c r="K1126">
        <f t="shared" si="189"/>
        <v>0.97313184587062063</v>
      </c>
      <c r="L1126" s="7">
        <f t="shared" ca="1" si="190"/>
        <v>0.90463195453944756</v>
      </c>
    </row>
    <row r="1127" spans="1:12" x14ac:dyDescent="0.45">
      <c r="A1127" s="1">
        <v>43602</v>
      </c>
      <c r="B1127">
        <v>14.0687</v>
      </c>
      <c r="C1127">
        <f t="shared" si="188"/>
        <v>-7.5765339639994725E-2</v>
      </c>
      <c r="D1127" t="e">
        <f t="shared" ca="1" si="191"/>
        <v>#DIV/0!</v>
      </c>
      <c r="E1127" t="e">
        <f t="shared" ca="1" si="192"/>
        <v>#DIV/0!</v>
      </c>
      <c r="F1127" t="e">
        <f t="shared" ca="1" si="193"/>
        <v>#DIV/0!</v>
      </c>
      <c r="G1127" t="e">
        <f t="shared" ca="1" si="194"/>
        <v>#DIV/0!</v>
      </c>
      <c r="H1127" t="e">
        <f t="shared" ca="1" si="195"/>
        <v>#DIV/0!</v>
      </c>
      <c r="I1127" t="e">
        <f t="shared" ca="1" si="196"/>
        <v>#DIV/0!</v>
      </c>
      <c r="K1127">
        <f t="shared" si="189"/>
        <v>0.92423466036000523</v>
      </c>
      <c r="L1127" s="7">
        <f t="shared" ca="1" si="190"/>
        <v>0.88105586172344696</v>
      </c>
    </row>
    <row r="1128" spans="1:12" x14ac:dyDescent="0.45">
      <c r="A1128" s="1">
        <v>43601</v>
      </c>
      <c r="B1128">
        <v>15.222</v>
      </c>
      <c r="C1128">
        <f t="shared" si="188"/>
        <v>-1.5604689813946618E-2</v>
      </c>
      <c r="D1128" t="e">
        <f t="shared" ca="1" si="191"/>
        <v>#DIV/0!</v>
      </c>
      <c r="E1128" t="e">
        <f t="shared" ca="1" si="192"/>
        <v>#DIV/0!</v>
      </c>
      <c r="F1128" t="e">
        <f t="shared" ca="1" si="193"/>
        <v>#DIV/0!</v>
      </c>
      <c r="G1128" t="e">
        <f t="shared" ca="1" si="194"/>
        <v>#DIV/0!</v>
      </c>
      <c r="H1128" t="e">
        <f t="shared" ca="1" si="195"/>
        <v>#DIV/0!</v>
      </c>
      <c r="I1128" t="e">
        <f t="shared" ca="1" si="196"/>
        <v>#DIV/0!</v>
      </c>
      <c r="K1128">
        <f t="shared" si="189"/>
        <v>0.98439531018605342</v>
      </c>
      <c r="L1128" s="7">
        <f t="shared" ca="1" si="190"/>
        <v>0.94359037937019585</v>
      </c>
    </row>
    <row r="1129" spans="1:12" x14ac:dyDescent="0.45">
      <c r="A1129" s="1">
        <v>43600</v>
      </c>
      <c r="B1129">
        <v>15.4633</v>
      </c>
      <c r="C1129">
        <f t="shared" si="188"/>
        <v>-1.5496568155843262E-3</v>
      </c>
      <c r="D1129" t="e">
        <f t="shared" ca="1" si="191"/>
        <v>#DIV/0!</v>
      </c>
      <c r="E1129" t="e">
        <f t="shared" ca="1" si="192"/>
        <v>#DIV/0!</v>
      </c>
      <c r="F1129" t="e">
        <f t="shared" ca="1" si="193"/>
        <v>#DIV/0!</v>
      </c>
      <c r="G1129" t="e">
        <f t="shared" ca="1" si="194"/>
        <v>#DIV/0!</v>
      </c>
      <c r="H1129" t="e">
        <f t="shared" ca="1" si="195"/>
        <v>#DIV/0!</v>
      </c>
      <c r="I1129" t="e">
        <f t="shared" ca="1" si="196"/>
        <v>#DIV/0!</v>
      </c>
      <c r="K1129">
        <f t="shared" si="189"/>
        <v>0.99845034318441572</v>
      </c>
      <c r="L1129" s="7">
        <f t="shared" ca="1" si="190"/>
        <v>0.94734939685223651</v>
      </c>
    </row>
    <row r="1130" spans="1:12" x14ac:dyDescent="0.45">
      <c r="A1130" s="1">
        <v>43599</v>
      </c>
      <c r="B1130">
        <v>15.487299999999999</v>
      </c>
      <c r="C1130">
        <f t="shared" si="188"/>
        <v>2.3344786573278646E-2</v>
      </c>
      <c r="D1130" t="e">
        <f t="shared" ca="1" si="191"/>
        <v>#DIV/0!</v>
      </c>
      <c r="E1130" t="e">
        <f t="shared" ca="1" si="192"/>
        <v>#DIV/0!</v>
      </c>
      <c r="F1130" t="e">
        <f t="shared" ca="1" si="193"/>
        <v>#DIV/0!</v>
      </c>
      <c r="G1130" t="e">
        <f t="shared" ca="1" si="194"/>
        <v>#DIV/0!</v>
      </c>
      <c r="H1130" t="e">
        <f t="shared" ca="1" si="195"/>
        <v>#DIV/0!</v>
      </c>
      <c r="I1130" t="e">
        <f t="shared" ca="1" si="196"/>
        <v>#DIV/0!</v>
      </c>
      <c r="K1130">
        <f t="shared" si="189"/>
        <v>1.0233447865732785</v>
      </c>
      <c r="L1130" s="7">
        <f t="shared" ca="1" si="190"/>
        <v>0.94029397657658742</v>
      </c>
    </row>
    <row r="1131" spans="1:12" x14ac:dyDescent="0.45">
      <c r="A1131" s="1">
        <v>43598</v>
      </c>
      <c r="B1131">
        <v>15.134</v>
      </c>
      <c r="C1131">
        <f t="shared" si="188"/>
        <v>-5.2229458917835647E-2</v>
      </c>
      <c r="D1131" t="e">
        <f t="shared" ca="1" si="191"/>
        <v>#DIV/0!</v>
      </c>
      <c r="E1131" t="e">
        <f t="shared" ca="1" si="192"/>
        <v>#DIV/0!</v>
      </c>
      <c r="F1131" t="e">
        <f t="shared" ca="1" si="193"/>
        <v>#DIV/0!</v>
      </c>
      <c r="G1131" t="e">
        <f t="shared" ca="1" si="194"/>
        <v>#DIV/0!</v>
      </c>
      <c r="H1131" t="e">
        <f t="shared" ca="1" si="195"/>
        <v>#DIV/0!</v>
      </c>
      <c r="I1131" t="e">
        <f t="shared" ca="1" si="196"/>
        <v>#DIV/0!</v>
      </c>
      <c r="K1131">
        <f t="shared" si="189"/>
        <v>0.94777054108216441</v>
      </c>
      <c r="L1131" s="7">
        <f t="shared" ca="1" si="190"/>
        <v>0.88904815334817633</v>
      </c>
    </row>
    <row r="1132" spans="1:12" x14ac:dyDescent="0.45">
      <c r="A1132" s="1">
        <v>43595</v>
      </c>
      <c r="B1132">
        <v>15.968</v>
      </c>
      <c r="C1132">
        <f t="shared" si="188"/>
        <v>-1.0166129432184569E-2</v>
      </c>
      <c r="D1132" t="e">
        <f t="shared" ca="1" si="191"/>
        <v>#DIV/0!</v>
      </c>
      <c r="E1132" t="e">
        <f t="shared" ca="1" si="192"/>
        <v>#DIV/0!</v>
      </c>
      <c r="F1132" t="e">
        <f t="shared" ca="1" si="193"/>
        <v>#DIV/0!</v>
      </c>
      <c r="G1132" t="e">
        <f t="shared" ca="1" si="194"/>
        <v>#DIV/0!</v>
      </c>
      <c r="H1132" t="e">
        <f t="shared" ca="1" si="195"/>
        <v>#DIV/0!</v>
      </c>
      <c r="I1132" t="e">
        <f t="shared" ca="1" si="196"/>
        <v>#DIV/0!</v>
      </c>
      <c r="K1132">
        <f t="shared" si="189"/>
        <v>0.98983387056781547</v>
      </c>
      <c r="L1132" s="7">
        <f t="shared" ca="1" si="190"/>
        <v>0.93918362545582867</v>
      </c>
    </row>
    <row r="1133" spans="1:12" x14ac:dyDescent="0.45">
      <c r="A1133" s="1">
        <v>43594</v>
      </c>
      <c r="B1133">
        <v>16.132000000000001</v>
      </c>
      <c r="C1133">
        <f t="shared" si="188"/>
        <v>-1.1683116151126936E-2</v>
      </c>
      <c r="D1133" t="e">
        <f t="shared" ca="1" si="191"/>
        <v>#DIV/0!</v>
      </c>
      <c r="E1133" t="e">
        <f t="shared" ca="1" si="192"/>
        <v>#DIV/0!</v>
      </c>
      <c r="F1133" t="e">
        <f t="shared" ca="1" si="193"/>
        <v>#DIV/0!</v>
      </c>
      <c r="G1133" t="e">
        <f t="shared" ca="1" si="194"/>
        <v>#DIV/0!</v>
      </c>
      <c r="H1133" t="e">
        <f t="shared" ca="1" si="195"/>
        <v>#DIV/0!</v>
      </c>
      <c r="I1133" t="e">
        <f t="shared" ca="1" si="196"/>
        <v>#DIV/0!</v>
      </c>
      <c r="K1133">
        <f t="shared" si="189"/>
        <v>0.98831688384887306</v>
      </c>
      <c r="L1133" s="7">
        <f t="shared" ca="1" si="190"/>
        <v>0.99131706537702891</v>
      </c>
    </row>
    <row r="1134" spans="1:12" x14ac:dyDescent="0.45">
      <c r="A1134" s="1">
        <v>43593</v>
      </c>
      <c r="B1134">
        <v>16.322700000000001</v>
      </c>
      <c r="C1134">
        <f t="shared" si="188"/>
        <v>-8.9856533116382236E-3</v>
      </c>
      <c r="D1134" t="e">
        <f t="shared" ca="1" si="191"/>
        <v>#DIV/0!</v>
      </c>
      <c r="E1134" t="e">
        <f t="shared" ca="1" si="192"/>
        <v>#DIV/0!</v>
      </c>
      <c r="F1134" t="e">
        <f t="shared" ca="1" si="193"/>
        <v>#DIV/0!</v>
      </c>
      <c r="G1134" t="e">
        <f t="shared" ca="1" si="194"/>
        <v>#DIV/0!</v>
      </c>
      <c r="H1134" t="e">
        <f t="shared" ca="1" si="195"/>
        <v>#DIV/0!</v>
      </c>
      <c r="I1134" t="e">
        <f t="shared" ca="1" si="196"/>
        <v>#DIV/0!</v>
      </c>
      <c r="K1134">
        <f t="shared" si="189"/>
        <v>0.99101434668836175</v>
      </c>
      <c r="L1134" s="7">
        <f t="shared" ca="1" si="190"/>
        <v>1.0462799746165239</v>
      </c>
    </row>
    <row r="1135" spans="1:12" x14ac:dyDescent="0.45">
      <c r="A1135" s="1">
        <v>43592</v>
      </c>
      <c r="B1135">
        <v>16.470700000000001</v>
      </c>
      <c r="C1135">
        <f t="shared" si="188"/>
        <v>-3.2427288268018564E-2</v>
      </c>
      <c r="D1135" t="e">
        <f t="shared" ca="1" si="191"/>
        <v>#DIV/0!</v>
      </c>
      <c r="E1135" t="e">
        <f t="shared" ca="1" si="192"/>
        <v>#DIV/0!</v>
      </c>
      <c r="F1135" t="e">
        <f t="shared" ca="1" si="193"/>
        <v>#DIV/0!</v>
      </c>
      <c r="G1135" t="e">
        <f t="shared" ca="1" si="194"/>
        <v>#DIV/0!</v>
      </c>
      <c r="H1135" t="e">
        <f t="shared" ca="1" si="195"/>
        <v>#DIV/0!</v>
      </c>
      <c r="I1135" t="e">
        <f t="shared" ca="1" si="196"/>
        <v>#DIV/0!</v>
      </c>
      <c r="K1135">
        <f t="shared" si="189"/>
        <v>0.96757271173198145</v>
      </c>
      <c r="L1135" s="7">
        <f t="shared" ca="1" si="190"/>
        <v>1.0350663306667005</v>
      </c>
    </row>
    <row r="1136" spans="1:12" x14ac:dyDescent="0.45">
      <c r="A1136" s="1">
        <v>43591</v>
      </c>
      <c r="B1136">
        <v>17.0227</v>
      </c>
      <c r="C1136">
        <f t="shared" si="188"/>
        <v>1.2175038230797257E-3</v>
      </c>
      <c r="D1136" t="e">
        <f t="shared" ca="1" si="191"/>
        <v>#DIV/0!</v>
      </c>
      <c r="E1136" t="e">
        <f t="shared" ca="1" si="192"/>
        <v>#DIV/0!</v>
      </c>
      <c r="F1136" t="e">
        <f t="shared" ca="1" si="193"/>
        <v>#DIV/0!</v>
      </c>
      <c r="G1136" t="e">
        <f t="shared" ca="1" si="194"/>
        <v>#DIV/0!</v>
      </c>
      <c r="H1136" t="e">
        <f t="shared" ca="1" si="195"/>
        <v>#DIV/0!</v>
      </c>
      <c r="I1136" t="e">
        <f t="shared" ca="1" si="196"/>
        <v>#DIV/0!</v>
      </c>
      <c r="K1136">
        <f t="shared" si="189"/>
        <v>1.0012175038230797</v>
      </c>
      <c r="L1136" s="7">
        <f t="shared" ca="1" si="190"/>
        <v>1.0574419182507147</v>
      </c>
    </row>
    <row r="1137" spans="1:12" x14ac:dyDescent="0.45">
      <c r="A1137" s="1">
        <v>43588</v>
      </c>
      <c r="B1137">
        <v>17.001999999999999</v>
      </c>
      <c r="C1137">
        <f t="shared" si="188"/>
        <v>4.4778870911247257E-2</v>
      </c>
      <c r="D1137" t="e">
        <f t="shared" ca="1" si="191"/>
        <v>#DIV/0!</v>
      </c>
      <c r="E1137" t="e">
        <f t="shared" ca="1" si="192"/>
        <v>#DIV/0!</v>
      </c>
      <c r="F1137" t="e">
        <f t="shared" ca="1" si="193"/>
        <v>#DIV/0!</v>
      </c>
      <c r="G1137" t="e">
        <f t="shared" ca="1" si="194"/>
        <v>#DIV/0!</v>
      </c>
      <c r="H1137" t="e">
        <f t="shared" ca="1" si="195"/>
        <v>#DIV/0!</v>
      </c>
      <c r="I1137" t="e">
        <f t="shared" ca="1" si="196"/>
        <v>#DIV/0!</v>
      </c>
      <c r="K1137">
        <f t="shared" si="189"/>
        <v>1.0447788709112473</v>
      </c>
      <c r="L1137" s="7">
        <f t="shared" ca="1" si="190"/>
        <v>1.0845879050778262</v>
      </c>
    </row>
    <row r="1138" spans="1:12" x14ac:dyDescent="0.45">
      <c r="A1138" s="1">
        <v>43587</v>
      </c>
      <c r="B1138">
        <v>16.273299999999999</v>
      </c>
      <c r="C1138">
        <f t="shared" si="188"/>
        <v>4.3113450037498266E-2</v>
      </c>
      <c r="D1138" t="e">
        <f t="shared" ca="1" si="191"/>
        <v>#DIV/0!</v>
      </c>
      <c r="E1138" t="e">
        <f t="shared" ca="1" si="192"/>
        <v>#DIV/0!</v>
      </c>
      <c r="F1138" t="e">
        <f t="shared" ca="1" si="193"/>
        <v>#DIV/0!</v>
      </c>
      <c r="G1138" t="e">
        <f t="shared" ca="1" si="194"/>
        <v>#DIV/0!</v>
      </c>
      <c r="H1138" t="e">
        <f t="shared" ca="1" si="195"/>
        <v>#DIV/0!</v>
      </c>
      <c r="I1138" t="e">
        <f t="shared" ca="1" si="196"/>
        <v>#DIV/0!</v>
      </c>
      <c r="K1138">
        <f t="shared" si="189"/>
        <v>1.0431134500374983</v>
      </c>
      <c r="L1138" s="7">
        <f t="shared" ca="1" si="190"/>
        <v>0.98574085179329696</v>
      </c>
    </row>
    <row r="1139" spans="1:12" x14ac:dyDescent="0.45">
      <c r="A1139" s="1">
        <v>43586</v>
      </c>
      <c r="B1139">
        <v>15.6007</v>
      </c>
      <c r="C1139">
        <f t="shared" si="188"/>
        <v>-1.9606980587832324E-2</v>
      </c>
      <c r="D1139" t="e">
        <f t="shared" ca="1" si="191"/>
        <v>#DIV/0!</v>
      </c>
      <c r="E1139" t="e">
        <f t="shared" ca="1" si="192"/>
        <v>#DIV/0!</v>
      </c>
      <c r="F1139" t="e">
        <f t="shared" ca="1" si="193"/>
        <v>#DIV/0!</v>
      </c>
      <c r="G1139" t="e">
        <f t="shared" ca="1" si="194"/>
        <v>#DIV/0!</v>
      </c>
      <c r="H1139" t="e">
        <f t="shared" ca="1" si="195"/>
        <v>#DIV/0!</v>
      </c>
      <c r="I1139" t="e">
        <f t="shared" ca="1" si="196"/>
        <v>#DIV/0!</v>
      </c>
      <c r="K1139">
        <f t="shared" si="189"/>
        <v>0.98039301941216772</v>
      </c>
      <c r="L1139" s="7">
        <f t="shared" ca="1" si="190"/>
        <v>0.90470308513106024</v>
      </c>
    </row>
    <row r="1140" spans="1:12" x14ac:dyDescent="0.45">
      <c r="A1140" s="1">
        <v>43585</v>
      </c>
      <c r="B1140">
        <v>15.912699999999999</v>
      </c>
      <c r="C1140">
        <f t="shared" si="188"/>
        <v>-1.1510746676605777E-2</v>
      </c>
      <c r="D1140" t="e">
        <f t="shared" ca="1" si="191"/>
        <v>#DIV/0!</v>
      </c>
      <c r="E1140" t="e">
        <f t="shared" ca="1" si="192"/>
        <v>#DIV/0!</v>
      </c>
      <c r="F1140" t="e">
        <f t="shared" ca="1" si="193"/>
        <v>#DIV/0!</v>
      </c>
      <c r="G1140" t="e">
        <f t="shared" ca="1" si="194"/>
        <v>#DIV/0!</v>
      </c>
      <c r="H1140" t="e">
        <f t="shared" ca="1" si="195"/>
        <v>#DIV/0!</v>
      </c>
      <c r="I1140" t="e">
        <f t="shared" ca="1" si="196"/>
        <v>#DIV/0!</v>
      </c>
      <c r="K1140">
        <f t="shared" si="189"/>
        <v>0.98848925332339421</v>
      </c>
      <c r="L1140" s="7">
        <f t="shared" ca="1" si="190"/>
        <v>0.90447499900530326</v>
      </c>
    </row>
    <row r="1141" spans="1:12" x14ac:dyDescent="0.45">
      <c r="A1141" s="1">
        <v>43584</v>
      </c>
      <c r="B1141">
        <v>16.097999999999999</v>
      </c>
      <c r="C1141">
        <f t="shared" si="188"/>
        <v>2.6920132686909851E-2</v>
      </c>
      <c r="D1141" t="e">
        <f t="shared" ca="1" si="191"/>
        <v>#DIV/0!</v>
      </c>
      <c r="E1141" t="e">
        <f t="shared" ca="1" si="192"/>
        <v>#DIV/0!</v>
      </c>
      <c r="F1141" t="e">
        <f t="shared" ca="1" si="193"/>
        <v>#DIV/0!</v>
      </c>
      <c r="G1141" t="e">
        <f t="shared" ca="1" si="194"/>
        <v>#DIV/0!</v>
      </c>
      <c r="H1141" t="e">
        <f t="shared" ca="1" si="195"/>
        <v>#DIV/0!</v>
      </c>
      <c r="I1141" t="e">
        <f t="shared" ca="1" si="196"/>
        <v>#DIV/0!</v>
      </c>
      <c r="K1141">
        <f t="shared" si="189"/>
        <v>1.02692013268691</v>
      </c>
      <c r="L1141" s="7">
        <f t="shared" ca="1" si="190"/>
        <v>0.91900871739540002</v>
      </c>
    </row>
    <row r="1142" spans="1:12" x14ac:dyDescent="0.45">
      <c r="A1142" s="1">
        <v>43581</v>
      </c>
      <c r="B1142">
        <v>15.676</v>
      </c>
      <c r="C1142">
        <f t="shared" si="188"/>
        <v>-5.0440070992870477E-2</v>
      </c>
      <c r="D1142" t="e">
        <f t="shared" ca="1" si="191"/>
        <v>#DIV/0!</v>
      </c>
      <c r="E1142" t="e">
        <f t="shared" ca="1" si="192"/>
        <v>#DIV/0!</v>
      </c>
      <c r="F1142" t="e">
        <f t="shared" ca="1" si="193"/>
        <v>#DIV/0!</v>
      </c>
      <c r="G1142" t="e">
        <f t="shared" ca="1" si="194"/>
        <v>#DIV/0!</v>
      </c>
      <c r="H1142" t="e">
        <f t="shared" ca="1" si="195"/>
        <v>#DIV/0!</v>
      </c>
      <c r="I1142" t="e">
        <f t="shared" ca="1" si="196"/>
        <v>#DIV/0!</v>
      </c>
      <c r="K1142">
        <f t="shared" si="189"/>
        <v>0.94955992900712949</v>
      </c>
      <c r="L1142" s="7">
        <f t="shared" ca="1" si="190"/>
        <v>0.86050073281990191</v>
      </c>
    </row>
    <row r="1143" spans="1:12" x14ac:dyDescent="0.45">
      <c r="A1143" s="1">
        <v>43580</v>
      </c>
      <c r="B1143">
        <v>16.508700000000001</v>
      </c>
      <c r="C1143">
        <f t="shared" si="188"/>
        <v>-4.2640918580375713E-2</v>
      </c>
      <c r="D1143" t="e">
        <f t="shared" ca="1" si="191"/>
        <v>#DIV/0!</v>
      </c>
      <c r="E1143" t="e">
        <f t="shared" ca="1" si="192"/>
        <v>#DIV/0!</v>
      </c>
      <c r="F1143" t="e">
        <f t="shared" ca="1" si="193"/>
        <v>#DIV/0!</v>
      </c>
      <c r="G1143" t="e">
        <f t="shared" ca="1" si="194"/>
        <v>#DIV/0!</v>
      </c>
      <c r="H1143" t="e">
        <f t="shared" ca="1" si="195"/>
        <v>#DIV/0!</v>
      </c>
      <c r="I1143" t="e">
        <f t="shared" ca="1" si="196"/>
        <v>#DIV/0!</v>
      </c>
      <c r="K1143">
        <f t="shared" si="189"/>
        <v>0.95735908141962434</v>
      </c>
      <c r="L1143" s="7">
        <f t="shared" ca="1" si="190"/>
        <v>0.91299081959960193</v>
      </c>
    </row>
    <row r="1144" spans="1:12" x14ac:dyDescent="0.45">
      <c r="A1144" s="1">
        <v>43579</v>
      </c>
      <c r="B1144">
        <v>17.244</v>
      </c>
      <c r="C1144">
        <f t="shared" si="188"/>
        <v>-1.9854149022639274E-2</v>
      </c>
      <c r="D1144" t="e">
        <f t="shared" ca="1" si="191"/>
        <v>#DIV/0!</v>
      </c>
      <c r="E1144" t="e">
        <f t="shared" ca="1" si="192"/>
        <v>#DIV/0!</v>
      </c>
      <c r="F1144" t="e">
        <f t="shared" ca="1" si="193"/>
        <v>#DIV/0!</v>
      </c>
      <c r="G1144" t="e">
        <f t="shared" ca="1" si="194"/>
        <v>#DIV/0!</v>
      </c>
      <c r="H1144" t="e">
        <f t="shared" ca="1" si="195"/>
        <v>#DIV/0!</v>
      </c>
      <c r="I1144" t="e">
        <f t="shared" ca="1" si="196"/>
        <v>#DIV/0!</v>
      </c>
      <c r="K1144">
        <f t="shared" si="189"/>
        <v>0.98014585097736073</v>
      </c>
      <c r="L1144" s="7">
        <f t="shared" ca="1" si="190"/>
        <v>0.94622475856014054</v>
      </c>
    </row>
    <row r="1145" spans="1:12" x14ac:dyDescent="0.45">
      <c r="A1145" s="1">
        <v>43578</v>
      </c>
      <c r="B1145">
        <v>17.593299999999999</v>
      </c>
      <c r="C1145">
        <f t="shared" si="188"/>
        <v>4.3729697945388748E-3</v>
      </c>
      <c r="D1145" t="e">
        <f t="shared" ca="1" si="191"/>
        <v>#DIV/0!</v>
      </c>
      <c r="E1145" t="e">
        <f t="shared" ca="1" si="192"/>
        <v>#DIV/0!</v>
      </c>
      <c r="F1145" t="e">
        <f t="shared" ca="1" si="193"/>
        <v>#DIV/0!</v>
      </c>
      <c r="G1145" t="e">
        <f t="shared" ca="1" si="194"/>
        <v>#DIV/0!</v>
      </c>
      <c r="H1145" t="e">
        <f t="shared" ca="1" si="195"/>
        <v>#DIV/0!</v>
      </c>
      <c r="I1145" t="e">
        <f t="shared" ca="1" si="196"/>
        <v>#DIV/0!</v>
      </c>
      <c r="K1145">
        <f t="shared" si="189"/>
        <v>1.0043729697945389</v>
      </c>
      <c r="L1145" s="7">
        <f t="shared" ca="1" si="190"/>
        <v>0.99068625518759812</v>
      </c>
    </row>
    <row r="1146" spans="1:12" x14ac:dyDescent="0.45">
      <c r="A1146" s="1">
        <v>43577</v>
      </c>
      <c r="B1146">
        <v>17.5167</v>
      </c>
      <c r="C1146">
        <f t="shared" si="188"/>
        <v>-3.8457949311917872E-2</v>
      </c>
      <c r="D1146" t="e">
        <f t="shared" ca="1" si="191"/>
        <v>#DIV/0!</v>
      </c>
      <c r="E1146" t="e">
        <f t="shared" ca="1" si="192"/>
        <v>#DIV/0!</v>
      </c>
      <c r="F1146" t="e">
        <f t="shared" ca="1" si="193"/>
        <v>#DIV/0!</v>
      </c>
      <c r="G1146" t="e">
        <f t="shared" ca="1" si="194"/>
        <v>#DIV/0!</v>
      </c>
      <c r="H1146" t="e">
        <f t="shared" ca="1" si="195"/>
        <v>#DIV/0!</v>
      </c>
      <c r="I1146" t="e">
        <f t="shared" ca="1" si="196"/>
        <v>#DIV/0!</v>
      </c>
      <c r="K1146">
        <f t="shared" si="189"/>
        <v>0.96154205068808207</v>
      </c>
      <c r="L1146" s="7">
        <f t="shared" ca="1" si="190"/>
        <v>0.98150918657230768</v>
      </c>
    </row>
    <row r="1147" spans="1:12" x14ac:dyDescent="0.45">
      <c r="A1147" s="1">
        <v>43573</v>
      </c>
      <c r="B1147">
        <v>18.217300000000002</v>
      </c>
      <c r="C1147">
        <f t="shared" si="188"/>
        <v>7.4825793606902368E-3</v>
      </c>
      <c r="D1147" t="e">
        <f t="shared" ca="1" si="191"/>
        <v>#DIV/0!</v>
      </c>
      <c r="E1147" t="e">
        <f t="shared" ca="1" si="192"/>
        <v>#DIV/0!</v>
      </c>
      <c r="F1147" t="e">
        <f t="shared" ca="1" si="193"/>
        <v>#DIV/0!</v>
      </c>
      <c r="G1147" t="e">
        <f t="shared" ca="1" si="194"/>
        <v>#DIV/0!</v>
      </c>
      <c r="H1147" t="e">
        <f t="shared" ca="1" si="195"/>
        <v>#DIV/0!</v>
      </c>
      <c r="I1147" t="e">
        <f t="shared" ca="1" si="196"/>
        <v>#DIV/0!</v>
      </c>
      <c r="K1147">
        <f t="shared" si="189"/>
        <v>1.0074825793606903</v>
      </c>
      <c r="L1147" s="7">
        <f t="shared" ca="1" si="190"/>
        <v>1.0180276841746441</v>
      </c>
    </row>
    <row r="1148" spans="1:12" x14ac:dyDescent="0.45">
      <c r="A1148" s="1">
        <v>43572</v>
      </c>
      <c r="B1148">
        <v>18.082000000000001</v>
      </c>
      <c r="C1148">
        <f t="shared" si="188"/>
        <v>-7.791922739244922E-3</v>
      </c>
      <c r="D1148" t="e">
        <f t="shared" ca="1" si="191"/>
        <v>#DIV/0!</v>
      </c>
      <c r="E1148" t="e">
        <f t="shared" ca="1" si="192"/>
        <v>#DIV/0!</v>
      </c>
      <c r="F1148" t="e">
        <f t="shared" ca="1" si="193"/>
        <v>#DIV/0!</v>
      </c>
      <c r="G1148" t="e">
        <f t="shared" ca="1" si="194"/>
        <v>#DIV/0!</v>
      </c>
      <c r="H1148" t="e">
        <f t="shared" ca="1" si="195"/>
        <v>#DIV/0!</v>
      </c>
      <c r="I1148" t="e">
        <f t="shared" ca="1" si="196"/>
        <v>#DIV/0!</v>
      </c>
      <c r="K1148">
        <f t="shared" si="189"/>
        <v>0.99220807726075511</v>
      </c>
      <c r="L1148" s="7">
        <f t="shared" ca="1" si="190"/>
        <v>0.982503803520974</v>
      </c>
    </row>
    <row r="1149" spans="1:12" x14ac:dyDescent="0.45">
      <c r="A1149" s="1">
        <v>43571</v>
      </c>
      <c r="B1149">
        <v>18.224</v>
      </c>
      <c r="C1149">
        <f t="shared" si="188"/>
        <v>2.620124220804446E-2</v>
      </c>
      <c r="D1149" t="e">
        <f t="shared" ca="1" si="191"/>
        <v>#DIV/0!</v>
      </c>
      <c r="E1149" t="e">
        <f t="shared" ca="1" si="192"/>
        <v>#DIV/0!</v>
      </c>
      <c r="F1149" t="e">
        <f t="shared" ca="1" si="193"/>
        <v>#DIV/0!</v>
      </c>
      <c r="G1149" t="e">
        <f t="shared" ca="1" si="194"/>
        <v>#DIV/0!</v>
      </c>
      <c r="H1149" t="e">
        <f t="shared" ca="1" si="195"/>
        <v>#DIV/0!</v>
      </c>
      <c r="I1149" t="e">
        <f t="shared" ca="1" si="196"/>
        <v>#DIV/0!</v>
      </c>
      <c r="K1149">
        <f t="shared" si="189"/>
        <v>1.0262012422080444</v>
      </c>
      <c r="L1149" s="7">
        <f t="shared" ca="1" si="190"/>
        <v>1.0038558995262752</v>
      </c>
    </row>
    <row r="1150" spans="1:12" x14ac:dyDescent="0.45">
      <c r="A1150" s="1">
        <v>43570</v>
      </c>
      <c r="B1150">
        <v>17.758700000000001</v>
      </c>
      <c r="C1150">
        <f t="shared" si="188"/>
        <v>-4.9308835807178597E-3</v>
      </c>
      <c r="D1150" t="e">
        <f t="shared" ca="1" si="191"/>
        <v>#DIV/0!</v>
      </c>
      <c r="E1150" t="e">
        <f t="shared" ca="1" si="192"/>
        <v>#DIV/0!</v>
      </c>
      <c r="F1150" t="e">
        <f t="shared" ca="1" si="193"/>
        <v>#DIV/0!</v>
      </c>
      <c r="G1150" t="e">
        <f t="shared" ca="1" si="194"/>
        <v>#DIV/0!</v>
      </c>
      <c r="H1150" t="e">
        <f t="shared" ca="1" si="195"/>
        <v>#DIV/0!</v>
      </c>
      <c r="I1150" t="e">
        <f t="shared" ca="1" si="196"/>
        <v>#DIV/0!</v>
      </c>
      <c r="K1150">
        <f t="shared" si="189"/>
        <v>0.9950691164192822</v>
      </c>
      <c r="L1150" s="7">
        <f t="shared" ca="1" si="190"/>
        <v>0.97504021786277073</v>
      </c>
    </row>
    <row r="1151" spans="1:12" x14ac:dyDescent="0.45">
      <c r="A1151" s="1">
        <v>43567</v>
      </c>
      <c r="B1151">
        <v>17.846699999999998</v>
      </c>
      <c r="C1151">
        <f t="shared" si="188"/>
        <v>-2.6823584636792917E-3</v>
      </c>
      <c r="D1151" t="e">
        <f t="shared" ca="1" si="191"/>
        <v>#DIV/0!</v>
      </c>
      <c r="E1151" t="e">
        <f t="shared" ca="1" si="192"/>
        <v>#DIV/0!</v>
      </c>
      <c r="F1151" t="e">
        <f t="shared" ca="1" si="193"/>
        <v>#DIV/0!</v>
      </c>
      <c r="G1151" t="e">
        <f t="shared" ca="1" si="194"/>
        <v>#DIV/0!</v>
      </c>
      <c r="H1151" t="e">
        <f t="shared" ca="1" si="195"/>
        <v>#DIV/0!</v>
      </c>
      <c r="I1151" t="e">
        <f t="shared" ca="1" si="196"/>
        <v>#DIV/0!</v>
      </c>
      <c r="K1151">
        <f t="shared" si="189"/>
        <v>0.99731764153632074</v>
      </c>
      <c r="L1151" s="7">
        <f t="shared" ca="1" si="190"/>
        <v>0.97359620745525244</v>
      </c>
    </row>
    <row r="1152" spans="1:12" x14ac:dyDescent="0.45">
      <c r="A1152" s="1">
        <v>43566</v>
      </c>
      <c r="B1152">
        <v>17.8947</v>
      </c>
      <c r="C1152">
        <f t="shared" si="188"/>
        <v>-2.7673331884372942E-2</v>
      </c>
      <c r="D1152" t="e">
        <f t="shared" ca="1" si="191"/>
        <v>#DIV/0!</v>
      </c>
      <c r="E1152" t="e">
        <f t="shared" ca="1" si="192"/>
        <v>#DIV/0!</v>
      </c>
      <c r="F1152" t="e">
        <f t="shared" ca="1" si="193"/>
        <v>#DIV/0!</v>
      </c>
      <c r="G1152" t="e">
        <f t="shared" ca="1" si="194"/>
        <v>#DIV/0!</v>
      </c>
      <c r="H1152" t="e">
        <f t="shared" ca="1" si="195"/>
        <v>#DIV/0!</v>
      </c>
      <c r="I1152" t="e">
        <f t="shared" ca="1" si="196"/>
        <v>#DIV/0!</v>
      </c>
      <c r="K1152">
        <f t="shared" si="189"/>
        <v>0.97232666811562707</v>
      </c>
      <c r="L1152" s="7">
        <f t="shared" ca="1" si="190"/>
        <v>1.0023918888639927</v>
      </c>
    </row>
    <row r="1153" spans="1:12" x14ac:dyDescent="0.45">
      <c r="A1153" s="1">
        <v>43565</v>
      </c>
      <c r="B1153">
        <v>18.404</v>
      </c>
      <c r="C1153">
        <f t="shared" si="188"/>
        <v>1.3771069736697146E-2</v>
      </c>
      <c r="D1153" t="e">
        <f t="shared" ca="1" si="191"/>
        <v>#DIV/0!</v>
      </c>
      <c r="E1153" t="e">
        <f t="shared" ca="1" si="192"/>
        <v>#DIV/0!</v>
      </c>
      <c r="F1153" t="e">
        <f t="shared" ca="1" si="193"/>
        <v>#DIV/0!</v>
      </c>
      <c r="G1153" t="e">
        <f t="shared" ca="1" si="194"/>
        <v>#DIV/0!</v>
      </c>
      <c r="H1153" t="e">
        <f t="shared" ca="1" si="195"/>
        <v>#DIV/0!</v>
      </c>
      <c r="I1153" t="e">
        <f t="shared" ca="1" si="196"/>
        <v>#DIV/0!</v>
      </c>
      <c r="K1153">
        <f t="shared" si="189"/>
        <v>1.0137710697366971</v>
      </c>
      <c r="L1153" s="7">
        <f t="shared" ca="1" si="190"/>
        <v>0.94602652410815236</v>
      </c>
    </row>
    <row r="1154" spans="1:12" x14ac:dyDescent="0.45">
      <c r="A1154" s="1">
        <v>43564</v>
      </c>
      <c r="B1154">
        <v>18.154</v>
      </c>
      <c r="C1154">
        <f t="shared" si="188"/>
        <v>-3.25586247412607E-3</v>
      </c>
      <c r="D1154" t="e">
        <f t="shared" ca="1" si="191"/>
        <v>#DIV/0!</v>
      </c>
      <c r="E1154" t="e">
        <f t="shared" ca="1" si="192"/>
        <v>#DIV/0!</v>
      </c>
      <c r="F1154" t="e">
        <f t="shared" ca="1" si="193"/>
        <v>#DIV/0!</v>
      </c>
      <c r="G1154" t="e">
        <f t="shared" ca="1" si="194"/>
        <v>#DIV/0!</v>
      </c>
      <c r="H1154" t="e">
        <f t="shared" ca="1" si="195"/>
        <v>#DIV/0!</v>
      </c>
      <c r="I1154" t="e">
        <f t="shared" ca="1" si="196"/>
        <v>#DIV/0!</v>
      </c>
      <c r="K1154">
        <f t="shared" si="189"/>
        <v>0.99674413752587387</v>
      </c>
      <c r="L1154" s="7">
        <f t="shared" ca="1" si="190"/>
        <v>0.95253086516918772</v>
      </c>
    </row>
    <row r="1155" spans="1:12" x14ac:dyDescent="0.45">
      <c r="A1155" s="1">
        <v>43563</v>
      </c>
      <c r="B1155">
        <v>18.2133</v>
      </c>
      <c r="C1155">
        <f t="shared" ref="C1155:C1218" si="197">(B1155-B1156)/B1156</f>
        <v>-6.4045562908126774E-3</v>
      </c>
      <c r="D1155" t="e">
        <f t="shared" ca="1" si="191"/>
        <v>#DIV/0!</v>
      </c>
      <c r="E1155" t="e">
        <f t="shared" ca="1" si="192"/>
        <v>#DIV/0!</v>
      </c>
      <c r="F1155" t="e">
        <f t="shared" ca="1" si="193"/>
        <v>#DIV/0!</v>
      </c>
      <c r="G1155" t="e">
        <f t="shared" ca="1" si="194"/>
        <v>#DIV/0!</v>
      </c>
      <c r="H1155" t="e">
        <f t="shared" ca="1" si="195"/>
        <v>#DIV/0!</v>
      </c>
      <c r="I1155" t="e">
        <f t="shared" ca="1" si="196"/>
        <v>#DIV/0!</v>
      </c>
      <c r="K1155">
        <f t="shared" ref="K1155:K1218" si="198">C1155+1</f>
        <v>0.99359544370918729</v>
      </c>
      <c r="L1155" s="7">
        <f t="shared" ref="L1155:L1218" ca="1" si="199">PRODUCT(OFFSET(K1155,0,0,$J$6,1))</f>
        <v>0.94473693765658473</v>
      </c>
    </row>
    <row r="1156" spans="1:12" x14ac:dyDescent="0.45">
      <c r="A1156" s="1">
        <v>43560</v>
      </c>
      <c r="B1156">
        <v>18.3307</v>
      </c>
      <c r="C1156">
        <f t="shared" si="197"/>
        <v>2.6814922697736943E-2</v>
      </c>
      <c r="D1156" t="e">
        <f t="shared" ref="D1156:D1219" ca="1" si="200">AVERAGE(OFFSET(C1156,0,0,$J$3,1))</f>
        <v>#DIV/0!</v>
      </c>
      <c r="E1156" t="e">
        <f t="shared" ref="E1156:E1219" ca="1" si="201">STDEV(OFFSET(C1156,0,0,$J$3,1))</f>
        <v>#DIV/0!</v>
      </c>
      <c r="F1156" t="e">
        <f t="shared" ref="F1156:F1219" ca="1" si="202">SKEW(OFFSET(C1156,0,0,$J$3,1))</f>
        <v>#DIV/0!</v>
      </c>
      <c r="G1156" t="e">
        <f t="shared" ref="G1156:G1219" ca="1" si="203">KURT(OFFSET(C1156,0,0,$J$3,1))</f>
        <v>#DIV/0!</v>
      </c>
      <c r="H1156" t="e">
        <f t="shared" ref="H1156:H1219" ca="1" si="204">PERCENTILE(OFFSET(C1156,0,0,$J$3,1), 0.95)/ABS(PERCENTILE(OFFSET(C1156,0,0,$J$3,1), 0.05))</f>
        <v>#DIV/0!</v>
      </c>
      <c r="I1156" t="e">
        <f t="shared" ref="I1156:I1219" ca="1" si="205">PERCENTILE(OFFSET(C1156,0,0,$J$3,1), 0.75)/ABS(PERCENTILE(OFFSET(C1156,0,0,$J$3,1), 0.25))</f>
        <v>#DIV/0!</v>
      </c>
      <c r="K1156">
        <f t="shared" si="198"/>
        <v>1.026814922697737</v>
      </c>
      <c r="L1156" s="7">
        <f t="shared" ca="1" si="199"/>
        <v>0.98249478756304509</v>
      </c>
    </row>
    <row r="1157" spans="1:12" x14ac:dyDescent="0.45">
      <c r="A1157" s="1">
        <v>43559</v>
      </c>
      <c r="B1157">
        <v>17.852</v>
      </c>
      <c r="C1157">
        <f t="shared" si="197"/>
        <v>-8.2348103217847246E-2</v>
      </c>
      <c r="D1157" t="e">
        <f t="shared" ca="1" si="200"/>
        <v>#DIV/0!</v>
      </c>
      <c r="E1157" t="e">
        <f t="shared" ca="1" si="201"/>
        <v>#DIV/0!</v>
      </c>
      <c r="F1157" t="e">
        <f t="shared" ca="1" si="202"/>
        <v>#DIV/0!</v>
      </c>
      <c r="G1157" t="e">
        <f t="shared" ca="1" si="203"/>
        <v>#DIV/0!</v>
      </c>
      <c r="H1157" t="e">
        <f t="shared" ca="1" si="204"/>
        <v>#DIV/0!</v>
      </c>
      <c r="I1157" t="e">
        <f t="shared" ca="1" si="205"/>
        <v>#DIV/0!</v>
      </c>
      <c r="K1157">
        <f t="shared" si="198"/>
        <v>0.91765189678215275</v>
      </c>
      <c r="L1157" s="7">
        <f t="shared" ca="1" si="199"/>
        <v>0.96109223836724134</v>
      </c>
    </row>
    <row r="1158" spans="1:12" x14ac:dyDescent="0.45">
      <c r="A1158" s="1">
        <v>43558</v>
      </c>
      <c r="B1158">
        <v>19.454000000000001</v>
      </c>
      <c r="C1158">
        <f t="shared" si="197"/>
        <v>2.0741183816314797E-2</v>
      </c>
      <c r="D1158" t="e">
        <f t="shared" ca="1" si="200"/>
        <v>#DIV/0!</v>
      </c>
      <c r="E1158" t="e">
        <f t="shared" ca="1" si="201"/>
        <v>#DIV/0!</v>
      </c>
      <c r="F1158" t="e">
        <f t="shared" ca="1" si="202"/>
        <v>#DIV/0!</v>
      </c>
      <c r="G1158" t="e">
        <f t="shared" ca="1" si="203"/>
        <v>#DIV/0!</v>
      </c>
      <c r="H1158" t="e">
        <f t="shared" ca="1" si="204"/>
        <v>#DIV/0!</v>
      </c>
      <c r="I1158" t="e">
        <f t="shared" ca="1" si="205"/>
        <v>#DIV/0!</v>
      </c>
      <c r="K1158">
        <f t="shared" si="198"/>
        <v>1.0207411838163147</v>
      </c>
      <c r="L1158" s="7">
        <f t="shared" ca="1" si="199"/>
        <v>1.0617836480733545</v>
      </c>
    </row>
    <row r="1159" spans="1:12" x14ac:dyDescent="0.45">
      <c r="A1159" s="1">
        <v>43557</v>
      </c>
      <c r="B1159">
        <v>19.058700000000002</v>
      </c>
      <c r="C1159">
        <f t="shared" si="197"/>
        <v>-1.1411557833256333E-2</v>
      </c>
      <c r="D1159" t="e">
        <f t="shared" ca="1" si="200"/>
        <v>#DIV/0!</v>
      </c>
      <c r="E1159" t="e">
        <f t="shared" ca="1" si="201"/>
        <v>#DIV/0!</v>
      </c>
      <c r="F1159" t="e">
        <f t="shared" ca="1" si="202"/>
        <v>#DIV/0!</v>
      </c>
      <c r="G1159" t="e">
        <f t="shared" ca="1" si="203"/>
        <v>#DIV/0!</v>
      </c>
      <c r="H1159" t="e">
        <f t="shared" ca="1" si="204"/>
        <v>#DIV/0!</v>
      </c>
      <c r="I1159" t="e">
        <f t="shared" ca="1" si="205"/>
        <v>#DIV/0!</v>
      </c>
      <c r="K1159">
        <f t="shared" si="198"/>
        <v>0.98858844216674369</v>
      </c>
      <c r="L1159" s="7">
        <f t="shared" ca="1" si="199"/>
        <v>1.0676365306728364</v>
      </c>
    </row>
    <row r="1160" spans="1:12" x14ac:dyDescent="0.45">
      <c r="A1160" s="1">
        <v>43556</v>
      </c>
      <c r="B1160">
        <v>19.278700000000001</v>
      </c>
      <c r="C1160">
        <f t="shared" si="197"/>
        <v>3.3305998188376734E-2</v>
      </c>
      <c r="D1160" t="e">
        <f t="shared" ca="1" si="200"/>
        <v>#DIV/0!</v>
      </c>
      <c r="E1160" t="e">
        <f t="shared" ca="1" si="201"/>
        <v>#DIV/0!</v>
      </c>
      <c r="F1160" t="e">
        <f t="shared" ca="1" si="202"/>
        <v>#DIV/0!</v>
      </c>
      <c r="G1160" t="e">
        <f t="shared" ca="1" si="203"/>
        <v>#DIV/0!</v>
      </c>
      <c r="H1160" t="e">
        <f t="shared" ca="1" si="204"/>
        <v>#DIV/0!</v>
      </c>
      <c r="I1160" t="e">
        <f t="shared" ca="1" si="205"/>
        <v>#DIV/0!</v>
      </c>
      <c r="K1160">
        <f t="shared" si="198"/>
        <v>1.0333059981883768</v>
      </c>
      <c r="L1160" s="7">
        <f t="shared" ca="1" si="199"/>
        <v>1.110441038401502</v>
      </c>
    </row>
    <row r="1161" spans="1:12" x14ac:dyDescent="0.45">
      <c r="A1161" s="1">
        <v>43553</v>
      </c>
      <c r="B1161">
        <v>18.657299999999999</v>
      </c>
      <c r="C1161">
        <f t="shared" si="197"/>
        <v>4.4469089675741383E-3</v>
      </c>
      <c r="D1161" t="e">
        <f t="shared" ca="1" si="200"/>
        <v>#DIV/0!</v>
      </c>
      <c r="E1161" t="e">
        <f t="shared" ca="1" si="201"/>
        <v>#DIV/0!</v>
      </c>
      <c r="F1161" t="e">
        <f t="shared" ca="1" si="202"/>
        <v>#DIV/0!</v>
      </c>
      <c r="G1161" t="e">
        <f t="shared" ca="1" si="203"/>
        <v>#DIV/0!</v>
      </c>
      <c r="H1161" t="e">
        <f t="shared" ca="1" si="204"/>
        <v>#DIV/0!</v>
      </c>
      <c r="I1161" t="e">
        <f t="shared" ca="1" si="205"/>
        <v>#DIV/0!</v>
      </c>
      <c r="K1161">
        <f t="shared" si="198"/>
        <v>1.004446908967574</v>
      </c>
      <c r="L1161" s="7">
        <f t="shared" ca="1" si="199"/>
        <v>1.0579519486484494</v>
      </c>
    </row>
    <row r="1162" spans="1:12" x14ac:dyDescent="0.45">
      <c r="A1162" s="1">
        <v>43552</v>
      </c>
      <c r="B1162">
        <v>18.5747</v>
      </c>
      <c r="C1162">
        <f t="shared" si="197"/>
        <v>1.3792162427682612E-2</v>
      </c>
      <c r="D1162" t="e">
        <f t="shared" ca="1" si="200"/>
        <v>#DIV/0!</v>
      </c>
      <c r="E1162" t="e">
        <f t="shared" ca="1" si="201"/>
        <v>#DIV/0!</v>
      </c>
      <c r="F1162" t="e">
        <f t="shared" ca="1" si="202"/>
        <v>#DIV/0!</v>
      </c>
      <c r="G1162" t="e">
        <f t="shared" ca="1" si="203"/>
        <v>#DIV/0!</v>
      </c>
      <c r="H1162" t="e">
        <f t="shared" ca="1" si="204"/>
        <v>#DIV/0!</v>
      </c>
      <c r="I1162" t="e">
        <f t="shared" ca="1" si="205"/>
        <v>#DIV/0!</v>
      </c>
      <c r="K1162">
        <f t="shared" si="198"/>
        <v>1.0137921624276827</v>
      </c>
      <c r="L1162" s="7">
        <f t="shared" ca="1" si="199"/>
        <v>1.0167889205167504</v>
      </c>
    </row>
    <row r="1163" spans="1:12" x14ac:dyDescent="0.45">
      <c r="A1163" s="1">
        <v>43551</v>
      </c>
      <c r="B1163">
        <v>18.321999999999999</v>
      </c>
      <c r="C1163">
        <f t="shared" si="197"/>
        <v>2.6367827553175446E-2</v>
      </c>
      <c r="D1163" t="e">
        <f t="shared" ca="1" si="200"/>
        <v>#DIV/0!</v>
      </c>
      <c r="E1163" t="e">
        <f t="shared" ca="1" si="201"/>
        <v>#DIV/0!</v>
      </c>
      <c r="F1163" t="e">
        <f t="shared" ca="1" si="202"/>
        <v>#DIV/0!</v>
      </c>
      <c r="G1163" t="e">
        <f t="shared" ca="1" si="203"/>
        <v>#DIV/0!</v>
      </c>
      <c r="H1163" t="e">
        <f t="shared" ca="1" si="204"/>
        <v>#DIV/0!</v>
      </c>
      <c r="I1163" t="e">
        <f t="shared" ca="1" si="205"/>
        <v>#DIV/0!</v>
      </c>
      <c r="K1163">
        <f t="shared" si="198"/>
        <v>1.0263678275531753</v>
      </c>
      <c r="L1163" s="7">
        <f t="shared" ca="1" si="199"/>
        <v>1.0044956140350876</v>
      </c>
    </row>
    <row r="1164" spans="1:12" x14ac:dyDescent="0.45">
      <c r="A1164" s="1">
        <v>43550</v>
      </c>
      <c r="B1164">
        <v>17.851299999999998</v>
      </c>
      <c r="C1164">
        <f t="shared" si="197"/>
        <v>2.8223692926220872E-2</v>
      </c>
      <c r="D1164" t="e">
        <f t="shared" ca="1" si="200"/>
        <v>#DIV/0!</v>
      </c>
      <c r="E1164" t="e">
        <f t="shared" ca="1" si="201"/>
        <v>#DIV/0!</v>
      </c>
      <c r="F1164" t="e">
        <f t="shared" ca="1" si="202"/>
        <v>#DIV/0!</v>
      </c>
      <c r="G1164" t="e">
        <f t="shared" ca="1" si="203"/>
        <v>#DIV/0!</v>
      </c>
      <c r="H1164" t="e">
        <f t="shared" ca="1" si="204"/>
        <v>#DIV/0!</v>
      </c>
      <c r="I1164" t="e">
        <f t="shared" ca="1" si="205"/>
        <v>#DIV/0!</v>
      </c>
      <c r="K1164">
        <f t="shared" si="198"/>
        <v>1.028223692926221</v>
      </c>
      <c r="L1164" s="7">
        <f t="shared" ca="1" si="199"/>
        <v>1.0011216232131139</v>
      </c>
    </row>
    <row r="1165" spans="1:12" x14ac:dyDescent="0.45">
      <c r="A1165" s="1">
        <v>43549</v>
      </c>
      <c r="B1165">
        <v>17.3613</v>
      </c>
      <c r="C1165">
        <f t="shared" si="197"/>
        <v>-1.5537019500660658E-2</v>
      </c>
      <c r="D1165" t="e">
        <f t="shared" ca="1" si="200"/>
        <v>#DIV/0!</v>
      </c>
      <c r="E1165" t="e">
        <f t="shared" ca="1" si="201"/>
        <v>#DIV/0!</v>
      </c>
      <c r="F1165" t="e">
        <f t="shared" ca="1" si="202"/>
        <v>#DIV/0!</v>
      </c>
      <c r="G1165" t="e">
        <f t="shared" ca="1" si="203"/>
        <v>#DIV/0!</v>
      </c>
      <c r="H1165" t="e">
        <f t="shared" ca="1" si="204"/>
        <v>#DIV/0!</v>
      </c>
      <c r="I1165" t="e">
        <f t="shared" ca="1" si="205"/>
        <v>#DIV/0!</v>
      </c>
      <c r="K1165">
        <f t="shared" si="198"/>
        <v>0.98446298049933934</v>
      </c>
      <c r="L1165" s="7">
        <f t="shared" ca="1" si="199"/>
        <v>0.96634197929422239</v>
      </c>
    </row>
    <row r="1166" spans="1:12" x14ac:dyDescent="0.45">
      <c r="A1166" s="1">
        <v>43546</v>
      </c>
      <c r="B1166">
        <v>17.635300000000001</v>
      </c>
      <c r="C1166">
        <f t="shared" si="197"/>
        <v>-3.4634333260345949E-2</v>
      </c>
      <c r="D1166" t="e">
        <f t="shared" ca="1" si="200"/>
        <v>#DIV/0!</v>
      </c>
      <c r="E1166" t="e">
        <f t="shared" ca="1" si="201"/>
        <v>#DIV/0!</v>
      </c>
      <c r="F1166" t="e">
        <f t="shared" ca="1" si="202"/>
        <v>#DIV/0!</v>
      </c>
      <c r="G1166" t="e">
        <f t="shared" ca="1" si="203"/>
        <v>#DIV/0!</v>
      </c>
      <c r="H1166" t="e">
        <f t="shared" ca="1" si="204"/>
        <v>#DIV/0!</v>
      </c>
      <c r="I1166" t="e">
        <f t="shared" ca="1" si="205"/>
        <v>#DIV/0!</v>
      </c>
      <c r="K1166">
        <f t="shared" si="198"/>
        <v>0.96536566673965407</v>
      </c>
      <c r="L1166" s="7">
        <f t="shared" ca="1" si="199"/>
        <v>0.96042370112188225</v>
      </c>
    </row>
    <row r="1167" spans="1:12" x14ac:dyDescent="0.45">
      <c r="A1167" s="1">
        <v>43545</v>
      </c>
      <c r="B1167">
        <v>18.268000000000001</v>
      </c>
      <c r="C1167">
        <f t="shared" si="197"/>
        <v>1.5350877192983688E-3</v>
      </c>
      <c r="D1167" t="e">
        <f t="shared" ca="1" si="200"/>
        <v>#DIV/0!</v>
      </c>
      <c r="E1167" t="e">
        <f t="shared" ca="1" si="201"/>
        <v>#DIV/0!</v>
      </c>
      <c r="F1167" t="e">
        <f t="shared" ca="1" si="202"/>
        <v>#DIV/0!</v>
      </c>
      <c r="G1167" t="e">
        <f t="shared" ca="1" si="203"/>
        <v>#DIV/0!</v>
      </c>
      <c r="H1167" t="e">
        <f t="shared" ca="1" si="204"/>
        <v>#DIV/0!</v>
      </c>
      <c r="I1167" t="e">
        <f t="shared" ca="1" si="205"/>
        <v>#DIV/0!</v>
      </c>
      <c r="K1167">
        <f t="shared" si="198"/>
        <v>1.0015350877192983</v>
      </c>
      <c r="L1167" s="7">
        <f t="shared" ca="1" si="199"/>
        <v>0.94502527068342068</v>
      </c>
    </row>
    <row r="1168" spans="1:12" x14ac:dyDescent="0.45">
      <c r="A1168" s="1">
        <v>43544</v>
      </c>
      <c r="B1168">
        <v>18.239999999999998</v>
      </c>
      <c r="C1168">
        <f t="shared" si="197"/>
        <v>2.2920370359984951E-2</v>
      </c>
      <c r="D1168" t="e">
        <f t="shared" ca="1" si="200"/>
        <v>#DIV/0!</v>
      </c>
      <c r="E1168" t="e">
        <f t="shared" ca="1" si="201"/>
        <v>#DIV/0!</v>
      </c>
      <c r="F1168" t="e">
        <f t="shared" ca="1" si="202"/>
        <v>#DIV/0!</v>
      </c>
      <c r="G1168" t="e">
        <f t="shared" ca="1" si="203"/>
        <v>#DIV/0!</v>
      </c>
      <c r="H1168" t="e">
        <f t="shared" ca="1" si="204"/>
        <v>#DIV/0!</v>
      </c>
      <c r="I1168" t="e">
        <f t="shared" ca="1" si="205"/>
        <v>#DIV/0!</v>
      </c>
      <c r="K1168">
        <f t="shared" si="198"/>
        <v>1.022920370359985</v>
      </c>
      <c r="L1168" s="7">
        <f t="shared" ca="1" si="199"/>
        <v>0.94684385382059799</v>
      </c>
    </row>
    <row r="1169" spans="1:12" x14ac:dyDescent="0.45">
      <c r="A1169" s="1">
        <v>43543</v>
      </c>
      <c r="B1169">
        <v>17.831299999999999</v>
      </c>
      <c r="C1169">
        <f t="shared" si="197"/>
        <v>-7.4974952688412703E-3</v>
      </c>
      <c r="D1169" t="e">
        <f t="shared" ca="1" si="200"/>
        <v>#DIV/0!</v>
      </c>
      <c r="E1169" t="e">
        <f t="shared" ca="1" si="201"/>
        <v>#DIV/0!</v>
      </c>
      <c r="F1169" t="e">
        <f t="shared" ca="1" si="202"/>
        <v>#DIV/0!</v>
      </c>
      <c r="G1169" t="e">
        <f t="shared" ca="1" si="203"/>
        <v>#DIV/0!</v>
      </c>
      <c r="H1169" t="e">
        <f t="shared" ca="1" si="204"/>
        <v>#DIV/0!</v>
      </c>
      <c r="I1169" t="e">
        <f t="shared" ca="1" si="205"/>
        <v>#DIV/0!</v>
      </c>
      <c r="K1169">
        <f t="shared" si="198"/>
        <v>0.99250250473115875</v>
      </c>
      <c r="L1169" s="7">
        <f t="shared" ca="1" si="199"/>
        <v>0.94391949477785364</v>
      </c>
    </row>
    <row r="1170" spans="1:12" x14ac:dyDescent="0.45">
      <c r="A1170" s="1">
        <v>43542</v>
      </c>
      <c r="B1170">
        <v>17.966000000000001</v>
      </c>
      <c r="C1170">
        <f t="shared" si="197"/>
        <v>-2.1566278183204297E-2</v>
      </c>
      <c r="D1170" t="e">
        <f t="shared" ca="1" si="200"/>
        <v>#DIV/0!</v>
      </c>
      <c r="E1170" t="e">
        <f t="shared" ca="1" si="201"/>
        <v>#DIV/0!</v>
      </c>
      <c r="F1170" t="e">
        <f t="shared" ca="1" si="202"/>
        <v>#DIV/0!</v>
      </c>
      <c r="G1170" t="e">
        <f t="shared" ca="1" si="203"/>
        <v>#DIV/0!</v>
      </c>
      <c r="H1170" t="e">
        <f t="shared" ca="1" si="204"/>
        <v>#DIV/0!</v>
      </c>
      <c r="I1170" t="e">
        <f t="shared" ca="1" si="205"/>
        <v>#DIV/0!</v>
      </c>
      <c r="K1170">
        <f t="shared" si="198"/>
        <v>0.97843372181679567</v>
      </c>
      <c r="L1170" s="7">
        <f t="shared" ca="1" si="199"/>
        <v>0.92633554527783368</v>
      </c>
    </row>
    <row r="1171" spans="1:12" x14ac:dyDescent="0.45">
      <c r="A1171" s="1">
        <v>43539</v>
      </c>
      <c r="B1171">
        <v>18.361999999999998</v>
      </c>
      <c r="C1171">
        <f t="shared" si="197"/>
        <v>-5.0111998013522632E-2</v>
      </c>
      <c r="D1171" t="e">
        <f t="shared" ca="1" si="200"/>
        <v>#DIV/0!</v>
      </c>
      <c r="E1171" t="e">
        <f t="shared" ca="1" si="201"/>
        <v>#DIV/0!</v>
      </c>
      <c r="F1171" t="e">
        <f t="shared" ca="1" si="202"/>
        <v>#DIV/0!</v>
      </c>
      <c r="G1171" t="e">
        <f t="shared" ca="1" si="203"/>
        <v>#DIV/0!</v>
      </c>
      <c r="H1171" t="e">
        <f t="shared" ca="1" si="204"/>
        <v>#DIV/0!</v>
      </c>
      <c r="I1171" t="e">
        <f t="shared" ca="1" si="205"/>
        <v>#DIV/0!</v>
      </c>
      <c r="K1171">
        <f t="shared" si="198"/>
        <v>0.94988800198647738</v>
      </c>
      <c r="L1171" s="7">
        <f t="shared" ca="1" si="199"/>
        <v>0.96934439124306448</v>
      </c>
    </row>
    <row r="1172" spans="1:12" x14ac:dyDescent="0.45">
      <c r="A1172" s="1">
        <v>43538</v>
      </c>
      <c r="B1172">
        <v>19.3307</v>
      </c>
      <c r="C1172">
        <f t="shared" si="197"/>
        <v>3.46241694352164E-3</v>
      </c>
      <c r="D1172" t="e">
        <f t="shared" ca="1" si="200"/>
        <v>#DIV/0!</v>
      </c>
      <c r="E1172" t="e">
        <f t="shared" ca="1" si="201"/>
        <v>#DIV/0!</v>
      </c>
      <c r="F1172" t="e">
        <f t="shared" ca="1" si="202"/>
        <v>#DIV/0!</v>
      </c>
      <c r="G1172" t="e">
        <f t="shared" ca="1" si="203"/>
        <v>#DIV/0!</v>
      </c>
      <c r="H1172" t="e">
        <f t="shared" ca="1" si="204"/>
        <v>#DIV/0!</v>
      </c>
      <c r="I1172" t="e">
        <f t="shared" ca="1" si="205"/>
        <v>#DIV/0!</v>
      </c>
      <c r="K1172">
        <f t="shared" si="198"/>
        <v>1.0034624169435216</v>
      </c>
      <c r="L1172" s="7">
        <f t="shared" ca="1" si="199"/>
        <v>1.0483423991149339</v>
      </c>
    </row>
    <row r="1173" spans="1:12" x14ac:dyDescent="0.45">
      <c r="A1173" s="1">
        <v>43537</v>
      </c>
      <c r="B1173">
        <v>19.263999999999999</v>
      </c>
      <c r="C1173">
        <f t="shared" si="197"/>
        <v>1.9761046440841284E-2</v>
      </c>
      <c r="D1173" t="e">
        <f t="shared" ca="1" si="200"/>
        <v>#DIV/0!</v>
      </c>
      <c r="E1173" t="e">
        <f t="shared" ca="1" si="201"/>
        <v>#DIV/0!</v>
      </c>
      <c r="F1173" t="e">
        <f t="shared" ca="1" si="202"/>
        <v>#DIV/0!</v>
      </c>
      <c r="G1173" t="e">
        <f t="shared" ca="1" si="203"/>
        <v>#DIV/0!</v>
      </c>
      <c r="H1173" t="e">
        <f t="shared" ca="1" si="204"/>
        <v>#DIV/0!</v>
      </c>
      <c r="I1173" t="e">
        <f t="shared" ca="1" si="205"/>
        <v>#DIV/0!</v>
      </c>
      <c r="K1173">
        <f t="shared" si="198"/>
        <v>1.0197610464408413</v>
      </c>
      <c r="L1173" s="7">
        <f t="shared" ca="1" si="199"/>
        <v>1.0460469157254564</v>
      </c>
    </row>
    <row r="1174" spans="1:12" x14ac:dyDescent="0.45">
      <c r="A1174" s="1">
        <v>43536</v>
      </c>
      <c r="B1174">
        <v>18.890699999999999</v>
      </c>
      <c r="C1174">
        <f t="shared" si="197"/>
        <v>-2.598648084270452E-2</v>
      </c>
      <c r="D1174" t="e">
        <f t="shared" ca="1" si="200"/>
        <v>#DIV/0!</v>
      </c>
      <c r="E1174" t="e">
        <f t="shared" ca="1" si="201"/>
        <v>#DIV/0!</v>
      </c>
      <c r="F1174" t="e">
        <f t="shared" ca="1" si="202"/>
        <v>#DIV/0!</v>
      </c>
      <c r="G1174" t="e">
        <f t="shared" ca="1" si="203"/>
        <v>#DIV/0!</v>
      </c>
      <c r="H1174" t="e">
        <f t="shared" ca="1" si="204"/>
        <v>#DIV/0!</v>
      </c>
      <c r="I1174" t="e">
        <f t="shared" ca="1" si="205"/>
        <v>#DIV/0!</v>
      </c>
      <c r="K1174">
        <f t="shared" si="198"/>
        <v>0.9740135191572955</v>
      </c>
      <c r="L1174" s="7">
        <f t="shared" ca="1" si="199"/>
        <v>1.0246637014536779</v>
      </c>
    </row>
    <row r="1175" spans="1:12" x14ac:dyDescent="0.45">
      <c r="A1175" s="1">
        <v>43535</v>
      </c>
      <c r="B1175">
        <v>19.3947</v>
      </c>
      <c r="C1175">
        <f t="shared" si="197"/>
        <v>2.3861434747950491E-2</v>
      </c>
      <c r="D1175" t="e">
        <f t="shared" ca="1" si="200"/>
        <v>#DIV/0!</v>
      </c>
      <c r="E1175" t="e">
        <f t="shared" ca="1" si="201"/>
        <v>#DIV/0!</v>
      </c>
      <c r="F1175" t="e">
        <f t="shared" ca="1" si="202"/>
        <v>#DIV/0!</v>
      </c>
      <c r="G1175" t="e">
        <f t="shared" ca="1" si="203"/>
        <v>#DIV/0!</v>
      </c>
      <c r="H1175" t="e">
        <f t="shared" ca="1" si="204"/>
        <v>#DIV/0!</v>
      </c>
      <c r="I1175" t="e">
        <f t="shared" ca="1" si="205"/>
        <v>#DIV/0!</v>
      </c>
      <c r="K1175">
        <f t="shared" si="198"/>
        <v>1.0238614347479504</v>
      </c>
      <c r="L1175" s="7">
        <f t="shared" ca="1" si="199"/>
        <v>1.0194859125315392</v>
      </c>
    </row>
    <row r="1176" spans="1:12" x14ac:dyDescent="0.45">
      <c r="A1176" s="1">
        <v>43532</v>
      </c>
      <c r="B1176">
        <v>18.942699999999999</v>
      </c>
      <c r="C1176">
        <f t="shared" si="197"/>
        <v>2.7300385589474611E-2</v>
      </c>
      <c r="D1176" t="e">
        <f t="shared" ca="1" si="200"/>
        <v>#DIV/0!</v>
      </c>
      <c r="E1176" t="e">
        <f t="shared" ca="1" si="201"/>
        <v>#DIV/0!</v>
      </c>
      <c r="F1176" t="e">
        <f t="shared" ca="1" si="202"/>
        <v>#DIV/0!</v>
      </c>
      <c r="G1176" t="e">
        <f t="shared" ca="1" si="203"/>
        <v>#DIV/0!</v>
      </c>
      <c r="H1176" t="e">
        <f t="shared" ca="1" si="204"/>
        <v>#DIV/0!</v>
      </c>
      <c r="I1176" t="e">
        <f t="shared" ca="1" si="205"/>
        <v>#DIV/0!</v>
      </c>
      <c r="K1176">
        <f t="shared" si="198"/>
        <v>1.0273003855894747</v>
      </c>
      <c r="L1176" s="7">
        <f t="shared" ca="1" si="199"/>
        <v>0.96387264854193078</v>
      </c>
    </row>
    <row r="1177" spans="1:12" x14ac:dyDescent="0.45">
      <c r="A1177" s="1">
        <v>43531</v>
      </c>
      <c r="B1177">
        <v>18.439299999999999</v>
      </c>
      <c r="C1177">
        <f t="shared" si="197"/>
        <v>1.2652041702866522E-3</v>
      </c>
      <c r="D1177" t="e">
        <f t="shared" ca="1" si="200"/>
        <v>#DIV/0!</v>
      </c>
      <c r="E1177" t="e">
        <f t="shared" ca="1" si="201"/>
        <v>#DIV/0!</v>
      </c>
      <c r="F1177" t="e">
        <f t="shared" ca="1" si="202"/>
        <v>#DIV/0!</v>
      </c>
      <c r="G1177" t="e">
        <f t="shared" ca="1" si="203"/>
        <v>#DIV/0!</v>
      </c>
      <c r="H1177" t="e">
        <f t="shared" ca="1" si="204"/>
        <v>#DIV/0!</v>
      </c>
      <c r="I1177" t="e">
        <f t="shared" ca="1" si="205"/>
        <v>#DIV/0!</v>
      </c>
      <c r="K1177">
        <f t="shared" si="198"/>
        <v>1.0012652041702867</v>
      </c>
      <c r="L1177" s="7">
        <f t="shared" ca="1" si="199"/>
        <v>0.86466778896428209</v>
      </c>
    </row>
    <row r="1178" spans="1:12" x14ac:dyDescent="0.45">
      <c r="A1178" s="1">
        <v>43530</v>
      </c>
      <c r="B1178">
        <v>18.416</v>
      </c>
      <c r="C1178">
        <f t="shared" si="197"/>
        <v>-1.0848340203948564E-3</v>
      </c>
      <c r="D1178" t="e">
        <f t="shared" ca="1" si="200"/>
        <v>#DIV/0!</v>
      </c>
      <c r="E1178" t="e">
        <f t="shared" ca="1" si="201"/>
        <v>#DIV/0!</v>
      </c>
      <c r="F1178" t="e">
        <f t="shared" ca="1" si="202"/>
        <v>#DIV/0!</v>
      </c>
      <c r="G1178" t="e">
        <f t="shared" ca="1" si="203"/>
        <v>#DIV/0!</v>
      </c>
      <c r="H1178" t="e">
        <f t="shared" ca="1" si="204"/>
        <v>#DIV/0!</v>
      </c>
      <c r="I1178" t="e">
        <f t="shared" ca="1" si="205"/>
        <v>#DIV/0!</v>
      </c>
      <c r="K1178">
        <f t="shared" si="198"/>
        <v>0.99891516597960517</v>
      </c>
      <c r="L1178" s="7">
        <f t="shared" ca="1" si="199"/>
        <v>0.87767541832080731</v>
      </c>
    </row>
    <row r="1179" spans="1:12" x14ac:dyDescent="0.45">
      <c r="A1179" s="1">
        <v>43529</v>
      </c>
      <c r="B1179">
        <v>18.436</v>
      </c>
      <c r="C1179">
        <f t="shared" si="197"/>
        <v>-3.0908326324642608E-2</v>
      </c>
      <c r="D1179" t="e">
        <f t="shared" ca="1" si="200"/>
        <v>#DIV/0!</v>
      </c>
      <c r="E1179" t="e">
        <f t="shared" ca="1" si="201"/>
        <v>#DIV/0!</v>
      </c>
      <c r="F1179" t="e">
        <f t="shared" ca="1" si="202"/>
        <v>#DIV/0!</v>
      </c>
      <c r="G1179" t="e">
        <f t="shared" ca="1" si="203"/>
        <v>#DIV/0!</v>
      </c>
      <c r="H1179" t="e">
        <f t="shared" ca="1" si="204"/>
        <v>#DIV/0!</v>
      </c>
      <c r="I1179" t="e">
        <f t="shared" ca="1" si="205"/>
        <v>#DIV/0!</v>
      </c>
      <c r="K1179">
        <f t="shared" si="198"/>
        <v>0.96909167367535742</v>
      </c>
      <c r="L1179" s="7">
        <f t="shared" ca="1" si="199"/>
        <v>0.92842430743353854</v>
      </c>
    </row>
    <row r="1180" spans="1:12" x14ac:dyDescent="0.45">
      <c r="A1180" s="1">
        <v>43528</v>
      </c>
      <c r="B1180">
        <v>19.024000000000001</v>
      </c>
      <c r="C1180">
        <f t="shared" si="197"/>
        <v>-3.199051529815234E-2</v>
      </c>
      <c r="D1180" t="e">
        <f t="shared" ca="1" si="200"/>
        <v>#DIV/0!</v>
      </c>
      <c r="E1180" t="e">
        <f t="shared" ca="1" si="201"/>
        <v>#DIV/0!</v>
      </c>
      <c r="F1180" t="e">
        <f t="shared" ca="1" si="202"/>
        <v>#DIV/0!</v>
      </c>
      <c r="G1180" t="e">
        <f t="shared" ca="1" si="203"/>
        <v>#DIV/0!</v>
      </c>
      <c r="H1180" t="e">
        <f t="shared" ca="1" si="204"/>
        <v>#DIV/0!</v>
      </c>
      <c r="I1180" t="e">
        <f t="shared" ca="1" si="205"/>
        <v>#DIV/0!</v>
      </c>
      <c r="K1180">
        <f t="shared" si="198"/>
        <v>0.96800948470184767</v>
      </c>
      <c r="L1180" s="7">
        <f t="shared" ca="1" si="199"/>
        <v>0.9551159754995483</v>
      </c>
    </row>
    <row r="1181" spans="1:12" x14ac:dyDescent="0.45">
      <c r="A1181" s="1">
        <v>43525</v>
      </c>
      <c r="B1181">
        <v>19.652699999999999</v>
      </c>
      <c r="C1181">
        <f t="shared" si="197"/>
        <v>-7.8432659798455318E-2</v>
      </c>
      <c r="D1181" t="e">
        <f t="shared" ca="1" si="200"/>
        <v>#DIV/0!</v>
      </c>
      <c r="E1181" t="e">
        <f t="shared" ca="1" si="201"/>
        <v>#DIV/0!</v>
      </c>
      <c r="F1181" t="e">
        <f t="shared" ca="1" si="202"/>
        <v>#DIV/0!</v>
      </c>
      <c r="G1181" t="e">
        <f t="shared" ca="1" si="203"/>
        <v>#DIV/0!</v>
      </c>
      <c r="H1181" t="e">
        <f t="shared" ca="1" si="204"/>
        <v>#DIV/0!</v>
      </c>
      <c r="I1181" t="e">
        <f t="shared" ca="1" si="205"/>
        <v>#DIV/0!</v>
      </c>
      <c r="K1181">
        <f t="shared" si="198"/>
        <v>0.92156734020154474</v>
      </c>
      <c r="L1181" s="7">
        <f t="shared" ca="1" si="199"/>
        <v>1.0002748469255318</v>
      </c>
    </row>
    <row r="1182" spans="1:12" x14ac:dyDescent="0.45">
      <c r="A1182" s="1">
        <v>43524</v>
      </c>
      <c r="B1182">
        <v>21.325299999999999</v>
      </c>
      <c r="C1182">
        <f t="shared" si="197"/>
        <v>1.6327736659247728E-2</v>
      </c>
      <c r="D1182" t="e">
        <f t="shared" ca="1" si="200"/>
        <v>#DIV/0!</v>
      </c>
      <c r="E1182" t="e">
        <f t="shared" ca="1" si="201"/>
        <v>#DIV/0!</v>
      </c>
      <c r="F1182" t="e">
        <f t="shared" ca="1" si="202"/>
        <v>#DIV/0!</v>
      </c>
      <c r="G1182" t="e">
        <f t="shared" ca="1" si="203"/>
        <v>#DIV/0!</v>
      </c>
      <c r="H1182" t="e">
        <f t="shared" ca="1" si="204"/>
        <v>#DIV/0!</v>
      </c>
      <c r="I1182" t="e">
        <f t="shared" ca="1" si="205"/>
        <v>#DIV/0!</v>
      </c>
      <c r="K1182">
        <f t="shared" si="198"/>
        <v>1.0163277366592478</v>
      </c>
      <c r="L1182" s="7">
        <f t="shared" ca="1" si="199"/>
        <v>1.0983760230333808</v>
      </c>
    </row>
    <row r="1183" spans="1:12" x14ac:dyDescent="0.45">
      <c r="A1183" s="1">
        <v>43523</v>
      </c>
      <c r="B1183">
        <v>20.982700000000001</v>
      </c>
      <c r="C1183">
        <f t="shared" si="197"/>
        <v>5.6674371641663404E-2</v>
      </c>
      <c r="D1183" t="e">
        <f t="shared" ca="1" si="200"/>
        <v>#DIV/0!</v>
      </c>
      <c r="E1183" t="e">
        <f t="shared" ca="1" si="201"/>
        <v>#DIV/0!</v>
      </c>
      <c r="F1183" t="e">
        <f t="shared" ca="1" si="202"/>
        <v>#DIV/0!</v>
      </c>
      <c r="G1183" t="e">
        <f t="shared" ca="1" si="203"/>
        <v>#DIV/0!</v>
      </c>
      <c r="H1183" t="e">
        <f t="shared" ca="1" si="204"/>
        <v>#DIV/0!</v>
      </c>
      <c r="I1183" t="e">
        <f t="shared" ca="1" si="205"/>
        <v>#DIV/0!</v>
      </c>
      <c r="K1183">
        <f t="shared" si="198"/>
        <v>1.0566743716416633</v>
      </c>
      <c r="L1183" s="7">
        <f t="shared" ca="1" si="199"/>
        <v>1.0402564115276116</v>
      </c>
    </row>
    <row r="1184" spans="1:12" x14ac:dyDescent="0.45">
      <c r="A1184" s="1">
        <v>43522</v>
      </c>
      <c r="B1184">
        <v>19.857299999999999</v>
      </c>
      <c r="C1184">
        <f t="shared" si="197"/>
        <v>-3.0474947283864167E-3</v>
      </c>
      <c r="D1184" t="e">
        <f t="shared" ca="1" si="200"/>
        <v>#DIV/0!</v>
      </c>
      <c r="E1184" t="e">
        <f t="shared" ca="1" si="201"/>
        <v>#DIV/0!</v>
      </c>
      <c r="F1184" t="e">
        <f t="shared" ca="1" si="202"/>
        <v>#DIV/0!</v>
      </c>
      <c r="G1184" t="e">
        <f t="shared" ca="1" si="203"/>
        <v>#DIV/0!</v>
      </c>
      <c r="H1184" t="e">
        <f t="shared" ca="1" si="204"/>
        <v>#DIV/0!</v>
      </c>
      <c r="I1184" t="e">
        <f t="shared" ca="1" si="205"/>
        <v>#DIV/0!</v>
      </c>
      <c r="K1184">
        <f t="shared" si="198"/>
        <v>0.99695250527161361</v>
      </c>
      <c r="L1184" s="7">
        <f t="shared" ca="1" si="199"/>
        <v>0.97454358068315639</v>
      </c>
    </row>
    <row r="1185" spans="1:12" x14ac:dyDescent="0.45">
      <c r="A1185" s="1">
        <v>43521</v>
      </c>
      <c r="B1185">
        <v>19.917999999999999</v>
      </c>
      <c r="C1185">
        <f t="shared" si="197"/>
        <v>1.377797458174904E-2</v>
      </c>
      <c r="D1185" t="e">
        <f t="shared" ca="1" si="200"/>
        <v>#DIV/0!</v>
      </c>
      <c r="E1185" t="e">
        <f t="shared" ca="1" si="201"/>
        <v>#DIV/0!</v>
      </c>
      <c r="F1185" t="e">
        <f t="shared" ca="1" si="202"/>
        <v>#DIV/0!</v>
      </c>
      <c r="G1185" t="e">
        <f t="shared" ca="1" si="203"/>
        <v>#DIV/0!</v>
      </c>
      <c r="H1185" t="e">
        <f t="shared" ca="1" si="204"/>
        <v>#DIV/0!</v>
      </c>
      <c r="I1185" t="e">
        <f t="shared" ca="1" si="205"/>
        <v>#DIV/0!</v>
      </c>
      <c r="K1185">
        <f t="shared" si="198"/>
        <v>1.013777974581749</v>
      </c>
      <c r="L1185" s="7">
        <f t="shared" ca="1" si="199"/>
        <v>0.97041212552313449</v>
      </c>
    </row>
    <row r="1186" spans="1:12" x14ac:dyDescent="0.45">
      <c r="A1186" s="1">
        <v>43518</v>
      </c>
      <c r="B1186">
        <v>19.647300000000001</v>
      </c>
      <c r="C1186">
        <f t="shared" si="197"/>
        <v>1.194933892342652E-2</v>
      </c>
      <c r="D1186" t="e">
        <f t="shared" ca="1" si="200"/>
        <v>#DIV/0!</v>
      </c>
      <c r="E1186" t="e">
        <f t="shared" ca="1" si="201"/>
        <v>#DIV/0!</v>
      </c>
      <c r="F1186" t="e">
        <f t="shared" ca="1" si="202"/>
        <v>#DIV/0!</v>
      </c>
      <c r="G1186" t="e">
        <f t="shared" ca="1" si="203"/>
        <v>#DIV/0!</v>
      </c>
      <c r="H1186" t="e">
        <f t="shared" ca="1" si="204"/>
        <v>#DIV/0!</v>
      </c>
      <c r="I1186" t="e">
        <f t="shared" ca="1" si="205"/>
        <v>#DIV/0!</v>
      </c>
      <c r="K1186">
        <f t="shared" si="198"/>
        <v>1.0119493389234264</v>
      </c>
      <c r="L1186" s="7">
        <f t="shared" ca="1" si="199"/>
        <v>0.97017475421330956</v>
      </c>
    </row>
    <row r="1187" spans="1:12" x14ac:dyDescent="0.45">
      <c r="A1187" s="1">
        <v>43517</v>
      </c>
      <c r="B1187">
        <v>19.415299999999998</v>
      </c>
      <c r="C1187">
        <f t="shared" si="197"/>
        <v>-3.7450361167436018E-2</v>
      </c>
      <c r="D1187" t="e">
        <f t="shared" ca="1" si="200"/>
        <v>#DIV/0!</v>
      </c>
      <c r="E1187" t="e">
        <f t="shared" ca="1" si="201"/>
        <v>#DIV/0!</v>
      </c>
      <c r="F1187" t="e">
        <f t="shared" ca="1" si="202"/>
        <v>#DIV/0!</v>
      </c>
      <c r="G1187" t="e">
        <f t="shared" ca="1" si="203"/>
        <v>#DIV/0!</v>
      </c>
      <c r="H1187" t="e">
        <f t="shared" ca="1" si="204"/>
        <v>#DIV/0!</v>
      </c>
      <c r="I1187" t="e">
        <f t="shared" ca="1" si="205"/>
        <v>#DIV/0!</v>
      </c>
      <c r="K1187">
        <f t="shared" si="198"/>
        <v>0.96254963883256395</v>
      </c>
      <c r="L1187" s="7">
        <f t="shared" ca="1" si="199"/>
        <v>0.94502718462669189</v>
      </c>
    </row>
    <row r="1188" spans="1:12" x14ac:dyDescent="0.45">
      <c r="A1188" s="1">
        <v>43516</v>
      </c>
      <c r="B1188">
        <v>20.1707</v>
      </c>
      <c r="C1188">
        <f t="shared" si="197"/>
        <v>-1.0075579112681641E-2</v>
      </c>
      <c r="D1188" t="e">
        <f t="shared" ca="1" si="200"/>
        <v>#DIV/0!</v>
      </c>
      <c r="E1188" t="e">
        <f t="shared" ca="1" si="201"/>
        <v>#DIV/0!</v>
      </c>
      <c r="F1188" t="e">
        <f t="shared" ca="1" si="202"/>
        <v>#DIV/0!</v>
      </c>
      <c r="G1188" t="e">
        <f t="shared" ca="1" si="203"/>
        <v>#DIV/0!</v>
      </c>
      <c r="H1188" t="e">
        <f t="shared" ca="1" si="204"/>
        <v>#DIV/0!</v>
      </c>
      <c r="I1188" t="e">
        <f t="shared" ca="1" si="205"/>
        <v>#DIV/0!</v>
      </c>
      <c r="K1188">
        <f t="shared" si="198"/>
        <v>0.98992442088731836</v>
      </c>
      <c r="L1188" s="7">
        <f t="shared" ca="1" si="199"/>
        <v>0.97033765808931427</v>
      </c>
    </row>
    <row r="1189" spans="1:12" x14ac:dyDescent="0.45">
      <c r="A1189" s="1">
        <v>43515</v>
      </c>
      <c r="B1189">
        <v>20.376000000000001</v>
      </c>
      <c r="C1189">
        <f t="shared" si="197"/>
        <v>-7.2739497108446748E-3</v>
      </c>
      <c r="D1189" t="e">
        <f t="shared" ca="1" si="200"/>
        <v>#DIV/0!</v>
      </c>
      <c r="E1189" t="e">
        <f t="shared" ca="1" si="201"/>
        <v>#DIV/0!</v>
      </c>
      <c r="F1189" t="e">
        <f t="shared" ca="1" si="202"/>
        <v>#DIV/0!</v>
      </c>
      <c r="G1189" t="e">
        <f t="shared" ca="1" si="203"/>
        <v>#DIV/0!</v>
      </c>
      <c r="H1189" t="e">
        <f t="shared" ca="1" si="204"/>
        <v>#DIV/0!</v>
      </c>
      <c r="I1189" t="e">
        <f t="shared" ca="1" si="205"/>
        <v>#DIV/0!</v>
      </c>
      <c r="K1189">
        <f t="shared" si="198"/>
        <v>0.99272605028915528</v>
      </c>
      <c r="L1189" s="7">
        <f t="shared" ca="1" si="199"/>
        <v>0.97698504027617938</v>
      </c>
    </row>
    <row r="1190" spans="1:12" x14ac:dyDescent="0.45">
      <c r="A1190" s="1">
        <v>43511</v>
      </c>
      <c r="B1190">
        <v>20.525300000000001</v>
      </c>
      <c r="C1190">
        <f t="shared" si="197"/>
        <v>1.352999560522045E-2</v>
      </c>
      <c r="D1190" t="e">
        <f t="shared" ca="1" si="200"/>
        <v>#DIV/0!</v>
      </c>
      <c r="E1190" t="e">
        <f t="shared" ca="1" si="201"/>
        <v>#DIV/0!</v>
      </c>
      <c r="F1190" t="e">
        <f t="shared" ca="1" si="202"/>
        <v>#DIV/0!</v>
      </c>
      <c r="G1190" t="e">
        <f t="shared" ca="1" si="203"/>
        <v>#DIV/0!</v>
      </c>
      <c r="H1190" t="e">
        <f t="shared" ca="1" si="204"/>
        <v>#DIV/0!</v>
      </c>
      <c r="I1190" t="e">
        <f t="shared" ca="1" si="205"/>
        <v>#DIV/0!</v>
      </c>
      <c r="K1190">
        <f t="shared" si="198"/>
        <v>1.0135299956052204</v>
      </c>
      <c r="L1190" s="7">
        <f t="shared" ca="1" si="199"/>
        <v>1.0067985500350718</v>
      </c>
    </row>
    <row r="1191" spans="1:12" x14ac:dyDescent="0.45">
      <c r="A1191" s="1">
        <v>43510</v>
      </c>
      <c r="B1191">
        <v>20.251300000000001</v>
      </c>
      <c r="C1191">
        <f t="shared" si="197"/>
        <v>-1.4281055454691396E-2</v>
      </c>
      <c r="D1191" t="e">
        <f t="shared" ca="1" si="200"/>
        <v>#DIV/0!</v>
      </c>
      <c r="E1191" t="e">
        <f t="shared" ca="1" si="201"/>
        <v>#DIV/0!</v>
      </c>
      <c r="F1191" t="e">
        <f t="shared" ca="1" si="202"/>
        <v>#DIV/0!</v>
      </c>
      <c r="G1191" t="e">
        <f t="shared" ca="1" si="203"/>
        <v>#DIV/0!</v>
      </c>
      <c r="H1191" t="e">
        <f t="shared" ca="1" si="204"/>
        <v>#DIV/0!</v>
      </c>
      <c r="I1191" t="e">
        <f t="shared" ca="1" si="205"/>
        <v>#DIV/0!</v>
      </c>
      <c r="K1191">
        <f t="shared" si="198"/>
        <v>0.98571894454530862</v>
      </c>
      <c r="L1191" s="7">
        <f t="shared" ca="1" si="199"/>
        <v>0.98783456174667217</v>
      </c>
    </row>
    <row r="1192" spans="1:12" x14ac:dyDescent="0.45">
      <c r="A1192" s="1">
        <v>43509</v>
      </c>
      <c r="B1192">
        <v>20.544699999999999</v>
      </c>
      <c r="C1192">
        <f t="shared" si="197"/>
        <v>-1.1670587329763822E-2</v>
      </c>
      <c r="D1192" t="e">
        <f t="shared" ca="1" si="200"/>
        <v>#DIV/0!</v>
      </c>
      <c r="E1192" t="e">
        <f t="shared" ca="1" si="201"/>
        <v>#DIV/0!</v>
      </c>
      <c r="F1192" t="e">
        <f t="shared" ca="1" si="202"/>
        <v>#DIV/0!</v>
      </c>
      <c r="G1192" t="e">
        <f t="shared" ca="1" si="203"/>
        <v>#DIV/0!</v>
      </c>
      <c r="H1192" t="e">
        <f t="shared" ca="1" si="204"/>
        <v>#DIV/0!</v>
      </c>
      <c r="I1192" t="e">
        <f t="shared" ca="1" si="205"/>
        <v>#DIV/0!</v>
      </c>
      <c r="K1192">
        <f t="shared" si="198"/>
        <v>0.98832941267023622</v>
      </c>
      <c r="L1192" s="7">
        <f t="shared" ca="1" si="199"/>
        <v>0.97147247966710792</v>
      </c>
    </row>
    <row r="1193" spans="1:12" x14ac:dyDescent="0.45">
      <c r="A1193" s="1">
        <v>43508</v>
      </c>
      <c r="B1193">
        <v>20.787299999999998</v>
      </c>
      <c r="C1193">
        <f t="shared" si="197"/>
        <v>-3.2940161104719652E-3</v>
      </c>
      <c r="D1193" t="e">
        <f t="shared" ca="1" si="200"/>
        <v>#DIV/0!</v>
      </c>
      <c r="E1193" t="e">
        <f t="shared" ca="1" si="201"/>
        <v>#DIV/0!</v>
      </c>
      <c r="F1193" t="e">
        <f t="shared" ca="1" si="202"/>
        <v>#DIV/0!</v>
      </c>
      <c r="G1193" t="e">
        <f t="shared" ca="1" si="203"/>
        <v>#DIV/0!</v>
      </c>
      <c r="H1193" t="e">
        <f t="shared" ca="1" si="204"/>
        <v>#DIV/0!</v>
      </c>
      <c r="I1193" t="e">
        <f t="shared" ca="1" si="205"/>
        <v>#DIV/0!</v>
      </c>
      <c r="K1193">
        <f t="shared" si="198"/>
        <v>0.99670598388952802</v>
      </c>
      <c r="L1193" s="7">
        <f t="shared" ca="1" si="199"/>
        <v>0.97031269692344291</v>
      </c>
    </row>
    <row r="1194" spans="1:12" x14ac:dyDescent="0.45">
      <c r="A1194" s="1">
        <v>43507</v>
      </c>
      <c r="B1194">
        <v>20.856000000000002</v>
      </c>
      <c r="C1194">
        <f t="shared" si="197"/>
        <v>2.3019910039388448E-2</v>
      </c>
      <c r="D1194" t="e">
        <f t="shared" ca="1" si="200"/>
        <v>#DIV/0!</v>
      </c>
      <c r="E1194" t="e">
        <f t="shared" ca="1" si="201"/>
        <v>#DIV/0!</v>
      </c>
      <c r="F1194" t="e">
        <f t="shared" ca="1" si="202"/>
        <v>#DIV/0!</v>
      </c>
      <c r="G1194" t="e">
        <f t="shared" ca="1" si="203"/>
        <v>#DIV/0!</v>
      </c>
      <c r="H1194" t="e">
        <f t="shared" ca="1" si="204"/>
        <v>#DIV/0!</v>
      </c>
      <c r="I1194" t="e">
        <f t="shared" ca="1" si="205"/>
        <v>#DIV/0!</v>
      </c>
      <c r="K1194">
        <f t="shared" si="198"/>
        <v>1.0230199100393884</v>
      </c>
      <c r="L1194" s="7">
        <f t="shared" ca="1" si="199"/>
        <v>0.99984179718399024</v>
      </c>
    </row>
    <row r="1195" spans="1:12" x14ac:dyDescent="0.45">
      <c r="A1195" s="1">
        <v>43504</v>
      </c>
      <c r="B1195">
        <v>20.386700000000001</v>
      </c>
      <c r="C1195">
        <f t="shared" si="197"/>
        <v>-5.5607857292676458E-3</v>
      </c>
      <c r="D1195" t="e">
        <f t="shared" ca="1" si="200"/>
        <v>#DIV/0!</v>
      </c>
      <c r="E1195" t="e">
        <f t="shared" ca="1" si="201"/>
        <v>#DIV/0!</v>
      </c>
      <c r="F1195" t="e">
        <f t="shared" ca="1" si="202"/>
        <v>#DIV/0!</v>
      </c>
      <c r="G1195" t="e">
        <f t="shared" ca="1" si="203"/>
        <v>#DIV/0!</v>
      </c>
      <c r="H1195" t="e">
        <f t="shared" ca="1" si="204"/>
        <v>#DIV/0!</v>
      </c>
      <c r="I1195" t="e">
        <f t="shared" ca="1" si="205"/>
        <v>#DIV/0!</v>
      </c>
      <c r="K1195">
        <f t="shared" si="198"/>
        <v>0.99443921427073234</v>
      </c>
      <c r="L1195" s="7">
        <f t="shared" ca="1" si="199"/>
        <v>0.97947054866916516</v>
      </c>
    </row>
    <row r="1196" spans="1:12" x14ac:dyDescent="0.45">
      <c r="A1196" s="1">
        <v>43503</v>
      </c>
      <c r="B1196">
        <v>20.500699999999998</v>
      </c>
      <c r="C1196">
        <f t="shared" si="197"/>
        <v>-3.0608095328163481E-2</v>
      </c>
      <c r="D1196" t="e">
        <f t="shared" ca="1" si="200"/>
        <v>#DIV/0!</v>
      </c>
      <c r="E1196" t="e">
        <f t="shared" ca="1" si="201"/>
        <v>#DIV/0!</v>
      </c>
      <c r="F1196" t="e">
        <f t="shared" ca="1" si="202"/>
        <v>#DIV/0!</v>
      </c>
      <c r="G1196" t="e">
        <f t="shared" ca="1" si="203"/>
        <v>#DIV/0!</v>
      </c>
      <c r="H1196" t="e">
        <f t="shared" ca="1" si="204"/>
        <v>#DIV/0!</v>
      </c>
      <c r="I1196" t="e">
        <f t="shared" ca="1" si="205"/>
        <v>#DIV/0!</v>
      </c>
      <c r="K1196">
        <f t="shared" si="198"/>
        <v>0.96939190467183656</v>
      </c>
      <c r="L1196" s="7">
        <f t="shared" ca="1" si="199"/>
        <v>1.0015976157905024</v>
      </c>
    </row>
    <row r="1197" spans="1:12" x14ac:dyDescent="0.45">
      <c r="A1197" s="1">
        <v>43502</v>
      </c>
      <c r="B1197">
        <v>21.148</v>
      </c>
      <c r="C1197">
        <f t="shared" si="197"/>
        <v>-1.2850494554993928E-2</v>
      </c>
      <c r="D1197" t="e">
        <f t="shared" ca="1" si="200"/>
        <v>#DIV/0!</v>
      </c>
      <c r="E1197" t="e">
        <f t="shared" ca="1" si="201"/>
        <v>#DIV/0!</v>
      </c>
      <c r="F1197" t="e">
        <f t="shared" ca="1" si="202"/>
        <v>#DIV/0!</v>
      </c>
      <c r="G1197" t="e">
        <f t="shared" ca="1" si="203"/>
        <v>#DIV/0!</v>
      </c>
      <c r="H1197" t="e">
        <f t="shared" ca="1" si="204"/>
        <v>#DIV/0!</v>
      </c>
      <c r="I1197" t="e">
        <f t="shared" ca="1" si="205"/>
        <v>#DIV/0!</v>
      </c>
      <c r="K1197">
        <f t="shared" si="198"/>
        <v>0.98714950544500613</v>
      </c>
      <c r="L1197" s="7">
        <f t="shared" ca="1" si="199"/>
        <v>1.0273649846730823</v>
      </c>
    </row>
    <row r="1198" spans="1:12" x14ac:dyDescent="0.45">
      <c r="A1198" s="1">
        <v>43501</v>
      </c>
      <c r="B1198">
        <v>21.423300000000001</v>
      </c>
      <c r="C1198">
        <f t="shared" si="197"/>
        <v>2.7038299463548635E-2</v>
      </c>
      <c r="D1198" t="e">
        <f t="shared" ca="1" si="200"/>
        <v>#DIV/0!</v>
      </c>
      <c r="E1198" t="e">
        <f t="shared" ca="1" si="201"/>
        <v>#DIV/0!</v>
      </c>
      <c r="F1198" t="e">
        <f t="shared" ca="1" si="202"/>
        <v>#DIV/0!</v>
      </c>
      <c r="G1198" t="e">
        <f t="shared" ca="1" si="203"/>
        <v>#DIV/0!</v>
      </c>
      <c r="H1198" t="e">
        <f t="shared" ca="1" si="204"/>
        <v>#DIV/0!</v>
      </c>
      <c r="I1198" t="e">
        <f t="shared" ca="1" si="205"/>
        <v>#DIV/0!</v>
      </c>
      <c r="K1198">
        <f t="shared" si="198"/>
        <v>1.0270382994635487</v>
      </c>
      <c r="L1198" s="7">
        <f t="shared" ca="1" si="199"/>
        <v>1.0803098226487216</v>
      </c>
    </row>
    <row r="1199" spans="1:12" x14ac:dyDescent="0.45">
      <c r="A1199" s="1">
        <v>43500</v>
      </c>
      <c r="B1199">
        <v>20.859300000000001</v>
      </c>
      <c r="C1199">
        <f t="shared" si="197"/>
        <v>2.1764197174978864E-3</v>
      </c>
      <c r="D1199" t="e">
        <f t="shared" ca="1" si="200"/>
        <v>#DIV/0!</v>
      </c>
      <c r="E1199" t="e">
        <f t="shared" ca="1" si="201"/>
        <v>#DIV/0!</v>
      </c>
      <c r="F1199" t="e">
        <f t="shared" ca="1" si="202"/>
        <v>#DIV/0!</v>
      </c>
      <c r="G1199" t="e">
        <f t="shared" ca="1" si="203"/>
        <v>#DIV/0!</v>
      </c>
      <c r="H1199" t="e">
        <f t="shared" ca="1" si="204"/>
        <v>#DIV/0!</v>
      </c>
      <c r="I1199" t="e">
        <f t="shared" ca="1" si="205"/>
        <v>#DIV/0!</v>
      </c>
      <c r="K1199">
        <f t="shared" si="198"/>
        <v>1.0021764197174978</v>
      </c>
      <c r="L1199" s="7">
        <f t="shared" ca="1" si="199"/>
        <v>1.0557020451750367</v>
      </c>
    </row>
    <row r="1200" spans="1:12" x14ac:dyDescent="0.45">
      <c r="A1200" s="1">
        <v>43497</v>
      </c>
      <c r="B1200">
        <v>20.814</v>
      </c>
      <c r="C1200">
        <f t="shared" si="197"/>
        <v>1.6904436193081889E-2</v>
      </c>
      <c r="D1200" t="e">
        <f t="shared" ca="1" si="200"/>
        <v>#DIV/0!</v>
      </c>
      <c r="E1200" t="e">
        <f t="shared" ca="1" si="201"/>
        <v>#DIV/0!</v>
      </c>
      <c r="F1200" t="e">
        <f t="shared" ca="1" si="202"/>
        <v>#DIV/0!</v>
      </c>
      <c r="G1200" t="e">
        <f t="shared" ca="1" si="203"/>
        <v>#DIV/0!</v>
      </c>
      <c r="H1200" t="e">
        <f t="shared" ca="1" si="204"/>
        <v>#DIV/0!</v>
      </c>
      <c r="I1200" t="e">
        <f t="shared" ca="1" si="205"/>
        <v>#DIV/0!</v>
      </c>
      <c r="K1200">
        <f t="shared" si="198"/>
        <v>1.0169044361930819</v>
      </c>
      <c r="L1200" s="7">
        <f t="shared" ca="1" si="199"/>
        <v>1.051068793649351</v>
      </c>
    </row>
    <row r="1201" spans="1:12" x14ac:dyDescent="0.45">
      <c r="A1201" s="1">
        <v>43496</v>
      </c>
      <c r="B1201">
        <v>20.468</v>
      </c>
      <c r="C1201">
        <f t="shared" si="197"/>
        <v>-5.6692592070810635E-3</v>
      </c>
      <c r="D1201" t="e">
        <f t="shared" ca="1" si="200"/>
        <v>#DIV/0!</v>
      </c>
      <c r="E1201" t="e">
        <f t="shared" ca="1" si="201"/>
        <v>#DIV/0!</v>
      </c>
      <c r="F1201" t="e">
        <f t="shared" ca="1" si="202"/>
        <v>#DIV/0!</v>
      </c>
      <c r="G1201" t="e">
        <f t="shared" ca="1" si="203"/>
        <v>#DIV/0!</v>
      </c>
      <c r="H1201" t="e">
        <f t="shared" ca="1" si="204"/>
        <v>#DIV/0!</v>
      </c>
      <c r="I1201" t="e">
        <f t="shared" ca="1" si="205"/>
        <v>#DIV/0!</v>
      </c>
      <c r="K1201">
        <f t="shared" si="198"/>
        <v>0.99433074079291894</v>
      </c>
      <c r="L1201" s="7">
        <f t="shared" ca="1" si="199"/>
        <v>1.0532057219306372</v>
      </c>
    </row>
    <row r="1202" spans="1:12" x14ac:dyDescent="0.45">
      <c r="A1202" s="1">
        <v>43495</v>
      </c>
      <c r="B1202">
        <v>20.584700000000002</v>
      </c>
      <c r="C1202">
        <f t="shared" si="197"/>
        <v>3.8021855002597048E-2</v>
      </c>
      <c r="D1202" t="e">
        <f t="shared" ca="1" si="200"/>
        <v>#DIV/0!</v>
      </c>
      <c r="E1202" t="e">
        <f t="shared" ca="1" si="201"/>
        <v>#DIV/0!</v>
      </c>
      <c r="F1202" t="e">
        <f t="shared" ca="1" si="202"/>
        <v>#DIV/0!</v>
      </c>
      <c r="G1202" t="e">
        <f t="shared" ca="1" si="203"/>
        <v>#DIV/0!</v>
      </c>
      <c r="H1202" t="e">
        <f t="shared" ca="1" si="204"/>
        <v>#DIV/0!</v>
      </c>
      <c r="I1202" t="e">
        <f t="shared" ca="1" si="205"/>
        <v>#DIV/0!</v>
      </c>
      <c r="K1202">
        <f t="shared" si="198"/>
        <v>1.038021855002597</v>
      </c>
      <c r="L1202" s="7">
        <f t="shared" ca="1" si="199"/>
        <v>1.0736463826169504</v>
      </c>
    </row>
    <row r="1203" spans="1:12" x14ac:dyDescent="0.45">
      <c r="A1203" s="1">
        <v>43494</v>
      </c>
      <c r="B1203">
        <v>19.8307</v>
      </c>
      <c r="C1203">
        <f t="shared" si="197"/>
        <v>3.6439644308582635E-3</v>
      </c>
      <c r="D1203" t="e">
        <f t="shared" ca="1" si="200"/>
        <v>#DIV/0!</v>
      </c>
      <c r="E1203" t="e">
        <f t="shared" ca="1" si="201"/>
        <v>#DIV/0!</v>
      </c>
      <c r="F1203" t="e">
        <f t="shared" ca="1" si="202"/>
        <v>#DIV/0!</v>
      </c>
      <c r="G1203" t="e">
        <f t="shared" ca="1" si="203"/>
        <v>#DIV/0!</v>
      </c>
      <c r="H1203" t="e">
        <f t="shared" ca="1" si="204"/>
        <v>#DIV/0!</v>
      </c>
      <c r="I1203" t="e">
        <f t="shared" ca="1" si="205"/>
        <v>#DIV/0!</v>
      </c>
      <c r="K1203">
        <f t="shared" si="198"/>
        <v>1.0036439644308583</v>
      </c>
      <c r="L1203" s="7">
        <f t="shared" ca="1" si="199"/>
        <v>0.99511742272179848</v>
      </c>
    </row>
    <row r="1204" spans="1:12" x14ac:dyDescent="0.45">
      <c r="A1204" s="1">
        <v>43493</v>
      </c>
      <c r="B1204">
        <v>19.758700000000001</v>
      </c>
      <c r="C1204">
        <f t="shared" si="197"/>
        <v>-2.221919233235896E-3</v>
      </c>
      <c r="D1204" t="e">
        <f t="shared" ca="1" si="200"/>
        <v>#DIV/0!</v>
      </c>
      <c r="E1204" t="e">
        <f t="shared" ca="1" si="201"/>
        <v>#DIV/0!</v>
      </c>
      <c r="F1204" t="e">
        <f t="shared" ca="1" si="202"/>
        <v>#DIV/0!</v>
      </c>
      <c r="G1204" t="e">
        <f t="shared" ca="1" si="203"/>
        <v>#DIV/0!</v>
      </c>
      <c r="H1204" t="e">
        <f t="shared" ca="1" si="204"/>
        <v>#DIV/0!</v>
      </c>
      <c r="I1204" t="e">
        <f t="shared" ca="1" si="205"/>
        <v>#DIV/0!</v>
      </c>
      <c r="K1204">
        <f t="shared" si="198"/>
        <v>0.99777808076676411</v>
      </c>
      <c r="L1204" s="7">
        <f t="shared" ca="1" si="199"/>
        <v>0.98054658150833474</v>
      </c>
    </row>
    <row r="1205" spans="1:12" x14ac:dyDescent="0.45">
      <c r="A1205" s="1">
        <v>43490</v>
      </c>
      <c r="B1205">
        <v>19.802700000000002</v>
      </c>
      <c r="C1205">
        <f t="shared" si="197"/>
        <v>1.8971904908922529E-2</v>
      </c>
      <c r="D1205" t="e">
        <f t="shared" ca="1" si="200"/>
        <v>#DIV/0!</v>
      </c>
      <c r="E1205" t="e">
        <f t="shared" ca="1" si="201"/>
        <v>#DIV/0!</v>
      </c>
      <c r="F1205" t="e">
        <f t="shared" ca="1" si="202"/>
        <v>#DIV/0!</v>
      </c>
      <c r="G1205" t="e">
        <f t="shared" ca="1" si="203"/>
        <v>#DIV/0!</v>
      </c>
      <c r="H1205" t="e">
        <f t="shared" ca="1" si="204"/>
        <v>#DIV/0!</v>
      </c>
      <c r="I1205" t="e">
        <f t="shared" ca="1" si="205"/>
        <v>#DIV/0!</v>
      </c>
      <c r="K1205">
        <f t="shared" si="198"/>
        <v>1.0189719049089225</v>
      </c>
      <c r="L1205" s="7">
        <f t="shared" ca="1" si="199"/>
        <v>0.85526043016325481</v>
      </c>
    </row>
    <row r="1206" spans="1:12" x14ac:dyDescent="0.45">
      <c r="A1206" s="1">
        <v>43489</v>
      </c>
      <c r="B1206">
        <v>19.434000000000001</v>
      </c>
      <c r="C1206">
        <f t="shared" si="197"/>
        <v>1.3628753383717582E-2</v>
      </c>
      <c r="D1206" t="e">
        <f t="shared" ca="1" si="200"/>
        <v>#DIV/0!</v>
      </c>
      <c r="E1206" t="e">
        <f t="shared" ca="1" si="201"/>
        <v>#DIV/0!</v>
      </c>
      <c r="F1206" t="e">
        <f t="shared" ca="1" si="202"/>
        <v>#DIV/0!</v>
      </c>
      <c r="G1206" t="e">
        <f t="shared" ca="1" si="203"/>
        <v>#DIV/0!</v>
      </c>
      <c r="H1206" t="e">
        <f t="shared" ca="1" si="204"/>
        <v>#DIV/0!</v>
      </c>
      <c r="I1206" t="e">
        <f t="shared" ca="1" si="205"/>
        <v>#DIV/0!</v>
      </c>
      <c r="K1206">
        <f t="shared" si="198"/>
        <v>1.0136287533837176</v>
      </c>
      <c r="L1206" s="7">
        <f t="shared" ca="1" si="199"/>
        <v>0.84239271781534475</v>
      </c>
    </row>
    <row r="1207" spans="1:12" x14ac:dyDescent="0.45">
      <c r="A1207" s="1">
        <v>43488</v>
      </c>
      <c r="B1207">
        <v>19.172699999999999</v>
      </c>
      <c r="C1207">
        <f t="shared" si="197"/>
        <v>-3.7901445202729922E-2</v>
      </c>
      <c r="D1207" t="e">
        <f t="shared" ca="1" si="200"/>
        <v>#DIV/0!</v>
      </c>
      <c r="E1207" t="e">
        <f t="shared" ca="1" si="201"/>
        <v>#DIV/0!</v>
      </c>
      <c r="F1207" t="e">
        <f t="shared" ca="1" si="202"/>
        <v>#DIV/0!</v>
      </c>
      <c r="G1207" t="e">
        <f t="shared" ca="1" si="203"/>
        <v>#DIV/0!</v>
      </c>
      <c r="H1207" t="e">
        <f t="shared" ca="1" si="204"/>
        <v>#DIV/0!</v>
      </c>
      <c r="I1207" t="e">
        <f t="shared" ca="1" si="205"/>
        <v>#DIV/0!</v>
      </c>
      <c r="K1207">
        <f t="shared" si="198"/>
        <v>0.96209855479727002</v>
      </c>
      <c r="L1207" s="7">
        <f t="shared" ca="1" si="199"/>
        <v>0.83497517637836405</v>
      </c>
    </row>
    <row r="1208" spans="1:12" x14ac:dyDescent="0.45">
      <c r="A1208" s="1">
        <v>43487</v>
      </c>
      <c r="B1208">
        <v>19.928000000000001</v>
      </c>
      <c r="C1208">
        <f t="shared" si="197"/>
        <v>-1.105172525023943E-2</v>
      </c>
      <c r="D1208" t="e">
        <f t="shared" ca="1" si="200"/>
        <v>#DIV/0!</v>
      </c>
      <c r="E1208" t="e">
        <f t="shared" ca="1" si="201"/>
        <v>#DIV/0!</v>
      </c>
      <c r="F1208" t="e">
        <f t="shared" ca="1" si="202"/>
        <v>#DIV/0!</v>
      </c>
      <c r="G1208" t="e">
        <f t="shared" ca="1" si="203"/>
        <v>#DIV/0!</v>
      </c>
      <c r="H1208" t="e">
        <f t="shared" ca="1" si="204"/>
        <v>#DIV/0!</v>
      </c>
      <c r="I1208" t="e">
        <f t="shared" ca="1" si="205"/>
        <v>#DIV/0!</v>
      </c>
      <c r="K1208">
        <f t="shared" si="198"/>
        <v>0.98894827474976055</v>
      </c>
      <c r="L1208" s="7">
        <f t="shared" ca="1" si="199"/>
        <v>0.89390085810535036</v>
      </c>
    </row>
    <row r="1209" spans="1:12" x14ac:dyDescent="0.45">
      <c r="A1209" s="1">
        <v>43483</v>
      </c>
      <c r="B1209">
        <v>20.150700000000001</v>
      </c>
      <c r="C1209">
        <f t="shared" si="197"/>
        <v>-0.12970976937030315</v>
      </c>
      <c r="D1209" t="e">
        <f t="shared" ca="1" si="200"/>
        <v>#DIV/0!</v>
      </c>
      <c r="E1209" t="e">
        <f t="shared" ca="1" si="201"/>
        <v>#DIV/0!</v>
      </c>
      <c r="F1209" t="e">
        <f t="shared" ca="1" si="202"/>
        <v>#DIV/0!</v>
      </c>
      <c r="G1209" t="e">
        <f t="shared" ca="1" si="203"/>
        <v>#DIV/0!</v>
      </c>
      <c r="H1209" t="e">
        <f t="shared" ca="1" si="204"/>
        <v>#DIV/0!</v>
      </c>
      <c r="I1209" t="e">
        <f t="shared" ca="1" si="205"/>
        <v>#DIV/0!</v>
      </c>
      <c r="K1209">
        <f t="shared" si="198"/>
        <v>0.8702902306296969</v>
      </c>
      <c r="L1209" s="7">
        <f t="shared" ca="1" si="199"/>
        <v>0.87041428552916345</v>
      </c>
    </row>
    <row r="1210" spans="1:12" x14ac:dyDescent="0.45">
      <c r="A1210" s="1">
        <v>43482</v>
      </c>
      <c r="B1210">
        <v>23.154</v>
      </c>
      <c r="C1210">
        <f t="shared" si="197"/>
        <v>3.6410923276982933E-3</v>
      </c>
      <c r="D1210" t="e">
        <f t="shared" ca="1" si="200"/>
        <v>#DIV/0!</v>
      </c>
      <c r="E1210" t="e">
        <f t="shared" ca="1" si="201"/>
        <v>#DIV/0!</v>
      </c>
      <c r="F1210" t="e">
        <f t="shared" ca="1" si="202"/>
        <v>#DIV/0!</v>
      </c>
      <c r="G1210" t="e">
        <f t="shared" ca="1" si="203"/>
        <v>#DIV/0!</v>
      </c>
      <c r="H1210" t="e">
        <f t="shared" ca="1" si="204"/>
        <v>#DIV/0!</v>
      </c>
      <c r="I1210" t="e">
        <f t="shared" ca="1" si="205"/>
        <v>#DIV/0!</v>
      </c>
      <c r="K1210">
        <f t="shared" si="198"/>
        <v>1.0036410923276984</v>
      </c>
      <c r="L1210" s="7">
        <f t="shared" ca="1" si="199"/>
        <v>1.0067831985390037</v>
      </c>
    </row>
    <row r="1211" spans="1:12" x14ac:dyDescent="0.45">
      <c r="A1211" s="1">
        <v>43481</v>
      </c>
      <c r="B1211">
        <v>23.07</v>
      </c>
      <c r="C1211">
        <f t="shared" si="197"/>
        <v>4.7034230467729527E-3</v>
      </c>
      <c r="D1211" t="e">
        <f t="shared" ca="1" si="200"/>
        <v>#DIV/0!</v>
      </c>
      <c r="E1211" t="e">
        <f t="shared" ca="1" si="201"/>
        <v>#DIV/0!</v>
      </c>
      <c r="F1211" t="e">
        <f t="shared" ca="1" si="202"/>
        <v>#DIV/0!</v>
      </c>
      <c r="G1211" t="e">
        <f t="shared" ca="1" si="203"/>
        <v>#DIV/0!</v>
      </c>
      <c r="H1211" t="e">
        <f t="shared" ca="1" si="204"/>
        <v>#DIV/0!</v>
      </c>
      <c r="I1211" t="e">
        <f t="shared" ca="1" si="205"/>
        <v>#DIV/0!</v>
      </c>
      <c r="K1211">
        <f t="shared" si="198"/>
        <v>1.0047034230467728</v>
      </c>
      <c r="L1211" s="7">
        <f t="shared" ca="1" si="199"/>
        <v>1.0222121788140215</v>
      </c>
    </row>
    <row r="1212" spans="1:12" x14ac:dyDescent="0.45">
      <c r="A1212" s="1">
        <v>43480</v>
      </c>
      <c r="B1212">
        <v>22.962</v>
      </c>
      <c r="C1212">
        <f t="shared" si="197"/>
        <v>2.9995559203886423E-2</v>
      </c>
      <c r="D1212" t="e">
        <f t="shared" ca="1" si="200"/>
        <v>#DIV/0!</v>
      </c>
      <c r="E1212" t="e">
        <f t="shared" ca="1" si="201"/>
        <v>#DIV/0!</v>
      </c>
      <c r="F1212" t="e">
        <f t="shared" ca="1" si="202"/>
        <v>#DIV/0!</v>
      </c>
      <c r="G1212" t="e">
        <f t="shared" ca="1" si="203"/>
        <v>#DIV/0!</v>
      </c>
      <c r="H1212" t="e">
        <f t="shared" ca="1" si="204"/>
        <v>#DIV/0!</v>
      </c>
      <c r="I1212" t="e">
        <f t="shared" ca="1" si="205"/>
        <v>#DIV/0!</v>
      </c>
      <c r="K1212">
        <f t="shared" si="198"/>
        <v>1.0299955592038865</v>
      </c>
      <c r="L1212" s="7">
        <f t="shared" ca="1" si="199"/>
        <v>1.0270746577088747</v>
      </c>
    </row>
    <row r="1213" spans="1:12" x14ac:dyDescent="0.45">
      <c r="A1213" s="1">
        <v>43479</v>
      </c>
      <c r="B1213">
        <v>22.293299999999999</v>
      </c>
      <c r="C1213">
        <f t="shared" si="197"/>
        <v>-3.703559719576522E-2</v>
      </c>
      <c r="D1213" t="e">
        <f t="shared" ca="1" si="200"/>
        <v>#DIV/0!</v>
      </c>
      <c r="E1213" t="e">
        <f t="shared" ca="1" si="201"/>
        <v>#DIV/0!</v>
      </c>
      <c r="F1213" t="e">
        <f t="shared" ca="1" si="202"/>
        <v>#DIV/0!</v>
      </c>
      <c r="G1213" t="e">
        <f t="shared" ca="1" si="203"/>
        <v>#DIV/0!</v>
      </c>
      <c r="H1213" t="e">
        <f t="shared" ca="1" si="204"/>
        <v>#DIV/0!</v>
      </c>
      <c r="I1213" t="e">
        <f t="shared" ca="1" si="205"/>
        <v>#DIV/0!</v>
      </c>
      <c r="K1213">
        <f t="shared" si="198"/>
        <v>0.96296440280423479</v>
      </c>
      <c r="L1213" s="7">
        <f t="shared" ca="1" si="199"/>
        <v>0.99832517565503998</v>
      </c>
    </row>
    <row r="1214" spans="1:12" x14ac:dyDescent="0.45">
      <c r="A1214" s="1">
        <v>43476</v>
      </c>
      <c r="B1214">
        <v>23.150700000000001</v>
      </c>
      <c r="C1214">
        <f t="shared" si="197"/>
        <v>6.6397078006782927E-3</v>
      </c>
      <c r="D1214" t="e">
        <f t="shared" ca="1" si="200"/>
        <v>#DIV/0!</v>
      </c>
      <c r="E1214" t="e">
        <f t="shared" ca="1" si="201"/>
        <v>#DIV/0!</v>
      </c>
      <c r="F1214" t="e">
        <f t="shared" ca="1" si="202"/>
        <v>#DIV/0!</v>
      </c>
      <c r="G1214" t="e">
        <f t="shared" ca="1" si="203"/>
        <v>#DIV/0!</v>
      </c>
      <c r="H1214" t="e">
        <f t="shared" ca="1" si="204"/>
        <v>#DIV/0!</v>
      </c>
      <c r="I1214" t="e">
        <f t="shared" ca="1" si="205"/>
        <v>#DIV/0!</v>
      </c>
      <c r="K1214">
        <f t="shared" si="198"/>
        <v>1.0066397078006784</v>
      </c>
      <c r="L1214" s="7">
        <f t="shared" ca="1" si="199"/>
        <v>1.0930814521726404</v>
      </c>
    </row>
    <row r="1215" spans="1:12" x14ac:dyDescent="0.45">
      <c r="A1215" s="1">
        <v>43475</v>
      </c>
      <c r="B1215">
        <v>22.998000000000001</v>
      </c>
      <c r="C1215">
        <f t="shared" si="197"/>
        <v>1.9021919738398816E-2</v>
      </c>
      <c r="D1215" t="e">
        <f t="shared" ca="1" si="200"/>
        <v>#DIV/0!</v>
      </c>
      <c r="E1215" t="e">
        <f t="shared" ca="1" si="201"/>
        <v>#DIV/0!</v>
      </c>
      <c r="F1215" t="e">
        <f t="shared" ca="1" si="202"/>
        <v>#DIV/0!</v>
      </c>
      <c r="G1215" t="e">
        <f t="shared" ca="1" si="203"/>
        <v>#DIV/0!</v>
      </c>
      <c r="H1215" t="e">
        <f t="shared" ca="1" si="204"/>
        <v>#DIV/0!</v>
      </c>
      <c r="I1215" t="e">
        <f t="shared" ca="1" si="205"/>
        <v>#DIV/0!</v>
      </c>
      <c r="K1215">
        <f t="shared" si="198"/>
        <v>1.0190219197383987</v>
      </c>
      <c r="L1215" s="7">
        <f t="shared" ca="1" si="199"/>
        <v>1.1485217738713545</v>
      </c>
    </row>
    <row r="1216" spans="1:12" x14ac:dyDescent="0.45">
      <c r="A1216" s="1">
        <v>43474</v>
      </c>
      <c r="B1216">
        <v>22.5687</v>
      </c>
      <c r="C1216">
        <f t="shared" si="197"/>
        <v>9.4826159495810993E-3</v>
      </c>
      <c r="D1216" t="e">
        <f t="shared" ca="1" si="200"/>
        <v>#DIV/0!</v>
      </c>
      <c r="E1216" t="e">
        <f t="shared" ca="1" si="201"/>
        <v>#DIV/0!</v>
      </c>
      <c r="F1216" t="e">
        <f t="shared" ca="1" si="202"/>
        <v>#DIV/0!</v>
      </c>
      <c r="G1216" t="e">
        <f t="shared" ca="1" si="203"/>
        <v>#DIV/0!</v>
      </c>
      <c r="H1216" t="e">
        <f t="shared" ca="1" si="204"/>
        <v>#DIV/0!</v>
      </c>
      <c r="I1216" t="e">
        <f t="shared" ca="1" si="205"/>
        <v>#DIV/0!</v>
      </c>
      <c r="K1216">
        <f t="shared" si="198"/>
        <v>1.0094826159495811</v>
      </c>
      <c r="L1216" s="7">
        <f t="shared" ca="1" si="199"/>
        <v>1.0916095517710052</v>
      </c>
    </row>
    <row r="1217" spans="1:12" x14ac:dyDescent="0.45">
      <c r="A1217" s="1">
        <v>43473</v>
      </c>
      <c r="B1217">
        <v>22.3567</v>
      </c>
      <c r="C1217">
        <f t="shared" si="197"/>
        <v>1.16431638954443E-3</v>
      </c>
      <c r="D1217" t="e">
        <f t="shared" ca="1" si="200"/>
        <v>#DIV/0!</v>
      </c>
      <c r="E1217" t="e">
        <f t="shared" ca="1" si="201"/>
        <v>#DIV/0!</v>
      </c>
      <c r="F1217" t="e">
        <f t="shared" ca="1" si="202"/>
        <v>#DIV/0!</v>
      </c>
      <c r="G1217" t="e">
        <f t="shared" ca="1" si="203"/>
        <v>#DIV/0!</v>
      </c>
      <c r="H1217" t="e">
        <f t="shared" ca="1" si="204"/>
        <v>#DIV/0!</v>
      </c>
      <c r="I1217" t="e">
        <f t="shared" ca="1" si="205"/>
        <v>#DIV/0!</v>
      </c>
      <c r="K1217">
        <f t="shared" si="198"/>
        <v>1.0011643163895445</v>
      </c>
      <c r="L1217" s="7">
        <f t="shared" ca="1" si="199"/>
        <v>1.0076622481035939</v>
      </c>
    </row>
    <row r="1218" spans="1:12" x14ac:dyDescent="0.45">
      <c r="A1218" s="1">
        <v>43472</v>
      </c>
      <c r="B1218">
        <v>22.3307</v>
      </c>
      <c r="C1218">
        <f t="shared" si="197"/>
        <v>5.4364402978379779E-2</v>
      </c>
      <c r="D1218" t="e">
        <f t="shared" ca="1" si="200"/>
        <v>#DIV/0!</v>
      </c>
      <c r="E1218" t="e">
        <f t="shared" ca="1" si="201"/>
        <v>#DIV/0!</v>
      </c>
      <c r="F1218" t="e">
        <f t="shared" ca="1" si="202"/>
        <v>#DIV/0!</v>
      </c>
      <c r="G1218" t="e">
        <f t="shared" ca="1" si="203"/>
        <v>#DIV/0!</v>
      </c>
      <c r="H1218" t="e">
        <f t="shared" ca="1" si="204"/>
        <v>#DIV/0!</v>
      </c>
      <c r="I1218" t="e">
        <f t="shared" ca="1" si="205"/>
        <v>#DIV/0!</v>
      </c>
      <c r="K1218">
        <f t="shared" si="198"/>
        <v>1.0543644029783799</v>
      </c>
      <c r="L1218" s="7">
        <f t="shared" ca="1" si="199"/>
        <v>1.0032662413514244</v>
      </c>
    </row>
    <row r="1219" spans="1:12" x14ac:dyDescent="0.45">
      <c r="A1219" s="1">
        <v>43469</v>
      </c>
      <c r="B1219">
        <v>21.179300000000001</v>
      </c>
      <c r="C1219">
        <f t="shared" ref="C1219:C1255" si="206">(B1219-B1220)/B1220</f>
        <v>5.7695765081901738E-2</v>
      </c>
      <c r="D1219" t="e">
        <f t="shared" ca="1" si="200"/>
        <v>#DIV/0!</v>
      </c>
      <c r="E1219" t="e">
        <f t="shared" ca="1" si="201"/>
        <v>#DIV/0!</v>
      </c>
      <c r="F1219" t="e">
        <f t="shared" ca="1" si="202"/>
        <v>#DIV/0!</v>
      </c>
      <c r="G1219" t="e">
        <f t="shared" ca="1" si="203"/>
        <v>#DIV/0!</v>
      </c>
      <c r="H1219" t="e">
        <f t="shared" ca="1" si="204"/>
        <v>#DIV/0!</v>
      </c>
      <c r="I1219" t="e">
        <f t="shared" ca="1" si="205"/>
        <v>#DIV/0!</v>
      </c>
      <c r="K1219">
        <f t="shared" ref="K1219:K1282" si="207">C1219+1</f>
        <v>1.0576957650819017</v>
      </c>
      <c r="L1219" s="7">
        <f t="shared" ref="L1219:L1282" ca="1" si="208">PRODUCT(OFFSET(K1219,0,0,$J$6,1))</f>
        <v>1.004934686576229</v>
      </c>
    </row>
    <row r="1220" spans="1:12" x14ac:dyDescent="0.45">
      <c r="A1220" s="1">
        <v>43468</v>
      </c>
      <c r="B1220">
        <v>20.024000000000001</v>
      </c>
      <c r="C1220">
        <f t="shared" si="206"/>
        <v>-3.1473249914146295E-2</v>
      </c>
      <c r="D1220" t="e">
        <f t="shared" ref="D1220:D1255" ca="1" si="209">AVERAGE(OFFSET(C1220,0,0,$J$3,1))</f>
        <v>#DIV/0!</v>
      </c>
      <c r="E1220" t="e">
        <f t="shared" ref="E1220:E1255" ca="1" si="210">STDEV(OFFSET(C1220,0,0,$J$3,1))</f>
        <v>#DIV/0!</v>
      </c>
      <c r="F1220" t="e">
        <f t="shared" ref="F1220:F1255" ca="1" si="211">SKEW(OFFSET(C1220,0,0,$J$3,1))</f>
        <v>#DIV/0!</v>
      </c>
      <c r="G1220" t="e">
        <f t="shared" ref="G1220:G1255" ca="1" si="212">KURT(OFFSET(C1220,0,0,$J$3,1))</f>
        <v>#DIV/0!</v>
      </c>
      <c r="H1220" t="e">
        <f t="shared" ref="H1220:H1255" ca="1" si="213">PERCENTILE(OFFSET(C1220,0,0,$J$3,1), 0.95)/ABS(PERCENTILE(OFFSET(C1220,0,0,$J$3,1), 0.05))</f>
        <v>#DIV/0!</v>
      </c>
      <c r="I1220" t="e">
        <f t="shared" ref="I1220:I1255" ca="1" si="214">PERCENTILE(OFFSET(C1220,0,0,$J$3,1), 0.75)/ABS(PERCENTILE(OFFSET(C1220,0,0,$J$3,1), 0.25))</f>
        <v>#DIV/0!</v>
      </c>
      <c r="K1220">
        <f t="shared" si="207"/>
        <v>0.96852675008585365</v>
      </c>
      <c r="L1220" s="7">
        <f t="shared" ca="1" si="208"/>
        <v>0.92109681544483957</v>
      </c>
    </row>
    <row r="1221" spans="1:12" x14ac:dyDescent="0.45">
      <c r="A1221" s="1">
        <v>43467</v>
      </c>
      <c r="B1221">
        <v>20.674700000000001</v>
      </c>
      <c r="C1221">
        <f t="shared" si="206"/>
        <v>-6.8148936074314659E-2</v>
      </c>
      <c r="D1221" t="e">
        <f t="shared" ca="1" si="209"/>
        <v>#DIV/0!</v>
      </c>
      <c r="E1221" t="e">
        <f t="shared" ca="1" si="210"/>
        <v>#DIV/0!</v>
      </c>
      <c r="F1221" t="e">
        <f t="shared" ca="1" si="211"/>
        <v>#DIV/0!</v>
      </c>
      <c r="G1221" t="e">
        <f t="shared" ca="1" si="212"/>
        <v>#DIV/0!</v>
      </c>
      <c r="H1221" t="e">
        <f t="shared" ca="1" si="213"/>
        <v>#DIV/0!</v>
      </c>
      <c r="I1221" t="e">
        <f t="shared" ca="1" si="214"/>
        <v>#DIV/0!</v>
      </c>
      <c r="K1221">
        <f t="shared" si="207"/>
        <v>0.9318510639256854</v>
      </c>
      <c r="L1221" s="7">
        <f t="shared" ca="1" si="208"/>
        <v>1.0498661940719152</v>
      </c>
    </row>
    <row r="1222" spans="1:12" x14ac:dyDescent="0.45">
      <c r="A1222" s="1">
        <v>43465</v>
      </c>
      <c r="B1222">
        <v>22.186699999999998</v>
      </c>
      <c r="C1222">
        <f t="shared" si="206"/>
        <v>-3.2033426183844375E-3</v>
      </c>
      <c r="D1222" t="e">
        <f t="shared" ca="1" si="209"/>
        <v>#DIV/0!</v>
      </c>
      <c r="E1222" t="e">
        <f t="shared" ca="1" si="210"/>
        <v>#DIV/0!</v>
      </c>
      <c r="F1222" t="e">
        <f t="shared" ca="1" si="211"/>
        <v>#DIV/0!</v>
      </c>
      <c r="G1222" t="e">
        <f t="shared" ca="1" si="212"/>
        <v>#DIV/0!</v>
      </c>
      <c r="H1222" t="e">
        <f t="shared" ca="1" si="213"/>
        <v>#DIV/0!</v>
      </c>
      <c r="I1222" t="e">
        <f t="shared" ca="1" si="214"/>
        <v>#DIV/0!</v>
      </c>
      <c r="K1222">
        <f t="shared" si="207"/>
        <v>0.9967966573816156</v>
      </c>
      <c r="L1222" s="7">
        <f t="shared" ca="1" si="208"/>
        <v>1.040749601275917</v>
      </c>
    </row>
    <row r="1223" spans="1:12" x14ac:dyDescent="0.45">
      <c r="A1223" s="1">
        <v>43462</v>
      </c>
      <c r="B1223">
        <v>22.257999999999999</v>
      </c>
      <c r="C1223">
        <f t="shared" si="206"/>
        <v>5.6117825131789374E-2</v>
      </c>
      <c r="D1223" t="e">
        <f t="shared" ca="1" si="209"/>
        <v>#DIV/0!</v>
      </c>
      <c r="E1223" t="e">
        <f t="shared" ca="1" si="210"/>
        <v>#DIV/0!</v>
      </c>
      <c r="F1223" t="e">
        <f t="shared" ca="1" si="211"/>
        <v>#DIV/0!</v>
      </c>
      <c r="G1223" t="e">
        <f t="shared" ca="1" si="212"/>
        <v>#DIV/0!</v>
      </c>
      <c r="H1223" t="e">
        <f t="shared" ca="1" si="213"/>
        <v>#DIV/0!</v>
      </c>
      <c r="I1223" t="e">
        <f t="shared" ca="1" si="214"/>
        <v>#DIV/0!</v>
      </c>
      <c r="K1223">
        <f t="shared" si="207"/>
        <v>1.0561178251317893</v>
      </c>
      <c r="L1223" s="7">
        <f t="shared" ca="1" si="208"/>
        <v>1.0586293655738563</v>
      </c>
    </row>
    <row r="1224" spans="1:12" x14ac:dyDescent="0.45">
      <c r="A1224" s="1">
        <v>43461</v>
      </c>
      <c r="B1224">
        <v>21.075299999999999</v>
      </c>
      <c r="C1224">
        <f t="shared" si="206"/>
        <v>-3.0543761758658351E-2</v>
      </c>
      <c r="D1224" t="e">
        <f t="shared" ca="1" si="209"/>
        <v>#DIV/0!</v>
      </c>
      <c r="E1224" t="e">
        <f t="shared" ca="1" si="210"/>
        <v>#DIV/0!</v>
      </c>
      <c r="F1224" t="e">
        <f t="shared" ca="1" si="211"/>
        <v>#DIV/0!</v>
      </c>
      <c r="G1224" t="e">
        <f t="shared" ca="1" si="212"/>
        <v>#DIV/0!</v>
      </c>
      <c r="H1224" t="e">
        <f t="shared" ca="1" si="213"/>
        <v>#DIV/0!</v>
      </c>
      <c r="I1224" t="e">
        <f t="shared" ca="1" si="214"/>
        <v>#DIV/0!</v>
      </c>
      <c r="K1224">
        <f t="shared" si="207"/>
        <v>0.96945623824134164</v>
      </c>
      <c r="L1224" s="7">
        <f t="shared" ca="1" si="208"/>
        <v>0.94942337147490752</v>
      </c>
    </row>
    <row r="1225" spans="1:12" x14ac:dyDescent="0.45">
      <c r="A1225" s="1">
        <v>43460</v>
      </c>
      <c r="B1225">
        <v>21.7393</v>
      </c>
      <c r="C1225">
        <f t="shared" si="206"/>
        <v>0.10392683583256748</v>
      </c>
      <c r="D1225" t="e">
        <f t="shared" ca="1" si="209"/>
        <v>#DIV/0!</v>
      </c>
      <c r="E1225" t="e">
        <f t="shared" ca="1" si="210"/>
        <v>#DIV/0!</v>
      </c>
      <c r="F1225" t="e">
        <f t="shared" ca="1" si="211"/>
        <v>#DIV/0!</v>
      </c>
      <c r="G1225" t="e">
        <f t="shared" ca="1" si="212"/>
        <v>#DIV/0!</v>
      </c>
      <c r="H1225" t="e">
        <f t="shared" ca="1" si="213"/>
        <v>#DIV/0!</v>
      </c>
      <c r="I1225" t="e">
        <f t="shared" ca="1" si="214"/>
        <v>#DIV/0!</v>
      </c>
      <c r="K1225">
        <f t="shared" si="207"/>
        <v>1.1039268358325676</v>
      </c>
      <c r="L1225" s="7">
        <f t="shared" ca="1" si="208"/>
        <v>0.96753706266940243</v>
      </c>
    </row>
    <row r="1226" spans="1:12" x14ac:dyDescent="0.45">
      <c r="A1226" s="1">
        <v>43458</v>
      </c>
      <c r="B1226">
        <v>19.692699999999999</v>
      </c>
      <c r="C1226">
        <f t="shared" si="206"/>
        <v>-7.6240735528661355E-2</v>
      </c>
      <c r="D1226" t="e">
        <f t="shared" ca="1" si="209"/>
        <v>#DIV/0!</v>
      </c>
      <c r="E1226" t="e">
        <f t="shared" ca="1" si="210"/>
        <v>#DIV/0!</v>
      </c>
      <c r="F1226" t="e">
        <f t="shared" ca="1" si="211"/>
        <v>#DIV/0!</v>
      </c>
      <c r="G1226" t="e">
        <f t="shared" ca="1" si="212"/>
        <v>#DIV/0!</v>
      </c>
      <c r="H1226" t="e">
        <f t="shared" ca="1" si="213"/>
        <v>#DIV/0!</v>
      </c>
      <c r="I1226" t="e">
        <f t="shared" ca="1" si="214"/>
        <v>#DIV/0!</v>
      </c>
      <c r="K1226">
        <f t="shared" si="207"/>
        <v>0.9237592644713386</v>
      </c>
      <c r="L1226" s="7">
        <f t="shared" ca="1" si="208"/>
        <v>0.84780006888238313</v>
      </c>
    </row>
    <row r="1227" spans="1:12" x14ac:dyDescent="0.45">
      <c r="A1227" s="1">
        <v>43455</v>
      </c>
      <c r="B1227">
        <v>21.318000000000001</v>
      </c>
      <c r="C1227">
        <f t="shared" si="206"/>
        <v>1.3921323358049586E-2</v>
      </c>
      <c r="D1227" t="e">
        <f t="shared" ca="1" si="209"/>
        <v>#DIV/0!</v>
      </c>
      <c r="E1227" t="e">
        <f t="shared" ca="1" si="210"/>
        <v>#DIV/0!</v>
      </c>
      <c r="F1227" t="e">
        <f t="shared" ca="1" si="211"/>
        <v>#DIV/0!</v>
      </c>
      <c r="G1227" t="e">
        <f t="shared" ca="1" si="212"/>
        <v>#DIV/0!</v>
      </c>
      <c r="H1227" t="e">
        <f t="shared" ca="1" si="213"/>
        <v>#DIV/0!</v>
      </c>
      <c r="I1227" t="e">
        <f t="shared" ca="1" si="214"/>
        <v>#DIV/0!</v>
      </c>
      <c r="K1227">
        <f t="shared" si="207"/>
        <v>1.0139213233580495</v>
      </c>
      <c r="L1227" s="7">
        <f t="shared" ca="1" si="208"/>
        <v>0.87438014495071914</v>
      </c>
    </row>
    <row r="1228" spans="1:12" x14ac:dyDescent="0.45">
      <c r="A1228" s="1">
        <v>43454</v>
      </c>
      <c r="B1228">
        <v>21.025300000000001</v>
      </c>
      <c r="C1228">
        <f t="shared" si="206"/>
        <v>-5.2829083701234299E-2</v>
      </c>
      <c r="D1228" t="e">
        <f t="shared" ca="1" si="209"/>
        <v>#DIV/0!</v>
      </c>
      <c r="E1228" t="e">
        <f t="shared" ca="1" si="210"/>
        <v>#DIV/0!</v>
      </c>
      <c r="F1228" t="e">
        <f t="shared" ca="1" si="211"/>
        <v>#DIV/0!</v>
      </c>
      <c r="G1228" t="e">
        <f t="shared" ca="1" si="212"/>
        <v>#DIV/0!</v>
      </c>
      <c r="H1228" t="e">
        <f t="shared" ca="1" si="213"/>
        <v>#DIV/0!</v>
      </c>
      <c r="I1228" t="e">
        <f t="shared" ca="1" si="214"/>
        <v>#DIV/0!</v>
      </c>
      <c r="K1228">
        <f t="shared" si="207"/>
        <v>0.94717091629876571</v>
      </c>
      <c r="L1228" s="7">
        <f t="shared" ca="1" si="208"/>
        <v>0.83701775129084011</v>
      </c>
    </row>
    <row r="1229" spans="1:12" x14ac:dyDescent="0.45">
      <c r="A1229" s="1">
        <v>43453</v>
      </c>
      <c r="B1229">
        <v>22.198</v>
      </c>
      <c r="C1229">
        <f t="shared" si="206"/>
        <v>-1.2047871038377742E-2</v>
      </c>
      <c r="D1229" t="e">
        <f t="shared" ca="1" si="209"/>
        <v>#DIV/0!</v>
      </c>
      <c r="E1229" t="e">
        <f t="shared" ca="1" si="210"/>
        <v>#DIV/0!</v>
      </c>
      <c r="F1229" t="e">
        <f t="shared" ca="1" si="211"/>
        <v>#DIV/0!</v>
      </c>
      <c r="G1229" t="e">
        <f t="shared" ca="1" si="212"/>
        <v>#DIV/0!</v>
      </c>
      <c r="H1229" t="e">
        <f t="shared" ca="1" si="213"/>
        <v>#DIV/0!</v>
      </c>
      <c r="I1229" t="e">
        <f t="shared" ca="1" si="214"/>
        <v>#DIV/0!</v>
      </c>
      <c r="K1229">
        <f t="shared" si="207"/>
        <v>0.98795212896162221</v>
      </c>
      <c r="L1229" s="7">
        <f t="shared" ca="1" si="208"/>
        <v>0.90826513911620288</v>
      </c>
    </row>
    <row r="1230" spans="1:12" x14ac:dyDescent="0.45">
      <c r="A1230" s="1">
        <v>43452</v>
      </c>
      <c r="B1230">
        <v>22.468699999999998</v>
      </c>
      <c r="C1230">
        <f t="shared" si="206"/>
        <v>-3.2688996039263091E-2</v>
      </c>
      <c r="D1230" t="e">
        <f t="shared" ca="1" si="209"/>
        <v>#DIV/0!</v>
      </c>
      <c r="E1230" t="e">
        <f t="shared" ca="1" si="210"/>
        <v>#DIV/0!</v>
      </c>
      <c r="F1230" t="e">
        <f t="shared" ca="1" si="211"/>
        <v>#DIV/0!</v>
      </c>
      <c r="G1230" t="e">
        <f t="shared" ca="1" si="212"/>
        <v>#DIV/0!</v>
      </c>
      <c r="H1230" t="e">
        <f t="shared" ca="1" si="213"/>
        <v>#DIV/0!</v>
      </c>
      <c r="I1230" t="e">
        <f t="shared" ca="1" si="214"/>
        <v>#DIV/0!</v>
      </c>
      <c r="K1230">
        <f t="shared" si="207"/>
        <v>0.96731100396073688</v>
      </c>
      <c r="L1230" s="7">
        <f t="shared" ca="1" si="208"/>
        <v>0.91893892608391559</v>
      </c>
    </row>
    <row r="1231" spans="1:12" x14ac:dyDescent="0.45">
      <c r="A1231" s="1">
        <v>43451</v>
      </c>
      <c r="B1231">
        <v>23.228000000000002</v>
      </c>
      <c r="C1231">
        <f t="shared" si="206"/>
        <v>-4.727920035109736E-2</v>
      </c>
      <c r="D1231" t="e">
        <f t="shared" ca="1" si="209"/>
        <v>#DIV/0!</v>
      </c>
      <c r="E1231" t="e">
        <f t="shared" ca="1" si="210"/>
        <v>#DIV/0!</v>
      </c>
      <c r="F1231" t="e">
        <f t="shared" ca="1" si="211"/>
        <v>#DIV/0!</v>
      </c>
      <c r="G1231" t="e">
        <f t="shared" ca="1" si="212"/>
        <v>#DIV/0!</v>
      </c>
      <c r="H1231" t="e">
        <f t="shared" ca="1" si="213"/>
        <v>#DIV/0!</v>
      </c>
      <c r="I1231" t="e">
        <f t="shared" ca="1" si="214"/>
        <v>#DIV/0!</v>
      </c>
      <c r="K1231">
        <f t="shared" si="207"/>
        <v>0.95272079964890266</v>
      </c>
      <c r="L1231" s="7">
        <f t="shared" ca="1" si="208"/>
        <v>0.95418451894361078</v>
      </c>
    </row>
    <row r="1232" spans="1:12" x14ac:dyDescent="0.45">
      <c r="A1232" s="1">
        <v>43448</v>
      </c>
      <c r="B1232">
        <v>24.380700000000001</v>
      </c>
      <c r="C1232">
        <f t="shared" si="206"/>
        <v>-2.9403685612258229E-2</v>
      </c>
      <c r="D1232" t="e">
        <f t="shared" ca="1" si="209"/>
        <v>#DIV/0!</v>
      </c>
      <c r="E1232" t="e">
        <f t="shared" ca="1" si="210"/>
        <v>#DIV/0!</v>
      </c>
      <c r="F1232" t="e">
        <f t="shared" ca="1" si="211"/>
        <v>#DIV/0!</v>
      </c>
      <c r="G1232" t="e">
        <f t="shared" ca="1" si="212"/>
        <v>#DIV/0!</v>
      </c>
      <c r="H1232" t="e">
        <f t="shared" ca="1" si="213"/>
        <v>#DIV/0!</v>
      </c>
      <c r="I1232" t="e">
        <f t="shared" ca="1" si="214"/>
        <v>#DIV/0!</v>
      </c>
      <c r="K1232">
        <f t="shared" si="207"/>
        <v>0.97059631438774174</v>
      </c>
      <c r="L1232" s="7">
        <f t="shared" ca="1" si="208"/>
        <v>1.0216390172768528</v>
      </c>
    </row>
    <row r="1233" spans="1:12" x14ac:dyDescent="0.45">
      <c r="A1233" s="1">
        <v>43447</v>
      </c>
      <c r="B1233">
        <v>25.119299999999999</v>
      </c>
      <c r="C1233">
        <f t="shared" si="206"/>
        <v>2.7794599018003182E-2</v>
      </c>
      <c r="D1233" t="e">
        <f t="shared" ca="1" si="209"/>
        <v>#DIV/0!</v>
      </c>
      <c r="E1233" t="e">
        <f t="shared" ca="1" si="210"/>
        <v>#DIV/0!</v>
      </c>
      <c r="F1233" t="e">
        <f t="shared" ca="1" si="211"/>
        <v>#DIV/0!</v>
      </c>
      <c r="G1233" t="e">
        <f t="shared" ca="1" si="212"/>
        <v>#DIV/0!</v>
      </c>
      <c r="H1233" t="e">
        <f t="shared" ca="1" si="213"/>
        <v>#DIV/0!</v>
      </c>
      <c r="I1233" t="e">
        <f t="shared" ca="1" si="214"/>
        <v>#DIV/0!</v>
      </c>
      <c r="K1233">
        <f t="shared" si="207"/>
        <v>1.0277945990180031</v>
      </c>
      <c r="L1233" s="7">
        <f t="shared" ca="1" si="208"/>
        <v>1.0378160634605849</v>
      </c>
    </row>
    <row r="1234" spans="1:12" x14ac:dyDescent="0.45">
      <c r="A1234" s="1">
        <v>43446</v>
      </c>
      <c r="B1234">
        <v>24.44</v>
      </c>
      <c r="C1234">
        <f t="shared" si="206"/>
        <v>-4.3761528299802999E-4</v>
      </c>
      <c r="D1234" t="e">
        <f t="shared" ca="1" si="209"/>
        <v>#DIV/0!</v>
      </c>
      <c r="E1234" t="e">
        <f t="shared" ca="1" si="210"/>
        <v>#DIV/0!</v>
      </c>
      <c r="F1234" t="e">
        <f t="shared" ca="1" si="211"/>
        <v>#DIV/0!</v>
      </c>
      <c r="G1234" t="e">
        <f t="shared" ca="1" si="212"/>
        <v>#DIV/0!</v>
      </c>
      <c r="H1234" t="e">
        <f t="shared" ca="1" si="213"/>
        <v>#DIV/0!</v>
      </c>
      <c r="I1234" t="e">
        <f t="shared" ca="1" si="214"/>
        <v>#DIV/0!</v>
      </c>
      <c r="K1234">
        <f t="shared" si="207"/>
        <v>0.99956238471700198</v>
      </c>
      <c r="L1234" s="7">
        <f t="shared" ca="1" si="208"/>
        <v>1.0191826522101748</v>
      </c>
    </row>
    <row r="1235" spans="1:12" x14ac:dyDescent="0.45">
      <c r="A1235" s="1">
        <v>43445</v>
      </c>
      <c r="B1235">
        <v>24.450700000000001</v>
      </c>
      <c r="C1235">
        <f t="shared" si="206"/>
        <v>4.4118915677004329E-3</v>
      </c>
      <c r="D1235" t="e">
        <f t="shared" ca="1" si="209"/>
        <v>#DIV/0!</v>
      </c>
      <c r="E1235" t="e">
        <f t="shared" ca="1" si="210"/>
        <v>#DIV/0!</v>
      </c>
      <c r="F1235" t="e">
        <f t="shared" ca="1" si="211"/>
        <v>#DIV/0!</v>
      </c>
      <c r="G1235" t="e">
        <f t="shared" ca="1" si="212"/>
        <v>#DIV/0!</v>
      </c>
      <c r="H1235" t="e">
        <f t="shared" ca="1" si="213"/>
        <v>#DIV/0!</v>
      </c>
      <c r="I1235" t="e">
        <f t="shared" ca="1" si="214"/>
        <v>#DIV/0!</v>
      </c>
      <c r="K1235">
        <f t="shared" si="207"/>
        <v>1.0044118915677005</v>
      </c>
      <c r="L1235" s="7">
        <f t="shared" ca="1" si="208"/>
        <v>1.0230718054503687</v>
      </c>
    </row>
    <row r="1236" spans="1:12" x14ac:dyDescent="0.45">
      <c r="A1236" s="1">
        <v>43444</v>
      </c>
      <c r="B1236">
        <v>24.343299999999999</v>
      </c>
      <c r="C1236">
        <f t="shared" si="206"/>
        <v>2.0071822764547848E-2</v>
      </c>
      <c r="D1236" t="e">
        <f t="shared" ca="1" si="209"/>
        <v>#DIV/0!</v>
      </c>
      <c r="E1236" t="e">
        <f t="shared" ca="1" si="210"/>
        <v>#DIV/0!</v>
      </c>
      <c r="F1236" t="e">
        <f t="shared" ca="1" si="211"/>
        <v>#DIV/0!</v>
      </c>
      <c r="G1236" t="e">
        <f t="shared" ca="1" si="212"/>
        <v>#DIV/0!</v>
      </c>
      <c r="H1236" t="e">
        <f t="shared" ca="1" si="213"/>
        <v>#DIV/0!</v>
      </c>
      <c r="I1236" t="e">
        <f t="shared" ca="1" si="214"/>
        <v>#DIV/0!</v>
      </c>
      <c r="K1236">
        <f t="shared" si="207"/>
        <v>1.0200718227645478</v>
      </c>
      <c r="L1236" s="7">
        <f t="shared" ca="1" si="208"/>
        <v>1.0418569417041508</v>
      </c>
    </row>
    <row r="1237" spans="1:12" x14ac:dyDescent="0.45">
      <c r="A1237" s="1">
        <v>43441</v>
      </c>
      <c r="B1237">
        <v>23.8643</v>
      </c>
      <c r="C1237">
        <f t="shared" si="206"/>
        <v>-1.4034870269376986E-2</v>
      </c>
      <c r="D1237" t="e">
        <f t="shared" ca="1" si="209"/>
        <v>#DIV/0!</v>
      </c>
      <c r="E1237" t="e">
        <f t="shared" ca="1" si="210"/>
        <v>#DIV/0!</v>
      </c>
      <c r="F1237" t="e">
        <f t="shared" ca="1" si="211"/>
        <v>#DIV/0!</v>
      </c>
      <c r="G1237" t="e">
        <f t="shared" ca="1" si="212"/>
        <v>#DIV/0!</v>
      </c>
      <c r="H1237" t="e">
        <f t="shared" ca="1" si="213"/>
        <v>#DIV/0!</v>
      </c>
      <c r="I1237" t="e">
        <f t="shared" ca="1" si="214"/>
        <v>#DIV/0!</v>
      </c>
      <c r="K1237">
        <f t="shared" si="207"/>
        <v>0.985965129730623</v>
      </c>
      <c r="L1237" s="7">
        <f t="shared" ca="1" si="208"/>
        <v>1.0492246545349024</v>
      </c>
    </row>
    <row r="1238" spans="1:12" x14ac:dyDescent="0.45">
      <c r="A1238" s="1">
        <v>43440</v>
      </c>
      <c r="B1238">
        <v>24.204000000000001</v>
      </c>
      <c r="C1238">
        <f t="shared" si="206"/>
        <v>9.3411175979983396E-3</v>
      </c>
      <c r="D1238" t="e">
        <f t="shared" ca="1" si="209"/>
        <v>#DIV/0!</v>
      </c>
      <c r="E1238" t="e">
        <f t="shared" ca="1" si="210"/>
        <v>#DIV/0!</v>
      </c>
      <c r="F1238" t="e">
        <f t="shared" ca="1" si="211"/>
        <v>#DIV/0!</v>
      </c>
      <c r="G1238" t="e">
        <f t="shared" ca="1" si="212"/>
        <v>#DIV/0!</v>
      </c>
      <c r="H1238" t="e">
        <f t="shared" ca="1" si="213"/>
        <v>#DIV/0!</v>
      </c>
      <c r="I1238" t="e">
        <f t="shared" ca="1" si="214"/>
        <v>#DIV/0!</v>
      </c>
      <c r="K1238">
        <f t="shared" si="207"/>
        <v>1.0093411175979983</v>
      </c>
      <c r="L1238" s="7">
        <f t="shared" ca="1" si="208"/>
        <v>1.0436672372829467</v>
      </c>
    </row>
    <row r="1239" spans="1:12" x14ac:dyDescent="0.45">
      <c r="A1239" s="1">
        <v>43438</v>
      </c>
      <c r="B1239">
        <v>23.98</v>
      </c>
      <c r="C1239">
        <f t="shared" si="206"/>
        <v>3.3766679358809763E-3</v>
      </c>
      <c r="D1239" t="e">
        <f t="shared" ca="1" si="209"/>
        <v>#DIV/0!</v>
      </c>
      <c r="E1239" t="e">
        <f t="shared" ca="1" si="210"/>
        <v>#DIV/0!</v>
      </c>
      <c r="F1239" t="e">
        <f t="shared" ca="1" si="211"/>
        <v>#DIV/0!</v>
      </c>
      <c r="G1239" t="e">
        <f t="shared" ca="1" si="212"/>
        <v>#DIV/0!</v>
      </c>
      <c r="H1239" t="e">
        <f t="shared" ca="1" si="213"/>
        <v>#DIV/0!</v>
      </c>
      <c r="I1239" t="e">
        <f t="shared" ca="1" si="214"/>
        <v>#DIV/0!</v>
      </c>
      <c r="K1239">
        <f t="shared" si="207"/>
        <v>1.0033766679358809</v>
      </c>
      <c r="L1239" s="7">
        <f t="shared" ca="1" si="208"/>
        <v>1.0458827634333565</v>
      </c>
    </row>
    <row r="1240" spans="1:12" x14ac:dyDescent="0.45">
      <c r="A1240" s="1">
        <v>43437</v>
      </c>
      <c r="B1240">
        <v>23.8993</v>
      </c>
      <c r="C1240">
        <f t="shared" si="206"/>
        <v>2.2854403752573214E-2</v>
      </c>
      <c r="D1240" t="e">
        <f t="shared" ca="1" si="209"/>
        <v>#DIV/0!</v>
      </c>
      <c r="E1240" t="e">
        <f t="shared" ca="1" si="210"/>
        <v>#DIV/0!</v>
      </c>
      <c r="F1240" t="e">
        <f t="shared" ca="1" si="211"/>
        <v>#DIV/0!</v>
      </c>
      <c r="G1240" t="e">
        <f t="shared" ca="1" si="212"/>
        <v>#DIV/0!</v>
      </c>
      <c r="H1240" t="e">
        <f t="shared" ca="1" si="213"/>
        <v>#DIV/0!</v>
      </c>
      <c r="I1240" t="e">
        <f t="shared" ca="1" si="214"/>
        <v>#DIV/0!</v>
      </c>
      <c r="K1240">
        <f t="shared" si="207"/>
        <v>1.0228544037525733</v>
      </c>
      <c r="L1240" s="7">
        <f t="shared" ca="1" si="208"/>
        <v>1.036095323561671</v>
      </c>
    </row>
    <row r="1241" spans="1:12" x14ac:dyDescent="0.45">
      <c r="A1241" s="1">
        <v>43434</v>
      </c>
      <c r="B1241">
        <v>23.365300000000001</v>
      </c>
      <c r="C1241">
        <f t="shared" si="206"/>
        <v>2.7285477495856157E-2</v>
      </c>
      <c r="D1241" t="e">
        <f t="shared" ca="1" si="209"/>
        <v>#DIV/0!</v>
      </c>
      <c r="E1241" t="e">
        <f t="shared" ca="1" si="210"/>
        <v>#DIV/0!</v>
      </c>
      <c r="F1241" t="e">
        <f t="shared" ca="1" si="211"/>
        <v>#DIV/0!</v>
      </c>
      <c r="G1241" t="e">
        <f t="shared" ca="1" si="212"/>
        <v>#DIV/0!</v>
      </c>
      <c r="H1241" t="e">
        <f t="shared" ca="1" si="213"/>
        <v>#DIV/0!</v>
      </c>
      <c r="I1241" t="e">
        <f t="shared" ca="1" si="214"/>
        <v>#DIV/0!</v>
      </c>
      <c r="K1241">
        <f t="shared" si="207"/>
        <v>1.0272854774958562</v>
      </c>
      <c r="L1241" s="7">
        <f t="shared" ca="1" si="208"/>
        <v>1.075651413313691</v>
      </c>
    </row>
    <row r="1242" spans="1:12" x14ac:dyDescent="0.45">
      <c r="A1242" s="1">
        <v>43433</v>
      </c>
      <c r="B1242">
        <v>22.744700000000002</v>
      </c>
      <c r="C1242">
        <f t="shared" si="206"/>
        <v>-1.9257221458046619E-2</v>
      </c>
      <c r="D1242" t="e">
        <f t="shared" ca="1" si="209"/>
        <v>#DIV/0!</v>
      </c>
      <c r="E1242" t="e">
        <f t="shared" ca="1" si="210"/>
        <v>#DIV/0!</v>
      </c>
      <c r="F1242" t="e">
        <f t="shared" ca="1" si="211"/>
        <v>#DIV/0!</v>
      </c>
      <c r="G1242" t="e">
        <f t="shared" ca="1" si="212"/>
        <v>#DIV/0!</v>
      </c>
      <c r="H1242" t="e">
        <f t="shared" ca="1" si="213"/>
        <v>#DIV/0!</v>
      </c>
      <c r="I1242" t="e">
        <f t="shared" ca="1" si="214"/>
        <v>#DIV/0!</v>
      </c>
      <c r="K1242">
        <f t="shared" si="207"/>
        <v>0.98074277854195335</v>
      </c>
      <c r="L1242" s="7">
        <f t="shared" ca="1" si="208"/>
        <v>1.0088130932316155</v>
      </c>
    </row>
    <row r="1243" spans="1:12" x14ac:dyDescent="0.45">
      <c r="A1243" s="1">
        <v>43432</v>
      </c>
      <c r="B1243">
        <v>23.191299999999998</v>
      </c>
      <c r="C1243">
        <f t="shared" si="206"/>
        <v>1.1483775296580487E-2</v>
      </c>
      <c r="D1243" t="e">
        <f t="shared" ca="1" si="209"/>
        <v>#DIV/0!</v>
      </c>
      <c r="E1243" t="e">
        <f t="shared" ca="1" si="210"/>
        <v>#DIV/0!</v>
      </c>
      <c r="F1243" t="e">
        <f t="shared" ca="1" si="211"/>
        <v>#DIV/0!</v>
      </c>
      <c r="G1243" t="e">
        <f t="shared" ca="1" si="212"/>
        <v>#DIV/0!</v>
      </c>
      <c r="H1243" t="e">
        <f t="shared" ca="1" si="213"/>
        <v>#DIV/0!</v>
      </c>
      <c r="I1243" t="e">
        <f t="shared" ca="1" si="214"/>
        <v>#DIV/0!</v>
      </c>
      <c r="K1243">
        <f t="shared" si="207"/>
        <v>1.0114837752965804</v>
      </c>
      <c r="L1243" s="7">
        <f t="shared" ca="1" si="208"/>
        <v>1.0010921177587844</v>
      </c>
    </row>
    <row r="1244" spans="1:12" x14ac:dyDescent="0.45">
      <c r="A1244" s="1">
        <v>43431</v>
      </c>
      <c r="B1244">
        <v>22.928000000000001</v>
      </c>
      <c r="C1244">
        <f t="shared" si="206"/>
        <v>-6.0129970910446683E-3</v>
      </c>
      <c r="D1244" t="e">
        <f t="shared" ca="1" si="209"/>
        <v>#DIV/0!</v>
      </c>
      <c r="E1244" t="e">
        <f t="shared" ca="1" si="210"/>
        <v>#DIV/0!</v>
      </c>
      <c r="F1244" t="e">
        <f t="shared" ca="1" si="211"/>
        <v>#DIV/0!</v>
      </c>
      <c r="G1244" t="e">
        <f t="shared" ca="1" si="212"/>
        <v>#DIV/0!</v>
      </c>
      <c r="H1244" t="e">
        <f t="shared" ca="1" si="213"/>
        <v>#DIV/0!</v>
      </c>
      <c r="I1244" t="e">
        <f t="shared" ca="1" si="214"/>
        <v>#DIV/0!</v>
      </c>
      <c r="K1244">
        <f t="shared" si="207"/>
        <v>0.99398700290895536</v>
      </c>
      <c r="L1244" s="7">
        <f t="shared" ca="1" si="208"/>
        <v>0.97298077208706246</v>
      </c>
    </row>
    <row r="1245" spans="1:12" x14ac:dyDescent="0.45">
      <c r="A1245" s="1">
        <v>43430</v>
      </c>
      <c r="B1245">
        <v>23.066700000000001</v>
      </c>
      <c r="C1245">
        <f t="shared" si="206"/>
        <v>6.1904981125126574E-2</v>
      </c>
      <c r="D1245" t="e">
        <f t="shared" ca="1" si="209"/>
        <v>#DIV/0!</v>
      </c>
      <c r="E1245" t="e">
        <f t="shared" ca="1" si="210"/>
        <v>#DIV/0!</v>
      </c>
      <c r="F1245" t="e">
        <f t="shared" ca="1" si="211"/>
        <v>#DIV/0!</v>
      </c>
      <c r="G1245" t="e">
        <f t="shared" ca="1" si="212"/>
        <v>#DIV/0!</v>
      </c>
      <c r="H1245" t="e">
        <f t="shared" ca="1" si="213"/>
        <v>#DIV/0!</v>
      </c>
      <c r="I1245" t="e">
        <f t="shared" ca="1" si="214"/>
        <v>#DIV/0!</v>
      </c>
      <c r="K1245">
        <f t="shared" si="207"/>
        <v>1.0619049811251267</v>
      </c>
      <c r="L1245" s="7">
        <f t="shared" ca="1" si="208"/>
        <v>0.97654599567328682</v>
      </c>
    </row>
    <row r="1246" spans="1:12" x14ac:dyDescent="0.45">
      <c r="A1246" s="1">
        <v>43427</v>
      </c>
      <c r="B1246">
        <v>21.722000000000001</v>
      </c>
      <c r="C1246">
        <f t="shared" si="206"/>
        <v>-3.654750288299468E-2</v>
      </c>
      <c r="D1246" t="e">
        <f t="shared" ca="1" si="209"/>
        <v>#DIV/0!</v>
      </c>
      <c r="E1246" t="e">
        <f t="shared" ca="1" si="210"/>
        <v>#DIV/0!</v>
      </c>
      <c r="F1246" t="e">
        <f t="shared" ca="1" si="211"/>
        <v>#DIV/0!</v>
      </c>
      <c r="G1246" t="e">
        <f t="shared" ca="1" si="212"/>
        <v>#DIV/0!</v>
      </c>
      <c r="H1246" t="e">
        <f t="shared" ca="1" si="213"/>
        <v>#DIV/0!</v>
      </c>
      <c r="I1246" t="e">
        <f t="shared" ca="1" si="214"/>
        <v>#DIV/0!</v>
      </c>
      <c r="K1246">
        <f t="shared" si="207"/>
        <v>0.96345249711700531</v>
      </c>
      <c r="L1246" s="7">
        <f t="shared" ca="1" si="208"/>
        <v>0.93511212132952781</v>
      </c>
    </row>
    <row r="1247" spans="1:12" x14ac:dyDescent="0.45">
      <c r="A1247" s="1">
        <v>43425</v>
      </c>
      <c r="B1247">
        <v>22.545999999999999</v>
      </c>
      <c r="C1247">
        <f t="shared" si="206"/>
        <v>-2.6763360096693473E-2</v>
      </c>
      <c r="D1247" t="e">
        <f t="shared" ca="1" si="209"/>
        <v>#DIV/0!</v>
      </c>
      <c r="E1247" t="e">
        <f t="shared" ca="1" si="210"/>
        <v>#DIV/0!</v>
      </c>
      <c r="F1247" t="e">
        <f t="shared" ca="1" si="211"/>
        <v>#DIV/0!</v>
      </c>
      <c r="G1247" t="e">
        <f t="shared" ca="1" si="212"/>
        <v>#DIV/0!</v>
      </c>
      <c r="H1247" t="e">
        <f t="shared" ca="1" si="213"/>
        <v>#DIV/0!</v>
      </c>
      <c r="I1247" t="e">
        <f t="shared" ca="1" si="214"/>
        <v>#DIV/0!</v>
      </c>
      <c r="K1247">
        <f t="shared" si="207"/>
        <v>0.97323663990330656</v>
      </c>
      <c r="L1247" s="7">
        <f t="shared" ca="1" si="208"/>
        <v>0.98311189405798549</v>
      </c>
    </row>
    <row r="1248" spans="1:12" x14ac:dyDescent="0.45">
      <c r="A1248" s="1">
        <v>43424</v>
      </c>
      <c r="B1248">
        <v>23.166</v>
      </c>
      <c r="C1248">
        <f t="shared" si="206"/>
        <v>-1.6919375167093072E-2</v>
      </c>
      <c r="D1248" t="e">
        <f t="shared" ca="1" si="209"/>
        <v>#DIV/0!</v>
      </c>
      <c r="E1248" t="e">
        <f t="shared" ca="1" si="210"/>
        <v>#DIV/0!</v>
      </c>
      <c r="F1248" t="e">
        <f t="shared" ca="1" si="211"/>
        <v>#DIV/0!</v>
      </c>
      <c r="G1248" t="e">
        <f t="shared" ca="1" si="212"/>
        <v>#DIV/0!</v>
      </c>
      <c r="H1248" t="e">
        <f t="shared" ca="1" si="213"/>
        <v>#DIV/0!</v>
      </c>
      <c r="I1248" t="e">
        <f t="shared" ca="1" si="214"/>
        <v>#DIV/0!</v>
      </c>
      <c r="K1248">
        <f t="shared" si="207"/>
        <v>0.98308062483290692</v>
      </c>
      <c r="L1248" s="7">
        <f t="shared" ca="1" si="208"/>
        <v>1.0258613054645294</v>
      </c>
    </row>
    <row r="1249" spans="1:12" x14ac:dyDescent="0.45">
      <c r="A1249" s="1">
        <v>43423</v>
      </c>
      <c r="B1249">
        <v>23.564699999999998</v>
      </c>
      <c r="C1249">
        <f t="shared" si="206"/>
        <v>-2.3708018814006756E-3</v>
      </c>
      <c r="D1249" t="e">
        <f t="shared" ca="1" si="209"/>
        <v>#DIV/0!</v>
      </c>
      <c r="E1249" t="e">
        <f t="shared" ca="1" si="210"/>
        <v>#DIV/0!</v>
      </c>
      <c r="F1249" t="e">
        <f t="shared" ca="1" si="211"/>
        <v>#DIV/0!</v>
      </c>
      <c r="G1249" t="e">
        <f t="shared" ca="1" si="212"/>
        <v>#DIV/0!</v>
      </c>
      <c r="H1249" t="e">
        <f t="shared" ca="1" si="213"/>
        <v>#DIV/0!</v>
      </c>
      <c r="I1249" t="e">
        <f t="shared" ca="1" si="214"/>
        <v>#DIV/0!</v>
      </c>
      <c r="K1249">
        <f t="shared" si="207"/>
        <v>0.99762919811859929</v>
      </c>
      <c r="L1249" s="7">
        <f t="shared" ca="1" si="208"/>
        <v>1.0669857325913614</v>
      </c>
    </row>
    <row r="1250" spans="1:12" x14ac:dyDescent="0.45">
      <c r="A1250" s="1">
        <v>43420</v>
      </c>
      <c r="B1250">
        <v>23.620699999999999</v>
      </c>
      <c r="C1250">
        <f t="shared" si="206"/>
        <v>1.6849410012355123E-2</v>
      </c>
      <c r="D1250" t="e">
        <f t="shared" ca="1" si="209"/>
        <v>#DIV/0!</v>
      </c>
      <c r="E1250" t="e">
        <f t="shared" ca="1" si="210"/>
        <v>#DIV/0!</v>
      </c>
      <c r="F1250" t="e">
        <f t="shared" ca="1" si="211"/>
        <v>#DIV/0!</v>
      </c>
      <c r="G1250" t="e">
        <f t="shared" ca="1" si="212"/>
        <v>#DIV/0!</v>
      </c>
      <c r="H1250" t="e">
        <f t="shared" ca="1" si="213"/>
        <v>#DIV/0!</v>
      </c>
      <c r="I1250" t="e">
        <f t="shared" ca="1" si="214"/>
        <v>#DIV/0!</v>
      </c>
      <c r="K1250">
        <f t="shared" si="207"/>
        <v>1.0168494100123551</v>
      </c>
      <c r="L1250" s="7">
        <f t="shared" ca="1" si="208"/>
        <v>1.0108442139228753</v>
      </c>
    </row>
    <row r="1251" spans="1:12" x14ac:dyDescent="0.45">
      <c r="A1251" s="1">
        <v>43419</v>
      </c>
      <c r="B1251">
        <v>23.229299999999999</v>
      </c>
      <c r="C1251">
        <f t="shared" si="206"/>
        <v>1.2906995504353903E-2</v>
      </c>
      <c r="D1251" t="e">
        <f t="shared" ca="1" si="209"/>
        <v>#DIV/0!</v>
      </c>
      <c r="E1251" t="e">
        <f t="shared" ca="1" si="210"/>
        <v>#DIV/0!</v>
      </c>
      <c r="F1251" t="e">
        <f t="shared" ca="1" si="211"/>
        <v>#DIV/0!</v>
      </c>
      <c r="G1251" t="e">
        <f t="shared" ca="1" si="212"/>
        <v>#DIV/0!</v>
      </c>
      <c r="H1251" t="e">
        <f t="shared" ca="1" si="213"/>
        <v>#DIV/0!</v>
      </c>
      <c r="I1251" t="e">
        <f t="shared" ca="1" si="214"/>
        <v>#DIV/0!</v>
      </c>
      <c r="K1251">
        <f t="shared" si="207"/>
        <v>1.0129069955043539</v>
      </c>
      <c r="L1251" s="7">
        <f t="shared" ca="1" si="208"/>
        <v>0.99409431128114922</v>
      </c>
    </row>
    <row r="1252" spans="1:12" x14ac:dyDescent="0.45">
      <c r="A1252" s="1">
        <v>43418</v>
      </c>
      <c r="B1252">
        <v>22.933299999999999</v>
      </c>
      <c r="C1252">
        <f t="shared" si="206"/>
        <v>1.5556638030289539E-2</v>
      </c>
      <c r="D1252" t="e">
        <f t="shared" ca="1" si="209"/>
        <v>#DIV/0!</v>
      </c>
      <c r="E1252" t="e">
        <f t="shared" ca="1" si="210"/>
        <v>#DIV/0!</v>
      </c>
      <c r="F1252" t="e">
        <f t="shared" ca="1" si="211"/>
        <v>#DIV/0!</v>
      </c>
      <c r="G1252" t="e">
        <f t="shared" ca="1" si="212"/>
        <v>#DIV/0!</v>
      </c>
      <c r="H1252" t="e">
        <f t="shared" ca="1" si="213"/>
        <v>#DIV/0!</v>
      </c>
      <c r="I1252" t="e">
        <f t="shared" ca="1" si="214"/>
        <v>#DIV/0!</v>
      </c>
      <c r="K1252">
        <f t="shared" si="207"/>
        <v>1.0155566380302896</v>
      </c>
      <c r="L1252" s="7">
        <f t="shared" ca="1" si="208"/>
        <v>0.98142703692767241</v>
      </c>
    </row>
    <row r="1253" spans="1:12" x14ac:dyDescent="0.45">
      <c r="A1253" s="1">
        <v>43417</v>
      </c>
      <c r="B1253">
        <v>22.582000000000001</v>
      </c>
      <c r="C1253">
        <f t="shared" si="206"/>
        <v>2.2490072582215345E-2</v>
      </c>
      <c r="D1253" t="e">
        <f t="shared" ca="1" si="209"/>
        <v>#DIV/0!</v>
      </c>
      <c r="E1253" t="e">
        <f t="shared" ca="1" si="210"/>
        <v>#DIV/0!</v>
      </c>
      <c r="F1253" t="e">
        <f t="shared" ca="1" si="211"/>
        <v>#DIV/0!</v>
      </c>
      <c r="G1253" t="e">
        <f t="shared" ca="1" si="212"/>
        <v>#DIV/0!</v>
      </c>
      <c r="H1253" t="e">
        <f t="shared" ca="1" si="213"/>
        <v>#DIV/0!</v>
      </c>
      <c r="I1253" t="e">
        <f t="shared" ca="1" si="214"/>
        <v>#DIV/0!</v>
      </c>
      <c r="K1253">
        <f t="shared" si="207"/>
        <v>1.0224900725822152</v>
      </c>
      <c r="L1253" s="7">
        <f t="shared" ca="1" si="208"/>
        <v>0.96639320760207625</v>
      </c>
    </row>
    <row r="1254" spans="1:12" x14ac:dyDescent="0.45">
      <c r="A1254" s="1">
        <v>43416</v>
      </c>
      <c r="B1254">
        <v>22.0853</v>
      </c>
      <c r="C1254">
        <f t="shared" si="206"/>
        <v>-5.4862992301207246E-2</v>
      </c>
      <c r="D1254" t="e">
        <f t="shared" ca="1" si="209"/>
        <v>#DIV/0!</v>
      </c>
      <c r="E1254" t="e">
        <f t="shared" ca="1" si="210"/>
        <v>#DIV/0!</v>
      </c>
      <c r="F1254" t="e">
        <f t="shared" ca="1" si="211"/>
        <v>#DIV/0!</v>
      </c>
      <c r="G1254" t="e">
        <f t="shared" ca="1" si="212"/>
        <v>#DIV/0!</v>
      </c>
      <c r="H1254" t="e">
        <f t="shared" ca="1" si="213"/>
        <v>#DIV/0!</v>
      </c>
      <c r="I1254" t="e">
        <f t="shared" ca="1" si="214"/>
        <v>#DIV/0!</v>
      </c>
      <c r="K1254">
        <f t="shared" si="207"/>
        <v>0.94513700769879272</v>
      </c>
      <c r="L1254" s="7">
        <f t="shared" ca="1" si="208"/>
        <v>0.94513700769879272</v>
      </c>
    </row>
    <row r="1255" spans="1:12" x14ac:dyDescent="0.45">
      <c r="A1255" s="1">
        <v>43413</v>
      </c>
      <c r="B1255">
        <v>23.3673</v>
      </c>
      <c r="C1255" t="e">
        <f t="shared" si="206"/>
        <v>#DIV/0!</v>
      </c>
      <c r="D1255" t="e">
        <f t="shared" ca="1" si="209"/>
        <v>#DIV/0!</v>
      </c>
      <c r="E1255" t="e">
        <f t="shared" ca="1" si="210"/>
        <v>#DIV/0!</v>
      </c>
      <c r="F1255" t="e">
        <f t="shared" ca="1" si="211"/>
        <v>#DIV/0!</v>
      </c>
      <c r="G1255" t="e">
        <f t="shared" ca="1" si="212"/>
        <v>#DIV/0!</v>
      </c>
      <c r="H1255" t="e">
        <f t="shared" ca="1" si="213"/>
        <v>#DIV/0!</v>
      </c>
      <c r="I1255" t="e">
        <f t="shared" ca="1" si="214"/>
        <v>#DIV/0!</v>
      </c>
      <c r="L1255" s="7">
        <f t="shared" ca="1" si="208"/>
        <v>1</v>
      </c>
    </row>
    <row r="1256" spans="1:12" x14ac:dyDescent="0.45">
      <c r="K1256">
        <f t="shared" si="207"/>
        <v>1</v>
      </c>
      <c r="L1256" s="7">
        <f t="shared" ca="1" si="208"/>
        <v>1</v>
      </c>
    </row>
    <row r="1257" spans="1:12" x14ac:dyDescent="0.45">
      <c r="K1257">
        <f t="shared" si="207"/>
        <v>1</v>
      </c>
      <c r="L1257" s="7">
        <f t="shared" ca="1" si="208"/>
        <v>1</v>
      </c>
    </row>
    <row r="1258" spans="1:12" x14ac:dyDescent="0.45">
      <c r="K1258">
        <f t="shared" si="207"/>
        <v>1</v>
      </c>
      <c r="L1258" s="7">
        <f t="shared" ca="1" si="208"/>
        <v>1</v>
      </c>
    </row>
    <row r="1259" spans="1:12" x14ac:dyDescent="0.45">
      <c r="K1259">
        <f t="shared" si="207"/>
        <v>1</v>
      </c>
      <c r="L1259" s="7">
        <f t="shared" ca="1" si="208"/>
        <v>1</v>
      </c>
    </row>
    <row r="1260" spans="1:12" x14ac:dyDescent="0.45">
      <c r="K1260">
        <f t="shared" si="207"/>
        <v>1</v>
      </c>
      <c r="L1260" s="7">
        <f t="shared" ca="1" si="208"/>
        <v>1</v>
      </c>
    </row>
    <row r="1261" spans="1:12" x14ac:dyDescent="0.45">
      <c r="K1261">
        <f t="shared" si="207"/>
        <v>1</v>
      </c>
      <c r="L1261" s="7">
        <f t="shared" ca="1" si="208"/>
        <v>1</v>
      </c>
    </row>
    <row r="1262" spans="1:12" x14ac:dyDescent="0.45">
      <c r="K1262">
        <f t="shared" si="207"/>
        <v>1</v>
      </c>
      <c r="L1262" s="7">
        <f t="shared" ca="1" si="208"/>
        <v>1</v>
      </c>
    </row>
    <row r="1263" spans="1:12" x14ac:dyDescent="0.45">
      <c r="K1263">
        <f t="shared" si="207"/>
        <v>1</v>
      </c>
      <c r="L1263" s="7">
        <f t="shared" ca="1" si="208"/>
        <v>1</v>
      </c>
    </row>
    <row r="1264" spans="1:12" x14ac:dyDescent="0.45">
      <c r="K1264">
        <f t="shared" si="207"/>
        <v>1</v>
      </c>
      <c r="L1264" s="7">
        <f t="shared" ca="1" si="208"/>
        <v>1</v>
      </c>
    </row>
    <row r="1265" spans="11:12" x14ac:dyDescent="0.45">
      <c r="K1265">
        <f t="shared" si="207"/>
        <v>1</v>
      </c>
      <c r="L1265" s="7">
        <f t="shared" ca="1" si="208"/>
        <v>1</v>
      </c>
    </row>
    <row r="1266" spans="11:12" x14ac:dyDescent="0.45">
      <c r="K1266">
        <f t="shared" si="207"/>
        <v>1</v>
      </c>
      <c r="L1266" s="7">
        <f t="shared" ca="1" si="208"/>
        <v>1</v>
      </c>
    </row>
    <row r="1267" spans="11:12" x14ac:dyDescent="0.45">
      <c r="K1267">
        <f t="shared" si="207"/>
        <v>1</v>
      </c>
      <c r="L1267" s="7">
        <f t="shared" ca="1" si="208"/>
        <v>1</v>
      </c>
    </row>
    <row r="1268" spans="11:12" x14ac:dyDescent="0.45">
      <c r="K1268">
        <f t="shared" si="207"/>
        <v>1</v>
      </c>
      <c r="L1268" s="7">
        <f t="shared" ca="1" si="208"/>
        <v>1</v>
      </c>
    </row>
    <row r="1269" spans="11:12" x14ac:dyDescent="0.45">
      <c r="K1269">
        <f t="shared" si="207"/>
        <v>1</v>
      </c>
      <c r="L1269" s="7">
        <f t="shared" ca="1" si="208"/>
        <v>1</v>
      </c>
    </row>
    <row r="1270" spans="11:12" x14ac:dyDescent="0.45">
      <c r="K1270">
        <f t="shared" si="207"/>
        <v>1</v>
      </c>
      <c r="L1270" s="7">
        <f t="shared" ca="1" si="208"/>
        <v>1</v>
      </c>
    </row>
    <row r="1271" spans="11:12" x14ac:dyDescent="0.45">
      <c r="K1271">
        <f t="shared" si="207"/>
        <v>1</v>
      </c>
      <c r="L1271" s="7">
        <f t="shared" ca="1" si="208"/>
        <v>1</v>
      </c>
    </row>
    <row r="1272" spans="11:12" x14ac:dyDescent="0.45">
      <c r="K1272">
        <f t="shared" si="207"/>
        <v>1</v>
      </c>
      <c r="L1272" s="7">
        <f t="shared" ca="1" si="208"/>
        <v>1</v>
      </c>
    </row>
    <row r="1273" spans="11:12" x14ac:dyDescent="0.45">
      <c r="K1273">
        <f t="shared" si="207"/>
        <v>1</v>
      </c>
      <c r="L1273" s="7">
        <f t="shared" ca="1" si="208"/>
        <v>1</v>
      </c>
    </row>
    <row r="1274" spans="11:12" x14ac:dyDescent="0.45">
      <c r="K1274">
        <f t="shared" si="207"/>
        <v>1</v>
      </c>
      <c r="L1274" s="7">
        <f t="shared" ca="1" si="208"/>
        <v>1</v>
      </c>
    </row>
    <row r="1275" spans="11:12" x14ac:dyDescent="0.45">
      <c r="K1275">
        <f t="shared" si="207"/>
        <v>1</v>
      </c>
      <c r="L1275" s="7">
        <f t="shared" ca="1" si="208"/>
        <v>1</v>
      </c>
    </row>
    <row r="1276" spans="11:12" x14ac:dyDescent="0.45">
      <c r="K1276">
        <f t="shared" si="207"/>
        <v>1</v>
      </c>
      <c r="L1276" s="7">
        <f t="shared" ca="1" si="208"/>
        <v>1</v>
      </c>
    </row>
    <row r="1277" spans="11:12" x14ac:dyDescent="0.45">
      <c r="K1277">
        <f t="shared" si="207"/>
        <v>1</v>
      </c>
      <c r="L1277" s="7">
        <f t="shared" ca="1" si="208"/>
        <v>1</v>
      </c>
    </row>
    <row r="1278" spans="11:12" x14ac:dyDescent="0.45">
      <c r="K1278">
        <f t="shared" si="207"/>
        <v>1</v>
      </c>
      <c r="L1278" s="7">
        <f t="shared" ca="1" si="208"/>
        <v>1</v>
      </c>
    </row>
    <row r="1279" spans="11:12" x14ac:dyDescent="0.45">
      <c r="K1279">
        <f t="shared" si="207"/>
        <v>1</v>
      </c>
      <c r="L1279" s="7">
        <f t="shared" ca="1" si="208"/>
        <v>1</v>
      </c>
    </row>
    <row r="1280" spans="11:12" x14ac:dyDescent="0.45">
      <c r="K1280">
        <f t="shared" si="207"/>
        <v>1</v>
      </c>
      <c r="L1280" s="7">
        <f t="shared" ca="1" si="208"/>
        <v>1</v>
      </c>
    </row>
    <row r="1281" spans="11:12" x14ac:dyDescent="0.45">
      <c r="K1281">
        <f t="shared" si="207"/>
        <v>1</v>
      </c>
      <c r="L1281" s="7">
        <f t="shared" ca="1" si="208"/>
        <v>1</v>
      </c>
    </row>
    <row r="1282" spans="11:12" x14ac:dyDescent="0.45">
      <c r="K1282">
        <f t="shared" si="207"/>
        <v>1</v>
      </c>
      <c r="L1282" s="7">
        <f t="shared" ca="1" si="208"/>
        <v>1</v>
      </c>
    </row>
    <row r="1283" spans="11:12" x14ac:dyDescent="0.45">
      <c r="K1283">
        <f t="shared" ref="K1283:K1346" si="215">C1283+1</f>
        <v>1</v>
      </c>
      <c r="L1283" s="7">
        <f t="shared" ref="L1283:L1340" ca="1" si="216">PRODUCT(OFFSET(K1283,0,0,$J$6,1))</f>
        <v>1</v>
      </c>
    </row>
    <row r="1284" spans="11:12" x14ac:dyDescent="0.45">
      <c r="K1284">
        <f t="shared" si="215"/>
        <v>1</v>
      </c>
      <c r="L1284" s="7">
        <f t="shared" ca="1" si="216"/>
        <v>1</v>
      </c>
    </row>
    <row r="1285" spans="11:12" x14ac:dyDescent="0.45">
      <c r="K1285">
        <f t="shared" si="215"/>
        <v>1</v>
      </c>
      <c r="L1285" s="7">
        <f t="shared" ca="1" si="216"/>
        <v>1</v>
      </c>
    </row>
    <row r="1286" spans="11:12" x14ac:dyDescent="0.45">
      <c r="K1286">
        <f t="shared" si="215"/>
        <v>1</v>
      </c>
      <c r="L1286" s="7">
        <f t="shared" ca="1" si="216"/>
        <v>1</v>
      </c>
    </row>
    <row r="1287" spans="11:12" x14ac:dyDescent="0.45">
      <c r="K1287">
        <f t="shared" si="215"/>
        <v>1</v>
      </c>
      <c r="L1287" s="7">
        <f t="shared" ca="1" si="216"/>
        <v>1</v>
      </c>
    </row>
    <row r="1288" spans="11:12" x14ac:dyDescent="0.45">
      <c r="K1288">
        <f t="shared" si="215"/>
        <v>1</v>
      </c>
      <c r="L1288" s="7">
        <f t="shared" ca="1" si="216"/>
        <v>1</v>
      </c>
    </row>
    <row r="1289" spans="11:12" x14ac:dyDescent="0.45">
      <c r="K1289">
        <f t="shared" si="215"/>
        <v>1</v>
      </c>
      <c r="L1289" s="7">
        <f t="shared" ca="1" si="216"/>
        <v>1</v>
      </c>
    </row>
    <row r="1290" spans="11:12" x14ac:dyDescent="0.45">
      <c r="K1290">
        <f t="shared" si="215"/>
        <v>1</v>
      </c>
      <c r="L1290" s="7">
        <f t="shared" ca="1" si="216"/>
        <v>1</v>
      </c>
    </row>
    <row r="1291" spans="11:12" x14ac:dyDescent="0.45">
      <c r="K1291">
        <f t="shared" si="215"/>
        <v>1</v>
      </c>
      <c r="L1291" s="7">
        <f t="shared" ca="1" si="216"/>
        <v>1</v>
      </c>
    </row>
    <row r="1292" spans="11:12" x14ac:dyDescent="0.45">
      <c r="K1292">
        <f t="shared" si="215"/>
        <v>1</v>
      </c>
      <c r="L1292" s="7">
        <f t="shared" ca="1" si="216"/>
        <v>1</v>
      </c>
    </row>
    <row r="1293" spans="11:12" x14ac:dyDescent="0.45">
      <c r="K1293">
        <f t="shared" si="215"/>
        <v>1</v>
      </c>
      <c r="L1293" s="7">
        <f t="shared" ca="1" si="216"/>
        <v>1</v>
      </c>
    </row>
    <row r="1294" spans="11:12" x14ac:dyDescent="0.45">
      <c r="K1294">
        <f t="shared" si="215"/>
        <v>1</v>
      </c>
      <c r="L1294" s="7">
        <f t="shared" ca="1" si="216"/>
        <v>1</v>
      </c>
    </row>
    <row r="1295" spans="11:12" x14ac:dyDescent="0.45">
      <c r="K1295">
        <f t="shared" si="215"/>
        <v>1</v>
      </c>
      <c r="L1295" s="7">
        <f t="shared" ca="1" si="216"/>
        <v>1</v>
      </c>
    </row>
    <row r="1296" spans="11:12" x14ac:dyDescent="0.45">
      <c r="K1296">
        <f t="shared" si="215"/>
        <v>1</v>
      </c>
      <c r="L1296" s="7">
        <f t="shared" ca="1" si="216"/>
        <v>1</v>
      </c>
    </row>
    <row r="1297" spans="11:12" x14ac:dyDescent="0.45">
      <c r="K1297">
        <f t="shared" si="215"/>
        <v>1</v>
      </c>
      <c r="L1297" s="7">
        <f t="shared" ca="1" si="216"/>
        <v>1</v>
      </c>
    </row>
    <row r="1298" spans="11:12" x14ac:dyDescent="0.45">
      <c r="K1298">
        <f t="shared" si="215"/>
        <v>1</v>
      </c>
      <c r="L1298" s="7">
        <f t="shared" ca="1" si="216"/>
        <v>1</v>
      </c>
    </row>
    <row r="1299" spans="11:12" x14ac:dyDescent="0.45">
      <c r="K1299">
        <f t="shared" si="215"/>
        <v>1</v>
      </c>
      <c r="L1299" s="7">
        <f t="shared" ca="1" si="216"/>
        <v>1</v>
      </c>
    </row>
    <row r="1300" spans="11:12" x14ac:dyDescent="0.45">
      <c r="K1300">
        <f t="shared" si="215"/>
        <v>1</v>
      </c>
      <c r="L1300" s="7">
        <f t="shared" ca="1" si="216"/>
        <v>1</v>
      </c>
    </row>
    <row r="1301" spans="11:12" x14ac:dyDescent="0.45">
      <c r="K1301">
        <f t="shared" si="215"/>
        <v>1</v>
      </c>
      <c r="L1301" s="7">
        <f t="shared" ca="1" si="216"/>
        <v>1</v>
      </c>
    </row>
    <row r="1302" spans="11:12" x14ac:dyDescent="0.45">
      <c r="K1302">
        <f t="shared" si="215"/>
        <v>1</v>
      </c>
      <c r="L1302" s="7">
        <f t="shared" ca="1" si="216"/>
        <v>1</v>
      </c>
    </row>
    <row r="1303" spans="11:12" x14ac:dyDescent="0.45">
      <c r="K1303">
        <f t="shared" si="215"/>
        <v>1</v>
      </c>
      <c r="L1303" s="7">
        <f t="shared" ca="1" si="216"/>
        <v>1</v>
      </c>
    </row>
    <row r="1304" spans="11:12" x14ac:dyDescent="0.45">
      <c r="K1304">
        <f t="shared" si="215"/>
        <v>1</v>
      </c>
      <c r="L1304" s="7">
        <f t="shared" ca="1" si="216"/>
        <v>1</v>
      </c>
    </row>
    <row r="1305" spans="11:12" x14ac:dyDescent="0.45">
      <c r="K1305">
        <f t="shared" si="215"/>
        <v>1</v>
      </c>
      <c r="L1305" s="7">
        <f t="shared" ca="1" si="216"/>
        <v>1</v>
      </c>
    </row>
    <row r="1306" spans="11:12" x14ac:dyDescent="0.45">
      <c r="K1306">
        <f t="shared" si="215"/>
        <v>1</v>
      </c>
      <c r="L1306" s="7">
        <f t="shared" ca="1" si="216"/>
        <v>1</v>
      </c>
    </row>
    <row r="1307" spans="11:12" x14ac:dyDescent="0.45">
      <c r="K1307">
        <f t="shared" si="215"/>
        <v>1</v>
      </c>
      <c r="L1307" s="7">
        <f t="shared" ca="1" si="216"/>
        <v>1</v>
      </c>
    </row>
    <row r="1308" spans="11:12" x14ac:dyDescent="0.45">
      <c r="K1308">
        <f t="shared" si="215"/>
        <v>1</v>
      </c>
      <c r="L1308" s="7">
        <f t="shared" ca="1" si="216"/>
        <v>1</v>
      </c>
    </row>
    <row r="1309" spans="11:12" x14ac:dyDescent="0.45">
      <c r="K1309">
        <f t="shared" si="215"/>
        <v>1</v>
      </c>
      <c r="L1309" s="7">
        <f t="shared" ca="1" si="216"/>
        <v>1</v>
      </c>
    </row>
    <row r="1310" spans="11:12" x14ac:dyDescent="0.45">
      <c r="K1310">
        <f t="shared" si="215"/>
        <v>1</v>
      </c>
      <c r="L1310" s="7">
        <f t="shared" ca="1" si="216"/>
        <v>1</v>
      </c>
    </row>
    <row r="1311" spans="11:12" x14ac:dyDescent="0.45">
      <c r="K1311">
        <f t="shared" si="215"/>
        <v>1</v>
      </c>
      <c r="L1311" s="7">
        <f t="shared" ca="1" si="216"/>
        <v>1</v>
      </c>
    </row>
    <row r="1312" spans="11:12" x14ac:dyDescent="0.45">
      <c r="K1312">
        <f t="shared" si="215"/>
        <v>1</v>
      </c>
      <c r="L1312" s="7">
        <f t="shared" ca="1" si="216"/>
        <v>1</v>
      </c>
    </row>
    <row r="1313" spans="11:12" x14ac:dyDescent="0.45">
      <c r="K1313">
        <f t="shared" si="215"/>
        <v>1</v>
      </c>
      <c r="L1313" s="7">
        <f t="shared" ca="1" si="216"/>
        <v>1</v>
      </c>
    </row>
    <row r="1314" spans="11:12" x14ac:dyDescent="0.45">
      <c r="K1314">
        <f t="shared" si="215"/>
        <v>1</v>
      </c>
      <c r="L1314" s="7">
        <f t="shared" ca="1" si="216"/>
        <v>1</v>
      </c>
    </row>
    <row r="1315" spans="11:12" x14ac:dyDescent="0.45">
      <c r="K1315">
        <f t="shared" si="215"/>
        <v>1</v>
      </c>
      <c r="L1315" s="7">
        <f t="shared" ca="1" si="216"/>
        <v>1</v>
      </c>
    </row>
    <row r="1316" spans="11:12" x14ac:dyDescent="0.45">
      <c r="K1316">
        <f t="shared" si="215"/>
        <v>1</v>
      </c>
      <c r="L1316" s="7">
        <f t="shared" ca="1" si="216"/>
        <v>1</v>
      </c>
    </row>
    <row r="1317" spans="11:12" x14ac:dyDescent="0.45">
      <c r="K1317">
        <f t="shared" si="215"/>
        <v>1</v>
      </c>
      <c r="L1317" s="7">
        <f t="shared" ca="1" si="216"/>
        <v>1</v>
      </c>
    </row>
    <row r="1318" spans="11:12" x14ac:dyDescent="0.45">
      <c r="K1318">
        <f t="shared" si="215"/>
        <v>1</v>
      </c>
      <c r="L1318" s="7">
        <f t="shared" ca="1" si="216"/>
        <v>1</v>
      </c>
    </row>
    <row r="1319" spans="11:12" x14ac:dyDescent="0.45">
      <c r="K1319">
        <f t="shared" si="215"/>
        <v>1</v>
      </c>
      <c r="L1319" s="7">
        <f t="shared" ca="1" si="216"/>
        <v>1</v>
      </c>
    </row>
    <row r="1320" spans="11:12" x14ac:dyDescent="0.45">
      <c r="K1320">
        <f t="shared" si="215"/>
        <v>1</v>
      </c>
      <c r="L1320" s="7">
        <f t="shared" ca="1" si="216"/>
        <v>1</v>
      </c>
    </row>
    <row r="1321" spans="11:12" x14ac:dyDescent="0.45">
      <c r="K1321">
        <f t="shared" si="215"/>
        <v>1</v>
      </c>
      <c r="L1321" s="7">
        <f t="shared" ca="1" si="216"/>
        <v>1</v>
      </c>
    </row>
    <row r="1322" spans="11:12" x14ac:dyDescent="0.45">
      <c r="K1322">
        <f t="shared" si="215"/>
        <v>1</v>
      </c>
      <c r="L1322" s="7">
        <f t="shared" ca="1" si="216"/>
        <v>1</v>
      </c>
    </row>
    <row r="1323" spans="11:12" x14ac:dyDescent="0.45">
      <c r="K1323">
        <f t="shared" si="215"/>
        <v>1</v>
      </c>
      <c r="L1323" s="7">
        <f t="shared" ca="1" si="216"/>
        <v>1</v>
      </c>
    </row>
    <row r="1324" spans="11:12" x14ac:dyDescent="0.45">
      <c r="K1324">
        <f t="shared" si="215"/>
        <v>1</v>
      </c>
      <c r="L1324" s="7">
        <f t="shared" ca="1" si="216"/>
        <v>1</v>
      </c>
    </row>
    <row r="1325" spans="11:12" x14ac:dyDescent="0.45">
      <c r="K1325">
        <f t="shared" si="215"/>
        <v>1</v>
      </c>
      <c r="L1325" s="7">
        <f t="shared" ca="1" si="216"/>
        <v>1</v>
      </c>
    </row>
    <row r="1326" spans="11:12" x14ac:dyDescent="0.45">
      <c r="K1326">
        <f t="shared" si="215"/>
        <v>1</v>
      </c>
      <c r="L1326" s="7">
        <f t="shared" ca="1" si="216"/>
        <v>1</v>
      </c>
    </row>
    <row r="1327" spans="11:12" x14ac:dyDescent="0.45">
      <c r="K1327">
        <f t="shared" si="215"/>
        <v>1</v>
      </c>
      <c r="L1327" s="7">
        <f t="shared" ca="1" si="216"/>
        <v>1</v>
      </c>
    </row>
    <row r="1328" spans="11:12" x14ac:dyDescent="0.45">
      <c r="K1328">
        <f t="shared" si="215"/>
        <v>1</v>
      </c>
      <c r="L1328" s="7">
        <f t="shared" ca="1" si="216"/>
        <v>1</v>
      </c>
    </row>
    <row r="1329" spans="11:12" x14ac:dyDescent="0.45">
      <c r="K1329">
        <f t="shared" si="215"/>
        <v>1</v>
      </c>
      <c r="L1329" s="7">
        <f t="shared" ca="1" si="216"/>
        <v>1</v>
      </c>
    </row>
    <row r="1330" spans="11:12" x14ac:dyDescent="0.45">
      <c r="K1330">
        <f t="shared" si="215"/>
        <v>1</v>
      </c>
      <c r="L1330" s="7">
        <f t="shared" ca="1" si="216"/>
        <v>1</v>
      </c>
    </row>
    <row r="1331" spans="11:12" x14ac:dyDescent="0.45">
      <c r="K1331">
        <f t="shared" si="215"/>
        <v>1</v>
      </c>
      <c r="L1331" s="7">
        <f t="shared" ca="1" si="216"/>
        <v>1</v>
      </c>
    </row>
    <row r="1332" spans="11:12" x14ac:dyDescent="0.45">
      <c r="K1332">
        <f t="shared" si="215"/>
        <v>1</v>
      </c>
      <c r="L1332" s="7">
        <f t="shared" ca="1" si="216"/>
        <v>1</v>
      </c>
    </row>
    <row r="1333" spans="11:12" x14ac:dyDescent="0.45">
      <c r="K1333">
        <f t="shared" si="215"/>
        <v>1</v>
      </c>
      <c r="L1333" s="7">
        <f t="shared" ca="1" si="216"/>
        <v>1</v>
      </c>
    </row>
    <row r="1334" spans="11:12" x14ac:dyDescent="0.45">
      <c r="K1334">
        <f t="shared" si="215"/>
        <v>1</v>
      </c>
      <c r="L1334" s="7">
        <f t="shared" ca="1" si="216"/>
        <v>1</v>
      </c>
    </row>
    <row r="1335" spans="11:12" x14ac:dyDescent="0.45">
      <c r="K1335">
        <f t="shared" si="215"/>
        <v>1</v>
      </c>
      <c r="L1335" s="7">
        <f t="shared" ca="1" si="216"/>
        <v>1</v>
      </c>
    </row>
    <row r="1336" spans="11:12" x14ac:dyDescent="0.45">
      <c r="K1336">
        <f t="shared" si="215"/>
        <v>1</v>
      </c>
      <c r="L1336" s="7">
        <f t="shared" ca="1" si="216"/>
        <v>1</v>
      </c>
    </row>
    <row r="1337" spans="11:12" x14ac:dyDescent="0.45">
      <c r="K1337">
        <f t="shared" si="215"/>
        <v>1</v>
      </c>
      <c r="L1337" s="7">
        <f t="shared" ca="1" si="216"/>
        <v>1</v>
      </c>
    </row>
    <row r="1338" spans="11:12" x14ac:dyDescent="0.45">
      <c r="K1338">
        <f t="shared" si="215"/>
        <v>1</v>
      </c>
      <c r="L1338" s="7">
        <f t="shared" ca="1" si="216"/>
        <v>1</v>
      </c>
    </row>
    <row r="1339" spans="11:12" x14ac:dyDescent="0.45">
      <c r="K1339">
        <f t="shared" si="215"/>
        <v>1</v>
      </c>
      <c r="L1339" s="7">
        <f t="shared" ca="1" si="216"/>
        <v>1</v>
      </c>
    </row>
    <row r="1340" spans="11:12" x14ac:dyDescent="0.45">
      <c r="K1340">
        <f t="shared" si="215"/>
        <v>1</v>
      </c>
      <c r="L1340" s="7">
        <f t="shared" ca="1" si="216"/>
        <v>1</v>
      </c>
    </row>
    <row r="1341" spans="11:12" x14ac:dyDescent="0.45">
      <c r="K1341">
        <f t="shared" si="215"/>
        <v>1</v>
      </c>
      <c r="L1341" s="7"/>
    </row>
    <row r="1342" spans="11:12" x14ac:dyDescent="0.45">
      <c r="K1342">
        <f t="shared" si="215"/>
        <v>1</v>
      </c>
      <c r="L1342" s="7"/>
    </row>
    <row r="1343" spans="11:12" x14ac:dyDescent="0.45">
      <c r="K1343">
        <f t="shared" si="215"/>
        <v>1</v>
      </c>
      <c r="L1343" s="7"/>
    </row>
    <row r="1344" spans="11:12" x14ac:dyDescent="0.45">
      <c r="K1344">
        <f t="shared" si="215"/>
        <v>1</v>
      </c>
      <c r="L1344" s="7"/>
    </row>
    <row r="1345" spans="11:12" x14ac:dyDescent="0.45">
      <c r="K1345">
        <f t="shared" si="215"/>
        <v>1</v>
      </c>
      <c r="L1345" s="7"/>
    </row>
    <row r="1346" spans="11:12" x14ac:dyDescent="0.45">
      <c r="K1346">
        <f t="shared" si="215"/>
        <v>1</v>
      </c>
      <c r="L1346" s="7"/>
    </row>
    <row r="1347" spans="11:12" x14ac:dyDescent="0.45">
      <c r="K1347">
        <f t="shared" ref="K1347:K1399" si="217">C1347+1</f>
        <v>1</v>
      </c>
      <c r="L1347" s="7"/>
    </row>
    <row r="1348" spans="11:12" x14ac:dyDescent="0.45">
      <c r="K1348">
        <f t="shared" si="217"/>
        <v>1</v>
      </c>
      <c r="L1348" s="7"/>
    </row>
    <row r="1349" spans="11:12" x14ac:dyDescent="0.45">
      <c r="K1349">
        <f t="shared" si="217"/>
        <v>1</v>
      </c>
      <c r="L1349" s="7"/>
    </row>
    <row r="1350" spans="11:12" x14ac:dyDescent="0.45">
      <c r="K1350">
        <f t="shared" si="217"/>
        <v>1</v>
      </c>
      <c r="L1350" s="7"/>
    </row>
    <row r="1351" spans="11:12" x14ac:dyDescent="0.45">
      <c r="K1351">
        <f t="shared" si="217"/>
        <v>1</v>
      </c>
      <c r="L1351" s="7"/>
    </row>
    <row r="1352" spans="11:12" x14ac:dyDescent="0.45">
      <c r="K1352">
        <f t="shared" si="217"/>
        <v>1</v>
      </c>
      <c r="L1352" s="7"/>
    </row>
    <row r="1353" spans="11:12" x14ac:dyDescent="0.45">
      <c r="K1353">
        <f t="shared" si="217"/>
        <v>1</v>
      </c>
      <c r="L1353" s="7"/>
    </row>
    <row r="1354" spans="11:12" x14ac:dyDescent="0.45">
      <c r="K1354">
        <f t="shared" si="217"/>
        <v>1</v>
      </c>
      <c r="L1354" s="7"/>
    </row>
    <row r="1355" spans="11:12" x14ac:dyDescent="0.45">
      <c r="K1355">
        <f t="shared" si="217"/>
        <v>1</v>
      </c>
      <c r="L1355" s="7"/>
    </row>
    <row r="1356" spans="11:12" x14ac:dyDescent="0.45">
      <c r="K1356">
        <f t="shared" si="217"/>
        <v>1</v>
      </c>
      <c r="L1356" s="7"/>
    </row>
    <row r="1357" spans="11:12" x14ac:dyDescent="0.45">
      <c r="K1357">
        <f t="shared" si="217"/>
        <v>1</v>
      </c>
      <c r="L1357" s="7"/>
    </row>
    <row r="1358" spans="11:12" x14ac:dyDescent="0.45">
      <c r="K1358">
        <f t="shared" si="217"/>
        <v>1</v>
      </c>
      <c r="L1358" s="7"/>
    </row>
    <row r="1359" spans="11:12" x14ac:dyDescent="0.45">
      <c r="K1359">
        <f t="shared" si="217"/>
        <v>1</v>
      </c>
      <c r="L1359" s="7"/>
    </row>
    <row r="1360" spans="11:12" x14ac:dyDescent="0.45">
      <c r="K1360">
        <f t="shared" si="217"/>
        <v>1</v>
      </c>
      <c r="L1360" s="7"/>
    </row>
    <row r="1361" spans="11:12" x14ac:dyDescent="0.45">
      <c r="K1361">
        <f t="shared" si="217"/>
        <v>1</v>
      </c>
      <c r="L1361" s="7"/>
    </row>
    <row r="1362" spans="11:12" x14ac:dyDescent="0.45">
      <c r="K1362">
        <f t="shared" si="217"/>
        <v>1</v>
      </c>
      <c r="L1362" s="7"/>
    </row>
    <row r="1363" spans="11:12" x14ac:dyDescent="0.45">
      <c r="K1363">
        <f t="shared" si="217"/>
        <v>1</v>
      </c>
      <c r="L1363" s="7"/>
    </row>
    <row r="1364" spans="11:12" x14ac:dyDescent="0.45">
      <c r="K1364">
        <f t="shared" si="217"/>
        <v>1</v>
      </c>
      <c r="L1364" s="7"/>
    </row>
    <row r="1365" spans="11:12" x14ac:dyDescent="0.45">
      <c r="K1365">
        <f t="shared" si="217"/>
        <v>1</v>
      </c>
      <c r="L1365" s="7"/>
    </row>
    <row r="1366" spans="11:12" x14ac:dyDescent="0.45">
      <c r="K1366">
        <f t="shared" si="217"/>
        <v>1</v>
      </c>
      <c r="L1366" s="7"/>
    </row>
    <row r="1367" spans="11:12" x14ac:dyDescent="0.45">
      <c r="K1367">
        <f t="shared" si="217"/>
        <v>1</v>
      </c>
      <c r="L1367" s="7"/>
    </row>
    <row r="1368" spans="11:12" x14ac:dyDescent="0.45">
      <c r="K1368">
        <f t="shared" si="217"/>
        <v>1</v>
      </c>
    </row>
    <row r="1369" spans="11:12" x14ac:dyDescent="0.45">
      <c r="K1369">
        <f t="shared" si="217"/>
        <v>1</v>
      </c>
    </row>
    <row r="1370" spans="11:12" x14ac:dyDescent="0.45">
      <c r="K1370">
        <f t="shared" si="217"/>
        <v>1</v>
      </c>
    </row>
    <row r="1371" spans="11:12" x14ac:dyDescent="0.45">
      <c r="K1371">
        <f t="shared" si="217"/>
        <v>1</v>
      </c>
    </row>
    <row r="1372" spans="11:12" x14ac:dyDescent="0.45">
      <c r="K1372">
        <f t="shared" si="217"/>
        <v>1</v>
      </c>
    </row>
    <row r="1373" spans="11:12" x14ac:dyDescent="0.45">
      <c r="K1373">
        <f t="shared" si="217"/>
        <v>1</v>
      </c>
    </row>
    <row r="1374" spans="11:12" x14ac:dyDescent="0.45">
      <c r="K1374">
        <f t="shared" si="217"/>
        <v>1</v>
      </c>
    </row>
    <row r="1375" spans="11:12" x14ac:dyDescent="0.45">
      <c r="K1375">
        <f t="shared" si="217"/>
        <v>1</v>
      </c>
    </row>
    <row r="1376" spans="11:12" x14ac:dyDescent="0.45">
      <c r="K1376">
        <f t="shared" si="217"/>
        <v>1</v>
      </c>
    </row>
    <row r="1377" spans="11:11" x14ac:dyDescent="0.45">
      <c r="K1377">
        <f t="shared" si="217"/>
        <v>1</v>
      </c>
    </row>
    <row r="1378" spans="11:11" x14ac:dyDescent="0.45">
      <c r="K1378">
        <f t="shared" si="217"/>
        <v>1</v>
      </c>
    </row>
    <row r="1379" spans="11:11" x14ac:dyDescent="0.45">
      <c r="K1379">
        <f t="shared" si="217"/>
        <v>1</v>
      </c>
    </row>
    <row r="1380" spans="11:11" x14ac:dyDescent="0.45">
      <c r="K1380">
        <f t="shared" si="217"/>
        <v>1</v>
      </c>
    </row>
    <row r="1381" spans="11:11" x14ac:dyDescent="0.45">
      <c r="K1381">
        <f t="shared" si="217"/>
        <v>1</v>
      </c>
    </row>
    <row r="1382" spans="11:11" x14ac:dyDescent="0.45">
      <c r="K1382">
        <f t="shared" si="217"/>
        <v>1</v>
      </c>
    </row>
    <row r="1383" spans="11:11" x14ac:dyDescent="0.45">
      <c r="K1383">
        <f t="shared" si="217"/>
        <v>1</v>
      </c>
    </row>
    <row r="1384" spans="11:11" x14ac:dyDescent="0.45">
      <c r="K1384">
        <f t="shared" si="217"/>
        <v>1</v>
      </c>
    </row>
    <row r="1385" spans="11:11" x14ac:dyDescent="0.45">
      <c r="K1385">
        <f t="shared" si="217"/>
        <v>1</v>
      </c>
    </row>
    <row r="1386" spans="11:11" x14ac:dyDescent="0.45">
      <c r="K1386">
        <f t="shared" si="217"/>
        <v>1</v>
      </c>
    </row>
    <row r="1387" spans="11:11" x14ac:dyDescent="0.45">
      <c r="K1387">
        <f t="shared" si="217"/>
        <v>1</v>
      </c>
    </row>
    <row r="1388" spans="11:11" x14ac:dyDescent="0.45">
      <c r="K1388">
        <f t="shared" si="217"/>
        <v>1</v>
      </c>
    </row>
    <row r="1389" spans="11:11" x14ac:dyDescent="0.45">
      <c r="K1389">
        <f t="shared" si="217"/>
        <v>1</v>
      </c>
    </row>
    <row r="1390" spans="11:11" x14ac:dyDescent="0.45">
      <c r="K1390">
        <f t="shared" si="217"/>
        <v>1</v>
      </c>
    </row>
    <row r="1391" spans="11:11" x14ac:dyDescent="0.45">
      <c r="K1391">
        <f t="shared" si="217"/>
        <v>1</v>
      </c>
    </row>
    <row r="1392" spans="11:11" x14ac:dyDescent="0.45">
      <c r="K1392">
        <f t="shared" si="217"/>
        <v>1</v>
      </c>
    </row>
    <row r="1393" spans="11:11" x14ac:dyDescent="0.45">
      <c r="K1393">
        <f t="shared" si="217"/>
        <v>1</v>
      </c>
    </row>
    <row r="1394" spans="11:11" x14ac:dyDescent="0.45">
      <c r="K1394">
        <f t="shared" si="217"/>
        <v>1</v>
      </c>
    </row>
    <row r="1395" spans="11:11" x14ac:dyDescent="0.45">
      <c r="K1395">
        <f t="shared" si="217"/>
        <v>1</v>
      </c>
    </row>
    <row r="1396" spans="11:11" x14ac:dyDescent="0.45">
      <c r="K1396">
        <f t="shared" si="217"/>
        <v>1</v>
      </c>
    </row>
    <row r="1397" spans="11:11" x14ac:dyDescent="0.45">
      <c r="K1397">
        <f t="shared" si="217"/>
        <v>1</v>
      </c>
    </row>
    <row r="1398" spans="11:11" x14ac:dyDescent="0.45">
      <c r="K1398">
        <f t="shared" si="217"/>
        <v>1</v>
      </c>
    </row>
    <row r="1399" spans="11:11" x14ac:dyDescent="0.45">
      <c r="K1399">
        <f t="shared" si="217"/>
        <v>1</v>
      </c>
    </row>
  </sheetData>
  <conditionalFormatting sqref="D7:I7">
    <cfRule type="cellIs" dxfId="3" priority="8" operator="greaterThan">
      <formula>ROW() &gt; $J$6</formula>
    </cfRule>
  </conditionalFormatting>
  <conditionalFormatting sqref="D2:I1056">
    <cfRule type="expression" dxfId="2" priority="7">
      <formula>(ROW() - 1) &gt; ($J$6+$J$9)</formula>
    </cfRule>
  </conditionalFormatting>
  <conditionalFormatting sqref="K2:K1056">
    <cfRule type="expression" dxfId="1" priority="2">
      <formula>AND(ROW(K2)&lt;=($J$6+1) +$J$9, (ROW(K2))&gt;($J$9+1))</formula>
    </cfRule>
  </conditionalFormatting>
  <conditionalFormatting sqref="L2:L1340">
    <cfRule type="expression" dxfId="0" priority="1">
      <formula>ROW(L2) = $J$9 +2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ollback">
                <anchor moveWithCells="1" sizeWithCells="1">
                  <from>
                    <xdr:col>9</xdr:col>
                    <xdr:colOff>619125</xdr:colOff>
                    <xdr:row>18</xdr:row>
                    <xdr:rowOff>71438</xdr:rowOff>
                  </from>
                  <to>
                    <xdr:col>9</xdr:col>
                    <xdr:colOff>1966913</xdr:colOff>
                    <xdr:row>21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somedata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bk</dc:creator>
  <cp:lastModifiedBy>bk</cp:lastModifiedBy>
  <dcterms:created xsi:type="dcterms:W3CDTF">2023-11-13T14:49:55Z</dcterms:created>
  <dcterms:modified xsi:type="dcterms:W3CDTF">2023-11-28T22:52:23Z</dcterms:modified>
</cp:coreProperties>
</file>